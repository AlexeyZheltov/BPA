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953349F6-9B45-473F-85AB-503A5B4A46DD}" xr6:coauthVersionLast="45" xr6:coauthVersionMax="45" xr10:uidLastSave="{00000000-0000-0000-0000-000000000000}"/>
  <bookViews>
    <workbookView xWindow="-18390" yWindow="-120" windowWidth="18510" windowHeight="1560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8" i="22" l="1"/>
  <c r="CW8" i="22" s="1"/>
  <c r="AM8" i="22"/>
  <c r="AN8" i="22"/>
  <c r="AO8" i="22"/>
  <c r="AP8" i="22"/>
  <c r="AQ8" i="22"/>
  <c r="AR8" i="22"/>
  <c r="DE8" i="22" s="1"/>
  <c r="AU8" i="22"/>
  <c r="AW8" i="22"/>
  <c r="AX8" i="22"/>
  <c r="AY8" i="22"/>
  <c r="BY8" i="22" s="1"/>
  <c r="AZ8" i="22"/>
  <c r="CM8" i="22" s="1"/>
  <c r="BC8" i="22"/>
  <c r="BD8" i="22"/>
  <c r="BE8" i="22"/>
  <c r="BF8" i="22"/>
  <c r="BG8" i="22"/>
  <c r="CG8" i="22" s="1"/>
  <c r="BH8" i="22"/>
  <c r="CU8" i="22" s="1"/>
  <c r="BI8" i="22"/>
  <c r="BJ8" i="22"/>
  <c r="BK8" i="22"/>
  <c r="BL8" i="22"/>
  <c r="BM8" i="22"/>
  <c r="BN8" i="22"/>
  <c r="BO8" i="22"/>
  <c r="BP8" i="22"/>
  <c r="BQ8" i="22"/>
  <c r="BR8" i="22"/>
  <c r="BS8" i="22"/>
  <c r="BT8" i="22"/>
  <c r="BU8" i="22"/>
  <c r="BW8" i="22"/>
  <c r="BX8" i="22"/>
  <c r="BZ8" i="22"/>
  <c r="CC8" i="22"/>
  <c r="CD8" i="22"/>
  <c r="CE8" i="22"/>
  <c r="CF8" i="22"/>
  <c r="CH8" i="22"/>
  <c r="CJ8" i="22"/>
  <c r="CK8" i="22"/>
  <c r="CL8" i="22"/>
  <c r="CP8" i="22"/>
  <c r="CQ8" i="22"/>
  <c r="CR8" i="22"/>
  <c r="CS8" i="22"/>
  <c r="CT8" i="22"/>
  <c r="CZ8" i="22"/>
  <c r="DA8" i="22"/>
  <c r="DB8" i="22"/>
  <c r="DC8" i="22"/>
  <c r="DD8" i="22"/>
  <c r="DH8" i="22"/>
  <c r="DJ8" i="22"/>
  <c r="DK8" i="22"/>
  <c r="DL8" i="22"/>
  <c r="DP8" i="22"/>
  <c r="DQ8" i="22"/>
  <c r="DR8" i="22"/>
  <c r="DS8" i="22"/>
  <c r="DT8" i="22"/>
  <c r="DV8" i="22"/>
  <c r="DX8" i="22"/>
  <c r="EN8" i="22"/>
  <c r="FA8" i="22"/>
  <c r="AI8" i="22" s="1"/>
  <c r="CV8" i="22" s="1"/>
  <c r="FB8" i="22"/>
  <c r="FC8" i="22"/>
  <c r="AK8" i="22" s="1"/>
  <c r="CX8" i="22" s="1"/>
  <c r="FD8" i="22"/>
  <c r="AL8" i="22" s="1"/>
  <c r="CY8" i="22" s="1"/>
  <c r="FE8" i="22"/>
  <c r="FF8" i="22"/>
  <c r="FG8" i="22"/>
  <c r="FH8" i="22"/>
  <c r="FI8" i="22"/>
  <c r="FJ8" i="22"/>
  <c r="FK8" i="22"/>
  <c r="AS8" i="22" s="1"/>
  <c r="DF8" i="22" s="1"/>
  <c r="FL8" i="22"/>
  <c r="AT8" i="22" s="1"/>
  <c r="DG8" i="22" s="1"/>
  <c r="FM8" i="22"/>
  <c r="FO8" i="22"/>
  <c r="FP8" i="22"/>
  <c r="FQ8" i="22"/>
  <c r="FR8" i="22"/>
  <c r="FS8" i="22"/>
  <c r="BA8" i="22" s="1"/>
  <c r="FT8" i="22"/>
  <c r="BB8" i="22" s="1"/>
  <c r="FU8" i="22"/>
  <c r="FV8" i="22"/>
  <c r="FW8" i="22"/>
  <c r="FX8" i="22"/>
  <c r="FY8" i="22"/>
  <c r="FZ8" i="22"/>
  <c r="GA8" i="22"/>
  <c r="GC8" i="22"/>
  <c r="GQ8" i="22"/>
  <c r="GR8" i="22"/>
  <c r="GS8" i="22"/>
  <c r="GT8" i="22"/>
  <c r="GU8" i="22"/>
  <c r="GP8" i="22" s="1"/>
  <c r="P8" i="22" s="1"/>
  <c r="L8" i="22" s="1"/>
  <c r="N8" i="22" s="1"/>
  <c r="GV8" i="22"/>
  <c r="GW8" i="22"/>
  <c r="GX8" i="22"/>
  <c r="GY8" i="22"/>
  <c r="GZ8" i="22"/>
  <c r="HA8" i="22"/>
  <c r="HB8" i="22"/>
  <c r="GA7" i="22"/>
  <c r="HH8" i="22" l="1"/>
  <c r="HI8" i="22"/>
  <c r="HK8" i="22"/>
  <c r="HM8" i="22"/>
  <c r="HJ8" i="22"/>
  <c r="HD8" i="22"/>
  <c r="HL8" i="22"/>
  <c r="HE8" i="22"/>
  <c r="HF8" i="22"/>
  <c r="HN8" i="22"/>
  <c r="HG8" i="22"/>
  <c r="HO8" i="22"/>
  <c r="CA8" i="22"/>
  <c r="CN8" i="22"/>
  <c r="DN8" i="22"/>
  <c r="DO8" i="22"/>
  <c r="CB8" i="22"/>
  <c r="CO8" i="22"/>
  <c r="FN8" i="22"/>
  <c r="DU8" i="22"/>
  <c r="DM8" i="22"/>
  <c r="DV7" i="22"/>
  <c r="GW7" i="22"/>
  <c r="GU7" i="22"/>
  <c r="GC7" i="22"/>
  <c r="GZ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FI7" i="22" l="1"/>
  <c r="AQ7" i="22" s="1"/>
  <c r="DD7" i="22" s="1"/>
  <c r="FX7" i="22"/>
  <c r="FV7" i="22"/>
  <c r="FU7" i="22"/>
  <c r="FS7" i="22"/>
  <c r="FT7" i="22"/>
  <c r="FP7" i="22"/>
  <c r="FW7" i="22"/>
  <c r="FZ7" i="22"/>
  <c r="FR7" i="22"/>
  <c r="FY7" i="22"/>
  <c r="FQ7" i="22"/>
  <c r="FO7" i="22"/>
  <c r="HC8" i="22"/>
  <c r="Q8" i="22" s="1"/>
  <c r="AV8" i="22"/>
  <c r="HA7" i="22"/>
  <c r="HB7" i="22"/>
  <c r="GS7" i="22"/>
  <c r="GT7" i="22"/>
  <c r="FB7" i="22"/>
  <c r="AJ7" i="22" s="1"/>
  <c r="CW7" i="22" s="1"/>
  <c r="FJ7" i="22"/>
  <c r="AR7" i="22" s="1"/>
  <c r="DE7" i="22" s="1"/>
  <c r="FC7" i="22"/>
  <c r="AK7" i="22" s="1"/>
  <c r="CX7" i="22" s="1"/>
  <c r="FD7" i="22"/>
  <c r="AL7" i="22" s="1"/>
  <c r="CY7" i="22" s="1"/>
  <c r="FL7" i="22"/>
  <c r="AT7" i="22" s="1"/>
  <c r="DG7" i="22" s="1"/>
  <c r="FE7" i="22"/>
  <c r="AM7" i="22" s="1"/>
  <c r="CZ7" i="22" s="1"/>
  <c r="FM7" i="22"/>
  <c r="AU7" i="22" s="1"/>
  <c r="DH7" i="22" s="1"/>
  <c r="FF7" i="22"/>
  <c r="AN7" i="22" s="1"/>
  <c r="DA7" i="22" s="1"/>
  <c r="FG7" i="22"/>
  <c r="AO7" i="22" s="1"/>
  <c r="DB7" i="22" s="1"/>
  <c r="FK7" i="22"/>
  <c r="AS7" i="22" s="1"/>
  <c r="DF7" i="22" s="1"/>
  <c r="FH7" i="22"/>
  <c r="AP7" i="22" s="1"/>
  <c r="DC7" i="22" s="1"/>
  <c r="GV7" i="22"/>
  <c r="GX7" i="22"/>
  <c r="GQ7" i="22"/>
  <c r="GY7" i="22"/>
  <c r="GR7" i="22"/>
  <c r="CI8" i="22" l="1"/>
  <c r="DI8" i="22"/>
  <c r="BV8" i="22"/>
  <c r="GP7" i="22"/>
  <c r="FA7" i="22"/>
  <c r="AW4" i="5"/>
  <c r="AW5" i="5"/>
  <c r="AW6" i="5"/>
  <c r="AW7" i="5"/>
  <c r="AW8" i="5"/>
  <c r="AW9" i="5"/>
  <c r="AW10" i="5"/>
  <c r="AW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X3" i="5"/>
  <c r="AX4" i="5"/>
  <c r="AX5" i="5"/>
  <c r="AX6" i="5"/>
  <c r="AX7" i="5"/>
  <c r="AX8" i="5"/>
  <c r="AX9" i="5"/>
  <c r="AX10" i="5"/>
  <c r="AT1" i="5"/>
  <c r="N7" i="22" l="1"/>
  <c r="HO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HM7" i="22" l="1"/>
  <c r="HN7" i="22"/>
  <c r="HK7" i="22"/>
  <c r="HL7" i="22"/>
  <c r="HI7" i="22"/>
  <c r="HJ7" i="22"/>
  <c r="HG7" i="22"/>
  <c r="HH7" i="22"/>
  <c r="HE7" i="22"/>
  <c r="HF7" i="22"/>
  <c r="HD7" i="22"/>
  <c r="BA7" i="22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D4" i="5"/>
  <c r="F4" i="5"/>
  <c r="G4" i="5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G3" i="5"/>
  <c r="F3" i="5"/>
  <c r="BV7" i="22" l="1"/>
  <c r="Q7" i="22"/>
  <c r="CI7" i="22"/>
  <c r="D3" i="5"/>
</calcChain>
</file>

<file path=xl/sharedStrings.xml><?xml version="1.0" encoding="utf-8"?>
<sst xmlns="http://schemas.openxmlformats.org/spreadsheetml/2006/main" count="3511" uniqueCount="1478">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</sst>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9" fontId="15" fillId="6" borderId="4" xfId="2" applyFont="1" applyFill="1" applyBorder="1" applyAlignment="1">
      <alignment horizontal="center" vertical="top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  <xf numFmtId="0" fontId="18" fillId="7" borderId="0" xfId="3" applyFont="1" applyFill="1" applyAlignment="1">
      <alignment horizontal="center" vertical="top"/>
    </xf>
    <xf numFmtId="0" fontId="16" fillId="7" borderId="0" xfId="3" applyNumberFormat="1" applyFont="1" applyFill="1" applyAlignment="1">
      <alignment horizontal="center" vertical="top"/>
    </xf>
    <xf numFmtId="0" fontId="16" fillId="7" borderId="7" xfId="3" applyNumberFormat="1" applyFont="1" applyFill="1" applyBorder="1" applyAlignment="1">
      <alignment horizontal="center" vertical="top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500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9" dataDxfId="498">
  <autoFilter ref="A2:AX10" xr:uid="{6B7FED29-D1EF-44AD-8CEA-6B36EA57CFDF}"/>
  <tableColumns count="50">
    <tableColumn id="20" xr3:uid="{F0834113-79EB-4DC4-BB50-96E4D3BC9E62}" name="№" dataDxfId="497"/>
    <tableColumn id="1" xr3:uid="{00000000-0010-0000-0300-000001000000}" name="Категория для прайс-листа диллеров" dataDxfId="496"/>
    <tableColumn id="2" xr3:uid="{00000000-0010-0000-0300-000002000000}" name="Суперкатегория (ENG)" dataDxfId="495"/>
    <tableColumn id="3" xr3:uid="{00000000-0010-0000-0300-000003000000}" name="Суперкатегория (RUS)" dataDxfId="494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3"/>
    <tableColumn id="5" xr3:uid="{00000000-0010-0000-0300-000005000000}" name="Название продукт группы (ENG)" dataDxfId="492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91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90"/>
    <tableColumn id="8" xr3:uid="{00000000-0010-0000-0300-000008000000}" name="Generic Name (long)" dataDxfId="489"/>
    <tableColumn id="9" xr3:uid="{00000000-0010-0000-0300-000009000000}" name="Model" dataDxfId="488"/>
    <tableColumn id="10" xr3:uid="{00000000-0010-0000-0300-00000A000000}" name="PNS" dataDxfId="487"/>
    <tableColumn id="11" xr3:uid="{00000000-0010-0000-0300-00000B000000}" name="Артикул" dataDxfId="486"/>
    <tableColumn id="12" xr3:uid="{00000000-0010-0000-0300-00000C000000}" name="Артикул предшественника (если есть)" dataDxfId="485"/>
    <tableColumn id="13" xr3:uid="{00000000-0010-0000-0300-00000D000000}" name="Название артикула (ENG)" dataDxfId="484"/>
    <tableColumn id="14" xr3:uid="{00000000-0010-0000-0300-00000E000000}" name="Название артикула (RUS)" dataDxfId="483"/>
    <tableColumn id="15" xr3:uid="{00000000-0010-0000-0300-00000F000000}" name="Используемый календарь" dataDxfId="482"/>
    <tableColumn id="21" xr3:uid="{22E1A367-1EE8-43BC-814E-457CB0799CE2}" name="to be sold in" dataDxfId="481"/>
    <tableColumn id="22" xr3:uid="{96D0E354-E4F0-4C0D-A215-B5053EDC93D3}" name="Sales Start Date" dataDxfId="480"/>
    <tableColumn id="23" xr3:uid="{8E8FA46F-C4EA-4B11-9002-6C2FB1732F50}" name="Preliminary Elimination Date" dataDxfId="479"/>
    <tableColumn id="24" xr3:uid="{1CD4DFA3-524A-4B3F-B75B-153436EC8505}" name="Elimination Date" dataDxfId="478"/>
    <tableColumn id="25" xr3:uid="{9E91402A-0829-46E3-BCAD-2B3FBD67E8B4}" name="GTIN-13/EAN" dataDxfId="477"/>
    <tableColumn id="26" xr3:uid="{6D670FEE-0EE3-4984-AE03-EE53C5B4F796}" name="Current Producing Factory Entity Reference" dataDxfId="476"/>
    <tableColumn id="27" xr3:uid="{5EE7ABD6-FDA4-4488-802E-A3E44391980C}" name="Country of Origin" dataDxfId="475"/>
    <tableColumn id="28" xr3:uid="{9B515A88-1ED3-4508-B5E0-8006888F9EC2}" name="Unit of measure" dataDxfId="474"/>
    <tableColumn id="29" xr3:uid="{87BE889F-2ABE-4DA6-8E30-3420049514D6}" name="Quantity in Master pack" dataDxfId="473"/>
    <tableColumn id="30" xr3:uid="{47EEE49F-81B7-4FCC-B374-69DEC03ECE66}" name="Article gross weight, preliminary" dataDxfId="472"/>
    <tableColumn id="31" xr3:uid="{EFEF2C58-568B-4F24-9FA2-6034A66D278C}" name="Article gross weight" dataDxfId="471"/>
    <tableColumn id="32" xr3:uid="{D9BFC098-81CC-44FD-9FDE-FE6F58BB8BD6}" name="Article net weight, preliminary" dataDxfId="470"/>
    <tableColumn id="33" xr3:uid="{C47E9D47-775F-4F97-AD61-45CFFC8D6D30}" name="Article net weight" dataDxfId="469"/>
    <tableColumn id="34" xr3:uid="{8FDF5358-549B-4DBC-B8D0-CFC371276F4D}" name="Packaging length" dataDxfId="468"/>
    <tableColumn id="35" xr3:uid="{6E69E3B5-4350-4ABB-89BF-8A6BD2DC4947}" name="Packaging width" dataDxfId="467"/>
    <tableColumn id="36" xr3:uid="{96879B4C-6D27-4389-8B5A-11E1CBC022EA}" name="Packaging height" dataDxfId="466"/>
    <tableColumn id="37" xr3:uid="{170F61C0-2069-494A-A33C-F39311F5A9C7}" name="Packaging volume" dataDxfId="465"/>
    <tableColumn id="38" xr3:uid="{5E3DED34-6BEE-4E8A-AFB4-2CACE6CD1835}" name="Product size length" dataDxfId="464"/>
    <tableColumn id="39" xr3:uid="{FF80A301-50E2-4D81-BB7D-1EE251460E5A}" name="Product size height" dataDxfId="463"/>
    <tableColumn id="40" xr3:uid="{37BA004B-7442-4871-93EF-B13A77E1A917}" name="Product size width" dataDxfId="462"/>
    <tableColumn id="41" xr3:uid="{9C4077D9-3E18-4C57-A4FE-24EC817418FB}" name="Units Per Pallet" dataDxfId="461"/>
    <tableColumn id="16" xr3:uid="{00000000-0010-0000-0300-000010000000}" name="Статус" dataDxfId="460"/>
    <tableColumn id="17" xr3:uid="{00000000-0010-0000-0300-000011000000}" name="Эксклюзив клиента или канала продажи" dataDxfId="459"/>
    <tableColumn id="18" xr3:uid="{00000000-0010-0000-0300-000012000000}" name="Локальный сертификат" dataDxfId="458"/>
    <tableColumn id="43" xr3:uid="{F395E6EB-A30D-4A38-AB3A-7536C9D93B73}" name="IRP, Eur" dataDxfId="457"/>
    <tableColumn id="42" xr3:uid="{05ED5D32-E5CB-4A2F-932D-7E4E79D8C3DB}" name="РРЦ текущий" dataDxfId="456"/>
    <tableColumn id="19" xr3:uid="{942DBC0D-E4D1-4CAE-964C-D4023A4F222C}" name="DIY текущий" dataDxfId="455"/>
    <tableColumn id="44" xr3:uid="{B34018FA-361B-4D7A-BB24-F38CB52B40FF}" name="Процент повышения РРЦ" dataDxfId="454"/>
    <tableColumn id="45" xr3:uid="{74423DE5-1814-4A91-B002-871E2E69DACF}" name="РРЦ расчетная, руб." dataDxfId="453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52"/>
    <tableColumn id="49" xr3:uid="{9DFD32D8-20F7-44F2-9EFD-A1D48FECC173}" name="РРЦ, евро" dataDxfId="451">
      <calculatedColumnFormula>ROUND(Товары[[#This Row],[РРЦ финальная, руб.]]/$AT$1,2)</calculatedColumnFormula>
    </tableColumn>
    <tableColumn id="47" xr3:uid="{274477BF-6DA6-42C0-8813-165D8A99D45E}" name="Индекс IRP" dataDxfId="45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9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8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7" dataDxfId="446">
  <autoFilter ref="A1:H440" xr:uid="{00000000-0009-0000-0100-00000D000000}"/>
  <tableColumns count="8">
    <tableColumn id="8" xr3:uid="{E2D1A163-1F1A-4C5F-BF19-12C204A54D1C}" name="№" dataDxfId="445"/>
    <tableColumn id="1" xr3:uid="{00000000-0010-0000-0A00-000001000000}" name="GardenaChannel" dataDxfId="444"/>
    <tableColumn id="2" xr3:uid="{00000000-0010-0000-0A00-000002000000}" name="Customer" dataDxfId="443"/>
    <tableColumn id="3" xr3:uid="{00000000-0010-0000-0A00-000003000000}" name="Channel type" dataDxfId="442"/>
    <tableColumn id="4" xr3:uid="{00000000-0010-0000-0A00-000004000000}" name="Customer status" dataDxfId="441"/>
    <tableColumn id="5" xr3:uid="{00000000-0010-0000-0A00-000005000000}" name="Sales manager" dataDxfId="44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9"/>
    <tableColumn id="7" xr3:uid="{00000000-0010-0000-0A00-000007000000}" name="CustomerBudget" dataDxfId="4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37">
  <autoFilter ref="A1:K4" xr:uid="{00000000-0009-0000-0100-00000F000000}"/>
  <tableColumns count="11">
    <tableColumn id="11" xr3:uid="{F724774D-6E5F-421B-8A8A-7AD1541FFA21}" name="№" dataDxfId="436"/>
    <tableColumn id="1" xr3:uid="{00000000-0010-0000-0C00-000001000000}" name="Channel type" dataDxfId="435"/>
    <tableColumn id="2" xr3:uid="{00000000-0010-0000-0C00-000002000000}" name="Customer status" dataDxfId="434"/>
    <tableColumn id="3" xr3:uid="{00000000-0010-0000-0C00-000003000000}" name="Период" dataDxfId="433"/>
    <tableColumn id="4" xr3:uid="{00000000-0010-0000-0C00-000004000000}" name="Оборудование для полива" dataDxfId="432"/>
    <tableColumn id="5" xr3:uid="{00000000-0010-0000-0C00-000005000000}" name="Электрика (Готовая продукция)" dataDxfId="431"/>
    <tableColumn id="6" xr3:uid="{00000000-0010-0000-0C00-000006000000}" name="Газонокосилки-роботы" dataDxfId="430"/>
    <tableColumn id="7" xr3:uid="{00000000-0010-0000-0C00-000007000000}" name="Насосное оборудование" dataDxfId="429"/>
    <tableColumn id="8" xr3:uid="{00000000-0010-0000-0C00-000008000000}" name="Ручные и режущие инструменты" dataDxfId="428"/>
    <tableColumn id="9" xr3:uid="{00000000-0010-0000-0C00-000009000000}" name="Зимние инструменты ClassicLine" dataDxfId="427"/>
    <tableColumn id="10" xr3:uid="{00000000-0010-0000-0C00-00000A000000}" name="Максимальный годовой бонус" dataDxfId="4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5" headerRowBorderDxfId="424" tableBorderDxfId="42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2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20"/>
    <tableColumn id="2" xr3:uid="{00000000-0010-0000-0700-000002000000}" name="SubGroup" dataDxfId="419"/>
    <tableColumn id="3" xr3:uid="{00000000-0010-0000-0700-000003000000}" name="Процент от РРЦ, без НДС" dataDxfId="41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17">
  <tableColumns count="121">
    <tableColumn id="1" xr3:uid="{00000000-0010-0000-0D00-000001000000}" name="ID" dataDxfId="416"/>
    <tableColumn id="2" xr3:uid="{00000000-0010-0000-0D00-000002000000}" name="Channel type" dataDxfId="415"/>
    <tableColumn id="3" xr3:uid="{00000000-0010-0000-0D00-000003000000}" name="Customer status" dataDxfId="414"/>
    <tableColumn id="4" xr3:uid="{00000000-0010-0000-0D00-000004000000}" name="Дата прогноза" dataDxfId="413"/>
    <tableColumn id="5" xr3:uid="{00000000-0010-0000-0D00-000005000000}" name="Данные справочника товаров"/>
    <tableColumn id="6" xr3:uid="{00000000-0010-0000-0D00-000006000000}" name="STK 2.5, руб." dataDxfId="412"/>
    <tableColumn id="7" xr3:uid="{00000000-0010-0000-0D00-000007000000}" name="IRP, Eur" dataDxfId="411"/>
    <tableColumn id="8" xr3:uid="{00000000-0010-0000-0D00-000008000000}" name="РРЦ, руб.с НДС" dataDxfId="410"/>
    <tableColumn id="9" xr3:uid="{00000000-0010-0000-0D00-000009000000}" name="Индекс IRP" dataDxfId="409"/>
    <tableColumn id="10" xr3:uid="{00000000-0010-0000-0D00-00000A000000}" name="DIY price list, руб. без НДС" dataDxfId="408"/>
    <tableColumn id="11" xr3:uid="{00000000-0010-0000-0D00-00000B000000}" name="2 net цена, руб." dataDxfId="407"/>
    <tableColumn id="12" xr3:uid="{00000000-0010-0000-0D00-00000C000000}" name="3 net цена, руб." dataDxfId="406"/>
    <tableColumn id="13" xr3:uid="{00000000-0010-0000-0D00-00000D000000}" name="Transfer цена, руб." dataDxfId="405"/>
    <tableColumn id="14" xr3:uid="{00000000-0010-0000-0D00-00000E000000}" name="Price-list январь" dataDxfId="404"/>
    <tableColumn id="15" xr3:uid="{00000000-0010-0000-0D00-00000F000000}" name="Price-list февраль" dataDxfId="403"/>
    <tableColumn id="16" xr3:uid="{00000000-0010-0000-0D00-000010000000}" name="Price-list март" dataDxfId="402"/>
    <tableColumn id="17" xr3:uid="{00000000-0010-0000-0D00-000011000000}" name="Price-list апрель" dataDxfId="401"/>
    <tableColumn id="18" xr3:uid="{00000000-0010-0000-0D00-000012000000}" name="Price-list май" dataDxfId="400"/>
    <tableColumn id="19" xr3:uid="{00000000-0010-0000-0D00-000013000000}" name="Price-list июнь" dataDxfId="399"/>
    <tableColumn id="20" xr3:uid="{00000000-0010-0000-0D00-000014000000}" name="Price-list июль" dataDxfId="398"/>
    <tableColumn id="21" xr3:uid="{00000000-0010-0000-0D00-000015000000}" name="Price-list август" dataDxfId="397"/>
    <tableColumn id="22" xr3:uid="{00000000-0010-0000-0D00-000016000000}" name="Price-list сентябрь" dataDxfId="396"/>
    <tableColumn id="23" xr3:uid="{00000000-0010-0000-0D00-000017000000}" name="Price-list октябрь" dataDxfId="395"/>
    <tableColumn id="24" xr3:uid="{00000000-0010-0000-0D00-000018000000}" name="Price-list ноябрь" dataDxfId="394"/>
    <tableColumn id="25" xr3:uid="{00000000-0010-0000-0D00-000019000000}" name="Price-list декабрь" dataDxfId="393"/>
    <tableColumn id="26" xr3:uid="{00000000-0010-0000-0D00-00001A000000}" name="Объем продаж январь" dataDxfId="392"/>
    <tableColumn id="27" xr3:uid="{00000000-0010-0000-0D00-00001B000000}" name="Объем продаж февраль" dataDxfId="391"/>
    <tableColumn id="28" xr3:uid="{00000000-0010-0000-0D00-00001C000000}" name="Объем продаж март" dataDxfId="390"/>
    <tableColumn id="29" xr3:uid="{00000000-0010-0000-0D00-00001D000000}" name="Объем продаж апрель" dataDxfId="389"/>
    <tableColumn id="30" xr3:uid="{00000000-0010-0000-0D00-00001E000000}" name="Объем продаж май" dataDxfId="388"/>
    <tableColumn id="31" xr3:uid="{00000000-0010-0000-0D00-00001F000000}" name="Объем продаж июнь" dataDxfId="387"/>
    <tableColumn id="32" xr3:uid="{00000000-0010-0000-0D00-000020000000}" name="Объем продаж июль" dataDxfId="386"/>
    <tableColumn id="33" xr3:uid="{00000000-0010-0000-0D00-000021000000}" name="Объем продаж август" dataDxfId="385"/>
    <tableColumn id="34" xr3:uid="{00000000-0010-0000-0D00-000022000000}" name="Объем продаж сентябрь" dataDxfId="384"/>
    <tableColumn id="35" xr3:uid="{00000000-0010-0000-0D00-000023000000}" name="Объем продаж октябрь" dataDxfId="383"/>
    <tableColumn id="36" xr3:uid="{00000000-0010-0000-0D00-000024000000}" name="Объем продаж ноябрь" dataDxfId="382"/>
    <tableColumn id="37" xr3:uid="{00000000-0010-0000-0D00-000025000000}" name="Объем продаж декабрь" dataDxfId="381"/>
    <tableColumn id="38" xr3:uid="{00000000-0010-0000-0D00-000026000000}" name="GS январь" dataDxfId="380"/>
    <tableColumn id="39" xr3:uid="{00000000-0010-0000-0D00-000027000000}" name="GS февраль" dataDxfId="379"/>
    <tableColumn id="40" xr3:uid="{00000000-0010-0000-0D00-000028000000}" name="GS март" dataDxfId="378"/>
    <tableColumn id="41" xr3:uid="{00000000-0010-0000-0D00-000029000000}" name="GS апрель" dataDxfId="377"/>
    <tableColumn id="42" xr3:uid="{00000000-0010-0000-0D00-00002A000000}" name="GS май" dataDxfId="376"/>
    <tableColumn id="43" xr3:uid="{00000000-0010-0000-0D00-00002B000000}" name="GS июнь" dataDxfId="375"/>
    <tableColumn id="44" xr3:uid="{00000000-0010-0000-0D00-00002C000000}" name="GS июль" dataDxfId="374"/>
    <tableColumn id="45" xr3:uid="{00000000-0010-0000-0D00-00002D000000}" name="GS август" dataDxfId="373"/>
    <tableColumn id="46" xr3:uid="{00000000-0010-0000-0D00-00002E000000}" name="GS сентябрь" dataDxfId="372"/>
    <tableColumn id="47" xr3:uid="{00000000-0010-0000-0D00-00002F000000}" name="GS октябрь" dataDxfId="371"/>
    <tableColumn id="48" xr3:uid="{00000000-0010-0000-0D00-000030000000}" name="GS ноябрь" dataDxfId="370"/>
    <tableColumn id="49" xr3:uid="{00000000-0010-0000-0D00-000031000000}" name="GS декабрь" dataDxfId="369"/>
    <tableColumn id="50" xr3:uid="{00000000-0010-0000-0D00-000032000000}" name="NS Январь" dataDxfId="368"/>
    <tableColumn id="51" xr3:uid="{00000000-0010-0000-0D00-000033000000}" name="NS февраль" dataDxfId="367"/>
    <tableColumn id="52" xr3:uid="{00000000-0010-0000-0D00-000034000000}" name="NS март" dataDxfId="366"/>
    <tableColumn id="53" xr3:uid="{00000000-0010-0000-0D00-000035000000}" name="NS апрель" dataDxfId="365"/>
    <tableColumn id="54" xr3:uid="{00000000-0010-0000-0D00-000036000000}" name="NS май" dataDxfId="364"/>
    <tableColumn id="55" xr3:uid="{00000000-0010-0000-0D00-000037000000}" name="NS июнь" dataDxfId="363"/>
    <tableColumn id="56" xr3:uid="{00000000-0010-0000-0D00-000038000000}" name="NS июль" dataDxfId="362"/>
    <tableColumn id="57" xr3:uid="{00000000-0010-0000-0D00-000039000000}" name="NS август" dataDxfId="361"/>
    <tableColumn id="58" xr3:uid="{00000000-0010-0000-0D00-00003A000000}" name="NS сентябрь" dataDxfId="360"/>
    <tableColumn id="59" xr3:uid="{00000000-0010-0000-0D00-00003B000000}" name="NS октябрь" dataDxfId="359"/>
    <tableColumn id="60" xr3:uid="{00000000-0010-0000-0D00-00003C000000}" name="NS ноябрь" dataDxfId="358"/>
    <tableColumn id="61" xr3:uid="{00000000-0010-0000-0D00-00003D000000}" name="NS декабрь" dataDxfId="357"/>
    <tableColumn id="62" xr3:uid="{00000000-0010-0000-0D00-00003E000000}" name="Promo Price-list январь" dataDxfId="356"/>
    <tableColumn id="63" xr3:uid="{00000000-0010-0000-0D00-00003F000000}" name="Promo Price-list февраль" dataDxfId="355"/>
    <tableColumn id="64" xr3:uid="{00000000-0010-0000-0D00-000040000000}" name="Promo Price-list март" dataDxfId="354"/>
    <tableColumn id="65" xr3:uid="{00000000-0010-0000-0D00-000041000000}" name="Promo Price-list апрель" dataDxfId="353"/>
    <tableColumn id="66" xr3:uid="{00000000-0010-0000-0D00-000042000000}" name="Promo Price-list май" dataDxfId="352"/>
    <tableColumn id="67" xr3:uid="{00000000-0010-0000-0D00-000043000000}" name="Promo Price-list июнь" dataDxfId="351"/>
    <tableColumn id="68" xr3:uid="{00000000-0010-0000-0D00-000044000000}" name="Promo Price-list июль" dataDxfId="350"/>
    <tableColumn id="69" xr3:uid="{00000000-0010-0000-0D00-000045000000}" name="Promo Price-list август" dataDxfId="349"/>
    <tableColumn id="70" xr3:uid="{00000000-0010-0000-0D00-000046000000}" name="Promo Price-list сентябрь" dataDxfId="348"/>
    <tableColumn id="71" xr3:uid="{00000000-0010-0000-0D00-000047000000}" name="Promo Price-list октябрь" dataDxfId="347"/>
    <tableColumn id="72" xr3:uid="{00000000-0010-0000-0D00-000048000000}" name="Promo Price-list ноябрь" dataDxfId="346"/>
    <tableColumn id="73" xr3:uid="{00000000-0010-0000-0D00-000049000000}" name="Promo Price-list декабрь" dataDxfId="345"/>
    <tableColumn id="74" xr3:uid="{00000000-0010-0000-0D00-00004A000000}" name="Promo Объем продаж январь" dataDxfId="344"/>
    <tableColumn id="75" xr3:uid="{00000000-0010-0000-0D00-00004B000000}" name="Promo Объем февраль" dataDxfId="343"/>
    <tableColumn id="76" xr3:uid="{00000000-0010-0000-0D00-00004C000000}" name="Promo Объем март" dataDxfId="342"/>
    <tableColumn id="77" xr3:uid="{00000000-0010-0000-0D00-00004D000000}" name="Promo Объем апрель" dataDxfId="341"/>
    <tableColumn id="78" xr3:uid="{00000000-0010-0000-0D00-00004E000000}" name="Promo Объем май" dataDxfId="340"/>
    <tableColumn id="79" xr3:uid="{00000000-0010-0000-0D00-00004F000000}" name="Promo Объем июнь" dataDxfId="339"/>
    <tableColumn id="80" xr3:uid="{00000000-0010-0000-0D00-000050000000}" name="Promo Объем июль" dataDxfId="338"/>
    <tableColumn id="81" xr3:uid="{00000000-0010-0000-0D00-000051000000}" name="Promo Объем август" dataDxfId="337"/>
    <tableColumn id="82" xr3:uid="{00000000-0010-0000-0D00-000052000000}" name="Promo Объем сентябрь" dataDxfId="336"/>
    <tableColumn id="83" xr3:uid="{00000000-0010-0000-0D00-000053000000}" name="Promo Объем октябрь" dataDxfId="335"/>
    <tableColumn id="84" xr3:uid="{00000000-0010-0000-0D00-000054000000}" name="Promo Объем ноябрь" dataDxfId="334"/>
    <tableColumn id="85" xr3:uid="{00000000-0010-0000-0D00-000055000000}" name="Promo Объем декабрь" dataDxfId="333"/>
    <tableColumn id="86" xr3:uid="{00000000-0010-0000-0D00-000056000000}" name="Promo GS январь" dataDxfId="332"/>
    <tableColumn id="87" xr3:uid="{00000000-0010-0000-0D00-000057000000}" name="Promo GS февраль" dataDxfId="331"/>
    <tableColumn id="88" xr3:uid="{00000000-0010-0000-0D00-000058000000}" name="Promo GS март" dataDxfId="330"/>
    <tableColumn id="89" xr3:uid="{00000000-0010-0000-0D00-000059000000}" name="Promo GS апрель" dataDxfId="329"/>
    <tableColumn id="90" xr3:uid="{00000000-0010-0000-0D00-00005A000000}" name="Promo GS май" dataDxfId="328"/>
    <tableColumn id="91" xr3:uid="{00000000-0010-0000-0D00-00005B000000}" name="Promo GS июнь" dataDxfId="327"/>
    <tableColumn id="92" xr3:uid="{00000000-0010-0000-0D00-00005C000000}" name="Promo GS июль" dataDxfId="326"/>
    <tableColumn id="93" xr3:uid="{00000000-0010-0000-0D00-00005D000000}" name="Promo GS август" dataDxfId="325"/>
    <tableColumn id="94" xr3:uid="{00000000-0010-0000-0D00-00005E000000}" name="Promo GS сентябрь" dataDxfId="324"/>
    <tableColumn id="95" xr3:uid="{00000000-0010-0000-0D00-00005F000000}" name="Promo GS октябрь" dataDxfId="323"/>
    <tableColumn id="96" xr3:uid="{00000000-0010-0000-0D00-000060000000}" name="Promo GS ноябрь" dataDxfId="322"/>
    <tableColumn id="97" xr3:uid="{00000000-0010-0000-0D00-000061000000}" name="Promo GS декабрь" dataDxfId="321"/>
    <tableColumn id="98" xr3:uid="{00000000-0010-0000-0D00-000062000000}" name="Promo NS январь" dataDxfId="320"/>
    <tableColumn id="99" xr3:uid="{00000000-0010-0000-0D00-000063000000}" name="Promo NS февраль" dataDxfId="319"/>
    <tableColumn id="100" xr3:uid="{00000000-0010-0000-0D00-000064000000}" name="Promo NS март" dataDxfId="318"/>
    <tableColumn id="101" xr3:uid="{00000000-0010-0000-0D00-000065000000}" name="Promo NS апрель" dataDxfId="317"/>
    <tableColumn id="102" xr3:uid="{00000000-0010-0000-0D00-000066000000}" name="Promo NS май" dataDxfId="316"/>
    <tableColumn id="103" xr3:uid="{00000000-0010-0000-0D00-000067000000}" name="Promo NS июнь" dataDxfId="315"/>
    <tableColumn id="104" xr3:uid="{00000000-0010-0000-0D00-000068000000}" name="Promo NS июль" dataDxfId="314"/>
    <tableColumn id="105" xr3:uid="{00000000-0010-0000-0D00-000069000000}" name="Promo NS август" dataDxfId="313"/>
    <tableColumn id="106" xr3:uid="{00000000-0010-0000-0D00-00006A000000}" name="Promo NS сентябрь" dataDxfId="312"/>
    <tableColumn id="107" xr3:uid="{00000000-0010-0000-0D00-00006B000000}" name="Promo NS октябрь" dataDxfId="311"/>
    <tableColumn id="108" xr3:uid="{00000000-0010-0000-0D00-00006C000000}" name="Promo NS ноябрь" dataDxfId="310"/>
    <tableColumn id="109" xr3:uid="{00000000-0010-0000-0D00-00006D000000}" name="Promo NS декабрь" dataDxfId="309"/>
    <tableColumn id="110" xr3:uid="{00000000-0010-0000-0D00-00006E000000}" name="GP Value январь" dataDxfId="308"/>
    <tableColumn id="111" xr3:uid="{00000000-0010-0000-0D00-00006F000000}" name="GP Value февраль" dataDxfId="307"/>
    <tableColumn id="112" xr3:uid="{00000000-0010-0000-0D00-000070000000}" name="GP Value март" dataDxfId="306"/>
    <tableColumn id="113" xr3:uid="{00000000-0010-0000-0D00-000071000000}" name="GP Value апрель" dataDxfId="305"/>
    <tableColumn id="114" xr3:uid="{00000000-0010-0000-0D00-000072000000}" name="GP Value май" dataDxfId="304"/>
    <tableColumn id="115" xr3:uid="{00000000-0010-0000-0D00-000073000000}" name="GP Value июнь" dataDxfId="303"/>
    <tableColumn id="116" xr3:uid="{00000000-0010-0000-0D00-000074000000}" name="GP Value июль" dataDxfId="302"/>
    <tableColumn id="117" xr3:uid="{00000000-0010-0000-0D00-000075000000}" name="GP Value август" dataDxfId="301"/>
    <tableColumn id="118" xr3:uid="{00000000-0010-0000-0D00-000076000000}" name="GP Value сентябрь" dataDxfId="300"/>
    <tableColumn id="119" xr3:uid="{00000000-0010-0000-0D00-000077000000}" name="GP Value октябрь" dataDxfId="299"/>
    <tableColumn id="120" xr3:uid="{00000000-0010-0000-0D00-000078000000}" name="GP Value ноябрь" dataDxfId="298"/>
    <tableColumn id="121" xr3:uid="{00000000-0010-0000-0D00-000079000000}" name="GP Value декабрь" dataDxfId="2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6" dataDxfId="295" headerRowCellStyle="Обычный 2" dataCellStyle="Обычный 2">
  <autoFilter ref="A13:V14" xr:uid="{ADF718DD-67AC-4401-B168-AFEE638B048C}"/>
  <tableColumns count="22">
    <tableColumn id="22" xr3:uid="{361E8588-935C-493B-A7CF-935B5D4480B5}" name="Id" dataDxfId="294" dataCellStyle="Обычный 2"/>
    <tableColumn id="1" xr3:uid="{AC1F4D41-C0A8-443D-9E3C-D9C4FF50F830}" name="КАТЕГОРИЯ" dataDxfId="293" dataCellStyle="Обычный 2"/>
    <tableColumn id="2" xr3:uid="{20B689EB-7652-4723-BFAB-8C7C64C8FD7A}" name="Фото продукта" dataDxfId="292" dataCellStyle="Обычный 2"/>
    <tableColumn id="3" xr3:uid="{8821E9F1-B085-4717-B559-CDD126769DA7}" name="Продукт группа - название" dataDxfId="291" dataCellStyle="Обычный 2"/>
    <tableColumn id="4" xr3:uid="{A99D0144-C997-463C-9A1D-9B08CF9140E1}" name="Артикул GARDENA" dataDxfId="290" dataCellStyle="Обычный 2"/>
    <tableColumn id="5" xr3:uid="{ED79FFB3-1BA8-4E97-9A5F-C09EAECD5CB1}" name="Артикул предшествующего продукта (если есть)" dataDxfId="289" dataCellStyle="Обычный 2"/>
    <tableColumn id="6" xr3:uid="{71EF79FE-B1E9-4844-9BB4-A63692EDA3AE}" name="Название" dataDxfId="288" dataCellStyle="Обычный 2"/>
    <tableColumn id="7" xr3:uid="{5A0F710D-9900-48D2-A5A0-EE9A1926CA9F}" name="Описание" dataDxfId="287" dataCellStyle="Обычный 2"/>
    <tableColumn id="8" xr3:uid="{0709C17B-24E7-4283-B7CD-103780E925FD}" name="РРЦ 2020, руб. с НДС" dataDxfId="286" dataCellStyle="Обычный 2"/>
    <tableColumn id="9" xr3:uid="{7346265F-E87E-4F08-A3D6-0027CF43A157}" name="EAN штуки" dataDxfId="285" dataCellStyle="Обычный 2"/>
    <tableColumn id="10" xr3:uid="{2C8CCB7E-EDD1-482F-A1E4-EC04C692D1EA}" name="страна производства" dataDxfId="284" dataCellStyle="Обычный 2"/>
    <tableColumn id="11" xr3:uid="{6995D219-9DF9-4115-8CDC-849E890401E6}" name="единица измерения" dataDxfId="283" dataCellStyle="Обычный 2"/>
    <tableColumn id="12" xr3:uid="{1A1113D4-0FC3-4FC9-8993-94D48C5B7E0B}" name="кол-во в мастер-паке" dataDxfId="282" dataCellStyle="Финансовый 2"/>
    <tableColumn id="13" xr3:uid="{085F48D9-0BB4-48CA-BB0A-E910E6B6C9E8}" name="Вес гросс штуки, финальный" dataDxfId="281" dataCellStyle="Обычный 2"/>
    <tableColumn id="14" xr3:uid="{2834A4E1-0E95-43BB-97C8-392563130CF3}" name="Вес нетто штуки, финальный" dataDxfId="280" dataCellStyle="Обычный 2"/>
    <tableColumn id="15" xr3:uid="{5BEC7C38-B443-4DCB-BE49-1848A79C42F9}" name="Длина упаковки" dataDxfId="279" dataCellStyle="Обычный 2"/>
    <tableColumn id="16" xr3:uid="{7C9AB8E1-B1C6-47E3-9BE8-5A1D1C646B25}" name="Ширина упаковки" dataDxfId="278" dataCellStyle="Обычный 2"/>
    <tableColumn id="17" xr3:uid="{10918133-09A5-4117-B3B1-E785EFE65B4A}" name="Высота упаковки" dataDxfId="277" dataCellStyle="Обычный 2"/>
    <tableColumn id="18" xr3:uid="{DE26A25B-99E8-4A9D-8AFE-A2E1D13A4931}" name="Объем упаковки" dataDxfId="276" dataCellStyle="Обычный 2"/>
    <tableColumn id="19" xr3:uid="{9AF542A1-08A7-49E6-9900-1EB99D7350D1}" name="Кол-во штук на паллете" dataDxfId="275" dataCellStyle="Финансовый 2"/>
    <tableColumn id="20" xr3:uid="{9B215DDF-BCA2-477C-8AFA-BC848C8FF031}" name="Сертификация" dataDxfId="274" dataCellStyle="Обычный 2"/>
    <tableColumn id="21" xr3:uid="{76E684EA-EAE5-44EF-8156-B78DA5E17975}" name="Гарантия" dataDxfId="273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8" totalsRowShown="0" headerRowDxfId="239" dataDxfId="238" tableBorderDxfId="237" headerRowCellStyle="Обычный 2" dataCellStyle="Обычный 2">
  <autoFilter ref="A6:HO8" xr:uid="{42BACFC5-5E64-476B-A3DB-892D30BB8DF2}"/>
  <tableColumns count="223">
    <tableColumn id="214" xr3:uid="{ED363292-9191-4905-92F7-B2A0D9D6DDCB}" name="№" dataDxfId="236" dataCellStyle="Обычный 2"/>
    <tableColumn id="1" xr3:uid="{4545771D-2DE7-4A36-9A9B-05CA9607D752}" name="Артикул" dataDxfId="235" dataCellStyle="Обычный 2"/>
    <tableColumn id="2" xr3:uid="{559CB638-BDA2-4A52-AA4F-7160E63546D4}" name="РРЦ, руб.с НДС" dataDxfId="234" dataCellStyle="Обычный 2"/>
    <tableColumn id="3" xr3:uid="{7D569CF0-F34D-4426-8591-FDEBCF14DE3C}" name="Процент изменения" dataDxfId="233" dataCellStyle="Обычный 2"/>
    <tableColumn id="4" xr3:uid="{1DC3AA0D-D670-4794-8AF1-C04A0A387315}" name="STK 2.5,  Eur" dataDxfId="232" dataCellStyle="Обычный 2"/>
    <tableColumn id="5" xr3:uid="{EE57BC20-AFCE-4EE3-8EDF-7461A2CA0BC6}" name="STK 2.5, руб." dataDxfId="231" dataCellStyle="Обычный 2"/>
    <tableColumn id="6" xr3:uid="{9E61B737-3111-4868-AAD1-89F1AF64D19E}" name="IRP, Eur" dataDxfId="230" dataCellStyle="Обычный 2"/>
    <tableColumn id="7" xr3:uid="{1E5FE8BF-50B0-4274-8735-FDD3DE2A74AB}" name="РРЦ, руб.с НДС2" dataDxfId="229" dataCellStyle="Обычный 2"/>
    <tableColumn id="8" xr3:uid="{68D166DE-1C85-4A99-B4EB-F67E16BF5C59}" name="Индекс IRP" dataDxfId="228" dataCellStyle="Обычный 2"/>
    <tableColumn id="9" xr3:uid="{F6A2BBA5-3D1B-42BB-A99D-100FB259FFF1}" name="DIY price list, руб. без НДС" dataDxfId="227" dataCellStyle="Обычный 2"/>
    <tableColumn id="10" xr3:uid="{A3D06AC1-53DF-47CA-BFF2-88C03E561EC8}" name="Delta, %" dataDxfId="226" dataCellStyle="Обычный 2"/>
    <tableColumn id="11" xr3:uid="{97C7AA4C-785B-49E1-94F1-B25CC649E1D7}" name="2 net цена, руб." dataDxfId="225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24" dataCellStyle="Обычный 2"/>
    <tableColumn id="13" xr3:uid="{70706C25-4209-4C19-981D-B25AB77BD90C}" name="3 net цена, руб." dataDxfId="223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22" dataCellStyle="Обычный 2"/>
    <tableColumn id="15" xr3:uid="{2813B571-CE41-4B60-B0C6-90F21E18F8CB}" name="GS, руб." dataDxfId="221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20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19" dataCellStyle="Обычный 2"/>
    <tableColumn id="18" xr3:uid="{3C62EFF9-B5FA-4914-96F9-EFAAD5645B9F}" name="GP value, руб." dataDxfId="218" dataCellStyle="Обычный 2"/>
    <tableColumn id="19" xr3:uid="{A42219DF-ACAC-4333-93B1-C63C5CF7817B}" name="GP, %" dataDxfId="217" dataCellStyle="Обычный 2"/>
    <tableColumn id="20" xr3:uid="{4470B48C-0BEC-4B12-989F-23716295C070}" name="Transfer цена, руб." dataDxfId="216" dataCellStyle="Обычный 2"/>
    <tableColumn id="21" xr3:uid="{40BBCB9C-8908-41FB-B7AE-3FE5EA62DDE2}" name="ИТОГО Прогноз за год, шт. " dataDxfId="215" dataCellStyle="Обычный 2"/>
    <tableColumn id="22" xr3:uid="{93363778-B12D-444A-A3EE-AD48320856EE}" name="ИТОГО Прогноз январь, шт." dataDxfId="214" dataCellStyle="Обычный 2"/>
    <tableColumn id="23" xr3:uid="{908E10D2-A767-4E2C-AF95-059979DCC14F}" name="ИТОГО Прогноз февраль, шт." dataDxfId="213" dataCellStyle="Обычный 2"/>
    <tableColumn id="24" xr3:uid="{46961975-0E16-49DF-9A93-F9935DD2FBD3}" name="ИТОГО Прогноз март, шт." dataDxfId="212" dataCellStyle="Обычный 2"/>
    <tableColumn id="25" xr3:uid="{BA8488E0-733B-405A-A6AD-229D98321F57}" name="ИТОГО Прогноз апрель, шт." dataDxfId="211" dataCellStyle="Обычный 2"/>
    <tableColumn id="26" xr3:uid="{18260B4F-B440-459B-A635-92661BD0DA3A}" name="ИТОГО Прогноз май, шт." dataDxfId="210" dataCellStyle="Обычный 2"/>
    <tableColumn id="27" xr3:uid="{49D181C0-3DCE-4EA3-B4FD-4BC1814A2E37}" name="ИТОГО Прогноз июнь, шт." dataDxfId="209" dataCellStyle="Обычный 2"/>
    <tableColumn id="28" xr3:uid="{2E7D2C3C-48DF-4C94-B570-077067A3F9A6}" name="ИТОГО Прогноз июль, шт." dataDxfId="208" dataCellStyle="Обычный 2"/>
    <tableColumn id="29" xr3:uid="{2847D38F-2B96-4DAD-B1E0-0399B72CA62E}" name="ИТОГО Прогноз август, шт." dataDxfId="207" dataCellStyle="Обычный 2"/>
    <tableColumn id="30" xr3:uid="{27D0291D-228A-4CA3-AB32-8089F9AAAC19}" name="ИТОГО Прогноз сентрябрь, шт." dataDxfId="206" dataCellStyle="Обычный 2"/>
    <tableColumn id="31" xr3:uid="{5A8E85B3-CAE9-4B35-B9EA-737FCC96156C}" name="ИТОГО Прогноз октябрь, шт." dataDxfId="205" dataCellStyle="Обычный 2"/>
    <tableColumn id="32" xr3:uid="{DF850F56-F718-4791-AB77-F6AB637240EE}" name="ИТОГО Прогноз ноябрь, шт." dataDxfId="204" dataCellStyle="Обычный 2"/>
    <tableColumn id="33" xr3:uid="{DEFEFE78-A0FA-4457-8E8E-F1BD5D7517F1}" name="ИТОГО Прогноз декабрь, шт." dataDxfId="203" dataCellStyle="Обычный 2"/>
    <tableColumn id="34" xr3:uid="{03678C77-B1BD-4416-8928-6B0DDFD94F86}" name="ИТОГО GS за год, руб." dataDxfId="202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01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00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199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198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197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196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195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194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рябрь, шт." dataDxfId="193" dataCellStyle="Обычный 2">
      <calculatedColumnFormula>IFERROR(Планирование_новый_год[[#This Row],[GS сентрябрь, руб.]],"")</calculatedColumnFormula>
    </tableColumn>
    <tableColumn id="44" xr3:uid="{50F7DDF4-277A-4D3C-B1B5-D855ADC9B928}" name="ИТОГО GS октябрь, шт." dataDxfId="192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191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190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189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188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187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186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185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184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183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182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181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рябрь, шт." dataDxfId="180" dataCellStyle="Обычный 2">
      <calculatedColumnFormula>IFERROR(Планирование_новый_год[[#This Row],[NS сентрябрь, руб.]],"")</calculatedColumnFormula>
    </tableColumn>
    <tableColumn id="56" xr3:uid="{A619A9F2-29C1-4568-B8B5-7AF0757568B5}" name="ИТОГО NS октябрь, шт." dataDxfId="179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178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177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176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175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174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173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172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71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70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69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68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рябрь, руб." dataDxfId="167" dataCellStyle="Обычный 2">
      <calculatedColumnFormula>IFERROR(Планирование_новый_год[[#This Row],[ИТОГО Прогноз сентрябрь, шт.]]*Планирование_новый_год[[#This Row],[STK 2.5, руб.]],"")</calculatedColumnFormula>
    </tableColumn>
    <tableColumn id="68" xr3:uid="{6C7314D7-062A-4B94-A7AF-1DD87D0CB235}" name="ИТОГО LC октябрь, руб." dataDxfId="166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65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64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63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62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61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60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59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58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57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56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55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рябрь, руб." dataDxfId="154" dataCellStyle="Обычный 2">
      <calculatedColumnFormula>IFERROR(Планирование_новый_год[[#This Row],[GP, %]]/Планирование_новый_год[[#This Row],[ИТОГО NS сентрябрь, шт.]],"")</calculatedColumnFormula>
    </tableColumn>
    <tableColumn id="81" xr3:uid="{7A1CD32C-E00F-46B3-AB1C-6E87C8996EB1}" name="ИТОГО GP value октябрь, руб." dataDxfId="153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52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51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50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49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48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47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46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45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44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43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42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рябрь" dataDxfId="141" dataCellStyle="Обычный 2">
      <calculatedColumnFormula>IFERROR(1-Планирование_новый_год[[#This Row],[LC, руб.]]/Планирование_новый_год[[#This Row],[ИТОГО NS сентрябрь, шт.]],"")</calculatedColumnFormula>
    </tableColumn>
    <tableColumn id="93" xr3:uid="{269D5AA7-C0CA-43DF-A58F-6398B2F52C53}" name="ИТОГО GP % октябрь" dataDxfId="140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39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38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37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36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35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34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33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32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31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30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29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рябрь" dataDxfId="128" dataCellStyle="Обычный 2">
      <calculatedColumnFormula>IFERROR(Планирование_новый_год[[#This Row],[ИТОГО GS сентрябрь, шт.]]/Планирование_новый_год[[#This Row],[ИТОГО Прогноз сентрябрь, шт.]],"")</calculatedColumnFormula>
    </tableColumn>
    <tableColumn id="105" xr3:uid="{5FA2E3B0-BC4D-4654-83AC-CE8C95E2B453}" name="ИТОГО 2 net цена октябрь" dataDxfId="127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26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25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24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23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22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21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20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19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18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17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16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рябрь" dataDxfId="115" dataCellStyle="Обычный 2">
      <calculatedColumnFormula>IFERROR(Планирование_новый_год[[#This Row],[ИТОГО NS сентрябрь, шт.]]/Планирование_новый_год[[#This Row],[ИТОГО Прогноз сентрябрь, шт.]],"")</calculatedColumnFormula>
    </tableColumn>
    <tableColumn id="117" xr3:uid="{4D6F8372-E0B1-4F55-9C50-EFA57FA4E71F}" name="ИТОГО 3 net цена октябрь" dataDxfId="114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13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12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11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10" dataCellStyle="Обычный 2"/>
    <tableColumn id="121" xr3:uid="{AEBFF562-F492-4939-AD61-FC704C42BB1A}" name="Прогноз за год, шт. " dataDxfId="109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08" dataCellStyle="Обычный 2"/>
    <tableColumn id="123" xr3:uid="{2839AD92-79C7-4E71-86D9-300214B21A9F}" name="Прогноз февраль, шт." dataDxfId="107" dataCellStyle="Обычный 2"/>
    <tableColumn id="124" xr3:uid="{D42301EC-9C8F-4BAE-9D6D-E85D88213C3D}" name="Прогноз март, шт." dataDxfId="106" dataCellStyle="Обычный 2"/>
    <tableColumn id="125" xr3:uid="{70D21021-AF36-448A-9C16-802308CF3A04}" name="Прогноз апрель, шт." dataDxfId="105" dataCellStyle="Обычный 2"/>
    <tableColumn id="126" xr3:uid="{287963E4-1476-42B8-9811-E72429AC5302}" name="Прогноз май, шт." dataDxfId="104" dataCellStyle="Обычный 2"/>
    <tableColumn id="127" xr3:uid="{E05A0901-8206-4D05-A43B-AC909AB7A0DA}" name="Прогноз июнь, шт." dataDxfId="103" dataCellStyle="Обычный 2"/>
    <tableColumn id="128" xr3:uid="{B898803E-8C15-43CB-81B5-B5D48EAEA11C}" name="Прогноз июль, шт." dataDxfId="102" dataCellStyle="Обычный 2"/>
    <tableColumn id="129" xr3:uid="{91354A95-A1CB-444F-97FC-F4DD6D08B671}" name="Прогноз август, шт." dataDxfId="101" dataCellStyle="Обычный 2"/>
    <tableColumn id="130" xr3:uid="{2F35C430-D3FE-496C-A9F9-8092F794A4A3}" name="Прогноз сентрябрь, шт." dataDxfId="100" dataCellStyle="Обычный 2"/>
    <tableColumn id="131" xr3:uid="{5642E94C-9632-4B78-B204-7E2258E25461}" name="Прогноз октябрь, шт." dataDxfId="99" dataCellStyle="Обычный 2"/>
    <tableColumn id="132" xr3:uid="{0FD7506A-FCE6-457F-B536-83CFBA0D544B}" name="Прогноз ноябрь, шт." dataDxfId="98" dataCellStyle="Обычный 2"/>
    <tableColumn id="133" xr3:uid="{B9005289-3DFC-4152-9FAE-1A46A1FD427B}" name="Прогноз декабрь, шт." dataDxfId="97" dataCellStyle="Обычный 2"/>
    <tableColumn id="134" xr3:uid="{34CCD620-1AE3-43AA-B1CA-928C73F0C342}" name="Price list цена, руб.2" dataDxfId="96" dataCellStyle="Обычный 2"/>
    <tableColumn id="135" xr3:uid="{18DE723F-7EAE-46E1-BD94-23DDFE848850}" name="Отличие" dataDxfId="95" dataCellStyle="Обычный 2"/>
    <tableColumn id="136" xr3:uid="{07ED3DCB-598E-4755-9D06-B55F6E64C6A8}" name="Скидка от РРЦ, %6" dataDxfId="94" dataCellStyle="Обычный 2"/>
    <tableColumn id="137" xr3:uid="{7745B9F0-FDA3-438D-9CB3-26704906639D}" name="Прогноз за год, шт." dataDxfId="93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92" dataCellStyle="Обычный 2"/>
    <tableColumn id="139" xr3:uid="{8F918225-74A1-40BA-9D1A-68D1E9052381}" name="Прогноз февраль, шт.2" dataDxfId="91" dataCellStyle="Обычный 2"/>
    <tableColumn id="140" xr3:uid="{FB441A4E-5B99-442C-9DF0-5BF7A912AA26}" name="Прогноз март, шт.2" dataDxfId="90" dataCellStyle="Обычный 2"/>
    <tableColumn id="141" xr3:uid="{1D70896F-B896-424A-908E-EB7EE2ED4E4C}" name="Прогноз апрель, шт.2" dataDxfId="89" dataCellStyle="Обычный 2"/>
    <tableColumn id="142" xr3:uid="{1F5F06C9-4AD9-4A32-8F58-B3CC863077A3}" name="Прогноз май, шт.2" dataDxfId="88" dataCellStyle="Обычный 2"/>
    <tableColumn id="143" xr3:uid="{D57F2ED5-3913-4AF3-BE27-B6219DBA160C}" name="Прогноз июнь, шт.2" dataDxfId="87" dataCellStyle="Обычный 2"/>
    <tableColumn id="144" xr3:uid="{C8D040E0-B2C3-41D6-80D8-01EA4F15331B}" name="Прогноз июль, шт.2" dataDxfId="86" dataCellStyle="Обычный 2"/>
    <tableColumn id="145" xr3:uid="{E09D2FAF-B4FE-466A-8EE0-9177DE92B8B0}" name="Прогноз август, шт.2" dataDxfId="85" dataCellStyle="Обычный 2"/>
    <tableColumn id="146" xr3:uid="{B8CAD14D-F7C2-46BE-9BD0-D48769055988}" name="Прогноз сентрябрь, шт.2" dataDxfId="84" dataCellStyle="Обычный 2"/>
    <tableColumn id="147" xr3:uid="{3A858A45-F298-49DA-93A0-FA8D96C940A3}" name="Прогноз октябрь, шт.2" dataDxfId="83" dataCellStyle="Обычный 2"/>
    <tableColumn id="148" xr3:uid="{A9A047C5-3BA3-4C24-BAA6-CF870EB4EB1D}" name="Прогноз ноябрь, шт.2" dataDxfId="82" dataCellStyle="Обычный 2"/>
    <tableColumn id="149" xr3:uid="{C0C91EAC-DC10-4FB4-AF3C-C5CB3C52F470}" name="Прогноз декабрь, шт.2" dataDxfId="81" dataCellStyle="Обычный 2"/>
    <tableColumn id="150" xr3:uid="{95720B67-BEFB-46F9-9D7A-EACBE0C27803}" name="GS за год, руб." dataDxfId="80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79" dataCellStyle="Обычный 2">
      <calculatedColumnFormula>IFERROR(Планирование_новый_год[[#This Row],[Price list цена, руб.]]*Планирование_новый_год[[#This Row],[Прогноз январь, шт.]],"")</calculatedColumnFormula>
    </tableColumn>
    <tableColumn id="152" xr3:uid="{B154345C-3FA0-4C0F-9F21-B63FAA764159}" name="GS февраль, руб." dataDxfId="78" dataCellStyle="Обычный 2">
      <calculatedColumnFormula>IFERROR(Планирование_новый_год[[#This Row],[Price list цена, руб.]]*Планирование_новый_год[[#This Row],[Прогноз февраль, шт.]],"")</calculatedColumnFormula>
    </tableColumn>
    <tableColumn id="153" xr3:uid="{047FCAB3-68C1-4141-BEB6-1F17D576B519}" name="GS март, руб." dataDxfId="77" dataCellStyle="Обычный 2">
      <calculatedColumnFormula>IFERROR(Планирование_новый_год[[#This Row],[Price list цена, руб.]]*Планирование_новый_год[[#This Row],[Прогноз март, шт.]],"")</calculatedColumnFormula>
    </tableColumn>
    <tableColumn id="154" xr3:uid="{144321B0-B9C9-4251-BC6E-05C88CBA678E}" name="GS апрель, руб." dataDxfId="76" dataCellStyle="Обычный 2">
      <calculatedColumnFormula>IFERROR(Планирование_новый_год[[#This Row],[Price list цена, руб.]]*Планирование_новый_год[[#This Row],[Прогноз апрель, шт.]],"")</calculatedColumnFormula>
    </tableColumn>
    <tableColumn id="155" xr3:uid="{282D38BD-530D-413E-B5BC-88C70FA35407}" name="GS май, руб." dataDxfId="75" dataCellStyle="Обычный 2">
      <calculatedColumnFormula>IFERROR(Планирование_новый_год[[#This Row],[Price list цена, руб.]]*Планирование_новый_год[[#This Row],[Прогноз май, шт.]],"")</calculatedColumnFormula>
    </tableColumn>
    <tableColumn id="156" xr3:uid="{39A60F2C-3CE1-4BD0-8204-F53CE0263C23}" name="GS июнь, руб." dataDxfId="74" dataCellStyle="Обычный 2">
      <calculatedColumnFormula>IFERROR(Планирование_новый_год[[#This Row],[Price list цена, руб.]]*Планирование_новый_год[[#This Row],[Прогноз июнь, шт.]],"")</calculatedColumnFormula>
    </tableColumn>
    <tableColumn id="157" xr3:uid="{A6D6278E-A5A9-44B9-865B-87A7FDE62A61}" name="GS июль, руб." dataDxfId="73" dataCellStyle="Обычный 2">
      <calculatedColumnFormula>IFERROR(Планирование_новый_год[[#This Row],[Price list цена, руб.]]*Планирование_новый_год[[#This Row],[Прогноз июль, шт.]],"")</calculatedColumnFormula>
    </tableColumn>
    <tableColumn id="158" xr3:uid="{7539F5C4-7C22-4F45-BCFF-6302D7BD2189}" name="GS август, руб." dataDxfId="72" dataCellStyle="Обычный 2">
      <calculatedColumnFormula>IFERROR(Планирование_новый_год[[#This Row],[Price list цена, руб.]]*Планирование_новый_год[[#This Row],[Прогноз август, шт.]],"")</calculatedColumnFormula>
    </tableColumn>
    <tableColumn id="159" xr3:uid="{8D652B08-AEFA-48ED-A4F8-C6C181C8746E}" name="GS сентрябрь, руб." dataDxfId="71" dataCellStyle="Обычный 2">
      <calculatedColumnFormula>IFERROR(Планирование_новый_год[[#This Row],[Price list цена, руб.]]*Планирование_новый_год[[#This Row],[Прогноз сентрябрь, шт.]],"")</calculatedColumnFormula>
    </tableColumn>
    <tableColumn id="160" xr3:uid="{5F7F7B9E-B71C-4899-A7D9-61B47EB77DCC}" name="GS октябрь, руб." dataDxfId="70" dataCellStyle="Обычный 2">
      <calculatedColumnFormula>IFERROR(Планирование_новый_год[[#This Row],[Price list цена, руб.]]*Планирование_новый_год[[#This Row],[Прогноз октябрь, шт.]],"")</calculatedColumnFormula>
    </tableColumn>
    <tableColumn id="217" xr3:uid="{D3A908E8-1569-49F8-B631-15C0F5978FCF}" name="GS ноябрь, руб." dataDxfId="69" dataCellStyle="Обычный 2">
      <calculatedColumnFormula>IFERROR(Планирование_новый_год[[#This Row],[Price list цена, руб.]]*Планирование_новый_год[[#This Row],[Прогноз ноябрь, шт.]],"")</calculatedColumnFormula>
    </tableColumn>
    <tableColumn id="161" xr3:uid="{206E31E0-1F5E-42FE-A4FE-47A5CBD7A439}" name="GS декабрь, руб." dataDxfId="68" dataCellStyle="Обычный 2">
      <calculatedColumnFormula>IFERROR(Планирование_новый_год[[#This Row],[Price list цена, руб.]]*Планирование_новый_год[[#This Row],[Прогноз декабрь, шт.]],"")</calculatedColumnFormula>
    </tableColumn>
    <tableColumn id="162" xr3:uid="{AFB09ECD-C050-4EA7-BD09-6BB5C6A3140F}" name="NS за год, руб." dataDxfId="67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66" dataCellStyle="Обычный 2">
      <calculatedColumnFormula>IFERROR((Планирование_новый_год[[#This Row],[Price list цена, руб.]]*Планирование_новый_год[[#This Row],[Прогноз январь, шт.]])*(1-$V$2),"")</calculatedColumnFormula>
    </tableColumn>
    <tableColumn id="164" xr3:uid="{D54B5704-8F04-4DF2-8F35-91A35DFB62AF}" name="NS февраль, руб." dataDxfId="65" dataCellStyle="Обычный 2">
      <calculatedColumnFormula>IFERROR((Планирование_новый_год[[#This Row],[Price list цена, руб.]]*Планирование_новый_год[[#This Row],[Прогноз февраль, шт.]])*(1-$V$2),"")</calculatedColumnFormula>
    </tableColumn>
    <tableColumn id="165" xr3:uid="{1347DE14-4422-4B27-862F-D4B866C3E2A9}" name="NS март, руб." dataDxfId="64" dataCellStyle="Обычный 2">
      <calculatedColumnFormula>IFERROR((Планирование_новый_год[[#This Row],[Price list цена, руб.]]*Планирование_новый_год[[#This Row],[Прогноз март, шт.]])*(1-$V$2),"")</calculatedColumnFormula>
    </tableColumn>
    <tableColumn id="166" xr3:uid="{A52CB30A-6520-493C-9C46-DFCACC9E4CFF}" name="NS апрель, руб." dataDxfId="63" dataCellStyle="Обычный 2">
      <calculatedColumnFormula>IFERROR((Планирование_новый_год[[#This Row],[Price list цена, руб.]]*Планирование_новый_год[[#This Row],[Прогноз апрель, шт.]])*(1-$V$2),"")</calculatedColumnFormula>
    </tableColumn>
    <tableColumn id="167" xr3:uid="{4FACDA9F-2874-40F2-8773-8D83A50FB1F6}" name="NS май, руб." dataDxfId="62" dataCellStyle="Обычный 2">
      <calculatedColumnFormula>IFERROR((Планирование_новый_год[[#This Row],[Price list цена, руб.]]*Планирование_новый_год[[#This Row],[Прогноз май, шт.]])*(1-$V$2),"")</calculatedColumnFormula>
    </tableColumn>
    <tableColumn id="168" xr3:uid="{4B4794F3-CE7B-49BF-B94B-C7017A225C3D}" name="NS июнь, руб." dataDxfId="61" dataCellStyle="Обычный 2">
      <calculatedColumnFormula>IFERROR((Планирование_новый_год[[#This Row],[Price list цена, руб.]]*Планирование_новый_год[[#This Row],[Прогноз июнь, шт.]])*(1-$V$2),"")</calculatedColumnFormula>
    </tableColumn>
    <tableColumn id="169" xr3:uid="{DC7EED99-8803-4798-B203-076E3BD5E593}" name="NS июль, руб." dataDxfId="60" dataCellStyle="Обычный 2">
      <calculatedColumnFormula>IFERROR((Планирование_новый_год[[#This Row],[Price list цена, руб.]]*Планирование_новый_год[[#This Row],[Прогноз июль, шт.]])*(1-$V$2),"")</calculatedColumnFormula>
    </tableColumn>
    <tableColumn id="170" xr3:uid="{C1514E80-3555-441E-8C30-9AF8AFAE9A8A}" name="NS август, руб." dataDxfId="59" dataCellStyle="Обычный 2">
      <calculatedColumnFormula>IFERROR((Планирование_новый_год[[#This Row],[Price list цена, руб.]]*Планирование_новый_год[[#This Row],[Прогноз август, шт.]])*(1-$V$2),"")</calculatedColumnFormula>
    </tableColumn>
    <tableColumn id="171" xr3:uid="{7544C462-E994-4D9D-BA94-942FF60B7050}" name="NS сентрябрь, руб." dataDxfId="58" dataCellStyle="Обычный 2">
      <calculatedColumnFormula>IFERROR((Планирование_новый_год[[#This Row],[Price list цена, руб.]]*Планирование_новый_год[[#This Row],[Прогноз сентрябрь, шт.]])*(1-$V$2),"")</calculatedColumnFormula>
    </tableColumn>
    <tableColumn id="172" xr3:uid="{3B004F10-4B0A-42A5-B230-BF575CDE7DDC}" name="NS октябрь, руб." dataDxfId="57" dataCellStyle="Обычный 2">
      <calculatedColumnFormula>IFERROR((Планирование_новый_год[[#This Row],[Price list цена, руб.]]*Планирование_новый_год[[#This Row],[Прогноз октябрь, шт.]])*(1-$V$2),"")</calculatedColumnFormula>
    </tableColumn>
    <tableColumn id="173" xr3:uid="{1F873C73-8E9D-44B4-98C1-6F3B641C65A8}" name="NS ноябрь, руб." dataDxfId="56" dataCellStyle="Обычный 2">
      <calculatedColumnFormula>IFERROR((Планирование_новый_год[[#This Row],[Price list цена, руб.]]*Планирование_новый_год[[#This Row],[Прогноз ноябрь, шт.]])*(1-$V$2),"")</calculatedColumnFormula>
    </tableColumn>
    <tableColumn id="174" xr3:uid="{7975EF04-71E5-4B54-99CD-904D7CBBDB3C}" name="NS декабрь, шт." dataDxfId="55" dataCellStyle="Обычный 2">
      <calculatedColumnFormula>IFERROR((Планирование_новый_год[[#This Row],[Price list цена, руб.]]*Планирование_новый_год[[#This Row],[Прогноз декабрь, шт.]])*(1-$V$2),"")</calculatedColumnFormula>
    </tableColumn>
    <tableColumn id="175" xr3:uid="{F1CF01AA-9991-48AF-A677-74B1846236D2}" name="Промо цена, руб." dataDxfId="54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53" dataCellStyle="Обычный 2"/>
    <tableColumn id="177" xr3:uid="{D39B0F7F-FD54-4EAC-A3A5-894EB33CADE4}" name="Промо прогноз за год, шт. " dataDxfId="52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51" dataCellStyle="Обычный 2"/>
    <tableColumn id="179" xr3:uid="{0F88930D-A57D-47EF-AE42-9DFAF94D17BE}" name="Промо прогноз февраль, шт." dataDxfId="50" dataCellStyle="Обычный 2"/>
    <tableColumn id="180" xr3:uid="{C945DC34-6A08-4C5D-A199-143506BF490B}" name="Промо прогноз март, шт." dataDxfId="49" dataCellStyle="Обычный 2"/>
    <tableColumn id="181" xr3:uid="{6661CDAD-6FDA-493A-867A-C46B8CA9B709}" name="Промо прогноз апрель, шт." dataDxfId="48" dataCellStyle="Обычный 2"/>
    <tableColumn id="182" xr3:uid="{F8340B39-63B5-4596-A24E-DA8929E9C81D}" name="Промо прогноз май, шт." dataDxfId="47" dataCellStyle="Обычный 2"/>
    <tableColumn id="183" xr3:uid="{66F0D4F8-0ABB-42EE-8CB1-FEF1BE84D9F0}" name="Промо прогноз июнь, шт." dataDxfId="46" dataCellStyle="Обычный 2"/>
    <tableColumn id="184" xr3:uid="{6E84C991-4323-493F-B846-129CAE7AE021}" name="Промо прогноз июль, шт." dataDxfId="45" dataCellStyle="Обычный 2"/>
    <tableColumn id="185" xr3:uid="{E503C206-2D69-4EA7-B94D-4F8146B5B91F}" name="Промо прогноз август, шт." dataDxfId="44" dataCellStyle="Обычный 2"/>
    <tableColumn id="186" xr3:uid="{7CBFEC54-C246-420A-8A2E-8F940D85414B}" name="Промо прогноз сентрябрь, шт." dataDxfId="43" dataCellStyle="Обычный 2"/>
    <tableColumn id="187" xr3:uid="{DA64A246-B583-47DF-87C4-DD4C3D934623}" name="Промо прогноз октябрь, шт." dataDxfId="42" dataCellStyle="Обычный 2"/>
    <tableColumn id="188" xr3:uid="{EFA6D77C-0A52-48C3-9325-6A0345C55136}" name="Промо прогноз ноябрь, шт." dataDxfId="41" dataCellStyle="Обычный 2"/>
    <tableColumn id="189" xr3:uid="{9ECDA3F6-5006-4D02-921F-BBF7A4430342}" name="Промо прогноз декабрь, шт." dataDxfId="40" dataCellStyle="Обычный 2"/>
    <tableColumn id="190" xr3:uid="{2E9B801B-4FA2-4A70-B686-F55613792C7E}" name="Промо GS за год, руб." dataDxfId="39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38" dataCellStyle="Обычный 2">
      <calculatedColumnFormula>IFERROR(Планирование_новый_год[[#This Row],[Промо прогноз январь, шт.]]*Планирование_новый_год[[#This Row],[Промо цена, руб.]],"")</calculatedColumnFormula>
    </tableColumn>
    <tableColumn id="192" xr3:uid="{27E1950D-DEDD-42CB-8B11-530BFB23DA7B}" name="Промо GS февраль, руб." dataDxfId="37" dataCellStyle="Обычный 2">
      <calculatedColumnFormula>IFERROR(Планирование_новый_год[[#This Row],[Промо прогноз февраль, шт.]]*Планирование_новый_год[[#This Row],[Промо цена, руб.]],"")</calculatedColumnFormula>
    </tableColumn>
    <tableColumn id="193" xr3:uid="{157C481E-E786-42F1-A5E3-C518C3878114}" name="Промо GS март, руб." dataDxfId="36" dataCellStyle="Обычный 2">
      <calculatedColumnFormula>IFERROR(Планирование_новый_год[[#This Row],[Промо прогноз март, шт.]]*Планирование_новый_год[[#This Row],[Промо цена, руб.]],"")</calculatedColumnFormula>
    </tableColumn>
    <tableColumn id="194" xr3:uid="{2D7AB503-6E7C-47A0-A13C-95E44A53E45F}" name="Промо GS апрель, руб." dataDxfId="35" dataCellStyle="Обычный 2">
      <calculatedColumnFormula>IFERROR(Планирование_новый_год[[#This Row],[Промо прогноз апрель, шт.]]*Планирование_новый_год[[#This Row],[Промо цена, руб.]],"")</calculatedColumnFormula>
    </tableColumn>
    <tableColumn id="195" xr3:uid="{5EEBE0D8-485D-44E6-AB1A-21BC6D54C67C}" name="Промо GS май, руб." dataDxfId="34" dataCellStyle="Обычный 2">
      <calculatedColumnFormula>IFERROR(Планирование_новый_год[[#This Row],[Промо прогноз май, шт.]]*Планирование_новый_год[[#This Row],[Промо цена, руб.]],"")</calculatedColumnFormula>
    </tableColumn>
    <tableColumn id="196" xr3:uid="{ECA30F18-8263-4C20-9898-F58F3B4C0C61}" name="Промо GS июнь, руб." dataDxfId="33" dataCellStyle="Обычный 2">
      <calculatedColumnFormula>IFERROR(Планирование_новый_год[[#This Row],[Промо прогноз июнь, шт.]]*Планирование_новый_год[[#This Row],[Промо цена, руб.]],"")</calculatedColumnFormula>
    </tableColumn>
    <tableColumn id="197" xr3:uid="{C0DA0FC5-FBEB-45F6-A4CD-BCDA7E3200B0}" name="Промо GS июль, руб." dataDxfId="32" dataCellStyle="Обычный 2">
      <calculatedColumnFormula>IFERROR(Планирование_новый_год[[#This Row],[Промо прогноз июль, шт.]]*Планирование_новый_год[[#This Row],[Промо цена, руб.]],"")</calculatedColumnFormula>
    </tableColumn>
    <tableColumn id="198" xr3:uid="{B3915587-754B-4135-B1E8-8145147CE2C7}" name="Промо GS август, руб." dataDxfId="31" dataCellStyle="Обычный 2">
      <calculatedColumnFormula>IFERROR(Планирование_новый_год[[#This Row],[Промо прогноз август, шт.]]*Планирование_новый_год[[#This Row],[Промо цена, руб.]],"")</calculatedColumnFormula>
    </tableColumn>
    <tableColumn id="199" xr3:uid="{D17DE2C7-DC0C-4950-A166-9025469D6D65}" name="Промо GS сентрябрь, руб." dataDxfId="30" dataCellStyle="Обычный 2">
      <calculatedColumnFormula>IFERROR(Планирование_новый_год[[#This Row],[Промо прогноз сентрябрь, шт.]]*Планирование_новый_год[[#This Row],[Промо цена, руб.]],"")</calculatedColumnFormula>
    </tableColumn>
    <tableColumn id="200" xr3:uid="{2B2AE1C2-7433-48B7-BA08-11D2F0620A1D}" name="Промо GS октябрь, руб." dataDxfId="29" dataCellStyle="Обычный 2">
      <calculatedColumnFormula>IFERROR(Планирование_новый_год[[#This Row],[Промо прогноз октябрь, шт.]]*Планирование_новый_год[[#This Row],[Промо цена, руб.]],"")</calculatedColumnFormula>
    </tableColumn>
    <tableColumn id="216" xr3:uid="{354BFC04-1A0F-4B87-8627-44410ED6D43E}" name="Промо GS ноябрь, руб." dataDxfId="28" dataCellStyle="Обычный 2">
      <calculatedColumnFormula>IFERROR(Планирование_новый_год[[#This Row],[Промо прогноз ноябрь, шт.]]*Планирование_новый_год[[#This Row],[Промо цена, руб.]],"")</calculatedColumnFormula>
    </tableColumn>
    <tableColumn id="201" xr3:uid="{9AC442F2-2998-4CAB-AAE7-2B1A21693F5A}" name="Промо GS декабрь, руб." dataDxfId="27" dataCellStyle="Обычный 2">
      <calculatedColumnFormula>IFERROR(Планирование_новый_год[[#This Row],[Промо прогноз декабрь, шт.]]*Планирование_новый_год[[#This Row],[Промо цена, руб.]],"")</calculatedColumnFormula>
    </tableColumn>
    <tableColumn id="202" xr3:uid="{DAFF80EF-3813-4B72-B3F7-2CAA028854D6}" name="Промо NS за год, руб." dataDxfId="26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25" dataCellStyle="Обычный 2">
      <calculatedColumnFormula>IFERROR(Планирование_новый_год[[#This Row],[3 net цена, руб.]]*Планирование_новый_год[[#This Row],[Промо прогноз январь, шт.]]*(1-$V$2),"")</calculatedColumnFormula>
    </tableColumn>
    <tableColumn id="204" xr3:uid="{35E3D396-28F4-413D-B2B2-0E2BB0585244}" name="Промо NS февраль, руб." dataDxfId="24" dataCellStyle="Обычный 2">
      <calculatedColumnFormula>IFERROR(Планирование_новый_год[[#This Row],[3 net цена, руб.]]*Планирование_новый_год[[#This Row],[Промо прогноз февраль, шт.]]*(1-$V$2),"")</calculatedColumnFormula>
    </tableColumn>
    <tableColumn id="205" xr3:uid="{4F318F4D-E885-4D9C-9D9F-CF0A3C2C6BA2}" name="Промо NS март, руб." dataDxfId="23" dataCellStyle="Обычный 2">
      <calculatedColumnFormula>IFERROR(Планирование_новый_год[[#This Row],[3 net цена, руб.]]*Планирование_новый_год[[#This Row],[Промо прогноз март, шт.]]*(1-$V$2),"")</calculatedColumnFormula>
    </tableColumn>
    <tableColumn id="206" xr3:uid="{99B1517D-168F-4186-89B6-63BF7A239C96}" name="Промо NS апрель, руб." dataDxfId="22" dataCellStyle="Обычный 2">
      <calculatedColumnFormula>IFERROR(Планирование_новый_год[[#This Row],[3 net цена, руб.]]*Планирование_новый_год[[#This Row],[Промо прогноз апрель, шт.]]*(1-$V$2),"")</calculatedColumnFormula>
    </tableColumn>
    <tableColumn id="207" xr3:uid="{DBBF432E-D647-43CC-A714-38C9901F1894}" name="Промо NS май, руб." dataDxfId="21" dataCellStyle="Обычный 2">
      <calculatedColumnFormula>IFERROR(Планирование_новый_год[[#This Row],[3 net цена, руб.]]*Планирование_новый_год[[#This Row],[Промо прогноз май, шт.]]*(1-$V$2),"")</calculatedColumnFormula>
    </tableColumn>
    <tableColumn id="208" xr3:uid="{93A08434-326F-4361-BE56-4A70696F5830}" name="Промо NS июнь, руб." dataDxfId="20" dataCellStyle="Обычный 2">
      <calculatedColumnFormula>IFERROR(Планирование_новый_год[[#This Row],[3 net цена, руб.]]*Планирование_новый_год[[#This Row],[Промо прогноз июнь, шт.]]*(1-$V$2),"")</calculatedColumnFormula>
    </tableColumn>
    <tableColumn id="209" xr3:uid="{593FE06D-D4C0-47A8-92DD-754488C80C51}" name="Промо NS июль, руб." dataDxfId="19" dataCellStyle="Обычный 2">
      <calculatedColumnFormula>IFERROR(Планирование_новый_год[[#This Row],[3 net цена, руб.]]*Планирование_новый_год[[#This Row],[Промо прогноз июль, шт.]]*(1-$V$2),"")</calculatedColumnFormula>
    </tableColumn>
    <tableColumn id="210" xr3:uid="{D178C12F-4DB2-4EAA-8EEE-7D7C4BB872E4}" name="Промо NS август, руб." dataDxfId="18" dataCellStyle="Обычный 2">
      <calculatedColumnFormula>IFERROR(Планирование_новый_год[[#This Row],[3 net цена, руб.]]*Планирование_новый_год[[#This Row],[Промо прогноз август, шт.]]*(1-$V$2),"")</calculatedColumnFormula>
    </tableColumn>
    <tableColumn id="211" xr3:uid="{B41DFE96-B74A-4542-BD55-0B04CFAE9EF2}" name="Промо NS сентрябрь, руб." dataDxfId="17" dataCellStyle="Обычный 2">
      <calculatedColumnFormula>IFERROR(Планирование_новый_год[[#This Row],[3 net цена, руб.]]*Планирование_новый_год[[#This Row],[Промо прогноз сентрябрь, шт.]]*(1-$V$2),"")</calculatedColumnFormula>
    </tableColumn>
    <tableColumn id="212" xr3:uid="{3163229D-ADBC-40C9-AA76-04B56B188315}" name="Промо NS октябрь, руб." dataDxfId="16" dataCellStyle="Обычный 2">
      <calculatedColumnFormula>IFERROR(Планирование_новый_год[[#This Row],[3 net цена, руб.]]*Планирование_новый_год[[#This Row],[Промо прогноз октябрь, шт.]]*(1-$V$2),"")</calculatedColumnFormula>
    </tableColumn>
    <tableColumn id="215" xr3:uid="{2F796790-7D20-4A03-8014-43D2CB92CD70}" name="Промо NS ноябрь, руб." dataDxfId="15" dataCellStyle="Обычный 2">
      <calculatedColumnFormula>IFERROR(Планирование_новый_год[[#This Row],[3 net цена, руб.]]*Планирование_новый_год[[#This Row],[Промо прогноз ноябрь, шт.]]*(1-$V$2),"")</calculatedColumnFormula>
    </tableColumn>
    <tableColumn id="213" xr3:uid="{F14CE16E-EA38-415A-819F-EB069FF96078}" name="Промо NS декабрь, руб." dataDxfId="14" dataCellStyle="Обычный 2">
      <calculatedColumnFormula>IFERROR(Планирование_новый_год[[#This Row],[3 net цена, руб.]]*Планирование_новый_год[[#This Row],[Промо прогноз декабрь, шт.]]*(1-$V$2),"")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272">
  <autoFilter ref="A1:C2" xr:uid="{00000000-0009-0000-0100-000005000000}"/>
  <tableColumns count="3">
    <tableColumn id="1" xr3:uid="{00000000-0010-0000-0400-000001000000}" name="№" dataDxfId="271"/>
    <tableColumn id="2" xr3:uid="{00000000-0010-0000-0400-000002000000}" name="Название" dataDxfId="270"/>
    <tableColumn id="3" xr3:uid="{00000000-0010-0000-0400-000003000000}" name="Путь к файлу" dataDxfId="26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68" dataCellStyle="Финансовый"/>
    <tableColumn id="2" xr3:uid="{00000000-0010-0000-0000-000002000000}" name="Суперкатегория (ENG)" dataDxfId="267"/>
    <tableColumn id="3" xr3:uid="{00000000-0010-0000-0000-000003000000}" name="Суперкатегория (RUS)" dataDxfId="266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65" dataDxfId="264">
  <autoFilter ref="A1:D33" xr:uid="{00000000-0009-0000-0100-000002000000}"/>
  <tableColumns count="4">
    <tableColumn id="1" xr3:uid="{00000000-0010-0000-0100-000001000000}" name="№" dataDxfId="263"/>
    <tableColumn id="2" xr3:uid="{00000000-0010-0000-0100-000002000000}" name="Продукт группа" dataDxfId="262"/>
    <tableColumn id="3" xr3:uid="{00000000-0010-0000-0100-000003000000}" name="Название продукт группы (ENG)" dataDxfId="261"/>
    <tableColumn id="4" xr3:uid="{00000000-0010-0000-0100-000004000000}" name="Название продукт группы (RUS)" dataDxfId="26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59"/>
    <tableColumn id="2" xr3:uid="{00000000-0010-0000-0200-000002000000}" name="Статус" dataDxfId="258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257" dataDxfId="256">
  <autoFilter ref="A1:E9" xr:uid="{00000000-0009-0000-0100-000008000000}"/>
  <tableColumns count="5">
    <tableColumn id="5" xr3:uid="{D948CA53-CDCE-46C5-BE95-D1E2925C758E}" name="№" dataDxfId="255"/>
    <tableColumn id="1" xr3:uid="{00000000-0010-0000-0500-000001000000}" name="Артикул" dataDxfId="254"/>
    <tableColumn id="2" xr3:uid="{00000000-0010-0000-0500-000002000000}" name="STK 2.5, Eur" dataDxfId="253"/>
    <tableColumn id="3" xr3:uid="{00000000-0010-0000-0500-000003000000}" name="STK 2.5, руб." dataDxfId="252"/>
    <tableColumn id="4" xr3:uid="{00000000-0010-0000-0500-000004000000}" name="Дата принятия" dataDxfId="25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50" tableBorderDxfId="249">
  <autoFilter ref="A1:C3" xr:uid="{00000000-0009-0000-0100-00000B000000}"/>
  <tableColumns count="3">
    <tableColumn id="1" xr3:uid="{00000000-0010-0000-0800-000001000000}" name="№" dataDxfId="248"/>
    <tableColumn id="2" xr3:uid="{00000000-0010-0000-0800-000002000000}" name="Дата принятия" dataDxfId="247"/>
    <tableColumn id="3" xr3:uid="{00000000-0010-0000-0800-000003000000}" name="Процент от РРЦ, без НДС" dataDxfId="24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45"/>
    <tableColumn id="2" xr3:uid="{00000000-0010-0000-0900-000002000000}" name="Эксклюзивность" dataDxfId="24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43">
  <autoFilter ref="A1:C23" xr:uid="{00000000-0009-0000-0100-00000E000000}"/>
  <tableColumns count="3">
    <tableColumn id="1" xr3:uid="{00000000-0010-0000-0B00-000001000000}" name="Код" dataDxfId="242"/>
    <tableColumn id="2" xr3:uid="{00000000-0010-0000-0B00-000002000000}" name="GardenChannel" dataDxfId="241"/>
    <tableColumn id="3" xr3:uid="{00000000-0010-0000-0B00-000003000000}" name="Sales manager" dataDxfId="24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AL1" zoomScaleNormal="100" workbookViewId="0">
      <pane ySplit="2" topLeftCell="A3" activePane="bottomLeft" state="frozen"/>
      <selection pane="bottomLeft" activeCell="AO26" sqref="AO26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13" priority="6">
      <formula>$AL3="Новинка следующего года"</formula>
    </cfRule>
    <cfRule type="expression" dxfId="12" priority="7">
      <formula>$AL3="Новинка текущего года"</formula>
    </cfRule>
    <cfRule type="expression" dxfId="11" priority="8">
      <formula>$AL3="Выведено из ассортимента текущего года"</formula>
    </cfRule>
  </conditionalFormatting>
  <conditionalFormatting sqref="AM3:AM10">
    <cfRule type="expression" dxfId="10" priority="2">
      <formula>OR(AM3="Dealer",AM3="Regional",AM3="Online")</formula>
    </cfRule>
    <cfRule type="cellIs" dxfId="9" priority="3" operator="equal">
      <formula>"DIY канал"</formula>
    </cfRule>
    <cfRule type="cellIs" dxfId="8" priority="4" operator="equal">
      <formula>"ОБИ"</formula>
    </cfRule>
    <cfRule type="cellIs" dxfId="7" priority="5" operator="equal">
      <formula>"ЛЕРУА МЕРЛЕН"</formula>
    </cfRule>
  </conditionalFormatting>
  <conditionalFormatting sqref="AV3:AV10">
    <cfRule type="cellIs" dxfId="6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zoomScale="85" zoomScaleNormal="85" workbookViewId="0">
      <selection activeCell="D13" sqref="D13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  <row r="3" spans="1:11" x14ac:dyDescent="0.25">
      <c r="A3" s="10" t="s">
        <v>756</v>
      </c>
      <c r="B3" s="6" t="s">
        <v>261</v>
      </c>
      <c r="C3" s="6" t="s">
        <v>37</v>
      </c>
      <c r="D3" s="13">
        <v>44197</v>
      </c>
      <c r="E3" s="30" t="s">
        <v>1229</v>
      </c>
      <c r="F3" s="6" t="s">
        <v>55</v>
      </c>
      <c r="G3" s="6" t="s">
        <v>57</v>
      </c>
      <c r="H3" s="6" t="s">
        <v>59</v>
      </c>
      <c r="I3" s="6" t="s">
        <v>57</v>
      </c>
      <c r="J3" s="6" t="s">
        <v>57</v>
      </c>
      <c r="K3" s="29">
        <v>0.05</v>
      </c>
    </row>
    <row r="4" spans="1:11" x14ac:dyDescent="0.25">
      <c r="A4" s="10">
        <v>3</v>
      </c>
      <c r="B4" s="6" t="s">
        <v>261</v>
      </c>
      <c r="C4" s="6" t="s">
        <v>37</v>
      </c>
      <c r="D4" s="13">
        <v>43466</v>
      </c>
      <c r="E4" s="30" t="s">
        <v>1229</v>
      </c>
      <c r="F4" s="6" t="s">
        <v>55</v>
      </c>
      <c r="G4" s="6" t="s">
        <v>57</v>
      </c>
      <c r="H4" s="6" t="s">
        <v>59</v>
      </c>
      <c r="I4" s="6" t="s">
        <v>57</v>
      </c>
      <c r="J4" s="6" t="s">
        <v>57</v>
      </c>
      <c r="K4" s="29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topLeftCell="C1"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3"/>
      <c r="C2" s="113"/>
    </row>
    <row r="3" spans="1:22" x14ac:dyDescent="0.25">
      <c r="C3" s="63"/>
      <c r="F3" s="63"/>
    </row>
    <row r="4" spans="1:22" x14ac:dyDescent="0.25">
      <c r="B4" s="114" t="s">
        <v>1200</v>
      </c>
      <c r="C4" s="114"/>
      <c r="D4" s="64"/>
      <c r="E4" s="64"/>
      <c r="F4" s="65"/>
      <c r="G4" s="66"/>
      <c r="I4" s="64"/>
    </row>
    <row r="5" spans="1:22" x14ac:dyDescent="0.25">
      <c r="B5" s="114" t="s">
        <v>1201</v>
      </c>
      <c r="C5" s="114"/>
      <c r="D5" s="67">
        <v>43831</v>
      </c>
      <c r="F5" s="63"/>
    </row>
    <row r="6" spans="1:22" x14ac:dyDescent="0.25">
      <c r="B6" s="114" t="s">
        <v>1202</v>
      </c>
      <c r="C6" s="114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15" t="s">
        <v>1206</v>
      </c>
      <c r="C12" s="115"/>
      <c r="D12" s="115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8"/>
  <sheetViews>
    <sheetView topLeftCell="E1" zoomScale="85" zoomScaleNormal="85" workbookViewId="0">
      <selection activeCell="K1" sqref="K1:DU1048576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2" t="s">
        <v>52</v>
      </c>
      <c r="B2" s="101">
        <v>2021</v>
      </c>
      <c r="V2" s="112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4" t="s">
        <v>1467</v>
      </c>
      <c r="FC4" s="104" t="s">
        <v>1470</v>
      </c>
      <c r="FN4" s="76" t="s">
        <v>1255</v>
      </c>
      <c r="FO4" s="104" t="s">
        <v>1469</v>
      </c>
      <c r="FP4" s="104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4" t="s">
        <v>1467</v>
      </c>
      <c r="GR4" s="104" t="s">
        <v>1468</v>
      </c>
      <c r="HC4" s="79"/>
      <c r="HD4" s="104" t="s">
        <v>1465</v>
      </c>
      <c r="HE4" s="104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1259</v>
      </c>
      <c r="E6" s="93" t="s">
        <v>1260</v>
      </c>
      <c r="F6" s="93" t="s">
        <v>30</v>
      </c>
      <c r="G6" s="93" t="s">
        <v>32</v>
      </c>
      <c r="H6" s="93" t="s">
        <v>1445</v>
      </c>
      <c r="I6" s="93" t="s">
        <v>68</v>
      </c>
      <c r="J6" s="93" t="s">
        <v>34</v>
      </c>
      <c r="K6" s="93" t="s">
        <v>1261</v>
      </c>
      <c r="L6" s="93" t="s">
        <v>69</v>
      </c>
      <c r="M6" s="93" t="s">
        <v>1464</v>
      </c>
      <c r="N6" s="93" t="s">
        <v>70</v>
      </c>
      <c r="O6" s="93" t="s">
        <v>1262</v>
      </c>
      <c r="P6" s="93" t="s">
        <v>1263</v>
      </c>
      <c r="Q6" s="93" t="s">
        <v>1264</v>
      </c>
      <c r="R6" s="93" t="s">
        <v>1265</v>
      </c>
      <c r="S6" s="93" t="s">
        <v>1266</v>
      </c>
      <c r="T6" s="93" t="s">
        <v>1267</v>
      </c>
      <c r="U6" s="93" t="s">
        <v>71</v>
      </c>
      <c r="V6" s="90" t="s">
        <v>1268</v>
      </c>
      <c r="W6" s="91" t="s">
        <v>1269</v>
      </c>
      <c r="X6" s="91" t="s">
        <v>1270</v>
      </c>
      <c r="Y6" s="91" t="s">
        <v>1271</v>
      </c>
      <c r="Z6" s="91" t="s">
        <v>1272</v>
      </c>
      <c r="AA6" s="91" t="s">
        <v>1273</v>
      </c>
      <c r="AB6" s="91" t="s">
        <v>1274</v>
      </c>
      <c r="AC6" s="91" t="s">
        <v>1275</v>
      </c>
      <c r="AD6" s="91" t="s">
        <v>1276</v>
      </c>
      <c r="AE6" s="91" t="s">
        <v>1277</v>
      </c>
      <c r="AF6" s="91" t="s">
        <v>1278</v>
      </c>
      <c r="AG6" s="91" t="s">
        <v>1279</v>
      </c>
      <c r="AH6" s="94" t="s">
        <v>1280</v>
      </c>
      <c r="AI6" s="91" t="s">
        <v>1281</v>
      </c>
      <c r="AJ6" s="91" t="s">
        <v>1282</v>
      </c>
      <c r="AK6" s="91" t="s">
        <v>1283</v>
      </c>
      <c r="AL6" s="91" t="s">
        <v>1284</v>
      </c>
      <c r="AM6" s="91" t="s">
        <v>1285</v>
      </c>
      <c r="AN6" s="91" t="s">
        <v>1286</v>
      </c>
      <c r="AO6" s="91" t="s">
        <v>1287</v>
      </c>
      <c r="AP6" s="91" t="s">
        <v>1288</v>
      </c>
      <c r="AQ6" s="91" t="s">
        <v>1289</v>
      </c>
      <c r="AR6" s="91" t="s">
        <v>1290</v>
      </c>
      <c r="AS6" s="91" t="s">
        <v>1291</v>
      </c>
      <c r="AT6" s="91" t="s">
        <v>1292</v>
      </c>
      <c r="AU6" s="91" t="s">
        <v>1473</v>
      </c>
      <c r="AV6" s="105" t="s">
        <v>1293</v>
      </c>
      <c r="AW6" s="106" t="s">
        <v>1294</v>
      </c>
      <c r="AX6" s="106" t="s">
        <v>1295</v>
      </c>
      <c r="AY6" s="106" t="s">
        <v>1296</v>
      </c>
      <c r="AZ6" s="106" t="s">
        <v>1297</v>
      </c>
      <c r="BA6" s="106" t="s">
        <v>1298</v>
      </c>
      <c r="BB6" s="106" t="s">
        <v>1299</v>
      </c>
      <c r="BC6" s="106" t="s">
        <v>1300</v>
      </c>
      <c r="BD6" s="106" t="s">
        <v>1301</v>
      </c>
      <c r="BE6" s="106" t="s">
        <v>1302</v>
      </c>
      <c r="BF6" s="106" t="s">
        <v>1303</v>
      </c>
      <c r="BG6" s="107" t="s">
        <v>1304</v>
      </c>
      <c r="BH6" s="107" t="s">
        <v>1474</v>
      </c>
      <c r="BI6" s="90" t="s">
        <v>1305</v>
      </c>
      <c r="BJ6" s="91" t="s">
        <v>1306</v>
      </c>
      <c r="BK6" s="91" t="s">
        <v>1307</v>
      </c>
      <c r="BL6" s="91" t="s">
        <v>1308</v>
      </c>
      <c r="BM6" s="91" t="s">
        <v>1309</v>
      </c>
      <c r="BN6" s="91" t="s">
        <v>1310</v>
      </c>
      <c r="BO6" s="91" t="s">
        <v>1311</v>
      </c>
      <c r="BP6" s="91" t="s">
        <v>1312</v>
      </c>
      <c r="BQ6" s="91" t="s">
        <v>1313</v>
      </c>
      <c r="BR6" s="91" t="s">
        <v>1314</v>
      </c>
      <c r="BS6" s="91" t="s">
        <v>1315</v>
      </c>
      <c r="BT6" s="94" t="s">
        <v>1316</v>
      </c>
      <c r="BU6" s="94" t="s">
        <v>1475</v>
      </c>
      <c r="BV6" s="105" t="s">
        <v>1317</v>
      </c>
      <c r="BW6" s="106" t="s">
        <v>1318</v>
      </c>
      <c r="BX6" s="106" t="s">
        <v>1319</v>
      </c>
      <c r="BY6" s="106" t="s">
        <v>1320</v>
      </c>
      <c r="BZ6" s="106" t="s">
        <v>1321</v>
      </c>
      <c r="CA6" s="106" t="s">
        <v>1322</v>
      </c>
      <c r="CB6" s="106" t="s">
        <v>1323</v>
      </c>
      <c r="CC6" s="106" t="s">
        <v>1324</v>
      </c>
      <c r="CD6" s="106" t="s">
        <v>1325</v>
      </c>
      <c r="CE6" s="106" t="s">
        <v>1326</v>
      </c>
      <c r="CF6" s="106" t="s">
        <v>1327</v>
      </c>
      <c r="CG6" s="107" t="s">
        <v>1328</v>
      </c>
      <c r="CH6" s="107" t="s">
        <v>1476</v>
      </c>
      <c r="CI6" s="90" t="s">
        <v>1329</v>
      </c>
      <c r="CJ6" s="91" t="s">
        <v>1330</v>
      </c>
      <c r="CK6" s="91" t="s">
        <v>1331</v>
      </c>
      <c r="CL6" s="91" t="s">
        <v>1332</v>
      </c>
      <c r="CM6" s="91" t="s">
        <v>1333</v>
      </c>
      <c r="CN6" s="91" t="s">
        <v>1334</v>
      </c>
      <c r="CO6" s="91" t="s">
        <v>1335</v>
      </c>
      <c r="CP6" s="91" t="s">
        <v>1336</v>
      </c>
      <c r="CQ6" s="91" t="s">
        <v>1337</v>
      </c>
      <c r="CR6" s="91" t="s">
        <v>1338</v>
      </c>
      <c r="CS6" s="91" t="s">
        <v>1339</v>
      </c>
      <c r="CT6" s="94" t="s">
        <v>1340</v>
      </c>
      <c r="CU6" s="94" t="s">
        <v>1477</v>
      </c>
      <c r="CV6" s="90" t="s">
        <v>1341</v>
      </c>
      <c r="CW6" s="91" t="s">
        <v>1342</v>
      </c>
      <c r="CX6" s="91" t="s">
        <v>1343</v>
      </c>
      <c r="CY6" s="91" t="s">
        <v>1344</v>
      </c>
      <c r="CZ6" s="91" t="s">
        <v>1345</v>
      </c>
      <c r="DA6" s="91" t="s">
        <v>1346</v>
      </c>
      <c r="DB6" s="91" t="s">
        <v>1347</v>
      </c>
      <c r="DC6" s="91" t="s">
        <v>1348</v>
      </c>
      <c r="DD6" s="91" t="s">
        <v>1349</v>
      </c>
      <c r="DE6" s="91" t="s">
        <v>1350</v>
      </c>
      <c r="DF6" s="91" t="s">
        <v>1351</v>
      </c>
      <c r="DG6" s="94" t="s">
        <v>1352</v>
      </c>
      <c r="DH6" s="94" t="s">
        <v>1472</v>
      </c>
      <c r="DI6" s="105" t="s">
        <v>1353</v>
      </c>
      <c r="DJ6" s="106" t="s">
        <v>1354</v>
      </c>
      <c r="DK6" s="106" t="s">
        <v>1355</v>
      </c>
      <c r="DL6" s="106" t="s">
        <v>1356</v>
      </c>
      <c r="DM6" s="106" t="s">
        <v>1357</v>
      </c>
      <c r="DN6" s="106" t="s">
        <v>1358</v>
      </c>
      <c r="DO6" s="106" t="s">
        <v>1359</v>
      </c>
      <c r="DP6" s="106" t="s">
        <v>1360</v>
      </c>
      <c r="DQ6" s="106" t="s">
        <v>1361</v>
      </c>
      <c r="DR6" s="106" t="s">
        <v>1362</v>
      </c>
      <c r="DS6" s="106" t="s">
        <v>1363</v>
      </c>
      <c r="DT6" s="107" t="s">
        <v>1364</v>
      </c>
      <c r="DU6" s="107" t="s">
        <v>1471</v>
      </c>
      <c r="DV6" s="90" t="s">
        <v>1365</v>
      </c>
      <c r="DW6" s="91" t="s">
        <v>1366</v>
      </c>
      <c r="DX6" s="95" t="s">
        <v>1367</v>
      </c>
      <c r="DY6" s="95" t="s">
        <v>1368</v>
      </c>
      <c r="DZ6" s="95" t="s">
        <v>1369</v>
      </c>
      <c r="EA6" s="95" t="s">
        <v>1370</v>
      </c>
      <c r="EB6" s="95" t="s">
        <v>1371</v>
      </c>
      <c r="EC6" s="95" t="s">
        <v>1372</v>
      </c>
      <c r="ED6" s="95" t="s">
        <v>1373</v>
      </c>
      <c r="EE6" s="95" t="s">
        <v>1374</v>
      </c>
      <c r="EF6" s="95" t="s">
        <v>1375</v>
      </c>
      <c r="EG6" s="95" t="s">
        <v>1376</v>
      </c>
      <c r="EH6" s="95" t="s">
        <v>1377</v>
      </c>
      <c r="EI6" s="95" t="s">
        <v>1378</v>
      </c>
      <c r="EJ6" s="108" t="s">
        <v>1379</v>
      </c>
      <c r="EK6" s="90" t="s">
        <v>1463</v>
      </c>
      <c r="EL6" s="91" t="s">
        <v>1380</v>
      </c>
      <c r="EM6" s="91" t="s">
        <v>1446</v>
      </c>
      <c r="EN6" s="91" t="s">
        <v>1462</v>
      </c>
      <c r="EO6" s="91" t="s">
        <v>1461</v>
      </c>
      <c r="EP6" s="91" t="s">
        <v>1460</v>
      </c>
      <c r="EQ6" s="91" t="s">
        <v>1459</v>
      </c>
      <c r="ER6" s="91" t="s">
        <v>1458</v>
      </c>
      <c r="ES6" s="91" t="s">
        <v>1457</v>
      </c>
      <c r="ET6" s="91" t="s">
        <v>1456</v>
      </c>
      <c r="EU6" s="91" t="s">
        <v>1455</v>
      </c>
      <c r="EV6" s="91" t="s">
        <v>1454</v>
      </c>
      <c r="EW6" s="91" t="s">
        <v>1453</v>
      </c>
      <c r="EX6" s="91" t="s">
        <v>1452</v>
      </c>
      <c r="EY6" s="91" t="s">
        <v>1451</v>
      </c>
      <c r="EZ6" s="94" t="s">
        <v>1449</v>
      </c>
      <c r="FA6" s="91" t="s">
        <v>1381</v>
      </c>
      <c r="FB6" s="91" t="s">
        <v>1382</v>
      </c>
      <c r="FC6" s="91" t="s">
        <v>1383</v>
      </c>
      <c r="FD6" s="91" t="s">
        <v>1384</v>
      </c>
      <c r="FE6" s="91" t="s">
        <v>1385</v>
      </c>
      <c r="FF6" s="91" t="s">
        <v>1386</v>
      </c>
      <c r="FG6" s="91" t="s">
        <v>1387</v>
      </c>
      <c r="FH6" s="91" t="s">
        <v>1388</v>
      </c>
      <c r="FI6" s="91" t="s">
        <v>1389</v>
      </c>
      <c r="FJ6" s="91" t="s">
        <v>1390</v>
      </c>
      <c r="FK6" s="91" t="s">
        <v>1391</v>
      </c>
      <c r="FL6" s="91" t="s">
        <v>1392</v>
      </c>
      <c r="FM6" s="91" t="s">
        <v>1450</v>
      </c>
      <c r="FN6" s="90" t="s">
        <v>1393</v>
      </c>
      <c r="FO6" s="91" t="s">
        <v>1394</v>
      </c>
      <c r="FP6" s="91" t="s">
        <v>1395</v>
      </c>
      <c r="FQ6" s="91" t="s">
        <v>1396</v>
      </c>
      <c r="FR6" s="91" t="s">
        <v>1397</v>
      </c>
      <c r="FS6" s="91" t="s">
        <v>1398</v>
      </c>
      <c r="FT6" s="91" t="s">
        <v>1399</v>
      </c>
      <c r="FU6" s="91" t="s">
        <v>1400</v>
      </c>
      <c r="FV6" s="91" t="s">
        <v>1401</v>
      </c>
      <c r="FW6" s="91" t="s">
        <v>1402</v>
      </c>
      <c r="FX6" s="91" t="s">
        <v>1403</v>
      </c>
      <c r="FY6" s="91" t="s">
        <v>1404</v>
      </c>
      <c r="FZ6" s="91" t="s">
        <v>1405</v>
      </c>
      <c r="GA6" s="90" t="s">
        <v>1406</v>
      </c>
      <c r="GB6" s="94" t="s">
        <v>1407</v>
      </c>
      <c r="GC6" s="91" t="s">
        <v>1408</v>
      </c>
      <c r="GD6" s="95" t="s">
        <v>1409</v>
      </c>
      <c r="GE6" s="95" t="s">
        <v>1410</v>
      </c>
      <c r="GF6" s="95" t="s">
        <v>1411</v>
      </c>
      <c r="GG6" s="95" t="s">
        <v>1412</v>
      </c>
      <c r="GH6" s="95" t="s">
        <v>1413</v>
      </c>
      <c r="GI6" s="95" t="s">
        <v>1414</v>
      </c>
      <c r="GJ6" s="95" t="s">
        <v>1415</v>
      </c>
      <c r="GK6" s="95" t="s">
        <v>1416</v>
      </c>
      <c r="GL6" s="95" t="s">
        <v>1417</v>
      </c>
      <c r="GM6" s="95" t="s">
        <v>1418</v>
      </c>
      <c r="GN6" s="95" t="s">
        <v>1419</v>
      </c>
      <c r="GO6" s="108" t="s">
        <v>1420</v>
      </c>
      <c r="GP6" s="91" t="s">
        <v>1421</v>
      </c>
      <c r="GQ6" s="91" t="s">
        <v>1422</v>
      </c>
      <c r="GR6" s="91" t="s">
        <v>1423</v>
      </c>
      <c r="GS6" s="91" t="s">
        <v>1424</v>
      </c>
      <c r="GT6" s="91" t="s">
        <v>1425</v>
      </c>
      <c r="GU6" s="91" t="s">
        <v>1426</v>
      </c>
      <c r="GV6" s="91" t="s">
        <v>1427</v>
      </c>
      <c r="GW6" s="91" t="s">
        <v>1428</v>
      </c>
      <c r="GX6" s="91" t="s">
        <v>1429</v>
      </c>
      <c r="GY6" s="91" t="s">
        <v>1430</v>
      </c>
      <c r="GZ6" s="91" t="s">
        <v>1431</v>
      </c>
      <c r="HA6" s="91" t="s">
        <v>1432</v>
      </c>
      <c r="HB6" s="91" t="s">
        <v>1447</v>
      </c>
      <c r="HC6" s="90" t="s">
        <v>1433</v>
      </c>
      <c r="HD6" s="91" t="s">
        <v>1434</v>
      </c>
      <c r="HE6" s="91" t="s">
        <v>1435</v>
      </c>
      <c r="HF6" s="91" t="s">
        <v>1436</v>
      </c>
      <c r="HG6" s="91" t="s">
        <v>1437</v>
      </c>
      <c r="HH6" s="91" t="s">
        <v>1438</v>
      </c>
      <c r="HI6" s="91" t="s">
        <v>1439</v>
      </c>
      <c r="HJ6" s="91" t="s">
        <v>1440</v>
      </c>
      <c r="HK6" s="91" t="s">
        <v>1441</v>
      </c>
      <c r="HL6" s="91" t="s">
        <v>1442</v>
      </c>
      <c r="HM6" s="91" t="s">
        <v>1443</v>
      </c>
      <c r="HN6" s="91" t="s">
        <v>1444</v>
      </c>
      <c r="HO6" s="91" t="s">
        <v>1448</v>
      </c>
    </row>
    <row r="7" spans="1:223" x14ac:dyDescent="0.25">
      <c r="A7" s="96"/>
      <c r="B7" s="116"/>
      <c r="C7" s="96"/>
      <c r="D7" s="96"/>
      <c r="E7" s="96"/>
      <c r="F7" s="96"/>
      <c r="G7" s="96"/>
      <c r="H7" s="96"/>
      <c r="I7" s="96"/>
      <c r="J7" s="96"/>
      <c r="K7" s="96"/>
      <c r="L7" s="109" t="str">
        <f>IFERROR(Планирование_новый_год[[#This Row],[GS, руб.]]/Планирование_новый_год[[#This Row],[Прогноз за год, шт. ]],"")</f>
        <v/>
      </c>
      <c r="M7" s="96"/>
      <c r="N7" s="109" t="str">
        <f>IFERROR(Планирование_новый_год[[#This Row],[2 net цена, руб.]]-Планирование_новый_год[[#This Row],[2 net цена, руб.]]*$V$2,"")</f>
        <v/>
      </c>
      <c r="O7" s="96"/>
      <c r="P7" s="109">
        <f>IFERROR(Планирование_новый_год[[#This Row],[Промо GS за год, руб.]]+Планирование_новый_год[[#This Row],[GS за год, руб.]],"")</f>
        <v>0</v>
      </c>
      <c r="Q7" s="109">
        <f>IFERROR(Планирование_новый_год[[#This Row],[NS за год, руб.]]+Планирование_новый_год[[#This Row],[Промо NS за год, руб.]],"")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IFERROR(Планирование_новый_год[[#This Row],[GS за год, руб.]],"")</f>
        <v>0</v>
      </c>
      <c r="AJ7" s="109" t="str">
        <f>IFERROR(Планирование_новый_год[[#This Row],[GS январь, руб.]],"")</f>
        <v/>
      </c>
      <c r="AK7" s="109" t="str">
        <f>IFERROR(Планирование_новый_год[[#This Row],[GS февраль, руб.]],"")</f>
        <v/>
      </c>
      <c r="AL7" s="109" t="str">
        <f>IFERROR(Планирование_новый_год[[#This Row],[GS март, руб.]],"")</f>
        <v/>
      </c>
      <c r="AM7" s="109" t="str">
        <f>IFERROR(Планирование_новый_год[[#This Row],[GS апрель, руб.]],"")</f>
        <v/>
      </c>
      <c r="AN7" s="109" t="str">
        <f>IFERROR(Планирование_новый_год[[#This Row],[GS май, руб.]],"")</f>
        <v/>
      </c>
      <c r="AO7" s="109" t="str">
        <f>IFERROR(Планирование_новый_год[[#This Row],[GS июнь, руб.]],"")</f>
        <v/>
      </c>
      <c r="AP7" s="109" t="str">
        <f>IFERROR(Планирование_новый_год[[#This Row],[GS июль, руб.]],"")</f>
        <v/>
      </c>
      <c r="AQ7" s="109" t="str">
        <f>IFERROR(Планирование_новый_год[[#This Row],[GS август, руб.]],"")</f>
        <v/>
      </c>
      <c r="AR7" s="109" t="str">
        <f>IFERROR(Планирование_новый_год[[#This Row],[GS сентрябрь, руб.]],"")</f>
        <v/>
      </c>
      <c r="AS7" s="109" t="str">
        <f>IFERROR(Планирование_новый_год[[#This Row],[GS октябрь, руб.]],"")</f>
        <v/>
      </c>
      <c r="AT7" s="109" t="str">
        <f>IFERROR(Планирование_новый_год[[#This Row],[GS ноябрь, руб.]],"")</f>
        <v/>
      </c>
      <c r="AU7" s="109" t="str">
        <f>IFERROR(Планирование_новый_год[[#This Row],[GS декабрь, руб.]],"")</f>
        <v/>
      </c>
      <c r="AV7" s="103">
        <f>IFERROR(Планирование_новый_год[[#This Row],[NS за год, руб.]],"")</f>
        <v>0</v>
      </c>
      <c r="AW7" s="110" t="str">
        <f>IFERROR(Планирование_новый_год[[#This Row],[NS январь, руб.]],"")</f>
        <v/>
      </c>
      <c r="AX7" s="110" t="str">
        <f>IFERROR(Планирование_новый_год[[#This Row],[NS февраль, руб.]],"")</f>
        <v/>
      </c>
      <c r="AY7" s="110" t="str">
        <f>IFERROR(Планирование_новый_год[[#This Row],[NS март, руб.]],"")</f>
        <v/>
      </c>
      <c r="AZ7" s="110" t="str">
        <f>IFERROR(Планирование_новый_год[[#This Row],[NS апрель, руб.]],"")</f>
        <v/>
      </c>
      <c r="BA7" s="110" t="str">
        <f>IFERROR(Планирование_новый_год[[#This Row],[NS май, руб.]],"")</f>
        <v/>
      </c>
      <c r="BB7" s="110" t="str">
        <f>IFERROR(Планирование_новый_год[[#This Row],[NS июнь, руб.]],"")</f>
        <v/>
      </c>
      <c r="BC7" s="110" t="str">
        <f>IFERROR(Планирование_новый_год[[#This Row],[NS июль, руб.]],"")</f>
        <v/>
      </c>
      <c r="BD7" s="110" t="str">
        <f>IFERROR(Планирование_новый_год[[#This Row],[NS август, руб.]],"")</f>
        <v/>
      </c>
      <c r="BE7" s="110" t="str">
        <f>IFERROR(Планирование_новый_год[[#This Row],[NS сентрябрь, руб.]],"")</f>
        <v/>
      </c>
      <c r="BF7" s="110" t="str">
        <f>IFERROR(Планирование_новый_год[[#This Row],[NS октябрь, руб.]],"")</f>
        <v/>
      </c>
      <c r="BG7" s="110" t="str">
        <f>IFERROR(Планирование_новый_год[[#This Row],[NS ноябрь, руб.]],"")</f>
        <v/>
      </c>
      <c r="BH7" s="111" t="str">
        <f>IFERROR(Планирование_новый_год[[#This Row],[NS декабрь, шт.]],"")</f>
        <v/>
      </c>
      <c r="BI7" s="110">
        <f>IFERROR(Планирование_новый_год[[#This Row],[ИТОГО Прогноз за год, шт. ]]*Планирование_новый_год[[#This Row],[STK 2.5, руб.]],"")</f>
        <v>0</v>
      </c>
      <c r="BJ7" s="110">
        <f>IFERROR(Планирование_новый_год[[#This Row],[ИТОГО Прогноз январь, шт.]]*Планирование_новый_год[[#This Row],[STK 2.5, руб.]],"")</f>
        <v>0</v>
      </c>
      <c r="BK7" s="110">
        <f>IFERROR(Планирование_новый_год[[#This Row],[ИТОГО Прогноз февраль, шт.]]*Планирование_новый_год[[#This Row],[STK 2.5, руб.]],"")</f>
        <v>0</v>
      </c>
      <c r="BL7" s="110">
        <f>IFERROR(Планирование_новый_год[[#This Row],[ИТОГО Прогноз март, шт.]]*Планирование_новый_год[[#This Row],[STK 2.5, руб.]],"")</f>
        <v>0</v>
      </c>
      <c r="BM7" s="110">
        <f>IFERROR(Планирование_новый_год[[#This Row],[ИТОГО Прогноз апрель, шт.]]*Планирование_новый_год[[#This Row],[STK 2.5, руб.]],"")</f>
        <v>0</v>
      </c>
      <c r="BN7" s="110">
        <f>IFERROR(Планирование_новый_год[[#This Row],[ИТОГО Прогноз май, шт.]]*Планирование_новый_год[[#This Row],[STK 2.5, руб.]],"")</f>
        <v>0</v>
      </c>
      <c r="BO7" s="110">
        <f>IFERROR(Планирование_новый_год[[#This Row],[ИТОГО Прогноз июнь, шт.]]*Планирование_новый_год[[#This Row],[STK 2.5, руб.]],"")</f>
        <v>0</v>
      </c>
      <c r="BP7" s="110">
        <f>IFERROR(Планирование_новый_год[[#This Row],[ИТОГО Прогноз июль, шт.]]*Планирование_новый_год[[#This Row],[STK 2.5, руб.]],"")</f>
        <v>0</v>
      </c>
      <c r="BQ7" s="110">
        <f>IFERROR(Планирование_новый_год[[#This Row],[ИТОГО Прогноз август, шт.]]*Планирование_новый_год[[#This Row],[STK 2.5, руб.]],"")</f>
        <v>0</v>
      </c>
      <c r="BR7" s="110">
        <f>IFERROR(Планирование_новый_год[[#This Row],[ИТОГО Прогноз сентрябрь, шт.]]*Планирование_новый_год[[#This Row],[STK 2.5, руб.]],"")</f>
        <v>0</v>
      </c>
      <c r="BS7" s="110">
        <f>IFERROR(Планирование_новый_год[[#This Row],[ИТОГО Прогноз октябрь, шт.]]*Планирование_новый_год[[#This Row],[STK 2.5, руб.]],"")</f>
        <v>0</v>
      </c>
      <c r="BT7" s="110">
        <f>IFERROR(Планирование_новый_год[[#This Row],[ИТОГО Прогноз ноябрь, шт.]]*Планирование_новый_год[[#This Row],[STK 2.5, руб.]],"")</f>
        <v>0</v>
      </c>
      <c r="BU7" s="110">
        <f>IFERROR(Планирование_новый_год[[#This Row],[ИТОГО Прогноз декабрь, шт.]]*Планирование_новый_год[[#This Row],[STK 2.5, руб.]],"")</f>
        <v>0</v>
      </c>
      <c r="BV7" s="103" t="str">
        <f>IFERROR(Планирование_новый_год[[#This Row],[GP, %]]/Планирование_новый_год[[#This Row],[ИТОГО NS за год, руб.]],"")</f>
        <v/>
      </c>
      <c r="BW7" s="110" t="str">
        <f>IFERROR(Планирование_новый_год[[#This Row],[GP, %]]/Планирование_новый_год[[#This Row],[ИТОГО NS январь, шт.]],"")</f>
        <v/>
      </c>
      <c r="BX7" s="110" t="str">
        <f>IFERROR(Планирование_новый_год[[#This Row],[GP, %]]/Планирование_новый_год[[#This Row],[ИТОГО NS февраль, шт.]],"")</f>
        <v/>
      </c>
      <c r="BY7" s="110" t="str">
        <f>IFERROR(Планирование_новый_год[[#This Row],[GP, %]]/Планирование_новый_год[[#This Row],[ИТОГО NS март, шт.]],"")</f>
        <v/>
      </c>
      <c r="BZ7" s="110" t="str">
        <f>IFERROR(Планирование_новый_год[[#This Row],[GP, %]]/Планирование_новый_год[[#This Row],[ИТОГО NS апрель, шт.]],"")</f>
        <v/>
      </c>
      <c r="CA7" s="110" t="str">
        <f>IFERROR(Планирование_новый_год[[#This Row],[GP, %]]/Планирование_новый_год[[#This Row],[ИТОГО NS май, шт.]],"")</f>
        <v/>
      </c>
      <c r="CB7" s="110" t="str">
        <f>IFERROR(Планирование_новый_год[[#This Row],[GP, %]]/Планирование_новый_год[[#This Row],[ИТОГО NS июнь, шт.]],"")</f>
        <v/>
      </c>
      <c r="CC7" s="110" t="str">
        <f>IFERROR(Планирование_новый_год[[#This Row],[GP, %]]/Планирование_новый_год[[#This Row],[ИТОГО NS июль, шт.]],"")</f>
        <v/>
      </c>
      <c r="CD7" s="110" t="str">
        <f>IFERROR(Планирование_новый_год[[#This Row],[GP, %]]/Планирование_новый_год[[#This Row],[ИТОГО NS август, шт.]],"")</f>
        <v/>
      </c>
      <c r="CE7" s="110" t="str">
        <f>IFERROR(Планирование_новый_год[[#This Row],[GP, %]]/Планирование_новый_год[[#This Row],[ИТОГО NS сентрябрь, шт.]],"")</f>
        <v/>
      </c>
      <c r="CF7" s="110" t="str">
        <f>IFERROR(Планирование_новый_год[[#This Row],[GP, %]]/Планирование_новый_год[[#This Row],[ИТОГО NS октябрь, шт.]],"")</f>
        <v/>
      </c>
      <c r="CG7" s="110" t="str">
        <f>IFERROR(Планирование_новый_год[[#This Row],[GP, %]]/Планирование_новый_год[[#This Row],[ИТОГО NS ноябрь, шт.]],"")</f>
        <v/>
      </c>
      <c r="CH7" s="111" t="str">
        <f>IFERROR(Планирование_новый_год[[#This Row],[GP, %]]/Планирование_новый_год[[#This Row],[ИТОГО NS декабрь, шт.]],"")</f>
        <v/>
      </c>
      <c r="CI7" s="110" t="str">
        <f>IFERROR(1-Планирование_новый_год[[#This Row],[LC, руб.]]/Планирование_новый_год[[#This Row],[ИТОГО NS за год, руб.]],"")</f>
        <v/>
      </c>
      <c r="CJ7" s="110" t="str">
        <f>IFERROR(1-Планирование_новый_год[[#This Row],[LC, руб.]]/Планирование_новый_год[[#This Row],[ИТОГО NS январь, шт.]],"")</f>
        <v/>
      </c>
      <c r="CK7" s="110" t="str">
        <f>IFERROR(1-Планирование_новый_год[[#This Row],[LC, руб.]]/Планирование_новый_год[[#This Row],[ИТОГО NS февраль, шт.]],"")</f>
        <v/>
      </c>
      <c r="CL7" s="110" t="str">
        <f>IFERROR(1-Планирование_новый_год[[#This Row],[LC, руб.]]/Планирование_новый_год[[#This Row],[ИТОГО NS март, шт.]],"")</f>
        <v/>
      </c>
      <c r="CM7" s="110" t="str">
        <f>IFERROR(1-Планирование_новый_год[[#This Row],[LC, руб.]]/Планирование_новый_год[[#This Row],[ИТОГО NS апрель, шт.]],"")</f>
        <v/>
      </c>
      <c r="CN7" s="110" t="str">
        <f>IFERROR(1-Планирование_новый_год[[#This Row],[LC, руб.]]/Планирование_новый_год[[#This Row],[ИТОГО NS май, шт.]],"")</f>
        <v/>
      </c>
      <c r="CO7" s="110" t="str">
        <f>IFERROR(1-Планирование_новый_год[[#This Row],[LC, руб.]]/Планирование_новый_год[[#This Row],[ИТОГО NS июнь, шт.]],"")</f>
        <v/>
      </c>
      <c r="CP7" s="110" t="str">
        <f>IFERROR(1-Планирование_новый_год[[#This Row],[LC, руб.]]/Планирование_новый_год[[#This Row],[ИТОГО NS июль, шт.]],"")</f>
        <v/>
      </c>
      <c r="CQ7" s="110" t="str">
        <f>IFERROR(1-Планирование_новый_год[[#This Row],[LC, руб.]]/Планирование_новый_год[[#This Row],[ИТОГО NS август, шт.]],"")</f>
        <v/>
      </c>
      <c r="CR7" s="110" t="str">
        <f>IFERROR(1-Планирование_новый_год[[#This Row],[LC, руб.]]/Планирование_новый_год[[#This Row],[ИТОГО NS сентрябрь, шт.]],"")</f>
        <v/>
      </c>
      <c r="CS7" s="110" t="str">
        <f>IFERROR(1-Планирование_новый_год[[#This Row],[LC, руб.]]/Планирование_новый_год[[#This Row],[ИТОГО NS октябрь, шт.]],"")</f>
        <v/>
      </c>
      <c r="CT7" s="110" t="str">
        <f>IFERROR(1-Планирование_новый_год[[#This Row],[LC, руб.]]/Планирование_новый_год[[#This Row],[ИТОГО NS ноябрь, шт.]],"")</f>
        <v/>
      </c>
      <c r="CU7" s="110" t="str">
        <f>IFERROR(1-Планирование_новый_год[[#This Row],[LC, руб.]]/Планирование_новый_год[[#This Row],[ИТОГО NS декабрь, шт.]],"")</f>
        <v/>
      </c>
      <c r="CV7" s="103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3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3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3" t="str">
        <f>IFERROR(Планирование_новый_год[[#This Row],[ИТОГО GS март, шт.]]/Планирование_новый_год[[#This Row],[ИТОГО Прогноз март, шт.]],"")</f>
        <v/>
      </c>
      <c r="CZ7" s="103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3" t="str">
        <f>IFERROR(Планирование_новый_год[[#This Row],[ИТОГО GS май, шт.]]/Планирование_новый_год[[#This Row],[ИТОГО Прогноз май, шт.]],"")</f>
        <v/>
      </c>
      <c r="DB7" s="103" t="str">
        <f>IFERROR(Планирование_новый_год[[#This Row],[ИТОГО GS июнь, шт.]]/Планирование_новый_год[[#This Row],[ИТОГО Прогноз июнь, шт.]],"")</f>
        <v/>
      </c>
      <c r="DC7" s="103" t="str">
        <f>IFERROR(Планирование_новый_год[[#This Row],[ИТОГО GS июль, шт.]]/Планирование_новый_год[[#This Row],[ИТОГО Прогноз июль, шт.]],"")</f>
        <v/>
      </c>
      <c r="DD7" s="103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3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7" s="103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3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3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3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10" t="str">
        <f>IFERROR(Планирование_новый_год[[#This Row],[ИТОГО NS январь, шт.]]/Планирование_новый_год[[#This Row],[ИТОГО Прогноз январь, шт.]],"")</f>
        <v/>
      </c>
      <c r="DK7" s="110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10" t="str">
        <f>IFERROR(Планирование_новый_год[[#This Row],[ИТОГО NS март, шт.]]/Планирование_новый_год[[#This Row],[ИТОГО Прогноз март, шт.]],"")</f>
        <v/>
      </c>
      <c r="DM7" s="110" t="str">
        <f>IFERROR(Планирование_новый_год[[#This Row],[ИТОГО NS апрель, шт.]]/Планирование_новый_год[[#This Row],[ИТОГО Прогноз апрель, шт.]],"")</f>
        <v/>
      </c>
      <c r="DN7" s="110" t="str">
        <f>IFERROR(Планирование_новый_год[[#This Row],[ИТОГО NS май, шт.]]/Планирование_новый_год[[#This Row],[ИТОГО Прогноз май, шт.]],"")</f>
        <v/>
      </c>
      <c r="DO7" s="110" t="str">
        <f>IFERROR(Планирование_новый_год[[#This Row],[ИТОГО NS июнь, шт.]]/Планирование_новый_год[[#This Row],[ИТОГО Прогноз июнь, шт.]],"")</f>
        <v/>
      </c>
      <c r="DP7" s="110" t="str">
        <f>IFERROR(Планирование_новый_год[[#This Row],[ИТОГО NS июль, шт.]]/Планирование_новый_год[[#This Row],[ИТОГО Прогноз июль, шт.]],"")</f>
        <v/>
      </c>
      <c r="DQ7" s="110" t="str">
        <f>IFERROR(Планирование_новый_год[[#This Row],[ИТОГО NS август, шт.]]/Планирование_новый_год[[#This Row],[ИТОГО Прогноз август, шт.]],"")</f>
        <v/>
      </c>
      <c r="DR7" s="110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7" s="110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10" t="str">
        <f>IFERROR(Планирование_новый_год[[#This Row],[ИТОГО NS ноябрь, шт.]]/Планирование_новый_год[[#This Row],[ИТОГО Прогноз ноябрь, шт.]],"")</f>
        <v/>
      </c>
      <c r="DU7" s="111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6" t="str">
        <f>IFERROR(INDEX(РРЦ[DIY price list, руб. без НДС],MATCH(Планирование_новый_год[[#This Row],[Артикул]],РРЦ[Артикул],0)),"")</f>
        <v/>
      </c>
      <c r="DW7" s="96"/>
      <c r="DX7" s="109">
        <f>IFERROR(SUM(Планирование_новый_год[[#This Row],[Прогноз январь, шт.]:[Прогноз декабрь, шт.]]),"")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IFERROR(SUM(Планирование_новый_год[[#This Row],[Прогноз январь, шт.2]:[Прогноз декабрь, шт.2]]),"")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IFERROR(SUM(Планирование_новый_год[[#This Row],[GS январь, руб.]:[GS декабрь, руб.]]),"")</f>
        <v>0</v>
      </c>
      <c r="FB7" s="109" t="str">
        <f>IFERROR(Планирование_новый_год[[#This Row],[Price list цена, руб.]]*Планирование_новый_год[[#This Row],[Прогноз январь, шт.]],"")</f>
        <v/>
      </c>
      <c r="FC7" s="109" t="str">
        <f>IFERROR(Планирование_новый_год[[#This Row],[Price list цена, руб.]]*Планирование_новый_год[[#This Row],[Прогноз февраль, шт.]],"")</f>
        <v/>
      </c>
      <c r="FD7" s="109" t="str">
        <f>IFERROR(Планирование_новый_год[[#This Row],[Price list цена, руб.]]*Планирование_новый_год[[#This Row],[Прогноз март, шт.]],"")</f>
        <v/>
      </c>
      <c r="FE7" s="109" t="str">
        <f>IFERROR(Планирование_новый_год[[#This Row],[Price list цена, руб.]]*Планирование_новый_год[[#This Row],[Прогноз апрель, шт.]],"")</f>
        <v/>
      </c>
      <c r="FF7" s="109" t="str">
        <f>IFERROR(Планирование_новый_год[[#This Row],[Price list цена, руб.]]*Планирование_новый_год[[#This Row],[Прогноз май, шт.]],"")</f>
        <v/>
      </c>
      <c r="FG7" s="109" t="str">
        <f>IFERROR(Планирование_новый_год[[#This Row],[Price list цена, руб.]]*Планирование_новый_год[[#This Row],[Прогноз июнь, шт.]],"")</f>
        <v/>
      </c>
      <c r="FH7" s="109" t="str">
        <f>IFERROR(Планирование_новый_год[[#This Row],[Price list цена, руб.]]*Планирование_новый_год[[#This Row],[Прогноз июль, шт.]],"")</f>
        <v/>
      </c>
      <c r="FI7" s="109" t="str">
        <f>IFERROR(Планирование_новый_год[[#This Row],[Price list цена, руб.]]*Планирование_новый_год[[#This Row],[Прогноз август, шт.]],"")</f>
        <v/>
      </c>
      <c r="FJ7" s="109" t="str">
        <f>IFERROR(Планирование_новый_год[[#This Row],[Price list цена, руб.]]*Планирование_новый_год[[#This Row],[Прогноз сентрябрь, шт.]],"")</f>
        <v/>
      </c>
      <c r="FK7" s="109" t="str">
        <f>IFERROR(Планирование_новый_год[[#This Row],[Price list цена, руб.]]*Планирование_новый_год[[#This Row],[Прогноз октябрь, шт.]],"")</f>
        <v/>
      </c>
      <c r="FL7" s="109" t="str">
        <f>IFERROR(Планирование_новый_год[[#This Row],[Price list цена, руб.]]*Планирование_новый_год[[#This Row],[Прогноз ноябрь, шт.]],"")</f>
        <v/>
      </c>
      <c r="FM7" s="109" t="str">
        <f>IFERROR(Планирование_новый_год[[#This Row],[Price list цена, руб.]]*Планирование_новый_год[[#This Row],[Прогноз декабрь, шт.]],"")</f>
        <v/>
      </c>
      <c r="FN7" s="103">
        <f>IFERROR(SUM(Планирование_новый_год[[#This Row],[NS январь, руб.]:[NS декабрь, шт.]]),"")</f>
        <v>0</v>
      </c>
      <c r="FO7" s="109" t="str">
        <f>IFERROR((Планирование_новый_год[[#This Row],[Price list цена, руб.]]*Планирование_новый_год[[#This Row],[Прогноз январь, шт.]])*(1-$V$2),"")</f>
        <v/>
      </c>
      <c r="FP7" s="109" t="str">
        <f>IFERROR((Планирование_новый_год[[#This Row],[Price list цена, руб.]]*Планирование_новый_год[[#This Row],[Прогноз февраль, шт.]])*(1-$V$2),"")</f>
        <v/>
      </c>
      <c r="FQ7" s="109" t="str">
        <f>IFERROR((Планирование_новый_год[[#This Row],[Price list цена, руб.]]*Планирование_новый_год[[#This Row],[Прогноз март, шт.]])*(1-$V$2),"")</f>
        <v/>
      </c>
      <c r="FR7" s="109" t="str">
        <f>IFERROR((Планирование_новый_год[[#This Row],[Price list цена, руб.]]*Планирование_новый_год[[#This Row],[Прогноз апрель, шт.]])*(1-$V$2),"")</f>
        <v/>
      </c>
      <c r="FS7" s="109" t="str">
        <f>IFERROR((Планирование_новый_год[[#This Row],[Price list цена, руб.]]*Планирование_новый_год[[#This Row],[Прогноз май, шт.]])*(1-$V$2),"")</f>
        <v/>
      </c>
      <c r="FT7" s="109" t="str">
        <f>IFERROR((Планирование_новый_год[[#This Row],[Price list цена, руб.]]*Планирование_новый_год[[#This Row],[Прогноз июнь, шт.]])*(1-$V$2),"")</f>
        <v/>
      </c>
      <c r="FU7" s="109" t="str">
        <f>IFERROR((Планирование_новый_год[[#This Row],[Price list цена, руб.]]*Планирование_новый_год[[#This Row],[Прогноз июль, шт.]])*(1-$V$2),"")</f>
        <v/>
      </c>
      <c r="FV7" s="109" t="str">
        <f>IFERROR((Планирование_новый_год[[#This Row],[Price list цена, руб.]]*Планирование_новый_год[[#This Row],[Прогноз август, шт.]])*(1-$V$2),"")</f>
        <v/>
      </c>
      <c r="FW7" s="109" t="str">
        <f>IFERROR((Планирование_новый_год[[#This Row],[Price list цена, руб.]]*Планирование_новый_год[[#This Row],[Прогноз сентрябрь, шт.]])*(1-$V$2),"")</f>
        <v/>
      </c>
      <c r="FX7" s="109" t="str">
        <f>IFERROR((Планирование_новый_год[[#This Row],[Price list цена, руб.]]*Планирование_новый_год[[#This Row],[Прогноз октябрь, шт.]])*(1-$V$2),"")</f>
        <v/>
      </c>
      <c r="FY7" s="109" t="str">
        <f>IFERROR((Планирование_новый_год[[#This Row],[Price list цена, руб.]]*Планирование_новый_год[[#This Row],[Прогноз ноябрь, шт.]])*(1-$V$2),"")</f>
        <v/>
      </c>
      <c r="FZ7" s="109" t="str">
        <f>IFERROR((Планирование_новый_год[[#This Row],[Price list цена, руб.]]*Планирование_новый_год[[#This Row],[Прогноз декабрь, шт.]])*(1-$V$2),"")</f>
        <v/>
      </c>
      <c r="GA7" s="103">
        <f>IFERROR(Планирование_новый_год[[#This Row],[DIY price list, руб. без НДС]]*Планирование_новый_год[[#This Row],[скидка от Price list цены, %]],"")</f>
        <v>0</v>
      </c>
      <c r="GB7" s="98"/>
      <c r="GC7" s="109">
        <f>IFERROR(SUM(Планирование_новый_год[[#This Row],[Промо прогноз январь, шт.]:[Промо прогноз декабрь, шт.]]),"")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IFERROR(SUM(Планирование_новый_год[[#This Row],[Промо GS январь, руб.]:[Промо GS декабрь, руб.]]),"")</f>
        <v>0</v>
      </c>
      <c r="GQ7" s="109">
        <f>IFERROR(Планирование_новый_год[[#This Row],[Промо прогноз январь, шт.]]*Планирование_новый_год[[#This Row],[Промо цена, руб.]],"")</f>
        <v>0</v>
      </c>
      <c r="GR7" s="109">
        <f>IFERROR(Планирование_новый_год[[#This Row],[Промо прогноз февраль, шт.]]*Планирование_новый_год[[#This Row],[Промо цена, руб.]],"")</f>
        <v>0</v>
      </c>
      <c r="GS7" s="109">
        <f>IFERROR(Планирование_новый_год[[#This Row],[Промо прогноз март, шт.]]*Планирование_новый_год[[#This Row],[Промо цена, руб.]],"")</f>
        <v>0</v>
      </c>
      <c r="GT7" s="109">
        <f>IFERROR(Планирование_новый_год[[#This Row],[Промо прогноз апрель, шт.]]*Планирование_новый_год[[#This Row],[Промо цена, руб.]],"")</f>
        <v>0</v>
      </c>
      <c r="GU7" s="109">
        <f>IFERROR(Планирование_новый_год[[#This Row],[Промо прогноз май, шт.]]*Планирование_новый_год[[#This Row],[Промо цена, руб.]],"")</f>
        <v>0</v>
      </c>
      <c r="GV7" s="109">
        <f>IFERROR(Планирование_новый_год[[#This Row],[Промо прогноз июнь, шт.]]*Планирование_новый_год[[#This Row],[Промо цена, руб.]],"")</f>
        <v>0</v>
      </c>
      <c r="GW7" s="109">
        <f>IFERROR(Планирование_новый_год[[#This Row],[Промо прогноз июль, шт.]]*Планирование_новый_год[[#This Row],[Промо цена, руб.]],"")</f>
        <v>0</v>
      </c>
      <c r="GX7" s="109">
        <f>IFERROR(Планирование_новый_год[[#This Row],[Промо прогноз август, шт.]]*Планирование_новый_год[[#This Row],[Промо цена, руб.]],"")</f>
        <v>0</v>
      </c>
      <c r="GY7" s="109">
        <f>IFERROR(Планирование_новый_год[[#This Row],[Промо прогноз сентрябрь, шт.]]*Планирование_новый_год[[#This Row],[Промо цена, руб.]],"")</f>
        <v>0</v>
      </c>
      <c r="GZ7" s="109">
        <f>IFERROR(Планирование_новый_год[[#This Row],[Промо прогноз октябрь, шт.]]*Планирование_новый_год[[#This Row],[Промо цена, руб.]],"")</f>
        <v>0</v>
      </c>
      <c r="HA7" s="109">
        <f>IFERROR(Планирование_новый_год[[#This Row],[Промо прогноз ноябрь, шт.]]*Планирование_новый_год[[#This Row],[Промо цена, руб.]],"")</f>
        <v>0</v>
      </c>
      <c r="HB7" s="109">
        <f>IFERROR(Планирование_новый_год[[#This Row],[Промо прогноз декабрь, шт.]]*Планирование_новый_год[[#This Row],[Промо цена, руб.]],"")</f>
        <v>0</v>
      </c>
      <c r="HC7" s="103">
        <f>IFERROR(SUM(Планирование_новый_год[[#This Row],[Промо NS январь, руб.]:[Промо NS декабрь, руб.]]),"")</f>
        <v>0</v>
      </c>
      <c r="HD7" s="109" t="str">
        <f>IFERROR(Планирование_новый_год[[#This Row],[3 net цена, руб.]]*Планирование_новый_год[[#This Row],[Промо прогноз январь, шт.]]*(1-$V$2),"")</f>
        <v/>
      </c>
      <c r="HE7" s="109" t="str">
        <f>IFERROR(Планирование_новый_год[[#This Row],[3 net цена, руб.]]*Планирование_новый_год[[#This Row],[Промо прогноз февраль, шт.]]*(1-$V$2),"")</f>
        <v/>
      </c>
      <c r="HF7" s="109" t="str">
        <f>IFERROR(Планирование_новый_год[[#This Row],[3 net цена, руб.]]*Планирование_новый_год[[#This Row],[Промо прогноз март, шт.]]*(1-$V$2),"")</f>
        <v/>
      </c>
      <c r="HG7" s="109" t="str">
        <f>IFERROR(Планирование_новый_год[[#This Row],[3 net цена, руб.]]*Планирование_новый_год[[#This Row],[Промо прогноз апрель, шт.]]*(1-$V$2),"")</f>
        <v/>
      </c>
      <c r="HH7" s="109" t="str">
        <f>IFERROR(Планирование_новый_год[[#This Row],[3 net цена, руб.]]*Планирование_новый_год[[#This Row],[Промо прогноз май, шт.]]*(1-$V$2),"")</f>
        <v/>
      </c>
      <c r="HI7" s="109" t="str">
        <f>IFERROR(Планирование_новый_год[[#This Row],[3 net цена, руб.]]*Планирование_новый_год[[#This Row],[Промо прогноз июнь, шт.]]*(1-$V$2),"")</f>
        <v/>
      </c>
      <c r="HJ7" s="109" t="str">
        <f>IFERROR(Планирование_новый_год[[#This Row],[3 net цена, руб.]]*Планирование_новый_год[[#This Row],[Промо прогноз июль, шт.]]*(1-$V$2),"")</f>
        <v/>
      </c>
      <c r="HK7" s="109" t="str">
        <f>IFERROR(Планирование_новый_год[[#This Row],[3 net цена, руб.]]*Планирование_новый_год[[#This Row],[Промо прогноз август, шт.]]*(1-$V$2),"")</f>
        <v/>
      </c>
      <c r="HL7" s="109" t="str">
        <f>IFERROR(Планирование_новый_год[[#This Row],[3 net цена, руб.]]*Планирование_новый_год[[#This Row],[Промо прогноз сентрябрь, шт.]]*(1-$V$2),"")</f>
        <v/>
      </c>
      <c r="HM7" s="109" t="str">
        <f>IFERROR(Планирование_новый_год[[#This Row],[3 net цена, руб.]]*Планирование_новый_год[[#This Row],[Промо прогноз октябрь, шт.]]*(1-$V$2),"")</f>
        <v/>
      </c>
      <c r="HN7" s="109" t="str">
        <f>IFERROR(Планирование_новый_год[[#This Row],[3 net цена, руб.]]*Планирование_новый_год[[#This Row],[Промо прогноз ноябрь, шт.]]*(1-$V$2),"")</f>
        <v/>
      </c>
      <c r="HO7" s="109" t="str">
        <f>IFERROR(Планирование_новый_год[[#This Row],[3 net цена, руб.]]*Планирование_новый_год[[#This Row],[Промо прогноз декабрь, шт.]]*(1-$V$2),"")</f>
        <v/>
      </c>
    </row>
    <row r="8" spans="1:223" x14ac:dyDescent="0.25">
      <c r="A8" s="96"/>
      <c r="B8" s="116"/>
      <c r="C8" s="96"/>
      <c r="D8" s="96"/>
      <c r="E8" s="96"/>
      <c r="F8" s="96"/>
      <c r="G8" s="96"/>
      <c r="H8" s="96"/>
      <c r="I8" s="96"/>
      <c r="J8" s="96"/>
      <c r="K8" s="96"/>
      <c r="L8" s="117" t="str">
        <f>IFERROR(Планирование_новый_год[[#This Row],[GS, руб.]]/Планирование_новый_год[[#This Row],[Прогноз за год, шт. ]],"")</f>
        <v/>
      </c>
      <c r="M8" s="96"/>
      <c r="N8" s="117" t="str">
        <f>IFERROR(Планирование_новый_год[[#This Row],[2 net цена, руб.]]-Планирование_новый_год[[#This Row],[2 net цена, руб.]]*$V$2,"")</f>
        <v/>
      </c>
      <c r="O8" s="96"/>
      <c r="P8" s="117">
        <f>IFERROR(Планирование_новый_год[[#This Row],[Промо GS за год, руб.]]+Планирование_новый_год[[#This Row],[GS за год, руб.]],"")</f>
        <v>0</v>
      </c>
      <c r="Q8" s="117">
        <f>IFERROR(Планирование_новый_год[[#This Row],[NS за год, руб.]]+Планирование_новый_год[[#This Row],[Промо NS за год, руб.]],"")</f>
        <v>0</v>
      </c>
      <c r="R8" s="96"/>
      <c r="S8" s="96"/>
      <c r="T8" s="96"/>
      <c r="U8" s="96"/>
      <c r="V8" s="97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8"/>
      <c r="AI8" s="96">
        <f>IFERROR(Планирование_новый_год[[#This Row],[GS за год, руб.]],"")</f>
        <v>0</v>
      </c>
      <c r="AJ8" s="96" t="str">
        <f>IFERROR(Планирование_новый_год[[#This Row],[GS январь, руб.]],"")</f>
        <v/>
      </c>
      <c r="AK8" s="96" t="str">
        <f>IFERROR(Планирование_новый_год[[#This Row],[GS февраль, руб.]],"")</f>
        <v/>
      </c>
      <c r="AL8" s="96" t="str">
        <f>IFERROR(Планирование_новый_год[[#This Row],[GS март, руб.]],"")</f>
        <v/>
      </c>
      <c r="AM8" s="96" t="str">
        <f>IFERROR(Планирование_новый_год[[#This Row],[GS апрель, руб.]],"")</f>
        <v/>
      </c>
      <c r="AN8" s="96" t="str">
        <f>IFERROR(Планирование_новый_год[[#This Row],[GS май, руб.]],"")</f>
        <v/>
      </c>
      <c r="AO8" s="96" t="str">
        <f>IFERROR(Планирование_новый_год[[#This Row],[GS июнь, руб.]],"")</f>
        <v/>
      </c>
      <c r="AP8" s="96" t="str">
        <f>IFERROR(Планирование_новый_год[[#This Row],[GS июль, руб.]],"")</f>
        <v/>
      </c>
      <c r="AQ8" s="96" t="str">
        <f>IFERROR(Планирование_новый_год[[#This Row],[GS август, руб.]],"")</f>
        <v/>
      </c>
      <c r="AR8" s="96" t="str">
        <f>IFERROR(Планирование_новый_год[[#This Row],[GS сентрябрь, руб.]],"")</f>
        <v/>
      </c>
      <c r="AS8" s="96" t="str">
        <f>IFERROR(Планирование_новый_год[[#This Row],[GS октябрь, руб.]],"")</f>
        <v/>
      </c>
      <c r="AT8" s="96" t="str">
        <f>IFERROR(Планирование_новый_год[[#This Row],[GS ноябрь, руб.]],"")</f>
        <v/>
      </c>
      <c r="AU8" s="96" t="str">
        <f>IFERROR(Планирование_новый_год[[#This Row],[GS декабрь, руб.]],"")</f>
        <v/>
      </c>
      <c r="AV8" s="97">
        <f>IFERROR(Планирование_новый_год[[#This Row],[NS за год, руб.]],"")</f>
        <v>0</v>
      </c>
      <c r="AW8" s="96" t="str">
        <f>IFERROR(Планирование_новый_год[[#This Row],[NS январь, руб.]],"")</f>
        <v/>
      </c>
      <c r="AX8" s="96" t="str">
        <f>IFERROR(Планирование_новый_год[[#This Row],[NS февраль, руб.]],"")</f>
        <v/>
      </c>
      <c r="AY8" s="96" t="str">
        <f>IFERROR(Планирование_новый_год[[#This Row],[NS март, руб.]],"")</f>
        <v/>
      </c>
      <c r="AZ8" s="96" t="str">
        <f>IFERROR(Планирование_новый_год[[#This Row],[NS апрель, руб.]],"")</f>
        <v/>
      </c>
      <c r="BA8" s="96" t="str">
        <f>IFERROR(Планирование_новый_год[[#This Row],[NS май, руб.]],"")</f>
        <v/>
      </c>
      <c r="BB8" s="96" t="str">
        <f>IFERROR(Планирование_новый_год[[#This Row],[NS июнь, руб.]],"")</f>
        <v/>
      </c>
      <c r="BC8" s="96" t="str">
        <f>IFERROR(Планирование_новый_год[[#This Row],[NS июль, руб.]],"")</f>
        <v/>
      </c>
      <c r="BD8" s="96" t="str">
        <f>IFERROR(Планирование_новый_год[[#This Row],[NS август, руб.]],"")</f>
        <v/>
      </c>
      <c r="BE8" s="96" t="str">
        <f>IFERROR(Планирование_новый_год[[#This Row],[NS сентрябрь, руб.]],"")</f>
        <v/>
      </c>
      <c r="BF8" s="96" t="str">
        <f>IFERROR(Планирование_новый_год[[#This Row],[NS октябрь, руб.]],"")</f>
        <v/>
      </c>
      <c r="BG8" s="96" t="str">
        <f>IFERROR(Планирование_новый_год[[#This Row],[NS ноябрь, руб.]],"")</f>
        <v/>
      </c>
      <c r="BH8" s="98" t="str">
        <f>IFERROR(Планирование_новый_год[[#This Row],[NS декабрь, шт.]],"")</f>
        <v/>
      </c>
      <c r="BI8" s="97">
        <f>IFERROR(Планирование_новый_год[[#This Row],[ИТОГО Прогноз за год, шт. ]]*Планирование_новый_год[[#This Row],[STK 2.5, руб.]],"")</f>
        <v>0</v>
      </c>
      <c r="BJ8" s="96">
        <f>IFERROR(Планирование_новый_год[[#This Row],[ИТОГО Прогноз январь, шт.]]*Планирование_новый_год[[#This Row],[STK 2.5, руб.]],"")</f>
        <v>0</v>
      </c>
      <c r="BK8" s="96">
        <f>IFERROR(Планирование_новый_год[[#This Row],[ИТОГО Прогноз февраль, шт.]]*Планирование_новый_год[[#This Row],[STK 2.5, руб.]],"")</f>
        <v>0</v>
      </c>
      <c r="BL8" s="96">
        <f>IFERROR(Планирование_новый_год[[#This Row],[ИТОГО Прогноз март, шт.]]*Планирование_новый_год[[#This Row],[STK 2.5, руб.]],"")</f>
        <v>0</v>
      </c>
      <c r="BM8" s="96">
        <f>IFERROR(Планирование_новый_год[[#This Row],[ИТОГО Прогноз апрель, шт.]]*Планирование_новый_год[[#This Row],[STK 2.5, руб.]],"")</f>
        <v>0</v>
      </c>
      <c r="BN8" s="96">
        <f>IFERROR(Планирование_новый_год[[#This Row],[ИТОГО Прогноз май, шт.]]*Планирование_новый_год[[#This Row],[STK 2.5, руб.]],"")</f>
        <v>0</v>
      </c>
      <c r="BO8" s="96">
        <f>IFERROR(Планирование_новый_год[[#This Row],[ИТОГО Прогноз июнь, шт.]]*Планирование_новый_год[[#This Row],[STK 2.5, руб.]],"")</f>
        <v>0</v>
      </c>
      <c r="BP8" s="96">
        <f>IFERROR(Планирование_новый_год[[#This Row],[ИТОГО Прогноз июль, шт.]]*Планирование_новый_год[[#This Row],[STK 2.5, руб.]],"")</f>
        <v>0</v>
      </c>
      <c r="BQ8" s="96">
        <f>IFERROR(Планирование_новый_год[[#This Row],[ИТОГО Прогноз август, шт.]]*Планирование_новый_год[[#This Row],[STK 2.5, руб.]],"")</f>
        <v>0</v>
      </c>
      <c r="BR8" s="96">
        <f>IFERROR(Планирование_новый_год[[#This Row],[ИТОГО Прогноз сентрябрь, шт.]]*Планирование_новый_год[[#This Row],[STK 2.5, руб.]],"")</f>
        <v>0</v>
      </c>
      <c r="BS8" s="96">
        <f>IFERROR(Планирование_новый_год[[#This Row],[ИТОГО Прогноз октябрь, шт.]]*Планирование_новый_год[[#This Row],[STK 2.5, руб.]],"")</f>
        <v>0</v>
      </c>
      <c r="BT8" s="98">
        <f>IFERROR(Планирование_новый_год[[#This Row],[ИТОГО Прогноз ноябрь, шт.]]*Планирование_новый_год[[#This Row],[STK 2.5, руб.]],"")</f>
        <v>0</v>
      </c>
      <c r="BU8" s="96">
        <f>IFERROR(Планирование_новый_год[[#This Row],[ИТОГО Прогноз декабрь, шт.]]*Планирование_новый_год[[#This Row],[STK 2.5, руб.]],"")</f>
        <v>0</v>
      </c>
      <c r="BV8" s="97" t="str">
        <f>IFERROR(Планирование_новый_год[[#This Row],[GP, %]]/Планирование_новый_год[[#This Row],[ИТОГО NS за год, руб.]],"")</f>
        <v/>
      </c>
      <c r="BW8" s="96" t="str">
        <f>IFERROR(Планирование_новый_год[[#This Row],[GP, %]]/Планирование_новый_год[[#This Row],[ИТОГО NS январь, шт.]],"")</f>
        <v/>
      </c>
      <c r="BX8" s="96" t="str">
        <f>IFERROR(Планирование_новый_год[[#This Row],[GP, %]]/Планирование_новый_год[[#This Row],[ИТОГО NS февраль, шт.]],"")</f>
        <v/>
      </c>
      <c r="BY8" s="96" t="str">
        <f>IFERROR(Планирование_новый_год[[#This Row],[GP, %]]/Планирование_новый_год[[#This Row],[ИТОГО NS март, шт.]],"")</f>
        <v/>
      </c>
      <c r="BZ8" s="96" t="str">
        <f>IFERROR(Планирование_новый_год[[#This Row],[GP, %]]/Планирование_новый_год[[#This Row],[ИТОГО NS апрель, шт.]],"")</f>
        <v/>
      </c>
      <c r="CA8" s="96" t="str">
        <f>IFERROR(Планирование_новый_год[[#This Row],[GP, %]]/Планирование_новый_год[[#This Row],[ИТОГО NS май, шт.]],"")</f>
        <v/>
      </c>
      <c r="CB8" s="96" t="str">
        <f>IFERROR(Планирование_новый_год[[#This Row],[GP, %]]/Планирование_новый_год[[#This Row],[ИТОГО NS июнь, шт.]],"")</f>
        <v/>
      </c>
      <c r="CC8" s="96" t="str">
        <f>IFERROR(Планирование_новый_год[[#This Row],[GP, %]]/Планирование_новый_год[[#This Row],[ИТОГО NS июль, шт.]],"")</f>
        <v/>
      </c>
      <c r="CD8" s="96" t="str">
        <f>IFERROR(Планирование_новый_год[[#This Row],[GP, %]]/Планирование_новый_год[[#This Row],[ИТОГО NS август, шт.]],"")</f>
        <v/>
      </c>
      <c r="CE8" s="96" t="str">
        <f>IFERROR(Планирование_новый_год[[#This Row],[GP, %]]/Планирование_новый_год[[#This Row],[ИТОГО NS сентрябрь, шт.]],"")</f>
        <v/>
      </c>
      <c r="CF8" s="96" t="str">
        <f>IFERROR(Планирование_новый_год[[#This Row],[GP, %]]/Планирование_новый_год[[#This Row],[ИТОГО NS октябрь, шт.]],"")</f>
        <v/>
      </c>
      <c r="CG8" s="96" t="str">
        <f>IFERROR(Планирование_новый_год[[#This Row],[GP, %]]/Планирование_новый_год[[#This Row],[ИТОГО NS ноябрь, шт.]],"")</f>
        <v/>
      </c>
      <c r="CH8" s="98" t="str">
        <f>IFERROR(Планирование_новый_год[[#This Row],[GP, %]]/Планирование_новый_год[[#This Row],[ИТОГО NS декабрь, шт.]],"")</f>
        <v/>
      </c>
      <c r="CI8" s="97" t="str">
        <f>IFERROR(1-Планирование_новый_год[[#This Row],[LC, руб.]]/Планирование_новый_год[[#This Row],[ИТОГО NS за год, руб.]],"")</f>
        <v/>
      </c>
      <c r="CJ8" s="96" t="str">
        <f>IFERROR(1-Планирование_новый_год[[#This Row],[LC, руб.]]/Планирование_новый_год[[#This Row],[ИТОГО NS январь, шт.]],"")</f>
        <v/>
      </c>
      <c r="CK8" s="96" t="str">
        <f>IFERROR(1-Планирование_новый_год[[#This Row],[LC, руб.]]/Планирование_новый_год[[#This Row],[ИТОГО NS февраль, шт.]],"")</f>
        <v/>
      </c>
      <c r="CL8" s="96" t="str">
        <f>IFERROR(1-Планирование_новый_год[[#This Row],[LC, руб.]]/Планирование_новый_год[[#This Row],[ИТОГО NS март, шт.]],"")</f>
        <v/>
      </c>
      <c r="CM8" s="96" t="str">
        <f>IFERROR(1-Планирование_новый_год[[#This Row],[LC, руб.]]/Планирование_новый_год[[#This Row],[ИТОГО NS апрель, шт.]],"")</f>
        <v/>
      </c>
      <c r="CN8" s="96" t="str">
        <f>IFERROR(1-Планирование_новый_год[[#This Row],[LC, руб.]]/Планирование_новый_год[[#This Row],[ИТОГО NS май, шт.]],"")</f>
        <v/>
      </c>
      <c r="CO8" s="96" t="str">
        <f>IFERROR(1-Планирование_новый_год[[#This Row],[LC, руб.]]/Планирование_новый_год[[#This Row],[ИТОГО NS июнь, шт.]],"")</f>
        <v/>
      </c>
      <c r="CP8" s="96" t="str">
        <f>IFERROR(1-Планирование_новый_год[[#This Row],[LC, руб.]]/Планирование_новый_год[[#This Row],[ИТОГО NS июль, шт.]],"")</f>
        <v/>
      </c>
      <c r="CQ8" s="96" t="str">
        <f>IFERROR(1-Планирование_новый_год[[#This Row],[LC, руб.]]/Планирование_новый_год[[#This Row],[ИТОГО NS август, шт.]],"")</f>
        <v/>
      </c>
      <c r="CR8" s="96" t="str">
        <f>IFERROR(1-Планирование_новый_год[[#This Row],[LC, руб.]]/Планирование_новый_год[[#This Row],[ИТОГО NS сентрябрь, шт.]],"")</f>
        <v/>
      </c>
      <c r="CS8" s="96" t="str">
        <f>IFERROR(1-Планирование_новый_год[[#This Row],[LC, руб.]]/Планирование_новый_год[[#This Row],[ИТОГО NS октябрь, шт.]],"")</f>
        <v/>
      </c>
      <c r="CT8" s="96" t="str">
        <f>IFERROR(1-Планирование_новый_год[[#This Row],[LC, руб.]]/Планирование_новый_год[[#This Row],[ИТОГО NS ноябрь, шт.]],"")</f>
        <v/>
      </c>
      <c r="CU8" s="98" t="str">
        <f>IFERROR(1-Планирование_новый_год[[#This Row],[LC, руб.]]/Планирование_новый_год[[#This Row],[ИТОГО NS декабрь, шт.]],"")</f>
        <v/>
      </c>
      <c r="CV8" s="97" t="str">
        <f>IFERROR(Планирование_новый_год[[#This Row],[ИТОГО GS за год, руб.]]/Планирование_новый_год[[#This Row],[ИТОГО Прогноз за год, шт. ]],"")</f>
        <v/>
      </c>
      <c r="CW8" s="96" t="str">
        <f>IFERROR(Планирование_новый_год[[#This Row],[ИТОГО GS январь, шт.]]/Планирование_новый_год[[#This Row],[ИТОГО Прогноз январь, шт.]],"")</f>
        <v/>
      </c>
      <c r="CX8" s="96" t="str">
        <f>IFERROR(Планирование_новый_год[[#This Row],[ИТОГО GS февраль, шт.]]/Планирование_новый_год[[#This Row],[ИТОГО Прогноз февраль, шт.]],"")</f>
        <v/>
      </c>
      <c r="CY8" s="96" t="str">
        <f>IFERROR(Планирование_новый_год[[#This Row],[ИТОГО GS март, шт.]]/Планирование_новый_год[[#This Row],[ИТОГО Прогноз март, шт.]],"")</f>
        <v/>
      </c>
      <c r="CZ8" s="96" t="str">
        <f>IFERROR(Планирование_новый_год[[#This Row],[ИТОГО GS апрель, шт.]]/Планирование_новый_год[[#This Row],[ИТОГО Прогноз апрель, шт.]],"")</f>
        <v/>
      </c>
      <c r="DA8" s="96" t="str">
        <f>IFERROR(Планирование_новый_год[[#This Row],[ИТОГО GS май, шт.]]/Планирование_новый_год[[#This Row],[ИТОГО Прогноз май, шт.]],"")</f>
        <v/>
      </c>
      <c r="DB8" s="96" t="str">
        <f>IFERROR(Планирование_новый_год[[#This Row],[ИТОГО GS июнь, шт.]]/Планирование_новый_год[[#This Row],[ИТОГО Прогноз июнь, шт.]],"")</f>
        <v/>
      </c>
      <c r="DC8" s="96" t="str">
        <f>IFERROR(Планирование_новый_год[[#This Row],[ИТОГО GS июль, шт.]]/Планирование_новый_год[[#This Row],[ИТОГО Прогноз июль, шт.]],"")</f>
        <v/>
      </c>
      <c r="DD8" s="96" t="str">
        <f>IFERROR(Планирование_новый_год[[#This Row],[ИТОГО GS август, шт.]]/Планирование_новый_год[[#This Row],[ИТОГО Прогноз август, шт.]],"")</f>
        <v/>
      </c>
      <c r="DE8" s="96" t="str">
        <f>IFERROR(Планирование_новый_год[[#This Row],[ИТОГО GS сентрябрь, шт.]]/Планирование_новый_год[[#This Row],[ИТОГО Прогноз сентрябрь, шт.]],"")</f>
        <v/>
      </c>
      <c r="DF8" s="96" t="str">
        <f>IFERROR(Планирование_новый_год[[#This Row],[ИТОГО GS октябрь, шт.]]/Планирование_новый_год[[#This Row],[ИТОГО Прогноз октябрь, шт.]],"")</f>
        <v/>
      </c>
      <c r="DG8" s="96" t="str">
        <f>IFERROR(Планирование_новый_год[[#This Row],[ИТОГО GS ноябрь, шт.]]/Планирование_новый_год[[#This Row],[ИТОГО Прогноз ноябрь, шт.]],"")</f>
        <v/>
      </c>
      <c r="DH8" s="98" t="str">
        <f>IFERROR(Планирование_новый_год[[#This Row],[ИТОГО GS декабрь, шт.2]]/Планирование_новый_год[[#This Row],[ИТОГО Прогноз декабрь, шт.]],"")</f>
        <v/>
      </c>
      <c r="DI8" s="97" t="str">
        <f>IFERROR(Планирование_новый_год[[#This Row],[ИТОГО NS за год, руб.]]/Планирование_новый_год[[#This Row],[ИТОГО Прогноз за год, шт. ]],"")</f>
        <v/>
      </c>
      <c r="DJ8" s="96" t="str">
        <f>IFERROR(Планирование_новый_год[[#This Row],[ИТОГО NS январь, шт.]]/Планирование_новый_год[[#This Row],[ИТОГО Прогноз январь, шт.]],"")</f>
        <v/>
      </c>
      <c r="DK8" s="96" t="str">
        <f>IFERROR(Планирование_новый_год[[#This Row],[ИТОГО NS февраль, шт.]]/Планирование_новый_год[[#This Row],[ИТОГО Прогноз февраль, шт.]],"")</f>
        <v/>
      </c>
      <c r="DL8" s="96" t="str">
        <f>IFERROR(Планирование_новый_год[[#This Row],[ИТОГО NS март, шт.]]/Планирование_новый_год[[#This Row],[ИТОГО Прогноз март, шт.]],"")</f>
        <v/>
      </c>
      <c r="DM8" s="96" t="str">
        <f>IFERROR(Планирование_новый_год[[#This Row],[ИТОГО NS апрель, шт.]]/Планирование_новый_год[[#This Row],[ИТОГО Прогноз апрель, шт.]],"")</f>
        <v/>
      </c>
      <c r="DN8" s="96" t="str">
        <f>IFERROR(Планирование_новый_год[[#This Row],[ИТОГО NS май, шт.]]/Планирование_новый_год[[#This Row],[ИТОГО Прогноз май, шт.]],"")</f>
        <v/>
      </c>
      <c r="DO8" s="96" t="str">
        <f>IFERROR(Планирование_новый_год[[#This Row],[ИТОГО NS июнь, шт.]]/Планирование_новый_год[[#This Row],[ИТОГО Прогноз июнь, шт.]],"")</f>
        <v/>
      </c>
      <c r="DP8" s="96" t="str">
        <f>IFERROR(Планирование_новый_год[[#This Row],[ИТОГО NS июль, шт.]]/Планирование_новый_год[[#This Row],[ИТОГО Прогноз июль, шт.]],"")</f>
        <v/>
      </c>
      <c r="DQ8" s="96" t="str">
        <f>IFERROR(Планирование_новый_год[[#This Row],[ИТОГО NS август, шт.]]/Планирование_новый_год[[#This Row],[ИТОГО Прогноз август, шт.]],"")</f>
        <v/>
      </c>
      <c r="DR8" s="96" t="str">
        <f>IFERROR(Планирование_новый_год[[#This Row],[ИТОГО NS сентрябрь, шт.]]/Планирование_новый_год[[#This Row],[ИТОГО Прогноз сентрябрь, шт.]],"")</f>
        <v/>
      </c>
      <c r="DS8" s="96" t="str">
        <f>IFERROR(Планирование_новый_год[[#This Row],[ИТОГО NS октябрь, шт.]]/Планирование_новый_год[[#This Row],[ИТОГО Прогноз октябрь, шт.]],"")</f>
        <v/>
      </c>
      <c r="DT8" s="96" t="str">
        <f>IFERROR(Планирование_новый_год[[#This Row],[ИТОГО NS ноябрь, шт.]]/Планирование_новый_год[[#This Row],[ИТОГО Прогноз ноябрь, шт.]],"")</f>
        <v/>
      </c>
      <c r="DU8" s="98" t="str">
        <f>IFERROR(Планирование_новый_год[[#This Row],[ИТОГО NS декабрь, шт.]]/Планирование_новый_год[[#This Row],[ИТОГО Прогноз декабрь, шт.]],"")</f>
        <v/>
      </c>
      <c r="DV8" s="96" t="str">
        <f>IFERROR(INDEX(РРЦ[DIY price list, руб. без НДС],MATCH(Планирование_новый_год[[#This Row],[Артикул]],РРЦ[Артикул],0)),"")</f>
        <v/>
      </c>
      <c r="DW8" s="96"/>
      <c r="DX8" s="96">
        <f>IFERROR(SUM(Планирование_новый_год[[#This Row],[Прогноз январь, шт.]:[Прогноз декабрь, шт.]]),"")</f>
        <v>0</v>
      </c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>
        <f>IFERROR(SUM(Планирование_новый_год[[#This Row],[Прогноз январь, шт.2]:[Прогноз декабрь, шт.2]]),"")</f>
        <v>0</v>
      </c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8"/>
      <c r="FA8" s="117">
        <f>IFERROR(SUM(Планирование_новый_год[[#This Row],[GS январь, руб.]:[GS декабрь, руб.]]),"")</f>
        <v>0</v>
      </c>
      <c r="FB8" s="117" t="str">
        <f>IFERROR(Планирование_новый_год[[#This Row],[Price list цена, руб.]]*Планирование_новый_год[[#This Row],[Прогноз январь, шт.]],"")</f>
        <v/>
      </c>
      <c r="FC8" s="117" t="str">
        <f>IFERROR(Планирование_новый_год[[#This Row],[Price list цена, руб.]]*Планирование_новый_год[[#This Row],[Прогноз февраль, шт.]],"")</f>
        <v/>
      </c>
      <c r="FD8" s="117" t="str">
        <f>IFERROR(Планирование_новый_год[[#This Row],[Price list цена, руб.]]*Планирование_новый_год[[#This Row],[Прогноз март, шт.]],"")</f>
        <v/>
      </c>
      <c r="FE8" s="117" t="str">
        <f>IFERROR(Планирование_новый_год[[#This Row],[Price list цена, руб.]]*Планирование_новый_год[[#This Row],[Прогноз апрель, шт.]],"")</f>
        <v/>
      </c>
      <c r="FF8" s="117" t="str">
        <f>IFERROR(Планирование_новый_год[[#This Row],[Price list цена, руб.]]*Планирование_новый_год[[#This Row],[Прогноз май, шт.]],"")</f>
        <v/>
      </c>
      <c r="FG8" s="117" t="str">
        <f>IFERROR(Планирование_новый_год[[#This Row],[Price list цена, руб.]]*Планирование_новый_год[[#This Row],[Прогноз июнь, шт.]],"")</f>
        <v/>
      </c>
      <c r="FH8" s="117" t="str">
        <f>IFERROR(Планирование_новый_год[[#This Row],[Price list цена, руб.]]*Планирование_новый_год[[#This Row],[Прогноз июль, шт.]],"")</f>
        <v/>
      </c>
      <c r="FI8" s="117" t="str">
        <f>IFERROR(Планирование_новый_год[[#This Row],[Price list цена, руб.]]*Планирование_новый_год[[#This Row],[Прогноз август, шт.]],"")</f>
        <v/>
      </c>
      <c r="FJ8" s="117" t="str">
        <f>IFERROR(Планирование_новый_год[[#This Row],[Price list цена, руб.]]*Планирование_новый_год[[#This Row],[Прогноз сентрябрь, шт.]],"")</f>
        <v/>
      </c>
      <c r="FK8" s="117" t="str">
        <f>IFERROR(Планирование_новый_год[[#This Row],[Price list цена, руб.]]*Планирование_новый_год[[#This Row],[Прогноз октябрь, шт.]],"")</f>
        <v/>
      </c>
      <c r="FL8" s="117" t="str">
        <f>IFERROR(Планирование_новый_год[[#This Row],[Price list цена, руб.]]*Планирование_новый_год[[#This Row],[Прогноз ноябрь, шт.]],"")</f>
        <v/>
      </c>
      <c r="FM8" s="117" t="str">
        <f>IFERROR(Планирование_новый_год[[#This Row],[Price list цена, руб.]]*Планирование_новый_год[[#This Row],[Прогноз декабрь, шт.]],"")</f>
        <v/>
      </c>
      <c r="FN8" s="118">
        <f>IFERROR(SUM(Планирование_новый_год[[#This Row],[NS январь, руб.]:[NS декабрь, шт.]]),"")</f>
        <v>0</v>
      </c>
      <c r="FO8" s="117" t="str">
        <f>IFERROR((Планирование_новый_год[[#This Row],[Price list цена, руб.]]*Планирование_новый_год[[#This Row],[Прогноз январь, шт.]])*(1-$V$2),"")</f>
        <v/>
      </c>
      <c r="FP8" s="117" t="str">
        <f>IFERROR((Планирование_новый_год[[#This Row],[Price list цена, руб.]]*Планирование_новый_год[[#This Row],[Прогноз февраль, шт.]])*(1-$V$2),"")</f>
        <v/>
      </c>
      <c r="FQ8" s="117" t="str">
        <f>IFERROR((Планирование_новый_год[[#This Row],[Price list цена, руб.]]*Планирование_новый_год[[#This Row],[Прогноз март, шт.]])*(1-$V$2),"")</f>
        <v/>
      </c>
      <c r="FR8" s="117" t="str">
        <f>IFERROR((Планирование_новый_год[[#This Row],[Price list цена, руб.]]*Планирование_новый_год[[#This Row],[Прогноз апрель, шт.]])*(1-$V$2),"")</f>
        <v/>
      </c>
      <c r="FS8" s="117" t="str">
        <f>IFERROR((Планирование_новый_год[[#This Row],[Price list цена, руб.]]*Планирование_новый_год[[#This Row],[Прогноз май, шт.]])*(1-$V$2),"")</f>
        <v/>
      </c>
      <c r="FT8" s="117" t="str">
        <f>IFERROR((Планирование_новый_год[[#This Row],[Price list цена, руб.]]*Планирование_новый_год[[#This Row],[Прогноз июнь, шт.]])*(1-$V$2),"")</f>
        <v/>
      </c>
      <c r="FU8" s="117" t="str">
        <f>IFERROR((Планирование_новый_год[[#This Row],[Price list цена, руб.]]*Планирование_новый_год[[#This Row],[Прогноз июль, шт.]])*(1-$V$2),"")</f>
        <v/>
      </c>
      <c r="FV8" s="117" t="str">
        <f>IFERROR((Планирование_новый_год[[#This Row],[Price list цена, руб.]]*Планирование_новый_год[[#This Row],[Прогноз август, шт.]])*(1-$V$2),"")</f>
        <v/>
      </c>
      <c r="FW8" s="117" t="str">
        <f>IFERROR((Планирование_новый_год[[#This Row],[Price list цена, руб.]]*Планирование_новый_год[[#This Row],[Прогноз сентрябрь, шт.]])*(1-$V$2),"")</f>
        <v/>
      </c>
      <c r="FX8" s="117" t="str">
        <f>IFERROR((Планирование_новый_год[[#This Row],[Price list цена, руб.]]*Планирование_новый_год[[#This Row],[Прогноз октябрь, шт.]])*(1-$V$2),"")</f>
        <v/>
      </c>
      <c r="FY8" s="117" t="str">
        <f>IFERROR((Планирование_новый_год[[#This Row],[Price list цена, руб.]]*Планирование_новый_год[[#This Row],[Прогноз ноябрь, шт.]])*(1-$V$2),"")</f>
        <v/>
      </c>
      <c r="FZ8" s="117" t="str">
        <f>IFERROR((Планирование_новый_год[[#This Row],[Price list цена, руб.]]*Планирование_новый_год[[#This Row],[Прогноз декабрь, шт.]])*(1-$V$2),"")</f>
        <v/>
      </c>
      <c r="GA8" s="118">
        <f>IFERROR(Планирование_новый_год[[#This Row],[DIY price list, руб. без НДС]]*Планирование_новый_год[[#This Row],[скидка от Price list цены, %]],"")</f>
        <v>0</v>
      </c>
      <c r="GB8" s="98"/>
      <c r="GC8" s="96">
        <f>IFERROR(SUM(Планирование_новый_год[[#This Row],[Промо прогноз январь, шт.]:[Промо прогноз декабрь, шт.]]),"")</f>
        <v>0</v>
      </c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8"/>
      <c r="GP8" s="96">
        <f>IFERROR(SUM(Планирование_новый_год[[#This Row],[Промо GS январь, руб.]:[Промо GS декабрь, руб.]]),"")</f>
        <v>0</v>
      </c>
      <c r="GQ8" s="117">
        <f>IFERROR(Планирование_новый_год[[#This Row],[Промо прогноз январь, шт.]]*Планирование_новый_год[[#This Row],[Промо цена, руб.]],"")</f>
        <v>0</v>
      </c>
      <c r="GR8" s="117">
        <f>IFERROR(Планирование_новый_год[[#This Row],[Промо прогноз февраль, шт.]]*Планирование_новый_год[[#This Row],[Промо цена, руб.]],"")</f>
        <v>0</v>
      </c>
      <c r="GS8" s="117">
        <f>IFERROR(Планирование_новый_год[[#This Row],[Промо прогноз март, шт.]]*Планирование_новый_год[[#This Row],[Промо цена, руб.]],"")</f>
        <v>0</v>
      </c>
      <c r="GT8" s="117">
        <f>IFERROR(Планирование_новый_год[[#This Row],[Промо прогноз апрель, шт.]]*Планирование_новый_год[[#This Row],[Промо цена, руб.]],"")</f>
        <v>0</v>
      </c>
      <c r="GU8" s="117">
        <f>IFERROR(Планирование_новый_год[[#This Row],[Промо прогноз май, шт.]]*Планирование_новый_год[[#This Row],[Промо цена, руб.]],"")</f>
        <v>0</v>
      </c>
      <c r="GV8" s="117">
        <f>IFERROR(Планирование_новый_год[[#This Row],[Промо прогноз июнь, шт.]]*Планирование_новый_год[[#This Row],[Промо цена, руб.]],"")</f>
        <v>0</v>
      </c>
      <c r="GW8" s="117">
        <f>IFERROR(Планирование_новый_год[[#This Row],[Промо прогноз июль, шт.]]*Планирование_новый_год[[#This Row],[Промо цена, руб.]],"")</f>
        <v>0</v>
      </c>
      <c r="GX8" s="117">
        <f>IFERROR(Планирование_новый_год[[#This Row],[Промо прогноз август, шт.]]*Планирование_новый_год[[#This Row],[Промо цена, руб.]],"")</f>
        <v>0</v>
      </c>
      <c r="GY8" s="117">
        <f>IFERROR(Планирование_новый_год[[#This Row],[Промо прогноз сентрябрь, шт.]]*Планирование_новый_год[[#This Row],[Промо цена, руб.]],"")</f>
        <v>0</v>
      </c>
      <c r="GZ8" s="117">
        <f>IFERROR(Планирование_новый_год[[#This Row],[Промо прогноз октябрь, шт.]]*Планирование_новый_год[[#This Row],[Промо цена, руб.]],"")</f>
        <v>0</v>
      </c>
      <c r="HA8" s="117">
        <f>IFERROR(Планирование_новый_год[[#This Row],[Промо прогноз ноябрь, шт.]]*Планирование_новый_год[[#This Row],[Промо цена, руб.]],"")</f>
        <v>0</v>
      </c>
      <c r="HB8" s="117">
        <f>IFERROR(Планирование_новый_год[[#This Row],[Промо прогноз декабрь, шт.]]*Планирование_новый_год[[#This Row],[Промо цена, руб.]],"")</f>
        <v>0</v>
      </c>
      <c r="HC8" s="97">
        <f>IFERROR(SUM(Планирование_новый_год[[#This Row],[Промо NS январь, руб.]:[Промо NS декабрь, руб.]]),"")</f>
        <v>0</v>
      </c>
      <c r="HD8" s="117" t="str">
        <f>IFERROR(Планирование_новый_год[[#This Row],[3 net цена, руб.]]*Планирование_новый_год[[#This Row],[Промо прогноз январь, шт.]]*(1-$V$2),"")</f>
        <v/>
      </c>
      <c r="HE8" s="117" t="str">
        <f>IFERROR(Планирование_новый_год[[#This Row],[3 net цена, руб.]]*Планирование_новый_год[[#This Row],[Промо прогноз февраль, шт.]]*(1-$V$2),"")</f>
        <v/>
      </c>
      <c r="HF8" s="117" t="str">
        <f>IFERROR(Планирование_новый_год[[#This Row],[3 net цена, руб.]]*Планирование_новый_год[[#This Row],[Промо прогноз март, шт.]]*(1-$V$2),"")</f>
        <v/>
      </c>
      <c r="HG8" s="117" t="str">
        <f>IFERROR(Планирование_новый_год[[#This Row],[3 net цена, руб.]]*Планирование_новый_год[[#This Row],[Промо прогноз апрель, шт.]]*(1-$V$2),"")</f>
        <v/>
      </c>
      <c r="HH8" s="117" t="str">
        <f>IFERROR(Планирование_новый_год[[#This Row],[3 net цена, руб.]]*Планирование_новый_год[[#This Row],[Промо прогноз май, шт.]]*(1-$V$2),"")</f>
        <v/>
      </c>
      <c r="HI8" s="117" t="str">
        <f>IFERROR(Планирование_новый_год[[#This Row],[3 net цена, руб.]]*Планирование_новый_год[[#This Row],[Промо прогноз июнь, шт.]]*(1-$V$2),"")</f>
        <v/>
      </c>
      <c r="HJ8" s="117" t="str">
        <f>IFERROR(Планирование_новый_год[[#This Row],[3 net цена, руб.]]*Планирование_новый_год[[#This Row],[Промо прогноз июль, шт.]]*(1-$V$2),"")</f>
        <v/>
      </c>
      <c r="HK8" s="117" t="str">
        <f>IFERROR(Планирование_новый_год[[#This Row],[3 net цена, руб.]]*Планирование_новый_год[[#This Row],[Промо прогноз август, шт.]]*(1-$V$2),"")</f>
        <v/>
      </c>
      <c r="HL8" s="117" t="str">
        <f>IFERROR(Планирование_новый_год[[#This Row],[3 net цена, руб.]]*Планирование_новый_год[[#This Row],[Промо прогноз сентрябрь, шт.]]*(1-$V$2),"")</f>
        <v/>
      </c>
      <c r="HM8" s="117" t="str">
        <f>IFERROR(Планирование_новый_год[[#This Row],[3 net цена, руб.]]*Планирование_новый_год[[#This Row],[Промо прогноз октябрь, шт.]]*(1-$V$2),"")</f>
        <v/>
      </c>
      <c r="HN8" s="117" t="str">
        <f>IFERROR(Планирование_новый_год[[#This Row],[3 net цена, руб.]]*Планирование_новый_год[[#This Row],[Промо прогноз ноябрь, шт.]]*(1-$V$2),"")</f>
        <v/>
      </c>
      <c r="HO8" s="117" t="str">
        <f>IFERROR(Планирование_новый_год[[#This Row],[3 net цена, руб.]]*Планирование_новый_год[[#This Row],[Промо прогноз декабрь, шт.]]*(1-$V$2),"")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A2" s="11">
        <v>1</v>
      </c>
      <c r="B2" s="37" t="s">
        <v>234</v>
      </c>
      <c r="C2" s="8">
        <v>100</v>
      </c>
      <c r="D2" s="8">
        <v>1100</v>
      </c>
      <c r="E2" s="15">
        <v>44197</v>
      </c>
    </row>
    <row r="3" spans="1:5" x14ac:dyDescent="0.25">
      <c r="A3" s="11">
        <v>2</v>
      </c>
      <c r="B3" s="37" t="s">
        <v>235</v>
      </c>
      <c r="C3" s="8">
        <v>200</v>
      </c>
      <c r="D3" s="8">
        <v>1100</v>
      </c>
      <c r="E3" s="15">
        <v>44197</v>
      </c>
    </row>
    <row r="4" spans="1:5" x14ac:dyDescent="0.25">
      <c r="A4" s="11">
        <v>3</v>
      </c>
      <c r="B4" s="37" t="s">
        <v>236</v>
      </c>
      <c r="C4" s="8">
        <v>300</v>
      </c>
      <c r="D4" s="8">
        <v>1100</v>
      </c>
      <c r="E4" s="15">
        <v>44197</v>
      </c>
    </row>
    <row r="5" spans="1:5" x14ac:dyDescent="0.25">
      <c r="A5" s="11">
        <v>4</v>
      </c>
      <c r="B5" s="37" t="s">
        <v>237</v>
      </c>
      <c r="C5" s="8">
        <v>400</v>
      </c>
      <c r="D5" s="8">
        <v>1100</v>
      </c>
      <c r="E5" s="15">
        <v>44197</v>
      </c>
    </row>
    <row r="6" spans="1:5" x14ac:dyDescent="0.25">
      <c r="A6" s="11">
        <v>5</v>
      </c>
      <c r="B6" s="37" t="s">
        <v>238</v>
      </c>
      <c r="C6" s="8">
        <v>500</v>
      </c>
      <c r="D6" s="8">
        <v>1100</v>
      </c>
      <c r="E6" s="15">
        <v>44197</v>
      </c>
    </row>
    <row r="7" spans="1:5" x14ac:dyDescent="0.25">
      <c r="A7" s="11">
        <v>6</v>
      </c>
      <c r="B7" s="37" t="s">
        <v>239</v>
      </c>
      <c r="C7" s="8">
        <v>600</v>
      </c>
      <c r="D7" s="8">
        <v>1100</v>
      </c>
      <c r="E7" s="15">
        <v>44197</v>
      </c>
    </row>
    <row r="8" spans="1:5" x14ac:dyDescent="0.25">
      <c r="A8" s="11">
        <v>7</v>
      </c>
      <c r="B8" s="37" t="s">
        <v>240</v>
      </c>
      <c r="C8" s="8">
        <v>700</v>
      </c>
      <c r="D8" s="8">
        <v>1100</v>
      </c>
      <c r="E8" s="15">
        <v>44197</v>
      </c>
    </row>
    <row r="9" spans="1:5" x14ac:dyDescent="0.25">
      <c r="A9" s="11">
        <v>8</v>
      </c>
      <c r="B9" s="37" t="s">
        <v>241</v>
      </c>
      <c r="C9" s="8">
        <v>800</v>
      </c>
      <c r="D9" s="8">
        <v>1100</v>
      </c>
      <c r="E9" s="15">
        <v>44197</v>
      </c>
    </row>
  </sheetData>
  <conditionalFormatting sqref="B2:B9">
    <cfRule type="expression" dxfId="2" priority="1">
      <formula>$AL2="Новинка следующего года"</formula>
    </cfRule>
    <cfRule type="expression" dxfId="1" priority="2">
      <formula>$AL2="Новинка текущего года"</formula>
    </cfRule>
    <cfRule type="expression" dxfId="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1</vt:i4>
      </vt:variant>
    </vt:vector>
  </HeadingPairs>
  <TitlesOfParts>
    <vt:vector size="20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2020-07-08T10:34:47Z</dcterms:modified>
</cp:coreProperties>
</file>