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WHelg\YandexDisk\Oleg\Coding\C#\BPA\BPA\"/>
    </mc:Choice>
  </mc:AlternateContent>
  <xr:revisionPtr revIDLastSave="0" documentId="13_ncr:1_{09F0FC88-B152-4DC8-A712-7088A28B0AA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Channel type" sheetId="16" r:id="rId8"/>
    <sheet name="Customer status" sheetId="17" r:id="rId9"/>
    <sheet name="Продуктовые календари" sheetId="6" r:id="rId10"/>
    <sheet name="Суперкатегории" sheetId="1" r:id="rId11"/>
    <sheet name="Продукт группы" sheetId="3" r:id="rId12"/>
    <sheet name="Статусы товаров" sheetId="4" r:id="rId13"/>
    <sheet name="STK" sheetId="7" r:id="rId14"/>
    <sheet name="Бюджетные курсы" sheetId="10" r:id="rId15"/>
    <sheet name="Эксклюзивность" sheetId="11" r:id="rId16"/>
    <sheet name="GardenChannel" sheetId="13" r:id="rId17"/>
  </sheets>
  <externalReferences>
    <externalReference r:id="rId18"/>
  </externalReferences>
  <definedNames>
    <definedName name="_xlnm._FilterDatabase" localSheetId="6" hidden="1">'Прайс лист'!$A$13:$V$13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102" i="5"/>
  <c r="AX103" i="5"/>
  <c r="AX104" i="5"/>
  <c r="AX105" i="5"/>
  <c r="AX106" i="5"/>
  <c r="AX107" i="5"/>
  <c r="AX108" i="5"/>
  <c r="AX109" i="5"/>
  <c r="AX110" i="5"/>
  <c r="AX111" i="5"/>
  <c r="AX112" i="5"/>
  <c r="AX113" i="5"/>
  <c r="AX114" i="5"/>
  <c r="AX115" i="5"/>
  <c r="AX116" i="5"/>
  <c r="AX117" i="5"/>
  <c r="AX118" i="5"/>
  <c r="AX119" i="5"/>
  <c r="AX120" i="5"/>
  <c r="AX121" i="5"/>
  <c r="AX122" i="5"/>
  <c r="AX123" i="5"/>
  <c r="AX124" i="5"/>
  <c r="AX125" i="5"/>
  <c r="AX126" i="5"/>
  <c r="AX127" i="5"/>
  <c r="AX128" i="5"/>
  <c r="AX129" i="5"/>
  <c r="AX130" i="5"/>
  <c r="AX131" i="5"/>
  <c r="AX132" i="5"/>
  <c r="AX133" i="5"/>
  <c r="AX134" i="5"/>
  <c r="AX135" i="5"/>
  <c r="AX136" i="5"/>
  <c r="AX137" i="5"/>
  <c r="AX138" i="5"/>
  <c r="AX139" i="5"/>
  <c r="AX140" i="5"/>
  <c r="AX141" i="5"/>
  <c r="AX142" i="5"/>
  <c r="AX143" i="5"/>
  <c r="AX144" i="5"/>
  <c r="AX145" i="5"/>
  <c r="AX146" i="5"/>
  <c r="AX147" i="5"/>
  <c r="AX148" i="5"/>
  <c r="AX149" i="5"/>
  <c r="AX150" i="5"/>
  <c r="AX151" i="5"/>
  <c r="AX152" i="5"/>
  <c r="AX153" i="5"/>
  <c r="AX154" i="5"/>
  <c r="AX155" i="5"/>
  <c r="AX156" i="5"/>
  <c r="AX157" i="5"/>
  <c r="AX158" i="5"/>
  <c r="AX159" i="5"/>
  <c r="AX160" i="5"/>
  <c r="AX161" i="5"/>
  <c r="AX162" i="5"/>
  <c r="AX163" i="5"/>
  <c r="AX164" i="5"/>
  <c r="AX165" i="5"/>
  <c r="AX166" i="5"/>
  <c r="AX167" i="5"/>
  <c r="AX168" i="5"/>
  <c r="AX169" i="5"/>
  <c r="AX170" i="5"/>
  <c r="AX171" i="5"/>
  <c r="AX172" i="5"/>
  <c r="AX173" i="5"/>
  <c r="AX174" i="5"/>
  <c r="AX175" i="5"/>
  <c r="AX176" i="5"/>
  <c r="AX177" i="5"/>
  <c r="AX178" i="5"/>
  <c r="AX179" i="5"/>
  <c r="AX180" i="5"/>
  <c r="AX181" i="5"/>
  <c r="AX182" i="5"/>
  <c r="AX183" i="5"/>
  <c r="AX184" i="5"/>
  <c r="AX185" i="5"/>
  <c r="AX186" i="5"/>
  <c r="AX187" i="5"/>
  <c r="AX188" i="5"/>
  <c r="AX189" i="5"/>
  <c r="AX190" i="5"/>
  <c r="AX191" i="5"/>
  <c r="AX192" i="5"/>
  <c r="AX193" i="5"/>
  <c r="AX194" i="5"/>
  <c r="AX195" i="5"/>
  <c r="AX196" i="5"/>
  <c r="AX197" i="5"/>
  <c r="AX198" i="5"/>
  <c r="AX199" i="5"/>
  <c r="AX200" i="5"/>
  <c r="AX201" i="5"/>
  <c r="AX202" i="5"/>
  <c r="AX203" i="5"/>
  <c r="AX204" i="5"/>
  <c r="AX205" i="5"/>
  <c r="AX206" i="5"/>
  <c r="AX207" i="5"/>
  <c r="AX208" i="5"/>
  <c r="AX209" i="5"/>
  <c r="AX210" i="5"/>
  <c r="AX211" i="5"/>
  <c r="AX212" i="5"/>
  <c r="AX213" i="5"/>
  <c r="AX214" i="5"/>
  <c r="AX215" i="5"/>
  <c r="AX216" i="5"/>
  <c r="AX217" i="5"/>
  <c r="AX218" i="5"/>
  <c r="AX219" i="5"/>
  <c r="AX220" i="5"/>
  <c r="AX221" i="5"/>
  <c r="AX222" i="5"/>
  <c r="AX223" i="5"/>
  <c r="AX224" i="5"/>
  <c r="AX225" i="5"/>
  <c r="AX226" i="5"/>
  <c r="AX227" i="5"/>
  <c r="AX228" i="5"/>
  <c r="AX229" i="5"/>
  <c r="AX230" i="5"/>
  <c r="AX231" i="5"/>
  <c r="AX232" i="5"/>
  <c r="AX233" i="5"/>
  <c r="AX234" i="5"/>
  <c r="AX235" i="5"/>
  <c r="AX236" i="5"/>
  <c r="AX237" i="5"/>
  <c r="AX238" i="5"/>
  <c r="AX239" i="5"/>
  <c r="AX240" i="5"/>
  <c r="AX241" i="5"/>
  <c r="AX242" i="5"/>
  <c r="AX243" i="5"/>
  <c r="AX244" i="5"/>
  <c r="AX245" i="5"/>
  <c r="AX246" i="5"/>
  <c r="AX247" i="5"/>
  <c r="AX248" i="5"/>
  <c r="AX249" i="5"/>
  <c r="AX250" i="5"/>
  <c r="AX251" i="5"/>
  <c r="AX252" i="5"/>
  <c r="AX253" i="5"/>
  <c r="AX254" i="5"/>
  <c r="AX255" i="5"/>
  <c r="AX256" i="5"/>
  <c r="AX257" i="5"/>
  <c r="AX258" i="5"/>
  <c r="AX259" i="5"/>
  <c r="AX260" i="5"/>
  <c r="AX261" i="5"/>
  <c r="AX262" i="5"/>
  <c r="AX263" i="5"/>
  <c r="AX264" i="5"/>
  <c r="AX265" i="5"/>
  <c r="AX266" i="5"/>
  <c r="AX267" i="5"/>
  <c r="AX268" i="5"/>
  <c r="AX269" i="5"/>
  <c r="AX270" i="5"/>
  <c r="AX271" i="5"/>
  <c r="AX272" i="5"/>
  <c r="AX273" i="5"/>
  <c r="AX274" i="5"/>
  <c r="AX275" i="5"/>
  <c r="AX276" i="5"/>
  <c r="AX277" i="5"/>
  <c r="AX278" i="5"/>
  <c r="AX279" i="5"/>
  <c r="AX280" i="5"/>
  <c r="AX281" i="5"/>
  <c r="AX282" i="5"/>
  <c r="AX283" i="5"/>
  <c r="AX284" i="5"/>
  <c r="AX285" i="5"/>
  <c r="AX286" i="5"/>
  <c r="AX287" i="5"/>
  <c r="AX288" i="5"/>
  <c r="AX289" i="5"/>
  <c r="AX290" i="5"/>
  <c r="AX291" i="5"/>
  <c r="AX292" i="5"/>
  <c r="AX293" i="5"/>
  <c r="AX294" i="5"/>
  <c r="AX295" i="5"/>
  <c r="AX296" i="5"/>
  <c r="AX297" i="5"/>
  <c r="AX298" i="5"/>
  <c r="AX299" i="5"/>
  <c r="AX300" i="5"/>
  <c r="AX301" i="5"/>
  <c r="AX302" i="5"/>
  <c r="AX303" i="5"/>
  <c r="AX304" i="5"/>
  <c r="AX305" i="5"/>
  <c r="AX306" i="5"/>
  <c r="AX307" i="5"/>
  <c r="AX308" i="5"/>
  <c r="AX309" i="5"/>
  <c r="AX310" i="5"/>
  <c r="AX311" i="5"/>
  <c r="AX312" i="5"/>
  <c r="AX313" i="5"/>
  <c r="AX314" i="5"/>
  <c r="AX315" i="5"/>
  <c r="AX316" i="5"/>
  <c r="AX317" i="5"/>
  <c r="AX318" i="5"/>
  <c r="AX319" i="5"/>
  <c r="AX320" i="5"/>
  <c r="AX321" i="5"/>
  <c r="AX322" i="5"/>
  <c r="AX323" i="5"/>
  <c r="AX324" i="5"/>
  <c r="AX325" i="5"/>
  <c r="AX326" i="5"/>
  <c r="AX327" i="5"/>
  <c r="AX328" i="5"/>
  <c r="AX329" i="5"/>
  <c r="AX330" i="5"/>
  <c r="AX331" i="5"/>
  <c r="AX332" i="5"/>
  <c r="AX333" i="5"/>
  <c r="AX334" i="5"/>
  <c r="AX335" i="5"/>
  <c r="AX336" i="5"/>
  <c r="AX337" i="5"/>
  <c r="AX338" i="5"/>
  <c r="AX339" i="5"/>
  <c r="AX340" i="5"/>
  <c r="AX341" i="5"/>
  <c r="AX342" i="5"/>
  <c r="AX343" i="5"/>
  <c r="AX344" i="5"/>
  <c r="AX345" i="5"/>
  <c r="AX346" i="5"/>
  <c r="AX347" i="5"/>
  <c r="AX348" i="5"/>
  <c r="AX349" i="5"/>
  <c r="AX350" i="5"/>
  <c r="AX351" i="5"/>
  <c r="AX352" i="5"/>
  <c r="AX353" i="5"/>
  <c r="AX354" i="5"/>
  <c r="AX355" i="5"/>
  <c r="AX356" i="5"/>
  <c r="AX357" i="5"/>
  <c r="AX358" i="5"/>
  <c r="AX359" i="5"/>
  <c r="AX360" i="5"/>
  <c r="AX361" i="5"/>
  <c r="AX362" i="5"/>
  <c r="AX363" i="5"/>
  <c r="AX364" i="5"/>
  <c r="AX365" i="5"/>
  <c r="AX366" i="5"/>
  <c r="AX367" i="5"/>
  <c r="AX368" i="5"/>
  <c r="AX369" i="5"/>
  <c r="AX370" i="5"/>
  <c r="AX371" i="5"/>
  <c r="AX372" i="5"/>
  <c r="AX373" i="5"/>
  <c r="AX374" i="5"/>
  <c r="AX375" i="5"/>
  <c r="AX376" i="5"/>
  <c r="AX377" i="5"/>
  <c r="AX378" i="5"/>
  <c r="AX379" i="5"/>
  <c r="AX380" i="5"/>
  <c r="AX381" i="5"/>
  <c r="AX382" i="5"/>
  <c r="AX383" i="5"/>
  <c r="AX384" i="5"/>
  <c r="AX385" i="5"/>
  <c r="AX386" i="5"/>
  <c r="AX387" i="5"/>
  <c r="AX388" i="5"/>
  <c r="AX389" i="5"/>
  <c r="AX390" i="5"/>
  <c r="AX391" i="5"/>
  <c r="AX392" i="5"/>
  <c r="AX393" i="5"/>
  <c r="AX394" i="5"/>
  <c r="AX395" i="5"/>
  <c r="AX396" i="5"/>
  <c r="AX397" i="5"/>
  <c r="AX398" i="5"/>
  <c r="AX399" i="5"/>
  <c r="AX400" i="5"/>
  <c r="AX401" i="5"/>
  <c r="AX402" i="5"/>
  <c r="AX403" i="5"/>
  <c r="AX404" i="5"/>
  <c r="AX405" i="5"/>
  <c r="AX406" i="5"/>
  <c r="AX407" i="5"/>
  <c r="AX408" i="5"/>
  <c r="AX409" i="5"/>
  <c r="AX410" i="5"/>
  <c r="AX411" i="5"/>
  <c r="AX412" i="5"/>
  <c r="AX413" i="5"/>
  <c r="AX414" i="5"/>
  <c r="AX415" i="5"/>
  <c r="AX416" i="5"/>
  <c r="AX417" i="5"/>
  <c r="AX418" i="5"/>
  <c r="AX419" i="5"/>
  <c r="AX420" i="5"/>
  <c r="AX421" i="5"/>
  <c r="AX422" i="5"/>
  <c r="AX423" i="5"/>
  <c r="AX424" i="5"/>
  <c r="AX425" i="5"/>
  <c r="AX426" i="5"/>
  <c r="AX427" i="5"/>
  <c r="AX428" i="5"/>
  <c r="AX429" i="5"/>
  <c r="AX430" i="5"/>
  <c r="AX431" i="5"/>
  <c r="AX432" i="5"/>
  <c r="AX433" i="5"/>
  <c r="AX434" i="5"/>
  <c r="AX435" i="5"/>
  <c r="AX436" i="5"/>
  <c r="AX437" i="5"/>
  <c r="AX438" i="5"/>
  <c r="AX439" i="5"/>
  <c r="AX440" i="5"/>
  <c r="AX441" i="5"/>
  <c r="AX442" i="5"/>
  <c r="AX443" i="5"/>
  <c r="AX444" i="5"/>
  <c r="AX445" i="5"/>
  <c r="AX446" i="5"/>
  <c r="AX447" i="5"/>
  <c r="AX448" i="5"/>
  <c r="AX449" i="5"/>
  <c r="AX450" i="5"/>
  <c r="AX451" i="5"/>
  <c r="AX452" i="5"/>
  <c r="AX453" i="5"/>
  <c r="AX454" i="5"/>
  <c r="AX455" i="5"/>
  <c r="AX456" i="5"/>
  <c r="AX457" i="5"/>
  <c r="AX458" i="5"/>
  <c r="AX459" i="5"/>
  <c r="AX460" i="5"/>
  <c r="AX461" i="5"/>
  <c r="AX462" i="5"/>
  <c r="AX463" i="5"/>
  <c r="AX464" i="5"/>
  <c r="AX465" i="5"/>
  <c r="AX466" i="5"/>
  <c r="AX467" i="5"/>
  <c r="AX468" i="5"/>
  <c r="AX469" i="5"/>
  <c r="AX470" i="5"/>
  <c r="AX471" i="5"/>
  <c r="AX472" i="5"/>
  <c r="AX473" i="5"/>
  <c r="AX474" i="5"/>
  <c r="AX475" i="5"/>
  <c r="AX476" i="5"/>
  <c r="AX477" i="5"/>
  <c r="AX478" i="5"/>
  <c r="AX479" i="5"/>
  <c r="AX480" i="5"/>
  <c r="AX481" i="5"/>
  <c r="AX482" i="5"/>
  <c r="AX483" i="5"/>
  <c r="AX484" i="5"/>
  <c r="AX485" i="5"/>
  <c r="AX486" i="5"/>
  <c r="AX487" i="5"/>
  <c r="AX488" i="5"/>
  <c r="AX489" i="5"/>
  <c r="AX490" i="5"/>
  <c r="AX491" i="5"/>
  <c r="AX492" i="5"/>
  <c r="AX493" i="5"/>
  <c r="AX494" i="5"/>
  <c r="AX495" i="5"/>
  <c r="AX496" i="5"/>
  <c r="AX497" i="5"/>
  <c r="AX498" i="5"/>
  <c r="AX499" i="5"/>
  <c r="AX500" i="5"/>
  <c r="AX501" i="5"/>
  <c r="AX502" i="5"/>
  <c r="AX503" i="5"/>
  <c r="AX504" i="5"/>
  <c r="AX505" i="5"/>
  <c r="AX506" i="5"/>
  <c r="AX507" i="5"/>
  <c r="AX508" i="5"/>
  <c r="AX509" i="5"/>
  <c r="AX510" i="5"/>
  <c r="AX511" i="5"/>
  <c r="AX512" i="5"/>
  <c r="AX513" i="5"/>
  <c r="AX514" i="5"/>
  <c r="AX515" i="5"/>
  <c r="AX516" i="5"/>
  <c r="AX517" i="5"/>
  <c r="AX518" i="5"/>
  <c r="AX519" i="5"/>
  <c r="AX520" i="5"/>
  <c r="AX521" i="5"/>
  <c r="AX522" i="5"/>
  <c r="AX523" i="5"/>
  <c r="AX524" i="5"/>
  <c r="AX525" i="5"/>
  <c r="AX526" i="5"/>
  <c r="AX527" i="5"/>
  <c r="AX528" i="5"/>
  <c r="AX529" i="5"/>
  <c r="AX530" i="5"/>
  <c r="AX531" i="5"/>
  <c r="AX532" i="5"/>
  <c r="AX533" i="5"/>
  <c r="AX534" i="5"/>
  <c r="AX535" i="5"/>
  <c r="AX536" i="5"/>
  <c r="AX537" i="5"/>
  <c r="AX538" i="5"/>
  <c r="AX539" i="5"/>
  <c r="AX540" i="5"/>
  <c r="AX541" i="5"/>
  <c r="AX542" i="5"/>
  <c r="AX543" i="5"/>
  <c r="AX544" i="5"/>
  <c r="AX545" i="5"/>
  <c r="AX546" i="5"/>
  <c r="AX547" i="5"/>
  <c r="AX548" i="5"/>
  <c r="AX549" i="5"/>
  <c r="AX550" i="5"/>
  <c r="AX551" i="5"/>
  <c r="AX552" i="5"/>
  <c r="AX553" i="5"/>
  <c r="AX554" i="5"/>
  <c r="AX555" i="5"/>
  <c r="AX556" i="5"/>
  <c r="AX557" i="5"/>
  <c r="AX558" i="5"/>
  <c r="AX559" i="5"/>
  <c r="AX560" i="5"/>
  <c r="AX561" i="5"/>
  <c r="AX562" i="5"/>
  <c r="AX563" i="5"/>
  <c r="AX564" i="5"/>
  <c r="AX565" i="5"/>
  <c r="AX566" i="5"/>
  <c r="AX567" i="5"/>
  <c r="AX568" i="5"/>
  <c r="AX569" i="5"/>
  <c r="AX570" i="5"/>
  <c r="AX571" i="5"/>
  <c r="AX572" i="5"/>
  <c r="AX573" i="5"/>
  <c r="AX574" i="5"/>
  <c r="AX575" i="5"/>
  <c r="AX576" i="5"/>
  <c r="AX577" i="5"/>
  <c r="AX578" i="5"/>
  <c r="AX579" i="5"/>
  <c r="AX580" i="5"/>
  <c r="AX581" i="5"/>
  <c r="AX582" i="5"/>
  <c r="AX583" i="5"/>
  <c r="AX584" i="5"/>
  <c r="AX585" i="5"/>
  <c r="AX586" i="5"/>
  <c r="AX587" i="5"/>
  <c r="AX588" i="5"/>
  <c r="AX589" i="5"/>
  <c r="AX590" i="5"/>
  <c r="AX591" i="5"/>
  <c r="AX592" i="5"/>
  <c r="AX593" i="5"/>
  <c r="AX594" i="5"/>
  <c r="AX595" i="5"/>
  <c r="AX596" i="5"/>
  <c r="AX597" i="5"/>
  <c r="AX598" i="5"/>
  <c r="AX599" i="5"/>
  <c r="AX600" i="5"/>
  <c r="AX601" i="5"/>
  <c r="AX602" i="5"/>
  <c r="AX603" i="5"/>
  <c r="AX604" i="5"/>
  <c r="AX605" i="5"/>
  <c r="AX606" i="5"/>
  <c r="AX607" i="5"/>
  <c r="AX608" i="5"/>
  <c r="AX609" i="5"/>
  <c r="AX610" i="5"/>
  <c r="AX611" i="5"/>
  <c r="AX612" i="5"/>
  <c r="AX613" i="5"/>
  <c r="AX614" i="5"/>
  <c r="AX615" i="5"/>
  <c r="AX616" i="5"/>
  <c r="AX617" i="5"/>
  <c r="AX618" i="5"/>
  <c r="AX619" i="5"/>
  <c r="AX620" i="5"/>
  <c r="AX621" i="5"/>
  <c r="AX622" i="5"/>
  <c r="AX623" i="5"/>
  <c r="AX624" i="5"/>
  <c r="AX625" i="5"/>
  <c r="AX626" i="5"/>
  <c r="AX627" i="5"/>
  <c r="AX628" i="5"/>
  <c r="AX629" i="5"/>
  <c r="AX630" i="5"/>
  <c r="AX631" i="5"/>
  <c r="AX632" i="5"/>
  <c r="AX633" i="5"/>
  <c r="AX634" i="5"/>
  <c r="AX635" i="5"/>
  <c r="AX636" i="5"/>
  <c r="AX637" i="5"/>
  <c r="AX638" i="5"/>
  <c r="AX639" i="5"/>
  <c r="AX640" i="5"/>
  <c r="AX641" i="5"/>
  <c r="AX642" i="5"/>
  <c r="AX643" i="5"/>
  <c r="AX644" i="5"/>
  <c r="AX645" i="5"/>
  <c r="AX646" i="5"/>
  <c r="AX647" i="5"/>
  <c r="AX648" i="5"/>
  <c r="AX649" i="5"/>
  <c r="AX650" i="5"/>
  <c r="AX651" i="5"/>
  <c r="AX652" i="5"/>
  <c r="AX653" i="5"/>
  <c r="AX654" i="5"/>
  <c r="AX655" i="5"/>
  <c r="AX656" i="5"/>
  <c r="AX657" i="5"/>
  <c r="AX658" i="5"/>
  <c r="AX659" i="5"/>
  <c r="AX660" i="5"/>
  <c r="AX661" i="5"/>
  <c r="AX662" i="5"/>
  <c r="AX663" i="5"/>
  <c r="AX664" i="5"/>
  <c r="AX665" i="5"/>
  <c r="AX666" i="5"/>
  <c r="AX667" i="5"/>
  <c r="AX668" i="5"/>
  <c r="AX669" i="5"/>
  <c r="AX670" i="5"/>
  <c r="AX671" i="5"/>
  <c r="AX672" i="5"/>
  <c r="AX673" i="5"/>
  <c r="AX674" i="5"/>
  <c r="AX675" i="5"/>
  <c r="AX676" i="5"/>
  <c r="AX677" i="5"/>
  <c r="AX678" i="5"/>
  <c r="AX679" i="5"/>
  <c r="AX680" i="5"/>
  <c r="AX681" i="5"/>
  <c r="AX682" i="5"/>
  <c r="AX683" i="5"/>
  <c r="AX684" i="5"/>
  <c r="AX685" i="5"/>
  <c r="AX686" i="5"/>
  <c r="AX687" i="5"/>
  <c r="AX688" i="5"/>
  <c r="AX689" i="5"/>
  <c r="AX690" i="5"/>
  <c r="AX691" i="5"/>
  <c r="AX692" i="5"/>
  <c r="AX693" i="5"/>
  <c r="AX694" i="5"/>
  <c r="AX695" i="5"/>
  <c r="AX696" i="5"/>
  <c r="AX697" i="5"/>
  <c r="AX698" i="5"/>
  <c r="AX699" i="5"/>
  <c r="AX700" i="5"/>
  <c r="AX701" i="5"/>
  <c r="AX702" i="5"/>
  <c r="AX703" i="5"/>
  <c r="AX704" i="5"/>
  <c r="AX705" i="5"/>
  <c r="AX706" i="5"/>
  <c r="AX707" i="5"/>
  <c r="AX708" i="5"/>
  <c r="AX709" i="5"/>
  <c r="AX710" i="5"/>
  <c r="AX711" i="5"/>
  <c r="AX712" i="5"/>
  <c r="AX713" i="5"/>
  <c r="AX714" i="5"/>
  <c r="AX715" i="5"/>
  <c r="AX716" i="5"/>
  <c r="AX717" i="5"/>
  <c r="AX718" i="5"/>
  <c r="AX719" i="5"/>
  <c r="AX720" i="5"/>
  <c r="AX721" i="5"/>
  <c r="AX722" i="5"/>
  <c r="AX723" i="5"/>
  <c r="AX724" i="5"/>
  <c r="AX725" i="5"/>
  <c r="AX726" i="5"/>
  <c r="AX727" i="5"/>
  <c r="AX728" i="5"/>
  <c r="AX729" i="5"/>
  <c r="AX730" i="5"/>
  <c r="AX731" i="5"/>
  <c r="AX732" i="5"/>
  <c r="AX733" i="5"/>
  <c r="AX734" i="5"/>
  <c r="AX735" i="5"/>
  <c r="AX736" i="5"/>
  <c r="AX737" i="5"/>
  <c r="AX738" i="5"/>
  <c r="AX739" i="5"/>
  <c r="AX740" i="5"/>
  <c r="AX741" i="5"/>
  <c r="AX742" i="5"/>
  <c r="AX743" i="5"/>
  <c r="AX744" i="5"/>
  <c r="AX745" i="5"/>
  <c r="AX746" i="5"/>
  <c r="AX747" i="5"/>
  <c r="AX748" i="5"/>
  <c r="AX749" i="5"/>
  <c r="AX750" i="5"/>
  <c r="AX751" i="5"/>
  <c r="AX752" i="5"/>
  <c r="AX753" i="5"/>
  <c r="AX754" i="5"/>
  <c r="AX755" i="5"/>
  <c r="AX756" i="5"/>
  <c r="AX757" i="5"/>
  <c r="AX758" i="5"/>
  <c r="AX759" i="5"/>
  <c r="AX760" i="5"/>
  <c r="AX761" i="5"/>
  <c r="AX762" i="5"/>
  <c r="AX763" i="5"/>
  <c r="AX764" i="5"/>
  <c r="AX765" i="5"/>
  <c r="AX766" i="5"/>
  <c r="AX767" i="5"/>
  <c r="AX768" i="5"/>
  <c r="AX769" i="5"/>
  <c r="AX770" i="5"/>
  <c r="AX771" i="5"/>
  <c r="AX772" i="5"/>
  <c r="AX773" i="5"/>
  <c r="AX774" i="5"/>
  <c r="AX775" i="5"/>
  <c r="AX776" i="5"/>
  <c r="AX777" i="5"/>
  <c r="AX778" i="5"/>
  <c r="AX779" i="5"/>
  <c r="AX780" i="5"/>
  <c r="AX781" i="5"/>
  <c r="AX782" i="5"/>
  <c r="AX783" i="5"/>
  <c r="AX784" i="5"/>
  <c r="AX785" i="5"/>
  <c r="AX786" i="5"/>
  <c r="AX787" i="5"/>
  <c r="AX788" i="5"/>
  <c r="AX789" i="5"/>
  <c r="AX790" i="5"/>
  <c r="AX791" i="5"/>
  <c r="AX792" i="5"/>
  <c r="AX793" i="5"/>
  <c r="AX794" i="5"/>
  <c r="AX795" i="5"/>
  <c r="AX796" i="5"/>
  <c r="AX797" i="5"/>
  <c r="AX798" i="5"/>
  <c r="AX799" i="5"/>
  <c r="AX800" i="5"/>
  <c r="AX801" i="5"/>
  <c r="AX802" i="5"/>
  <c r="AX803" i="5"/>
  <c r="AX804" i="5"/>
  <c r="AX805" i="5"/>
  <c r="AX806" i="5"/>
  <c r="AX807" i="5"/>
  <c r="AX808" i="5"/>
  <c r="AX809" i="5"/>
  <c r="AX810" i="5"/>
  <c r="AX811" i="5"/>
  <c r="AX812" i="5"/>
  <c r="AX813" i="5"/>
  <c r="AX814" i="5"/>
  <c r="AX815" i="5"/>
  <c r="AX816" i="5"/>
  <c r="AX817" i="5"/>
  <c r="AX818" i="5"/>
  <c r="AX819" i="5"/>
  <c r="AX820" i="5"/>
  <c r="AX821" i="5"/>
  <c r="AX822" i="5"/>
  <c r="AX823" i="5"/>
  <c r="AX824" i="5"/>
  <c r="AX825" i="5"/>
  <c r="AX826" i="5"/>
  <c r="AX827" i="5"/>
  <c r="AX828" i="5"/>
  <c r="AX829" i="5"/>
  <c r="AX830" i="5"/>
  <c r="AX831" i="5"/>
  <c r="AX832" i="5"/>
  <c r="AX833" i="5"/>
  <c r="AX834" i="5"/>
  <c r="AX835" i="5"/>
  <c r="AX836" i="5"/>
  <c r="AX837" i="5"/>
  <c r="AX838" i="5"/>
  <c r="AX839" i="5"/>
  <c r="AX840" i="5"/>
  <c r="AX841" i="5"/>
  <c r="AX842" i="5"/>
  <c r="AX843" i="5"/>
  <c r="AX844" i="5"/>
  <c r="AX845" i="5"/>
  <c r="AX846" i="5"/>
  <c r="AX847" i="5"/>
  <c r="AX848" i="5"/>
  <c r="AX849" i="5"/>
  <c r="AX850" i="5"/>
  <c r="AX851" i="5"/>
  <c r="AX852" i="5"/>
  <c r="AX853" i="5"/>
  <c r="AX854" i="5"/>
  <c r="AX855" i="5"/>
  <c r="AX856" i="5"/>
  <c r="AX857" i="5"/>
  <c r="AX858" i="5"/>
  <c r="AX859" i="5"/>
  <c r="AX860" i="5"/>
  <c r="AX861" i="5"/>
  <c r="AX862" i="5"/>
  <c r="AX863" i="5"/>
  <c r="AX864" i="5"/>
  <c r="AX865" i="5"/>
  <c r="AX866" i="5"/>
  <c r="AX867" i="5"/>
  <c r="AX868" i="5"/>
  <c r="AX869" i="5"/>
  <c r="AX870" i="5"/>
  <c r="AX871" i="5"/>
  <c r="AX872" i="5"/>
  <c r="AX873" i="5"/>
  <c r="AX874" i="5"/>
  <c r="AX875" i="5"/>
  <c r="AX876" i="5"/>
  <c r="AX877" i="5"/>
  <c r="AX878" i="5"/>
  <c r="AX879" i="5"/>
  <c r="AX880" i="5"/>
  <c r="AX881" i="5"/>
  <c r="AT1" i="5"/>
  <c r="AU345" i="5" s="1"/>
  <c r="AV345" i="5" s="1"/>
  <c r="AS879" i="5" l="1"/>
  <c r="AS837" i="5"/>
  <c r="AS709" i="5"/>
  <c r="AS576" i="5"/>
  <c r="AS392" i="5"/>
  <c r="AU714" i="5"/>
  <c r="AV714" i="5" s="1"/>
  <c r="AS877" i="5"/>
  <c r="AS855" i="5"/>
  <c r="AS836" i="5"/>
  <c r="AS813" i="5"/>
  <c r="AS791" i="5"/>
  <c r="AS772" i="5"/>
  <c r="AS749" i="5"/>
  <c r="AS727" i="5"/>
  <c r="AS708" i="5"/>
  <c r="AS685" i="5"/>
  <c r="AS663" i="5"/>
  <c r="AS644" i="5"/>
  <c r="AS621" i="5"/>
  <c r="AS599" i="5"/>
  <c r="AS574" i="5"/>
  <c r="AS536" i="5"/>
  <c r="AS493" i="5"/>
  <c r="AS448" i="5"/>
  <c r="AS389" i="5"/>
  <c r="AS328" i="5"/>
  <c r="AS269" i="5"/>
  <c r="AS181" i="5"/>
  <c r="AS90" i="5"/>
  <c r="AS11" i="5"/>
  <c r="AU787" i="5"/>
  <c r="AV787" i="5" s="1"/>
  <c r="AU688" i="5"/>
  <c r="AV688" i="5" s="1"/>
  <c r="AS815" i="5"/>
  <c r="AS687" i="5"/>
  <c r="AS541" i="5"/>
  <c r="AS342" i="5"/>
  <c r="AU800" i="5"/>
  <c r="AV800" i="5" s="1"/>
  <c r="AS876" i="5"/>
  <c r="AS853" i="5"/>
  <c r="AS831" i="5"/>
  <c r="AS812" i="5"/>
  <c r="AS789" i="5"/>
  <c r="AS767" i="5"/>
  <c r="AS748" i="5"/>
  <c r="AS725" i="5"/>
  <c r="AS703" i="5"/>
  <c r="AS684" i="5"/>
  <c r="AS661" i="5"/>
  <c r="AS639" i="5"/>
  <c r="AS620" i="5"/>
  <c r="AS597" i="5"/>
  <c r="AS568" i="5"/>
  <c r="AS534" i="5"/>
  <c r="AS488" i="5"/>
  <c r="AS437" i="5"/>
  <c r="AS384" i="5"/>
  <c r="AS325" i="5"/>
  <c r="AS251" i="5"/>
  <c r="AS179" i="5"/>
  <c r="AS80" i="5"/>
  <c r="AU865" i="5"/>
  <c r="AV865" i="5" s="1"/>
  <c r="AU786" i="5"/>
  <c r="AV786" i="5" s="1"/>
  <c r="AU662" i="5"/>
  <c r="AV662" i="5" s="1"/>
  <c r="AS751" i="5"/>
  <c r="AS645" i="5"/>
  <c r="AS453" i="5"/>
  <c r="AS192" i="5"/>
  <c r="AS114" i="5"/>
  <c r="AS871" i="5"/>
  <c r="AS852" i="5"/>
  <c r="AS829" i="5"/>
  <c r="AS807" i="5"/>
  <c r="AS788" i="5"/>
  <c r="AS765" i="5"/>
  <c r="AS743" i="5"/>
  <c r="AS724" i="5"/>
  <c r="AS701" i="5"/>
  <c r="AS679" i="5"/>
  <c r="AS660" i="5"/>
  <c r="AS637" i="5"/>
  <c r="AS615" i="5"/>
  <c r="AS596" i="5"/>
  <c r="AS565" i="5"/>
  <c r="AS525" i="5"/>
  <c r="AS486" i="5"/>
  <c r="AS430" i="5"/>
  <c r="AS373" i="5"/>
  <c r="AS320" i="5"/>
  <c r="AS247" i="5"/>
  <c r="AS156" i="5"/>
  <c r="AS76" i="5"/>
  <c r="AU856" i="5"/>
  <c r="AV856" i="5" s="1"/>
  <c r="AU762" i="5"/>
  <c r="AV762" i="5" s="1"/>
  <c r="AU660" i="5"/>
  <c r="AV660" i="5" s="1"/>
  <c r="AS860" i="5"/>
  <c r="AS732" i="5"/>
  <c r="AS668" i="5"/>
  <c r="AS502" i="5"/>
  <c r="AS272" i="5"/>
  <c r="AS12" i="5"/>
  <c r="AS869" i="5"/>
  <c r="AS847" i="5"/>
  <c r="AS828" i="5"/>
  <c r="AS805" i="5"/>
  <c r="AS783" i="5"/>
  <c r="AS764" i="5"/>
  <c r="AS741" i="5"/>
  <c r="AS719" i="5"/>
  <c r="AS700" i="5"/>
  <c r="AS677" i="5"/>
  <c r="AS655" i="5"/>
  <c r="AS636" i="5"/>
  <c r="AS613" i="5"/>
  <c r="AS589" i="5"/>
  <c r="AS564" i="5"/>
  <c r="AS520" i="5"/>
  <c r="AS477" i="5"/>
  <c r="AS429" i="5"/>
  <c r="AS366" i="5"/>
  <c r="AS309" i="5"/>
  <c r="AS240" i="5"/>
  <c r="AS152" i="5"/>
  <c r="AS53" i="5"/>
  <c r="AU851" i="5"/>
  <c r="AV851" i="5" s="1"/>
  <c r="AU753" i="5"/>
  <c r="AV753" i="5" s="1"/>
  <c r="AU599" i="5"/>
  <c r="AV599" i="5" s="1"/>
  <c r="AS796" i="5"/>
  <c r="AS623" i="5"/>
  <c r="AS868" i="5"/>
  <c r="AS845" i="5"/>
  <c r="AS823" i="5"/>
  <c r="AS804" i="5"/>
  <c r="AS781" i="5"/>
  <c r="AS759" i="5"/>
  <c r="AS740" i="5"/>
  <c r="AS717" i="5"/>
  <c r="AS695" i="5"/>
  <c r="AS676" i="5"/>
  <c r="AS653" i="5"/>
  <c r="AS631" i="5"/>
  <c r="AS612" i="5"/>
  <c r="AS586" i="5"/>
  <c r="AS557" i="5"/>
  <c r="AS518" i="5"/>
  <c r="AS472" i="5"/>
  <c r="AS414" i="5"/>
  <c r="AS365" i="5"/>
  <c r="AS301" i="5"/>
  <c r="AS226" i="5"/>
  <c r="AS144" i="5"/>
  <c r="AS50" i="5"/>
  <c r="AU830" i="5"/>
  <c r="AV830" i="5" s="1"/>
  <c r="AU750" i="5"/>
  <c r="AV750" i="5" s="1"/>
  <c r="AU571" i="5"/>
  <c r="AV571" i="5" s="1"/>
  <c r="AS773" i="5"/>
  <c r="AS604" i="5"/>
  <c r="AS863" i="5"/>
  <c r="AS844" i="5"/>
  <c r="AS821" i="5"/>
  <c r="AS799" i="5"/>
  <c r="AS780" i="5"/>
  <c r="AS757" i="5"/>
  <c r="AS735" i="5"/>
  <c r="AS716" i="5"/>
  <c r="AS693" i="5"/>
  <c r="AS671" i="5"/>
  <c r="AS652" i="5"/>
  <c r="AS629" i="5"/>
  <c r="AS607" i="5"/>
  <c r="AS585" i="5"/>
  <c r="AS552" i="5"/>
  <c r="AS509" i="5"/>
  <c r="AS470" i="5"/>
  <c r="AS408" i="5"/>
  <c r="AS350" i="5"/>
  <c r="AS300" i="5"/>
  <c r="AS216" i="5"/>
  <c r="AS125" i="5"/>
  <c r="AS42" i="5"/>
  <c r="AU825" i="5"/>
  <c r="AV825" i="5" s="1"/>
  <c r="AU728" i="5"/>
  <c r="AV728" i="5" s="1"/>
  <c r="AU553" i="5"/>
  <c r="AV553" i="5" s="1"/>
  <c r="AS861" i="5"/>
  <c r="AS839" i="5"/>
  <c r="AS820" i="5"/>
  <c r="AS797" i="5"/>
  <c r="AS775" i="5"/>
  <c r="AS756" i="5"/>
  <c r="AS733" i="5"/>
  <c r="AS711" i="5"/>
  <c r="AS692" i="5"/>
  <c r="AS669" i="5"/>
  <c r="AS647" i="5"/>
  <c r="AS628" i="5"/>
  <c r="AS605" i="5"/>
  <c r="AS578" i="5"/>
  <c r="AS550" i="5"/>
  <c r="AS504" i="5"/>
  <c r="AS456" i="5"/>
  <c r="AS406" i="5"/>
  <c r="AS344" i="5"/>
  <c r="AS280" i="5"/>
  <c r="AS215" i="5"/>
  <c r="AS115" i="5"/>
  <c r="AS24" i="5"/>
  <c r="AU817" i="5"/>
  <c r="AV817" i="5" s="1"/>
  <c r="AU722" i="5"/>
  <c r="AV722" i="5" s="1"/>
  <c r="AU401" i="5"/>
  <c r="AV401" i="5" s="1"/>
  <c r="AS875" i="5"/>
  <c r="AS867" i="5"/>
  <c r="AS859" i="5"/>
  <c r="AS851" i="5"/>
  <c r="AS843" i="5"/>
  <c r="AS835" i="5"/>
  <c r="AS827" i="5"/>
  <c r="AS819" i="5"/>
  <c r="AS811" i="5"/>
  <c r="AS803" i="5"/>
  <c r="AS795" i="5"/>
  <c r="AS787" i="5"/>
  <c r="AS779" i="5"/>
  <c r="AS771" i="5"/>
  <c r="AS763" i="5"/>
  <c r="AS755" i="5"/>
  <c r="AS747" i="5"/>
  <c r="AS739" i="5"/>
  <c r="AS731" i="5"/>
  <c r="AS723" i="5"/>
  <c r="AS715" i="5"/>
  <c r="AS707" i="5"/>
  <c r="AS699" i="5"/>
  <c r="AS691" i="5"/>
  <c r="AS683" i="5"/>
  <c r="AS675" i="5"/>
  <c r="AS667" i="5"/>
  <c r="AS659" i="5"/>
  <c r="AS651" i="5"/>
  <c r="AS643" i="5"/>
  <c r="AS635" i="5"/>
  <c r="AS627" i="5"/>
  <c r="AS619" i="5"/>
  <c r="AS611" i="5"/>
  <c r="AS603" i="5"/>
  <c r="AS594" i="5"/>
  <c r="AS584" i="5"/>
  <c r="AS573" i="5"/>
  <c r="AS562" i="5"/>
  <c r="AS549" i="5"/>
  <c r="AS533" i="5"/>
  <c r="AS517" i="5"/>
  <c r="AS501" i="5"/>
  <c r="AS485" i="5"/>
  <c r="AS469" i="5"/>
  <c r="AS446" i="5"/>
  <c r="AS424" i="5"/>
  <c r="AS405" i="5"/>
  <c r="AS382" i="5"/>
  <c r="AS360" i="5"/>
  <c r="AS341" i="5"/>
  <c r="AS318" i="5"/>
  <c r="AS293" i="5"/>
  <c r="AS268" i="5"/>
  <c r="AS237" i="5"/>
  <c r="AS208" i="5"/>
  <c r="AS178" i="5"/>
  <c r="AS140" i="5"/>
  <c r="AS106" i="5"/>
  <c r="AS75" i="5"/>
  <c r="AS37" i="5"/>
  <c r="AU881" i="5"/>
  <c r="AV881" i="5" s="1"/>
  <c r="AU850" i="5"/>
  <c r="AV850" i="5" s="1"/>
  <c r="AU814" i="5"/>
  <c r="AV814" i="5" s="1"/>
  <c r="AU778" i="5"/>
  <c r="AV778" i="5" s="1"/>
  <c r="AU747" i="5"/>
  <c r="AV747" i="5" s="1"/>
  <c r="AU712" i="5"/>
  <c r="AV712" i="5" s="1"/>
  <c r="AU639" i="5"/>
  <c r="AV639" i="5" s="1"/>
  <c r="AU548" i="5"/>
  <c r="AV548" i="5" s="1"/>
  <c r="AS9" i="5"/>
  <c r="AU10" i="5"/>
  <c r="AV10" i="5" s="1"/>
  <c r="AU18" i="5"/>
  <c r="AV18" i="5" s="1"/>
  <c r="AU26" i="5"/>
  <c r="AV26" i="5" s="1"/>
  <c r="AU34" i="5"/>
  <c r="AV34" i="5" s="1"/>
  <c r="AU42" i="5"/>
  <c r="AV42" i="5" s="1"/>
  <c r="AU50" i="5"/>
  <c r="AV50" i="5" s="1"/>
  <c r="AU58" i="5"/>
  <c r="AV58" i="5" s="1"/>
  <c r="AU66" i="5"/>
  <c r="AV66" i="5" s="1"/>
  <c r="AU74" i="5"/>
  <c r="AV74" i="5" s="1"/>
  <c r="AU82" i="5"/>
  <c r="AV82" i="5" s="1"/>
  <c r="AU90" i="5"/>
  <c r="AV90" i="5" s="1"/>
  <c r="AU98" i="5"/>
  <c r="AV98" i="5" s="1"/>
  <c r="AU106" i="5"/>
  <c r="AV106" i="5" s="1"/>
  <c r="AU114" i="5"/>
  <c r="AV114" i="5" s="1"/>
  <c r="AU122" i="5"/>
  <c r="AV122" i="5" s="1"/>
  <c r="AU130" i="5"/>
  <c r="AV130" i="5" s="1"/>
  <c r="AU138" i="5"/>
  <c r="AV138" i="5" s="1"/>
  <c r="AU146" i="5"/>
  <c r="AV146" i="5" s="1"/>
  <c r="AU154" i="5"/>
  <c r="AV154" i="5" s="1"/>
  <c r="AU162" i="5"/>
  <c r="AV162" i="5" s="1"/>
  <c r="AU170" i="5"/>
  <c r="AV170" i="5" s="1"/>
  <c r="AU178" i="5"/>
  <c r="AV178" i="5" s="1"/>
  <c r="AU186" i="5"/>
  <c r="AV186" i="5" s="1"/>
  <c r="AU194" i="5"/>
  <c r="AV194" i="5" s="1"/>
  <c r="AU202" i="5"/>
  <c r="AV202" i="5" s="1"/>
  <c r="AU210" i="5"/>
  <c r="AV210" i="5" s="1"/>
  <c r="AU218" i="5"/>
  <c r="AV218" i="5" s="1"/>
  <c r="AU226" i="5"/>
  <c r="AV226" i="5" s="1"/>
  <c r="AU234" i="5"/>
  <c r="AV234" i="5" s="1"/>
  <c r="AU242" i="5"/>
  <c r="AV242" i="5" s="1"/>
  <c r="AU250" i="5"/>
  <c r="AV250" i="5" s="1"/>
  <c r="AU258" i="5"/>
  <c r="AV258" i="5" s="1"/>
  <c r="AU266" i="5"/>
  <c r="AV266" i="5" s="1"/>
  <c r="AU274" i="5"/>
  <c r="AV274" i="5" s="1"/>
  <c r="AU282" i="5"/>
  <c r="AV282" i="5" s="1"/>
  <c r="AU290" i="5"/>
  <c r="AV290" i="5" s="1"/>
  <c r="AU298" i="5"/>
  <c r="AV298" i="5" s="1"/>
  <c r="AU306" i="5"/>
  <c r="AV306" i="5" s="1"/>
  <c r="AU314" i="5"/>
  <c r="AV314" i="5" s="1"/>
  <c r="AU322" i="5"/>
  <c r="AV322" i="5" s="1"/>
  <c r="AU330" i="5"/>
  <c r="AV330" i="5" s="1"/>
  <c r="AU338" i="5"/>
  <c r="AV338" i="5" s="1"/>
  <c r="AU346" i="5"/>
  <c r="AV346" i="5" s="1"/>
  <c r="AU354" i="5"/>
  <c r="AV354" i="5" s="1"/>
  <c r="AU362" i="5"/>
  <c r="AV362" i="5" s="1"/>
  <c r="AU370" i="5"/>
  <c r="AV370" i="5" s="1"/>
  <c r="AU378" i="5"/>
  <c r="AV378" i="5" s="1"/>
  <c r="AU386" i="5"/>
  <c r="AV386" i="5" s="1"/>
  <c r="AU394" i="5"/>
  <c r="AV394" i="5" s="1"/>
  <c r="AU402" i="5"/>
  <c r="AV402" i="5" s="1"/>
  <c r="AU410" i="5"/>
  <c r="AV410" i="5" s="1"/>
  <c r="AU418" i="5"/>
  <c r="AV418" i="5" s="1"/>
  <c r="AU426" i="5"/>
  <c r="AV426" i="5" s="1"/>
  <c r="AU434" i="5"/>
  <c r="AV434" i="5" s="1"/>
  <c r="AU442" i="5"/>
  <c r="AV442" i="5" s="1"/>
  <c r="AU450" i="5"/>
  <c r="AV450" i="5" s="1"/>
  <c r="AU458" i="5"/>
  <c r="AV458" i="5" s="1"/>
  <c r="AU466" i="5"/>
  <c r="AV466" i="5" s="1"/>
  <c r="AU474" i="5"/>
  <c r="AV474" i="5" s="1"/>
  <c r="AU482" i="5"/>
  <c r="AV482" i="5" s="1"/>
  <c r="AU490" i="5"/>
  <c r="AV490" i="5" s="1"/>
  <c r="AU498" i="5"/>
  <c r="AV498" i="5" s="1"/>
  <c r="AU506" i="5"/>
  <c r="AV506" i="5" s="1"/>
  <c r="AU514" i="5"/>
  <c r="AV514" i="5" s="1"/>
  <c r="AU522" i="5"/>
  <c r="AV522" i="5" s="1"/>
  <c r="AU530" i="5"/>
  <c r="AV530" i="5" s="1"/>
  <c r="AU538" i="5"/>
  <c r="AV538" i="5" s="1"/>
  <c r="AU546" i="5"/>
  <c r="AV546" i="5" s="1"/>
  <c r="AU554" i="5"/>
  <c r="AV554" i="5" s="1"/>
  <c r="AU562" i="5"/>
  <c r="AV562" i="5" s="1"/>
  <c r="AU570" i="5"/>
  <c r="AV570" i="5" s="1"/>
  <c r="AU3" i="5"/>
  <c r="AV3" i="5" s="1"/>
  <c r="AU11" i="5"/>
  <c r="AV11" i="5" s="1"/>
  <c r="AU19" i="5"/>
  <c r="AV19" i="5" s="1"/>
  <c r="AU27" i="5"/>
  <c r="AV27" i="5" s="1"/>
  <c r="AU35" i="5"/>
  <c r="AV35" i="5" s="1"/>
  <c r="AU43" i="5"/>
  <c r="AV43" i="5" s="1"/>
  <c r="AU51" i="5"/>
  <c r="AV51" i="5" s="1"/>
  <c r="AU59" i="5"/>
  <c r="AV59" i="5" s="1"/>
  <c r="AU67" i="5"/>
  <c r="AV67" i="5" s="1"/>
  <c r="AU75" i="5"/>
  <c r="AV75" i="5" s="1"/>
  <c r="AU83" i="5"/>
  <c r="AV83" i="5" s="1"/>
  <c r="AU91" i="5"/>
  <c r="AV91" i="5" s="1"/>
  <c r="AU99" i="5"/>
  <c r="AV99" i="5" s="1"/>
  <c r="AU107" i="5"/>
  <c r="AV107" i="5" s="1"/>
  <c r="AU115" i="5"/>
  <c r="AV115" i="5" s="1"/>
  <c r="AU123" i="5"/>
  <c r="AV123" i="5" s="1"/>
  <c r="AU131" i="5"/>
  <c r="AV131" i="5" s="1"/>
  <c r="AU139" i="5"/>
  <c r="AV139" i="5" s="1"/>
  <c r="AU147" i="5"/>
  <c r="AV147" i="5" s="1"/>
  <c r="AU155" i="5"/>
  <c r="AV155" i="5" s="1"/>
  <c r="AU163" i="5"/>
  <c r="AV163" i="5" s="1"/>
  <c r="AU171" i="5"/>
  <c r="AV171" i="5" s="1"/>
  <c r="AU179" i="5"/>
  <c r="AV179" i="5" s="1"/>
  <c r="AU187" i="5"/>
  <c r="AV187" i="5" s="1"/>
  <c r="AU195" i="5"/>
  <c r="AV195" i="5" s="1"/>
  <c r="AU203" i="5"/>
  <c r="AV203" i="5" s="1"/>
  <c r="AU211" i="5"/>
  <c r="AV211" i="5" s="1"/>
  <c r="AU219" i="5"/>
  <c r="AV219" i="5" s="1"/>
  <c r="AU227" i="5"/>
  <c r="AV227" i="5" s="1"/>
  <c r="AU235" i="5"/>
  <c r="AV235" i="5" s="1"/>
  <c r="AU243" i="5"/>
  <c r="AV243" i="5" s="1"/>
  <c r="AU251" i="5"/>
  <c r="AV251" i="5" s="1"/>
  <c r="AU259" i="5"/>
  <c r="AV259" i="5" s="1"/>
  <c r="AU267" i="5"/>
  <c r="AV267" i="5" s="1"/>
  <c r="AU275" i="5"/>
  <c r="AV275" i="5" s="1"/>
  <c r="AU283" i="5"/>
  <c r="AV283" i="5" s="1"/>
  <c r="AU291" i="5"/>
  <c r="AV291" i="5" s="1"/>
  <c r="AU299" i="5"/>
  <c r="AV299" i="5" s="1"/>
  <c r="AU307" i="5"/>
  <c r="AV307" i="5" s="1"/>
  <c r="AU315" i="5"/>
  <c r="AV315" i="5" s="1"/>
  <c r="AU323" i="5"/>
  <c r="AV323" i="5" s="1"/>
  <c r="AU331" i="5"/>
  <c r="AV331" i="5" s="1"/>
  <c r="AU339" i="5"/>
  <c r="AV339" i="5" s="1"/>
  <c r="AU347" i="5"/>
  <c r="AV347" i="5" s="1"/>
  <c r="AU355" i="5"/>
  <c r="AV355" i="5" s="1"/>
  <c r="AU363" i="5"/>
  <c r="AV363" i="5" s="1"/>
  <c r="AU371" i="5"/>
  <c r="AV371" i="5" s="1"/>
  <c r="AU379" i="5"/>
  <c r="AV379" i="5" s="1"/>
  <c r="AU387" i="5"/>
  <c r="AV387" i="5" s="1"/>
  <c r="AU395" i="5"/>
  <c r="AV395" i="5" s="1"/>
  <c r="AU4" i="5"/>
  <c r="AV4" i="5" s="1"/>
  <c r="AU12" i="5"/>
  <c r="AV12" i="5" s="1"/>
  <c r="AU20" i="5"/>
  <c r="AV20" i="5" s="1"/>
  <c r="AU28" i="5"/>
  <c r="AV28" i="5" s="1"/>
  <c r="AU36" i="5"/>
  <c r="AV36" i="5" s="1"/>
  <c r="AU44" i="5"/>
  <c r="AV44" i="5" s="1"/>
  <c r="AU52" i="5"/>
  <c r="AV52" i="5" s="1"/>
  <c r="AU60" i="5"/>
  <c r="AV60" i="5" s="1"/>
  <c r="AU68" i="5"/>
  <c r="AV68" i="5" s="1"/>
  <c r="AU76" i="5"/>
  <c r="AV76" i="5" s="1"/>
  <c r="AU84" i="5"/>
  <c r="AV84" i="5" s="1"/>
  <c r="AU92" i="5"/>
  <c r="AV92" i="5" s="1"/>
  <c r="AU100" i="5"/>
  <c r="AV100" i="5" s="1"/>
  <c r="AU108" i="5"/>
  <c r="AV108" i="5" s="1"/>
  <c r="AU116" i="5"/>
  <c r="AV116" i="5" s="1"/>
  <c r="AU124" i="5"/>
  <c r="AV124" i="5" s="1"/>
  <c r="AU132" i="5"/>
  <c r="AV132" i="5" s="1"/>
  <c r="AU140" i="5"/>
  <c r="AV140" i="5" s="1"/>
  <c r="AU148" i="5"/>
  <c r="AV148" i="5" s="1"/>
  <c r="AU156" i="5"/>
  <c r="AV156" i="5" s="1"/>
  <c r="AU164" i="5"/>
  <c r="AV164" i="5" s="1"/>
  <c r="AU172" i="5"/>
  <c r="AV172" i="5" s="1"/>
  <c r="AU180" i="5"/>
  <c r="AV180" i="5" s="1"/>
  <c r="AU188" i="5"/>
  <c r="AV188" i="5" s="1"/>
  <c r="AU196" i="5"/>
  <c r="AV196" i="5" s="1"/>
  <c r="AU204" i="5"/>
  <c r="AV204" i="5" s="1"/>
  <c r="AU212" i="5"/>
  <c r="AV212" i="5" s="1"/>
  <c r="AU220" i="5"/>
  <c r="AV220" i="5" s="1"/>
  <c r="AU228" i="5"/>
  <c r="AV228" i="5" s="1"/>
  <c r="AU236" i="5"/>
  <c r="AV236" i="5" s="1"/>
  <c r="AU244" i="5"/>
  <c r="AV244" i="5" s="1"/>
  <c r="AU252" i="5"/>
  <c r="AV252" i="5" s="1"/>
  <c r="AU260" i="5"/>
  <c r="AV260" i="5" s="1"/>
  <c r="AU268" i="5"/>
  <c r="AV268" i="5" s="1"/>
  <c r="AU276" i="5"/>
  <c r="AV276" i="5" s="1"/>
  <c r="AU284" i="5"/>
  <c r="AV284" i="5" s="1"/>
  <c r="AU292" i="5"/>
  <c r="AV292" i="5" s="1"/>
  <c r="AU300" i="5"/>
  <c r="AV300" i="5" s="1"/>
  <c r="AU308" i="5"/>
  <c r="AV308" i="5" s="1"/>
  <c r="AU316" i="5"/>
  <c r="AV316" i="5" s="1"/>
  <c r="AU324" i="5"/>
  <c r="AV324" i="5" s="1"/>
  <c r="AU332" i="5"/>
  <c r="AV332" i="5" s="1"/>
  <c r="AU340" i="5"/>
  <c r="AV340" i="5" s="1"/>
  <c r="AU348" i="5"/>
  <c r="AV348" i="5" s="1"/>
  <c r="AU356" i="5"/>
  <c r="AV356" i="5" s="1"/>
  <c r="AU364" i="5"/>
  <c r="AV364" i="5" s="1"/>
  <c r="AU372" i="5"/>
  <c r="AV372" i="5" s="1"/>
  <c r="AU380" i="5"/>
  <c r="AV380" i="5" s="1"/>
  <c r="AU388" i="5"/>
  <c r="AV388" i="5" s="1"/>
  <c r="AU396" i="5"/>
  <c r="AV396" i="5" s="1"/>
  <c r="AU5" i="5"/>
  <c r="AV5" i="5" s="1"/>
  <c r="AU13" i="5"/>
  <c r="AV13" i="5" s="1"/>
  <c r="AU21" i="5"/>
  <c r="AV21" i="5" s="1"/>
  <c r="AU29" i="5"/>
  <c r="AV29" i="5" s="1"/>
  <c r="AU37" i="5"/>
  <c r="AV37" i="5" s="1"/>
  <c r="AU45" i="5"/>
  <c r="AV45" i="5" s="1"/>
  <c r="AU53" i="5"/>
  <c r="AV53" i="5" s="1"/>
  <c r="AU61" i="5"/>
  <c r="AV61" i="5" s="1"/>
  <c r="AU69" i="5"/>
  <c r="AV69" i="5" s="1"/>
  <c r="AU77" i="5"/>
  <c r="AV77" i="5" s="1"/>
  <c r="AU85" i="5"/>
  <c r="AV85" i="5" s="1"/>
  <c r="AU93" i="5"/>
  <c r="AV93" i="5" s="1"/>
  <c r="AU101" i="5"/>
  <c r="AV101" i="5" s="1"/>
  <c r="AU109" i="5"/>
  <c r="AV109" i="5" s="1"/>
  <c r="AU117" i="5"/>
  <c r="AV117" i="5" s="1"/>
  <c r="AU125" i="5"/>
  <c r="AV125" i="5" s="1"/>
  <c r="AU133" i="5"/>
  <c r="AV133" i="5" s="1"/>
  <c r="AU141" i="5"/>
  <c r="AV141" i="5" s="1"/>
  <c r="AU149" i="5"/>
  <c r="AV149" i="5" s="1"/>
  <c r="AU157" i="5"/>
  <c r="AV157" i="5" s="1"/>
  <c r="AU165" i="5"/>
  <c r="AV165" i="5" s="1"/>
  <c r="AU173" i="5"/>
  <c r="AV173" i="5" s="1"/>
  <c r="AU181" i="5"/>
  <c r="AV181" i="5" s="1"/>
  <c r="AU189" i="5"/>
  <c r="AV189" i="5" s="1"/>
  <c r="AU197" i="5"/>
  <c r="AV197" i="5" s="1"/>
  <c r="AU205" i="5"/>
  <c r="AV205" i="5" s="1"/>
  <c r="AU213" i="5"/>
  <c r="AV213" i="5" s="1"/>
  <c r="AU221" i="5"/>
  <c r="AV221" i="5" s="1"/>
  <c r="AU229" i="5"/>
  <c r="AV229" i="5" s="1"/>
  <c r="AU237" i="5"/>
  <c r="AV237" i="5" s="1"/>
  <c r="AU245" i="5"/>
  <c r="AV245" i="5" s="1"/>
  <c r="AU253" i="5"/>
  <c r="AV253" i="5" s="1"/>
  <c r="AU261" i="5"/>
  <c r="AV261" i="5" s="1"/>
  <c r="AU269" i="5"/>
  <c r="AV269" i="5" s="1"/>
  <c r="AU277" i="5"/>
  <c r="AV277" i="5" s="1"/>
  <c r="AU285" i="5"/>
  <c r="AV285" i="5" s="1"/>
  <c r="AU293" i="5"/>
  <c r="AV293" i="5" s="1"/>
  <c r="AU301" i="5"/>
  <c r="AV301" i="5" s="1"/>
  <c r="AU309" i="5"/>
  <c r="AV309" i="5" s="1"/>
  <c r="AU317" i="5"/>
  <c r="AV317" i="5" s="1"/>
  <c r="AU325" i="5"/>
  <c r="AV325" i="5" s="1"/>
  <c r="AU333" i="5"/>
  <c r="AV333" i="5" s="1"/>
  <c r="AU341" i="5"/>
  <c r="AV341" i="5" s="1"/>
  <c r="AU349" i="5"/>
  <c r="AV349" i="5" s="1"/>
  <c r="AU357" i="5"/>
  <c r="AV357" i="5" s="1"/>
  <c r="AU365" i="5"/>
  <c r="AV365" i="5" s="1"/>
  <c r="AU373" i="5"/>
  <c r="AV373" i="5" s="1"/>
  <c r="AU381" i="5"/>
  <c r="AV381" i="5" s="1"/>
  <c r="AU389" i="5"/>
  <c r="AV389" i="5" s="1"/>
  <c r="AU397" i="5"/>
  <c r="AV397" i="5" s="1"/>
  <c r="AU405" i="5"/>
  <c r="AV405" i="5" s="1"/>
  <c r="AU413" i="5"/>
  <c r="AV413" i="5" s="1"/>
  <c r="AU421" i="5"/>
  <c r="AV421" i="5" s="1"/>
  <c r="AU429" i="5"/>
  <c r="AV429" i="5" s="1"/>
  <c r="AU437" i="5"/>
  <c r="AV437" i="5" s="1"/>
  <c r="AU445" i="5"/>
  <c r="AV445" i="5" s="1"/>
  <c r="AU453" i="5"/>
  <c r="AV453" i="5" s="1"/>
  <c r="AU461" i="5"/>
  <c r="AV461" i="5" s="1"/>
  <c r="AU469" i="5"/>
  <c r="AV469" i="5" s="1"/>
  <c r="AU477" i="5"/>
  <c r="AV477" i="5" s="1"/>
  <c r="AU485" i="5"/>
  <c r="AV485" i="5" s="1"/>
  <c r="AU493" i="5"/>
  <c r="AV493" i="5" s="1"/>
  <c r="AU501" i="5"/>
  <c r="AV501" i="5" s="1"/>
  <c r="AU509" i="5"/>
  <c r="AV509" i="5" s="1"/>
  <c r="AU517" i="5"/>
  <c r="AV517" i="5" s="1"/>
  <c r="AU525" i="5"/>
  <c r="AV525" i="5" s="1"/>
  <c r="AU533" i="5"/>
  <c r="AV533" i="5" s="1"/>
  <c r="AU541" i="5"/>
  <c r="AV541" i="5" s="1"/>
  <c r="AU549" i="5"/>
  <c r="AV549" i="5" s="1"/>
  <c r="AU557" i="5"/>
  <c r="AV557" i="5" s="1"/>
  <c r="AU565" i="5"/>
  <c r="AV565" i="5" s="1"/>
  <c r="AU573" i="5"/>
  <c r="AV573" i="5" s="1"/>
  <c r="AU581" i="5"/>
  <c r="AV581" i="5" s="1"/>
  <c r="AU589" i="5"/>
  <c r="AV589" i="5" s="1"/>
  <c r="AU597" i="5"/>
  <c r="AV597" i="5" s="1"/>
  <c r="AU605" i="5"/>
  <c r="AV605" i="5" s="1"/>
  <c r="AU613" i="5"/>
  <c r="AV613" i="5" s="1"/>
  <c r="AU621" i="5"/>
  <c r="AV621" i="5" s="1"/>
  <c r="AU629" i="5"/>
  <c r="AV629" i="5" s="1"/>
  <c r="AU637" i="5"/>
  <c r="AV637" i="5" s="1"/>
  <c r="AU645" i="5"/>
  <c r="AV645" i="5" s="1"/>
  <c r="AU653" i="5"/>
  <c r="AV653" i="5" s="1"/>
  <c r="AU661" i="5"/>
  <c r="AV661" i="5" s="1"/>
  <c r="AU669" i="5"/>
  <c r="AV669" i="5" s="1"/>
  <c r="AU677" i="5"/>
  <c r="AV677" i="5" s="1"/>
  <c r="AU6" i="5"/>
  <c r="AV6" i="5" s="1"/>
  <c r="AU14" i="5"/>
  <c r="AV14" i="5" s="1"/>
  <c r="AU22" i="5"/>
  <c r="AV22" i="5" s="1"/>
  <c r="AU30" i="5"/>
  <c r="AV30" i="5" s="1"/>
  <c r="AU38" i="5"/>
  <c r="AV38" i="5" s="1"/>
  <c r="AU46" i="5"/>
  <c r="AV46" i="5" s="1"/>
  <c r="AU54" i="5"/>
  <c r="AV54" i="5" s="1"/>
  <c r="AU62" i="5"/>
  <c r="AV62" i="5" s="1"/>
  <c r="AU70" i="5"/>
  <c r="AV70" i="5" s="1"/>
  <c r="AU78" i="5"/>
  <c r="AV78" i="5" s="1"/>
  <c r="AU86" i="5"/>
  <c r="AV86" i="5" s="1"/>
  <c r="AU94" i="5"/>
  <c r="AV94" i="5" s="1"/>
  <c r="AU102" i="5"/>
  <c r="AV102" i="5" s="1"/>
  <c r="AU110" i="5"/>
  <c r="AV110" i="5" s="1"/>
  <c r="AU118" i="5"/>
  <c r="AV118" i="5" s="1"/>
  <c r="AU126" i="5"/>
  <c r="AV126" i="5" s="1"/>
  <c r="AU134" i="5"/>
  <c r="AV134" i="5" s="1"/>
  <c r="AU142" i="5"/>
  <c r="AV142" i="5" s="1"/>
  <c r="AU150" i="5"/>
  <c r="AV150" i="5" s="1"/>
  <c r="AU158" i="5"/>
  <c r="AV158" i="5" s="1"/>
  <c r="AU166" i="5"/>
  <c r="AV166" i="5" s="1"/>
  <c r="AU174" i="5"/>
  <c r="AV174" i="5" s="1"/>
  <c r="AU182" i="5"/>
  <c r="AV182" i="5" s="1"/>
  <c r="AU190" i="5"/>
  <c r="AV190" i="5" s="1"/>
  <c r="AU198" i="5"/>
  <c r="AV198" i="5" s="1"/>
  <c r="AU206" i="5"/>
  <c r="AV206" i="5" s="1"/>
  <c r="AU214" i="5"/>
  <c r="AV214" i="5" s="1"/>
  <c r="AU222" i="5"/>
  <c r="AV222" i="5" s="1"/>
  <c r="AU230" i="5"/>
  <c r="AV230" i="5" s="1"/>
  <c r="AU238" i="5"/>
  <c r="AV238" i="5" s="1"/>
  <c r="AU246" i="5"/>
  <c r="AV246" i="5" s="1"/>
  <c r="AU254" i="5"/>
  <c r="AV254" i="5" s="1"/>
  <c r="AU262" i="5"/>
  <c r="AV262" i="5" s="1"/>
  <c r="AU270" i="5"/>
  <c r="AV270" i="5" s="1"/>
  <c r="AU278" i="5"/>
  <c r="AV278" i="5" s="1"/>
  <c r="AU286" i="5"/>
  <c r="AV286" i="5" s="1"/>
  <c r="AU294" i="5"/>
  <c r="AV294" i="5" s="1"/>
  <c r="AU302" i="5"/>
  <c r="AV302" i="5" s="1"/>
  <c r="AU310" i="5"/>
  <c r="AV310" i="5" s="1"/>
  <c r="AU318" i="5"/>
  <c r="AV318" i="5" s="1"/>
  <c r="AU326" i="5"/>
  <c r="AV326" i="5" s="1"/>
  <c r="AU334" i="5"/>
  <c r="AV334" i="5" s="1"/>
  <c r="AU342" i="5"/>
  <c r="AV342" i="5" s="1"/>
  <c r="AU350" i="5"/>
  <c r="AV350" i="5" s="1"/>
  <c r="AU358" i="5"/>
  <c r="AV358" i="5" s="1"/>
  <c r="AU366" i="5"/>
  <c r="AV366" i="5" s="1"/>
  <c r="AU374" i="5"/>
  <c r="AV374" i="5" s="1"/>
  <c r="AU382" i="5"/>
  <c r="AV382" i="5" s="1"/>
  <c r="AU390" i="5"/>
  <c r="AV390" i="5" s="1"/>
  <c r="AU398" i="5"/>
  <c r="AV398" i="5" s="1"/>
  <c r="AU406" i="5"/>
  <c r="AV406" i="5" s="1"/>
  <c r="AU414" i="5"/>
  <c r="AV414" i="5" s="1"/>
  <c r="AU422" i="5"/>
  <c r="AV422" i="5" s="1"/>
  <c r="AU430" i="5"/>
  <c r="AV430" i="5" s="1"/>
  <c r="AU438" i="5"/>
  <c r="AV438" i="5" s="1"/>
  <c r="AU446" i="5"/>
  <c r="AV446" i="5" s="1"/>
  <c r="AU454" i="5"/>
  <c r="AV454" i="5" s="1"/>
  <c r="AU462" i="5"/>
  <c r="AV462" i="5" s="1"/>
  <c r="AU470" i="5"/>
  <c r="AV470" i="5" s="1"/>
  <c r="AU478" i="5"/>
  <c r="AV478" i="5" s="1"/>
  <c r="AU486" i="5"/>
  <c r="AV486" i="5" s="1"/>
  <c r="AU494" i="5"/>
  <c r="AV494" i="5" s="1"/>
  <c r="AU502" i="5"/>
  <c r="AV502" i="5" s="1"/>
  <c r="AU510" i="5"/>
  <c r="AV510" i="5" s="1"/>
  <c r="AU518" i="5"/>
  <c r="AV518" i="5" s="1"/>
  <c r="AU526" i="5"/>
  <c r="AV526" i="5" s="1"/>
  <c r="AU534" i="5"/>
  <c r="AV534" i="5" s="1"/>
  <c r="AU542" i="5"/>
  <c r="AV542" i="5" s="1"/>
  <c r="AU550" i="5"/>
  <c r="AV550" i="5" s="1"/>
  <c r="AU558" i="5"/>
  <c r="AV558" i="5" s="1"/>
  <c r="AU566" i="5"/>
  <c r="AV566" i="5" s="1"/>
  <c r="AU574" i="5"/>
  <c r="AV574" i="5" s="1"/>
  <c r="AU582" i="5"/>
  <c r="AV582" i="5" s="1"/>
  <c r="AU590" i="5"/>
  <c r="AV590" i="5" s="1"/>
  <c r="AU598" i="5"/>
  <c r="AV598" i="5" s="1"/>
  <c r="AU606" i="5"/>
  <c r="AV606" i="5" s="1"/>
  <c r="AU614" i="5"/>
  <c r="AV614" i="5" s="1"/>
  <c r="AU622" i="5"/>
  <c r="AV622" i="5" s="1"/>
  <c r="AU630" i="5"/>
  <c r="AV630" i="5" s="1"/>
  <c r="AU638" i="5"/>
  <c r="AV638" i="5" s="1"/>
  <c r="AU646" i="5"/>
  <c r="AV646" i="5" s="1"/>
  <c r="AU7" i="5"/>
  <c r="AV7" i="5" s="1"/>
  <c r="AU15" i="5"/>
  <c r="AV15" i="5" s="1"/>
  <c r="AU23" i="5"/>
  <c r="AV23" i="5" s="1"/>
  <c r="AU31" i="5"/>
  <c r="AV31" i="5" s="1"/>
  <c r="AU39" i="5"/>
  <c r="AV39" i="5" s="1"/>
  <c r="AU47" i="5"/>
  <c r="AV47" i="5" s="1"/>
  <c r="AU55" i="5"/>
  <c r="AV55" i="5" s="1"/>
  <c r="AU63" i="5"/>
  <c r="AV63" i="5" s="1"/>
  <c r="AU71" i="5"/>
  <c r="AV71" i="5" s="1"/>
  <c r="AU79" i="5"/>
  <c r="AV79" i="5" s="1"/>
  <c r="AU87" i="5"/>
  <c r="AV87" i="5" s="1"/>
  <c r="AU95" i="5"/>
  <c r="AV95" i="5" s="1"/>
  <c r="AU103" i="5"/>
  <c r="AV103" i="5" s="1"/>
  <c r="AU111" i="5"/>
  <c r="AV111" i="5" s="1"/>
  <c r="AU119" i="5"/>
  <c r="AV119" i="5" s="1"/>
  <c r="AU127" i="5"/>
  <c r="AV127" i="5" s="1"/>
  <c r="AU135" i="5"/>
  <c r="AV135" i="5" s="1"/>
  <c r="AU143" i="5"/>
  <c r="AV143" i="5" s="1"/>
  <c r="AU151" i="5"/>
  <c r="AV151" i="5" s="1"/>
  <c r="AU159" i="5"/>
  <c r="AV159" i="5" s="1"/>
  <c r="AU167" i="5"/>
  <c r="AV167" i="5" s="1"/>
  <c r="AU175" i="5"/>
  <c r="AV175" i="5" s="1"/>
  <c r="AU183" i="5"/>
  <c r="AV183" i="5" s="1"/>
  <c r="AU191" i="5"/>
  <c r="AV191" i="5" s="1"/>
  <c r="AU199" i="5"/>
  <c r="AV199" i="5" s="1"/>
  <c r="AU207" i="5"/>
  <c r="AV207" i="5" s="1"/>
  <c r="AU215" i="5"/>
  <c r="AV215" i="5" s="1"/>
  <c r="AU223" i="5"/>
  <c r="AV223" i="5" s="1"/>
  <c r="AU231" i="5"/>
  <c r="AV231" i="5" s="1"/>
  <c r="AU239" i="5"/>
  <c r="AV239" i="5" s="1"/>
  <c r="AU247" i="5"/>
  <c r="AV247" i="5" s="1"/>
  <c r="AU255" i="5"/>
  <c r="AV255" i="5" s="1"/>
  <c r="AU263" i="5"/>
  <c r="AV263" i="5" s="1"/>
  <c r="AU271" i="5"/>
  <c r="AV271" i="5" s="1"/>
  <c r="AU279" i="5"/>
  <c r="AV279" i="5" s="1"/>
  <c r="AU287" i="5"/>
  <c r="AV287" i="5" s="1"/>
  <c r="AU295" i="5"/>
  <c r="AV295" i="5" s="1"/>
  <c r="AU303" i="5"/>
  <c r="AV303" i="5" s="1"/>
  <c r="AU311" i="5"/>
  <c r="AV311" i="5" s="1"/>
  <c r="AU319" i="5"/>
  <c r="AV319" i="5" s="1"/>
  <c r="AU327" i="5"/>
  <c r="AV327" i="5" s="1"/>
  <c r="AU335" i="5"/>
  <c r="AV335" i="5" s="1"/>
  <c r="AU343" i="5"/>
  <c r="AV343" i="5" s="1"/>
  <c r="AU351" i="5"/>
  <c r="AV351" i="5" s="1"/>
  <c r="AU359" i="5"/>
  <c r="AV359" i="5" s="1"/>
  <c r="AU367" i="5"/>
  <c r="AV367" i="5" s="1"/>
  <c r="AU375" i="5"/>
  <c r="AV375" i="5" s="1"/>
  <c r="AU383" i="5"/>
  <c r="AV383" i="5" s="1"/>
  <c r="AU391" i="5"/>
  <c r="AV391" i="5" s="1"/>
  <c r="AU399" i="5"/>
  <c r="AV399" i="5" s="1"/>
  <c r="AU407" i="5"/>
  <c r="AV407" i="5" s="1"/>
  <c r="AU415" i="5"/>
  <c r="AV415" i="5" s="1"/>
  <c r="AU423" i="5"/>
  <c r="AV423" i="5" s="1"/>
  <c r="AU431" i="5"/>
  <c r="AV431" i="5" s="1"/>
  <c r="AU439" i="5"/>
  <c r="AV439" i="5" s="1"/>
  <c r="AU447" i="5"/>
  <c r="AV447" i="5" s="1"/>
  <c r="AU455" i="5"/>
  <c r="AV455" i="5" s="1"/>
  <c r="AU463" i="5"/>
  <c r="AV463" i="5" s="1"/>
  <c r="AU471" i="5"/>
  <c r="AV471" i="5" s="1"/>
  <c r="AU479" i="5"/>
  <c r="AV479" i="5" s="1"/>
  <c r="AU487" i="5"/>
  <c r="AV487" i="5" s="1"/>
  <c r="AU495" i="5"/>
  <c r="AV495" i="5" s="1"/>
  <c r="AU503" i="5"/>
  <c r="AV503" i="5" s="1"/>
  <c r="AU511" i="5"/>
  <c r="AV511" i="5" s="1"/>
  <c r="AU519" i="5"/>
  <c r="AV519" i="5" s="1"/>
  <c r="AU527" i="5"/>
  <c r="AV527" i="5" s="1"/>
  <c r="AU535" i="5"/>
  <c r="AV535" i="5" s="1"/>
  <c r="AU543" i="5"/>
  <c r="AV543" i="5" s="1"/>
  <c r="AU551" i="5"/>
  <c r="AV551" i="5" s="1"/>
  <c r="AU559" i="5"/>
  <c r="AV559" i="5" s="1"/>
  <c r="AU567" i="5"/>
  <c r="AV567" i="5" s="1"/>
  <c r="AU575" i="5"/>
  <c r="AV575" i="5" s="1"/>
  <c r="AU8" i="5"/>
  <c r="AV8" i="5" s="1"/>
  <c r="AU16" i="5"/>
  <c r="AV16" i="5" s="1"/>
  <c r="AU24" i="5"/>
  <c r="AV24" i="5" s="1"/>
  <c r="AU32" i="5"/>
  <c r="AV32" i="5" s="1"/>
  <c r="AU40" i="5"/>
  <c r="AV40" i="5" s="1"/>
  <c r="AU48" i="5"/>
  <c r="AV48" i="5" s="1"/>
  <c r="AU56" i="5"/>
  <c r="AV56" i="5" s="1"/>
  <c r="AU64" i="5"/>
  <c r="AV64" i="5" s="1"/>
  <c r="AU72" i="5"/>
  <c r="AV72" i="5" s="1"/>
  <c r="AU80" i="5"/>
  <c r="AV80" i="5" s="1"/>
  <c r="AU88" i="5"/>
  <c r="AV88" i="5" s="1"/>
  <c r="AU96" i="5"/>
  <c r="AV96" i="5" s="1"/>
  <c r="AU104" i="5"/>
  <c r="AV104" i="5" s="1"/>
  <c r="AU112" i="5"/>
  <c r="AV112" i="5" s="1"/>
  <c r="AU120" i="5"/>
  <c r="AV120" i="5" s="1"/>
  <c r="AU128" i="5"/>
  <c r="AV128" i="5" s="1"/>
  <c r="AU136" i="5"/>
  <c r="AV136" i="5" s="1"/>
  <c r="AU144" i="5"/>
  <c r="AV144" i="5" s="1"/>
  <c r="AU152" i="5"/>
  <c r="AV152" i="5" s="1"/>
  <c r="AU160" i="5"/>
  <c r="AV160" i="5" s="1"/>
  <c r="AU168" i="5"/>
  <c r="AV168" i="5" s="1"/>
  <c r="AU176" i="5"/>
  <c r="AV176" i="5" s="1"/>
  <c r="AU184" i="5"/>
  <c r="AV184" i="5" s="1"/>
  <c r="AU192" i="5"/>
  <c r="AV192" i="5" s="1"/>
  <c r="AU200" i="5"/>
  <c r="AV200" i="5" s="1"/>
  <c r="AU208" i="5"/>
  <c r="AV208" i="5" s="1"/>
  <c r="AU216" i="5"/>
  <c r="AV216" i="5" s="1"/>
  <c r="AU224" i="5"/>
  <c r="AV224" i="5" s="1"/>
  <c r="AU232" i="5"/>
  <c r="AV232" i="5" s="1"/>
  <c r="AU240" i="5"/>
  <c r="AV240" i="5" s="1"/>
  <c r="AU248" i="5"/>
  <c r="AV248" i="5" s="1"/>
  <c r="AU256" i="5"/>
  <c r="AV256" i="5" s="1"/>
  <c r="AU264" i="5"/>
  <c r="AV264" i="5" s="1"/>
  <c r="AU272" i="5"/>
  <c r="AV272" i="5" s="1"/>
  <c r="AU280" i="5"/>
  <c r="AV280" i="5" s="1"/>
  <c r="AU288" i="5"/>
  <c r="AV288" i="5" s="1"/>
  <c r="AU296" i="5"/>
  <c r="AV296" i="5" s="1"/>
  <c r="AU304" i="5"/>
  <c r="AV304" i="5" s="1"/>
  <c r="AU312" i="5"/>
  <c r="AV312" i="5" s="1"/>
  <c r="AU320" i="5"/>
  <c r="AV320" i="5" s="1"/>
  <c r="AU328" i="5"/>
  <c r="AV328" i="5" s="1"/>
  <c r="AU336" i="5"/>
  <c r="AV336" i="5" s="1"/>
  <c r="AU344" i="5"/>
  <c r="AV344" i="5" s="1"/>
  <c r="AU352" i="5"/>
  <c r="AV352" i="5" s="1"/>
  <c r="AU360" i="5"/>
  <c r="AV360" i="5" s="1"/>
  <c r="AU368" i="5"/>
  <c r="AV368" i="5" s="1"/>
  <c r="AU376" i="5"/>
  <c r="AV376" i="5" s="1"/>
  <c r="AU384" i="5"/>
  <c r="AV384" i="5" s="1"/>
  <c r="AU392" i="5"/>
  <c r="AV392" i="5" s="1"/>
  <c r="AU400" i="5"/>
  <c r="AV400" i="5" s="1"/>
  <c r="AU408" i="5"/>
  <c r="AV408" i="5" s="1"/>
  <c r="AU416" i="5"/>
  <c r="AV416" i="5" s="1"/>
  <c r="AU424" i="5"/>
  <c r="AV424" i="5" s="1"/>
  <c r="AU432" i="5"/>
  <c r="AV432" i="5" s="1"/>
  <c r="AU440" i="5"/>
  <c r="AV440" i="5" s="1"/>
  <c r="AU448" i="5"/>
  <c r="AV448" i="5" s="1"/>
  <c r="AU456" i="5"/>
  <c r="AV456" i="5" s="1"/>
  <c r="AU464" i="5"/>
  <c r="AV464" i="5" s="1"/>
  <c r="AU472" i="5"/>
  <c r="AV472" i="5" s="1"/>
  <c r="AU480" i="5"/>
  <c r="AV480" i="5" s="1"/>
  <c r="AU488" i="5"/>
  <c r="AV488" i="5" s="1"/>
  <c r="AU496" i="5"/>
  <c r="AV496" i="5" s="1"/>
  <c r="AU504" i="5"/>
  <c r="AV504" i="5" s="1"/>
  <c r="AU512" i="5"/>
  <c r="AV512" i="5" s="1"/>
  <c r="AU520" i="5"/>
  <c r="AV520" i="5" s="1"/>
  <c r="AU528" i="5"/>
  <c r="AV528" i="5" s="1"/>
  <c r="AU536" i="5"/>
  <c r="AV536" i="5" s="1"/>
  <c r="AU544" i="5"/>
  <c r="AV544" i="5" s="1"/>
  <c r="AU552" i="5"/>
  <c r="AV552" i="5" s="1"/>
  <c r="AU560" i="5"/>
  <c r="AV560" i="5" s="1"/>
  <c r="AU568" i="5"/>
  <c r="AV568" i="5" s="1"/>
  <c r="AU576" i="5"/>
  <c r="AV576" i="5" s="1"/>
  <c r="AU584" i="5"/>
  <c r="AV584" i="5" s="1"/>
  <c r="AU592" i="5"/>
  <c r="AV592" i="5" s="1"/>
  <c r="AU600" i="5"/>
  <c r="AV600" i="5" s="1"/>
  <c r="AU608" i="5"/>
  <c r="AV608" i="5" s="1"/>
  <c r="AU616" i="5"/>
  <c r="AV616" i="5" s="1"/>
  <c r="AU624" i="5"/>
  <c r="AV624" i="5" s="1"/>
  <c r="AU632" i="5"/>
  <c r="AV632" i="5" s="1"/>
  <c r="AU640" i="5"/>
  <c r="AV640" i="5" s="1"/>
  <c r="AU648" i="5"/>
  <c r="AV648" i="5" s="1"/>
  <c r="AU656" i="5"/>
  <c r="AV656" i="5" s="1"/>
  <c r="AU664" i="5"/>
  <c r="AV664" i="5" s="1"/>
  <c r="AU672" i="5"/>
  <c r="AV672" i="5" s="1"/>
  <c r="AU680" i="5"/>
  <c r="AV680" i="5" s="1"/>
  <c r="AU9" i="5"/>
  <c r="AV9" i="5" s="1"/>
  <c r="AU73" i="5"/>
  <c r="AV73" i="5" s="1"/>
  <c r="AU137" i="5"/>
  <c r="AV137" i="5" s="1"/>
  <c r="AU201" i="5"/>
  <c r="AV201" i="5" s="1"/>
  <c r="AU265" i="5"/>
  <c r="AV265" i="5" s="1"/>
  <c r="AU329" i="5"/>
  <c r="AV329" i="5" s="1"/>
  <c r="AU393" i="5"/>
  <c r="AV393" i="5" s="1"/>
  <c r="AU419" i="5"/>
  <c r="AV419" i="5" s="1"/>
  <c r="AU441" i="5"/>
  <c r="AV441" i="5" s="1"/>
  <c r="AU460" i="5"/>
  <c r="AV460" i="5" s="1"/>
  <c r="AU483" i="5"/>
  <c r="AV483" i="5" s="1"/>
  <c r="AU505" i="5"/>
  <c r="AV505" i="5" s="1"/>
  <c r="AU524" i="5"/>
  <c r="AV524" i="5" s="1"/>
  <c r="AU547" i="5"/>
  <c r="AV547" i="5" s="1"/>
  <c r="AU569" i="5"/>
  <c r="AV569" i="5" s="1"/>
  <c r="AU585" i="5"/>
  <c r="AV585" i="5" s="1"/>
  <c r="AU596" i="5"/>
  <c r="AV596" i="5" s="1"/>
  <c r="AU610" i="5"/>
  <c r="AV610" i="5" s="1"/>
  <c r="AU623" i="5"/>
  <c r="AV623" i="5" s="1"/>
  <c r="AU635" i="5"/>
  <c r="AV635" i="5" s="1"/>
  <c r="AU649" i="5"/>
  <c r="AV649" i="5" s="1"/>
  <c r="AU659" i="5"/>
  <c r="AV659" i="5" s="1"/>
  <c r="AU670" i="5"/>
  <c r="AV670" i="5" s="1"/>
  <c r="AU681" i="5"/>
  <c r="AV681" i="5" s="1"/>
  <c r="AU689" i="5"/>
  <c r="AV689" i="5" s="1"/>
  <c r="AU697" i="5"/>
  <c r="AV697" i="5" s="1"/>
  <c r="AU705" i="5"/>
  <c r="AV705" i="5" s="1"/>
  <c r="AU33" i="5"/>
  <c r="AV33" i="5" s="1"/>
  <c r="AU97" i="5"/>
  <c r="AV97" i="5" s="1"/>
  <c r="AU161" i="5"/>
  <c r="AV161" i="5" s="1"/>
  <c r="AU225" i="5"/>
  <c r="AV225" i="5" s="1"/>
  <c r="AU289" i="5"/>
  <c r="AV289" i="5" s="1"/>
  <c r="AU353" i="5"/>
  <c r="AV353" i="5" s="1"/>
  <c r="AU404" i="5"/>
  <c r="AV404" i="5" s="1"/>
  <c r="AU427" i="5"/>
  <c r="AV427" i="5" s="1"/>
  <c r="AU449" i="5"/>
  <c r="AV449" i="5" s="1"/>
  <c r="AU468" i="5"/>
  <c r="AV468" i="5" s="1"/>
  <c r="AU491" i="5"/>
  <c r="AV491" i="5" s="1"/>
  <c r="AU513" i="5"/>
  <c r="AV513" i="5" s="1"/>
  <c r="AU532" i="5"/>
  <c r="AV532" i="5" s="1"/>
  <c r="AU555" i="5"/>
  <c r="AV555" i="5" s="1"/>
  <c r="AU577" i="5"/>
  <c r="AV577" i="5" s="1"/>
  <c r="AU588" i="5"/>
  <c r="AV588" i="5" s="1"/>
  <c r="AU602" i="5"/>
  <c r="AV602" i="5" s="1"/>
  <c r="AU615" i="5"/>
  <c r="AV615" i="5" s="1"/>
  <c r="AU627" i="5"/>
  <c r="AV627" i="5" s="1"/>
  <c r="AU641" i="5"/>
  <c r="AV641" i="5" s="1"/>
  <c r="AU652" i="5"/>
  <c r="AV652" i="5" s="1"/>
  <c r="AU663" i="5"/>
  <c r="AV663" i="5" s="1"/>
  <c r="AU674" i="5"/>
  <c r="AV674" i="5" s="1"/>
  <c r="AU684" i="5"/>
  <c r="AV684" i="5" s="1"/>
  <c r="AU692" i="5"/>
  <c r="AV692" i="5" s="1"/>
  <c r="AU700" i="5"/>
  <c r="AV700" i="5" s="1"/>
  <c r="AU708" i="5"/>
  <c r="AV708" i="5" s="1"/>
  <c r="AU716" i="5"/>
  <c r="AV716" i="5" s="1"/>
  <c r="AU724" i="5"/>
  <c r="AV724" i="5" s="1"/>
  <c r="AU732" i="5"/>
  <c r="AV732" i="5" s="1"/>
  <c r="AU740" i="5"/>
  <c r="AV740" i="5" s="1"/>
  <c r="AU748" i="5"/>
  <c r="AV748" i="5" s="1"/>
  <c r="AU756" i="5"/>
  <c r="AV756" i="5" s="1"/>
  <c r="AU764" i="5"/>
  <c r="AV764" i="5" s="1"/>
  <c r="AU772" i="5"/>
  <c r="AV772" i="5" s="1"/>
  <c r="AU780" i="5"/>
  <c r="AV780" i="5" s="1"/>
  <c r="AU788" i="5"/>
  <c r="AV788" i="5" s="1"/>
  <c r="AU796" i="5"/>
  <c r="AV796" i="5" s="1"/>
  <c r="AU804" i="5"/>
  <c r="AV804" i="5" s="1"/>
  <c r="AU812" i="5"/>
  <c r="AV812" i="5" s="1"/>
  <c r="AU820" i="5"/>
  <c r="AV820" i="5" s="1"/>
  <c r="AU828" i="5"/>
  <c r="AV828" i="5" s="1"/>
  <c r="AU836" i="5"/>
  <c r="AV836" i="5" s="1"/>
  <c r="AU844" i="5"/>
  <c r="AV844" i="5" s="1"/>
  <c r="AU852" i="5"/>
  <c r="AV852" i="5" s="1"/>
  <c r="AU860" i="5"/>
  <c r="AV860" i="5" s="1"/>
  <c r="AU868" i="5"/>
  <c r="AV868" i="5" s="1"/>
  <c r="AU876" i="5"/>
  <c r="AV876" i="5" s="1"/>
  <c r="AS5" i="5"/>
  <c r="AS14" i="5"/>
  <c r="AS22" i="5"/>
  <c r="AS30" i="5"/>
  <c r="AS38" i="5"/>
  <c r="AS46" i="5"/>
  <c r="AS54" i="5"/>
  <c r="AS62" i="5"/>
  <c r="AS70" i="5"/>
  <c r="AS78" i="5"/>
  <c r="AS86" i="5"/>
  <c r="AS94" i="5"/>
  <c r="AS102" i="5"/>
  <c r="AS110" i="5"/>
  <c r="AS118" i="5"/>
  <c r="AS126" i="5"/>
  <c r="AS134" i="5"/>
  <c r="AS142" i="5"/>
  <c r="AS150" i="5"/>
  <c r="AS158" i="5"/>
  <c r="AS166" i="5"/>
  <c r="AS174" i="5"/>
  <c r="AS182" i="5"/>
  <c r="AS190" i="5"/>
  <c r="AS198" i="5"/>
  <c r="AS206" i="5"/>
  <c r="AS214" i="5"/>
  <c r="AS222" i="5"/>
  <c r="AS230" i="5"/>
  <c r="AS238" i="5"/>
  <c r="AS246" i="5"/>
  <c r="AS254" i="5"/>
  <c r="AS262" i="5"/>
  <c r="AS270" i="5"/>
  <c r="AS278" i="5"/>
  <c r="AS286" i="5"/>
  <c r="AS294" i="5"/>
  <c r="AS302" i="5"/>
  <c r="AU41" i="5"/>
  <c r="AV41" i="5" s="1"/>
  <c r="AU105" i="5"/>
  <c r="AV105" i="5" s="1"/>
  <c r="AU169" i="5"/>
  <c r="AV169" i="5" s="1"/>
  <c r="AU233" i="5"/>
  <c r="AV233" i="5" s="1"/>
  <c r="AU297" i="5"/>
  <c r="AV297" i="5" s="1"/>
  <c r="AU361" i="5"/>
  <c r="AV361" i="5" s="1"/>
  <c r="AU409" i="5"/>
  <c r="AV409" i="5" s="1"/>
  <c r="AU428" i="5"/>
  <c r="AV428" i="5" s="1"/>
  <c r="AU451" i="5"/>
  <c r="AV451" i="5" s="1"/>
  <c r="AU473" i="5"/>
  <c r="AV473" i="5" s="1"/>
  <c r="AU492" i="5"/>
  <c r="AV492" i="5" s="1"/>
  <c r="AU515" i="5"/>
  <c r="AV515" i="5" s="1"/>
  <c r="AU537" i="5"/>
  <c r="AV537" i="5" s="1"/>
  <c r="AU556" i="5"/>
  <c r="AV556" i="5" s="1"/>
  <c r="AU578" i="5"/>
  <c r="AV578" i="5" s="1"/>
  <c r="AU591" i="5"/>
  <c r="AV591" i="5" s="1"/>
  <c r="AU603" i="5"/>
  <c r="AV603" i="5" s="1"/>
  <c r="AU617" i="5"/>
  <c r="AV617" i="5" s="1"/>
  <c r="AU628" i="5"/>
  <c r="AV628" i="5" s="1"/>
  <c r="AU642" i="5"/>
  <c r="AV642" i="5" s="1"/>
  <c r="AU654" i="5"/>
  <c r="AV654" i="5" s="1"/>
  <c r="AU665" i="5"/>
  <c r="AV665" i="5" s="1"/>
  <c r="AU675" i="5"/>
  <c r="AV675" i="5" s="1"/>
  <c r="AU685" i="5"/>
  <c r="AV685" i="5" s="1"/>
  <c r="AU693" i="5"/>
  <c r="AV693" i="5" s="1"/>
  <c r="AU701" i="5"/>
  <c r="AV701" i="5" s="1"/>
  <c r="AU709" i="5"/>
  <c r="AV709" i="5" s="1"/>
  <c r="AU717" i="5"/>
  <c r="AV717" i="5" s="1"/>
  <c r="AU725" i="5"/>
  <c r="AV725" i="5" s="1"/>
  <c r="AU733" i="5"/>
  <c r="AV733" i="5" s="1"/>
  <c r="AU741" i="5"/>
  <c r="AV741" i="5" s="1"/>
  <c r="AU749" i="5"/>
  <c r="AV749" i="5" s="1"/>
  <c r="AU757" i="5"/>
  <c r="AV757" i="5" s="1"/>
  <c r="AU765" i="5"/>
  <c r="AV765" i="5" s="1"/>
  <c r="AU773" i="5"/>
  <c r="AV773" i="5" s="1"/>
  <c r="AU781" i="5"/>
  <c r="AV781" i="5" s="1"/>
  <c r="AU789" i="5"/>
  <c r="AV789" i="5" s="1"/>
  <c r="AU797" i="5"/>
  <c r="AV797" i="5" s="1"/>
  <c r="AU805" i="5"/>
  <c r="AV805" i="5" s="1"/>
  <c r="AU813" i="5"/>
  <c r="AV813" i="5" s="1"/>
  <c r="AU821" i="5"/>
  <c r="AV821" i="5" s="1"/>
  <c r="AU829" i="5"/>
  <c r="AV829" i="5" s="1"/>
  <c r="AU837" i="5"/>
  <c r="AV837" i="5" s="1"/>
  <c r="AU845" i="5"/>
  <c r="AV845" i="5" s="1"/>
  <c r="AU853" i="5"/>
  <c r="AV853" i="5" s="1"/>
  <c r="AU861" i="5"/>
  <c r="AV861" i="5" s="1"/>
  <c r="AU869" i="5"/>
  <c r="AV869" i="5" s="1"/>
  <c r="AU877" i="5"/>
  <c r="AV877" i="5" s="1"/>
  <c r="AS6" i="5"/>
  <c r="AS15" i="5"/>
  <c r="AS23" i="5"/>
  <c r="AS31" i="5"/>
  <c r="AS39" i="5"/>
  <c r="AS47" i="5"/>
  <c r="AS55" i="5"/>
  <c r="AS63" i="5"/>
  <c r="AS71" i="5"/>
  <c r="AS79" i="5"/>
  <c r="AS87" i="5"/>
  <c r="AS95" i="5"/>
  <c r="AS103" i="5"/>
  <c r="AS111" i="5"/>
  <c r="AS119" i="5"/>
  <c r="AS127" i="5"/>
  <c r="AS135" i="5"/>
  <c r="AS143" i="5"/>
  <c r="AS151" i="5"/>
  <c r="AS159" i="5"/>
  <c r="AS167" i="5"/>
  <c r="AS175" i="5"/>
  <c r="AS183" i="5"/>
  <c r="AS191" i="5"/>
  <c r="AS199" i="5"/>
  <c r="AS207" i="5"/>
  <c r="AU49" i="5"/>
  <c r="AV49" i="5" s="1"/>
  <c r="AU113" i="5"/>
  <c r="AV113" i="5" s="1"/>
  <c r="AU177" i="5"/>
  <c r="AV177" i="5" s="1"/>
  <c r="AU241" i="5"/>
  <c r="AV241" i="5" s="1"/>
  <c r="AU305" i="5"/>
  <c r="AV305" i="5" s="1"/>
  <c r="AU369" i="5"/>
  <c r="AV369" i="5" s="1"/>
  <c r="AU411" i="5"/>
  <c r="AV411" i="5" s="1"/>
  <c r="AU433" i="5"/>
  <c r="AV433" i="5" s="1"/>
  <c r="AU452" i="5"/>
  <c r="AV452" i="5" s="1"/>
  <c r="AU475" i="5"/>
  <c r="AV475" i="5" s="1"/>
  <c r="AU497" i="5"/>
  <c r="AV497" i="5" s="1"/>
  <c r="AU516" i="5"/>
  <c r="AV516" i="5" s="1"/>
  <c r="AU539" i="5"/>
  <c r="AV539" i="5" s="1"/>
  <c r="AU561" i="5"/>
  <c r="AV561" i="5" s="1"/>
  <c r="AU579" i="5"/>
  <c r="AV579" i="5" s="1"/>
  <c r="AU593" i="5"/>
  <c r="AV593" i="5" s="1"/>
  <c r="AU604" i="5"/>
  <c r="AV604" i="5" s="1"/>
  <c r="AU618" i="5"/>
  <c r="AV618" i="5" s="1"/>
  <c r="AU631" i="5"/>
  <c r="AV631" i="5" s="1"/>
  <c r="AU643" i="5"/>
  <c r="AV643" i="5" s="1"/>
  <c r="AU655" i="5"/>
  <c r="AV655" i="5" s="1"/>
  <c r="AU666" i="5"/>
  <c r="AV666" i="5" s="1"/>
  <c r="AU676" i="5"/>
  <c r="AV676" i="5" s="1"/>
  <c r="AU686" i="5"/>
  <c r="AV686" i="5" s="1"/>
  <c r="AU694" i="5"/>
  <c r="AV694" i="5" s="1"/>
  <c r="AU702" i="5"/>
  <c r="AV702" i="5" s="1"/>
  <c r="AU710" i="5"/>
  <c r="AV710" i="5" s="1"/>
  <c r="AU57" i="5"/>
  <c r="AV57" i="5" s="1"/>
  <c r="AU121" i="5"/>
  <c r="AV121" i="5" s="1"/>
  <c r="AU185" i="5"/>
  <c r="AV185" i="5" s="1"/>
  <c r="AU249" i="5"/>
  <c r="AV249" i="5" s="1"/>
  <c r="AU313" i="5"/>
  <c r="AV313" i="5" s="1"/>
  <c r="AU377" i="5"/>
  <c r="AV377" i="5" s="1"/>
  <c r="AU412" i="5"/>
  <c r="AV412" i="5" s="1"/>
  <c r="AU435" i="5"/>
  <c r="AV435" i="5" s="1"/>
  <c r="AU457" i="5"/>
  <c r="AV457" i="5" s="1"/>
  <c r="AU476" i="5"/>
  <c r="AV476" i="5" s="1"/>
  <c r="AU499" i="5"/>
  <c r="AV499" i="5" s="1"/>
  <c r="AU521" i="5"/>
  <c r="AV521" i="5" s="1"/>
  <c r="AU540" i="5"/>
  <c r="AV540" i="5" s="1"/>
  <c r="AU563" i="5"/>
  <c r="AV563" i="5" s="1"/>
  <c r="AU580" i="5"/>
  <c r="AV580" i="5" s="1"/>
  <c r="AU594" i="5"/>
  <c r="AV594" i="5" s="1"/>
  <c r="AU607" i="5"/>
  <c r="AV607" i="5" s="1"/>
  <c r="AU619" i="5"/>
  <c r="AV619" i="5" s="1"/>
  <c r="AU633" i="5"/>
  <c r="AV633" i="5" s="1"/>
  <c r="AU644" i="5"/>
  <c r="AV644" i="5" s="1"/>
  <c r="AU657" i="5"/>
  <c r="AV657" i="5" s="1"/>
  <c r="AU667" i="5"/>
  <c r="AV667" i="5" s="1"/>
  <c r="AU678" i="5"/>
  <c r="AV678" i="5" s="1"/>
  <c r="AU687" i="5"/>
  <c r="AV687" i="5" s="1"/>
  <c r="AU695" i="5"/>
  <c r="AV695" i="5" s="1"/>
  <c r="AU703" i="5"/>
  <c r="AV703" i="5" s="1"/>
  <c r="AU711" i="5"/>
  <c r="AV711" i="5" s="1"/>
  <c r="AU719" i="5"/>
  <c r="AV719" i="5" s="1"/>
  <c r="AU727" i="5"/>
  <c r="AV727" i="5" s="1"/>
  <c r="AU735" i="5"/>
  <c r="AV735" i="5" s="1"/>
  <c r="AU743" i="5"/>
  <c r="AV743" i="5" s="1"/>
  <c r="AU751" i="5"/>
  <c r="AV751" i="5" s="1"/>
  <c r="AU759" i="5"/>
  <c r="AV759" i="5" s="1"/>
  <c r="AU767" i="5"/>
  <c r="AV767" i="5" s="1"/>
  <c r="AU775" i="5"/>
  <c r="AV775" i="5" s="1"/>
  <c r="AU783" i="5"/>
  <c r="AV783" i="5" s="1"/>
  <c r="AU791" i="5"/>
  <c r="AV791" i="5" s="1"/>
  <c r="AU799" i="5"/>
  <c r="AV799" i="5" s="1"/>
  <c r="AU807" i="5"/>
  <c r="AV807" i="5" s="1"/>
  <c r="AU815" i="5"/>
  <c r="AV815" i="5" s="1"/>
  <c r="AU823" i="5"/>
  <c r="AV823" i="5" s="1"/>
  <c r="AU831" i="5"/>
  <c r="AV831" i="5" s="1"/>
  <c r="AU839" i="5"/>
  <c r="AV839" i="5" s="1"/>
  <c r="AU847" i="5"/>
  <c r="AV847" i="5" s="1"/>
  <c r="AU855" i="5"/>
  <c r="AV855" i="5" s="1"/>
  <c r="AU863" i="5"/>
  <c r="AV863" i="5" s="1"/>
  <c r="AU871" i="5"/>
  <c r="AV871" i="5" s="1"/>
  <c r="AU879" i="5"/>
  <c r="AV879" i="5" s="1"/>
  <c r="AS8" i="5"/>
  <c r="AS17" i="5"/>
  <c r="AS25" i="5"/>
  <c r="AS33" i="5"/>
  <c r="AS41" i="5"/>
  <c r="AS49" i="5"/>
  <c r="AS57" i="5"/>
  <c r="AS65" i="5"/>
  <c r="AS73" i="5"/>
  <c r="AS81" i="5"/>
  <c r="AS89" i="5"/>
  <c r="AS97" i="5"/>
  <c r="AS105" i="5"/>
  <c r="AS113" i="5"/>
  <c r="AS121" i="5"/>
  <c r="AS129" i="5"/>
  <c r="AS137" i="5"/>
  <c r="AS145" i="5"/>
  <c r="AS153" i="5"/>
  <c r="AS161" i="5"/>
  <c r="AS169" i="5"/>
  <c r="AS177" i="5"/>
  <c r="AS185" i="5"/>
  <c r="AS193" i="5"/>
  <c r="AS201" i="5"/>
  <c r="AS209" i="5"/>
  <c r="AS217" i="5"/>
  <c r="AS225" i="5"/>
  <c r="AS233" i="5"/>
  <c r="AS241" i="5"/>
  <c r="AS249" i="5"/>
  <c r="AS257" i="5"/>
  <c r="AS265" i="5"/>
  <c r="AS273" i="5"/>
  <c r="AS281" i="5"/>
  <c r="AS289" i="5"/>
  <c r="AS297" i="5"/>
  <c r="AU25" i="5"/>
  <c r="AV25" i="5" s="1"/>
  <c r="AU209" i="5"/>
  <c r="AV209" i="5" s="1"/>
  <c r="AU385" i="5"/>
  <c r="AV385" i="5" s="1"/>
  <c r="AU444" i="5"/>
  <c r="AV444" i="5" s="1"/>
  <c r="AU507" i="5"/>
  <c r="AV507" i="5" s="1"/>
  <c r="AU564" i="5"/>
  <c r="AV564" i="5" s="1"/>
  <c r="AU601" i="5"/>
  <c r="AV601" i="5" s="1"/>
  <c r="AU636" i="5"/>
  <c r="AV636" i="5" s="1"/>
  <c r="AU668" i="5"/>
  <c r="AV668" i="5" s="1"/>
  <c r="AU691" i="5"/>
  <c r="AV691" i="5" s="1"/>
  <c r="AU713" i="5"/>
  <c r="AV713" i="5" s="1"/>
  <c r="AU726" i="5"/>
  <c r="AV726" i="5" s="1"/>
  <c r="AU738" i="5"/>
  <c r="AV738" i="5" s="1"/>
  <c r="AU752" i="5"/>
  <c r="AV752" i="5" s="1"/>
  <c r="AU763" i="5"/>
  <c r="AV763" i="5" s="1"/>
  <c r="AU777" i="5"/>
  <c r="AV777" i="5" s="1"/>
  <c r="AU790" i="5"/>
  <c r="AV790" i="5" s="1"/>
  <c r="AU802" i="5"/>
  <c r="AV802" i="5" s="1"/>
  <c r="AU816" i="5"/>
  <c r="AV816" i="5" s="1"/>
  <c r="AU827" i="5"/>
  <c r="AV827" i="5" s="1"/>
  <c r="AU841" i="5"/>
  <c r="AV841" i="5" s="1"/>
  <c r="AU854" i="5"/>
  <c r="AV854" i="5" s="1"/>
  <c r="AU866" i="5"/>
  <c r="AV866" i="5" s="1"/>
  <c r="AU880" i="5"/>
  <c r="AV880" i="5" s="1"/>
  <c r="AS13" i="5"/>
  <c r="AS27" i="5"/>
  <c r="AS40" i="5"/>
  <c r="AS52" i="5"/>
  <c r="AS66" i="5"/>
  <c r="AS77" i="5"/>
  <c r="AS91" i="5"/>
  <c r="AS104" i="5"/>
  <c r="AS116" i="5"/>
  <c r="AS130" i="5"/>
  <c r="AS141" i="5"/>
  <c r="AS155" i="5"/>
  <c r="AS168" i="5"/>
  <c r="AS180" i="5"/>
  <c r="AS194" i="5"/>
  <c r="AS205" i="5"/>
  <c r="AS218" i="5"/>
  <c r="AS228" i="5"/>
  <c r="AS239" i="5"/>
  <c r="AS250" i="5"/>
  <c r="AS260" i="5"/>
  <c r="AS271" i="5"/>
  <c r="AS282" i="5"/>
  <c r="AS292" i="5"/>
  <c r="AS303" i="5"/>
  <c r="AS311" i="5"/>
  <c r="AS319" i="5"/>
  <c r="AS327" i="5"/>
  <c r="AS335" i="5"/>
  <c r="AS343" i="5"/>
  <c r="AS351" i="5"/>
  <c r="AS359" i="5"/>
  <c r="AS367" i="5"/>
  <c r="AS375" i="5"/>
  <c r="AS383" i="5"/>
  <c r="AS391" i="5"/>
  <c r="AS399" i="5"/>
  <c r="AS407" i="5"/>
  <c r="AS415" i="5"/>
  <c r="AS423" i="5"/>
  <c r="AS431" i="5"/>
  <c r="AS439" i="5"/>
  <c r="AS447" i="5"/>
  <c r="AS455" i="5"/>
  <c r="AS463" i="5"/>
  <c r="AS471" i="5"/>
  <c r="AS479" i="5"/>
  <c r="AS487" i="5"/>
  <c r="AS495" i="5"/>
  <c r="AS503" i="5"/>
  <c r="AS511" i="5"/>
  <c r="AS519" i="5"/>
  <c r="AS527" i="5"/>
  <c r="AS535" i="5"/>
  <c r="AS543" i="5"/>
  <c r="AS551" i="5"/>
  <c r="AS559" i="5"/>
  <c r="AS567" i="5"/>
  <c r="AS575" i="5"/>
  <c r="AS583" i="5"/>
  <c r="AS591" i="5"/>
  <c r="AU81" i="5"/>
  <c r="AV81" i="5" s="1"/>
  <c r="AU257" i="5"/>
  <c r="AV257" i="5" s="1"/>
  <c r="AU403" i="5"/>
  <c r="AV403" i="5" s="1"/>
  <c r="AU465" i="5"/>
  <c r="AV465" i="5" s="1"/>
  <c r="AU523" i="5"/>
  <c r="AV523" i="5" s="1"/>
  <c r="AU572" i="5"/>
  <c r="AV572" i="5" s="1"/>
  <c r="AU611" i="5"/>
  <c r="AV611" i="5" s="1"/>
  <c r="AU647" i="5"/>
  <c r="AV647" i="5" s="1"/>
  <c r="AU673" i="5"/>
  <c r="AV673" i="5" s="1"/>
  <c r="AU698" i="5"/>
  <c r="AV698" i="5" s="1"/>
  <c r="AU715" i="5"/>
  <c r="AV715" i="5" s="1"/>
  <c r="AU729" i="5"/>
  <c r="AV729" i="5" s="1"/>
  <c r="AU742" i="5"/>
  <c r="AV742" i="5" s="1"/>
  <c r="AU754" i="5"/>
  <c r="AV754" i="5" s="1"/>
  <c r="AU768" i="5"/>
  <c r="AV768" i="5" s="1"/>
  <c r="AU779" i="5"/>
  <c r="AV779" i="5" s="1"/>
  <c r="AU793" i="5"/>
  <c r="AV793" i="5" s="1"/>
  <c r="AU806" i="5"/>
  <c r="AV806" i="5" s="1"/>
  <c r="AU818" i="5"/>
  <c r="AV818" i="5" s="1"/>
  <c r="AU832" i="5"/>
  <c r="AV832" i="5" s="1"/>
  <c r="AU843" i="5"/>
  <c r="AV843" i="5" s="1"/>
  <c r="AU857" i="5"/>
  <c r="AV857" i="5" s="1"/>
  <c r="AU870" i="5"/>
  <c r="AV870" i="5" s="1"/>
  <c r="AS3" i="5"/>
  <c r="AS18" i="5"/>
  <c r="AS29" i="5"/>
  <c r="AS43" i="5"/>
  <c r="AS56" i="5"/>
  <c r="AS68" i="5"/>
  <c r="AS82" i="5"/>
  <c r="AS93" i="5"/>
  <c r="AS107" i="5"/>
  <c r="AS120" i="5"/>
  <c r="AS132" i="5"/>
  <c r="AS146" i="5"/>
  <c r="AS157" i="5"/>
  <c r="AS171" i="5"/>
  <c r="AS184" i="5"/>
  <c r="AS196" i="5"/>
  <c r="AS210" i="5"/>
  <c r="AS220" i="5"/>
  <c r="AS231" i="5"/>
  <c r="AS242" i="5"/>
  <c r="AS252" i="5"/>
  <c r="AS263" i="5"/>
  <c r="AS274" i="5"/>
  <c r="AS284" i="5"/>
  <c r="AS295" i="5"/>
  <c r="AS305" i="5"/>
  <c r="AS313" i="5"/>
  <c r="AS321" i="5"/>
  <c r="AS329" i="5"/>
  <c r="AS337" i="5"/>
  <c r="AS345" i="5"/>
  <c r="AS353" i="5"/>
  <c r="AS361" i="5"/>
  <c r="AS369" i="5"/>
  <c r="AS377" i="5"/>
  <c r="AS385" i="5"/>
  <c r="AS393" i="5"/>
  <c r="AS401" i="5"/>
  <c r="AS409" i="5"/>
  <c r="AS417" i="5"/>
  <c r="AS425" i="5"/>
  <c r="AS433" i="5"/>
  <c r="AS441" i="5"/>
  <c r="AS449" i="5"/>
  <c r="AS457" i="5"/>
  <c r="AS465" i="5"/>
  <c r="AS473" i="5"/>
  <c r="AS481" i="5"/>
  <c r="AS489" i="5"/>
  <c r="AS497" i="5"/>
  <c r="AS505" i="5"/>
  <c r="AS513" i="5"/>
  <c r="AS521" i="5"/>
  <c r="AS529" i="5"/>
  <c r="AS537" i="5"/>
  <c r="AS545" i="5"/>
  <c r="AS553" i="5"/>
  <c r="AU89" i="5"/>
  <c r="AV89" i="5" s="1"/>
  <c r="AU273" i="5"/>
  <c r="AV273" i="5" s="1"/>
  <c r="AU417" i="5"/>
  <c r="AV417" i="5" s="1"/>
  <c r="AU467" i="5"/>
  <c r="AV467" i="5" s="1"/>
  <c r="AU529" i="5"/>
  <c r="AV529" i="5" s="1"/>
  <c r="AU583" i="5"/>
  <c r="AV583" i="5" s="1"/>
  <c r="AU612" i="5"/>
  <c r="AV612" i="5" s="1"/>
  <c r="AU650" i="5"/>
  <c r="AV650" i="5" s="1"/>
  <c r="AU679" i="5"/>
  <c r="AV679" i="5" s="1"/>
  <c r="AU699" i="5"/>
  <c r="AV699" i="5" s="1"/>
  <c r="AU718" i="5"/>
  <c r="AV718" i="5" s="1"/>
  <c r="AU730" i="5"/>
  <c r="AV730" i="5" s="1"/>
  <c r="AU744" i="5"/>
  <c r="AV744" i="5" s="1"/>
  <c r="AU755" i="5"/>
  <c r="AV755" i="5" s="1"/>
  <c r="AU769" i="5"/>
  <c r="AV769" i="5" s="1"/>
  <c r="AU782" i="5"/>
  <c r="AV782" i="5" s="1"/>
  <c r="AU794" i="5"/>
  <c r="AV794" i="5" s="1"/>
  <c r="AU808" i="5"/>
  <c r="AV808" i="5" s="1"/>
  <c r="AU819" i="5"/>
  <c r="AV819" i="5" s="1"/>
  <c r="AU833" i="5"/>
  <c r="AV833" i="5" s="1"/>
  <c r="AU846" i="5"/>
  <c r="AV846" i="5" s="1"/>
  <c r="AU858" i="5"/>
  <c r="AV858" i="5" s="1"/>
  <c r="AU872" i="5"/>
  <c r="AV872" i="5" s="1"/>
  <c r="AS4" i="5"/>
  <c r="AS19" i="5"/>
  <c r="AS32" i="5"/>
  <c r="AS44" i="5"/>
  <c r="AS58" i="5"/>
  <c r="AS69" i="5"/>
  <c r="AS83" i="5"/>
  <c r="AS96" i="5"/>
  <c r="AS108" i="5"/>
  <c r="AS122" i="5"/>
  <c r="AS133" i="5"/>
  <c r="AS147" i="5"/>
  <c r="AS160" i="5"/>
  <c r="AS172" i="5"/>
  <c r="AS186" i="5"/>
  <c r="AS197" i="5"/>
  <c r="AS211" i="5"/>
  <c r="AS221" i="5"/>
  <c r="AS232" i="5"/>
  <c r="AS243" i="5"/>
  <c r="AS253" i="5"/>
  <c r="AS264" i="5"/>
  <c r="AS275" i="5"/>
  <c r="AS285" i="5"/>
  <c r="AS296" i="5"/>
  <c r="AS306" i="5"/>
  <c r="AS314" i="5"/>
  <c r="AS322" i="5"/>
  <c r="AS330" i="5"/>
  <c r="AS338" i="5"/>
  <c r="AS346" i="5"/>
  <c r="AS354" i="5"/>
  <c r="AS362" i="5"/>
  <c r="AS370" i="5"/>
  <c r="AS378" i="5"/>
  <c r="AS386" i="5"/>
  <c r="AS394" i="5"/>
  <c r="AS402" i="5"/>
  <c r="AS410" i="5"/>
  <c r="AS418" i="5"/>
  <c r="AS426" i="5"/>
  <c r="AS434" i="5"/>
  <c r="AS442" i="5"/>
  <c r="AS450" i="5"/>
  <c r="AS458" i="5"/>
  <c r="AS466" i="5"/>
  <c r="AU129" i="5"/>
  <c r="AV129" i="5" s="1"/>
  <c r="AU281" i="5"/>
  <c r="AV281" i="5" s="1"/>
  <c r="AU420" i="5"/>
  <c r="AV420" i="5" s="1"/>
  <c r="AU481" i="5"/>
  <c r="AV481" i="5" s="1"/>
  <c r="AU531" i="5"/>
  <c r="AV531" i="5" s="1"/>
  <c r="AU586" i="5"/>
  <c r="AV586" i="5" s="1"/>
  <c r="AU620" i="5"/>
  <c r="AV620" i="5" s="1"/>
  <c r="AU651" i="5"/>
  <c r="AV651" i="5" s="1"/>
  <c r="AU682" i="5"/>
  <c r="AV682" i="5" s="1"/>
  <c r="AU704" i="5"/>
  <c r="AV704" i="5" s="1"/>
  <c r="AU720" i="5"/>
  <c r="AV720" i="5" s="1"/>
  <c r="AU731" i="5"/>
  <c r="AV731" i="5" s="1"/>
  <c r="AU745" i="5"/>
  <c r="AV745" i="5" s="1"/>
  <c r="AU758" i="5"/>
  <c r="AV758" i="5" s="1"/>
  <c r="AU770" i="5"/>
  <c r="AV770" i="5" s="1"/>
  <c r="AU784" i="5"/>
  <c r="AV784" i="5" s="1"/>
  <c r="AU795" i="5"/>
  <c r="AV795" i="5" s="1"/>
  <c r="AU809" i="5"/>
  <c r="AV809" i="5" s="1"/>
  <c r="AU822" i="5"/>
  <c r="AV822" i="5" s="1"/>
  <c r="AU834" i="5"/>
  <c r="AV834" i="5" s="1"/>
  <c r="AU848" i="5"/>
  <c r="AV848" i="5" s="1"/>
  <c r="AU859" i="5"/>
  <c r="AV859" i="5" s="1"/>
  <c r="AU873" i="5"/>
  <c r="AV873" i="5" s="1"/>
  <c r="AS7" i="5"/>
  <c r="AS20" i="5"/>
  <c r="AS34" i="5"/>
  <c r="AS45" i="5"/>
  <c r="AS59" i="5"/>
  <c r="AS72" i="5"/>
  <c r="AS84" i="5"/>
  <c r="AS98" i="5"/>
  <c r="AS109" i="5"/>
  <c r="AS123" i="5"/>
  <c r="AS136" i="5"/>
  <c r="AS148" i="5"/>
  <c r="AS162" i="5"/>
  <c r="AS173" i="5"/>
  <c r="AS187" i="5"/>
  <c r="AS200" i="5"/>
  <c r="AS212" i="5"/>
  <c r="AS223" i="5"/>
  <c r="AS234" i="5"/>
  <c r="AS244" i="5"/>
  <c r="AS255" i="5"/>
  <c r="AS266" i="5"/>
  <c r="AS276" i="5"/>
  <c r="AS287" i="5"/>
  <c r="AS298" i="5"/>
  <c r="AS307" i="5"/>
  <c r="AS315" i="5"/>
  <c r="AS323" i="5"/>
  <c r="AS331" i="5"/>
  <c r="AS339" i="5"/>
  <c r="AS347" i="5"/>
  <c r="AS355" i="5"/>
  <c r="AS363" i="5"/>
  <c r="AS371" i="5"/>
  <c r="AS379" i="5"/>
  <c r="AS387" i="5"/>
  <c r="AS395" i="5"/>
  <c r="AS403" i="5"/>
  <c r="AS411" i="5"/>
  <c r="AS419" i="5"/>
  <c r="AS427" i="5"/>
  <c r="AS435" i="5"/>
  <c r="AS443" i="5"/>
  <c r="AS451" i="5"/>
  <c r="AS459" i="5"/>
  <c r="AS467" i="5"/>
  <c r="AS475" i="5"/>
  <c r="AS483" i="5"/>
  <c r="AS491" i="5"/>
  <c r="AS499" i="5"/>
  <c r="AS507" i="5"/>
  <c r="AS515" i="5"/>
  <c r="AS523" i="5"/>
  <c r="AS531" i="5"/>
  <c r="AS539" i="5"/>
  <c r="AS547" i="5"/>
  <c r="AS555" i="5"/>
  <c r="AS563" i="5"/>
  <c r="AS571" i="5"/>
  <c r="AS579" i="5"/>
  <c r="AS587" i="5"/>
  <c r="AS595" i="5"/>
  <c r="AU145" i="5"/>
  <c r="AV145" i="5" s="1"/>
  <c r="AU321" i="5"/>
  <c r="AV321" i="5" s="1"/>
  <c r="AU425" i="5"/>
  <c r="AV425" i="5" s="1"/>
  <c r="AU484" i="5"/>
  <c r="AV484" i="5" s="1"/>
  <c r="AU545" i="5"/>
  <c r="AV545" i="5" s="1"/>
  <c r="AU587" i="5"/>
  <c r="AV587" i="5" s="1"/>
  <c r="AU625" i="5"/>
  <c r="AV625" i="5" s="1"/>
  <c r="AU658" i="5"/>
  <c r="AV658" i="5" s="1"/>
  <c r="AU683" i="5"/>
  <c r="AV683" i="5" s="1"/>
  <c r="AU706" i="5"/>
  <c r="AV706" i="5" s="1"/>
  <c r="AU721" i="5"/>
  <c r="AV721" i="5" s="1"/>
  <c r="AU734" i="5"/>
  <c r="AV734" i="5" s="1"/>
  <c r="AU746" i="5"/>
  <c r="AV746" i="5" s="1"/>
  <c r="AU760" i="5"/>
  <c r="AV760" i="5" s="1"/>
  <c r="AU771" i="5"/>
  <c r="AV771" i="5" s="1"/>
  <c r="AU785" i="5"/>
  <c r="AV785" i="5" s="1"/>
  <c r="AU798" i="5"/>
  <c r="AV798" i="5" s="1"/>
  <c r="AU810" i="5"/>
  <c r="AV810" i="5" s="1"/>
  <c r="AU824" i="5"/>
  <c r="AV824" i="5" s="1"/>
  <c r="AU835" i="5"/>
  <c r="AV835" i="5" s="1"/>
  <c r="AU849" i="5"/>
  <c r="AV849" i="5" s="1"/>
  <c r="AU862" i="5"/>
  <c r="AV862" i="5" s="1"/>
  <c r="AU874" i="5"/>
  <c r="AV874" i="5" s="1"/>
  <c r="AS10" i="5"/>
  <c r="AS21" i="5"/>
  <c r="AS35" i="5"/>
  <c r="AS48" i="5"/>
  <c r="AS60" i="5"/>
  <c r="AS74" i="5"/>
  <c r="AS85" i="5"/>
  <c r="AS99" i="5"/>
  <c r="AS112" i="5"/>
  <c r="AS124" i="5"/>
  <c r="AS138" i="5"/>
  <c r="AS149" i="5"/>
  <c r="AS163" i="5"/>
  <c r="AS176" i="5"/>
  <c r="AS188" i="5"/>
  <c r="AS202" i="5"/>
  <c r="AS213" i="5"/>
  <c r="AS224" i="5"/>
  <c r="AS235" i="5"/>
  <c r="AS245" i="5"/>
  <c r="AS256" i="5"/>
  <c r="AS267" i="5"/>
  <c r="AS277" i="5"/>
  <c r="AS288" i="5"/>
  <c r="AS299" i="5"/>
  <c r="AS308" i="5"/>
  <c r="AS316" i="5"/>
  <c r="AS324" i="5"/>
  <c r="AS332" i="5"/>
  <c r="AS340" i="5"/>
  <c r="AS348" i="5"/>
  <c r="AS356" i="5"/>
  <c r="AS364" i="5"/>
  <c r="AS372" i="5"/>
  <c r="AS380" i="5"/>
  <c r="AS388" i="5"/>
  <c r="AS396" i="5"/>
  <c r="AS404" i="5"/>
  <c r="AS412" i="5"/>
  <c r="AS420" i="5"/>
  <c r="AS428" i="5"/>
  <c r="AS436" i="5"/>
  <c r="AS444" i="5"/>
  <c r="AS452" i="5"/>
  <c r="AS460" i="5"/>
  <c r="AS468" i="5"/>
  <c r="AS476" i="5"/>
  <c r="AS484" i="5"/>
  <c r="AS492" i="5"/>
  <c r="AS500" i="5"/>
  <c r="AS508" i="5"/>
  <c r="AS516" i="5"/>
  <c r="AS524" i="5"/>
  <c r="AS532" i="5"/>
  <c r="AS540" i="5"/>
  <c r="AS548" i="5"/>
  <c r="AS556" i="5"/>
  <c r="AS874" i="5"/>
  <c r="AS866" i="5"/>
  <c r="AS858" i="5"/>
  <c r="AS850" i="5"/>
  <c r="AS842" i="5"/>
  <c r="AS834" i="5"/>
  <c r="AS826" i="5"/>
  <c r="AS818" i="5"/>
  <c r="AS810" i="5"/>
  <c r="AS802" i="5"/>
  <c r="AS794" i="5"/>
  <c r="AS786" i="5"/>
  <c r="AS778" i="5"/>
  <c r="AS770" i="5"/>
  <c r="AS762" i="5"/>
  <c r="AS754" i="5"/>
  <c r="AS746" i="5"/>
  <c r="AS738" i="5"/>
  <c r="AS730" i="5"/>
  <c r="AS722" i="5"/>
  <c r="AS714" i="5"/>
  <c r="AS706" i="5"/>
  <c r="AS698" i="5"/>
  <c r="AS690" i="5"/>
  <c r="AS682" i="5"/>
  <c r="AS674" i="5"/>
  <c r="AS666" i="5"/>
  <c r="AS658" i="5"/>
  <c r="AS650" i="5"/>
  <c r="AS642" i="5"/>
  <c r="AS634" i="5"/>
  <c r="AS626" i="5"/>
  <c r="AS618" i="5"/>
  <c r="AS610" i="5"/>
  <c r="AS602" i="5"/>
  <c r="AS593" i="5"/>
  <c r="AS582" i="5"/>
  <c r="AS572" i="5"/>
  <c r="AS561" i="5"/>
  <c r="AS546" i="5"/>
  <c r="AS530" i="5"/>
  <c r="AS514" i="5"/>
  <c r="AS498" i="5"/>
  <c r="AS482" i="5"/>
  <c r="AS464" i="5"/>
  <c r="AS445" i="5"/>
  <c r="AS422" i="5"/>
  <c r="AS400" i="5"/>
  <c r="AS381" i="5"/>
  <c r="AS358" i="5"/>
  <c r="AS336" i="5"/>
  <c r="AS317" i="5"/>
  <c r="AS291" i="5"/>
  <c r="AS261" i="5"/>
  <c r="AS236" i="5"/>
  <c r="AS204" i="5"/>
  <c r="AS170" i="5"/>
  <c r="AS139" i="5"/>
  <c r="AS101" i="5"/>
  <c r="AS67" i="5"/>
  <c r="AS36" i="5"/>
  <c r="AU878" i="5"/>
  <c r="AV878" i="5" s="1"/>
  <c r="AU842" i="5"/>
  <c r="AV842" i="5" s="1"/>
  <c r="AU811" i="5"/>
  <c r="AV811" i="5" s="1"/>
  <c r="AU776" i="5"/>
  <c r="AV776" i="5" s="1"/>
  <c r="AU739" i="5"/>
  <c r="AV739" i="5" s="1"/>
  <c r="AU707" i="5"/>
  <c r="AV707" i="5" s="1"/>
  <c r="AU634" i="5"/>
  <c r="AV634" i="5" s="1"/>
  <c r="AU508" i="5"/>
  <c r="AV508" i="5" s="1"/>
  <c r="AU337" i="5"/>
  <c r="AV337" i="5" s="1"/>
  <c r="AS881" i="5"/>
  <c r="AS873" i="5"/>
  <c r="AS865" i="5"/>
  <c r="AS857" i="5"/>
  <c r="AS849" i="5"/>
  <c r="AS841" i="5"/>
  <c r="AS833" i="5"/>
  <c r="AS825" i="5"/>
  <c r="AS817" i="5"/>
  <c r="AS809" i="5"/>
  <c r="AS801" i="5"/>
  <c r="AS793" i="5"/>
  <c r="AS785" i="5"/>
  <c r="AS777" i="5"/>
  <c r="AS769" i="5"/>
  <c r="AS761" i="5"/>
  <c r="AS753" i="5"/>
  <c r="AS745" i="5"/>
  <c r="AS737" i="5"/>
  <c r="AS729" i="5"/>
  <c r="AS721" i="5"/>
  <c r="AS713" i="5"/>
  <c r="AS705" i="5"/>
  <c r="AS697" i="5"/>
  <c r="AS689" i="5"/>
  <c r="AS681" i="5"/>
  <c r="AS673" i="5"/>
  <c r="AS665" i="5"/>
  <c r="AS657" i="5"/>
  <c r="AS649" i="5"/>
  <c r="AS641" i="5"/>
  <c r="AS633" i="5"/>
  <c r="AS625" i="5"/>
  <c r="AS617" i="5"/>
  <c r="AS609" i="5"/>
  <c r="AS601" i="5"/>
  <c r="AS592" i="5"/>
  <c r="AS581" i="5"/>
  <c r="AS570" i="5"/>
  <c r="AS560" i="5"/>
  <c r="AS544" i="5"/>
  <c r="AS528" i="5"/>
  <c r="AS512" i="5"/>
  <c r="AS496" i="5"/>
  <c r="AS480" i="5"/>
  <c r="AS462" i="5"/>
  <c r="AS440" i="5"/>
  <c r="AS421" i="5"/>
  <c r="AS398" i="5"/>
  <c r="AS376" i="5"/>
  <c r="AS357" i="5"/>
  <c r="AS334" i="5"/>
  <c r="AS312" i="5"/>
  <c r="AS290" i="5"/>
  <c r="AS259" i="5"/>
  <c r="AS229" i="5"/>
  <c r="AS203" i="5"/>
  <c r="AS165" i="5"/>
  <c r="AS131" i="5"/>
  <c r="AS100" i="5"/>
  <c r="AS64" i="5"/>
  <c r="AS28" i="5"/>
  <c r="AU875" i="5"/>
  <c r="AV875" i="5" s="1"/>
  <c r="AU840" i="5"/>
  <c r="AV840" i="5" s="1"/>
  <c r="AU803" i="5"/>
  <c r="AV803" i="5" s="1"/>
  <c r="AU774" i="5"/>
  <c r="AV774" i="5" s="1"/>
  <c r="AU737" i="5"/>
  <c r="AV737" i="5" s="1"/>
  <c r="AU696" i="5"/>
  <c r="AV696" i="5" s="1"/>
  <c r="AU626" i="5"/>
  <c r="AV626" i="5" s="1"/>
  <c r="AU500" i="5"/>
  <c r="AV500" i="5" s="1"/>
  <c r="AU217" i="5"/>
  <c r="AV217" i="5" s="1"/>
  <c r="AS880" i="5"/>
  <c r="AS872" i="5"/>
  <c r="AS864" i="5"/>
  <c r="AS856" i="5"/>
  <c r="AS848" i="5"/>
  <c r="AS840" i="5"/>
  <c r="AS832" i="5"/>
  <c r="AS824" i="5"/>
  <c r="AS816" i="5"/>
  <c r="AS808" i="5"/>
  <c r="AS800" i="5"/>
  <c r="AS792" i="5"/>
  <c r="AS784" i="5"/>
  <c r="AS776" i="5"/>
  <c r="AS768" i="5"/>
  <c r="AS760" i="5"/>
  <c r="AS752" i="5"/>
  <c r="AS744" i="5"/>
  <c r="AS736" i="5"/>
  <c r="AS728" i="5"/>
  <c r="AS720" i="5"/>
  <c r="AS712" i="5"/>
  <c r="AS704" i="5"/>
  <c r="AS696" i="5"/>
  <c r="AS688" i="5"/>
  <c r="AS680" i="5"/>
  <c r="AS672" i="5"/>
  <c r="AS664" i="5"/>
  <c r="AS656" i="5"/>
  <c r="AS648" i="5"/>
  <c r="AS640" i="5"/>
  <c r="AS632" i="5"/>
  <c r="AS624" i="5"/>
  <c r="AS616" i="5"/>
  <c r="AS608" i="5"/>
  <c r="AS600" i="5"/>
  <c r="AS590" i="5"/>
  <c r="AS580" i="5"/>
  <c r="AS569" i="5"/>
  <c r="AS558" i="5"/>
  <c r="AS542" i="5"/>
  <c r="AS526" i="5"/>
  <c r="AS510" i="5"/>
  <c r="AS494" i="5"/>
  <c r="AS478" i="5"/>
  <c r="AS461" i="5"/>
  <c r="AS438" i="5"/>
  <c r="AS416" i="5"/>
  <c r="AS397" i="5"/>
  <c r="AS374" i="5"/>
  <c r="AS352" i="5"/>
  <c r="AS333" i="5"/>
  <c r="AS310" i="5"/>
  <c r="AS283" i="5"/>
  <c r="AS258" i="5"/>
  <c r="AS227" i="5"/>
  <c r="AS195" i="5"/>
  <c r="AS164" i="5"/>
  <c r="AS128" i="5"/>
  <c r="AS92" i="5"/>
  <c r="AS61" i="5"/>
  <c r="AS26" i="5"/>
  <c r="AU867" i="5"/>
  <c r="AV867" i="5" s="1"/>
  <c r="AU838" i="5"/>
  <c r="AV838" i="5" s="1"/>
  <c r="AU801" i="5"/>
  <c r="AV801" i="5" s="1"/>
  <c r="AU766" i="5"/>
  <c r="AV766" i="5" s="1"/>
  <c r="AU736" i="5"/>
  <c r="AV736" i="5" s="1"/>
  <c r="AU690" i="5"/>
  <c r="AV690" i="5" s="1"/>
  <c r="AU609" i="5"/>
  <c r="AV609" i="5" s="1"/>
  <c r="AU489" i="5"/>
  <c r="AV489" i="5" s="1"/>
  <c r="AU193" i="5"/>
  <c r="AV193" i="5" s="1"/>
  <c r="AU459" i="5"/>
  <c r="AV459" i="5" s="1"/>
  <c r="AU153" i="5"/>
  <c r="AV153" i="5" s="1"/>
  <c r="AS878" i="5"/>
  <c r="AS870" i="5"/>
  <c r="AS862" i="5"/>
  <c r="AS854" i="5"/>
  <c r="AS846" i="5"/>
  <c r="AS838" i="5"/>
  <c r="AS830" i="5"/>
  <c r="AS822" i="5"/>
  <c r="AS814" i="5"/>
  <c r="AS806" i="5"/>
  <c r="AS798" i="5"/>
  <c r="AS790" i="5"/>
  <c r="AS782" i="5"/>
  <c r="AS774" i="5"/>
  <c r="AS766" i="5"/>
  <c r="AS758" i="5"/>
  <c r="AS750" i="5"/>
  <c r="AS742" i="5"/>
  <c r="AS734" i="5"/>
  <c r="AS726" i="5"/>
  <c r="AS718" i="5"/>
  <c r="AS710" i="5"/>
  <c r="AS702" i="5"/>
  <c r="AS694" i="5"/>
  <c r="AS686" i="5"/>
  <c r="AS678" i="5"/>
  <c r="AS670" i="5"/>
  <c r="AS662" i="5"/>
  <c r="AS654" i="5"/>
  <c r="AS646" i="5"/>
  <c r="AS638" i="5"/>
  <c r="AS630" i="5"/>
  <c r="AS622" i="5"/>
  <c r="AS614" i="5"/>
  <c r="AS606" i="5"/>
  <c r="AS598" i="5"/>
  <c r="AS588" i="5"/>
  <c r="AS577" i="5"/>
  <c r="AS566" i="5"/>
  <c r="AS554" i="5"/>
  <c r="AS538" i="5"/>
  <c r="AS522" i="5"/>
  <c r="AS506" i="5"/>
  <c r="AS490" i="5"/>
  <c r="AS474" i="5"/>
  <c r="AS454" i="5"/>
  <c r="AS432" i="5"/>
  <c r="AS413" i="5"/>
  <c r="AS390" i="5"/>
  <c r="AS368" i="5"/>
  <c r="AS349" i="5"/>
  <c r="AS326" i="5"/>
  <c r="AS304" i="5"/>
  <c r="AS279" i="5"/>
  <c r="AS248" i="5"/>
  <c r="AS219" i="5"/>
  <c r="AS189" i="5"/>
  <c r="AS154" i="5"/>
  <c r="AS117" i="5"/>
  <c r="AS88" i="5"/>
  <c r="AS51" i="5"/>
  <c r="AS16" i="5"/>
  <c r="AU864" i="5"/>
  <c r="AV864" i="5" s="1"/>
  <c r="AU826" i="5"/>
  <c r="AV826" i="5" s="1"/>
  <c r="AU792" i="5"/>
  <c r="AV792" i="5" s="1"/>
  <c r="AU761" i="5"/>
  <c r="AV761" i="5" s="1"/>
  <c r="AU723" i="5"/>
  <c r="AV723" i="5" s="1"/>
  <c r="AU671" i="5"/>
  <c r="AV671" i="5" s="1"/>
  <c r="AU595" i="5"/>
  <c r="AV595" i="5" s="1"/>
  <c r="AU443" i="5"/>
  <c r="AV443" i="5" s="1"/>
  <c r="AU65" i="5"/>
  <c r="AV65" i="5" s="1"/>
  <c r="AU436" i="5"/>
  <c r="AV436" i="5" s="1"/>
  <c r="AU17" i="5"/>
  <c r="AV17" i="5" s="1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<sst xmlns="http://schemas.openxmlformats.org/spreadsheetml/2006/main" count="7625" uniqueCount="3287">
  <si>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</si>
  <si>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</si>
  <si>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</si>
  <si>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</si>
  <si>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</si>
  <si>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</si>
  <si>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</si>
  <si>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</si>
  <si>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</si>
  <si>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</si>
  <si>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</si>
  <si>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</si>
  <si>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</si>
  <si>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</si>
  <si>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</si>
  <si>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</si>
  <si>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</si>
  <si>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</si>
  <si>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</si>
  <si>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</si>
  <si>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</si>
  <si>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</si>
  <si>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</si>
  <si>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</si>
  <si>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</si>
  <si>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</si>
  <si>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</si>
  <si>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</si>
  <si>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</si>
  <si>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</si>
  <si>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</si>
  <si>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</si>
  <si>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</si>
  <si>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</si>
  <si>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</si>
  <si>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</si>
  <si>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</si>
  <si>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</si>
  <si>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</si>
  <si>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</si>
  <si>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</si>
  <si>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</si>
  <si>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</si>
  <si>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</si>
  <si>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</si>
  <si>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</si>
  <si>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</si>
  <si>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</si>
  <si>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</si>
  <si>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</si>
  <si>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</si>
  <si>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</si>
  <si>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</si>
  <si>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</si>
  <si>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</si>
  <si>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</si>
  <si>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</si>
  <si>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</si>
  <si>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</si>
  <si>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</si>
  <si>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</si>
  <si>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</si>
  <si>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</si>
  <si>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</si>
  <si>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</si>
  <si>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</si>
  <si>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</si>
  <si>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</si>
  <si>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</si>
  <si>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</si>
  <si>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</si>
  <si>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</si>
  <si>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</si>
  <si>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</si>
  <si>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</si>
  <si>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</si>
  <si>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</si>
  <si>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</si>
  <si>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</si>
  <si>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</si>
  <si>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</si>
  <si>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</si>
  <si>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</si>
  <si>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</si>
  <si>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</si>
  <si>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</si>
  <si>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</si>
  <si>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</si>
  <si>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</si>
  <si>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</si>
  <si>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</si>
  <si>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</si>
  <si>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</si>
  <si>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</si>
  <si>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</si>
  <si>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</si>
  <si>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</si>
  <si>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</si>
  <si>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</si>
  <si>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</si>
  <si>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</si>
  <si>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</si>
  <si>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</si>
  <si>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</si>
  <si>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</si>
  <si>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</si>
  <si>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</si>
  <si>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</si>
  <si>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</si>
  <si>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</si>
  <si>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</si>
  <si>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</si>
  <si>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</si>
  <si>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</si>
  <si>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</si>
  <si>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</si>
  <si>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</si>
  <si>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</si>
  <si>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</si>
  <si>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</si>
  <si>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</si>
  <si>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</si>
  <si>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</si>
  <si>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</si>
  <si>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</si>
  <si>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</si>
  <si>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</si>
  <si>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</si>
  <si>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</si>
  <si>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</si>
  <si>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</si>
  <si>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</si>
  <si>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</si>
  <si>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</si>
  <si>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</si>
  <si>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</si>
  <si>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</si>
  <si>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</si>
  <si>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</si>
  <si>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</si>
  <si>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</si>
  <si>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</si>
  <si>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</si>
  <si>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</si>
  <si>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</si>
  <si>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</si>
  <si>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</si>
  <si>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</si>
  <si>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</si>
  <si>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</si>
  <si>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</si>
  <si>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</si>
  <si>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</si>
  <si>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</si>
  <si>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</si>
  <si>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</si>
  <si>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</si>
  <si>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</si>
  <si>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</si>
  <si>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</si>
  <si>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</si>
  <si>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</si>
  <si>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</si>
  <si>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</si>
  <si>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</si>
  <si>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</si>
  <si>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</si>
  <si>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</si>
  <si>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</si>
  <si>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</si>
  <si>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</si>
  <si>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</si>
  <si>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</si>
  <si>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</si>
  <si>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</si>
  <si>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</si>
  <si>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</si>
  <si>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</si>
  <si>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</si>
  <si>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</si>
  <si>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</si>
  <si>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</si>
  <si>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</si>
  <si>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</si>
  <si>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</si>
  <si>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</si>
  <si>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</si>
  <si>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</si>
  <si>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</si>
  <si>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</si>
  <si>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</si>
  <si>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</si>
  <si>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</si>
  <si>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</si>
  <si>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</si>
  <si>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</si>
  <si>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</si>
  <si>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</si>
  <si>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</si>
  <si>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</si>
  <si>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</si>
  <si>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</si>
  <si>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</si>
  <si>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</si>
  <si>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</si>
  <si>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</si>
  <si>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</si>
  <si>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</si>
  <si>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</si>
  <si>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</si>
  <si>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</si>
  <si>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</si>
  <si>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</si>
  <si>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</si>
  <si>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</si>
  <si>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</si>
  <si>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</si>
  <si>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</si>
  <si>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</si>
  <si>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</si>
  <si>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</si>
  <si>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</si>
  <si>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</si>
  <si>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</si>
  <si>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</si>
  <si>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</si>
  <si>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</si>
  <si>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</si>
  <si>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</si>
  <si>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</si>
  <si>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</si>
  <si>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</si>
  <si>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</si>
  <si>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</si>
  <si>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Pumps</t>
  </si>
  <si>
    <t>Robotics</t>
  </si>
  <si>
    <t>Spare parts / Others</t>
  </si>
  <si>
    <t>Corded Electric</t>
  </si>
  <si>
    <t>Battery</t>
  </si>
  <si>
    <t>Hand tools incl. LML_C</t>
  </si>
  <si>
    <t>Accessories</t>
  </si>
  <si>
    <t>9352</t>
  </si>
  <si>
    <t>TAP CONNECTOR</t>
  </si>
  <si>
    <t>CONNECTOR</t>
  </si>
  <si>
    <t>HOSE CONNECTOR</t>
  </si>
  <si>
    <t>COUPLING</t>
  </si>
  <si>
    <t>REGULATOR VALVE</t>
  </si>
  <si>
    <t>ADAPTER</t>
  </si>
  <si>
    <t>HOSE REPAIRER</t>
  </si>
  <si>
    <t>EXTENSION JOINT</t>
  </si>
  <si>
    <t>Y-COUPLING</t>
  </si>
  <si>
    <t>WATERING SET</t>
  </si>
  <si>
    <t>CONNECTION PIECE</t>
  </si>
  <si>
    <t>NOZZLE</t>
  </si>
  <si>
    <t>SPRAY GUN</t>
  </si>
  <si>
    <t>SPRAY LANCE</t>
  </si>
  <si>
    <t>CIRCULAR SPRINKLER</t>
  </si>
  <si>
    <t>OSCILLATING SPRINKLER</t>
  </si>
  <si>
    <t>SPRINKLER HOSE</t>
  </si>
  <si>
    <t>HOSE TROLLEY</t>
  </si>
  <si>
    <t>HOSE REEL</t>
  </si>
  <si>
    <t>WALL HOSE BRACKET</t>
  </si>
  <si>
    <t>GARDEN HOSE</t>
  </si>
  <si>
    <t>PUMP, CORDED</t>
  </si>
  <si>
    <t>PUMP SET</t>
  </si>
  <si>
    <t>SUCTION HOSE</t>
  </si>
  <si>
    <t>PUMP FITTING</t>
  </si>
  <si>
    <t>FILTER</t>
  </si>
  <si>
    <t>PUMP SWITCH</t>
  </si>
  <si>
    <t>TECHNICAL HOSE</t>
  </si>
  <si>
    <t>PUMP</t>
  </si>
  <si>
    <t>PIPE</t>
  </si>
  <si>
    <t>PRESSURE REDUCER</t>
  </si>
  <si>
    <t>FERTILIZER DISPENSER</t>
  </si>
  <si>
    <t>TOOL</t>
  </si>
  <si>
    <t>CONNECTING PIPE</t>
  </si>
  <si>
    <t>CONTROL VALVE</t>
  </si>
  <si>
    <t>PIPE CLAMP</t>
  </si>
  <si>
    <t>DRIP HEAD</t>
  </si>
  <si>
    <t>SPRAY NOZZLE</t>
  </si>
  <si>
    <t>EXTENSION PIPE</t>
  </si>
  <si>
    <t>WASHER</t>
  </si>
  <si>
    <t>WATER PLUG</t>
  </si>
  <si>
    <t>POP-UP SPRINKLER</t>
  </si>
  <si>
    <t>WATER CONNECTOR</t>
  </si>
  <si>
    <t>PROMOTION SET</t>
  </si>
  <si>
    <t>DRAIN VALVE</t>
  </si>
  <si>
    <t>CONNECTING POINT</t>
  </si>
  <si>
    <t>TIMER</t>
  </si>
  <si>
    <t>COMPUTER</t>
  </si>
  <si>
    <t>WATER DISTRIBUTOR</t>
  </si>
  <si>
    <t>MULTI CHANNEL CONTROL</t>
  </si>
  <si>
    <t>LAWN MOWER, ROBOTIC</t>
  </si>
  <si>
    <t>COUPLER</t>
  </si>
  <si>
    <t>STAPLE</t>
  </si>
  <si>
    <t>BLADE</t>
  </si>
  <si>
    <t>HOUSING</t>
  </si>
  <si>
    <t>BAG</t>
  </si>
  <si>
    <t>LAWN MOWER</t>
  </si>
  <si>
    <t>LAWN MOWER, CORDED</t>
  </si>
  <si>
    <t>MOWER BLADE</t>
  </si>
  <si>
    <t>LAWN MOWER, BATTERY</t>
  </si>
  <si>
    <t>BATTERY</t>
  </si>
  <si>
    <t>CHARGER</t>
  </si>
  <si>
    <t>LAWN MOWER, CYLINDER, MANUAL</t>
  </si>
  <si>
    <t>COLLECTOR</t>
  </si>
  <si>
    <t>SCARIFIER, TINE</t>
  </si>
  <si>
    <t>SCARIFIER, BLADE</t>
  </si>
  <si>
    <t>COLLECTING BAG</t>
  </si>
  <si>
    <t>TRIMMER, CORDED</t>
  </si>
  <si>
    <t>TRIMMER, BATTERY</t>
  </si>
  <si>
    <t>SHEAR, BATTERY</t>
  </si>
  <si>
    <t>BLADE-SET</t>
  </si>
  <si>
    <t>HANDLE</t>
  </si>
  <si>
    <t>WHEEL</t>
  </si>
  <si>
    <t>BLADE SET</t>
  </si>
  <si>
    <t>SPOOL &amp; LINE</t>
  </si>
  <si>
    <t>PLASTIC BLADES</t>
  </si>
  <si>
    <t>KIT</t>
  </si>
  <si>
    <t>FILTER BAG</t>
  </si>
  <si>
    <t>HEDGE TRIMMER, CORDED</t>
  </si>
  <si>
    <t>HEDGE TRIMMER, BATTERY</t>
  </si>
  <si>
    <t>CHAINSAW, BATTERY</t>
  </si>
  <si>
    <t>BLOWER, CORDED</t>
  </si>
  <si>
    <t>VACUUM</t>
  </si>
  <si>
    <t>BLOWER, BATTERY</t>
  </si>
  <si>
    <t>PRESSURE WASHER</t>
  </si>
  <si>
    <t>RAKE</t>
  </si>
  <si>
    <t>SHEAR, MANUAL</t>
  </si>
  <si>
    <t>SECATEUR, BYPASS</t>
  </si>
  <si>
    <t>SECATEUR, ANVIL</t>
  </si>
  <si>
    <t>HEDGE CLIPPER</t>
  </si>
  <si>
    <t>LOPPER, BYPASS</t>
  </si>
  <si>
    <t>LOPPER, ANVIL</t>
  </si>
  <si>
    <t>PRUNER, BYPASS</t>
  </si>
  <si>
    <t>HAND SAW</t>
  </si>
  <si>
    <t>HATCHET</t>
  </si>
  <si>
    <t>AXE</t>
  </si>
  <si>
    <t>CHOPPER</t>
  </si>
  <si>
    <t>HOE</t>
  </si>
  <si>
    <t>BROOM</t>
  </si>
  <si>
    <t>CULTIVATOR</t>
  </si>
  <si>
    <t>SPADE</t>
  </si>
  <si>
    <t>FORK</t>
  </si>
  <si>
    <t>TROWEL</t>
  </si>
  <si>
    <t>WEEDER</t>
  </si>
  <si>
    <t>CLEANER</t>
  </si>
  <si>
    <t>BRUSH</t>
  </si>
  <si>
    <t>GARDEN TOOL SET</t>
  </si>
  <si>
    <t>TILLER, MANUAL</t>
  </si>
  <si>
    <t>FRUIT PICKER</t>
  </si>
  <si>
    <t>BOX</t>
  </si>
  <si>
    <t>PROMOTION KIT</t>
  </si>
  <si>
    <t>PLANTER</t>
  </si>
  <si>
    <t>SNOW SHOVEL</t>
  </si>
  <si>
    <t>ICE SCRAPER</t>
  </si>
  <si>
    <t>MAT</t>
  </si>
  <si>
    <t>BED EDGING</t>
  </si>
  <si>
    <t>LAWN EDGING</t>
  </si>
  <si>
    <t>SPREADER</t>
  </si>
  <si>
    <t>SPRAYER, MANUAL, PUMP</t>
  </si>
  <si>
    <t>SPRAYER, MANUAL, PRESSURE</t>
  </si>
  <si>
    <t>SPRAYER, MANUAL, BACKPACK</t>
  </si>
  <si>
    <t>WEEDKILLER CONE</t>
  </si>
  <si>
    <t>LANCE</t>
  </si>
  <si>
    <t>GLOVES</t>
  </si>
  <si>
    <t>tbd</t>
  </si>
  <si>
    <t>TBD</t>
  </si>
  <si>
    <t>SILENO city 250</t>
  </si>
  <si>
    <t xml:space="preserve"> </t>
  </si>
  <si>
    <t>SILENO city 500</t>
  </si>
  <si>
    <t>SILENO life 750m²</t>
  </si>
  <si>
    <t>SILENO life 750</t>
  </si>
  <si>
    <t>SILENO life 1000m²</t>
  </si>
  <si>
    <t>SILENO life 1000</t>
  </si>
  <si>
    <t>SILENO life 1250m²</t>
  </si>
  <si>
    <t>CONNECTOR Protection</t>
  </si>
  <si>
    <t>Misc.</t>
  </si>
  <si>
    <t>HOUSE</t>
  </si>
  <si>
    <t>STORAGE BAG</t>
  </si>
  <si>
    <t>PowerMax 1100/32</t>
  </si>
  <si>
    <t>PowerMax 1200/32</t>
  </si>
  <si>
    <t>PowerMax 1400/34</t>
  </si>
  <si>
    <t>PowerMax 1600/37</t>
  </si>
  <si>
    <t>PowerMax 1800/42</t>
  </si>
  <si>
    <t>SPARE BLADE PowerMax</t>
  </si>
  <si>
    <t>Handy Mower</t>
  </si>
  <si>
    <t>PowerMax Li-18/32</t>
  </si>
  <si>
    <t>PowerMax Li-40/32</t>
  </si>
  <si>
    <t>PowerMax Li-40/37</t>
  </si>
  <si>
    <t>PowerMax Li-40/41</t>
  </si>
  <si>
    <t>BLi-18/36</t>
  </si>
  <si>
    <t>System Accu BLi-18</t>
  </si>
  <si>
    <t>BLi-18/72</t>
  </si>
  <si>
    <t>BLi-40/100</t>
  </si>
  <si>
    <t>BLi-40/160</t>
  </si>
  <si>
    <t>Charger QC40</t>
  </si>
  <si>
    <t>ES 500</t>
  </si>
  <si>
    <t>EVC 1000</t>
  </si>
  <si>
    <t>Catcher ES/EV</t>
  </si>
  <si>
    <t>SmallCut 300/23</t>
  </si>
  <si>
    <t>SmallCut Plus 350/23</t>
  </si>
  <si>
    <t>EasyCut 450/25</t>
  </si>
  <si>
    <t>ComfortCut 550/27</t>
  </si>
  <si>
    <t>PowerCut 650/27</t>
  </si>
  <si>
    <t>SmallCut Li-23R</t>
  </si>
  <si>
    <t>EasyCut Li-18/23</t>
  </si>
  <si>
    <t>ComfortCut Li-18/23</t>
  </si>
  <si>
    <t>PowerCut Li-40/30</t>
  </si>
  <si>
    <t>AccuCut Li</t>
  </si>
  <si>
    <t>ClassicCut Li</t>
  </si>
  <si>
    <t>ComfortCut Li</t>
  </si>
  <si>
    <t>Wheels/handle for AccuCut</t>
  </si>
  <si>
    <t>Wheels for AccuCut</t>
  </si>
  <si>
    <t>Grass blade</t>
  </si>
  <si>
    <t>Shrub blade</t>
  </si>
  <si>
    <t>Accessory Kit</t>
  </si>
  <si>
    <t>Filter</t>
  </si>
  <si>
    <t>Nozzle</t>
  </si>
  <si>
    <t>Brush</t>
  </si>
  <si>
    <t>EasyCut 420/45</t>
  </si>
  <si>
    <t>EasyCut 450/50</t>
  </si>
  <si>
    <t>EasyCut 500/55</t>
  </si>
  <si>
    <t>ComfortCut 550/50</t>
  </si>
  <si>
    <t>ComfortCut 600/55</t>
  </si>
  <si>
    <t>EasyCut Li</t>
  </si>
  <si>
    <t>ComfortCut Li-18/50</t>
  </si>
  <si>
    <t>ComfortCut Li-18/60</t>
  </si>
  <si>
    <t>PowerCut Li-40/60</t>
  </si>
  <si>
    <t>THS Li 18/42</t>
  </si>
  <si>
    <t>TCS Li 18/20</t>
  </si>
  <si>
    <t>ErgoJet3000</t>
  </si>
  <si>
    <t>EasyClean Li</t>
  </si>
  <si>
    <t>AccuJet 18-Li</t>
  </si>
  <si>
    <t>PowerJet Li-18</t>
  </si>
  <si>
    <t>PowerJet Li-40</t>
  </si>
  <si>
    <t>AquaClean Li-40/60</t>
  </si>
  <si>
    <t>18600-20</t>
  </si>
  <si>
    <t>18602-20</t>
  </si>
  <si>
    <t>18604-20</t>
  </si>
  <si>
    <t>18606-20</t>
  </si>
  <si>
    <t>18610-20</t>
  </si>
  <si>
    <t>18612-20</t>
  </si>
  <si>
    <t>18614-20</t>
  </si>
  <si>
    <t>18616-20</t>
  </si>
  <si>
    <t>18620-20</t>
  </si>
  <si>
    <t>18622-20</t>
  </si>
  <si>
    <t>18625-20</t>
  </si>
  <si>
    <t>18627-20</t>
  </si>
  <si>
    <t>18630-20</t>
  </si>
  <si>
    <t>18632-20</t>
  </si>
  <si>
    <t>967980701</t>
  </si>
  <si>
    <t>967980801</t>
  </si>
  <si>
    <t>967981001</t>
  </si>
  <si>
    <t>tbd.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</si>
  <si>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</si>
  <si>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</si>
  <si>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</si>
  <si>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</si>
  <si>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</si>
  <si>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</si>
  <si>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</si>
  <si>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</si>
  <si>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18242-20.000.00</t>
  </si>
  <si>
    <t>02998-20.000.00</t>
  </si>
  <si>
    <t>02999-20.000.00</t>
  </si>
  <si>
    <t>02907-20.000.00</t>
  </si>
  <si>
    <t>08187-20.000.00</t>
  </si>
  <si>
    <t>18210-20.000.00</t>
  </si>
  <si>
    <t>00938-20.000.00</t>
  </si>
  <si>
    <t>00940-20.000.00</t>
  </si>
  <si>
    <t>08193-20.000.00</t>
  </si>
  <si>
    <t>08194-20.000.00</t>
  </si>
  <si>
    <t>08188-20.000.00</t>
  </si>
  <si>
    <t>02915-29.000.00</t>
  </si>
  <si>
    <t>18215-29.000.00</t>
  </si>
  <si>
    <t>02916-29.000.00</t>
  </si>
  <si>
    <t>18216-29.000.00</t>
  </si>
  <si>
    <t>18255-20.000.00</t>
  </si>
  <si>
    <t>18256-20.000.00</t>
  </si>
  <si>
    <t>02913-29.000.00</t>
  </si>
  <si>
    <t>18213-29.000.00</t>
  </si>
  <si>
    <t>02914-29.000.00</t>
  </si>
  <si>
    <t>18214-29.000.00</t>
  </si>
  <si>
    <t>18253-20.000.00</t>
  </si>
  <si>
    <t>18254-20.000.00</t>
  </si>
  <si>
    <t>02942-20.000.00</t>
  </si>
  <si>
    <t>02943-20.000.00</t>
  </si>
  <si>
    <t>02976-20.000.00</t>
  </si>
  <si>
    <t>02977-20.000.00</t>
  </si>
  <si>
    <t>02921-20.000.00</t>
  </si>
  <si>
    <t>02932-29.000.00</t>
  </si>
  <si>
    <t>18232-29.000.00</t>
  </si>
  <si>
    <t>02933-29.000.00</t>
  </si>
  <si>
    <t>18233-29.000.00</t>
  </si>
  <si>
    <t>02931-29.000.00</t>
  </si>
  <si>
    <t>02934-20.000.00</t>
  </si>
  <si>
    <t>18283-20.000.00</t>
  </si>
  <si>
    <t>18279-34.000.00</t>
  </si>
  <si>
    <t>18299-34.000.00</t>
  </si>
  <si>
    <t>18291-20.000.00</t>
  </si>
  <si>
    <t>18277-34.000.00</t>
  </si>
  <si>
    <t>18298-20.000.00</t>
  </si>
  <si>
    <t>18298-20.000.01</t>
  </si>
  <si>
    <t>02801-20.000.00</t>
  </si>
  <si>
    <t>02802-20.000.00</t>
  </si>
  <si>
    <t>02817-20.000.00</t>
  </si>
  <si>
    <t>02819-20.000.00</t>
  </si>
  <si>
    <t>02814-20.000.00</t>
  </si>
  <si>
    <t>02831-20.000.00</t>
  </si>
  <si>
    <t>02830-20.000.00</t>
  </si>
  <si>
    <t>02833-20.000.00</t>
  </si>
  <si>
    <t>02834-20.000.00</t>
  </si>
  <si>
    <t>02835-20.000.00</t>
  </si>
  <si>
    <t>02821-20.000.00</t>
  </si>
  <si>
    <t>02818-20.000.00</t>
  </si>
  <si>
    <t>18300-20.000.00</t>
  </si>
  <si>
    <t>18310-20.000.00</t>
  </si>
  <si>
    <t>18405-20.000.00</t>
  </si>
  <si>
    <t>18304-20.000.00</t>
  </si>
  <si>
    <t>18304-34.000.00</t>
  </si>
  <si>
    <t>18301-20.000.00</t>
  </si>
  <si>
    <t>18303-20.000.00</t>
  </si>
  <si>
    <t>18303-34.000.00</t>
  </si>
  <si>
    <t>18305-20.000.00</t>
  </si>
  <si>
    <t>18306-20.000.00</t>
  </si>
  <si>
    <t>18345-20.000.00</t>
  </si>
  <si>
    <t>18345-32.000.00</t>
  </si>
  <si>
    <t>18341-20.000.00</t>
  </si>
  <si>
    <t>18341-32.000.00</t>
  </si>
  <si>
    <t>18312-33.000.00</t>
  </si>
  <si>
    <t>18312-34.000.00</t>
  </si>
  <si>
    <t>18311-20.000.00</t>
  </si>
  <si>
    <t>18321-20.000.00</t>
  </si>
  <si>
    <t>18323-20.000.00</t>
  </si>
  <si>
    <t>18343-20.000.00</t>
  </si>
  <si>
    <t>18343-32.000.00</t>
  </si>
  <si>
    <t>18315-20.000.00</t>
  </si>
  <si>
    <t>18315-34.000.00</t>
  </si>
  <si>
    <t>18317-20.000.00</t>
  </si>
  <si>
    <t>18330-20.000.00</t>
  </si>
  <si>
    <t>18330-34.000.00</t>
  </si>
  <si>
    <t>18334-20.000.00</t>
  </si>
  <si>
    <t>18336-20.000.00</t>
  </si>
  <si>
    <t>01953-20.000.00</t>
  </si>
  <si>
    <t>02073-20.000.00</t>
  </si>
  <si>
    <t>02062-20.000.00</t>
  </si>
  <si>
    <t>01949-20.000.00</t>
  </si>
  <si>
    <t>02065-20.000.00</t>
  </si>
  <si>
    <t>00971-32.000.00</t>
  </si>
  <si>
    <t>02079-32.000.00</t>
  </si>
  <si>
    <t>18720-32.000.00</t>
  </si>
  <si>
    <t>02082-20.000.00</t>
  </si>
  <si>
    <t>18700-20.000.00</t>
  </si>
  <si>
    <t>18700-36.000.00</t>
  </si>
  <si>
    <t>18701-34.000.00</t>
  </si>
  <si>
    <t>02083-20.000.00</t>
  </si>
  <si>
    <t>18702-20.000.00</t>
  </si>
  <si>
    <t>18704-20.000.00</t>
  </si>
  <si>
    <t>08127-20.000.00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</si>
  <si>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</si>
  <si>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</si>
  <si>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</si>
  <si>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</si>
  <si>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</si>
  <si>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</si>
  <si>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</si>
  <si>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01971-20.000.00</t>
  </si>
  <si>
    <t>01973-20.000.00</t>
  </si>
  <si>
    <t>01975-20.000.00</t>
  </si>
  <si>
    <t>01977-20.000.00</t>
  </si>
  <si>
    <t>08141-20.000.00</t>
  </si>
  <si>
    <t>08135-20.000.00</t>
  </si>
  <si>
    <t>08136-20.000.00</t>
  </si>
  <si>
    <t>08144-20.000.00</t>
  </si>
  <si>
    <t>08133-20.000.00</t>
  </si>
  <si>
    <t>01995-20.000.00</t>
  </si>
  <si>
    <t>01998-20.000.00</t>
  </si>
  <si>
    <t>01968-20.000.00</t>
  </si>
  <si>
    <t>01969-20.000.00</t>
  </si>
  <si>
    <t>01987-22.000.00</t>
  </si>
  <si>
    <t>01989-20.000.00</t>
  </si>
  <si>
    <t>05316-20.000.00</t>
  </si>
  <si>
    <t>18500-20.000.00</t>
  </si>
  <si>
    <t>18502-20.000.00</t>
  </si>
  <si>
    <t>18502-50.000.00</t>
  </si>
  <si>
    <t>18510-20.000.00</t>
  </si>
  <si>
    <t>18512-20.000.00</t>
  </si>
  <si>
    <t>18515-20.000.00</t>
  </si>
  <si>
    <t>18520-20.000.00</t>
  </si>
  <si>
    <t>18540-20.000.00</t>
  </si>
  <si>
    <t>18541-20.000.00</t>
  </si>
  <si>
    <t>18542-20.000.00</t>
  </si>
  <si>
    <t>18547-20.000.00</t>
  </si>
  <si>
    <t>18550-20.000.00</t>
  </si>
  <si>
    <t>02674-20.000.00</t>
  </si>
  <si>
    <t>02691-20.000.00</t>
  </si>
  <si>
    <t>08010-20.000.00</t>
  </si>
  <si>
    <t>08007-20.000.00</t>
  </si>
  <si>
    <t>18402-20.000.00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</si>
  <si>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</si>
  <si>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</si>
  <si>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</si>
  <si>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</si>
  <si>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</si>
  <si>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</si>
  <si>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</si>
  <si>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</si>
  <si>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08023-20.000.00</t>
  </si>
  <si>
    <t>18620-20.000.00</t>
  </si>
  <si>
    <t>18622-20.000.00</t>
  </si>
  <si>
    <t>08026-20.000.00</t>
  </si>
  <si>
    <t>18625-20.000.00</t>
  </si>
  <si>
    <t>18627-20.000.00</t>
  </si>
  <si>
    <t>08024-20.000.00</t>
  </si>
  <si>
    <t>18630-20.000.00</t>
  </si>
  <si>
    <t>18632-20.000.00</t>
  </si>
  <si>
    <t>00241-20.000.00</t>
  </si>
  <si>
    <t>18425-20.000.00</t>
  </si>
  <si>
    <t>18430-20.000.00</t>
  </si>
  <si>
    <t>18431-20.000.00</t>
  </si>
  <si>
    <t>18434-20.000.00</t>
  </si>
  <si>
    <t>18435-20.000.00</t>
  </si>
  <si>
    <t>18438-20.000.00</t>
  </si>
  <si>
    <t>18123-29.000.00</t>
  </si>
  <si>
    <t>18125-29.000.00</t>
  </si>
  <si>
    <t>18145-29.000.00</t>
  </si>
  <si>
    <t>18143-29.000.00</t>
  </si>
  <si>
    <t>18144-29.000.00</t>
  </si>
  <si>
    <t>18003-20.000.00</t>
  </si>
  <si>
    <t>18026-29.000.00</t>
  </si>
  <si>
    <t>18001-20.000.00</t>
  </si>
  <si>
    <t>18004-20.000.00</t>
  </si>
  <si>
    <t>18010-20.000.00</t>
  </si>
  <si>
    <t>18022-20.000.00</t>
  </si>
  <si>
    <t>18025-20.000.00</t>
  </si>
  <si>
    <t>18057-22.000.00</t>
  </si>
  <si>
    <t>18039-22.000.00</t>
  </si>
  <si>
    <t>18033-20.000.00</t>
  </si>
  <si>
    <t>18034-20.000.00</t>
  </si>
  <si>
    <t>18039-20.000.00</t>
  </si>
  <si>
    <t>18055-22.000.00</t>
  </si>
  <si>
    <t>18053-20.000.00</t>
  </si>
  <si>
    <t>18055-20.000.00</t>
  </si>
  <si>
    <t>18069-22.000.00</t>
  </si>
  <si>
    <t>18063-20.000.00</t>
  </si>
  <si>
    <t>18069-20.000.00</t>
  </si>
  <si>
    <t>18093-20.000.00</t>
  </si>
  <si>
    <t>18099-20.000.00</t>
  </si>
  <si>
    <t>04424-22.000.00</t>
  </si>
  <si>
    <t>18085-22.000.00</t>
  </si>
  <si>
    <t>18083-20.000.00</t>
  </si>
  <si>
    <t>18085-20.000.00</t>
  </si>
  <si>
    <t>18113-20.000.00</t>
  </si>
  <si>
    <t>04434-22.000.00</t>
  </si>
  <si>
    <t>18058-22.000.00</t>
  </si>
  <si>
    <t>18011-20.000.00</t>
  </si>
  <si>
    <t>18040-20.000.00</t>
  </si>
  <si>
    <t>18005-20.000.00</t>
  </si>
  <si>
    <t>18134-29.000.00</t>
  </si>
  <si>
    <t>01707-20.000.00</t>
  </si>
  <si>
    <t>01717-20.000.00</t>
  </si>
  <si>
    <t>01709-20.000.00</t>
  </si>
  <si>
    <t>09010-29.000.00</t>
  </si>
  <si>
    <t>09011-29.000.00</t>
  </si>
  <si>
    <t>09013-29.000.00</t>
  </si>
  <si>
    <t>01732-20.000.00</t>
  </si>
  <si>
    <t>01734-20.000.00</t>
  </si>
  <si>
    <t>01736-20.000.00</t>
  </si>
  <si>
    <t>01740-20.000.00</t>
  </si>
  <si>
    <t>01742-20.000.00</t>
  </si>
  <si>
    <t>01762-20.000.00</t>
  </si>
  <si>
    <t>01764-20.000.00</t>
  </si>
  <si>
    <t>01766-20.000.00</t>
  </si>
  <si>
    <t>01461-20.000.00</t>
  </si>
  <si>
    <t>09025-29.000.00</t>
  </si>
  <si>
    <t>01768-20.000.00</t>
  </si>
  <si>
    <t>01771-20.000.00</t>
  </si>
  <si>
    <t>01773-20.000.00</t>
  </si>
  <si>
    <t>01489-20.000.00</t>
  </si>
  <si>
    <t>01492-20.000.00</t>
  </si>
  <si>
    <t>01476-20.000.00</t>
  </si>
  <si>
    <t>01751-29.000.00</t>
  </si>
  <si>
    <t>09020-29.000.00</t>
  </si>
  <si>
    <t>09022-29.000.00</t>
  </si>
  <si>
    <t>01753-20.000.00</t>
  </si>
  <si>
    <t>01754-20.000.00</t>
  </si>
  <si>
    <t>01755-20.000.00</t>
  </si>
  <si>
    <t>01756-20.000.00</t>
  </si>
  <si>
    <t>01757-20.000.00</t>
  </si>
  <si>
    <t>01758-20.000.00</t>
  </si>
  <si>
    <t>01759-20.000.00</t>
  </si>
  <si>
    <t>01760-20.000.00</t>
  </si>
  <si>
    <t>09000-29.000.00</t>
  </si>
  <si>
    <t>09030-20.000.00</t>
  </si>
  <si>
    <t>01661-20.000.00</t>
  </si>
  <si>
    <t>09001-29.000.00</t>
  </si>
  <si>
    <t>01780-20.000.00</t>
  </si>
  <si>
    <t>09032-20.000.00</t>
  </si>
  <si>
    <t>09034-20.000.00</t>
  </si>
  <si>
    <t>01785-20.000.00</t>
  </si>
  <si>
    <t>01787-20.000.00</t>
  </si>
  <si>
    <t>09005-29.000.00</t>
  </si>
  <si>
    <t>09040-20.000.00</t>
  </si>
  <si>
    <t>09006-29.000.00</t>
  </si>
  <si>
    <t>01665-20.000.00</t>
  </si>
  <si>
    <t>01795-20.000.00</t>
  </si>
  <si>
    <t>09042-20.000.00</t>
  </si>
  <si>
    <t>01797-20.000.00</t>
  </si>
  <si>
    <t>01799-20.000.00</t>
  </si>
  <si>
    <t>01802-20.000.00</t>
  </si>
  <si>
    <t>09036-20.000.00</t>
  </si>
  <si>
    <t>09044-20.000.00</t>
  </si>
  <si>
    <t>09046-20.000.00</t>
  </si>
  <si>
    <t>09048-20.000.00</t>
  </si>
  <si>
    <t>09049-20.000.00</t>
  </si>
  <si>
    <t>05001-20.000.00</t>
  </si>
  <si>
    <t>05002-20.000.00</t>
  </si>
  <si>
    <t>05003-20.000.00</t>
  </si>
  <si>
    <t>05004-20.000.00</t>
  </si>
  <si>
    <t>05005-20.000.00</t>
  </si>
  <si>
    <t>01721-22.000.00</t>
  </si>
  <si>
    <t>01720-22.000.00</t>
  </si>
  <si>
    <t>01411-20.000.00</t>
  </si>
  <si>
    <t>01418-20.000.00</t>
  </si>
  <si>
    <t>01724-20.000.00</t>
  </si>
  <si>
    <t>01723-20.000.00</t>
  </si>
  <si>
    <t>01727-20.000.00</t>
  </si>
  <si>
    <t>01726-20.000.00</t>
  </si>
  <si>
    <t>01729-20.000.00</t>
  </si>
  <si>
    <t>01743-20.000.00</t>
  </si>
  <si>
    <t>01744-20.000.00</t>
  </si>
  <si>
    <t>01745-20.000.00</t>
  </si>
  <si>
    <t>01752-20.000.00</t>
  </si>
  <si>
    <t>01731-20.000.00</t>
  </si>
  <si>
    <t>01730-20.000.00</t>
  </si>
  <si>
    <t>01417-20.000.00</t>
  </si>
  <si>
    <t>01739-20.000.00</t>
  </si>
  <si>
    <t>01741-20.000.00</t>
  </si>
  <si>
    <t>04976-20.000.00</t>
  </si>
  <si>
    <t>04978-20.000.00</t>
  </si>
  <si>
    <t>04971-20.000.00</t>
  </si>
  <si>
    <t>04973-20.000.00</t>
  </si>
  <si>
    <t>04975-20.000.00</t>
  </si>
  <si>
    <t>04986-20.000.00</t>
  </si>
  <si>
    <t>04988-20.000.00</t>
  </si>
  <si>
    <t>04982-20.000.00</t>
  </si>
  <si>
    <t>04985-20.000.00</t>
  </si>
  <si>
    <t>01749-20.000.00</t>
  </si>
  <si>
    <t>01748-20.000.00</t>
  </si>
  <si>
    <t>13000-34.000.00</t>
  </si>
  <si>
    <t>13001-20.000.00</t>
  </si>
  <si>
    <t>13002-20.000.00</t>
  </si>
  <si>
    <t>01373-20.000.00</t>
  </si>
  <si>
    <t>13010-20.000.00</t>
  </si>
  <si>
    <t>13015-20.000.00</t>
  </si>
  <si>
    <t>01362-20.000.00</t>
  </si>
  <si>
    <t>13013-20.000.00</t>
  </si>
  <si>
    <t>01395-20.000.00</t>
  </si>
  <si>
    <t>01355-20.000.00</t>
  </si>
  <si>
    <t>01354-20.000.00</t>
  </si>
  <si>
    <t>08313-20.000.00</t>
  </si>
  <si>
    <t>08322-29.000.00</t>
  </si>
  <si>
    <t>01346-20.000.00</t>
  </si>
  <si>
    <t>01350-29.000.00</t>
  </si>
  <si>
    <t>01348-20.000.00</t>
  </si>
  <si>
    <t>08358-29.000.00</t>
  </si>
  <si>
    <t>08357-29.000.00</t>
  </si>
  <si>
    <t>08380-29.000.00</t>
  </si>
  <si>
    <t>08379-20.000.00</t>
  </si>
  <si>
    <t>01327-20.000.00</t>
  </si>
  <si>
    <t>08328-20.000.00</t>
  </si>
  <si>
    <t>08327-20.000.00</t>
  </si>
  <si>
    <t>08339-29.000.00</t>
  </si>
  <si>
    <t>08334-29.000.00</t>
  </si>
  <si>
    <t>08333-20.000.00</t>
  </si>
  <si>
    <t>08329-29.000.00</t>
  </si>
  <si>
    <t>08330-29.000.00</t>
  </si>
  <si>
    <t>08382-29.000.00</t>
  </si>
  <si>
    <t>08381-29.000.00</t>
  </si>
  <si>
    <t>08356-29.000.00</t>
  </si>
  <si>
    <t>08337-29.000.00</t>
  </si>
  <si>
    <t>08324-29.000.00</t>
  </si>
  <si>
    <t>01323-29.000.00</t>
  </si>
  <si>
    <t>01340-29.000.00</t>
  </si>
  <si>
    <t>01341-29.000.00</t>
  </si>
  <si>
    <t>08310-29.000.00</t>
  </si>
  <si>
    <t>01391-29.000.00</t>
  </si>
  <si>
    <t>08316-29.000.00</t>
  </si>
  <si>
    <t>01372-29.000.00</t>
  </si>
  <si>
    <t>08343-29.000.00</t>
  </si>
  <si>
    <t>08344-29.000.00</t>
  </si>
  <si>
    <t>08311-29.000.00</t>
  </si>
  <si>
    <t>08392-29.000.00</t>
  </si>
  <si>
    <t>08317-29.000.00</t>
  </si>
  <si>
    <t>01370-29.000.00</t>
  </si>
  <si>
    <t>01368-29.000.00</t>
  </si>
  <si>
    <t>01367-29.000.00</t>
  </si>
  <si>
    <t>01365-29.000.00</t>
  </si>
  <si>
    <t>01396-29.000.00</t>
  </si>
  <si>
    <t>01369-29.000.00</t>
  </si>
  <si>
    <t>01371-29.000.00</t>
  </si>
  <si>
    <t>08320-29.000.00</t>
  </si>
  <si>
    <t>08321-29.000.00</t>
  </si>
  <si>
    <t>08361-20.000.00</t>
  </si>
  <si>
    <t>08364-20.000.00</t>
  </si>
  <si>
    <t>08331-29.000.00</t>
  </si>
  <si>
    <t>08332-29.000.00</t>
  </si>
  <si>
    <t>01377-20.000.00</t>
  </si>
  <si>
    <t>01374-29.000.00</t>
  </si>
  <si>
    <t>08363-20.000.00</t>
  </si>
  <si>
    <t>01265-20.000.00</t>
  </si>
  <si>
    <t>01266-20.000.00</t>
  </si>
  <si>
    <t>01407-20.000.00</t>
  </si>
  <si>
    <t>13135-20.000.00</t>
  </si>
  <si>
    <t>13136-20.000.00</t>
  </si>
  <si>
    <t>13150-20.000.00</t>
  </si>
  <si>
    <t>13153-20.000.00</t>
  </si>
  <si>
    <t>13156-20.000.00</t>
  </si>
  <si>
    <t>13157-20.000.00</t>
  </si>
  <si>
    <t>13162-20.000.00</t>
  </si>
  <si>
    <t>13163-20.000.00</t>
  </si>
  <si>
    <t>13164-20.000.00</t>
  </si>
  <si>
    <t>13166-20.000.00</t>
  </si>
  <si>
    <t>01124-20.000.00</t>
  </si>
  <si>
    <t>01125-20.000.00</t>
  </si>
  <si>
    <t>01505-27.000.00</t>
  </si>
  <si>
    <t>05337-20.000.00</t>
  </si>
  <si>
    <t>05797-20.000.00</t>
  </si>
  <si>
    <t>01559-29.000.00</t>
  </si>
  <si>
    <t>08201-29.000.00</t>
  </si>
  <si>
    <t>08203-29.000.00</t>
  </si>
  <si>
    <t>08205-29.000.00</t>
  </si>
  <si>
    <t>08220-29.000.00</t>
  </si>
  <si>
    <t>08223-20.000.00</t>
  </si>
  <si>
    <t>01569-27.000.00</t>
  </si>
  <si>
    <t>01566-29.000.00</t>
  </si>
  <si>
    <t>01554-29.000.00</t>
  </si>
  <si>
    <t>01555-29.000.00</t>
  </si>
  <si>
    <t>01552-29.000.00</t>
  </si>
  <si>
    <t>01553-29.000.00</t>
  </si>
  <si>
    <t>08250-20.000.00</t>
  </si>
  <si>
    <t>08253-20.000.00</t>
  </si>
  <si>
    <t>08255-20.000.00</t>
  </si>
  <si>
    <t>02780-20.000.00</t>
  </si>
  <si>
    <t>02781-20.000.00</t>
  </si>
  <si>
    <t>02782-20.000.00</t>
  </si>
  <si>
    <t>02783-20.000.00</t>
  </si>
  <si>
    <t>02784-20.000.00</t>
  </si>
  <si>
    <t>02773-20.000.00</t>
  </si>
  <si>
    <t>02764-20.000.00</t>
  </si>
  <si>
    <t>02785-20.000.00</t>
  </si>
  <si>
    <t>02774-20.000.00</t>
  </si>
  <si>
    <t>02752-20.000.00</t>
  </si>
  <si>
    <t>02786-20.000.00</t>
  </si>
  <si>
    <t>02787-20.000.00</t>
  </si>
  <si>
    <t>02790-20.000.00</t>
  </si>
  <si>
    <t>02771-20.000.00</t>
  </si>
  <si>
    <t>02755-20.000.00</t>
  </si>
  <si>
    <t>02751-20.000.00</t>
  </si>
  <si>
    <t>02754-20.000.00</t>
  </si>
  <si>
    <t>02753-20.000.00</t>
  </si>
  <si>
    <t>02775-20.000.00</t>
  </si>
  <si>
    <t>02776-20.000.00</t>
  </si>
  <si>
    <t>02768-20.000.00</t>
  </si>
  <si>
    <t>02769-20.000.00</t>
  </si>
  <si>
    <t>02767-20.000.00</t>
  </si>
  <si>
    <t>02761-20.000.00</t>
  </si>
  <si>
    <t>02762-20.000.00</t>
  </si>
  <si>
    <t>02763-20.000.00</t>
  </si>
  <si>
    <t>02772-20.000.00</t>
  </si>
  <si>
    <t>02791-20.000.00</t>
  </si>
  <si>
    <t>02777-20.000.00</t>
  </si>
  <si>
    <t>02779-20.000.00</t>
  </si>
  <si>
    <t>02756-20.000.00</t>
  </si>
  <si>
    <t>02778-20.000.00</t>
  </si>
  <si>
    <t>02750-20.000.00</t>
  </si>
  <si>
    <t>01513-27.000.00</t>
  </si>
  <si>
    <t>02760-37.000.00</t>
  </si>
  <si>
    <t>02739-20.000.00</t>
  </si>
  <si>
    <t>02740-20.000.00</t>
  </si>
  <si>
    <t>02742-20.000.00</t>
  </si>
  <si>
    <t>02743-20.000.00</t>
  </si>
  <si>
    <t>02722-20.000.00</t>
  </si>
  <si>
    <t>01510-20.000.00</t>
  </si>
  <si>
    <t>02724-20.000.00</t>
  </si>
  <si>
    <t>02792-20.000.00</t>
  </si>
  <si>
    <t>02793-20.000.00</t>
  </si>
  <si>
    <t>02799-20.000.00</t>
  </si>
  <si>
    <t>01169-20.000.00</t>
  </si>
  <si>
    <t>01890-29.000.00</t>
  </si>
  <si>
    <t>01891-29.000.00</t>
  </si>
  <si>
    <t>01892-29.000.00</t>
  </si>
  <si>
    <t>01874-29.000.00</t>
  </si>
  <si>
    <t>01889-29.000.00</t>
  </si>
  <si>
    <t>13300-20.000.00</t>
  </si>
  <si>
    <t>13300-34.000.00</t>
  </si>
  <si>
    <t>01188-20.000.00</t>
  </si>
  <si>
    <t>01867-20.000.00</t>
  </si>
  <si>
    <t>01186-20.000.00</t>
  </si>
  <si>
    <t>01868-20.000.00</t>
  </si>
  <si>
    <t>01197-29.000.00</t>
  </si>
  <si>
    <t>01273-20.000.00</t>
  </si>
  <si>
    <t>01242-27.000.00</t>
  </si>
  <si>
    <t>01283-29.000.00</t>
  </si>
  <si>
    <t>01278-27.000.00</t>
  </si>
  <si>
    <t>01251-29.000.00</t>
  </si>
  <si>
    <t>01285-29.000.00</t>
  </si>
  <si>
    <t>01254-29.000.00</t>
  </si>
  <si>
    <t>01255-29.000.00</t>
  </si>
  <si>
    <t>01286-20.000.00</t>
  </si>
  <si>
    <t>01280-20.000.00</t>
  </si>
  <si>
    <t>01250-29.000.00</t>
  </si>
  <si>
    <t>01282-20.000.00</t>
  </si>
  <si>
    <t>15001-33.000.00</t>
  </si>
  <si>
    <t>15001-32.000.00</t>
  </si>
  <si>
    <t>15201-32.000.00</t>
  </si>
  <si>
    <t>15002-33.000.00</t>
  </si>
  <si>
    <t>15002-32.000.00</t>
  </si>
  <si>
    <t>15202-32.000.00</t>
  </si>
  <si>
    <t>15101-33.000.00</t>
  </si>
  <si>
    <t>15101-32.000.00</t>
  </si>
  <si>
    <t>15102-33.000.00</t>
  </si>
  <si>
    <t>15102-32.000.00</t>
  </si>
  <si>
    <t>15103-33.000.00</t>
  </si>
  <si>
    <t>15103-32.000.00</t>
  </si>
  <si>
    <t>04089-20.000.00</t>
  </si>
  <si>
    <t>04090-20.000.00</t>
  </si>
  <si>
    <t>04087-20.000.00</t>
  </si>
  <si>
    <t>04088-20.000.00</t>
  </si>
  <si>
    <t>04088-60.000.00</t>
  </si>
  <si>
    <t>15020-20.000.00</t>
  </si>
  <si>
    <t>04059-20.000.00</t>
  </si>
  <si>
    <t>04057-20.000.00</t>
  </si>
  <si>
    <t>05031-20.000.00</t>
  </si>
  <si>
    <t>05032-20.000.00</t>
  </si>
  <si>
    <t>05034-20.000.00</t>
  </si>
  <si>
    <t>05037-20.000.00</t>
  </si>
  <si>
    <t>05042-20.000.00</t>
  </si>
  <si>
    <t>04080-20.000.00</t>
  </si>
  <si>
    <t>04102-20.000.00</t>
  </si>
  <si>
    <t>04101-20.000.00</t>
  </si>
  <si>
    <t>04016-20.000.00</t>
  </si>
  <si>
    <t>04017-20.000.00</t>
  </si>
  <si>
    <t>04081-20.000.00</t>
  </si>
  <si>
    <t>04082-20.000.00</t>
  </si>
  <si>
    <t>04100-20.000.00</t>
  </si>
  <si>
    <t>04103-20.000.00</t>
  </si>
  <si>
    <t>04104-20.000.00</t>
  </si>
  <si>
    <t>05023-20.000.00</t>
  </si>
  <si>
    <t>05023-55.000.00</t>
  </si>
  <si>
    <t>05039-20.000.00</t>
  </si>
  <si>
    <t>05039-55.000.00</t>
  </si>
  <si>
    <t>05033-20.000.00</t>
  </si>
  <si>
    <t>05038-20.000.00</t>
  </si>
  <si>
    <t>05041-20.000.00</t>
  </si>
  <si>
    <t>09865-20.000.00</t>
  </si>
  <si>
    <t>09839-20.000.00</t>
  </si>
  <si>
    <t>09866-20.000.00</t>
  </si>
  <si>
    <t>09867-20.000.00</t>
  </si>
  <si>
    <t>09842-20.000.00</t>
  </si>
  <si>
    <t>09843-20.000.00</t>
  </si>
  <si>
    <t>08833-20.000.00</t>
  </si>
  <si>
    <t>09845-20.000.00</t>
  </si>
  <si>
    <t>04027-20.000.00</t>
  </si>
  <si>
    <t>04018-20.000.00</t>
  </si>
  <si>
    <t>04022-20.000.00</t>
  </si>
  <si>
    <t>04029-20.000.00</t>
  </si>
  <si>
    <t>04066-20.000.00</t>
  </si>
  <si>
    <t>04068-20.000.00</t>
  </si>
  <si>
    <t>04065-20.000.00</t>
  </si>
  <si>
    <t>09805-20.000.00</t>
  </si>
  <si>
    <t>09806-20.000.00</t>
  </si>
  <si>
    <t>09807-20.000.00</t>
  </si>
  <si>
    <t>09808-20.000.00</t>
  </si>
  <si>
    <t>09870-20.000.00</t>
  </si>
  <si>
    <t>09872-20.000.00</t>
  </si>
  <si>
    <t>09874-20.000.00</t>
  </si>
  <si>
    <t>09822-20.000.00</t>
  </si>
  <si>
    <t>09822-42.000.00</t>
  </si>
  <si>
    <t>09823-20.000.00</t>
  </si>
  <si>
    <t>09823-55.000.00</t>
  </si>
  <si>
    <t>09876-20.000.00</t>
  </si>
  <si>
    <t>09876-55.000.00</t>
  </si>
  <si>
    <t>09878-20.000.00</t>
  </si>
  <si>
    <t>09878-55.000.00</t>
  </si>
  <si>
    <t>09827-20.000.00</t>
  </si>
  <si>
    <t>09827-55.000.00</t>
  </si>
  <si>
    <t>09852-32.000.00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</si>
  <si>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</si>
  <si>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</si>
  <si>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</si>
  <si>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</si>
  <si>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</si>
  <si>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</si>
  <si>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02342-20.000.00</t>
  </si>
  <si>
    <t>02343-20.000.00</t>
  </si>
  <si>
    <t>02340-20.000.00</t>
  </si>
  <si>
    <t>02345-20.000.00</t>
  </si>
  <si>
    <t>02346-20.000.00</t>
  </si>
  <si>
    <t>09859-20.000.00</t>
  </si>
  <si>
    <t>09861-20.000.00</t>
  </si>
  <si>
    <t>09862-20.000.00</t>
  </si>
  <si>
    <t>09863-20.000.00</t>
  </si>
  <si>
    <t>05306-20.000.00</t>
  </si>
  <si>
    <t>05307-20.000.00</t>
  </si>
  <si>
    <t>05308-20.000.00</t>
  </si>
  <si>
    <t>05368-20.000.00</t>
  </si>
  <si>
    <t>09343-20.000.00</t>
  </si>
  <si>
    <t>09344-20.000.00</t>
  </si>
  <si>
    <t>09345-20.000.00</t>
  </si>
  <si>
    <t>09342-20.000.00</t>
  </si>
  <si>
    <t>09830-20.000.00</t>
  </si>
  <si>
    <t>09831-20.000.00</t>
  </si>
  <si>
    <t>09831-34.000.00</t>
  </si>
  <si>
    <t>09832-20.000.00</t>
  </si>
  <si>
    <t>09833-20.000.00</t>
  </si>
  <si>
    <t>09834-20.000.00</t>
  </si>
  <si>
    <t>09836-20.000.00</t>
  </si>
  <si>
    <t>09837-20.000.00</t>
  </si>
  <si>
    <t>09837-55.000.00</t>
  </si>
  <si>
    <t>09838-20.000.00</t>
  </si>
  <si>
    <t>09838-55.000.00</t>
  </si>
  <si>
    <t>09860-20.000.00</t>
  </si>
  <si>
    <t>09860-55.000.00</t>
  </si>
  <si>
    <t>08881-20.000.00</t>
  </si>
  <si>
    <t>08881-55.000.00</t>
  </si>
  <si>
    <t>08867-20.000.00</t>
  </si>
  <si>
    <t>09332-20.000.00</t>
  </si>
  <si>
    <t>09339-20.000.00</t>
  </si>
  <si>
    <t>09340-20.000.00</t>
  </si>
  <si>
    <t>09335-20.000.00</t>
  </si>
  <si>
    <t>09335-55.000.00</t>
  </si>
  <si>
    <t>09360-20.000.00</t>
  </si>
  <si>
    <t>09360-55.000.00</t>
  </si>
  <si>
    <t>09338-20.000.00</t>
  </si>
  <si>
    <t>09338-55.000.00</t>
  </si>
  <si>
    <t>09341-20.000.00</t>
  </si>
  <si>
    <t>09341-55.000.00</t>
  </si>
  <si>
    <t>14800-31.000.00</t>
  </si>
  <si>
    <t>14800-20.000.00</t>
  </si>
  <si>
    <t>14800-55.000.00</t>
  </si>
  <si>
    <t>03565-20.000.00</t>
  </si>
  <si>
    <t>08730-20.000.00</t>
  </si>
  <si>
    <t>08733-29.000.00</t>
  </si>
  <si>
    <t>08733-20.000.00</t>
  </si>
  <si>
    <t>08734-20.000.00</t>
  </si>
  <si>
    <t>08735-29.000.00</t>
  </si>
  <si>
    <t>08735-20.000.00</t>
  </si>
  <si>
    <t>12100-20.000.00</t>
  </si>
  <si>
    <t>08707-20.000.00</t>
  </si>
  <si>
    <t>08754-20.000.00</t>
  </si>
  <si>
    <t>08754-30.000.00</t>
  </si>
  <si>
    <t>08854-20.000.00</t>
  </si>
  <si>
    <t>08855-20.000.00</t>
  </si>
  <si>
    <t>08857-20.000.00</t>
  </si>
  <si>
    <t>08853-30.000.00</t>
  </si>
  <si>
    <t>08904-20.000.00</t>
  </si>
  <si>
    <t>08903-20.000.00</t>
  </si>
  <si>
    <t>08905-20.000.00</t>
  </si>
  <si>
    <t>12203-20.000.00</t>
  </si>
  <si>
    <t>08906-20.000.00</t>
  </si>
  <si>
    <t>08798-20.000.00</t>
  </si>
  <si>
    <t>08702-20.000.00</t>
  </si>
  <si>
    <t>12300-20.000.00</t>
  </si>
  <si>
    <t>12301-20.000.00</t>
  </si>
  <si>
    <t>12302-20.000.00</t>
  </si>
  <si>
    <t>12303-20.000.00</t>
  </si>
  <si>
    <t>12304-20.000.00</t>
  </si>
  <si>
    <t>00391-20.000.00</t>
  </si>
  <si>
    <t>00399-20.000.00</t>
  </si>
  <si>
    <t>00398-20.000.00</t>
  </si>
  <si>
    <t>00393-20.000.00</t>
  </si>
  <si>
    <t>00391-30.000.00</t>
  </si>
  <si>
    <t>00394-20.000.00</t>
  </si>
  <si>
    <t>00394-30.000.00</t>
  </si>
  <si>
    <t>00395-20.000.00</t>
  </si>
  <si>
    <t>08704-20.000.00</t>
  </si>
  <si>
    <t>00359-20.000.00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</si>
  <si>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</si>
  <si>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</si>
  <si>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</si>
  <si>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</si>
  <si>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</si>
  <si>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</si>
  <si>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12006-20.000.00</t>
  </si>
  <si>
    <t>12007-20.000.00</t>
  </si>
  <si>
    <t>12008-20.000.00</t>
  </si>
  <si>
    <t>12009-20.000.00</t>
  </si>
  <si>
    <t>12009-30.000.00</t>
  </si>
  <si>
    <t>08773-20.000.00</t>
  </si>
  <si>
    <t>08710-20.000.00</t>
  </si>
  <si>
    <t>12010-20.000.00</t>
  </si>
  <si>
    <t>12010-30.000.00</t>
  </si>
  <si>
    <t>12000-20.000.00</t>
  </si>
  <si>
    <t>12001-20.000.00</t>
  </si>
  <si>
    <t>00298-20.000.00</t>
  </si>
  <si>
    <t>08742-20.000.00</t>
  </si>
  <si>
    <t>08743-20.000.00</t>
  </si>
  <si>
    <t>08745-20.000.00</t>
  </si>
  <si>
    <t>08737-20.000.00</t>
  </si>
  <si>
    <t>08738-20.000.00</t>
  </si>
  <si>
    <t>08713-48.000.00</t>
  </si>
  <si>
    <t>08714-48.000.00</t>
  </si>
  <si>
    <t>08716-48.000.00</t>
  </si>
  <si>
    <t>08718-30.000.00</t>
  </si>
  <si>
    <t>08718-48.000.00</t>
  </si>
  <si>
    <t>08719-48.000.00</t>
  </si>
  <si>
    <t>08712-20.000.00</t>
  </si>
  <si>
    <t>17201-20.000.00</t>
  </si>
  <si>
    <t>17202-20.000.00</t>
  </si>
  <si>
    <t>17203-20.000.00</t>
  </si>
  <si>
    <t>17204-20.000.00</t>
  </si>
  <si>
    <t>17205-20.000.00</t>
  </si>
  <si>
    <t>17105-20.000.00</t>
  </si>
  <si>
    <t>17106-20.000.00</t>
  </si>
  <si>
    <t>17107-20.000.00</t>
  </si>
  <si>
    <t>17108-20.000.00</t>
  </si>
  <si>
    <t>17109-20.000.00</t>
  </si>
  <si>
    <t>17110-20.000.00</t>
  </si>
  <si>
    <t>17111-20.000.00</t>
  </si>
  <si>
    <t>17112-20.000.00</t>
  </si>
  <si>
    <t>17050-20.000.00</t>
  </si>
  <si>
    <t>17051-20.000.00</t>
  </si>
  <si>
    <t>17000-20.000.00</t>
  </si>
  <si>
    <t>17001-20.000.00</t>
  </si>
  <si>
    <t>17002-20.000.00</t>
  </si>
  <si>
    <t>17010-20.000.00</t>
  </si>
  <si>
    <t>17011-20.000.00</t>
  </si>
  <si>
    <t>17012-20.000.00</t>
  </si>
  <si>
    <t>17013-20.000.00</t>
  </si>
  <si>
    <t>17020-20.000.00</t>
  </si>
  <si>
    <t>08950-20.000.00</t>
  </si>
  <si>
    <t>08951-20.000.00</t>
  </si>
  <si>
    <t>08935-20.000.00</t>
  </si>
  <si>
    <t>08952-20.000.00</t>
  </si>
  <si>
    <t>08915-20.000.00</t>
  </si>
  <si>
    <t>08911-20.000.00</t>
  </si>
  <si>
    <t>08919-20.000.00</t>
  </si>
  <si>
    <t>08921-20.000.00</t>
  </si>
  <si>
    <t>08923-20.000.00</t>
  </si>
  <si>
    <t>08927-20.000.00</t>
  </si>
  <si>
    <t>03607-20.000.00</t>
  </si>
  <si>
    <t>03607-30.000.00</t>
  </si>
  <si>
    <t>08929-20.000.00</t>
  </si>
  <si>
    <t>08955-20.000.00</t>
  </si>
  <si>
    <t>08956-20.000.00</t>
  </si>
  <si>
    <t>08957-20.000.00</t>
  </si>
  <si>
    <t>08958-20.000.00</t>
  </si>
  <si>
    <t>08953-20.000.00</t>
  </si>
  <si>
    <t>03634-20.000.00</t>
  </si>
  <si>
    <t>03651-20.000.00</t>
  </si>
  <si>
    <t>03651-30.000.00</t>
  </si>
  <si>
    <t>03605-20.000.00</t>
  </si>
  <si>
    <t>03608-20.000.00</t>
  </si>
  <si>
    <t>03609-20.000.00</t>
  </si>
  <si>
    <t>03622-20.000.00</t>
  </si>
  <si>
    <t>03622-30.000.00</t>
  </si>
  <si>
    <t>03132-20.000.00</t>
  </si>
  <si>
    <t>03165-20.000.00</t>
  </si>
  <si>
    <t>03166-20.000.00</t>
  </si>
  <si>
    <t>03112-20.000.00</t>
  </si>
  <si>
    <t>03180-20.000.00</t>
  </si>
  <si>
    <t>03189-20.000.00</t>
  </si>
  <si>
    <t>03192-20.000.00</t>
  </si>
  <si>
    <t>03176-20.000.00</t>
  </si>
  <si>
    <t>03179-20.000.00</t>
  </si>
  <si>
    <t>03168-20.000.00</t>
  </si>
  <si>
    <t>03120-20.000.00</t>
  </si>
  <si>
    <t>03196-20.000.00</t>
  </si>
  <si>
    <t>03215-20.000.00</t>
  </si>
  <si>
    <t>03219-20.000.00</t>
  </si>
  <si>
    <t>03024-20.000.00</t>
  </si>
  <si>
    <t>03115-20.000.00</t>
  </si>
  <si>
    <t>03115-30.000.00</t>
  </si>
  <si>
    <t>03108-20.000.00</t>
  </si>
  <si>
    <t>03100-20.000.00</t>
  </si>
  <si>
    <t>03107-20.000.00</t>
  </si>
  <si>
    <t>03103-20.000.00</t>
  </si>
  <si>
    <t>03099-20.000.00</t>
  </si>
  <si>
    <t>03101-20.000.00</t>
  </si>
  <si>
    <t>03381-20.000.00</t>
  </si>
  <si>
    <t>03395-20.000.00</t>
  </si>
  <si>
    <t>03391-20.000.00</t>
  </si>
  <si>
    <t>03022-20.000.00</t>
  </si>
  <si>
    <t>03099-30.000.00</t>
  </si>
  <si>
    <t>03004-20.000.00</t>
  </si>
  <si>
    <t>03723-20.000.00</t>
  </si>
  <si>
    <t>03725-20.000.00</t>
  </si>
  <si>
    <t>17100-20.000.00</t>
  </si>
  <si>
    <t>03728-20.000.00</t>
  </si>
  <si>
    <t>03713-20.000.00</t>
  </si>
  <si>
    <t>03715-20.000.00</t>
  </si>
  <si>
    <t>03734-20.000.00</t>
  </si>
  <si>
    <t>03720-20.000.00</t>
  </si>
  <si>
    <t>03721-20.000.00</t>
  </si>
  <si>
    <t>03719-20.000.00</t>
  </si>
  <si>
    <t>03501-20.000.00</t>
  </si>
  <si>
    <t>03503-20.000.00</t>
  </si>
  <si>
    <t>08974-20.000.00</t>
  </si>
  <si>
    <t>08970-20.000.00</t>
  </si>
  <si>
    <t>08970-30.000.00</t>
  </si>
  <si>
    <t>08966-30.000.00</t>
  </si>
  <si>
    <t>08966-32.000.00</t>
  </si>
  <si>
    <t>08965-30.000.00</t>
  </si>
  <si>
    <t>18424-20.000.00</t>
  </si>
  <si>
    <t>03412-20.000.00</t>
  </si>
  <si>
    <t>03039-20.000.00</t>
  </si>
  <si>
    <t>03487-20.000.00</t>
  </si>
  <si>
    <t>17550-30.000.00</t>
  </si>
  <si>
    <t>17560-30.000.00</t>
  </si>
  <si>
    <t>03240-20.000.00</t>
  </si>
  <si>
    <t>03241-20.000.00</t>
  </si>
  <si>
    <t>03242-20.000.00</t>
  </si>
  <si>
    <t>03243-20.000.00</t>
  </si>
  <si>
    <t>03250-20.000.00</t>
  </si>
  <si>
    <t>03260-20.000.00</t>
  </si>
  <si>
    <t>00505-20.000.00</t>
  </si>
  <si>
    <t>00506-20.000.00</t>
  </si>
  <si>
    <t>00507-20.000.00</t>
  </si>
  <si>
    <t>00508-20.000.00</t>
  </si>
  <si>
    <t>03517-20.000.00</t>
  </si>
  <si>
    <t>03518-20.000.00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</si>
  <si>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</si>
  <si>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</si>
  <si>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</si>
  <si>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</si>
  <si>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</si>
  <si>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</si>
  <si>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03255-20.000.00</t>
  </si>
  <si>
    <t>00431-20.000.00</t>
  </si>
  <si>
    <t>00420-20.000.00</t>
  </si>
  <si>
    <t>00432-20.000.00</t>
  </si>
  <si>
    <t>00432-30.000.00</t>
  </si>
  <si>
    <t>00436-20.000.00</t>
  </si>
  <si>
    <t>11102-20.000.00</t>
  </si>
  <si>
    <t>00804-20.000.00</t>
  </si>
  <si>
    <t>11110-20.000.00</t>
  </si>
  <si>
    <t>11110-30.000.00</t>
  </si>
  <si>
    <t>00805-20.000.00</t>
  </si>
  <si>
    <t>11112-20.000.00</t>
  </si>
  <si>
    <t>00806-20.000.00</t>
  </si>
  <si>
    <t>11114-20.000.00</t>
  </si>
  <si>
    <t>00814-20.000.00</t>
  </si>
  <si>
    <t>00814-30.000.00</t>
  </si>
  <si>
    <t>11120-20.000.00</t>
  </si>
  <si>
    <t>11120-30.000.00</t>
  </si>
  <si>
    <t>00822-20.000.00</t>
  </si>
  <si>
    <t>11130-20.000.00</t>
  </si>
  <si>
    <t>00823-20.000.00</t>
  </si>
  <si>
    <t>11130-30.000.00</t>
  </si>
  <si>
    <t>00824-26.000.00</t>
  </si>
  <si>
    <t>11132-30.000.00</t>
  </si>
  <si>
    <t>11134-30.000.00</t>
  </si>
  <si>
    <t>00867-20.000.00</t>
  </si>
  <si>
    <t>00869-20.000.00</t>
  </si>
  <si>
    <t>11138-20.000.00</t>
  </si>
  <si>
    <t>11136-20.000.00</t>
  </si>
  <si>
    <t>00884-20.000.00</t>
  </si>
  <si>
    <t>11140-20.000.00</t>
  </si>
  <si>
    <t>11142-20.000.00</t>
  </si>
  <si>
    <t>00894-20.000.00</t>
  </si>
  <si>
    <t>11150-20.000.00</t>
  </si>
  <si>
    <t>00899-20.000.00</t>
  </si>
  <si>
    <t>11154-20.000.00</t>
  </si>
  <si>
    <t>00897-20.000.00</t>
  </si>
  <si>
    <t>11152-20.000.00</t>
  </si>
  <si>
    <t>11156-20.000.00</t>
  </si>
  <si>
    <t>00203-32.000.00</t>
  </si>
  <si>
    <t>11500-20.000.00</t>
  </si>
  <si>
    <t>11501-20.000.00</t>
  </si>
  <si>
    <t>11502-20.000.00</t>
  </si>
  <si>
    <t>00205-32.000.00</t>
  </si>
  <si>
    <t>00206-32.000.00</t>
  </si>
  <si>
    <t>11510-20.000.00</t>
  </si>
  <si>
    <t>11511-20.000.00</t>
  </si>
  <si>
    <t>11512-20.000.00</t>
  </si>
  <si>
    <t>11513-20.000.00</t>
  </si>
  <si>
    <t>00215-32.000.00</t>
  </si>
  <si>
    <t>11520-20.000.00</t>
  </si>
  <si>
    <t>11521-20.000.00</t>
  </si>
  <si>
    <t>11522-20.000.00</t>
  </si>
  <si>
    <t>00216-32.000.00</t>
  </si>
  <si>
    <t>11530-20.000.00</t>
  </si>
  <si>
    <t>11531-20.000.00</t>
  </si>
  <si>
    <t>11540-20.000.00</t>
  </si>
  <si>
    <t>11541-20.000.00</t>
  </si>
  <si>
    <t>04011-20.000.00</t>
  </si>
  <si>
    <t>04064-20.000.00</t>
  </si>
  <si>
    <t>02906-29.000.00</t>
  </si>
  <si>
    <t>08166-20.000.00</t>
  </si>
  <si>
    <t>08168-20.000.00</t>
  </si>
  <si>
    <t>08169-20.000.00</t>
  </si>
  <si>
    <t>18209-20.000.00</t>
  </si>
  <si>
    <t>18214-50.000.00</t>
  </si>
  <si>
    <t>18295-34.000.00</t>
  </si>
  <si>
    <t>18002-20.000.00</t>
  </si>
  <si>
    <t>18008-20.000.00</t>
  </si>
  <si>
    <t>18030-20.000.00</t>
  </si>
  <si>
    <t>18036-20.000.00</t>
  </si>
  <si>
    <t>18045-26.000.00</t>
  </si>
  <si>
    <t>18049-22.000.00</t>
  </si>
  <si>
    <t>18049-26.000.00</t>
  </si>
  <si>
    <t>18066-20.000.00</t>
  </si>
  <si>
    <t>18429-20.000.00</t>
  </si>
  <si>
    <t>08026-32.000.00</t>
  </si>
  <si>
    <t>00961-20.000.00</t>
  </si>
  <si>
    <t>08101-20.000.00</t>
  </si>
  <si>
    <t>18313-20.000.00</t>
  </si>
  <si>
    <t>01153-20.000.00</t>
  </si>
  <si>
    <t>01276-27.000.00</t>
  </si>
  <si>
    <t>01277-27.000.00</t>
  </si>
  <si>
    <t>01519-29.000.00</t>
  </si>
  <si>
    <t>01591-23.000.00</t>
  </si>
  <si>
    <t>01591-29.000.00</t>
  </si>
  <si>
    <t>01322-29.000.00</t>
  </si>
  <si>
    <t>01343-26.000.00</t>
  </si>
  <si>
    <t>13000-32.000.00</t>
  </si>
  <si>
    <t>01777-20.000.00</t>
  </si>
  <si>
    <t>01790-20.000.00</t>
  </si>
  <si>
    <t>03234-20.000.00</t>
  </si>
  <si>
    <t>04208-20.000.00</t>
  </si>
  <si>
    <t>04022-40.000.00</t>
  </si>
  <si>
    <t>09807-27.000.00</t>
  </si>
  <si>
    <t>08885-20.000.00</t>
  </si>
  <si>
    <t>08894-40.000.00</t>
  </si>
  <si>
    <t>09852-29.000.00</t>
  </si>
  <si>
    <t>02100-20.000.00</t>
  </si>
  <si>
    <t>new</t>
  </si>
  <si>
    <t>08167-20.000.00</t>
  </si>
  <si>
    <t>02942-29.000.00</t>
  </si>
  <si>
    <t>02943-29.000.00</t>
  </si>
  <si>
    <t>02976-29.000.00</t>
  </si>
  <si>
    <t>02977-29.000.00</t>
  </si>
  <si>
    <t>02921-29.000.00</t>
  </si>
  <si>
    <t>02934-29.000.00</t>
  </si>
  <si>
    <t>18299-26 only for 2018</t>
  </si>
  <si>
    <t>18297-20.000.00</t>
  </si>
  <si>
    <t>новинка 2019</t>
  </si>
  <si>
    <t>18305-33.000.00</t>
  </si>
  <si>
    <t>08116-20.000.00</t>
  </si>
  <si>
    <t>08122-22.000.00</t>
  </si>
  <si>
    <t>18315-32.000.00</t>
  </si>
  <si>
    <t>нет</t>
  </si>
  <si>
    <t>08011-20.000.00</t>
  </si>
  <si>
    <t>02692-20.000.00</t>
  </si>
  <si>
    <t>08013-20.000.00</t>
  </si>
  <si>
    <t>08000-20.000.00</t>
  </si>
  <si>
    <t>08001-20.000.00</t>
  </si>
  <si>
    <t>08003-20.000.00</t>
  </si>
  <si>
    <t>08006-20.000.00</t>
  </si>
  <si>
    <t>2672-20</t>
  </si>
  <si>
    <t>02681-20.000.00</t>
  </si>
  <si>
    <t>2671-20</t>
  </si>
  <si>
    <t>8022-20</t>
  </si>
  <si>
    <t>18402-20</t>
  </si>
  <si>
    <t>8023-20</t>
  </si>
  <si>
    <t>8026-20</t>
  </si>
  <si>
    <t>8026-32</t>
  </si>
  <si>
    <t>8024-20</t>
  </si>
  <si>
    <t>8024-32</t>
  </si>
  <si>
    <t>новинка 2020</t>
  </si>
  <si>
    <t>обновление модели</t>
  </si>
  <si>
    <t>01661-20</t>
  </si>
  <si>
    <t>01780-20</t>
  </si>
  <si>
    <t>01783-20</t>
  </si>
  <si>
    <t>01665-20</t>
  </si>
  <si>
    <t>01795-20</t>
  </si>
  <si>
    <t>01785-20</t>
  </si>
  <si>
    <t>01799-20
01797-20</t>
  </si>
  <si>
    <t>01802-20</t>
  </si>
  <si>
    <t>01787-20</t>
  </si>
  <si>
    <t>01411-29.000.00</t>
  </si>
  <si>
    <t>01398-20.000.00</t>
  </si>
  <si>
    <t>01346-29.000.00</t>
  </si>
  <si>
    <t>01348-29.000.00</t>
  </si>
  <si>
    <t>01327-29.000.00</t>
  </si>
  <si>
    <t>08328-29.000.00</t>
  </si>
  <si>
    <t>08327-29.000.00</t>
  </si>
  <si>
    <t>08333-29.000.00</t>
  </si>
  <si>
    <t>01377-29.000.00</t>
  </si>
  <si>
    <t>01559-27.000.00</t>
  </si>
  <si>
    <t>01510-27.000.00</t>
  </si>
  <si>
    <t>01169-29.000.00</t>
  </si>
  <si>
    <t>1881, 1882</t>
  </si>
  <si>
    <t>1883, 1884</t>
  </si>
  <si>
    <t>1885, 1862</t>
  </si>
  <si>
    <t>-</t>
  </si>
  <si>
    <t>1188-20</t>
  </si>
  <si>
    <t>1186-20</t>
  </si>
  <si>
    <t>01242-29.000.00</t>
  </si>
  <si>
    <t>1242-27
1250-29
1251-29</t>
  </si>
  <si>
    <t>04007-60.000.00</t>
  </si>
  <si>
    <t>04073-20.000.00</t>
  </si>
  <si>
    <t>04074-20.000.00</t>
  </si>
  <si>
    <t>04075-20.000.00</t>
  </si>
  <si>
    <t>04076-20.000.00</t>
  </si>
  <si>
    <t>new 2018</t>
  </si>
  <si>
    <t>new - запчасть 09825-00.620.00</t>
  </si>
  <si>
    <t>new - запчасть 09845-00.701.00</t>
  </si>
  <si>
    <t>08845-20.000.00</t>
  </si>
  <si>
    <t>8846-xx (all variants)</t>
  </si>
  <si>
    <t>8847-xx (all variants)</t>
  </si>
  <si>
    <t>8887</t>
  </si>
  <si>
    <t>08890-20.000.00</t>
  </si>
  <si>
    <t>8893</t>
  </si>
  <si>
    <t>8897</t>
  </si>
  <si>
    <t>8894-40</t>
  </si>
  <si>
    <t>08899-20.000.00</t>
  </si>
  <si>
    <t>08870-20.000.00</t>
  </si>
  <si>
    <t>08871-20.000.00</t>
  </si>
  <si>
    <t>09831-33.000.00</t>
  </si>
  <si>
    <t>08877-20.000.00</t>
  </si>
  <si>
    <t>08877-55.000.00</t>
  </si>
  <si>
    <t>08740-20.000.00</t>
  </si>
  <si>
    <t>08755-20.000.00</t>
  </si>
  <si>
    <t>08785-20.000.00</t>
  </si>
  <si>
    <t>08787-20.000.00</t>
  </si>
  <si>
    <t>08790-20.000.00</t>
  </si>
  <si>
    <t>new 2021</t>
  </si>
  <si>
    <t>08792-20.000.00</t>
  </si>
  <si>
    <t>08701-20.000.00</t>
  </si>
  <si>
    <t>00391-20.000.00; 00398-20.000.00</t>
  </si>
  <si>
    <t>900842401</t>
  </si>
  <si>
    <t>08776-20.000.00</t>
  </si>
  <si>
    <t>08775-20.000.00</t>
  </si>
  <si>
    <t>08774-20.000.00</t>
  </si>
  <si>
    <t>08777-20.000.00</t>
  </si>
  <si>
    <t>08778-20.000.00</t>
  </si>
  <si>
    <t>08779-20.000.00</t>
  </si>
  <si>
    <t>08713-20.000.00</t>
  </si>
  <si>
    <t>08714-20.000.00</t>
  </si>
  <si>
    <t>08716-20.000.00</t>
  </si>
  <si>
    <t>08718-20.000.00</t>
  </si>
  <si>
    <t>08719-20.000.00</t>
  </si>
  <si>
    <t>08936-20.000.00</t>
  </si>
  <si>
    <t>08937-20.000.00</t>
  </si>
  <si>
    <t>08932-20.000.00</t>
  </si>
  <si>
    <t>08938-20.000.00</t>
  </si>
  <si>
    <t>08914-20.000.00</t>
  </si>
  <si>
    <t>08910-20.000.00</t>
  </si>
  <si>
    <t>08918-20.000.00</t>
  </si>
  <si>
    <t>08920-20.000.00</t>
  </si>
  <si>
    <t>08924-20.000.00</t>
  </si>
  <si>
    <t>08928-20.000.00</t>
  </si>
  <si>
    <t>08931-20.000.00</t>
  </si>
  <si>
    <t>3110-30</t>
  </si>
  <si>
    <t>3633-20</t>
  </si>
  <si>
    <t>3650-20</t>
  </si>
  <si>
    <t>03610-20.000.00</t>
  </si>
  <si>
    <t>03621-20.000.00</t>
  </si>
  <si>
    <t>03110-20.000.00</t>
  </si>
  <si>
    <t>03110-30.000.00</t>
  </si>
  <si>
    <t>03104-20.000.00</t>
  </si>
  <si>
    <t>00430-29.000.00</t>
  </si>
  <si>
    <t>00433-20.000.00</t>
  </si>
  <si>
    <t>00203-20.000.00</t>
  </si>
  <si>
    <t>00205-20.000.00</t>
  </si>
  <si>
    <t>00206-20.000.00</t>
  </si>
  <si>
    <t>00215-20.000.00</t>
  </si>
  <si>
    <t>00216-20.000.00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</si>
  <si>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</si>
  <si>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</si>
  <si>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</si>
  <si>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</si>
  <si>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</si>
  <si>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Штуцер резьбовой Premium 33.3 мм (G 1")</t>
  </si>
  <si>
    <t xml:space="preserve">Штуцер шарнирный 1/2"-1" </t>
  </si>
  <si>
    <t xml:space="preserve">Штуцер шарнирный 3/4"-1" </t>
  </si>
  <si>
    <t xml:space="preserve">Штуцер без резьбы 3/4" </t>
  </si>
  <si>
    <t>Штуцер без резьбы с аэратором</t>
  </si>
  <si>
    <t>Штуцер без резьбы для бытовых кранов</t>
  </si>
  <si>
    <t>Распределитель 2-х канальный 3/4"</t>
  </si>
  <si>
    <t>Распределитель 2-х канальный 1"</t>
  </si>
  <si>
    <t>Распределитель 2-х канальный</t>
  </si>
  <si>
    <t>Распределитель 4-х канальный</t>
  </si>
  <si>
    <t>Счетчик воды</t>
  </si>
  <si>
    <t>Коннектор стандартный 1/2"</t>
  </si>
  <si>
    <t>Коннектор стандартный 3/4"</t>
  </si>
  <si>
    <t>Коннектор Premium 1/2" - 5/8"</t>
  </si>
  <si>
    <t>Коннектор Premium 3/4"</t>
  </si>
  <si>
    <t>Коннектор с автостопом 1/2"</t>
  </si>
  <si>
    <t>Коннектор с автостопом 3/4"</t>
  </si>
  <si>
    <t>Коннектор с автостопом Premium 1/2" - 5/8"</t>
  </si>
  <si>
    <t>Коннектор с автостопом Premium 3/4"</t>
  </si>
  <si>
    <t>Коннектор с регулятором 1/2"</t>
  </si>
  <si>
    <t>Коннектор с регулятором 3/4"</t>
  </si>
  <si>
    <t xml:space="preserve">Клапан регулирующий 1/2" </t>
  </si>
  <si>
    <t xml:space="preserve">Клапан регулирующий </t>
  </si>
  <si>
    <t xml:space="preserve">Адаптер 3/4" </t>
  </si>
  <si>
    <t xml:space="preserve">Муфта ремонтная 1/2" </t>
  </si>
  <si>
    <t xml:space="preserve">Муфта ремонтная 3/4" </t>
  </si>
  <si>
    <t>Переходник</t>
  </si>
  <si>
    <t>Тройник</t>
  </si>
  <si>
    <t>Комплект коннекторов</t>
  </si>
  <si>
    <t>Hose Connector / Water Stop Set</t>
  </si>
  <si>
    <t>Комплект для полива (арт. 18202/5305, 18215, 18213, 18311) - 50 лет базовой системе полива GARDENA, (Дисплей 1/4 паллеты с постером)</t>
  </si>
  <si>
    <t>Комплект базовый</t>
  </si>
  <si>
    <t>Basic Cleaning Set Offer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</si>
  <si>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</si>
  <si>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 xml:space="preserve">Штуцер «Профи» 3/4" </t>
  </si>
  <si>
    <t xml:space="preserve">Штуцер «Профи» 1" </t>
  </si>
  <si>
    <t xml:space="preserve">Коннектор «Профи» </t>
  </si>
  <si>
    <t>Коннектор с регулятором «Профи»</t>
  </si>
  <si>
    <t>Коннектор с автостопом «Профи»</t>
  </si>
  <si>
    <t xml:space="preserve">Переходник «Профи» </t>
  </si>
  <si>
    <t>Переходник понижающий «Профи»</t>
  </si>
  <si>
    <t>Тройник «Профи» 3/4"</t>
  </si>
  <si>
    <t xml:space="preserve">Тройник «Профи» </t>
  </si>
  <si>
    <t>Переходник Т-образный «Профи»</t>
  </si>
  <si>
    <t>Адаптер универсальный «Профи» 3/4"</t>
  </si>
  <si>
    <t xml:space="preserve">Наконечник «Профи» </t>
  </si>
  <si>
    <t>Наконечник для полива Classic</t>
  </si>
  <si>
    <t>Наконечник-распылитель для полива Classic</t>
  </si>
  <si>
    <t>Пистолет-наконечник балконный "Домашнее садоводство"</t>
  </si>
  <si>
    <t>Пистолет-наконечник для полива Comfort ecoPulse</t>
  </si>
  <si>
    <t>Пистолет-наконечник для полива Comfort ecoPulse (Дисплей)</t>
  </si>
  <si>
    <t>Пистолет-наконечник для полива Classic</t>
  </si>
  <si>
    <t>Пистолет-наконечник для полива Comfort</t>
  </si>
  <si>
    <t>Пистолет-наконечник для полива Comfort (Дисплей)</t>
  </si>
  <si>
    <t>Пистолет-наконечник для полива Premium</t>
  </si>
  <si>
    <t>Комплект: Пистолет-наконечник для полива Premium + Коннектор с автостопом Premium</t>
  </si>
  <si>
    <t>Пистолет-распылитель для полива Classic</t>
  </si>
  <si>
    <t>Комплект: Пистолет-распылитель для полива + Коннектор с автостопом 1/2 (Дисплей)</t>
  </si>
  <si>
    <t>Комплект: Пистолет-наконечник для полива Classic + Коннектор стандартный 1/2" (Дисплей)</t>
  </si>
  <si>
    <t>Комплект: Пистолет-распылитель для полива Classic + Коннектор с автостопом (Дисплей)</t>
  </si>
  <si>
    <t>Пистолет-распылитель для полива Classic (Дисплей)</t>
  </si>
  <si>
    <t>Пистолет-распылитель для полива многофункциональный Comfort</t>
  </si>
  <si>
    <t>Пистолет для полива многофункциональный Classic</t>
  </si>
  <si>
    <t>Комплект: Пистолет для полива многофункциональный Classic + Коннектор стандартный 1/2"</t>
  </si>
  <si>
    <t>Пистолет-распылитель для полива многофункциональный Comfort (Дисплей)</t>
  </si>
  <si>
    <t>Пистолет-распылитель для полива многофункциональный Premium</t>
  </si>
  <si>
    <t>Штанга-распылитель для полива Classic</t>
  </si>
  <si>
    <t>Штанга-распылитель для полива Classic (Дисплей)</t>
  </si>
  <si>
    <t>Штанга-распылитель для полива многофункциональная Comfort</t>
  </si>
  <si>
    <t>Штанга-распылитель для полива Premium</t>
  </si>
  <si>
    <t>Дождеватель круговой Foxtrott Classic</t>
  </si>
  <si>
    <t>Дождеватель круговой шестипозиционный Boogie Classic</t>
  </si>
  <si>
    <t>Дождеватель круговой Мambo Comfort</t>
  </si>
  <si>
    <t>Дождеватель круговой Vario Comfort</t>
  </si>
  <si>
    <t>Дождеватель круговой секторный Tango Comfort</t>
  </si>
  <si>
    <t>Дождеватель круговой Pyramid</t>
  </si>
  <si>
    <t>Дождеватель осциллирующий Polo Classic Canadian (Дисплей)</t>
  </si>
  <si>
    <t>Дождеватель осциллирующий Aqua S Promo (Дисплей 60 шт.)</t>
  </si>
  <si>
    <t xml:space="preserve">Дождеватель осциллирующий Polo Classic 220 </t>
  </si>
  <si>
    <t>Дождеватель осциллирующий Aqua S (Упаковка 10 шт.)</t>
  </si>
  <si>
    <t>Дождеватель осциллирующий Aqua S (Упаковка 30 шт.)</t>
  </si>
  <si>
    <t>Комплект: Дождеватель осциллирующий Aqua S + Таймер подачи воды 1169-20  Promo Display (Дисплей 1/4 паллеты 16 шт.)</t>
  </si>
  <si>
    <t xml:space="preserve">Дождеватель осциллирующий Polo Classic 250 </t>
  </si>
  <si>
    <t>Дождеватель осциллирующий Aqua M (упаковка 5 шт.)</t>
  </si>
  <si>
    <t>Дождеватель осциллирующий Aqua L (упаковка 5 шт.)</t>
  </si>
  <si>
    <t>Дождеватель осциллирующий ZoomMaxx</t>
  </si>
  <si>
    <t>Дождеватель осциллирующий AquaZoom compact (упаковка 5 шт.)</t>
  </si>
  <si>
    <t>Дождеватель осциллирующий AquaZoom compact (Дисплей 16 шт.)</t>
  </si>
  <si>
    <t>Дождеватель осциллирующий AquaZoom S</t>
  </si>
  <si>
    <t>Дождеватель осциллирующий AquaZoom S (Дисплей)</t>
  </si>
  <si>
    <t>Дождеватель осциллирующий AquaZoom M (упаковка 4 шт.)</t>
  </si>
  <si>
    <t>Дождеватель осциллирующий AquaZoom M (Дисплей 16 шт.)</t>
  </si>
  <si>
    <t>Дождеватель осциллирующий AquaZoom L (упаковка 4 шт.)</t>
  </si>
  <si>
    <t>Дождеватель осциллирующий Aquazoom Comfort 250/1</t>
  </si>
  <si>
    <t>Дождеватель осциллирующий Aquazoom Comfort 250/2</t>
  </si>
  <si>
    <t>Дождеватель осциллирующий Aquazoom Comfort 350/2</t>
  </si>
  <si>
    <t>Дождеватель осциллирующий Aquazoom Comfort 350/3</t>
  </si>
  <si>
    <t>Дождеватель импульсный Comfort</t>
  </si>
  <si>
    <t>Дождеватель импульсный на подставке Premium</t>
  </si>
  <si>
    <t>Дождеватель импульсный на колышке Premium</t>
  </si>
  <si>
    <t>Турбодождеватель Comfort</t>
  </si>
  <si>
    <t>Дождеватель многоконтурный автоматический AquaContour automatic Comfort</t>
  </si>
  <si>
    <t>Шланг-дождеватель зеленый 7,5м</t>
  </si>
  <si>
    <t>Шланг-дождеватель зеленый 15м</t>
  </si>
  <si>
    <t xml:space="preserve">Шланг сочащийся 7,5 м </t>
  </si>
  <si>
    <t xml:space="preserve">Шланг сочащийся 15 м </t>
  </si>
  <si>
    <t>Шланг сочащийся (в бухте 100 м)</t>
  </si>
  <si>
    <t>Комплект фиттингов для сочащегося шланга</t>
  </si>
  <si>
    <t>Комплект фиттингов для шланга-дождевателя</t>
  </si>
  <si>
    <t>Тележка для шланга AquaRoll S</t>
  </si>
  <si>
    <t>Тележка для шланга AquaRoll S со шлангом Classic, 20 м  (13 мм (1/2") и комплектом для полива (1x 18202/0924, 1x 18200, 3x 18215, 1x 18213, 1x 18300)</t>
  </si>
  <si>
    <t>Тележка для шланга AquaRoll S с комплектом для полива (1x 18202/0924, 1x 18215, 1x 18213, 1x 18311)</t>
  </si>
  <si>
    <t>Тележка для шланга AquaRoll M</t>
  </si>
  <si>
    <t>Тележка для шланга AquaRoll M со шлангом Classic, 20 м (13 мм (1/2") и комплектом для полива (1x 18202/0924, 1x 18200, 3x 18215, 1x 18213, 1x 18300)</t>
  </si>
  <si>
    <t>Тележка для шланга AquaRoll M Easy</t>
  </si>
  <si>
    <t>Тележка для шланга AquaRoll L ErgoPlus с рукояткой из мягкого пластика и направляющей для шланга</t>
  </si>
  <si>
    <t xml:space="preserve">Тележка для шлангов металлическая AquaRoll M  with foldable plastic crank handle, w/o soft grip, </t>
  </si>
  <si>
    <t>Тележка для шлангов металлическая AquaRoll M  with foldable metal plastic crank handle, with soft grip, fully assembled, w/o hose</t>
  </si>
  <si>
    <t>Тележка для шлангов металлическая AquaRoll M с комплектом для полива  with foldable plastic crank handle, w/o soft grip, fully assembled, with 20m Classic hose and OGS parts</t>
  </si>
  <si>
    <t>Тележка для шлангов металлическая AquaRoll M Easy с комплектом для полива  with foldable metal crank handle, with soft grip, with hose guide, fully assembled, with 25m FLEX hose and OGS parts</t>
  </si>
  <si>
    <t>Тележка для шлангов металлическая AquaRoll L Easy с комплектом для полива  with foldable metal crank handle, with soft grip, with hose guide, fully assembled, w/o hose</t>
  </si>
  <si>
    <t>Тележка для шланга металлическая 100</t>
  </si>
  <si>
    <t>Катушка Classic 50 со шлангом и комплектом фитингов для подключения</t>
  </si>
  <si>
    <t>Катушка Classic 10 со шлангом и комплектом фитингов для подключения</t>
  </si>
  <si>
    <t>Катушка для шланга Classic 50</t>
  </si>
  <si>
    <t>Катушка со шлангом настенная автоматическая "Домашнее садоводство", 15 м</t>
  </si>
  <si>
    <t>Катушка со шлангом настенная автоматическая RollUp S (голубой цвет)</t>
  </si>
  <si>
    <t>Катушка со шлангом настенная автоматическая RollUp S (белый цвет)</t>
  </si>
  <si>
    <t>Катушка со шлангом напольная автоматическая RollUp S (голубой цвет)</t>
  </si>
  <si>
    <t>Катушка со шлангом напольная автоматическая RollUp S (белый цвет)</t>
  </si>
  <si>
    <t>Катушка со шлангом настенная автоматическая RollUp M (голубой цвет)</t>
  </si>
  <si>
    <t>Катушка со шлангом настенная автоматическая RollUp M (белый цвет)</t>
  </si>
  <si>
    <t>Катушка со шлангом напольная автоматическая RollUp M (голубой цвет)</t>
  </si>
  <si>
    <t>Катушка со шлангом напольная автоматическая RollUp M (белый цвет)</t>
  </si>
  <si>
    <t>Катушка со шлангом настенная автоматическая Comfort 25</t>
  </si>
  <si>
    <t>Катушка со шлангом настенная автоматическая RollUp M/L (голубой цвет)</t>
  </si>
  <si>
    <t>Катушка со шлангом настенная автоматическая RollUp M/L (белый цвет)</t>
  </si>
  <si>
    <t>Катушка со шлангом настенная автоматическая, 30 м (голубая) с комплектом для полива (1x 18200, 1x 18201, 1x 18202, 1x 18215, 1x 18213, 1x 18300)</t>
  </si>
  <si>
    <t>Катушка со шлангом настенная автоматическая RollUp L (голубой цвет)</t>
  </si>
  <si>
    <t>Катушка со шлангом настенная автоматическая RollUp L (белый цвет)</t>
  </si>
  <si>
    <t>Катушка со шлангом настенная автоматическая Comfort 35</t>
  </si>
  <si>
    <t>Катушка со шлангом настенная автоматическая RollUp XL (голубой цвет)</t>
  </si>
  <si>
    <t>Катушка со шлангом настенная автоматическая RollUp XL (белый цвет)</t>
  </si>
  <si>
    <t>Кронштейн настенный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</si>
  <si>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</si>
  <si>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</si>
  <si>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</si>
  <si>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</si>
  <si>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</si>
  <si>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</si>
  <si>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Шланг Basic, 13 мм (1/2"), 20 м</t>
  </si>
  <si>
    <t>Шланг Basic, 19 мм (1/2"), 25 м</t>
  </si>
  <si>
    <t>Шланг Basic, 19 мм (3/4"), 20 м</t>
  </si>
  <si>
    <t>Шланг Basic, 19 мм (3/4"), 25 м</t>
  </si>
  <si>
    <t>Шланг Basic, 19 мм (3/4"), 50 м</t>
  </si>
  <si>
    <t xml:space="preserve">Шланг Classic 13 мм (1/2"), 20 м </t>
  </si>
  <si>
    <t xml:space="preserve">Шланг Classic 19 мм (3/4"), 25 м </t>
  </si>
  <si>
    <t xml:space="preserve">Шланг Classic 13 мм (1/2"), 18 м </t>
  </si>
  <si>
    <t>Шланг Classic 13 мм (1/2"), 20 м: комплект</t>
  </si>
  <si>
    <t xml:space="preserve">Шланг Classic 13 мм (1/2"), 50 м </t>
  </si>
  <si>
    <t xml:space="preserve">Шланг Classic 19 мм (3/4"), 20 м </t>
  </si>
  <si>
    <t xml:space="preserve">Шланг Classic 19 мм (3/4"), 50 м </t>
  </si>
  <si>
    <t>Шланг FLEX 25 мм (1"), 25 м в бухте</t>
  </si>
  <si>
    <t>Шланг FLEX 13 мм (1/2"), 50 м в бухте</t>
  </si>
  <si>
    <t>Шланг FLEX 13 мм (1/2"), 20 м</t>
  </si>
  <si>
    <t>Шланг FLEX 13 мм (1/2"), 20 м, с фитингами</t>
  </si>
  <si>
    <t>Шланг FLEX 13 мм (1/2"), 50 м</t>
  </si>
  <si>
    <t>Шланг FLEX 19 мм (3/4"), 50 м в бухте</t>
  </si>
  <si>
    <t>Шланг FLEX 19 мм (3/4"), 25 м</t>
  </si>
  <si>
    <t>Шланг FLEX 19 мм (3/4"), 50 м</t>
  </si>
  <si>
    <t>Шланг HighFLEX 13 мм (1/2"), 50 м в бухте</t>
  </si>
  <si>
    <t>Шланг HighFLEX 13 мм (1/2"), 20 м</t>
  </si>
  <si>
    <t>Шланг HighFLEX 13 мм (1/2"), 50 м</t>
  </si>
  <si>
    <t>Шланг SuperFLEX 13 мм (1/2"), 20 м</t>
  </si>
  <si>
    <t>Шланг SuperFLEX 13 мм (1/2"), 50 м</t>
  </si>
  <si>
    <t>Шланг резиновый Premium 13 мм  (1/2"), 50 м в бухте</t>
  </si>
  <si>
    <t>Шланг HighFLEX 19 мм (3/4"), 50 м в бухте</t>
  </si>
  <si>
    <t>Шланг HighFLEX 19 мм (3/4"), 25 м</t>
  </si>
  <si>
    <t>Шланг HighFLEX 19 мм (3/4"), 50 м</t>
  </si>
  <si>
    <t>Шланг SuperFLEX 19 мм (3/4"), 25 м</t>
  </si>
  <si>
    <t>Шланг резиновый Premium 19 мм (3/4"), 50 м в бухте</t>
  </si>
  <si>
    <t>Шланг FLEX 32 мм (5/4"), 25 м в бухте</t>
  </si>
  <si>
    <t>Комплект соединительный Classic 13 мм (1/2"), 1.5 м</t>
  </si>
  <si>
    <t>Комплект соединительный Comfort FLEX 13 мм (1/2″), 1.5 м</t>
  </si>
  <si>
    <t>Кронштейн настенный со шлангом Classic</t>
  </si>
  <si>
    <t>Комплект для подключения к вибрационному насосу</t>
  </si>
  <si>
    <t>Насос садовый 3000/4 Classic</t>
  </si>
  <si>
    <t>Насос садовый 3000/4 Classic с комплектом для подключения</t>
  </si>
  <si>
    <t>Насос садовый 3500/4 Classic</t>
  </si>
  <si>
    <t>Насос садовый 3000/4</t>
  </si>
  <si>
    <t>Насос садовый 3000/4 с комплектом для полива</t>
  </si>
  <si>
    <t>Насос садовый 3600/4</t>
  </si>
  <si>
    <t>Насос садовый 4000/5</t>
  </si>
  <si>
    <t>Насос садовый 5000/5</t>
  </si>
  <si>
    <t>Насос садовый 6000/6 inox</t>
  </si>
  <si>
    <t>Насос для резервуаров с дождевой водой 4000/2 Classic</t>
  </si>
  <si>
    <t>Насос для резервуаров с дождевой водой 4000/2 Comfort автоматический</t>
  </si>
  <si>
    <t>Насос для резервуаров с дождевой водой 4000/1</t>
  </si>
  <si>
    <t>Насос для резервуаров с дождевой водой 4700/2 inox</t>
  </si>
  <si>
    <t>Насос для резервуаров с дождевой водой 4700/2 inox auto</t>
  </si>
  <si>
    <t>Насос погружной высокого давления 5500/3 Classic</t>
  </si>
  <si>
    <t>Насос погружной высокого давления 4700/2</t>
  </si>
  <si>
    <t>Насос погружной высокого давления 5900/4 inox</t>
  </si>
  <si>
    <t>Насос погружной высокого давления 5900/4 inox auto</t>
  </si>
  <si>
    <t>Насос погружной высокого давления 6100/5 inox auto</t>
  </si>
  <si>
    <t>Насос для скважин 5500/5 inox</t>
  </si>
  <si>
    <t>Насос для скважин 6000/5 inox</t>
  </si>
  <si>
    <t>Насос погружной высокого давления 6000/5 автоматический</t>
  </si>
  <si>
    <t>Станция бытового водоснабжения автоматическая 3000/4 Classic</t>
  </si>
  <si>
    <t>Станция бытового водоснабжения автоматическая 3000/4</t>
  </si>
  <si>
    <t>Станция бытового водоснабжения автоматическая 3600/4</t>
  </si>
  <si>
    <t>Станция бытового водоснабжения автоматическая 3000/4 Eco</t>
  </si>
  <si>
    <t>Станция бытового водоснабжения автоматическая 4000/5 Eco</t>
  </si>
  <si>
    <t>Станция бытового водоснабжения автоматическая 5000/5 Eco</t>
  </si>
  <si>
    <t>Станция бытового водоснабжения автоматическая 5000/5 Eco inox</t>
  </si>
  <si>
    <t>Насос напорный автоматический 3500/4</t>
  </si>
  <si>
    <t>Насос напорный автоматический 4000/5</t>
  </si>
  <si>
    <t>Насос напорный автоматический 5000/5 LCD</t>
  </si>
  <si>
    <t>Насос напорный автоматический 6000/6 LCD inox</t>
  </si>
  <si>
    <t>Насос дренажный для чистой воды 8200</t>
  </si>
  <si>
    <t>Насос дренажный для чистой воды 8000</t>
  </si>
  <si>
    <t>Насос дренажный для чистой воды 7000/C</t>
  </si>
  <si>
    <t>Насос дренажный для чистой воды 8600</t>
  </si>
  <si>
    <t>Насос дренажный для чистой воды 7000 SL</t>
  </si>
  <si>
    <t>Насос дренажный для чистой воды 11000</t>
  </si>
  <si>
    <t>Насос дренажный для чистой воды 11000 Aquasensor</t>
  </si>
  <si>
    <t>Насос дренажный для чистой воды 13000 Aquasensor</t>
  </si>
  <si>
    <t>Насос дренажный для чистой воды 21000 inox</t>
  </si>
  <si>
    <t>Насос дренажный для грязной воды 8800</t>
  </si>
  <si>
    <t>Насос дренажный для грязной воды 8500</t>
  </si>
  <si>
    <t>Насос дренажный для грязной воды 9300</t>
  </si>
  <si>
    <t>Насос дренажный для грязной воды 7000/D</t>
  </si>
  <si>
    <t>Насос дренажный для грязной воды 7500</t>
  </si>
  <si>
    <t>Насос дренажный для грязной воды 12000</t>
  </si>
  <si>
    <t>Насос дренажный для грязной воды 8500 aquasensor</t>
  </si>
  <si>
    <t>Насос дренажный для грязной воды 13000 aquasensor</t>
  </si>
  <si>
    <t>Насос дренажный для грязной воды 20000 inox</t>
  </si>
  <si>
    <t>Насос дренажный для грязной воды 17000 Aquasensor</t>
  </si>
  <si>
    <t>Насос дренажный для грязной воды 18000 Aquasensor</t>
  </si>
  <si>
    <t>Насос дренажный для грязной воды 25000</t>
  </si>
  <si>
    <t>Насос дренажный для грязной и чистой воды 13500</t>
  </si>
  <si>
    <t>Насос дренажный для грязной и чистой воды 19000 Aquasensor</t>
  </si>
  <si>
    <t>Шланг заборный плоский 25 мм (1"), 50 м в бухте</t>
  </si>
  <si>
    <t>Шланг заборный плоский 32 мм (1 1/4"), 50 м в бухте</t>
  </si>
  <si>
    <t>Шланг заборный плоский 38 мм (1 1/2"), 50 м в бухте</t>
  </si>
  <si>
    <t>Шланг заборный плоский 50 мм (2"), 50 м в бухте</t>
  </si>
  <si>
    <t>Шланг заборный плоский 32 мм (1 1/4"), 10 м с комплектом фитингов для подключения</t>
  </si>
  <si>
    <t>Шланг заборный 25 мм (1"), 45 м в бухте</t>
  </si>
  <si>
    <t>Шланг заборный 19 мм (3/4"), 50 м в бухте</t>
  </si>
  <si>
    <t>Шланг заборный с фильтром 25 мм (1"), 3.5 м</t>
  </si>
  <si>
    <t>Шланг заборный с фильтром 25 мм (1"), 7 м</t>
  </si>
  <si>
    <t>Коннектор для заборного шланга 25 мм (1")</t>
  </si>
  <si>
    <t>Коннектор для заборного шланга 19 мм (3/4")</t>
  </si>
  <si>
    <t>Фильтр с клапаном противотока 25 мм (1")</t>
  </si>
  <si>
    <t>Фильтр с клапаном противотока 19 мм (3/4")</t>
  </si>
  <si>
    <t>Подводка 33.3 мм (1")</t>
  </si>
  <si>
    <t>Фитинг к погружному насосу 1" х 1"</t>
  </si>
  <si>
    <t>Фитинг к погружному насосу 5/4" х 1"</t>
  </si>
  <si>
    <t xml:space="preserve">Фитинг к насосу </t>
  </si>
  <si>
    <t>Комплект для подсоединения шланга 3/4”</t>
  </si>
  <si>
    <t>Фильтр предварительной очистки до 3000 л/ч</t>
  </si>
  <si>
    <t>Фильтр предварительной очистки до 6000 л/ч</t>
  </si>
  <si>
    <t>Поплавковый всасывающий фильтр предварительной очистки</t>
  </si>
  <si>
    <t>Выключатель манометрический электронный</t>
  </si>
  <si>
    <t>Защита от работы всухую</t>
  </si>
  <si>
    <t>Шланг армированный прозрачный 10х3 мм x 1 м (в бухте 50 м)</t>
  </si>
  <si>
    <t>Шланг армированный прозрачный 13х3,5 мм x 1 м (в бухте 50 м)</t>
  </si>
  <si>
    <t>Шланг армированный прозрачный 6х3 мм x 1 м (в бухте 50 м)</t>
  </si>
  <si>
    <t>Шланг армированный прозрачный 8х3 мм x 1 м (в бухте 50 м)</t>
  </si>
  <si>
    <t>Шланг армированный прозрачный 9х3 мм x 1 м (в бухте 40 м)</t>
  </si>
  <si>
    <t>Шланг прозрачный зеленый  8х1,5 мм x 1 м (в бухте 80 м)</t>
  </si>
  <si>
    <t>Шланг прозрачный зеленый 10х2 мм x 1 м (в бухте 50 м)</t>
  </si>
  <si>
    <t>Шланг прозрачный зеленый 4х1 мм x 1 м (в бухте 200 м)</t>
  </si>
  <si>
    <t>Шланг прозрачный зеленый 6х1,5 мм x 1 м (в бухте 100 м)</t>
  </si>
  <si>
    <t>Насос для резервуаров с дождевой водой аккумуляторный 2000/2 Li-18</t>
  </si>
  <si>
    <t>Насос дренажный для чистой воды аккумуляторный 2000/2 Li-18</t>
  </si>
  <si>
    <t>Комплект для террас базовый (дисплей)</t>
  </si>
  <si>
    <t>Комплект микрокапельного полива базовый</t>
  </si>
  <si>
    <t>Комплект микрокапельного полива базовый с таймером</t>
  </si>
  <si>
    <t>Комплект для микрокапельного полива в теплице базовый</t>
  </si>
  <si>
    <t>Комплект базовый для наземной прокладки 4.6 мм (3/16”) х 15 м c фитингами и мастер-блоком</t>
  </si>
  <si>
    <t>Шланг сочащийся 13 мм (1/2”) 40 м с фитингами</t>
  </si>
  <si>
    <t xml:space="preserve">Шланг сочащийся для наземной прокладки 4.6 мм (3/16”) </t>
  </si>
  <si>
    <t>Шланг сочащийся для наземной прокладки 13 мм (1/2”) х 50 м с фитингами и мастер-блоком</t>
  </si>
  <si>
    <t>Шланг сочащийся для подземной прокладки 50 м (комплект для удлинения арт. 1389)</t>
  </si>
  <si>
    <t xml:space="preserve">Мастер-блок 1000 </t>
  </si>
  <si>
    <t xml:space="preserve">Мастер-блок 2000 </t>
  </si>
  <si>
    <t>Дозатор для удобрений</t>
  </si>
  <si>
    <t xml:space="preserve">Ключ монтажный </t>
  </si>
  <si>
    <t>Шланг магистральный 13 мм (1/2”), 15 м</t>
  </si>
  <si>
    <t>Шланг подающий 4.6 мм (3/16”), 15 м</t>
  </si>
  <si>
    <t>Шланг подающий 4.6 мм (3/16”), 50 м</t>
  </si>
  <si>
    <t>Кран запорный 13 мм (1/2”)</t>
  </si>
  <si>
    <t>Кран запорный 4,6 мм (3/16”) (2 шт. в блистере)</t>
  </si>
  <si>
    <t>Крепление 13 мм (1/2") (2 шт. в блистере)</t>
  </si>
  <si>
    <t>Крепление 4,6 мм (1/2") (5 шт. в блистере)</t>
  </si>
  <si>
    <t>Колышки для шлангов (10 шт. в блистере)</t>
  </si>
  <si>
    <t>Направляющая 13 мм (1/2") (3 шт. в блистере)</t>
  </si>
  <si>
    <t>Направляющая 4,6 мм (3/16") (3 шт. в блистере)</t>
  </si>
  <si>
    <t>Крестовина 13 мм (1/2”) (2 шт. в блистере)</t>
  </si>
  <si>
    <t>Крестовина 4.6 мм (3/16”) (10 шт. в блистере)</t>
  </si>
  <si>
    <t>Соединитель-переходник Т-образный (5 шт. в блистере)</t>
  </si>
  <si>
    <t>Соединитель Т-образный 13 мм (1/2”) (2 шт. в блистере)</t>
  </si>
  <si>
    <t>Соединитель Т-образный 4,6 мм (3/16”) (10 шт. в блистере)</t>
  </si>
  <si>
    <t>Соединитель L-образный 13 мм (1/2”) (2 шт. в блистере)</t>
  </si>
  <si>
    <t>Соединитель L-образный 4,6 мм (3/16”) (10 шт. в блистере)</t>
  </si>
  <si>
    <t>Соединитель 13 мм (1/2”) (3 шт. в блистере)</t>
  </si>
  <si>
    <t>Соединитель 4,6 мм (3/16”) (10 шт. в блистере)</t>
  </si>
  <si>
    <t>Заглушка 13 мм (1/2”) (5 шт. в блистере)</t>
  </si>
  <si>
    <t>Заглушка 4,6 мм (10 шт. в блистере)</t>
  </si>
  <si>
    <t>Капельница концевая 2 л/час (25 шт. в блистере)</t>
  </si>
  <si>
    <t>Капельница концевая 4 л/час (25 шт. в блистере)</t>
  </si>
  <si>
    <t>Капельница концевая, уравнивающая давление (2л/час) (10 шт. в блистере)</t>
  </si>
  <si>
    <t>Капельница концевая, регулируемая (10 шт. в блистере)</t>
  </si>
  <si>
    <t>Капельница концевая регулируемая, уравнивающая давление (5 шт. в блистере)</t>
  </si>
  <si>
    <t>Насадка концевая ленточная (5 шт. в блистере)</t>
  </si>
  <si>
    <t>Капельница внутренняя (2л/час) (10 шт. в блистере)</t>
  </si>
  <si>
    <t>Капельница внутренняя (4л/час) (10 шт. в блистере)</t>
  </si>
  <si>
    <t>Капельница внутренняя, уравнивающая давление (2л/час) (10 шт. в блистере)</t>
  </si>
  <si>
    <t>Капельница внутренняя регулируемая (10 шт. в блистере)</t>
  </si>
  <si>
    <t>Капельница внутренняя регулируемая, уравнивающая давление (5 шт. в блистере)</t>
  </si>
  <si>
    <t>Микронасадка ленточная (5 шт. в блистере)</t>
  </si>
  <si>
    <t>Микронасадка 90* (5 шт. в блистере)</t>
  </si>
  <si>
    <t>Микронасадка 180* (5 шт. в блистере)</t>
  </si>
  <si>
    <t>Микронасадка 360* (5 шт. в блистере)</t>
  </si>
  <si>
    <t>Микродождеватель шестипозиционный (5 шт. в блистере)</t>
  </si>
  <si>
    <t>Микродождеватель круговой (2 шт. в блистере)</t>
  </si>
  <si>
    <t>Микронасадка распыляющая (5 шт. в блистере)</t>
  </si>
  <si>
    <t>Микродождеватель для малых площадей  (10 шт. в блистере)</t>
  </si>
  <si>
    <t>Микродождеватель для малых площадей 4,6 мм (3/16") (10 шт. в блистере)</t>
  </si>
  <si>
    <t>Дождеватель осциллирующий OS 90</t>
  </si>
  <si>
    <t>Соединитель T-образный для микронасадок 13 мм (5 шт. в блистере)</t>
  </si>
  <si>
    <t>Соединитель T-образный для микронасадок 4.6 мм (5 шт. в блистере)</t>
  </si>
  <si>
    <t>Надставка (5 шт. в блистере)</t>
  </si>
  <si>
    <t>Кран запорный (5 шт. в блистере)</t>
  </si>
  <si>
    <t>Надставка к арт. № 8361 (2 шт. в блистере)</t>
  </si>
  <si>
    <t>Комплект для полива в выходные дни</t>
  </si>
  <si>
    <t>Комплект для полива в выходные дни с емкостью 9 л</t>
  </si>
  <si>
    <t>Система микрокапельного полива горшечных растений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</si>
  <si>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</si>
  <si>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Комплект сменных насадок для шланга-распылителя: 3 микронасадки, 1 микронасадка с автостопом</t>
  </si>
  <si>
    <t>Базовый модуль для вертикального садоводства горизонтальный (3 емкости, 3 крышки, 1 поддон, 12 клипс)</t>
  </si>
  <si>
    <t>Базовый модуль  для вертикального садоводства угловой (3 емкости, 3 крышки, 1 поддон, 6 клипс)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</si>
  <si>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</si>
  <si>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</si>
  <si>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 xml:space="preserve">Кронштейн и держатели для горизонтального модуля для вертикального садоводства </t>
  </si>
  <si>
    <t xml:space="preserve">Кронштейн и держатели для углового модуля для вертикального садоводства </t>
  </si>
  <si>
    <t>Держатели для горизонтальных и угловых модулей для вертикального садоводства (8 шт.)</t>
  </si>
  <si>
    <t>Фиксаторы для горизонтальных и угловых модулей вертикального сада (4 шт.)</t>
  </si>
  <si>
    <t>Комплект прокладок для арт. 901/2901</t>
  </si>
  <si>
    <t>Комплект прокладок для арт. 902/2902</t>
  </si>
  <si>
    <t>Комплект соединительных элементов системы "ПРОФИ"</t>
  </si>
  <si>
    <t>Форсунка 5-360 (2 шт. в комплекте)</t>
  </si>
  <si>
    <t>Коннектор водозаборной колонки</t>
  </si>
  <si>
    <t>Дождеватель многоконтурный выдвижной автоматический AquaContour</t>
  </si>
  <si>
    <t>Турбодождеватель выдвижной T 100</t>
  </si>
  <si>
    <t>Турбодождеватель выдвижной T 200</t>
  </si>
  <si>
    <t>Турбодождеватель выдвижной T 380</t>
  </si>
  <si>
    <t>Дождеватель выдвижной осциллирующий OS 140</t>
  </si>
  <si>
    <t>Дождеватель выдвижной S 80</t>
  </si>
  <si>
    <t>Дождеватель выдвижной S 80/300</t>
  </si>
  <si>
    <t xml:space="preserve">Дождеватель выдвижной S 30 </t>
  </si>
  <si>
    <t>Дождеватель выдвижной S 50</t>
  </si>
  <si>
    <t>Дождеватель выдвижной S-CS полосовой</t>
  </si>
  <si>
    <t>Дождеватель выдвижной S-ES полосовой</t>
  </si>
  <si>
    <t>Водозаборная колонка</t>
  </si>
  <si>
    <t>Колонка со спиральным шлангом 10 м</t>
  </si>
  <si>
    <t>Базовый комплект садового водопровода</t>
  </si>
  <si>
    <t>Соединитель L-образный 25 мм x 1/2”-наружная резьба</t>
  </si>
  <si>
    <t>Соединитель L-образный 25 мм x 3/4”-наружная резьба</t>
  </si>
  <si>
    <t>Соединитель L-образный 25 мм x 1/2"-наружная резьба</t>
  </si>
  <si>
    <t>Соединитель L-образный 25 мм x 3/4"-наружная резьба</t>
  </si>
  <si>
    <t>Соединитель L-образный 25 мм х 3/4”-внутренняя резьба</t>
  </si>
  <si>
    <t>Соединитель L-образный 25 мм</t>
  </si>
  <si>
    <t>Cоединитель L-образный 25 мм х 3/4"-внутренняя резьба</t>
  </si>
  <si>
    <t>Соединитель L-образный 32 мм x 3/4”-внутренняя резьба</t>
  </si>
  <si>
    <t>Соединитель L-образный 32 мм</t>
  </si>
  <si>
    <t>Соединитель L-образный PRO</t>
  </si>
  <si>
    <t>Соединитель T-образный 25 мм x 1/2”-наружная резьба</t>
  </si>
  <si>
    <t>Соединитель Т-образный с наружной резьбой 25 мм x 3/4"</t>
  </si>
  <si>
    <t>Соединитель Т-образный с внутренней резьбой 25 мм x 3/4"</t>
  </si>
  <si>
    <t>Соединитель Т-образный 25 мм</t>
  </si>
  <si>
    <t>Соединитель Т-образный PRO</t>
  </si>
  <si>
    <t>Соединитель 1"/3/4"</t>
  </si>
  <si>
    <t>Соединитель 2 х 1"</t>
  </si>
  <si>
    <t xml:space="preserve">Соединитель 25 мм </t>
  </si>
  <si>
    <t>Соединитель 32 мм</t>
  </si>
  <si>
    <t>Соединитель 32 мм x 1”-внутренняя резьба</t>
  </si>
  <si>
    <t>Соединитель 32 мм x 1”-наружная резьба</t>
  </si>
  <si>
    <t>Соединитель 32 мм x 3/4”-внутренняя резьба</t>
  </si>
  <si>
    <t>Соединитель 25 мм x 3/4”-внутренняя резьба</t>
  </si>
  <si>
    <t>Соединитель 25 мм x 1”-внутренняя резьба</t>
  </si>
  <si>
    <t>Соединитель 25 мм x 1”-наружная резьба</t>
  </si>
  <si>
    <t>Соединитель Т-образный 32 мм</t>
  </si>
  <si>
    <t>Соединитель T-образный 32 мм x 3/4”-внутренняя резьба</t>
  </si>
  <si>
    <t>Адаптер 32 мм/25 мм</t>
  </si>
  <si>
    <t>Заглушка 32 мм</t>
  </si>
  <si>
    <t>Заглушка PRO</t>
  </si>
  <si>
    <t xml:space="preserve">Заглушка 25 мм </t>
  </si>
  <si>
    <t>Крестовина PRO</t>
  </si>
  <si>
    <t xml:space="preserve">Штуцер резьбовой </t>
  </si>
  <si>
    <t xml:space="preserve">Дренажный клапан </t>
  </si>
  <si>
    <t>Подводка дождевателя 3/4" х 1/2"</t>
  </si>
  <si>
    <t>Подводка дождевателя 3/4" х 3/4"</t>
  </si>
  <si>
    <t>Удлинитель дождевателя 3/4" х 1/2"</t>
  </si>
  <si>
    <t>Удлинитель дождевателя 3/4" х 3/4"</t>
  </si>
  <si>
    <t>Колонка входная</t>
  </si>
  <si>
    <t xml:space="preserve">Фильтр центральный </t>
  </si>
  <si>
    <t>Кран запорный</t>
  </si>
  <si>
    <t>Шланг подающий 25 мм х 25 м</t>
  </si>
  <si>
    <t>Шланг подающий 25 мм х 50 м</t>
  </si>
  <si>
    <t>Шланг подающий 32 мм х 50 м</t>
  </si>
  <si>
    <t xml:space="preserve">Таймер подачи воды </t>
  </si>
  <si>
    <t>Таймер подачи воды Flex</t>
  </si>
  <si>
    <t>Таймер подачи воды Select</t>
  </si>
  <si>
    <t>Таймер подачи воды Master</t>
  </si>
  <si>
    <t>Таймер подачи воды MultiControl duo</t>
  </si>
  <si>
    <t xml:space="preserve">Таймер подачи воды Bluetooth </t>
  </si>
  <si>
    <t>Таймер подачи воды на солнечной батарее с интегрированным насосом aquaBloom</t>
  </si>
  <si>
    <t>Таймер подачи воды на солнечной батарее с интегрированным насосом aquaBloom (Дисплей)</t>
  </si>
  <si>
    <t xml:space="preserve">Датчик влажности почвы </t>
  </si>
  <si>
    <t>Датчик влажности почвы</t>
  </si>
  <si>
    <t>Кабель дополнительный 10 м (для удлинения датчика дождя или датчика влажности почвы)</t>
  </si>
  <si>
    <t>Кабель дополнительный для датчика влажности почвы</t>
  </si>
  <si>
    <t>Распределитель воды aвтоматический</t>
  </si>
  <si>
    <t>Блок управления насосом 24 В</t>
  </si>
  <si>
    <t>Блок управления клапанами для полива</t>
  </si>
  <si>
    <t>Блок управление клапанами для полива 4030</t>
  </si>
  <si>
    <t>Клапан для полива 24 В</t>
  </si>
  <si>
    <t>Клапан для полива 9 В</t>
  </si>
  <si>
    <t xml:space="preserve">Клапан для полива 9 В Bluetooth </t>
  </si>
  <si>
    <t>Коробка для клапана для полива V1</t>
  </si>
  <si>
    <t>Коробка для клапана для полива V3</t>
  </si>
  <si>
    <t>Комплект: Коробка для клапана для полива V3 Set + клапан для полива 9 В Bluetooth</t>
  </si>
  <si>
    <t>Соединительный кабель 24 В</t>
  </si>
  <si>
    <t xml:space="preserve">Регулятор </t>
  </si>
  <si>
    <t>Концевая муфта для кабеля 24 В</t>
  </si>
  <si>
    <t>Газонокосилка-робот GARDENA Sileno city 250</t>
  </si>
  <si>
    <t>Robotic Mower SILENO minimo 250</t>
  </si>
  <si>
    <t>Газонокосилка-робот GARDENA Sileno city 500</t>
  </si>
  <si>
    <t>Robotic Mower SILENO minimo 500</t>
  </si>
  <si>
    <t>Газонокосилка-робот SILENO life 750</t>
  </si>
  <si>
    <t>Газонокосилка-робот SILENO life 1000</t>
  </si>
  <si>
    <t>Газонокосилка-робот SILENO life 1250</t>
  </si>
  <si>
    <t>Соединители ограничительного провода ( 6 муфт и 2 клеммы)</t>
  </si>
  <si>
    <t>Фиксаторы ограничительного провода (100 шт)</t>
  </si>
  <si>
    <t>Набор режущих ножей (9шт)</t>
  </si>
  <si>
    <t>Ограничительный провод для R50Li (150 м)</t>
  </si>
  <si>
    <t>Ограничительный провод для газонокосилки-робота GARDENA (150 м)</t>
  </si>
  <si>
    <t>Навес зарядной станции для газонокосилки-робота SILENO city и SILENO life</t>
  </si>
  <si>
    <t>Набор для ремонта ограничительного провода для R50Li (ограничительный провод 5 м, клеммы - 6 шт., фиксаторы - 10 шт.)</t>
  </si>
  <si>
    <t>Чехол для хранения газонокосилки-робота</t>
  </si>
  <si>
    <t>Газонокосилка электрическая PowerMax™ 1100/32</t>
  </si>
  <si>
    <t>Газонокосилка электрическая PowerMax™ 1200/32</t>
  </si>
  <si>
    <t>Газонокосилка электрическая PowerMax™ 1400/34</t>
  </si>
  <si>
    <t>Газонокосилка электрическая PowerMax™ 1600/37</t>
  </si>
  <si>
    <t>Газонокосилка электрическая PowerMax™ 1800/42</t>
  </si>
  <si>
    <t>Нож запасной для газонокосилки электрической PowerMax 32 E</t>
  </si>
  <si>
    <t>Нож запасной для газонокосилки электрической PowerMax 1100/32</t>
  </si>
  <si>
    <t>Нож запасной для газонокосилки электрической PowerMax 1400/34</t>
  </si>
  <si>
    <t>Нож запасной для газонокосилки электрической PowerMax 37 E</t>
  </si>
  <si>
    <t>Нож запасной для газонокосилки электрической PowerMax 42 E</t>
  </si>
  <si>
    <t>Нож запасной для газонокосилки электрической PowerMax 36 E</t>
  </si>
  <si>
    <t>Нож запасной для газонокосилки аккумуляторной PowerMax Li-40</t>
  </si>
  <si>
    <t>Нож запасной для газонокосилки аккумуляторной PowerMax Li-40/37</t>
  </si>
  <si>
    <t>Нож запасной для газонокосилки аккумуляторной PowerMax Li-40/41</t>
  </si>
  <si>
    <t>Ручная газонокосилка аккумуляторная Li-18/22</t>
  </si>
  <si>
    <t>Ручная газонокосилка аккумуляторная Li-18/22 без аккумулятора</t>
  </si>
  <si>
    <t>Газонокосилка аккумуляторная PowerMax™ Li-18/32</t>
  </si>
  <si>
    <t>Газонокосилка аккумуляторная PowerMax™ Li-18/32 без аккумулятора</t>
  </si>
  <si>
    <t>Газонокосилка аккумуляторная PowerMax™ Li-40/32</t>
  </si>
  <si>
    <t>Газонокосилка аккумуляторная PowerMax™ Li-40/37</t>
  </si>
  <si>
    <t>Газонокосилка аккумуляторная PowerMax™ Li-40/41</t>
  </si>
  <si>
    <t>Аккумулятор литий-ионный BLi-18/36</t>
  </si>
  <si>
    <t>Аккумулятор литий-ионный BLi-18</t>
  </si>
  <si>
    <t>Аккумулятор литий-ионный BLi-18/54</t>
  </si>
  <si>
    <t>Аккумулятор литий-ионный BLi-18/72</t>
  </si>
  <si>
    <t>Аккумулятор литий-ионный BLi-40/100</t>
  </si>
  <si>
    <t>Аккумулятор литий-ионный BLi-40/160</t>
  </si>
  <si>
    <t>Зарядное устройство для литий-ионных аккумуляторов BLi-18 (для арт. 9839)</t>
  </si>
  <si>
    <t>Зарядное устройство QC40 для литий-ионных аккумуляторов BLi-40 (для арт. 9842, 9843)</t>
  </si>
  <si>
    <t>Газонокосилка барабанная механическая 330 Classic</t>
  </si>
  <si>
    <t>Газонокосилка барабанная механическая 400 Classic (ширина 40см, 12-42мм)</t>
  </si>
  <si>
    <t>Газонокосилка барабанная механическая 400C Comfort (ширина 40см, 12-42мм, рукоятки эрго)</t>
  </si>
  <si>
    <t>Травосборник. Подходит ко всем типам барабанных газонокосилок GARDENA</t>
  </si>
  <si>
    <t>Скарификатор-аэратор газонный электрический ES 500 (500Вт, 30см, рабочие элементы - пружины)</t>
  </si>
  <si>
    <t>Скарификатор-аэратор газонный электрический EVC 1000 (1000Вт, 30см, рабочие элементы - металлические ножи)</t>
  </si>
  <si>
    <t>Травосборник. Подходит ко всем скарификаторам-аэраторам GARDENA</t>
  </si>
  <si>
    <t>Триммер электрический SmallCut 300/23</t>
  </si>
  <si>
    <t>Триммер электрический Small Cut Plus 350/23</t>
  </si>
  <si>
    <t>Триммер электрический EasyCut 400/25 (400Вт, D кошения 250мм, корд 1.6мм)</t>
  </si>
  <si>
    <t>Триммер электрический ComfortCut 450/25 (450Вт, D кошения 250мм, корд 1.6мм, колесо)</t>
  </si>
  <si>
    <t>Триммер электрический EasyCut 450/25</t>
  </si>
  <si>
    <t>Триммер электрический ComfortCut 550/28</t>
  </si>
  <si>
    <t>Триммер электрический PowerCut 650/28</t>
  </si>
  <si>
    <t>Триммер аккумуляторный SmallCut Li-23R с интегрированной батареей</t>
  </si>
  <si>
    <t>Триммер аккумуляторный EasyCut Li-18/23R (Аккумулятор Li-Ion, 18B/2.0Aч, D кошения 230мм, пласт. ножи)</t>
  </si>
  <si>
    <t>Триммер аккумуляторный EasyCut Li-18/23R без аккумулятора</t>
  </si>
  <si>
    <t>Триммер аккумуляторный EasyCut Li-18/23</t>
  </si>
  <si>
    <t>Триммер аккумуляторный EasyCut Li-18/23 без аккумулятора</t>
  </si>
  <si>
    <t>Триммер аккумуляторный ComfortCut Li-18/23</t>
  </si>
  <si>
    <t>Триммер аккумуляторный ComfortCut Li-18/23 без аккумулятора</t>
  </si>
  <si>
    <t>Триммер аккумуляторный PowerCut Li-40/30</t>
  </si>
  <si>
    <t>Триммер аккумуляторный PowerCut Li-40/30 без аккумулятора</t>
  </si>
  <si>
    <t>Комплект: Ножницы для газонов аккумуляторные AccuCut Li с 2 ножами (для травы - 8 см, для кустарников - 12 см) (Дисплей)</t>
  </si>
  <si>
    <t>Ножницы для газонов аккумуляторные ClassicCut Li</t>
  </si>
  <si>
    <t>Ножницы для газонов и кустарников аккумуляторные ClassicCut Li</t>
  </si>
  <si>
    <t>Ножницы для газонов аккумуляторные ClassicCut Li с телескопической рукояткой</t>
  </si>
  <si>
    <t>Ножницы для газонов аккумуляторные ComfortCut Li</t>
  </si>
  <si>
    <t>Ножницы для газонов и кустарников аккумуляторные ComfortCut Li</t>
  </si>
  <si>
    <t>Ножницы для газонов аккумуляторные ComfortCut Li с телескопической рукояткой</t>
  </si>
  <si>
    <t>Нож для кустарников 12,5 см</t>
  </si>
  <si>
    <t>Нож для кустарников 18 см</t>
  </si>
  <si>
    <t>Нож для травы 8 см</t>
  </si>
  <si>
    <t>Нож запасной 8 см для ножниц для газона</t>
  </si>
  <si>
    <t>Нож запасной 10 см</t>
  </si>
  <si>
    <t>Рукоятка телескопическая для аккумуляторный ножниц для травы и кустарников</t>
  </si>
  <si>
    <t>Колеса опорные для аккумуляторных ножниц для травы и кустарников</t>
  </si>
  <si>
    <t>Нож для травы (для ClassicCut Li, ComforCut Li)</t>
  </si>
  <si>
    <t>Нож для кустарников (для ClassicCut Li, ComforCut Li)</t>
  </si>
  <si>
    <t>Лезвия запасные для триммера для AccuCut (8844)</t>
  </si>
  <si>
    <t>Кассета сменная (для арт.8846, 8847, 8848)</t>
  </si>
  <si>
    <t>Кассета сменная (для арт. 8851, 8852)</t>
  </si>
  <si>
    <t>Ножи запасные RotorCut (для триммера для AccuCut (8844), для EasyCut (09823))</t>
  </si>
  <si>
    <t>Комплект насадок для пылесоса EasyClean Li</t>
  </si>
  <si>
    <t>Фильтр сменный для аккумуляторного пылесоса EasyClean Li</t>
  </si>
  <si>
    <t>Насадка-распылитель для удаления грязи AquaClean</t>
  </si>
  <si>
    <t>Насадка для чистки плоских поверхностей AquaClean</t>
  </si>
  <si>
    <t>Ножницы для живой изгороди электрические EasyCut 420/45</t>
  </si>
  <si>
    <t>Ножницы для живой изгороди электрические EasyCut 450/50</t>
  </si>
  <si>
    <t>Ножницы для живой изгороди электрические EasyCut 450/55 (Дисплей)</t>
  </si>
  <si>
    <t>Ножницы для живой изгороди электрические EasyCut 500/55</t>
  </si>
  <si>
    <t>Ножницы для живой изгороди электрические ComfortCut 550/50</t>
  </si>
  <si>
    <t>Ножницы для живой изгороди электрические ComfortCut 600/55</t>
  </si>
  <si>
    <t>Ножницы для живой изгороди аккумуляторные EasyCut Li с интегрированной батареей</t>
  </si>
  <si>
    <t>Ножницы для живой изгороди аккумуляторные ComfortCut Li-18/50 с аккумулятором</t>
  </si>
  <si>
    <t>Ножницы для живой изгороди аккумуляторные ComfortCut Li-18/50 без аккумулятора</t>
  </si>
  <si>
    <t>Ножницы для живой изгороди аккумуляторные ComfortCut Li-18/60 с аккумулятором</t>
  </si>
  <si>
    <t>Ножницы для живой изгороди аккумуляторные ComfortCut Li-18/60 без аккумулятора</t>
  </si>
  <si>
    <t>Ножницы для живой изгороди аккумуляторные PowerCut Li-40/60 с аккумулятором</t>
  </si>
  <si>
    <t>Ножницы для живой изгороди аккумуляторные PowerCut Li-40/60 без аккумулятора</t>
  </si>
  <si>
    <t>Телескопические ножницы для живой изгороди аккумуляторные THS Li-18/42</t>
  </si>
  <si>
    <t>Телескопические ножницы для живой изгороди аккумуляторные THS Li-18/42 без аккумулятора</t>
  </si>
  <si>
    <t>Комплект: высоторез телескопическиий аккумуляторный TCS Li 18/20 + штанговые ножницы для живой изгороди THS Li 18/42</t>
  </si>
  <si>
    <t>Воздуходув-пылесос ErgoJet 3000 (регулируемая скорость, с мешком для сбора мусора 45л. в к-те (310км/ч, изм. 16:1)</t>
  </si>
  <si>
    <t>Пылесос аккумуляторный EasyClean Li с интегрированной батарей</t>
  </si>
  <si>
    <t>Пылесос аккумуляторный EasyClean Li с интегрированной батареей и кронштейном для крепления</t>
  </si>
  <si>
    <t>Воздуходув аккумуляторный AccuJet 18-Li</t>
  </si>
  <si>
    <t>Воздуходув аккумуляторный AccuJet 18-Li без аккумулятора</t>
  </si>
  <si>
    <t>Воздуходув аккумуляторный PowerJet Li-18</t>
  </si>
  <si>
    <t>Воздуходув аккумуляторный PowerJet Li-18 без аккумулятора</t>
  </si>
  <si>
    <t>Воздуходув-пылесос аккумуляторный PowerJet Li-40</t>
  </si>
  <si>
    <t>Воздуходув-пылесос аккумуляторный PowerJet Li-40 без аккумулятора в комплекте</t>
  </si>
  <si>
    <t>Мойка высокого давления аккумуляторная AquaClean Li-40/60</t>
  </si>
  <si>
    <t>Мойка высокого давления аккумуляторная AquaClean Li-40/60 без аккумулятора в комплекте</t>
  </si>
  <si>
    <t xml:space="preserve">Мойка высокого давления аккумуляторная AquaClean Li-18 Premium Set </t>
  </si>
  <si>
    <t>Мойка высокого давления аккумуляторная AquaClean Li-18 с аккумулятором</t>
  </si>
  <si>
    <t>Мойка высокого давления аккумуляторная AquaClean Li-18  без аккумулятора</t>
  </si>
  <si>
    <t>Механический собиратель листьев</t>
  </si>
  <si>
    <t>Ножницы для травы Classic</t>
  </si>
  <si>
    <t xml:space="preserve">Ножницы для травы Comfort </t>
  </si>
  <si>
    <t>Ножницы для травы поворотные Comfort</t>
  </si>
  <si>
    <t>Ножницы для травы поворотные Comfort Plus</t>
  </si>
  <si>
    <t>Ножницы для травы поворотные Comfort с телескопической рукояткой</t>
  </si>
  <si>
    <t>Секатор балконный</t>
  </si>
  <si>
    <t xml:space="preserve">Секатор Classic </t>
  </si>
  <si>
    <t>Секатор Classic (Дисплей)</t>
  </si>
  <si>
    <t>Секатор B/S</t>
  </si>
  <si>
    <t>Секатор с наковаленкой A/S</t>
  </si>
  <si>
    <t>Секатор B/S-M</t>
  </si>
  <si>
    <t>Секатор B/S-M (Дисплей)</t>
  </si>
  <si>
    <t>Секатор B/M</t>
  </si>
  <si>
    <t>Секатор c наковаленкой A/M</t>
  </si>
  <si>
    <t>Секатор B/S-XL</t>
  </si>
  <si>
    <t>Секатор ExpertCut - поставить для онлайн и дилеров</t>
  </si>
  <si>
    <t>Секатор ExpertCut countertop display - DIY и фуды</t>
  </si>
  <si>
    <t>Секатор ExpertCut 1/4 Palette Display - дилеры</t>
  </si>
  <si>
    <t>Секатор B/L</t>
  </si>
  <si>
    <t>Секатор с храповым механизмом SmartCut</t>
  </si>
  <si>
    <t>Секатор B+/L</t>
  </si>
  <si>
    <t>Ножницы для живой изгороди механические NatureCut</t>
  </si>
  <si>
    <t>Ножницы для живой изгороди механические EasyCut</t>
  </si>
  <si>
    <t>Ножницы для живой изгороди механические PrecisionCut</t>
  </si>
  <si>
    <t>Ножницы для живой изгороди механические 2в1 EnergyCut</t>
  </si>
  <si>
    <t>Ножницы для живой изгороди механические TeleCut</t>
  </si>
  <si>
    <t>Ножницы для живой изгороди механические Classic 540 FSC®</t>
  </si>
  <si>
    <t>Ножницы для живой изгороди механические Boxwood Comfort</t>
  </si>
  <si>
    <t>Ножницы для живой изгороди механические 600 Comfort</t>
  </si>
  <si>
    <t>Комплект: Ножницы для живой изгороди механические Classic 540 FSC® + секатор Classic</t>
  </si>
  <si>
    <t>Ножницы для живой изгороди механические 700 T Comfort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</si>
  <si>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</si>
  <si>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</si>
  <si>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Ножницы бытовые Шнип-Шнап</t>
  </si>
  <si>
    <t xml:space="preserve">Ножницы для роз </t>
  </si>
  <si>
    <t>Сучкорез EasyCut 500B</t>
  </si>
  <si>
    <t>Сучкорез EasyCut 680B</t>
  </si>
  <si>
    <t>Сучкорез EasyCut 680B (Дисплей)</t>
  </si>
  <si>
    <t>Сучкорез EasyCut 680A</t>
  </si>
  <si>
    <t>Сучкорез TeleCut 520-670 B</t>
  </si>
  <si>
    <t>Сучкорез TeleCut 520-670 B (Дисплей)</t>
  </si>
  <si>
    <t>Сучкорез EnergyCut 600B</t>
  </si>
  <si>
    <t>Сучкорез EnergyCut 750B</t>
  </si>
  <si>
    <t>Сучкорез EnergyCut 750A</t>
  </si>
  <si>
    <t>Сучкорез TeleCut 650-900 B</t>
  </si>
  <si>
    <t>Сучкорез TeleCut 650-900 B (Дисплей)</t>
  </si>
  <si>
    <t>Сучкорез Comfort с храповым механизмом SmartCut</t>
  </si>
  <si>
    <t>Сучкорез Premium 700 B</t>
  </si>
  <si>
    <t>Сучкорез SlimCut</t>
  </si>
  <si>
    <t>Сучкорез SlimCut (Дисплей)</t>
  </si>
  <si>
    <t>Высоторез StarCut 160 plus</t>
  </si>
  <si>
    <t>Высоторез телескопический StarCut 410 plus</t>
  </si>
  <si>
    <t>Сучкорез BL (насадка для комбисистемы)</t>
  </si>
  <si>
    <t>Пила садовая складная 135 P</t>
  </si>
  <si>
    <t>Пила садовая складная 200 P</t>
  </si>
  <si>
    <t>Пила садовая 300 P</t>
  </si>
  <si>
    <t>Пила садовая 300 PP</t>
  </si>
  <si>
    <t>Пила садовая изогнутая 300 PP</t>
  </si>
  <si>
    <t>Топор походный 900 B</t>
  </si>
  <si>
    <t>Топор плотницкий 1000 A</t>
  </si>
  <si>
    <t>Топор универсальный 1400 A</t>
  </si>
  <si>
    <t>Комплект: Топор-колун малый 1600 A + Заточной комплект (Дисплей)</t>
  </si>
  <si>
    <t>Топор-колун малый 1600 S</t>
  </si>
  <si>
    <t>Топор-колун большой 2800 S</t>
  </si>
  <si>
    <t>Точилка для режущих инструментов</t>
  </si>
  <si>
    <t>Грабли для газонов ClassicLine</t>
  </si>
  <si>
    <t>Грабли веерные металлические ClassicLine</t>
  </si>
  <si>
    <t>Тяпка ClassicLine</t>
  </si>
  <si>
    <t>Щетка для дорожек ClassicLine</t>
  </si>
  <si>
    <t>Щетка для террасы ClassicLine</t>
  </si>
  <si>
    <t>Грабли для газонов NatureLine</t>
  </si>
  <si>
    <t>Грабли 36 см NatureLine</t>
  </si>
  <si>
    <t>Грабли веерные регулируемые металлические NatureLine</t>
  </si>
  <si>
    <t>Рыхлитель NatureLine</t>
  </si>
  <si>
    <t>Мотыга NatureLine</t>
  </si>
  <si>
    <t>Тяпка садовая NatureLine</t>
  </si>
  <si>
    <t>Щетка для дорожек NatureLine</t>
  </si>
  <si>
    <t>Мотыга для корнеплодных NatureLine</t>
  </si>
  <si>
    <t xml:space="preserve">Лопата универсальная ClassicLine </t>
  </si>
  <si>
    <t>Лопата штыковая ClassicLine</t>
  </si>
  <si>
    <t>Лопата садовая NatureLine</t>
  </si>
  <si>
    <t>Лопата штыковая NatureLine</t>
  </si>
  <si>
    <t>Вилы садовые NatureLine</t>
  </si>
  <si>
    <t>Лопата садовая ErgoLine</t>
  </si>
  <si>
    <t>Лопата садовая малая ErgoLine</t>
  </si>
  <si>
    <t>Лопата штыковая ErgoLine</t>
  </si>
  <si>
    <t>Вилы садовые ErgoLine</t>
  </si>
  <si>
    <t>Лопата садовая телескопическая ErgoLine</t>
  </si>
  <si>
    <t>Совок цветочный 8 см (ручной инструмент)</t>
  </si>
  <si>
    <t>Совок цветочный 6 см (ручной инструмент)</t>
  </si>
  <si>
    <t>Совок для прополки 14.5 см (ручной инструмент)</t>
  </si>
  <si>
    <t>Вилка садовая (ручной инструмент)</t>
  </si>
  <si>
    <t>Мотыжка ручная 6.5 см с 3 зубцами (ручной садовый инструмент-насадка для комбисистемы)</t>
  </si>
  <si>
    <t>Мотыжка ручная 6 см с 2 зубцами (ручной садовый инструмент / насадка для комбисистемы)</t>
  </si>
  <si>
    <t>Грабли ручные 12 см  (ручной садовый инструмент / насадка для комбисистемы)</t>
  </si>
  <si>
    <t>Рыхлитель ручной 7 см  (ручной садовый инструмент / насадка для комбисистемы)</t>
  </si>
  <si>
    <t>Пропалыватель ручной 7 см  (ручной садовый инструмент / насадка для комбисистемы)</t>
  </si>
  <si>
    <t>Очиститель щелевой  (ручной садовый инструмент / насадка для комбисистемы)</t>
  </si>
  <si>
    <t>Очиститель щелевой 2-в-1 (насадка для комбисистемы)</t>
  </si>
  <si>
    <t>Комплект: Очиститель щелевой 2-в-1 с рукояткой (насадка для комбисистемы) (Дисплей)</t>
  </si>
  <si>
    <t>Совок цветочный 8.5 см  (ручной садовый инструмент / насадка для комбисистемы)</t>
  </si>
  <si>
    <t>Мотыжка ручная 6 см (ручной инструмент)</t>
  </si>
  <si>
    <t>Грабли ручные 12 см (ручной инструмент)</t>
  </si>
  <si>
    <t>Рыхлитель ручной 7 см Comfort (ручной инструмент)</t>
  </si>
  <si>
    <t>Грабли цветочные 8.5 см Comfort (ручной инструмент)</t>
  </si>
  <si>
    <t>Совок садовый большой (ручной инструмент)</t>
  </si>
  <si>
    <t>Щетка щелевая треугольная (насадка для комбисистемы)</t>
  </si>
  <si>
    <t>Очиститель для желобов (насадка для комбисистемы)</t>
  </si>
  <si>
    <t>Комплект: Очиститель для желобов (насадка для комбисистемы) с телескопической рукояткой 210-390 см (Дисплей)</t>
  </si>
  <si>
    <t>Щетка щелевая</t>
  </si>
  <si>
    <t>Щетка щелевая 3-в-1 (насадка для комбисистемы)</t>
  </si>
  <si>
    <t>Щетка для террас (насадка для комбисистемы)</t>
  </si>
  <si>
    <t xml:space="preserve">Щетка для дорожек </t>
  </si>
  <si>
    <t>Комплект: Щетка для дорожек (насадка для комбисистемы) + Рукоятка деревянная 130 см (Дисплей)</t>
  </si>
  <si>
    <t>Культиватор 3,6 см (насадка для комбисистемы)</t>
  </si>
  <si>
    <t>Культиватор-грабли (насадка для комбисистемы)</t>
  </si>
  <si>
    <t>Рыхлитель 9 см (насадка для комбисистемы)</t>
  </si>
  <si>
    <t>Мотыга 14 см (насадка для комбисистемы)</t>
  </si>
  <si>
    <t>Мотыга для корнеплодных 8 см (насадка для комбисистемы)</t>
  </si>
  <si>
    <t>Мотыга для корнеплодных 16 см (насадка для комбисистемы)</t>
  </si>
  <si>
    <t>Мотыга-волокуша 12 см (насадка для комбисистемы)</t>
  </si>
  <si>
    <t>Грабли 25 см (насадка для комбисистемы)</t>
  </si>
  <si>
    <t>Грабли 41 см (насадка для комбисистемы)</t>
  </si>
  <si>
    <t>Грабли изогнутые 36 см (насадка для комбисистемы)</t>
  </si>
  <si>
    <t>Грабли для сбора листвы (насадка для комбиистемы)</t>
  </si>
  <si>
    <t>Культиватор звездочный (насадка для комбисистемы)</t>
  </si>
  <si>
    <t>Тяпка садовая 7 см (насадка для комбисистемы)</t>
  </si>
  <si>
    <t>Тяпка садовая 9 см (насадка для комбисистемы)</t>
  </si>
  <si>
    <t>Комплект: Грабли 30 см (насадка для комбисистемы) + Рукоятка деревянная 130 см (Дисплей)</t>
  </si>
  <si>
    <t>Плодосъемник (насадка для комбисистемы)</t>
  </si>
  <si>
    <t>Комплект: Плодосъемник (насадка для комбисистемы) с телескопической рукояткой 210-390 см</t>
  </si>
  <si>
    <t>Плодосборник (насадка для комбисистемы)</t>
  </si>
  <si>
    <t>Грабли проволочные пружинящие (насадка для комбисистемы)</t>
  </si>
  <si>
    <t>Грабли пластиковые веерные XXL складные (насадка для комбисистемы)</t>
  </si>
  <si>
    <t>Грабли стальные веерные регулируемые (насадка для комбисистемы)</t>
  </si>
  <si>
    <t>Грабли пластиковые веерные регулируемые (насадка для комбисистемы)</t>
  </si>
  <si>
    <t>Грабли для газонов (насадка для комбисистемы)</t>
  </si>
  <si>
    <t>Грабли для очистки газонов 60 см (насадка для комбисистемы)</t>
  </si>
  <si>
    <t>Прореживатель на колесах (насадка для комбисистемы)</t>
  </si>
  <si>
    <t>Прореживатель (насадка для комбисистемы)</t>
  </si>
  <si>
    <t>Комплект: Грабли веерные (насадка для комбисистемы) + Рукоятка деревянная 130 см (Дисплей)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</si>
  <si>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</si>
  <si>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</si>
  <si>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Рукоятка деревянная FSC® 130 см (для комбисистемы)</t>
  </si>
  <si>
    <t>Рукоятка деревянная FSC® 150 см (для комбисистемы)</t>
  </si>
  <si>
    <t>Рукоятка деревянная 140 см NatureLine</t>
  </si>
  <si>
    <t>Рукоятка деревянная FSC® 180 см (для комбисистемы)</t>
  </si>
  <si>
    <t>Рукоятка алюминиевая 130 см (для комбисистемы)</t>
  </si>
  <si>
    <t>Рукоятка алюминиевая 150 см (для комбисистемы)</t>
  </si>
  <si>
    <t>Рукоятка алюминиевая эргономичная 130 см (для комбисистемы)</t>
  </si>
  <si>
    <t>Рукоятка телескопическая 160-290 см (для комбисистемы)</t>
  </si>
  <si>
    <t>Рукоятка телескопическая 210-390 см (для комбисистемы)</t>
  </si>
  <si>
    <t>Рукоятка телескопическая 90-145 см (для комбисистемы)</t>
  </si>
  <si>
    <t>Кронштейн для садовых инструментов (система хранения комбисистемы)</t>
  </si>
  <si>
    <t>Держатель к кронштейну для садовых инструментов (система хранения комбисистемы)</t>
  </si>
  <si>
    <t>Садовые инструменты для балкона "Домашнее садоводство" (лопатка цветочная, мотыжка)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</si>
  <si>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</si>
  <si>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</si>
  <si>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</si>
  <si>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Комплект инструментов для балкона (секатор, лопатка, многофункциональный кувшин с заостренным краем), (Дисплей)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</si>
  <si>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</si>
  <si>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Шланг спиральный 10 м для террас с фитингами для подключения и наконечником для полива "Домашнее садоводство"</t>
  </si>
  <si>
    <t>Сажалка для луковичных растений (ручной инструмент)</t>
  </si>
  <si>
    <t>Сажалка для луковичных растений (ручной инструмент) (Дисплей)</t>
  </si>
  <si>
    <t>Сажалка-лункообразователь (ручной инструмент)</t>
  </si>
  <si>
    <t>Лопата для уборки снега 40 см ClassicLine</t>
  </si>
  <si>
    <t>Скрепер для уборки снега 80 см ClassicLine</t>
  </si>
  <si>
    <t>Лопата для уборки снега 40 см c пластиковой кромкой</t>
  </si>
  <si>
    <t>Лопата для уборки снега 50 см c пластиковой кромкой</t>
  </si>
  <si>
    <t>Лопата для уборки снега 40 см с кромкой из нержавеющей стали</t>
  </si>
  <si>
    <t>Лопата для уборки снега 50 см с кромкой из нержавеющей стали</t>
  </si>
  <si>
    <t>Скребок для льда и снега 15 см</t>
  </si>
  <si>
    <t>Скрепер для уборки снега</t>
  </si>
  <si>
    <t>Ковер для посадки растений, размер S</t>
  </si>
  <si>
    <t>Ковер для посадки растений, размер M</t>
  </si>
  <si>
    <t>Ковер для посадки растений, размер L</t>
  </si>
  <si>
    <t>Коврик для обрезки растений контурный</t>
  </si>
  <si>
    <t>Извлекатель сорняков</t>
  </si>
  <si>
    <t>Извлекатель сорняков (Дисплей)</t>
  </si>
  <si>
    <t>Бордюр черный 9 см, длина 9 м</t>
  </si>
  <si>
    <t>Бордюр черный 15 см, длина 9 м</t>
  </si>
  <si>
    <t>Бордюр черный 20 см , длина 9 м</t>
  </si>
  <si>
    <t xml:space="preserve">Бордюр зеленый 9 см, длина 9 м </t>
  </si>
  <si>
    <t xml:space="preserve">Бордюр зеленый 15 см, длина 9 м </t>
  </si>
  <si>
    <t xml:space="preserve">Бордюр зеленый 20 см, длина 9 м </t>
  </si>
  <si>
    <t>Разбрасыватель-сеялка ручная S</t>
  </si>
  <si>
    <t>Разбрасыватель-сеялка ручная M</t>
  </si>
  <si>
    <t>Разбрасыватель-сеялка 3 л (насадка для комбисистемы)</t>
  </si>
  <si>
    <t xml:space="preserve">Разбрасыватель-сеялка L </t>
  </si>
  <si>
    <t>Разбрасыватель-сеялка L  (Дисплей 1/2 паллеты)</t>
  </si>
  <si>
    <t>Разбрасыватель-сеялка XL</t>
  </si>
  <si>
    <t>Опрыскиватель ручной 0,45 л</t>
  </si>
  <si>
    <t xml:space="preserve">Опрыскиватель 0.5 л </t>
  </si>
  <si>
    <t>Опрыскиватель ручной 0,75 л</t>
  </si>
  <si>
    <t>Опрыскиватель ручной 0,75 л (Дисплей 45 шт.)</t>
  </si>
  <si>
    <t xml:space="preserve">Опрыскиватель 1 л </t>
  </si>
  <si>
    <t>Опрыскиватель ручной 1 л</t>
  </si>
  <si>
    <t>Домашнее садоводство: Опрыскиватель Premium 1 л</t>
  </si>
  <si>
    <t>Опрыскиватель ручной аккумуляторный EasyPump 1 л</t>
  </si>
  <si>
    <t>Опрыскиватель 1.25</t>
  </si>
  <si>
    <t>Опрыскиватель 1.25 (Дисплей)</t>
  </si>
  <si>
    <t>Опрыскиватель помповый 1,25 л</t>
  </si>
  <si>
    <t>Опрыскиватель помповый 1,25 л (Дисплей)</t>
  </si>
  <si>
    <t xml:space="preserve">Опрыскиватель 5 л </t>
  </si>
  <si>
    <t>Опрыскиватель помповый 5 л</t>
  </si>
  <si>
    <t>Опрыскиватель 5 л (Дисплей)</t>
  </si>
  <si>
    <t>Опрыскиватель помповый 5 л (Дисплей)</t>
  </si>
  <si>
    <t>Комплект: Опрыскиватель 5 л + Раструб (Дисплей)</t>
  </si>
  <si>
    <t>Комплект: Опрыскиватель помповый 5 л + Раструб (Дисплей)</t>
  </si>
  <si>
    <t>Комплект: Опрыскиватель помповый 5 л + опрыскиватель ручной (Дисплей)</t>
  </si>
  <si>
    <t>Опрыскиватель Comfort 3 л</t>
  </si>
  <si>
    <t>Опрыскиватель Comfort 5 л</t>
  </si>
  <si>
    <t>Опрыскиватель помповый Plus 5 л</t>
  </si>
  <si>
    <t>Опрыскиватель помповый аккумуляторный EasyPump 5 л</t>
  </si>
  <si>
    <t>Опрыскиватель ранцевый Comfort 12 л</t>
  </si>
  <si>
    <t>Опрыскиватель ранцевый 12 л</t>
  </si>
  <si>
    <t>Опрыскиватель ранцевый с манометром Plus 12 л</t>
  </si>
  <si>
    <t xml:space="preserve">Раструб </t>
  </si>
  <si>
    <t>Рнаструб для опрыскивателя</t>
  </si>
  <si>
    <t>Штанга телескопическая</t>
  </si>
  <si>
    <t>Штанга телескопическая для опрыскивателя</t>
  </si>
  <si>
    <t>Удлинительная труба</t>
  </si>
  <si>
    <t>Удлинительная труба для опрыскивателя</t>
  </si>
  <si>
    <t>Перчатки садовые, размер 8</t>
  </si>
  <si>
    <t>Перчатки садовые, размер S</t>
  </si>
  <si>
    <t>Перчатки садовые, размер M</t>
  </si>
  <si>
    <t>Перчатки садовые, размер L</t>
  </si>
  <si>
    <t>Перчатки садовые для работы с почвой, размер 7</t>
  </si>
  <si>
    <t>Перчатки садовые для работы с почвой, размер 8</t>
  </si>
  <si>
    <t>Перчатки садовые для работы с почвой, размер S</t>
  </si>
  <si>
    <t>Перчатки садовые для работы с почвой, размер M</t>
  </si>
  <si>
    <t>Перчатки садовые для работы с почвой, размер L</t>
  </si>
  <si>
    <t>Перчатки садовые для работы с почвой, размер XL</t>
  </si>
  <si>
    <t>Перчатки рабочие, размер 10</t>
  </si>
  <si>
    <t>Перчатки рабочие, размер M</t>
  </si>
  <si>
    <t>Перчатки рабочие, размер L</t>
  </si>
  <si>
    <t>Перчатки рабочие, размер XL</t>
  </si>
  <si>
    <t>Перчатки для ухода за кустарниками, размер 7</t>
  </si>
  <si>
    <t>Перчатки для ухода за кустарниками, размер M</t>
  </si>
  <si>
    <t>Перчатки для ухода за кустарниками, размер L</t>
  </si>
  <si>
    <t>Перчатки для ухода за розами, размер M</t>
  </si>
  <si>
    <t>Перчатки для ухода за розами, размер L</t>
  </si>
  <si>
    <t>Зарядная станция для автоматической газонокосилки R100/130</t>
  </si>
  <si>
    <t>Травосборник к скарификатору-аэратору Gardena 4070-20</t>
  </si>
  <si>
    <t xml:space="preserve">Адаптер к аэратору  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</si>
  <si>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</si>
  <si>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</si>
  <si>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</si>
  <si>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 xml:space="preserve">Переходник  </t>
  </si>
  <si>
    <t xml:space="preserve">Коннектор с автостопом 3/4" </t>
  </si>
  <si>
    <t>Базовый комплект для полива (арт. 18202/5305, 18215, 18213, 18300) - 50 лет базовой системе полива GARDENA, (Дисплей 1/4 паллеты с постером)</t>
  </si>
  <si>
    <t xml:space="preserve">Шланг Classic 1/2 х 20 м с фитингами </t>
  </si>
  <si>
    <t xml:space="preserve">Шланг Flex 13 мм(1/2) 10 м </t>
  </si>
  <si>
    <t xml:space="preserve">Шланг Flex 9x9 1/2" х 30 м: комплект </t>
  </si>
  <si>
    <t xml:space="preserve">Шланг Highflex 5/8" х 25 м </t>
  </si>
  <si>
    <t xml:space="preserve">Шланг Highflex 5/8" х 1 метр </t>
  </si>
  <si>
    <t xml:space="preserve">Шланг Highflex 5/8" х 50 м </t>
  </si>
  <si>
    <t xml:space="preserve">Шланг HighFLEX 13 мм (1/2"), 30 м 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</si>
  <si>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</si>
  <si>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Катушка со шлангом настенная автоматическая, 30 м(голубая) с комплектом для полива (1x 18200, 1x 18201, 1x 18202, 1x 18215, 1x 18213, 1x 18300)</t>
  </si>
  <si>
    <t xml:space="preserve">Душ садовый Solo </t>
  </si>
  <si>
    <t>Пистолет-наконечник для полива многофункциональный Premium</t>
  </si>
  <si>
    <t>Пистолет-распылитель Classic</t>
  </si>
  <si>
    <t xml:space="preserve">Дозатор для удобрений  </t>
  </si>
  <si>
    <t xml:space="preserve">Блок управления клапанами для полива 4040 </t>
  </si>
  <si>
    <t xml:space="preserve">Дополнительный модуль  </t>
  </si>
  <si>
    <t xml:space="preserve">Адаптер для 1308  </t>
  </si>
  <si>
    <t xml:space="preserve">Хомут  </t>
  </si>
  <si>
    <t xml:space="preserve">Ключ монтажный  </t>
  </si>
  <si>
    <t xml:space="preserve">Комплект капельниц 10 шт в блистере </t>
  </si>
  <si>
    <t xml:space="preserve">Насос дренажный для чистой воды 6000 Classic </t>
  </si>
  <si>
    <t xml:space="preserve">Насос дренажный для грязной воды 6000 Classic </t>
  </si>
  <si>
    <t xml:space="preserve">Захват для пруда Vario 6  </t>
  </si>
  <si>
    <t xml:space="preserve">Светильник прожектор 50 W  </t>
  </si>
  <si>
    <t xml:space="preserve">Секатор B/S-M  </t>
  </si>
  <si>
    <t>Комплект: Ножницы для живой изгороди механическиетелескопические Comfort 700 T + секатор Classic</t>
  </si>
  <si>
    <t>Газонокосилка барабанная механическая 400C Comfort for OBI</t>
  </si>
  <si>
    <t xml:space="preserve">Триммер электрический EasyCut 400/25 </t>
  </si>
  <si>
    <t xml:space="preserve">Ножницы для газонов аккумуляторные ClassicCut </t>
  </si>
  <si>
    <t>Ножницы аккумуляторные ClassicCut, комплект</t>
  </si>
  <si>
    <t xml:space="preserve">Устройство зарядное быстродействующее SL 6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</si>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</sst>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5"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266"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881" totalsRowShown="0" headerRowDxfId="265" dataDxfId="264">
  <autoFilter ref="A2:AX881" xr:uid="{6B7FED29-D1EF-44AD-8CEA-6B36EA57CFDF}"/>
  <tableColumns count="50">
    <tableColumn id="20" xr3:uid="{F0834113-79EB-4DC4-BB50-96E4D3BC9E62}" name="№" dataDxfId="263"/>
    <tableColumn id="1" xr3:uid="{00000000-0010-0000-0300-000001000000}" name="Категория для прайс-листа диллеров" dataDxfId="262"/>
    <tableColumn id="2" xr3:uid="{00000000-0010-0000-0300-000002000000}" name="Суперкатегория (ENG)" dataDxfId="261"/>
    <tableColumn id="3" xr3:uid="{00000000-0010-0000-0300-000003000000}" name="Суперкатегория (RUS)" dataDxfId="260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59"/>
    <tableColumn id="5" xr3:uid="{00000000-0010-0000-0300-000005000000}" name="Название продукт группы (ENG)" dataDxfId="258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57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56"/>
    <tableColumn id="8" xr3:uid="{00000000-0010-0000-0300-000008000000}" name="Generic Name (long)" dataDxfId="255"/>
    <tableColumn id="9" xr3:uid="{00000000-0010-0000-0300-000009000000}" name="Model" dataDxfId="254"/>
    <tableColumn id="10" xr3:uid="{00000000-0010-0000-0300-00000A000000}" name="PNS" dataDxfId="253"/>
    <tableColumn id="11" xr3:uid="{00000000-0010-0000-0300-00000B000000}" name="Артикул" dataDxfId="252"/>
    <tableColumn id="12" xr3:uid="{00000000-0010-0000-0300-00000C000000}" name="Артикул предшественника (если есть)" dataDxfId="251"/>
    <tableColumn id="13" xr3:uid="{00000000-0010-0000-0300-00000D000000}" name="Название артикула (ENG)" dataDxfId="250"/>
    <tableColumn id="14" xr3:uid="{00000000-0010-0000-0300-00000E000000}" name="Название артикула (RUS)" dataDxfId="249"/>
    <tableColumn id="15" xr3:uid="{00000000-0010-0000-0300-00000F000000}" name="Используемый календарь" dataDxfId="248"/>
    <tableColumn id="21" xr3:uid="{22E1A367-1EE8-43BC-814E-457CB0799CE2}" name="to be sold in" dataDxfId="247"/>
    <tableColumn id="22" xr3:uid="{96D0E354-E4F0-4C0D-A215-B5053EDC93D3}" name="Sales Start Date" dataDxfId="246"/>
    <tableColumn id="23" xr3:uid="{8E8FA46F-C4EA-4B11-9002-6C2FB1732F50}" name="Preliminary Elimination Date" dataDxfId="245"/>
    <tableColumn id="24" xr3:uid="{1CD4DFA3-524A-4B3F-B75B-153436EC8505}" name="Elimination Date" dataDxfId="244"/>
    <tableColumn id="25" xr3:uid="{9E91402A-0829-46E3-BCAD-2B3FBD67E8B4}" name="GTIN-13/EAN" dataDxfId="243"/>
    <tableColumn id="26" xr3:uid="{6D670FEE-0EE3-4984-AE03-EE53C5B4F796}" name="Current Producing Factory Entity Reference" dataDxfId="242"/>
    <tableColumn id="27" xr3:uid="{5EE7ABD6-FDA4-4488-802E-A3E44391980C}" name="Country of Origin" dataDxfId="241"/>
    <tableColumn id="28" xr3:uid="{9B515A88-1ED3-4508-B5E0-8006888F9EC2}" name="Unit of measure" dataDxfId="240"/>
    <tableColumn id="29" xr3:uid="{87BE889F-2ABE-4DA6-8E30-3420049514D6}" name="Quantity in Master pack" dataDxfId="239"/>
    <tableColumn id="30" xr3:uid="{47EEE49F-81B7-4FCC-B374-69DEC03ECE66}" name="Article gross weight, preliminary" dataDxfId="238"/>
    <tableColumn id="31" xr3:uid="{EFEF2C58-568B-4F24-9FA2-6034A66D278C}" name="Article gross weight" dataDxfId="237"/>
    <tableColumn id="32" xr3:uid="{D9BFC098-81CC-44FD-9FDE-FE6F58BB8BD6}" name="Article net weight, preliminary" dataDxfId="236"/>
    <tableColumn id="33" xr3:uid="{C47E9D47-775F-4F97-AD61-45CFFC8D6D30}" name="Article net weight" dataDxfId="235"/>
    <tableColumn id="34" xr3:uid="{8FDF5358-549B-4DBC-B8D0-CFC371276F4D}" name="Packaging length" dataDxfId="234"/>
    <tableColumn id="35" xr3:uid="{6E69E3B5-4350-4ABB-89BF-8A6BD2DC4947}" name="Packaging width" dataDxfId="233"/>
    <tableColumn id="36" xr3:uid="{96879B4C-6D27-4389-8B5A-11E1CBC022EA}" name="Packaging height" dataDxfId="232"/>
    <tableColumn id="37" xr3:uid="{170F61C0-2069-494A-A33C-F39311F5A9C7}" name="Packaging volume" dataDxfId="231"/>
    <tableColumn id="38" xr3:uid="{5E3DED34-6BEE-4E8A-AFB4-2CACE6CD1835}" name="Product size length" dataDxfId="230"/>
    <tableColumn id="39" xr3:uid="{FF80A301-50E2-4D81-BB7D-1EE251460E5A}" name="Product size height" dataDxfId="229"/>
    <tableColumn id="40" xr3:uid="{37BA004B-7442-4871-93EF-B13A77E1A917}" name="Product size width" dataDxfId="228"/>
    <tableColumn id="41" xr3:uid="{9C4077D9-3E18-4C57-A4FE-24EC817418FB}" name="Units Per Pallet" dataDxfId="227"/>
    <tableColumn id="16" xr3:uid="{00000000-0010-0000-0300-000010000000}" name="Статус" dataDxfId="226"/>
    <tableColumn id="17" xr3:uid="{00000000-0010-0000-0300-000011000000}" name="Эксклюзив клиента или канала продажи" dataDxfId="225"/>
    <tableColumn id="18" xr3:uid="{00000000-0010-0000-0300-000012000000}" name="Локальный сертификат" dataDxfId="224"/>
    <tableColumn id="43" xr3:uid="{F395E6EB-A30D-4A38-AB3A-7536C9D93B73}" name="IRP, Eur" dataDxfId="223"/>
    <tableColumn id="42" xr3:uid="{05ED5D32-E5CB-4A2F-932D-7E4E79D8C3DB}" name="РРЦ текущий" dataDxfId="8"/>
    <tableColumn id="19" xr3:uid="{942DBC0D-E4D1-4CAE-964C-D4023A4F222C}" name="DIY текущий" dataDxfId="9"/>
    <tableColumn id="44" xr3:uid="{B34018FA-361B-4D7A-BB24-F38CB52B40FF}" name="Процент повышения РРЦ" dataDxfId="222"/>
    <tableColumn id="45" xr3:uid="{74423DE5-1814-4A91-B002-871E2E69DACF}" name="РРЦ расчетная, руб." dataDxfId="221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220"/>
    <tableColumn id="49" xr3:uid="{9DFD32D8-20F7-44F2-9EFD-A1D48FECC173}" name="РРЦ, евро" dataDxfId="219">
      <calculatedColumnFormula>ROUND(Товары[[#This Row],[РРЦ финальная, руб.]]/$AT$1,2)</calculatedColumnFormula>
    </tableColumn>
    <tableColumn id="47" xr3:uid="{274477BF-6DA6-42C0-8813-165D8A99D45E}" name="Индекс IRP" dataDxfId="218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217"/>
    <tableColumn id="48" xr3:uid="{B9D88E75-7832-4F53-8C3F-6C92D997E7AF}" name="DIY price list, руб. без НДС" dataDxfId="216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215" dataDxfId="214">
  <autoFilter ref="A1:H440" xr:uid="{00000000-0009-0000-0100-00000D000000}"/>
  <tableColumns count="8">
    <tableColumn id="8" xr3:uid="{E2D1A163-1F1A-4C5F-BF19-12C204A54D1C}" name="№" dataDxfId="213"/>
    <tableColumn id="1" xr3:uid="{00000000-0010-0000-0A00-000001000000}" name="GardenaChannel" dataDxfId="212"/>
    <tableColumn id="2" xr3:uid="{00000000-0010-0000-0A00-000002000000}" name="Customer" dataDxfId="211"/>
    <tableColumn id="3" xr3:uid="{00000000-0010-0000-0A00-000003000000}" name="Channel type" dataDxfId="210"/>
    <tableColumn id="4" xr3:uid="{00000000-0010-0000-0A00-000004000000}" name="Customer status" dataDxfId="209"/>
    <tableColumn id="5" xr3:uid="{00000000-0010-0000-0A00-000005000000}" name="Sales manager" dataDxfId="208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207"/>
    <tableColumn id="7" xr3:uid="{00000000-0010-0000-0A00-000007000000}" name="CustomerBudget" dataDxfId="20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205">
  <autoFilter ref="A1:K2" xr:uid="{00000000-0009-0000-0100-00000F000000}"/>
  <tableColumns count="11">
    <tableColumn id="11" xr3:uid="{F724774D-6E5F-421B-8A8A-7AD1541FFA21}" name="№" dataDxfId="204"/>
    <tableColumn id="1" xr3:uid="{00000000-0010-0000-0C00-000001000000}" name="Channel type" dataDxfId="203"/>
    <tableColumn id="2" xr3:uid="{00000000-0010-0000-0C00-000002000000}" name="Customer status" dataDxfId="202"/>
    <tableColumn id="3" xr3:uid="{00000000-0010-0000-0C00-000003000000}" name="Период" dataDxfId="201"/>
    <tableColumn id="4" xr3:uid="{00000000-0010-0000-0C00-000004000000}" name="Оборудование для полива" dataDxfId="200"/>
    <tableColumn id="5" xr3:uid="{00000000-0010-0000-0C00-000005000000}" name="Электрика (Готовая продукция)" dataDxfId="199"/>
    <tableColumn id="6" xr3:uid="{00000000-0010-0000-0C00-000006000000}" name="Газонокосилки-роботы" dataDxfId="198"/>
    <tableColumn id="7" xr3:uid="{00000000-0010-0000-0C00-000007000000}" name="Насосное оборудование" dataDxfId="197"/>
    <tableColumn id="8" xr3:uid="{00000000-0010-0000-0C00-000008000000}" name="Ручные и режущие инструменты" dataDxfId="196"/>
    <tableColumn id="9" xr3:uid="{00000000-0010-0000-0C00-000009000000}" name="Зимние инструменты ClassicLine" dataDxfId="195"/>
    <tableColumn id="10" xr3:uid="{00000000-0010-0000-0C00-00000A000000}" name="Максимальный годовой бонус" dataDxfId="19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93" headerRowBorderDxfId="192" tableBorderDxfId="191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9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89"/>
    <tableColumn id="2" xr3:uid="{00000000-0010-0000-0700-000002000000}" name="SubGroup" dataDxfId="188"/>
    <tableColumn id="3" xr3:uid="{00000000-0010-0000-0700-000003000000}" name="Процент от РРЦ, без НДС" dataDxfId="187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86">
  <tableColumns count="121">
    <tableColumn id="1" xr3:uid="{00000000-0010-0000-0D00-000001000000}" name="ID" dataDxfId="185"/>
    <tableColumn id="2" xr3:uid="{00000000-0010-0000-0D00-000002000000}" name="Channel type" dataDxfId="184"/>
    <tableColumn id="3" xr3:uid="{00000000-0010-0000-0D00-000003000000}" name="Customer status" dataDxfId="183"/>
    <tableColumn id="4" xr3:uid="{00000000-0010-0000-0D00-000004000000}" name="Дата прогноза" dataDxfId="182"/>
    <tableColumn id="5" xr3:uid="{00000000-0010-0000-0D00-000005000000}" name="Данные справочника товаров"/>
    <tableColumn id="6" xr3:uid="{00000000-0010-0000-0D00-000006000000}" name="STK 2.5, руб." dataDxfId="181"/>
    <tableColumn id="7" xr3:uid="{00000000-0010-0000-0D00-000007000000}" name="IRP, Eur" dataDxfId="180"/>
    <tableColumn id="8" xr3:uid="{00000000-0010-0000-0D00-000008000000}" name="РРЦ, руб.с НДС" dataDxfId="179"/>
    <tableColumn id="9" xr3:uid="{00000000-0010-0000-0D00-000009000000}" name="Индекс IRP" dataDxfId="178"/>
    <tableColumn id="10" xr3:uid="{00000000-0010-0000-0D00-00000A000000}" name="DIY price list, руб. без НДС" dataDxfId="177"/>
    <tableColumn id="11" xr3:uid="{00000000-0010-0000-0D00-00000B000000}" name="2 net цена, руб." dataDxfId="176"/>
    <tableColumn id="12" xr3:uid="{00000000-0010-0000-0D00-00000C000000}" name="3 net цена, руб." dataDxfId="175"/>
    <tableColumn id="13" xr3:uid="{00000000-0010-0000-0D00-00000D000000}" name="Transfer цена, руб." dataDxfId="174"/>
    <tableColumn id="14" xr3:uid="{00000000-0010-0000-0D00-00000E000000}" name="Price-list январь" dataDxfId="173"/>
    <tableColumn id="15" xr3:uid="{00000000-0010-0000-0D00-00000F000000}" name="Price-list февраль" dataDxfId="172"/>
    <tableColumn id="16" xr3:uid="{00000000-0010-0000-0D00-000010000000}" name="Price-list март" dataDxfId="171"/>
    <tableColumn id="17" xr3:uid="{00000000-0010-0000-0D00-000011000000}" name="Price-list апрель" dataDxfId="170"/>
    <tableColumn id="18" xr3:uid="{00000000-0010-0000-0D00-000012000000}" name="Price-list май" dataDxfId="169"/>
    <tableColumn id="19" xr3:uid="{00000000-0010-0000-0D00-000013000000}" name="Price-list июнь" dataDxfId="168"/>
    <tableColumn id="20" xr3:uid="{00000000-0010-0000-0D00-000014000000}" name="Price-list июль" dataDxfId="167"/>
    <tableColumn id="21" xr3:uid="{00000000-0010-0000-0D00-000015000000}" name="Price-list август" dataDxfId="166"/>
    <tableColumn id="22" xr3:uid="{00000000-0010-0000-0D00-000016000000}" name="Price-list сентябрь" dataDxfId="165"/>
    <tableColumn id="23" xr3:uid="{00000000-0010-0000-0D00-000017000000}" name="Price-list октябрь" dataDxfId="164"/>
    <tableColumn id="24" xr3:uid="{00000000-0010-0000-0D00-000018000000}" name="Price-list ноябрь" dataDxfId="163"/>
    <tableColumn id="25" xr3:uid="{00000000-0010-0000-0D00-000019000000}" name="Price-list декабрь" dataDxfId="162"/>
    <tableColumn id="26" xr3:uid="{00000000-0010-0000-0D00-00001A000000}" name="Объем продаж январь" dataDxfId="161"/>
    <tableColumn id="27" xr3:uid="{00000000-0010-0000-0D00-00001B000000}" name="Объем продаж февраль" dataDxfId="160"/>
    <tableColumn id="28" xr3:uid="{00000000-0010-0000-0D00-00001C000000}" name="Объем продаж март" dataDxfId="159"/>
    <tableColumn id="29" xr3:uid="{00000000-0010-0000-0D00-00001D000000}" name="Объем продаж апрель" dataDxfId="158"/>
    <tableColumn id="30" xr3:uid="{00000000-0010-0000-0D00-00001E000000}" name="Объем продаж май" dataDxfId="157"/>
    <tableColumn id="31" xr3:uid="{00000000-0010-0000-0D00-00001F000000}" name="Объем продаж июнь" dataDxfId="156"/>
    <tableColumn id="32" xr3:uid="{00000000-0010-0000-0D00-000020000000}" name="Объем продаж июль" dataDxfId="155"/>
    <tableColumn id="33" xr3:uid="{00000000-0010-0000-0D00-000021000000}" name="Объем продаж август" dataDxfId="154"/>
    <tableColumn id="34" xr3:uid="{00000000-0010-0000-0D00-000022000000}" name="Объем продаж сентябрь" dataDxfId="153"/>
    <tableColumn id="35" xr3:uid="{00000000-0010-0000-0D00-000023000000}" name="Объем продаж октябрь" dataDxfId="152"/>
    <tableColumn id="36" xr3:uid="{00000000-0010-0000-0D00-000024000000}" name="Объем продаж ноябрь" dataDxfId="151"/>
    <tableColumn id="37" xr3:uid="{00000000-0010-0000-0D00-000025000000}" name="Объем продаж декабрь" dataDxfId="150"/>
    <tableColumn id="38" xr3:uid="{00000000-0010-0000-0D00-000026000000}" name="GS январь" dataDxfId="149"/>
    <tableColumn id="39" xr3:uid="{00000000-0010-0000-0D00-000027000000}" name="GS февраль" dataDxfId="148"/>
    <tableColumn id="40" xr3:uid="{00000000-0010-0000-0D00-000028000000}" name="GS март" dataDxfId="147"/>
    <tableColumn id="41" xr3:uid="{00000000-0010-0000-0D00-000029000000}" name="GS апрель" dataDxfId="146"/>
    <tableColumn id="42" xr3:uid="{00000000-0010-0000-0D00-00002A000000}" name="GS май" dataDxfId="145"/>
    <tableColumn id="43" xr3:uid="{00000000-0010-0000-0D00-00002B000000}" name="GS июнь" dataDxfId="144"/>
    <tableColumn id="44" xr3:uid="{00000000-0010-0000-0D00-00002C000000}" name="GS июль" dataDxfId="143"/>
    <tableColumn id="45" xr3:uid="{00000000-0010-0000-0D00-00002D000000}" name="GS август" dataDxfId="142"/>
    <tableColumn id="46" xr3:uid="{00000000-0010-0000-0D00-00002E000000}" name="GS сентябрь" dataDxfId="141"/>
    <tableColumn id="47" xr3:uid="{00000000-0010-0000-0D00-00002F000000}" name="GS октябрь" dataDxfId="140"/>
    <tableColumn id="48" xr3:uid="{00000000-0010-0000-0D00-000030000000}" name="GS ноябрь" dataDxfId="139"/>
    <tableColumn id="49" xr3:uid="{00000000-0010-0000-0D00-000031000000}" name="GS декабрь" dataDxfId="138"/>
    <tableColumn id="50" xr3:uid="{00000000-0010-0000-0D00-000032000000}" name="NS Январь" dataDxfId="137"/>
    <tableColumn id="51" xr3:uid="{00000000-0010-0000-0D00-000033000000}" name="NS февраль" dataDxfId="136"/>
    <tableColumn id="52" xr3:uid="{00000000-0010-0000-0D00-000034000000}" name="NS март" dataDxfId="135"/>
    <tableColumn id="53" xr3:uid="{00000000-0010-0000-0D00-000035000000}" name="NS апрель" dataDxfId="134"/>
    <tableColumn id="54" xr3:uid="{00000000-0010-0000-0D00-000036000000}" name="NS май" dataDxfId="133"/>
    <tableColumn id="55" xr3:uid="{00000000-0010-0000-0D00-000037000000}" name="NS июнь" dataDxfId="132"/>
    <tableColumn id="56" xr3:uid="{00000000-0010-0000-0D00-000038000000}" name="NS июль" dataDxfId="131"/>
    <tableColumn id="57" xr3:uid="{00000000-0010-0000-0D00-000039000000}" name="NS август" dataDxfId="130"/>
    <tableColumn id="58" xr3:uid="{00000000-0010-0000-0D00-00003A000000}" name="NS сентябрь" dataDxfId="129"/>
    <tableColumn id="59" xr3:uid="{00000000-0010-0000-0D00-00003B000000}" name="NS октябрь" dataDxfId="128"/>
    <tableColumn id="60" xr3:uid="{00000000-0010-0000-0D00-00003C000000}" name="NS ноябрь" dataDxfId="127"/>
    <tableColumn id="61" xr3:uid="{00000000-0010-0000-0D00-00003D000000}" name="NS декабрь" dataDxfId="126"/>
    <tableColumn id="62" xr3:uid="{00000000-0010-0000-0D00-00003E000000}" name="Promo Price-list январь" dataDxfId="125"/>
    <tableColumn id="63" xr3:uid="{00000000-0010-0000-0D00-00003F000000}" name="Promo Price-list февраль" dataDxfId="124"/>
    <tableColumn id="64" xr3:uid="{00000000-0010-0000-0D00-000040000000}" name="Promo Price-list март" dataDxfId="123"/>
    <tableColumn id="65" xr3:uid="{00000000-0010-0000-0D00-000041000000}" name="Promo Price-list апрель" dataDxfId="122"/>
    <tableColumn id="66" xr3:uid="{00000000-0010-0000-0D00-000042000000}" name="Promo Price-list май" dataDxfId="121"/>
    <tableColumn id="67" xr3:uid="{00000000-0010-0000-0D00-000043000000}" name="Promo Price-list июнь" dataDxfId="120"/>
    <tableColumn id="68" xr3:uid="{00000000-0010-0000-0D00-000044000000}" name="Promo Price-list июль" dataDxfId="119"/>
    <tableColumn id="69" xr3:uid="{00000000-0010-0000-0D00-000045000000}" name="Promo Price-list август" dataDxfId="118"/>
    <tableColumn id="70" xr3:uid="{00000000-0010-0000-0D00-000046000000}" name="Promo Price-list сентябрь" dataDxfId="117"/>
    <tableColumn id="71" xr3:uid="{00000000-0010-0000-0D00-000047000000}" name="Promo Price-list октябрь" dataDxfId="116"/>
    <tableColumn id="72" xr3:uid="{00000000-0010-0000-0D00-000048000000}" name="Promo Price-list ноябрь" dataDxfId="115"/>
    <tableColumn id="73" xr3:uid="{00000000-0010-0000-0D00-000049000000}" name="Promo Price-list декабрь" dataDxfId="114"/>
    <tableColumn id="74" xr3:uid="{00000000-0010-0000-0D00-00004A000000}" name="Promo Объем продаж январь" dataDxfId="113"/>
    <tableColumn id="75" xr3:uid="{00000000-0010-0000-0D00-00004B000000}" name="Promo Объем февраль" dataDxfId="112"/>
    <tableColumn id="76" xr3:uid="{00000000-0010-0000-0D00-00004C000000}" name="Promo Объем март" dataDxfId="111"/>
    <tableColumn id="77" xr3:uid="{00000000-0010-0000-0D00-00004D000000}" name="Promo Объем апрель" dataDxfId="110"/>
    <tableColumn id="78" xr3:uid="{00000000-0010-0000-0D00-00004E000000}" name="Promo Объем май" dataDxfId="109"/>
    <tableColumn id="79" xr3:uid="{00000000-0010-0000-0D00-00004F000000}" name="Promo Объем июнь" dataDxfId="108"/>
    <tableColumn id="80" xr3:uid="{00000000-0010-0000-0D00-000050000000}" name="Promo Объем июль" dataDxfId="107"/>
    <tableColumn id="81" xr3:uid="{00000000-0010-0000-0D00-000051000000}" name="Promo Объем август" dataDxfId="106"/>
    <tableColumn id="82" xr3:uid="{00000000-0010-0000-0D00-000052000000}" name="Promo Объем сентябрь" dataDxfId="105"/>
    <tableColumn id="83" xr3:uid="{00000000-0010-0000-0D00-000053000000}" name="Promo Объем октябрь" dataDxfId="104"/>
    <tableColumn id="84" xr3:uid="{00000000-0010-0000-0D00-000054000000}" name="Promo Объем ноябрь" dataDxfId="103"/>
    <tableColumn id="85" xr3:uid="{00000000-0010-0000-0D00-000055000000}" name="Promo Объем декабрь" dataDxfId="102"/>
    <tableColumn id="86" xr3:uid="{00000000-0010-0000-0D00-000056000000}" name="Promo GS январь" dataDxfId="101"/>
    <tableColumn id="87" xr3:uid="{00000000-0010-0000-0D00-000057000000}" name="Promo GS февраль" dataDxfId="100"/>
    <tableColumn id="88" xr3:uid="{00000000-0010-0000-0D00-000058000000}" name="Promo GS март" dataDxfId="99"/>
    <tableColumn id="89" xr3:uid="{00000000-0010-0000-0D00-000059000000}" name="Promo GS апрель" dataDxfId="98"/>
    <tableColumn id="90" xr3:uid="{00000000-0010-0000-0D00-00005A000000}" name="Promo GS май" dataDxfId="97"/>
    <tableColumn id="91" xr3:uid="{00000000-0010-0000-0D00-00005B000000}" name="Promo GS июнь" dataDxfId="96"/>
    <tableColumn id="92" xr3:uid="{00000000-0010-0000-0D00-00005C000000}" name="Promo GS июль" dataDxfId="95"/>
    <tableColumn id="93" xr3:uid="{00000000-0010-0000-0D00-00005D000000}" name="Promo GS август" dataDxfId="94"/>
    <tableColumn id="94" xr3:uid="{00000000-0010-0000-0D00-00005E000000}" name="Promo GS сентябрь" dataDxfId="93"/>
    <tableColumn id="95" xr3:uid="{00000000-0010-0000-0D00-00005F000000}" name="Promo GS октябрь" dataDxfId="92"/>
    <tableColumn id="96" xr3:uid="{00000000-0010-0000-0D00-000060000000}" name="Promo GS ноябрь" dataDxfId="91"/>
    <tableColumn id="97" xr3:uid="{00000000-0010-0000-0D00-000061000000}" name="Promo GS декабрь" dataDxfId="90"/>
    <tableColumn id="98" xr3:uid="{00000000-0010-0000-0D00-000062000000}" name="Promo NS январь" dataDxfId="89"/>
    <tableColumn id="99" xr3:uid="{00000000-0010-0000-0D00-000063000000}" name="Promo NS февраль" dataDxfId="88"/>
    <tableColumn id="100" xr3:uid="{00000000-0010-0000-0D00-000064000000}" name="Promo NS март" dataDxfId="87"/>
    <tableColumn id="101" xr3:uid="{00000000-0010-0000-0D00-000065000000}" name="Promo NS апрель" dataDxfId="86"/>
    <tableColumn id="102" xr3:uid="{00000000-0010-0000-0D00-000066000000}" name="Promo NS май" dataDxfId="85"/>
    <tableColumn id="103" xr3:uid="{00000000-0010-0000-0D00-000067000000}" name="Promo NS июнь" dataDxfId="84"/>
    <tableColumn id="104" xr3:uid="{00000000-0010-0000-0D00-000068000000}" name="Promo NS июль" dataDxfId="83"/>
    <tableColumn id="105" xr3:uid="{00000000-0010-0000-0D00-000069000000}" name="Promo NS август" dataDxfId="82"/>
    <tableColumn id="106" xr3:uid="{00000000-0010-0000-0D00-00006A000000}" name="Promo NS сентябрь" dataDxfId="81"/>
    <tableColumn id="107" xr3:uid="{00000000-0010-0000-0D00-00006B000000}" name="Promo NS октябрь" dataDxfId="80"/>
    <tableColumn id="108" xr3:uid="{00000000-0010-0000-0D00-00006C000000}" name="Promo NS ноябрь" dataDxfId="79"/>
    <tableColumn id="109" xr3:uid="{00000000-0010-0000-0D00-00006D000000}" name="Promo NS декабрь" dataDxfId="78"/>
    <tableColumn id="110" xr3:uid="{00000000-0010-0000-0D00-00006E000000}" name="GP Value январь" dataDxfId="77"/>
    <tableColumn id="111" xr3:uid="{00000000-0010-0000-0D00-00006F000000}" name="GP Value февраль" dataDxfId="76"/>
    <tableColumn id="112" xr3:uid="{00000000-0010-0000-0D00-000070000000}" name="GP Value март" dataDxfId="75"/>
    <tableColumn id="113" xr3:uid="{00000000-0010-0000-0D00-000071000000}" name="GP Value апрель" dataDxfId="74"/>
    <tableColumn id="114" xr3:uid="{00000000-0010-0000-0D00-000072000000}" name="GP Value май" dataDxfId="73"/>
    <tableColumn id="115" xr3:uid="{00000000-0010-0000-0D00-000073000000}" name="GP Value июнь" dataDxfId="72"/>
    <tableColumn id="116" xr3:uid="{00000000-0010-0000-0D00-000074000000}" name="GP Value июль" dataDxfId="71"/>
    <tableColumn id="117" xr3:uid="{00000000-0010-0000-0D00-000075000000}" name="GP Value август" dataDxfId="70"/>
    <tableColumn id="118" xr3:uid="{00000000-0010-0000-0D00-000076000000}" name="GP Value сентябрь" dataDxfId="69"/>
    <tableColumn id="119" xr3:uid="{00000000-0010-0000-0D00-000077000000}" name="GP Value октябрь" dataDxfId="68"/>
    <tableColumn id="120" xr3:uid="{00000000-0010-0000-0D00-000078000000}" name="GP Value ноябрь" dataDxfId="67"/>
    <tableColumn id="121" xr3:uid="{00000000-0010-0000-0D00-000079000000}" name="GP Value декабрь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Таблица18" displayName="Таблица18" ref="A13:U14" totalsRowShown="0" headerRowDxfId="32" dataDxfId="31" headerRowCellStyle="Обычный 2" dataCellStyle="Обычный 2">
  <autoFilter ref="A13:U14" xr:uid="{ADF718DD-67AC-4401-B168-AFEE638B048C}"/>
  <tableColumns count="21">
    <tableColumn id="1" xr3:uid="{AC1F4D41-C0A8-443D-9E3C-D9C4FF50F830}" name="КАТЕГОРИЯ" dataDxfId="30" dataCellStyle="Обычный 2"/>
    <tableColumn id="2" xr3:uid="{20B689EB-7652-4723-BFAB-8C7C64C8FD7A}" name="Фото продукта" dataDxfId="29" dataCellStyle="Обычный 2"/>
    <tableColumn id="3" xr3:uid="{8821E9F1-B085-4717-B559-CDD126769DA7}" name="Продукт группа - название" dataDxfId="28" dataCellStyle="Обычный 2"/>
    <tableColumn id="4" xr3:uid="{A99D0144-C997-463C-9A1D-9B08CF9140E1}" name="Артикул GARDENA" dataDxfId="27" dataCellStyle="Обычный 2"/>
    <tableColumn id="5" xr3:uid="{ED79FFB3-1BA8-4E97-9A5F-C09EAECD5CB1}" name="Артикул предшествующего продукта (если есть)" dataDxfId="26" dataCellStyle="Обычный 2"/>
    <tableColumn id="6" xr3:uid="{71EF79FE-B1E9-4844-9BB4-A63692EDA3AE}" name="Название" dataDxfId="25" dataCellStyle="Обычный 2"/>
    <tableColumn id="7" xr3:uid="{5A0F710D-9900-48D2-A5A0-EE9A1926CA9F}" name="Описание" dataDxfId="24" dataCellStyle="Обычный 2"/>
    <tableColumn id="8" xr3:uid="{0709C17B-24E7-4283-B7CD-103780E925FD}" name="РРЦ 2020, руб. с НДС" dataDxfId="23" dataCellStyle="Обычный 2"/>
    <tableColumn id="9" xr3:uid="{7346265F-E87E-4F08-A3D6-0027CF43A157}" name="EAN штуки" dataDxfId="22" dataCellStyle="Обычный 2"/>
    <tableColumn id="10" xr3:uid="{2C8CCB7E-EDD1-482F-A1E4-EC04C692D1EA}" name="страна производства" dataDxfId="21" dataCellStyle="Обычный 2"/>
    <tableColumn id="11" xr3:uid="{6995D219-9DF9-4115-8CDC-849E890401E6}" name="единица измерения" dataDxfId="20" dataCellStyle="Обычный 2"/>
    <tableColumn id="12" xr3:uid="{1A1113D4-0FC3-4FC9-8993-94D48C5B7E0B}" name="кол-во в мастер-паке" dataDxfId="19" dataCellStyle="Финансовый 2"/>
    <tableColumn id="13" xr3:uid="{085F48D9-0BB4-48CA-BB0A-E910E6B6C9E8}" name="Вес гросс штуки, финальный" dataDxfId="18" dataCellStyle="Обычный 2"/>
    <tableColumn id="14" xr3:uid="{2834A4E1-0E95-43BB-97C8-392563130CF3}" name="Вес нетто штуки, финальный" dataDxfId="17" dataCellStyle="Обычный 2"/>
    <tableColumn id="15" xr3:uid="{5BEC7C38-B443-4DCB-BE49-1848A79C42F9}" name="Длина упаковки" dataDxfId="16" dataCellStyle="Обычный 2"/>
    <tableColumn id="16" xr3:uid="{7C9AB8E1-B1C6-47E3-9BE8-5A1D1C646B25}" name="Ширина упаковки" dataDxfId="15" dataCellStyle="Обычный 2"/>
    <tableColumn id="17" xr3:uid="{10918133-09A5-4117-B3B1-E785EFE65B4A}" name="Высота упаковки" dataDxfId="14" dataCellStyle="Обычный 2"/>
    <tableColumn id="18" xr3:uid="{DE26A25B-99E8-4A9D-8AFE-A2E1D13A4931}" name="Объем упаковки" dataDxfId="13" dataCellStyle="Обычный 2"/>
    <tableColumn id="19" xr3:uid="{9AF542A1-08A7-49E6-9900-1EB99D7350D1}" name="Кол-во штук на паллете" dataDxfId="12" dataCellStyle="Финансовый 2"/>
    <tableColumn id="20" xr3:uid="{9B215DDF-BCA2-477C-8AFA-BC848C8FF031}" name="Сертификация" dataDxfId="11" dataCellStyle="Обычный 2"/>
    <tableColumn id="21" xr3:uid="{76E684EA-EAE5-44EF-8156-B78DA5E17975}" name="Гарантия" dataDxfId="10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65">
  <autoFilter ref="A1:C2" xr:uid="{00000000-0009-0000-0100-000005000000}"/>
  <tableColumns count="3">
    <tableColumn id="1" xr3:uid="{00000000-0010-0000-0400-000001000000}" name="№" dataDxfId="64"/>
    <tableColumn id="2" xr3:uid="{00000000-0010-0000-0400-000002000000}" name="Название" dataDxfId="63"/>
    <tableColumn id="3" xr3:uid="{00000000-0010-0000-0400-000003000000}" name="Путь к файлу" dataDxfId="6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61" dataCellStyle="Финансовый"/>
    <tableColumn id="2" xr3:uid="{00000000-0010-0000-0000-000002000000}" name="Суперкатегория (ENG)" dataDxfId="60"/>
    <tableColumn id="3" xr3:uid="{00000000-0010-0000-0000-000003000000}" name="Суперкатегория (RUS)" dataDxfId="59"/>
  </tableColumns>
  <tableStyleInfo name="TableStyleLight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58" dataDxfId="57">
  <autoFilter ref="A1:D33" xr:uid="{00000000-0009-0000-0100-000002000000}"/>
  <tableColumns count="4">
    <tableColumn id="1" xr3:uid="{00000000-0010-0000-0100-000001000000}" name="№" dataDxfId="56"/>
    <tableColumn id="2" xr3:uid="{00000000-0010-0000-0100-000002000000}" name="Продукт группа" dataDxfId="55"/>
    <tableColumn id="3" xr3:uid="{00000000-0010-0000-0100-000003000000}" name="Название продукт группы (ENG)" dataDxfId="54"/>
    <tableColumn id="4" xr3:uid="{00000000-0010-0000-0100-000004000000}" name="Название продукт группы (RUS)" dataDxfId="53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52"/>
    <tableColumn id="2" xr3:uid="{00000000-0010-0000-0200-000002000000}" name="Статус" dataDxfId="51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50" dataDxfId="49">
  <autoFilter ref="A1:E2" xr:uid="{00000000-0009-0000-0100-000008000000}"/>
  <tableColumns count="5">
    <tableColumn id="5" xr3:uid="{D948CA53-CDCE-46C5-BE95-D1E2925C758E}" name="№" dataDxfId="48"/>
    <tableColumn id="1" xr3:uid="{00000000-0010-0000-0500-000001000000}" name="Артикул" dataDxfId="47"/>
    <tableColumn id="2" xr3:uid="{00000000-0010-0000-0500-000002000000}" name="STK 2.5, Eur" dataDxfId="46"/>
    <tableColumn id="3" xr3:uid="{00000000-0010-0000-0500-000003000000}" name="STK 2.5, руб." dataDxfId="45"/>
    <tableColumn id="4" xr3:uid="{00000000-0010-0000-0500-000004000000}" name="Дата принятия" dataDxfId="4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43" tableBorderDxfId="42">
  <autoFilter ref="A1:C3" xr:uid="{00000000-0009-0000-0100-00000B000000}"/>
  <tableColumns count="3">
    <tableColumn id="1" xr3:uid="{00000000-0010-0000-0800-000001000000}" name="№" dataDxfId="41"/>
    <tableColumn id="2" xr3:uid="{00000000-0010-0000-0800-000002000000}" name="Дата принятия" dataDxfId="40"/>
    <tableColumn id="3" xr3:uid="{00000000-0010-0000-0800-000003000000}" name="Процент от РРЦ, без НДС" dataDxfId="3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38"/>
    <tableColumn id="2" xr3:uid="{00000000-0010-0000-0900-000002000000}" name="Эксклюзивность" dataDxfId="3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6">
  <autoFilter ref="A1:C23" xr:uid="{00000000-0009-0000-0100-00000E000000}"/>
  <tableColumns count="3">
    <tableColumn id="1" xr3:uid="{00000000-0010-0000-0B00-000001000000}" name="Код" dataDxfId="35"/>
    <tableColumn id="2" xr3:uid="{00000000-0010-0000-0B00-000002000000}" name="GardenChannel" dataDxfId="34"/>
    <tableColumn id="3" xr3:uid="{00000000-0010-0000-0B00-000003000000}" name="Sales manager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881"/>
  <sheetViews>
    <sheetView showGridLines="0" tabSelected="1" topLeftCell="I1" zoomScaleNormal="100" workbookViewId="0">
      <pane ySplit="2" topLeftCell="A3" activePane="bottomLeft" state="frozen"/>
      <selection pane="bottomLeft" activeCell="AP3" sqref="AP3"/>
    </sheetView>
  </sheetViews>
  <sheetFormatPr defaultColWidth="24.7109375" defaultRowHeight="12" outlineLevelCol="1" x14ac:dyDescent="0.25"/>
  <cols>
    <col min="1" max="1" width="6.7109375" style="36" customWidth="1" collapsed="1"/>
    <col min="2" max="2" width="13.28515625" style="37" hidden="1" customWidth="1" outlineLevel="1"/>
    <col min="3" max="3" width="13.85546875" style="36" hidden="1" customWidth="1" outlineLevel="1"/>
    <col min="4" max="4" width="13.7109375" style="36" hidden="1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2315</v>
      </c>
      <c r="AP1" s="56">
        <v>43863</v>
      </c>
      <c r="AQ1" s="53"/>
      <c r="AS1" s="36" t="s">
        <v>2314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182</v>
      </c>
      <c r="R2" s="52" t="s">
        <v>183</v>
      </c>
      <c r="S2" s="52" t="s">
        <v>184</v>
      </c>
      <c r="T2" s="52" t="s">
        <v>201</v>
      </c>
      <c r="U2" s="45" t="s">
        <v>200</v>
      </c>
      <c r="V2" s="45" t="s">
        <v>185</v>
      </c>
      <c r="W2" s="45" t="s">
        <v>204</v>
      </c>
      <c r="X2" s="45" t="s">
        <v>186</v>
      </c>
      <c r="Y2" s="45" t="s">
        <v>199</v>
      </c>
      <c r="Z2" s="45" t="s">
        <v>187</v>
      </c>
      <c r="AA2" s="45" t="s">
        <v>198</v>
      </c>
      <c r="AB2" s="45" t="s">
        <v>197</v>
      </c>
      <c r="AC2" s="45" t="s">
        <v>188</v>
      </c>
      <c r="AD2" s="45" t="s">
        <v>189</v>
      </c>
      <c r="AE2" s="45" t="s">
        <v>196</v>
      </c>
      <c r="AF2" s="45" t="s">
        <v>190</v>
      </c>
      <c r="AG2" s="45" t="s">
        <v>191</v>
      </c>
      <c r="AH2" s="45" t="s">
        <v>195</v>
      </c>
      <c r="AI2" s="45" t="s">
        <v>194</v>
      </c>
      <c r="AJ2" s="45" t="s">
        <v>192</v>
      </c>
      <c r="AK2" s="45" t="s">
        <v>193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3285</v>
      </c>
      <c r="AQ2" s="33" t="s">
        <v>3286</v>
      </c>
      <c r="AR2" s="33" t="s">
        <v>2310</v>
      </c>
      <c r="AS2" s="33" t="s">
        <v>2312</v>
      </c>
      <c r="AT2" s="33" t="s">
        <v>2311</v>
      </c>
      <c r="AU2" s="33" t="s">
        <v>2313</v>
      </c>
      <c r="AV2" s="33" t="s">
        <v>69</v>
      </c>
      <c r="AW2" s="33" t="s">
        <v>2316</v>
      </c>
      <c r="AX2" s="33" t="s">
        <v>34</v>
      </c>
    </row>
    <row r="3" spans="1:50" x14ac:dyDescent="0.25">
      <c r="A3" s="36">
        <v>1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242</v>
      </c>
      <c r="J3" s="37">
        <v>2900</v>
      </c>
      <c r="K3" s="38">
        <v>901022601</v>
      </c>
      <c r="L3" s="37" t="s">
        <v>455</v>
      </c>
      <c r="O3" s="39" t="s">
        <v>1461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242</v>
      </c>
      <c r="J4" s="37">
        <v>18200</v>
      </c>
      <c r="K4" s="38">
        <v>967311901</v>
      </c>
      <c r="L4" s="37" t="s">
        <v>456</v>
      </c>
      <c r="O4" s="39" t="s">
        <v>1461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242</v>
      </c>
      <c r="J5" s="37">
        <v>18240</v>
      </c>
      <c r="K5" s="38">
        <v>967668901</v>
      </c>
      <c r="L5" s="37" t="s">
        <v>457</v>
      </c>
      <c r="M5" s="37" t="s">
        <v>1328</v>
      </c>
      <c r="O5" s="39" t="s">
        <v>1462</v>
      </c>
      <c r="AL5" s="44" t="s">
        <v>2306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242</v>
      </c>
      <c r="J6" s="37">
        <v>2901</v>
      </c>
      <c r="K6" s="38">
        <v>901023001</v>
      </c>
      <c r="L6" s="37" t="s">
        <v>458</v>
      </c>
      <c r="O6" s="39" t="s">
        <v>1463</v>
      </c>
      <c r="AL6" s="44" t="s">
        <v>12</v>
      </c>
      <c r="AM6" s="37" t="s">
        <v>2307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242</v>
      </c>
      <c r="J7" s="37">
        <v>18201</v>
      </c>
      <c r="K7" s="38">
        <v>967312401</v>
      </c>
      <c r="L7" s="37" t="s">
        <v>459</v>
      </c>
      <c r="O7" s="39" t="s">
        <v>1463</v>
      </c>
      <c r="AM7" s="37" t="s">
        <v>2308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242</v>
      </c>
      <c r="J8" s="37">
        <v>18241</v>
      </c>
      <c r="K8" s="38">
        <v>967666401</v>
      </c>
      <c r="L8" s="37" t="s">
        <v>460</v>
      </c>
      <c r="M8" s="37" t="s">
        <v>1328</v>
      </c>
      <c r="O8" s="39" t="s">
        <v>1464</v>
      </c>
      <c r="AM8" s="37" t="s">
        <v>2309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242</v>
      </c>
      <c r="J9" s="37">
        <v>2902</v>
      </c>
      <c r="K9" s="38">
        <v>901023401</v>
      </c>
      <c r="L9" s="37" t="s">
        <v>461</v>
      </c>
      <c r="O9" s="39" t="s">
        <v>1465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242</v>
      </c>
      <c r="J10" s="37">
        <v>18202</v>
      </c>
      <c r="K10" s="38">
        <v>967312801</v>
      </c>
      <c r="L10" s="37" t="s">
        <v>462</v>
      </c>
      <c r="O10" s="39" t="s">
        <v>1465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X10" s="48">
        <f>ROUND(Товары[[#This Row],[РРЦ финальная, руб.]]*(1-Товары[[#This Row],[Скидка DIY]]),2)</f>
        <v>0</v>
      </c>
    </row>
    <row r="11" spans="1:50" x14ac:dyDescent="0.25">
      <c r="A11" s="36">
        <v>9</v>
      </c>
      <c r="C11" s="36" t="s">
        <v>3</v>
      </c>
      <c r="D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" s="36" t="s">
        <v>7</v>
      </c>
      <c r="F1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1" s="38">
        <v>9011</v>
      </c>
      <c r="I11" s="37" t="s">
        <v>242</v>
      </c>
      <c r="J11" s="37">
        <v>18242</v>
      </c>
      <c r="K11" s="38">
        <v>967666601</v>
      </c>
      <c r="L11" s="37" t="s">
        <v>463</v>
      </c>
      <c r="M11" s="37" t="s">
        <v>1328</v>
      </c>
      <c r="O11" s="39" t="s">
        <v>1466</v>
      </c>
      <c r="AS11" s="48">
        <f>ROUND((Товары[[#This Row],[IRP, Eur]]*$AT$1),-2)*(1+Товары[[#This Row],[Процент повышения РРЦ]])</f>
        <v>0</v>
      </c>
      <c r="AT11" s="48"/>
      <c r="AU11" s="50">
        <f>ROUND(Товары[[#This Row],[РРЦ финальная, руб.]]/$AT$1,2)</f>
        <v>0</v>
      </c>
      <c r="AV11" s="49" t="str">
        <f>IFERROR(Товары[[#This Row],[РРЦ, евро]]/Товары[[#This Row],[IRP, Eur]],"-")</f>
        <v>-</v>
      </c>
      <c r="AX11" s="48">
        <f>ROUND(Товары[[#This Row],[РРЦ финальная, руб.]]*(1-Товары[[#This Row],[Скидка DIY]]),2)</f>
        <v>0</v>
      </c>
    </row>
    <row r="12" spans="1:50" x14ac:dyDescent="0.25">
      <c r="A12" s="36">
        <v>10</v>
      </c>
      <c r="C12" s="36" t="s">
        <v>3</v>
      </c>
      <c r="D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" s="36" t="s">
        <v>7</v>
      </c>
      <c r="F1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2" s="38">
        <v>9011</v>
      </c>
      <c r="I12" s="37" t="s">
        <v>242</v>
      </c>
      <c r="J12" s="37">
        <v>2998</v>
      </c>
      <c r="K12" s="38">
        <v>901031901</v>
      </c>
      <c r="L12" s="37" t="s">
        <v>464</v>
      </c>
      <c r="O12" s="39" t="s">
        <v>1467</v>
      </c>
      <c r="AS12" s="48">
        <f>ROUND((Товары[[#This Row],[IRP, Eur]]*$AT$1),-2)*(1+Товары[[#This Row],[Процент повышения РРЦ]])</f>
        <v>0</v>
      </c>
      <c r="AT12" s="48"/>
      <c r="AU12" s="50">
        <f>ROUND(Товары[[#This Row],[РРЦ финальная, руб.]]/$AT$1,2)</f>
        <v>0</v>
      </c>
      <c r="AV12" s="49" t="str">
        <f>IFERROR(Товары[[#This Row],[РРЦ, евро]]/Товары[[#This Row],[IRP, Eur]],"-")</f>
        <v>-</v>
      </c>
      <c r="AX12" s="48">
        <f>ROUND(Товары[[#This Row],[РРЦ финальная, руб.]]*(1-Товары[[#This Row],[Скидка DIY]]),2)</f>
        <v>0</v>
      </c>
    </row>
    <row r="13" spans="1:50" x14ac:dyDescent="0.25">
      <c r="A13" s="36">
        <v>11</v>
      </c>
      <c r="C13" s="36" t="s">
        <v>3</v>
      </c>
      <c r="D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" s="36" t="s">
        <v>7</v>
      </c>
      <c r="F1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3" s="38">
        <v>9011</v>
      </c>
      <c r="I13" s="37" t="s">
        <v>242</v>
      </c>
      <c r="J13" s="37">
        <v>2999</v>
      </c>
      <c r="K13" s="38">
        <v>901032001</v>
      </c>
      <c r="L13" s="37" t="s">
        <v>465</v>
      </c>
      <c r="O13" s="39" t="s">
        <v>1468</v>
      </c>
      <c r="AS13" s="48">
        <f>ROUND((Товары[[#This Row],[IRP, Eur]]*$AT$1),-2)*(1+Товары[[#This Row],[Процент повышения РРЦ]])</f>
        <v>0</v>
      </c>
      <c r="AT13" s="48"/>
      <c r="AU13" s="50">
        <f>ROUND(Товары[[#This Row],[РРЦ финальная, руб.]]/$AT$1,2)</f>
        <v>0</v>
      </c>
      <c r="AV13" s="49" t="str">
        <f>IFERROR(Товары[[#This Row],[РРЦ, евро]]/Товары[[#This Row],[IRP, Eur]],"-")</f>
        <v>-</v>
      </c>
      <c r="AX13" s="48">
        <f>ROUND(Товары[[#This Row],[РРЦ финальная, руб.]]*(1-Товары[[#This Row],[Скидка DIY]]),2)</f>
        <v>0</v>
      </c>
    </row>
    <row r="14" spans="1:50" x14ac:dyDescent="0.25">
      <c r="A14" s="36">
        <v>12</v>
      </c>
      <c r="C14" s="36" t="s">
        <v>3</v>
      </c>
      <c r="D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" s="36" t="s">
        <v>7</v>
      </c>
      <c r="F1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4" s="38">
        <v>9011</v>
      </c>
      <c r="I14" s="37" t="s">
        <v>242</v>
      </c>
      <c r="J14" s="37">
        <v>2907</v>
      </c>
      <c r="K14" s="38">
        <v>901024301</v>
      </c>
      <c r="L14" s="37" t="s">
        <v>466</v>
      </c>
      <c r="O14" s="39" t="s">
        <v>1469</v>
      </c>
      <c r="AS14" s="48">
        <f>ROUND((Товары[[#This Row],[IRP, Eur]]*$AT$1),-2)*(1+Товары[[#This Row],[Процент повышения РРЦ]])</f>
        <v>0</v>
      </c>
      <c r="AT14" s="48"/>
      <c r="AU14" s="50">
        <f>ROUND(Товары[[#This Row],[РРЦ финальная, руб.]]/$AT$1,2)</f>
        <v>0</v>
      </c>
      <c r="AV14" s="49" t="str">
        <f>IFERROR(Товары[[#This Row],[РРЦ, евро]]/Товары[[#This Row],[IRP, Eur]],"-")</f>
        <v>-</v>
      </c>
      <c r="AX14" s="48">
        <f>ROUND(Товары[[#This Row],[РРЦ финальная, руб.]]*(1-Товары[[#This Row],[Скидка DIY]]),2)</f>
        <v>0</v>
      </c>
    </row>
    <row r="15" spans="1:50" x14ac:dyDescent="0.25">
      <c r="A15" s="36">
        <v>13</v>
      </c>
      <c r="C15" s="36" t="s">
        <v>3</v>
      </c>
      <c r="D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" s="36" t="s">
        <v>7</v>
      </c>
      <c r="F1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5" s="38">
        <v>9011</v>
      </c>
      <c r="I15" s="37" t="s">
        <v>242</v>
      </c>
      <c r="K15" s="38">
        <v>901160201</v>
      </c>
      <c r="L15" s="37" t="s">
        <v>467</v>
      </c>
      <c r="O15" s="39" t="s">
        <v>1470</v>
      </c>
      <c r="AS15" s="48">
        <f>ROUND((Товары[[#This Row],[IRP, Eur]]*$AT$1),-2)*(1+Товары[[#This Row],[Процент повышения РРЦ]])</f>
        <v>0</v>
      </c>
      <c r="AT15" s="48"/>
      <c r="AU15" s="50">
        <f>ROUND(Товары[[#This Row],[РРЦ финальная, руб.]]/$AT$1,2)</f>
        <v>0</v>
      </c>
      <c r="AV15" s="49" t="str">
        <f>IFERROR(Товары[[#This Row],[РРЦ, евро]]/Товары[[#This Row],[IRP, Eur]],"-")</f>
        <v>-</v>
      </c>
      <c r="AX15" s="48">
        <f>ROUND(Товары[[#This Row],[РРЦ финальная, руб.]]*(1-Товары[[#This Row],[Скидка DIY]]),2)</f>
        <v>0</v>
      </c>
    </row>
    <row r="16" spans="1:50" x14ac:dyDescent="0.25">
      <c r="A16" s="36">
        <v>14</v>
      </c>
      <c r="C16" s="36" t="s">
        <v>3</v>
      </c>
      <c r="D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" s="36" t="s">
        <v>7</v>
      </c>
      <c r="F1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6" s="38">
        <v>9011</v>
      </c>
      <c r="I16" s="37" t="s">
        <v>242</v>
      </c>
      <c r="J16" s="37">
        <v>18210</v>
      </c>
      <c r="K16" s="38">
        <v>967980601</v>
      </c>
      <c r="L16" s="37" t="s">
        <v>468</v>
      </c>
      <c r="M16" s="37" t="s">
        <v>467</v>
      </c>
      <c r="O16" s="39" t="s">
        <v>1471</v>
      </c>
      <c r="AS16" s="48">
        <f>ROUND((Товары[[#This Row],[IRP, Eur]]*$AT$1),-2)*(1+Товары[[#This Row],[Процент повышения РРЦ]])</f>
        <v>0</v>
      </c>
      <c r="AT16" s="48"/>
      <c r="AU16" s="50">
        <f>ROUND(Товары[[#This Row],[РРЦ финальная, руб.]]/$AT$1,2)</f>
        <v>0</v>
      </c>
      <c r="AV16" s="49" t="str">
        <f>IFERROR(Товары[[#This Row],[РРЦ, евро]]/Товары[[#This Row],[IRP, Eur]],"-")</f>
        <v>-</v>
      </c>
      <c r="AX16" s="48">
        <f>ROUND(Товары[[#This Row],[РРЦ финальная, руб.]]*(1-Товары[[#This Row],[Скидка DIY]]),2)</f>
        <v>0</v>
      </c>
    </row>
    <row r="17" spans="1:50" x14ac:dyDescent="0.25">
      <c r="A17" s="36">
        <v>15</v>
      </c>
      <c r="C17" s="36" t="s">
        <v>3</v>
      </c>
      <c r="D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" s="36" t="s">
        <v>7</v>
      </c>
      <c r="F1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7" s="38">
        <v>9011</v>
      </c>
      <c r="I17" s="37" t="s">
        <v>243</v>
      </c>
      <c r="J17" s="37">
        <v>938</v>
      </c>
      <c r="K17" s="38">
        <v>900877001</v>
      </c>
      <c r="L17" s="37" t="s">
        <v>469</v>
      </c>
      <c r="O17" s="39" t="s">
        <v>1472</v>
      </c>
      <c r="AS17" s="48">
        <f>ROUND((Товары[[#This Row],[IRP, Eur]]*$AT$1),-2)*(1+Товары[[#This Row],[Процент повышения РРЦ]])</f>
        <v>0</v>
      </c>
      <c r="AT17" s="48"/>
      <c r="AU17" s="50">
        <f>ROUND(Товары[[#This Row],[РРЦ финальная, руб.]]/$AT$1,2)</f>
        <v>0</v>
      </c>
      <c r="AV17" s="49" t="str">
        <f>IFERROR(Товары[[#This Row],[РРЦ, евро]]/Товары[[#This Row],[IRP, Eur]],"-")</f>
        <v>-</v>
      </c>
      <c r="AX17" s="48">
        <f>ROUND(Товары[[#This Row],[РРЦ финальная, руб.]]*(1-Товары[[#This Row],[Скидка DIY]]),2)</f>
        <v>0</v>
      </c>
    </row>
    <row r="18" spans="1:50" x14ac:dyDescent="0.25">
      <c r="A18" s="36">
        <v>16</v>
      </c>
      <c r="C18" s="36" t="s">
        <v>3</v>
      </c>
      <c r="D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" s="36" t="s">
        <v>7</v>
      </c>
      <c r="F1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8" s="38">
        <v>9011</v>
      </c>
      <c r="I18" s="37" t="s">
        <v>243</v>
      </c>
      <c r="J18" s="37">
        <v>940</v>
      </c>
      <c r="K18" s="38">
        <v>900877401</v>
      </c>
      <c r="L18" s="37" t="s">
        <v>470</v>
      </c>
      <c r="O18" s="39" t="s">
        <v>1473</v>
      </c>
      <c r="AS18" s="48">
        <f>ROUND((Товары[[#This Row],[IRP, Eur]]*$AT$1),-2)*(1+Товары[[#This Row],[Процент повышения РРЦ]])</f>
        <v>0</v>
      </c>
      <c r="AT18" s="48"/>
      <c r="AU18" s="50">
        <f>ROUND(Товары[[#This Row],[РРЦ финальная, руб.]]/$AT$1,2)</f>
        <v>0</v>
      </c>
      <c r="AV18" s="49" t="str">
        <f>IFERROR(Товары[[#This Row],[РРЦ, евро]]/Товары[[#This Row],[IRP, Eur]],"-")</f>
        <v>-</v>
      </c>
      <c r="AX18" s="48">
        <f>ROUND(Товары[[#This Row],[РРЦ финальная, руб.]]*(1-Товары[[#This Row],[Скидка DIY]]),2)</f>
        <v>0</v>
      </c>
    </row>
    <row r="19" spans="1:50" x14ac:dyDescent="0.25">
      <c r="A19" s="36">
        <v>17</v>
      </c>
      <c r="C19" s="36" t="s">
        <v>3</v>
      </c>
      <c r="D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" s="36" t="s">
        <v>7</v>
      </c>
      <c r="F1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9" s="38">
        <v>9011</v>
      </c>
      <c r="I19" s="37" t="s">
        <v>242</v>
      </c>
      <c r="J19" s="37">
        <v>8193</v>
      </c>
      <c r="K19" s="38">
        <v>901160701</v>
      </c>
      <c r="L19" s="37" t="s">
        <v>471</v>
      </c>
      <c r="O19" s="39" t="s">
        <v>1474</v>
      </c>
      <c r="AS19" s="48">
        <f>ROUND((Товары[[#This Row],[IRP, Eur]]*$AT$1),-2)*(1+Товары[[#This Row],[Процент повышения РРЦ]])</f>
        <v>0</v>
      </c>
      <c r="AT19" s="48"/>
      <c r="AU19" s="50">
        <f>ROUND(Товары[[#This Row],[РРЦ финальная, руб.]]/$AT$1,2)</f>
        <v>0</v>
      </c>
      <c r="AV19" s="49" t="str">
        <f>IFERROR(Товары[[#This Row],[РРЦ, евро]]/Товары[[#This Row],[IRP, Eur]],"-")</f>
        <v>-</v>
      </c>
      <c r="AX19" s="48">
        <f>ROUND(Товары[[#This Row],[РРЦ финальная, руб.]]*(1-Товары[[#This Row],[Скидка DIY]]),2)</f>
        <v>0</v>
      </c>
    </row>
    <row r="20" spans="1:50" x14ac:dyDescent="0.25">
      <c r="A20" s="36">
        <v>18</v>
      </c>
      <c r="C20" s="36" t="s">
        <v>3</v>
      </c>
      <c r="D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" s="36" t="s">
        <v>7</v>
      </c>
      <c r="F2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0" s="38">
        <v>9011</v>
      </c>
      <c r="I20" s="37" t="s">
        <v>242</v>
      </c>
      <c r="J20" s="37">
        <v>8194</v>
      </c>
      <c r="K20" s="38">
        <v>901160801</v>
      </c>
      <c r="L20" s="37" t="s">
        <v>472</v>
      </c>
      <c r="O20" s="39" t="s">
        <v>1475</v>
      </c>
      <c r="AS20" s="48">
        <f>ROUND((Товары[[#This Row],[IRP, Eur]]*$AT$1),-2)*(1+Товары[[#This Row],[Процент повышения РРЦ]])</f>
        <v>0</v>
      </c>
      <c r="AT20" s="48"/>
      <c r="AU20" s="50">
        <f>ROUND(Товары[[#This Row],[РРЦ финальная, руб.]]/$AT$1,2)</f>
        <v>0</v>
      </c>
      <c r="AV20" s="49" t="str">
        <f>IFERROR(Товары[[#This Row],[РРЦ, евро]]/Товары[[#This Row],[IRP, Eur]],"-")</f>
        <v>-</v>
      </c>
      <c r="AX20" s="48">
        <f>ROUND(Товары[[#This Row],[РРЦ финальная, руб.]]*(1-Товары[[#This Row],[Скидка DIY]]),2)</f>
        <v>0</v>
      </c>
    </row>
    <row r="21" spans="1:50" x14ac:dyDescent="0.25">
      <c r="A21" s="36">
        <v>19</v>
      </c>
      <c r="C21" s="36" t="s">
        <v>3</v>
      </c>
      <c r="D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1" s="36" t="s">
        <v>7</v>
      </c>
      <c r="F2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1" s="38">
        <v>9011</v>
      </c>
      <c r="I21" s="37" t="s">
        <v>244</v>
      </c>
      <c r="J21" s="37">
        <v>8188</v>
      </c>
      <c r="K21" s="38">
        <v>966780901</v>
      </c>
      <c r="L21" s="37" t="s">
        <v>473</v>
      </c>
      <c r="O21" s="39" t="s">
        <v>1476</v>
      </c>
      <c r="AS21" s="48">
        <f>ROUND((Товары[[#This Row],[IRP, Eur]]*$AT$1),-2)*(1+Товары[[#This Row],[Процент повышения РРЦ]])</f>
        <v>0</v>
      </c>
      <c r="AT21" s="48"/>
      <c r="AU21" s="50">
        <f>ROUND(Товары[[#This Row],[РРЦ финальная, руб.]]/$AT$1,2)</f>
        <v>0</v>
      </c>
      <c r="AV21" s="49" t="str">
        <f>IFERROR(Товары[[#This Row],[РРЦ, евро]]/Товары[[#This Row],[IRP, Eur]],"-")</f>
        <v>-</v>
      </c>
      <c r="AX21" s="48">
        <f>ROUND(Товары[[#This Row],[РРЦ финальная, руб.]]*(1-Товары[[#This Row],[Скидка DIY]]),2)</f>
        <v>0</v>
      </c>
    </row>
    <row r="22" spans="1:50" x14ac:dyDescent="0.25">
      <c r="A22" s="36">
        <v>20</v>
      </c>
      <c r="C22" s="36" t="s">
        <v>3</v>
      </c>
      <c r="D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2" s="36" t="s">
        <v>7</v>
      </c>
      <c r="F2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2" s="38">
        <v>9011</v>
      </c>
      <c r="I22" s="37" t="s">
        <v>244</v>
      </c>
      <c r="J22" s="37">
        <v>2915</v>
      </c>
      <c r="K22" s="38">
        <v>901026301</v>
      </c>
      <c r="L22" s="37" t="s">
        <v>474</v>
      </c>
      <c r="O22" s="39" t="s">
        <v>1477</v>
      </c>
      <c r="AS22" s="48">
        <f>ROUND((Товары[[#This Row],[IRP, Eur]]*$AT$1),-2)*(1+Товары[[#This Row],[Процент повышения РРЦ]])</f>
        <v>0</v>
      </c>
      <c r="AT22" s="48"/>
      <c r="AU22" s="50">
        <f>ROUND(Товары[[#This Row],[РРЦ финальная, руб.]]/$AT$1,2)</f>
        <v>0</v>
      </c>
      <c r="AV22" s="49" t="str">
        <f>IFERROR(Товары[[#This Row],[РРЦ, евро]]/Товары[[#This Row],[IRP, Eur]],"-")</f>
        <v>-</v>
      </c>
      <c r="AX22" s="48">
        <f>ROUND(Товары[[#This Row],[РРЦ финальная, руб.]]*(1-Товары[[#This Row],[Скидка DIY]]),2)</f>
        <v>0</v>
      </c>
    </row>
    <row r="23" spans="1:50" x14ac:dyDescent="0.25">
      <c r="A23" s="36">
        <v>21</v>
      </c>
      <c r="C23" s="36" t="s">
        <v>3</v>
      </c>
      <c r="D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3" s="36" t="s">
        <v>7</v>
      </c>
      <c r="F2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3" s="38">
        <v>9011</v>
      </c>
      <c r="I23" s="37" t="s">
        <v>244</v>
      </c>
      <c r="J23" s="37">
        <v>18215</v>
      </c>
      <c r="K23" s="38">
        <v>967314301</v>
      </c>
      <c r="L23" s="37" t="s">
        <v>475</v>
      </c>
      <c r="O23" s="39" t="s">
        <v>1477</v>
      </c>
      <c r="AS23" s="48">
        <f>ROUND((Товары[[#This Row],[IRP, Eur]]*$AT$1),-2)*(1+Товары[[#This Row],[Процент повышения РРЦ]])</f>
        <v>0</v>
      </c>
      <c r="AT23" s="48"/>
      <c r="AU23" s="50">
        <f>ROUND(Товары[[#This Row],[РРЦ финальная, руб.]]/$AT$1,2)</f>
        <v>0</v>
      </c>
      <c r="AV23" s="49" t="str">
        <f>IFERROR(Товары[[#This Row],[РРЦ, евро]]/Товары[[#This Row],[IRP, Eur]],"-")</f>
        <v>-</v>
      </c>
      <c r="AX23" s="48">
        <f>ROUND(Товары[[#This Row],[РРЦ финальная, руб.]]*(1-Товары[[#This Row],[Скидка DIY]]),2)</f>
        <v>0</v>
      </c>
    </row>
    <row r="24" spans="1:50" x14ac:dyDescent="0.25">
      <c r="A24" s="36">
        <v>22</v>
      </c>
      <c r="C24" s="36" t="s">
        <v>3</v>
      </c>
      <c r="D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4" s="36" t="s">
        <v>7</v>
      </c>
      <c r="F2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4" s="38">
        <v>9011</v>
      </c>
      <c r="I24" s="37" t="s">
        <v>244</v>
      </c>
      <c r="J24" s="37">
        <v>2916</v>
      </c>
      <c r="K24" s="38">
        <v>901026701</v>
      </c>
      <c r="L24" s="37" t="s">
        <v>476</v>
      </c>
      <c r="O24" s="39" t="s">
        <v>1478</v>
      </c>
      <c r="AS24" s="48">
        <f>ROUND((Товары[[#This Row],[IRP, Eur]]*$AT$1),-2)*(1+Товары[[#This Row],[Процент повышения РРЦ]])</f>
        <v>0</v>
      </c>
      <c r="AT24" s="48"/>
      <c r="AU24" s="50">
        <f>ROUND(Товары[[#This Row],[РРЦ финальная, руб.]]/$AT$1,2)</f>
        <v>0</v>
      </c>
      <c r="AV24" s="49" t="str">
        <f>IFERROR(Товары[[#This Row],[РРЦ, евро]]/Товары[[#This Row],[IRP, Eur]],"-")</f>
        <v>-</v>
      </c>
      <c r="AX24" s="48">
        <f>ROUND(Товары[[#This Row],[РРЦ финальная, руб.]]*(1-Товары[[#This Row],[Скидка DIY]]),2)</f>
        <v>0</v>
      </c>
    </row>
    <row r="25" spans="1:50" x14ac:dyDescent="0.25">
      <c r="A25" s="36">
        <v>23</v>
      </c>
      <c r="C25" s="36" t="s">
        <v>3</v>
      </c>
      <c r="D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5" s="36" t="s">
        <v>7</v>
      </c>
      <c r="F2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5" s="38">
        <v>9011</v>
      </c>
      <c r="I25" s="37" t="s">
        <v>244</v>
      </c>
      <c r="J25" s="37">
        <v>18216</v>
      </c>
      <c r="K25" s="38">
        <v>967314801</v>
      </c>
      <c r="L25" s="37" t="s">
        <v>477</v>
      </c>
      <c r="O25" s="39" t="s">
        <v>1478</v>
      </c>
      <c r="AS25" s="48">
        <f>ROUND((Товары[[#This Row],[IRP, Eur]]*$AT$1),-2)*(1+Товары[[#This Row],[Процент повышения РРЦ]])</f>
        <v>0</v>
      </c>
      <c r="AT25" s="48"/>
      <c r="AU25" s="50">
        <f>ROUND(Товары[[#This Row],[РРЦ финальная, руб.]]/$AT$1,2)</f>
        <v>0</v>
      </c>
      <c r="AV25" s="49" t="str">
        <f>IFERROR(Товары[[#This Row],[РРЦ, евро]]/Товары[[#This Row],[IRP, Eur]],"-")</f>
        <v>-</v>
      </c>
      <c r="AX25" s="48">
        <f>ROUND(Товары[[#This Row],[РРЦ финальная, руб.]]*(1-Товары[[#This Row],[Скидка DIY]]),2)</f>
        <v>0</v>
      </c>
    </row>
    <row r="26" spans="1:50" x14ac:dyDescent="0.25">
      <c r="A26" s="36">
        <v>24</v>
      </c>
      <c r="C26" s="36" t="s">
        <v>3</v>
      </c>
      <c r="D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6" s="36" t="s">
        <v>7</v>
      </c>
      <c r="F2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6" s="38">
        <v>9011</v>
      </c>
      <c r="I26" s="37" t="s">
        <v>244</v>
      </c>
      <c r="J26" s="37">
        <v>18255</v>
      </c>
      <c r="K26" s="38">
        <v>967667201</v>
      </c>
      <c r="L26" s="37" t="s">
        <v>478</v>
      </c>
      <c r="M26" s="37" t="s">
        <v>1290</v>
      </c>
      <c r="O26" s="39" t="s">
        <v>1479</v>
      </c>
      <c r="AS26" s="48">
        <f>ROUND((Товары[[#This Row],[IRP, Eur]]*$AT$1),-2)*(1+Товары[[#This Row],[Процент повышения РРЦ]])</f>
        <v>0</v>
      </c>
      <c r="AT26" s="48"/>
      <c r="AU26" s="50">
        <f>ROUND(Товары[[#This Row],[РРЦ финальная, руб.]]/$AT$1,2)</f>
        <v>0</v>
      </c>
      <c r="AV26" s="49" t="str">
        <f>IFERROR(Товары[[#This Row],[РРЦ, евро]]/Товары[[#This Row],[IRP, Eur]],"-")</f>
        <v>-</v>
      </c>
      <c r="AX26" s="48">
        <f>ROUND(Товары[[#This Row],[РРЦ финальная, руб.]]*(1-Товары[[#This Row],[Скидка DIY]]),2)</f>
        <v>0</v>
      </c>
    </row>
    <row r="27" spans="1:50" x14ac:dyDescent="0.25">
      <c r="A27" s="36">
        <v>25</v>
      </c>
      <c r="C27" s="36" t="s">
        <v>3</v>
      </c>
      <c r="D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7" s="36" t="s">
        <v>7</v>
      </c>
      <c r="F2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7" s="38">
        <v>9011</v>
      </c>
      <c r="I27" s="37" t="s">
        <v>244</v>
      </c>
      <c r="J27" s="37">
        <v>18256</v>
      </c>
      <c r="K27" s="38">
        <v>967667401</v>
      </c>
      <c r="L27" s="37" t="s">
        <v>479</v>
      </c>
      <c r="M27" s="37" t="s">
        <v>1329</v>
      </c>
      <c r="O27" s="39" t="s">
        <v>1480</v>
      </c>
      <c r="AS27" s="48">
        <f>ROUND((Товары[[#This Row],[IRP, Eur]]*$AT$1),-2)*(1+Товары[[#This Row],[Процент повышения РРЦ]])</f>
        <v>0</v>
      </c>
      <c r="AT27" s="48"/>
      <c r="AU27" s="50">
        <f>ROUND(Товары[[#This Row],[РРЦ финальная, руб.]]/$AT$1,2)</f>
        <v>0</v>
      </c>
      <c r="AV27" s="49" t="str">
        <f>IFERROR(Товары[[#This Row],[РРЦ, евро]]/Товары[[#This Row],[IRP, Eur]],"-")</f>
        <v>-</v>
      </c>
      <c r="AX27" s="48">
        <f>ROUND(Товары[[#This Row],[РРЦ финальная, руб.]]*(1-Товары[[#This Row],[Скидка DIY]]),2)</f>
        <v>0</v>
      </c>
    </row>
    <row r="28" spans="1:50" x14ac:dyDescent="0.25">
      <c r="A28" s="36">
        <v>26</v>
      </c>
      <c r="C28" s="36" t="s">
        <v>3</v>
      </c>
      <c r="D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8" s="36" t="s">
        <v>7</v>
      </c>
      <c r="F2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8" s="38">
        <v>9011</v>
      </c>
      <c r="I28" s="37" t="s">
        <v>244</v>
      </c>
      <c r="J28" s="37">
        <v>2913</v>
      </c>
      <c r="K28" s="38">
        <v>901025501</v>
      </c>
      <c r="L28" s="37" t="s">
        <v>480</v>
      </c>
      <c r="O28" s="39" t="s">
        <v>1481</v>
      </c>
      <c r="AS28" s="48">
        <f>ROUND((Товары[[#This Row],[IRP, Eur]]*$AT$1),-2)*(1+Товары[[#This Row],[Процент повышения РРЦ]])</f>
        <v>0</v>
      </c>
      <c r="AT28" s="48"/>
      <c r="AU28" s="50">
        <f>ROUND(Товары[[#This Row],[РРЦ финальная, руб.]]/$AT$1,2)</f>
        <v>0</v>
      </c>
      <c r="AV28" s="49" t="str">
        <f>IFERROR(Товары[[#This Row],[РРЦ, евро]]/Товары[[#This Row],[IRP, Eur]],"-")</f>
        <v>-</v>
      </c>
      <c r="AX28" s="48">
        <f>ROUND(Товары[[#This Row],[РРЦ финальная, руб.]]*(1-Товары[[#This Row],[Скидка DIY]]),2)</f>
        <v>0</v>
      </c>
    </row>
    <row r="29" spans="1:50" x14ac:dyDescent="0.25">
      <c r="A29" s="36">
        <v>27</v>
      </c>
      <c r="C29" s="36" t="s">
        <v>3</v>
      </c>
      <c r="D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" s="36" t="s">
        <v>7</v>
      </c>
      <c r="F2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9" s="38">
        <v>9011</v>
      </c>
      <c r="I29" s="37" t="s">
        <v>244</v>
      </c>
      <c r="J29" s="37">
        <v>18213</v>
      </c>
      <c r="K29" s="38">
        <v>967313301</v>
      </c>
      <c r="L29" s="37" t="s">
        <v>481</v>
      </c>
      <c r="O29" s="39" t="s">
        <v>1481</v>
      </c>
      <c r="AS29" s="48">
        <f>ROUND((Товары[[#This Row],[IRP, Eur]]*$AT$1),-2)*(1+Товары[[#This Row],[Процент повышения РРЦ]])</f>
        <v>0</v>
      </c>
      <c r="AT29" s="48"/>
      <c r="AU29" s="50">
        <f>ROUND(Товары[[#This Row],[РРЦ финальная, руб.]]/$AT$1,2)</f>
        <v>0</v>
      </c>
      <c r="AV29" s="49" t="str">
        <f>IFERROR(Товары[[#This Row],[РРЦ, евро]]/Товары[[#This Row],[IRP, Eur]],"-")</f>
        <v>-</v>
      </c>
      <c r="AX29" s="48">
        <f>ROUND(Товары[[#This Row],[РРЦ финальная, руб.]]*(1-Товары[[#This Row],[Скидка DIY]]),2)</f>
        <v>0</v>
      </c>
    </row>
    <row r="30" spans="1:50" x14ac:dyDescent="0.25">
      <c r="A30" s="36">
        <v>28</v>
      </c>
      <c r="C30" s="36" t="s">
        <v>3</v>
      </c>
      <c r="D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" s="36" t="s">
        <v>7</v>
      </c>
      <c r="F3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0" s="38">
        <v>9011</v>
      </c>
      <c r="I30" s="37" t="s">
        <v>244</v>
      </c>
      <c r="J30" s="37">
        <v>2914</v>
      </c>
      <c r="K30" s="38">
        <v>901025901</v>
      </c>
      <c r="L30" s="37" t="s">
        <v>482</v>
      </c>
      <c r="O30" s="39" t="s">
        <v>1482</v>
      </c>
      <c r="AS30" s="48">
        <f>ROUND((Товары[[#This Row],[IRP, Eur]]*$AT$1),-2)*(1+Товары[[#This Row],[Процент повышения РРЦ]])</f>
        <v>0</v>
      </c>
      <c r="AT30" s="48"/>
      <c r="AU30" s="50">
        <f>ROUND(Товары[[#This Row],[РРЦ финальная, руб.]]/$AT$1,2)</f>
        <v>0</v>
      </c>
      <c r="AV30" s="49" t="str">
        <f>IFERROR(Товары[[#This Row],[РРЦ, евро]]/Товары[[#This Row],[IRP, Eur]],"-")</f>
        <v>-</v>
      </c>
      <c r="AX30" s="48">
        <f>ROUND(Товары[[#This Row],[РРЦ финальная, руб.]]*(1-Товары[[#This Row],[Скидка DIY]]),2)</f>
        <v>0</v>
      </c>
    </row>
    <row r="31" spans="1:50" x14ac:dyDescent="0.25">
      <c r="A31" s="36">
        <v>29</v>
      </c>
      <c r="C31" s="36" t="s">
        <v>3</v>
      </c>
      <c r="D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" s="36" t="s">
        <v>7</v>
      </c>
      <c r="F3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1" s="38">
        <v>9011</v>
      </c>
      <c r="I31" s="37" t="s">
        <v>244</v>
      </c>
      <c r="J31" s="37">
        <v>18214</v>
      </c>
      <c r="K31" s="38">
        <v>967313801</v>
      </c>
      <c r="L31" s="37" t="s">
        <v>483</v>
      </c>
      <c r="O31" s="39" t="s">
        <v>1482</v>
      </c>
      <c r="AS31" s="48">
        <f>ROUND((Товары[[#This Row],[IRP, Eur]]*$AT$1),-2)*(1+Товары[[#This Row],[Процент повышения РРЦ]])</f>
        <v>0</v>
      </c>
      <c r="AT31" s="48"/>
      <c r="AU31" s="50">
        <f>ROUND(Товары[[#This Row],[РРЦ финальная, руб.]]/$AT$1,2)</f>
        <v>0</v>
      </c>
      <c r="AV31" s="49" t="str">
        <f>IFERROR(Товары[[#This Row],[РРЦ, евро]]/Товары[[#This Row],[IRP, Eur]],"-")</f>
        <v>-</v>
      </c>
      <c r="AX31" s="48">
        <f>ROUND(Товары[[#This Row],[РРЦ финальная, руб.]]*(1-Товары[[#This Row],[Скидка DIY]]),2)</f>
        <v>0</v>
      </c>
    </row>
    <row r="32" spans="1:50" x14ac:dyDescent="0.25">
      <c r="A32" s="36">
        <v>30</v>
      </c>
      <c r="C32" s="36" t="s">
        <v>3</v>
      </c>
      <c r="D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" s="36" t="s">
        <v>7</v>
      </c>
      <c r="F3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2" s="38">
        <v>9011</v>
      </c>
      <c r="I32" s="37" t="s">
        <v>244</v>
      </c>
      <c r="J32" s="37">
        <v>18253</v>
      </c>
      <c r="K32" s="38">
        <v>967666801</v>
      </c>
      <c r="L32" s="37" t="s">
        <v>484</v>
      </c>
      <c r="M32" s="37" t="s">
        <v>1291</v>
      </c>
      <c r="O32" s="39" t="s">
        <v>1483</v>
      </c>
      <c r="AS32" s="48">
        <f>ROUND((Товары[[#This Row],[IRP, Eur]]*$AT$1),-2)*(1+Товары[[#This Row],[Процент повышения РРЦ]])</f>
        <v>0</v>
      </c>
      <c r="AT32" s="48"/>
      <c r="AU32" s="50">
        <f>ROUND(Товары[[#This Row],[РРЦ финальная, руб.]]/$AT$1,2)</f>
        <v>0</v>
      </c>
      <c r="AV32" s="49" t="str">
        <f>IFERROR(Товары[[#This Row],[РРЦ, евро]]/Товары[[#This Row],[IRP, Eur]],"-")</f>
        <v>-</v>
      </c>
      <c r="AX32" s="48">
        <f>ROUND(Товары[[#This Row],[РРЦ финальная, руб.]]*(1-Товары[[#This Row],[Скидка DIY]]),2)</f>
        <v>0</v>
      </c>
    </row>
    <row r="33" spans="1:50" x14ac:dyDescent="0.25">
      <c r="A33" s="36">
        <v>31</v>
      </c>
      <c r="C33" s="36" t="s">
        <v>3</v>
      </c>
      <c r="D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" s="36" t="s">
        <v>7</v>
      </c>
      <c r="F3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3" s="38">
        <v>9011</v>
      </c>
      <c r="I33" s="37" t="s">
        <v>244</v>
      </c>
      <c r="J33" s="37">
        <v>18254</v>
      </c>
      <c r="K33" s="38">
        <v>967667001</v>
      </c>
      <c r="L33" s="37" t="s">
        <v>485</v>
      </c>
      <c r="M33" s="37" t="s">
        <v>1292</v>
      </c>
      <c r="O33" s="39" t="s">
        <v>1484</v>
      </c>
      <c r="AS33" s="48">
        <f>ROUND((Товары[[#This Row],[IRP, Eur]]*$AT$1),-2)*(1+Товары[[#This Row],[Процент повышения РРЦ]])</f>
        <v>0</v>
      </c>
      <c r="AT33" s="48"/>
      <c r="AU33" s="50">
        <f>ROUND(Товары[[#This Row],[РРЦ финальная, руб.]]/$AT$1,2)</f>
        <v>0</v>
      </c>
      <c r="AV33" s="49" t="str">
        <f>IFERROR(Товары[[#This Row],[РРЦ, евро]]/Товары[[#This Row],[IRP, Eur]],"-")</f>
        <v>-</v>
      </c>
      <c r="AX33" s="48">
        <f>ROUND(Товары[[#This Row],[РРЦ финальная, руб.]]*(1-Товары[[#This Row],[Скидка DIY]]),2)</f>
        <v>0</v>
      </c>
    </row>
    <row r="34" spans="1:50" x14ac:dyDescent="0.25">
      <c r="A34" s="36">
        <v>32</v>
      </c>
      <c r="C34" s="36" t="s">
        <v>3</v>
      </c>
      <c r="D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" s="36" t="s">
        <v>7</v>
      </c>
      <c r="F3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4" s="38">
        <v>9011</v>
      </c>
      <c r="I34" s="37" t="s">
        <v>244</v>
      </c>
      <c r="J34" s="37">
        <v>2942</v>
      </c>
      <c r="K34" s="38">
        <v>901030701</v>
      </c>
      <c r="L34" s="37" t="s">
        <v>486</v>
      </c>
      <c r="M34" s="37" t="s">
        <v>1330</v>
      </c>
      <c r="O34" s="39" t="s">
        <v>1485</v>
      </c>
      <c r="AS34" s="48">
        <f>ROUND((Товары[[#This Row],[IRP, Eur]]*$AT$1),-2)*(1+Товары[[#This Row],[Процент повышения РРЦ]])</f>
        <v>0</v>
      </c>
      <c r="AT34" s="48"/>
      <c r="AU34" s="50">
        <f>ROUND(Товары[[#This Row],[РРЦ финальная, руб.]]/$AT$1,2)</f>
        <v>0</v>
      </c>
      <c r="AV34" s="49" t="str">
        <f>IFERROR(Товары[[#This Row],[РРЦ, евро]]/Товары[[#This Row],[IRP, Eur]],"-")</f>
        <v>-</v>
      </c>
      <c r="AX34" s="48">
        <f>ROUND(Товары[[#This Row],[РРЦ финальная, руб.]]*(1-Товары[[#This Row],[Скидка DIY]]),2)</f>
        <v>0</v>
      </c>
    </row>
    <row r="35" spans="1:50" x14ac:dyDescent="0.25">
      <c r="A35" s="36">
        <v>33</v>
      </c>
      <c r="C35" s="36" t="s">
        <v>3</v>
      </c>
      <c r="D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" s="36" t="s">
        <v>7</v>
      </c>
      <c r="F3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5" s="38">
        <v>9011</v>
      </c>
      <c r="I35" s="37" t="s">
        <v>244</v>
      </c>
      <c r="J35" s="37">
        <v>2943</v>
      </c>
      <c r="K35" s="38">
        <v>901031001</v>
      </c>
      <c r="L35" s="37" t="s">
        <v>487</v>
      </c>
      <c r="M35" s="37" t="s">
        <v>1331</v>
      </c>
      <c r="O35" s="39" t="s">
        <v>1486</v>
      </c>
      <c r="AS35" s="48">
        <f>ROUND((Товары[[#This Row],[IRP, Eur]]*$AT$1),-2)*(1+Товары[[#This Row],[Процент повышения РРЦ]])</f>
        <v>0</v>
      </c>
      <c r="AT35" s="48"/>
      <c r="AU35" s="50">
        <f>ROUND(Товары[[#This Row],[РРЦ финальная, руб.]]/$AT$1,2)</f>
        <v>0</v>
      </c>
      <c r="AV35" s="49" t="str">
        <f>IFERROR(Товары[[#This Row],[РРЦ, евро]]/Товары[[#This Row],[IRP, Eur]],"-")</f>
        <v>-</v>
      </c>
      <c r="AX35" s="48">
        <f>ROUND(Товары[[#This Row],[РРЦ финальная, руб.]]*(1-Товары[[#This Row],[Скидка DIY]]),2)</f>
        <v>0</v>
      </c>
    </row>
    <row r="36" spans="1:50" x14ac:dyDescent="0.25">
      <c r="A36" s="36">
        <v>34</v>
      </c>
      <c r="C36" s="36" t="s">
        <v>3</v>
      </c>
      <c r="D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" s="36" t="s">
        <v>7</v>
      </c>
      <c r="F3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6" s="38">
        <v>9011</v>
      </c>
      <c r="I36" s="37" t="s">
        <v>245</v>
      </c>
      <c r="J36" s="37">
        <v>2976</v>
      </c>
      <c r="K36" s="38">
        <v>901031301</v>
      </c>
      <c r="L36" s="37" t="s">
        <v>488</v>
      </c>
      <c r="M36" s="37" t="s">
        <v>1332</v>
      </c>
      <c r="O36" s="39" t="s">
        <v>1487</v>
      </c>
      <c r="AS36" s="48">
        <f>ROUND((Товары[[#This Row],[IRP, Eur]]*$AT$1),-2)*(1+Товары[[#This Row],[Процент повышения РРЦ]])</f>
        <v>0</v>
      </c>
      <c r="AT36" s="48"/>
      <c r="AU36" s="50">
        <f>ROUND(Товары[[#This Row],[РРЦ финальная, руб.]]/$AT$1,2)</f>
        <v>0</v>
      </c>
      <c r="AV36" s="49" t="str">
        <f>IFERROR(Товары[[#This Row],[РРЦ, евро]]/Товары[[#This Row],[IRP, Eur]],"-")</f>
        <v>-</v>
      </c>
      <c r="AX36" s="48">
        <f>ROUND(Товары[[#This Row],[РРЦ финальная, руб.]]*(1-Товары[[#This Row],[Скидка DIY]]),2)</f>
        <v>0</v>
      </c>
    </row>
    <row r="37" spans="1:50" x14ac:dyDescent="0.25">
      <c r="A37" s="36">
        <v>35</v>
      </c>
      <c r="C37" s="36" t="s">
        <v>3</v>
      </c>
      <c r="D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" s="36" t="s">
        <v>7</v>
      </c>
      <c r="F3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7" s="38">
        <v>9011</v>
      </c>
      <c r="I37" s="37" t="s">
        <v>246</v>
      </c>
      <c r="J37" s="37">
        <v>2977</v>
      </c>
      <c r="K37" s="38">
        <v>901031601</v>
      </c>
      <c r="L37" s="37" t="s">
        <v>489</v>
      </c>
      <c r="M37" s="37" t="s">
        <v>1333</v>
      </c>
      <c r="O37" s="39" t="s">
        <v>1488</v>
      </c>
      <c r="AS37" s="48">
        <f>ROUND((Товары[[#This Row],[IRP, Eur]]*$AT$1),-2)*(1+Товары[[#This Row],[Процент повышения РРЦ]])</f>
        <v>0</v>
      </c>
      <c r="AT37" s="48"/>
      <c r="AU37" s="50">
        <f>ROUND(Товары[[#This Row],[РРЦ финальная, руб.]]/$AT$1,2)</f>
        <v>0</v>
      </c>
      <c r="AV37" s="49" t="str">
        <f>IFERROR(Товары[[#This Row],[РРЦ, евро]]/Товары[[#This Row],[IRP, Eur]],"-")</f>
        <v>-</v>
      </c>
      <c r="AX37" s="48">
        <f>ROUND(Товары[[#This Row],[РРЦ финальная, руб.]]*(1-Товары[[#This Row],[Скидка DIY]]),2)</f>
        <v>0</v>
      </c>
    </row>
    <row r="38" spans="1:50" x14ac:dyDescent="0.25">
      <c r="A38" s="36">
        <v>36</v>
      </c>
      <c r="C38" s="36" t="s">
        <v>3</v>
      </c>
      <c r="D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" s="36" t="s">
        <v>7</v>
      </c>
      <c r="F3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8" s="38">
        <v>9011</v>
      </c>
      <c r="I38" s="37" t="s">
        <v>247</v>
      </c>
      <c r="J38" s="37">
        <v>2921</v>
      </c>
      <c r="K38" s="38">
        <v>901027401</v>
      </c>
      <c r="L38" s="37" t="s">
        <v>490</v>
      </c>
      <c r="M38" s="37" t="s">
        <v>1334</v>
      </c>
      <c r="O38" s="39" t="s">
        <v>1489</v>
      </c>
      <c r="AS38" s="48">
        <f>ROUND((Товары[[#This Row],[IRP, Eur]]*$AT$1),-2)*(1+Товары[[#This Row],[Процент повышения РРЦ]])</f>
        <v>0</v>
      </c>
      <c r="AT38" s="48"/>
      <c r="AU38" s="50">
        <f>ROUND(Товары[[#This Row],[РРЦ финальная, руб.]]/$AT$1,2)</f>
        <v>0</v>
      </c>
      <c r="AV38" s="49" t="str">
        <f>IFERROR(Товары[[#This Row],[РРЦ, евро]]/Товары[[#This Row],[IRP, Eur]],"-")</f>
        <v>-</v>
      </c>
      <c r="AX38" s="48">
        <f>ROUND(Товары[[#This Row],[РРЦ финальная, руб.]]*(1-Товары[[#This Row],[Скидка DIY]]),2)</f>
        <v>0</v>
      </c>
    </row>
    <row r="39" spans="1:50" x14ac:dyDescent="0.25">
      <c r="A39" s="36">
        <v>37</v>
      </c>
      <c r="C39" s="36" t="s">
        <v>3</v>
      </c>
      <c r="D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" s="36" t="s">
        <v>7</v>
      </c>
      <c r="F3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9" s="38">
        <v>9011</v>
      </c>
      <c r="I39" s="37" t="s">
        <v>248</v>
      </c>
      <c r="J39" s="37">
        <v>2932</v>
      </c>
      <c r="K39" s="38">
        <v>901029401</v>
      </c>
      <c r="L39" s="37" t="s">
        <v>491</v>
      </c>
      <c r="O39" s="39" t="s">
        <v>1490</v>
      </c>
      <c r="AS39" s="48">
        <f>ROUND((Товары[[#This Row],[IRP, Eur]]*$AT$1),-2)*(1+Товары[[#This Row],[Процент повышения РРЦ]])</f>
        <v>0</v>
      </c>
      <c r="AT39" s="48"/>
      <c r="AU39" s="50">
        <f>ROUND(Товары[[#This Row],[РРЦ финальная, руб.]]/$AT$1,2)</f>
        <v>0</v>
      </c>
      <c r="AV39" s="49" t="str">
        <f>IFERROR(Товары[[#This Row],[РРЦ, евро]]/Товары[[#This Row],[IRP, Eur]],"-")</f>
        <v>-</v>
      </c>
      <c r="AX39" s="48">
        <f>ROUND(Товары[[#This Row],[РРЦ финальная, руб.]]*(1-Товары[[#This Row],[Скидка DIY]]),2)</f>
        <v>0</v>
      </c>
    </row>
    <row r="40" spans="1:50" x14ac:dyDescent="0.25">
      <c r="A40" s="36">
        <v>38</v>
      </c>
      <c r="C40" s="36" t="s">
        <v>3</v>
      </c>
      <c r="D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" s="36" t="s">
        <v>7</v>
      </c>
      <c r="F4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0" s="38">
        <v>9011</v>
      </c>
      <c r="I40" s="37" t="s">
        <v>248</v>
      </c>
      <c r="J40" s="37">
        <v>18232</v>
      </c>
      <c r="K40" s="38">
        <v>967315601</v>
      </c>
      <c r="L40" s="37" t="s">
        <v>492</v>
      </c>
      <c r="O40" s="39" t="s">
        <v>1490</v>
      </c>
      <c r="AS40" s="48">
        <f>ROUND((Товары[[#This Row],[IRP, Eur]]*$AT$1),-2)*(1+Товары[[#This Row],[Процент повышения РРЦ]])</f>
        <v>0</v>
      </c>
      <c r="AT40" s="48"/>
      <c r="AU40" s="50">
        <f>ROUND(Товары[[#This Row],[РРЦ финальная, руб.]]/$AT$1,2)</f>
        <v>0</v>
      </c>
      <c r="AV40" s="49" t="str">
        <f>IFERROR(Товары[[#This Row],[РРЦ, евро]]/Товары[[#This Row],[IRP, Eur]],"-")</f>
        <v>-</v>
      </c>
      <c r="AX40" s="48">
        <f>ROUND(Товары[[#This Row],[РРЦ финальная, руб.]]*(1-Товары[[#This Row],[Скидка DIY]]),2)</f>
        <v>0</v>
      </c>
    </row>
    <row r="41" spans="1:50" x14ac:dyDescent="0.25">
      <c r="A41" s="36">
        <v>39</v>
      </c>
      <c r="C41" s="36" t="s">
        <v>3</v>
      </c>
      <c r="D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" s="36" t="s">
        <v>7</v>
      </c>
      <c r="F4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1" s="38">
        <v>9011</v>
      </c>
      <c r="I41" s="37" t="s">
        <v>248</v>
      </c>
      <c r="J41" s="37">
        <v>2933</v>
      </c>
      <c r="K41" s="38">
        <v>901029801</v>
      </c>
      <c r="L41" s="37" t="s">
        <v>493</v>
      </c>
      <c r="O41" s="39" t="s">
        <v>1491</v>
      </c>
      <c r="AS41" s="48">
        <f>ROUND((Товары[[#This Row],[IRP, Eur]]*$AT$1),-2)*(1+Товары[[#This Row],[Процент повышения РРЦ]])</f>
        <v>0</v>
      </c>
      <c r="AT41" s="48"/>
      <c r="AU41" s="50">
        <f>ROUND(Товары[[#This Row],[РРЦ финальная, руб.]]/$AT$1,2)</f>
        <v>0</v>
      </c>
      <c r="AV41" s="49" t="str">
        <f>IFERROR(Товары[[#This Row],[РРЦ, евро]]/Товары[[#This Row],[IRP, Eur]],"-")</f>
        <v>-</v>
      </c>
      <c r="AX41" s="48">
        <f>ROUND(Товары[[#This Row],[РРЦ финальная, руб.]]*(1-Товары[[#This Row],[Скидка DIY]]),2)</f>
        <v>0</v>
      </c>
    </row>
    <row r="42" spans="1:50" x14ac:dyDescent="0.25">
      <c r="A42" s="36">
        <v>40</v>
      </c>
      <c r="C42" s="36" t="s">
        <v>3</v>
      </c>
      <c r="D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" s="36" t="s">
        <v>7</v>
      </c>
      <c r="F4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2" s="38">
        <v>9011</v>
      </c>
      <c r="I42" s="37" t="s">
        <v>248</v>
      </c>
      <c r="J42" s="37">
        <v>18233</v>
      </c>
      <c r="K42" s="38">
        <v>967316101</v>
      </c>
      <c r="L42" s="37" t="s">
        <v>494</v>
      </c>
      <c r="O42" s="39" t="s">
        <v>1491</v>
      </c>
      <c r="AS42" s="48">
        <f>ROUND((Товары[[#This Row],[IRP, Eur]]*$AT$1),-2)*(1+Товары[[#This Row],[Процент повышения РРЦ]])</f>
        <v>0</v>
      </c>
      <c r="AT42" s="48"/>
      <c r="AU42" s="50">
        <f>ROUND(Товары[[#This Row],[РРЦ финальная, руб.]]/$AT$1,2)</f>
        <v>0</v>
      </c>
      <c r="AV42" s="49" t="str">
        <f>IFERROR(Товары[[#This Row],[РРЦ, евро]]/Товары[[#This Row],[IRP, Eur]],"-")</f>
        <v>-</v>
      </c>
      <c r="AX42" s="48">
        <f>ROUND(Товары[[#This Row],[РРЦ финальная, руб.]]*(1-Товары[[#This Row],[Скидка DIY]]),2)</f>
        <v>0</v>
      </c>
    </row>
    <row r="43" spans="1:50" x14ac:dyDescent="0.25">
      <c r="A43" s="36">
        <v>41</v>
      </c>
      <c r="C43" s="36" t="s">
        <v>3</v>
      </c>
      <c r="D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" s="36" t="s">
        <v>7</v>
      </c>
      <c r="F4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3" s="38">
        <v>9011</v>
      </c>
      <c r="I43" s="37" t="s">
        <v>249</v>
      </c>
      <c r="J43" s="37">
        <v>2931</v>
      </c>
      <c r="K43" s="38">
        <v>901029001</v>
      </c>
      <c r="L43" s="37" t="s">
        <v>495</v>
      </c>
      <c r="O43" s="39" t="s">
        <v>1492</v>
      </c>
      <c r="AS43" s="48">
        <f>ROUND((Товары[[#This Row],[IRP, Eur]]*$AT$1),-2)*(1+Товары[[#This Row],[Процент повышения РРЦ]])</f>
        <v>0</v>
      </c>
      <c r="AT43" s="48"/>
      <c r="AU43" s="50">
        <f>ROUND(Товары[[#This Row],[РРЦ финальная, руб.]]/$AT$1,2)</f>
        <v>0</v>
      </c>
      <c r="AV43" s="49" t="str">
        <f>IFERROR(Товары[[#This Row],[РРЦ, евро]]/Товары[[#This Row],[IRP, Eur]],"-")</f>
        <v>-</v>
      </c>
      <c r="AX43" s="48">
        <f>ROUND(Товары[[#This Row],[РРЦ финальная, руб.]]*(1-Товары[[#This Row],[Скидка DIY]]),2)</f>
        <v>0</v>
      </c>
    </row>
    <row r="44" spans="1:50" x14ac:dyDescent="0.25">
      <c r="A44" s="36">
        <v>42</v>
      </c>
      <c r="C44" s="36" t="s">
        <v>3</v>
      </c>
      <c r="D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" s="36" t="s">
        <v>7</v>
      </c>
      <c r="F4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4" s="38">
        <v>9011</v>
      </c>
      <c r="I44" s="37" t="s">
        <v>250</v>
      </c>
      <c r="J44" s="37">
        <v>2934</v>
      </c>
      <c r="K44" s="38">
        <v>901029901</v>
      </c>
      <c r="L44" s="37" t="s">
        <v>496</v>
      </c>
      <c r="M44" s="37" t="s">
        <v>1335</v>
      </c>
      <c r="O44" s="39" t="s">
        <v>1493</v>
      </c>
      <c r="AS44" s="48">
        <f>ROUND((Товары[[#This Row],[IRP, Eur]]*$AT$1),-2)*(1+Товары[[#This Row],[Процент повышения РРЦ]])</f>
        <v>0</v>
      </c>
      <c r="AT44" s="48"/>
      <c r="AU44" s="50">
        <f>ROUND(Товары[[#This Row],[РРЦ финальная, руб.]]/$AT$1,2)</f>
        <v>0</v>
      </c>
      <c r="AV44" s="49" t="str">
        <f>IFERROR(Товары[[#This Row],[РРЦ, евро]]/Товары[[#This Row],[IRP, Eur]],"-")</f>
        <v>-</v>
      </c>
      <c r="AX44" s="48">
        <f>ROUND(Товары[[#This Row],[РРЦ финальная, руб.]]*(1-Товары[[#This Row],[Скидка DIY]]),2)</f>
        <v>0</v>
      </c>
    </row>
    <row r="45" spans="1:50" x14ac:dyDescent="0.25">
      <c r="A45" s="36">
        <v>43</v>
      </c>
      <c r="C45" s="36" t="s">
        <v>3</v>
      </c>
      <c r="D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" s="36" t="s">
        <v>7</v>
      </c>
      <c r="F4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5" s="38">
        <v>9012</v>
      </c>
      <c r="I45" s="37" t="s">
        <v>251</v>
      </c>
      <c r="J45" s="37">
        <v>18283</v>
      </c>
      <c r="K45" s="38">
        <v>967304401</v>
      </c>
      <c r="L45" s="37" t="s">
        <v>497</v>
      </c>
      <c r="O45" s="39" t="s">
        <v>1494</v>
      </c>
      <c r="AS45" s="48">
        <f>ROUND((Товары[[#This Row],[IRP, Eur]]*$AT$1),-2)*(1+Товары[[#This Row],[Процент повышения РРЦ]])</f>
        <v>0</v>
      </c>
      <c r="AT45" s="48"/>
      <c r="AU45" s="50">
        <f>ROUND(Товары[[#This Row],[РРЦ финальная, руб.]]/$AT$1,2)</f>
        <v>0</v>
      </c>
      <c r="AV45" s="49" t="str">
        <f>IFERROR(Товары[[#This Row],[РРЦ, евро]]/Товары[[#This Row],[IRP, Eur]],"-")</f>
        <v>-</v>
      </c>
      <c r="AX45" s="48">
        <f>ROUND(Товары[[#This Row],[РРЦ финальная, руб.]]*(1-Товары[[#This Row],[Скидка DIY]]),2)</f>
        <v>0</v>
      </c>
    </row>
    <row r="46" spans="1:50" x14ac:dyDescent="0.25">
      <c r="A46" s="36">
        <v>44</v>
      </c>
      <c r="C46" s="36" t="s">
        <v>3</v>
      </c>
      <c r="D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" s="36" t="s">
        <v>7</v>
      </c>
      <c r="F4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6" s="38">
        <v>9012</v>
      </c>
      <c r="K46" s="38">
        <v>970481301</v>
      </c>
      <c r="L46" s="37" t="s">
        <v>498</v>
      </c>
      <c r="O46" s="39" t="s">
        <v>1495</v>
      </c>
      <c r="AS46" s="48">
        <f>ROUND((Товары[[#This Row],[IRP, Eur]]*$AT$1),-2)*(1+Товары[[#This Row],[Процент повышения РРЦ]])</f>
        <v>0</v>
      </c>
      <c r="AT46" s="48"/>
      <c r="AU46" s="50">
        <f>ROUND(Товары[[#This Row],[РРЦ финальная, руб.]]/$AT$1,2)</f>
        <v>0</v>
      </c>
      <c r="AV46" s="49" t="str">
        <f>IFERROR(Товары[[#This Row],[РРЦ, евро]]/Товары[[#This Row],[IRP, Eur]],"-")</f>
        <v>-</v>
      </c>
      <c r="AX46" s="48">
        <f>ROUND(Товары[[#This Row],[РРЦ финальная, руб.]]*(1-Товары[[#This Row],[Скидка DIY]]),2)</f>
        <v>0</v>
      </c>
    </row>
    <row r="47" spans="1:50" x14ac:dyDescent="0.25">
      <c r="A47" s="36">
        <v>45</v>
      </c>
      <c r="C47" s="36" t="s">
        <v>3</v>
      </c>
      <c r="D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7" s="36" t="s">
        <v>7</v>
      </c>
      <c r="F4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7" s="38">
        <v>9012</v>
      </c>
      <c r="I47" s="37" t="s">
        <v>251</v>
      </c>
      <c r="J47" s="37">
        <v>18299</v>
      </c>
      <c r="K47" s="38">
        <v>967704601</v>
      </c>
      <c r="L47" s="37" t="s">
        <v>499</v>
      </c>
      <c r="M47" s="37" t="s">
        <v>1336</v>
      </c>
      <c r="O47" s="39" t="s">
        <v>1496</v>
      </c>
      <c r="AS47" s="48">
        <f>ROUND((Товары[[#This Row],[IRP, Eur]]*$AT$1),-2)*(1+Товары[[#This Row],[Процент повышения РРЦ]])</f>
        <v>0</v>
      </c>
      <c r="AT47" s="48"/>
      <c r="AU47" s="50">
        <f>ROUND(Товары[[#This Row],[РРЦ финальная, руб.]]/$AT$1,2)</f>
        <v>0</v>
      </c>
      <c r="AV47" s="49" t="str">
        <f>IFERROR(Товары[[#This Row],[РРЦ, евро]]/Товары[[#This Row],[IRP, Eur]],"-")</f>
        <v>-</v>
      </c>
      <c r="AX47" s="48">
        <f>ROUND(Товары[[#This Row],[РРЦ финальная, руб.]]*(1-Товары[[#This Row],[Скидка DIY]]),2)</f>
        <v>0</v>
      </c>
    </row>
    <row r="48" spans="1:50" x14ac:dyDescent="0.25">
      <c r="A48" s="36">
        <v>46</v>
      </c>
      <c r="C48" s="36" t="s">
        <v>3</v>
      </c>
      <c r="D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8" s="36" t="s">
        <v>7</v>
      </c>
      <c r="F4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8" s="38">
        <v>9012</v>
      </c>
      <c r="I48" s="37" t="s">
        <v>251</v>
      </c>
      <c r="J48" s="37">
        <v>18291</v>
      </c>
      <c r="K48" s="38">
        <v>967305201</v>
      </c>
      <c r="L48" s="37" t="s">
        <v>500</v>
      </c>
      <c r="O48" s="39" t="s">
        <v>1497</v>
      </c>
      <c r="AS48" s="48">
        <f>ROUND((Товары[[#This Row],[IRP, Eur]]*$AT$1),-2)*(1+Товары[[#This Row],[Процент повышения РРЦ]])</f>
        <v>0</v>
      </c>
      <c r="AT48" s="48"/>
      <c r="AU48" s="50">
        <f>ROUND(Товары[[#This Row],[РРЦ финальная, руб.]]/$AT$1,2)</f>
        <v>0</v>
      </c>
      <c r="AV48" s="49" t="str">
        <f>IFERROR(Товары[[#This Row],[РРЦ, евро]]/Товары[[#This Row],[IRP, Eur]],"-")</f>
        <v>-</v>
      </c>
      <c r="AX48" s="48">
        <f>ROUND(Товары[[#This Row],[РРЦ финальная, руб.]]*(1-Товары[[#This Row],[Скидка DIY]]),2)</f>
        <v>0</v>
      </c>
    </row>
    <row r="49" spans="1:50" x14ac:dyDescent="0.25">
      <c r="A49" s="36">
        <v>47</v>
      </c>
      <c r="C49" s="36" t="s">
        <v>3</v>
      </c>
      <c r="D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9" s="36" t="s">
        <v>7</v>
      </c>
      <c r="F4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9" s="38">
        <v>9012</v>
      </c>
      <c r="K49" s="38">
        <v>970481401</v>
      </c>
      <c r="L49" s="37" t="s">
        <v>501</v>
      </c>
      <c r="O49" s="39" t="s">
        <v>1498</v>
      </c>
      <c r="AS49" s="48">
        <f>ROUND((Товары[[#This Row],[IRP, Eur]]*$AT$1),-2)*(1+Товары[[#This Row],[Процент повышения РРЦ]])</f>
        <v>0</v>
      </c>
      <c r="AT49" s="48"/>
      <c r="AU49" s="50">
        <f>ROUND(Товары[[#This Row],[РРЦ финальная, руб.]]/$AT$1,2)</f>
        <v>0</v>
      </c>
      <c r="AV49" s="49" t="str">
        <f>IFERROR(Товары[[#This Row],[РРЦ, евро]]/Товары[[#This Row],[IRP, Eur]],"-")</f>
        <v>-</v>
      </c>
      <c r="AX49" s="48">
        <f>ROUND(Товары[[#This Row],[РРЦ финальная, руб.]]*(1-Товары[[#This Row],[Скидка DIY]]),2)</f>
        <v>0</v>
      </c>
    </row>
    <row r="50" spans="1:50" x14ac:dyDescent="0.25">
      <c r="A50" s="36">
        <v>48</v>
      </c>
      <c r="C50" s="36" t="s">
        <v>3</v>
      </c>
      <c r="D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0" s="36" t="s">
        <v>7</v>
      </c>
      <c r="F5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0" s="38">
        <v>9012</v>
      </c>
      <c r="I50" s="37" t="s">
        <v>251</v>
      </c>
      <c r="J50" s="37">
        <v>18298</v>
      </c>
      <c r="K50" s="38">
        <v>967674001</v>
      </c>
      <c r="L50" s="37" t="s">
        <v>502</v>
      </c>
      <c r="M50" s="37" t="s">
        <v>1337</v>
      </c>
      <c r="O50" s="39" t="s">
        <v>1499</v>
      </c>
      <c r="AS50" s="48">
        <f>ROUND((Товары[[#This Row],[IRP, Eur]]*$AT$1),-2)*(1+Товары[[#This Row],[Процент повышения РРЦ]])</f>
        <v>0</v>
      </c>
      <c r="AT50" s="48"/>
      <c r="AU50" s="50">
        <f>ROUND(Товары[[#This Row],[РРЦ финальная, руб.]]/$AT$1,2)</f>
        <v>0</v>
      </c>
      <c r="AV50" s="49" t="str">
        <f>IFERROR(Товары[[#This Row],[РРЦ, евро]]/Товары[[#This Row],[IRP, Eur]],"-")</f>
        <v>-</v>
      </c>
      <c r="AX50" s="48">
        <f>ROUND(Товары[[#This Row],[РРЦ финальная, руб.]]*(1-Товары[[#This Row],[Скидка DIY]]),2)</f>
        <v>0</v>
      </c>
    </row>
    <row r="51" spans="1:50" x14ac:dyDescent="0.25">
      <c r="A51" s="36">
        <v>49</v>
      </c>
      <c r="C51" s="36" t="s">
        <v>3</v>
      </c>
      <c r="D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1" s="36" t="s">
        <v>7</v>
      </c>
      <c r="F5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1" s="38">
        <v>9012</v>
      </c>
      <c r="I51" s="37" t="s">
        <v>251</v>
      </c>
      <c r="J51" s="37">
        <v>18298</v>
      </c>
      <c r="K51" s="38">
        <v>967674001</v>
      </c>
      <c r="L51" s="37" t="s">
        <v>503</v>
      </c>
      <c r="AS51" s="48">
        <f>ROUND((Товары[[#This Row],[IRP, Eur]]*$AT$1),-2)*(1+Товары[[#This Row],[Процент повышения РРЦ]])</f>
        <v>0</v>
      </c>
      <c r="AT51" s="48"/>
      <c r="AU51" s="50">
        <f>ROUND(Товары[[#This Row],[РРЦ финальная, руб.]]/$AT$1,2)</f>
        <v>0</v>
      </c>
      <c r="AV51" s="49" t="str">
        <f>IFERROR(Товары[[#This Row],[РРЦ, евро]]/Товары[[#This Row],[IRP, Eur]],"-")</f>
        <v>-</v>
      </c>
      <c r="AX51" s="48">
        <f>ROUND(Товары[[#This Row],[РРЦ финальная, руб.]]*(1-Товары[[#This Row],[Скидка DIY]]),2)</f>
        <v>0</v>
      </c>
    </row>
    <row r="52" spans="1:50" x14ac:dyDescent="0.25">
      <c r="A52" s="36">
        <v>50</v>
      </c>
      <c r="C52" s="36" t="s">
        <v>3</v>
      </c>
      <c r="D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2" s="36" t="s">
        <v>7</v>
      </c>
      <c r="F5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2" s="38">
        <v>9013</v>
      </c>
      <c r="I52" s="37" t="s">
        <v>242</v>
      </c>
      <c r="J52" s="37">
        <v>2801</v>
      </c>
      <c r="K52" s="38">
        <v>901019701</v>
      </c>
      <c r="L52" s="37" t="s">
        <v>504</v>
      </c>
      <c r="O52" s="39" t="s">
        <v>1500</v>
      </c>
      <c r="AS52" s="48">
        <f>ROUND((Товары[[#This Row],[IRP, Eur]]*$AT$1),-2)*(1+Товары[[#This Row],[Процент повышения РРЦ]])</f>
        <v>0</v>
      </c>
      <c r="AT52" s="48"/>
      <c r="AU52" s="50">
        <f>ROUND(Товары[[#This Row],[РРЦ финальная, руб.]]/$AT$1,2)</f>
        <v>0</v>
      </c>
      <c r="AV52" s="49" t="str">
        <f>IFERROR(Товары[[#This Row],[РРЦ, евро]]/Товары[[#This Row],[IRP, Eur]],"-")</f>
        <v>-</v>
      </c>
      <c r="AX52" s="48">
        <f>ROUND(Товары[[#This Row],[РРЦ финальная, руб.]]*(1-Товары[[#This Row],[Скидка DIY]]),2)</f>
        <v>0</v>
      </c>
    </row>
    <row r="53" spans="1:50" x14ac:dyDescent="0.25">
      <c r="A53" s="36">
        <v>51</v>
      </c>
      <c r="C53" s="36" t="s">
        <v>3</v>
      </c>
      <c r="D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3" s="36" t="s">
        <v>7</v>
      </c>
      <c r="F5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3" s="38">
        <v>9013</v>
      </c>
      <c r="I53" s="37" t="s">
        <v>242</v>
      </c>
      <c r="J53" s="37">
        <v>2802</v>
      </c>
      <c r="K53" s="38">
        <v>901019901</v>
      </c>
      <c r="L53" s="37" t="s">
        <v>505</v>
      </c>
      <c r="O53" s="39" t="s">
        <v>1501</v>
      </c>
      <c r="AS53" s="48">
        <f>ROUND((Товары[[#This Row],[IRP, Eur]]*$AT$1),-2)*(1+Товары[[#This Row],[Процент повышения РРЦ]])</f>
        <v>0</v>
      </c>
      <c r="AT53" s="48"/>
      <c r="AU53" s="50">
        <f>ROUND(Товары[[#This Row],[РРЦ финальная, руб.]]/$AT$1,2)</f>
        <v>0</v>
      </c>
      <c r="AV53" s="49" t="str">
        <f>IFERROR(Товары[[#This Row],[РРЦ, евро]]/Товары[[#This Row],[IRP, Eur]],"-")</f>
        <v>-</v>
      </c>
      <c r="AX53" s="48">
        <f>ROUND(Товары[[#This Row],[РРЦ финальная, руб.]]*(1-Товары[[#This Row],[Скидка DIY]]),2)</f>
        <v>0</v>
      </c>
    </row>
    <row r="54" spans="1:50" x14ac:dyDescent="0.25">
      <c r="A54" s="36">
        <v>52</v>
      </c>
      <c r="C54" s="36" t="s">
        <v>3</v>
      </c>
      <c r="D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4" s="36" t="s">
        <v>7</v>
      </c>
      <c r="F5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4" s="38">
        <v>9013</v>
      </c>
      <c r="I54" s="37" t="s">
        <v>244</v>
      </c>
      <c r="J54" s="37">
        <v>2817</v>
      </c>
      <c r="K54" s="38">
        <v>901020401</v>
      </c>
      <c r="L54" s="37" t="s">
        <v>506</v>
      </c>
      <c r="O54" s="39" t="s">
        <v>1502</v>
      </c>
      <c r="AS54" s="48">
        <f>ROUND((Товары[[#This Row],[IRP, Eur]]*$AT$1),-2)*(1+Товары[[#This Row],[Процент повышения РРЦ]])</f>
        <v>0</v>
      </c>
      <c r="AT54" s="48"/>
      <c r="AU54" s="50">
        <f>ROUND(Товары[[#This Row],[РРЦ финальная, руб.]]/$AT$1,2)</f>
        <v>0</v>
      </c>
      <c r="AV54" s="49" t="str">
        <f>IFERROR(Товары[[#This Row],[РРЦ, евро]]/Товары[[#This Row],[IRP, Eur]],"-")</f>
        <v>-</v>
      </c>
      <c r="AX54" s="48">
        <f>ROUND(Товары[[#This Row],[РРЦ финальная, руб.]]*(1-Товары[[#This Row],[Скидка DIY]]),2)</f>
        <v>0</v>
      </c>
    </row>
    <row r="55" spans="1:50" x14ac:dyDescent="0.25">
      <c r="A55" s="36">
        <v>53</v>
      </c>
      <c r="C55" s="36" t="s">
        <v>3</v>
      </c>
      <c r="D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5" s="36" t="s">
        <v>7</v>
      </c>
      <c r="F5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5" s="38">
        <v>9013</v>
      </c>
      <c r="I55" s="37" t="s">
        <v>244</v>
      </c>
      <c r="J55" s="37">
        <v>2819</v>
      </c>
      <c r="K55" s="38">
        <v>901020801</v>
      </c>
      <c r="L55" s="37" t="s">
        <v>507</v>
      </c>
      <c r="O55" s="39" t="s">
        <v>1503</v>
      </c>
      <c r="AS55" s="48">
        <f>ROUND((Товары[[#This Row],[IRP, Eur]]*$AT$1),-2)*(1+Товары[[#This Row],[Процент повышения РРЦ]])</f>
        <v>0</v>
      </c>
      <c r="AT55" s="48"/>
      <c r="AU55" s="50">
        <f>ROUND(Товары[[#This Row],[РРЦ финальная, руб.]]/$AT$1,2)</f>
        <v>0</v>
      </c>
      <c r="AV55" s="49" t="str">
        <f>IFERROR(Товары[[#This Row],[РРЦ, евро]]/Товары[[#This Row],[IRP, Eur]],"-")</f>
        <v>-</v>
      </c>
      <c r="AX55" s="48">
        <f>ROUND(Товары[[#This Row],[РРЦ финальная, руб.]]*(1-Товары[[#This Row],[Скидка DIY]]),2)</f>
        <v>0</v>
      </c>
    </row>
    <row r="56" spans="1:50" x14ac:dyDescent="0.25">
      <c r="A56" s="36">
        <v>54</v>
      </c>
      <c r="C56" s="36" t="s">
        <v>3</v>
      </c>
      <c r="D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6" s="36" t="s">
        <v>7</v>
      </c>
      <c r="F5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6" s="38">
        <v>9013</v>
      </c>
      <c r="I56" s="37" t="s">
        <v>244</v>
      </c>
      <c r="J56" s="37">
        <v>2814</v>
      </c>
      <c r="K56" s="38">
        <v>901020201</v>
      </c>
      <c r="L56" s="37" t="s">
        <v>508</v>
      </c>
      <c r="O56" s="39" t="s">
        <v>1504</v>
      </c>
      <c r="AS56" s="48">
        <f>ROUND((Товары[[#This Row],[IRP, Eur]]*$AT$1),-2)*(1+Товары[[#This Row],[Процент повышения РРЦ]])</f>
        <v>0</v>
      </c>
      <c r="AT56" s="48"/>
      <c r="AU56" s="50">
        <f>ROUND(Товары[[#This Row],[РРЦ финальная, руб.]]/$AT$1,2)</f>
        <v>0</v>
      </c>
      <c r="AV56" s="49" t="str">
        <f>IFERROR(Товары[[#This Row],[РРЦ, евро]]/Товары[[#This Row],[IRP, Eur]],"-")</f>
        <v>-</v>
      </c>
      <c r="AX56" s="48">
        <f>ROUND(Товары[[#This Row],[РРЦ финальная, руб.]]*(1-Товары[[#This Row],[Скидка DIY]]),2)</f>
        <v>0</v>
      </c>
    </row>
    <row r="57" spans="1:50" x14ac:dyDescent="0.25">
      <c r="A57" s="36">
        <v>55</v>
      </c>
      <c r="C57" s="36" t="s">
        <v>3</v>
      </c>
      <c r="D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7" s="36" t="s">
        <v>7</v>
      </c>
      <c r="F5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7" s="38">
        <v>9013</v>
      </c>
      <c r="I57" s="37" t="s">
        <v>252</v>
      </c>
      <c r="J57" s="37">
        <v>2831</v>
      </c>
      <c r="K57" s="38">
        <v>901021501</v>
      </c>
      <c r="L57" s="37" t="s">
        <v>509</v>
      </c>
      <c r="O57" s="39" t="s">
        <v>1505</v>
      </c>
      <c r="AS57" s="48">
        <f>ROUND((Товары[[#This Row],[IRP, Eur]]*$AT$1),-2)*(1+Товары[[#This Row],[Процент повышения РРЦ]])</f>
        <v>0</v>
      </c>
      <c r="AT57" s="48"/>
      <c r="AU57" s="50">
        <f>ROUND(Товары[[#This Row],[РРЦ финальная, руб.]]/$AT$1,2)</f>
        <v>0</v>
      </c>
      <c r="AV57" s="49" t="str">
        <f>IFERROR(Товары[[#This Row],[РРЦ, евро]]/Товары[[#This Row],[IRP, Eur]],"-")</f>
        <v>-</v>
      </c>
      <c r="AX57" s="48">
        <f>ROUND(Товары[[#This Row],[РРЦ финальная, руб.]]*(1-Товары[[#This Row],[Скидка DIY]]),2)</f>
        <v>0</v>
      </c>
    </row>
    <row r="58" spans="1:50" x14ac:dyDescent="0.25">
      <c r="A58" s="36">
        <v>56</v>
      </c>
      <c r="C58" s="36" t="s">
        <v>3</v>
      </c>
      <c r="D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8" s="36" t="s">
        <v>7</v>
      </c>
      <c r="F5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8" s="38">
        <v>9013</v>
      </c>
      <c r="I58" s="37" t="s">
        <v>252</v>
      </c>
      <c r="J58" s="37">
        <v>2830</v>
      </c>
      <c r="K58" s="38">
        <v>901021301</v>
      </c>
      <c r="L58" s="37" t="s">
        <v>510</v>
      </c>
      <c r="O58" s="39" t="s">
        <v>1506</v>
      </c>
      <c r="AS58" s="48">
        <f>ROUND((Товары[[#This Row],[IRP, Eur]]*$AT$1),-2)*(1+Товары[[#This Row],[Процент повышения РРЦ]])</f>
        <v>0</v>
      </c>
      <c r="AT58" s="48"/>
      <c r="AU58" s="50">
        <f>ROUND(Товары[[#This Row],[РРЦ финальная, руб.]]/$AT$1,2)</f>
        <v>0</v>
      </c>
      <c r="AV58" s="49" t="str">
        <f>IFERROR(Товары[[#This Row],[РРЦ, евро]]/Товары[[#This Row],[IRP, Eur]],"-")</f>
        <v>-</v>
      </c>
      <c r="AX58" s="48">
        <f>ROUND(Товары[[#This Row],[РРЦ финальная, руб.]]*(1-Товары[[#This Row],[Скидка DIY]]),2)</f>
        <v>0</v>
      </c>
    </row>
    <row r="59" spans="1:50" x14ac:dyDescent="0.25">
      <c r="A59" s="36">
        <v>57</v>
      </c>
      <c r="C59" s="36" t="s">
        <v>3</v>
      </c>
      <c r="D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9" s="36" t="s">
        <v>7</v>
      </c>
      <c r="F5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9" s="38">
        <v>9013</v>
      </c>
      <c r="I59" s="37" t="s">
        <v>250</v>
      </c>
      <c r="J59" s="37">
        <v>2833</v>
      </c>
      <c r="K59" s="38">
        <v>901021701</v>
      </c>
      <c r="L59" s="37" t="s">
        <v>511</v>
      </c>
      <c r="O59" s="39" t="s">
        <v>1507</v>
      </c>
      <c r="AS59" s="48">
        <f>ROUND((Товары[[#This Row],[IRP, Eur]]*$AT$1),-2)*(1+Товары[[#This Row],[Процент повышения РРЦ]])</f>
        <v>0</v>
      </c>
      <c r="AT59" s="48"/>
      <c r="AU59" s="50">
        <f>ROUND(Товары[[#This Row],[РРЦ финальная, руб.]]/$AT$1,2)</f>
        <v>0</v>
      </c>
      <c r="AV59" s="49" t="str">
        <f>IFERROR(Товары[[#This Row],[РРЦ, евро]]/Товары[[#This Row],[IRP, Eur]],"-")</f>
        <v>-</v>
      </c>
      <c r="AX59" s="48">
        <f>ROUND(Товары[[#This Row],[РРЦ финальная, руб.]]*(1-Товары[[#This Row],[Скидка DIY]]),2)</f>
        <v>0</v>
      </c>
    </row>
    <row r="60" spans="1:50" x14ac:dyDescent="0.25">
      <c r="A60" s="36">
        <v>58</v>
      </c>
      <c r="C60" s="36" t="s">
        <v>3</v>
      </c>
      <c r="D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0" s="36" t="s">
        <v>7</v>
      </c>
      <c r="F6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0" s="38">
        <v>9013</v>
      </c>
      <c r="I60" s="37" t="s">
        <v>250</v>
      </c>
      <c r="J60" s="37">
        <v>2834</v>
      </c>
      <c r="K60" s="38">
        <v>901021801</v>
      </c>
      <c r="L60" s="37" t="s">
        <v>512</v>
      </c>
      <c r="O60" s="39" t="s">
        <v>1508</v>
      </c>
      <c r="AS60" s="48">
        <f>ROUND((Товары[[#This Row],[IRP, Eur]]*$AT$1),-2)*(1+Товары[[#This Row],[Процент повышения РРЦ]])</f>
        <v>0</v>
      </c>
      <c r="AT60" s="48"/>
      <c r="AU60" s="50">
        <f>ROUND(Товары[[#This Row],[РРЦ финальная, руб.]]/$AT$1,2)</f>
        <v>0</v>
      </c>
      <c r="AV60" s="49" t="str">
        <f>IFERROR(Товары[[#This Row],[РРЦ, евро]]/Товары[[#This Row],[IRP, Eur]],"-")</f>
        <v>-</v>
      </c>
      <c r="AX60" s="48">
        <f>ROUND(Товары[[#This Row],[РРЦ финальная, руб.]]*(1-Товары[[#This Row],[Скидка DIY]]),2)</f>
        <v>0</v>
      </c>
    </row>
    <row r="61" spans="1:50" x14ac:dyDescent="0.25">
      <c r="A61" s="36">
        <v>59</v>
      </c>
      <c r="C61" s="36" t="s">
        <v>3</v>
      </c>
      <c r="D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1" s="36" t="s">
        <v>7</v>
      </c>
      <c r="F6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1" s="38">
        <v>9013</v>
      </c>
      <c r="I61" s="37" t="s">
        <v>249</v>
      </c>
      <c r="J61" s="37">
        <v>2835</v>
      </c>
      <c r="K61" s="38">
        <v>901021901</v>
      </c>
      <c r="L61" s="37" t="s">
        <v>513</v>
      </c>
      <c r="O61" s="39" t="s">
        <v>1509</v>
      </c>
      <c r="AS61" s="48">
        <f>ROUND((Товары[[#This Row],[IRP, Eur]]*$AT$1),-2)*(1+Товары[[#This Row],[Процент повышения РРЦ]])</f>
        <v>0</v>
      </c>
      <c r="AT61" s="48"/>
      <c r="AU61" s="50">
        <f>ROUND(Товары[[#This Row],[РРЦ финальная, руб.]]/$AT$1,2)</f>
        <v>0</v>
      </c>
      <c r="AV61" s="49" t="str">
        <f>IFERROR(Товары[[#This Row],[РРЦ, евро]]/Товары[[#This Row],[IRP, Eur]],"-")</f>
        <v>-</v>
      </c>
      <c r="AX61" s="48">
        <f>ROUND(Товары[[#This Row],[РРЦ финальная, руб.]]*(1-Товары[[#This Row],[Скидка DIY]]),2)</f>
        <v>0</v>
      </c>
    </row>
    <row r="62" spans="1:50" x14ac:dyDescent="0.25">
      <c r="A62" s="36">
        <v>60</v>
      </c>
      <c r="C62" s="36" t="s">
        <v>3</v>
      </c>
      <c r="D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2" s="36" t="s">
        <v>7</v>
      </c>
      <c r="F6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2" s="38">
        <v>9013</v>
      </c>
      <c r="I62" s="37" t="s">
        <v>252</v>
      </c>
      <c r="J62" s="37">
        <v>2821</v>
      </c>
      <c r="K62" s="38">
        <v>901020901</v>
      </c>
      <c r="L62" s="37" t="s">
        <v>514</v>
      </c>
      <c r="O62" s="39" t="s">
        <v>1510</v>
      </c>
      <c r="AS62" s="48">
        <f>ROUND((Товары[[#This Row],[IRP, Eur]]*$AT$1),-2)*(1+Товары[[#This Row],[Процент повышения РРЦ]])</f>
        <v>0</v>
      </c>
      <c r="AT62" s="48"/>
      <c r="AU62" s="50">
        <f>ROUND(Товары[[#This Row],[РРЦ финальная, руб.]]/$AT$1,2)</f>
        <v>0</v>
      </c>
      <c r="AV62" s="49" t="str">
        <f>IFERROR(Товары[[#This Row],[РРЦ, евро]]/Товары[[#This Row],[IRP, Eur]],"-")</f>
        <v>-</v>
      </c>
      <c r="AX62" s="48">
        <f>ROUND(Товары[[#This Row],[РРЦ финальная, руб.]]*(1-Товары[[#This Row],[Скидка DIY]]),2)</f>
        <v>0</v>
      </c>
    </row>
    <row r="63" spans="1:50" x14ac:dyDescent="0.25">
      <c r="A63" s="36">
        <v>61</v>
      </c>
      <c r="C63" s="36" t="s">
        <v>3</v>
      </c>
      <c r="D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3" s="36" t="s">
        <v>7</v>
      </c>
      <c r="F6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3" s="38">
        <v>9013</v>
      </c>
      <c r="I63" s="37" t="s">
        <v>253</v>
      </c>
      <c r="J63" s="37">
        <v>2818</v>
      </c>
      <c r="K63" s="38">
        <v>901020601</v>
      </c>
      <c r="L63" s="37" t="s">
        <v>515</v>
      </c>
      <c r="O63" s="39" t="s">
        <v>1511</v>
      </c>
      <c r="AS63" s="48">
        <f>ROUND((Товары[[#This Row],[IRP, Eur]]*$AT$1),-2)*(1+Товары[[#This Row],[Процент повышения РРЦ]])</f>
        <v>0</v>
      </c>
      <c r="AT63" s="48"/>
      <c r="AU63" s="50">
        <f>ROUND(Товары[[#This Row],[РРЦ финальная, руб.]]/$AT$1,2)</f>
        <v>0</v>
      </c>
      <c r="AV63" s="49" t="str">
        <f>IFERROR(Товары[[#This Row],[РРЦ, евро]]/Товары[[#This Row],[IRP, Eur]],"-")</f>
        <v>-</v>
      </c>
      <c r="AX63" s="48">
        <f>ROUND(Товары[[#This Row],[РРЦ финальная, руб.]]*(1-Товары[[#This Row],[Скидка DIY]]),2)</f>
        <v>0</v>
      </c>
    </row>
    <row r="64" spans="1:50" x14ac:dyDescent="0.25">
      <c r="A64" s="36">
        <v>62</v>
      </c>
      <c r="C64" s="36" t="s">
        <v>3</v>
      </c>
      <c r="D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4" s="36" t="s">
        <v>226</v>
      </c>
      <c r="F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" s="38">
        <v>9022</v>
      </c>
      <c r="I64" s="37" t="s">
        <v>253</v>
      </c>
      <c r="J64" s="37">
        <v>18300</v>
      </c>
      <c r="K64" s="38">
        <v>967305901</v>
      </c>
      <c r="L64" s="37" t="s">
        <v>516</v>
      </c>
      <c r="O64" s="39" t="s">
        <v>1512</v>
      </c>
      <c r="AS64" s="48">
        <f>ROUND((Товары[[#This Row],[IRP, Eur]]*$AT$1),-2)*(1+Товары[[#This Row],[Процент повышения РРЦ]])</f>
        <v>0</v>
      </c>
      <c r="AT64" s="48"/>
      <c r="AU64" s="50">
        <f>ROUND(Товары[[#This Row],[РРЦ финальная, руб.]]/$AT$1,2)</f>
        <v>0</v>
      </c>
      <c r="AV64" s="49" t="str">
        <f>IFERROR(Товары[[#This Row],[РРЦ, евро]]/Товары[[#This Row],[IRP, Eur]],"-")</f>
        <v>-</v>
      </c>
      <c r="AX64" s="48">
        <f>ROUND(Товары[[#This Row],[РРЦ финальная, руб.]]*(1-Товары[[#This Row],[Скидка DIY]]),2)</f>
        <v>0</v>
      </c>
    </row>
    <row r="65" spans="1:50" x14ac:dyDescent="0.25">
      <c r="A65" s="36">
        <v>63</v>
      </c>
      <c r="C65" s="36" t="s">
        <v>3</v>
      </c>
      <c r="D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5" s="36" t="s">
        <v>226</v>
      </c>
      <c r="F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" s="38">
        <v>9022</v>
      </c>
      <c r="I65" s="37" t="s">
        <v>254</v>
      </c>
      <c r="J65" s="37">
        <v>18310</v>
      </c>
      <c r="K65" s="38">
        <v>967306701</v>
      </c>
      <c r="L65" s="37" t="s">
        <v>517</v>
      </c>
      <c r="O65" s="39" t="s">
        <v>1513</v>
      </c>
      <c r="AS65" s="48">
        <f>ROUND((Товары[[#This Row],[IRP, Eur]]*$AT$1),-2)*(1+Товары[[#This Row],[Процент повышения РРЦ]])</f>
        <v>0</v>
      </c>
      <c r="AT65" s="48"/>
      <c r="AU65" s="50">
        <f>ROUND(Товары[[#This Row],[РРЦ финальная, руб.]]/$AT$1,2)</f>
        <v>0</v>
      </c>
      <c r="AV65" s="49" t="str">
        <f>IFERROR(Товары[[#This Row],[РРЦ, евро]]/Товары[[#This Row],[IRP, Eur]],"-")</f>
        <v>-</v>
      </c>
      <c r="AX65" s="48">
        <f>ROUND(Товары[[#This Row],[РРЦ финальная, руб.]]*(1-Товары[[#This Row],[Скидка DIY]]),2)</f>
        <v>0</v>
      </c>
    </row>
    <row r="66" spans="1:50" x14ac:dyDescent="0.25">
      <c r="A66" s="36">
        <v>64</v>
      </c>
      <c r="C66" s="36" t="s">
        <v>3</v>
      </c>
      <c r="D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6" s="36" t="s">
        <v>226</v>
      </c>
      <c r="F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" s="38">
        <v>9022</v>
      </c>
      <c r="I66" s="37" t="s">
        <v>254</v>
      </c>
      <c r="J66" s="37">
        <v>18405</v>
      </c>
      <c r="K66" s="38">
        <v>967909001</v>
      </c>
      <c r="L66" s="37" t="s">
        <v>518</v>
      </c>
      <c r="M66" s="37" t="s">
        <v>1338</v>
      </c>
      <c r="O66" s="39" t="s">
        <v>1514</v>
      </c>
      <c r="AS66" s="48">
        <f>ROUND((Товары[[#This Row],[IRP, Eur]]*$AT$1),-2)*(1+Товары[[#This Row],[Процент повышения РРЦ]])</f>
        <v>0</v>
      </c>
      <c r="AT66" s="48"/>
      <c r="AU66" s="50">
        <f>ROUND(Товары[[#This Row],[РРЦ финальная, руб.]]/$AT$1,2)</f>
        <v>0</v>
      </c>
      <c r="AV66" s="49" t="str">
        <f>IFERROR(Товары[[#This Row],[РРЦ, евро]]/Товары[[#This Row],[IRP, Eur]],"-")</f>
        <v>-</v>
      </c>
      <c r="AX66" s="48">
        <f>ROUND(Товары[[#This Row],[РРЦ финальная, руб.]]*(1-Товары[[#This Row],[Скидка DIY]]),2)</f>
        <v>0</v>
      </c>
    </row>
    <row r="67" spans="1:50" x14ac:dyDescent="0.25">
      <c r="A67" s="36">
        <v>65</v>
      </c>
      <c r="C67" s="36" t="s">
        <v>3</v>
      </c>
      <c r="D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7" s="36" t="s">
        <v>226</v>
      </c>
      <c r="F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" s="38">
        <v>9022</v>
      </c>
      <c r="I67" s="37" t="s">
        <v>253</v>
      </c>
      <c r="J67" s="37">
        <v>18304</v>
      </c>
      <c r="K67" s="38">
        <v>967909101</v>
      </c>
      <c r="L67" s="37" t="s">
        <v>519</v>
      </c>
      <c r="M67" s="37" t="s">
        <v>1338</v>
      </c>
      <c r="O67" s="39" t="s">
        <v>1515</v>
      </c>
      <c r="AS67" s="48">
        <f>ROUND((Товары[[#This Row],[IRP, Eur]]*$AT$1),-2)*(1+Товары[[#This Row],[Процент повышения РРЦ]])</f>
        <v>0</v>
      </c>
      <c r="AT67" s="48"/>
      <c r="AU67" s="50">
        <f>ROUND(Товары[[#This Row],[РРЦ финальная, руб.]]/$AT$1,2)</f>
        <v>0</v>
      </c>
      <c r="AV67" s="49" t="str">
        <f>IFERROR(Товары[[#This Row],[РРЦ, евро]]/Товары[[#This Row],[IRP, Eur]],"-")</f>
        <v>-</v>
      </c>
      <c r="AX67" s="48">
        <f>ROUND(Товары[[#This Row],[РРЦ финальная, руб.]]*(1-Товары[[#This Row],[Скидка DIY]]),2)</f>
        <v>0</v>
      </c>
    </row>
    <row r="68" spans="1:50" x14ac:dyDescent="0.25">
      <c r="A68" s="36">
        <v>66</v>
      </c>
      <c r="C68" s="36" t="s">
        <v>3</v>
      </c>
      <c r="D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8" s="36" t="s">
        <v>226</v>
      </c>
      <c r="F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" s="38">
        <v>9022</v>
      </c>
      <c r="I68" s="37" t="s">
        <v>253</v>
      </c>
      <c r="J68" s="37">
        <v>18304</v>
      </c>
      <c r="K68" s="38">
        <v>967909201</v>
      </c>
      <c r="L68" s="37" t="s">
        <v>520</v>
      </c>
      <c r="M68" s="37" t="s">
        <v>1338</v>
      </c>
      <c r="O68" s="39" t="s">
        <v>1516</v>
      </c>
      <c r="AS68" s="48">
        <f>ROUND((Товары[[#This Row],[IRP, Eur]]*$AT$1),-2)*(1+Товары[[#This Row],[Процент повышения РРЦ]])</f>
        <v>0</v>
      </c>
      <c r="AT68" s="48"/>
      <c r="AU68" s="50">
        <f>ROUND(Товары[[#This Row],[РРЦ финальная, руб.]]/$AT$1,2)</f>
        <v>0</v>
      </c>
      <c r="AV68" s="49" t="str">
        <f>IFERROR(Товары[[#This Row],[РРЦ, евро]]/Товары[[#This Row],[IRP, Eur]],"-")</f>
        <v>-</v>
      </c>
      <c r="AX68" s="48">
        <f>ROUND(Товары[[#This Row],[РРЦ финальная, руб.]]*(1-Товары[[#This Row],[Скидка DIY]]),2)</f>
        <v>0</v>
      </c>
    </row>
    <row r="69" spans="1:50" x14ac:dyDescent="0.25">
      <c r="A69" s="36">
        <v>67</v>
      </c>
      <c r="C69" s="36" t="s">
        <v>3</v>
      </c>
      <c r="D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9" s="36" t="s">
        <v>226</v>
      </c>
      <c r="F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" s="38">
        <v>9022</v>
      </c>
      <c r="I69" s="37" t="s">
        <v>253</v>
      </c>
      <c r="J69" s="37">
        <v>18301</v>
      </c>
      <c r="K69" s="38">
        <v>967306301</v>
      </c>
      <c r="L69" s="37" t="s">
        <v>521</v>
      </c>
      <c r="O69" s="39" t="s">
        <v>1517</v>
      </c>
      <c r="AS69" s="48">
        <f>ROUND((Товары[[#This Row],[IRP, Eur]]*$AT$1),-2)*(1+Товары[[#This Row],[Процент повышения РРЦ]])</f>
        <v>0</v>
      </c>
      <c r="AT69" s="48"/>
      <c r="AU69" s="50">
        <f>ROUND(Товары[[#This Row],[РРЦ финальная, руб.]]/$AT$1,2)</f>
        <v>0</v>
      </c>
      <c r="AV69" s="49" t="str">
        <f>IFERROR(Товары[[#This Row],[РРЦ, евро]]/Товары[[#This Row],[IRP, Eur]],"-")</f>
        <v>-</v>
      </c>
      <c r="AX69" s="48">
        <f>ROUND(Товары[[#This Row],[РРЦ финальная, руб.]]*(1-Товары[[#This Row],[Скидка DIY]]),2)</f>
        <v>0</v>
      </c>
    </row>
    <row r="70" spans="1:50" x14ac:dyDescent="0.25">
      <c r="A70" s="36">
        <v>68</v>
      </c>
      <c r="C70" s="36" t="s">
        <v>3</v>
      </c>
      <c r="D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0" s="36" t="s">
        <v>226</v>
      </c>
      <c r="F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" s="38">
        <v>9022</v>
      </c>
      <c r="I70" s="37" t="s">
        <v>253</v>
      </c>
      <c r="J70" s="37">
        <v>18303</v>
      </c>
      <c r="K70" s="38">
        <v>967099701</v>
      </c>
      <c r="L70" s="37" t="s">
        <v>522</v>
      </c>
      <c r="O70" s="39" t="s">
        <v>1518</v>
      </c>
      <c r="AS70" s="48">
        <f>ROUND((Товары[[#This Row],[IRP, Eur]]*$AT$1),-2)*(1+Товары[[#This Row],[Процент повышения РРЦ]])</f>
        <v>0</v>
      </c>
      <c r="AT70" s="48"/>
      <c r="AU70" s="50">
        <f>ROUND(Товары[[#This Row],[РРЦ финальная, руб.]]/$AT$1,2)</f>
        <v>0</v>
      </c>
      <c r="AV70" s="49" t="str">
        <f>IFERROR(Товары[[#This Row],[РРЦ, евро]]/Товары[[#This Row],[IRP, Eur]],"-")</f>
        <v>-</v>
      </c>
      <c r="AX70" s="48">
        <f>ROUND(Товары[[#This Row],[РРЦ финальная, руб.]]*(1-Товары[[#This Row],[Скидка DIY]]),2)</f>
        <v>0</v>
      </c>
    </row>
    <row r="71" spans="1:50" x14ac:dyDescent="0.25">
      <c r="A71" s="36">
        <v>69</v>
      </c>
      <c r="C71" s="36" t="s">
        <v>3</v>
      </c>
      <c r="D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1" s="36" t="s">
        <v>226</v>
      </c>
      <c r="F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" s="38">
        <v>9022</v>
      </c>
      <c r="I71" s="37" t="s">
        <v>253</v>
      </c>
      <c r="J71" s="37">
        <v>18303</v>
      </c>
      <c r="K71" s="38">
        <v>967705901</v>
      </c>
      <c r="L71" s="37" t="s">
        <v>523</v>
      </c>
      <c r="O71" s="39" t="s">
        <v>1519</v>
      </c>
      <c r="AS71" s="48">
        <f>ROUND((Товары[[#This Row],[IRP, Eur]]*$AT$1),-2)*(1+Товары[[#This Row],[Процент повышения РРЦ]])</f>
        <v>0</v>
      </c>
      <c r="AT71" s="48"/>
      <c r="AU71" s="50">
        <f>ROUND(Товары[[#This Row],[РРЦ финальная, руб.]]/$AT$1,2)</f>
        <v>0</v>
      </c>
      <c r="AV71" s="49" t="str">
        <f>IFERROR(Товары[[#This Row],[РРЦ, евро]]/Товары[[#This Row],[IRP, Eur]],"-")</f>
        <v>-</v>
      </c>
      <c r="AX71" s="48">
        <f>ROUND(Товары[[#This Row],[РРЦ финальная, руб.]]*(1-Товары[[#This Row],[Скидка DIY]]),2)</f>
        <v>0</v>
      </c>
    </row>
    <row r="72" spans="1:50" x14ac:dyDescent="0.25">
      <c r="A72" s="36">
        <v>70</v>
      </c>
      <c r="C72" s="36" t="s">
        <v>3</v>
      </c>
      <c r="D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2" s="36" t="s">
        <v>226</v>
      </c>
      <c r="F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" s="38">
        <v>9022</v>
      </c>
      <c r="I72" s="37" t="s">
        <v>253</v>
      </c>
      <c r="J72" s="37">
        <v>18305</v>
      </c>
      <c r="K72" s="38">
        <v>967102101</v>
      </c>
      <c r="L72" s="37" t="s">
        <v>524</v>
      </c>
      <c r="O72" s="39" t="s">
        <v>1520</v>
      </c>
      <c r="AS72" s="48">
        <f>ROUND((Товары[[#This Row],[IRP, Eur]]*$AT$1),-2)*(1+Товары[[#This Row],[Процент повышения РРЦ]])</f>
        <v>0</v>
      </c>
      <c r="AT72" s="48"/>
      <c r="AU72" s="50">
        <f>ROUND(Товары[[#This Row],[РРЦ финальная, руб.]]/$AT$1,2)</f>
        <v>0</v>
      </c>
      <c r="AV72" s="49" t="str">
        <f>IFERROR(Товары[[#This Row],[РРЦ, евро]]/Товары[[#This Row],[IRP, Eur]],"-")</f>
        <v>-</v>
      </c>
      <c r="AX72" s="48">
        <f>ROUND(Товары[[#This Row],[РРЦ финальная, руб.]]*(1-Товары[[#This Row],[Скидка DIY]]),2)</f>
        <v>0</v>
      </c>
    </row>
    <row r="73" spans="1:50" x14ac:dyDescent="0.25">
      <c r="A73" s="36">
        <v>71</v>
      </c>
      <c r="C73" s="36" t="s">
        <v>3</v>
      </c>
      <c r="D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3" s="36" t="s">
        <v>226</v>
      </c>
      <c r="F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" s="38">
        <v>9022</v>
      </c>
      <c r="I73" s="37" t="s">
        <v>253</v>
      </c>
      <c r="J73" s="37">
        <v>18306</v>
      </c>
      <c r="K73" s="38">
        <v>967674201</v>
      </c>
      <c r="L73" s="37" t="s">
        <v>525</v>
      </c>
      <c r="M73" s="37" t="s">
        <v>1339</v>
      </c>
      <c r="O73" s="39" t="s">
        <v>1521</v>
      </c>
      <c r="AS73" s="48">
        <f>ROUND((Товары[[#This Row],[IRP, Eur]]*$AT$1),-2)*(1+Товары[[#This Row],[Процент повышения РРЦ]])</f>
        <v>0</v>
      </c>
      <c r="AT73" s="48"/>
      <c r="AU73" s="50">
        <f>ROUND(Товары[[#This Row],[РРЦ финальная, руб.]]/$AT$1,2)</f>
        <v>0</v>
      </c>
      <c r="AV73" s="49" t="str">
        <f>IFERROR(Товары[[#This Row],[РРЦ, евро]]/Товары[[#This Row],[IRP, Eur]],"-")</f>
        <v>-</v>
      </c>
      <c r="AX73" s="48">
        <f>ROUND(Товары[[#This Row],[РРЦ финальная, руб.]]*(1-Товары[[#This Row],[Скидка DIY]]),2)</f>
        <v>0</v>
      </c>
    </row>
    <row r="74" spans="1:50" x14ac:dyDescent="0.25">
      <c r="A74" s="36">
        <v>72</v>
      </c>
      <c r="C74" s="36" t="s">
        <v>3</v>
      </c>
      <c r="D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4" s="36" t="s">
        <v>226</v>
      </c>
      <c r="F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" s="38">
        <v>9022</v>
      </c>
      <c r="I74" s="37" t="s">
        <v>254</v>
      </c>
      <c r="J74" s="37">
        <v>18345</v>
      </c>
      <c r="K74" s="38">
        <v>967687301</v>
      </c>
      <c r="L74" s="37" t="s">
        <v>526</v>
      </c>
      <c r="O74" s="39" t="s">
        <v>1522</v>
      </c>
      <c r="AS74" s="48">
        <f>ROUND((Товары[[#This Row],[IRP, Eur]]*$AT$1),-2)*(1+Товары[[#This Row],[Процент повышения РРЦ]])</f>
        <v>0</v>
      </c>
      <c r="AT74" s="48"/>
      <c r="AU74" s="50">
        <f>ROUND(Товары[[#This Row],[РРЦ финальная, руб.]]/$AT$1,2)</f>
        <v>0</v>
      </c>
      <c r="AV74" s="49" t="str">
        <f>IFERROR(Товары[[#This Row],[РРЦ, евро]]/Товары[[#This Row],[IRP, Eur]],"-")</f>
        <v>-</v>
      </c>
      <c r="AX74" s="48">
        <f>ROUND(Товары[[#This Row],[РРЦ финальная, руб.]]*(1-Товары[[#This Row],[Скидка DIY]]),2)</f>
        <v>0</v>
      </c>
    </row>
    <row r="75" spans="1:50" x14ac:dyDescent="0.25">
      <c r="A75" s="36">
        <v>73</v>
      </c>
      <c r="C75" s="36" t="s">
        <v>3</v>
      </c>
      <c r="D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5" s="36" t="s">
        <v>226</v>
      </c>
      <c r="F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" s="38">
        <v>9022</v>
      </c>
      <c r="I75" s="37" t="s">
        <v>254</v>
      </c>
      <c r="J75" s="37">
        <v>18345</v>
      </c>
      <c r="K75" s="38">
        <v>967687401</v>
      </c>
      <c r="L75" s="37" t="s">
        <v>527</v>
      </c>
      <c r="O75" s="39" t="s">
        <v>1523</v>
      </c>
      <c r="AS75" s="48">
        <f>ROUND((Товары[[#This Row],[IRP, Eur]]*$AT$1),-2)*(1+Товары[[#This Row],[Процент повышения РРЦ]])</f>
        <v>0</v>
      </c>
      <c r="AT75" s="48"/>
      <c r="AU75" s="50">
        <f>ROUND(Товары[[#This Row],[РРЦ финальная, руб.]]/$AT$1,2)</f>
        <v>0</v>
      </c>
      <c r="AV75" s="49" t="str">
        <f>IFERROR(Товары[[#This Row],[РРЦ, евро]]/Товары[[#This Row],[IRP, Eur]],"-")</f>
        <v>-</v>
      </c>
      <c r="AX75" s="48">
        <f>ROUND(Товары[[#This Row],[РРЦ финальная, руб.]]*(1-Товары[[#This Row],[Скидка DIY]]),2)</f>
        <v>0</v>
      </c>
    </row>
    <row r="76" spans="1:50" x14ac:dyDescent="0.25">
      <c r="A76" s="36">
        <v>74</v>
      </c>
      <c r="C76" s="36" t="s">
        <v>3</v>
      </c>
      <c r="D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6" s="36" t="s">
        <v>226</v>
      </c>
      <c r="F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" s="38">
        <v>9022</v>
      </c>
      <c r="I76" s="37" t="s">
        <v>253</v>
      </c>
      <c r="J76" s="37">
        <v>18341</v>
      </c>
      <c r="K76" s="38">
        <v>967687001</v>
      </c>
      <c r="L76" s="37" t="s">
        <v>528</v>
      </c>
      <c r="M76" s="37" t="s">
        <v>1328</v>
      </c>
      <c r="O76" s="39" t="s">
        <v>1517</v>
      </c>
      <c r="AS76" s="48">
        <f>ROUND((Товары[[#This Row],[IRP, Eur]]*$AT$1),-2)*(1+Товары[[#This Row],[Процент повышения РРЦ]])</f>
        <v>0</v>
      </c>
      <c r="AT76" s="48"/>
      <c r="AU76" s="50">
        <f>ROUND(Товары[[#This Row],[РРЦ финальная, руб.]]/$AT$1,2)</f>
        <v>0</v>
      </c>
      <c r="AV76" s="49" t="str">
        <f>IFERROR(Товары[[#This Row],[РРЦ, евро]]/Товары[[#This Row],[IRP, Eur]],"-")</f>
        <v>-</v>
      </c>
      <c r="AX76" s="48">
        <f>ROUND(Товары[[#This Row],[РРЦ финальная, руб.]]*(1-Товары[[#This Row],[Скидка DIY]]),2)</f>
        <v>0</v>
      </c>
    </row>
    <row r="77" spans="1:50" x14ac:dyDescent="0.25">
      <c r="A77" s="36">
        <v>75</v>
      </c>
      <c r="C77" s="36" t="s">
        <v>3</v>
      </c>
      <c r="D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7" s="36" t="s">
        <v>226</v>
      </c>
      <c r="F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" s="38">
        <v>9022</v>
      </c>
      <c r="I77" s="37" t="s">
        <v>253</v>
      </c>
      <c r="J77" s="37">
        <v>18341</v>
      </c>
      <c r="K77" s="38">
        <v>967687101</v>
      </c>
      <c r="L77" s="37" t="s">
        <v>529</v>
      </c>
      <c r="M77" s="37" t="s">
        <v>1340</v>
      </c>
      <c r="O77" s="39" t="s">
        <v>1524</v>
      </c>
      <c r="AS77" s="48">
        <f>ROUND((Товары[[#This Row],[IRP, Eur]]*$AT$1),-2)*(1+Товары[[#This Row],[Процент повышения РРЦ]])</f>
        <v>0</v>
      </c>
      <c r="AT77" s="48"/>
      <c r="AU77" s="50">
        <f>ROUND(Товары[[#This Row],[РРЦ финальная, руб.]]/$AT$1,2)</f>
        <v>0</v>
      </c>
      <c r="AV77" s="49" t="str">
        <f>IFERROR(Товары[[#This Row],[РРЦ, евро]]/Товары[[#This Row],[IRP, Eur]],"-")</f>
        <v>-</v>
      </c>
      <c r="AX77" s="48">
        <f>ROUND(Товары[[#This Row],[РРЦ финальная, руб.]]*(1-Товары[[#This Row],[Скидка DIY]]),2)</f>
        <v>0</v>
      </c>
    </row>
    <row r="78" spans="1:50" x14ac:dyDescent="0.25">
      <c r="A78" s="36">
        <v>76</v>
      </c>
      <c r="C78" s="36" t="s">
        <v>3</v>
      </c>
      <c r="D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8" s="36" t="s">
        <v>226</v>
      </c>
      <c r="F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" s="38">
        <v>9022</v>
      </c>
      <c r="I78" s="37" t="s">
        <v>254</v>
      </c>
      <c r="J78" s="37">
        <v>18312</v>
      </c>
      <c r="K78" s="38">
        <v>967099901</v>
      </c>
      <c r="L78" s="37" t="s">
        <v>530</v>
      </c>
      <c r="O78" s="39" t="s">
        <v>1525</v>
      </c>
      <c r="AS78" s="48">
        <f>ROUND((Товары[[#This Row],[IRP, Eur]]*$AT$1),-2)*(1+Товары[[#This Row],[Процент повышения РРЦ]])</f>
        <v>0</v>
      </c>
      <c r="AT78" s="48"/>
      <c r="AU78" s="50">
        <f>ROUND(Товары[[#This Row],[РРЦ финальная, руб.]]/$AT$1,2)</f>
        <v>0</v>
      </c>
      <c r="AV78" s="49" t="str">
        <f>IFERROR(Товары[[#This Row],[РРЦ, евро]]/Товары[[#This Row],[IRP, Eur]],"-")</f>
        <v>-</v>
      </c>
      <c r="AX78" s="48">
        <f>ROUND(Товары[[#This Row],[РРЦ финальная, руб.]]*(1-Товары[[#This Row],[Скидка DIY]]),2)</f>
        <v>0</v>
      </c>
    </row>
    <row r="79" spans="1:50" x14ac:dyDescent="0.25">
      <c r="A79" s="36">
        <v>77</v>
      </c>
      <c r="C79" s="36" t="s">
        <v>3</v>
      </c>
      <c r="D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9" s="36" t="s">
        <v>226</v>
      </c>
      <c r="F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" s="38">
        <v>9022</v>
      </c>
      <c r="I79" s="37" t="s">
        <v>254</v>
      </c>
      <c r="J79" s="37">
        <v>18312</v>
      </c>
      <c r="K79" s="38">
        <v>967706201</v>
      </c>
      <c r="L79" s="37" t="s">
        <v>531</v>
      </c>
      <c r="O79" s="39" t="s">
        <v>1526</v>
      </c>
      <c r="AS79" s="48">
        <f>ROUND((Товары[[#This Row],[IRP, Eur]]*$AT$1),-2)*(1+Товары[[#This Row],[Процент повышения РРЦ]])</f>
        <v>0</v>
      </c>
      <c r="AT79" s="48"/>
      <c r="AU79" s="50">
        <f>ROUND(Товары[[#This Row],[РРЦ финальная, руб.]]/$AT$1,2)</f>
        <v>0</v>
      </c>
      <c r="AV79" s="49" t="str">
        <f>IFERROR(Товары[[#This Row],[РРЦ, евро]]/Товары[[#This Row],[IRP, Eur]],"-")</f>
        <v>-</v>
      </c>
      <c r="AX79" s="48">
        <f>ROUND(Товары[[#This Row],[РРЦ финальная, руб.]]*(1-Товары[[#This Row],[Скидка DIY]]),2)</f>
        <v>0</v>
      </c>
    </row>
    <row r="80" spans="1:50" x14ac:dyDescent="0.25">
      <c r="A80" s="36">
        <v>78</v>
      </c>
      <c r="C80" s="36" t="s">
        <v>3</v>
      </c>
      <c r="D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0" s="36" t="s">
        <v>226</v>
      </c>
      <c r="F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" s="38">
        <v>9022</v>
      </c>
      <c r="I80" s="37" t="s">
        <v>254</v>
      </c>
      <c r="J80" s="37">
        <v>18311</v>
      </c>
      <c r="K80" s="38">
        <v>967307001</v>
      </c>
      <c r="L80" s="37" t="s">
        <v>532</v>
      </c>
      <c r="O80" s="39" t="s">
        <v>1522</v>
      </c>
      <c r="AS80" s="48">
        <f>ROUND((Товары[[#This Row],[IRP, Eur]]*$AT$1),-2)*(1+Товары[[#This Row],[Процент повышения РРЦ]])</f>
        <v>0</v>
      </c>
      <c r="AT80" s="48"/>
      <c r="AU80" s="50">
        <f>ROUND(Товары[[#This Row],[РРЦ финальная, руб.]]/$AT$1,2)</f>
        <v>0</v>
      </c>
      <c r="AV80" s="49" t="str">
        <f>IFERROR(Товары[[#This Row],[РРЦ, евро]]/Товары[[#This Row],[IRP, Eur]],"-")</f>
        <v>-</v>
      </c>
      <c r="AX80" s="48">
        <f>ROUND(Товары[[#This Row],[РРЦ финальная, руб.]]*(1-Товары[[#This Row],[Скидка DIY]]),2)</f>
        <v>0</v>
      </c>
    </row>
    <row r="81" spans="1:50" x14ac:dyDescent="0.25">
      <c r="A81" s="36">
        <v>79</v>
      </c>
      <c r="C81" s="36" t="s">
        <v>3</v>
      </c>
      <c r="D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1" s="36" t="s">
        <v>226</v>
      </c>
      <c r="F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" s="38">
        <v>9022</v>
      </c>
      <c r="I81" s="37" t="s">
        <v>254</v>
      </c>
      <c r="J81" s="37">
        <v>18321</v>
      </c>
      <c r="K81" s="38">
        <v>967632801</v>
      </c>
      <c r="L81" s="37" t="s">
        <v>533</v>
      </c>
      <c r="O81" s="39" t="s">
        <v>1527</v>
      </c>
      <c r="AS81" s="48">
        <f>ROUND((Товары[[#This Row],[IRP, Eur]]*$AT$1),-2)*(1+Товары[[#This Row],[Процент повышения РРЦ]])</f>
        <v>0</v>
      </c>
      <c r="AT81" s="48"/>
      <c r="AU81" s="50">
        <f>ROUND(Товары[[#This Row],[РРЦ финальная, руб.]]/$AT$1,2)</f>
        <v>0</v>
      </c>
      <c r="AV81" s="49" t="str">
        <f>IFERROR(Товары[[#This Row],[РРЦ, евро]]/Товары[[#This Row],[IRP, Eur]],"-")</f>
        <v>-</v>
      </c>
      <c r="AX81" s="48">
        <f>ROUND(Товары[[#This Row],[РРЦ финальная, руб.]]*(1-Товары[[#This Row],[Скидка DIY]]),2)</f>
        <v>0</v>
      </c>
    </row>
    <row r="82" spans="1:50" x14ac:dyDescent="0.25">
      <c r="A82" s="36">
        <v>80</v>
      </c>
      <c r="C82" s="36" t="s">
        <v>3</v>
      </c>
      <c r="D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2" s="36" t="s">
        <v>226</v>
      </c>
      <c r="F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" s="38">
        <v>9022</v>
      </c>
      <c r="I82" s="37" t="s">
        <v>254</v>
      </c>
      <c r="J82" s="37">
        <v>18323</v>
      </c>
      <c r="K82" s="38">
        <v>967106401</v>
      </c>
      <c r="L82" s="37" t="s">
        <v>534</v>
      </c>
      <c r="O82" s="39" t="s">
        <v>1527</v>
      </c>
      <c r="AS82" s="48">
        <f>ROUND((Товары[[#This Row],[IRP, Eur]]*$AT$1),-2)*(1+Товары[[#This Row],[Процент повышения РРЦ]])</f>
        <v>0</v>
      </c>
      <c r="AT82" s="48"/>
      <c r="AU82" s="50">
        <f>ROUND(Товары[[#This Row],[РРЦ финальная, руб.]]/$AT$1,2)</f>
        <v>0</v>
      </c>
      <c r="AV82" s="49" t="str">
        <f>IFERROR(Товары[[#This Row],[РРЦ, евро]]/Товары[[#This Row],[IRP, Eur]],"-")</f>
        <v>-</v>
      </c>
      <c r="AX82" s="48">
        <f>ROUND(Товары[[#This Row],[РРЦ финальная, руб.]]*(1-Товары[[#This Row],[Скидка DIY]]),2)</f>
        <v>0</v>
      </c>
    </row>
    <row r="83" spans="1:50" x14ac:dyDescent="0.25">
      <c r="A83" s="36">
        <v>81</v>
      </c>
      <c r="C83" s="36" t="s">
        <v>3</v>
      </c>
      <c r="D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3" s="36" t="s">
        <v>226</v>
      </c>
      <c r="F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" s="38">
        <v>9022</v>
      </c>
      <c r="I83" s="37" t="s">
        <v>254</v>
      </c>
      <c r="J83" s="37">
        <v>18343</v>
      </c>
      <c r="K83" s="38">
        <v>967687201</v>
      </c>
      <c r="L83" s="37" t="s">
        <v>535</v>
      </c>
      <c r="O83" s="39" t="s">
        <v>1528</v>
      </c>
      <c r="AS83" s="48">
        <f>ROUND((Товары[[#This Row],[IRP, Eur]]*$AT$1),-2)*(1+Товары[[#This Row],[Процент повышения РРЦ]])</f>
        <v>0</v>
      </c>
      <c r="AT83" s="48"/>
      <c r="AU83" s="50">
        <f>ROUND(Товары[[#This Row],[РРЦ финальная, руб.]]/$AT$1,2)</f>
        <v>0</v>
      </c>
      <c r="AV83" s="49" t="str">
        <f>IFERROR(Товары[[#This Row],[РРЦ, евро]]/Товары[[#This Row],[IRP, Eur]],"-")</f>
        <v>-</v>
      </c>
      <c r="AX83" s="48">
        <f>ROUND(Товары[[#This Row],[РРЦ финальная, руб.]]*(1-Товары[[#This Row],[Скидка DIY]]),2)</f>
        <v>0</v>
      </c>
    </row>
    <row r="84" spans="1:50" x14ac:dyDescent="0.25">
      <c r="A84" s="36">
        <v>82</v>
      </c>
      <c r="C84" s="36" t="s">
        <v>3</v>
      </c>
      <c r="D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4" s="36" t="s">
        <v>226</v>
      </c>
      <c r="F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4" s="38">
        <v>9022</v>
      </c>
      <c r="I84" s="37" t="s">
        <v>254</v>
      </c>
      <c r="J84" s="37">
        <v>18343</v>
      </c>
      <c r="K84" s="38">
        <v>967688401</v>
      </c>
      <c r="L84" s="37" t="s">
        <v>536</v>
      </c>
      <c r="M84" s="37" t="s">
        <v>1341</v>
      </c>
      <c r="O84" s="39" t="s">
        <v>1529</v>
      </c>
      <c r="AS84" s="48">
        <f>ROUND((Товары[[#This Row],[IRP, Eur]]*$AT$1),-2)*(1+Товары[[#This Row],[Процент повышения РРЦ]])</f>
        <v>0</v>
      </c>
      <c r="AT84" s="48"/>
      <c r="AU84" s="50">
        <f>ROUND(Товары[[#This Row],[РРЦ финальная, руб.]]/$AT$1,2)</f>
        <v>0</v>
      </c>
      <c r="AV84" s="49" t="str">
        <f>IFERROR(Товары[[#This Row],[РРЦ, евро]]/Товары[[#This Row],[IRP, Eur]],"-")</f>
        <v>-</v>
      </c>
      <c r="AX84" s="48">
        <f>ROUND(Товары[[#This Row],[РРЦ финальная, руб.]]*(1-Товары[[#This Row],[Скидка DIY]]),2)</f>
        <v>0</v>
      </c>
    </row>
    <row r="85" spans="1:50" x14ac:dyDescent="0.25">
      <c r="A85" s="36">
        <v>83</v>
      </c>
      <c r="C85" s="36" t="s">
        <v>3</v>
      </c>
      <c r="D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5" s="36" t="s">
        <v>226</v>
      </c>
      <c r="F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5" s="38">
        <v>9022</v>
      </c>
      <c r="I85" s="37" t="s">
        <v>254</v>
      </c>
      <c r="J85" s="37">
        <v>18315</v>
      </c>
      <c r="K85" s="38">
        <v>967102201</v>
      </c>
      <c r="L85" s="37" t="s">
        <v>537</v>
      </c>
      <c r="O85" s="39" t="s">
        <v>1527</v>
      </c>
      <c r="AS85" s="48">
        <f>ROUND((Товары[[#This Row],[IRP, Eur]]*$AT$1),-2)*(1+Товары[[#This Row],[Процент повышения РРЦ]])</f>
        <v>0</v>
      </c>
      <c r="AT85" s="48"/>
      <c r="AU85" s="50">
        <f>ROUND(Товары[[#This Row],[РРЦ финальная, руб.]]/$AT$1,2)</f>
        <v>0</v>
      </c>
      <c r="AV85" s="49" t="str">
        <f>IFERROR(Товары[[#This Row],[РРЦ, евро]]/Товары[[#This Row],[IRP, Eur]],"-")</f>
        <v>-</v>
      </c>
      <c r="AX85" s="48">
        <f>ROUND(Товары[[#This Row],[РРЦ финальная, руб.]]*(1-Товары[[#This Row],[Скидка DIY]]),2)</f>
        <v>0</v>
      </c>
    </row>
    <row r="86" spans="1:50" x14ac:dyDescent="0.25">
      <c r="A86" s="36">
        <v>84</v>
      </c>
      <c r="C86" s="36" t="s">
        <v>3</v>
      </c>
      <c r="D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6" s="36" t="s">
        <v>226</v>
      </c>
      <c r="F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6" s="38">
        <v>9022</v>
      </c>
      <c r="I86" s="37" t="s">
        <v>254</v>
      </c>
      <c r="J86" s="37">
        <v>18315</v>
      </c>
      <c r="K86" s="38">
        <v>967706401</v>
      </c>
      <c r="L86" s="37" t="s">
        <v>538</v>
      </c>
      <c r="M86" s="37" t="s">
        <v>1342</v>
      </c>
      <c r="O86" s="39" t="s">
        <v>1530</v>
      </c>
      <c r="AS86" s="48">
        <f>ROUND((Товары[[#This Row],[IRP, Eur]]*$AT$1),-2)*(1+Товары[[#This Row],[Процент повышения РРЦ]])</f>
        <v>0</v>
      </c>
      <c r="AT86" s="48"/>
      <c r="AU86" s="50">
        <f>ROUND(Товары[[#This Row],[РРЦ финальная, руб.]]/$AT$1,2)</f>
        <v>0</v>
      </c>
      <c r="AV86" s="49" t="str">
        <f>IFERROR(Товары[[#This Row],[РРЦ, евро]]/Товары[[#This Row],[IRP, Eur]],"-")</f>
        <v>-</v>
      </c>
      <c r="AX86" s="48">
        <f>ROUND(Товары[[#This Row],[РРЦ финальная, руб.]]*(1-Товары[[#This Row],[Скидка DIY]]),2)</f>
        <v>0</v>
      </c>
    </row>
    <row r="87" spans="1:50" x14ac:dyDescent="0.25">
      <c r="A87" s="36">
        <v>85</v>
      </c>
      <c r="C87" s="36" t="s">
        <v>3</v>
      </c>
      <c r="D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7" s="36" t="s">
        <v>226</v>
      </c>
      <c r="F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7" s="38">
        <v>9022</v>
      </c>
      <c r="I87" s="37" t="s">
        <v>254</v>
      </c>
      <c r="J87" s="37">
        <v>18317</v>
      </c>
      <c r="K87" s="38">
        <v>967102401</v>
      </c>
      <c r="L87" s="37" t="s">
        <v>539</v>
      </c>
      <c r="O87" s="39" t="s">
        <v>1531</v>
      </c>
      <c r="AS87" s="48">
        <f>ROUND((Товары[[#This Row],[IRP, Eur]]*$AT$1),-2)*(1+Товары[[#This Row],[Процент повышения РРЦ]])</f>
        <v>0</v>
      </c>
      <c r="AT87" s="48"/>
      <c r="AU87" s="50">
        <f>ROUND(Товары[[#This Row],[РРЦ финальная, руб.]]/$AT$1,2)</f>
        <v>0</v>
      </c>
      <c r="AV87" s="49" t="str">
        <f>IFERROR(Товары[[#This Row],[РРЦ, евро]]/Товары[[#This Row],[IRP, Eur]],"-")</f>
        <v>-</v>
      </c>
      <c r="AX87" s="48">
        <f>ROUND(Товары[[#This Row],[РРЦ финальная, руб.]]*(1-Товары[[#This Row],[Скидка DIY]]),2)</f>
        <v>0</v>
      </c>
    </row>
    <row r="88" spans="1:50" x14ac:dyDescent="0.25">
      <c r="A88" s="36">
        <v>86</v>
      </c>
      <c r="C88" s="36" t="s">
        <v>3</v>
      </c>
      <c r="D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8" s="36" t="s">
        <v>226</v>
      </c>
      <c r="F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8" s="38">
        <v>9022</v>
      </c>
      <c r="I88" s="37" t="s">
        <v>255</v>
      </c>
      <c r="J88" s="37">
        <v>18330</v>
      </c>
      <c r="K88" s="38">
        <v>967305601</v>
      </c>
      <c r="L88" s="37" t="s">
        <v>540</v>
      </c>
      <c r="O88" s="39" t="s">
        <v>1532</v>
      </c>
      <c r="AS88" s="48">
        <f>ROUND((Товары[[#This Row],[IRP, Eur]]*$AT$1),-2)*(1+Товары[[#This Row],[Процент повышения РРЦ]])</f>
        <v>0</v>
      </c>
      <c r="AT88" s="48"/>
      <c r="AU88" s="50">
        <f>ROUND(Товары[[#This Row],[РРЦ финальная, руб.]]/$AT$1,2)</f>
        <v>0</v>
      </c>
      <c r="AV88" s="49" t="str">
        <f>IFERROR(Товары[[#This Row],[РРЦ, евро]]/Товары[[#This Row],[IRP, Eur]],"-")</f>
        <v>-</v>
      </c>
      <c r="AX88" s="48">
        <f>ROUND(Товары[[#This Row],[РРЦ финальная, руб.]]*(1-Товары[[#This Row],[Скидка DIY]]),2)</f>
        <v>0</v>
      </c>
    </row>
    <row r="89" spans="1:50" x14ac:dyDescent="0.25">
      <c r="A89" s="36">
        <v>87</v>
      </c>
      <c r="C89" s="36" t="s">
        <v>3</v>
      </c>
      <c r="D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9" s="36" t="s">
        <v>226</v>
      </c>
      <c r="F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9" s="38">
        <v>9022</v>
      </c>
      <c r="I89" s="37" t="s">
        <v>255</v>
      </c>
      <c r="J89" s="37">
        <v>18330</v>
      </c>
      <c r="K89" s="38">
        <v>967706601</v>
      </c>
      <c r="L89" s="37" t="s">
        <v>541</v>
      </c>
      <c r="O89" s="39" t="s">
        <v>1533</v>
      </c>
      <c r="AS89" s="48">
        <f>ROUND((Товары[[#This Row],[IRP, Eur]]*$AT$1),-2)*(1+Товары[[#This Row],[Процент повышения РРЦ]])</f>
        <v>0</v>
      </c>
      <c r="AT89" s="48"/>
      <c r="AU89" s="50">
        <f>ROUND(Товары[[#This Row],[РРЦ финальная, руб.]]/$AT$1,2)</f>
        <v>0</v>
      </c>
      <c r="AV89" s="49" t="str">
        <f>IFERROR(Товары[[#This Row],[РРЦ, евро]]/Товары[[#This Row],[IRP, Eur]],"-")</f>
        <v>-</v>
      </c>
      <c r="AX89" s="48">
        <f>ROUND(Товары[[#This Row],[РРЦ финальная, руб.]]*(1-Товары[[#This Row],[Скидка DIY]]),2)</f>
        <v>0</v>
      </c>
    </row>
    <row r="90" spans="1:50" x14ac:dyDescent="0.25">
      <c r="A90" s="36">
        <v>88</v>
      </c>
      <c r="C90" s="36" t="s">
        <v>3</v>
      </c>
      <c r="D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0" s="36" t="s">
        <v>226</v>
      </c>
      <c r="F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0" s="38">
        <v>9022</v>
      </c>
      <c r="I90" s="37" t="s">
        <v>255</v>
      </c>
      <c r="J90" s="37">
        <v>18334</v>
      </c>
      <c r="K90" s="38">
        <v>967633001</v>
      </c>
      <c r="L90" s="37" t="s">
        <v>542</v>
      </c>
      <c r="O90" s="39" t="s">
        <v>1534</v>
      </c>
      <c r="AS90" s="48">
        <f>ROUND((Товары[[#This Row],[IRP, Eur]]*$AT$1),-2)*(1+Товары[[#This Row],[Процент повышения РРЦ]])</f>
        <v>0</v>
      </c>
      <c r="AT90" s="48"/>
      <c r="AU90" s="50">
        <f>ROUND(Товары[[#This Row],[РРЦ финальная, руб.]]/$AT$1,2)</f>
        <v>0</v>
      </c>
      <c r="AV90" s="49" t="str">
        <f>IFERROR(Товары[[#This Row],[РРЦ, евро]]/Товары[[#This Row],[IRP, Eur]],"-")</f>
        <v>-</v>
      </c>
      <c r="AX90" s="48">
        <f>ROUND(Товары[[#This Row],[РРЦ финальная, руб.]]*(1-Товары[[#This Row],[Скидка DIY]]),2)</f>
        <v>0</v>
      </c>
    </row>
    <row r="91" spans="1:50" x14ac:dyDescent="0.25">
      <c r="A91" s="36">
        <v>89</v>
      </c>
      <c r="C91" s="36" t="s">
        <v>3</v>
      </c>
      <c r="D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1" s="36" t="s">
        <v>226</v>
      </c>
      <c r="F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1" s="38">
        <v>9022</v>
      </c>
      <c r="I91" s="37" t="s">
        <v>255</v>
      </c>
      <c r="J91" s="37">
        <v>18336</v>
      </c>
      <c r="K91" s="38">
        <v>967102501</v>
      </c>
      <c r="L91" s="37" t="s">
        <v>543</v>
      </c>
      <c r="O91" s="39" t="s">
        <v>1535</v>
      </c>
      <c r="AS91" s="48">
        <f>ROUND((Товары[[#This Row],[IRP, Eur]]*$AT$1),-2)*(1+Товары[[#This Row],[Процент повышения РРЦ]])</f>
        <v>0</v>
      </c>
      <c r="AT91" s="48"/>
      <c r="AU91" s="50">
        <f>ROUND(Товары[[#This Row],[РРЦ финальная, руб.]]/$AT$1,2)</f>
        <v>0</v>
      </c>
      <c r="AV91" s="49" t="str">
        <f>IFERROR(Товары[[#This Row],[РРЦ, евро]]/Товары[[#This Row],[IRP, Eur]],"-")</f>
        <v>-</v>
      </c>
      <c r="AX91" s="48">
        <f>ROUND(Товары[[#This Row],[РРЦ финальная, руб.]]*(1-Товары[[#This Row],[Скидка DIY]]),2)</f>
        <v>0</v>
      </c>
    </row>
    <row r="92" spans="1:50" x14ac:dyDescent="0.25">
      <c r="A92" s="36">
        <v>90</v>
      </c>
      <c r="C92" s="36" t="s">
        <v>3</v>
      </c>
      <c r="D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2" s="36" t="s">
        <v>228</v>
      </c>
      <c r="F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2" s="38">
        <v>9021</v>
      </c>
      <c r="I92" s="37" t="s">
        <v>256</v>
      </c>
      <c r="J92" s="37">
        <v>1953</v>
      </c>
      <c r="K92" s="38">
        <v>900968301</v>
      </c>
      <c r="L92" s="37" t="s">
        <v>544</v>
      </c>
      <c r="O92" s="39" t="s">
        <v>1536</v>
      </c>
      <c r="AS92" s="48">
        <f>ROUND((Товары[[#This Row],[IRP, Eur]]*$AT$1),-2)*(1+Товары[[#This Row],[Процент повышения РРЦ]])</f>
        <v>0</v>
      </c>
      <c r="AT92" s="48"/>
      <c r="AU92" s="50">
        <f>ROUND(Товары[[#This Row],[РРЦ финальная, руб.]]/$AT$1,2)</f>
        <v>0</v>
      </c>
      <c r="AV92" s="49" t="str">
        <f>IFERROR(Товары[[#This Row],[РРЦ, евро]]/Товары[[#This Row],[IRP, Eur]],"-")</f>
        <v>-</v>
      </c>
      <c r="AX92" s="48">
        <f>ROUND(Товары[[#This Row],[РРЦ финальная, руб.]]*(1-Товары[[#This Row],[Скидка DIY]]),2)</f>
        <v>0</v>
      </c>
    </row>
    <row r="93" spans="1:50" x14ac:dyDescent="0.25">
      <c r="A93" s="36">
        <v>91</v>
      </c>
      <c r="C93" s="36" t="s">
        <v>3</v>
      </c>
      <c r="D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3" s="36" t="s">
        <v>228</v>
      </c>
      <c r="F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3" s="38">
        <v>9021</v>
      </c>
      <c r="I93" s="37" t="s">
        <v>256</v>
      </c>
      <c r="J93" s="37">
        <v>2073</v>
      </c>
      <c r="K93" s="38">
        <v>900980601</v>
      </c>
      <c r="L93" s="37" t="s">
        <v>545</v>
      </c>
      <c r="O93" s="39" t="s">
        <v>1537</v>
      </c>
      <c r="AS93" s="48">
        <f>ROUND((Товары[[#This Row],[IRP, Eur]]*$AT$1),-2)*(1+Товары[[#This Row],[Процент повышения РРЦ]])</f>
        <v>0</v>
      </c>
      <c r="AT93" s="48"/>
      <c r="AU93" s="50">
        <f>ROUND(Товары[[#This Row],[РРЦ финальная, руб.]]/$AT$1,2)</f>
        <v>0</v>
      </c>
      <c r="AV93" s="49" t="str">
        <f>IFERROR(Товары[[#This Row],[РРЦ, евро]]/Товары[[#This Row],[IRP, Eur]],"-")</f>
        <v>-</v>
      </c>
      <c r="AX93" s="48">
        <f>ROUND(Товары[[#This Row],[РРЦ финальная, руб.]]*(1-Товары[[#This Row],[Скидка DIY]]),2)</f>
        <v>0</v>
      </c>
    </row>
    <row r="94" spans="1:50" x14ac:dyDescent="0.25">
      <c r="A94" s="36">
        <v>92</v>
      </c>
      <c r="C94" s="36" t="s">
        <v>3</v>
      </c>
      <c r="D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4" s="36" t="s">
        <v>228</v>
      </c>
      <c r="F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4" s="38">
        <v>9021</v>
      </c>
      <c r="I94" s="37" t="s">
        <v>256</v>
      </c>
      <c r="J94" s="37">
        <v>2062</v>
      </c>
      <c r="K94" s="38">
        <v>900979001</v>
      </c>
      <c r="L94" s="37" t="s">
        <v>546</v>
      </c>
      <c r="O94" s="39" t="s">
        <v>1538</v>
      </c>
      <c r="AS94" s="48">
        <f>ROUND((Товары[[#This Row],[IRP, Eur]]*$AT$1),-2)*(1+Товары[[#This Row],[Процент повышения РРЦ]])</f>
        <v>0</v>
      </c>
      <c r="AT94" s="48"/>
      <c r="AU94" s="50">
        <f>ROUND(Товары[[#This Row],[РРЦ финальная, руб.]]/$AT$1,2)</f>
        <v>0</v>
      </c>
      <c r="AV94" s="49" t="str">
        <f>IFERROR(Товары[[#This Row],[РРЦ, евро]]/Товары[[#This Row],[IRP, Eur]],"-")</f>
        <v>-</v>
      </c>
      <c r="AX94" s="48">
        <f>ROUND(Товары[[#This Row],[РРЦ финальная, руб.]]*(1-Товары[[#This Row],[Скидка DIY]]),2)</f>
        <v>0</v>
      </c>
    </row>
    <row r="95" spans="1:50" x14ac:dyDescent="0.25">
      <c r="A95" s="36">
        <v>93</v>
      </c>
      <c r="C95" s="36" t="s">
        <v>3</v>
      </c>
      <c r="D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5" s="36" t="s">
        <v>228</v>
      </c>
      <c r="F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5" s="38">
        <v>9021</v>
      </c>
      <c r="I95" s="37" t="s">
        <v>256</v>
      </c>
      <c r="J95" s="37">
        <v>1949</v>
      </c>
      <c r="K95" s="38">
        <v>900967601</v>
      </c>
      <c r="L95" s="37" t="s">
        <v>547</v>
      </c>
      <c r="O95" s="39" t="s">
        <v>1539</v>
      </c>
      <c r="AS95" s="48">
        <f>ROUND((Товары[[#This Row],[IRP, Eur]]*$AT$1),-2)*(1+Товары[[#This Row],[Процент повышения РРЦ]])</f>
        <v>0</v>
      </c>
      <c r="AT95" s="48"/>
      <c r="AU95" s="50">
        <f>ROUND(Товары[[#This Row],[РРЦ финальная, руб.]]/$AT$1,2)</f>
        <v>0</v>
      </c>
      <c r="AV95" s="49" t="str">
        <f>IFERROR(Товары[[#This Row],[РРЦ, евро]]/Товары[[#This Row],[IRP, Eur]],"-")</f>
        <v>-</v>
      </c>
      <c r="AX95" s="48">
        <f>ROUND(Товары[[#This Row],[РРЦ финальная, руб.]]*(1-Товары[[#This Row],[Скидка DIY]]),2)</f>
        <v>0</v>
      </c>
    </row>
    <row r="96" spans="1:50" x14ac:dyDescent="0.25">
      <c r="A96" s="36">
        <v>94</v>
      </c>
      <c r="C96" s="36" t="s">
        <v>3</v>
      </c>
      <c r="D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6" s="36" t="s">
        <v>228</v>
      </c>
      <c r="F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6" s="38">
        <v>9021</v>
      </c>
      <c r="I96" s="37" t="s">
        <v>256</v>
      </c>
      <c r="J96" s="37">
        <v>2065</v>
      </c>
      <c r="K96" s="38">
        <v>900979201</v>
      </c>
      <c r="L96" s="37" t="s">
        <v>548</v>
      </c>
      <c r="O96" s="39" t="s">
        <v>1540</v>
      </c>
      <c r="AS96" s="48">
        <f>ROUND((Товары[[#This Row],[IRP, Eur]]*$AT$1),-2)*(1+Товары[[#This Row],[Процент повышения РРЦ]])</f>
        <v>0</v>
      </c>
      <c r="AT96" s="48"/>
      <c r="AU96" s="50">
        <f>ROUND(Товары[[#This Row],[РРЦ финальная, руб.]]/$AT$1,2)</f>
        <v>0</v>
      </c>
      <c r="AV96" s="49" t="str">
        <f>IFERROR(Товары[[#This Row],[РРЦ, евро]]/Товары[[#This Row],[IRP, Eur]],"-")</f>
        <v>-</v>
      </c>
      <c r="AX96" s="48">
        <f>ROUND(Товары[[#This Row],[РРЦ финальная, руб.]]*(1-Товары[[#This Row],[Скидка DIY]]),2)</f>
        <v>0</v>
      </c>
    </row>
    <row r="97" spans="1:50" x14ac:dyDescent="0.25">
      <c r="A97" s="36">
        <v>95</v>
      </c>
      <c r="C97" s="36" t="s">
        <v>3</v>
      </c>
      <c r="D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7" s="36" t="s">
        <v>228</v>
      </c>
      <c r="F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7" s="38">
        <v>9021</v>
      </c>
      <c r="I97" s="37" t="s">
        <v>256</v>
      </c>
      <c r="J97" s="37">
        <v>971</v>
      </c>
      <c r="K97" s="38">
        <v>967068201</v>
      </c>
      <c r="L97" s="37" t="s">
        <v>549</v>
      </c>
      <c r="O97" s="39" t="s">
        <v>1541</v>
      </c>
      <c r="AS97" s="48">
        <f>ROUND((Товары[[#This Row],[IRP, Eur]]*$AT$1),-2)*(1+Товары[[#This Row],[Процент повышения РРЦ]])</f>
        <v>0</v>
      </c>
      <c r="AT97" s="48"/>
      <c r="AU97" s="50">
        <f>ROUND(Товары[[#This Row],[РРЦ финальная, руб.]]/$AT$1,2)</f>
        <v>0</v>
      </c>
      <c r="AV97" s="49" t="str">
        <f>IFERROR(Товары[[#This Row],[РРЦ, евро]]/Товары[[#This Row],[IRP, Eur]],"-")</f>
        <v>-</v>
      </c>
      <c r="AX97" s="48">
        <f>ROUND(Товары[[#This Row],[РРЦ финальная, руб.]]*(1-Товары[[#This Row],[Скидка DIY]]),2)</f>
        <v>0</v>
      </c>
    </row>
    <row r="98" spans="1:50" x14ac:dyDescent="0.25">
      <c r="A98" s="36">
        <v>96</v>
      </c>
      <c r="C98" s="36" t="s">
        <v>3</v>
      </c>
      <c r="D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8" s="36" t="s">
        <v>228</v>
      </c>
      <c r="F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8" s="38">
        <v>9021</v>
      </c>
      <c r="I98" s="37" t="s">
        <v>257</v>
      </c>
      <c r="K98" s="38">
        <v>967068701</v>
      </c>
      <c r="L98" s="37" t="s">
        <v>550</v>
      </c>
      <c r="O98" s="39" t="s">
        <v>1542</v>
      </c>
      <c r="AS98" s="48">
        <f>ROUND((Товары[[#This Row],[IRP, Eur]]*$AT$1),-2)*(1+Товары[[#This Row],[Процент повышения РРЦ]])</f>
        <v>0</v>
      </c>
      <c r="AT98" s="48"/>
      <c r="AU98" s="50">
        <f>ROUND(Товары[[#This Row],[РРЦ финальная, руб.]]/$AT$1,2)</f>
        <v>0</v>
      </c>
      <c r="AV98" s="49" t="str">
        <f>IFERROR(Товары[[#This Row],[РРЦ, евро]]/Товары[[#This Row],[IRP, Eur]],"-")</f>
        <v>-</v>
      </c>
      <c r="AX98" s="48">
        <f>ROUND(Товары[[#This Row],[РРЦ финальная, руб.]]*(1-Товары[[#This Row],[Скидка DIY]]),2)</f>
        <v>0</v>
      </c>
    </row>
    <row r="99" spans="1:50" x14ac:dyDescent="0.25">
      <c r="A99" s="36">
        <v>97</v>
      </c>
      <c r="C99" s="36" t="s">
        <v>3</v>
      </c>
      <c r="D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9" s="36" t="s">
        <v>228</v>
      </c>
      <c r="F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9" s="38">
        <v>9021</v>
      </c>
      <c r="I99" s="37" t="s">
        <v>257</v>
      </c>
      <c r="K99" s="38" t="s">
        <v>366</v>
      </c>
      <c r="L99" s="37" t="s">
        <v>551</v>
      </c>
      <c r="O99" s="39" t="s">
        <v>1543</v>
      </c>
      <c r="AS99" s="48">
        <f>ROUND((Товары[[#This Row],[IRP, Eur]]*$AT$1),-2)*(1+Товары[[#This Row],[Процент повышения РРЦ]])</f>
        <v>0</v>
      </c>
      <c r="AT99" s="48"/>
      <c r="AU99" s="50">
        <f>ROUND(Товары[[#This Row],[РРЦ финальная, руб.]]/$AT$1,2)</f>
        <v>0</v>
      </c>
      <c r="AV99" s="49" t="str">
        <f>IFERROR(Товары[[#This Row],[РРЦ, евро]]/Товары[[#This Row],[IRP, Eur]],"-")</f>
        <v>-</v>
      </c>
      <c r="AX99" s="48">
        <f>ROUND(Товары[[#This Row],[РРЦ финальная, руб.]]*(1-Товары[[#This Row],[Скидка DIY]]),2)</f>
        <v>0</v>
      </c>
    </row>
    <row r="100" spans="1:50" x14ac:dyDescent="0.25">
      <c r="A100" s="36">
        <v>98</v>
      </c>
      <c r="C100" s="36" t="s">
        <v>3</v>
      </c>
      <c r="D1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0" s="36" t="s">
        <v>228</v>
      </c>
      <c r="F1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0" s="38">
        <v>9021</v>
      </c>
      <c r="I100" s="37" t="s">
        <v>257</v>
      </c>
      <c r="K100" s="38">
        <v>966620201</v>
      </c>
      <c r="L100" s="37" t="s">
        <v>552</v>
      </c>
      <c r="O100" s="39" t="s">
        <v>1544</v>
      </c>
      <c r="AS100" s="48">
        <f>ROUND((Товары[[#This Row],[IRP, Eur]]*$AT$1),-2)*(1+Товары[[#This Row],[Процент повышения РРЦ]])</f>
        <v>0</v>
      </c>
      <c r="AT100" s="48"/>
      <c r="AU100" s="50">
        <f>ROUND(Товары[[#This Row],[РРЦ финальная, руб.]]/$AT$1,2)</f>
        <v>0</v>
      </c>
      <c r="AV100" s="49" t="str">
        <f>IFERROR(Товары[[#This Row],[РРЦ, евро]]/Товары[[#This Row],[IRP, Eur]],"-")</f>
        <v>-</v>
      </c>
      <c r="AX100" s="48">
        <f>ROUND(Товары[[#This Row],[РРЦ финальная, руб.]]*(1-Товары[[#This Row],[Скидка DIY]]),2)</f>
        <v>0</v>
      </c>
    </row>
    <row r="101" spans="1:50" x14ac:dyDescent="0.25">
      <c r="A101" s="36">
        <v>99</v>
      </c>
      <c r="C101" s="36" t="s">
        <v>3</v>
      </c>
      <c r="D1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1" s="36" t="s">
        <v>228</v>
      </c>
      <c r="F1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1" s="38">
        <v>9021</v>
      </c>
      <c r="I101" s="37" t="s">
        <v>257</v>
      </c>
      <c r="J101" s="37">
        <v>18700</v>
      </c>
      <c r="K101" s="38">
        <v>967976201</v>
      </c>
      <c r="L101" s="37" t="s">
        <v>553</v>
      </c>
      <c r="M101" s="37" t="s">
        <v>552</v>
      </c>
      <c r="O101" s="39" t="s">
        <v>1545</v>
      </c>
      <c r="AS101" s="48">
        <f>ROUND((Товары[[#This Row],[IRP, Eur]]*$AT$1),-2)*(1+Товары[[#This Row],[Процент повышения РРЦ]])</f>
        <v>0</v>
      </c>
      <c r="AT101" s="48"/>
      <c r="AU101" s="50">
        <f>ROUND(Товары[[#This Row],[РРЦ финальная, руб.]]/$AT$1,2)</f>
        <v>0</v>
      </c>
      <c r="AV101" s="49" t="str">
        <f>IFERROR(Товары[[#This Row],[РРЦ, евро]]/Товары[[#This Row],[IRP, Eur]],"-")</f>
        <v>-</v>
      </c>
      <c r="AX101" s="48">
        <f>ROUND(Товары[[#This Row],[РРЦ финальная, руб.]]*(1-Товары[[#This Row],[Скидка DIY]]),2)</f>
        <v>0</v>
      </c>
    </row>
    <row r="102" spans="1:50" x14ac:dyDescent="0.25">
      <c r="A102" s="36">
        <v>100</v>
      </c>
      <c r="C102" s="36" t="s">
        <v>3</v>
      </c>
      <c r="D1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2" s="36" t="s">
        <v>228</v>
      </c>
      <c r="F1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2" s="38">
        <v>9021</v>
      </c>
      <c r="I102" s="37" t="s">
        <v>257</v>
      </c>
      <c r="K102" s="38">
        <v>967989701</v>
      </c>
      <c r="L102" s="37" t="s">
        <v>554</v>
      </c>
      <c r="M102" s="37" t="s">
        <v>552</v>
      </c>
      <c r="O102" s="39" t="s">
        <v>1546</v>
      </c>
      <c r="AS102" s="48">
        <f>ROUND((Товары[[#This Row],[IRP, Eur]]*$AT$1),-2)*(1+Товары[[#This Row],[Процент повышения РРЦ]])</f>
        <v>0</v>
      </c>
      <c r="AT102" s="48"/>
      <c r="AU102" s="50">
        <f>ROUND(Товары[[#This Row],[РРЦ финальная, руб.]]/$AT$1,2)</f>
        <v>0</v>
      </c>
      <c r="AV102" s="49" t="str">
        <f>IFERROR(Товары[[#This Row],[РРЦ, евро]]/Товары[[#This Row],[IRP, Eur]],"-")</f>
        <v>-</v>
      </c>
      <c r="AX102" s="48">
        <f>ROUND(Товары[[#This Row],[РРЦ финальная, руб.]]*(1-Товары[[#This Row],[Скидка DIY]]),2)</f>
        <v>0</v>
      </c>
    </row>
    <row r="103" spans="1:50" x14ac:dyDescent="0.25">
      <c r="A103" s="36">
        <v>101</v>
      </c>
      <c r="C103" s="36" t="s">
        <v>3</v>
      </c>
      <c r="D1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3" s="36" t="s">
        <v>228</v>
      </c>
      <c r="F1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3" s="38">
        <v>9021</v>
      </c>
      <c r="I103" s="37" t="s">
        <v>257</v>
      </c>
      <c r="J103" s="37">
        <v>18700</v>
      </c>
      <c r="K103" s="38">
        <v>967999501</v>
      </c>
      <c r="L103" s="37" t="s">
        <v>555</v>
      </c>
      <c r="M103" s="37" t="s">
        <v>1343</v>
      </c>
      <c r="O103" s="39" t="s">
        <v>1547</v>
      </c>
      <c r="AS103" s="48">
        <f>ROUND((Товары[[#This Row],[IRP, Eur]]*$AT$1),-2)*(1+Товары[[#This Row],[Процент повышения РРЦ]])</f>
        <v>0</v>
      </c>
      <c r="AT103" s="48"/>
      <c r="AU103" s="50">
        <f>ROUND(Товары[[#This Row],[РРЦ финальная, руб.]]/$AT$1,2)</f>
        <v>0</v>
      </c>
      <c r="AV103" s="49" t="str">
        <f>IFERROR(Товары[[#This Row],[РРЦ, евро]]/Товары[[#This Row],[IRP, Eur]],"-")</f>
        <v>-</v>
      </c>
      <c r="AX103" s="48">
        <f>ROUND(Товары[[#This Row],[РРЦ финальная, руб.]]*(1-Товары[[#This Row],[Скидка DIY]]),2)</f>
        <v>0</v>
      </c>
    </row>
    <row r="104" spans="1:50" x14ac:dyDescent="0.25">
      <c r="A104" s="36">
        <v>102</v>
      </c>
      <c r="C104" s="36" t="s">
        <v>3</v>
      </c>
      <c r="D1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4" s="36" t="s">
        <v>228</v>
      </c>
      <c r="F1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4" s="38">
        <v>9021</v>
      </c>
      <c r="I104" s="37" t="s">
        <v>257</v>
      </c>
      <c r="K104" s="38">
        <v>966620301</v>
      </c>
      <c r="L104" s="37" t="s">
        <v>556</v>
      </c>
      <c r="O104" s="39" t="s">
        <v>1548</v>
      </c>
      <c r="AS104" s="48">
        <f>ROUND((Товары[[#This Row],[IRP, Eur]]*$AT$1),-2)*(1+Товары[[#This Row],[Процент повышения РРЦ]])</f>
        <v>0</v>
      </c>
      <c r="AT104" s="48"/>
      <c r="AU104" s="50">
        <f>ROUND(Товары[[#This Row],[РРЦ финальная, руб.]]/$AT$1,2)</f>
        <v>0</v>
      </c>
      <c r="AV104" s="49" t="str">
        <f>IFERROR(Товары[[#This Row],[РРЦ, евро]]/Товары[[#This Row],[IRP, Eur]],"-")</f>
        <v>-</v>
      </c>
      <c r="AX104" s="48">
        <f>ROUND(Товары[[#This Row],[РРЦ финальная, руб.]]*(1-Товары[[#This Row],[Скидка DIY]]),2)</f>
        <v>0</v>
      </c>
    </row>
    <row r="105" spans="1:50" x14ac:dyDescent="0.25">
      <c r="A105" s="36">
        <v>103</v>
      </c>
      <c r="C105" s="36" t="s">
        <v>3</v>
      </c>
      <c r="D1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5" s="36" t="s">
        <v>228</v>
      </c>
      <c r="F1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5" s="38">
        <v>9021</v>
      </c>
      <c r="I105" s="37" t="s">
        <v>257</v>
      </c>
      <c r="J105" s="37">
        <v>18702</v>
      </c>
      <c r="K105" s="38">
        <v>967976301</v>
      </c>
      <c r="L105" s="37" t="s">
        <v>557</v>
      </c>
      <c r="M105" s="37" t="s">
        <v>556</v>
      </c>
      <c r="O105" s="39" t="s">
        <v>1549</v>
      </c>
      <c r="AS105" s="48">
        <f>ROUND((Товары[[#This Row],[IRP, Eur]]*$AT$1),-2)*(1+Товары[[#This Row],[Процент повышения РРЦ]])</f>
        <v>0</v>
      </c>
      <c r="AT105" s="48"/>
      <c r="AU105" s="50">
        <f>ROUND(Товары[[#This Row],[РРЦ финальная, руб.]]/$AT$1,2)</f>
        <v>0</v>
      </c>
      <c r="AV105" s="49" t="str">
        <f>IFERROR(Товары[[#This Row],[РРЦ, евро]]/Товары[[#This Row],[IRP, Eur]],"-")</f>
        <v>-</v>
      </c>
      <c r="AX105" s="48">
        <f>ROUND(Товары[[#This Row],[РРЦ финальная, руб.]]*(1-Товары[[#This Row],[Скидка DIY]]),2)</f>
        <v>0</v>
      </c>
    </row>
    <row r="106" spans="1:50" x14ac:dyDescent="0.25">
      <c r="A106" s="36">
        <v>104</v>
      </c>
      <c r="C106" s="36" t="s">
        <v>3</v>
      </c>
      <c r="D1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6" s="36" t="s">
        <v>228</v>
      </c>
      <c r="F1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6" s="38">
        <v>9021</v>
      </c>
      <c r="I106" s="37" t="s">
        <v>257</v>
      </c>
      <c r="J106" s="37">
        <v>18704</v>
      </c>
      <c r="K106" s="38">
        <v>967976401</v>
      </c>
      <c r="L106" s="37" t="s">
        <v>558</v>
      </c>
      <c r="M106" s="37" t="s">
        <v>1343</v>
      </c>
      <c r="O106" s="39" t="s">
        <v>1550</v>
      </c>
      <c r="AS106" s="48">
        <f>ROUND((Товары[[#This Row],[IRP, Eur]]*$AT$1),-2)*(1+Товары[[#This Row],[Процент повышения РРЦ]])</f>
        <v>0</v>
      </c>
      <c r="AT106" s="48"/>
      <c r="AU106" s="50">
        <f>ROUND(Товары[[#This Row],[РРЦ финальная, руб.]]/$AT$1,2)</f>
        <v>0</v>
      </c>
      <c r="AV106" s="49" t="str">
        <f>IFERROR(Товары[[#This Row],[РРЦ, евро]]/Товары[[#This Row],[IRP, Eur]],"-")</f>
        <v>-</v>
      </c>
      <c r="AX106" s="48">
        <f>ROUND(Товары[[#This Row],[РРЦ финальная, руб.]]*(1-Товары[[#This Row],[Скидка DIY]]),2)</f>
        <v>0</v>
      </c>
    </row>
    <row r="107" spans="1:50" x14ac:dyDescent="0.25">
      <c r="A107" s="36">
        <v>105</v>
      </c>
      <c r="C107" s="36" t="s">
        <v>3</v>
      </c>
      <c r="D1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7" s="36" t="s">
        <v>228</v>
      </c>
      <c r="F1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7" s="38">
        <v>9021</v>
      </c>
      <c r="I107" s="37" t="s">
        <v>257</v>
      </c>
      <c r="K107" s="38">
        <v>967154601</v>
      </c>
      <c r="L107" s="37" t="s">
        <v>559</v>
      </c>
      <c r="O107" s="39" t="s">
        <v>1551</v>
      </c>
      <c r="AS107" s="48">
        <f>ROUND((Товары[[#This Row],[IRP, Eur]]*$AT$1),-2)*(1+Товары[[#This Row],[Процент повышения РРЦ]])</f>
        <v>0</v>
      </c>
      <c r="AT107" s="48"/>
      <c r="AU107" s="50">
        <f>ROUND(Товары[[#This Row],[РРЦ финальная, руб.]]/$AT$1,2)</f>
        <v>0</v>
      </c>
      <c r="AV107" s="49" t="str">
        <f>IFERROR(Товары[[#This Row],[РРЦ, евро]]/Товары[[#This Row],[IRP, Eur]],"-")</f>
        <v>-</v>
      </c>
      <c r="AX107" s="48">
        <f>ROUND(Товары[[#This Row],[РРЦ финальная, руб.]]*(1-Товары[[#This Row],[Скидка DIY]]),2)</f>
        <v>0</v>
      </c>
    </row>
    <row r="108" spans="1:50" x14ac:dyDescent="0.25">
      <c r="A108" s="36">
        <v>106</v>
      </c>
      <c r="C108" s="36" t="s">
        <v>3</v>
      </c>
      <c r="D1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8" s="36" t="s">
        <v>228</v>
      </c>
      <c r="F1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8" s="38">
        <v>9021</v>
      </c>
      <c r="I108" s="37" t="s">
        <v>257</v>
      </c>
      <c r="K108" s="38">
        <v>967976501</v>
      </c>
      <c r="L108" s="37" t="s">
        <v>560</v>
      </c>
      <c r="M108" s="37" t="s">
        <v>559</v>
      </c>
      <c r="O108" s="39" t="s">
        <v>1552</v>
      </c>
      <c r="AS108" s="48">
        <f>ROUND((Товары[[#This Row],[IRP, Eur]]*$AT$1),-2)*(1+Товары[[#This Row],[Процент повышения РРЦ]])</f>
        <v>0</v>
      </c>
      <c r="AT108" s="48"/>
      <c r="AU108" s="50">
        <f>ROUND(Товары[[#This Row],[РРЦ финальная, руб.]]/$AT$1,2)</f>
        <v>0</v>
      </c>
      <c r="AV108" s="49" t="str">
        <f>IFERROR(Товары[[#This Row],[РРЦ, евро]]/Товары[[#This Row],[IRP, Eur]],"-")</f>
        <v>-</v>
      </c>
      <c r="AX108" s="48">
        <f>ROUND(Товары[[#This Row],[РРЦ финальная, руб.]]*(1-Товары[[#This Row],[Скидка DIY]]),2)</f>
        <v>0</v>
      </c>
    </row>
    <row r="109" spans="1:50" x14ac:dyDescent="0.25">
      <c r="A109" s="36">
        <v>107</v>
      </c>
      <c r="C109" s="36" t="s">
        <v>3</v>
      </c>
      <c r="D1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9" s="36" t="s">
        <v>228</v>
      </c>
      <c r="F1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9" s="38">
        <v>9021</v>
      </c>
      <c r="I109" s="37" t="s">
        <v>257</v>
      </c>
      <c r="K109" s="38">
        <v>967989801</v>
      </c>
      <c r="L109" s="37" t="s">
        <v>561</v>
      </c>
      <c r="M109" s="37" t="s">
        <v>559</v>
      </c>
      <c r="O109" s="39" t="s">
        <v>1553</v>
      </c>
      <c r="AS109" s="48">
        <f>ROUND((Товары[[#This Row],[IRP, Eur]]*$AT$1),-2)*(1+Товары[[#This Row],[Процент повышения РРЦ]])</f>
        <v>0</v>
      </c>
      <c r="AT109" s="48"/>
      <c r="AU109" s="50">
        <f>ROUND(Товары[[#This Row],[РРЦ финальная, руб.]]/$AT$1,2)</f>
        <v>0</v>
      </c>
      <c r="AV109" s="49" t="str">
        <f>IFERROR(Товары[[#This Row],[РРЦ, евро]]/Товары[[#This Row],[IRP, Eur]],"-")</f>
        <v>-</v>
      </c>
      <c r="AX109" s="48">
        <f>ROUND(Товары[[#This Row],[РРЦ финальная, руб.]]*(1-Товары[[#This Row],[Скидка DIY]]),2)</f>
        <v>0</v>
      </c>
    </row>
    <row r="110" spans="1:50" x14ac:dyDescent="0.25">
      <c r="A110" s="36">
        <v>108</v>
      </c>
      <c r="C110" s="36" t="s">
        <v>3</v>
      </c>
      <c r="D1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0" s="36" t="s">
        <v>228</v>
      </c>
      <c r="F1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0" s="38">
        <v>9021</v>
      </c>
      <c r="I110" s="37" t="s">
        <v>257</v>
      </c>
      <c r="J110" s="37">
        <v>18710</v>
      </c>
      <c r="K110" s="38">
        <v>967976601</v>
      </c>
      <c r="L110" s="37" t="s">
        <v>562</v>
      </c>
      <c r="M110" s="37" t="s">
        <v>567</v>
      </c>
      <c r="O110" s="39" t="s">
        <v>1554</v>
      </c>
      <c r="AS110" s="48">
        <f>ROUND((Товары[[#This Row],[IRP, Eur]]*$AT$1),-2)*(1+Товары[[#This Row],[Процент повышения РРЦ]])</f>
        <v>0</v>
      </c>
      <c r="AT110" s="48"/>
      <c r="AU110" s="50">
        <f>ROUND(Товары[[#This Row],[РРЦ финальная, руб.]]/$AT$1,2)</f>
        <v>0</v>
      </c>
      <c r="AV110" s="49" t="str">
        <f>IFERROR(Товары[[#This Row],[РРЦ, евро]]/Товары[[#This Row],[IRP, Eur]],"-")</f>
        <v>-</v>
      </c>
      <c r="AX110" s="48">
        <f>ROUND(Товары[[#This Row],[РРЦ финальная, руб.]]*(1-Товары[[#This Row],[Скидка DIY]]),2)</f>
        <v>0</v>
      </c>
    </row>
    <row r="111" spans="1:50" x14ac:dyDescent="0.25">
      <c r="A111" s="36">
        <v>109</v>
      </c>
      <c r="C111" s="36" t="s">
        <v>3</v>
      </c>
      <c r="D1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1" s="36" t="s">
        <v>228</v>
      </c>
      <c r="F1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1" s="38">
        <v>9021</v>
      </c>
      <c r="I111" s="37" t="s">
        <v>257</v>
      </c>
      <c r="K111" s="38">
        <v>967990101</v>
      </c>
      <c r="L111" s="37" t="s">
        <v>563</v>
      </c>
      <c r="M111" s="37" t="s">
        <v>567</v>
      </c>
      <c r="O111" s="39" t="s">
        <v>1555</v>
      </c>
      <c r="AS111" s="48">
        <f>ROUND((Товары[[#This Row],[IRP, Eur]]*$AT$1),-2)*(1+Товары[[#This Row],[Процент повышения РРЦ]])</f>
        <v>0</v>
      </c>
      <c r="AT111" s="48"/>
      <c r="AU111" s="50">
        <f>ROUND(Товары[[#This Row],[РРЦ финальная, руб.]]/$AT$1,2)</f>
        <v>0</v>
      </c>
      <c r="AV111" s="49" t="str">
        <f>IFERROR(Товары[[#This Row],[РРЦ, евро]]/Товары[[#This Row],[IRP, Eur]],"-")</f>
        <v>-</v>
      </c>
      <c r="AX111" s="48">
        <f>ROUND(Товары[[#This Row],[РРЦ финальная, руб.]]*(1-Товары[[#This Row],[Скидка DIY]]),2)</f>
        <v>0</v>
      </c>
    </row>
    <row r="112" spans="1:50" x14ac:dyDescent="0.25">
      <c r="A112" s="36">
        <v>110</v>
      </c>
      <c r="C112" s="36" t="s">
        <v>3</v>
      </c>
      <c r="D1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2" s="36" t="s">
        <v>228</v>
      </c>
      <c r="F1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2" s="38">
        <v>9021</v>
      </c>
      <c r="I112" s="37" t="s">
        <v>257</v>
      </c>
      <c r="J112" s="37">
        <v>18712</v>
      </c>
      <c r="K112" s="38">
        <v>967976701</v>
      </c>
      <c r="L112" s="37" t="s">
        <v>564</v>
      </c>
      <c r="M112" s="37" t="s">
        <v>568</v>
      </c>
      <c r="O112" s="39" t="s">
        <v>1556</v>
      </c>
      <c r="AS112" s="48">
        <f>ROUND((Товары[[#This Row],[IRP, Eur]]*$AT$1),-2)*(1+Товары[[#This Row],[Процент повышения РРЦ]])</f>
        <v>0</v>
      </c>
      <c r="AT112" s="48"/>
      <c r="AU112" s="50">
        <f>ROUND(Товары[[#This Row],[РРЦ финальная, руб.]]/$AT$1,2)</f>
        <v>0</v>
      </c>
      <c r="AV112" s="49" t="str">
        <f>IFERROR(Товары[[#This Row],[РРЦ, евро]]/Товары[[#This Row],[IRP, Eur]],"-")</f>
        <v>-</v>
      </c>
      <c r="AX112" s="48">
        <f>ROUND(Товары[[#This Row],[РРЦ финальная, руб.]]*(1-Товары[[#This Row],[Скидка DIY]]),2)</f>
        <v>0</v>
      </c>
    </row>
    <row r="113" spans="1:50" x14ac:dyDescent="0.25">
      <c r="A113" s="36">
        <v>111</v>
      </c>
      <c r="C113" s="36" t="s">
        <v>3</v>
      </c>
      <c r="D1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3" s="36" t="s">
        <v>228</v>
      </c>
      <c r="F1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3" s="38">
        <v>9021</v>
      </c>
      <c r="I113" s="37" t="s">
        <v>257</v>
      </c>
      <c r="K113" s="38">
        <v>967990201</v>
      </c>
      <c r="L113" s="37" t="s">
        <v>565</v>
      </c>
      <c r="M113" s="37" t="s">
        <v>568</v>
      </c>
      <c r="O113" s="39" t="s">
        <v>1557</v>
      </c>
      <c r="AS113" s="48">
        <f>ROUND((Товары[[#This Row],[IRP, Eur]]*$AT$1),-2)*(1+Товары[[#This Row],[Процент повышения РРЦ]])</f>
        <v>0</v>
      </c>
      <c r="AT113" s="48"/>
      <c r="AU113" s="50">
        <f>ROUND(Товары[[#This Row],[РРЦ финальная, руб.]]/$AT$1,2)</f>
        <v>0</v>
      </c>
      <c r="AV113" s="49" t="str">
        <f>IFERROR(Товары[[#This Row],[РРЦ, евро]]/Товары[[#This Row],[IRP, Eur]],"-")</f>
        <v>-</v>
      </c>
      <c r="AX113" s="48">
        <f>ROUND(Товары[[#This Row],[РРЦ финальная, руб.]]*(1-Товары[[#This Row],[Скидка DIY]]),2)</f>
        <v>0</v>
      </c>
    </row>
    <row r="114" spans="1:50" x14ac:dyDescent="0.25">
      <c r="A114" s="36">
        <v>112</v>
      </c>
      <c r="C114" s="36" t="s">
        <v>3</v>
      </c>
      <c r="D1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4" s="36" t="s">
        <v>228</v>
      </c>
      <c r="F1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4" s="38">
        <v>9021</v>
      </c>
      <c r="I114" s="37" t="s">
        <v>257</v>
      </c>
      <c r="J114" s="37">
        <v>18714</v>
      </c>
      <c r="K114" s="38">
        <v>967976801</v>
      </c>
      <c r="L114" s="37" t="s">
        <v>566</v>
      </c>
      <c r="M114" s="37" t="s">
        <v>569</v>
      </c>
      <c r="O114" s="39" t="s">
        <v>1558</v>
      </c>
      <c r="AS114" s="48">
        <f>ROUND((Товары[[#This Row],[IRP, Eur]]*$AT$1),-2)*(1+Товары[[#This Row],[Процент повышения РРЦ]])</f>
        <v>0</v>
      </c>
      <c r="AT114" s="48"/>
      <c r="AU114" s="50">
        <f>ROUND(Товары[[#This Row],[РРЦ финальная, руб.]]/$AT$1,2)</f>
        <v>0</v>
      </c>
      <c r="AV114" s="49" t="str">
        <f>IFERROR(Товары[[#This Row],[РРЦ, евро]]/Товары[[#This Row],[IRP, Eur]],"-")</f>
        <v>-</v>
      </c>
      <c r="AX114" s="48">
        <f>ROUND(Товары[[#This Row],[РРЦ финальная, руб.]]*(1-Товары[[#This Row],[Скидка DIY]]),2)</f>
        <v>0</v>
      </c>
    </row>
    <row r="115" spans="1:50" x14ac:dyDescent="0.25">
      <c r="A115" s="36">
        <v>113</v>
      </c>
      <c r="C115" s="36" t="s">
        <v>3</v>
      </c>
      <c r="D1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5" s="36" t="s">
        <v>228</v>
      </c>
      <c r="F1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5" s="38">
        <v>9021</v>
      </c>
      <c r="I115" s="37" t="s">
        <v>257</v>
      </c>
      <c r="K115" s="38">
        <v>900969901</v>
      </c>
      <c r="L115" s="37" t="s">
        <v>567</v>
      </c>
      <c r="O115" s="39" t="s">
        <v>1559</v>
      </c>
      <c r="AS115" s="48">
        <f>ROUND((Товары[[#This Row],[IRP, Eur]]*$AT$1),-2)*(1+Товары[[#This Row],[Процент повышения РРЦ]])</f>
        <v>0</v>
      </c>
      <c r="AT115" s="48"/>
      <c r="AU115" s="50">
        <f>ROUND(Товары[[#This Row],[РРЦ финальная, руб.]]/$AT$1,2)</f>
        <v>0</v>
      </c>
      <c r="AV115" s="49" t="str">
        <f>IFERROR(Товары[[#This Row],[РРЦ, евро]]/Товары[[#This Row],[IRP, Eur]],"-")</f>
        <v>-</v>
      </c>
      <c r="AX115" s="48">
        <f>ROUND(Товары[[#This Row],[РРЦ финальная, руб.]]*(1-Товары[[#This Row],[Скидка DIY]]),2)</f>
        <v>0</v>
      </c>
    </row>
    <row r="116" spans="1:50" x14ac:dyDescent="0.25">
      <c r="A116" s="36">
        <v>114</v>
      </c>
      <c r="C116" s="36" t="s">
        <v>3</v>
      </c>
      <c r="D1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6" s="36" t="s">
        <v>228</v>
      </c>
      <c r="F1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6" s="38">
        <v>9021</v>
      </c>
      <c r="I116" s="37" t="s">
        <v>257</v>
      </c>
      <c r="K116" s="38">
        <v>900970201</v>
      </c>
      <c r="L116" s="37" t="s">
        <v>568</v>
      </c>
      <c r="O116" s="39" t="s">
        <v>1560</v>
      </c>
      <c r="AS116" s="48">
        <f>ROUND((Товары[[#This Row],[IRP, Eur]]*$AT$1),-2)*(1+Товары[[#This Row],[Процент повышения РРЦ]])</f>
        <v>0</v>
      </c>
      <c r="AT116" s="48"/>
      <c r="AU116" s="50">
        <f>ROUND(Товары[[#This Row],[РРЦ финальная, руб.]]/$AT$1,2)</f>
        <v>0</v>
      </c>
      <c r="AV116" s="49" t="str">
        <f>IFERROR(Товары[[#This Row],[РРЦ, евро]]/Товары[[#This Row],[IRP, Eur]],"-")</f>
        <v>-</v>
      </c>
      <c r="AX116" s="48">
        <f>ROUND(Товары[[#This Row],[РРЦ финальная, руб.]]*(1-Товары[[#This Row],[Скидка DIY]]),2)</f>
        <v>0</v>
      </c>
    </row>
    <row r="117" spans="1:50" x14ac:dyDescent="0.25">
      <c r="A117" s="36">
        <v>115</v>
      </c>
      <c r="C117" s="36" t="s">
        <v>3</v>
      </c>
      <c r="D1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7" s="36" t="s">
        <v>228</v>
      </c>
      <c r="F1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7" s="38">
        <v>9021</v>
      </c>
      <c r="I117" s="37" t="s">
        <v>257</v>
      </c>
      <c r="K117" s="38">
        <v>900970701</v>
      </c>
      <c r="L117" s="37" t="s">
        <v>569</v>
      </c>
      <c r="O117" s="39" t="s">
        <v>1561</v>
      </c>
      <c r="AS117" s="48">
        <f>ROUND((Товары[[#This Row],[IRP, Eur]]*$AT$1),-2)*(1+Товары[[#This Row],[Процент повышения РРЦ]])</f>
        <v>0</v>
      </c>
      <c r="AT117" s="48"/>
      <c r="AU117" s="50">
        <f>ROUND(Товары[[#This Row],[РРЦ финальная, руб.]]/$AT$1,2)</f>
        <v>0</v>
      </c>
      <c r="AV117" s="49" t="str">
        <f>IFERROR(Товары[[#This Row],[РРЦ, евро]]/Товары[[#This Row],[IRP, Eur]],"-")</f>
        <v>-</v>
      </c>
      <c r="AX117" s="48">
        <f>ROUND(Товары[[#This Row],[РРЦ финальная, руб.]]*(1-Товары[[#This Row],[Скидка DIY]]),2)</f>
        <v>0</v>
      </c>
    </row>
    <row r="118" spans="1:50" x14ac:dyDescent="0.25">
      <c r="A118" s="36">
        <v>116</v>
      </c>
      <c r="C118" s="36" t="s">
        <v>3</v>
      </c>
      <c r="D1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8" s="36" t="s">
        <v>228</v>
      </c>
      <c r="F1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8" s="38">
        <v>9021</v>
      </c>
      <c r="I118" s="37" t="s">
        <v>257</v>
      </c>
      <c r="K118" s="38">
        <v>900971101</v>
      </c>
      <c r="L118" s="37" t="s">
        <v>570</v>
      </c>
      <c r="O118" s="39" t="s">
        <v>1562</v>
      </c>
      <c r="AS118" s="48">
        <f>ROUND((Товары[[#This Row],[IRP, Eur]]*$AT$1),-2)*(1+Товары[[#This Row],[Процент повышения РРЦ]])</f>
        <v>0</v>
      </c>
      <c r="AT118" s="48"/>
      <c r="AU118" s="50">
        <f>ROUND(Товары[[#This Row],[РРЦ финальная, руб.]]/$AT$1,2)</f>
        <v>0</v>
      </c>
      <c r="AV118" s="49" t="str">
        <f>IFERROR(Товары[[#This Row],[РРЦ, евро]]/Товары[[#This Row],[IRP, Eur]],"-")</f>
        <v>-</v>
      </c>
      <c r="AX118" s="48">
        <f>ROUND(Товары[[#This Row],[РРЦ финальная, руб.]]*(1-Товары[[#This Row],[Скидка DIY]]),2)</f>
        <v>0</v>
      </c>
    </row>
    <row r="119" spans="1:50" x14ac:dyDescent="0.25">
      <c r="A119" s="36">
        <v>117</v>
      </c>
      <c r="C119" s="36" t="s">
        <v>3</v>
      </c>
      <c r="D1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9" s="36" t="s">
        <v>228</v>
      </c>
      <c r="F1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9" s="38">
        <v>9021</v>
      </c>
      <c r="I119" s="37" t="s">
        <v>256</v>
      </c>
      <c r="J119" s="37">
        <v>8141</v>
      </c>
      <c r="K119" s="38">
        <v>901154001</v>
      </c>
      <c r="L119" s="37" t="s">
        <v>571</v>
      </c>
      <c r="O119" s="39" t="s">
        <v>1563</v>
      </c>
      <c r="AS119" s="48">
        <f>ROUND((Товары[[#This Row],[IRP, Eur]]*$AT$1),-2)*(1+Товары[[#This Row],[Процент повышения РРЦ]])</f>
        <v>0</v>
      </c>
      <c r="AT119" s="48"/>
      <c r="AU119" s="50">
        <f>ROUND(Товары[[#This Row],[РРЦ финальная, руб.]]/$AT$1,2)</f>
        <v>0</v>
      </c>
      <c r="AV119" s="49" t="str">
        <f>IFERROR(Товары[[#This Row],[РРЦ, евро]]/Товары[[#This Row],[IRP, Eur]],"-")</f>
        <v>-</v>
      </c>
      <c r="AX119" s="48">
        <f>ROUND(Товары[[#This Row],[РРЦ финальная, руб.]]*(1-Товары[[#This Row],[Скидка DIY]]),2)</f>
        <v>0</v>
      </c>
    </row>
    <row r="120" spans="1:50" x14ac:dyDescent="0.25">
      <c r="A120" s="36">
        <v>118</v>
      </c>
      <c r="C120" s="36" t="s">
        <v>3</v>
      </c>
      <c r="D1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0" s="36" t="s">
        <v>228</v>
      </c>
      <c r="F1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0" s="38">
        <v>9021</v>
      </c>
      <c r="I120" s="37" t="s">
        <v>256</v>
      </c>
      <c r="J120" s="37">
        <v>8135</v>
      </c>
      <c r="K120" s="38">
        <v>901153601</v>
      </c>
      <c r="L120" s="37" t="s">
        <v>572</v>
      </c>
      <c r="O120" s="39" t="s">
        <v>1564</v>
      </c>
      <c r="AS120" s="48">
        <f>ROUND((Товары[[#This Row],[IRP, Eur]]*$AT$1),-2)*(1+Товары[[#This Row],[Процент повышения РРЦ]])</f>
        <v>0</v>
      </c>
      <c r="AT120" s="48"/>
      <c r="AU120" s="50">
        <f>ROUND(Товары[[#This Row],[РРЦ финальная, руб.]]/$AT$1,2)</f>
        <v>0</v>
      </c>
      <c r="AV120" s="49" t="str">
        <f>IFERROR(Товары[[#This Row],[РРЦ, евро]]/Товары[[#This Row],[IRP, Eur]],"-")</f>
        <v>-</v>
      </c>
      <c r="AX120" s="48">
        <f>ROUND(Товары[[#This Row],[РРЦ финальная, руб.]]*(1-Товары[[#This Row],[Скидка DIY]]),2)</f>
        <v>0</v>
      </c>
    </row>
    <row r="121" spans="1:50" x14ac:dyDescent="0.25">
      <c r="A121" s="36">
        <v>119</v>
      </c>
      <c r="C121" s="36" t="s">
        <v>3</v>
      </c>
      <c r="D1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1" s="36" t="s">
        <v>228</v>
      </c>
      <c r="F1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1" s="38">
        <v>9021</v>
      </c>
      <c r="I121" s="37" t="s">
        <v>256</v>
      </c>
      <c r="J121" s="37">
        <v>8136</v>
      </c>
      <c r="K121" s="38">
        <v>901153701</v>
      </c>
      <c r="L121" s="37" t="s">
        <v>573</v>
      </c>
      <c r="O121" s="39" t="s">
        <v>1565</v>
      </c>
      <c r="AS121" s="48">
        <f>ROUND((Товары[[#This Row],[IRP, Eur]]*$AT$1),-2)*(1+Товары[[#This Row],[Процент повышения РРЦ]])</f>
        <v>0</v>
      </c>
      <c r="AT121" s="48"/>
      <c r="AU121" s="50">
        <f>ROUND(Товары[[#This Row],[РРЦ финальная, руб.]]/$AT$1,2)</f>
        <v>0</v>
      </c>
      <c r="AV121" s="49" t="str">
        <f>IFERROR(Товары[[#This Row],[РРЦ, евро]]/Товары[[#This Row],[IRP, Eur]],"-")</f>
        <v>-</v>
      </c>
      <c r="AX121" s="48">
        <f>ROUND(Товары[[#This Row],[РРЦ финальная, руб.]]*(1-Товары[[#This Row],[Скидка DIY]]),2)</f>
        <v>0</v>
      </c>
    </row>
    <row r="122" spans="1:50" x14ac:dyDescent="0.25">
      <c r="A122" s="36">
        <v>120</v>
      </c>
      <c r="C122" s="36" t="s">
        <v>3</v>
      </c>
      <c r="D1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2" s="36" t="s">
        <v>228</v>
      </c>
      <c r="F1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2" s="38">
        <v>9021</v>
      </c>
      <c r="I122" s="37" t="s">
        <v>256</v>
      </c>
      <c r="J122" s="37">
        <v>8144</v>
      </c>
      <c r="K122" s="38">
        <v>901154201</v>
      </c>
      <c r="L122" s="37" t="s">
        <v>574</v>
      </c>
      <c r="O122" s="39" t="s">
        <v>1566</v>
      </c>
      <c r="AS122" s="48">
        <f>ROUND((Товары[[#This Row],[IRP, Eur]]*$AT$1),-2)*(1+Товары[[#This Row],[Процент повышения РРЦ]])</f>
        <v>0</v>
      </c>
      <c r="AT122" s="48"/>
      <c r="AU122" s="50">
        <f>ROUND(Товары[[#This Row],[РРЦ финальная, руб.]]/$AT$1,2)</f>
        <v>0</v>
      </c>
      <c r="AV122" s="49" t="str">
        <f>IFERROR(Товары[[#This Row],[РРЦ, евро]]/Товары[[#This Row],[IRP, Eur]],"-")</f>
        <v>-</v>
      </c>
      <c r="AX122" s="48">
        <f>ROUND(Товары[[#This Row],[РРЦ финальная, руб.]]*(1-Товары[[#This Row],[Скидка DIY]]),2)</f>
        <v>0</v>
      </c>
    </row>
    <row r="123" spans="1:50" x14ac:dyDescent="0.25">
      <c r="A123" s="36">
        <v>121</v>
      </c>
      <c r="C123" s="36" t="s">
        <v>3</v>
      </c>
      <c r="D1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3" s="36" t="s">
        <v>228</v>
      </c>
      <c r="F1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3" s="38">
        <v>9021</v>
      </c>
      <c r="I123" s="37" t="s">
        <v>256</v>
      </c>
      <c r="J123" s="37">
        <v>8133</v>
      </c>
      <c r="K123" s="38">
        <v>901153501</v>
      </c>
      <c r="L123" s="37" t="s">
        <v>575</v>
      </c>
      <c r="O123" s="39" t="s">
        <v>1567</v>
      </c>
      <c r="AS123" s="48">
        <f>ROUND((Товары[[#This Row],[IRP, Eur]]*$AT$1),-2)*(1+Товары[[#This Row],[Процент повышения РРЦ]])</f>
        <v>0</v>
      </c>
      <c r="AT123" s="48"/>
      <c r="AU123" s="50">
        <f>ROUND(Товары[[#This Row],[РРЦ финальная, руб.]]/$AT$1,2)</f>
        <v>0</v>
      </c>
      <c r="AV123" s="49" t="str">
        <f>IFERROR(Товары[[#This Row],[РРЦ, евро]]/Товары[[#This Row],[IRP, Eur]],"-")</f>
        <v>-</v>
      </c>
      <c r="AX123" s="48">
        <f>ROUND(Товары[[#This Row],[РРЦ финальная, руб.]]*(1-Товары[[#This Row],[Скидка DIY]]),2)</f>
        <v>0</v>
      </c>
    </row>
    <row r="124" spans="1:50" x14ac:dyDescent="0.25">
      <c r="A124" s="36">
        <v>122</v>
      </c>
      <c r="C124" s="36" t="s">
        <v>3</v>
      </c>
      <c r="D1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4" s="36" t="s">
        <v>228</v>
      </c>
      <c r="F1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4" s="38">
        <v>9021</v>
      </c>
      <c r="I124" s="37" t="s">
        <v>258</v>
      </c>
      <c r="J124" s="37">
        <v>1995</v>
      </c>
      <c r="K124" s="38">
        <v>900973001</v>
      </c>
      <c r="L124" s="37" t="s">
        <v>576</v>
      </c>
      <c r="O124" s="39" t="s">
        <v>1568</v>
      </c>
      <c r="AS124" s="48">
        <f>ROUND((Товары[[#This Row],[IRP, Eur]]*$AT$1),-2)*(1+Товары[[#This Row],[Процент повышения РРЦ]])</f>
        <v>0</v>
      </c>
      <c r="AT124" s="48"/>
      <c r="AU124" s="50">
        <f>ROUND(Товары[[#This Row],[РРЦ финальная, руб.]]/$AT$1,2)</f>
        <v>0</v>
      </c>
      <c r="AV124" s="49" t="str">
        <f>IFERROR(Товары[[#This Row],[РРЦ, евро]]/Товары[[#This Row],[IRP, Eur]],"-")</f>
        <v>-</v>
      </c>
      <c r="AX124" s="48">
        <f>ROUND(Товары[[#This Row],[РРЦ финальная, руб.]]*(1-Товары[[#This Row],[Скидка DIY]]),2)</f>
        <v>0</v>
      </c>
    </row>
    <row r="125" spans="1:50" x14ac:dyDescent="0.25">
      <c r="A125" s="36">
        <v>123</v>
      </c>
      <c r="C125" s="36" t="s">
        <v>3</v>
      </c>
      <c r="D1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5" s="36" t="s">
        <v>228</v>
      </c>
      <c r="F1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5" s="38">
        <v>9021</v>
      </c>
      <c r="I125" s="37" t="s">
        <v>258</v>
      </c>
      <c r="J125" s="37">
        <v>1998</v>
      </c>
      <c r="K125" s="38">
        <v>900973301</v>
      </c>
      <c r="L125" s="37" t="s">
        <v>577</v>
      </c>
      <c r="O125" s="39" t="s">
        <v>1569</v>
      </c>
      <c r="AS125" s="48">
        <f>ROUND((Товары[[#This Row],[IRP, Eur]]*$AT$1),-2)*(1+Товары[[#This Row],[Процент повышения РРЦ]])</f>
        <v>0</v>
      </c>
      <c r="AT125" s="48"/>
      <c r="AU125" s="50">
        <f>ROUND(Товары[[#This Row],[РРЦ финальная, руб.]]/$AT$1,2)</f>
        <v>0</v>
      </c>
      <c r="AV125" s="49" t="str">
        <f>IFERROR(Товары[[#This Row],[РРЦ, евро]]/Товары[[#This Row],[IRP, Eur]],"-")</f>
        <v>-</v>
      </c>
      <c r="AX125" s="48">
        <f>ROUND(Товары[[#This Row],[РРЦ финальная, руб.]]*(1-Товары[[#This Row],[Скидка DIY]]),2)</f>
        <v>0</v>
      </c>
    </row>
    <row r="126" spans="1:50" x14ac:dyDescent="0.25">
      <c r="A126" s="36">
        <v>124</v>
      </c>
      <c r="C126" s="36" t="s">
        <v>3</v>
      </c>
      <c r="D1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6" s="36" t="s">
        <v>228</v>
      </c>
      <c r="F1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6" s="38">
        <v>9021</v>
      </c>
      <c r="I126" s="37" t="s">
        <v>258</v>
      </c>
      <c r="J126" s="37">
        <v>1968</v>
      </c>
      <c r="K126" s="38">
        <v>900969401</v>
      </c>
      <c r="L126" s="37" t="s">
        <v>578</v>
      </c>
      <c r="O126" s="39" t="s">
        <v>1570</v>
      </c>
      <c r="AS126" s="48">
        <f>ROUND((Товары[[#This Row],[IRP, Eur]]*$AT$1),-2)*(1+Товары[[#This Row],[Процент повышения РРЦ]])</f>
        <v>0</v>
      </c>
      <c r="AT126" s="48"/>
      <c r="AU126" s="50">
        <f>ROUND(Товары[[#This Row],[РРЦ финальная, руб.]]/$AT$1,2)</f>
        <v>0</v>
      </c>
      <c r="AV126" s="49" t="str">
        <f>IFERROR(Товары[[#This Row],[РРЦ, евро]]/Товары[[#This Row],[IRP, Eur]],"-")</f>
        <v>-</v>
      </c>
      <c r="AX126" s="48">
        <f>ROUND(Товары[[#This Row],[РРЦ финальная, руб.]]*(1-Товары[[#This Row],[Скидка DIY]]),2)</f>
        <v>0</v>
      </c>
    </row>
    <row r="127" spans="1:50" x14ac:dyDescent="0.25">
      <c r="A127" s="36">
        <v>125</v>
      </c>
      <c r="C127" s="36" t="s">
        <v>3</v>
      </c>
      <c r="D1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7" s="36" t="s">
        <v>228</v>
      </c>
      <c r="F1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7" s="38">
        <v>9021</v>
      </c>
      <c r="I127" s="37" t="s">
        <v>258</v>
      </c>
      <c r="J127" s="37">
        <v>1969</v>
      </c>
      <c r="K127" s="38">
        <v>900969501</v>
      </c>
      <c r="L127" s="37" t="s">
        <v>579</v>
      </c>
      <c r="O127" s="39" t="s">
        <v>1571</v>
      </c>
      <c r="AS127" s="48">
        <f>ROUND((Товары[[#This Row],[IRP, Eur]]*$AT$1),-2)*(1+Товары[[#This Row],[Процент повышения РРЦ]])</f>
        <v>0</v>
      </c>
      <c r="AT127" s="48"/>
      <c r="AU127" s="50">
        <f>ROUND(Товары[[#This Row],[РРЦ финальная, руб.]]/$AT$1,2)</f>
        <v>0</v>
      </c>
      <c r="AV127" s="49" t="str">
        <f>IFERROR(Товары[[#This Row],[РРЦ, евро]]/Товары[[#This Row],[IRP, Eur]],"-")</f>
        <v>-</v>
      </c>
      <c r="AX127" s="48">
        <f>ROUND(Товары[[#This Row],[РРЦ финальная, руб.]]*(1-Товары[[#This Row],[Скидка DIY]]),2)</f>
        <v>0</v>
      </c>
    </row>
    <row r="128" spans="1:50" x14ac:dyDescent="0.25">
      <c r="A128" s="36">
        <v>126</v>
      </c>
      <c r="C128" s="36" t="s">
        <v>3</v>
      </c>
      <c r="D1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8" s="36" t="s">
        <v>228</v>
      </c>
      <c r="F1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8" s="38">
        <v>9021</v>
      </c>
      <c r="I128" s="37" t="s">
        <v>258</v>
      </c>
      <c r="J128" s="37">
        <v>1987</v>
      </c>
      <c r="K128" s="38">
        <v>900972701</v>
      </c>
      <c r="L128" s="37" t="s">
        <v>580</v>
      </c>
      <c r="O128" s="39" t="s">
        <v>1572</v>
      </c>
      <c r="AS128" s="48">
        <f>ROUND((Товары[[#This Row],[IRP, Eur]]*$AT$1),-2)*(1+Товары[[#This Row],[Процент повышения РРЦ]])</f>
        <v>0</v>
      </c>
      <c r="AT128" s="48"/>
      <c r="AU128" s="50">
        <f>ROUND(Товары[[#This Row],[РРЦ финальная, руб.]]/$AT$1,2)</f>
        <v>0</v>
      </c>
      <c r="AV128" s="49" t="str">
        <f>IFERROR(Товары[[#This Row],[РРЦ, евро]]/Товары[[#This Row],[IRP, Eur]],"-")</f>
        <v>-</v>
      </c>
      <c r="AX128" s="48">
        <f>ROUND(Товары[[#This Row],[РРЦ финальная, руб.]]*(1-Товары[[#This Row],[Скидка DIY]]),2)</f>
        <v>0</v>
      </c>
    </row>
    <row r="129" spans="1:50" x14ac:dyDescent="0.25">
      <c r="A129" s="36">
        <v>127</v>
      </c>
      <c r="C129" s="36" t="s">
        <v>3</v>
      </c>
      <c r="D1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9" s="36" t="s">
        <v>228</v>
      </c>
      <c r="F1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9" s="38">
        <v>9021</v>
      </c>
      <c r="I129" s="37" t="s">
        <v>251</v>
      </c>
      <c r="J129" s="37">
        <v>1989</v>
      </c>
      <c r="K129" s="38">
        <v>900972801</v>
      </c>
      <c r="L129" s="37" t="s">
        <v>581</v>
      </c>
      <c r="O129" s="39" t="s">
        <v>1573</v>
      </c>
      <c r="AS129" s="48">
        <f>ROUND((Товары[[#This Row],[IRP, Eur]]*$AT$1),-2)*(1+Товары[[#This Row],[Процент повышения РРЦ]])</f>
        <v>0</v>
      </c>
      <c r="AT129" s="48"/>
      <c r="AU129" s="50">
        <f>ROUND(Товары[[#This Row],[РРЦ финальная, руб.]]/$AT$1,2)</f>
        <v>0</v>
      </c>
      <c r="AV129" s="49" t="str">
        <f>IFERROR(Товары[[#This Row],[РРЦ, евро]]/Товары[[#This Row],[IRP, Eur]],"-")</f>
        <v>-</v>
      </c>
      <c r="AX129" s="48">
        <f>ROUND(Товары[[#This Row],[РРЦ финальная, руб.]]*(1-Товары[[#This Row],[Скидка DIY]]),2)</f>
        <v>0</v>
      </c>
    </row>
    <row r="130" spans="1:50" x14ac:dyDescent="0.25">
      <c r="A130" s="36">
        <v>128</v>
      </c>
      <c r="C130" s="36" t="s">
        <v>3</v>
      </c>
      <c r="D1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0" s="36" t="s">
        <v>228</v>
      </c>
      <c r="F1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0" s="38">
        <v>9021</v>
      </c>
      <c r="I130" s="37" t="s">
        <v>251</v>
      </c>
      <c r="J130" s="37">
        <v>5316</v>
      </c>
      <c r="K130" s="38">
        <v>901083401</v>
      </c>
      <c r="L130" s="37" t="s">
        <v>582</v>
      </c>
      <c r="O130" s="39" t="s">
        <v>1574</v>
      </c>
      <c r="AS130" s="48">
        <f>ROUND((Товары[[#This Row],[IRP, Eur]]*$AT$1),-2)*(1+Товары[[#This Row],[Процент повышения РРЦ]])</f>
        <v>0</v>
      </c>
      <c r="AT130" s="48"/>
      <c r="AU130" s="50">
        <f>ROUND(Товары[[#This Row],[РРЦ финальная, руб.]]/$AT$1,2)</f>
        <v>0</v>
      </c>
      <c r="AV130" s="49" t="str">
        <f>IFERROR(Товары[[#This Row],[РРЦ, евро]]/Товары[[#This Row],[IRP, Eur]],"-")</f>
        <v>-</v>
      </c>
      <c r="AX130" s="48">
        <f>ROUND(Товары[[#This Row],[РРЦ финальная, руб.]]*(1-Товары[[#This Row],[Скидка DIY]]),2)</f>
        <v>0</v>
      </c>
    </row>
    <row r="131" spans="1:50" x14ac:dyDescent="0.25">
      <c r="A131" s="36">
        <v>129</v>
      </c>
      <c r="C131" s="36" t="s">
        <v>3</v>
      </c>
      <c r="D1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1" s="36" t="s">
        <v>203</v>
      </c>
      <c r="F1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1" s="38">
        <v>9015</v>
      </c>
      <c r="I131" s="37" t="s">
        <v>259</v>
      </c>
      <c r="J131" s="37">
        <v>18500</v>
      </c>
      <c r="K131" s="38">
        <v>967674501</v>
      </c>
      <c r="L131" s="37" t="s">
        <v>583</v>
      </c>
      <c r="M131" s="37" t="s">
        <v>1344</v>
      </c>
      <c r="O131" s="39" t="s">
        <v>1575</v>
      </c>
      <c r="AS131" s="48">
        <f>ROUND((Товары[[#This Row],[IRP, Eur]]*$AT$1),-2)*(1+Товары[[#This Row],[Процент повышения РРЦ]])</f>
        <v>0</v>
      </c>
      <c r="AT131" s="48"/>
      <c r="AU131" s="50">
        <f>ROUND(Товары[[#This Row],[РРЦ финальная, руб.]]/$AT$1,2)</f>
        <v>0</v>
      </c>
      <c r="AV131" s="49" t="str">
        <f>IFERROR(Товары[[#This Row],[РРЦ, евро]]/Товары[[#This Row],[IRP, Eur]],"-")</f>
        <v>-</v>
      </c>
      <c r="AX131" s="48">
        <f>ROUND(Товары[[#This Row],[РРЦ финальная, руб.]]*(1-Товары[[#This Row],[Скидка DIY]]),2)</f>
        <v>0</v>
      </c>
    </row>
    <row r="132" spans="1:50" x14ac:dyDescent="0.25">
      <c r="A132" s="36">
        <v>130</v>
      </c>
      <c r="C132" s="36" t="s">
        <v>3</v>
      </c>
      <c r="D1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2" s="36" t="s">
        <v>203</v>
      </c>
      <c r="F1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2" s="38">
        <v>9015</v>
      </c>
      <c r="I132" s="37" t="s">
        <v>259</v>
      </c>
      <c r="J132" s="37">
        <v>18502</v>
      </c>
      <c r="K132" s="38">
        <v>967674601</v>
      </c>
      <c r="L132" s="37" t="s">
        <v>584</v>
      </c>
      <c r="M132" s="37" t="s">
        <v>1345</v>
      </c>
      <c r="O132" s="39" t="s">
        <v>1576</v>
      </c>
      <c r="AS132" s="48">
        <f>ROUND((Товары[[#This Row],[IRP, Eur]]*$AT$1),-2)*(1+Товары[[#This Row],[Процент повышения РРЦ]])</f>
        <v>0</v>
      </c>
      <c r="AT132" s="48"/>
      <c r="AU132" s="50">
        <f>ROUND(Товары[[#This Row],[РРЦ финальная, руб.]]/$AT$1,2)</f>
        <v>0</v>
      </c>
      <c r="AV132" s="49" t="str">
        <f>IFERROR(Товары[[#This Row],[РРЦ, евро]]/Товары[[#This Row],[IRP, Eur]],"-")</f>
        <v>-</v>
      </c>
      <c r="AX132" s="48">
        <f>ROUND(Товары[[#This Row],[РРЦ финальная, руб.]]*(1-Товары[[#This Row],[Скидка DIY]]),2)</f>
        <v>0</v>
      </c>
    </row>
    <row r="133" spans="1:50" x14ac:dyDescent="0.25">
      <c r="A133" s="36">
        <v>131</v>
      </c>
      <c r="C133" s="36" t="s">
        <v>3</v>
      </c>
      <c r="D1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3" s="36" t="s">
        <v>203</v>
      </c>
      <c r="F1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3" s="38">
        <v>9015</v>
      </c>
      <c r="I133" s="37" t="s">
        <v>259</v>
      </c>
      <c r="J133" s="37">
        <v>18502</v>
      </c>
      <c r="K133" s="38">
        <v>967679601</v>
      </c>
      <c r="L133" s="37" t="s">
        <v>585</v>
      </c>
      <c r="M133" s="37" t="s">
        <v>1346</v>
      </c>
      <c r="O133" s="39" t="s">
        <v>1577</v>
      </c>
      <c r="AS133" s="48">
        <f>ROUND((Товары[[#This Row],[IRP, Eur]]*$AT$1),-2)*(1+Товары[[#This Row],[Процент повышения РРЦ]])</f>
        <v>0</v>
      </c>
      <c r="AT133" s="48"/>
      <c r="AU133" s="50">
        <f>ROUND(Товары[[#This Row],[РРЦ финальная, руб.]]/$AT$1,2)</f>
        <v>0</v>
      </c>
      <c r="AV133" s="49" t="str">
        <f>IFERROR(Товары[[#This Row],[РРЦ, евро]]/Товары[[#This Row],[IRP, Eur]],"-")</f>
        <v>-</v>
      </c>
      <c r="AX133" s="48">
        <f>ROUND(Товары[[#This Row],[РРЦ финальная, руб.]]*(1-Товары[[#This Row],[Скидка DIY]]),2)</f>
        <v>0</v>
      </c>
    </row>
    <row r="134" spans="1:50" x14ac:dyDescent="0.25">
      <c r="A134" s="36">
        <v>132</v>
      </c>
      <c r="C134" s="36" t="s">
        <v>3</v>
      </c>
      <c r="D1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4" s="36" t="s">
        <v>203</v>
      </c>
      <c r="F1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4" s="38">
        <v>9015</v>
      </c>
      <c r="I134" s="37" t="s">
        <v>259</v>
      </c>
      <c r="J134" s="37">
        <v>18510</v>
      </c>
      <c r="K134" s="38">
        <v>967674901</v>
      </c>
      <c r="L134" s="37" t="s">
        <v>586</v>
      </c>
      <c r="M134" s="37" t="s">
        <v>1347</v>
      </c>
      <c r="O134" s="39" t="s">
        <v>1578</v>
      </c>
      <c r="AS134" s="48">
        <f>ROUND((Товары[[#This Row],[IRP, Eur]]*$AT$1),-2)*(1+Товары[[#This Row],[Процент повышения РРЦ]])</f>
        <v>0</v>
      </c>
      <c r="AT134" s="48"/>
      <c r="AU134" s="50">
        <f>ROUND(Товары[[#This Row],[РРЦ финальная, руб.]]/$AT$1,2)</f>
        <v>0</v>
      </c>
      <c r="AV134" s="49" t="str">
        <f>IFERROR(Товары[[#This Row],[РРЦ, евро]]/Товары[[#This Row],[IRP, Eur]],"-")</f>
        <v>-</v>
      </c>
      <c r="AX134" s="48">
        <f>ROUND(Товары[[#This Row],[РРЦ финальная, руб.]]*(1-Товары[[#This Row],[Скидка DIY]]),2)</f>
        <v>0</v>
      </c>
    </row>
    <row r="135" spans="1:50" x14ac:dyDescent="0.25">
      <c r="A135" s="36">
        <v>133</v>
      </c>
      <c r="C135" s="36" t="s">
        <v>3</v>
      </c>
      <c r="D1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5" s="36" t="s">
        <v>203</v>
      </c>
      <c r="F1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5" s="38">
        <v>9015</v>
      </c>
      <c r="I135" s="37" t="s">
        <v>259</v>
      </c>
      <c r="J135" s="37">
        <v>18512</v>
      </c>
      <c r="K135" s="38">
        <v>967675101</v>
      </c>
      <c r="L135" s="37" t="s">
        <v>587</v>
      </c>
      <c r="M135" s="37" t="s">
        <v>1348</v>
      </c>
      <c r="O135" s="39" t="s">
        <v>1579</v>
      </c>
      <c r="AS135" s="48">
        <f>ROUND((Товары[[#This Row],[IRP, Eur]]*$AT$1),-2)*(1+Товары[[#This Row],[Процент повышения РРЦ]])</f>
        <v>0</v>
      </c>
      <c r="AT135" s="48"/>
      <c r="AU135" s="50">
        <f>ROUND(Товары[[#This Row],[РРЦ финальная, руб.]]/$AT$1,2)</f>
        <v>0</v>
      </c>
      <c r="AV135" s="49" t="str">
        <f>IFERROR(Товары[[#This Row],[РРЦ, евро]]/Товары[[#This Row],[IRP, Eur]],"-")</f>
        <v>-</v>
      </c>
      <c r="AX135" s="48">
        <f>ROUND(Товары[[#This Row],[РРЦ финальная, руб.]]*(1-Товары[[#This Row],[Скидка DIY]]),2)</f>
        <v>0</v>
      </c>
    </row>
    <row r="136" spans="1:50" x14ac:dyDescent="0.25">
      <c r="A136" s="36">
        <v>134</v>
      </c>
      <c r="C136" s="36" t="s">
        <v>3</v>
      </c>
      <c r="D1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6" s="36" t="s">
        <v>203</v>
      </c>
      <c r="F1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6" s="38">
        <v>9015</v>
      </c>
      <c r="I136" s="37" t="s">
        <v>259</v>
      </c>
      <c r="J136" s="37">
        <v>18515</v>
      </c>
      <c r="K136" s="38">
        <v>967675401</v>
      </c>
      <c r="L136" s="37" t="s">
        <v>588</v>
      </c>
      <c r="M136" s="37" t="s">
        <v>1349</v>
      </c>
      <c r="O136" s="39" t="s">
        <v>1580</v>
      </c>
      <c r="AS136" s="48">
        <f>ROUND((Товары[[#This Row],[IRP, Eur]]*$AT$1),-2)*(1+Товары[[#This Row],[Процент повышения РРЦ]])</f>
        <v>0</v>
      </c>
      <c r="AT136" s="48"/>
      <c r="AU136" s="50">
        <f>ROUND(Товары[[#This Row],[РРЦ финальная, руб.]]/$AT$1,2)</f>
        <v>0</v>
      </c>
      <c r="AV136" s="49" t="str">
        <f>IFERROR(Товары[[#This Row],[РРЦ, евро]]/Товары[[#This Row],[IRP, Eur]],"-")</f>
        <v>-</v>
      </c>
      <c r="AX136" s="48">
        <f>ROUND(Товары[[#This Row],[РРЦ финальная, руб.]]*(1-Товары[[#This Row],[Скидка DIY]]),2)</f>
        <v>0</v>
      </c>
    </row>
    <row r="137" spans="1:50" x14ac:dyDescent="0.25">
      <c r="A137" s="36">
        <v>135</v>
      </c>
      <c r="C137" s="36" t="s">
        <v>3</v>
      </c>
      <c r="D1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7" s="36" t="s">
        <v>203</v>
      </c>
      <c r="F1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7" s="38">
        <v>9015</v>
      </c>
      <c r="I137" s="37" t="s">
        <v>259</v>
      </c>
      <c r="J137" s="37">
        <v>18520</v>
      </c>
      <c r="K137" s="38">
        <v>967675501</v>
      </c>
      <c r="L137" s="37" t="s">
        <v>589</v>
      </c>
      <c r="M137" s="37" t="s">
        <v>1350</v>
      </c>
      <c r="O137" s="39" t="s">
        <v>1581</v>
      </c>
      <c r="AS137" s="48">
        <f>ROUND((Товары[[#This Row],[IRP, Eur]]*$AT$1),-2)*(1+Товары[[#This Row],[Процент повышения РРЦ]])</f>
        <v>0</v>
      </c>
      <c r="AT137" s="48"/>
      <c r="AU137" s="50">
        <f>ROUND(Товары[[#This Row],[РРЦ финальная, руб.]]/$AT$1,2)</f>
        <v>0</v>
      </c>
      <c r="AV137" s="49" t="str">
        <f>IFERROR(Товары[[#This Row],[РРЦ, евро]]/Товары[[#This Row],[IRP, Eur]],"-")</f>
        <v>-</v>
      </c>
      <c r="AX137" s="48">
        <f>ROUND(Товары[[#This Row],[РРЦ финальная, руб.]]*(1-Товары[[#This Row],[Скидка DIY]]),2)</f>
        <v>0</v>
      </c>
    </row>
    <row r="138" spans="1:50" x14ac:dyDescent="0.25">
      <c r="A138" s="36">
        <v>136</v>
      </c>
      <c r="C138" s="36" t="s">
        <v>3</v>
      </c>
      <c r="D1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8" s="36" t="s">
        <v>203</v>
      </c>
      <c r="F1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8" s="38">
        <v>9015</v>
      </c>
      <c r="I138" s="37" t="s">
        <v>259</v>
      </c>
      <c r="J138" s="37">
        <v>18540</v>
      </c>
      <c r="K138" s="38">
        <v>967916601</v>
      </c>
      <c r="L138" s="37" t="s">
        <v>590</v>
      </c>
      <c r="M138" s="37" t="s">
        <v>1351</v>
      </c>
      <c r="O138" s="39" t="s">
        <v>1582</v>
      </c>
      <c r="AS138" s="48">
        <f>ROUND((Товары[[#This Row],[IRP, Eur]]*$AT$1),-2)*(1+Товары[[#This Row],[Процент повышения РРЦ]])</f>
        <v>0</v>
      </c>
      <c r="AT138" s="48"/>
      <c r="AU138" s="50">
        <f>ROUND(Товары[[#This Row],[РРЦ финальная, руб.]]/$AT$1,2)</f>
        <v>0</v>
      </c>
      <c r="AV138" s="49" t="str">
        <f>IFERROR(Товары[[#This Row],[РРЦ, евро]]/Товары[[#This Row],[IRP, Eur]],"-")</f>
        <v>-</v>
      </c>
      <c r="AX138" s="48">
        <f>ROUND(Товары[[#This Row],[РРЦ финальная, руб.]]*(1-Товары[[#This Row],[Скидка DIY]]),2)</f>
        <v>0</v>
      </c>
    </row>
    <row r="139" spans="1:50" x14ac:dyDescent="0.25">
      <c r="A139" s="36">
        <v>137</v>
      </c>
      <c r="C139" s="36" t="s">
        <v>3</v>
      </c>
      <c r="D1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9" s="36" t="s">
        <v>203</v>
      </c>
      <c r="F1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9" s="38">
        <v>9015</v>
      </c>
      <c r="I139" s="37" t="s">
        <v>259</v>
      </c>
      <c r="J139" s="37">
        <v>18541</v>
      </c>
      <c r="K139" s="38">
        <v>967916701</v>
      </c>
      <c r="L139" s="37" t="s">
        <v>591</v>
      </c>
      <c r="M139" s="37" t="s">
        <v>1352</v>
      </c>
      <c r="O139" s="39" t="s">
        <v>1583</v>
      </c>
      <c r="AS139" s="48">
        <f>ROUND((Товары[[#This Row],[IRP, Eur]]*$AT$1),-2)*(1+Товары[[#This Row],[Процент повышения РРЦ]])</f>
        <v>0</v>
      </c>
      <c r="AT139" s="48"/>
      <c r="AU139" s="50">
        <f>ROUND(Товары[[#This Row],[РРЦ финальная, руб.]]/$AT$1,2)</f>
        <v>0</v>
      </c>
      <c r="AV139" s="49" t="str">
        <f>IFERROR(Товары[[#This Row],[РРЦ, евро]]/Товары[[#This Row],[IRP, Eur]],"-")</f>
        <v>-</v>
      </c>
      <c r="AX139" s="48">
        <f>ROUND(Товары[[#This Row],[РРЦ финальная, руб.]]*(1-Товары[[#This Row],[Скидка DIY]]),2)</f>
        <v>0</v>
      </c>
    </row>
    <row r="140" spans="1:50" x14ac:dyDescent="0.25">
      <c r="A140" s="36">
        <v>138</v>
      </c>
      <c r="C140" s="36" t="s">
        <v>3</v>
      </c>
      <c r="D1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0" s="36" t="s">
        <v>203</v>
      </c>
      <c r="F1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0" s="38">
        <v>9015</v>
      </c>
      <c r="I140" s="37" t="s">
        <v>259</v>
      </c>
      <c r="J140" s="37">
        <v>18542</v>
      </c>
      <c r="K140" s="38">
        <v>967916801</v>
      </c>
      <c r="L140" s="37" t="s">
        <v>592</v>
      </c>
      <c r="M140" s="37" t="s">
        <v>1353</v>
      </c>
      <c r="O140" s="39" t="s">
        <v>1584</v>
      </c>
      <c r="AS140" s="48">
        <f>ROUND((Товары[[#This Row],[IRP, Eur]]*$AT$1),-2)*(1+Товары[[#This Row],[Процент повышения РРЦ]])</f>
        <v>0</v>
      </c>
      <c r="AT140" s="48"/>
      <c r="AU140" s="50">
        <f>ROUND(Товары[[#This Row],[РРЦ финальная, руб.]]/$AT$1,2)</f>
        <v>0</v>
      </c>
      <c r="AV140" s="49" t="str">
        <f>IFERROR(Товары[[#This Row],[РРЦ, евро]]/Товары[[#This Row],[IRP, Eur]],"-")</f>
        <v>-</v>
      </c>
      <c r="AX140" s="48">
        <f>ROUND(Товары[[#This Row],[РРЦ финальная, руб.]]*(1-Товары[[#This Row],[Скидка DIY]]),2)</f>
        <v>0</v>
      </c>
    </row>
    <row r="141" spans="1:50" x14ac:dyDescent="0.25">
      <c r="A141" s="36">
        <v>139</v>
      </c>
      <c r="C141" s="36" t="s">
        <v>3</v>
      </c>
      <c r="D1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1" s="36" t="s">
        <v>203</v>
      </c>
      <c r="F1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1" s="38">
        <v>9015</v>
      </c>
      <c r="I141" s="37" t="s">
        <v>259</v>
      </c>
      <c r="J141" s="37">
        <v>18547</v>
      </c>
      <c r="K141" s="38">
        <v>967916901</v>
      </c>
      <c r="L141" s="37" t="s">
        <v>593</v>
      </c>
      <c r="M141" s="37" t="s">
        <v>1338</v>
      </c>
      <c r="O141" s="39" t="s">
        <v>1585</v>
      </c>
      <c r="AS141" s="48">
        <f>ROUND((Товары[[#This Row],[IRP, Eur]]*$AT$1),-2)*(1+Товары[[#This Row],[Процент повышения РРЦ]])</f>
        <v>0</v>
      </c>
      <c r="AT141" s="48"/>
      <c r="AU141" s="50">
        <f>ROUND(Товары[[#This Row],[РРЦ финальная, руб.]]/$AT$1,2)</f>
        <v>0</v>
      </c>
      <c r="AV141" s="49" t="str">
        <f>IFERROR(Товары[[#This Row],[РРЦ, евро]]/Товары[[#This Row],[IRP, Eur]],"-")</f>
        <v>-</v>
      </c>
      <c r="AX141" s="48">
        <f>ROUND(Товары[[#This Row],[РРЦ финальная, руб.]]*(1-Товары[[#This Row],[Скидка DIY]]),2)</f>
        <v>0</v>
      </c>
    </row>
    <row r="142" spans="1:50" x14ac:dyDescent="0.25">
      <c r="A142" s="36">
        <v>140</v>
      </c>
      <c r="C142" s="36" t="s">
        <v>3</v>
      </c>
      <c r="D1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2" s="36" t="s">
        <v>203</v>
      </c>
      <c r="F1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2" s="38">
        <v>9015</v>
      </c>
      <c r="I142" s="37" t="s">
        <v>259</v>
      </c>
      <c r="J142" s="37">
        <v>18550</v>
      </c>
      <c r="K142" s="38">
        <v>967917301</v>
      </c>
      <c r="L142" s="37" t="s">
        <v>594</v>
      </c>
      <c r="M142" s="37" t="s">
        <v>1338</v>
      </c>
      <c r="O142" s="39" t="s">
        <v>1586</v>
      </c>
      <c r="AS142" s="48">
        <f>ROUND((Товары[[#This Row],[IRP, Eur]]*$AT$1),-2)*(1+Товары[[#This Row],[Процент повышения РРЦ]])</f>
        <v>0</v>
      </c>
      <c r="AT142" s="48"/>
      <c r="AU142" s="50">
        <f>ROUND(Товары[[#This Row],[РРЦ финальная, руб.]]/$AT$1,2)</f>
        <v>0</v>
      </c>
      <c r="AV142" s="49" t="str">
        <f>IFERROR(Товары[[#This Row],[РРЦ, евро]]/Товары[[#This Row],[IRP, Eur]],"-")</f>
        <v>-</v>
      </c>
      <c r="AX142" s="48">
        <f>ROUND(Товары[[#This Row],[РРЦ финальная, руб.]]*(1-Товары[[#This Row],[Скидка DIY]]),2)</f>
        <v>0</v>
      </c>
    </row>
    <row r="143" spans="1:50" x14ac:dyDescent="0.25">
      <c r="A143" s="36">
        <v>141</v>
      </c>
      <c r="C143" s="36" t="s">
        <v>3</v>
      </c>
      <c r="D1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3" s="36" t="s">
        <v>203</v>
      </c>
      <c r="F1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3" s="38">
        <v>9015</v>
      </c>
      <c r="I143" s="37" t="s">
        <v>259</v>
      </c>
      <c r="J143" s="37">
        <v>2674</v>
      </c>
      <c r="K143" s="38">
        <v>901007001</v>
      </c>
      <c r="L143" s="37" t="s">
        <v>595</v>
      </c>
      <c r="O143" s="39" t="s">
        <v>1587</v>
      </c>
      <c r="AS143" s="48">
        <f>ROUND((Товары[[#This Row],[IRP, Eur]]*$AT$1),-2)*(1+Товары[[#This Row],[Процент повышения РРЦ]])</f>
        <v>0</v>
      </c>
      <c r="AT143" s="48"/>
      <c r="AU143" s="50">
        <f>ROUND(Товары[[#This Row],[РРЦ финальная, руб.]]/$AT$1,2)</f>
        <v>0</v>
      </c>
      <c r="AV143" s="49" t="str">
        <f>IFERROR(Товары[[#This Row],[РРЦ, евро]]/Товары[[#This Row],[IRP, Eur]],"-")</f>
        <v>-</v>
      </c>
      <c r="AX143" s="48">
        <f>ROUND(Товары[[#This Row],[РРЦ финальная, руб.]]*(1-Товары[[#This Row],[Скидка DIY]]),2)</f>
        <v>0</v>
      </c>
    </row>
    <row r="144" spans="1:50" x14ac:dyDescent="0.25">
      <c r="A144" s="36">
        <v>142</v>
      </c>
      <c r="C144" s="36" t="s">
        <v>3</v>
      </c>
      <c r="D1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4" s="36" t="s">
        <v>203</v>
      </c>
      <c r="F1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4" s="38">
        <v>9015</v>
      </c>
      <c r="I144" s="37" t="s">
        <v>260</v>
      </c>
      <c r="J144" s="37">
        <v>2691</v>
      </c>
      <c r="K144" s="38">
        <v>901009001</v>
      </c>
      <c r="L144" s="37" t="s">
        <v>596</v>
      </c>
      <c r="O144" s="39" t="s">
        <v>1588</v>
      </c>
      <c r="AS144" s="48">
        <f>ROUND((Товары[[#This Row],[IRP, Eur]]*$AT$1),-2)*(1+Товары[[#This Row],[Процент повышения РРЦ]])</f>
        <v>0</v>
      </c>
      <c r="AT144" s="48"/>
      <c r="AU144" s="50">
        <f>ROUND(Товары[[#This Row],[РРЦ финальная, руб.]]/$AT$1,2)</f>
        <v>0</v>
      </c>
      <c r="AV144" s="49" t="str">
        <f>IFERROR(Товары[[#This Row],[РРЦ, евро]]/Товары[[#This Row],[IRP, Eur]],"-")</f>
        <v>-</v>
      </c>
      <c r="AX144" s="48">
        <f>ROUND(Товары[[#This Row],[РРЦ финальная, руб.]]*(1-Товары[[#This Row],[Скидка DIY]]),2)</f>
        <v>0</v>
      </c>
    </row>
    <row r="145" spans="1:50" x14ac:dyDescent="0.25">
      <c r="A145" s="36">
        <v>143</v>
      </c>
      <c r="C145" s="36" t="s">
        <v>3</v>
      </c>
      <c r="D1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5" s="36" t="s">
        <v>203</v>
      </c>
      <c r="F1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5" s="38">
        <v>9015</v>
      </c>
      <c r="I145" s="37" t="s">
        <v>260</v>
      </c>
      <c r="J145" s="37">
        <v>8010</v>
      </c>
      <c r="K145" s="38">
        <v>966610101</v>
      </c>
      <c r="L145" s="37" t="s">
        <v>597</v>
      </c>
      <c r="O145" s="39" t="s">
        <v>1589</v>
      </c>
      <c r="AS145" s="48">
        <f>ROUND((Товары[[#This Row],[IRP, Eur]]*$AT$1),-2)*(1+Товары[[#This Row],[Процент повышения РРЦ]])</f>
        <v>0</v>
      </c>
      <c r="AT145" s="48"/>
      <c r="AU145" s="50">
        <f>ROUND(Товары[[#This Row],[РРЦ финальная, руб.]]/$AT$1,2)</f>
        <v>0</v>
      </c>
      <c r="AV145" s="49" t="str">
        <f>IFERROR(Товары[[#This Row],[РРЦ, евро]]/Товары[[#This Row],[IRP, Eur]],"-")</f>
        <v>-</v>
      </c>
      <c r="AX145" s="48">
        <f>ROUND(Товары[[#This Row],[РРЦ финальная, руб.]]*(1-Товары[[#This Row],[Скидка DIY]]),2)</f>
        <v>0</v>
      </c>
    </row>
    <row r="146" spans="1:50" x14ac:dyDescent="0.25">
      <c r="A146" s="36">
        <v>144</v>
      </c>
      <c r="C146" s="36" t="s">
        <v>3</v>
      </c>
      <c r="D1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6" s="36" t="s">
        <v>203</v>
      </c>
      <c r="F1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6" s="38">
        <v>9015</v>
      </c>
      <c r="I146" s="37" t="s">
        <v>260</v>
      </c>
      <c r="J146" s="37">
        <v>8007</v>
      </c>
      <c r="K146" s="38">
        <v>966609901</v>
      </c>
      <c r="L146" s="37" t="s">
        <v>598</v>
      </c>
      <c r="O146" s="39" t="s">
        <v>1590</v>
      </c>
      <c r="AS146" s="48">
        <f>ROUND((Товары[[#This Row],[IRP, Eur]]*$AT$1),-2)*(1+Товары[[#This Row],[Процент повышения РРЦ]])</f>
        <v>0</v>
      </c>
      <c r="AT146" s="48"/>
      <c r="AU146" s="50">
        <f>ROUND(Товары[[#This Row],[РРЦ финальная, руб.]]/$AT$1,2)</f>
        <v>0</v>
      </c>
      <c r="AV146" s="49" t="str">
        <f>IFERROR(Товары[[#This Row],[РРЦ, евро]]/Товары[[#This Row],[IRP, Eur]],"-")</f>
        <v>-</v>
      </c>
      <c r="AX146" s="48">
        <f>ROUND(Товары[[#This Row],[РРЦ финальная, руб.]]*(1-Товары[[#This Row],[Скидка DIY]]),2)</f>
        <v>0</v>
      </c>
    </row>
    <row r="147" spans="1:50" x14ac:dyDescent="0.25">
      <c r="A147" s="36">
        <v>145</v>
      </c>
      <c r="C147" s="36" t="s">
        <v>3</v>
      </c>
      <c r="D1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7" s="36" t="s">
        <v>203</v>
      </c>
      <c r="F1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7" s="38">
        <v>9015</v>
      </c>
      <c r="I147" s="37" t="s">
        <v>260</v>
      </c>
      <c r="J147" s="37">
        <v>18402</v>
      </c>
      <c r="K147" s="38">
        <v>967678101</v>
      </c>
      <c r="L147" s="37" t="s">
        <v>599</v>
      </c>
      <c r="M147" s="37" t="s">
        <v>1328</v>
      </c>
      <c r="O147" s="39" t="s">
        <v>1591</v>
      </c>
      <c r="AS147" s="48">
        <f>ROUND((Товары[[#This Row],[IRP, Eur]]*$AT$1),-2)*(1+Товары[[#This Row],[Процент повышения РРЦ]])</f>
        <v>0</v>
      </c>
      <c r="AT147" s="48"/>
      <c r="AU147" s="50">
        <f>ROUND(Товары[[#This Row],[РРЦ финальная, руб.]]/$AT$1,2)</f>
        <v>0</v>
      </c>
      <c r="AV147" s="49" t="str">
        <f>IFERROR(Товары[[#This Row],[РРЦ, евро]]/Товары[[#This Row],[IRP, Eur]],"-")</f>
        <v>-</v>
      </c>
      <c r="AX147" s="48">
        <f>ROUND(Товары[[#This Row],[РРЦ финальная, руб.]]*(1-Товары[[#This Row],[Скидка DIY]]),2)</f>
        <v>0</v>
      </c>
    </row>
    <row r="148" spans="1:50" x14ac:dyDescent="0.25">
      <c r="A148" s="36">
        <v>146</v>
      </c>
      <c r="C148" s="36" t="s">
        <v>3</v>
      </c>
      <c r="D1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8" s="36" t="s">
        <v>203</v>
      </c>
      <c r="F1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8" s="38">
        <v>9015</v>
      </c>
      <c r="K148" s="38" t="s">
        <v>437</v>
      </c>
      <c r="L148" s="37" t="s">
        <v>600</v>
      </c>
      <c r="M148" s="37" t="s">
        <v>1354</v>
      </c>
      <c r="O148" s="39" t="s">
        <v>1592</v>
      </c>
      <c r="AS148" s="48">
        <f>ROUND((Товары[[#This Row],[IRP, Eur]]*$AT$1),-2)*(1+Товары[[#This Row],[Процент повышения РРЦ]])</f>
        <v>0</v>
      </c>
      <c r="AT148" s="48"/>
      <c r="AU148" s="50">
        <f>ROUND(Товары[[#This Row],[РРЦ финальная, руб.]]/$AT$1,2)</f>
        <v>0</v>
      </c>
      <c r="AV148" s="49" t="str">
        <f>IFERROR(Товары[[#This Row],[РРЦ, евро]]/Товары[[#This Row],[IRP, Eur]],"-")</f>
        <v>-</v>
      </c>
      <c r="AX148" s="48">
        <f>ROUND(Товары[[#This Row],[РРЦ финальная, руб.]]*(1-Товары[[#This Row],[Скидка DIY]]),2)</f>
        <v>0</v>
      </c>
    </row>
    <row r="149" spans="1:50" x14ac:dyDescent="0.25">
      <c r="A149" s="36">
        <v>147</v>
      </c>
      <c r="C149" s="36" t="s">
        <v>3</v>
      </c>
      <c r="D1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9" s="36" t="s">
        <v>203</v>
      </c>
      <c r="F1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9" s="38">
        <v>9015</v>
      </c>
      <c r="K149" s="38" t="s">
        <v>438</v>
      </c>
      <c r="L149" s="37" t="s">
        <v>601</v>
      </c>
      <c r="M149" s="37" t="s">
        <v>1355</v>
      </c>
      <c r="O149" s="39" t="s">
        <v>1593</v>
      </c>
      <c r="AS149" s="48">
        <f>ROUND((Товары[[#This Row],[IRP, Eur]]*$AT$1),-2)*(1+Товары[[#This Row],[Процент повышения РРЦ]])</f>
        <v>0</v>
      </c>
      <c r="AT149" s="48"/>
      <c r="AU149" s="50">
        <f>ROUND(Товары[[#This Row],[РРЦ финальная, руб.]]/$AT$1,2)</f>
        <v>0</v>
      </c>
      <c r="AV149" s="49" t="str">
        <f>IFERROR(Товары[[#This Row],[РРЦ, евро]]/Товары[[#This Row],[IRP, Eur]],"-")</f>
        <v>-</v>
      </c>
      <c r="AX149" s="48">
        <f>ROUND(Товары[[#This Row],[РРЦ финальная, руб.]]*(1-Товары[[#This Row],[Скидка DIY]]),2)</f>
        <v>0</v>
      </c>
    </row>
    <row r="150" spans="1:50" x14ac:dyDescent="0.25">
      <c r="A150" s="36">
        <v>148</v>
      </c>
      <c r="C150" s="36" t="s">
        <v>3</v>
      </c>
      <c r="D1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0" s="36" t="s">
        <v>203</v>
      </c>
      <c r="F1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0" s="38">
        <v>9015</v>
      </c>
      <c r="K150" s="38" t="s">
        <v>439</v>
      </c>
      <c r="L150" s="37" t="s">
        <v>602</v>
      </c>
      <c r="M150" s="37">
        <v>0</v>
      </c>
      <c r="O150" s="39" t="s">
        <v>1594</v>
      </c>
      <c r="AS150" s="48">
        <f>ROUND((Товары[[#This Row],[IRP, Eur]]*$AT$1),-2)*(1+Товары[[#This Row],[Процент повышения РРЦ]])</f>
        <v>0</v>
      </c>
      <c r="AT150" s="48"/>
      <c r="AU150" s="50">
        <f>ROUND(Товары[[#This Row],[РРЦ финальная, руб.]]/$AT$1,2)</f>
        <v>0</v>
      </c>
      <c r="AV150" s="49" t="str">
        <f>IFERROR(Товары[[#This Row],[РРЦ, евро]]/Товары[[#This Row],[IRP, Eur]],"-")</f>
        <v>-</v>
      </c>
      <c r="AX150" s="48">
        <f>ROUND(Товары[[#This Row],[РРЦ финальная, руб.]]*(1-Товары[[#This Row],[Скидка DIY]]),2)</f>
        <v>0</v>
      </c>
    </row>
    <row r="151" spans="1:50" x14ac:dyDescent="0.25">
      <c r="A151" s="36">
        <v>149</v>
      </c>
      <c r="C151" s="36" t="s">
        <v>3</v>
      </c>
      <c r="D1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1" s="36" t="s">
        <v>203</v>
      </c>
      <c r="F1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1" s="38">
        <v>9015</v>
      </c>
      <c r="K151" s="38" t="s">
        <v>440</v>
      </c>
      <c r="L151" s="37" t="s">
        <v>603</v>
      </c>
      <c r="M151" s="37">
        <v>0</v>
      </c>
      <c r="O151" s="39" t="s">
        <v>1595</v>
      </c>
      <c r="AS151" s="48">
        <f>ROUND((Товары[[#This Row],[IRP, Eur]]*$AT$1),-2)*(1+Товары[[#This Row],[Процент повышения РРЦ]])</f>
        <v>0</v>
      </c>
      <c r="AT151" s="48"/>
      <c r="AU151" s="50">
        <f>ROUND(Товары[[#This Row],[РРЦ финальная, руб.]]/$AT$1,2)</f>
        <v>0</v>
      </c>
      <c r="AV151" s="49" t="str">
        <f>IFERROR(Товары[[#This Row],[РРЦ, евро]]/Товары[[#This Row],[IRP, Eur]],"-")</f>
        <v>-</v>
      </c>
      <c r="AX151" s="48">
        <f>ROUND(Товары[[#This Row],[РРЦ финальная, руб.]]*(1-Товары[[#This Row],[Скидка DIY]]),2)</f>
        <v>0</v>
      </c>
    </row>
    <row r="152" spans="1:50" x14ac:dyDescent="0.25">
      <c r="A152" s="36">
        <v>150</v>
      </c>
      <c r="C152" s="36" t="s">
        <v>3</v>
      </c>
      <c r="D1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2" s="36" t="s">
        <v>203</v>
      </c>
      <c r="F1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2" s="38">
        <v>9015</v>
      </c>
      <c r="K152" s="38" t="s">
        <v>441</v>
      </c>
      <c r="L152" s="37" t="s">
        <v>604</v>
      </c>
      <c r="M152" s="37">
        <v>0</v>
      </c>
      <c r="O152" s="39" t="s">
        <v>1596</v>
      </c>
      <c r="AS152" s="48">
        <f>ROUND((Товары[[#This Row],[IRP, Eur]]*$AT$1),-2)*(1+Товары[[#This Row],[Процент повышения РРЦ]])</f>
        <v>0</v>
      </c>
      <c r="AT152" s="48"/>
      <c r="AU152" s="50">
        <f>ROUND(Товары[[#This Row],[РРЦ финальная, руб.]]/$AT$1,2)</f>
        <v>0</v>
      </c>
      <c r="AV152" s="49" t="str">
        <f>IFERROR(Товары[[#This Row],[РРЦ, евро]]/Товары[[#This Row],[IRP, Eur]],"-")</f>
        <v>-</v>
      </c>
      <c r="AX152" s="48">
        <f>ROUND(Товары[[#This Row],[РРЦ финальная, руб.]]*(1-Товары[[#This Row],[Скидка DIY]]),2)</f>
        <v>0</v>
      </c>
    </row>
    <row r="153" spans="1:50" x14ac:dyDescent="0.25">
      <c r="A153" s="36">
        <v>151</v>
      </c>
      <c r="C153" s="36" t="s">
        <v>3</v>
      </c>
      <c r="D1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3" s="36" t="s">
        <v>203</v>
      </c>
      <c r="F1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3" s="38">
        <v>9015</v>
      </c>
      <c r="K153" s="38" t="s">
        <v>442</v>
      </c>
      <c r="L153" s="37" t="s">
        <v>605</v>
      </c>
      <c r="M153" s="37">
        <v>0</v>
      </c>
      <c r="O153" s="39" t="s">
        <v>1597</v>
      </c>
      <c r="AS153" s="48">
        <f>ROUND((Товары[[#This Row],[IRP, Eur]]*$AT$1),-2)*(1+Товары[[#This Row],[Процент повышения РРЦ]])</f>
        <v>0</v>
      </c>
      <c r="AT153" s="48"/>
      <c r="AU153" s="50">
        <f>ROUND(Товары[[#This Row],[РРЦ финальная, руб.]]/$AT$1,2)</f>
        <v>0</v>
      </c>
      <c r="AV153" s="49" t="str">
        <f>IFERROR(Товары[[#This Row],[РРЦ, евро]]/Товары[[#This Row],[IRP, Eur]],"-")</f>
        <v>-</v>
      </c>
      <c r="AX153" s="48">
        <f>ROUND(Товары[[#This Row],[РРЦ финальная, руб.]]*(1-Товары[[#This Row],[Скидка DIY]]),2)</f>
        <v>0</v>
      </c>
    </row>
    <row r="154" spans="1:50" x14ac:dyDescent="0.25">
      <c r="A154" s="36">
        <v>152</v>
      </c>
      <c r="C154" s="36" t="s">
        <v>3</v>
      </c>
      <c r="D1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4" s="36" t="s">
        <v>203</v>
      </c>
      <c r="F1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4" s="38">
        <v>9015</v>
      </c>
      <c r="K154" s="38" t="s">
        <v>443</v>
      </c>
      <c r="L154" s="37" t="s">
        <v>606</v>
      </c>
      <c r="M154" s="37">
        <v>0</v>
      </c>
      <c r="O154" s="39" t="s">
        <v>1598</v>
      </c>
      <c r="AS154" s="48">
        <f>ROUND((Товары[[#This Row],[IRP, Eur]]*$AT$1),-2)*(1+Товары[[#This Row],[Процент повышения РРЦ]])</f>
        <v>0</v>
      </c>
      <c r="AT154" s="48"/>
      <c r="AU154" s="50">
        <f>ROUND(Товары[[#This Row],[РРЦ финальная, руб.]]/$AT$1,2)</f>
        <v>0</v>
      </c>
      <c r="AV154" s="49" t="str">
        <f>IFERROR(Товары[[#This Row],[РРЦ, евро]]/Товары[[#This Row],[IRP, Eur]],"-")</f>
        <v>-</v>
      </c>
      <c r="AX154" s="48">
        <f>ROUND(Товары[[#This Row],[РРЦ финальная, руб.]]*(1-Товары[[#This Row],[Скидка DIY]]),2)</f>
        <v>0</v>
      </c>
    </row>
    <row r="155" spans="1:50" x14ac:dyDescent="0.25">
      <c r="A155" s="36">
        <v>153</v>
      </c>
      <c r="C155" s="36" t="s">
        <v>3</v>
      </c>
      <c r="D1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5" s="36" t="s">
        <v>203</v>
      </c>
      <c r="F1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5" s="38">
        <v>9015</v>
      </c>
      <c r="K155" s="38" t="s">
        <v>444</v>
      </c>
      <c r="L155" s="37" t="s">
        <v>607</v>
      </c>
      <c r="M155" s="37">
        <v>0</v>
      </c>
      <c r="O155" s="39" t="s">
        <v>1599</v>
      </c>
      <c r="AS155" s="48">
        <f>ROUND((Товары[[#This Row],[IRP, Eur]]*$AT$1),-2)*(1+Товары[[#This Row],[Процент повышения РРЦ]])</f>
        <v>0</v>
      </c>
      <c r="AT155" s="48"/>
      <c r="AU155" s="50">
        <f>ROUND(Товары[[#This Row],[РРЦ финальная, руб.]]/$AT$1,2)</f>
        <v>0</v>
      </c>
      <c r="AV155" s="49" t="str">
        <f>IFERROR(Товары[[#This Row],[РРЦ, евро]]/Товары[[#This Row],[IRP, Eur]],"-")</f>
        <v>-</v>
      </c>
      <c r="AX155" s="48">
        <f>ROUND(Товары[[#This Row],[РРЦ финальная, руб.]]*(1-Товары[[#This Row],[Скидка DIY]]),2)</f>
        <v>0</v>
      </c>
    </row>
    <row r="156" spans="1:50" x14ac:dyDescent="0.25">
      <c r="A156" s="36">
        <v>154</v>
      </c>
      <c r="C156" s="36" t="s">
        <v>3</v>
      </c>
      <c r="D1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6" s="36" t="s">
        <v>203</v>
      </c>
      <c r="F1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6" s="38">
        <v>9015</v>
      </c>
      <c r="I156" s="37" t="s">
        <v>260</v>
      </c>
      <c r="J156" s="37">
        <v>8023</v>
      </c>
      <c r="K156" s="38">
        <v>967169401</v>
      </c>
      <c r="L156" s="37" t="s">
        <v>608</v>
      </c>
      <c r="O156" s="39" t="s">
        <v>1600</v>
      </c>
      <c r="AS156" s="48">
        <f>ROUND((Товары[[#This Row],[IRP, Eur]]*$AT$1),-2)*(1+Товары[[#This Row],[Процент повышения РРЦ]])</f>
        <v>0</v>
      </c>
      <c r="AT156" s="48"/>
      <c r="AU156" s="50">
        <f>ROUND(Товары[[#This Row],[РРЦ финальная, руб.]]/$AT$1,2)</f>
        <v>0</v>
      </c>
      <c r="AV156" s="49" t="str">
        <f>IFERROR(Товары[[#This Row],[РРЦ, евро]]/Товары[[#This Row],[IRP, Eur]],"-")</f>
        <v>-</v>
      </c>
      <c r="AX156" s="48">
        <f>ROUND(Товары[[#This Row],[РРЦ финальная, руб.]]*(1-Товары[[#This Row],[Скидка DIY]]),2)</f>
        <v>0</v>
      </c>
    </row>
    <row r="157" spans="1:50" x14ac:dyDescent="0.25">
      <c r="A157" s="36">
        <v>155</v>
      </c>
      <c r="C157" s="36" t="s">
        <v>3</v>
      </c>
      <c r="D1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7" s="36" t="s">
        <v>203</v>
      </c>
      <c r="F1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7" s="38">
        <v>9015</v>
      </c>
      <c r="K157" s="38" t="s">
        <v>445</v>
      </c>
      <c r="L157" s="37" t="s">
        <v>609</v>
      </c>
      <c r="M157" s="37" t="s">
        <v>1356</v>
      </c>
      <c r="O157" s="39" t="s">
        <v>1601</v>
      </c>
      <c r="AS157" s="48">
        <f>ROUND((Товары[[#This Row],[IRP, Eur]]*$AT$1),-2)*(1+Товары[[#This Row],[Процент повышения РРЦ]])</f>
        <v>0</v>
      </c>
      <c r="AT157" s="48"/>
      <c r="AU157" s="50">
        <f>ROUND(Товары[[#This Row],[РРЦ финальная, руб.]]/$AT$1,2)</f>
        <v>0</v>
      </c>
      <c r="AV157" s="49" t="str">
        <f>IFERROR(Товары[[#This Row],[РРЦ, евро]]/Товары[[#This Row],[IRP, Eur]],"-")</f>
        <v>-</v>
      </c>
      <c r="AX157" s="48">
        <f>ROUND(Товары[[#This Row],[РРЦ финальная, руб.]]*(1-Товары[[#This Row],[Скидка DIY]]),2)</f>
        <v>0</v>
      </c>
    </row>
    <row r="158" spans="1:50" x14ac:dyDescent="0.25">
      <c r="A158" s="36">
        <v>156</v>
      </c>
      <c r="C158" s="36" t="s">
        <v>3</v>
      </c>
      <c r="D1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8" s="36" t="s">
        <v>203</v>
      </c>
      <c r="F1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8" s="38">
        <v>9015</v>
      </c>
      <c r="K158" s="38" t="s">
        <v>446</v>
      </c>
      <c r="L158" s="37" t="s">
        <v>610</v>
      </c>
      <c r="M158" s="37">
        <v>0</v>
      </c>
      <c r="O158" s="39" t="s">
        <v>1602</v>
      </c>
      <c r="AS158" s="48">
        <f>ROUND((Товары[[#This Row],[IRP, Eur]]*$AT$1),-2)*(1+Товары[[#This Row],[Процент повышения РРЦ]])</f>
        <v>0</v>
      </c>
      <c r="AT158" s="48"/>
      <c r="AU158" s="50">
        <f>ROUND(Товары[[#This Row],[РРЦ финальная, руб.]]/$AT$1,2)</f>
        <v>0</v>
      </c>
      <c r="AV158" s="49" t="str">
        <f>IFERROR(Товары[[#This Row],[РРЦ, евро]]/Товары[[#This Row],[IRP, Eur]],"-")</f>
        <v>-</v>
      </c>
      <c r="AX158" s="48">
        <f>ROUND(Товары[[#This Row],[РРЦ финальная, руб.]]*(1-Товары[[#This Row],[Скидка DIY]]),2)</f>
        <v>0</v>
      </c>
    </row>
    <row r="159" spans="1:50" x14ac:dyDescent="0.25">
      <c r="A159" s="36">
        <v>157</v>
      </c>
      <c r="C159" s="36" t="s">
        <v>3</v>
      </c>
      <c r="D1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9" s="36" t="s">
        <v>203</v>
      </c>
      <c r="F1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9" s="38">
        <v>9015</v>
      </c>
      <c r="I159" s="37" t="s">
        <v>260</v>
      </c>
      <c r="J159" s="37">
        <v>8026</v>
      </c>
      <c r="K159" s="38">
        <v>967690001</v>
      </c>
      <c r="L159" s="37" t="s">
        <v>611</v>
      </c>
      <c r="M159" s="37" t="s">
        <v>1328</v>
      </c>
      <c r="O159" s="39" t="s">
        <v>1603</v>
      </c>
      <c r="AS159" s="48">
        <f>ROUND((Товары[[#This Row],[IRP, Eur]]*$AT$1),-2)*(1+Товары[[#This Row],[Процент повышения РРЦ]])</f>
        <v>0</v>
      </c>
      <c r="AT159" s="48"/>
      <c r="AU159" s="50">
        <f>ROUND(Товары[[#This Row],[РРЦ финальная, руб.]]/$AT$1,2)</f>
        <v>0</v>
      </c>
      <c r="AV159" s="49" t="str">
        <f>IFERROR(Товары[[#This Row],[РРЦ, евро]]/Товары[[#This Row],[IRP, Eur]],"-")</f>
        <v>-</v>
      </c>
      <c r="AX159" s="48">
        <f>ROUND(Товары[[#This Row],[РРЦ финальная, руб.]]*(1-Товары[[#This Row],[Скидка DIY]]),2)</f>
        <v>0</v>
      </c>
    </row>
    <row r="160" spans="1:50" x14ac:dyDescent="0.25">
      <c r="A160" s="36">
        <v>158</v>
      </c>
      <c r="C160" s="36" t="s">
        <v>3</v>
      </c>
      <c r="D1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0" s="36" t="s">
        <v>203</v>
      </c>
      <c r="F1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0" s="38">
        <v>9015</v>
      </c>
      <c r="K160" s="38" t="s">
        <v>447</v>
      </c>
      <c r="L160" s="37" t="s">
        <v>612</v>
      </c>
      <c r="M160" s="37" t="s">
        <v>1357</v>
      </c>
      <c r="O160" s="39" t="s">
        <v>1604</v>
      </c>
      <c r="AS160" s="48">
        <f>ROUND((Товары[[#This Row],[IRP, Eur]]*$AT$1),-2)*(1+Товары[[#This Row],[Процент повышения РРЦ]])</f>
        <v>0</v>
      </c>
      <c r="AT160" s="48"/>
      <c r="AU160" s="50">
        <f>ROUND(Товары[[#This Row],[РРЦ финальная, руб.]]/$AT$1,2)</f>
        <v>0</v>
      </c>
      <c r="AV160" s="49" t="str">
        <f>IFERROR(Товары[[#This Row],[РРЦ, евро]]/Товары[[#This Row],[IRP, Eur]],"-")</f>
        <v>-</v>
      </c>
      <c r="AX160" s="48">
        <f>ROUND(Товары[[#This Row],[РРЦ финальная, руб.]]*(1-Товары[[#This Row],[Скидка DIY]]),2)</f>
        <v>0</v>
      </c>
    </row>
    <row r="161" spans="1:50" x14ac:dyDescent="0.25">
      <c r="A161" s="36">
        <v>159</v>
      </c>
      <c r="C161" s="36" t="s">
        <v>3</v>
      </c>
      <c r="D1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1" s="36" t="s">
        <v>203</v>
      </c>
      <c r="F1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1" s="38">
        <v>9015</v>
      </c>
      <c r="K161" s="38" t="s">
        <v>448</v>
      </c>
      <c r="L161" s="37" t="s">
        <v>613</v>
      </c>
      <c r="M161" s="37" t="s">
        <v>1358</v>
      </c>
      <c r="O161" s="39" t="s">
        <v>1605</v>
      </c>
      <c r="AS161" s="48">
        <f>ROUND((Товары[[#This Row],[IRP, Eur]]*$AT$1),-2)*(1+Товары[[#This Row],[Процент повышения РРЦ]])</f>
        <v>0</v>
      </c>
      <c r="AT161" s="48"/>
      <c r="AU161" s="50">
        <f>ROUND(Товары[[#This Row],[РРЦ финальная, руб.]]/$AT$1,2)</f>
        <v>0</v>
      </c>
      <c r="AV161" s="49" t="str">
        <f>IFERROR(Товары[[#This Row],[РРЦ, евро]]/Товары[[#This Row],[IRP, Eur]],"-")</f>
        <v>-</v>
      </c>
      <c r="AX161" s="48">
        <f>ROUND(Товары[[#This Row],[РРЦ финальная, руб.]]*(1-Товары[[#This Row],[Скидка DIY]]),2)</f>
        <v>0</v>
      </c>
    </row>
    <row r="162" spans="1:50" x14ac:dyDescent="0.25">
      <c r="A162" s="36">
        <v>160</v>
      </c>
      <c r="C162" s="36" t="s">
        <v>3</v>
      </c>
      <c r="D1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2" s="36" t="s">
        <v>203</v>
      </c>
      <c r="F1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2" s="38">
        <v>9015</v>
      </c>
      <c r="I162" s="37" t="s">
        <v>260</v>
      </c>
      <c r="J162" s="37">
        <v>8024</v>
      </c>
      <c r="K162" s="38">
        <v>967169501</v>
      </c>
      <c r="L162" s="37" t="s">
        <v>614</v>
      </c>
      <c r="O162" s="39" t="s">
        <v>1606</v>
      </c>
      <c r="AS162" s="48">
        <f>ROUND((Товары[[#This Row],[IRP, Eur]]*$AT$1),-2)*(1+Товары[[#This Row],[Процент повышения РРЦ]])</f>
        <v>0</v>
      </c>
      <c r="AT162" s="48"/>
      <c r="AU162" s="50">
        <f>ROUND(Товары[[#This Row],[РРЦ финальная, руб.]]/$AT$1,2)</f>
        <v>0</v>
      </c>
      <c r="AV162" s="49" t="str">
        <f>IFERROR(Товары[[#This Row],[РРЦ, евро]]/Товары[[#This Row],[IRP, Eur]],"-")</f>
        <v>-</v>
      </c>
      <c r="AX162" s="48">
        <f>ROUND(Товары[[#This Row],[РРЦ финальная, руб.]]*(1-Товары[[#This Row],[Скидка DIY]]),2)</f>
        <v>0</v>
      </c>
    </row>
    <row r="163" spans="1:50" x14ac:dyDescent="0.25">
      <c r="A163" s="36">
        <v>161</v>
      </c>
      <c r="C163" s="36" t="s">
        <v>3</v>
      </c>
      <c r="D1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3" s="36" t="s">
        <v>203</v>
      </c>
      <c r="F1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3" s="38">
        <v>9015</v>
      </c>
      <c r="K163" s="38" t="s">
        <v>449</v>
      </c>
      <c r="L163" s="37" t="s">
        <v>615</v>
      </c>
      <c r="M163" s="37" t="s">
        <v>1359</v>
      </c>
      <c r="O163" s="39" t="s">
        <v>1607</v>
      </c>
      <c r="AS163" s="48">
        <f>ROUND((Товары[[#This Row],[IRP, Eur]]*$AT$1),-2)*(1+Товары[[#This Row],[Процент повышения РРЦ]])</f>
        <v>0</v>
      </c>
      <c r="AT163" s="48"/>
      <c r="AU163" s="50">
        <f>ROUND(Товары[[#This Row],[РРЦ финальная, руб.]]/$AT$1,2)</f>
        <v>0</v>
      </c>
      <c r="AV163" s="49" t="str">
        <f>IFERROR(Товары[[#This Row],[РРЦ, евро]]/Товары[[#This Row],[IRP, Eur]],"-")</f>
        <v>-</v>
      </c>
      <c r="AX163" s="48">
        <f>ROUND(Товары[[#This Row],[РРЦ финальная, руб.]]*(1-Товары[[#This Row],[Скидка DIY]]),2)</f>
        <v>0</v>
      </c>
    </row>
    <row r="164" spans="1:50" x14ac:dyDescent="0.25">
      <c r="A164" s="36">
        <v>162</v>
      </c>
      <c r="C164" s="36" t="s">
        <v>3</v>
      </c>
      <c r="D1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4" s="36" t="s">
        <v>203</v>
      </c>
      <c r="F1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4" s="38">
        <v>9015</v>
      </c>
      <c r="K164" s="38" t="s">
        <v>450</v>
      </c>
      <c r="L164" s="37" t="s">
        <v>616</v>
      </c>
      <c r="M164" s="37" t="s">
        <v>1360</v>
      </c>
      <c r="O164" s="39" t="s">
        <v>1608</v>
      </c>
      <c r="AS164" s="48">
        <f>ROUND((Товары[[#This Row],[IRP, Eur]]*$AT$1),-2)*(1+Товары[[#This Row],[Процент повышения РРЦ]])</f>
        <v>0</v>
      </c>
      <c r="AT164" s="48"/>
      <c r="AU164" s="50">
        <f>ROUND(Товары[[#This Row],[РРЦ финальная, руб.]]/$AT$1,2)</f>
        <v>0</v>
      </c>
      <c r="AV164" s="49" t="str">
        <f>IFERROR(Товары[[#This Row],[РРЦ, евро]]/Товары[[#This Row],[IRP, Eur]],"-")</f>
        <v>-</v>
      </c>
      <c r="AX164" s="48">
        <f>ROUND(Товары[[#This Row],[РРЦ финальная, руб.]]*(1-Товары[[#This Row],[Скидка DIY]]),2)</f>
        <v>0</v>
      </c>
    </row>
    <row r="165" spans="1:50" x14ac:dyDescent="0.25">
      <c r="A165" s="36">
        <v>163</v>
      </c>
      <c r="C165" s="36" t="s">
        <v>3</v>
      </c>
      <c r="D1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5" s="36" t="s">
        <v>203</v>
      </c>
      <c r="F1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5" s="38">
        <v>9015</v>
      </c>
      <c r="I165" s="37" t="s">
        <v>261</v>
      </c>
      <c r="J165" s="37">
        <v>241</v>
      </c>
      <c r="K165" s="38">
        <v>967239601</v>
      </c>
      <c r="L165" s="37" t="s">
        <v>617</v>
      </c>
      <c r="O165" s="39" t="s">
        <v>1609</v>
      </c>
      <c r="AS165" s="48">
        <f>ROUND((Товары[[#This Row],[IRP, Eur]]*$AT$1),-2)*(1+Товары[[#This Row],[Процент повышения РРЦ]])</f>
        <v>0</v>
      </c>
      <c r="AT165" s="48"/>
      <c r="AU165" s="50">
        <f>ROUND(Товары[[#This Row],[РРЦ финальная, руб.]]/$AT$1,2)</f>
        <v>0</v>
      </c>
      <c r="AV165" s="49" t="str">
        <f>IFERROR(Товары[[#This Row],[РРЦ, евро]]/Товары[[#This Row],[IRP, Eur]],"-")</f>
        <v>-</v>
      </c>
      <c r="AX165" s="48">
        <f>ROUND(Товары[[#This Row],[РРЦ финальная, руб.]]*(1-Товары[[#This Row],[Скидка DIY]]),2)</f>
        <v>0</v>
      </c>
    </row>
    <row r="166" spans="1:50" x14ac:dyDescent="0.25">
      <c r="A166" s="36">
        <v>164</v>
      </c>
      <c r="C166" s="36" t="s">
        <v>3</v>
      </c>
      <c r="D1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6" s="36" t="s">
        <v>227</v>
      </c>
      <c r="F1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6" s="38">
        <v>9014</v>
      </c>
      <c r="I166" s="37" t="s">
        <v>262</v>
      </c>
      <c r="K166" s="38">
        <v>967970901</v>
      </c>
      <c r="L166" s="37" t="s">
        <v>618</v>
      </c>
      <c r="M166" s="37" t="s">
        <v>1361</v>
      </c>
      <c r="O166" s="39" t="s">
        <v>1610</v>
      </c>
      <c r="AS166" s="48">
        <f>ROUND((Товары[[#This Row],[IRP, Eur]]*$AT$1),-2)*(1+Товары[[#This Row],[Процент повышения РРЦ]])</f>
        <v>0</v>
      </c>
      <c r="AT166" s="48"/>
      <c r="AU166" s="50">
        <f>ROUND(Товары[[#This Row],[РРЦ финальная, руб.]]/$AT$1,2)</f>
        <v>0</v>
      </c>
      <c r="AV166" s="49" t="str">
        <f>IFERROR(Товары[[#This Row],[РРЦ, евро]]/Товары[[#This Row],[IRP, Eur]],"-")</f>
        <v>-</v>
      </c>
      <c r="AX166" s="48">
        <f>ROUND(Товары[[#This Row],[РРЦ финальная, руб.]]*(1-Товары[[#This Row],[Скидка DIY]]),2)</f>
        <v>0</v>
      </c>
    </row>
    <row r="167" spans="1:50" x14ac:dyDescent="0.25">
      <c r="A167" s="36">
        <v>165</v>
      </c>
      <c r="C167" s="36" t="s">
        <v>3</v>
      </c>
      <c r="D1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7" s="36" t="s">
        <v>227</v>
      </c>
      <c r="F1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7" s="38">
        <v>9014</v>
      </c>
      <c r="I167" s="37" t="s">
        <v>262</v>
      </c>
      <c r="J167" s="37">
        <v>18430</v>
      </c>
      <c r="K167" s="38">
        <v>967869201</v>
      </c>
      <c r="L167" s="37" t="s">
        <v>619</v>
      </c>
      <c r="M167" s="37" t="s">
        <v>1338</v>
      </c>
      <c r="O167" s="39" t="s">
        <v>1611</v>
      </c>
      <c r="AS167" s="48">
        <f>ROUND((Товары[[#This Row],[IRP, Eur]]*$AT$1),-2)*(1+Товары[[#This Row],[Процент повышения РРЦ]])</f>
        <v>0</v>
      </c>
      <c r="AT167" s="48"/>
      <c r="AU167" s="50">
        <f>ROUND(Товары[[#This Row],[РРЦ финальная, руб.]]/$AT$1,2)</f>
        <v>0</v>
      </c>
      <c r="AV167" s="49" t="str">
        <f>IFERROR(Товары[[#This Row],[РРЦ, евро]]/Товары[[#This Row],[IRP, Eur]],"-")</f>
        <v>-</v>
      </c>
      <c r="AX167" s="48">
        <f>ROUND(Товары[[#This Row],[РРЦ финальная, руб.]]*(1-Товары[[#This Row],[Скидка DIY]]),2)</f>
        <v>0</v>
      </c>
    </row>
    <row r="168" spans="1:50" x14ac:dyDescent="0.25">
      <c r="A168" s="36">
        <v>166</v>
      </c>
      <c r="C168" s="36" t="s">
        <v>3</v>
      </c>
      <c r="D1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8" s="36" t="s">
        <v>227</v>
      </c>
      <c r="F1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8" s="38">
        <v>9014</v>
      </c>
      <c r="I168" s="37" t="s">
        <v>262</v>
      </c>
      <c r="J168" s="37">
        <v>18431</v>
      </c>
      <c r="K168" s="38">
        <v>967869301</v>
      </c>
      <c r="L168" s="37" t="s">
        <v>620</v>
      </c>
      <c r="M168" s="37" t="s">
        <v>1338</v>
      </c>
      <c r="O168" s="39" t="s">
        <v>1612</v>
      </c>
      <c r="AS168" s="48">
        <f>ROUND((Товары[[#This Row],[IRP, Eur]]*$AT$1),-2)*(1+Товары[[#This Row],[Процент повышения РРЦ]])</f>
        <v>0</v>
      </c>
      <c r="AT168" s="48"/>
      <c r="AU168" s="50">
        <f>ROUND(Товары[[#This Row],[РРЦ финальная, руб.]]/$AT$1,2)</f>
        <v>0</v>
      </c>
      <c r="AV168" s="49" t="str">
        <f>IFERROR(Товары[[#This Row],[РРЦ, евро]]/Товары[[#This Row],[IRP, Eur]],"-")</f>
        <v>-</v>
      </c>
      <c r="AX168" s="48">
        <f>ROUND(Товары[[#This Row],[РРЦ финальная, руб.]]*(1-Товары[[#This Row],[Скидка DIY]]),2)</f>
        <v>0</v>
      </c>
    </row>
    <row r="169" spans="1:50" x14ac:dyDescent="0.25">
      <c r="A169" s="36">
        <v>167</v>
      </c>
      <c r="C169" s="36" t="s">
        <v>3</v>
      </c>
      <c r="D1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9" s="36" t="s">
        <v>227</v>
      </c>
      <c r="F1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9" s="38">
        <v>9014</v>
      </c>
      <c r="I169" s="37" t="s">
        <v>262</v>
      </c>
      <c r="J169" s="37">
        <v>18434</v>
      </c>
      <c r="K169" s="38">
        <v>967869401</v>
      </c>
      <c r="L169" s="37" t="s">
        <v>621</v>
      </c>
      <c r="M169" s="37" t="s">
        <v>1338</v>
      </c>
      <c r="O169" s="39" t="s">
        <v>1613</v>
      </c>
      <c r="AS169" s="48">
        <f>ROUND((Товары[[#This Row],[IRP, Eur]]*$AT$1),-2)*(1+Товары[[#This Row],[Процент повышения РРЦ]])</f>
        <v>0</v>
      </c>
      <c r="AT169" s="48"/>
      <c r="AU169" s="50">
        <f>ROUND(Товары[[#This Row],[РРЦ финальная, руб.]]/$AT$1,2)</f>
        <v>0</v>
      </c>
      <c r="AV169" s="49" t="str">
        <f>IFERROR(Товары[[#This Row],[РРЦ, евро]]/Товары[[#This Row],[IRP, Eur]],"-")</f>
        <v>-</v>
      </c>
      <c r="AX169" s="48">
        <f>ROUND(Товары[[#This Row],[РРЦ финальная, руб.]]*(1-Товары[[#This Row],[Скидка DIY]]),2)</f>
        <v>0</v>
      </c>
    </row>
    <row r="170" spans="1:50" x14ac:dyDescent="0.25">
      <c r="A170" s="36">
        <v>168</v>
      </c>
      <c r="C170" s="36" t="s">
        <v>3</v>
      </c>
      <c r="D1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0" s="36" t="s">
        <v>227</v>
      </c>
      <c r="F1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0" s="38">
        <v>9014</v>
      </c>
      <c r="I170" s="37" t="s">
        <v>262</v>
      </c>
      <c r="J170" s="37">
        <v>18435</v>
      </c>
      <c r="K170" s="38">
        <v>967869501</v>
      </c>
      <c r="L170" s="37" t="s">
        <v>622</v>
      </c>
      <c r="M170" s="37" t="s">
        <v>1338</v>
      </c>
      <c r="O170" s="39" t="s">
        <v>1614</v>
      </c>
      <c r="AS170" s="48">
        <f>ROUND((Товары[[#This Row],[IRP, Eur]]*$AT$1),-2)*(1+Товары[[#This Row],[Процент повышения РРЦ]])</f>
        <v>0</v>
      </c>
      <c r="AT170" s="48"/>
      <c r="AU170" s="50">
        <f>ROUND(Товары[[#This Row],[РРЦ финальная, руб.]]/$AT$1,2)</f>
        <v>0</v>
      </c>
      <c r="AV170" s="49" t="str">
        <f>IFERROR(Товары[[#This Row],[РРЦ, евро]]/Товары[[#This Row],[IRP, Eur]],"-")</f>
        <v>-</v>
      </c>
      <c r="AX170" s="48">
        <f>ROUND(Товары[[#This Row],[РРЦ финальная, руб.]]*(1-Товары[[#This Row],[Скидка DIY]]),2)</f>
        <v>0</v>
      </c>
    </row>
    <row r="171" spans="1:50" x14ac:dyDescent="0.25">
      <c r="A171" s="36">
        <v>169</v>
      </c>
      <c r="C171" s="36" t="s">
        <v>3</v>
      </c>
      <c r="D1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1" s="36" t="s">
        <v>227</v>
      </c>
      <c r="F1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1" s="38">
        <v>9014</v>
      </c>
      <c r="I171" s="37" t="s">
        <v>262</v>
      </c>
      <c r="J171" s="37">
        <v>18438</v>
      </c>
      <c r="K171" s="38">
        <v>967869601</v>
      </c>
      <c r="L171" s="37" t="s">
        <v>623</v>
      </c>
      <c r="M171" s="37" t="s">
        <v>1338</v>
      </c>
      <c r="O171" s="39" t="s">
        <v>1615</v>
      </c>
      <c r="AS171" s="48">
        <f>ROUND((Товары[[#This Row],[IRP, Eur]]*$AT$1),-2)*(1+Товары[[#This Row],[Процент повышения РРЦ]])</f>
        <v>0</v>
      </c>
      <c r="AT171" s="48"/>
      <c r="AU171" s="50">
        <f>ROUND(Товары[[#This Row],[РРЦ финальная, руб.]]/$AT$1,2)</f>
        <v>0</v>
      </c>
      <c r="AV171" s="49" t="str">
        <f>IFERROR(Товары[[#This Row],[РРЦ, евро]]/Товары[[#This Row],[IRP, Eur]],"-")</f>
        <v>-</v>
      </c>
      <c r="AX171" s="48">
        <f>ROUND(Товары[[#This Row],[РРЦ финальная, руб.]]*(1-Товары[[#This Row],[Скидка DIY]]),2)</f>
        <v>0</v>
      </c>
    </row>
    <row r="172" spans="1:50" x14ac:dyDescent="0.25">
      <c r="A172" s="36">
        <v>170</v>
      </c>
      <c r="C172" s="36" t="s">
        <v>3</v>
      </c>
      <c r="D1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2" s="36" t="s">
        <v>227</v>
      </c>
      <c r="F1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2" s="38">
        <v>9014</v>
      </c>
      <c r="I172" s="37" t="s">
        <v>262</v>
      </c>
      <c r="J172" s="37">
        <v>18123</v>
      </c>
      <c r="K172" s="38">
        <v>967298201</v>
      </c>
      <c r="L172" s="37" t="s">
        <v>624</v>
      </c>
      <c r="O172" s="39" t="s">
        <v>1616</v>
      </c>
      <c r="AS172" s="48">
        <f>ROUND((Товары[[#This Row],[IRP, Eur]]*$AT$1),-2)*(1+Товары[[#This Row],[Процент повышения РРЦ]])</f>
        <v>0</v>
      </c>
      <c r="AT172" s="48"/>
      <c r="AU172" s="50">
        <f>ROUND(Товары[[#This Row],[РРЦ финальная, руб.]]/$AT$1,2)</f>
        <v>0</v>
      </c>
      <c r="AV172" s="49" t="str">
        <f>IFERROR(Товары[[#This Row],[РРЦ, евро]]/Товары[[#This Row],[IRP, Eur]],"-")</f>
        <v>-</v>
      </c>
      <c r="AX172" s="48">
        <f>ROUND(Товары[[#This Row],[РРЦ финальная, руб.]]*(1-Товары[[#This Row],[Скидка DIY]]),2)</f>
        <v>0</v>
      </c>
    </row>
    <row r="173" spans="1:50" x14ac:dyDescent="0.25">
      <c r="A173" s="36">
        <v>171</v>
      </c>
      <c r="C173" s="36" t="s">
        <v>3</v>
      </c>
      <c r="D1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3" s="36" t="s">
        <v>227</v>
      </c>
      <c r="F1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3" s="38">
        <v>9014</v>
      </c>
      <c r="I173" s="37" t="s">
        <v>262</v>
      </c>
      <c r="J173" s="37">
        <v>18125</v>
      </c>
      <c r="K173" s="38">
        <v>967972501</v>
      </c>
      <c r="L173" s="37" t="s">
        <v>625</v>
      </c>
      <c r="M173" s="37" t="s">
        <v>1338</v>
      </c>
      <c r="O173" s="39" t="s">
        <v>1617</v>
      </c>
      <c r="AS173" s="48">
        <f>ROUND((Товары[[#This Row],[IRP, Eur]]*$AT$1),-2)*(1+Товары[[#This Row],[Процент повышения РРЦ]])</f>
        <v>0</v>
      </c>
      <c r="AT173" s="48"/>
      <c r="AU173" s="50">
        <f>ROUND(Товары[[#This Row],[РРЦ финальная, руб.]]/$AT$1,2)</f>
        <v>0</v>
      </c>
      <c r="AV173" s="49" t="str">
        <f>IFERROR(Товары[[#This Row],[РРЦ, евро]]/Товары[[#This Row],[IRP, Eur]],"-")</f>
        <v>-</v>
      </c>
      <c r="AX173" s="48">
        <f>ROUND(Товары[[#This Row],[РРЦ финальная, руб.]]*(1-Товары[[#This Row],[Скидка DIY]]),2)</f>
        <v>0</v>
      </c>
    </row>
    <row r="174" spans="1:50" x14ac:dyDescent="0.25">
      <c r="A174" s="36">
        <v>172</v>
      </c>
      <c r="C174" s="36" t="s">
        <v>3</v>
      </c>
      <c r="D1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4" s="36" t="s">
        <v>227</v>
      </c>
      <c r="F1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4" s="38">
        <v>9014</v>
      </c>
      <c r="I174" s="37" t="s">
        <v>262</v>
      </c>
      <c r="K174" s="38">
        <v>970461701</v>
      </c>
      <c r="L174" s="37" t="s">
        <v>626</v>
      </c>
      <c r="O174" s="39" t="s">
        <v>1618</v>
      </c>
      <c r="AS174" s="48">
        <f>ROUND((Товары[[#This Row],[IRP, Eur]]*$AT$1),-2)*(1+Товары[[#This Row],[Процент повышения РРЦ]])</f>
        <v>0</v>
      </c>
      <c r="AT174" s="48"/>
      <c r="AU174" s="50">
        <f>ROUND(Товары[[#This Row],[РРЦ финальная, руб.]]/$AT$1,2)</f>
        <v>0</v>
      </c>
      <c r="AV174" s="49" t="str">
        <f>IFERROR(Товары[[#This Row],[РРЦ, евро]]/Товары[[#This Row],[IRP, Eur]],"-")</f>
        <v>-</v>
      </c>
      <c r="AX174" s="48">
        <f>ROUND(Товары[[#This Row],[РРЦ финальная, руб.]]*(1-Товары[[#This Row],[Скидка DIY]]),2)</f>
        <v>0</v>
      </c>
    </row>
    <row r="175" spans="1:50" x14ac:dyDescent="0.25">
      <c r="A175" s="36">
        <v>173</v>
      </c>
      <c r="C175" s="36" t="s">
        <v>3</v>
      </c>
      <c r="D1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5" s="36" t="s">
        <v>227</v>
      </c>
      <c r="F1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5" s="38">
        <v>9014</v>
      </c>
      <c r="I175" s="37" t="s">
        <v>262</v>
      </c>
      <c r="J175" s="37">
        <v>18143</v>
      </c>
      <c r="K175" s="38">
        <v>967298401</v>
      </c>
      <c r="L175" s="37" t="s">
        <v>627</v>
      </c>
      <c r="O175" s="39" t="s">
        <v>1619</v>
      </c>
      <c r="AS175" s="48">
        <f>ROUND((Товары[[#This Row],[IRP, Eur]]*$AT$1),-2)*(1+Товары[[#This Row],[Процент повышения РРЦ]])</f>
        <v>0</v>
      </c>
      <c r="AT175" s="48"/>
      <c r="AU175" s="50">
        <f>ROUND(Товары[[#This Row],[РРЦ финальная, руб.]]/$AT$1,2)</f>
        <v>0</v>
      </c>
      <c r="AV175" s="49" t="str">
        <f>IFERROR(Товары[[#This Row],[РРЦ, евро]]/Товары[[#This Row],[IRP, Eur]],"-")</f>
        <v>-</v>
      </c>
      <c r="AX175" s="48">
        <f>ROUND(Товары[[#This Row],[РРЦ финальная, руб.]]*(1-Товары[[#This Row],[Скидка DIY]]),2)</f>
        <v>0</v>
      </c>
    </row>
    <row r="176" spans="1:50" x14ac:dyDescent="0.25">
      <c r="A176" s="36">
        <v>174</v>
      </c>
      <c r="C176" s="36" t="s">
        <v>3</v>
      </c>
      <c r="D1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6" s="36" t="s">
        <v>227</v>
      </c>
      <c r="F1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6" s="38">
        <v>9014</v>
      </c>
      <c r="I176" s="37" t="s">
        <v>262</v>
      </c>
      <c r="K176" s="38">
        <v>970458201</v>
      </c>
      <c r="L176" s="37" t="s">
        <v>628</v>
      </c>
      <c r="O176" s="39" t="s">
        <v>1620</v>
      </c>
      <c r="AS176" s="48">
        <f>ROUND((Товары[[#This Row],[IRP, Eur]]*$AT$1),-2)*(1+Товары[[#This Row],[Процент повышения РРЦ]])</f>
        <v>0</v>
      </c>
      <c r="AT176" s="48"/>
      <c r="AU176" s="50">
        <f>ROUND(Товары[[#This Row],[РРЦ финальная, руб.]]/$AT$1,2)</f>
        <v>0</v>
      </c>
      <c r="AV176" s="49" t="str">
        <f>IFERROR(Товары[[#This Row],[РРЦ, евро]]/Товары[[#This Row],[IRP, Eur]],"-")</f>
        <v>-</v>
      </c>
      <c r="AX176" s="48">
        <f>ROUND(Товары[[#This Row],[РРЦ финальная, руб.]]*(1-Товары[[#This Row],[Скидка DIY]]),2)</f>
        <v>0</v>
      </c>
    </row>
    <row r="177" spans="1:50" x14ac:dyDescent="0.25">
      <c r="A177" s="36">
        <v>175</v>
      </c>
      <c r="C177" s="36" t="s">
        <v>3</v>
      </c>
      <c r="D1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7" s="36" t="s">
        <v>227</v>
      </c>
      <c r="F1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7" s="38">
        <v>9014</v>
      </c>
      <c r="I177" s="37" t="s">
        <v>262</v>
      </c>
      <c r="K177" s="38">
        <v>967246801</v>
      </c>
      <c r="L177" s="37" t="s">
        <v>629</v>
      </c>
      <c r="O177" s="39" t="s">
        <v>1621</v>
      </c>
      <c r="AS177" s="48">
        <f>ROUND((Товары[[#This Row],[IRP, Eur]]*$AT$1),-2)*(1+Товары[[#This Row],[Процент повышения РРЦ]])</f>
        <v>0</v>
      </c>
      <c r="AT177" s="48"/>
      <c r="AU177" s="50">
        <f>ROUND(Товары[[#This Row],[РРЦ финальная, руб.]]/$AT$1,2)</f>
        <v>0</v>
      </c>
      <c r="AV177" s="49" t="str">
        <f>IFERROR(Товары[[#This Row],[РРЦ, евро]]/Товары[[#This Row],[IRP, Eur]],"-")</f>
        <v>-</v>
      </c>
      <c r="AX177" s="48">
        <f>ROUND(Товары[[#This Row],[РРЦ финальная, руб.]]*(1-Товары[[#This Row],[Скидка DIY]]),2)</f>
        <v>0</v>
      </c>
    </row>
    <row r="178" spans="1:50" x14ac:dyDescent="0.25">
      <c r="A178" s="36">
        <v>176</v>
      </c>
      <c r="C178" s="36" t="s">
        <v>3</v>
      </c>
      <c r="D1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8" s="36" t="s">
        <v>227</v>
      </c>
      <c r="F1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8" s="38">
        <v>9014</v>
      </c>
      <c r="I178" s="37" t="s">
        <v>262</v>
      </c>
      <c r="K178" s="38">
        <v>970458101</v>
      </c>
      <c r="L178" s="37" t="s">
        <v>630</v>
      </c>
      <c r="O178" s="39" t="s">
        <v>1622</v>
      </c>
      <c r="AS178" s="48">
        <f>ROUND((Товары[[#This Row],[IRP, Eur]]*$AT$1),-2)*(1+Товары[[#This Row],[Процент повышения РРЦ]])</f>
        <v>0</v>
      </c>
      <c r="AT178" s="48"/>
      <c r="AU178" s="50">
        <f>ROUND(Товары[[#This Row],[РРЦ финальная, руб.]]/$AT$1,2)</f>
        <v>0</v>
      </c>
      <c r="AV178" s="49" t="str">
        <f>IFERROR(Товары[[#This Row],[РРЦ, евро]]/Товары[[#This Row],[IRP, Eur]],"-")</f>
        <v>-</v>
      </c>
      <c r="AX178" s="48">
        <f>ROUND(Товары[[#This Row],[РРЦ финальная, руб.]]*(1-Товары[[#This Row],[Скидка DIY]]),2)</f>
        <v>0</v>
      </c>
    </row>
    <row r="179" spans="1:50" x14ac:dyDescent="0.25">
      <c r="A179" s="36">
        <v>177</v>
      </c>
      <c r="C179" s="36" t="s">
        <v>3</v>
      </c>
      <c r="D1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9" s="36" t="s">
        <v>227</v>
      </c>
      <c r="F1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9" s="38">
        <v>9014</v>
      </c>
      <c r="I179" s="37" t="s">
        <v>262</v>
      </c>
      <c r="J179" s="37">
        <v>18001</v>
      </c>
      <c r="K179" s="38">
        <v>967246401</v>
      </c>
      <c r="L179" s="37" t="s">
        <v>631</v>
      </c>
      <c r="O179" s="39" t="s">
        <v>1623</v>
      </c>
      <c r="AS179" s="48">
        <f>ROUND((Товары[[#This Row],[IRP, Eur]]*$AT$1),-2)*(1+Товары[[#This Row],[Процент повышения РРЦ]])</f>
        <v>0</v>
      </c>
      <c r="AT179" s="48"/>
      <c r="AU179" s="50">
        <f>ROUND(Товары[[#This Row],[РРЦ финальная, руб.]]/$AT$1,2)</f>
        <v>0</v>
      </c>
      <c r="AV179" s="49" t="str">
        <f>IFERROR(Товары[[#This Row],[РРЦ, евро]]/Товары[[#This Row],[IRP, Eur]],"-")</f>
        <v>-</v>
      </c>
      <c r="AX179" s="48">
        <f>ROUND(Товары[[#This Row],[РРЦ финальная, руб.]]*(1-Товары[[#This Row],[Скидка DIY]]),2)</f>
        <v>0</v>
      </c>
    </row>
    <row r="180" spans="1:50" x14ac:dyDescent="0.25">
      <c r="A180" s="36">
        <v>178</v>
      </c>
      <c r="C180" s="36" t="s">
        <v>3</v>
      </c>
      <c r="D1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0" s="36" t="s">
        <v>227</v>
      </c>
      <c r="F1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0" s="38">
        <v>9014</v>
      </c>
      <c r="I180" s="37" t="s">
        <v>262</v>
      </c>
      <c r="J180" s="37">
        <v>18004</v>
      </c>
      <c r="K180" s="38">
        <v>967251401</v>
      </c>
      <c r="L180" s="37" t="s">
        <v>632</v>
      </c>
      <c r="O180" s="39" t="s">
        <v>1624</v>
      </c>
      <c r="AS180" s="48">
        <f>ROUND((Товары[[#This Row],[IRP, Eur]]*$AT$1),-2)*(1+Товары[[#This Row],[Процент повышения РРЦ]])</f>
        <v>0</v>
      </c>
      <c r="AT180" s="48"/>
      <c r="AU180" s="50">
        <f>ROUND(Товары[[#This Row],[РРЦ финальная, руб.]]/$AT$1,2)</f>
        <v>0</v>
      </c>
      <c r="AV180" s="49" t="str">
        <f>IFERROR(Товары[[#This Row],[РРЦ, евро]]/Товары[[#This Row],[IRP, Eur]],"-")</f>
        <v>-</v>
      </c>
      <c r="AX180" s="48">
        <f>ROUND(Товары[[#This Row],[РРЦ финальная, руб.]]*(1-Товары[[#This Row],[Скидка DIY]]),2)</f>
        <v>0</v>
      </c>
    </row>
    <row r="181" spans="1:50" x14ac:dyDescent="0.25">
      <c r="A181" s="36">
        <v>179</v>
      </c>
      <c r="C181" s="36" t="s">
        <v>3</v>
      </c>
      <c r="D1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1" s="36" t="s">
        <v>227</v>
      </c>
      <c r="F1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1" s="38">
        <v>9014</v>
      </c>
      <c r="I181" s="37" t="s">
        <v>262</v>
      </c>
      <c r="J181" s="37">
        <v>18010</v>
      </c>
      <c r="K181" s="38">
        <v>967247201</v>
      </c>
      <c r="L181" s="37" t="s">
        <v>633</v>
      </c>
      <c r="O181" s="39" t="s">
        <v>1625</v>
      </c>
      <c r="AS181" s="48">
        <f>ROUND((Товары[[#This Row],[IRP, Eur]]*$AT$1),-2)*(1+Товары[[#This Row],[Процент повышения РРЦ]])</f>
        <v>0</v>
      </c>
      <c r="AT181" s="48"/>
      <c r="AU181" s="50">
        <f>ROUND(Товары[[#This Row],[РРЦ финальная, руб.]]/$AT$1,2)</f>
        <v>0</v>
      </c>
      <c r="AV181" s="49" t="str">
        <f>IFERROR(Товары[[#This Row],[РРЦ, евро]]/Товары[[#This Row],[IRP, Eur]],"-")</f>
        <v>-</v>
      </c>
      <c r="AX181" s="48">
        <f>ROUND(Товары[[#This Row],[РРЦ финальная, руб.]]*(1-Товары[[#This Row],[Скидка DIY]]),2)</f>
        <v>0</v>
      </c>
    </row>
    <row r="182" spans="1:50" x14ac:dyDescent="0.25">
      <c r="A182" s="36">
        <v>180</v>
      </c>
      <c r="C182" s="36" t="s">
        <v>3</v>
      </c>
      <c r="D1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2" s="36" t="s">
        <v>227</v>
      </c>
      <c r="F1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2" s="38">
        <v>9014</v>
      </c>
      <c r="I182" s="37" t="s">
        <v>262</v>
      </c>
      <c r="J182" s="37">
        <v>18022</v>
      </c>
      <c r="K182" s="38">
        <v>967247501</v>
      </c>
      <c r="L182" s="37" t="s">
        <v>634</v>
      </c>
      <c r="O182" s="39" t="s">
        <v>1626</v>
      </c>
      <c r="AS182" s="48">
        <f>ROUND((Товары[[#This Row],[IRP, Eur]]*$AT$1),-2)*(1+Товары[[#This Row],[Процент повышения РРЦ]])</f>
        <v>0</v>
      </c>
      <c r="AT182" s="48"/>
      <c r="AU182" s="50">
        <f>ROUND(Товары[[#This Row],[РРЦ финальная, руб.]]/$AT$1,2)</f>
        <v>0</v>
      </c>
      <c r="AV182" s="49" t="str">
        <f>IFERROR(Товары[[#This Row],[РРЦ, евро]]/Товары[[#This Row],[IRP, Eur]],"-")</f>
        <v>-</v>
      </c>
      <c r="AX182" s="48">
        <f>ROUND(Товары[[#This Row],[РРЦ финальная, руб.]]*(1-Товары[[#This Row],[Скидка DIY]]),2)</f>
        <v>0</v>
      </c>
    </row>
    <row r="183" spans="1:50" x14ac:dyDescent="0.25">
      <c r="A183" s="36">
        <v>181</v>
      </c>
      <c r="C183" s="36" t="s">
        <v>3</v>
      </c>
      <c r="D1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3" s="36" t="s">
        <v>227</v>
      </c>
      <c r="F1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3" s="38">
        <v>9014</v>
      </c>
      <c r="I183" s="37" t="s">
        <v>262</v>
      </c>
      <c r="J183" s="37">
        <v>18025</v>
      </c>
      <c r="K183" s="38">
        <v>967247601</v>
      </c>
      <c r="L183" s="37" t="s">
        <v>635</v>
      </c>
      <c r="O183" s="39" t="s">
        <v>1627</v>
      </c>
      <c r="AS183" s="48">
        <f>ROUND((Товары[[#This Row],[IRP, Eur]]*$AT$1),-2)*(1+Товары[[#This Row],[Процент повышения РРЦ]])</f>
        <v>0</v>
      </c>
      <c r="AT183" s="48"/>
      <c r="AU183" s="50">
        <f>ROUND(Товары[[#This Row],[РРЦ финальная, руб.]]/$AT$1,2)</f>
        <v>0</v>
      </c>
      <c r="AV183" s="49" t="str">
        <f>IFERROR(Товары[[#This Row],[РРЦ, евро]]/Товары[[#This Row],[IRP, Eur]],"-")</f>
        <v>-</v>
      </c>
      <c r="AX183" s="48">
        <f>ROUND(Товары[[#This Row],[РРЦ финальная, руб.]]*(1-Товары[[#This Row],[Скидка DIY]]),2)</f>
        <v>0</v>
      </c>
    </row>
    <row r="184" spans="1:50" x14ac:dyDescent="0.25">
      <c r="A184" s="36">
        <v>182</v>
      </c>
      <c r="C184" s="36" t="s">
        <v>3</v>
      </c>
      <c r="D1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4" s="36" t="s">
        <v>227</v>
      </c>
      <c r="F1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4" s="38">
        <v>9014</v>
      </c>
      <c r="I184" s="37" t="s">
        <v>262</v>
      </c>
      <c r="J184" s="37">
        <v>18057</v>
      </c>
      <c r="K184" s="38">
        <v>967247801</v>
      </c>
      <c r="L184" s="37" t="s">
        <v>636</v>
      </c>
      <c r="O184" s="39" t="s">
        <v>1628</v>
      </c>
      <c r="AS184" s="48">
        <f>ROUND((Товары[[#This Row],[IRP, Eur]]*$AT$1),-2)*(1+Товары[[#This Row],[Процент повышения РРЦ]])</f>
        <v>0</v>
      </c>
      <c r="AT184" s="48"/>
      <c r="AU184" s="50">
        <f>ROUND(Товары[[#This Row],[РРЦ финальная, руб.]]/$AT$1,2)</f>
        <v>0</v>
      </c>
      <c r="AV184" s="49" t="str">
        <f>IFERROR(Товары[[#This Row],[РРЦ, евро]]/Товары[[#This Row],[IRP, Eur]],"-")</f>
        <v>-</v>
      </c>
      <c r="AX184" s="48">
        <f>ROUND(Товары[[#This Row],[РРЦ финальная, руб.]]*(1-Товары[[#This Row],[Скидка DIY]]),2)</f>
        <v>0</v>
      </c>
    </row>
    <row r="185" spans="1:50" x14ac:dyDescent="0.25">
      <c r="A185" s="36">
        <v>183</v>
      </c>
      <c r="C185" s="36" t="s">
        <v>3</v>
      </c>
      <c r="D1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5" s="36" t="s">
        <v>227</v>
      </c>
      <c r="F1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5" s="38">
        <v>9014</v>
      </c>
      <c r="I185" s="37" t="s">
        <v>262</v>
      </c>
      <c r="J185" s="37">
        <v>18039</v>
      </c>
      <c r="K185" s="38">
        <v>967244501</v>
      </c>
      <c r="L185" s="37" t="s">
        <v>637</v>
      </c>
      <c r="O185" s="39" t="s">
        <v>1629</v>
      </c>
      <c r="AS185" s="48">
        <f>ROUND((Товары[[#This Row],[IRP, Eur]]*$AT$1),-2)*(1+Товары[[#This Row],[Процент повышения РРЦ]])</f>
        <v>0</v>
      </c>
      <c r="AT185" s="48"/>
      <c r="AU185" s="50">
        <f>ROUND(Товары[[#This Row],[РРЦ финальная, руб.]]/$AT$1,2)</f>
        <v>0</v>
      </c>
      <c r="AV185" s="49" t="str">
        <f>IFERROR(Товары[[#This Row],[РРЦ, евро]]/Товары[[#This Row],[IRP, Eur]],"-")</f>
        <v>-</v>
      </c>
      <c r="AX185" s="48">
        <f>ROUND(Товары[[#This Row],[РРЦ финальная, руб.]]*(1-Товары[[#This Row],[Скидка DIY]]),2)</f>
        <v>0</v>
      </c>
    </row>
    <row r="186" spans="1:50" x14ac:dyDescent="0.25">
      <c r="A186" s="36">
        <v>184</v>
      </c>
      <c r="C186" s="36" t="s">
        <v>3</v>
      </c>
      <c r="D1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6" s="36" t="s">
        <v>227</v>
      </c>
      <c r="F1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6" s="38">
        <v>9014</v>
      </c>
      <c r="I186" s="37" t="s">
        <v>262</v>
      </c>
      <c r="J186" s="37">
        <v>18033</v>
      </c>
      <c r="K186" s="38">
        <v>967243801</v>
      </c>
      <c r="L186" s="37" t="s">
        <v>638</v>
      </c>
      <c r="O186" s="39" t="s">
        <v>1630</v>
      </c>
      <c r="AS186" s="48">
        <f>ROUND((Товары[[#This Row],[IRP, Eur]]*$AT$1),-2)*(1+Товары[[#This Row],[Процент повышения РРЦ]])</f>
        <v>0</v>
      </c>
      <c r="AT186" s="48"/>
      <c r="AU186" s="50">
        <f>ROUND(Товары[[#This Row],[РРЦ финальная, руб.]]/$AT$1,2)</f>
        <v>0</v>
      </c>
      <c r="AV186" s="49" t="str">
        <f>IFERROR(Товары[[#This Row],[РРЦ, евро]]/Товары[[#This Row],[IRP, Eur]],"-")</f>
        <v>-</v>
      </c>
      <c r="AX186" s="48">
        <f>ROUND(Товары[[#This Row],[РРЦ финальная, руб.]]*(1-Товары[[#This Row],[Скидка DIY]]),2)</f>
        <v>0</v>
      </c>
    </row>
    <row r="187" spans="1:50" x14ac:dyDescent="0.25">
      <c r="A187" s="36">
        <v>185</v>
      </c>
      <c r="C187" s="36" t="s">
        <v>3</v>
      </c>
      <c r="D1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7" s="36" t="s">
        <v>227</v>
      </c>
      <c r="F1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7" s="38">
        <v>9014</v>
      </c>
      <c r="I187" s="37" t="s">
        <v>262</v>
      </c>
      <c r="J187" s="37">
        <v>18034</v>
      </c>
      <c r="K187" s="38">
        <v>967243901</v>
      </c>
      <c r="L187" s="37" t="s">
        <v>639</v>
      </c>
      <c r="O187" s="39" t="s">
        <v>1631</v>
      </c>
      <c r="AS187" s="48">
        <f>ROUND((Товары[[#This Row],[IRP, Eur]]*$AT$1),-2)*(1+Товары[[#This Row],[Процент повышения РРЦ]])</f>
        <v>0</v>
      </c>
      <c r="AT187" s="48"/>
      <c r="AU187" s="50">
        <f>ROUND(Товары[[#This Row],[РРЦ финальная, руб.]]/$AT$1,2)</f>
        <v>0</v>
      </c>
      <c r="AV187" s="49" t="str">
        <f>IFERROR(Товары[[#This Row],[РРЦ, евро]]/Товары[[#This Row],[IRP, Eur]],"-")</f>
        <v>-</v>
      </c>
      <c r="AX187" s="48">
        <f>ROUND(Товары[[#This Row],[РРЦ финальная, руб.]]*(1-Товары[[#This Row],[Скидка DIY]]),2)</f>
        <v>0</v>
      </c>
    </row>
    <row r="188" spans="1:50" x14ac:dyDescent="0.25">
      <c r="A188" s="36">
        <v>186</v>
      </c>
      <c r="C188" s="36" t="s">
        <v>3</v>
      </c>
      <c r="D1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8" s="36" t="s">
        <v>227</v>
      </c>
      <c r="F1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8" s="38">
        <v>9014</v>
      </c>
      <c r="I188" s="37" t="s">
        <v>262</v>
      </c>
      <c r="J188" s="37">
        <v>18039</v>
      </c>
      <c r="K188" s="38">
        <v>967244401</v>
      </c>
      <c r="L188" s="37" t="s">
        <v>640</v>
      </c>
      <c r="O188" s="39" t="s">
        <v>1632</v>
      </c>
      <c r="AS188" s="48">
        <f>ROUND((Товары[[#This Row],[IRP, Eur]]*$AT$1),-2)*(1+Товары[[#This Row],[Процент повышения РРЦ]])</f>
        <v>0</v>
      </c>
      <c r="AT188" s="48"/>
      <c r="AU188" s="50">
        <f>ROUND(Товары[[#This Row],[РРЦ финальная, руб.]]/$AT$1,2)</f>
        <v>0</v>
      </c>
      <c r="AV188" s="49" t="str">
        <f>IFERROR(Товары[[#This Row],[РРЦ, евро]]/Товары[[#This Row],[IRP, Eur]],"-")</f>
        <v>-</v>
      </c>
      <c r="AX188" s="48">
        <f>ROUND(Товары[[#This Row],[РРЦ финальная, руб.]]*(1-Товары[[#This Row],[Скидка DIY]]),2)</f>
        <v>0</v>
      </c>
    </row>
    <row r="189" spans="1:50" x14ac:dyDescent="0.25">
      <c r="A189" s="36">
        <v>187</v>
      </c>
      <c r="C189" s="36" t="s">
        <v>3</v>
      </c>
      <c r="D1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9" s="36" t="s">
        <v>227</v>
      </c>
      <c r="F1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9" s="38">
        <v>9014</v>
      </c>
      <c r="I189" s="37" t="s">
        <v>262</v>
      </c>
      <c r="J189" s="37">
        <v>18055</v>
      </c>
      <c r="K189" s="38">
        <v>967247701</v>
      </c>
      <c r="L189" s="37" t="s">
        <v>641</v>
      </c>
      <c r="O189" s="39" t="s">
        <v>1633</v>
      </c>
      <c r="AS189" s="48">
        <f>ROUND((Товары[[#This Row],[IRP, Eur]]*$AT$1),-2)*(1+Товары[[#This Row],[Процент повышения РРЦ]])</f>
        <v>0</v>
      </c>
      <c r="AT189" s="48"/>
      <c r="AU189" s="50">
        <f>ROUND(Товары[[#This Row],[РРЦ финальная, руб.]]/$AT$1,2)</f>
        <v>0</v>
      </c>
      <c r="AV189" s="49" t="str">
        <f>IFERROR(Товары[[#This Row],[РРЦ, евро]]/Товары[[#This Row],[IRP, Eur]],"-")</f>
        <v>-</v>
      </c>
      <c r="AX189" s="48">
        <f>ROUND(Товары[[#This Row],[РРЦ финальная, руб.]]*(1-Товары[[#This Row],[Скидка DIY]]),2)</f>
        <v>0</v>
      </c>
    </row>
    <row r="190" spans="1:50" x14ac:dyDescent="0.25">
      <c r="A190" s="36">
        <v>188</v>
      </c>
      <c r="C190" s="36" t="s">
        <v>3</v>
      </c>
      <c r="D1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0" s="36" t="s">
        <v>227</v>
      </c>
      <c r="F1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0" s="38">
        <v>9014</v>
      </c>
      <c r="I190" s="37" t="s">
        <v>262</v>
      </c>
      <c r="J190" s="37">
        <v>18053</v>
      </c>
      <c r="K190" s="38">
        <v>967245301</v>
      </c>
      <c r="L190" s="37" t="s">
        <v>642</v>
      </c>
      <c r="O190" s="39" t="s">
        <v>1634</v>
      </c>
      <c r="AS190" s="48">
        <f>ROUND((Товары[[#This Row],[IRP, Eur]]*$AT$1),-2)*(1+Товары[[#This Row],[Процент повышения РРЦ]])</f>
        <v>0</v>
      </c>
      <c r="AT190" s="48"/>
      <c r="AU190" s="50">
        <f>ROUND(Товары[[#This Row],[РРЦ финальная, руб.]]/$AT$1,2)</f>
        <v>0</v>
      </c>
      <c r="AV190" s="49" t="str">
        <f>IFERROR(Товары[[#This Row],[РРЦ, евро]]/Товары[[#This Row],[IRP, Eur]],"-")</f>
        <v>-</v>
      </c>
      <c r="AX190" s="48">
        <f>ROUND(Товары[[#This Row],[РРЦ финальная, руб.]]*(1-Товары[[#This Row],[Скидка DIY]]),2)</f>
        <v>0</v>
      </c>
    </row>
    <row r="191" spans="1:50" x14ac:dyDescent="0.25">
      <c r="A191" s="36">
        <v>189</v>
      </c>
      <c r="C191" s="36" t="s">
        <v>3</v>
      </c>
      <c r="D1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1" s="36" t="s">
        <v>227</v>
      </c>
      <c r="F1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1" s="38">
        <v>9014</v>
      </c>
      <c r="I191" s="37" t="s">
        <v>262</v>
      </c>
      <c r="J191" s="37">
        <v>18055</v>
      </c>
      <c r="K191" s="38">
        <v>967245401</v>
      </c>
      <c r="L191" s="37" t="s">
        <v>643</v>
      </c>
      <c r="O191" s="39" t="s">
        <v>1635</v>
      </c>
      <c r="AS191" s="48">
        <f>ROUND((Товары[[#This Row],[IRP, Eur]]*$AT$1),-2)*(1+Товары[[#This Row],[Процент повышения РРЦ]])</f>
        <v>0</v>
      </c>
      <c r="AT191" s="48"/>
      <c r="AU191" s="50">
        <f>ROUND(Товары[[#This Row],[РРЦ финальная, руб.]]/$AT$1,2)</f>
        <v>0</v>
      </c>
      <c r="AV191" s="49" t="str">
        <f>IFERROR(Товары[[#This Row],[РРЦ, евро]]/Товары[[#This Row],[IRP, Eur]],"-")</f>
        <v>-</v>
      </c>
      <c r="AX191" s="48">
        <f>ROUND(Товары[[#This Row],[РРЦ финальная, руб.]]*(1-Товары[[#This Row],[Скидка DIY]]),2)</f>
        <v>0</v>
      </c>
    </row>
    <row r="192" spans="1:50" x14ac:dyDescent="0.25">
      <c r="A192" s="36">
        <v>190</v>
      </c>
      <c r="C192" s="36" t="s">
        <v>3</v>
      </c>
      <c r="D1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2" s="36" t="s">
        <v>227</v>
      </c>
      <c r="F1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2" s="38">
        <v>9014</v>
      </c>
      <c r="I192" s="37" t="s">
        <v>262</v>
      </c>
      <c r="J192" s="37">
        <v>18069</v>
      </c>
      <c r="K192" s="38">
        <v>967248601</v>
      </c>
      <c r="L192" s="37" t="s">
        <v>644</v>
      </c>
      <c r="O192" s="39" t="s">
        <v>1636</v>
      </c>
      <c r="AS192" s="48">
        <f>ROUND((Товары[[#This Row],[IRP, Eur]]*$AT$1),-2)*(1+Товары[[#This Row],[Процент повышения РРЦ]])</f>
        <v>0</v>
      </c>
      <c r="AT192" s="48"/>
      <c r="AU192" s="50">
        <f>ROUND(Товары[[#This Row],[РРЦ финальная, руб.]]/$AT$1,2)</f>
        <v>0</v>
      </c>
      <c r="AV192" s="49" t="str">
        <f>IFERROR(Товары[[#This Row],[РРЦ, евро]]/Товары[[#This Row],[IRP, Eur]],"-")</f>
        <v>-</v>
      </c>
      <c r="AX192" s="48">
        <f>ROUND(Товары[[#This Row],[РРЦ финальная, руб.]]*(1-Товары[[#This Row],[Скидка DIY]]),2)</f>
        <v>0</v>
      </c>
    </row>
    <row r="193" spans="1:50" x14ac:dyDescent="0.25">
      <c r="A193" s="36">
        <v>191</v>
      </c>
      <c r="C193" s="36" t="s">
        <v>3</v>
      </c>
      <c r="D1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3" s="36" t="s">
        <v>227</v>
      </c>
      <c r="F1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3" s="38">
        <v>9014</v>
      </c>
      <c r="I193" s="37" t="s">
        <v>262</v>
      </c>
      <c r="J193" s="37">
        <v>18063</v>
      </c>
      <c r="K193" s="38">
        <v>967248101</v>
      </c>
      <c r="L193" s="37" t="s">
        <v>645</v>
      </c>
      <c r="O193" s="39" t="s">
        <v>1637</v>
      </c>
      <c r="AS193" s="48">
        <f>ROUND((Товары[[#This Row],[IRP, Eur]]*$AT$1),-2)*(1+Товары[[#This Row],[Процент повышения РРЦ]])</f>
        <v>0</v>
      </c>
      <c r="AT193" s="48"/>
      <c r="AU193" s="50">
        <f>ROUND(Товары[[#This Row],[РРЦ финальная, руб.]]/$AT$1,2)</f>
        <v>0</v>
      </c>
      <c r="AV193" s="49" t="str">
        <f>IFERROR(Товары[[#This Row],[РРЦ, евро]]/Товары[[#This Row],[IRP, Eur]],"-")</f>
        <v>-</v>
      </c>
      <c r="AX193" s="48">
        <f>ROUND(Товары[[#This Row],[РРЦ финальная, руб.]]*(1-Товары[[#This Row],[Скидка DIY]]),2)</f>
        <v>0</v>
      </c>
    </row>
    <row r="194" spans="1:50" x14ac:dyDescent="0.25">
      <c r="A194" s="36">
        <v>192</v>
      </c>
      <c r="C194" s="36" t="s">
        <v>3</v>
      </c>
      <c r="D1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4" s="36" t="s">
        <v>227</v>
      </c>
      <c r="F1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4" s="38">
        <v>9014</v>
      </c>
      <c r="I194" s="37" t="s">
        <v>262</v>
      </c>
      <c r="J194" s="37">
        <v>18069</v>
      </c>
      <c r="K194" s="38">
        <v>967248501</v>
      </c>
      <c r="L194" s="37" t="s">
        <v>646</v>
      </c>
      <c r="O194" s="39" t="s">
        <v>1638</v>
      </c>
      <c r="AS194" s="48">
        <f>ROUND((Товары[[#This Row],[IRP, Eur]]*$AT$1),-2)*(1+Товары[[#This Row],[Процент повышения РРЦ]])</f>
        <v>0</v>
      </c>
      <c r="AT194" s="48"/>
      <c r="AU194" s="50">
        <f>ROUND(Товары[[#This Row],[РРЦ финальная, руб.]]/$AT$1,2)</f>
        <v>0</v>
      </c>
      <c r="AV194" s="49" t="str">
        <f>IFERROR(Товары[[#This Row],[РРЦ, евро]]/Товары[[#This Row],[IRP, Eur]],"-")</f>
        <v>-</v>
      </c>
      <c r="AX194" s="48">
        <f>ROUND(Товары[[#This Row],[РРЦ финальная, руб.]]*(1-Товары[[#This Row],[Скидка DIY]]),2)</f>
        <v>0</v>
      </c>
    </row>
    <row r="195" spans="1:50" x14ac:dyDescent="0.25">
      <c r="A195" s="36">
        <v>193</v>
      </c>
      <c r="C195" s="36" t="s">
        <v>3</v>
      </c>
      <c r="D1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5" s="36" t="s">
        <v>227</v>
      </c>
      <c r="F1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5" s="38">
        <v>9014</v>
      </c>
      <c r="I195" s="37" t="s">
        <v>262</v>
      </c>
      <c r="J195" s="37">
        <v>18093</v>
      </c>
      <c r="K195" s="38">
        <v>967250301</v>
      </c>
      <c r="L195" s="37" t="s">
        <v>647</v>
      </c>
      <c r="O195" s="39" t="s">
        <v>1639</v>
      </c>
      <c r="AS195" s="48">
        <f>ROUND((Товары[[#This Row],[IRP, Eur]]*$AT$1),-2)*(1+Товары[[#This Row],[Процент повышения РРЦ]])</f>
        <v>0</v>
      </c>
      <c r="AT195" s="48"/>
      <c r="AU195" s="50">
        <f>ROUND(Товары[[#This Row],[РРЦ финальная, руб.]]/$AT$1,2)</f>
        <v>0</v>
      </c>
      <c r="AV195" s="49" t="str">
        <f>IFERROR(Товары[[#This Row],[РРЦ, евро]]/Товары[[#This Row],[IRP, Eur]],"-")</f>
        <v>-</v>
      </c>
      <c r="AX195" s="48">
        <f>ROUND(Товары[[#This Row],[РРЦ финальная, руб.]]*(1-Товары[[#This Row],[Скидка DIY]]),2)</f>
        <v>0</v>
      </c>
    </row>
    <row r="196" spans="1:50" x14ac:dyDescent="0.25">
      <c r="A196" s="36">
        <v>194</v>
      </c>
      <c r="C196" s="36" t="s">
        <v>3</v>
      </c>
      <c r="D1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6" s="36" t="s">
        <v>227</v>
      </c>
      <c r="F1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6" s="38">
        <v>9014</v>
      </c>
      <c r="I196" s="37" t="s">
        <v>262</v>
      </c>
      <c r="J196" s="37">
        <v>18099</v>
      </c>
      <c r="K196" s="38">
        <v>967250901</v>
      </c>
      <c r="L196" s="37" t="s">
        <v>648</v>
      </c>
      <c r="O196" s="39" t="s">
        <v>1640</v>
      </c>
      <c r="AS196" s="48">
        <f>ROUND((Товары[[#This Row],[IRP, Eur]]*$AT$1),-2)*(1+Товары[[#This Row],[Процент повышения РРЦ]])</f>
        <v>0</v>
      </c>
      <c r="AT196" s="48"/>
      <c r="AU196" s="50">
        <f>ROUND(Товары[[#This Row],[РРЦ финальная, руб.]]/$AT$1,2)</f>
        <v>0</v>
      </c>
      <c r="AV196" s="49" t="str">
        <f>IFERROR(Товары[[#This Row],[РРЦ, евро]]/Товары[[#This Row],[IRP, Eur]],"-")</f>
        <v>-</v>
      </c>
      <c r="AX196" s="48">
        <f>ROUND(Товары[[#This Row],[РРЦ финальная, руб.]]*(1-Товары[[#This Row],[Скидка DIY]]),2)</f>
        <v>0</v>
      </c>
    </row>
    <row r="197" spans="1:50" x14ac:dyDescent="0.25">
      <c r="A197" s="36">
        <v>195</v>
      </c>
      <c r="C197" s="36" t="s">
        <v>3</v>
      </c>
      <c r="D1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7" s="36" t="s">
        <v>227</v>
      </c>
      <c r="F1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7" s="38">
        <v>9014</v>
      </c>
      <c r="I197" s="37" t="s">
        <v>262</v>
      </c>
      <c r="J197" s="37">
        <v>4424</v>
      </c>
      <c r="K197" s="38">
        <v>901066301</v>
      </c>
      <c r="L197" s="37" t="s">
        <v>649</v>
      </c>
      <c r="O197" s="39" t="s">
        <v>1641</v>
      </c>
      <c r="AS197" s="48">
        <f>ROUND((Товары[[#This Row],[IRP, Eur]]*$AT$1),-2)*(1+Товары[[#This Row],[Процент повышения РРЦ]])</f>
        <v>0</v>
      </c>
      <c r="AT197" s="48"/>
      <c r="AU197" s="50">
        <f>ROUND(Товары[[#This Row],[РРЦ финальная, руб.]]/$AT$1,2)</f>
        <v>0</v>
      </c>
      <c r="AV197" s="49" t="str">
        <f>IFERROR(Товары[[#This Row],[РРЦ, евро]]/Товары[[#This Row],[IRP, Eur]],"-")</f>
        <v>-</v>
      </c>
      <c r="AX197" s="48">
        <f>ROUND(Товары[[#This Row],[РРЦ финальная, руб.]]*(1-Товары[[#This Row],[Скидка DIY]]),2)</f>
        <v>0</v>
      </c>
    </row>
    <row r="198" spans="1:50" x14ac:dyDescent="0.25">
      <c r="A198" s="36">
        <v>196</v>
      </c>
      <c r="C198" s="36" t="s">
        <v>3</v>
      </c>
      <c r="D1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8" s="36" t="s">
        <v>227</v>
      </c>
      <c r="F1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8" s="38">
        <v>9014</v>
      </c>
      <c r="I198" s="37" t="s">
        <v>262</v>
      </c>
      <c r="J198" s="37">
        <v>18085</v>
      </c>
      <c r="K198" s="38">
        <v>967250101</v>
      </c>
      <c r="L198" s="37" t="s">
        <v>650</v>
      </c>
      <c r="O198" s="39" t="s">
        <v>1642</v>
      </c>
      <c r="AS198" s="48">
        <f>ROUND((Товары[[#This Row],[IRP, Eur]]*$AT$1),-2)*(1+Товары[[#This Row],[Процент повышения РРЦ]])</f>
        <v>0</v>
      </c>
      <c r="AT198" s="48"/>
      <c r="AU198" s="50">
        <f>ROUND(Товары[[#This Row],[РРЦ финальная, руб.]]/$AT$1,2)</f>
        <v>0</v>
      </c>
      <c r="AV198" s="49" t="str">
        <f>IFERROR(Товары[[#This Row],[РРЦ, евро]]/Товары[[#This Row],[IRP, Eur]],"-")</f>
        <v>-</v>
      </c>
      <c r="AX198" s="48">
        <f>ROUND(Товары[[#This Row],[РРЦ финальная, руб.]]*(1-Товары[[#This Row],[Скидка DIY]]),2)</f>
        <v>0</v>
      </c>
    </row>
    <row r="199" spans="1:50" x14ac:dyDescent="0.25">
      <c r="A199" s="36">
        <v>197</v>
      </c>
      <c r="C199" s="36" t="s">
        <v>3</v>
      </c>
      <c r="D1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9" s="36" t="s">
        <v>227</v>
      </c>
      <c r="F1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9" s="38">
        <v>9014</v>
      </c>
      <c r="I199" s="37" t="s">
        <v>262</v>
      </c>
      <c r="J199" s="37">
        <v>18083</v>
      </c>
      <c r="K199" s="38">
        <v>967249801</v>
      </c>
      <c r="L199" s="37" t="s">
        <v>651</v>
      </c>
      <c r="O199" s="39" t="s">
        <v>1643</v>
      </c>
      <c r="AS199" s="48">
        <f>ROUND((Товары[[#This Row],[IRP, Eur]]*$AT$1),-2)*(1+Товары[[#This Row],[Процент повышения РРЦ]])</f>
        <v>0</v>
      </c>
      <c r="AT199" s="48"/>
      <c r="AU199" s="50">
        <f>ROUND(Товары[[#This Row],[РРЦ финальная, руб.]]/$AT$1,2)</f>
        <v>0</v>
      </c>
      <c r="AV199" s="49" t="str">
        <f>IFERROR(Товары[[#This Row],[РРЦ, евро]]/Товары[[#This Row],[IRP, Eur]],"-")</f>
        <v>-</v>
      </c>
      <c r="AX199" s="48">
        <f>ROUND(Товары[[#This Row],[РРЦ финальная, руб.]]*(1-Товары[[#This Row],[Скидка DIY]]),2)</f>
        <v>0</v>
      </c>
    </row>
    <row r="200" spans="1:50" x14ac:dyDescent="0.25">
      <c r="A200" s="36">
        <v>198</v>
      </c>
      <c r="C200" s="36" t="s">
        <v>3</v>
      </c>
      <c r="D2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0" s="36" t="s">
        <v>227</v>
      </c>
      <c r="F2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0" s="38">
        <v>9014</v>
      </c>
      <c r="I200" s="37" t="s">
        <v>262</v>
      </c>
      <c r="J200" s="37">
        <v>18085</v>
      </c>
      <c r="K200" s="38">
        <v>967249901</v>
      </c>
      <c r="L200" s="37" t="s">
        <v>652</v>
      </c>
      <c r="O200" s="39" t="s">
        <v>1644</v>
      </c>
      <c r="AS200" s="48">
        <f>ROUND((Товары[[#This Row],[IRP, Eur]]*$AT$1),-2)*(1+Товары[[#This Row],[Процент повышения РРЦ]])</f>
        <v>0</v>
      </c>
      <c r="AT200" s="48"/>
      <c r="AU200" s="50">
        <f>ROUND(Товары[[#This Row],[РРЦ финальная, руб.]]/$AT$1,2)</f>
        <v>0</v>
      </c>
      <c r="AV200" s="49" t="str">
        <f>IFERROR(Товары[[#This Row],[РРЦ, евро]]/Товары[[#This Row],[IRP, Eur]],"-")</f>
        <v>-</v>
      </c>
      <c r="AX200" s="48">
        <f>ROUND(Товары[[#This Row],[РРЦ финальная, руб.]]*(1-Товары[[#This Row],[Скидка DIY]]),2)</f>
        <v>0</v>
      </c>
    </row>
    <row r="201" spans="1:50" x14ac:dyDescent="0.25">
      <c r="A201" s="36">
        <v>199</v>
      </c>
      <c r="C201" s="36" t="s">
        <v>3</v>
      </c>
      <c r="D2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1" s="36" t="s">
        <v>227</v>
      </c>
      <c r="F2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1" s="38">
        <v>9014</v>
      </c>
      <c r="I201" s="37" t="s">
        <v>262</v>
      </c>
      <c r="J201" s="37">
        <v>18113</v>
      </c>
      <c r="K201" s="38">
        <v>967251301</v>
      </c>
      <c r="L201" s="37" t="s">
        <v>653</v>
      </c>
      <c r="O201" s="39" t="s">
        <v>1645</v>
      </c>
      <c r="AS201" s="48">
        <f>ROUND((Товары[[#This Row],[IRP, Eur]]*$AT$1),-2)*(1+Товары[[#This Row],[Процент повышения РРЦ]])</f>
        <v>0</v>
      </c>
      <c r="AT201" s="48"/>
      <c r="AU201" s="50">
        <f>ROUND(Товары[[#This Row],[РРЦ финальная, руб.]]/$AT$1,2)</f>
        <v>0</v>
      </c>
      <c r="AV201" s="49" t="str">
        <f>IFERROR(Товары[[#This Row],[РРЦ, евро]]/Товары[[#This Row],[IRP, Eur]],"-")</f>
        <v>-</v>
      </c>
      <c r="AX201" s="48">
        <f>ROUND(Товары[[#This Row],[РРЦ финальная, руб.]]*(1-Товары[[#This Row],[Скидка DIY]]),2)</f>
        <v>0</v>
      </c>
    </row>
    <row r="202" spans="1:50" x14ac:dyDescent="0.25">
      <c r="A202" s="36">
        <v>200</v>
      </c>
      <c r="C202" s="36" t="s">
        <v>3</v>
      </c>
      <c r="D2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2" s="36" t="s">
        <v>227</v>
      </c>
      <c r="F2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2" s="38">
        <v>9014</v>
      </c>
      <c r="I202" s="37" t="s">
        <v>262</v>
      </c>
      <c r="J202" s="37">
        <v>4434</v>
      </c>
      <c r="K202" s="38">
        <v>901066601</v>
      </c>
      <c r="L202" s="37" t="s">
        <v>654</v>
      </c>
      <c r="O202" s="39" t="s">
        <v>1646</v>
      </c>
      <c r="AS202" s="48">
        <f>ROUND((Товары[[#This Row],[IRP, Eur]]*$AT$1),-2)*(1+Товары[[#This Row],[Процент повышения РРЦ]])</f>
        <v>0</v>
      </c>
      <c r="AT202" s="48"/>
      <c r="AU202" s="50">
        <f>ROUND(Товары[[#This Row],[РРЦ финальная, руб.]]/$AT$1,2)</f>
        <v>0</v>
      </c>
      <c r="AV202" s="49" t="str">
        <f>IFERROR(Товары[[#This Row],[РРЦ, евро]]/Товары[[#This Row],[IRP, Eur]],"-")</f>
        <v>-</v>
      </c>
      <c r="AX202" s="48">
        <f>ROUND(Товары[[#This Row],[РРЦ финальная, руб.]]*(1-Товары[[#This Row],[Скидка DIY]]),2)</f>
        <v>0</v>
      </c>
    </row>
    <row r="203" spans="1:50" x14ac:dyDescent="0.25">
      <c r="A203" s="36">
        <v>201</v>
      </c>
      <c r="C203" s="36" t="s">
        <v>3</v>
      </c>
      <c r="D2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3" s="36" t="s">
        <v>227</v>
      </c>
      <c r="F2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3" s="38">
        <v>9014</v>
      </c>
      <c r="I203" s="37" t="s">
        <v>262</v>
      </c>
      <c r="J203" s="37">
        <v>18058</v>
      </c>
      <c r="K203" s="38">
        <v>967247901</v>
      </c>
      <c r="L203" s="37" t="s">
        <v>655</v>
      </c>
      <c r="O203" s="39" t="s">
        <v>1647</v>
      </c>
      <c r="AS203" s="48">
        <f>ROUND((Товары[[#This Row],[IRP, Eur]]*$AT$1),-2)*(1+Товары[[#This Row],[Процент повышения РРЦ]])</f>
        <v>0</v>
      </c>
      <c r="AT203" s="48"/>
      <c r="AU203" s="50">
        <f>ROUND(Товары[[#This Row],[РРЦ финальная, руб.]]/$AT$1,2)</f>
        <v>0</v>
      </c>
      <c r="AV203" s="49" t="str">
        <f>IFERROR(Товары[[#This Row],[РРЦ, евро]]/Товары[[#This Row],[IRP, Eur]],"-")</f>
        <v>-</v>
      </c>
      <c r="AX203" s="48">
        <f>ROUND(Товары[[#This Row],[РРЦ финальная, руб.]]*(1-Товары[[#This Row],[Скидка DIY]]),2)</f>
        <v>0</v>
      </c>
    </row>
    <row r="204" spans="1:50" x14ac:dyDescent="0.25">
      <c r="A204" s="36">
        <v>202</v>
      </c>
      <c r="C204" s="36" t="s">
        <v>3</v>
      </c>
      <c r="D2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4" s="36" t="s">
        <v>227</v>
      </c>
      <c r="F2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4" s="38">
        <v>9014</v>
      </c>
      <c r="I204" s="37" t="s">
        <v>262</v>
      </c>
      <c r="J204" s="37">
        <v>18011</v>
      </c>
      <c r="K204" s="38">
        <v>967690501</v>
      </c>
      <c r="L204" s="37" t="s">
        <v>656</v>
      </c>
      <c r="O204" s="39" t="s">
        <v>1648</v>
      </c>
      <c r="AS204" s="48">
        <f>ROUND((Товары[[#This Row],[IRP, Eur]]*$AT$1),-2)*(1+Товары[[#This Row],[Процент повышения РРЦ]])</f>
        <v>0</v>
      </c>
      <c r="AT204" s="48"/>
      <c r="AU204" s="50">
        <f>ROUND(Товары[[#This Row],[РРЦ финальная, руб.]]/$AT$1,2)</f>
        <v>0</v>
      </c>
      <c r="AV204" s="49" t="str">
        <f>IFERROR(Товары[[#This Row],[РРЦ, евро]]/Товары[[#This Row],[IRP, Eur]],"-")</f>
        <v>-</v>
      </c>
      <c r="AX204" s="48">
        <f>ROUND(Товары[[#This Row],[РРЦ финальная, руб.]]*(1-Товары[[#This Row],[Скидка DIY]]),2)</f>
        <v>0</v>
      </c>
    </row>
    <row r="205" spans="1:50" x14ac:dyDescent="0.25">
      <c r="A205" s="36">
        <v>203</v>
      </c>
      <c r="C205" s="36" t="s">
        <v>3</v>
      </c>
      <c r="D2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5" s="36" t="s">
        <v>227</v>
      </c>
      <c r="F2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5" s="38">
        <v>9014</v>
      </c>
      <c r="I205" s="37" t="s">
        <v>262</v>
      </c>
      <c r="J205" s="37">
        <v>18040</v>
      </c>
      <c r="K205" s="38">
        <v>967255701</v>
      </c>
      <c r="L205" s="37" t="s">
        <v>657</v>
      </c>
      <c r="O205" s="39" t="s">
        <v>1649</v>
      </c>
      <c r="AS205" s="48">
        <f>ROUND((Товары[[#This Row],[IRP, Eur]]*$AT$1),-2)*(1+Товары[[#This Row],[Процент повышения РРЦ]])</f>
        <v>0</v>
      </c>
      <c r="AT205" s="48"/>
      <c r="AU205" s="50">
        <f>ROUND(Товары[[#This Row],[РРЦ финальная, руб.]]/$AT$1,2)</f>
        <v>0</v>
      </c>
      <c r="AV205" s="49" t="str">
        <f>IFERROR(Товары[[#This Row],[РРЦ, евро]]/Товары[[#This Row],[IRP, Eur]],"-")</f>
        <v>-</v>
      </c>
      <c r="AX205" s="48">
        <f>ROUND(Товары[[#This Row],[РРЦ финальная, руб.]]*(1-Товары[[#This Row],[Скидка DIY]]),2)</f>
        <v>0</v>
      </c>
    </row>
    <row r="206" spans="1:50" x14ac:dyDescent="0.25">
      <c r="A206" s="36">
        <v>204</v>
      </c>
      <c r="C206" s="36" t="s">
        <v>3</v>
      </c>
      <c r="D2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6" s="36" t="s">
        <v>227</v>
      </c>
      <c r="F2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6" s="38">
        <v>9014</v>
      </c>
      <c r="I206" s="37" t="s">
        <v>262</v>
      </c>
      <c r="J206" s="37">
        <v>18005</v>
      </c>
      <c r="K206" s="38">
        <v>967246901</v>
      </c>
      <c r="L206" s="37" t="s">
        <v>658</v>
      </c>
      <c r="O206" s="39" t="s">
        <v>1650</v>
      </c>
      <c r="AS206" s="48">
        <f>ROUND((Товары[[#This Row],[IRP, Eur]]*$AT$1),-2)*(1+Товары[[#This Row],[Процент повышения РРЦ]])</f>
        <v>0</v>
      </c>
      <c r="AT206" s="48"/>
      <c r="AU206" s="50">
        <f>ROUND(Товары[[#This Row],[РРЦ финальная, руб.]]/$AT$1,2)</f>
        <v>0</v>
      </c>
      <c r="AV206" s="49" t="str">
        <f>IFERROR(Товары[[#This Row],[РРЦ, евро]]/Товары[[#This Row],[IRP, Eur]],"-")</f>
        <v>-</v>
      </c>
      <c r="AX206" s="48">
        <f>ROUND(Товары[[#This Row],[РРЦ финальная, руб.]]*(1-Товары[[#This Row],[Скидка DIY]]),2)</f>
        <v>0</v>
      </c>
    </row>
    <row r="207" spans="1:50" x14ac:dyDescent="0.25">
      <c r="A207" s="36">
        <v>205</v>
      </c>
      <c r="C207" s="36" t="s">
        <v>3</v>
      </c>
      <c r="D2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7" s="36" t="s">
        <v>227</v>
      </c>
      <c r="F2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7" s="38">
        <v>9014</v>
      </c>
      <c r="I207" s="37" t="s">
        <v>262</v>
      </c>
      <c r="J207" s="37">
        <v>18134</v>
      </c>
      <c r="K207" s="38">
        <v>967298301</v>
      </c>
      <c r="L207" s="37" t="s">
        <v>659</v>
      </c>
      <c r="O207" s="39" t="s">
        <v>1651</v>
      </c>
      <c r="AS207" s="48">
        <f>ROUND((Товары[[#This Row],[IRP, Eur]]*$AT$1),-2)*(1+Товары[[#This Row],[Процент повышения РРЦ]])</f>
        <v>0</v>
      </c>
      <c r="AT207" s="48"/>
      <c r="AU207" s="50">
        <f>ROUND(Товары[[#This Row],[РРЦ финальная, руб.]]/$AT$1,2)</f>
        <v>0</v>
      </c>
      <c r="AV207" s="49" t="str">
        <f>IFERROR(Товары[[#This Row],[РРЦ, евро]]/Товары[[#This Row],[IRP, Eur]],"-")</f>
        <v>-</v>
      </c>
      <c r="AX207" s="48">
        <f>ROUND(Товары[[#This Row],[РРЦ финальная, руб.]]*(1-Товары[[#This Row],[Скидка DIY]]),2)</f>
        <v>0</v>
      </c>
    </row>
    <row r="208" spans="1:50" x14ac:dyDescent="0.25">
      <c r="A208" s="36">
        <v>206</v>
      </c>
      <c r="C208" s="36" t="s">
        <v>234</v>
      </c>
      <c r="D2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8" s="36" t="s">
        <v>230</v>
      </c>
      <c r="F2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8" s="38">
        <v>9111</v>
      </c>
      <c r="I208" s="37" t="s">
        <v>263</v>
      </c>
      <c r="J208" s="37">
        <v>1707</v>
      </c>
      <c r="K208" s="38">
        <v>966625801</v>
      </c>
      <c r="L208" s="37" t="s">
        <v>660</v>
      </c>
      <c r="O208" s="39" t="s">
        <v>1652</v>
      </c>
      <c r="AS208" s="48">
        <f>ROUND((Товары[[#This Row],[IRP, Eur]]*$AT$1),-2)*(1+Товары[[#This Row],[Процент повышения РРЦ]])</f>
        <v>0</v>
      </c>
      <c r="AT208" s="48"/>
      <c r="AU208" s="50">
        <f>ROUND(Товары[[#This Row],[РРЦ финальная, руб.]]/$AT$1,2)</f>
        <v>0</v>
      </c>
      <c r="AV208" s="49" t="str">
        <f>IFERROR(Товары[[#This Row],[РРЦ, евро]]/Товары[[#This Row],[IRP, Eur]],"-")</f>
        <v>-</v>
      </c>
      <c r="AX208" s="48">
        <f>ROUND(Товары[[#This Row],[РРЦ финальная, руб.]]*(1-Товары[[#This Row],[Скидка DIY]]),2)</f>
        <v>0</v>
      </c>
    </row>
    <row r="209" spans="1:50" x14ac:dyDescent="0.25">
      <c r="A209" s="36">
        <v>207</v>
      </c>
      <c r="C209" s="36" t="s">
        <v>234</v>
      </c>
      <c r="D2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9" s="36" t="s">
        <v>230</v>
      </c>
      <c r="F2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9" s="38">
        <v>9111</v>
      </c>
      <c r="I209" s="37" t="s">
        <v>264</v>
      </c>
      <c r="J209" s="37">
        <v>1717</v>
      </c>
      <c r="K209" s="38">
        <v>966626001</v>
      </c>
      <c r="L209" s="37" t="s">
        <v>661</v>
      </c>
      <c r="O209" s="39" t="s">
        <v>1653</v>
      </c>
      <c r="AS209" s="48">
        <f>ROUND((Товары[[#This Row],[IRP, Eur]]*$AT$1),-2)*(1+Товары[[#This Row],[Процент повышения РРЦ]])</f>
        <v>0</v>
      </c>
      <c r="AT209" s="48"/>
      <c r="AU209" s="50">
        <f>ROUND(Товары[[#This Row],[РРЦ финальная, руб.]]/$AT$1,2)</f>
        <v>0</v>
      </c>
      <c r="AV209" s="49" t="str">
        <f>IFERROR(Товары[[#This Row],[РРЦ, евро]]/Товары[[#This Row],[IRP, Eur]],"-")</f>
        <v>-</v>
      </c>
      <c r="AX209" s="48">
        <f>ROUND(Товары[[#This Row],[РРЦ финальная, руб.]]*(1-Товары[[#This Row],[Скидка DIY]]),2)</f>
        <v>0</v>
      </c>
    </row>
    <row r="210" spans="1:50" x14ac:dyDescent="0.25">
      <c r="A210" s="36">
        <v>208</v>
      </c>
      <c r="C210" s="36" t="s">
        <v>234</v>
      </c>
      <c r="D2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0" s="36" t="s">
        <v>230</v>
      </c>
      <c r="F2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0" s="38">
        <v>9111</v>
      </c>
      <c r="I210" s="37" t="s">
        <v>263</v>
      </c>
      <c r="J210" s="37">
        <v>1709</v>
      </c>
      <c r="K210" s="38">
        <v>966625901</v>
      </c>
      <c r="L210" s="37" t="s">
        <v>662</v>
      </c>
      <c r="O210" s="39" t="s">
        <v>1654</v>
      </c>
      <c r="AS210" s="48">
        <f>ROUND((Товары[[#This Row],[IRP, Eur]]*$AT$1),-2)*(1+Товары[[#This Row],[Процент повышения РРЦ]])</f>
        <v>0</v>
      </c>
      <c r="AT210" s="48"/>
      <c r="AU210" s="50">
        <f>ROUND(Товары[[#This Row],[РРЦ финальная, руб.]]/$AT$1,2)</f>
        <v>0</v>
      </c>
      <c r="AV210" s="49" t="str">
        <f>IFERROR(Товары[[#This Row],[РРЦ, евро]]/Товары[[#This Row],[IRP, Eur]],"-")</f>
        <v>-</v>
      </c>
      <c r="AX210" s="48">
        <f>ROUND(Товары[[#This Row],[РРЦ финальная, руб.]]*(1-Товары[[#This Row],[Скидка DIY]]),2)</f>
        <v>0</v>
      </c>
    </row>
    <row r="211" spans="1:50" x14ac:dyDescent="0.25">
      <c r="A211" s="36">
        <v>209</v>
      </c>
      <c r="C211" s="36" t="s">
        <v>234</v>
      </c>
      <c r="D2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1" s="36" t="s">
        <v>230</v>
      </c>
      <c r="F2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1" s="38">
        <v>9111</v>
      </c>
      <c r="I211" s="37" t="s">
        <v>263</v>
      </c>
      <c r="J211" s="37" t="s">
        <v>366</v>
      </c>
      <c r="K211" s="38">
        <v>970443101</v>
      </c>
      <c r="L211" s="37" t="s">
        <v>663</v>
      </c>
      <c r="M211" s="37" t="s">
        <v>660</v>
      </c>
      <c r="O211" s="39" t="s">
        <v>1655</v>
      </c>
      <c r="AS211" s="48">
        <f>ROUND((Товары[[#This Row],[IRP, Eur]]*$AT$1),-2)*(1+Товары[[#This Row],[Процент повышения РРЦ]])</f>
        <v>0</v>
      </c>
      <c r="AT211" s="48"/>
      <c r="AU211" s="50">
        <f>ROUND(Товары[[#This Row],[РРЦ финальная, руб.]]/$AT$1,2)</f>
        <v>0</v>
      </c>
      <c r="AV211" s="49" t="str">
        <f>IFERROR(Товары[[#This Row],[РРЦ, евро]]/Товары[[#This Row],[IRP, Eur]],"-")</f>
        <v>-</v>
      </c>
      <c r="AX211" s="48">
        <f>ROUND(Товары[[#This Row],[РРЦ финальная, руб.]]*(1-Товары[[#This Row],[Скидка DIY]]),2)</f>
        <v>0</v>
      </c>
    </row>
    <row r="212" spans="1:50" x14ac:dyDescent="0.25">
      <c r="A212" s="36">
        <v>210</v>
      </c>
      <c r="C212" s="36" t="s">
        <v>234</v>
      </c>
      <c r="D2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2" s="36" t="s">
        <v>230</v>
      </c>
      <c r="F2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2" s="38">
        <v>9111</v>
      </c>
      <c r="I212" s="37" t="s">
        <v>264</v>
      </c>
      <c r="J212" s="37" t="s">
        <v>366</v>
      </c>
      <c r="K212" s="38">
        <v>970442801</v>
      </c>
      <c r="L212" s="37" t="s">
        <v>664</v>
      </c>
      <c r="M212" s="37" t="s">
        <v>661</v>
      </c>
      <c r="O212" s="39" t="s">
        <v>1656</v>
      </c>
      <c r="AS212" s="48">
        <f>ROUND((Товары[[#This Row],[IRP, Eur]]*$AT$1),-2)*(1+Товары[[#This Row],[Процент повышения РРЦ]])</f>
        <v>0</v>
      </c>
      <c r="AT212" s="48"/>
      <c r="AU212" s="50">
        <f>ROUND(Товары[[#This Row],[РРЦ финальная, руб.]]/$AT$1,2)</f>
        <v>0</v>
      </c>
      <c r="AV212" s="49" t="str">
        <f>IFERROR(Товары[[#This Row],[РРЦ, евро]]/Товары[[#This Row],[IRP, Eur]],"-")</f>
        <v>-</v>
      </c>
      <c r="AX212" s="48">
        <f>ROUND(Товары[[#This Row],[РРЦ финальная, руб.]]*(1-Товары[[#This Row],[Скидка DIY]]),2)</f>
        <v>0</v>
      </c>
    </row>
    <row r="213" spans="1:50" x14ac:dyDescent="0.25">
      <c r="A213" s="36">
        <v>211</v>
      </c>
      <c r="C213" s="36" t="s">
        <v>234</v>
      </c>
      <c r="D2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3" s="36" t="s">
        <v>230</v>
      </c>
      <c r="F2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3" s="38">
        <v>9111</v>
      </c>
      <c r="I213" s="37" t="s">
        <v>263</v>
      </c>
      <c r="J213" s="37" t="s">
        <v>366</v>
      </c>
      <c r="K213" s="38">
        <v>970442601</v>
      </c>
      <c r="L213" s="37" t="s">
        <v>665</v>
      </c>
      <c r="M213" s="37" t="s">
        <v>662</v>
      </c>
      <c r="O213" s="39" t="s">
        <v>1657</v>
      </c>
      <c r="AS213" s="48">
        <f>ROUND((Товары[[#This Row],[IRP, Eur]]*$AT$1),-2)*(1+Товары[[#This Row],[Процент повышения РРЦ]])</f>
        <v>0</v>
      </c>
      <c r="AT213" s="48"/>
      <c r="AU213" s="50">
        <f>ROUND(Товары[[#This Row],[РРЦ финальная, руб.]]/$AT$1,2)</f>
        <v>0</v>
      </c>
      <c r="AV213" s="49" t="str">
        <f>IFERROR(Товары[[#This Row],[РРЦ, евро]]/Товары[[#This Row],[IRP, Eur]],"-")</f>
        <v>-</v>
      </c>
      <c r="AX213" s="48">
        <f>ROUND(Товары[[#This Row],[РРЦ финальная, руб.]]*(1-Товары[[#This Row],[Скидка DIY]]),2)</f>
        <v>0</v>
      </c>
    </row>
    <row r="214" spans="1:50" x14ac:dyDescent="0.25">
      <c r="A214" s="36">
        <v>212</v>
      </c>
      <c r="C214" s="36" t="s">
        <v>234</v>
      </c>
      <c r="D2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4" s="36" t="s">
        <v>230</v>
      </c>
      <c r="F2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4" s="38">
        <v>9111</v>
      </c>
      <c r="I214" s="37" t="s">
        <v>263</v>
      </c>
      <c r="J214" s="37">
        <v>1732</v>
      </c>
      <c r="K214" s="38">
        <v>966606601</v>
      </c>
      <c r="L214" s="37" t="s">
        <v>666</v>
      </c>
      <c r="O214" s="39" t="s">
        <v>1658</v>
      </c>
      <c r="AS214" s="48">
        <f>ROUND((Товары[[#This Row],[IRP, Eur]]*$AT$1),-2)*(1+Товары[[#This Row],[Процент повышения РРЦ]])</f>
        <v>0</v>
      </c>
      <c r="AT214" s="48"/>
      <c r="AU214" s="50">
        <f>ROUND(Товары[[#This Row],[РРЦ финальная, руб.]]/$AT$1,2)</f>
        <v>0</v>
      </c>
      <c r="AV214" s="49" t="str">
        <f>IFERROR(Товары[[#This Row],[РРЦ, евро]]/Товары[[#This Row],[IRP, Eur]],"-")</f>
        <v>-</v>
      </c>
      <c r="AX214" s="48">
        <f>ROUND(Товары[[#This Row],[РРЦ финальная, руб.]]*(1-Товары[[#This Row],[Скидка DIY]]),2)</f>
        <v>0</v>
      </c>
    </row>
    <row r="215" spans="1:50" x14ac:dyDescent="0.25">
      <c r="A215" s="36">
        <v>213</v>
      </c>
      <c r="C215" s="36" t="s">
        <v>234</v>
      </c>
      <c r="D2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5" s="36" t="s">
        <v>230</v>
      </c>
      <c r="F2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5" s="38">
        <v>9111</v>
      </c>
      <c r="I215" s="37" t="s">
        <v>263</v>
      </c>
      <c r="J215" s="37">
        <v>1734</v>
      </c>
      <c r="K215" s="38">
        <v>966606701</v>
      </c>
      <c r="L215" s="37" t="s">
        <v>667</v>
      </c>
      <c r="O215" s="39" t="s">
        <v>1659</v>
      </c>
      <c r="AS215" s="48">
        <f>ROUND((Товары[[#This Row],[IRP, Eur]]*$AT$1),-2)*(1+Товары[[#This Row],[Процент повышения РРЦ]])</f>
        <v>0</v>
      </c>
      <c r="AT215" s="48"/>
      <c r="AU215" s="50">
        <f>ROUND(Товары[[#This Row],[РРЦ финальная, руб.]]/$AT$1,2)</f>
        <v>0</v>
      </c>
      <c r="AV215" s="49" t="str">
        <f>IFERROR(Товары[[#This Row],[РРЦ, евро]]/Товары[[#This Row],[IRP, Eur]],"-")</f>
        <v>-</v>
      </c>
      <c r="AX215" s="48">
        <f>ROUND(Товары[[#This Row],[РРЦ финальная, руб.]]*(1-Товары[[#This Row],[Скидка DIY]]),2)</f>
        <v>0</v>
      </c>
    </row>
    <row r="216" spans="1:50" x14ac:dyDescent="0.25">
      <c r="A216" s="36">
        <v>214</v>
      </c>
      <c r="C216" s="36" t="s">
        <v>234</v>
      </c>
      <c r="D2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6" s="36" t="s">
        <v>230</v>
      </c>
      <c r="F2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6" s="38">
        <v>9111</v>
      </c>
      <c r="I216" s="37" t="s">
        <v>263</v>
      </c>
      <c r="J216" s="37">
        <v>1736</v>
      </c>
      <c r="K216" s="38">
        <v>966606801</v>
      </c>
      <c r="L216" s="37" t="s">
        <v>668</v>
      </c>
      <c r="O216" s="39" t="s">
        <v>1660</v>
      </c>
      <c r="AS216" s="48">
        <f>ROUND((Товары[[#This Row],[IRP, Eur]]*$AT$1),-2)*(1+Товары[[#This Row],[Процент повышения РРЦ]])</f>
        <v>0</v>
      </c>
      <c r="AT216" s="48"/>
      <c r="AU216" s="50">
        <f>ROUND(Товары[[#This Row],[РРЦ финальная, руб.]]/$AT$1,2)</f>
        <v>0</v>
      </c>
      <c r="AV216" s="49" t="str">
        <f>IFERROR(Товары[[#This Row],[РРЦ, евро]]/Товары[[#This Row],[IRP, Eur]],"-")</f>
        <v>-</v>
      </c>
      <c r="AX216" s="48">
        <f>ROUND(Товары[[#This Row],[РРЦ финальная, руб.]]*(1-Товары[[#This Row],[Скидка DIY]]),2)</f>
        <v>0</v>
      </c>
    </row>
    <row r="217" spans="1:50" x14ac:dyDescent="0.25">
      <c r="A217" s="36">
        <v>215</v>
      </c>
      <c r="C217" s="36" t="s">
        <v>234</v>
      </c>
      <c r="D2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7" s="36" t="s">
        <v>230</v>
      </c>
      <c r="F2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7" s="38">
        <v>9114</v>
      </c>
      <c r="I217" s="37" t="s">
        <v>263</v>
      </c>
      <c r="K217" s="38">
        <v>966647501</v>
      </c>
      <c r="L217" s="37" t="s">
        <v>669</v>
      </c>
      <c r="O217" s="39" t="s">
        <v>1661</v>
      </c>
      <c r="AS217" s="48">
        <f>ROUND((Товары[[#This Row],[IRP, Eur]]*$AT$1),-2)*(1+Товары[[#This Row],[Процент повышения РРЦ]])</f>
        <v>0</v>
      </c>
      <c r="AT217" s="48"/>
      <c r="AU217" s="50">
        <f>ROUND(Товары[[#This Row],[РРЦ финальная, руб.]]/$AT$1,2)</f>
        <v>0</v>
      </c>
      <c r="AV217" s="49" t="str">
        <f>IFERROR(Товары[[#This Row],[РРЦ, евро]]/Товары[[#This Row],[IRP, Eur]],"-")</f>
        <v>-</v>
      </c>
      <c r="AX217" s="48">
        <f>ROUND(Товары[[#This Row],[РРЦ финальная, руб.]]*(1-Товары[[#This Row],[Скидка DIY]]),2)</f>
        <v>0</v>
      </c>
    </row>
    <row r="218" spans="1:50" x14ac:dyDescent="0.25">
      <c r="A218" s="36">
        <v>216</v>
      </c>
      <c r="C218" s="36" t="s">
        <v>234</v>
      </c>
      <c r="D2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8" s="36" t="s">
        <v>230</v>
      </c>
      <c r="F2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8" s="38">
        <v>9114</v>
      </c>
      <c r="I218" s="37" t="s">
        <v>263</v>
      </c>
      <c r="K218" s="38">
        <v>966647601</v>
      </c>
      <c r="L218" s="37" t="s">
        <v>670</v>
      </c>
      <c r="O218" s="39" t="s">
        <v>1662</v>
      </c>
      <c r="AS218" s="48">
        <f>ROUND((Товары[[#This Row],[IRP, Eur]]*$AT$1),-2)*(1+Товары[[#This Row],[Процент повышения РРЦ]])</f>
        <v>0</v>
      </c>
      <c r="AT218" s="48"/>
      <c r="AU218" s="50">
        <f>ROUND(Товары[[#This Row],[РРЦ финальная, руб.]]/$AT$1,2)</f>
        <v>0</v>
      </c>
      <c r="AV218" s="49" t="str">
        <f>IFERROR(Товары[[#This Row],[РРЦ, евро]]/Товары[[#This Row],[IRP, Eur]],"-")</f>
        <v>-</v>
      </c>
      <c r="AX218" s="48">
        <f>ROUND(Товары[[#This Row],[РРЦ финальная, руб.]]*(1-Товары[[#This Row],[Скидка DIY]]),2)</f>
        <v>0</v>
      </c>
    </row>
    <row r="219" spans="1:50" x14ac:dyDescent="0.25">
      <c r="A219" s="36">
        <v>217</v>
      </c>
      <c r="C219" s="36" t="s">
        <v>234</v>
      </c>
      <c r="D2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9" s="36" t="s">
        <v>230</v>
      </c>
      <c r="F2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9" s="38">
        <v>9114</v>
      </c>
      <c r="I219" s="37" t="s">
        <v>263</v>
      </c>
      <c r="K219" s="38">
        <v>967974601</v>
      </c>
      <c r="L219" s="37" t="s">
        <v>671</v>
      </c>
      <c r="M219" s="37" t="s">
        <v>669</v>
      </c>
      <c r="O219" s="39" t="s">
        <v>1663</v>
      </c>
      <c r="AS219" s="48">
        <f>ROUND((Товары[[#This Row],[IRP, Eur]]*$AT$1),-2)*(1+Товары[[#This Row],[Процент повышения РРЦ]])</f>
        <v>0</v>
      </c>
      <c r="AT219" s="48"/>
      <c r="AU219" s="50">
        <f>ROUND(Товары[[#This Row],[РРЦ финальная, руб.]]/$AT$1,2)</f>
        <v>0</v>
      </c>
      <c r="AV219" s="49" t="str">
        <f>IFERROR(Товары[[#This Row],[РРЦ, евро]]/Товары[[#This Row],[IRP, Eur]],"-")</f>
        <v>-</v>
      </c>
      <c r="AX219" s="48">
        <f>ROUND(Товары[[#This Row],[РРЦ финальная, руб.]]*(1-Товары[[#This Row],[Скидка DIY]]),2)</f>
        <v>0</v>
      </c>
    </row>
    <row r="220" spans="1:50" x14ac:dyDescent="0.25">
      <c r="A220" s="36">
        <v>218</v>
      </c>
      <c r="C220" s="36" t="s">
        <v>234</v>
      </c>
      <c r="D2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0" s="36" t="s">
        <v>230</v>
      </c>
      <c r="F2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0" s="38">
        <v>9114</v>
      </c>
      <c r="I220" s="37" t="s">
        <v>263</v>
      </c>
      <c r="K220" s="38">
        <v>967974801</v>
      </c>
      <c r="L220" s="37" t="s">
        <v>672</v>
      </c>
      <c r="M220" s="37" t="s">
        <v>670</v>
      </c>
      <c r="O220" s="39" t="s">
        <v>1664</v>
      </c>
      <c r="AS220" s="48">
        <f>ROUND((Товары[[#This Row],[IRP, Eur]]*$AT$1),-2)*(1+Товары[[#This Row],[Процент повышения РРЦ]])</f>
        <v>0</v>
      </c>
      <c r="AT220" s="48"/>
      <c r="AU220" s="50">
        <f>ROUND(Товары[[#This Row],[РРЦ финальная, руб.]]/$AT$1,2)</f>
        <v>0</v>
      </c>
      <c r="AV220" s="49" t="str">
        <f>IFERROR(Товары[[#This Row],[РРЦ, евро]]/Товары[[#This Row],[IRP, Eur]],"-")</f>
        <v>-</v>
      </c>
      <c r="AX220" s="48">
        <f>ROUND(Товары[[#This Row],[РРЦ финальная, руб.]]*(1-Товары[[#This Row],[Скидка DIY]]),2)</f>
        <v>0</v>
      </c>
    </row>
    <row r="221" spans="1:50" x14ac:dyDescent="0.25">
      <c r="A221" s="36">
        <v>219</v>
      </c>
      <c r="C221" s="36" t="s">
        <v>234</v>
      </c>
      <c r="D2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1" s="36" t="s">
        <v>230</v>
      </c>
      <c r="F2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1" s="38">
        <v>9114</v>
      </c>
      <c r="I221" s="37" t="s">
        <v>263</v>
      </c>
      <c r="K221" s="38">
        <v>967975001</v>
      </c>
      <c r="L221" s="37" t="s">
        <v>673</v>
      </c>
      <c r="O221" s="39" t="s">
        <v>1665</v>
      </c>
      <c r="AS221" s="48">
        <f>ROUND((Товары[[#This Row],[IRP, Eur]]*$AT$1),-2)*(1+Товары[[#This Row],[Процент повышения РРЦ]])</f>
        <v>0</v>
      </c>
      <c r="AT221" s="48"/>
      <c r="AU221" s="50">
        <f>ROUND(Товары[[#This Row],[РРЦ финальная, руб.]]/$AT$1,2)</f>
        <v>0</v>
      </c>
      <c r="AV221" s="49" t="str">
        <f>IFERROR(Товары[[#This Row],[РРЦ, евро]]/Товары[[#This Row],[IRP, Eur]],"-")</f>
        <v>-</v>
      </c>
      <c r="AX221" s="48">
        <f>ROUND(Товары[[#This Row],[РРЦ финальная, руб.]]*(1-Товары[[#This Row],[Скидка DIY]]),2)</f>
        <v>0</v>
      </c>
    </row>
    <row r="222" spans="1:50" x14ac:dyDescent="0.25">
      <c r="A222" s="36">
        <v>220</v>
      </c>
      <c r="C222" s="36" t="s">
        <v>234</v>
      </c>
      <c r="D2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2" s="36" t="s">
        <v>230</v>
      </c>
      <c r="F2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2" s="38">
        <v>9114</v>
      </c>
      <c r="I222" s="37" t="s">
        <v>263</v>
      </c>
      <c r="K222" s="38">
        <v>966963501</v>
      </c>
      <c r="L222" s="37" t="s">
        <v>674</v>
      </c>
      <c r="O222" s="39" t="s">
        <v>1666</v>
      </c>
      <c r="AS222" s="48">
        <f>ROUND((Товары[[#This Row],[IRP, Eur]]*$AT$1),-2)*(1+Товары[[#This Row],[Процент повышения РРЦ]])</f>
        <v>0</v>
      </c>
      <c r="AT222" s="48"/>
      <c r="AU222" s="50">
        <f>ROUND(Товары[[#This Row],[РРЦ финальная, руб.]]/$AT$1,2)</f>
        <v>0</v>
      </c>
      <c r="AV222" s="49" t="str">
        <f>IFERROR(Товары[[#This Row],[РРЦ, евро]]/Товары[[#This Row],[IRP, Eur]],"-")</f>
        <v>-</v>
      </c>
      <c r="AX222" s="48">
        <f>ROUND(Товары[[#This Row],[РРЦ финальная, руб.]]*(1-Товары[[#This Row],[Скидка DIY]]),2)</f>
        <v>0</v>
      </c>
    </row>
    <row r="223" spans="1:50" x14ac:dyDescent="0.25">
      <c r="A223" s="36">
        <v>221</v>
      </c>
      <c r="C223" s="36" t="s">
        <v>234</v>
      </c>
      <c r="D2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3" s="36" t="s">
        <v>230</v>
      </c>
      <c r="F2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3" s="38">
        <v>9114</v>
      </c>
      <c r="I223" s="37" t="s">
        <v>263</v>
      </c>
      <c r="J223" s="37" t="s">
        <v>366</v>
      </c>
      <c r="K223" s="38">
        <v>970443001</v>
      </c>
      <c r="L223" s="37" t="s">
        <v>675</v>
      </c>
      <c r="O223" s="39" t="s">
        <v>1667</v>
      </c>
      <c r="AS223" s="48">
        <f>ROUND((Товары[[#This Row],[IRP, Eur]]*$AT$1),-2)*(1+Товары[[#This Row],[Процент повышения РРЦ]])</f>
        <v>0</v>
      </c>
      <c r="AT223" s="48"/>
      <c r="AU223" s="50">
        <f>ROUND(Товары[[#This Row],[РРЦ финальная, руб.]]/$AT$1,2)</f>
        <v>0</v>
      </c>
      <c r="AV223" s="49" t="str">
        <f>IFERROR(Товары[[#This Row],[РРЦ, евро]]/Товары[[#This Row],[IRP, Eur]],"-")</f>
        <v>-</v>
      </c>
      <c r="AX223" s="48">
        <f>ROUND(Товары[[#This Row],[РРЦ финальная, руб.]]*(1-Товары[[#This Row],[Скидка DIY]]),2)</f>
        <v>0</v>
      </c>
    </row>
    <row r="224" spans="1:50" x14ac:dyDescent="0.25">
      <c r="A224" s="36">
        <v>222</v>
      </c>
      <c r="C224" s="36" t="s">
        <v>234</v>
      </c>
      <c r="D2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4" s="36" t="s">
        <v>230</v>
      </c>
      <c r="F2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4" s="38">
        <v>9114</v>
      </c>
      <c r="I224" s="37" t="s">
        <v>263</v>
      </c>
      <c r="J224" s="37" t="s">
        <v>366</v>
      </c>
      <c r="K224" s="38">
        <v>967975201</v>
      </c>
      <c r="L224" s="37" t="s">
        <v>676</v>
      </c>
      <c r="M224" s="37" t="s">
        <v>674</v>
      </c>
      <c r="O224" s="39" t="s">
        <v>1668</v>
      </c>
      <c r="AS224" s="48">
        <f>ROUND((Товары[[#This Row],[IRP, Eur]]*$AT$1),-2)*(1+Товары[[#This Row],[Процент повышения РРЦ]])</f>
        <v>0</v>
      </c>
      <c r="AT224" s="48"/>
      <c r="AU224" s="50">
        <f>ROUND(Товары[[#This Row],[РРЦ финальная, руб.]]/$AT$1,2)</f>
        <v>0</v>
      </c>
      <c r="AV224" s="49" t="str">
        <f>IFERROR(Товары[[#This Row],[РРЦ, евро]]/Товары[[#This Row],[IRP, Eur]],"-")</f>
        <v>-</v>
      </c>
      <c r="AX224" s="48">
        <f>ROUND(Товары[[#This Row],[РРЦ финальная, руб.]]*(1-Товары[[#This Row],[Скидка DIY]]),2)</f>
        <v>0</v>
      </c>
    </row>
    <row r="225" spans="1:50" x14ac:dyDescent="0.25">
      <c r="A225" s="36">
        <v>223</v>
      </c>
      <c r="C225" s="36" t="s">
        <v>234</v>
      </c>
      <c r="D2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5" s="36" t="s">
        <v>230</v>
      </c>
      <c r="F2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5" s="38">
        <v>9114</v>
      </c>
      <c r="I225" s="37" t="s">
        <v>263</v>
      </c>
      <c r="J225" s="37" t="s">
        <v>366</v>
      </c>
      <c r="K225" s="38">
        <v>967975401</v>
      </c>
      <c r="L225" s="37" t="s">
        <v>677</v>
      </c>
      <c r="M225" s="37" t="s">
        <v>1328</v>
      </c>
      <c r="O225" s="39" t="s">
        <v>1669</v>
      </c>
      <c r="AS225" s="48">
        <f>ROUND((Товары[[#This Row],[IRP, Eur]]*$AT$1),-2)*(1+Товары[[#This Row],[Процент повышения РРЦ]])</f>
        <v>0</v>
      </c>
      <c r="AT225" s="48"/>
      <c r="AU225" s="50">
        <f>ROUND(Товары[[#This Row],[РРЦ финальная, руб.]]/$AT$1,2)</f>
        <v>0</v>
      </c>
      <c r="AV225" s="49" t="str">
        <f>IFERROR(Товары[[#This Row],[РРЦ, евро]]/Товары[[#This Row],[IRP, Eur]],"-")</f>
        <v>-</v>
      </c>
      <c r="AX225" s="48">
        <f>ROUND(Товары[[#This Row],[РРЦ финальная, руб.]]*(1-Товары[[#This Row],[Скидка DIY]]),2)</f>
        <v>0</v>
      </c>
    </row>
    <row r="226" spans="1:50" x14ac:dyDescent="0.25">
      <c r="A226" s="36">
        <v>224</v>
      </c>
      <c r="C226" s="36" t="s">
        <v>234</v>
      </c>
      <c r="D2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6" s="36" t="s">
        <v>230</v>
      </c>
      <c r="F2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6" s="38">
        <v>9114</v>
      </c>
      <c r="I226" s="37" t="s">
        <v>263</v>
      </c>
      <c r="J226" s="37" t="s">
        <v>366</v>
      </c>
      <c r="K226" s="38">
        <v>967975601</v>
      </c>
      <c r="L226" s="37" t="s">
        <v>678</v>
      </c>
      <c r="M226" s="37" t="s">
        <v>1328</v>
      </c>
      <c r="O226" s="39" t="s">
        <v>1670</v>
      </c>
      <c r="AS226" s="48">
        <f>ROUND((Товары[[#This Row],[IRP, Eur]]*$AT$1),-2)*(1+Товары[[#This Row],[Процент повышения РРЦ]])</f>
        <v>0</v>
      </c>
      <c r="AT226" s="48"/>
      <c r="AU226" s="50">
        <f>ROUND(Товары[[#This Row],[РРЦ финальная, руб.]]/$AT$1,2)</f>
        <v>0</v>
      </c>
      <c r="AV226" s="49" t="str">
        <f>IFERROR(Товары[[#This Row],[РРЦ, евро]]/Товары[[#This Row],[IRP, Eur]],"-")</f>
        <v>-</v>
      </c>
      <c r="AX226" s="48">
        <f>ROUND(Товары[[#This Row],[РРЦ финальная, руб.]]*(1-Товары[[#This Row],[Скидка DIY]]),2)</f>
        <v>0</v>
      </c>
    </row>
    <row r="227" spans="1:50" x14ac:dyDescent="0.25">
      <c r="A227" s="36">
        <v>225</v>
      </c>
      <c r="C227" s="36" t="s">
        <v>234</v>
      </c>
      <c r="D2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7" s="36" t="s">
        <v>230</v>
      </c>
      <c r="F2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7" s="38">
        <v>9114</v>
      </c>
      <c r="I227" s="37" t="s">
        <v>263</v>
      </c>
      <c r="J227" s="37">
        <v>1489</v>
      </c>
      <c r="K227" s="38">
        <v>966424101</v>
      </c>
      <c r="L227" s="37" t="s">
        <v>679</v>
      </c>
      <c r="O227" s="39" t="s">
        <v>1671</v>
      </c>
      <c r="AS227" s="48">
        <f>ROUND((Товары[[#This Row],[IRP, Eur]]*$AT$1),-2)*(1+Товары[[#This Row],[Процент повышения РРЦ]])</f>
        <v>0</v>
      </c>
      <c r="AT227" s="48"/>
      <c r="AU227" s="50">
        <f>ROUND(Товары[[#This Row],[РРЦ финальная, руб.]]/$AT$1,2)</f>
        <v>0</v>
      </c>
      <c r="AV227" s="49" t="str">
        <f>IFERROR(Товары[[#This Row],[РРЦ, евро]]/Товары[[#This Row],[IRP, Eur]],"-")</f>
        <v>-</v>
      </c>
      <c r="AX227" s="48">
        <f>ROUND(Товары[[#This Row],[РРЦ финальная, руб.]]*(1-Товары[[#This Row],[Скидка DIY]]),2)</f>
        <v>0</v>
      </c>
    </row>
    <row r="228" spans="1:50" x14ac:dyDescent="0.25">
      <c r="A228" s="36">
        <v>226</v>
      </c>
      <c r="C228" s="36" t="s">
        <v>234</v>
      </c>
      <c r="D2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8" s="36" t="s">
        <v>230</v>
      </c>
      <c r="F2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8" s="38">
        <v>9114</v>
      </c>
      <c r="I228" s="37" t="s">
        <v>263</v>
      </c>
      <c r="J228" s="37">
        <v>1492</v>
      </c>
      <c r="K228" s="38">
        <v>966424201</v>
      </c>
      <c r="L228" s="37" t="s">
        <v>680</v>
      </c>
      <c r="O228" s="39" t="s">
        <v>1672</v>
      </c>
      <c r="AS228" s="48">
        <f>ROUND((Товары[[#This Row],[IRP, Eur]]*$AT$1),-2)*(1+Товары[[#This Row],[Процент повышения РРЦ]])</f>
        <v>0</v>
      </c>
      <c r="AT228" s="48"/>
      <c r="AU228" s="50">
        <f>ROUND(Товары[[#This Row],[РРЦ финальная, руб.]]/$AT$1,2)</f>
        <v>0</v>
      </c>
      <c r="AV228" s="49" t="str">
        <f>IFERROR(Товары[[#This Row],[РРЦ, евро]]/Товары[[#This Row],[IRP, Eur]],"-")</f>
        <v>-</v>
      </c>
      <c r="AX228" s="48">
        <f>ROUND(Товары[[#This Row],[РРЦ финальная, руб.]]*(1-Товары[[#This Row],[Скидка DIY]]),2)</f>
        <v>0</v>
      </c>
    </row>
    <row r="229" spans="1:50" x14ac:dyDescent="0.25">
      <c r="A229" s="36">
        <v>227</v>
      </c>
      <c r="C229" s="36" t="s">
        <v>234</v>
      </c>
      <c r="D2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9" s="36" t="s">
        <v>230</v>
      </c>
      <c r="F2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9" s="38">
        <v>9114</v>
      </c>
      <c r="I229" s="37" t="s">
        <v>263</v>
      </c>
      <c r="J229" s="37">
        <v>1476</v>
      </c>
      <c r="K229" s="38">
        <v>900924901</v>
      </c>
      <c r="L229" s="37" t="s">
        <v>681</v>
      </c>
      <c r="O229" s="39" t="s">
        <v>1673</v>
      </c>
      <c r="AS229" s="48">
        <f>ROUND((Товары[[#This Row],[IRP, Eur]]*$AT$1),-2)*(1+Товары[[#This Row],[Процент повышения РРЦ]])</f>
        <v>0</v>
      </c>
      <c r="AT229" s="48"/>
      <c r="AU229" s="50">
        <f>ROUND(Товары[[#This Row],[РРЦ финальная, руб.]]/$AT$1,2)</f>
        <v>0</v>
      </c>
      <c r="AV229" s="49" t="str">
        <f>IFERROR(Товары[[#This Row],[РРЦ, евро]]/Товары[[#This Row],[IRP, Eur]],"-")</f>
        <v>-</v>
      </c>
      <c r="AX229" s="48">
        <f>ROUND(Товары[[#This Row],[РРЦ финальная, руб.]]*(1-Товары[[#This Row],[Скидка DIY]]),2)</f>
        <v>0</v>
      </c>
    </row>
    <row r="230" spans="1:50" x14ac:dyDescent="0.25">
      <c r="A230" s="36">
        <v>228</v>
      </c>
      <c r="C230" s="36" t="s">
        <v>234</v>
      </c>
      <c r="D2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0" s="36" t="s">
        <v>230</v>
      </c>
      <c r="F2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0" s="38">
        <v>9113</v>
      </c>
      <c r="I230" s="37" t="s">
        <v>263</v>
      </c>
      <c r="K230" s="38">
        <v>967331501</v>
      </c>
      <c r="L230" s="37" t="s">
        <v>682</v>
      </c>
      <c r="O230" s="39" t="s">
        <v>1674</v>
      </c>
      <c r="AS230" s="48">
        <f>ROUND((Товары[[#This Row],[IRP, Eur]]*$AT$1),-2)*(1+Товары[[#This Row],[Процент повышения РРЦ]])</f>
        <v>0</v>
      </c>
      <c r="AT230" s="48"/>
      <c r="AU230" s="50">
        <f>ROUND(Товары[[#This Row],[РРЦ финальная, руб.]]/$AT$1,2)</f>
        <v>0</v>
      </c>
      <c r="AV230" s="49" t="str">
        <f>IFERROR(Товары[[#This Row],[РРЦ, евро]]/Товары[[#This Row],[IRP, Eur]],"-")</f>
        <v>-</v>
      </c>
      <c r="AX230" s="48">
        <f>ROUND(Товары[[#This Row],[РРЦ финальная, руб.]]*(1-Товары[[#This Row],[Скидка DIY]]),2)</f>
        <v>0</v>
      </c>
    </row>
    <row r="231" spans="1:50" x14ac:dyDescent="0.25">
      <c r="A231" s="36">
        <v>229</v>
      </c>
      <c r="C231" s="36" t="s">
        <v>234</v>
      </c>
      <c r="D2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1" s="36" t="s">
        <v>230</v>
      </c>
      <c r="F2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1" s="38">
        <v>9113</v>
      </c>
      <c r="I231" s="37" t="s">
        <v>263</v>
      </c>
      <c r="J231" s="37" t="s">
        <v>366</v>
      </c>
      <c r="K231" s="38">
        <v>970443201</v>
      </c>
      <c r="L231" s="37" t="s">
        <v>683</v>
      </c>
      <c r="M231" s="37" t="s">
        <v>682</v>
      </c>
      <c r="O231" s="39" t="s">
        <v>1675</v>
      </c>
      <c r="AS231" s="48">
        <f>ROUND((Товары[[#This Row],[IRP, Eur]]*$AT$1),-2)*(1+Товары[[#This Row],[Процент повышения РРЦ]])</f>
        <v>0</v>
      </c>
      <c r="AT231" s="48"/>
      <c r="AU231" s="50">
        <f>ROUND(Товары[[#This Row],[РРЦ финальная, руб.]]/$AT$1,2)</f>
        <v>0</v>
      </c>
      <c r="AV231" s="49" t="str">
        <f>IFERROR(Товары[[#This Row],[РРЦ, евро]]/Товары[[#This Row],[IRP, Eur]],"-")</f>
        <v>-</v>
      </c>
      <c r="AX231" s="48">
        <f>ROUND(Товары[[#This Row],[РРЦ финальная, руб.]]*(1-Товары[[#This Row],[Скидка DIY]]),2)</f>
        <v>0</v>
      </c>
    </row>
    <row r="232" spans="1:50" x14ac:dyDescent="0.25">
      <c r="A232" s="36">
        <v>230</v>
      </c>
      <c r="C232" s="36" t="s">
        <v>234</v>
      </c>
      <c r="D2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2" s="36" t="s">
        <v>230</v>
      </c>
      <c r="F2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2" s="38">
        <v>9113</v>
      </c>
      <c r="I232" s="37" t="s">
        <v>263</v>
      </c>
      <c r="J232" s="37" t="s">
        <v>366</v>
      </c>
      <c r="K232" s="38">
        <v>970442401</v>
      </c>
      <c r="L232" s="37" t="s">
        <v>684</v>
      </c>
      <c r="M232" s="37" t="s">
        <v>1328</v>
      </c>
      <c r="O232" s="39" t="s">
        <v>1676</v>
      </c>
      <c r="AS232" s="48">
        <f>ROUND((Товары[[#This Row],[IRP, Eur]]*$AT$1),-2)*(1+Товары[[#This Row],[Процент повышения РРЦ]])</f>
        <v>0</v>
      </c>
      <c r="AT232" s="48"/>
      <c r="AU232" s="50">
        <f>ROUND(Товары[[#This Row],[РРЦ финальная, руб.]]/$AT$1,2)</f>
        <v>0</v>
      </c>
      <c r="AV232" s="49" t="str">
        <f>IFERROR(Товары[[#This Row],[РРЦ, евро]]/Товары[[#This Row],[IRP, Eur]],"-")</f>
        <v>-</v>
      </c>
      <c r="AX232" s="48">
        <f>ROUND(Товары[[#This Row],[РРЦ финальная, руб.]]*(1-Товары[[#This Row],[Скидка DIY]]),2)</f>
        <v>0</v>
      </c>
    </row>
    <row r="233" spans="1:50" x14ac:dyDescent="0.25">
      <c r="A233" s="36">
        <v>231</v>
      </c>
      <c r="C233" s="36" t="s">
        <v>234</v>
      </c>
      <c r="D2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3" s="36" t="s">
        <v>230</v>
      </c>
      <c r="F2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3" s="38">
        <v>9113</v>
      </c>
      <c r="I233" s="37" t="s">
        <v>263</v>
      </c>
      <c r="J233" s="37">
        <v>1753</v>
      </c>
      <c r="K233" s="38">
        <v>967245901</v>
      </c>
      <c r="L233" s="37" t="s">
        <v>685</v>
      </c>
      <c r="O233" s="39" t="s">
        <v>1677</v>
      </c>
      <c r="AS233" s="48">
        <f>ROUND((Товары[[#This Row],[IRP, Eur]]*$AT$1),-2)*(1+Товары[[#This Row],[Процент повышения РРЦ]])</f>
        <v>0</v>
      </c>
      <c r="AT233" s="48"/>
      <c r="AU233" s="50">
        <f>ROUND(Товары[[#This Row],[РРЦ финальная, руб.]]/$AT$1,2)</f>
        <v>0</v>
      </c>
      <c r="AV233" s="49" t="str">
        <f>IFERROR(Товары[[#This Row],[РРЦ, евро]]/Товары[[#This Row],[IRP, Eur]],"-")</f>
        <v>-</v>
      </c>
      <c r="AX233" s="48">
        <f>ROUND(Товары[[#This Row],[РРЦ финальная, руб.]]*(1-Товары[[#This Row],[Скидка DIY]]),2)</f>
        <v>0</v>
      </c>
    </row>
    <row r="234" spans="1:50" x14ac:dyDescent="0.25">
      <c r="A234" s="36">
        <v>232</v>
      </c>
      <c r="C234" s="36" t="s">
        <v>234</v>
      </c>
      <c r="D2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4" s="36" t="s">
        <v>230</v>
      </c>
      <c r="F2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4" s="38">
        <v>9113</v>
      </c>
      <c r="I234" s="37" t="s">
        <v>263</v>
      </c>
      <c r="J234" s="37">
        <v>1754</v>
      </c>
      <c r="K234" s="38">
        <v>967246001</v>
      </c>
      <c r="L234" s="37" t="s">
        <v>686</v>
      </c>
      <c r="O234" s="39" t="s">
        <v>1678</v>
      </c>
      <c r="AS234" s="48">
        <f>ROUND((Товары[[#This Row],[IRP, Eur]]*$AT$1),-2)*(1+Товары[[#This Row],[Процент повышения РРЦ]])</f>
        <v>0</v>
      </c>
      <c r="AT234" s="48"/>
      <c r="AU234" s="50">
        <f>ROUND(Товары[[#This Row],[РРЦ финальная, руб.]]/$AT$1,2)</f>
        <v>0</v>
      </c>
      <c r="AV234" s="49" t="str">
        <f>IFERROR(Товары[[#This Row],[РРЦ, евро]]/Товары[[#This Row],[IRP, Eur]],"-")</f>
        <v>-</v>
      </c>
      <c r="AX234" s="48">
        <f>ROUND(Товары[[#This Row],[РРЦ финальная, руб.]]*(1-Товары[[#This Row],[Скидка DIY]]),2)</f>
        <v>0</v>
      </c>
    </row>
    <row r="235" spans="1:50" x14ac:dyDescent="0.25">
      <c r="A235" s="36">
        <v>233</v>
      </c>
      <c r="C235" s="36" t="s">
        <v>234</v>
      </c>
      <c r="D2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5" s="36" t="s">
        <v>230</v>
      </c>
      <c r="F2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5" s="38">
        <v>9113</v>
      </c>
      <c r="I235" s="37" t="s">
        <v>263</v>
      </c>
      <c r="J235" s="37">
        <v>1755</v>
      </c>
      <c r="K235" s="38">
        <v>967246101</v>
      </c>
      <c r="L235" s="37" t="s">
        <v>687</v>
      </c>
      <c r="O235" s="39" t="s">
        <v>1679</v>
      </c>
      <c r="AS235" s="48">
        <f>ROUND((Товары[[#This Row],[IRP, Eur]]*$AT$1),-2)*(1+Товары[[#This Row],[Процент повышения РРЦ]])</f>
        <v>0</v>
      </c>
      <c r="AT235" s="48"/>
      <c r="AU235" s="50">
        <f>ROUND(Товары[[#This Row],[РРЦ финальная, руб.]]/$AT$1,2)</f>
        <v>0</v>
      </c>
      <c r="AV235" s="49" t="str">
        <f>IFERROR(Товары[[#This Row],[РРЦ, евро]]/Товары[[#This Row],[IRP, Eur]],"-")</f>
        <v>-</v>
      </c>
      <c r="AX235" s="48">
        <f>ROUND(Товары[[#This Row],[РРЦ финальная, руб.]]*(1-Товары[[#This Row],[Скидка DIY]]),2)</f>
        <v>0</v>
      </c>
    </row>
    <row r="236" spans="1:50" x14ac:dyDescent="0.25">
      <c r="A236" s="36">
        <v>234</v>
      </c>
      <c r="C236" s="36" t="s">
        <v>234</v>
      </c>
      <c r="D2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6" s="36" t="s">
        <v>230</v>
      </c>
      <c r="F2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6" s="38">
        <v>9113</v>
      </c>
      <c r="I236" s="37" t="s">
        <v>263</v>
      </c>
      <c r="J236" s="37">
        <v>1756</v>
      </c>
      <c r="K236" s="38">
        <v>967246201</v>
      </c>
      <c r="L236" s="37" t="s">
        <v>688</v>
      </c>
      <c r="O236" s="39" t="s">
        <v>1680</v>
      </c>
      <c r="AS236" s="48">
        <f>ROUND((Товары[[#This Row],[IRP, Eur]]*$AT$1),-2)*(1+Товары[[#This Row],[Процент повышения РРЦ]])</f>
        <v>0</v>
      </c>
      <c r="AT236" s="48"/>
      <c r="AU236" s="50">
        <f>ROUND(Товары[[#This Row],[РРЦ финальная, руб.]]/$AT$1,2)</f>
        <v>0</v>
      </c>
      <c r="AV236" s="49" t="str">
        <f>IFERROR(Товары[[#This Row],[РРЦ, евро]]/Товары[[#This Row],[IRP, Eur]],"-")</f>
        <v>-</v>
      </c>
      <c r="AX236" s="48">
        <f>ROUND(Товары[[#This Row],[РРЦ финальная, руб.]]*(1-Товары[[#This Row],[Скидка DIY]]),2)</f>
        <v>0</v>
      </c>
    </row>
    <row r="237" spans="1:50" x14ac:dyDescent="0.25">
      <c r="A237" s="36">
        <v>235</v>
      </c>
      <c r="C237" s="36" t="s">
        <v>234</v>
      </c>
      <c r="D2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7" s="36" t="s">
        <v>230</v>
      </c>
      <c r="F2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7" s="38">
        <v>9112</v>
      </c>
      <c r="I237" s="37" t="s">
        <v>263</v>
      </c>
      <c r="J237" s="37">
        <v>1757</v>
      </c>
      <c r="K237" s="38">
        <v>967296201</v>
      </c>
      <c r="L237" s="37" t="s">
        <v>689</v>
      </c>
      <c r="M237" s="37" t="s">
        <v>1362</v>
      </c>
      <c r="O237" s="39" t="s">
        <v>1681</v>
      </c>
      <c r="AS237" s="48">
        <f>ROUND((Товары[[#This Row],[IRP, Eur]]*$AT$1),-2)*(1+Товары[[#This Row],[Процент повышения РРЦ]])</f>
        <v>0</v>
      </c>
      <c r="AT237" s="48"/>
      <c r="AU237" s="50">
        <f>ROUND(Товары[[#This Row],[РРЦ финальная, руб.]]/$AT$1,2)</f>
        <v>0</v>
      </c>
      <c r="AV237" s="49" t="str">
        <f>IFERROR(Товары[[#This Row],[РРЦ, евро]]/Товары[[#This Row],[IRP, Eur]],"-")</f>
        <v>-</v>
      </c>
      <c r="AX237" s="48">
        <f>ROUND(Товары[[#This Row],[РРЦ финальная, руб.]]*(1-Товары[[#This Row],[Скидка DIY]]),2)</f>
        <v>0</v>
      </c>
    </row>
    <row r="238" spans="1:50" x14ac:dyDescent="0.25">
      <c r="A238" s="36">
        <v>236</v>
      </c>
      <c r="C238" s="36" t="s">
        <v>234</v>
      </c>
      <c r="D2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8" s="36" t="s">
        <v>230</v>
      </c>
      <c r="F2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8" s="38">
        <v>9112</v>
      </c>
      <c r="I238" s="37" t="s">
        <v>263</v>
      </c>
      <c r="J238" s="37">
        <v>1758</v>
      </c>
      <c r="K238" s="38">
        <v>967296301</v>
      </c>
      <c r="L238" s="37" t="s">
        <v>690</v>
      </c>
      <c r="M238" s="37" t="s">
        <v>1362</v>
      </c>
      <c r="O238" s="39" t="s">
        <v>1682</v>
      </c>
      <c r="AS238" s="48">
        <f>ROUND((Товары[[#This Row],[IRP, Eur]]*$AT$1),-2)*(1+Товары[[#This Row],[Процент повышения РРЦ]])</f>
        <v>0</v>
      </c>
      <c r="AT238" s="48"/>
      <c r="AU238" s="50">
        <f>ROUND(Товары[[#This Row],[РРЦ финальная, руб.]]/$AT$1,2)</f>
        <v>0</v>
      </c>
      <c r="AV238" s="49" t="str">
        <f>IFERROR(Товары[[#This Row],[РРЦ, евро]]/Товары[[#This Row],[IRP, Eur]],"-")</f>
        <v>-</v>
      </c>
      <c r="AX238" s="48">
        <f>ROUND(Товары[[#This Row],[РРЦ финальная, руб.]]*(1-Товары[[#This Row],[Скидка DIY]]),2)</f>
        <v>0</v>
      </c>
    </row>
    <row r="239" spans="1:50" x14ac:dyDescent="0.25">
      <c r="A239" s="36">
        <v>237</v>
      </c>
      <c r="C239" s="36" t="s">
        <v>234</v>
      </c>
      <c r="D2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9" s="36" t="s">
        <v>230</v>
      </c>
      <c r="F2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9" s="38">
        <v>9112</v>
      </c>
      <c r="I239" s="37" t="s">
        <v>263</v>
      </c>
      <c r="J239" s="37">
        <v>1759</v>
      </c>
      <c r="K239" s="38">
        <v>967296401</v>
      </c>
      <c r="L239" s="37" t="s">
        <v>691</v>
      </c>
      <c r="M239" s="37" t="s">
        <v>1362</v>
      </c>
      <c r="O239" s="39" t="s">
        <v>1683</v>
      </c>
      <c r="AS239" s="48">
        <f>ROUND((Товары[[#This Row],[IRP, Eur]]*$AT$1),-2)*(1+Товары[[#This Row],[Процент повышения РРЦ]])</f>
        <v>0</v>
      </c>
      <c r="AT239" s="48"/>
      <c r="AU239" s="50">
        <f>ROUND(Товары[[#This Row],[РРЦ финальная, руб.]]/$AT$1,2)</f>
        <v>0</v>
      </c>
      <c r="AV239" s="49" t="str">
        <f>IFERROR(Товары[[#This Row],[РРЦ, евро]]/Товары[[#This Row],[IRP, Eur]],"-")</f>
        <v>-</v>
      </c>
      <c r="AX239" s="48">
        <f>ROUND(Товары[[#This Row],[РРЦ финальная, руб.]]*(1-Товары[[#This Row],[Скидка DIY]]),2)</f>
        <v>0</v>
      </c>
    </row>
    <row r="240" spans="1:50" x14ac:dyDescent="0.25">
      <c r="A240" s="36">
        <v>238</v>
      </c>
      <c r="C240" s="36" t="s">
        <v>234</v>
      </c>
      <c r="D2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0" s="36" t="s">
        <v>230</v>
      </c>
      <c r="F2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0" s="38">
        <v>9112</v>
      </c>
      <c r="I240" s="37" t="s">
        <v>263</v>
      </c>
      <c r="J240" s="37">
        <v>1760</v>
      </c>
      <c r="K240" s="38">
        <v>967296501</v>
      </c>
      <c r="L240" s="37" t="s">
        <v>692</v>
      </c>
      <c r="M240" s="37" t="s">
        <v>1362</v>
      </c>
      <c r="O240" s="39" t="s">
        <v>1684</v>
      </c>
      <c r="AS240" s="48">
        <f>ROUND((Товары[[#This Row],[IRP, Eur]]*$AT$1),-2)*(1+Товары[[#This Row],[Процент повышения РРЦ]])</f>
        <v>0</v>
      </c>
      <c r="AT240" s="48"/>
      <c r="AU240" s="50">
        <f>ROUND(Товары[[#This Row],[РРЦ финальная, руб.]]/$AT$1,2)</f>
        <v>0</v>
      </c>
      <c r="AV240" s="49" t="str">
        <f>IFERROR(Товары[[#This Row],[РРЦ, евро]]/Товары[[#This Row],[IRP, Eur]],"-")</f>
        <v>-</v>
      </c>
      <c r="AX240" s="48">
        <f>ROUND(Товары[[#This Row],[РРЦ финальная, руб.]]*(1-Товары[[#This Row],[Скидка DIY]]),2)</f>
        <v>0</v>
      </c>
    </row>
    <row r="241" spans="1:50" x14ac:dyDescent="0.25">
      <c r="A241" s="36">
        <v>239</v>
      </c>
      <c r="C241" s="36" t="s">
        <v>234</v>
      </c>
      <c r="D2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1" s="36" t="s">
        <v>230</v>
      </c>
      <c r="F2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1" s="38">
        <v>9115</v>
      </c>
      <c r="I241" s="37" t="s">
        <v>263</v>
      </c>
      <c r="J241" s="37" t="s">
        <v>367</v>
      </c>
      <c r="K241" s="38">
        <v>970442301</v>
      </c>
      <c r="L241" s="37" t="s">
        <v>693</v>
      </c>
      <c r="M241" s="37" t="s">
        <v>695</v>
      </c>
      <c r="O241" s="39" t="s">
        <v>1685</v>
      </c>
      <c r="AS241" s="48">
        <f>ROUND((Товары[[#This Row],[IRP, Eur]]*$AT$1),-2)*(1+Товары[[#This Row],[Процент повышения РРЦ]])</f>
        <v>0</v>
      </c>
      <c r="AT241" s="48"/>
      <c r="AU241" s="50">
        <f>ROUND(Товары[[#This Row],[РРЦ финальная, руб.]]/$AT$1,2)</f>
        <v>0</v>
      </c>
      <c r="AV241" s="49" t="str">
        <f>IFERROR(Товары[[#This Row],[РРЦ, евро]]/Товары[[#This Row],[IRP, Eur]],"-")</f>
        <v>-</v>
      </c>
      <c r="AX241" s="48">
        <f>ROUND(Товары[[#This Row],[РРЦ финальная, руб.]]*(1-Товары[[#This Row],[Скидка DIY]]),2)</f>
        <v>0</v>
      </c>
    </row>
    <row r="242" spans="1:50" x14ac:dyDescent="0.25">
      <c r="A242" s="36">
        <v>240</v>
      </c>
      <c r="C242" s="36" t="s">
        <v>234</v>
      </c>
      <c r="D2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2" s="36" t="s">
        <v>230</v>
      </c>
      <c r="F2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2" s="38">
        <v>970485501</v>
      </c>
      <c r="L242" s="37" t="s">
        <v>694</v>
      </c>
      <c r="M242" s="37" t="s">
        <v>1363</v>
      </c>
      <c r="O242" s="39" t="s">
        <v>1686</v>
      </c>
      <c r="AS242" s="48">
        <f>ROUND((Товары[[#This Row],[IRP, Eur]]*$AT$1),-2)*(1+Товары[[#This Row],[Процент повышения РРЦ]])</f>
        <v>0</v>
      </c>
      <c r="AT242" s="48"/>
      <c r="AU242" s="50">
        <f>ROUND(Товары[[#This Row],[РРЦ финальная, руб.]]/$AT$1,2)</f>
        <v>0</v>
      </c>
      <c r="AV242" s="49" t="str">
        <f>IFERROR(Товары[[#This Row],[РРЦ, евро]]/Товары[[#This Row],[IRP, Eur]],"-")</f>
        <v>-</v>
      </c>
      <c r="AX242" s="48">
        <f>ROUND(Товары[[#This Row],[РРЦ финальная, руб.]]*(1-Товары[[#This Row],[Скидка DIY]]),2)</f>
        <v>0</v>
      </c>
    </row>
    <row r="243" spans="1:50" x14ac:dyDescent="0.25">
      <c r="A243" s="36">
        <v>241</v>
      </c>
      <c r="C243" s="36" t="s">
        <v>234</v>
      </c>
      <c r="D2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3" s="36" t="s">
        <v>230</v>
      </c>
      <c r="F2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3" s="38">
        <v>9115</v>
      </c>
      <c r="I243" s="37" t="s">
        <v>263</v>
      </c>
      <c r="J243" s="37">
        <v>1661</v>
      </c>
      <c r="K243" s="38">
        <v>967068301</v>
      </c>
      <c r="L243" s="37" t="s">
        <v>695</v>
      </c>
      <c r="M243" s="37" t="s">
        <v>1318</v>
      </c>
      <c r="O243" s="39" t="s">
        <v>1687</v>
      </c>
      <c r="AS243" s="48">
        <f>ROUND((Товары[[#This Row],[IRP, Eur]]*$AT$1),-2)*(1+Товары[[#This Row],[Процент повышения РРЦ]])</f>
        <v>0</v>
      </c>
      <c r="AT243" s="48"/>
      <c r="AU243" s="50">
        <f>ROUND(Товары[[#This Row],[РРЦ финальная, руб.]]/$AT$1,2)</f>
        <v>0</v>
      </c>
      <c r="AV243" s="49" t="str">
        <f>IFERROR(Товары[[#This Row],[РРЦ, евро]]/Товары[[#This Row],[IRP, Eur]],"-")</f>
        <v>-</v>
      </c>
      <c r="AX243" s="48">
        <f>ROUND(Товары[[#This Row],[РРЦ финальная, руб.]]*(1-Товары[[#This Row],[Скидка DIY]]),2)</f>
        <v>0</v>
      </c>
    </row>
    <row r="244" spans="1:50" x14ac:dyDescent="0.25">
      <c r="A244" s="36">
        <v>242</v>
      </c>
      <c r="C244" s="36" t="s">
        <v>234</v>
      </c>
      <c r="D2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4" s="36" t="s">
        <v>230</v>
      </c>
      <c r="F2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4" s="38">
        <v>9115</v>
      </c>
      <c r="I244" s="37" t="s">
        <v>263</v>
      </c>
      <c r="J244" s="37" t="s">
        <v>367</v>
      </c>
      <c r="K244" s="38">
        <v>970442501</v>
      </c>
      <c r="L244" s="37" t="s">
        <v>696</v>
      </c>
      <c r="M244" s="37" t="s">
        <v>1328</v>
      </c>
      <c r="O244" s="39" t="s">
        <v>1688</v>
      </c>
      <c r="AS244" s="48">
        <f>ROUND((Товары[[#This Row],[IRP, Eur]]*$AT$1),-2)*(1+Товары[[#This Row],[Процент повышения РРЦ]])</f>
        <v>0</v>
      </c>
      <c r="AT244" s="48"/>
      <c r="AU244" s="50">
        <f>ROUND(Товары[[#This Row],[РРЦ финальная, руб.]]/$AT$1,2)</f>
        <v>0</v>
      </c>
      <c r="AV244" s="49" t="str">
        <f>IFERROR(Товары[[#This Row],[РРЦ, евро]]/Товары[[#This Row],[IRP, Eur]],"-")</f>
        <v>-</v>
      </c>
      <c r="AX244" s="48">
        <f>ROUND(Товары[[#This Row],[РРЦ финальная, руб.]]*(1-Товары[[#This Row],[Скидка DIY]]),2)</f>
        <v>0</v>
      </c>
    </row>
    <row r="245" spans="1:50" x14ac:dyDescent="0.25">
      <c r="A245" s="36">
        <v>243</v>
      </c>
      <c r="C245" s="36" t="s">
        <v>234</v>
      </c>
      <c r="D2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5" s="36" t="s">
        <v>230</v>
      </c>
      <c r="F2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5" s="38">
        <v>9115</v>
      </c>
      <c r="I245" s="37" t="s">
        <v>263</v>
      </c>
      <c r="J245" s="37">
        <v>1780</v>
      </c>
      <c r="K245" s="38">
        <v>900952701</v>
      </c>
      <c r="L245" s="37" t="s">
        <v>697</v>
      </c>
      <c r="O245" s="39" t="s">
        <v>1689</v>
      </c>
      <c r="AS245" s="48">
        <f>ROUND((Товары[[#This Row],[IRP, Eur]]*$AT$1),-2)*(1+Товары[[#This Row],[Процент повышения РРЦ]])</f>
        <v>0</v>
      </c>
      <c r="AT245" s="48"/>
      <c r="AU245" s="50">
        <f>ROUND(Товары[[#This Row],[РРЦ финальная, руб.]]/$AT$1,2)</f>
        <v>0</v>
      </c>
      <c r="AV245" s="49" t="str">
        <f>IFERROR(Товары[[#This Row],[РРЦ, евро]]/Товары[[#This Row],[IRP, Eur]],"-")</f>
        <v>-</v>
      </c>
      <c r="AX245" s="48">
        <f>ROUND(Товары[[#This Row],[РРЦ финальная, руб.]]*(1-Товары[[#This Row],[Скидка DIY]]),2)</f>
        <v>0</v>
      </c>
    </row>
    <row r="246" spans="1:50" x14ac:dyDescent="0.25">
      <c r="A246" s="36">
        <v>244</v>
      </c>
      <c r="C246" s="36" t="s">
        <v>234</v>
      </c>
      <c r="D2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6" s="36" t="s">
        <v>230</v>
      </c>
      <c r="F2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6" s="38">
        <v>970485601</v>
      </c>
      <c r="L246" s="37" t="s">
        <v>698</v>
      </c>
      <c r="M246" s="37" t="s">
        <v>1364</v>
      </c>
      <c r="O246" s="39" t="s">
        <v>1690</v>
      </c>
      <c r="AS246" s="48">
        <f>ROUND((Товары[[#This Row],[IRP, Eur]]*$AT$1),-2)*(1+Товары[[#This Row],[Процент повышения РРЦ]])</f>
        <v>0</v>
      </c>
      <c r="AT246" s="48"/>
      <c r="AU246" s="50">
        <f>ROUND(Товары[[#This Row],[РРЦ финальная, руб.]]/$AT$1,2)</f>
        <v>0</v>
      </c>
      <c r="AV246" s="49" t="str">
        <f>IFERROR(Товары[[#This Row],[РРЦ, евро]]/Товары[[#This Row],[IRP, Eur]],"-")</f>
        <v>-</v>
      </c>
      <c r="AX246" s="48">
        <f>ROUND(Товары[[#This Row],[РРЦ финальная, руб.]]*(1-Товары[[#This Row],[Скидка DIY]]),2)</f>
        <v>0</v>
      </c>
    </row>
    <row r="247" spans="1:50" x14ac:dyDescent="0.25">
      <c r="A247" s="36">
        <v>245</v>
      </c>
      <c r="C247" s="36" t="s">
        <v>234</v>
      </c>
      <c r="D2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7" s="36" t="s">
        <v>230</v>
      </c>
      <c r="F2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7" s="38">
        <v>970485701</v>
      </c>
      <c r="L247" s="37" t="s">
        <v>699</v>
      </c>
      <c r="M247" s="37" t="s">
        <v>1365</v>
      </c>
      <c r="O247" s="39" t="s">
        <v>1691</v>
      </c>
      <c r="AS247" s="48">
        <f>ROUND((Товары[[#This Row],[IRP, Eur]]*$AT$1),-2)*(1+Товары[[#This Row],[Процент повышения РРЦ]])</f>
        <v>0</v>
      </c>
      <c r="AT247" s="48"/>
      <c r="AU247" s="50">
        <f>ROUND(Товары[[#This Row],[РРЦ финальная, руб.]]/$AT$1,2)</f>
        <v>0</v>
      </c>
      <c r="AV247" s="49" t="str">
        <f>IFERROR(Товары[[#This Row],[РРЦ, евро]]/Товары[[#This Row],[IRP, Eur]],"-")</f>
        <v>-</v>
      </c>
      <c r="AX247" s="48">
        <f>ROUND(Товары[[#This Row],[РРЦ финальная, руб.]]*(1-Товары[[#This Row],[Скидка DIY]]),2)</f>
        <v>0</v>
      </c>
    </row>
    <row r="248" spans="1:50" x14ac:dyDescent="0.25">
      <c r="A248" s="36">
        <v>246</v>
      </c>
      <c r="C248" s="36" t="s">
        <v>234</v>
      </c>
      <c r="D2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8" s="36" t="s">
        <v>230</v>
      </c>
      <c r="F2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8" s="38">
        <v>9115</v>
      </c>
      <c r="I248" s="37" t="s">
        <v>263</v>
      </c>
      <c r="J248" s="37">
        <v>1785</v>
      </c>
      <c r="K248" s="38">
        <v>900953901</v>
      </c>
      <c r="L248" s="37" t="s">
        <v>700</v>
      </c>
      <c r="O248" s="39" t="s">
        <v>1692</v>
      </c>
      <c r="AS248" s="48">
        <f>ROUND((Товары[[#This Row],[IRP, Eur]]*$AT$1),-2)*(1+Товары[[#This Row],[Процент повышения РРЦ]])</f>
        <v>0</v>
      </c>
      <c r="AT248" s="48"/>
      <c r="AU248" s="50">
        <f>ROUND(Товары[[#This Row],[РРЦ финальная, руб.]]/$AT$1,2)</f>
        <v>0</v>
      </c>
      <c r="AV248" s="49" t="str">
        <f>IFERROR(Товары[[#This Row],[РРЦ, евро]]/Товары[[#This Row],[IRP, Eur]],"-")</f>
        <v>-</v>
      </c>
      <c r="AX248" s="48">
        <f>ROUND(Товары[[#This Row],[РРЦ финальная, руб.]]*(1-Товары[[#This Row],[Скидка DIY]]),2)</f>
        <v>0</v>
      </c>
    </row>
    <row r="249" spans="1:50" x14ac:dyDescent="0.25">
      <c r="A249" s="36">
        <v>247</v>
      </c>
      <c r="C249" s="36" t="s">
        <v>234</v>
      </c>
      <c r="D2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9" s="36" t="s">
        <v>230</v>
      </c>
      <c r="F2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9" s="38">
        <v>9115</v>
      </c>
      <c r="I249" s="37" t="s">
        <v>263</v>
      </c>
      <c r="J249" s="37">
        <v>1787</v>
      </c>
      <c r="K249" s="38">
        <v>900954401</v>
      </c>
      <c r="L249" s="37" t="s">
        <v>701</v>
      </c>
      <c r="O249" s="39" t="s">
        <v>1693</v>
      </c>
      <c r="AS249" s="48">
        <f>ROUND((Товары[[#This Row],[IRP, Eur]]*$AT$1),-2)*(1+Товары[[#This Row],[Процент повышения РРЦ]])</f>
        <v>0</v>
      </c>
      <c r="AT249" s="48"/>
      <c r="AU249" s="50">
        <f>ROUND(Товары[[#This Row],[РРЦ финальная, руб.]]/$AT$1,2)</f>
        <v>0</v>
      </c>
      <c r="AV249" s="49" t="str">
        <f>IFERROR(Товары[[#This Row],[РРЦ, евро]]/Товары[[#This Row],[IRP, Eur]],"-")</f>
        <v>-</v>
      </c>
      <c r="AX249" s="48">
        <f>ROUND(Товары[[#This Row],[РРЦ финальная, руб.]]*(1-Товары[[#This Row],[Скидка DIY]]),2)</f>
        <v>0</v>
      </c>
    </row>
    <row r="250" spans="1:50" x14ac:dyDescent="0.25">
      <c r="A250" s="36">
        <v>248</v>
      </c>
      <c r="C250" s="36" t="s">
        <v>234</v>
      </c>
      <c r="D2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0" s="36" t="s">
        <v>230</v>
      </c>
      <c r="F2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0" s="38">
        <v>9115</v>
      </c>
      <c r="I250" s="37" t="s">
        <v>263</v>
      </c>
      <c r="J250" s="37" t="s">
        <v>367</v>
      </c>
      <c r="K250" s="38">
        <v>970442701</v>
      </c>
      <c r="L250" s="37" t="s">
        <v>702</v>
      </c>
      <c r="M250" s="37" t="s">
        <v>705</v>
      </c>
      <c r="O250" s="39" t="s">
        <v>1694</v>
      </c>
      <c r="AS250" s="48">
        <f>ROUND((Товары[[#This Row],[IRP, Eur]]*$AT$1),-2)*(1+Товары[[#This Row],[Процент повышения РРЦ]])</f>
        <v>0</v>
      </c>
      <c r="AT250" s="48"/>
      <c r="AU250" s="50">
        <f>ROUND(Товары[[#This Row],[РРЦ финальная, руб.]]/$AT$1,2)</f>
        <v>0</v>
      </c>
      <c r="AV250" s="49" t="str">
        <f>IFERROR(Товары[[#This Row],[РРЦ, евро]]/Товары[[#This Row],[IRP, Eur]],"-")</f>
        <v>-</v>
      </c>
      <c r="AX250" s="48">
        <f>ROUND(Товары[[#This Row],[РРЦ финальная, руб.]]*(1-Товары[[#This Row],[Скидка DIY]]),2)</f>
        <v>0</v>
      </c>
    </row>
    <row r="251" spans="1:50" x14ac:dyDescent="0.25">
      <c r="A251" s="36">
        <v>249</v>
      </c>
      <c r="C251" s="36" t="s">
        <v>234</v>
      </c>
      <c r="D2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1" s="36" t="s">
        <v>230</v>
      </c>
      <c r="F2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1" s="38">
        <v>970485901</v>
      </c>
      <c r="L251" s="37" t="s">
        <v>703</v>
      </c>
      <c r="M251" s="37" t="s">
        <v>1366</v>
      </c>
      <c r="O251" s="39" t="s">
        <v>1695</v>
      </c>
      <c r="AS251" s="48">
        <f>ROUND((Товары[[#This Row],[IRP, Eur]]*$AT$1),-2)*(1+Товары[[#This Row],[Процент повышения РРЦ]])</f>
        <v>0</v>
      </c>
      <c r="AT251" s="48"/>
      <c r="AU251" s="50">
        <f>ROUND(Товары[[#This Row],[РРЦ финальная, руб.]]/$AT$1,2)</f>
        <v>0</v>
      </c>
      <c r="AV251" s="49" t="str">
        <f>IFERROR(Товары[[#This Row],[РРЦ, евро]]/Товары[[#This Row],[IRP, Eur]],"-")</f>
        <v>-</v>
      </c>
      <c r="AX251" s="48">
        <f>ROUND(Товары[[#This Row],[РРЦ финальная, руб.]]*(1-Товары[[#This Row],[Скидка DIY]]),2)</f>
        <v>0</v>
      </c>
    </row>
    <row r="252" spans="1:50" x14ac:dyDescent="0.25">
      <c r="A252" s="36">
        <v>250</v>
      </c>
      <c r="C252" s="36" t="s">
        <v>234</v>
      </c>
      <c r="D2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2" s="36" t="s">
        <v>230</v>
      </c>
      <c r="F2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2" s="38">
        <v>9115</v>
      </c>
      <c r="I252" s="37" t="s">
        <v>263</v>
      </c>
      <c r="J252" s="37" t="s">
        <v>367</v>
      </c>
      <c r="K252" s="38">
        <v>970442901</v>
      </c>
      <c r="L252" s="37" t="s">
        <v>704</v>
      </c>
      <c r="M252" s="37" t="s">
        <v>1328</v>
      </c>
      <c r="O252" s="39" t="s">
        <v>1696</v>
      </c>
      <c r="AS252" s="48">
        <f>ROUND((Товары[[#This Row],[IRP, Eur]]*$AT$1),-2)*(1+Товары[[#This Row],[Процент повышения РРЦ]])</f>
        <v>0</v>
      </c>
      <c r="AT252" s="48"/>
      <c r="AU252" s="50">
        <f>ROUND(Товары[[#This Row],[РРЦ финальная, руб.]]/$AT$1,2)</f>
        <v>0</v>
      </c>
      <c r="AV252" s="49" t="str">
        <f>IFERROR(Товары[[#This Row],[РРЦ, евро]]/Товары[[#This Row],[IRP, Eur]],"-")</f>
        <v>-</v>
      </c>
      <c r="AX252" s="48">
        <f>ROUND(Товары[[#This Row],[РРЦ финальная, руб.]]*(1-Товары[[#This Row],[Скидка DIY]]),2)</f>
        <v>0</v>
      </c>
    </row>
    <row r="253" spans="1:50" x14ac:dyDescent="0.25">
      <c r="A253" s="36">
        <v>251</v>
      </c>
      <c r="C253" s="36" t="s">
        <v>234</v>
      </c>
      <c r="D2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3" s="36" t="s">
        <v>230</v>
      </c>
      <c r="F2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3" s="38">
        <v>9115</v>
      </c>
      <c r="I253" s="37" t="s">
        <v>263</v>
      </c>
      <c r="J253" s="37">
        <v>1665</v>
      </c>
      <c r="K253" s="38">
        <v>967068401</v>
      </c>
      <c r="L253" s="37" t="s">
        <v>705</v>
      </c>
      <c r="M253" s="37" t="s">
        <v>1319</v>
      </c>
      <c r="O253" s="39" t="s">
        <v>1697</v>
      </c>
      <c r="AS253" s="48">
        <f>ROUND((Товары[[#This Row],[IRP, Eur]]*$AT$1),-2)*(1+Товары[[#This Row],[Процент повышения РРЦ]])</f>
        <v>0</v>
      </c>
      <c r="AT253" s="48"/>
      <c r="AU253" s="50">
        <f>ROUND(Товары[[#This Row],[РРЦ финальная, руб.]]/$AT$1,2)</f>
        <v>0</v>
      </c>
      <c r="AV253" s="49" t="str">
        <f>IFERROR(Товары[[#This Row],[РРЦ, евро]]/Товары[[#This Row],[IRP, Eur]],"-")</f>
        <v>-</v>
      </c>
      <c r="AX253" s="48">
        <f>ROUND(Товары[[#This Row],[РРЦ финальная, руб.]]*(1-Товары[[#This Row],[Скидка DIY]]),2)</f>
        <v>0</v>
      </c>
    </row>
    <row r="254" spans="1:50" x14ac:dyDescent="0.25">
      <c r="A254" s="36">
        <v>252</v>
      </c>
      <c r="C254" s="36" t="s">
        <v>234</v>
      </c>
      <c r="D2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4" s="36" t="s">
        <v>230</v>
      </c>
      <c r="F2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4" s="38">
        <v>9115</v>
      </c>
      <c r="I254" s="37" t="s">
        <v>263</v>
      </c>
      <c r="J254" s="37">
        <v>1795</v>
      </c>
      <c r="K254" s="38">
        <v>900956401</v>
      </c>
      <c r="L254" s="37" t="s">
        <v>706</v>
      </c>
      <c r="O254" s="39" t="s">
        <v>1698</v>
      </c>
      <c r="AS254" s="48">
        <f>ROUND((Товары[[#This Row],[IRP, Eur]]*$AT$1),-2)*(1+Товары[[#This Row],[Процент повышения РРЦ]])</f>
        <v>0</v>
      </c>
      <c r="AT254" s="48"/>
      <c r="AU254" s="50">
        <f>ROUND(Товары[[#This Row],[РРЦ финальная, руб.]]/$AT$1,2)</f>
        <v>0</v>
      </c>
      <c r="AV254" s="49" t="str">
        <f>IFERROR(Товары[[#This Row],[РРЦ, евро]]/Товары[[#This Row],[IRP, Eur]],"-")</f>
        <v>-</v>
      </c>
      <c r="AX254" s="48">
        <f>ROUND(Товары[[#This Row],[РРЦ финальная, руб.]]*(1-Товары[[#This Row],[Скидка DIY]]),2)</f>
        <v>0</v>
      </c>
    </row>
    <row r="255" spans="1:50" x14ac:dyDescent="0.25">
      <c r="A255" s="36">
        <v>253</v>
      </c>
      <c r="C255" s="36" t="s">
        <v>234</v>
      </c>
      <c r="D2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5" s="36" t="s">
        <v>230</v>
      </c>
      <c r="F2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5" s="38">
        <v>970486001</v>
      </c>
      <c r="L255" s="37" t="s">
        <v>707</v>
      </c>
      <c r="M255" s="37" t="s">
        <v>1367</v>
      </c>
      <c r="O255" s="39" t="s">
        <v>1699</v>
      </c>
      <c r="AS255" s="48">
        <f>ROUND((Товары[[#This Row],[IRP, Eur]]*$AT$1),-2)*(1+Товары[[#This Row],[Процент повышения РРЦ]])</f>
        <v>0</v>
      </c>
      <c r="AT255" s="48"/>
      <c r="AU255" s="50">
        <f>ROUND(Товары[[#This Row],[РРЦ финальная, руб.]]/$AT$1,2)</f>
        <v>0</v>
      </c>
      <c r="AV255" s="49" t="str">
        <f>IFERROR(Товары[[#This Row],[РРЦ, евро]]/Товары[[#This Row],[IRP, Eur]],"-")</f>
        <v>-</v>
      </c>
      <c r="AX255" s="48">
        <f>ROUND(Товары[[#This Row],[РРЦ финальная, руб.]]*(1-Товары[[#This Row],[Скидка DIY]]),2)</f>
        <v>0</v>
      </c>
    </row>
    <row r="256" spans="1:50" x14ac:dyDescent="0.25">
      <c r="A256" s="36">
        <v>254</v>
      </c>
      <c r="C256" s="36" t="s">
        <v>234</v>
      </c>
      <c r="D2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6" s="36" t="s">
        <v>230</v>
      </c>
      <c r="F2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6" s="38">
        <v>9115</v>
      </c>
      <c r="I256" s="37" t="s">
        <v>263</v>
      </c>
      <c r="J256" s="37">
        <v>1797</v>
      </c>
      <c r="K256" s="38">
        <v>900956801</v>
      </c>
      <c r="L256" s="37" t="s">
        <v>708</v>
      </c>
      <c r="O256" s="39" t="s">
        <v>1700</v>
      </c>
      <c r="AS256" s="48">
        <f>ROUND((Товары[[#This Row],[IRP, Eur]]*$AT$1),-2)*(1+Товары[[#This Row],[Процент повышения РРЦ]])</f>
        <v>0</v>
      </c>
      <c r="AT256" s="48"/>
      <c r="AU256" s="50">
        <f>ROUND(Товары[[#This Row],[РРЦ финальная, руб.]]/$AT$1,2)</f>
        <v>0</v>
      </c>
      <c r="AV256" s="49" t="str">
        <f>IFERROR(Товары[[#This Row],[РРЦ, евро]]/Товары[[#This Row],[IRP, Eur]],"-")</f>
        <v>-</v>
      </c>
      <c r="AX256" s="48">
        <f>ROUND(Товары[[#This Row],[РРЦ финальная, руб.]]*(1-Товары[[#This Row],[Скидка DIY]]),2)</f>
        <v>0</v>
      </c>
    </row>
    <row r="257" spans="1:50" x14ac:dyDescent="0.25">
      <c r="A257" s="36">
        <v>255</v>
      </c>
      <c r="C257" s="36" t="s">
        <v>234</v>
      </c>
      <c r="D2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7" s="36" t="s">
        <v>230</v>
      </c>
      <c r="F2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7" s="38">
        <v>9115</v>
      </c>
      <c r="I257" s="37" t="s">
        <v>263</v>
      </c>
      <c r="J257" s="37">
        <v>1799</v>
      </c>
      <c r="K257" s="38">
        <v>900957501</v>
      </c>
      <c r="L257" s="37" t="s">
        <v>709</v>
      </c>
      <c r="O257" s="39" t="s">
        <v>1701</v>
      </c>
      <c r="AS257" s="48">
        <f>ROUND((Товары[[#This Row],[IRP, Eur]]*$AT$1),-2)*(1+Товары[[#This Row],[Процент повышения РРЦ]])</f>
        <v>0</v>
      </c>
      <c r="AT257" s="48"/>
      <c r="AU257" s="50">
        <f>ROUND(Товары[[#This Row],[РРЦ финальная, руб.]]/$AT$1,2)</f>
        <v>0</v>
      </c>
      <c r="AV257" s="49" t="str">
        <f>IFERROR(Товары[[#This Row],[РРЦ, евро]]/Товары[[#This Row],[IRP, Eur]],"-")</f>
        <v>-</v>
      </c>
      <c r="AX257" s="48">
        <f>ROUND(Товары[[#This Row],[РРЦ финальная, руб.]]*(1-Товары[[#This Row],[Скидка DIY]]),2)</f>
        <v>0</v>
      </c>
    </row>
    <row r="258" spans="1:50" x14ac:dyDescent="0.25">
      <c r="A258" s="36">
        <v>256</v>
      </c>
      <c r="C258" s="36" t="s">
        <v>234</v>
      </c>
      <c r="D2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8" s="36" t="s">
        <v>230</v>
      </c>
      <c r="F2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8" s="38">
        <v>9115</v>
      </c>
      <c r="I258" s="37" t="s">
        <v>263</v>
      </c>
      <c r="J258" s="37">
        <v>1802</v>
      </c>
      <c r="K258" s="38">
        <v>900957901</v>
      </c>
      <c r="L258" s="37" t="s">
        <v>710</v>
      </c>
      <c r="O258" s="39" t="s">
        <v>1702</v>
      </c>
      <c r="AS258" s="48">
        <f>ROUND((Товары[[#This Row],[IRP, Eur]]*$AT$1),-2)*(1+Товары[[#This Row],[Процент повышения РРЦ]])</f>
        <v>0</v>
      </c>
      <c r="AT258" s="48"/>
      <c r="AU258" s="50">
        <f>ROUND(Товары[[#This Row],[РРЦ финальная, руб.]]/$AT$1,2)</f>
        <v>0</v>
      </c>
      <c r="AV258" s="49" t="str">
        <f>IFERROR(Товары[[#This Row],[РРЦ, евро]]/Товары[[#This Row],[IRP, Eur]],"-")</f>
        <v>-</v>
      </c>
      <c r="AX258" s="48">
        <f>ROUND(Товары[[#This Row],[РРЦ финальная, руб.]]*(1-Товары[[#This Row],[Скидка DIY]]),2)</f>
        <v>0</v>
      </c>
    </row>
    <row r="259" spans="1:50" x14ac:dyDescent="0.25">
      <c r="A259" s="36">
        <v>257</v>
      </c>
      <c r="C259" s="36" t="s">
        <v>234</v>
      </c>
      <c r="D2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9" s="36" t="s">
        <v>230</v>
      </c>
      <c r="F2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9" s="38">
        <v>970485801</v>
      </c>
      <c r="L259" s="37" t="s">
        <v>711</v>
      </c>
      <c r="M259" s="37" t="s">
        <v>1368</v>
      </c>
      <c r="O259" s="39" t="s">
        <v>1703</v>
      </c>
      <c r="AS259" s="48">
        <f>ROUND((Товары[[#This Row],[IRP, Eur]]*$AT$1),-2)*(1+Товары[[#This Row],[Процент повышения РРЦ]])</f>
        <v>0</v>
      </c>
      <c r="AT259" s="48"/>
      <c r="AU259" s="50">
        <f>ROUND(Товары[[#This Row],[РРЦ финальная, руб.]]/$AT$1,2)</f>
        <v>0</v>
      </c>
      <c r="AV259" s="49" t="str">
        <f>IFERROR(Товары[[#This Row],[РРЦ, евро]]/Товары[[#This Row],[IRP, Eur]],"-")</f>
        <v>-</v>
      </c>
      <c r="AX259" s="48">
        <f>ROUND(Товары[[#This Row],[РРЦ финальная, руб.]]*(1-Товары[[#This Row],[Скидка DIY]]),2)</f>
        <v>0</v>
      </c>
    </row>
    <row r="260" spans="1:50" x14ac:dyDescent="0.25">
      <c r="A260" s="36">
        <v>258</v>
      </c>
      <c r="C260" s="36" t="s">
        <v>234</v>
      </c>
      <c r="D2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0" s="36" t="s">
        <v>230</v>
      </c>
      <c r="F2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0" s="38">
        <v>970486101</v>
      </c>
      <c r="L260" s="37" t="s">
        <v>712</v>
      </c>
      <c r="M260" s="37" t="s">
        <v>1369</v>
      </c>
      <c r="O260" s="39" t="s">
        <v>1704</v>
      </c>
      <c r="AS260" s="48">
        <f>ROUND((Товары[[#This Row],[IRP, Eur]]*$AT$1),-2)*(1+Товары[[#This Row],[Процент повышения РРЦ]])</f>
        <v>0</v>
      </c>
      <c r="AT260" s="48"/>
      <c r="AU260" s="50">
        <f>ROUND(Товары[[#This Row],[РРЦ финальная, руб.]]/$AT$1,2)</f>
        <v>0</v>
      </c>
      <c r="AV260" s="49" t="str">
        <f>IFERROR(Товары[[#This Row],[РРЦ, евро]]/Товары[[#This Row],[IRP, Eur]],"-")</f>
        <v>-</v>
      </c>
      <c r="AX260" s="48">
        <f>ROUND(Товары[[#This Row],[РРЦ финальная, руб.]]*(1-Товары[[#This Row],[Скидка DIY]]),2)</f>
        <v>0</v>
      </c>
    </row>
    <row r="261" spans="1:50" x14ac:dyDescent="0.25">
      <c r="A261" s="36">
        <v>259</v>
      </c>
      <c r="C261" s="36" t="s">
        <v>234</v>
      </c>
      <c r="D2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1" s="36" t="s">
        <v>230</v>
      </c>
      <c r="F2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1" s="38">
        <v>970486201</v>
      </c>
      <c r="L261" s="37" t="s">
        <v>713</v>
      </c>
      <c r="M261" s="37" t="s">
        <v>1370</v>
      </c>
      <c r="O261" s="39" t="s">
        <v>1705</v>
      </c>
      <c r="AS261" s="48">
        <f>ROUND((Товары[[#This Row],[IRP, Eur]]*$AT$1),-2)*(1+Товары[[#This Row],[Процент повышения РРЦ]])</f>
        <v>0</v>
      </c>
      <c r="AT261" s="48"/>
      <c r="AU261" s="50">
        <f>ROUND(Товары[[#This Row],[РРЦ финальная, руб.]]/$AT$1,2)</f>
        <v>0</v>
      </c>
      <c r="AV261" s="49" t="str">
        <f>IFERROR(Товары[[#This Row],[РРЦ, евро]]/Товары[[#This Row],[IRP, Eur]],"-")</f>
        <v>-</v>
      </c>
      <c r="AX261" s="48">
        <f>ROUND(Товары[[#This Row],[РРЦ финальная, руб.]]*(1-Товары[[#This Row],[Скидка DIY]]),2)</f>
        <v>0</v>
      </c>
    </row>
    <row r="262" spans="1:50" x14ac:dyDescent="0.25">
      <c r="A262" s="36">
        <v>260</v>
      </c>
      <c r="C262" s="36" t="s">
        <v>234</v>
      </c>
      <c r="D2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2" s="36" t="s">
        <v>230</v>
      </c>
      <c r="F2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2" s="38">
        <v>970486301</v>
      </c>
      <c r="L262" s="37" t="s">
        <v>714</v>
      </c>
      <c r="M262" s="37">
        <v>0</v>
      </c>
      <c r="O262" s="39" t="s">
        <v>1706</v>
      </c>
      <c r="AS262" s="48">
        <f>ROUND((Товары[[#This Row],[IRP, Eur]]*$AT$1),-2)*(1+Товары[[#This Row],[Процент повышения РРЦ]])</f>
        <v>0</v>
      </c>
      <c r="AT262" s="48"/>
      <c r="AU262" s="50">
        <f>ROUND(Товары[[#This Row],[РРЦ финальная, руб.]]/$AT$1,2)</f>
        <v>0</v>
      </c>
      <c r="AV262" s="49" t="str">
        <f>IFERROR(Товары[[#This Row],[РРЦ, евро]]/Товары[[#This Row],[IRP, Eur]],"-")</f>
        <v>-</v>
      </c>
      <c r="AX262" s="48">
        <f>ROUND(Товары[[#This Row],[РРЦ финальная, руб.]]*(1-Товары[[#This Row],[Скидка DIY]]),2)</f>
        <v>0</v>
      </c>
    </row>
    <row r="263" spans="1:50" x14ac:dyDescent="0.25">
      <c r="A263" s="36">
        <v>261</v>
      </c>
      <c r="C263" s="36" t="s">
        <v>234</v>
      </c>
      <c r="D2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3" s="36" t="s">
        <v>230</v>
      </c>
      <c r="F2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3" s="38">
        <v>970486401</v>
      </c>
      <c r="L263" s="37" t="s">
        <v>715</v>
      </c>
      <c r="M263" s="37" t="s">
        <v>1371</v>
      </c>
      <c r="O263" s="39" t="s">
        <v>1707</v>
      </c>
      <c r="AS263" s="48">
        <f>ROUND((Товары[[#This Row],[IRP, Eur]]*$AT$1),-2)*(1+Товары[[#This Row],[Процент повышения РРЦ]])</f>
        <v>0</v>
      </c>
      <c r="AT263" s="48"/>
      <c r="AU263" s="50">
        <f>ROUND(Товары[[#This Row],[РРЦ финальная, руб.]]/$AT$1,2)</f>
        <v>0</v>
      </c>
      <c r="AV263" s="49" t="str">
        <f>IFERROR(Товары[[#This Row],[РРЦ, евро]]/Товары[[#This Row],[IRP, Eur]],"-")</f>
        <v>-</v>
      </c>
      <c r="AX263" s="48">
        <f>ROUND(Товары[[#This Row],[РРЦ финальная, руб.]]*(1-Товары[[#This Row],[Скидка DIY]]),2)</f>
        <v>0</v>
      </c>
    </row>
    <row r="264" spans="1:50" x14ac:dyDescent="0.25">
      <c r="A264" s="36">
        <v>262</v>
      </c>
      <c r="C264" s="36" t="s">
        <v>234</v>
      </c>
      <c r="D2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4" s="36" t="s">
        <v>230</v>
      </c>
      <c r="F2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4" s="38">
        <v>970489301</v>
      </c>
      <c r="L264" s="37" t="s">
        <v>716</v>
      </c>
      <c r="M264" s="37">
        <v>0</v>
      </c>
      <c r="O264" s="39" t="s">
        <v>1708</v>
      </c>
      <c r="AS264" s="48">
        <f>ROUND((Товары[[#This Row],[IRP, Eur]]*$AT$1),-2)*(1+Товары[[#This Row],[Процент повышения РРЦ]])</f>
        <v>0</v>
      </c>
      <c r="AT264" s="48"/>
      <c r="AU264" s="50">
        <f>ROUND(Товары[[#This Row],[РРЦ финальная, руб.]]/$AT$1,2)</f>
        <v>0</v>
      </c>
      <c r="AV264" s="49" t="str">
        <f>IFERROR(Товары[[#This Row],[РРЦ, евро]]/Товары[[#This Row],[IRP, Eur]],"-")</f>
        <v>-</v>
      </c>
      <c r="AX264" s="48">
        <f>ROUND(Товары[[#This Row],[РРЦ финальная, руб.]]*(1-Товары[[#This Row],[Скидка DIY]]),2)</f>
        <v>0</v>
      </c>
    </row>
    <row r="265" spans="1:50" x14ac:dyDescent="0.25">
      <c r="A265" s="36">
        <v>263</v>
      </c>
      <c r="C265" s="36" t="s">
        <v>234</v>
      </c>
      <c r="D2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5" s="36" t="s">
        <v>230</v>
      </c>
      <c r="F2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5" s="38">
        <v>970489401</v>
      </c>
      <c r="L265" s="37" t="s">
        <v>717</v>
      </c>
      <c r="M265" s="37">
        <v>0</v>
      </c>
      <c r="O265" s="39" t="s">
        <v>1709</v>
      </c>
      <c r="AS265" s="48">
        <f>ROUND((Товары[[#This Row],[IRP, Eur]]*$AT$1),-2)*(1+Товары[[#This Row],[Процент повышения РРЦ]])</f>
        <v>0</v>
      </c>
      <c r="AT265" s="48"/>
      <c r="AU265" s="50">
        <f>ROUND(Товары[[#This Row],[РРЦ финальная, руб.]]/$AT$1,2)</f>
        <v>0</v>
      </c>
      <c r="AV265" s="49" t="str">
        <f>IFERROR(Товары[[#This Row],[РРЦ, евро]]/Товары[[#This Row],[IRP, Eur]],"-")</f>
        <v>-</v>
      </c>
      <c r="AX265" s="48">
        <f>ROUND(Товары[[#This Row],[РРЦ финальная, руб.]]*(1-Товары[[#This Row],[Скидка DIY]]),2)</f>
        <v>0</v>
      </c>
    </row>
    <row r="266" spans="1:50" x14ac:dyDescent="0.25">
      <c r="A266" s="36">
        <v>264</v>
      </c>
      <c r="C266" s="36" t="s">
        <v>234</v>
      </c>
      <c r="D2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6" s="36" t="s">
        <v>230</v>
      </c>
      <c r="F2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6" s="38">
        <v>970489501</v>
      </c>
      <c r="L266" s="37" t="s">
        <v>718</v>
      </c>
      <c r="M266" s="37">
        <v>0</v>
      </c>
      <c r="O266" s="39" t="s">
        <v>1710</v>
      </c>
      <c r="AS266" s="48">
        <f>ROUND((Товары[[#This Row],[IRP, Eur]]*$AT$1),-2)*(1+Товары[[#This Row],[Процент повышения РРЦ]])</f>
        <v>0</v>
      </c>
      <c r="AT266" s="48"/>
      <c r="AU266" s="50">
        <f>ROUND(Товары[[#This Row],[РРЦ финальная, руб.]]/$AT$1,2)</f>
        <v>0</v>
      </c>
      <c r="AV266" s="49" t="str">
        <f>IFERROR(Товары[[#This Row],[РРЦ, евро]]/Товары[[#This Row],[IRP, Eur]],"-")</f>
        <v>-</v>
      </c>
      <c r="AX266" s="48">
        <f>ROUND(Товары[[#This Row],[РРЦ финальная, руб.]]*(1-Товары[[#This Row],[Скидка DIY]]),2)</f>
        <v>0</v>
      </c>
    </row>
    <row r="267" spans="1:50" x14ac:dyDescent="0.25">
      <c r="A267" s="36">
        <v>265</v>
      </c>
      <c r="C267" s="36" t="s">
        <v>234</v>
      </c>
      <c r="D2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7" s="36" t="s">
        <v>230</v>
      </c>
      <c r="F2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7" s="38">
        <v>970489601</v>
      </c>
      <c r="L267" s="37" t="s">
        <v>719</v>
      </c>
      <c r="M267" s="37">
        <v>0</v>
      </c>
      <c r="O267" s="39" t="s">
        <v>1711</v>
      </c>
      <c r="AS267" s="48">
        <f>ROUND((Товары[[#This Row],[IRP, Eur]]*$AT$1),-2)*(1+Товары[[#This Row],[Процент повышения РРЦ]])</f>
        <v>0</v>
      </c>
      <c r="AT267" s="48"/>
      <c r="AU267" s="50">
        <f>ROUND(Товары[[#This Row],[РРЦ финальная, руб.]]/$AT$1,2)</f>
        <v>0</v>
      </c>
      <c r="AV267" s="49" t="str">
        <f>IFERROR(Товары[[#This Row],[РРЦ, евро]]/Товары[[#This Row],[IRP, Eur]],"-")</f>
        <v>-</v>
      </c>
      <c r="AX267" s="48">
        <f>ROUND(Товары[[#This Row],[РРЦ финальная, руб.]]*(1-Товары[[#This Row],[Скидка DIY]]),2)</f>
        <v>0</v>
      </c>
    </row>
    <row r="268" spans="1:50" x14ac:dyDescent="0.25">
      <c r="A268" s="36">
        <v>266</v>
      </c>
      <c r="C268" s="36" t="s">
        <v>234</v>
      </c>
      <c r="D2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8" s="36" t="s">
        <v>230</v>
      </c>
      <c r="F2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8" s="38">
        <v>970489701</v>
      </c>
      <c r="L268" s="37" t="s">
        <v>720</v>
      </c>
      <c r="M268" s="37">
        <v>0</v>
      </c>
      <c r="O268" s="39" t="s">
        <v>1712</v>
      </c>
      <c r="AS268" s="48">
        <f>ROUND((Товары[[#This Row],[IRP, Eur]]*$AT$1),-2)*(1+Товары[[#This Row],[Процент повышения РРЦ]])</f>
        <v>0</v>
      </c>
      <c r="AT268" s="48"/>
      <c r="AU268" s="50">
        <f>ROUND(Товары[[#This Row],[РРЦ финальная, руб.]]/$AT$1,2)</f>
        <v>0</v>
      </c>
      <c r="AV268" s="49" t="str">
        <f>IFERROR(Товары[[#This Row],[РРЦ, евро]]/Товары[[#This Row],[IRP, Eur]],"-")</f>
        <v>-</v>
      </c>
      <c r="AX268" s="48">
        <f>ROUND(Товары[[#This Row],[РРЦ финальная, руб.]]*(1-Товары[[#This Row],[Скидка DIY]]),2)</f>
        <v>0</v>
      </c>
    </row>
    <row r="269" spans="1:50" x14ac:dyDescent="0.25">
      <c r="A269" s="36">
        <v>267</v>
      </c>
      <c r="C269" s="36" t="s">
        <v>234</v>
      </c>
      <c r="D2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9" s="36" t="s">
        <v>230</v>
      </c>
      <c r="F2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69" s="38">
        <v>9116</v>
      </c>
      <c r="I269" s="37" t="s">
        <v>265</v>
      </c>
      <c r="J269" s="37">
        <v>1721</v>
      </c>
      <c r="K269" s="38">
        <v>900947701</v>
      </c>
      <c r="L269" s="37" t="s">
        <v>721</v>
      </c>
      <c r="O269" s="39" t="s">
        <v>1713</v>
      </c>
      <c r="AS269" s="48">
        <f>ROUND((Товары[[#This Row],[IRP, Eur]]*$AT$1),-2)*(1+Товары[[#This Row],[Процент повышения РРЦ]])</f>
        <v>0</v>
      </c>
      <c r="AT269" s="48"/>
      <c r="AU269" s="50">
        <f>ROUND(Товары[[#This Row],[РРЦ финальная, руб.]]/$AT$1,2)</f>
        <v>0</v>
      </c>
      <c r="AV269" s="49" t="str">
        <f>IFERROR(Товары[[#This Row],[РРЦ, евро]]/Товары[[#This Row],[IRP, Eur]],"-")</f>
        <v>-</v>
      </c>
      <c r="AX269" s="48">
        <f>ROUND(Товары[[#This Row],[РРЦ финальная, руб.]]*(1-Товары[[#This Row],[Скидка DIY]]),2)</f>
        <v>0</v>
      </c>
    </row>
    <row r="270" spans="1:50" x14ac:dyDescent="0.25">
      <c r="A270" s="36">
        <v>268</v>
      </c>
      <c r="C270" s="36" t="s">
        <v>234</v>
      </c>
      <c r="D2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0" s="36" t="s">
        <v>230</v>
      </c>
      <c r="F2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0" s="38">
        <v>9116</v>
      </c>
      <c r="I270" s="37" t="s">
        <v>265</v>
      </c>
      <c r="J270" s="37">
        <v>1720</v>
      </c>
      <c r="K270" s="38">
        <v>900947401</v>
      </c>
      <c r="L270" s="37" t="s">
        <v>722</v>
      </c>
      <c r="O270" s="39" t="s">
        <v>1714</v>
      </c>
      <c r="AS270" s="48">
        <f>ROUND((Товары[[#This Row],[IRP, Eur]]*$AT$1),-2)*(1+Товары[[#This Row],[Процент повышения РРЦ]])</f>
        <v>0</v>
      </c>
      <c r="AT270" s="48"/>
      <c r="AU270" s="50">
        <f>ROUND(Товары[[#This Row],[РРЦ финальная, руб.]]/$AT$1,2)</f>
        <v>0</v>
      </c>
      <c r="AV270" s="49" t="str">
        <f>IFERROR(Товары[[#This Row],[РРЦ, евро]]/Товары[[#This Row],[IRP, Eur]],"-")</f>
        <v>-</v>
      </c>
      <c r="AX270" s="48">
        <f>ROUND(Товары[[#This Row],[РРЦ финальная, руб.]]*(1-Товары[[#This Row],[Скидка DIY]]),2)</f>
        <v>0</v>
      </c>
    </row>
    <row r="271" spans="1:50" x14ac:dyDescent="0.25">
      <c r="A271" s="36">
        <v>269</v>
      </c>
      <c r="C271" s="36" t="s">
        <v>234</v>
      </c>
      <c r="D2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1" s="36" t="s">
        <v>230</v>
      </c>
      <c r="F2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1" s="38">
        <v>9116</v>
      </c>
      <c r="I271" s="37" t="s">
        <v>265</v>
      </c>
      <c r="J271" s="37">
        <v>1411</v>
      </c>
      <c r="K271" s="38">
        <v>900917201</v>
      </c>
      <c r="L271" s="37" t="s">
        <v>723</v>
      </c>
      <c r="M271" s="37" t="s">
        <v>1372</v>
      </c>
      <c r="O271" s="39" t="s">
        <v>1715</v>
      </c>
      <c r="AS271" s="48">
        <f>ROUND((Товары[[#This Row],[IRP, Eur]]*$AT$1),-2)*(1+Товары[[#This Row],[Процент повышения РРЦ]])</f>
        <v>0</v>
      </c>
      <c r="AT271" s="48"/>
      <c r="AU271" s="50">
        <f>ROUND(Товары[[#This Row],[РРЦ финальная, руб.]]/$AT$1,2)</f>
        <v>0</v>
      </c>
      <c r="AV271" s="49" t="str">
        <f>IFERROR(Товары[[#This Row],[РРЦ, евро]]/Товары[[#This Row],[IRP, Eur]],"-")</f>
        <v>-</v>
      </c>
      <c r="AX271" s="48">
        <f>ROUND(Товары[[#This Row],[РРЦ финальная, руб.]]*(1-Товары[[#This Row],[Скидка DIY]]),2)</f>
        <v>0</v>
      </c>
    </row>
    <row r="272" spans="1:50" x14ac:dyDescent="0.25">
      <c r="A272" s="36">
        <v>270</v>
      </c>
      <c r="C272" s="36" t="s">
        <v>234</v>
      </c>
      <c r="D2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2" s="36" t="s">
        <v>230</v>
      </c>
      <c r="F2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2" s="38">
        <v>9116</v>
      </c>
      <c r="I272" s="37" t="s">
        <v>265</v>
      </c>
      <c r="J272" s="37">
        <v>1418</v>
      </c>
      <c r="K272" s="38">
        <v>900917901</v>
      </c>
      <c r="L272" s="37" t="s">
        <v>724</v>
      </c>
      <c r="O272" s="39" t="s">
        <v>1716</v>
      </c>
      <c r="AS272" s="48">
        <f>ROUND((Товары[[#This Row],[IRP, Eur]]*$AT$1),-2)*(1+Товары[[#This Row],[Процент повышения РРЦ]])</f>
        <v>0</v>
      </c>
      <c r="AT272" s="48"/>
      <c r="AU272" s="50">
        <f>ROUND(Товары[[#This Row],[РРЦ финальная, руб.]]/$AT$1,2)</f>
        <v>0</v>
      </c>
      <c r="AV272" s="49" t="str">
        <f>IFERROR(Товары[[#This Row],[РРЦ, евро]]/Товары[[#This Row],[IRP, Eur]],"-")</f>
        <v>-</v>
      </c>
      <c r="AX272" s="48">
        <f>ROUND(Товары[[#This Row],[РРЦ финальная, руб.]]*(1-Товары[[#This Row],[Скидка DIY]]),2)</f>
        <v>0</v>
      </c>
    </row>
    <row r="273" spans="1:50" x14ac:dyDescent="0.25">
      <c r="A273" s="36">
        <v>271</v>
      </c>
      <c r="C273" s="36" t="s">
        <v>234</v>
      </c>
      <c r="D2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3" s="36" t="s">
        <v>230</v>
      </c>
      <c r="F2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3" s="38">
        <v>9116</v>
      </c>
      <c r="I273" s="37" t="s">
        <v>266</v>
      </c>
      <c r="J273" s="37">
        <v>1724</v>
      </c>
      <c r="K273" s="38">
        <v>900948101</v>
      </c>
      <c r="L273" s="37" t="s">
        <v>725</v>
      </c>
      <c r="O273" s="39" t="s">
        <v>1717</v>
      </c>
      <c r="AS273" s="48">
        <f>ROUND((Товары[[#This Row],[IRP, Eur]]*$AT$1),-2)*(1+Товары[[#This Row],[Процент повышения РРЦ]])</f>
        <v>0</v>
      </c>
      <c r="AT273" s="48"/>
      <c r="AU273" s="50">
        <f>ROUND(Товары[[#This Row],[РРЦ финальная, руб.]]/$AT$1,2)</f>
        <v>0</v>
      </c>
      <c r="AV273" s="49" t="str">
        <f>IFERROR(Товары[[#This Row],[РРЦ, евро]]/Товары[[#This Row],[IRP, Eur]],"-")</f>
        <v>-</v>
      </c>
      <c r="AX273" s="48">
        <f>ROUND(Товары[[#This Row],[РРЦ финальная, руб.]]*(1-Товары[[#This Row],[Скидка DIY]]),2)</f>
        <v>0</v>
      </c>
    </row>
    <row r="274" spans="1:50" x14ac:dyDescent="0.25">
      <c r="A274" s="36">
        <v>272</v>
      </c>
      <c r="C274" s="36" t="s">
        <v>234</v>
      </c>
      <c r="D2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4" s="36" t="s">
        <v>230</v>
      </c>
      <c r="F2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4" s="38">
        <v>9116</v>
      </c>
      <c r="I274" s="37" t="s">
        <v>266</v>
      </c>
      <c r="J274" s="37">
        <v>1723</v>
      </c>
      <c r="K274" s="38">
        <v>900948001</v>
      </c>
      <c r="L274" s="37" t="s">
        <v>726</v>
      </c>
      <c r="O274" s="39" t="s">
        <v>1718</v>
      </c>
      <c r="AS274" s="48">
        <f>ROUND((Товары[[#This Row],[IRP, Eur]]*$AT$1),-2)*(1+Товары[[#This Row],[Процент повышения РРЦ]])</f>
        <v>0</v>
      </c>
      <c r="AT274" s="48"/>
      <c r="AU274" s="50">
        <f>ROUND(Товары[[#This Row],[РРЦ финальная, руб.]]/$AT$1,2)</f>
        <v>0</v>
      </c>
      <c r="AV274" s="49" t="str">
        <f>IFERROR(Товары[[#This Row],[РРЦ, евро]]/Товары[[#This Row],[IRP, Eur]],"-")</f>
        <v>-</v>
      </c>
      <c r="AX274" s="48">
        <f>ROUND(Товары[[#This Row],[РРЦ финальная, руб.]]*(1-Товары[[#This Row],[Скидка DIY]]),2)</f>
        <v>0</v>
      </c>
    </row>
    <row r="275" spans="1:50" x14ac:dyDescent="0.25">
      <c r="A275" s="36">
        <v>273</v>
      </c>
      <c r="C275" s="36" t="s">
        <v>234</v>
      </c>
      <c r="D2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5" s="36" t="s">
        <v>230</v>
      </c>
      <c r="F2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5" s="38">
        <v>9116</v>
      </c>
      <c r="I275" s="37" t="s">
        <v>267</v>
      </c>
      <c r="J275" s="37">
        <v>1727</v>
      </c>
      <c r="K275" s="38">
        <v>900948301</v>
      </c>
      <c r="L275" s="37" t="s">
        <v>727</v>
      </c>
      <c r="O275" s="39" t="s">
        <v>1719</v>
      </c>
      <c r="AS275" s="48">
        <f>ROUND((Товары[[#This Row],[IRP, Eur]]*$AT$1),-2)*(1+Товары[[#This Row],[Процент повышения РРЦ]])</f>
        <v>0</v>
      </c>
      <c r="AT275" s="48"/>
      <c r="AU275" s="50">
        <f>ROUND(Товары[[#This Row],[РРЦ финальная, руб.]]/$AT$1,2)</f>
        <v>0</v>
      </c>
      <c r="AV275" s="49" t="str">
        <f>IFERROR(Товары[[#This Row],[РРЦ, евро]]/Товары[[#This Row],[IRP, Eur]],"-")</f>
        <v>-</v>
      </c>
      <c r="AX275" s="48">
        <f>ROUND(Товары[[#This Row],[РРЦ финальная, руб.]]*(1-Товары[[#This Row],[Скидка DIY]]),2)</f>
        <v>0</v>
      </c>
    </row>
    <row r="276" spans="1:50" x14ac:dyDescent="0.25">
      <c r="A276" s="36">
        <v>274</v>
      </c>
      <c r="C276" s="36" t="s">
        <v>234</v>
      </c>
      <c r="D2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6" s="36" t="s">
        <v>230</v>
      </c>
      <c r="F2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6" s="38">
        <v>9116</v>
      </c>
      <c r="I276" s="37" t="s">
        <v>267</v>
      </c>
      <c r="J276" s="37">
        <v>1726</v>
      </c>
      <c r="K276" s="38">
        <v>900948201</v>
      </c>
      <c r="L276" s="37" t="s">
        <v>728</v>
      </c>
      <c r="O276" s="39" t="s">
        <v>1720</v>
      </c>
      <c r="AS276" s="48">
        <f>ROUND((Товары[[#This Row],[IRP, Eur]]*$AT$1),-2)*(1+Товары[[#This Row],[Процент повышения РРЦ]])</f>
        <v>0</v>
      </c>
      <c r="AT276" s="48"/>
      <c r="AU276" s="50">
        <f>ROUND(Товары[[#This Row],[РРЦ финальная, руб.]]/$AT$1,2)</f>
        <v>0</v>
      </c>
      <c r="AV276" s="49" t="str">
        <f>IFERROR(Товары[[#This Row],[РРЦ, евро]]/Товары[[#This Row],[IRP, Eur]],"-")</f>
        <v>-</v>
      </c>
      <c r="AX276" s="48">
        <f>ROUND(Товары[[#This Row],[РРЦ финальная, руб.]]*(1-Товары[[#This Row],[Скидка DIY]]),2)</f>
        <v>0</v>
      </c>
    </row>
    <row r="277" spans="1:50" x14ac:dyDescent="0.25">
      <c r="A277" s="36">
        <v>275</v>
      </c>
      <c r="C277" s="36" t="s">
        <v>234</v>
      </c>
      <c r="D2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7" s="36" t="s">
        <v>230</v>
      </c>
      <c r="F2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7" s="38">
        <v>9116</v>
      </c>
      <c r="I277" s="37" t="s">
        <v>265</v>
      </c>
      <c r="J277" s="37">
        <v>1729</v>
      </c>
      <c r="K277" s="38">
        <v>900948501</v>
      </c>
      <c r="L277" s="37" t="s">
        <v>729</v>
      </c>
      <c r="O277" s="39" t="s">
        <v>1721</v>
      </c>
      <c r="AS277" s="48">
        <f>ROUND((Товары[[#This Row],[IRP, Eur]]*$AT$1),-2)*(1+Товары[[#This Row],[Процент повышения РРЦ]])</f>
        <v>0</v>
      </c>
      <c r="AT277" s="48"/>
      <c r="AU277" s="50">
        <f>ROUND(Товары[[#This Row],[РРЦ финальная, руб.]]/$AT$1,2)</f>
        <v>0</v>
      </c>
      <c r="AV277" s="49" t="str">
        <f>IFERROR(Товары[[#This Row],[РРЦ, евро]]/Товары[[#This Row],[IRP, Eur]],"-")</f>
        <v>-</v>
      </c>
      <c r="AX277" s="48">
        <f>ROUND(Товары[[#This Row],[РРЦ финальная, руб.]]*(1-Товары[[#This Row],[Скидка DIY]]),2)</f>
        <v>0</v>
      </c>
    </row>
    <row r="278" spans="1:50" x14ac:dyDescent="0.25">
      <c r="A278" s="36">
        <v>276</v>
      </c>
      <c r="C278" s="36" t="s">
        <v>234</v>
      </c>
      <c r="D2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8" s="36" t="s">
        <v>230</v>
      </c>
      <c r="F2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8" s="38">
        <v>9116</v>
      </c>
      <c r="I278" s="37" t="s">
        <v>266</v>
      </c>
      <c r="J278" s="37">
        <v>1743</v>
      </c>
      <c r="K278" s="38">
        <v>900949201</v>
      </c>
      <c r="L278" s="37" t="s">
        <v>730</v>
      </c>
      <c r="O278" s="39" t="s">
        <v>1722</v>
      </c>
      <c r="AS278" s="48">
        <f>ROUND((Товары[[#This Row],[IRP, Eur]]*$AT$1),-2)*(1+Товары[[#This Row],[Процент повышения РРЦ]])</f>
        <v>0</v>
      </c>
      <c r="AT278" s="48"/>
      <c r="AU278" s="50">
        <f>ROUND(Товары[[#This Row],[РРЦ финальная, руб.]]/$AT$1,2)</f>
        <v>0</v>
      </c>
      <c r="AV278" s="49" t="str">
        <f>IFERROR(Товары[[#This Row],[РРЦ, евро]]/Товары[[#This Row],[IRP, Eur]],"-")</f>
        <v>-</v>
      </c>
      <c r="AX278" s="48">
        <f>ROUND(Товары[[#This Row],[РРЦ финальная, руб.]]*(1-Товары[[#This Row],[Скидка DIY]]),2)</f>
        <v>0</v>
      </c>
    </row>
    <row r="279" spans="1:50" x14ac:dyDescent="0.25">
      <c r="A279" s="36">
        <v>277</v>
      </c>
      <c r="C279" s="36" t="s">
        <v>234</v>
      </c>
      <c r="D2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9" s="36" t="s">
        <v>230</v>
      </c>
      <c r="F2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9" s="38">
        <v>9116</v>
      </c>
      <c r="I279" s="37" t="s">
        <v>266</v>
      </c>
      <c r="J279" s="37">
        <v>1744</v>
      </c>
      <c r="K279" s="38">
        <v>900949301</v>
      </c>
      <c r="L279" s="37" t="s">
        <v>731</v>
      </c>
      <c r="O279" s="39" t="s">
        <v>1723</v>
      </c>
      <c r="AS279" s="48">
        <f>ROUND((Товары[[#This Row],[IRP, Eur]]*$AT$1),-2)*(1+Товары[[#This Row],[Процент повышения РРЦ]])</f>
        <v>0</v>
      </c>
      <c r="AT279" s="48"/>
      <c r="AU279" s="50">
        <f>ROUND(Товары[[#This Row],[РРЦ финальная, руб.]]/$AT$1,2)</f>
        <v>0</v>
      </c>
      <c r="AV279" s="49" t="str">
        <f>IFERROR(Товары[[#This Row],[РРЦ, евро]]/Товары[[#This Row],[IRP, Eur]],"-")</f>
        <v>-</v>
      </c>
      <c r="AX279" s="48">
        <f>ROUND(Товары[[#This Row],[РРЦ финальная, руб.]]*(1-Товары[[#This Row],[Скидка DIY]]),2)</f>
        <v>0</v>
      </c>
    </row>
    <row r="280" spans="1:50" x14ac:dyDescent="0.25">
      <c r="A280" s="36">
        <v>278</v>
      </c>
      <c r="C280" s="36" t="s">
        <v>234</v>
      </c>
      <c r="D2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0" s="36" t="s">
        <v>230</v>
      </c>
      <c r="F2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0" s="38">
        <v>9116</v>
      </c>
      <c r="I280" s="37" t="s">
        <v>266</v>
      </c>
      <c r="J280" s="37">
        <v>1745</v>
      </c>
      <c r="K280" s="38">
        <v>900949401</v>
      </c>
      <c r="L280" s="37" t="s">
        <v>732</v>
      </c>
      <c r="O280" s="39" t="s">
        <v>1724</v>
      </c>
      <c r="AS280" s="48">
        <f>ROUND((Товары[[#This Row],[IRP, Eur]]*$AT$1),-2)*(1+Товары[[#This Row],[Процент повышения РРЦ]])</f>
        <v>0</v>
      </c>
      <c r="AT280" s="48"/>
      <c r="AU280" s="50">
        <f>ROUND(Товары[[#This Row],[РРЦ финальная, руб.]]/$AT$1,2)</f>
        <v>0</v>
      </c>
      <c r="AV280" s="49" t="str">
        <f>IFERROR(Товары[[#This Row],[РРЦ, евро]]/Товары[[#This Row],[IRP, Eur]],"-")</f>
        <v>-</v>
      </c>
      <c r="AX280" s="48">
        <f>ROUND(Товары[[#This Row],[РРЦ финальная, руб.]]*(1-Товары[[#This Row],[Скидка DIY]]),2)</f>
        <v>0</v>
      </c>
    </row>
    <row r="281" spans="1:50" x14ac:dyDescent="0.25">
      <c r="A281" s="36">
        <v>279</v>
      </c>
      <c r="C281" s="36" t="s">
        <v>234</v>
      </c>
      <c r="D2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1" s="36" t="s">
        <v>230</v>
      </c>
      <c r="F2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1" s="38">
        <v>9116</v>
      </c>
      <c r="I281" s="37" t="s">
        <v>266</v>
      </c>
      <c r="J281" s="37">
        <v>1752</v>
      </c>
      <c r="K281" s="38">
        <v>900949601</v>
      </c>
      <c r="L281" s="37" t="s">
        <v>733</v>
      </c>
      <c r="O281" s="39" t="s">
        <v>1725</v>
      </c>
      <c r="AS281" s="48">
        <f>ROUND((Товары[[#This Row],[IRP, Eur]]*$AT$1),-2)*(1+Товары[[#This Row],[Процент повышения РРЦ]])</f>
        <v>0</v>
      </c>
      <c r="AT281" s="48"/>
      <c r="AU281" s="50">
        <f>ROUND(Товары[[#This Row],[РРЦ финальная, руб.]]/$AT$1,2)</f>
        <v>0</v>
      </c>
      <c r="AV281" s="49" t="str">
        <f>IFERROR(Товары[[#This Row],[РРЦ, евро]]/Товары[[#This Row],[IRP, Eur]],"-")</f>
        <v>-</v>
      </c>
      <c r="AX281" s="48">
        <f>ROUND(Товары[[#This Row],[РРЦ финальная, руб.]]*(1-Товары[[#This Row],[Скидка DIY]]),2)</f>
        <v>0</v>
      </c>
    </row>
    <row r="282" spans="1:50" x14ac:dyDescent="0.25">
      <c r="A282" s="36">
        <v>280</v>
      </c>
      <c r="C282" s="36" t="s">
        <v>234</v>
      </c>
      <c r="D2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2" s="36" t="s">
        <v>230</v>
      </c>
      <c r="F2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2" s="38">
        <v>9116</v>
      </c>
      <c r="I282" s="37" t="s">
        <v>267</v>
      </c>
      <c r="J282" s="37">
        <v>1731</v>
      </c>
      <c r="K282" s="38">
        <v>900948701</v>
      </c>
      <c r="L282" s="37" t="s">
        <v>734</v>
      </c>
      <c r="O282" s="39" t="s">
        <v>1726</v>
      </c>
      <c r="AS282" s="48">
        <f>ROUND((Товары[[#This Row],[IRP, Eur]]*$AT$1),-2)*(1+Товары[[#This Row],[Процент повышения РРЦ]])</f>
        <v>0</v>
      </c>
      <c r="AT282" s="48"/>
      <c r="AU282" s="50">
        <f>ROUND(Товары[[#This Row],[РРЦ финальная, руб.]]/$AT$1,2)</f>
        <v>0</v>
      </c>
      <c r="AV282" s="49" t="str">
        <f>IFERROR(Товары[[#This Row],[РРЦ, евро]]/Товары[[#This Row],[IRP, Eur]],"-")</f>
        <v>-</v>
      </c>
      <c r="AX282" s="48">
        <f>ROUND(Товары[[#This Row],[РРЦ финальная, руб.]]*(1-Товары[[#This Row],[Скидка DIY]]),2)</f>
        <v>0</v>
      </c>
    </row>
    <row r="283" spans="1:50" x14ac:dyDescent="0.25">
      <c r="A283" s="36">
        <v>281</v>
      </c>
      <c r="C283" s="36" t="s">
        <v>234</v>
      </c>
      <c r="D2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3" s="36" t="s">
        <v>230</v>
      </c>
      <c r="F2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3" s="38">
        <v>9116</v>
      </c>
      <c r="I283" s="37" t="s">
        <v>267</v>
      </c>
      <c r="J283" s="37">
        <v>1730</v>
      </c>
      <c r="K283" s="38">
        <v>900948601</v>
      </c>
      <c r="L283" s="37" t="s">
        <v>735</v>
      </c>
      <c r="O283" s="39" t="s">
        <v>1727</v>
      </c>
      <c r="AS283" s="48">
        <f>ROUND((Товары[[#This Row],[IRP, Eur]]*$AT$1),-2)*(1+Товары[[#This Row],[Процент повышения РРЦ]])</f>
        <v>0</v>
      </c>
      <c r="AT283" s="48"/>
      <c r="AU283" s="50">
        <f>ROUND(Товары[[#This Row],[РРЦ финальная, руб.]]/$AT$1,2)</f>
        <v>0</v>
      </c>
      <c r="AV283" s="49" t="str">
        <f>IFERROR(Товары[[#This Row],[РРЦ, евро]]/Товары[[#This Row],[IRP, Eur]],"-")</f>
        <v>-</v>
      </c>
      <c r="AX283" s="48">
        <f>ROUND(Товары[[#This Row],[РРЦ финальная, руб.]]*(1-Товары[[#This Row],[Скидка DIY]]),2)</f>
        <v>0</v>
      </c>
    </row>
    <row r="284" spans="1:50" x14ac:dyDescent="0.25">
      <c r="A284" s="36">
        <v>282</v>
      </c>
      <c r="C284" s="36" t="s">
        <v>234</v>
      </c>
      <c r="D2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4" s="36" t="s">
        <v>230</v>
      </c>
      <c r="F2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4" s="38">
        <v>9116</v>
      </c>
      <c r="I284" s="37" t="s">
        <v>267</v>
      </c>
      <c r="K284" s="38">
        <v>967974501</v>
      </c>
      <c r="L284" s="37" t="s">
        <v>736</v>
      </c>
      <c r="O284" s="39" t="s">
        <v>1728</v>
      </c>
      <c r="AS284" s="48">
        <f>ROUND((Товары[[#This Row],[IRP, Eur]]*$AT$1),-2)*(1+Товары[[#This Row],[Процент повышения РРЦ]])</f>
        <v>0</v>
      </c>
      <c r="AT284" s="48"/>
      <c r="AU284" s="50">
        <f>ROUND(Товары[[#This Row],[РРЦ финальная, руб.]]/$AT$1,2)</f>
        <v>0</v>
      </c>
      <c r="AV284" s="49" t="str">
        <f>IFERROR(Товары[[#This Row],[РРЦ, евро]]/Товары[[#This Row],[IRP, Eur]],"-")</f>
        <v>-</v>
      </c>
      <c r="AX284" s="48">
        <f>ROUND(Товары[[#This Row],[РРЦ финальная, руб.]]*(1-Товары[[#This Row],[Скидка DIY]]),2)</f>
        <v>0</v>
      </c>
    </row>
    <row r="285" spans="1:50" x14ac:dyDescent="0.25">
      <c r="A285" s="36">
        <v>283</v>
      </c>
      <c r="C285" s="36" t="s">
        <v>234</v>
      </c>
      <c r="D2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5" s="36" t="s">
        <v>230</v>
      </c>
      <c r="F2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5" s="38">
        <v>9116</v>
      </c>
      <c r="I285" s="37" t="s">
        <v>268</v>
      </c>
      <c r="J285" s="37">
        <v>1739</v>
      </c>
      <c r="K285" s="38">
        <v>900948901</v>
      </c>
      <c r="L285" s="37" t="s">
        <v>737</v>
      </c>
      <c r="O285" s="39" t="s">
        <v>1729</v>
      </c>
      <c r="AS285" s="48">
        <f>ROUND((Товары[[#This Row],[IRP, Eur]]*$AT$1),-2)*(1+Товары[[#This Row],[Процент повышения РРЦ]])</f>
        <v>0</v>
      </c>
      <c r="AT285" s="48"/>
      <c r="AU285" s="50">
        <f>ROUND(Товары[[#This Row],[РРЦ финальная, руб.]]/$AT$1,2)</f>
        <v>0</v>
      </c>
      <c r="AV285" s="49" t="str">
        <f>IFERROR(Товары[[#This Row],[РРЦ, евро]]/Товары[[#This Row],[IRP, Eur]],"-")</f>
        <v>-</v>
      </c>
      <c r="AX285" s="48">
        <f>ROUND(Товары[[#This Row],[РРЦ финальная, руб.]]*(1-Товары[[#This Row],[Скидка DIY]]),2)</f>
        <v>0</v>
      </c>
    </row>
    <row r="286" spans="1:50" x14ac:dyDescent="0.25">
      <c r="A286" s="36">
        <v>284</v>
      </c>
      <c r="C286" s="36" t="s">
        <v>234</v>
      </c>
      <c r="D2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6" s="36" t="s">
        <v>230</v>
      </c>
      <c r="F2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6" s="38">
        <v>9116</v>
      </c>
      <c r="I286" s="37" t="s">
        <v>268</v>
      </c>
      <c r="J286" s="37">
        <v>1741</v>
      </c>
      <c r="K286" s="38">
        <v>900949101</v>
      </c>
      <c r="L286" s="37" t="s">
        <v>738</v>
      </c>
      <c r="O286" s="39" t="s">
        <v>1730</v>
      </c>
      <c r="AS286" s="48">
        <f>ROUND((Товары[[#This Row],[IRP, Eur]]*$AT$1),-2)*(1+Товары[[#This Row],[Процент повышения РРЦ]])</f>
        <v>0</v>
      </c>
      <c r="AT286" s="48"/>
      <c r="AU286" s="50">
        <f>ROUND(Товары[[#This Row],[РРЦ финальная, руб.]]/$AT$1,2)</f>
        <v>0</v>
      </c>
      <c r="AV286" s="49" t="str">
        <f>IFERROR(Товары[[#This Row],[РРЦ, евро]]/Товары[[#This Row],[IRP, Eur]],"-")</f>
        <v>-</v>
      </c>
      <c r="AX286" s="48">
        <f>ROUND(Товары[[#This Row],[РРЦ финальная, руб.]]*(1-Товары[[#This Row],[Скидка DIY]]),2)</f>
        <v>0</v>
      </c>
    </row>
    <row r="287" spans="1:50" x14ac:dyDescent="0.25">
      <c r="A287" s="36">
        <v>285</v>
      </c>
      <c r="C287" s="36" t="s">
        <v>234</v>
      </c>
      <c r="D2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7" s="36" t="s">
        <v>230</v>
      </c>
      <c r="F2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7" s="38">
        <v>9117</v>
      </c>
      <c r="I287" s="37" t="s">
        <v>269</v>
      </c>
      <c r="J287" s="37">
        <v>4976</v>
      </c>
      <c r="K287" s="38">
        <v>901080701</v>
      </c>
      <c r="L287" s="37" t="s">
        <v>739</v>
      </c>
      <c r="O287" s="39" t="s">
        <v>1731</v>
      </c>
      <c r="AS287" s="48">
        <f>ROUND((Товары[[#This Row],[IRP, Eur]]*$AT$1),-2)*(1+Товары[[#This Row],[Процент повышения РРЦ]])</f>
        <v>0</v>
      </c>
      <c r="AT287" s="48"/>
      <c r="AU287" s="50">
        <f>ROUND(Товары[[#This Row],[РРЦ финальная, руб.]]/$AT$1,2)</f>
        <v>0</v>
      </c>
      <c r="AV287" s="49" t="str">
        <f>IFERROR(Товары[[#This Row],[РРЦ, евро]]/Товары[[#This Row],[IRP, Eur]],"-")</f>
        <v>-</v>
      </c>
      <c r="AX287" s="48">
        <f>ROUND(Товары[[#This Row],[РРЦ финальная, руб.]]*(1-Товары[[#This Row],[Скидка DIY]]),2)</f>
        <v>0</v>
      </c>
    </row>
    <row r="288" spans="1:50" x14ac:dyDescent="0.25">
      <c r="A288" s="36">
        <v>286</v>
      </c>
      <c r="C288" s="36" t="s">
        <v>234</v>
      </c>
      <c r="D2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8" s="36" t="s">
        <v>230</v>
      </c>
      <c r="F2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8" s="38">
        <v>9117</v>
      </c>
      <c r="I288" s="37" t="s">
        <v>269</v>
      </c>
      <c r="J288" s="37">
        <v>4978</v>
      </c>
      <c r="K288" s="38">
        <v>901080801</v>
      </c>
      <c r="L288" s="37" t="s">
        <v>740</v>
      </c>
      <c r="O288" s="39" t="s">
        <v>1732</v>
      </c>
      <c r="AS288" s="48">
        <f>ROUND((Товары[[#This Row],[IRP, Eur]]*$AT$1),-2)*(1+Товары[[#This Row],[Процент повышения РРЦ]])</f>
        <v>0</v>
      </c>
      <c r="AT288" s="48"/>
      <c r="AU288" s="50">
        <f>ROUND(Товары[[#This Row],[РРЦ финальная, руб.]]/$AT$1,2)</f>
        <v>0</v>
      </c>
      <c r="AV288" s="49" t="str">
        <f>IFERROR(Товары[[#This Row],[РРЦ, евро]]/Товары[[#This Row],[IRP, Eur]],"-")</f>
        <v>-</v>
      </c>
      <c r="AX288" s="48">
        <f>ROUND(Товары[[#This Row],[РРЦ финальная, руб.]]*(1-Товары[[#This Row],[Скидка DIY]]),2)</f>
        <v>0</v>
      </c>
    </row>
    <row r="289" spans="1:50" x14ac:dyDescent="0.25">
      <c r="A289" s="36">
        <v>287</v>
      </c>
      <c r="C289" s="36" t="s">
        <v>234</v>
      </c>
      <c r="D2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9" s="36" t="s">
        <v>230</v>
      </c>
      <c r="F2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9" s="38">
        <v>9117</v>
      </c>
      <c r="I289" s="37" t="s">
        <v>269</v>
      </c>
      <c r="J289" s="37">
        <v>4971</v>
      </c>
      <c r="K289" s="38">
        <v>901080401</v>
      </c>
      <c r="L289" s="37" t="s">
        <v>741</v>
      </c>
      <c r="O289" s="39" t="s">
        <v>1733</v>
      </c>
      <c r="AS289" s="48">
        <f>ROUND((Товары[[#This Row],[IRP, Eur]]*$AT$1),-2)*(1+Товары[[#This Row],[Процент повышения РРЦ]])</f>
        <v>0</v>
      </c>
      <c r="AT289" s="48"/>
      <c r="AU289" s="50">
        <f>ROUND(Товары[[#This Row],[РРЦ финальная, руб.]]/$AT$1,2)</f>
        <v>0</v>
      </c>
      <c r="AV289" s="49" t="str">
        <f>IFERROR(Товары[[#This Row],[РРЦ, евро]]/Товары[[#This Row],[IRP, Eur]],"-")</f>
        <v>-</v>
      </c>
      <c r="AX289" s="48">
        <f>ROUND(Товары[[#This Row],[РРЦ финальная, руб.]]*(1-Товары[[#This Row],[Скидка DIY]]),2)</f>
        <v>0</v>
      </c>
    </row>
    <row r="290" spans="1:50" x14ac:dyDescent="0.25">
      <c r="A290" s="36">
        <v>288</v>
      </c>
      <c r="C290" s="36" t="s">
        <v>234</v>
      </c>
      <c r="D2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0" s="36" t="s">
        <v>230</v>
      </c>
      <c r="F2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0" s="38">
        <v>9117</v>
      </c>
      <c r="I290" s="37" t="s">
        <v>269</v>
      </c>
      <c r="J290" s="37">
        <v>4973</v>
      </c>
      <c r="K290" s="38">
        <v>901080501</v>
      </c>
      <c r="L290" s="37" t="s">
        <v>742</v>
      </c>
      <c r="O290" s="39" t="s">
        <v>1734</v>
      </c>
      <c r="AS290" s="48">
        <f>ROUND((Товары[[#This Row],[IRP, Eur]]*$AT$1),-2)*(1+Товары[[#This Row],[Процент повышения РРЦ]])</f>
        <v>0</v>
      </c>
      <c r="AT290" s="48"/>
      <c r="AU290" s="50">
        <f>ROUND(Товары[[#This Row],[РРЦ финальная, руб.]]/$AT$1,2)</f>
        <v>0</v>
      </c>
      <c r="AV290" s="49" t="str">
        <f>IFERROR(Товары[[#This Row],[РРЦ, евро]]/Товары[[#This Row],[IRP, Eur]],"-")</f>
        <v>-</v>
      </c>
      <c r="AX290" s="48">
        <f>ROUND(Товары[[#This Row],[РРЦ финальная, руб.]]*(1-Товары[[#This Row],[Скидка DIY]]),2)</f>
        <v>0</v>
      </c>
    </row>
    <row r="291" spans="1:50" x14ac:dyDescent="0.25">
      <c r="A291" s="36">
        <v>289</v>
      </c>
      <c r="C291" s="36" t="s">
        <v>234</v>
      </c>
      <c r="D2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1" s="36" t="s">
        <v>230</v>
      </c>
      <c r="F2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1" s="38">
        <v>9117</v>
      </c>
      <c r="I291" s="37" t="s">
        <v>269</v>
      </c>
      <c r="J291" s="37">
        <v>4975</v>
      </c>
      <c r="K291" s="38">
        <v>901080601</v>
      </c>
      <c r="L291" s="37" t="s">
        <v>743</v>
      </c>
      <c r="O291" s="39" t="s">
        <v>1735</v>
      </c>
      <c r="AS291" s="48">
        <f>ROUND((Товары[[#This Row],[IRP, Eur]]*$AT$1),-2)*(1+Товары[[#This Row],[Процент повышения РРЦ]])</f>
        <v>0</v>
      </c>
      <c r="AT291" s="48"/>
      <c r="AU291" s="50">
        <f>ROUND(Товары[[#This Row],[РРЦ финальная, руб.]]/$AT$1,2)</f>
        <v>0</v>
      </c>
      <c r="AV291" s="49" t="str">
        <f>IFERROR(Товары[[#This Row],[РРЦ, евро]]/Товары[[#This Row],[IRP, Eur]],"-")</f>
        <v>-</v>
      </c>
      <c r="AX291" s="48">
        <f>ROUND(Товары[[#This Row],[РРЦ финальная, руб.]]*(1-Товары[[#This Row],[Скидка DIY]]),2)</f>
        <v>0</v>
      </c>
    </row>
    <row r="292" spans="1:50" x14ac:dyDescent="0.25">
      <c r="A292" s="36">
        <v>290</v>
      </c>
      <c r="C292" s="36" t="s">
        <v>234</v>
      </c>
      <c r="D2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2" s="36" t="s">
        <v>230</v>
      </c>
      <c r="F2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2" s="38">
        <v>9117</v>
      </c>
      <c r="I292" s="37" t="s">
        <v>269</v>
      </c>
      <c r="J292" s="37">
        <v>4986</v>
      </c>
      <c r="K292" s="38">
        <v>901081101</v>
      </c>
      <c r="L292" s="37" t="s">
        <v>744</v>
      </c>
      <c r="O292" s="39" t="s">
        <v>1736</v>
      </c>
      <c r="AS292" s="48">
        <f>ROUND((Товары[[#This Row],[IRP, Eur]]*$AT$1),-2)*(1+Товары[[#This Row],[Процент повышения РРЦ]])</f>
        <v>0</v>
      </c>
      <c r="AT292" s="48"/>
      <c r="AU292" s="50">
        <f>ROUND(Товары[[#This Row],[РРЦ финальная, руб.]]/$AT$1,2)</f>
        <v>0</v>
      </c>
      <c r="AV292" s="49" t="str">
        <f>IFERROR(Товары[[#This Row],[РРЦ, евро]]/Товары[[#This Row],[IRP, Eur]],"-")</f>
        <v>-</v>
      </c>
      <c r="AX292" s="48">
        <f>ROUND(Товары[[#This Row],[РРЦ финальная, руб.]]*(1-Товары[[#This Row],[Скидка DIY]]),2)</f>
        <v>0</v>
      </c>
    </row>
    <row r="293" spans="1:50" x14ac:dyDescent="0.25">
      <c r="A293" s="36">
        <v>291</v>
      </c>
      <c r="C293" s="36" t="s">
        <v>234</v>
      </c>
      <c r="D2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3" s="36" t="s">
        <v>230</v>
      </c>
      <c r="F2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3" s="38">
        <v>9117</v>
      </c>
      <c r="I293" s="37" t="s">
        <v>269</v>
      </c>
      <c r="J293" s="37">
        <v>4988</v>
      </c>
      <c r="K293" s="38">
        <v>901081201</v>
      </c>
      <c r="L293" s="37" t="s">
        <v>745</v>
      </c>
      <c r="O293" s="39" t="s">
        <v>1737</v>
      </c>
      <c r="AS293" s="48">
        <f>ROUND((Товары[[#This Row],[IRP, Eur]]*$AT$1),-2)*(1+Товары[[#This Row],[Процент повышения РРЦ]])</f>
        <v>0</v>
      </c>
      <c r="AT293" s="48"/>
      <c r="AU293" s="50">
        <f>ROUND(Товары[[#This Row],[РРЦ финальная, руб.]]/$AT$1,2)</f>
        <v>0</v>
      </c>
      <c r="AV293" s="49" t="str">
        <f>IFERROR(Товары[[#This Row],[РРЦ, евро]]/Товары[[#This Row],[IRP, Eur]],"-")</f>
        <v>-</v>
      </c>
      <c r="AX293" s="48">
        <f>ROUND(Товары[[#This Row],[РРЦ финальная, руб.]]*(1-Товары[[#This Row],[Скидка DIY]]),2)</f>
        <v>0</v>
      </c>
    </row>
    <row r="294" spans="1:50" x14ac:dyDescent="0.25">
      <c r="A294" s="36">
        <v>292</v>
      </c>
      <c r="C294" s="36" t="s">
        <v>234</v>
      </c>
      <c r="D2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4" s="36" t="s">
        <v>230</v>
      </c>
      <c r="F2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4" s="38">
        <v>9117</v>
      </c>
      <c r="I294" s="37" t="s">
        <v>269</v>
      </c>
      <c r="J294" s="37">
        <v>4982</v>
      </c>
      <c r="K294" s="38">
        <v>901080901</v>
      </c>
      <c r="L294" s="37" t="s">
        <v>746</v>
      </c>
      <c r="O294" s="39" t="s">
        <v>1738</v>
      </c>
      <c r="AS294" s="48">
        <f>ROUND((Товары[[#This Row],[IRP, Eur]]*$AT$1),-2)*(1+Товары[[#This Row],[Процент повышения РРЦ]])</f>
        <v>0</v>
      </c>
      <c r="AT294" s="48"/>
      <c r="AU294" s="50">
        <f>ROUND(Товары[[#This Row],[РРЦ финальная, руб.]]/$AT$1,2)</f>
        <v>0</v>
      </c>
      <c r="AV294" s="49" t="str">
        <f>IFERROR(Товары[[#This Row],[РРЦ, евро]]/Товары[[#This Row],[IRP, Eur]],"-")</f>
        <v>-</v>
      </c>
      <c r="AX294" s="48">
        <f>ROUND(Товары[[#This Row],[РРЦ финальная, руб.]]*(1-Товары[[#This Row],[Скидка DIY]]),2)</f>
        <v>0</v>
      </c>
    </row>
    <row r="295" spans="1:50" x14ac:dyDescent="0.25">
      <c r="A295" s="36">
        <v>293</v>
      </c>
      <c r="C295" s="36" t="s">
        <v>234</v>
      </c>
      <c r="D2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5" s="36" t="s">
        <v>230</v>
      </c>
      <c r="F2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5" s="38">
        <v>9117</v>
      </c>
      <c r="I295" s="37" t="s">
        <v>269</v>
      </c>
      <c r="J295" s="37">
        <v>4985</v>
      </c>
      <c r="K295" s="38">
        <v>901081001</v>
      </c>
      <c r="L295" s="37" t="s">
        <v>747</v>
      </c>
      <c r="O295" s="39" t="s">
        <v>1739</v>
      </c>
      <c r="AS295" s="48">
        <f>ROUND((Товары[[#This Row],[IRP, Eur]]*$AT$1),-2)*(1+Товары[[#This Row],[Процент повышения РРЦ]])</f>
        <v>0</v>
      </c>
      <c r="AT295" s="48"/>
      <c r="AU295" s="50">
        <f>ROUND(Товары[[#This Row],[РРЦ финальная, руб.]]/$AT$1,2)</f>
        <v>0</v>
      </c>
      <c r="AV295" s="49" t="str">
        <f>IFERROR(Товары[[#This Row],[РРЦ, евро]]/Товары[[#This Row],[IRP, Eur]],"-")</f>
        <v>-</v>
      </c>
      <c r="AX295" s="48">
        <f>ROUND(Товары[[#This Row],[РРЦ финальная, руб.]]*(1-Товары[[#This Row],[Скидка DIY]]),2)</f>
        <v>0</v>
      </c>
    </row>
    <row r="296" spans="1:50" x14ac:dyDescent="0.25">
      <c r="A296" s="36">
        <v>294</v>
      </c>
      <c r="C296" s="36" t="s">
        <v>234</v>
      </c>
      <c r="D2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6" s="36" t="s">
        <v>231</v>
      </c>
      <c r="F2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6" s="38">
        <v>8346</v>
      </c>
      <c r="I296" s="37" t="s">
        <v>270</v>
      </c>
      <c r="J296" s="37">
        <v>1749</v>
      </c>
      <c r="K296" s="38">
        <v>967912001</v>
      </c>
      <c r="L296" s="37" t="s">
        <v>748</v>
      </c>
      <c r="M296" s="37" t="s">
        <v>1338</v>
      </c>
      <c r="O296" s="39" t="s">
        <v>1740</v>
      </c>
      <c r="AS296" s="48">
        <f>ROUND((Товары[[#This Row],[IRP, Eur]]*$AT$1),-2)*(1+Товары[[#This Row],[Процент повышения РРЦ]])</f>
        <v>0</v>
      </c>
      <c r="AT296" s="48"/>
      <c r="AU296" s="50">
        <f>ROUND(Товары[[#This Row],[РРЦ финальная, руб.]]/$AT$1,2)</f>
        <v>0</v>
      </c>
      <c r="AV296" s="49" t="str">
        <f>IFERROR(Товары[[#This Row],[РРЦ, евро]]/Товары[[#This Row],[IRP, Eur]],"-")</f>
        <v>-</v>
      </c>
      <c r="AX296" s="48">
        <f>ROUND(Товары[[#This Row],[РРЦ финальная, руб.]]*(1-Товары[[#This Row],[Скидка DIY]]),2)</f>
        <v>0</v>
      </c>
    </row>
    <row r="297" spans="1:50" x14ac:dyDescent="0.25">
      <c r="A297" s="36">
        <v>295</v>
      </c>
      <c r="C297" s="36" t="s">
        <v>234</v>
      </c>
      <c r="D2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7" s="36" t="s">
        <v>231</v>
      </c>
      <c r="F2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7" s="38">
        <v>8346</v>
      </c>
      <c r="I297" s="37" t="s">
        <v>270</v>
      </c>
      <c r="J297" s="37">
        <v>1748</v>
      </c>
      <c r="K297" s="38">
        <v>967912401</v>
      </c>
      <c r="L297" s="37" t="s">
        <v>749</v>
      </c>
      <c r="M297" s="37" t="s">
        <v>1338</v>
      </c>
      <c r="O297" s="39" t="s">
        <v>1741</v>
      </c>
      <c r="AS297" s="48">
        <f>ROUND((Товары[[#This Row],[IRP, Eur]]*$AT$1),-2)*(1+Товары[[#This Row],[Процент повышения РРЦ]])</f>
        <v>0</v>
      </c>
      <c r="AT297" s="48"/>
      <c r="AU297" s="50">
        <f>ROUND(Товары[[#This Row],[РРЦ финальная, руб.]]/$AT$1,2)</f>
        <v>0</v>
      </c>
      <c r="AV297" s="49" t="str">
        <f>IFERROR(Товары[[#This Row],[РРЦ, евро]]/Товары[[#This Row],[IRP, Eur]],"-")</f>
        <v>-</v>
      </c>
      <c r="AX297" s="48">
        <f>ROUND(Товары[[#This Row],[РРЦ финальная, руб.]]*(1-Товары[[#This Row],[Скидка DIY]]),2)</f>
        <v>0</v>
      </c>
    </row>
    <row r="298" spans="1:50" x14ac:dyDescent="0.25">
      <c r="A298" s="36">
        <v>296</v>
      </c>
      <c r="C298" s="36" t="s">
        <v>3</v>
      </c>
      <c r="D2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8" s="36" t="s">
        <v>233</v>
      </c>
      <c r="F2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8" s="38">
        <v>9033</v>
      </c>
      <c r="I298" s="37" t="s">
        <v>251</v>
      </c>
      <c r="J298" s="37">
        <v>13000</v>
      </c>
      <c r="K298" s="38">
        <v>967797101</v>
      </c>
      <c r="L298" s="37" t="s">
        <v>750</v>
      </c>
      <c r="M298" s="37" t="s">
        <v>1317</v>
      </c>
      <c r="O298" s="39" t="s">
        <v>1742</v>
      </c>
      <c r="AS298" s="48">
        <f>ROUND((Товары[[#This Row],[IRP, Eur]]*$AT$1),-2)*(1+Товары[[#This Row],[Процент повышения РРЦ]])</f>
        <v>0</v>
      </c>
      <c r="AT298" s="48"/>
      <c r="AU298" s="50">
        <f>ROUND(Товары[[#This Row],[РРЦ финальная, руб.]]/$AT$1,2)</f>
        <v>0</v>
      </c>
      <c r="AV298" s="49" t="str">
        <f>IFERROR(Товары[[#This Row],[РРЦ, евро]]/Товары[[#This Row],[IRP, Eur]],"-")</f>
        <v>-</v>
      </c>
      <c r="AX298" s="48">
        <f>ROUND(Товары[[#This Row],[РРЦ финальная, руб.]]*(1-Товары[[#This Row],[Скидка DIY]]),2)</f>
        <v>0</v>
      </c>
    </row>
    <row r="299" spans="1:50" x14ac:dyDescent="0.25">
      <c r="A299" s="36">
        <v>297</v>
      </c>
      <c r="C299" s="36" t="s">
        <v>3</v>
      </c>
      <c r="D2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9" s="36" t="s">
        <v>233</v>
      </c>
      <c r="F2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9" s="38">
        <v>9033</v>
      </c>
      <c r="I299" s="37" t="s">
        <v>251</v>
      </c>
      <c r="J299" s="37">
        <v>13001</v>
      </c>
      <c r="K299" s="38">
        <v>967039401</v>
      </c>
      <c r="L299" s="37" t="s">
        <v>751</v>
      </c>
      <c r="O299" s="39" t="s">
        <v>1743</v>
      </c>
      <c r="AS299" s="48">
        <f>ROUND((Товары[[#This Row],[IRP, Eur]]*$AT$1),-2)*(1+Товары[[#This Row],[Процент повышения РРЦ]])</f>
        <v>0</v>
      </c>
      <c r="AT299" s="48"/>
      <c r="AU299" s="50">
        <f>ROUND(Товары[[#This Row],[РРЦ финальная, руб.]]/$AT$1,2)</f>
        <v>0</v>
      </c>
      <c r="AV299" s="49" t="str">
        <f>IFERROR(Товары[[#This Row],[РРЦ, евро]]/Товары[[#This Row],[IRP, Eur]],"-")</f>
        <v>-</v>
      </c>
      <c r="AX299" s="48">
        <f>ROUND(Товары[[#This Row],[РРЦ финальная, руб.]]*(1-Товары[[#This Row],[Скидка DIY]]),2)</f>
        <v>0</v>
      </c>
    </row>
    <row r="300" spans="1:50" x14ac:dyDescent="0.25">
      <c r="A300" s="36">
        <v>298</v>
      </c>
      <c r="C300" s="36" t="s">
        <v>3</v>
      </c>
      <c r="D3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0" s="36" t="s">
        <v>233</v>
      </c>
      <c r="F3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0" s="38">
        <v>9033</v>
      </c>
      <c r="I300" s="37" t="s">
        <v>251</v>
      </c>
      <c r="J300" s="37">
        <v>13002</v>
      </c>
      <c r="K300" s="38">
        <v>967039501</v>
      </c>
      <c r="L300" s="37" t="s">
        <v>752</v>
      </c>
      <c r="M300" s="37" t="s">
        <v>1373</v>
      </c>
      <c r="O300" s="39" t="s">
        <v>1744</v>
      </c>
      <c r="AS300" s="48">
        <f>ROUND((Товары[[#This Row],[IRP, Eur]]*$AT$1),-2)*(1+Товары[[#This Row],[Процент повышения РРЦ]])</f>
        <v>0</v>
      </c>
      <c r="AT300" s="48"/>
      <c r="AU300" s="50">
        <f>ROUND(Товары[[#This Row],[РРЦ финальная, руб.]]/$AT$1,2)</f>
        <v>0</v>
      </c>
      <c r="AV300" s="49" t="str">
        <f>IFERROR(Товары[[#This Row],[РРЦ, евро]]/Товары[[#This Row],[IRP, Eur]],"-")</f>
        <v>-</v>
      </c>
      <c r="AX300" s="48">
        <f>ROUND(Товары[[#This Row],[РРЦ финальная, руб.]]*(1-Товары[[#This Row],[Скидка DIY]]),2)</f>
        <v>0</v>
      </c>
    </row>
    <row r="301" spans="1:50" x14ac:dyDescent="0.25">
      <c r="A301" s="36">
        <v>299</v>
      </c>
      <c r="C301" s="36" t="s">
        <v>3</v>
      </c>
      <c r="D3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1" s="36" t="s">
        <v>233</v>
      </c>
      <c r="F3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1" s="38">
        <v>9033</v>
      </c>
      <c r="I301" s="37" t="s">
        <v>251</v>
      </c>
      <c r="J301" s="37">
        <v>1373</v>
      </c>
      <c r="K301" s="38">
        <v>967035601</v>
      </c>
      <c r="L301" s="37" t="s">
        <v>753</v>
      </c>
      <c r="O301" s="39" t="s">
        <v>1745</v>
      </c>
      <c r="AS301" s="48">
        <f>ROUND((Товары[[#This Row],[IRP, Eur]]*$AT$1),-2)*(1+Товары[[#This Row],[Процент повышения РРЦ]])</f>
        <v>0</v>
      </c>
      <c r="AT301" s="48"/>
      <c r="AU301" s="50">
        <f>ROUND(Товары[[#This Row],[РРЦ финальная, руб.]]/$AT$1,2)</f>
        <v>0</v>
      </c>
      <c r="AV301" s="49" t="str">
        <f>IFERROR(Товары[[#This Row],[РРЦ, евро]]/Товары[[#This Row],[IRP, Eur]],"-")</f>
        <v>-</v>
      </c>
      <c r="AX301" s="48">
        <f>ROUND(Товары[[#This Row],[РРЦ финальная, руб.]]*(1-Товары[[#This Row],[Скидка DIY]]),2)</f>
        <v>0</v>
      </c>
    </row>
    <row r="302" spans="1:50" x14ac:dyDescent="0.25">
      <c r="A302" s="36">
        <v>300</v>
      </c>
      <c r="C302" s="36" t="s">
        <v>3</v>
      </c>
      <c r="D3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2" s="36" t="s">
        <v>233</v>
      </c>
      <c r="F3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2" s="38">
        <v>9033</v>
      </c>
      <c r="I302" s="37" t="s">
        <v>251</v>
      </c>
      <c r="J302" s="37">
        <v>13010</v>
      </c>
      <c r="K302" s="38">
        <v>967039101</v>
      </c>
      <c r="L302" s="37" t="s">
        <v>754</v>
      </c>
      <c r="O302" s="39" t="s">
        <v>1746</v>
      </c>
      <c r="AS302" s="48">
        <f>ROUND((Товары[[#This Row],[IRP, Eur]]*$AT$1),-2)*(1+Товары[[#This Row],[Процент повышения РРЦ]])</f>
        <v>0</v>
      </c>
      <c r="AT302" s="48"/>
      <c r="AU302" s="50">
        <f>ROUND(Товары[[#This Row],[РРЦ финальная, руб.]]/$AT$1,2)</f>
        <v>0</v>
      </c>
      <c r="AV302" s="49" t="str">
        <f>IFERROR(Товары[[#This Row],[РРЦ, евро]]/Товары[[#This Row],[IRP, Eur]],"-")</f>
        <v>-</v>
      </c>
      <c r="AX302" s="48">
        <f>ROUND(Товары[[#This Row],[РРЦ финальная, руб.]]*(1-Товары[[#This Row],[Скидка DIY]]),2)</f>
        <v>0</v>
      </c>
    </row>
    <row r="303" spans="1:50" x14ac:dyDescent="0.25">
      <c r="A303" s="36">
        <v>301</v>
      </c>
      <c r="C303" s="36" t="s">
        <v>3</v>
      </c>
      <c r="D3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3" s="36" t="s">
        <v>233</v>
      </c>
      <c r="F3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3" s="38">
        <v>9033</v>
      </c>
      <c r="I303" s="37" t="s">
        <v>251</v>
      </c>
      <c r="J303" s="37">
        <v>13015</v>
      </c>
      <c r="K303" s="38">
        <v>967040701</v>
      </c>
      <c r="L303" s="37" t="s">
        <v>755</v>
      </c>
      <c r="O303" s="39" t="s">
        <v>1747</v>
      </c>
      <c r="AS303" s="48">
        <f>ROUND((Товары[[#This Row],[IRP, Eur]]*$AT$1),-2)*(1+Товары[[#This Row],[Процент повышения РРЦ]])</f>
        <v>0</v>
      </c>
      <c r="AT303" s="48"/>
      <c r="AU303" s="50">
        <f>ROUND(Товары[[#This Row],[РРЦ финальная, руб.]]/$AT$1,2)</f>
        <v>0</v>
      </c>
      <c r="AV303" s="49" t="str">
        <f>IFERROR(Товары[[#This Row],[РРЦ, евро]]/Товары[[#This Row],[IRP, Eur]],"-")</f>
        <v>-</v>
      </c>
      <c r="AX303" s="48">
        <f>ROUND(Товары[[#This Row],[РРЦ финальная, руб.]]*(1-Товары[[#This Row],[Скидка DIY]]),2)</f>
        <v>0</v>
      </c>
    </row>
    <row r="304" spans="1:50" x14ac:dyDescent="0.25">
      <c r="A304" s="36">
        <v>302</v>
      </c>
      <c r="C304" s="36" t="s">
        <v>3</v>
      </c>
      <c r="D3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4" s="36" t="s">
        <v>233</v>
      </c>
      <c r="F3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4" s="38">
        <v>9033</v>
      </c>
      <c r="I304" s="37" t="s">
        <v>271</v>
      </c>
      <c r="J304" s="37">
        <v>1362</v>
      </c>
      <c r="K304" s="38">
        <v>900910701</v>
      </c>
      <c r="L304" s="37" t="s">
        <v>756</v>
      </c>
      <c r="O304" s="39" t="s">
        <v>1748</v>
      </c>
      <c r="AS304" s="48">
        <f>ROUND((Товары[[#This Row],[IRP, Eur]]*$AT$1),-2)*(1+Товары[[#This Row],[Процент повышения РРЦ]])</f>
        <v>0</v>
      </c>
      <c r="AT304" s="48"/>
      <c r="AU304" s="50">
        <f>ROUND(Товары[[#This Row],[РРЦ финальная, руб.]]/$AT$1,2)</f>
        <v>0</v>
      </c>
      <c r="AV304" s="49" t="str">
        <f>IFERROR(Товары[[#This Row],[РРЦ, евро]]/Товары[[#This Row],[IRP, Eur]],"-")</f>
        <v>-</v>
      </c>
      <c r="AX304" s="48">
        <f>ROUND(Товары[[#This Row],[РРЦ финальная, руб.]]*(1-Товары[[#This Row],[Скидка DIY]]),2)</f>
        <v>0</v>
      </c>
    </row>
    <row r="305" spans="1:50" x14ac:dyDescent="0.25">
      <c r="A305" s="36">
        <v>303</v>
      </c>
      <c r="C305" s="36" t="s">
        <v>3</v>
      </c>
      <c r="D3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5" s="36" t="s">
        <v>233</v>
      </c>
      <c r="F3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5" s="38">
        <v>9033</v>
      </c>
      <c r="I305" s="37" t="s">
        <v>251</v>
      </c>
      <c r="J305" s="37">
        <v>13013</v>
      </c>
      <c r="K305" s="38">
        <v>967043401</v>
      </c>
      <c r="L305" s="37" t="s">
        <v>757</v>
      </c>
      <c r="O305" s="39" t="s">
        <v>1749</v>
      </c>
      <c r="AS305" s="48">
        <f>ROUND((Товары[[#This Row],[IRP, Eur]]*$AT$1),-2)*(1+Товары[[#This Row],[Процент повышения РРЦ]])</f>
        <v>0</v>
      </c>
      <c r="AT305" s="48"/>
      <c r="AU305" s="50">
        <f>ROUND(Товары[[#This Row],[РРЦ финальная, руб.]]/$AT$1,2)</f>
        <v>0</v>
      </c>
      <c r="AV305" s="49" t="str">
        <f>IFERROR(Товары[[#This Row],[РРЦ, евро]]/Товары[[#This Row],[IRP, Eur]],"-")</f>
        <v>-</v>
      </c>
      <c r="AX305" s="48">
        <f>ROUND(Товары[[#This Row],[РРЦ финальная, руб.]]*(1-Товары[[#This Row],[Скидка DIY]]),2)</f>
        <v>0</v>
      </c>
    </row>
    <row r="306" spans="1:50" x14ac:dyDescent="0.25">
      <c r="A306" s="36">
        <v>304</v>
      </c>
      <c r="C306" s="36" t="s">
        <v>3</v>
      </c>
      <c r="D3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6" s="36" t="s">
        <v>233</v>
      </c>
      <c r="F3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6" s="38">
        <v>9033</v>
      </c>
      <c r="I306" s="37" t="s">
        <v>271</v>
      </c>
      <c r="J306" s="37">
        <v>1395</v>
      </c>
      <c r="K306" s="38">
        <v>900915301</v>
      </c>
      <c r="L306" s="37" t="s">
        <v>758</v>
      </c>
      <c r="O306" s="39" t="s">
        <v>1750</v>
      </c>
      <c r="AS306" s="48">
        <f>ROUND((Товары[[#This Row],[IRP, Eur]]*$AT$1),-2)*(1+Товары[[#This Row],[Процент повышения РРЦ]])</f>
        <v>0</v>
      </c>
      <c r="AT306" s="48"/>
      <c r="AU306" s="50">
        <f>ROUND(Товары[[#This Row],[РРЦ финальная, руб.]]/$AT$1,2)</f>
        <v>0</v>
      </c>
      <c r="AV306" s="49" t="str">
        <f>IFERROR(Товары[[#This Row],[РРЦ, евро]]/Товары[[#This Row],[IRP, Eur]],"-")</f>
        <v>-</v>
      </c>
      <c r="AX306" s="48">
        <f>ROUND(Товары[[#This Row],[РРЦ финальная, руб.]]*(1-Товары[[#This Row],[Скидка DIY]]),2)</f>
        <v>0</v>
      </c>
    </row>
    <row r="307" spans="1:50" x14ac:dyDescent="0.25">
      <c r="A307" s="36">
        <v>305</v>
      </c>
      <c r="C307" s="36" t="s">
        <v>3</v>
      </c>
      <c r="D3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7" s="36" t="s">
        <v>233</v>
      </c>
      <c r="F3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7" s="38">
        <v>9033</v>
      </c>
      <c r="I307" s="37" t="s">
        <v>272</v>
      </c>
      <c r="J307" s="37">
        <v>1355</v>
      </c>
      <c r="K307" s="38">
        <v>900909901</v>
      </c>
      <c r="L307" s="37" t="s">
        <v>759</v>
      </c>
      <c r="O307" s="39" t="s">
        <v>1751</v>
      </c>
      <c r="AS307" s="48">
        <f>ROUND((Товары[[#This Row],[IRP, Eur]]*$AT$1),-2)*(1+Товары[[#This Row],[Процент повышения РРЦ]])</f>
        <v>0</v>
      </c>
      <c r="AT307" s="48"/>
      <c r="AU307" s="50">
        <f>ROUND(Товары[[#This Row],[РРЦ финальная, руб.]]/$AT$1,2)</f>
        <v>0</v>
      </c>
      <c r="AV307" s="49" t="str">
        <f>IFERROR(Товары[[#This Row],[РРЦ, евро]]/Товары[[#This Row],[IRP, Eur]],"-")</f>
        <v>-</v>
      </c>
      <c r="AX307" s="48">
        <f>ROUND(Товары[[#This Row],[РРЦ финальная, руб.]]*(1-Товары[[#This Row],[Скидка DIY]]),2)</f>
        <v>0</v>
      </c>
    </row>
    <row r="308" spans="1:50" x14ac:dyDescent="0.25">
      <c r="A308" s="36">
        <v>306</v>
      </c>
      <c r="C308" s="36" t="s">
        <v>3</v>
      </c>
      <c r="D3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8" s="36" t="s">
        <v>233</v>
      </c>
      <c r="F3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8" s="38">
        <v>9033</v>
      </c>
      <c r="I308" s="37" t="s">
        <v>272</v>
      </c>
      <c r="J308" s="37">
        <v>1354</v>
      </c>
      <c r="K308" s="38">
        <v>900909701</v>
      </c>
      <c r="L308" s="37" t="s">
        <v>760</v>
      </c>
      <c r="O308" s="39" t="s">
        <v>1752</v>
      </c>
      <c r="AS308" s="48">
        <f>ROUND((Товары[[#This Row],[IRP, Eur]]*$AT$1),-2)*(1+Товары[[#This Row],[Процент повышения РРЦ]])</f>
        <v>0</v>
      </c>
      <c r="AT308" s="48"/>
      <c r="AU308" s="50">
        <f>ROUND(Товары[[#This Row],[РРЦ финальная, руб.]]/$AT$1,2)</f>
        <v>0</v>
      </c>
      <c r="AV308" s="49" t="str">
        <f>IFERROR(Товары[[#This Row],[РРЦ, евро]]/Товары[[#This Row],[IRP, Eur]],"-")</f>
        <v>-</v>
      </c>
      <c r="AX308" s="48">
        <f>ROUND(Товары[[#This Row],[РРЦ финальная, руб.]]*(1-Товары[[#This Row],[Скидка DIY]]),2)</f>
        <v>0</v>
      </c>
    </row>
    <row r="309" spans="1:50" x14ac:dyDescent="0.25">
      <c r="A309" s="36">
        <v>307</v>
      </c>
      <c r="C309" s="36" t="s">
        <v>3</v>
      </c>
      <c r="D3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9" s="36" t="s">
        <v>233</v>
      </c>
      <c r="F3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9" s="38">
        <v>9033</v>
      </c>
      <c r="I309" s="37" t="s">
        <v>273</v>
      </c>
      <c r="J309" s="37">
        <v>8313</v>
      </c>
      <c r="K309" s="38">
        <v>901161501</v>
      </c>
      <c r="L309" s="37" t="s">
        <v>761</v>
      </c>
      <c r="O309" s="39" t="s">
        <v>1753</v>
      </c>
      <c r="AS309" s="48">
        <f>ROUND((Товары[[#This Row],[IRP, Eur]]*$AT$1),-2)*(1+Товары[[#This Row],[Процент повышения РРЦ]])</f>
        <v>0</v>
      </c>
      <c r="AT309" s="48"/>
      <c r="AU309" s="50">
        <f>ROUND(Товары[[#This Row],[РРЦ финальная, руб.]]/$AT$1,2)</f>
        <v>0</v>
      </c>
      <c r="AV309" s="49" t="str">
        <f>IFERROR(Товары[[#This Row],[РРЦ, евро]]/Товары[[#This Row],[IRP, Eur]],"-")</f>
        <v>-</v>
      </c>
      <c r="AX309" s="48">
        <f>ROUND(Товары[[#This Row],[РРЦ финальная, руб.]]*(1-Товары[[#This Row],[Скидка DIY]]),2)</f>
        <v>0</v>
      </c>
    </row>
    <row r="310" spans="1:50" x14ac:dyDescent="0.25">
      <c r="A310" s="36">
        <v>308</v>
      </c>
      <c r="C310" s="36" t="s">
        <v>3</v>
      </c>
      <c r="D3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0" s="36" t="s">
        <v>233</v>
      </c>
      <c r="F3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0" s="38">
        <v>9033</v>
      </c>
      <c r="I310" s="37" t="s">
        <v>274</v>
      </c>
      <c r="J310" s="37">
        <v>8322</v>
      </c>
      <c r="K310" s="38">
        <v>901162201</v>
      </c>
      <c r="L310" s="37" t="s">
        <v>762</v>
      </c>
      <c r="O310" s="39" t="s">
        <v>1754</v>
      </c>
      <c r="AS310" s="48">
        <f>ROUND((Товары[[#This Row],[IRP, Eur]]*$AT$1),-2)*(1+Товары[[#This Row],[Процент повышения РРЦ]])</f>
        <v>0</v>
      </c>
      <c r="AT310" s="48"/>
      <c r="AU310" s="50">
        <f>ROUND(Товары[[#This Row],[РРЦ финальная, руб.]]/$AT$1,2)</f>
        <v>0</v>
      </c>
      <c r="AV310" s="49" t="str">
        <f>IFERROR(Товары[[#This Row],[РРЦ, евро]]/Товары[[#This Row],[IRP, Eur]],"-")</f>
        <v>-</v>
      </c>
      <c r="AX310" s="48">
        <f>ROUND(Товары[[#This Row],[РРЦ финальная, руб.]]*(1-Товары[[#This Row],[Скидка DIY]]),2)</f>
        <v>0</v>
      </c>
    </row>
    <row r="311" spans="1:50" x14ac:dyDescent="0.25">
      <c r="A311" s="36">
        <v>309</v>
      </c>
      <c r="C311" s="36" t="s">
        <v>3</v>
      </c>
      <c r="D3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1" s="36" t="s">
        <v>233</v>
      </c>
      <c r="F3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1" s="38">
        <v>9033</v>
      </c>
      <c r="I311" s="37" t="s">
        <v>275</v>
      </c>
      <c r="J311" s="37">
        <v>1346</v>
      </c>
      <c r="K311" s="38">
        <v>900909101</v>
      </c>
      <c r="L311" s="37" t="s">
        <v>763</v>
      </c>
      <c r="M311" s="37" t="s">
        <v>1374</v>
      </c>
      <c r="O311" s="39" t="s">
        <v>1755</v>
      </c>
      <c r="AS311" s="48">
        <f>ROUND((Товары[[#This Row],[IRP, Eur]]*$AT$1),-2)*(1+Товары[[#This Row],[Процент повышения РРЦ]])</f>
        <v>0</v>
      </c>
      <c r="AT311" s="48"/>
      <c r="AU311" s="50">
        <f>ROUND(Товары[[#This Row],[РРЦ финальная, руб.]]/$AT$1,2)</f>
        <v>0</v>
      </c>
      <c r="AV311" s="49" t="str">
        <f>IFERROR(Товары[[#This Row],[РРЦ, евро]]/Товары[[#This Row],[IRP, Eur]],"-")</f>
        <v>-</v>
      </c>
      <c r="AX311" s="48">
        <f>ROUND(Товары[[#This Row],[РРЦ финальная, руб.]]*(1-Товары[[#This Row],[Скидка DIY]]),2)</f>
        <v>0</v>
      </c>
    </row>
    <row r="312" spans="1:50" x14ac:dyDescent="0.25">
      <c r="A312" s="36">
        <v>310</v>
      </c>
      <c r="C312" s="36" t="s">
        <v>3</v>
      </c>
      <c r="D3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2" s="36" t="s">
        <v>233</v>
      </c>
      <c r="F3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2" s="38">
        <v>9033</v>
      </c>
      <c r="I312" s="37" t="s">
        <v>275</v>
      </c>
      <c r="J312" s="37">
        <v>1350</v>
      </c>
      <c r="K312" s="38">
        <v>966687001</v>
      </c>
      <c r="L312" s="37" t="s">
        <v>764</v>
      </c>
      <c r="O312" s="39" t="s">
        <v>1756</v>
      </c>
      <c r="AS312" s="48">
        <f>ROUND((Товары[[#This Row],[IRP, Eur]]*$AT$1),-2)*(1+Товары[[#This Row],[Процент повышения РРЦ]])</f>
        <v>0</v>
      </c>
      <c r="AT312" s="48"/>
      <c r="AU312" s="50">
        <f>ROUND(Товары[[#This Row],[РРЦ финальная, руб.]]/$AT$1,2)</f>
        <v>0</v>
      </c>
      <c r="AV312" s="49" t="str">
        <f>IFERROR(Товары[[#This Row],[РРЦ, евро]]/Товары[[#This Row],[IRP, Eur]],"-")</f>
        <v>-</v>
      </c>
      <c r="AX312" s="48">
        <f>ROUND(Товары[[#This Row],[РРЦ финальная, руб.]]*(1-Товары[[#This Row],[Скидка DIY]]),2)</f>
        <v>0</v>
      </c>
    </row>
    <row r="313" spans="1:50" x14ac:dyDescent="0.25">
      <c r="A313" s="36">
        <v>311</v>
      </c>
      <c r="C313" s="36" t="s">
        <v>3</v>
      </c>
      <c r="D3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3" s="36" t="s">
        <v>233</v>
      </c>
      <c r="F3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3" s="38">
        <v>9033</v>
      </c>
      <c r="I313" s="37" t="s">
        <v>275</v>
      </c>
      <c r="J313" s="37">
        <v>1348</v>
      </c>
      <c r="K313" s="38">
        <v>900909301</v>
      </c>
      <c r="L313" s="37" t="s">
        <v>765</v>
      </c>
      <c r="M313" s="37" t="s">
        <v>1375</v>
      </c>
      <c r="O313" s="39" t="s">
        <v>1757</v>
      </c>
      <c r="AS313" s="48">
        <f>ROUND((Товары[[#This Row],[IRP, Eur]]*$AT$1),-2)*(1+Товары[[#This Row],[Процент повышения РРЦ]])</f>
        <v>0</v>
      </c>
      <c r="AT313" s="48"/>
      <c r="AU313" s="50">
        <f>ROUND(Товары[[#This Row],[РРЦ финальная, руб.]]/$AT$1,2)</f>
        <v>0</v>
      </c>
      <c r="AV313" s="49" t="str">
        <f>IFERROR(Товары[[#This Row],[РРЦ, евро]]/Товары[[#This Row],[IRP, Eur]],"-")</f>
        <v>-</v>
      </c>
      <c r="AX313" s="48">
        <f>ROUND(Товары[[#This Row],[РРЦ финальная, руб.]]*(1-Товары[[#This Row],[Скидка DIY]]),2)</f>
        <v>0</v>
      </c>
    </row>
    <row r="314" spans="1:50" x14ac:dyDescent="0.25">
      <c r="A314" s="36">
        <v>312</v>
      </c>
      <c r="C314" s="36" t="s">
        <v>3</v>
      </c>
      <c r="D3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4" s="36" t="s">
        <v>233</v>
      </c>
      <c r="F3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4" s="38">
        <v>9033</v>
      </c>
      <c r="I314" s="37" t="s">
        <v>276</v>
      </c>
      <c r="J314" s="37">
        <v>8358</v>
      </c>
      <c r="K314" s="38">
        <v>901165801</v>
      </c>
      <c r="L314" s="37" t="s">
        <v>766</v>
      </c>
      <c r="O314" s="39" t="s">
        <v>1758</v>
      </c>
      <c r="AS314" s="48">
        <f>ROUND((Товары[[#This Row],[IRP, Eur]]*$AT$1),-2)*(1+Товары[[#This Row],[Процент повышения РРЦ]])</f>
        <v>0</v>
      </c>
      <c r="AT314" s="48"/>
      <c r="AU314" s="50">
        <f>ROUND(Товары[[#This Row],[РРЦ финальная, руб.]]/$AT$1,2)</f>
        <v>0</v>
      </c>
      <c r="AV314" s="49" t="str">
        <f>IFERROR(Товары[[#This Row],[РРЦ, евро]]/Товары[[#This Row],[IRP, Eur]],"-")</f>
        <v>-</v>
      </c>
      <c r="AX314" s="48">
        <f>ROUND(Товары[[#This Row],[РРЦ финальная, руб.]]*(1-Товары[[#This Row],[Скидка DIY]]),2)</f>
        <v>0</v>
      </c>
    </row>
    <row r="315" spans="1:50" x14ac:dyDescent="0.25">
      <c r="A315" s="36">
        <v>313</v>
      </c>
      <c r="C315" s="36" t="s">
        <v>3</v>
      </c>
      <c r="D3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5" s="36" t="s">
        <v>233</v>
      </c>
      <c r="F3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5" s="38">
        <v>9033</v>
      </c>
      <c r="I315" s="37" t="s">
        <v>276</v>
      </c>
      <c r="J315" s="37">
        <v>8357</v>
      </c>
      <c r="K315" s="38">
        <v>901165601</v>
      </c>
      <c r="L315" s="37" t="s">
        <v>767</v>
      </c>
      <c r="O315" s="39" t="s">
        <v>1759</v>
      </c>
      <c r="AS315" s="48">
        <f>ROUND((Товары[[#This Row],[IRP, Eur]]*$AT$1),-2)*(1+Товары[[#This Row],[Процент повышения РРЦ]])</f>
        <v>0</v>
      </c>
      <c r="AT315" s="48"/>
      <c r="AU315" s="50">
        <f>ROUND(Товары[[#This Row],[РРЦ финальная, руб.]]/$AT$1,2)</f>
        <v>0</v>
      </c>
      <c r="AV315" s="49" t="str">
        <f>IFERROR(Товары[[#This Row],[РРЦ, евро]]/Товары[[#This Row],[IRP, Eur]],"-")</f>
        <v>-</v>
      </c>
      <c r="AX315" s="48">
        <f>ROUND(Товары[[#This Row],[РРЦ финальная, руб.]]*(1-Товары[[#This Row],[Скидка DIY]]),2)</f>
        <v>0</v>
      </c>
    </row>
    <row r="316" spans="1:50" x14ac:dyDescent="0.25">
      <c r="A316" s="36">
        <v>314</v>
      </c>
      <c r="C316" s="36" t="s">
        <v>3</v>
      </c>
      <c r="D3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6" s="36" t="s">
        <v>233</v>
      </c>
      <c r="F3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6" s="38">
        <v>9033</v>
      </c>
      <c r="I316" s="37" t="s">
        <v>277</v>
      </c>
      <c r="J316" s="37">
        <v>8380</v>
      </c>
      <c r="K316" s="38">
        <v>901166601</v>
      </c>
      <c r="L316" s="37" t="s">
        <v>768</v>
      </c>
      <c r="O316" s="39" t="s">
        <v>1760</v>
      </c>
      <c r="AS316" s="48">
        <f>ROUND((Товары[[#This Row],[IRP, Eur]]*$AT$1),-2)*(1+Товары[[#This Row],[Процент повышения РРЦ]])</f>
        <v>0</v>
      </c>
      <c r="AT316" s="48"/>
      <c r="AU316" s="50">
        <f>ROUND(Товары[[#This Row],[РРЦ финальная, руб.]]/$AT$1,2)</f>
        <v>0</v>
      </c>
      <c r="AV316" s="49" t="str">
        <f>IFERROR(Товары[[#This Row],[РРЦ, евро]]/Товары[[#This Row],[IRP, Eur]],"-")</f>
        <v>-</v>
      </c>
      <c r="AX316" s="48">
        <f>ROUND(Товары[[#This Row],[РРЦ финальная, руб.]]*(1-Товары[[#This Row],[Скидка DIY]]),2)</f>
        <v>0</v>
      </c>
    </row>
    <row r="317" spans="1:50" x14ac:dyDescent="0.25">
      <c r="A317" s="36">
        <v>315</v>
      </c>
      <c r="C317" s="36" t="s">
        <v>3</v>
      </c>
      <c r="D3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7" s="36" t="s">
        <v>233</v>
      </c>
      <c r="F3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7" s="38">
        <v>9033</v>
      </c>
      <c r="I317" s="37" t="s">
        <v>277</v>
      </c>
      <c r="J317" s="37">
        <v>8379</v>
      </c>
      <c r="K317" s="38">
        <v>901166301</v>
      </c>
      <c r="L317" s="37" t="s">
        <v>769</v>
      </c>
      <c r="O317" s="39" t="s">
        <v>1761</v>
      </c>
      <c r="AS317" s="48">
        <f>ROUND((Товары[[#This Row],[IRP, Eur]]*$AT$1),-2)*(1+Товары[[#This Row],[Процент повышения РРЦ]])</f>
        <v>0</v>
      </c>
      <c r="AT317" s="48"/>
      <c r="AU317" s="50">
        <f>ROUND(Товары[[#This Row],[РРЦ финальная, руб.]]/$AT$1,2)</f>
        <v>0</v>
      </c>
      <c r="AV317" s="49" t="str">
        <f>IFERROR(Товары[[#This Row],[РРЦ, евро]]/Товары[[#This Row],[IRP, Eur]],"-")</f>
        <v>-</v>
      </c>
      <c r="AX317" s="48">
        <f>ROUND(Товары[[#This Row],[РРЦ финальная, руб.]]*(1-Товары[[#This Row],[Скидка DIY]]),2)</f>
        <v>0</v>
      </c>
    </row>
    <row r="318" spans="1:50" x14ac:dyDescent="0.25">
      <c r="A318" s="36">
        <v>316</v>
      </c>
      <c r="C318" s="36" t="s">
        <v>3</v>
      </c>
      <c r="D3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8" s="36" t="s">
        <v>233</v>
      </c>
      <c r="F3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8" s="38">
        <v>9033</v>
      </c>
      <c r="I318" s="37" t="s">
        <v>277</v>
      </c>
      <c r="J318" s="37">
        <v>1327</v>
      </c>
      <c r="K318" s="38">
        <v>900906201</v>
      </c>
      <c r="L318" s="37" t="s">
        <v>770</v>
      </c>
      <c r="M318" s="37" t="s">
        <v>1376</v>
      </c>
      <c r="O318" s="39" t="s">
        <v>1762</v>
      </c>
      <c r="AS318" s="48">
        <f>ROUND((Товары[[#This Row],[IRP, Eur]]*$AT$1),-2)*(1+Товары[[#This Row],[Процент повышения РРЦ]])</f>
        <v>0</v>
      </c>
      <c r="AT318" s="48"/>
      <c r="AU318" s="50">
        <f>ROUND(Товары[[#This Row],[РРЦ финальная, руб.]]/$AT$1,2)</f>
        <v>0</v>
      </c>
      <c r="AV318" s="49" t="str">
        <f>IFERROR(Товары[[#This Row],[РРЦ, евро]]/Товары[[#This Row],[IRP, Eur]],"-")</f>
        <v>-</v>
      </c>
      <c r="AX318" s="48">
        <f>ROUND(Товары[[#This Row],[РРЦ финальная, руб.]]*(1-Товары[[#This Row],[Скидка DIY]]),2)</f>
        <v>0</v>
      </c>
    </row>
    <row r="319" spans="1:50" x14ac:dyDescent="0.25">
      <c r="A319" s="36">
        <v>317</v>
      </c>
      <c r="C319" s="36" t="s">
        <v>3</v>
      </c>
      <c r="D3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9" s="36" t="s">
        <v>233</v>
      </c>
      <c r="F3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9" s="38">
        <v>9033</v>
      </c>
      <c r="I319" s="37" t="s">
        <v>277</v>
      </c>
      <c r="J319" s="37">
        <v>8328</v>
      </c>
      <c r="K319" s="38">
        <v>901162701</v>
      </c>
      <c r="L319" s="37" t="s">
        <v>771</v>
      </c>
      <c r="M319" s="37" t="s">
        <v>1377</v>
      </c>
      <c r="O319" s="39" t="s">
        <v>1763</v>
      </c>
      <c r="AS319" s="48">
        <f>ROUND((Товары[[#This Row],[IRP, Eur]]*$AT$1),-2)*(1+Товары[[#This Row],[Процент повышения РРЦ]])</f>
        <v>0</v>
      </c>
      <c r="AT319" s="48"/>
      <c r="AU319" s="50">
        <f>ROUND(Товары[[#This Row],[РРЦ финальная, руб.]]/$AT$1,2)</f>
        <v>0</v>
      </c>
      <c r="AV319" s="49" t="str">
        <f>IFERROR(Товары[[#This Row],[РРЦ, евро]]/Товары[[#This Row],[IRP, Eur]],"-")</f>
        <v>-</v>
      </c>
      <c r="AX319" s="48">
        <f>ROUND(Товары[[#This Row],[РРЦ финальная, руб.]]*(1-Товары[[#This Row],[Скидка DIY]]),2)</f>
        <v>0</v>
      </c>
    </row>
    <row r="320" spans="1:50" x14ac:dyDescent="0.25">
      <c r="A320" s="36">
        <v>318</v>
      </c>
      <c r="C320" s="36" t="s">
        <v>3</v>
      </c>
      <c r="D3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0" s="36" t="s">
        <v>233</v>
      </c>
      <c r="F3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0" s="38">
        <v>9033</v>
      </c>
      <c r="I320" s="37" t="s">
        <v>277</v>
      </c>
      <c r="J320" s="37">
        <v>8327</v>
      </c>
      <c r="K320" s="38">
        <v>901162501</v>
      </c>
      <c r="L320" s="37" t="s">
        <v>772</v>
      </c>
      <c r="M320" s="37" t="s">
        <v>1378</v>
      </c>
      <c r="O320" s="39" t="s">
        <v>1764</v>
      </c>
      <c r="AS320" s="48">
        <f>ROUND((Товары[[#This Row],[IRP, Eur]]*$AT$1),-2)*(1+Товары[[#This Row],[Процент повышения РРЦ]])</f>
        <v>0</v>
      </c>
      <c r="AT320" s="48"/>
      <c r="AU320" s="50">
        <f>ROUND(Товары[[#This Row],[РРЦ финальная, руб.]]/$AT$1,2)</f>
        <v>0</v>
      </c>
      <c r="AV320" s="49" t="str">
        <f>IFERROR(Товары[[#This Row],[РРЦ, евро]]/Товары[[#This Row],[IRP, Eur]],"-")</f>
        <v>-</v>
      </c>
      <c r="AX320" s="48">
        <f>ROUND(Товары[[#This Row],[РРЦ финальная, руб.]]*(1-Товары[[#This Row],[Скидка DIY]]),2)</f>
        <v>0</v>
      </c>
    </row>
    <row r="321" spans="1:50" x14ac:dyDescent="0.25">
      <c r="A321" s="36">
        <v>319</v>
      </c>
      <c r="C321" s="36" t="s">
        <v>3</v>
      </c>
      <c r="D3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1" s="36" t="s">
        <v>233</v>
      </c>
      <c r="F3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1" s="38">
        <v>9033</v>
      </c>
      <c r="I321" s="37" t="s">
        <v>245</v>
      </c>
      <c r="J321" s="37">
        <v>8339</v>
      </c>
      <c r="K321" s="38">
        <v>901164501</v>
      </c>
      <c r="L321" s="37" t="s">
        <v>773</v>
      </c>
      <c r="O321" s="39" t="s">
        <v>1765</v>
      </c>
      <c r="AS321" s="48">
        <f>ROUND((Товары[[#This Row],[IRP, Eur]]*$AT$1),-2)*(1+Товары[[#This Row],[Процент повышения РРЦ]])</f>
        <v>0</v>
      </c>
      <c r="AT321" s="48"/>
      <c r="AU321" s="50">
        <f>ROUND(Товары[[#This Row],[РРЦ финальная, руб.]]/$AT$1,2)</f>
        <v>0</v>
      </c>
      <c r="AV321" s="49" t="str">
        <f>IFERROR(Товары[[#This Row],[РРЦ, евро]]/Товары[[#This Row],[IRP, Eur]],"-")</f>
        <v>-</v>
      </c>
      <c r="AX321" s="48">
        <f>ROUND(Товары[[#This Row],[РРЦ финальная, руб.]]*(1-Товары[[#This Row],[Скидка DIY]]),2)</f>
        <v>0</v>
      </c>
    </row>
    <row r="322" spans="1:50" x14ac:dyDescent="0.25">
      <c r="A322" s="36">
        <v>320</v>
      </c>
      <c r="C322" s="36" t="s">
        <v>3</v>
      </c>
      <c r="D3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2" s="36" t="s">
        <v>233</v>
      </c>
      <c r="F3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2" s="38">
        <v>9033</v>
      </c>
      <c r="I322" s="37" t="s">
        <v>245</v>
      </c>
      <c r="J322" s="37">
        <v>8334</v>
      </c>
      <c r="K322" s="38">
        <v>901164001</v>
      </c>
      <c r="L322" s="37" t="s">
        <v>774</v>
      </c>
      <c r="O322" s="39" t="s">
        <v>1766</v>
      </c>
      <c r="AS322" s="48">
        <f>ROUND((Товары[[#This Row],[IRP, Eur]]*$AT$1),-2)*(1+Товары[[#This Row],[Процент повышения РРЦ]])</f>
        <v>0</v>
      </c>
      <c r="AT322" s="48"/>
      <c r="AU322" s="50">
        <f>ROUND(Товары[[#This Row],[РРЦ финальная, руб.]]/$AT$1,2)</f>
        <v>0</v>
      </c>
      <c r="AV322" s="49" t="str">
        <f>IFERROR(Товары[[#This Row],[РРЦ, евро]]/Товары[[#This Row],[IRP, Eur]],"-")</f>
        <v>-</v>
      </c>
      <c r="AX322" s="48">
        <f>ROUND(Товары[[#This Row],[РРЦ финальная, руб.]]*(1-Товары[[#This Row],[Скидка DIY]]),2)</f>
        <v>0</v>
      </c>
    </row>
    <row r="323" spans="1:50" x14ac:dyDescent="0.25">
      <c r="A323" s="36">
        <v>321</v>
      </c>
      <c r="C323" s="36" t="s">
        <v>3</v>
      </c>
      <c r="D3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3" s="36" t="s">
        <v>233</v>
      </c>
      <c r="F3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3" s="38">
        <v>9033</v>
      </c>
      <c r="I323" s="37" t="s">
        <v>245</v>
      </c>
      <c r="J323" s="37">
        <v>8333</v>
      </c>
      <c r="K323" s="38">
        <v>901163701</v>
      </c>
      <c r="L323" s="37" t="s">
        <v>775</v>
      </c>
      <c r="M323" s="37" t="s">
        <v>1379</v>
      </c>
      <c r="O323" s="39" t="s">
        <v>1767</v>
      </c>
      <c r="AS323" s="48">
        <f>ROUND((Товары[[#This Row],[IRP, Eur]]*$AT$1),-2)*(1+Товары[[#This Row],[Процент повышения РРЦ]])</f>
        <v>0</v>
      </c>
      <c r="AT323" s="48"/>
      <c r="AU323" s="50">
        <f>ROUND(Товары[[#This Row],[РРЦ финальная, руб.]]/$AT$1,2)</f>
        <v>0</v>
      </c>
      <c r="AV323" s="49" t="str">
        <f>IFERROR(Товары[[#This Row],[РРЦ, евро]]/Товары[[#This Row],[IRP, Eur]],"-")</f>
        <v>-</v>
      </c>
      <c r="AX323" s="48">
        <f>ROUND(Товары[[#This Row],[РРЦ финальная, руб.]]*(1-Товары[[#This Row],[Скидка DIY]]),2)</f>
        <v>0</v>
      </c>
    </row>
    <row r="324" spans="1:50" x14ac:dyDescent="0.25">
      <c r="A324" s="36">
        <v>322</v>
      </c>
      <c r="C324" s="36" t="s">
        <v>3</v>
      </c>
      <c r="D3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4" s="36" t="s">
        <v>233</v>
      </c>
      <c r="F3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4" s="38">
        <v>9033</v>
      </c>
      <c r="I324" s="37" t="s">
        <v>245</v>
      </c>
      <c r="J324" s="37">
        <v>8329</v>
      </c>
      <c r="K324" s="38">
        <v>901163001</v>
      </c>
      <c r="L324" s="37" t="s">
        <v>776</v>
      </c>
      <c r="O324" s="39" t="s">
        <v>1768</v>
      </c>
      <c r="AS324" s="48">
        <f>ROUND((Товары[[#This Row],[IRP, Eur]]*$AT$1),-2)*(1+Товары[[#This Row],[Процент повышения РРЦ]])</f>
        <v>0</v>
      </c>
      <c r="AT324" s="48"/>
      <c r="AU324" s="50">
        <f>ROUND(Товары[[#This Row],[РРЦ финальная, руб.]]/$AT$1,2)</f>
        <v>0</v>
      </c>
      <c r="AV324" s="49" t="str">
        <f>IFERROR(Товары[[#This Row],[РРЦ, евро]]/Товары[[#This Row],[IRP, Eur]],"-")</f>
        <v>-</v>
      </c>
      <c r="AX324" s="48">
        <f>ROUND(Товары[[#This Row],[РРЦ финальная, руб.]]*(1-Товары[[#This Row],[Скидка DIY]]),2)</f>
        <v>0</v>
      </c>
    </row>
    <row r="325" spans="1:50" x14ac:dyDescent="0.25">
      <c r="A325" s="36">
        <v>323</v>
      </c>
      <c r="C325" s="36" t="s">
        <v>3</v>
      </c>
      <c r="D3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5" s="36" t="s">
        <v>233</v>
      </c>
      <c r="F3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5" s="38">
        <v>9033</v>
      </c>
      <c r="I325" s="37" t="s">
        <v>245</v>
      </c>
      <c r="J325" s="37">
        <v>8330</v>
      </c>
      <c r="K325" s="38">
        <v>901163201</v>
      </c>
      <c r="L325" s="37" t="s">
        <v>777</v>
      </c>
      <c r="O325" s="39" t="s">
        <v>1769</v>
      </c>
      <c r="AS325" s="48">
        <f>ROUND((Товары[[#This Row],[IRP, Eur]]*$AT$1),-2)*(1+Товары[[#This Row],[Процент повышения РРЦ]])</f>
        <v>0</v>
      </c>
      <c r="AT325" s="48"/>
      <c r="AU325" s="50">
        <f>ROUND(Товары[[#This Row],[РРЦ финальная, руб.]]/$AT$1,2)</f>
        <v>0</v>
      </c>
      <c r="AV325" s="49" t="str">
        <f>IFERROR(Товары[[#This Row],[РРЦ, евро]]/Товары[[#This Row],[IRP, Eur]],"-")</f>
        <v>-</v>
      </c>
      <c r="AX325" s="48">
        <f>ROUND(Товары[[#This Row],[РРЦ финальная, руб.]]*(1-Товары[[#This Row],[Скидка DIY]]),2)</f>
        <v>0</v>
      </c>
    </row>
    <row r="326" spans="1:50" x14ac:dyDescent="0.25">
      <c r="A326" s="36">
        <v>324</v>
      </c>
      <c r="C326" s="36" t="s">
        <v>3</v>
      </c>
      <c r="D3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6" s="36" t="s">
        <v>233</v>
      </c>
      <c r="F3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6" s="38">
        <v>9033</v>
      </c>
      <c r="I326" s="37" t="s">
        <v>245</v>
      </c>
      <c r="J326" s="37">
        <v>8382</v>
      </c>
      <c r="K326" s="38">
        <v>901167001</v>
      </c>
      <c r="L326" s="37" t="s">
        <v>778</v>
      </c>
      <c r="O326" s="39" t="s">
        <v>1770</v>
      </c>
      <c r="AS326" s="48">
        <f>ROUND((Товары[[#This Row],[IRP, Eur]]*$AT$1),-2)*(1+Товары[[#This Row],[Процент повышения РРЦ]])</f>
        <v>0</v>
      </c>
      <c r="AT326" s="48"/>
      <c r="AU326" s="50">
        <f>ROUND(Товары[[#This Row],[РРЦ финальная, руб.]]/$AT$1,2)</f>
        <v>0</v>
      </c>
      <c r="AV326" s="49" t="str">
        <f>IFERROR(Товары[[#This Row],[РРЦ, евро]]/Товары[[#This Row],[IRP, Eur]],"-")</f>
        <v>-</v>
      </c>
      <c r="AX326" s="48">
        <f>ROUND(Товары[[#This Row],[РРЦ финальная, руб.]]*(1-Товары[[#This Row],[Скидка DIY]]),2)</f>
        <v>0</v>
      </c>
    </row>
    <row r="327" spans="1:50" x14ac:dyDescent="0.25">
      <c r="A327" s="36">
        <v>325</v>
      </c>
      <c r="C327" s="36" t="s">
        <v>3</v>
      </c>
      <c r="D3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7" s="36" t="s">
        <v>233</v>
      </c>
      <c r="F3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7" s="38">
        <v>9033</v>
      </c>
      <c r="I327" s="37" t="s">
        <v>245</v>
      </c>
      <c r="J327" s="37">
        <v>8381</v>
      </c>
      <c r="K327" s="38">
        <v>901166801</v>
      </c>
      <c r="L327" s="37" t="s">
        <v>779</v>
      </c>
      <c r="O327" s="39" t="s">
        <v>1771</v>
      </c>
      <c r="AS327" s="48">
        <f>ROUND((Товары[[#This Row],[IRP, Eur]]*$AT$1),-2)*(1+Товары[[#This Row],[Процент повышения РРЦ]])</f>
        <v>0</v>
      </c>
      <c r="AT327" s="48"/>
      <c r="AU327" s="50">
        <f>ROUND(Товары[[#This Row],[РРЦ финальная, руб.]]/$AT$1,2)</f>
        <v>0</v>
      </c>
      <c r="AV327" s="49" t="str">
        <f>IFERROR(Товары[[#This Row],[РРЦ, евро]]/Товары[[#This Row],[IRP, Eur]],"-")</f>
        <v>-</v>
      </c>
      <c r="AX327" s="48">
        <f>ROUND(Товары[[#This Row],[РРЦ финальная, руб.]]*(1-Товары[[#This Row],[Скидка DIY]]),2)</f>
        <v>0</v>
      </c>
    </row>
    <row r="328" spans="1:50" x14ac:dyDescent="0.25">
      <c r="A328" s="36">
        <v>326</v>
      </c>
      <c r="C328" s="36" t="s">
        <v>3</v>
      </c>
      <c r="D3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8" s="36" t="s">
        <v>233</v>
      </c>
      <c r="F3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8" s="38">
        <v>9033</v>
      </c>
      <c r="I328" s="37" t="s">
        <v>245</v>
      </c>
      <c r="J328" s="37">
        <v>8356</v>
      </c>
      <c r="K328" s="38">
        <v>901165401</v>
      </c>
      <c r="L328" s="37" t="s">
        <v>780</v>
      </c>
      <c r="O328" s="39" t="s">
        <v>1772</v>
      </c>
      <c r="AS328" s="48">
        <f>ROUND((Товары[[#This Row],[IRP, Eur]]*$AT$1),-2)*(1+Товары[[#This Row],[Процент повышения РРЦ]])</f>
        <v>0</v>
      </c>
      <c r="AT328" s="48"/>
      <c r="AU328" s="50">
        <f>ROUND(Товары[[#This Row],[РРЦ финальная, руб.]]/$AT$1,2)</f>
        <v>0</v>
      </c>
      <c r="AV328" s="49" t="str">
        <f>IFERROR(Товары[[#This Row],[РРЦ, евро]]/Товары[[#This Row],[IRP, Eur]],"-")</f>
        <v>-</v>
      </c>
      <c r="AX328" s="48">
        <f>ROUND(Товары[[#This Row],[РРЦ финальная, руб.]]*(1-Товары[[#This Row],[Скидка DIY]]),2)</f>
        <v>0</v>
      </c>
    </row>
    <row r="329" spans="1:50" x14ac:dyDescent="0.25">
      <c r="A329" s="36">
        <v>327</v>
      </c>
      <c r="C329" s="36" t="s">
        <v>3</v>
      </c>
      <c r="D3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9" s="36" t="s">
        <v>233</v>
      </c>
      <c r="F3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9" s="38">
        <v>9033</v>
      </c>
      <c r="I329" s="37" t="s">
        <v>245</v>
      </c>
      <c r="J329" s="37">
        <v>8337</v>
      </c>
      <c r="K329" s="38">
        <v>901164201</v>
      </c>
      <c r="L329" s="37" t="s">
        <v>781</v>
      </c>
      <c r="O329" s="39" t="s">
        <v>1773</v>
      </c>
      <c r="AS329" s="48">
        <f>ROUND((Товары[[#This Row],[IRP, Eur]]*$AT$1),-2)*(1+Товары[[#This Row],[Процент повышения РРЦ]])</f>
        <v>0</v>
      </c>
      <c r="AT329" s="48"/>
      <c r="AU329" s="50">
        <f>ROUND(Товары[[#This Row],[РРЦ финальная, руб.]]/$AT$1,2)</f>
        <v>0</v>
      </c>
      <c r="AV329" s="49" t="str">
        <f>IFERROR(Товары[[#This Row],[РРЦ, евро]]/Товары[[#This Row],[IRP, Eur]],"-")</f>
        <v>-</v>
      </c>
      <c r="AX329" s="48">
        <f>ROUND(Товары[[#This Row],[РРЦ финальная, руб.]]*(1-Товары[[#This Row],[Скидка DIY]]),2)</f>
        <v>0</v>
      </c>
    </row>
    <row r="330" spans="1:50" x14ac:dyDescent="0.25">
      <c r="A330" s="36">
        <v>328</v>
      </c>
      <c r="C330" s="36" t="s">
        <v>3</v>
      </c>
      <c r="D3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0" s="36" t="s">
        <v>233</v>
      </c>
      <c r="F3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0" s="38">
        <v>9033</v>
      </c>
      <c r="I330" s="37" t="s">
        <v>245</v>
      </c>
      <c r="J330" s="37">
        <v>8324</v>
      </c>
      <c r="K330" s="38">
        <v>901162401</v>
      </c>
      <c r="L330" s="37" t="s">
        <v>782</v>
      </c>
      <c r="O330" s="39" t="s">
        <v>1774</v>
      </c>
      <c r="AS330" s="48">
        <f>ROUND((Товары[[#This Row],[IRP, Eur]]*$AT$1),-2)*(1+Товары[[#This Row],[Процент повышения РРЦ]])</f>
        <v>0</v>
      </c>
      <c r="AT330" s="48"/>
      <c r="AU330" s="50">
        <f>ROUND(Товары[[#This Row],[РРЦ финальная, руб.]]/$AT$1,2)</f>
        <v>0</v>
      </c>
      <c r="AV330" s="49" t="str">
        <f>IFERROR(Товары[[#This Row],[РРЦ, евро]]/Товары[[#This Row],[IRP, Eur]],"-")</f>
        <v>-</v>
      </c>
      <c r="AX330" s="48">
        <f>ROUND(Товары[[#This Row],[РРЦ финальная, руб.]]*(1-Товары[[#This Row],[Скидка DIY]]),2)</f>
        <v>0</v>
      </c>
    </row>
    <row r="331" spans="1:50" x14ac:dyDescent="0.25">
      <c r="A331" s="36">
        <v>329</v>
      </c>
      <c r="C331" s="36" t="s">
        <v>3</v>
      </c>
      <c r="D3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1" s="36" t="s">
        <v>233</v>
      </c>
      <c r="F3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1" s="38">
        <v>9033</v>
      </c>
      <c r="I331" s="37" t="s">
        <v>245</v>
      </c>
      <c r="J331" s="37">
        <v>1323</v>
      </c>
      <c r="K331" s="38">
        <v>900905801</v>
      </c>
      <c r="L331" s="37" t="s">
        <v>783</v>
      </c>
      <c r="O331" s="39" t="s">
        <v>1775</v>
      </c>
      <c r="AS331" s="48">
        <f>ROUND((Товары[[#This Row],[IRP, Eur]]*$AT$1),-2)*(1+Товары[[#This Row],[Процент повышения РРЦ]])</f>
        <v>0</v>
      </c>
      <c r="AT331" s="48"/>
      <c r="AU331" s="50">
        <f>ROUND(Товары[[#This Row],[РРЦ финальная, руб.]]/$AT$1,2)</f>
        <v>0</v>
      </c>
      <c r="AV331" s="49" t="str">
        <f>IFERROR(Товары[[#This Row],[РРЦ, евро]]/Товары[[#This Row],[IRP, Eur]],"-")</f>
        <v>-</v>
      </c>
      <c r="AX331" s="48">
        <f>ROUND(Товары[[#This Row],[РРЦ финальная, руб.]]*(1-Товары[[#This Row],[Скидка DIY]]),2)</f>
        <v>0</v>
      </c>
    </row>
    <row r="332" spans="1:50" x14ac:dyDescent="0.25">
      <c r="A332" s="36">
        <v>330</v>
      </c>
      <c r="C332" s="36" t="s">
        <v>3</v>
      </c>
      <c r="D3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2" s="36" t="s">
        <v>233</v>
      </c>
      <c r="F3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2" s="38">
        <v>9033</v>
      </c>
      <c r="I332" s="37" t="s">
        <v>278</v>
      </c>
      <c r="J332" s="37">
        <v>1340</v>
      </c>
      <c r="K332" s="38">
        <v>900908001</v>
      </c>
      <c r="L332" s="37" t="s">
        <v>784</v>
      </c>
      <c r="O332" s="39" t="s">
        <v>1776</v>
      </c>
      <c r="AS332" s="48">
        <f>ROUND((Товары[[#This Row],[IRP, Eur]]*$AT$1),-2)*(1+Товары[[#This Row],[Процент повышения РРЦ]])</f>
        <v>0</v>
      </c>
      <c r="AT332" s="48"/>
      <c r="AU332" s="50">
        <f>ROUND(Товары[[#This Row],[РРЦ финальная, руб.]]/$AT$1,2)</f>
        <v>0</v>
      </c>
      <c r="AV332" s="49" t="str">
        <f>IFERROR(Товары[[#This Row],[РРЦ, евро]]/Товары[[#This Row],[IRP, Eur]],"-")</f>
        <v>-</v>
      </c>
      <c r="AX332" s="48">
        <f>ROUND(Товары[[#This Row],[РРЦ финальная, руб.]]*(1-Товары[[#This Row],[Скидка DIY]]),2)</f>
        <v>0</v>
      </c>
    </row>
    <row r="333" spans="1:50" x14ac:dyDescent="0.25">
      <c r="A333" s="36">
        <v>331</v>
      </c>
      <c r="C333" s="36" t="s">
        <v>3</v>
      </c>
      <c r="D3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3" s="36" t="s">
        <v>233</v>
      </c>
      <c r="F3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3" s="38">
        <v>9033</v>
      </c>
      <c r="I333" s="37" t="s">
        <v>278</v>
      </c>
      <c r="J333" s="37">
        <v>1341</v>
      </c>
      <c r="K333" s="38">
        <v>900908401</v>
      </c>
      <c r="L333" s="37" t="s">
        <v>785</v>
      </c>
      <c r="O333" s="39" t="s">
        <v>1777</v>
      </c>
      <c r="AS333" s="48">
        <f>ROUND((Товары[[#This Row],[IRP, Eur]]*$AT$1),-2)*(1+Товары[[#This Row],[Процент повышения РРЦ]])</f>
        <v>0</v>
      </c>
      <c r="AT333" s="48"/>
      <c r="AU333" s="50">
        <f>ROUND(Товары[[#This Row],[РРЦ финальная, руб.]]/$AT$1,2)</f>
        <v>0</v>
      </c>
      <c r="AV333" s="49" t="str">
        <f>IFERROR(Товары[[#This Row],[РРЦ, евро]]/Товары[[#This Row],[IRP, Eur]],"-")</f>
        <v>-</v>
      </c>
      <c r="AX333" s="48">
        <f>ROUND(Товары[[#This Row],[РРЦ финальная, руб.]]*(1-Товары[[#This Row],[Скидка DIY]]),2)</f>
        <v>0</v>
      </c>
    </row>
    <row r="334" spans="1:50" x14ac:dyDescent="0.25">
      <c r="A334" s="36">
        <v>332</v>
      </c>
      <c r="C334" s="36" t="s">
        <v>3</v>
      </c>
      <c r="D3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4" s="36" t="s">
        <v>233</v>
      </c>
      <c r="F3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4" s="38">
        <v>9033</v>
      </c>
      <c r="I334" s="37" t="s">
        <v>278</v>
      </c>
      <c r="J334" s="37">
        <v>8310</v>
      </c>
      <c r="K334" s="38">
        <v>901161101</v>
      </c>
      <c r="L334" s="37" t="s">
        <v>786</v>
      </c>
      <c r="O334" s="39" t="s">
        <v>1778</v>
      </c>
      <c r="AS334" s="48">
        <f>ROUND((Товары[[#This Row],[IRP, Eur]]*$AT$1),-2)*(1+Товары[[#This Row],[Процент повышения РРЦ]])</f>
        <v>0</v>
      </c>
      <c r="AT334" s="48"/>
      <c r="AU334" s="50">
        <f>ROUND(Товары[[#This Row],[РРЦ финальная, руб.]]/$AT$1,2)</f>
        <v>0</v>
      </c>
      <c r="AV334" s="49" t="str">
        <f>IFERROR(Товары[[#This Row],[РРЦ, евро]]/Товары[[#This Row],[IRP, Eur]],"-")</f>
        <v>-</v>
      </c>
      <c r="AX334" s="48">
        <f>ROUND(Товары[[#This Row],[РРЦ финальная, руб.]]*(1-Товары[[#This Row],[Скидка DIY]]),2)</f>
        <v>0</v>
      </c>
    </row>
    <row r="335" spans="1:50" x14ac:dyDescent="0.25">
      <c r="A335" s="36">
        <v>333</v>
      </c>
      <c r="C335" s="36" t="s">
        <v>3</v>
      </c>
      <c r="D3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5" s="36" t="s">
        <v>233</v>
      </c>
      <c r="F3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5" s="38">
        <v>9033</v>
      </c>
      <c r="I335" s="37" t="s">
        <v>278</v>
      </c>
      <c r="J335" s="37">
        <v>1391</v>
      </c>
      <c r="K335" s="38">
        <v>900914901</v>
      </c>
      <c r="L335" s="37" t="s">
        <v>787</v>
      </c>
      <c r="O335" s="39" t="s">
        <v>1779</v>
      </c>
      <c r="AS335" s="48">
        <f>ROUND((Товары[[#This Row],[IRP, Eur]]*$AT$1),-2)*(1+Товары[[#This Row],[Процент повышения РРЦ]])</f>
        <v>0</v>
      </c>
      <c r="AT335" s="48"/>
      <c r="AU335" s="50">
        <f>ROUND(Товары[[#This Row],[РРЦ финальная, руб.]]/$AT$1,2)</f>
        <v>0</v>
      </c>
      <c r="AV335" s="49" t="str">
        <f>IFERROR(Товары[[#This Row],[РРЦ, евро]]/Товары[[#This Row],[IRP, Eur]],"-")</f>
        <v>-</v>
      </c>
      <c r="AX335" s="48">
        <f>ROUND(Товары[[#This Row],[РРЦ финальная, руб.]]*(1-Товары[[#This Row],[Скидка DIY]]),2)</f>
        <v>0</v>
      </c>
    </row>
    <row r="336" spans="1:50" x14ac:dyDescent="0.25">
      <c r="A336" s="36">
        <v>334</v>
      </c>
      <c r="C336" s="36" t="s">
        <v>3</v>
      </c>
      <c r="D3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6" s="36" t="s">
        <v>233</v>
      </c>
      <c r="F3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6" s="38">
        <v>9033</v>
      </c>
      <c r="I336" s="37" t="s">
        <v>278</v>
      </c>
      <c r="J336" s="37">
        <v>8316</v>
      </c>
      <c r="K336" s="38">
        <v>966960801</v>
      </c>
      <c r="L336" s="37" t="s">
        <v>788</v>
      </c>
      <c r="O336" s="39" t="s">
        <v>1780</v>
      </c>
      <c r="AS336" s="48">
        <f>ROUND((Товары[[#This Row],[IRP, Eur]]*$AT$1),-2)*(1+Товары[[#This Row],[Процент повышения РРЦ]])</f>
        <v>0</v>
      </c>
      <c r="AT336" s="48"/>
      <c r="AU336" s="50">
        <f>ROUND(Товары[[#This Row],[РРЦ финальная, руб.]]/$AT$1,2)</f>
        <v>0</v>
      </c>
      <c r="AV336" s="49" t="str">
        <f>IFERROR(Товары[[#This Row],[РРЦ, евро]]/Товары[[#This Row],[IRP, Eur]],"-")</f>
        <v>-</v>
      </c>
      <c r="AX336" s="48">
        <f>ROUND(Товары[[#This Row],[РРЦ финальная, руб.]]*(1-Товары[[#This Row],[Скидка DIY]]),2)</f>
        <v>0</v>
      </c>
    </row>
    <row r="337" spans="1:50" x14ac:dyDescent="0.25">
      <c r="A337" s="36">
        <v>335</v>
      </c>
      <c r="C337" s="36" t="s">
        <v>3</v>
      </c>
      <c r="D3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7" s="36" t="s">
        <v>233</v>
      </c>
      <c r="F3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7" s="38">
        <v>9033</v>
      </c>
      <c r="I337" s="37" t="s">
        <v>279</v>
      </c>
      <c r="J337" s="37">
        <v>1372</v>
      </c>
      <c r="K337" s="38">
        <v>900912401</v>
      </c>
      <c r="L337" s="37" t="s">
        <v>789</v>
      </c>
      <c r="O337" s="39" t="s">
        <v>1781</v>
      </c>
      <c r="AS337" s="48">
        <f>ROUND((Товары[[#This Row],[IRP, Eur]]*$AT$1),-2)*(1+Товары[[#This Row],[Процент повышения РРЦ]])</f>
        <v>0</v>
      </c>
      <c r="AT337" s="48"/>
      <c r="AU337" s="50">
        <f>ROUND(Товары[[#This Row],[РРЦ финальная, руб.]]/$AT$1,2)</f>
        <v>0</v>
      </c>
      <c r="AV337" s="49" t="str">
        <f>IFERROR(Товары[[#This Row],[РРЦ, евро]]/Товары[[#This Row],[IRP, Eur]],"-")</f>
        <v>-</v>
      </c>
      <c r="AX337" s="48">
        <f>ROUND(Товары[[#This Row],[РРЦ финальная, руб.]]*(1-Товары[[#This Row],[Скидка DIY]]),2)</f>
        <v>0</v>
      </c>
    </row>
    <row r="338" spans="1:50" x14ac:dyDescent="0.25">
      <c r="A338" s="36">
        <v>336</v>
      </c>
      <c r="C338" s="36" t="s">
        <v>3</v>
      </c>
      <c r="D3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8" s="36" t="s">
        <v>233</v>
      </c>
      <c r="F3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8" s="38">
        <v>9033</v>
      </c>
      <c r="I338" s="37" t="s">
        <v>278</v>
      </c>
      <c r="J338" s="37">
        <v>8343</v>
      </c>
      <c r="K338" s="38">
        <v>901164701</v>
      </c>
      <c r="L338" s="37" t="s">
        <v>790</v>
      </c>
      <c r="O338" s="39" t="s">
        <v>1782</v>
      </c>
      <c r="AS338" s="48">
        <f>ROUND((Товары[[#This Row],[IRP, Eur]]*$AT$1),-2)*(1+Товары[[#This Row],[Процент повышения РРЦ]])</f>
        <v>0</v>
      </c>
      <c r="AT338" s="48"/>
      <c r="AU338" s="50">
        <f>ROUND(Товары[[#This Row],[РРЦ финальная, руб.]]/$AT$1,2)</f>
        <v>0</v>
      </c>
      <c r="AV338" s="49" t="str">
        <f>IFERROR(Товары[[#This Row],[РРЦ, евро]]/Товары[[#This Row],[IRP, Eur]],"-")</f>
        <v>-</v>
      </c>
      <c r="AX338" s="48">
        <f>ROUND(Товары[[#This Row],[РРЦ финальная, руб.]]*(1-Товары[[#This Row],[Скидка DIY]]),2)</f>
        <v>0</v>
      </c>
    </row>
    <row r="339" spans="1:50" x14ac:dyDescent="0.25">
      <c r="A339" s="36">
        <v>337</v>
      </c>
      <c r="C339" s="36" t="s">
        <v>3</v>
      </c>
      <c r="D3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9" s="36" t="s">
        <v>233</v>
      </c>
      <c r="F3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9" s="38">
        <v>9033</v>
      </c>
      <c r="I339" s="37" t="s">
        <v>278</v>
      </c>
      <c r="J339" s="37">
        <v>8344</v>
      </c>
      <c r="K339" s="38">
        <v>901164901</v>
      </c>
      <c r="L339" s="37" t="s">
        <v>791</v>
      </c>
      <c r="O339" s="39" t="s">
        <v>1783</v>
      </c>
      <c r="AS339" s="48">
        <f>ROUND((Товары[[#This Row],[IRP, Eur]]*$AT$1),-2)*(1+Товары[[#This Row],[Процент повышения РРЦ]])</f>
        <v>0</v>
      </c>
      <c r="AT339" s="48"/>
      <c r="AU339" s="50">
        <f>ROUND(Товары[[#This Row],[РРЦ финальная, руб.]]/$AT$1,2)</f>
        <v>0</v>
      </c>
      <c r="AV339" s="49" t="str">
        <f>IFERROR(Товары[[#This Row],[РРЦ, евро]]/Товары[[#This Row],[IRP, Eur]],"-")</f>
        <v>-</v>
      </c>
      <c r="AX339" s="48">
        <f>ROUND(Товары[[#This Row],[РРЦ финальная, руб.]]*(1-Товары[[#This Row],[Скидка DIY]]),2)</f>
        <v>0</v>
      </c>
    </row>
    <row r="340" spans="1:50" x14ac:dyDescent="0.25">
      <c r="A340" s="36">
        <v>338</v>
      </c>
      <c r="C340" s="36" t="s">
        <v>3</v>
      </c>
      <c r="D3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0" s="36" t="s">
        <v>233</v>
      </c>
      <c r="F3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0" s="38">
        <v>9033</v>
      </c>
      <c r="I340" s="37" t="s">
        <v>278</v>
      </c>
      <c r="J340" s="37">
        <v>8311</v>
      </c>
      <c r="K340" s="38">
        <v>901161301</v>
      </c>
      <c r="L340" s="37" t="s">
        <v>792</v>
      </c>
      <c r="O340" s="39" t="s">
        <v>1784</v>
      </c>
      <c r="AS340" s="48">
        <f>ROUND((Товары[[#This Row],[IRP, Eur]]*$AT$1),-2)*(1+Товары[[#This Row],[Процент повышения РРЦ]])</f>
        <v>0</v>
      </c>
      <c r="AT340" s="48"/>
      <c r="AU340" s="50">
        <f>ROUND(Товары[[#This Row],[РРЦ финальная, руб.]]/$AT$1,2)</f>
        <v>0</v>
      </c>
      <c r="AV340" s="49" t="str">
        <f>IFERROR(Товары[[#This Row],[РРЦ, евро]]/Товары[[#This Row],[IRP, Eur]],"-")</f>
        <v>-</v>
      </c>
      <c r="AX340" s="48">
        <f>ROUND(Товары[[#This Row],[РРЦ финальная, руб.]]*(1-Товары[[#This Row],[Скидка DIY]]),2)</f>
        <v>0</v>
      </c>
    </row>
    <row r="341" spans="1:50" x14ac:dyDescent="0.25">
      <c r="A341" s="36">
        <v>339</v>
      </c>
      <c r="C341" s="36" t="s">
        <v>3</v>
      </c>
      <c r="D3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1" s="36" t="s">
        <v>233</v>
      </c>
      <c r="F3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1" s="38">
        <v>9033</v>
      </c>
      <c r="I341" s="37" t="s">
        <v>278</v>
      </c>
      <c r="J341" s="37">
        <v>8392</v>
      </c>
      <c r="K341" s="38">
        <v>901167201</v>
      </c>
      <c r="L341" s="37" t="s">
        <v>793</v>
      </c>
      <c r="O341" s="39" t="s">
        <v>1785</v>
      </c>
      <c r="AS341" s="48">
        <f>ROUND((Товары[[#This Row],[IRP, Eur]]*$AT$1),-2)*(1+Товары[[#This Row],[Процент повышения РРЦ]])</f>
        <v>0</v>
      </c>
      <c r="AT341" s="48"/>
      <c r="AU341" s="50">
        <f>ROUND(Товары[[#This Row],[РРЦ финальная, руб.]]/$AT$1,2)</f>
        <v>0</v>
      </c>
      <c r="AV341" s="49" t="str">
        <f>IFERROR(Товары[[#This Row],[РРЦ, евро]]/Товары[[#This Row],[IRP, Eur]],"-")</f>
        <v>-</v>
      </c>
      <c r="AX341" s="48">
        <f>ROUND(Товары[[#This Row],[РРЦ финальная, руб.]]*(1-Товары[[#This Row],[Скидка DIY]]),2)</f>
        <v>0</v>
      </c>
    </row>
    <row r="342" spans="1:50" x14ac:dyDescent="0.25">
      <c r="A342" s="36">
        <v>340</v>
      </c>
      <c r="C342" s="36" t="s">
        <v>3</v>
      </c>
      <c r="D3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2" s="36" t="s">
        <v>233</v>
      </c>
      <c r="F3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2" s="38">
        <v>9033</v>
      </c>
      <c r="I342" s="37" t="s">
        <v>278</v>
      </c>
      <c r="J342" s="37">
        <v>8317</v>
      </c>
      <c r="K342" s="38">
        <v>966961001</v>
      </c>
      <c r="L342" s="37" t="s">
        <v>794</v>
      </c>
      <c r="O342" s="39" t="s">
        <v>1786</v>
      </c>
      <c r="AS342" s="48">
        <f>ROUND((Товары[[#This Row],[IRP, Eur]]*$AT$1),-2)*(1+Товары[[#This Row],[Процент повышения РРЦ]])</f>
        <v>0</v>
      </c>
      <c r="AT342" s="48"/>
      <c r="AU342" s="50">
        <f>ROUND(Товары[[#This Row],[РРЦ финальная, руб.]]/$AT$1,2)</f>
        <v>0</v>
      </c>
      <c r="AV342" s="49" t="str">
        <f>IFERROR(Товары[[#This Row],[РРЦ, евро]]/Товары[[#This Row],[IRP, Eur]],"-")</f>
        <v>-</v>
      </c>
      <c r="AX342" s="48">
        <f>ROUND(Товары[[#This Row],[РРЦ финальная, руб.]]*(1-Товары[[#This Row],[Скидка DIY]]),2)</f>
        <v>0</v>
      </c>
    </row>
    <row r="343" spans="1:50" x14ac:dyDescent="0.25">
      <c r="A343" s="36">
        <v>341</v>
      </c>
      <c r="C343" s="36" t="s">
        <v>3</v>
      </c>
      <c r="D3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3" s="36" t="s">
        <v>233</v>
      </c>
      <c r="F3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3" s="38">
        <v>9033</v>
      </c>
      <c r="I343" s="37" t="s">
        <v>279</v>
      </c>
      <c r="J343" s="37">
        <v>1370</v>
      </c>
      <c r="K343" s="38">
        <v>900912001</v>
      </c>
      <c r="L343" s="37" t="s">
        <v>795</v>
      </c>
      <c r="O343" s="39" t="s">
        <v>1787</v>
      </c>
      <c r="AS343" s="48">
        <f>ROUND((Товары[[#This Row],[IRP, Eur]]*$AT$1),-2)*(1+Товары[[#This Row],[Процент повышения РРЦ]])</f>
        <v>0</v>
      </c>
      <c r="AT343" s="48"/>
      <c r="AU343" s="50">
        <f>ROUND(Товары[[#This Row],[РРЦ финальная, руб.]]/$AT$1,2)</f>
        <v>0</v>
      </c>
      <c r="AV343" s="49" t="str">
        <f>IFERROR(Товары[[#This Row],[РРЦ, евро]]/Товары[[#This Row],[IRP, Eur]],"-")</f>
        <v>-</v>
      </c>
      <c r="AX343" s="48">
        <f>ROUND(Товары[[#This Row],[РРЦ финальная, руб.]]*(1-Товары[[#This Row],[Скидка DIY]]),2)</f>
        <v>0</v>
      </c>
    </row>
    <row r="344" spans="1:50" x14ac:dyDescent="0.25">
      <c r="A344" s="36">
        <v>342</v>
      </c>
      <c r="C344" s="36" t="s">
        <v>3</v>
      </c>
      <c r="D3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4" s="36" t="s">
        <v>233</v>
      </c>
      <c r="F3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4" s="38">
        <v>9033</v>
      </c>
      <c r="I344" s="37" t="s">
        <v>279</v>
      </c>
      <c r="J344" s="37">
        <v>1368</v>
      </c>
      <c r="K344" s="38">
        <v>900911501</v>
      </c>
      <c r="L344" s="37" t="s">
        <v>796</v>
      </c>
      <c r="O344" s="39" t="s">
        <v>1788</v>
      </c>
      <c r="AS344" s="48">
        <f>ROUND((Товары[[#This Row],[IRP, Eur]]*$AT$1),-2)*(1+Товары[[#This Row],[Процент повышения РРЦ]])</f>
        <v>0</v>
      </c>
      <c r="AT344" s="48"/>
      <c r="AU344" s="50">
        <f>ROUND(Товары[[#This Row],[РРЦ финальная, руб.]]/$AT$1,2)</f>
        <v>0</v>
      </c>
      <c r="AV344" s="49" t="str">
        <f>IFERROR(Товары[[#This Row],[РРЦ, евро]]/Товары[[#This Row],[IRP, Eur]],"-")</f>
        <v>-</v>
      </c>
      <c r="AX344" s="48">
        <f>ROUND(Товары[[#This Row],[РРЦ финальная, руб.]]*(1-Товары[[#This Row],[Скидка DIY]]),2)</f>
        <v>0</v>
      </c>
    </row>
    <row r="345" spans="1:50" x14ac:dyDescent="0.25">
      <c r="A345" s="36">
        <v>343</v>
      </c>
      <c r="C345" s="36" t="s">
        <v>3</v>
      </c>
      <c r="D3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5" s="36" t="s">
        <v>233</v>
      </c>
      <c r="F3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5" s="38">
        <v>9033</v>
      </c>
      <c r="I345" s="37" t="s">
        <v>279</v>
      </c>
      <c r="J345" s="37">
        <v>1367</v>
      </c>
      <c r="K345" s="38">
        <v>900911301</v>
      </c>
      <c r="L345" s="37" t="s">
        <v>797</v>
      </c>
      <c r="O345" s="39" t="s">
        <v>1789</v>
      </c>
      <c r="AS345" s="48">
        <f>ROUND((Товары[[#This Row],[IRP, Eur]]*$AT$1),-2)*(1+Товары[[#This Row],[Процент повышения РРЦ]])</f>
        <v>0</v>
      </c>
      <c r="AT345" s="48"/>
      <c r="AU345" s="50">
        <f>ROUND(Товары[[#This Row],[РРЦ финальная, руб.]]/$AT$1,2)</f>
        <v>0</v>
      </c>
      <c r="AV345" s="49" t="str">
        <f>IFERROR(Товары[[#This Row],[РРЦ, евро]]/Товары[[#This Row],[IRP, Eur]],"-")</f>
        <v>-</v>
      </c>
      <c r="AX345" s="48">
        <f>ROUND(Товары[[#This Row],[РРЦ финальная, руб.]]*(1-Товары[[#This Row],[Скидка DIY]]),2)</f>
        <v>0</v>
      </c>
    </row>
    <row r="346" spans="1:50" x14ac:dyDescent="0.25">
      <c r="A346" s="36">
        <v>344</v>
      </c>
      <c r="C346" s="36" t="s">
        <v>3</v>
      </c>
      <c r="D3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6" s="36" t="s">
        <v>233</v>
      </c>
      <c r="F3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6" s="38">
        <v>9033</v>
      </c>
      <c r="I346" s="37" t="s">
        <v>279</v>
      </c>
      <c r="J346" s="37">
        <v>1365</v>
      </c>
      <c r="K346" s="38">
        <v>900911001</v>
      </c>
      <c r="L346" s="37" t="s">
        <v>798</v>
      </c>
      <c r="O346" s="39" t="s">
        <v>1790</v>
      </c>
      <c r="AS346" s="48">
        <f>ROUND((Товары[[#This Row],[IRP, Eur]]*$AT$1),-2)*(1+Товары[[#This Row],[Процент повышения РРЦ]])</f>
        <v>0</v>
      </c>
      <c r="AT346" s="48"/>
      <c r="AU346" s="50">
        <f>ROUND(Товары[[#This Row],[РРЦ финальная, руб.]]/$AT$1,2)</f>
        <v>0</v>
      </c>
      <c r="AV346" s="49" t="str">
        <f>IFERROR(Товары[[#This Row],[РРЦ, евро]]/Товары[[#This Row],[IRP, Eur]],"-")</f>
        <v>-</v>
      </c>
      <c r="AX346" s="48">
        <f>ROUND(Товары[[#This Row],[РРЦ финальная, руб.]]*(1-Товары[[#This Row],[Скидка DIY]]),2)</f>
        <v>0</v>
      </c>
    </row>
    <row r="347" spans="1:50" x14ac:dyDescent="0.25">
      <c r="A347" s="36">
        <v>345</v>
      </c>
      <c r="C347" s="36" t="s">
        <v>3</v>
      </c>
      <c r="D3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7" s="36" t="s">
        <v>233</v>
      </c>
      <c r="F3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7" s="38">
        <v>9033</v>
      </c>
      <c r="I347" s="37" t="s">
        <v>279</v>
      </c>
      <c r="J347" s="37">
        <v>1396</v>
      </c>
      <c r="K347" s="38">
        <v>900915701</v>
      </c>
      <c r="L347" s="37" t="s">
        <v>799</v>
      </c>
      <c r="O347" s="39" t="s">
        <v>1791</v>
      </c>
      <c r="AS347" s="48">
        <f>ROUND((Товары[[#This Row],[IRP, Eur]]*$AT$1),-2)*(1+Товары[[#This Row],[Процент повышения РРЦ]])</f>
        <v>0</v>
      </c>
      <c r="AT347" s="48"/>
      <c r="AU347" s="50">
        <f>ROUND(Товары[[#This Row],[РРЦ финальная, руб.]]/$AT$1,2)</f>
        <v>0</v>
      </c>
      <c r="AV347" s="49" t="str">
        <f>IFERROR(Товары[[#This Row],[РРЦ, евро]]/Товары[[#This Row],[IRP, Eur]],"-")</f>
        <v>-</v>
      </c>
      <c r="AX347" s="48">
        <f>ROUND(Товары[[#This Row],[РРЦ финальная, руб.]]*(1-Товары[[#This Row],[Скидка DIY]]),2)</f>
        <v>0</v>
      </c>
    </row>
    <row r="348" spans="1:50" x14ac:dyDescent="0.25">
      <c r="A348" s="36">
        <v>346</v>
      </c>
      <c r="C348" s="36" t="s">
        <v>3</v>
      </c>
      <c r="D3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8" s="36" t="s">
        <v>233</v>
      </c>
      <c r="F3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8" s="38">
        <v>9033</v>
      </c>
      <c r="I348" s="37" t="s">
        <v>279</v>
      </c>
      <c r="J348" s="37">
        <v>1369</v>
      </c>
      <c r="K348" s="38">
        <v>900911801</v>
      </c>
      <c r="L348" s="37" t="s">
        <v>800</v>
      </c>
      <c r="O348" s="39" t="s">
        <v>1792</v>
      </c>
      <c r="AS348" s="48">
        <f>ROUND((Товары[[#This Row],[IRP, Eur]]*$AT$1),-2)*(1+Товары[[#This Row],[Процент повышения РРЦ]])</f>
        <v>0</v>
      </c>
      <c r="AT348" s="48"/>
      <c r="AU348" s="50">
        <f>ROUND(Товары[[#This Row],[РРЦ финальная, руб.]]/$AT$1,2)</f>
        <v>0</v>
      </c>
      <c r="AV348" s="49" t="str">
        <f>IFERROR(Товары[[#This Row],[РРЦ, евро]]/Товары[[#This Row],[IRP, Eur]],"-")</f>
        <v>-</v>
      </c>
      <c r="AX348" s="48">
        <f>ROUND(Товары[[#This Row],[РРЦ финальная, руб.]]*(1-Товары[[#This Row],[Скидка DIY]]),2)</f>
        <v>0</v>
      </c>
    </row>
    <row r="349" spans="1:50" x14ac:dyDescent="0.25">
      <c r="A349" s="36">
        <v>347</v>
      </c>
      <c r="C349" s="36" t="s">
        <v>3</v>
      </c>
      <c r="D3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9" s="36" t="s">
        <v>233</v>
      </c>
      <c r="F3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9" s="38">
        <v>9033</v>
      </c>
      <c r="I349" s="37" t="s">
        <v>279</v>
      </c>
      <c r="J349" s="37">
        <v>1371</v>
      </c>
      <c r="K349" s="38">
        <v>900912201</v>
      </c>
      <c r="L349" s="37" t="s">
        <v>801</v>
      </c>
      <c r="O349" s="39" t="s">
        <v>1793</v>
      </c>
      <c r="AS349" s="48">
        <f>ROUND((Товары[[#This Row],[IRP, Eur]]*$AT$1),-2)*(1+Товары[[#This Row],[Процент повышения РРЦ]])</f>
        <v>0</v>
      </c>
      <c r="AT349" s="48"/>
      <c r="AU349" s="50">
        <f>ROUND(Товары[[#This Row],[РРЦ финальная, руб.]]/$AT$1,2)</f>
        <v>0</v>
      </c>
      <c r="AV349" s="49" t="str">
        <f>IFERROR(Товары[[#This Row],[РРЦ, евро]]/Товары[[#This Row],[IRP, Eur]],"-")</f>
        <v>-</v>
      </c>
      <c r="AX349" s="48">
        <f>ROUND(Товары[[#This Row],[РРЦ финальная, руб.]]*(1-Товары[[#This Row],[Скидка DIY]]),2)</f>
        <v>0</v>
      </c>
    </row>
    <row r="350" spans="1:50" x14ac:dyDescent="0.25">
      <c r="A350" s="36">
        <v>348</v>
      </c>
      <c r="C350" s="36" t="s">
        <v>3</v>
      </c>
      <c r="D3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0" s="36" t="s">
        <v>233</v>
      </c>
      <c r="F3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0" s="38">
        <v>9033</v>
      </c>
      <c r="I350" s="37" t="s">
        <v>279</v>
      </c>
      <c r="J350" s="37">
        <v>8320</v>
      </c>
      <c r="K350" s="38">
        <v>901161801</v>
      </c>
      <c r="L350" s="37" t="s">
        <v>802</v>
      </c>
      <c r="O350" s="39" t="s">
        <v>1794</v>
      </c>
      <c r="AS350" s="48">
        <f>ROUND((Товары[[#This Row],[IRP, Eur]]*$AT$1),-2)*(1+Товары[[#This Row],[Процент повышения РРЦ]])</f>
        <v>0</v>
      </c>
      <c r="AT350" s="48"/>
      <c r="AU350" s="50">
        <f>ROUND(Товары[[#This Row],[РРЦ финальная, руб.]]/$AT$1,2)</f>
        <v>0</v>
      </c>
      <c r="AV350" s="49" t="str">
        <f>IFERROR(Товары[[#This Row],[РРЦ, евро]]/Товары[[#This Row],[IRP, Eur]],"-")</f>
        <v>-</v>
      </c>
      <c r="AX350" s="48">
        <f>ROUND(Товары[[#This Row],[РРЦ финальная, руб.]]*(1-Товары[[#This Row],[Скидка DIY]]),2)</f>
        <v>0</v>
      </c>
    </row>
    <row r="351" spans="1:50" x14ac:dyDescent="0.25">
      <c r="A351" s="36">
        <v>349</v>
      </c>
      <c r="C351" s="36" t="s">
        <v>3</v>
      </c>
      <c r="D3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1" s="36" t="s">
        <v>233</v>
      </c>
      <c r="F3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1" s="38">
        <v>9033</v>
      </c>
      <c r="I351" s="37" t="s">
        <v>279</v>
      </c>
      <c r="J351" s="37">
        <v>8321</v>
      </c>
      <c r="K351" s="38">
        <v>901162001</v>
      </c>
      <c r="L351" s="37" t="s">
        <v>803</v>
      </c>
      <c r="O351" s="39" t="s">
        <v>1795</v>
      </c>
      <c r="AS351" s="48">
        <f>ROUND((Товары[[#This Row],[IRP, Eur]]*$AT$1),-2)*(1+Товары[[#This Row],[Процент повышения РРЦ]])</f>
        <v>0</v>
      </c>
      <c r="AT351" s="48"/>
      <c r="AU351" s="50">
        <f>ROUND(Товары[[#This Row],[РРЦ финальная, руб.]]/$AT$1,2)</f>
        <v>0</v>
      </c>
      <c r="AV351" s="49" t="str">
        <f>IFERROR(Товары[[#This Row],[РРЦ, евро]]/Товары[[#This Row],[IRP, Eur]],"-")</f>
        <v>-</v>
      </c>
      <c r="AX351" s="48">
        <f>ROUND(Товары[[#This Row],[РРЦ финальная, руб.]]*(1-Товары[[#This Row],[Скидка DIY]]),2)</f>
        <v>0</v>
      </c>
    </row>
    <row r="352" spans="1:50" x14ac:dyDescent="0.25">
      <c r="A352" s="36">
        <v>350</v>
      </c>
      <c r="C352" s="36" t="s">
        <v>3</v>
      </c>
      <c r="D3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2" s="36" t="s">
        <v>233</v>
      </c>
      <c r="F3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2" s="38">
        <v>9033</v>
      </c>
      <c r="I352" s="37" t="s">
        <v>279</v>
      </c>
      <c r="J352" s="37">
        <v>8361</v>
      </c>
      <c r="K352" s="38">
        <v>967171901</v>
      </c>
      <c r="L352" s="37" t="s">
        <v>804</v>
      </c>
      <c r="O352" s="39" t="s">
        <v>1796</v>
      </c>
      <c r="AS352" s="48">
        <f>ROUND((Товары[[#This Row],[IRP, Eur]]*$AT$1),-2)*(1+Товары[[#This Row],[Процент повышения РРЦ]])</f>
        <v>0</v>
      </c>
      <c r="AT352" s="48"/>
      <c r="AU352" s="50">
        <f>ROUND(Товары[[#This Row],[РРЦ финальная, руб.]]/$AT$1,2)</f>
        <v>0</v>
      </c>
      <c r="AV352" s="49" t="str">
        <f>IFERROR(Товары[[#This Row],[РРЦ, евро]]/Товары[[#This Row],[IRP, Eur]],"-")</f>
        <v>-</v>
      </c>
      <c r="AX352" s="48">
        <f>ROUND(Товары[[#This Row],[РРЦ финальная, руб.]]*(1-Товары[[#This Row],[Скидка DIY]]),2)</f>
        <v>0</v>
      </c>
    </row>
    <row r="353" spans="1:50" x14ac:dyDescent="0.25">
      <c r="A353" s="36">
        <v>351</v>
      </c>
      <c r="C353" s="36" t="s">
        <v>3</v>
      </c>
      <c r="D3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3" s="36" t="s">
        <v>233</v>
      </c>
      <c r="F3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3" s="38">
        <v>9033</v>
      </c>
      <c r="I353" s="37" t="s">
        <v>279</v>
      </c>
      <c r="J353" s="37">
        <v>8361</v>
      </c>
      <c r="K353" s="38">
        <v>967998901</v>
      </c>
      <c r="L353" s="37" t="s">
        <v>805</v>
      </c>
      <c r="O353" s="39" t="s">
        <v>1796</v>
      </c>
      <c r="AS353" s="48">
        <f>ROUND((Товары[[#This Row],[IRP, Eur]]*$AT$1),-2)*(1+Товары[[#This Row],[Процент повышения РРЦ]])</f>
        <v>0</v>
      </c>
      <c r="AT353" s="48"/>
      <c r="AU353" s="50">
        <f>ROUND(Товары[[#This Row],[РРЦ финальная, руб.]]/$AT$1,2)</f>
        <v>0</v>
      </c>
      <c r="AV353" s="49" t="str">
        <f>IFERROR(Товары[[#This Row],[РРЦ, евро]]/Товары[[#This Row],[IRP, Eur]],"-")</f>
        <v>-</v>
      </c>
      <c r="AX353" s="48">
        <f>ROUND(Товары[[#This Row],[РРЦ финальная, руб.]]*(1-Товары[[#This Row],[Скидка DIY]]),2)</f>
        <v>0</v>
      </c>
    </row>
    <row r="354" spans="1:50" x14ac:dyDescent="0.25">
      <c r="A354" s="36">
        <v>352</v>
      </c>
      <c r="C354" s="36" t="s">
        <v>3</v>
      </c>
      <c r="D3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4" s="36" t="s">
        <v>233</v>
      </c>
      <c r="F3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4" s="38">
        <v>9033</v>
      </c>
      <c r="I354" s="37" t="s">
        <v>243</v>
      </c>
      <c r="J354" s="37">
        <v>8331</v>
      </c>
      <c r="K354" s="38">
        <v>901163401</v>
      </c>
      <c r="L354" s="37" t="s">
        <v>806</v>
      </c>
      <c r="O354" s="39" t="s">
        <v>1797</v>
      </c>
      <c r="AS354" s="48">
        <f>ROUND((Товары[[#This Row],[IRP, Eur]]*$AT$1),-2)*(1+Товары[[#This Row],[Процент повышения РРЦ]])</f>
        <v>0</v>
      </c>
      <c r="AT354" s="48"/>
      <c r="AU354" s="50">
        <f>ROUND(Товары[[#This Row],[РРЦ финальная, руб.]]/$AT$1,2)</f>
        <v>0</v>
      </c>
      <c r="AV354" s="49" t="str">
        <f>IFERROR(Товары[[#This Row],[РРЦ, евро]]/Товары[[#This Row],[IRP, Eur]],"-")</f>
        <v>-</v>
      </c>
      <c r="AX354" s="48">
        <f>ROUND(Товары[[#This Row],[РРЦ финальная, руб.]]*(1-Товары[[#This Row],[Скидка DIY]]),2)</f>
        <v>0</v>
      </c>
    </row>
    <row r="355" spans="1:50" x14ac:dyDescent="0.25">
      <c r="A355" s="36">
        <v>353</v>
      </c>
      <c r="C355" s="36" t="s">
        <v>3</v>
      </c>
      <c r="D3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5" s="36" t="s">
        <v>233</v>
      </c>
      <c r="F3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5" s="38">
        <v>9033</v>
      </c>
      <c r="I355" s="37" t="s">
        <v>243</v>
      </c>
      <c r="J355" s="37">
        <v>8332</v>
      </c>
      <c r="K355" s="38">
        <v>901163601</v>
      </c>
      <c r="L355" s="37" t="s">
        <v>807</v>
      </c>
      <c r="O355" s="39" t="s">
        <v>1798</v>
      </c>
      <c r="AS355" s="48">
        <f>ROUND((Товары[[#This Row],[IRP, Eur]]*$AT$1),-2)*(1+Товары[[#This Row],[Процент повышения РРЦ]])</f>
        <v>0</v>
      </c>
      <c r="AT355" s="48"/>
      <c r="AU355" s="50">
        <f>ROUND(Товары[[#This Row],[РРЦ финальная, руб.]]/$AT$1,2)</f>
        <v>0</v>
      </c>
      <c r="AV355" s="49" t="str">
        <f>IFERROR(Товары[[#This Row],[РРЦ, евро]]/Товары[[#This Row],[IRP, Eur]],"-")</f>
        <v>-</v>
      </c>
      <c r="AX355" s="48">
        <f>ROUND(Товары[[#This Row],[РРЦ финальная, руб.]]*(1-Товары[[#This Row],[Скидка DIY]]),2)</f>
        <v>0</v>
      </c>
    </row>
    <row r="356" spans="1:50" x14ac:dyDescent="0.25">
      <c r="A356" s="36">
        <v>354</v>
      </c>
      <c r="C356" s="36" t="s">
        <v>3</v>
      </c>
      <c r="D3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6" s="36" t="s">
        <v>233</v>
      </c>
      <c r="F3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6" s="38">
        <v>9033</v>
      </c>
      <c r="I356" s="37" t="s">
        <v>271</v>
      </c>
      <c r="J356" s="37">
        <v>1377</v>
      </c>
      <c r="K356" s="38">
        <v>900913001</v>
      </c>
      <c r="L356" s="37" t="s">
        <v>808</v>
      </c>
      <c r="M356" s="37" t="s">
        <v>1380</v>
      </c>
      <c r="O356" s="39" t="s">
        <v>1799</v>
      </c>
      <c r="AS356" s="48">
        <f>ROUND((Товары[[#This Row],[IRP, Eur]]*$AT$1),-2)*(1+Товары[[#This Row],[Процент повышения РРЦ]])</f>
        <v>0</v>
      </c>
      <c r="AT356" s="48"/>
      <c r="AU356" s="50">
        <f>ROUND(Товары[[#This Row],[РРЦ финальная, руб.]]/$AT$1,2)</f>
        <v>0</v>
      </c>
      <c r="AV356" s="49" t="str">
        <f>IFERROR(Товары[[#This Row],[РРЦ, евро]]/Товары[[#This Row],[IRP, Eur]],"-")</f>
        <v>-</v>
      </c>
      <c r="AX356" s="48">
        <f>ROUND(Товары[[#This Row],[РРЦ финальная, руб.]]*(1-Товары[[#This Row],[Скидка DIY]]),2)</f>
        <v>0</v>
      </c>
    </row>
    <row r="357" spans="1:50" x14ac:dyDescent="0.25">
      <c r="A357" s="36">
        <v>355</v>
      </c>
      <c r="C357" s="36" t="s">
        <v>3</v>
      </c>
      <c r="D3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7" s="36" t="s">
        <v>233</v>
      </c>
      <c r="F3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7" s="38">
        <v>9033</v>
      </c>
      <c r="I357" s="37" t="s">
        <v>276</v>
      </c>
      <c r="J357" s="37">
        <v>1374</v>
      </c>
      <c r="K357" s="38">
        <v>900912701</v>
      </c>
      <c r="L357" s="37" t="s">
        <v>809</v>
      </c>
      <c r="O357" s="39" t="s">
        <v>1800</v>
      </c>
      <c r="AS357" s="48">
        <f>ROUND((Товары[[#This Row],[IRP, Eur]]*$AT$1),-2)*(1+Товары[[#This Row],[Процент повышения РРЦ]])</f>
        <v>0</v>
      </c>
      <c r="AT357" s="48"/>
      <c r="AU357" s="50">
        <f>ROUND(Товары[[#This Row],[РРЦ финальная, руб.]]/$AT$1,2)</f>
        <v>0</v>
      </c>
      <c r="AV357" s="49" t="str">
        <f>IFERROR(Товары[[#This Row],[РРЦ, евро]]/Товары[[#This Row],[IRP, Eur]],"-")</f>
        <v>-</v>
      </c>
      <c r="AX357" s="48">
        <f>ROUND(Товары[[#This Row],[РРЦ финальная, руб.]]*(1-Товары[[#This Row],[Скидка DIY]]),2)</f>
        <v>0</v>
      </c>
    </row>
    <row r="358" spans="1:50" x14ac:dyDescent="0.25">
      <c r="A358" s="36">
        <v>356</v>
      </c>
      <c r="C358" s="36" t="s">
        <v>3</v>
      </c>
      <c r="D3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8" s="36" t="s">
        <v>233</v>
      </c>
      <c r="F3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8" s="38">
        <v>9033</v>
      </c>
      <c r="I358" s="37" t="s">
        <v>280</v>
      </c>
      <c r="J358" s="37">
        <v>8363</v>
      </c>
      <c r="K358" s="38">
        <v>967172001</v>
      </c>
      <c r="L358" s="37" t="s">
        <v>810</v>
      </c>
      <c r="O358" s="39" t="s">
        <v>1801</v>
      </c>
      <c r="AS358" s="48">
        <f>ROUND((Товары[[#This Row],[IRP, Eur]]*$AT$1),-2)*(1+Товары[[#This Row],[Процент повышения РРЦ]])</f>
        <v>0</v>
      </c>
      <c r="AT358" s="48"/>
      <c r="AU358" s="50">
        <f>ROUND(Товары[[#This Row],[РРЦ финальная, руб.]]/$AT$1,2)</f>
        <v>0</v>
      </c>
      <c r="AV358" s="49" t="str">
        <f>IFERROR(Товары[[#This Row],[РРЦ, евро]]/Товары[[#This Row],[IRP, Eur]],"-")</f>
        <v>-</v>
      </c>
      <c r="AX358" s="48">
        <f>ROUND(Товары[[#This Row],[РРЦ финальная, руб.]]*(1-Товары[[#This Row],[Скидка DIY]]),2)</f>
        <v>0</v>
      </c>
    </row>
    <row r="359" spans="1:50" x14ac:dyDescent="0.25">
      <c r="A359" s="36">
        <v>357</v>
      </c>
      <c r="C359" s="36" t="s">
        <v>3</v>
      </c>
      <c r="D3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9" s="36" t="s">
        <v>233</v>
      </c>
      <c r="F3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9" s="38">
        <v>9033</v>
      </c>
      <c r="I359" s="37" t="s">
        <v>251</v>
      </c>
      <c r="J359" s="37">
        <v>1265</v>
      </c>
      <c r="K359" s="38">
        <v>900902901</v>
      </c>
      <c r="L359" s="37" t="s">
        <v>811</v>
      </c>
      <c r="O359" s="39" t="s">
        <v>1802</v>
      </c>
      <c r="AS359" s="48">
        <f>ROUND((Товары[[#This Row],[IRP, Eur]]*$AT$1),-2)*(1+Товары[[#This Row],[Процент повышения РРЦ]])</f>
        <v>0</v>
      </c>
      <c r="AT359" s="48"/>
      <c r="AU359" s="50">
        <f>ROUND(Товары[[#This Row],[РРЦ финальная, руб.]]/$AT$1,2)</f>
        <v>0</v>
      </c>
      <c r="AV359" s="49" t="str">
        <f>IFERROR(Товары[[#This Row],[РРЦ, евро]]/Товары[[#This Row],[IRP, Eur]],"-")</f>
        <v>-</v>
      </c>
      <c r="AX359" s="48">
        <f>ROUND(Товары[[#This Row],[РРЦ финальная, руб.]]*(1-Товары[[#This Row],[Скидка DIY]]),2)</f>
        <v>0</v>
      </c>
    </row>
    <row r="360" spans="1:50" x14ac:dyDescent="0.25">
      <c r="A360" s="36">
        <v>358</v>
      </c>
      <c r="C360" s="36" t="s">
        <v>3</v>
      </c>
      <c r="D3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0" s="36" t="s">
        <v>233</v>
      </c>
      <c r="F3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0" s="38">
        <v>9033</v>
      </c>
      <c r="I360" s="37" t="s">
        <v>251</v>
      </c>
      <c r="J360" s="37">
        <v>1266</v>
      </c>
      <c r="K360" s="38">
        <v>900903201</v>
      </c>
      <c r="L360" s="37" t="s">
        <v>812</v>
      </c>
      <c r="O360" s="39" t="s">
        <v>1803</v>
      </c>
      <c r="AS360" s="48">
        <f>ROUND((Товары[[#This Row],[IRP, Eur]]*$AT$1),-2)*(1+Товары[[#This Row],[Процент повышения РРЦ]])</f>
        <v>0</v>
      </c>
      <c r="AT360" s="48"/>
      <c r="AU360" s="50">
        <f>ROUND(Товары[[#This Row],[РРЦ финальная, руб.]]/$AT$1,2)</f>
        <v>0</v>
      </c>
      <c r="AV360" s="49" t="str">
        <f>IFERROR(Товары[[#This Row],[РРЦ, евро]]/Товары[[#This Row],[IRP, Eur]],"-")</f>
        <v>-</v>
      </c>
      <c r="AX360" s="48">
        <f>ROUND(Товары[[#This Row],[РРЦ финальная, руб.]]*(1-Товары[[#This Row],[Скидка DIY]]),2)</f>
        <v>0</v>
      </c>
    </row>
    <row r="361" spans="1:50" x14ac:dyDescent="0.25">
      <c r="A361" s="36">
        <v>359</v>
      </c>
      <c r="C361" s="36" t="s">
        <v>3</v>
      </c>
      <c r="D3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1" s="36" t="s">
        <v>233</v>
      </c>
      <c r="F3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1" s="38">
        <v>9033</v>
      </c>
      <c r="I361" s="37" t="s">
        <v>251</v>
      </c>
      <c r="J361" s="37">
        <v>1407</v>
      </c>
      <c r="K361" s="38">
        <v>900916701</v>
      </c>
      <c r="L361" s="37" t="s">
        <v>813</v>
      </c>
      <c r="O361" s="39" t="s">
        <v>1804</v>
      </c>
      <c r="AS361" s="48">
        <f>ROUND((Товары[[#This Row],[IRP, Eur]]*$AT$1),-2)*(1+Товары[[#This Row],[Процент повышения РРЦ]])</f>
        <v>0</v>
      </c>
      <c r="AT361" s="48"/>
      <c r="AU361" s="50">
        <f>ROUND(Товары[[#This Row],[РРЦ финальная, руб.]]/$AT$1,2)</f>
        <v>0</v>
      </c>
      <c r="AV361" s="49" t="str">
        <f>IFERROR(Товары[[#This Row],[РРЦ, евро]]/Товары[[#This Row],[IRP, Eur]],"-")</f>
        <v>-</v>
      </c>
      <c r="AX361" s="48">
        <f>ROUND(Товары[[#This Row],[РРЦ финальная, руб.]]*(1-Товары[[#This Row],[Скидка DIY]]),2)</f>
        <v>0</v>
      </c>
    </row>
    <row r="362" spans="1:50" x14ac:dyDescent="0.25">
      <c r="A362" s="36">
        <v>360</v>
      </c>
      <c r="C362" s="36" t="s">
        <v>3</v>
      </c>
      <c r="D3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2" s="36" t="s">
        <v>233</v>
      </c>
      <c r="F3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2" s="38">
        <v>9033</v>
      </c>
      <c r="I362" s="37" t="s">
        <v>251</v>
      </c>
      <c r="J362" s="37">
        <v>13135</v>
      </c>
      <c r="K362" s="38">
        <v>967692901</v>
      </c>
      <c r="L362" s="37" t="s">
        <v>814</v>
      </c>
      <c r="M362" s="37" t="s">
        <v>1328</v>
      </c>
      <c r="O362" s="39" t="s">
        <v>1805</v>
      </c>
      <c r="AS362" s="48">
        <f>ROUND((Товары[[#This Row],[IRP, Eur]]*$AT$1),-2)*(1+Товары[[#This Row],[Процент повышения РРЦ]])</f>
        <v>0</v>
      </c>
      <c r="AT362" s="48"/>
      <c r="AU362" s="50">
        <f>ROUND(Товары[[#This Row],[РРЦ финальная, руб.]]/$AT$1,2)</f>
        <v>0</v>
      </c>
      <c r="AV362" s="49" t="str">
        <f>IFERROR(Товары[[#This Row],[РРЦ, евро]]/Товары[[#This Row],[IRP, Eur]],"-")</f>
        <v>-</v>
      </c>
      <c r="AX362" s="48">
        <f>ROUND(Товары[[#This Row],[РРЦ финальная, руб.]]*(1-Товары[[#This Row],[Скидка DIY]]),2)</f>
        <v>0</v>
      </c>
    </row>
    <row r="363" spans="1:50" x14ac:dyDescent="0.25">
      <c r="A363" s="36">
        <v>361</v>
      </c>
      <c r="C363" s="36" t="s">
        <v>3</v>
      </c>
      <c r="D3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3" s="36" t="s">
        <v>233</v>
      </c>
      <c r="F3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3" s="38">
        <v>9033</v>
      </c>
      <c r="I363" s="37" t="s">
        <v>279</v>
      </c>
      <c r="J363" s="37">
        <v>13136</v>
      </c>
      <c r="K363" s="38">
        <v>967693001</v>
      </c>
      <c r="L363" s="37" t="s">
        <v>815</v>
      </c>
      <c r="M363" s="37" t="s">
        <v>1328</v>
      </c>
      <c r="O363" s="39" t="s">
        <v>1806</v>
      </c>
      <c r="AS363" s="48">
        <f>ROUND((Товары[[#This Row],[IRP, Eur]]*$AT$1),-2)*(1+Товары[[#This Row],[Процент повышения РРЦ]])</f>
        <v>0</v>
      </c>
      <c r="AT363" s="48"/>
      <c r="AU363" s="50">
        <f>ROUND(Товары[[#This Row],[РРЦ финальная, руб.]]/$AT$1,2)</f>
        <v>0</v>
      </c>
      <c r="AV363" s="49" t="str">
        <f>IFERROR(Товары[[#This Row],[РРЦ, евро]]/Товары[[#This Row],[IRP, Eur]],"-")</f>
        <v>-</v>
      </c>
      <c r="AX363" s="48">
        <f>ROUND(Товары[[#This Row],[РРЦ финальная, руб.]]*(1-Товары[[#This Row],[Скидка DIY]]),2)</f>
        <v>0</v>
      </c>
    </row>
    <row r="364" spans="1:50" x14ac:dyDescent="0.25">
      <c r="A364" s="36">
        <v>362</v>
      </c>
      <c r="C364" s="36" t="s">
        <v>3</v>
      </c>
      <c r="D3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4" s="36" t="s">
        <v>233</v>
      </c>
      <c r="F3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4" s="38">
        <v>9033</v>
      </c>
      <c r="I364" s="37" t="s">
        <v>251</v>
      </c>
      <c r="J364" s="37">
        <v>13150</v>
      </c>
      <c r="K364" s="38">
        <v>967693101</v>
      </c>
      <c r="L364" s="37" t="s">
        <v>816</v>
      </c>
      <c r="M364" s="37" t="s">
        <v>1328</v>
      </c>
      <c r="O364" s="39" t="s">
        <v>1807</v>
      </c>
      <c r="AS364" s="48">
        <f>ROUND((Товары[[#This Row],[IRP, Eur]]*$AT$1),-2)*(1+Товары[[#This Row],[Процент повышения РРЦ]])</f>
        <v>0</v>
      </c>
      <c r="AT364" s="48"/>
      <c r="AU364" s="50">
        <f>ROUND(Товары[[#This Row],[РРЦ финальная, руб.]]/$AT$1,2)</f>
        <v>0</v>
      </c>
      <c r="AV364" s="49" t="str">
        <f>IFERROR(Товары[[#This Row],[РРЦ, евро]]/Товары[[#This Row],[IRP, Eur]],"-")</f>
        <v>-</v>
      </c>
      <c r="AX364" s="48">
        <f>ROUND(Товары[[#This Row],[РРЦ финальная, руб.]]*(1-Товары[[#This Row],[Скидка DIY]]),2)</f>
        <v>0</v>
      </c>
    </row>
    <row r="365" spans="1:50" x14ac:dyDescent="0.25">
      <c r="A365" s="36">
        <v>363</v>
      </c>
      <c r="C365" s="36" t="s">
        <v>3</v>
      </c>
      <c r="D3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5" s="36" t="s">
        <v>233</v>
      </c>
      <c r="F3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5" s="38">
        <v>9033</v>
      </c>
      <c r="I365" s="37" t="s">
        <v>251</v>
      </c>
      <c r="J365" s="37">
        <v>13153</v>
      </c>
      <c r="K365" s="38">
        <v>967693201</v>
      </c>
      <c r="L365" s="37" t="s">
        <v>817</v>
      </c>
      <c r="M365" s="37" t="s">
        <v>1328</v>
      </c>
      <c r="O365" s="39" t="s">
        <v>1808</v>
      </c>
      <c r="AS365" s="48">
        <f>ROUND((Товары[[#This Row],[IRP, Eur]]*$AT$1),-2)*(1+Товары[[#This Row],[Процент повышения РРЦ]])</f>
        <v>0</v>
      </c>
      <c r="AT365" s="48"/>
      <c r="AU365" s="50">
        <f>ROUND(Товары[[#This Row],[РРЦ финальная, руб.]]/$AT$1,2)</f>
        <v>0</v>
      </c>
      <c r="AV365" s="49" t="str">
        <f>IFERROR(Товары[[#This Row],[РРЦ, евро]]/Товары[[#This Row],[IRP, Eur]],"-")</f>
        <v>-</v>
      </c>
      <c r="AX365" s="48">
        <f>ROUND(Товары[[#This Row],[РРЦ финальная, руб.]]*(1-Товары[[#This Row],[Скидка DIY]]),2)</f>
        <v>0</v>
      </c>
    </row>
    <row r="366" spans="1:50" x14ac:dyDescent="0.25">
      <c r="A366" s="36">
        <v>364</v>
      </c>
      <c r="C366" s="36" t="s">
        <v>3</v>
      </c>
      <c r="D3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6" s="36" t="s">
        <v>233</v>
      </c>
      <c r="F3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6" s="38">
        <v>9033</v>
      </c>
      <c r="I366" s="37" t="s">
        <v>251</v>
      </c>
      <c r="J366" s="37">
        <v>13156</v>
      </c>
      <c r="K366" s="38">
        <v>967693301</v>
      </c>
      <c r="L366" s="37" t="s">
        <v>818</v>
      </c>
      <c r="M366" s="37" t="s">
        <v>1328</v>
      </c>
      <c r="O366" s="39" t="s">
        <v>1809</v>
      </c>
      <c r="AS366" s="48">
        <f>ROUND((Товары[[#This Row],[IRP, Eur]]*$AT$1),-2)*(1+Товары[[#This Row],[Процент повышения РРЦ]])</f>
        <v>0</v>
      </c>
      <c r="AT366" s="48"/>
      <c r="AU366" s="50">
        <f>ROUND(Товары[[#This Row],[РРЦ финальная, руб.]]/$AT$1,2)</f>
        <v>0</v>
      </c>
      <c r="AV366" s="49" t="str">
        <f>IFERROR(Товары[[#This Row],[РРЦ, евро]]/Товары[[#This Row],[IRP, Eur]],"-")</f>
        <v>-</v>
      </c>
      <c r="AX366" s="48">
        <f>ROUND(Товары[[#This Row],[РРЦ финальная, руб.]]*(1-Товары[[#This Row],[Скидка DIY]]),2)</f>
        <v>0</v>
      </c>
    </row>
    <row r="367" spans="1:50" x14ac:dyDescent="0.25">
      <c r="A367" s="36">
        <v>365</v>
      </c>
      <c r="C367" s="36" t="s">
        <v>3</v>
      </c>
      <c r="D3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7" s="36" t="s">
        <v>233</v>
      </c>
      <c r="F3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7" s="38">
        <v>9033</v>
      </c>
      <c r="I367" s="37" t="s">
        <v>251</v>
      </c>
      <c r="J367" s="37">
        <v>13157</v>
      </c>
      <c r="K367" s="38">
        <v>967693401</v>
      </c>
      <c r="L367" s="37" t="s">
        <v>819</v>
      </c>
      <c r="M367" s="37" t="s">
        <v>1328</v>
      </c>
      <c r="O367" s="39" t="s">
        <v>1810</v>
      </c>
      <c r="AS367" s="48">
        <f>ROUND((Товары[[#This Row],[IRP, Eur]]*$AT$1),-2)*(1+Товары[[#This Row],[Процент повышения РРЦ]])</f>
        <v>0</v>
      </c>
      <c r="AT367" s="48"/>
      <c r="AU367" s="50">
        <f>ROUND(Товары[[#This Row],[РРЦ финальная, руб.]]/$AT$1,2)</f>
        <v>0</v>
      </c>
      <c r="AV367" s="49" t="str">
        <f>IFERROR(Товары[[#This Row],[РРЦ, евро]]/Товары[[#This Row],[IRP, Eur]],"-")</f>
        <v>-</v>
      </c>
      <c r="AX367" s="48">
        <f>ROUND(Товары[[#This Row],[РРЦ финальная, руб.]]*(1-Товары[[#This Row],[Скидка DIY]]),2)</f>
        <v>0</v>
      </c>
    </row>
    <row r="368" spans="1:50" x14ac:dyDescent="0.25">
      <c r="A368" s="36">
        <v>366</v>
      </c>
      <c r="C368" s="36" t="s">
        <v>3</v>
      </c>
      <c r="D3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8" s="36" t="s">
        <v>233</v>
      </c>
      <c r="F3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8" s="38">
        <v>9033</v>
      </c>
      <c r="I368" s="37" t="s">
        <v>251</v>
      </c>
      <c r="J368" s="37">
        <v>13162</v>
      </c>
      <c r="K368" s="38">
        <v>967693801</v>
      </c>
      <c r="L368" s="37" t="s">
        <v>820</v>
      </c>
      <c r="M368" s="37" t="s">
        <v>1328</v>
      </c>
      <c r="O368" s="39" t="s">
        <v>1811</v>
      </c>
      <c r="AS368" s="48">
        <f>ROUND((Товары[[#This Row],[IRP, Eur]]*$AT$1),-2)*(1+Товары[[#This Row],[Процент повышения РРЦ]])</f>
        <v>0</v>
      </c>
      <c r="AT368" s="48"/>
      <c r="AU368" s="50">
        <f>ROUND(Товары[[#This Row],[РРЦ финальная, руб.]]/$AT$1,2)</f>
        <v>0</v>
      </c>
      <c r="AV368" s="49" t="str">
        <f>IFERROR(Товары[[#This Row],[РРЦ, евро]]/Товары[[#This Row],[IRP, Eur]],"-")</f>
        <v>-</v>
      </c>
      <c r="AX368" s="48">
        <f>ROUND(Товары[[#This Row],[РРЦ финальная, руб.]]*(1-Товары[[#This Row],[Скидка DIY]]),2)</f>
        <v>0</v>
      </c>
    </row>
    <row r="369" spans="1:50" x14ac:dyDescent="0.25">
      <c r="A369" s="36">
        <v>367</v>
      </c>
      <c r="C369" s="36" t="s">
        <v>3</v>
      </c>
      <c r="D3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9" s="36" t="s">
        <v>233</v>
      </c>
      <c r="F3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9" s="38">
        <v>9033</v>
      </c>
      <c r="I369" s="37" t="s">
        <v>251</v>
      </c>
      <c r="J369" s="37">
        <v>13162</v>
      </c>
      <c r="K369" s="38">
        <v>967693901</v>
      </c>
      <c r="L369" s="37" t="s">
        <v>821</v>
      </c>
      <c r="M369" s="37" t="s">
        <v>1328</v>
      </c>
      <c r="O369" s="39" t="s">
        <v>1812</v>
      </c>
      <c r="AS369" s="48">
        <f>ROUND((Товары[[#This Row],[IRP, Eur]]*$AT$1),-2)*(1+Товары[[#This Row],[Процент повышения РРЦ]])</f>
        <v>0</v>
      </c>
      <c r="AT369" s="48"/>
      <c r="AU369" s="50">
        <f>ROUND(Товары[[#This Row],[РРЦ финальная, руб.]]/$AT$1,2)</f>
        <v>0</v>
      </c>
      <c r="AV369" s="49" t="str">
        <f>IFERROR(Товары[[#This Row],[РРЦ, евро]]/Товары[[#This Row],[IRP, Eur]],"-")</f>
        <v>-</v>
      </c>
      <c r="AX369" s="48">
        <f>ROUND(Товары[[#This Row],[РРЦ финальная, руб.]]*(1-Товары[[#This Row],[Скидка DIY]]),2)</f>
        <v>0</v>
      </c>
    </row>
    <row r="370" spans="1:50" x14ac:dyDescent="0.25">
      <c r="A370" s="36">
        <v>368</v>
      </c>
      <c r="C370" s="36" t="s">
        <v>3</v>
      </c>
      <c r="D3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0" s="36" t="s">
        <v>233</v>
      </c>
      <c r="F3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0" s="38">
        <v>9033</v>
      </c>
      <c r="I370" s="37" t="s">
        <v>251</v>
      </c>
      <c r="J370" s="37">
        <v>13164</v>
      </c>
      <c r="K370" s="38">
        <v>967694001</v>
      </c>
      <c r="L370" s="37" t="s">
        <v>822</v>
      </c>
      <c r="M370" s="37" t="s">
        <v>1328</v>
      </c>
      <c r="O370" s="39" t="s">
        <v>1813</v>
      </c>
      <c r="AS370" s="48">
        <f>ROUND((Товары[[#This Row],[IRP, Eur]]*$AT$1),-2)*(1+Товары[[#This Row],[Процент повышения РРЦ]])</f>
        <v>0</v>
      </c>
      <c r="AT370" s="48"/>
      <c r="AU370" s="50">
        <f>ROUND(Товары[[#This Row],[РРЦ финальная, руб.]]/$AT$1,2)</f>
        <v>0</v>
      </c>
      <c r="AV370" s="49" t="str">
        <f>IFERROR(Товары[[#This Row],[РРЦ, евро]]/Товары[[#This Row],[IRP, Eur]],"-")</f>
        <v>-</v>
      </c>
      <c r="AX370" s="48">
        <f>ROUND(Товары[[#This Row],[РРЦ финальная, руб.]]*(1-Товары[[#This Row],[Скидка DIY]]),2)</f>
        <v>0</v>
      </c>
    </row>
    <row r="371" spans="1:50" x14ac:dyDescent="0.25">
      <c r="A371" s="36">
        <v>369</v>
      </c>
      <c r="C371" s="36" t="s">
        <v>3</v>
      </c>
      <c r="D3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1" s="36" t="s">
        <v>233</v>
      </c>
      <c r="F3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1" s="38">
        <v>9033</v>
      </c>
      <c r="I371" s="37" t="s">
        <v>251</v>
      </c>
      <c r="J371" s="37">
        <v>13164</v>
      </c>
      <c r="K371" s="38">
        <v>967694301</v>
      </c>
      <c r="L371" s="37" t="s">
        <v>823</v>
      </c>
      <c r="M371" s="37" t="s">
        <v>1328</v>
      </c>
      <c r="O371" s="39" t="s">
        <v>1814</v>
      </c>
      <c r="AS371" s="48">
        <f>ROUND((Товары[[#This Row],[IRP, Eur]]*$AT$1),-2)*(1+Товары[[#This Row],[Процент повышения РРЦ]])</f>
        <v>0</v>
      </c>
      <c r="AT371" s="48"/>
      <c r="AU371" s="50">
        <f>ROUND(Товары[[#This Row],[РРЦ финальная, руб.]]/$AT$1,2)</f>
        <v>0</v>
      </c>
      <c r="AV371" s="49" t="str">
        <f>IFERROR(Товары[[#This Row],[РРЦ, евро]]/Товары[[#This Row],[IRP, Eur]],"-")</f>
        <v>-</v>
      </c>
      <c r="AX371" s="48">
        <f>ROUND(Товары[[#This Row],[РРЦ финальная, руб.]]*(1-Товары[[#This Row],[Скидка DIY]]),2)</f>
        <v>0</v>
      </c>
    </row>
    <row r="372" spans="1:50" x14ac:dyDescent="0.25">
      <c r="A372" s="36">
        <v>370</v>
      </c>
      <c r="C372" s="36" t="s">
        <v>3</v>
      </c>
      <c r="D3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2" s="36" t="s">
        <v>233</v>
      </c>
      <c r="F3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2" s="38">
        <v>9091</v>
      </c>
      <c r="I372" s="37" t="s">
        <v>281</v>
      </c>
      <c r="J372" s="37">
        <v>1124</v>
      </c>
      <c r="K372" s="38">
        <v>900895201</v>
      </c>
      <c r="L372" s="37" t="s">
        <v>824</v>
      </c>
      <c r="O372" s="39" t="s">
        <v>1815</v>
      </c>
      <c r="AS372" s="48">
        <f>ROUND((Товары[[#This Row],[IRP, Eur]]*$AT$1),-2)*(1+Товары[[#This Row],[Процент повышения РРЦ]])</f>
        <v>0</v>
      </c>
      <c r="AT372" s="48"/>
      <c r="AU372" s="50">
        <f>ROUND(Товары[[#This Row],[РРЦ финальная, руб.]]/$AT$1,2)</f>
        <v>0</v>
      </c>
      <c r="AV372" s="49" t="str">
        <f>IFERROR(Товары[[#This Row],[РРЦ, евро]]/Товары[[#This Row],[IRP, Eur]],"-")</f>
        <v>-</v>
      </c>
      <c r="AX372" s="48">
        <f>ROUND(Товары[[#This Row],[РРЦ финальная, руб.]]*(1-Товары[[#This Row],[Скидка DIY]]),2)</f>
        <v>0</v>
      </c>
    </row>
    <row r="373" spans="1:50" x14ac:dyDescent="0.25">
      <c r="A373" s="36">
        <v>371</v>
      </c>
      <c r="C373" s="36" t="s">
        <v>3</v>
      </c>
      <c r="D3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3" s="36" t="s">
        <v>233</v>
      </c>
      <c r="F3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3" s="38">
        <v>9091</v>
      </c>
      <c r="I373" s="37" t="s">
        <v>281</v>
      </c>
      <c r="J373" s="37">
        <v>1125</v>
      </c>
      <c r="K373" s="38">
        <v>900895301</v>
      </c>
      <c r="L373" s="37" t="s">
        <v>825</v>
      </c>
      <c r="O373" s="39" t="s">
        <v>1816</v>
      </c>
      <c r="AS373" s="48">
        <f>ROUND((Товары[[#This Row],[IRP, Eur]]*$AT$1),-2)*(1+Товары[[#This Row],[Процент повышения РРЦ]])</f>
        <v>0</v>
      </c>
      <c r="AT373" s="48"/>
      <c r="AU373" s="50">
        <f>ROUND(Товары[[#This Row],[РРЦ финальная, руб.]]/$AT$1,2)</f>
        <v>0</v>
      </c>
      <c r="AV373" s="49" t="str">
        <f>IFERROR(Товары[[#This Row],[РРЦ, евро]]/Товары[[#This Row],[IRP, Eur]],"-")</f>
        <v>-</v>
      </c>
      <c r="AX373" s="48">
        <f>ROUND(Товары[[#This Row],[РРЦ финальная, руб.]]*(1-Товары[[#This Row],[Скидка DIY]]),2)</f>
        <v>0</v>
      </c>
    </row>
    <row r="374" spans="1:50" x14ac:dyDescent="0.25">
      <c r="A374" s="36">
        <v>372</v>
      </c>
      <c r="C374" s="36" t="s">
        <v>3</v>
      </c>
      <c r="D3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4" s="36" t="s">
        <v>233</v>
      </c>
      <c r="F3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4" s="38">
        <v>9091</v>
      </c>
      <c r="I374" s="37" t="s">
        <v>281</v>
      </c>
      <c r="J374" s="37">
        <v>1505</v>
      </c>
      <c r="K374" s="38">
        <v>900928001</v>
      </c>
      <c r="L374" s="37" t="s">
        <v>826</v>
      </c>
      <c r="O374" s="39" t="s">
        <v>1817</v>
      </c>
      <c r="AS374" s="48">
        <f>ROUND((Товары[[#This Row],[IRP, Eur]]*$AT$1),-2)*(1+Товары[[#This Row],[Процент повышения РРЦ]])</f>
        <v>0</v>
      </c>
      <c r="AT374" s="48"/>
      <c r="AU374" s="50">
        <f>ROUND(Товары[[#This Row],[РРЦ финальная, руб.]]/$AT$1,2)</f>
        <v>0</v>
      </c>
      <c r="AV374" s="49" t="str">
        <f>IFERROR(Товары[[#This Row],[РРЦ, евро]]/Товары[[#This Row],[IRP, Eur]],"-")</f>
        <v>-</v>
      </c>
      <c r="AX374" s="48">
        <f>ROUND(Товары[[#This Row],[РРЦ финальная, руб.]]*(1-Товары[[#This Row],[Скидка DIY]]),2)</f>
        <v>0</v>
      </c>
    </row>
    <row r="375" spans="1:50" x14ac:dyDescent="0.25">
      <c r="A375" s="36">
        <v>373</v>
      </c>
      <c r="C375" s="36" t="s">
        <v>3</v>
      </c>
      <c r="D3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5" s="36" t="s">
        <v>233</v>
      </c>
      <c r="F3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5" s="38">
        <v>9091</v>
      </c>
      <c r="I375" s="37" t="s">
        <v>279</v>
      </c>
      <c r="J375" s="37">
        <v>5337</v>
      </c>
      <c r="K375" s="38">
        <v>901084701</v>
      </c>
      <c r="L375" s="37" t="s">
        <v>827</v>
      </c>
      <c r="O375" s="39" t="s">
        <v>1818</v>
      </c>
      <c r="AS375" s="48">
        <f>ROUND((Товары[[#This Row],[IRP, Eur]]*$AT$1),-2)*(1+Товары[[#This Row],[Процент повышения РРЦ]])</f>
        <v>0</v>
      </c>
      <c r="AT375" s="48"/>
      <c r="AU375" s="50">
        <f>ROUND(Товары[[#This Row],[РРЦ финальная, руб.]]/$AT$1,2)</f>
        <v>0</v>
      </c>
      <c r="AV375" s="49" t="str">
        <f>IFERROR(Товары[[#This Row],[РРЦ, евро]]/Товары[[#This Row],[IRP, Eur]],"-")</f>
        <v>-</v>
      </c>
      <c r="AX375" s="48">
        <f>ROUND(Товары[[#This Row],[РРЦ финальная, руб.]]*(1-Товары[[#This Row],[Скидка DIY]]),2)</f>
        <v>0</v>
      </c>
    </row>
    <row r="376" spans="1:50" x14ac:dyDescent="0.25">
      <c r="A376" s="36">
        <v>374</v>
      </c>
      <c r="C376" s="36" t="s">
        <v>3</v>
      </c>
      <c r="D3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6" s="36" t="s">
        <v>233</v>
      </c>
      <c r="F3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6" s="38">
        <v>9091</v>
      </c>
      <c r="I376" s="37" t="s">
        <v>282</v>
      </c>
      <c r="J376" s="37">
        <v>5797</v>
      </c>
      <c r="K376" s="38">
        <v>901094201</v>
      </c>
      <c r="L376" s="37" t="s">
        <v>828</v>
      </c>
      <c r="O376" s="39" t="s">
        <v>1819</v>
      </c>
      <c r="AS376" s="48">
        <f>ROUND((Товары[[#This Row],[IRP, Eur]]*$AT$1),-2)*(1+Товары[[#This Row],[Процент повышения РРЦ]])</f>
        <v>0</v>
      </c>
      <c r="AT376" s="48"/>
      <c r="AU376" s="50">
        <f>ROUND(Товары[[#This Row],[РРЦ финальная, руб.]]/$AT$1,2)</f>
        <v>0</v>
      </c>
      <c r="AV376" s="49" t="str">
        <f>IFERROR(Товары[[#This Row],[РРЦ, евро]]/Товары[[#This Row],[IRP, Eur]],"-")</f>
        <v>-</v>
      </c>
      <c r="AX376" s="48">
        <f>ROUND(Товары[[#This Row],[РРЦ финальная, руб.]]*(1-Товары[[#This Row],[Скидка DIY]]),2)</f>
        <v>0</v>
      </c>
    </row>
    <row r="377" spans="1:50" x14ac:dyDescent="0.25">
      <c r="A377" s="36">
        <v>375</v>
      </c>
      <c r="C377" s="36" t="s">
        <v>3</v>
      </c>
      <c r="D3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7" s="36" t="s">
        <v>233</v>
      </c>
      <c r="F3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7" s="38">
        <v>9032</v>
      </c>
      <c r="I377" s="37" t="s">
        <v>283</v>
      </c>
      <c r="J377" s="37">
        <v>1559</v>
      </c>
      <c r="K377" s="38">
        <v>900936601</v>
      </c>
      <c r="L377" s="37" t="s">
        <v>829</v>
      </c>
      <c r="M377" s="37" t="s">
        <v>1381</v>
      </c>
      <c r="O377" s="39" t="s">
        <v>1820</v>
      </c>
      <c r="AS377" s="48">
        <f>ROUND((Товары[[#This Row],[IRP, Eur]]*$AT$1),-2)*(1+Товары[[#This Row],[Процент повышения РРЦ]])</f>
        <v>0</v>
      </c>
      <c r="AT377" s="48"/>
      <c r="AU377" s="50">
        <f>ROUND(Товары[[#This Row],[РРЦ финальная, руб.]]/$AT$1,2)</f>
        <v>0</v>
      </c>
      <c r="AV377" s="49" t="str">
        <f>IFERROR(Товары[[#This Row],[РРЦ, евро]]/Товары[[#This Row],[IRP, Eur]],"-")</f>
        <v>-</v>
      </c>
      <c r="AX377" s="48">
        <f>ROUND(Товары[[#This Row],[РРЦ финальная, руб.]]*(1-Товары[[#This Row],[Скидка DIY]]),2)</f>
        <v>0</v>
      </c>
    </row>
    <row r="378" spans="1:50" x14ac:dyDescent="0.25">
      <c r="A378" s="36">
        <v>376</v>
      </c>
      <c r="C378" s="36" t="s">
        <v>3</v>
      </c>
      <c r="D3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8" s="36" t="s">
        <v>233</v>
      </c>
      <c r="F3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8" s="38">
        <v>9032</v>
      </c>
      <c r="I378" s="37" t="s">
        <v>283</v>
      </c>
      <c r="J378" s="37">
        <v>8201</v>
      </c>
      <c r="K378" s="38">
        <v>966409201</v>
      </c>
      <c r="L378" s="37" t="s">
        <v>830</v>
      </c>
      <c r="O378" s="39" t="s">
        <v>1821</v>
      </c>
      <c r="AS378" s="48">
        <f>ROUND((Товары[[#This Row],[IRP, Eur]]*$AT$1),-2)*(1+Товары[[#This Row],[Процент повышения РРЦ]])</f>
        <v>0</v>
      </c>
      <c r="AT378" s="48"/>
      <c r="AU378" s="50">
        <f>ROUND(Товары[[#This Row],[РРЦ финальная, руб.]]/$AT$1,2)</f>
        <v>0</v>
      </c>
      <c r="AV378" s="49" t="str">
        <f>IFERROR(Товары[[#This Row],[РРЦ, евро]]/Товары[[#This Row],[IRP, Eur]],"-")</f>
        <v>-</v>
      </c>
      <c r="AX378" s="48">
        <f>ROUND(Товары[[#This Row],[РРЦ финальная, руб.]]*(1-Товары[[#This Row],[Скидка DIY]]),2)</f>
        <v>0</v>
      </c>
    </row>
    <row r="379" spans="1:50" x14ac:dyDescent="0.25">
      <c r="A379" s="36">
        <v>377</v>
      </c>
      <c r="C379" s="36" t="s">
        <v>3</v>
      </c>
      <c r="D3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9" s="36" t="s">
        <v>233</v>
      </c>
      <c r="F3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9" s="38">
        <v>9032</v>
      </c>
      <c r="I379" s="37" t="s">
        <v>283</v>
      </c>
      <c r="J379" s="37">
        <v>8203</v>
      </c>
      <c r="K379" s="38">
        <v>966409401</v>
      </c>
      <c r="L379" s="37" t="s">
        <v>831</v>
      </c>
      <c r="O379" s="39" t="s">
        <v>1822</v>
      </c>
      <c r="AS379" s="48">
        <f>ROUND((Товары[[#This Row],[IRP, Eur]]*$AT$1),-2)*(1+Товары[[#This Row],[Процент повышения РРЦ]])</f>
        <v>0</v>
      </c>
      <c r="AT379" s="48"/>
      <c r="AU379" s="50">
        <f>ROUND(Товары[[#This Row],[РРЦ финальная, руб.]]/$AT$1,2)</f>
        <v>0</v>
      </c>
      <c r="AV379" s="49" t="str">
        <f>IFERROR(Товары[[#This Row],[РРЦ, евро]]/Товары[[#This Row],[IRP, Eur]],"-")</f>
        <v>-</v>
      </c>
      <c r="AX379" s="48">
        <f>ROUND(Товары[[#This Row],[РРЦ финальная, руб.]]*(1-Товары[[#This Row],[Скидка DIY]]),2)</f>
        <v>0</v>
      </c>
    </row>
    <row r="380" spans="1:50" x14ac:dyDescent="0.25">
      <c r="A380" s="36">
        <v>378</v>
      </c>
      <c r="C380" s="36" t="s">
        <v>3</v>
      </c>
      <c r="D3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0" s="36" t="s">
        <v>233</v>
      </c>
      <c r="F3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0" s="38">
        <v>9032</v>
      </c>
      <c r="I380" s="37" t="s">
        <v>283</v>
      </c>
      <c r="J380" s="37">
        <v>8205</v>
      </c>
      <c r="K380" s="38">
        <v>966409601</v>
      </c>
      <c r="L380" s="37" t="s">
        <v>832</v>
      </c>
      <c r="O380" s="39" t="s">
        <v>1823</v>
      </c>
      <c r="AS380" s="48">
        <f>ROUND((Товары[[#This Row],[IRP, Eur]]*$AT$1),-2)*(1+Товары[[#This Row],[Процент повышения РРЦ]])</f>
        <v>0</v>
      </c>
      <c r="AT380" s="48"/>
      <c r="AU380" s="50">
        <f>ROUND(Товары[[#This Row],[РРЦ финальная, руб.]]/$AT$1,2)</f>
        <v>0</v>
      </c>
      <c r="AV380" s="49" t="str">
        <f>IFERROR(Товары[[#This Row],[РРЦ, евро]]/Товары[[#This Row],[IRP, Eur]],"-")</f>
        <v>-</v>
      </c>
      <c r="AX380" s="48">
        <f>ROUND(Товары[[#This Row],[РРЦ финальная, руб.]]*(1-Товары[[#This Row],[Скидка DIY]]),2)</f>
        <v>0</v>
      </c>
    </row>
    <row r="381" spans="1:50" x14ac:dyDescent="0.25">
      <c r="A381" s="36">
        <v>379</v>
      </c>
      <c r="C381" s="36" t="s">
        <v>3</v>
      </c>
      <c r="D3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1" s="36" t="s">
        <v>233</v>
      </c>
      <c r="F3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1" s="38">
        <v>9032</v>
      </c>
      <c r="I381" s="37" t="s">
        <v>283</v>
      </c>
      <c r="K381" s="38">
        <v>967170901</v>
      </c>
      <c r="L381" s="37" t="s">
        <v>833</v>
      </c>
      <c r="O381" s="39" t="s">
        <v>1824</v>
      </c>
      <c r="AS381" s="48">
        <f>ROUND((Товары[[#This Row],[IRP, Eur]]*$AT$1),-2)*(1+Товары[[#This Row],[Процент повышения РРЦ]])</f>
        <v>0</v>
      </c>
      <c r="AT381" s="48"/>
      <c r="AU381" s="50">
        <f>ROUND(Товары[[#This Row],[РРЦ финальная, руб.]]/$AT$1,2)</f>
        <v>0</v>
      </c>
      <c r="AV381" s="49" t="str">
        <f>IFERROR(Товары[[#This Row],[РРЦ, евро]]/Товары[[#This Row],[IRP, Eur]],"-")</f>
        <v>-</v>
      </c>
      <c r="AX381" s="48">
        <f>ROUND(Товары[[#This Row],[РРЦ финальная, руб.]]*(1-Товары[[#This Row],[Скидка DIY]]),2)</f>
        <v>0</v>
      </c>
    </row>
    <row r="382" spans="1:50" x14ac:dyDescent="0.25">
      <c r="A382" s="36">
        <v>380</v>
      </c>
      <c r="C382" s="36" t="s">
        <v>3</v>
      </c>
      <c r="D3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2" s="36" t="s">
        <v>233</v>
      </c>
      <c r="F3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2" s="38">
        <v>9032</v>
      </c>
      <c r="I382" s="37" t="s">
        <v>283</v>
      </c>
      <c r="K382" s="38">
        <v>967998701</v>
      </c>
      <c r="L382" s="37" t="s">
        <v>834</v>
      </c>
      <c r="M382" s="37" t="s">
        <v>833</v>
      </c>
      <c r="O382" s="39" t="s">
        <v>1824</v>
      </c>
      <c r="AS382" s="48">
        <f>ROUND((Товары[[#This Row],[IRP, Eur]]*$AT$1),-2)*(1+Товары[[#This Row],[Процент повышения РРЦ]])</f>
        <v>0</v>
      </c>
      <c r="AT382" s="48"/>
      <c r="AU382" s="50">
        <f>ROUND(Товары[[#This Row],[РРЦ финальная, руб.]]/$AT$1,2)</f>
        <v>0</v>
      </c>
      <c r="AV382" s="49" t="str">
        <f>IFERROR(Товары[[#This Row],[РРЦ, евро]]/Товары[[#This Row],[IRP, Eur]],"-")</f>
        <v>-</v>
      </c>
      <c r="AX382" s="48">
        <f>ROUND(Товары[[#This Row],[РРЦ финальная, руб.]]*(1-Товары[[#This Row],[Скидка DIY]]),2)</f>
        <v>0</v>
      </c>
    </row>
    <row r="383" spans="1:50" x14ac:dyDescent="0.25">
      <c r="A383" s="36">
        <v>381</v>
      </c>
      <c r="C383" s="36" t="s">
        <v>3</v>
      </c>
      <c r="D3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3" s="36" t="s">
        <v>233</v>
      </c>
      <c r="F3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3" s="38">
        <v>9032</v>
      </c>
      <c r="I383" s="37" t="s">
        <v>283</v>
      </c>
      <c r="J383" s="37">
        <v>1569</v>
      </c>
      <c r="K383" s="38">
        <v>900938501</v>
      </c>
      <c r="L383" s="37" t="s">
        <v>835</v>
      </c>
      <c r="O383" s="39" t="s">
        <v>1825</v>
      </c>
      <c r="AS383" s="48">
        <f>ROUND((Товары[[#This Row],[IRP, Eur]]*$AT$1),-2)*(1+Товары[[#This Row],[Процент повышения РРЦ]])</f>
        <v>0</v>
      </c>
      <c r="AT383" s="48"/>
      <c r="AU383" s="50">
        <f>ROUND(Товары[[#This Row],[РРЦ финальная, руб.]]/$AT$1,2)</f>
        <v>0</v>
      </c>
      <c r="AV383" s="49" t="str">
        <f>IFERROR(Товары[[#This Row],[РРЦ, евро]]/Товары[[#This Row],[IRP, Eur]],"-")</f>
        <v>-</v>
      </c>
      <c r="AX383" s="48">
        <f>ROUND(Товары[[#This Row],[РРЦ финальная, руб.]]*(1-Товары[[#This Row],[Скидка DIY]]),2)</f>
        <v>0</v>
      </c>
    </row>
    <row r="384" spans="1:50" x14ac:dyDescent="0.25">
      <c r="A384" s="36">
        <v>382</v>
      </c>
      <c r="C384" s="36" t="s">
        <v>3</v>
      </c>
      <c r="D3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4" s="36" t="s">
        <v>233</v>
      </c>
      <c r="F3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4" s="38">
        <v>9032</v>
      </c>
      <c r="I384" s="37" t="s">
        <v>283</v>
      </c>
      <c r="J384" s="37">
        <v>1566</v>
      </c>
      <c r="K384" s="38">
        <v>900937701</v>
      </c>
      <c r="L384" s="37" t="s">
        <v>836</v>
      </c>
      <c r="O384" s="39" t="s">
        <v>1826</v>
      </c>
      <c r="AS384" s="48">
        <f>ROUND((Товары[[#This Row],[IRP, Eur]]*$AT$1),-2)*(1+Товары[[#This Row],[Процент повышения РРЦ]])</f>
        <v>0</v>
      </c>
      <c r="AT384" s="48"/>
      <c r="AU384" s="50">
        <f>ROUND(Товары[[#This Row],[РРЦ финальная, руб.]]/$AT$1,2)</f>
        <v>0</v>
      </c>
      <c r="AV384" s="49" t="str">
        <f>IFERROR(Товары[[#This Row],[РРЦ, евро]]/Товары[[#This Row],[IRP, Eur]],"-")</f>
        <v>-</v>
      </c>
      <c r="AX384" s="48">
        <f>ROUND(Товары[[#This Row],[РРЦ финальная, руб.]]*(1-Товары[[#This Row],[Скидка DIY]]),2)</f>
        <v>0</v>
      </c>
    </row>
    <row r="385" spans="1:50" x14ac:dyDescent="0.25">
      <c r="A385" s="36">
        <v>383</v>
      </c>
      <c r="C385" s="36" t="s">
        <v>3</v>
      </c>
      <c r="D3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5" s="36" t="s">
        <v>233</v>
      </c>
      <c r="F3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5" s="38">
        <v>9032</v>
      </c>
      <c r="I385" s="37" t="s">
        <v>283</v>
      </c>
      <c r="J385" s="37">
        <v>1554</v>
      </c>
      <c r="K385" s="38">
        <v>900936301</v>
      </c>
      <c r="L385" s="37" t="s">
        <v>837</v>
      </c>
      <c r="O385" s="39" t="s">
        <v>1827</v>
      </c>
      <c r="AS385" s="48">
        <f>ROUND((Товары[[#This Row],[IRP, Eur]]*$AT$1),-2)*(1+Товары[[#This Row],[Процент повышения РРЦ]])</f>
        <v>0</v>
      </c>
      <c r="AT385" s="48"/>
      <c r="AU385" s="50">
        <f>ROUND(Товары[[#This Row],[РРЦ финальная, руб.]]/$AT$1,2)</f>
        <v>0</v>
      </c>
      <c r="AV385" s="49" t="str">
        <f>IFERROR(Товары[[#This Row],[РРЦ, евро]]/Товары[[#This Row],[IRP, Eur]],"-")</f>
        <v>-</v>
      </c>
      <c r="AX385" s="48">
        <f>ROUND(Товары[[#This Row],[РРЦ финальная, руб.]]*(1-Товары[[#This Row],[Скидка DIY]]),2)</f>
        <v>0</v>
      </c>
    </row>
    <row r="386" spans="1:50" x14ac:dyDescent="0.25">
      <c r="A386" s="36">
        <v>384</v>
      </c>
      <c r="C386" s="36" t="s">
        <v>3</v>
      </c>
      <c r="D3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6" s="36" t="s">
        <v>233</v>
      </c>
      <c r="F3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6" s="38">
        <v>9032</v>
      </c>
      <c r="I386" s="37" t="s">
        <v>283</v>
      </c>
      <c r="J386" s="37">
        <v>1555</v>
      </c>
      <c r="K386" s="38">
        <v>900936401</v>
      </c>
      <c r="L386" s="37" t="s">
        <v>838</v>
      </c>
      <c r="O386" s="39" t="s">
        <v>1828</v>
      </c>
      <c r="AS386" s="48">
        <f>ROUND((Товары[[#This Row],[IRP, Eur]]*$AT$1),-2)*(1+Товары[[#This Row],[Процент повышения РРЦ]])</f>
        <v>0</v>
      </c>
      <c r="AT386" s="48"/>
      <c r="AU386" s="50">
        <f>ROUND(Товары[[#This Row],[РРЦ финальная, руб.]]/$AT$1,2)</f>
        <v>0</v>
      </c>
      <c r="AV386" s="49" t="str">
        <f>IFERROR(Товары[[#This Row],[РРЦ, евро]]/Товары[[#This Row],[IRP, Eur]],"-")</f>
        <v>-</v>
      </c>
      <c r="AX386" s="48">
        <f>ROUND(Товары[[#This Row],[РРЦ финальная, руб.]]*(1-Товары[[#This Row],[Скидка DIY]]),2)</f>
        <v>0</v>
      </c>
    </row>
    <row r="387" spans="1:50" x14ac:dyDescent="0.25">
      <c r="A387" s="36">
        <v>385</v>
      </c>
      <c r="C387" s="36" t="s">
        <v>3</v>
      </c>
      <c r="D3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7" s="36" t="s">
        <v>233</v>
      </c>
      <c r="F3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7" s="38">
        <v>9032</v>
      </c>
      <c r="I387" s="37" t="s">
        <v>283</v>
      </c>
      <c r="J387" s="37">
        <v>1552</v>
      </c>
      <c r="K387" s="38">
        <v>900936101</v>
      </c>
      <c r="L387" s="37" t="s">
        <v>839</v>
      </c>
      <c r="O387" s="39" t="s">
        <v>1829</v>
      </c>
      <c r="AS387" s="48">
        <f>ROUND((Товары[[#This Row],[IRP, Eur]]*$AT$1),-2)*(1+Товары[[#This Row],[Процент повышения РРЦ]])</f>
        <v>0</v>
      </c>
      <c r="AT387" s="48"/>
      <c r="AU387" s="50">
        <f>ROUND(Товары[[#This Row],[РРЦ финальная, руб.]]/$AT$1,2)</f>
        <v>0</v>
      </c>
      <c r="AV387" s="49" t="str">
        <f>IFERROR(Товары[[#This Row],[РРЦ, евро]]/Товары[[#This Row],[IRP, Eur]],"-")</f>
        <v>-</v>
      </c>
      <c r="AX387" s="48">
        <f>ROUND(Товары[[#This Row],[РРЦ финальная, руб.]]*(1-Товары[[#This Row],[Скидка DIY]]),2)</f>
        <v>0</v>
      </c>
    </row>
    <row r="388" spans="1:50" x14ac:dyDescent="0.25">
      <c r="A388" s="36">
        <v>386</v>
      </c>
      <c r="C388" s="36" t="s">
        <v>3</v>
      </c>
      <c r="D3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8" s="36" t="s">
        <v>233</v>
      </c>
      <c r="F3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8" s="38">
        <v>9032</v>
      </c>
      <c r="I388" s="37" t="s">
        <v>283</v>
      </c>
      <c r="J388" s="37">
        <v>1553</v>
      </c>
      <c r="K388" s="38">
        <v>900936201</v>
      </c>
      <c r="L388" s="37" t="s">
        <v>840</v>
      </c>
      <c r="O388" s="39" t="s">
        <v>1830</v>
      </c>
      <c r="AS388" s="48">
        <f>ROUND((Товары[[#This Row],[IRP, Eur]]*$AT$1),-2)*(1+Товары[[#This Row],[Процент повышения РРЦ]])</f>
        <v>0</v>
      </c>
      <c r="AT388" s="48"/>
      <c r="AU388" s="50">
        <f>ROUND(Товары[[#This Row],[РРЦ финальная, руб.]]/$AT$1,2)</f>
        <v>0</v>
      </c>
      <c r="AV388" s="49" t="str">
        <f>IFERROR(Товары[[#This Row],[РРЦ, евро]]/Товары[[#This Row],[IRP, Eur]],"-")</f>
        <v>-</v>
      </c>
      <c r="AX388" s="48">
        <f>ROUND(Товары[[#This Row],[РРЦ финальная, руб.]]*(1-Товары[[#This Row],[Скидка DIY]]),2)</f>
        <v>0</v>
      </c>
    </row>
    <row r="389" spans="1:50" x14ac:dyDescent="0.25">
      <c r="A389" s="36">
        <v>387</v>
      </c>
      <c r="C389" s="36" t="s">
        <v>3</v>
      </c>
      <c r="D3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9" s="36" t="s">
        <v>233</v>
      </c>
      <c r="F3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9" s="38">
        <v>9032</v>
      </c>
      <c r="I389" s="37" t="s">
        <v>284</v>
      </c>
      <c r="J389" s="37">
        <v>8250</v>
      </c>
      <c r="K389" s="38">
        <v>966409801</v>
      </c>
      <c r="L389" s="37" t="s">
        <v>841</v>
      </c>
      <c r="O389" s="39" t="s">
        <v>1831</v>
      </c>
      <c r="AS389" s="48">
        <f>ROUND((Товары[[#This Row],[IRP, Eur]]*$AT$1),-2)*(1+Товары[[#This Row],[Процент повышения РРЦ]])</f>
        <v>0</v>
      </c>
      <c r="AT389" s="48"/>
      <c r="AU389" s="50">
        <f>ROUND(Товары[[#This Row],[РРЦ финальная, руб.]]/$AT$1,2)</f>
        <v>0</v>
      </c>
      <c r="AV389" s="49" t="str">
        <f>IFERROR(Товары[[#This Row],[РРЦ, евро]]/Товары[[#This Row],[IRP, Eur]],"-")</f>
        <v>-</v>
      </c>
      <c r="AX389" s="48">
        <f>ROUND(Товары[[#This Row],[РРЦ финальная, руб.]]*(1-Товары[[#This Row],[Скидка DIY]]),2)</f>
        <v>0</v>
      </c>
    </row>
    <row r="390" spans="1:50" x14ac:dyDescent="0.25">
      <c r="A390" s="36">
        <v>388</v>
      </c>
      <c r="C390" s="36" t="s">
        <v>3</v>
      </c>
      <c r="D3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0" s="36" t="s">
        <v>233</v>
      </c>
      <c r="F3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0" s="38">
        <v>9032</v>
      </c>
      <c r="I390" s="37" t="s">
        <v>284</v>
      </c>
      <c r="J390" s="37">
        <v>8253</v>
      </c>
      <c r="K390" s="38">
        <v>966602801</v>
      </c>
      <c r="L390" s="37" t="s">
        <v>842</v>
      </c>
      <c r="O390" s="39" t="s">
        <v>1832</v>
      </c>
      <c r="AS390" s="48">
        <f>ROUND((Товары[[#This Row],[IRP, Eur]]*$AT$1),-2)*(1+Товары[[#This Row],[Процент повышения РРЦ]])</f>
        <v>0</v>
      </c>
      <c r="AT390" s="48"/>
      <c r="AU390" s="50">
        <f>ROUND(Товары[[#This Row],[РРЦ финальная, руб.]]/$AT$1,2)</f>
        <v>0</v>
      </c>
      <c r="AV390" s="49" t="str">
        <f>IFERROR(Товары[[#This Row],[РРЦ, евро]]/Товары[[#This Row],[IRP, Eur]],"-")</f>
        <v>-</v>
      </c>
      <c r="AX390" s="48">
        <f>ROUND(Товары[[#This Row],[РРЦ финальная, руб.]]*(1-Товары[[#This Row],[Скидка DIY]]),2)</f>
        <v>0</v>
      </c>
    </row>
    <row r="391" spans="1:50" x14ac:dyDescent="0.25">
      <c r="A391" s="36">
        <v>389</v>
      </c>
      <c r="C391" s="36" t="s">
        <v>3</v>
      </c>
      <c r="D3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1" s="36" t="s">
        <v>233</v>
      </c>
      <c r="F3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1" s="38">
        <v>9032</v>
      </c>
      <c r="I391" s="37" t="s">
        <v>285</v>
      </c>
      <c r="J391" s="37">
        <v>8255</v>
      </c>
      <c r="K391" s="38">
        <v>966410001</v>
      </c>
      <c r="L391" s="37" t="s">
        <v>843</v>
      </c>
      <c r="O391" s="39" t="s">
        <v>1833</v>
      </c>
      <c r="AS391" s="48">
        <f>ROUND((Товары[[#This Row],[IRP, Eur]]*$AT$1),-2)*(1+Товары[[#This Row],[Процент повышения РРЦ]])</f>
        <v>0</v>
      </c>
      <c r="AT391" s="48"/>
      <c r="AU391" s="50">
        <f>ROUND(Товары[[#This Row],[РРЦ финальная, руб.]]/$AT$1,2)</f>
        <v>0</v>
      </c>
      <c r="AV391" s="49" t="str">
        <f>IFERROR(Товары[[#This Row],[РРЦ, евро]]/Товары[[#This Row],[IRP, Eur]],"-")</f>
        <v>-</v>
      </c>
      <c r="AX391" s="48">
        <f>ROUND(Товары[[#This Row],[РРЦ финальная, руб.]]*(1-Товары[[#This Row],[Скидка DIY]]),2)</f>
        <v>0</v>
      </c>
    </row>
    <row r="392" spans="1:50" x14ac:dyDescent="0.25">
      <c r="A392" s="36">
        <v>390</v>
      </c>
      <c r="C392" s="36" t="s">
        <v>3</v>
      </c>
      <c r="D3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2" s="36" t="s">
        <v>233</v>
      </c>
      <c r="F3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2" s="38">
        <v>9032</v>
      </c>
      <c r="I392" s="37" t="s">
        <v>243</v>
      </c>
      <c r="J392" s="37">
        <v>2780</v>
      </c>
      <c r="K392" s="38">
        <v>901017601</v>
      </c>
      <c r="L392" s="37" t="s">
        <v>844</v>
      </c>
      <c r="O392" s="39" t="s">
        <v>1834</v>
      </c>
      <c r="AS392" s="48">
        <f>ROUND((Товары[[#This Row],[IRP, Eur]]*$AT$1),-2)*(1+Товары[[#This Row],[Процент повышения РРЦ]])</f>
        <v>0</v>
      </c>
      <c r="AT392" s="48"/>
      <c r="AU392" s="50">
        <f>ROUND(Товары[[#This Row],[РРЦ финальная, руб.]]/$AT$1,2)</f>
        <v>0</v>
      </c>
      <c r="AV392" s="49" t="str">
        <f>IFERROR(Товары[[#This Row],[РРЦ, евро]]/Товары[[#This Row],[IRP, Eur]],"-")</f>
        <v>-</v>
      </c>
      <c r="AX392" s="48">
        <f>ROUND(Товары[[#This Row],[РРЦ финальная, руб.]]*(1-Товары[[#This Row],[Скидка DIY]]),2)</f>
        <v>0</v>
      </c>
    </row>
    <row r="393" spans="1:50" x14ac:dyDescent="0.25">
      <c r="A393" s="36">
        <v>391</v>
      </c>
      <c r="C393" s="36" t="s">
        <v>3</v>
      </c>
      <c r="D3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3" s="36" t="s">
        <v>233</v>
      </c>
      <c r="F3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3" s="38">
        <v>9032</v>
      </c>
      <c r="I393" s="37" t="s">
        <v>243</v>
      </c>
      <c r="J393" s="37">
        <v>2781</v>
      </c>
      <c r="K393" s="38">
        <v>901017701</v>
      </c>
      <c r="L393" s="37" t="s">
        <v>845</v>
      </c>
      <c r="O393" s="39" t="s">
        <v>1835</v>
      </c>
      <c r="AS393" s="48">
        <f>ROUND((Товары[[#This Row],[IRP, Eur]]*$AT$1),-2)*(1+Товары[[#This Row],[Процент повышения РРЦ]])</f>
        <v>0</v>
      </c>
      <c r="AT393" s="48"/>
      <c r="AU393" s="50">
        <f>ROUND(Товары[[#This Row],[РРЦ финальная, руб.]]/$AT$1,2)</f>
        <v>0</v>
      </c>
      <c r="AV393" s="49" t="str">
        <f>IFERROR(Товары[[#This Row],[РРЦ, евро]]/Товары[[#This Row],[IRP, Eur]],"-")</f>
        <v>-</v>
      </c>
      <c r="AX393" s="48">
        <f>ROUND(Товары[[#This Row],[РРЦ финальная, руб.]]*(1-Товары[[#This Row],[Скидка DIY]]),2)</f>
        <v>0</v>
      </c>
    </row>
    <row r="394" spans="1:50" x14ac:dyDescent="0.25">
      <c r="A394" s="36">
        <v>392</v>
      </c>
      <c r="C394" s="36" t="s">
        <v>3</v>
      </c>
      <c r="D3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4" s="36" t="s">
        <v>233</v>
      </c>
      <c r="F3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4" s="38">
        <v>9032</v>
      </c>
      <c r="I394" s="37" t="s">
        <v>243</v>
      </c>
      <c r="J394" s="37">
        <v>2782</v>
      </c>
      <c r="K394" s="38">
        <v>966409001</v>
      </c>
      <c r="L394" s="37" t="s">
        <v>846</v>
      </c>
      <c r="O394" s="39" t="s">
        <v>1836</v>
      </c>
      <c r="AS394" s="48">
        <f>ROUND((Товары[[#This Row],[IRP, Eur]]*$AT$1),-2)*(1+Товары[[#This Row],[Процент повышения РРЦ]])</f>
        <v>0</v>
      </c>
      <c r="AT394" s="48"/>
      <c r="AU394" s="50">
        <f>ROUND(Товары[[#This Row],[РРЦ финальная, руб.]]/$AT$1,2)</f>
        <v>0</v>
      </c>
      <c r="AV394" s="49" t="str">
        <f>IFERROR(Товары[[#This Row],[РРЦ, евро]]/Товары[[#This Row],[IRP, Eur]],"-")</f>
        <v>-</v>
      </c>
      <c r="AX394" s="48">
        <f>ROUND(Товары[[#This Row],[РРЦ финальная, руб.]]*(1-Товары[[#This Row],[Скидка DIY]]),2)</f>
        <v>0</v>
      </c>
    </row>
    <row r="395" spans="1:50" x14ac:dyDescent="0.25">
      <c r="A395" s="36">
        <v>393</v>
      </c>
      <c r="C395" s="36" t="s">
        <v>3</v>
      </c>
      <c r="D3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5" s="36" t="s">
        <v>233</v>
      </c>
      <c r="F3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5" s="38">
        <v>9032</v>
      </c>
      <c r="I395" s="37" t="s">
        <v>243</v>
      </c>
      <c r="J395" s="37">
        <v>2783</v>
      </c>
      <c r="K395" s="38">
        <v>966409101</v>
      </c>
      <c r="L395" s="37" t="s">
        <v>847</v>
      </c>
      <c r="O395" s="39" t="s">
        <v>1837</v>
      </c>
      <c r="AS395" s="48">
        <f>ROUND((Товары[[#This Row],[IRP, Eur]]*$AT$1),-2)*(1+Товары[[#This Row],[Процент повышения РРЦ]])</f>
        <v>0</v>
      </c>
      <c r="AT395" s="48"/>
      <c r="AU395" s="50">
        <f>ROUND(Товары[[#This Row],[РРЦ финальная, руб.]]/$AT$1,2)</f>
        <v>0</v>
      </c>
      <c r="AV395" s="49" t="str">
        <f>IFERROR(Товары[[#This Row],[РРЦ, евро]]/Товары[[#This Row],[IRP, Eur]],"-")</f>
        <v>-</v>
      </c>
      <c r="AX395" s="48">
        <f>ROUND(Товары[[#This Row],[РРЦ финальная, руб.]]*(1-Товары[[#This Row],[Скидка DIY]]),2)</f>
        <v>0</v>
      </c>
    </row>
    <row r="396" spans="1:50" x14ac:dyDescent="0.25">
      <c r="A396" s="36">
        <v>394</v>
      </c>
      <c r="C396" s="36" t="s">
        <v>3</v>
      </c>
      <c r="D3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6" s="36" t="s">
        <v>233</v>
      </c>
      <c r="F3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6" s="38">
        <v>9032</v>
      </c>
      <c r="I396" s="37" t="s">
        <v>243</v>
      </c>
      <c r="J396" s="37">
        <v>2784</v>
      </c>
      <c r="K396" s="38">
        <v>901017801</v>
      </c>
      <c r="L396" s="37" t="s">
        <v>848</v>
      </c>
      <c r="O396" s="39" t="s">
        <v>1838</v>
      </c>
      <c r="AS396" s="48">
        <f>ROUND((Товары[[#This Row],[IRP, Eur]]*$AT$1),-2)*(1+Товары[[#This Row],[Процент повышения РРЦ]])</f>
        <v>0</v>
      </c>
      <c r="AT396" s="48"/>
      <c r="AU396" s="50">
        <f>ROUND(Товары[[#This Row],[РРЦ финальная, руб.]]/$AT$1,2)</f>
        <v>0</v>
      </c>
      <c r="AV396" s="49" t="str">
        <f>IFERROR(Товары[[#This Row],[РРЦ, евро]]/Товары[[#This Row],[IRP, Eur]],"-")</f>
        <v>-</v>
      </c>
      <c r="AX396" s="48">
        <f>ROUND(Товары[[#This Row],[РРЦ финальная, руб.]]*(1-Товары[[#This Row],[Скидка DIY]]),2)</f>
        <v>0</v>
      </c>
    </row>
    <row r="397" spans="1:50" x14ac:dyDescent="0.25">
      <c r="A397" s="36">
        <v>395</v>
      </c>
      <c r="C397" s="36" t="s">
        <v>3</v>
      </c>
      <c r="D3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7" s="36" t="s">
        <v>233</v>
      </c>
      <c r="F3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7" s="38">
        <v>9032</v>
      </c>
      <c r="I397" s="37" t="s">
        <v>245</v>
      </c>
      <c r="J397" s="37">
        <v>2773</v>
      </c>
      <c r="K397" s="38">
        <v>901016901</v>
      </c>
      <c r="L397" s="37" t="s">
        <v>849</v>
      </c>
      <c r="O397" s="39" t="s">
        <v>1839</v>
      </c>
      <c r="AS397" s="48">
        <f>ROUND((Товары[[#This Row],[IRP, Eur]]*$AT$1),-2)*(1+Товары[[#This Row],[Процент повышения РРЦ]])</f>
        <v>0</v>
      </c>
      <c r="AT397" s="48"/>
      <c r="AU397" s="50">
        <f>ROUND(Товары[[#This Row],[РРЦ финальная, руб.]]/$AT$1,2)</f>
        <v>0</v>
      </c>
      <c r="AV397" s="49" t="str">
        <f>IFERROR(Товары[[#This Row],[РРЦ, евро]]/Товары[[#This Row],[IRP, Eur]],"-")</f>
        <v>-</v>
      </c>
      <c r="AX397" s="48">
        <f>ROUND(Товары[[#This Row],[РРЦ финальная, руб.]]*(1-Товары[[#This Row],[Скидка DIY]]),2)</f>
        <v>0</v>
      </c>
    </row>
    <row r="398" spans="1:50" x14ac:dyDescent="0.25">
      <c r="A398" s="36">
        <v>396</v>
      </c>
      <c r="C398" s="36" t="s">
        <v>3</v>
      </c>
      <c r="D3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8" s="36" t="s">
        <v>233</v>
      </c>
      <c r="F3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8" s="38">
        <v>9032</v>
      </c>
      <c r="I398" s="37" t="s">
        <v>243</v>
      </c>
      <c r="J398" s="37">
        <v>2764</v>
      </c>
      <c r="K398" s="38">
        <v>966408901</v>
      </c>
      <c r="L398" s="37" t="s">
        <v>850</v>
      </c>
      <c r="O398" s="39" t="s">
        <v>1840</v>
      </c>
      <c r="AS398" s="48">
        <f>ROUND((Товары[[#This Row],[IRP, Eur]]*$AT$1),-2)*(1+Товары[[#This Row],[Процент повышения РРЦ]])</f>
        <v>0</v>
      </c>
      <c r="AT398" s="48"/>
      <c r="AU398" s="50">
        <f>ROUND(Товары[[#This Row],[РРЦ финальная, руб.]]/$AT$1,2)</f>
        <v>0</v>
      </c>
      <c r="AV398" s="49" t="str">
        <f>IFERROR(Товары[[#This Row],[РРЦ, евро]]/Товары[[#This Row],[IRP, Eur]],"-")</f>
        <v>-</v>
      </c>
      <c r="AX398" s="48">
        <f>ROUND(Товары[[#This Row],[РРЦ финальная, руб.]]*(1-Товары[[#This Row],[Скидка DIY]]),2)</f>
        <v>0</v>
      </c>
    </row>
    <row r="399" spans="1:50" x14ac:dyDescent="0.25">
      <c r="A399" s="36">
        <v>397</v>
      </c>
      <c r="C399" s="36" t="s">
        <v>3</v>
      </c>
      <c r="D3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9" s="36" t="s">
        <v>233</v>
      </c>
      <c r="F3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9" s="38">
        <v>9032</v>
      </c>
      <c r="I399" s="37" t="s">
        <v>243</v>
      </c>
      <c r="J399" s="37">
        <v>2785</v>
      </c>
      <c r="K399" s="38">
        <v>901017901</v>
      </c>
      <c r="L399" s="37" t="s">
        <v>851</v>
      </c>
      <c r="O399" s="39" t="s">
        <v>1841</v>
      </c>
      <c r="AS399" s="48">
        <f>ROUND((Товары[[#This Row],[IRP, Eur]]*$AT$1),-2)*(1+Товары[[#This Row],[Процент повышения РРЦ]])</f>
        <v>0</v>
      </c>
      <c r="AT399" s="48"/>
      <c r="AU399" s="50">
        <f>ROUND(Товары[[#This Row],[РРЦ финальная, руб.]]/$AT$1,2)</f>
        <v>0</v>
      </c>
      <c r="AV399" s="49" t="str">
        <f>IFERROR(Товары[[#This Row],[РРЦ, евро]]/Товары[[#This Row],[IRP, Eur]],"-")</f>
        <v>-</v>
      </c>
      <c r="AX399" s="48">
        <f>ROUND(Товары[[#This Row],[РРЦ финальная, руб.]]*(1-Товары[[#This Row],[Скидка DIY]]),2)</f>
        <v>0</v>
      </c>
    </row>
    <row r="400" spans="1:50" x14ac:dyDescent="0.25">
      <c r="A400" s="36">
        <v>398</v>
      </c>
      <c r="C400" s="36" t="s">
        <v>3</v>
      </c>
      <c r="D4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0" s="36" t="s">
        <v>233</v>
      </c>
      <c r="F4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0" s="38">
        <v>9032</v>
      </c>
      <c r="I400" s="37" t="s">
        <v>245</v>
      </c>
      <c r="J400" s="37">
        <v>2774</v>
      </c>
      <c r="K400" s="38">
        <v>901017001</v>
      </c>
      <c r="L400" s="37" t="s">
        <v>852</v>
      </c>
      <c r="O400" s="39" t="s">
        <v>1842</v>
      </c>
      <c r="AS400" s="48">
        <f>ROUND((Товары[[#This Row],[IRP, Eur]]*$AT$1),-2)*(1+Товары[[#This Row],[Процент повышения РРЦ]])</f>
        <v>0</v>
      </c>
      <c r="AT400" s="48"/>
      <c r="AU400" s="50">
        <f>ROUND(Товары[[#This Row],[РРЦ финальная, руб.]]/$AT$1,2)</f>
        <v>0</v>
      </c>
      <c r="AV400" s="49" t="str">
        <f>IFERROR(Товары[[#This Row],[РРЦ, евро]]/Товары[[#This Row],[IRP, Eur]],"-")</f>
        <v>-</v>
      </c>
      <c r="AX400" s="48">
        <f>ROUND(Товары[[#This Row],[РРЦ финальная, руб.]]*(1-Товары[[#This Row],[Скидка DIY]]),2)</f>
        <v>0</v>
      </c>
    </row>
    <row r="401" spans="1:50" x14ac:dyDescent="0.25">
      <c r="A401" s="36">
        <v>399</v>
      </c>
      <c r="C401" s="36" t="s">
        <v>3</v>
      </c>
      <c r="D4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1" s="36" t="s">
        <v>233</v>
      </c>
      <c r="F4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1" s="38">
        <v>9032</v>
      </c>
      <c r="I401" s="37" t="s">
        <v>245</v>
      </c>
      <c r="J401" s="37">
        <v>2752</v>
      </c>
      <c r="K401" s="38">
        <v>901015201</v>
      </c>
      <c r="L401" s="37" t="s">
        <v>853</v>
      </c>
      <c r="O401" s="39" t="s">
        <v>1843</v>
      </c>
      <c r="AS401" s="48">
        <f>ROUND((Товары[[#This Row],[IRP, Eur]]*$AT$1),-2)*(1+Товары[[#This Row],[Процент повышения РРЦ]])</f>
        <v>0</v>
      </c>
      <c r="AT401" s="48"/>
      <c r="AU401" s="50">
        <f>ROUND(Товары[[#This Row],[РРЦ финальная, руб.]]/$AT$1,2)</f>
        <v>0</v>
      </c>
      <c r="AV401" s="49" t="str">
        <f>IFERROR(Товары[[#This Row],[РРЦ, евро]]/Товары[[#This Row],[IRP, Eur]],"-")</f>
        <v>-</v>
      </c>
      <c r="AX401" s="48">
        <f>ROUND(Товары[[#This Row],[РРЦ финальная, руб.]]*(1-Товары[[#This Row],[Скидка DIY]]),2)</f>
        <v>0</v>
      </c>
    </row>
    <row r="402" spans="1:50" x14ac:dyDescent="0.25">
      <c r="A402" s="36">
        <v>400</v>
      </c>
      <c r="C402" s="36" t="s">
        <v>3</v>
      </c>
      <c r="D4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2" s="36" t="s">
        <v>233</v>
      </c>
      <c r="F4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2" s="38">
        <v>9032</v>
      </c>
      <c r="I402" s="37" t="s">
        <v>243</v>
      </c>
      <c r="J402" s="37">
        <v>2786</v>
      </c>
      <c r="K402" s="38">
        <v>901018001</v>
      </c>
      <c r="L402" s="37" t="s">
        <v>854</v>
      </c>
      <c r="O402" s="39" t="s">
        <v>1844</v>
      </c>
      <c r="AS402" s="48">
        <f>ROUND((Товары[[#This Row],[IRP, Eur]]*$AT$1),-2)*(1+Товары[[#This Row],[Процент повышения РРЦ]])</f>
        <v>0</v>
      </c>
      <c r="AT402" s="48"/>
      <c r="AU402" s="50">
        <f>ROUND(Товары[[#This Row],[РРЦ финальная, руб.]]/$AT$1,2)</f>
        <v>0</v>
      </c>
      <c r="AV402" s="49" t="str">
        <f>IFERROR(Товары[[#This Row],[РРЦ, евро]]/Товары[[#This Row],[IRP, Eur]],"-")</f>
        <v>-</v>
      </c>
      <c r="AX402" s="48">
        <f>ROUND(Товары[[#This Row],[РРЦ финальная, руб.]]*(1-Товары[[#This Row],[Скидка DIY]]),2)</f>
        <v>0</v>
      </c>
    </row>
    <row r="403" spans="1:50" x14ac:dyDescent="0.25">
      <c r="A403" s="36">
        <v>401</v>
      </c>
      <c r="C403" s="36" t="s">
        <v>3</v>
      </c>
      <c r="D4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3" s="36" t="s">
        <v>233</v>
      </c>
      <c r="F4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3" s="38">
        <v>9032</v>
      </c>
      <c r="I403" s="37" t="s">
        <v>243</v>
      </c>
      <c r="J403" s="37">
        <v>2787</v>
      </c>
      <c r="K403" s="38">
        <v>901018101</v>
      </c>
      <c r="L403" s="37" t="s">
        <v>855</v>
      </c>
      <c r="O403" s="39" t="s">
        <v>1845</v>
      </c>
      <c r="AS403" s="48">
        <f>ROUND((Товары[[#This Row],[IRP, Eur]]*$AT$1),-2)*(1+Товары[[#This Row],[Процент повышения РРЦ]])</f>
        <v>0</v>
      </c>
      <c r="AT403" s="48"/>
      <c r="AU403" s="50">
        <f>ROUND(Товары[[#This Row],[РРЦ финальная, руб.]]/$AT$1,2)</f>
        <v>0</v>
      </c>
      <c r="AV403" s="49" t="str">
        <f>IFERROR(Товары[[#This Row],[РРЦ, евро]]/Товары[[#This Row],[IRP, Eur]],"-")</f>
        <v>-</v>
      </c>
      <c r="AX403" s="48">
        <f>ROUND(Товары[[#This Row],[РРЦ финальная, руб.]]*(1-Товары[[#This Row],[Скидка DIY]]),2)</f>
        <v>0</v>
      </c>
    </row>
    <row r="404" spans="1:50" x14ac:dyDescent="0.25">
      <c r="A404" s="36">
        <v>402</v>
      </c>
      <c r="C404" s="36" t="s">
        <v>3</v>
      </c>
      <c r="D4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4" s="36" t="s">
        <v>233</v>
      </c>
      <c r="F4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4" s="38">
        <v>9032</v>
      </c>
      <c r="I404" s="37" t="s">
        <v>243</v>
      </c>
      <c r="J404" s="37">
        <v>2790</v>
      </c>
      <c r="K404" s="38">
        <v>901018301</v>
      </c>
      <c r="L404" s="37" t="s">
        <v>856</v>
      </c>
      <c r="O404" s="39" t="s">
        <v>1846</v>
      </c>
      <c r="AS404" s="48">
        <f>ROUND((Товары[[#This Row],[IRP, Eur]]*$AT$1),-2)*(1+Товары[[#This Row],[Процент повышения РРЦ]])</f>
        <v>0</v>
      </c>
      <c r="AT404" s="48"/>
      <c r="AU404" s="50">
        <f>ROUND(Товары[[#This Row],[РРЦ финальная, руб.]]/$AT$1,2)</f>
        <v>0</v>
      </c>
      <c r="AV404" s="49" t="str">
        <f>IFERROR(Товары[[#This Row],[РРЦ, евро]]/Товары[[#This Row],[IRP, Eur]],"-")</f>
        <v>-</v>
      </c>
      <c r="AX404" s="48">
        <f>ROUND(Товары[[#This Row],[РРЦ финальная, руб.]]*(1-Товары[[#This Row],[Скидка DIY]]),2)</f>
        <v>0</v>
      </c>
    </row>
    <row r="405" spans="1:50" x14ac:dyDescent="0.25">
      <c r="A405" s="36">
        <v>403</v>
      </c>
      <c r="C405" s="36" t="s">
        <v>3</v>
      </c>
      <c r="D4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5" s="36" t="s">
        <v>233</v>
      </c>
      <c r="F4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5" s="38">
        <v>9032</v>
      </c>
      <c r="I405" s="37" t="s">
        <v>245</v>
      </c>
      <c r="J405" s="37">
        <v>2771</v>
      </c>
      <c r="K405" s="38">
        <v>901016701</v>
      </c>
      <c r="L405" s="37" t="s">
        <v>857</v>
      </c>
      <c r="O405" s="39" t="s">
        <v>1847</v>
      </c>
      <c r="AS405" s="48">
        <f>ROUND((Товары[[#This Row],[IRP, Eur]]*$AT$1),-2)*(1+Товары[[#This Row],[Процент повышения РРЦ]])</f>
        <v>0</v>
      </c>
      <c r="AT405" s="48"/>
      <c r="AU405" s="50">
        <f>ROUND(Товары[[#This Row],[РРЦ финальная, руб.]]/$AT$1,2)</f>
        <v>0</v>
      </c>
      <c r="AV405" s="49" t="str">
        <f>IFERROR(Товары[[#This Row],[РРЦ, евро]]/Товары[[#This Row],[IRP, Eur]],"-")</f>
        <v>-</v>
      </c>
      <c r="AX405" s="48">
        <f>ROUND(Товары[[#This Row],[РРЦ финальная, руб.]]*(1-Товары[[#This Row],[Скидка DIY]]),2)</f>
        <v>0</v>
      </c>
    </row>
    <row r="406" spans="1:50" x14ac:dyDescent="0.25">
      <c r="A406" s="36">
        <v>404</v>
      </c>
      <c r="C406" s="36" t="s">
        <v>3</v>
      </c>
      <c r="D4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6" s="36" t="s">
        <v>233</v>
      </c>
      <c r="F4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6" s="38">
        <v>9032</v>
      </c>
      <c r="I406" s="37" t="s">
        <v>245</v>
      </c>
      <c r="J406" s="37">
        <v>2755</v>
      </c>
      <c r="K406" s="38">
        <v>901015501</v>
      </c>
      <c r="L406" s="37" t="s">
        <v>858</v>
      </c>
      <c r="O406" s="39" t="s">
        <v>1848</v>
      </c>
      <c r="AS406" s="48">
        <f>ROUND((Товары[[#This Row],[IRP, Eur]]*$AT$1),-2)*(1+Товары[[#This Row],[Процент повышения РРЦ]])</f>
        <v>0</v>
      </c>
      <c r="AT406" s="48"/>
      <c r="AU406" s="50">
        <f>ROUND(Товары[[#This Row],[РРЦ финальная, руб.]]/$AT$1,2)</f>
        <v>0</v>
      </c>
      <c r="AV406" s="49" t="str">
        <f>IFERROR(Товары[[#This Row],[РРЦ, евро]]/Товары[[#This Row],[IRP, Eur]],"-")</f>
        <v>-</v>
      </c>
      <c r="AX406" s="48">
        <f>ROUND(Товары[[#This Row],[РРЦ финальная, руб.]]*(1-Товары[[#This Row],[Скидка DIY]]),2)</f>
        <v>0</v>
      </c>
    </row>
    <row r="407" spans="1:50" x14ac:dyDescent="0.25">
      <c r="A407" s="36">
        <v>405</v>
      </c>
      <c r="C407" s="36" t="s">
        <v>3</v>
      </c>
      <c r="D4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7" s="36" t="s">
        <v>233</v>
      </c>
      <c r="F4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7" s="38">
        <v>9032</v>
      </c>
      <c r="I407" s="37" t="s">
        <v>245</v>
      </c>
      <c r="J407" s="37">
        <v>2751</v>
      </c>
      <c r="K407" s="38">
        <v>901015101</v>
      </c>
      <c r="L407" s="37" t="s">
        <v>859</v>
      </c>
      <c r="O407" s="39" t="s">
        <v>1848</v>
      </c>
      <c r="AS407" s="48">
        <f>ROUND((Товары[[#This Row],[IRP, Eur]]*$AT$1),-2)*(1+Товары[[#This Row],[Процент повышения РРЦ]])</f>
        <v>0</v>
      </c>
      <c r="AT407" s="48"/>
      <c r="AU407" s="50">
        <f>ROUND(Товары[[#This Row],[РРЦ финальная, руб.]]/$AT$1,2)</f>
        <v>0</v>
      </c>
      <c r="AV407" s="49" t="str">
        <f>IFERROR(Товары[[#This Row],[РРЦ, евро]]/Товары[[#This Row],[IRP, Eur]],"-")</f>
        <v>-</v>
      </c>
      <c r="AX407" s="48">
        <f>ROUND(Товары[[#This Row],[РРЦ финальная, руб.]]*(1-Товары[[#This Row],[Скидка DIY]]),2)</f>
        <v>0</v>
      </c>
    </row>
    <row r="408" spans="1:50" x14ac:dyDescent="0.25">
      <c r="A408" s="36">
        <v>406</v>
      </c>
      <c r="C408" s="36" t="s">
        <v>3</v>
      </c>
      <c r="D4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8" s="36" t="s">
        <v>233</v>
      </c>
      <c r="F4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8" s="38">
        <v>9032</v>
      </c>
      <c r="I408" s="37" t="s">
        <v>245</v>
      </c>
      <c r="J408" s="37">
        <v>2754</v>
      </c>
      <c r="K408" s="38">
        <v>901015401</v>
      </c>
      <c r="L408" s="37" t="s">
        <v>860</v>
      </c>
      <c r="O408" s="39" t="s">
        <v>1849</v>
      </c>
      <c r="AS408" s="48">
        <f>ROUND((Товары[[#This Row],[IRP, Eur]]*$AT$1),-2)*(1+Товары[[#This Row],[Процент повышения РРЦ]])</f>
        <v>0</v>
      </c>
      <c r="AT408" s="48"/>
      <c r="AU408" s="50">
        <f>ROUND(Товары[[#This Row],[РРЦ финальная, руб.]]/$AT$1,2)</f>
        <v>0</v>
      </c>
      <c r="AV408" s="49" t="str">
        <f>IFERROR(Товары[[#This Row],[РРЦ, евро]]/Товары[[#This Row],[IRP, Eur]],"-")</f>
        <v>-</v>
      </c>
      <c r="AX408" s="48">
        <f>ROUND(Товары[[#This Row],[РРЦ финальная, руб.]]*(1-Товары[[#This Row],[Скидка DIY]]),2)</f>
        <v>0</v>
      </c>
    </row>
    <row r="409" spans="1:50" x14ac:dyDescent="0.25">
      <c r="A409" s="36">
        <v>407</v>
      </c>
      <c r="C409" s="36" t="s">
        <v>3</v>
      </c>
      <c r="D4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9" s="36" t="s">
        <v>233</v>
      </c>
      <c r="F4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9" s="38">
        <v>9032</v>
      </c>
      <c r="I409" s="37" t="s">
        <v>245</v>
      </c>
      <c r="J409" s="37">
        <v>2753</v>
      </c>
      <c r="K409" s="38">
        <v>901015301</v>
      </c>
      <c r="L409" s="37" t="s">
        <v>861</v>
      </c>
      <c r="O409" s="39" t="s">
        <v>1850</v>
      </c>
      <c r="AS409" s="48">
        <f>ROUND((Товары[[#This Row],[IRP, Eur]]*$AT$1),-2)*(1+Товары[[#This Row],[Процент повышения РРЦ]])</f>
        <v>0</v>
      </c>
      <c r="AT409" s="48"/>
      <c r="AU409" s="50">
        <f>ROUND(Товары[[#This Row],[РРЦ финальная, руб.]]/$AT$1,2)</f>
        <v>0</v>
      </c>
      <c r="AV409" s="49" t="str">
        <f>IFERROR(Товары[[#This Row],[РРЦ, евро]]/Товары[[#This Row],[IRP, Eur]],"-")</f>
        <v>-</v>
      </c>
      <c r="AX409" s="48">
        <f>ROUND(Товары[[#This Row],[РРЦ финальная, руб.]]*(1-Товары[[#This Row],[Скидка DIY]]),2)</f>
        <v>0</v>
      </c>
    </row>
    <row r="410" spans="1:50" x14ac:dyDescent="0.25">
      <c r="A410" s="36">
        <v>408</v>
      </c>
      <c r="C410" s="36" t="s">
        <v>3</v>
      </c>
      <c r="D4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0" s="36" t="s">
        <v>233</v>
      </c>
      <c r="F4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0" s="38">
        <v>9032</v>
      </c>
      <c r="I410" s="37" t="s">
        <v>245</v>
      </c>
      <c r="J410" s="37">
        <v>2775</v>
      </c>
      <c r="K410" s="38">
        <v>901017101</v>
      </c>
      <c r="L410" s="37" t="s">
        <v>862</v>
      </c>
      <c r="O410" s="39" t="s">
        <v>1851</v>
      </c>
      <c r="AS410" s="48">
        <f>ROUND((Товары[[#This Row],[IRP, Eur]]*$AT$1),-2)*(1+Товары[[#This Row],[Процент повышения РРЦ]])</f>
        <v>0</v>
      </c>
      <c r="AT410" s="48"/>
      <c r="AU410" s="50">
        <f>ROUND(Товары[[#This Row],[РРЦ финальная, руб.]]/$AT$1,2)</f>
        <v>0</v>
      </c>
      <c r="AV410" s="49" t="str">
        <f>IFERROR(Товары[[#This Row],[РРЦ, евро]]/Товары[[#This Row],[IRP, Eur]],"-")</f>
        <v>-</v>
      </c>
      <c r="AX410" s="48">
        <f>ROUND(Товары[[#This Row],[РРЦ финальная, руб.]]*(1-Товары[[#This Row],[Скидка DIY]]),2)</f>
        <v>0</v>
      </c>
    </row>
    <row r="411" spans="1:50" x14ac:dyDescent="0.25">
      <c r="A411" s="36">
        <v>409</v>
      </c>
      <c r="C411" s="36" t="s">
        <v>3</v>
      </c>
      <c r="D4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1" s="36" t="s">
        <v>233</v>
      </c>
      <c r="F4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1" s="38">
        <v>9032</v>
      </c>
      <c r="I411" s="37" t="s">
        <v>245</v>
      </c>
      <c r="J411" s="37">
        <v>2776</v>
      </c>
      <c r="K411" s="38">
        <v>901017201</v>
      </c>
      <c r="L411" s="37" t="s">
        <v>863</v>
      </c>
      <c r="O411" s="39" t="s">
        <v>1852</v>
      </c>
      <c r="AS411" s="48">
        <f>ROUND((Товары[[#This Row],[IRP, Eur]]*$AT$1),-2)*(1+Товары[[#This Row],[Процент повышения РРЦ]])</f>
        <v>0</v>
      </c>
      <c r="AT411" s="48"/>
      <c r="AU411" s="50">
        <f>ROUND(Товары[[#This Row],[РРЦ финальная, руб.]]/$AT$1,2)</f>
        <v>0</v>
      </c>
      <c r="AV411" s="49" t="str">
        <f>IFERROR(Товары[[#This Row],[РРЦ, евро]]/Товары[[#This Row],[IRP, Eur]],"-")</f>
        <v>-</v>
      </c>
      <c r="AX411" s="48">
        <f>ROUND(Товары[[#This Row],[РРЦ финальная, руб.]]*(1-Товары[[#This Row],[Скидка DIY]]),2)</f>
        <v>0</v>
      </c>
    </row>
    <row r="412" spans="1:50" x14ac:dyDescent="0.25">
      <c r="A412" s="36">
        <v>410</v>
      </c>
      <c r="C412" s="36" t="s">
        <v>3</v>
      </c>
      <c r="D4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2" s="36" t="s">
        <v>233</v>
      </c>
      <c r="F4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2" s="38">
        <v>9032</v>
      </c>
      <c r="I412" s="37" t="s">
        <v>245</v>
      </c>
      <c r="J412" s="37">
        <v>2768</v>
      </c>
      <c r="K412" s="38">
        <v>901016501</v>
      </c>
      <c r="L412" s="37" t="s">
        <v>864</v>
      </c>
      <c r="O412" s="39" t="s">
        <v>1853</v>
      </c>
      <c r="AS412" s="48">
        <f>ROUND((Товары[[#This Row],[IRP, Eur]]*$AT$1),-2)*(1+Товары[[#This Row],[Процент повышения РРЦ]])</f>
        <v>0</v>
      </c>
      <c r="AT412" s="48"/>
      <c r="AU412" s="50">
        <f>ROUND(Товары[[#This Row],[РРЦ финальная, руб.]]/$AT$1,2)</f>
        <v>0</v>
      </c>
      <c r="AV412" s="49" t="str">
        <f>IFERROR(Товары[[#This Row],[РРЦ, евро]]/Товары[[#This Row],[IRP, Eur]],"-")</f>
        <v>-</v>
      </c>
      <c r="AX412" s="48">
        <f>ROUND(Товары[[#This Row],[РРЦ финальная, руб.]]*(1-Товары[[#This Row],[Скидка DIY]]),2)</f>
        <v>0</v>
      </c>
    </row>
    <row r="413" spans="1:50" x14ac:dyDescent="0.25">
      <c r="A413" s="36">
        <v>411</v>
      </c>
      <c r="C413" s="36" t="s">
        <v>3</v>
      </c>
      <c r="D4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3" s="36" t="s">
        <v>233</v>
      </c>
      <c r="F4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3" s="38">
        <v>9032</v>
      </c>
      <c r="I413" s="37" t="s">
        <v>245</v>
      </c>
      <c r="J413" s="37">
        <v>2769</v>
      </c>
      <c r="K413" s="38">
        <v>901016601</v>
      </c>
      <c r="L413" s="37" t="s">
        <v>865</v>
      </c>
      <c r="O413" s="39" t="s">
        <v>1854</v>
      </c>
      <c r="AS413" s="48">
        <f>ROUND((Товары[[#This Row],[IRP, Eur]]*$AT$1),-2)*(1+Товары[[#This Row],[Процент повышения РРЦ]])</f>
        <v>0</v>
      </c>
      <c r="AT413" s="48"/>
      <c r="AU413" s="50">
        <f>ROUND(Товары[[#This Row],[РРЦ финальная, руб.]]/$AT$1,2)</f>
        <v>0</v>
      </c>
      <c r="AV413" s="49" t="str">
        <f>IFERROR(Товары[[#This Row],[РРЦ, евро]]/Товары[[#This Row],[IRP, Eur]],"-")</f>
        <v>-</v>
      </c>
      <c r="AX413" s="48">
        <f>ROUND(Товары[[#This Row],[РРЦ финальная, руб.]]*(1-Товары[[#This Row],[Скидка DIY]]),2)</f>
        <v>0</v>
      </c>
    </row>
    <row r="414" spans="1:50" x14ac:dyDescent="0.25">
      <c r="A414" s="36">
        <v>412</v>
      </c>
      <c r="C414" s="36" t="s">
        <v>3</v>
      </c>
      <c r="D4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4" s="36" t="s">
        <v>233</v>
      </c>
      <c r="F4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4" s="38">
        <v>9032</v>
      </c>
      <c r="I414" s="37" t="s">
        <v>245</v>
      </c>
      <c r="J414" s="37">
        <v>2767</v>
      </c>
      <c r="K414" s="38">
        <v>901016401</v>
      </c>
      <c r="L414" s="37" t="s">
        <v>866</v>
      </c>
      <c r="O414" s="39" t="s">
        <v>1855</v>
      </c>
      <c r="AS414" s="48">
        <f>ROUND((Товары[[#This Row],[IRP, Eur]]*$AT$1),-2)*(1+Товары[[#This Row],[Процент повышения РРЦ]])</f>
        <v>0</v>
      </c>
      <c r="AT414" s="48"/>
      <c r="AU414" s="50">
        <f>ROUND(Товары[[#This Row],[РРЦ финальная, руб.]]/$AT$1,2)</f>
        <v>0</v>
      </c>
      <c r="AV414" s="49" t="str">
        <f>IFERROR(Товары[[#This Row],[РРЦ, евро]]/Товары[[#This Row],[IRP, Eur]],"-")</f>
        <v>-</v>
      </c>
      <c r="AX414" s="48">
        <f>ROUND(Товары[[#This Row],[РРЦ финальная, руб.]]*(1-Товары[[#This Row],[Скидка DIY]]),2)</f>
        <v>0</v>
      </c>
    </row>
    <row r="415" spans="1:50" x14ac:dyDescent="0.25">
      <c r="A415" s="36">
        <v>413</v>
      </c>
      <c r="C415" s="36" t="s">
        <v>3</v>
      </c>
      <c r="D4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5" s="36" t="s">
        <v>233</v>
      </c>
      <c r="F4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5" s="38">
        <v>9032</v>
      </c>
      <c r="I415" s="37" t="s">
        <v>245</v>
      </c>
      <c r="J415" s="37">
        <v>2761</v>
      </c>
      <c r="K415" s="38">
        <v>901016001</v>
      </c>
      <c r="L415" s="37" t="s">
        <v>867</v>
      </c>
      <c r="O415" s="39" t="s">
        <v>1856</v>
      </c>
      <c r="AS415" s="48">
        <f>ROUND((Товары[[#This Row],[IRP, Eur]]*$AT$1),-2)*(1+Товары[[#This Row],[Процент повышения РРЦ]])</f>
        <v>0</v>
      </c>
      <c r="AT415" s="48"/>
      <c r="AU415" s="50">
        <f>ROUND(Товары[[#This Row],[РРЦ финальная, руб.]]/$AT$1,2)</f>
        <v>0</v>
      </c>
      <c r="AV415" s="49" t="str">
        <f>IFERROR(Товары[[#This Row],[РРЦ, евро]]/Товары[[#This Row],[IRP, Eur]],"-")</f>
        <v>-</v>
      </c>
      <c r="AX415" s="48">
        <f>ROUND(Товары[[#This Row],[РРЦ финальная, руб.]]*(1-Товары[[#This Row],[Скидка DIY]]),2)</f>
        <v>0</v>
      </c>
    </row>
    <row r="416" spans="1:50" x14ac:dyDescent="0.25">
      <c r="A416" s="36">
        <v>414</v>
      </c>
      <c r="C416" s="36" t="s">
        <v>3</v>
      </c>
      <c r="D4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6" s="36" t="s">
        <v>233</v>
      </c>
      <c r="F4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6" s="38">
        <v>9032</v>
      </c>
      <c r="I416" s="37" t="s">
        <v>245</v>
      </c>
      <c r="J416" s="37">
        <v>2762</v>
      </c>
      <c r="K416" s="38">
        <v>901016101</v>
      </c>
      <c r="L416" s="37" t="s">
        <v>868</v>
      </c>
      <c r="O416" s="39" t="s">
        <v>1857</v>
      </c>
      <c r="AS416" s="48">
        <f>ROUND((Товары[[#This Row],[IRP, Eur]]*$AT$1),-2)*(1+Товары[[#This Row],[Процент повышения РРЦ]])</f>
        <v>0</v>
      </c>
      <c r="AT416" s="48"/>
      <c r="AU416" s="50">
        <f>ROUND(Товары[[#This Row],[РРЦ финальная, руб.]]/$AT$1,2)</f>
        <v>0</v>
      </c>
      <c r="AV416" s="49" t="str">
        <f>IFERROR(Товары[[#This Row],[РРЦ, евро]]/Товары[[#This Row],[IRP, Eur]],"-")</f>
        <v>-</v>
      </c>
      <c r="AX416" s="48">
        <f>ROUND(Товары[[#This Row],[РРЦ финальная, руб.]]*(1-Товары[[#This Row],[Скидка DIY]]),2)</f>
        <v>0</v>
      </c>
    </row>
    <row r="417" spans="1:50" x14ac:dyDescent="0.25">
      <c r="A417" s="36">
        <v>415</v>
      </c>
      <c r="C417" s="36" t="s">
        <v>3</v>
      </c>
      <c r="D4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7" s="36" t="s">
        <v>233</v>
      </c>
      <c r="F4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7" s="38">
        <v>9032</v>
      </c>
      <c r="I417" s="37" t="s">
        <v>245</v>
      </c>
      <c r="J417" s="37">
        <v>2763</v>
      </c>
      <c r="K417" s="38">
        <v>901016201</v>
      </c>
      <c r="L417" s="37" t="s">
        <v>869</v>
      </c>
      <c r="O417" s="39" t="s">
        <v>1858</v>
      </c>
      <c r="AS417" s="48">
        <f>ROUND((Товары[[#This Row],[IRP, Eur]]*$AT$1),-2)*(1+Товары[[#This Row],[Процент повышения РРЦ]])</f>
        <v>0</v>
      </c>
      <c r="AT417" s="48"/>
      <c r="AU417" s="50">
        <f>ROUND(Товары[[#This Row],[РРЦ финальная, руб.]]/$AT$1,2)</f>
        <v>0</v>
      </c>
      <c r="AV417" s="49" t="str">
        <f>IFERROR(Товары[[#This Row],[РРЦ, евро]]/Товары[[#This Row],[IRP, Eur]],"-")</f>
        <v>-</v>
      </c>
      <c r="AX417" s="48">
        <f>ROUND(Товары[[#This Row],[РРЦ финальная, руб.]]*(1-Товары[[#This Row],[Скидка DIY]]),2)</f>
        <v>0</v>
      </c>
    </row>
    <row r="418" spans="1:50" x14ac:dyDescent="0.25">
      <c r="A418" s="36">
        <v>416</v>
      </c>
      <c r="C418" s="36" t="s">
        <v>3</v>
      </c>
      <c r="D4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8" s="36" t="s">
        <v>233</v>
      </c>
      <c r="F4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8" s="38">
        <v>9032</v>
      </c>
      <c r="I418" s="37" t="s">
        <v>245</v>
      </c>
      <c r="J418" s="37">
        <v>2772</v>
      </c>
      <c r="K418" s="38">
        <v>901016801</v>
      </c>
      <c r="L418" s="37" t="s">
        <v>870</v>
      </c>
      <c r="O418" s="39" t="s">
        <v>1859</v>
      </c>
      <c r="AS418" s="48">
        <f>ROUND((Товары[[#This Row],[IRP, Eur]]*$AT$1),-2)*(1+Товары[[#This Row],[Процент повышения РРЦ]])</f>
        <v>0</v>
      </c>
      <c r="AT418" s="48"/>
      <c r="AU418" s="50">
        <f>ROUND(Товары[[#This Row],[РРЦ финальная, руб.]]/$AT$1,2)</f>
        <v>0</v>
      </c>
      <c r="AV418" s="49" t="str">
        <f>IFERROR(Товары[[#This Row],[РРЦ, евро]]/Товары[[#This Row],[IRP, Eur]],"-")</f>
        <v>-</v>
      </c>
      <c r="AX418" s="48">
        <f>ROUND(Товары[[#This Row],[РРЦ финальная, руб.]]*(1-Товары[[#This Row],[Скидка DIY]]),2)</f>
        <v>0</v>
      </c>
    </row>
    <row r="419" spans="1:50" x14ac:dyDescent="0.25">
      <c r="A419" s="36">
        <v>417</v>
      </c>
      <c r="C419" s="36" t="s">
        <v>3</v>
      </c>
      <c r="D4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9" s="36" t="s">
        <v>233</v>
      </c>
      <c r="F4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9" s="38">
        <v>9032</v>
      </c>
      <c r="I419" s="37" t="s">
        <v>243</v>
      </c>
      <c r="J419" s="37">
        <v>2791</v>
      </c>
      <c r="K419" s="38">
        <v>901018401</v>
      </c>
      <c r="L419" s="37" t="s">
        <v>871</v>
      </c>
      <c r="O419" s="39" t="s">
        <v>1860</v>
      </c>
      <c r="AS419" s="48">
        <f>ROUND((Товары[[#This Row],[IRP, Eur]]*$AT$1),-2)*(1+Товары[[#This Row],[Процент повышения РРЦ]])</f>
        <v>0</v>
      </c>
      <c r="AT419" s="48"/>
      <c r="AU419" s="50">
        <f>ROUND(Товары[[#This Row],[РРЦ финальная, руб.]]/$AT$1,2)</f>
        <v>0</v>
      </c>
      <c r="AV419" s="49" t="str">
        <f>IFERROR(Товары[[#This Row],[РРЦ, евро]]/Товары[[#This Row],[IRP, Eur]],"-")</f>
        <v>-</v>
      </c>
      <c r="AX419" s="48">
        <f>ROUND(Товары[[#This Row],[РРЦ финальная, руб.]]*(1-Товары[[#This Row],[Скидка DIY]]),2)</f>
        <v>0</v>
      </c>
    </row>
    <row r="420" spans="1:50" x14ac:dyDescent="0.25">
      <c r="A420" s="36">
        <v>418</v>
      </c>
      <c r="C420" s="36" t="s">
        <v>3</v>
      </c>
      <c r="D4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0" s="36" t="s">
        <v>233</v>
      </c>
      <c r="F4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0" s="38">
        <v>9032</v>
      </c>
      <c r="I420" s="37" t="s">
        <v>245</v>
      </c>
      <c r="J420" s="37">
        <v>2777</v>
      </c>
      <c r="K420" s="38">
        <v>901017301</v>
      </c>
      <c r="L420" s="37" t="s">
        <v>872</v>
      </c>
      <c r="O420" s="39" t="s">
        <v>1861</v>
      </c>
      <c r="AS420" s="48">
        <f>ROUND((Товары[[#This Row],[IRP, Eur]]*$AT$1),-2)*(1+Товары[[#This Row],[Процент повышения РРЦ]])</f>
        <v>0</v>
      </c>
      <c r="AT420" s="48"/>
      <c r="AU420" s="50">
        <f>ROUND(Товары[[#This Row],[РРЦ финальная, руб.]]/$AT$1,2)</f>
        <v>0</v>
      </c>
      <c r="AV420" s="49" t="str">
        <f>IFERROR(Товары[[#This Row],[РРЦ, евро]]/Товары[[#This Row],[IRP, Eur]],"-")</f>
        <v>-</v>
      </c>
      <c r="AX420" s="48">
        <f>ROUND(Товары[[#This Row],[РРЦ финальная, руб.]]*(1-Товары[[#This Row],[Скидка DIY]]),2)</f>
        <v>0</v>
      </c>
    </row>
    <row r="421" spans="1:50" x14ac:dyDescent="0.25">
      <c r="A421" s="36">
        <v>419</v>
      </c>
      <c r="C421" s="36" t="s">
        <v>3</v>
      </c>
      <c r="D4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1" s="36" t="s">
        <v>233</v>
      </c>
      <c r="F4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1" s="38">
        <v>9032</v>
      </c>
      <c r="I421" s="37" t="s">
        <v>245</v>
      </c>
      <c r="J421" s="37">
        <v>2779</v>
      </c>
      <c r="K421" s="38">
        <v>901017501</v>
      </c>
      <c r="L421" s="37" t="s">
        <v>873</v>
      </c>
      <c r="O421" s="39" t="s">
        <v>1862</v>
      </c>
      <c r="AS421" s="48">
        <f>ROUND((Товары[[#This Row],[IRP, Eur]]*$AT$1),-2)*(1+Товары[[#This Row],[Процент повышения РРЦ]])</f>
        <v>0</v>
      </c>
      <c r="AT421" s="48"/>
      <c r="AU421" s="50">
        <f>ROUND(Товары[[#This Row],[РРЦ финальная, руб.]]/$AT$1,2)</f>
        <v>0</v>
      </c>
      <c r="AV421" s="49" t="str">
        <f>IFERROR(Товары[[#This Row],[РРЦ, евро]]/Товары[[#This Row],[IRP, Eur]],"-")</f>
        <v>-</v>
      </c>
      <c r="AX421" s="48">
        <f>ROUND(Товары[[#This Row],[РРЦ финальная, руб.]]*(1-Товары[[#This Row],[Скидка DIY]]),2)</f>
        <v>0</v>
      </c>
    </row>
    <row r="422" spans="1:50" x14ac:dyDescent="0.25">
      <c r="A422" s="36">
        <v>420</v>
      </c>
      <c r="C422" s="36" t="s">
        <v>3</v>
      </c>
      <c r="D4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2" s="36" t="s">
        <v>233</v>
      </c>
      <c r="F4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2" s="38">
        <v>9032</v>
      </c>
      <c r="I422" s="37" t="s">
        <v>245</v>
      </c>
      <c r="J422" s="37">
        <v>2756</v>
      </c>
      <c r="K422" s="38">
        <v>901015601</v>
      </c>
      <c r="L422" s="37" t="s">
        <v>874</v>
      </c>
      <c r="O422" s="39" t="s">
        <v>1863</v>
      </c>
      <c r="AS422" s="48">
        <f>ROUND((Товары[[#This Row],[IRP, Eur]]*$AT$1),-2)*(1+Товары[[#This Row],[Процент повышения РРЦ]])</f>
        <v>0</v>
      </c>
      <c r="AT422" s="48"/>
      <c r="AU422" s="50">
        <f>ROUND(Товары[[#This Row],[РРЦ финальная, руб.]]/$AT$1,2)</f>
        <v>0</v>
      </c>
      <c r="AV422" s="49" t="str">
        <f>IFERROR(Товары[[#This Row],[РРЦ, евро]]/Товары[[#This Row],[IRP, Eur]],"-")</f>
        <v>-</v>
      </c>
      <c r="AX422" s="48">
        <f>ROUND(Товары[[#This Row],[РРЦ финальная, руб.]]*(1-Товары[[#This Row],[Скидка DIY]]),2)</f>
        <v>0</v>
      </c>
    </row>
    <row r="423" spans="1:50" x14ac:dyDescent="0.25">
      <c r="A423" s="36">
        <v>421</v>
      </c>
      <c r="C423" s="36" t="s">
        <v>3</v>
      </c>
      <c r="D4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3" s="36" t="s">
        <v>233</v>
      </c>
      <c r="F4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3" s="38">
        <v>9032</v>
      </c>
      <c r="I423" s="37" t="s">
        <v>245</v>
      </c>
      <c r="J423" s="37">
        <v>2778</v>
      </c>
      <c r="K423" s="38">
        <v>901017401</v>
      </c>
      <c r="L423" s="37" t="s">
        <v>875</v>
      </c>
      <c r="O423" s="39" t="s">
        <v>1864</v>
      </c>
      <c r="AS423" s="48">
        <f>ROUND((Товары[[#This Row],[IRP, Eur]]*$AT$1),-2)*(1+Товары[[#This Row],[Процент повышения РРЦ]])</f>
        <v>0</v>
      </c>
      <c r="AT423" s="48"/>
      <c r="AU423" s="50">
        <f>ROUND(Товары[[#This Row],[РРЦ финальная, руб.]]/$AT$1,2)</f>
        <v>0</v>
      </c>
      <c r="AV423" s="49" t="str">
        <f>IFERROR(Товары[[#This Row],[РРЦ, евро]]/Товары[[#This Row],[IRP, Eur]],"-")</f>
        <v>-</v>
      </c>
      <c r="AX423" s="48">
        <f>ROUND(Товары[[#This Row],[РРЦ финальная, руб.]]*(1-Товары[[#This Row],[Скидка DIY]]),2)</f>
        <v>0</v>
      </c>
    </row>
    <row r="424" spans="1:50" x14ac:dyDescent="0.25">
      <c r="A424" s="36">
        <v>422</v>
      </c>
      <c r="C424" s="36" t="s">
        <v>3</v>
      </c>
      <c r="D4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4" s="36" t="s">
        <v>233</v>
      </c>
      <c r="F4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4" s="38">
        <v>9032</v>
      </c>
      <c r="I424" s="37" t="s">
        <v>245</v>
      </c>
      <c r="J424" s="37">
        <v>2750</v>
      </c>
      <c r="K424" s="38">
        <v>901015001</v>
      </c>
      <c r="L424" s="37" t="s">
        <v>876</v>
      </c>
      <c r="O424" s="39" t="s">
        <v>1865</v>
      </c>
      <c r="AS424" s="48">
        <f>ROUND((Товары[[#This Row],[IRP, Eur]]*$AT$1),-2)*(1+Товары[[#This Row],[Процент повышения РРЦ]])</f>
        <v>0</v>
      </c>
      <c r="AT424" s="48"/>
      <c r="AU424" s="50">
        <f>ROUND(Товары[[#This Row],[РРЦ финальная, руб.]]/$AT$1,2)</f>
        <v>0</v>
      </c>
      <c r="AV424" s="49" t="str">
        <f>IFERROR(Товары[[#This Row],[РРЦ, евро]]/Товары[[#This Row],[IRP, Eur]],"-")</f>
        <v>-</v>
      </c>
      <c r="AX424" s="48">
        <f>ROUND(Товары[[#This Row],[РРЦ финальная, руб.]]*(1-Товары[[#This Row],[Скидка DIY]]),2)</f>
        <v>0</v>
      </c>
    </row>
    <row r="425" spans="1:50" x14ac:dyDescent="0.25">
      <c r="A425" s="36">
        <v>423</v>
      </c>
      <c r="C425" s="36" t="s">
        <v>3</v>
      </c>
      <c r="D4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5" s="36" t="s">
        <v>233</v>
      </c>
      <c r="F4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5" s="38">
        <v>9032</v>
      </c>
      <c r="I425" s="37" t="s">
        <v>247</v>
      </c>
      <c r="J425" s="37">
        <v>1513</v>
      </c>
      <c r="K425" s="38">
        <v>900929501</v>
      </c>
      <c r="L425" s="37" t="s">
        <v>877</v>
      </c>
      <c r="O425" s="39" t="s">
        <v>1866</v>
      </c>
      <c r="AS425" s="48">
        <f>ROUND((Товары[[#This Row],[IRP, Eur]]*$AT$1),-2)*(1+Товары[[#This Row],[Процент повышения РРЦ]])</f>
        <v>0</v>
      </c>
      <c r="AT425" s="48"/>
      <c r="AU425" s="50">
        <f>ROUND(Товары[[#This Row],[РРЦ финальная, руб.]]/$AT$1,2)</f>
        <v>0</v>
      </c>
      <c r="AV425" s="49" t="str">
        <f>IFERROR(Товары[[#This Row],[РРЦ, евро]]/Товары[[#This Row],[IRP, Eur]],"-")</f>
        <v>-</v>
      </c>
      <c r="AX425" s="48">
        <f>ROUND(Товары[[#This Row],[РРЦ финальная, руб.]]*(1-Товары[[#This Row],[Скидка DIY]]),2)</f>
        <v>0</v>
      </c>
    </row>
    <row r="426" spans="1:50" x14ac:dyDescent="0.25">
      <c r="A426" s="36">
        <v>424</v>
      </c>
      <c r="C426" s="36" t="s">
        <v>3</v>
      </c>
      <c r="D4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6" s="36" t="s">
        <v>233</v>
      </c>
      <c r="F4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6" s="38">
        <v>9032</v>
      </c>
      <c r="I426" s="37" t="s">
        <v>286</v>
      </c>
      <c r="J426" s="37">
        <v>2760</v>
      </c>
      <c r="K426" s="38">
        <v>966688401</v>
      </c>
      <c r="L426" s="37" t="s">
        <v>878</v>
      </c>
      <c r="O426" s="39" t="s">
        <v>1867</v>
      </c>
      <c r="AS426" s="48">
        <f>ROUND((Товары[[#This Row],[IRP, Eur]]*$AT$1),-2)*(1+Товары[[#This Row],[Процент повышения РРЦ]])</f>
        <v>0</v>
      </c>
      <c r="AT426" s="48"/>
      <c r="AU426" s="50">
        <f>ROUND(Товары[[#This Row],[РРЦ финальная, руб.]]/$AT$1,2)</f>
        <v>0</v>
      </c>
      <c r="AV426" s="49" t="str">
        <f>IFERROR(Товары[[#This Row],[РРЦ, евро]]/Товары[[#This Row],[IRP, Eur]],"-")</f>
        <v>-</v>
      </c>
      <c r="AX426" s="48">
        <f>ROUND(Товары[[#This Row],[РРЦ финальная, руб.]]*(1-Товары[[#This Row],[Скидка DIY]]),2)</f>
        <v>0</v>
      </c>
    </row>
    <row r="427" spans="1:50" x14ac:dyDescent="0.25">
      <c r="A427" s="36">
        <v>425</v>
      </c>
      <c r="C427" s="36" t="s">
        <v>3</v>
      </c>
      <c r="D4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7" s="36" t="s">
        <v>233</v>
      </c>
      <c r="F4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7" s="38">
        <v>9032</v>
      </c>
      <c r="I427" s="37" t="s">
        <v>243</v>
      </c>
      <c r="J427" s="37">
        <v>2739</v>
      </c>
      <c r="K427" s="38">
        <v>901014001</v>
      </c>
      <c r="L427" s="37" t="s">
        <v>879</v>
      </c>
      <c r="O427" s="39" t="s">
        <v>1868</v>
      </c>
      <c r="AS427" s="48">
        <f>ROUND((Товары[[#This Row],[IRP, Eur]]*$AT$1),-2)*(1+Товары[[#This Row],[Процент повышения РРЦ]])</f>
        <v>0</v>
      </c>
      <c r="AT427" s="48"/>
      <c r="AU427" s="50">
        <f>ROUND(Товары[[#This Row],[РРЦ финальная, руб.]]/$AT$1,2)</f>
        <v>0</v>
      </c>
      <c r="AV427" s="49" t="str">
        <f>IFERROR(Товары[[#This Row],[РРЦ, евро]]/Товары[[#This Row],[IRP, Eur]],"-")</f>
        <v>-</v>
      </c>
      <c r="AX427" s="48">
        <f>ROUND(Товары[[#This Row],[РРЦ финальная, руб.]]*(1-Товары[[#This Row],[Скидка DIY]]),2)</f>
        <v>0</v>
      </c>
    </row>
    <row r="428" spans="1:50" x14ac:dyDescent="0.25">
      <c r="A428" s="36">
        <v>426</v>
      </c>
      <c r="C428" s="36" t="s">
        <v>3</v>
      </c>
      <c r="D4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8" s="36" t="s">
        <v>233</v>
      </c>
      <c r="F4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8" s="38">
        <v>9032</v>
      </c>
      <c r="I428" s="37" t="s">
        <v>243</v>
      </c>
      <c r="J428" s="37">
        <v>2740</v>
      </c>
      <c r="K428" s="38">
        <v>901014101</v>
      </c>
      <c r="L428" s="37" t="s">
        <v>880</v>
      </c>
      <c r="O428" s="39" t="s">
        <v>1869</v>
      </c>
      <c r="AS428" s="48">
        <f>ROUND((Товары[[#This Row],[IRP, Eur]]*$AT$1),-2)*(1+Товары[[#This Row],[Процент повышения РРЦ]])</f>
        <v>0</v>
      </c>
      <c r="AT428" s="48"/>
      <c r="AU428" s="50">
        <f>ROUND(Товары[[#This Row],[РРЦ финальная, руб.]]/$AT$1,2)</f>
        <v>0</v>
      </c>
      <c r="AV428" s="49" t="str">
        <f>IFERROR(Товары[[#This Row],[РРЦ, евро]]/Товары[[#This Row],[IRP, Eur]],"-")</f>
        <v>-</v>
      </c>
      <c r="AX428" s="48">
        <f>ROUND(Товары[[#This Row],[РРЦ финальная, руб.]]*(1-Товары[[#This Row],[Скидка DIY]]),2)</f>
        <v>0</v>
      </c>
    </row>
    <row r="429" spans="1:50" x14ac:dyDescent="0.25">
      <c r="A429" s="36">
        <v>427</v>
      </c>
      <c r="C429" s="36" t="s">
        <v>3</v>
      </c>
      <c r="D4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9" s="36" t="s">
        <v>233</v>
      </c>
      <c r="F4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9" s="38">
        <v>9032</v>
      </c>
      <c r="I429" s="37" t="s">
        <v>243</v>
      </c>
      <c r="J429" s="37">
        <v>2742</v>
      </c>
      <c r="K429" s="38">
        <v>901014301</v>
      </c>
      <c r="L429" s="37" t="s">
        <v>881</v>
      </c>
      <c r="O429" s="39" t="s">
        <v>1870</v>
      </c>
      <c r="AS429" s="48">
        <f>ROUND((Товары[[#This Row],[IRP, Eur]]*$AT$1),-2)*(1+Товары[[#This Row],[Процент повышения РРЦ]])</f>
        <v>0</v>
      </c>
      <c r="AT429" s="48"/>
      <c r="AU429" s="50">
        <f>ROUND(Товары[[#This Row],[РРЦ финальная, руб.]]/$AT$1,2)</f>
        <v>0</v>
      </c>
      <c r="AV429" s="49" t="str">
        <f>IFERROR(Товары[[#This Row],[РРЦ, евро]]/Товары[[#This Row],[IRP, Eur]],"-")</f>
        <v>-</v>
      </c>
      <c r="AX429" s="48">
        <f>ROUND(Товары[[#This Row],[РРЦ финальная, руб.]]*(1-Товары[[#This Row],[Скидка DIY]]),2)</f>
        <v>0</v>
      </c>
    </row>
    <row r="430" spans="1:50" x14ac:dyDescent="0.25">
      <c r="A430" s="36">
        <v>428</v>
      </c>
      <c r="C430" s="36" t="s">
        <v>3</v>
      </c>
      <c r="D4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0" s="36" t="s">
        <v>233</v>
      </c>
      <c r="F4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0" s="38">
        <v>9032</v>
      </c>
      <c r="I430" s="37" t="s">
        <v>243</v>
      </c>
      <c r="J430" s="37">
        <v>2743</v>
      </c>
      <c r="K430" s="38">
        <v>901014401</v>
      </c>
      <c r="L430" s="37" t="s">
        <v>882</v>
      </c>
      <c r="O430" s="39" t="s">
        <v>1871</v>
      </c>
      <c r="AS430" s="48">
        <f>ROUND((Товары[[#This Row],[IRP, Eur]]*$AT$1),-2)*(1+Товары[[#This Row],[Процент повышения РРЦ]])</f>
        <v>0</v>
      </c>
      <c r="AT430" s="48"/>
      <c r="AU430" s="50">
        <f>ROUND(Товары[[#This Row],[РРЦ финальная, руб.]]/$AT$1,2)</f>
        <v>0</v>
      </c>
      <c r="AV430" s="49" t="str">
        <f>IFERROR(Товары[[#This Row],[РРЦ, евро]]/Товары[[#This Row],[IRP, Eur]],"-")</f>
        <v>-</v>
      </c>
      <c r="AX430" s="48">
        <f>ROUND(Товары[[#This Row],[РРЦ финальная, руб.]]*(1-Товары[[#This Row],[Скидка DIY]]),2)</f>
        <v>0</v>
      </c>
    </row>
    <row r="431" spans="1:50" x14ac:dyDescent="0.25">
      <c r="A431" s="36">
        <v>429</v>
      </c>
      <c r="C431" s="36" t="s">
        <v>3</v>
      </c>
      <c r="D4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1" s="36" t="s">
        <v>233</v>
      </c>
      <c r="F4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1" s="38">
        <v>9032</v>
      </c>
      <c r="I431" s="37" t="s">
        <v>287</v>
      </c>
      <c r="J431" s="37">
        <v>2722</v>
      </c>
      <c r="K431" s="38">
        <v>966408701</v>
      </c>
      <c r="L431" s="37" t="s">
        <v>883</v>
      </c>
      <c r="O431" s="39" t="s">
        <v>1872</v>
      </c>
      <c r="AS431" s="48">
        <f>ROUND((Товары[[#This Row],[IRP, Eur]]*$AT$1),-2)*(1+Товары[[#This Row],[Процент повышения РРЦ]])</f>
        <v>0</v>
      </c>
      <c r="AT431" s="48"/>
      <c r="AU431" s="50">
        <f>ROUND(Товары[[#This Row],[РРЦ финальная, руб.]]/$AT$1,2)</f>
        <v>0</v>
      </c>
      <c r="AV431" s="49" t="str">
        <f>IFERROR(Товары[[#This Row],[РРЦ, евро]]/Товары[[#This Row],[IRP, Eur]],"-")</f>
        <v>-</v>
      </c>
      <c r="AX431" s="48">
        <f>ROUND(Товары[[#This Row],[РРЦ финальная, руб.]]*(1-Товары[[#This Row],[Скидка DIY]]),2)</f>
        <v>0</v>
      </c>
    </row>
    <row r="432" spans="1:50" x14ac:dyDescent="0.25">
      <c r="A432" s="36">
        <v>430</v>
      </c>
      <c r="C432" s="36" t="s">
        <v>3</v>
      </c>
      <c r="D4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2" s="36" t="s">
        <v>233</v>
      </c>
      <c r="F4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2" s="38">
        <v>9032</v>
      </c>
      <c r="I432" s="37" t="s">
        <v>267</v>
      </c>
      <c r="J432" s="37">
        <v>1510</v>
      </c>
      <c r="K432" s="38">
        <v>900928901</v>
      </c>
      <c r="L432" s="37" t="s">
        <v>884</v>
      </c>
      <c r="M432" s="37" t="s">
        <v>1382</v>
      </c>
      <c r="O432" s="39" t="s">
        <v>1873</v>
      </c>
      <c r="AS432" s="48">
        <f>ROUND((Товары[[#This Row],[IRP, Eur]]*$AT$1),-2)*(1+Товары[[#This Row],[Процент повышения РРЦ]])</f>
        <v>0</v>
      </c>
      <c r="AT432" s="48"/>
      <c r="AU432" s="50">
        <f>ROUND(Товары[[#This Row],[РРЦ финальная, руб.]]/$AT$1,2)</f>
        <v>0</v>
      </c>
      <c r="AV432" s="49" t="str">
        <f>IFERROR(Товары[[#This Row],[РРЦ, евро]]/Товары[[#This Row],[IRP, Eur]],"-")</f>
        <v>-</v>
      </c>
      <c r="AX432" s="48">
        <f>ROUND(Товары[[#This Row],[РРЦ финальная, руб.]]*(1-Товары[[#This Row],[Скидка DIY]]),2)</f>
        <v>0</v>
      </c>
    </row>
    <row r="433" spans="1:50" x14ac:dyDescent="0.25">
      <c r="A433" s="36">
        <v>431</v>
      </c>
      <c r="C433" s="36" t="s">
        <v>3</v>
      </c>
      <c r="D4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3" s="36" t="s">
        <v>233</v>
      </c>
      <c r="F4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3" s="38">
        <v>9032</v>
      </c>
      <c r="I433" s="37" t="s">
        <v>276</v>
      </c>
      <c r="J433" s="37">
        <v>2724</v>
      </c>
      <c r="K433" s="38">
        <v>966408801</v>
      </c>
      <c r="L433" s="37" t="s">
        <v>885</v>
      </c>
      <c r="O433" s="39" t="s">
        <v>1874</v>
      </c>
      <c r="AS433" s="48">
        <f>ROUND((Товары[[#This Row],[IRP, Eur]]*$AT$1),-2)*(1+Товары[[#This Row],[Процент повышения РРЦ]])</f>
        <v>0</v>
      </c>
      <c r="AT433" s="48"/>
      <c r="AU433" s="50">
        <f>ROUND(Товары[[#This Row],[РРЦ финальная, руб.]]/$AT$1,2)</f>
        <v>0</v>
      </c>
      <c r="AV433" s="49" t="str">
        <f>IFERROR(Товары[[#This Row],[РРЦ, евро]]/Товары[[#This Row],[IRP, Eur]],"-")</f>
        <v>-</v>
      </c>
      <c r="AX433" s="48">
        <f>ROUND(Товары[[#This Row],[РРЦ финальная, руб.]]*(1-Товары[[#This Row],[Скидка DIY]]),2)</f>
        <v>0</v>
      </c>
    </row>
    <row r="434" spans="1:50" x14ac:dyDescent="0.25">
      <c r="A434" s="36">
        <v>432</v>
      </c>
      <c r="C434" s="36" t="s">
        <v>3</v>
      </c>
      <c r="D4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4" s="36" t="s">
        <v>233</v>
      </c>
      <c r="F4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4" s="38">
        <v>9032</v>
      </c>
      <c r="I434" s="37" t="s">
        <v>275</v>
      </c>
      <c r="J434" s="37">
        <v>2792</v>
      </c>
      <c r="K434" s="38">
        <v>901018501</v>
      </c>
      <c r="L434" s="37" t="s">
        <v>886</v>
      </c>
      <c r="O434" s="39" t="s">
        <v>1875</v>
      </c>
      <c r="AS434" s="48">
        <f>ROUND((Товары[[#This Row],[IRP, Eur]]*$AT$1),-2)*(1+Товары[[#This Row],[Процент повышения РРЦ]])</f>
        <v>0</v>
      </c>
      <c r="AT434" s="48"/>
      <c r="AU434" s="50">
        <f>ROUND(Товары[[#This Row],[РРЦ финальная, руб.]]/$AT$1,2)</f>
        <v>0</v>
      </c>
      <c r="AV434" s="49" t="str">
        <f>IFERROR(Товары[[#This Row],[РРЦ, евро]]/Товары[[#This Row],[IRP, Eur]],"-")</f>
        <v>-</v>
      </c>
      <c r="AX434" s="48">
        <f>ROUND(Товары[[#This Row],[РРЦ финальная, руб.]]*(1-Товары[[#This Row],[Скидка DIY]]),2)</f>
        <v>0</v>
      </c>
    </row>
    <row r="435" spans="1:50" x14ac:dyDescent="0.25">
      <c r="A435" s="36">
        <v>433</v>
      </c>
      <c r="C435" s="36" t="s">
        <v>3</v>
      </c>
      <c r="D4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5" s="36" t="s">
        <v>233</v>
      </c>
      <c r="F4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5" s="38">
        <v>9032</v>
      </c>
      <c r="I435" s="37" t="s">
        <v>275</v>
      </c>
      <c r="J435" s="37">
        <v>2793</v>
      </c>
      <c r="K435" s="38">
        <v>901018601</v>
      </c>
      <c r="L435" s="37" t="s">
        <v>887</v>
      </c>
      <c r="O435" s="39" t="s">
        <v>1876</v>
      </c>
      <c r="AS435" s="48">
        <f>ROUND((Товары[[#This Row],[IRP, Eur]]*$AT$1),-2)*(1+Товары[[#This Row],[Процент повышения РРЦ]])</f>
        <v>0</v>
      </c>
      <c r="AT435" s="48"/>
      <c r="AU435" s="50">
        <f>ROUND(Товары[[#This Row],[РРЦ финальная, руб.]]/$AT$1,2)</f>
        <v>0</v>
      </c>
      <c r="AV435" s="49" t="str">
        <f>IFERROR(Товары[[#This Row],[РРЦ, евро]]/Товары[[#This Row],[IRP, Eur]],"-")</f>
        <v>-</v>
      </c>
      <c r="AX435" s="48">
        <f>ROUND(Товары[[#This Row],[РРЦ финальная, руб.]]*(1-Товары[[#This Row],[Скидка DIY]]),2)</f>
        <v>0</v>
      </c>
    </row>
    <row r="436" spans="1:50" x14ac:dyDescent="0.25">
      <c r="A436" s="36">
        <v>434</v>
      </c>
      <c r="C436" s="36" t="s">
        <v>3</v>
      </c>
      <c r="D4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6" s="36" t="s">
        <v>233</v>
      </c>
      <c r="F4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6" s="38">
        <v>9032</v>
      </c>
      <c r="I436" s="37" t="s">
        <v>275</v>
      </c>
      <c r="J436" s="37">
        <v>2799</v>
      </c>
      <c r="K436" s="38">
        <v>901019601</v>
      </c>
      <c r="L436" s="37" t="s">
        <v>888</v>
      </c>
      <c r="O436" s="39" t="s">
        <v>1877</v>
      </c>
      <c r="AS436" s="48">
        <f>ROUND((Товары[[#This Row],[IRP, Eur]]*$AT$1),-2)*(1+Товары[[#This Row],[Процент повышения РРЦ]])</f>
        <v>0</v>
      </c>
      <c r="AT436" s="48"/>
      <c r="AU436" s="50">
        <f>ROUND(Товары[[#This Row],[РРЦ финальная, руб.]]/$AT$1,2)</f>
        <v>0</v>
      </c>
      <c r="AV436" s="49" t="str">
        <f>IFERROR(Товары[[#This Row],[РРЦ, евро]]/Товары[[#This Row],[IRP, Eur]],"-")</f>
        <v>-</v>
      </c>
      <c r="AX436" s="48">
        <f>ROUND(Товары[[#This Row],[РРЦ финальная, руб.]]*(1-Товары[[#This Row],[Скидка DIY]]),2)</f>
        <v>0</v>
      </c>
    </row>
    <row r="437" spans="1:50" x14ac:dyDescent="0.25">
      <c r="A437" s="36">
        <v>435</v>
      </c>
      <c r="C437" s="36" t="s">
        <v>3</v>
      </c>
      <c r="D4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7" s="36" t="s">
        <v>232</v>
      </c>
      <c r="F4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7" s="38">
        <v>9031</v>
      </c>
      <c r="I437" s="37" t="s">
        <v>288</v>
      </c>
      <c r="J437" s="37">
        <v>1169</v>
      </c>
      <c r="K437" s="38">
        <v>900897501</v>
      </c>
      <c r="L437" s="37" t="s">
        <v>889</v>
      </c>
      <c r="M437" s="37" t="s">
        <v>1383</v>
      </c>
      <c r="O437" s="39" t="s">
        <v>1878</v>
      </c>
      <c r="AS437" s="48">
        <f>ROUND((Товары[[#This Row],[IRP, Eur]]*$AT$1),-2)*(1+Товары[[#This Row],[Процент повышения РРЦ]])</f>
        <v>0</v>
      </c>
      <c r="AT437" s="48"/>
      <c r="AU437" s="50">
        <f>ROUND(Товары[[#This Row],[РРЦ финальная, руб.]]/$AT$1,2)</f>
        <v>0</v>
      </c>
      <c r="AV437" s="49" t="str">
        <f>IFERROR(Товары[[#This Row],[РРЦ, евро]]/Товары[[#This Row],[IRP, Eur]],"-")</f>
        <v>-</v>
      </c>
      <c r="AX437" s="48">
        <f>ROUND(Товары[[#This Row],[РРЦ финальная, руб.]]*(1-Товары[[#This Row],[Скидка DIY]]),2)</f>
        <v>0</v>
      </c>
    </row>
    <row r="438" spans="1:50" x14ac:dyDescent="0.25">
      <c r="A438" s="36">
        <v>436</v>
      </c>
      <c r="C438" s="36" t="s">
        <v>3</v>
      </c>
      <c r="D4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8" s="36" t="s">
        <v>232</v>
      </c>
      <c r="F4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8" s="38">
        <v>9031</v>
      </c>
      <c r="I438" s="37" t="s">
        <v>289</v>
      </c>
      <c r="J438" s="37">
        <v>1890</v>
      </c>
      <c r="K438" s="38">
        <v>967927401</v>
      </c>
      <c r="L438" s="37" t="s">
        <v>890</v>
      </c>
      <c r="M438" s="37" t="s">
        <v>1384</v>
      </c>
      <c r="O438" s="39" t="s">
        <v>1879</v>
      </c>
      <c r="AS438" s="48">
        <f>ROUND((Товары[[#This Row],[IRP, Eur]]*$AT$1),-2)*(1+Товары[[#This Row],[Процент повышения РРЦ]])</f>
        <v>0</v>
      </c>
      <c r="AT438" s="48"/>
      <c r="AU438" s="50">
        <f>ROUND(Товары[[#This Row],[РРЦ финальная, руб.]]/$AT$1,2)</f>
        <v>0</v>
      </c>
      <c r="AV438" s="49" t="str">
        <f>IFERROR(Товары[[#This Row],[РРЦ, евро]]/Товары[[#This Row],[IRP, Eur]],"-")</f>
        <v>-</v>
      </c>
      <c r="AX438" s="48">
        <f>ROUND(Товары[[#This Row],[РРЦ финальная, руб.]]*(1-Товары[[#This Row],[Скидка DIY]]),2)</f>
        <v>0</v>
      </c>
    </row>
    <row r="439" spans="1:50" x14ac:dyDescent="0.25">
      <c r="A439" s="36">
        <v>437</v>
      </c>
      <c r="C439" s="36" t="s">
        <v>3</v>
      </c>
      <c r="D4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9" s="36" t="s">
        <v>232</v>
      </c>
      <c r="F4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9" s="38">
        <v>9031</v>
      </c>
      <c r="I439" s="37" t="s">
        <v>289</v>
      </c>
      <c r="J439" s="37">
        <v>1891</v>
      </c>
      <c r="K439" s="38">
        <v>967927701</v>
      </c>
      <c r="L439" s="37" t="s">
        <v>891</v>
      </c>
      <c r="M439" s="37" t="s">
        <v>1385</v>
      </c>
      <c r="O439" s="39" t="s">
        <v>1880</v>
      </c>
      <c r="AS439" s="48">
        <f>ROUND((Товары[[#This Row],[IRP, Eur]]*$AT$1),-2)*(1+Товары[[#This Row],[Процент повышения РРЦ]])</f>
        <v>0</v>
      </c>
      <c r="AT439" s="48"/>
      <c r="AU439" s="50">
        <f>ROUND(Товары[[#This Row],[РРЦ финальная, руб.]]/$AT$1,2)</f>
        <v>0</v>
      </c>
      <c r="AV439" s="49" t="str">
        <f>IFERROR(Товары[[#This Row],[РРЦ, евро]]/Товары[[#This Row],[IRP, Eur]],"-")</f>
        <v>-</v>
      </c>
      <c r="AX439" s="48">
        <f>ROUND(Товары[[#This Row],[РРЦ финальная, руб.]]*(1-Товары[[#This Row],[Скидка DIY]]),2)</f>
        <v>0</v>
      </c>
    </row>
    <row r="440" spans="1:50" x14ac:dyDescent="0.25">
      <c r="A440" s="36">
        <v>438</v>
      </c>
      <c r="C440" s="36" t="s">
        <v>3</v>
      </c>
      <c r="D4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0" s="36" t="s">
        <v>232</v>
      </c>
      <c r="F4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0" s="38">
        <v>9031</v>
      </c>
      <c r="I440" s="37" t="s">
        <v>289</v>
      </c>
      <c r="J440" s="37">
        <v>1892</v>
      </c>
      <c r="K440" s="38">
        <v>967928001</v>
      </c>
      <c r="L440" s="37" t="s">
        <v>892</v>
      </c>
      <c r="M440" s="37" t="s">
        <v>1386</v>
      </c>
      <c r="O440" s="39" t="s">
        <v>1881</v>
      </c>
      <c r="AS440" s="48">
        <f>ROUND((Товары[[#This Row],[IRP, Eur]]*$AT$1),-2)*(1+Товары[[#This Row],[Процент повышения РРЦ]])</f>
        <v>0</v>
      </c>
      <c r="AT440" s="48"/>
      <c r="AU440" s="50">
        <f>ROUND(Товары[[#This Row],[РРЦ финальная, руб.]]/$AT$1,2)</f>
        <v>0</v>
      </c>
      <c r="AV440" s="49" t="str">
        <f>IFERROR(Товары[[#This Row],[РРЦ, евро]]/Товары[[#This Row],[IRP, Eur]],"-")</f>
        <v>-</v>
      </c>
      <c r="AX440" s="48">
        <f>ROUND(Товары[[#This Row],[РРЦ финальная, руб.]]*(1-Товары[[#This Row],[Скидка DIY]]),2)</f>
        <v>0</v>
      </c>
    </row>
    <row r="441" spans="1:50" x14ac:dyDescent="0.25">
      <c r="A441" s="36">
        <v>439</v>
      </c>
      <c r="C441" s="36" t="s">
        <v>3</v>
      </c>
      <c r="D4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1" s="36" t="s">
        <v>232</v>
      </c>
      <c r="F4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1" s="38">
        <v>9031</v>
      </c>
      <c r="I441" s="37" t="s">
        <v>289</v>
      </c>
      <c r="J441" s="37">
        <v>1874</v>
      </c>
      <c r="K441" s="38">
        <v>966769601</v>
      </c>
      <c r="L441" s="37" t="s">
        <v>893</v>
      </c>
      <c r="O441" s="39" t="s">
        <v>1882</v>
      </c>
      <c r="AS441" s="48">
        <f>ROUND((Товары[[#This Row],[IRP, Eur]]*$AT$1),-2)*(1+Товары[[#This Row],[Процент повышения РРЦ]])</f>
        <v>0</v>
      </c>
      <c r="AT441" s="48"/>
      <c r="AU441" s="50">
        <f>ROUND(Товары[[#This Row],[РРЦ финальная, руб.]]/$AT$1,2)</f>
        <v>0</v>
      </c>
      <c r="AV441" s="49" t="str">
        <f>IFERROR(Товары[[#This Row],[РРЦ, евро]]/Товары[[#This Row],[IRP, Eur]],"-")</f>
        <v>-</v>
      </c>
      <c r="AX441" s="48">
        <f>ROUND(Товары[[#This Row],[РРЦ финальная, руб.]]*(1-Товары[[#This Row],[Скидка DIY]]),2)</f>
        <v>0</v>
      </c>
    </row>
    <row r="442" spans="1:50" x14ac:dyDescent="0.25">
      <c r="A442" s="36">
        <v>440</v>
      </c>
      <c r="C442" s="36" t="s">
        <v>3</v>
      </c>
      <c r="D4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2" s="36" t="s">
        <v>232</v>
      </c>
      <c r="F4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2" s="38">
        <v>9031</v>
      </c>
      <c r="K442" s="38">
        <v>970480501</v>
      </c>
      <c r="L442" s="37" t="s">
        <v>894</v>
      </c>
      <c r="M442" s="37" t="s">
        <v>1387</v>
      </c>
      <c r="O442" s="39" t="s">
        <v>1883</v>
      </c>
      <c r="AS442" s="48">
        <f>ROUND((Товары[[#This Row],[IRP, Eur]]*$AT$1),-2)*(1+Товары[[#This Row],[Процент повышения РРЦ]])</f>
        <v>0</v>
      </c>
      <c r="AT442" s="48"/>
      <c r="AU442" s="50">
        <f>ROUND(Товары[[#This Row],[РРЦ финальная, руб.]]/$AT$1,2)</f>
        <v>0</v>
      </c>
      <c r="AV442" s="49" t="str">
        <f>IFERROR(Товары[[#This Row],[РРЦ, евро]]/Товары[[#This Row],[IRP, Eur]],"-")</f>
        <v>-</v>
      </c>
      <c r="AX442" s="48">
        <f>ROUND(Товары[[#This Row],[РРЦ финальная, руб.]]*(1-Товары[[#This Row],[Скидка DIY]]),2)</f>
        <v>0</v>
      </c>
    </row>
    <row r="443" spans="1:50" x14ac:dyDescent="0.25">
      <c r="A443" s="36">
        <v>441</v>
      </c>
      <c r="C443" s="36" t="s">
        <v>3</v>
      </c>
      <c r="D4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3" s="36" t="s">
        <v>232</v>
      </c>
      <c r="F4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3" s="38">
        <v>9031</v>
      </c>
      <c r="K443" s="38">
        <v>967999001</v>
      </c>
      <c r="L443" s="37" t="s">
        <v>895</v>
      </c>
      <c r="O443" s="39" t="s">
        <v>1884</v>
      </c>
      <c r="AS443" s="48">
        <f>ROUND((Товары[[#This Row],[IRP, Eur]]*$AT$1),-2)*(1+Товары[[#This Row],[Процент повышения РРЦ]])</f>
        <v>0</v>
      </c>
      <c r="AT443" s="48"/>
      <c r="AU443" s="50">
        <f>ROUND(Товары[[#This Row],[РРЦ финальная, руб.]]/$AT$1,2)</f>
        <v>0</v>
      </c>
      <c r="AV443" s="49" t="str">
        <f>IFERROR(Товары[[#This Row],[РРЦ, евро]]/Товары[[#This Row],[IRP, Eur]],"-")</f>
        <v>-</v>
      </c>
      <c r="AX443" s="48">
        <f>ROUND(Товары[[#This Row],[РРЦ финальная, руб.]]*(1-Товары[[#This Row],[Скидка DIY]]),2)</f>
        <v>0</v>
      </c>
    </row>
    <row r="444" spans="1:50" x14ac:dyDescent="0.25">
      <c r="A444" s="36">
        <v>442</v>
      </c>
      <c r="C444" s="36" t="s">
        <v>3</v>
      </c>
      <c r="D4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4" s="36" t="s">
        <v>232</v>
      </c>
      <c r="F4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4" s="38">
        <v>9031</v>
      </c>
      <c r="K444" s="38">
        <v>970443301</v>
      </c>
      <c r="L444" s="37" t="s">
        <v>896</v>
      </c>
      <c r="O444" s="39" t="s">
        <v>1885</v>
      </c>
      <c r="AS444" s="48">
        <f>ROUND((Товары[[#This Row],[IRP, Eur]]*$AT$1),-2)*(1+Товары[[#This Row],[Процент повышения РРЦ]])</f>
        <v>0</v>
      </c>
      <c r="AT444" s="48"/>
      <c r="AU444" s="50">
        <f>ROUND(Товары[[#This Row],[РРЦ финальная, руб.]]/$AT$1,2)</f>
        <v>0</v>
      </c>
      <c r="AV444" s="49" t="str">
        <f>IFERROR(Товары[[#This Row],[РРЦ, евро]]/Товары[[#This Row],[IRP, Eur]],"-")</f>
        <v>-</v>
      </c>
      <c r="AX444" s="48">
        <f>ROUND(Товары[[#This Row],[РРЦ финальная, руб.]]*(1-Товары[[#This Row],[Скидка DIY]]),2)</f>
        <v>0</v>
      </c>
    </row>
    <row r="445" spans="1:50" x14ac:dyDescent="0.25">
      <c r="A445" s="36">
        <v>443</v>
      </c>
      <c r="C445" s="36" t="s">
        <v>3</v>
      </c>
      <c r="D4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5" s="36" t="s">
        <v>232</v>
      </c>
      <c r="F4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5" s="38">
        <v>9031</v>
      </c>
      <c r="K445" s="38">
        <v>900898601</v>
      </c>
      <c r="L445" s="37" t="s">
        <v>897</v>
      </c>
      <c r="O445" s="39" t="s">
        <v>1886</v>
      </c>
      <c r="AS445" s="48">
        <f>ROUND((Товары[[#This Row],[IRP, Eur]]*$AT$1),-2)*(1+Товары[[#This Row],[Процент повышения РРЦ]])</f>
        <v>0</v>
      </c>
      <c r="AT445" s="48"/>
      <c r="AU445" s="50">
        <f>ROUND(Товары[[#This Row],[РРЦ финальная, руб.]]/$AT$1,2)</f>
        <v>0</v>
      </c>
      <c r="AV445" s="49" t="str">
        <f>IFERROR(Товары[[#This Row],[РРЦ, евро]]/Товары[[#This Row],[IRP, Eur]],"-")</f>
        <v>-</v>
      </c>
      <c r="AX445" s="48">
        <f>ROUND(Товары[[#This Row],[РРЦ финальная, руб.]]*(1-Товары[[#This Row],[Скидка DIY]]),2)</f>
        <v>0</v>
      </c>
    </row>
    <row r="446" spans="1:50" x14ac:dyDescent="0.25">
      <c r="A446" s="36">
        <v>444</v>
      </c>
      <c r="C446" s="36" t="s">
        <v>3</v>
      </c>
      <c r="D4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6" s="36" t="s">
        <v>232</v>
      </c>
      <c r="F4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6" s="38">
        <v>9031</v>
      </c>
      <c r="K446" s="38">
        <v>967926801</v>
      </c>
      <c r="L446" s="37" t="s">
        <v>898</v>
      </c>
      <c r="M446" s="37" t="s">
        <v>1388</v>
      </c>
      <c r="O446" s="39" t="s">
        <v>1887</v>
      </c>
      <c r="AS446" s="48">
        <f>ROUND((Товары[[#This Row],[IRP, Eur]]*$AT$1),-2)*(1+Товары[[#This Row],[Процент повышения РРЦ]])</f>
        <v>0</v>
      </c>
      <c r="AT446" s="48"/>
      <c r="AU446" s="50">
        <f>ROUND(Товары[[#This Row],[РРЦ финальная, руб.]]/$AT$1,2)</f>
        <v>0</v>
      </c>
      <c r="AV446" s="49" t="str">
        <f>IFERROR(Товары[[#This Row],[РРЦ, евро]]/Товары[[#This Row],[IRP, Eur]],"-")</f>
        <v>-</v>
      </c>
      <c r="AX446" s="48">
        <f>ROUND(Товары[[#This Row],[РРЦ финальная, руб.]]*(1-Товары[[#This Row],[Скидка DIY]]),2)</f>
        <v>0</v>
      </c>
    </row>
    <row r="447" spans="1:50" x14ac:dyDescent="0.25">
      <c r="A447" s="36">
        <v>445</v>
      </c>
      <c r="C447" s="36" t="s">
        <v>3</v>
      </c>
      <c r="D4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7" s="36" t="s">
        <v>232</v>
      </c>
      <c r="F4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7" s="38">
        <v>9031</v>
      </c>
      <c r="K447" s="38">
        <v>900898301</v>
      </c>
      <c r="L447" s="37" t="s">
        <v>899</v>
      </c>
      <c r="O447" s="39" t="s">
        <v>1888</v>
      </c>
      <c r="AS447" s="48">
        <f>ROUND((Товары[[#This Row],[IRP, Eur]]*$AT$1),-2)*(1+Товары[[#This Row],[Процент повышения РРЦ]])</f>
        <v>0</v>
      </c>
      <c r="AT447" s="48"/>
      <c r="AU447" s="50">
        <f>ROUND(Товары[[#This Row],[РРЦ финальная, руб.]]/$AT$1,2)</f>
        <v>0</v>
      </c>
      <c r="AV447" s="49" t="str">
        <f>IFERROR(Товары[[#This Row],[РРЦ, евро]]/Товары[[#This Row],[IRP, Eur]],"-")</f>
        <v>-</v>
      </c>
      <c r="AX447" s="48">
        <f>ROUND(Товары[[#This Row],[РРЦ финальная, руб.]]*(1-Товары[[#This Row],[Скидка DIY]]),2)</f>
        <v>0</v>
      </c>
    </row>
    <row r="448" spans="1:50" x14ac:dyDescent="0.25">
      <c r="A448" s="36">
        <v>446</v>
      </c>
      <c r="C448" s="36" t="s">
        <v>3</v>
      </c>
      <c r="D4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8" s="36" t="s">
        <v>232</v>
      </c>
      <c r="F4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8" s="38">
        <v>9031</v>
      </c>
      <c r="K448" s="38">
        <v>967926901</v>
      </c>
      <c r="L448" s="37" t="s">
        <v>900</v>
      </c>
      <c r="M448" s="37" t="s">
        <v>1389</v>
      </c>
      <c r="O448" s="39" t="s">
        <v>1889</v>
      </c>
      <c r="AS448" s="48">
        <f>ROUND((Товары[[#This Row],[IRP, Eur]]*$AT$1),-2)*(1+Товары[[#This Row],[Процент повышения РРЦ]])</f>
        <v>0</v>
      </c>
      <c r="AT448" s="48"/>
      <c r="AU448" s="50">
        <f>ROUND(Товары[[#This Row],[РРЦ финальная, руб.]]/$AT$1,2)</f>
        <v>0</v>
      </c>
      <c r="AV448" s="49" t="str">
        <f>IFERROR(Товары[[#This Row],[РРЦ, евро]]/Товары[[#This Row],[IRP, Eur]],"-")</f>
        <v>-</v>
      </c>
      <c r="AX448" s="48">
        <f>ROUND(Товары[[#This Row],[РРЦ финальная, руб.]]*(1-Товары[[#This Row],[Скидка DIY]]),2)</f>
        <v>0</v>
      </c>
    </row>
    <row r="449" spans="1:50" x14ac:dyDescent="0.25">
      <c r="A449" s="36">
        <v>447</v>
      </c>
      <c r="C449" s="36" t="s">
        <v>3</v>
      </c>
      <c r="D4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9" s="36" t="s">
        <v>232</v>
      </c>
      <c r="F4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9" s="38">
        <v>9031</v>
      </c>
      <c r="I449" s="37" t="s">
        <v>290</v>
      </c>
      <c r="J449" s="37">
        <v>1197</v>
      </c>
      <c r="K449" s="38">
        <v>966769301</v>
      </c>
      <c r="L449" s="37" t="s">
        <v>901</v>
      </c>
      <c r="O449" s="39" t="s">
        <v>1890</v>
      </c>
      <c r="AS449" s="48">
        <f>ROUND((Товары[[#This Row],[IRP, Eur]]*$AT$1),-2)*(1+Товары[[#This Row],[Процент повышения РРЦ]])</f>
        <v>0</v>
      </c>
      <c r="AT449" s="48"/>
      <c r="AU449" s="50">
        <f>ROUND(Товары[[#This Row],[РРЦ финальная, руб.]]/$AT$1,2)</f>
        <v>0</v>
      </c>
      <c r="AV449" s="49" t="str">
        <f>IFERROR(Товары[[#This Row],[РРЦ, евро]]/Товары[[#This Row],[IRP, Eur]],"-")</f>
        <v>-</v>
      </c>
      <c r="AX449" s="48">
        <f>ROUND(Товары[[#This Row],[РРЦ финальная, руб.]]*(1-Товары[[#This Row],[Скидка DIY]]),2)</f>
        <v>0</v>
      </c>
    </row>
    <row r="450" spans="1:50" x14ac:dyDescent="0.25">
      <c r="A450" s="36">
        <v>448</v>
      </c>
      <c r="C450" s="36" t="s">
        <v>3</v>
      </c>
      <c r="D4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0" s="36" t="s">
        <v>232</v>
      </c>
      <c r="F4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0" s="38">
        <v>9031</v>
      </c>
      <c r="I450" s="37" t="s">
        <v>291</v>
      </c>
      <c r="J450" s="37">
        <v>1273</v>
      </c>
      <c r="K450" s="38">
        <v>900903401</v>
      </c>
      <c r="L450" s="37" t="s">
        <v>902</v>
      </c>
      <c r="O450" s="39" t="s">
        <v>1891</v>
      </c>
      <c r="AS450" s="48">
        <f>ROUND((Товары[[#This Row],[IRP, Eur]]*$AT$1),-2)*(1+Товары[[#This Row],[Процент повышения РРЦ]])</f>
        <v>0</v>
      </c>
      <c r="AT450" s="48"/>
      <c r="AU450" s="50">
        <f>ROUND(Товары[[#This Row],[РРЦ финальная, руб.]]/$AT$1,2)</f>
        <v>0</v>
      </c>
      <c r="AV450" s="49" t="str">
        <f>IFERROR(Товары[[#This Row],[РРЦ, евро]]/Товары[[#This Row],[IRP, Eur]],"-")</f>
        <v>-</v>
      </c>
      <c r="AX450" s="48">
        <f>ROUND(Товары[[#This Row],[РРЦ финальная, руб.]]*(1-Товары[[#This Row],[Скидка DIY]]),2)</f>
        <v>0</v>
      </c>
    </row>
    <row r="451" spans="1:50" x14ac:dyDescent="0.25">
      <c r="A451" s="36">
        <v>449</v>
      </c>
      <c r="C451" s="36" t="s">
        <v>3</v>
      </c>
      <c r="D4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1" s="36" t="s">
        <v>232</v>
      </c>
      <c r="F4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1" s="38">
        <v>9031</v>
      </c>
      <c r="I451" s="37" t="s">
        <v>291</v>
      </c>
      <c r="J451" s="37">
        <v>1242</v>
      </c>
      <c r="K451" s="38">
        <v>900901101</v>
      </c>
      <c r="L451" s="37" t="s">
        <v>903</v>
      </c>
      <c r="M451" s="37" t="s">
        <v>1390</v>
      </c>
      <c r="O451" s="39" t="s">
        <v>1892</v>
      </c>
      <c r="AS451" s="48">
        <f>ROUND((Товары[[#This Row],[IRP, Eur]]*$AT$1),-2)*(1+Товары[[#This Row],[Процент повышения РРЦ]])</f>
        <v>0</v>
      </c>
      <c r="AT451" s="48"/>
      <c r="AU451" s="50">
        <f>ROUND(Товары[[#This Row],[РРЦ финальная, руб.]]/$AT$1,2)</f>
        <v>0</v>
      </c>
      <c r="AV451" s="49" t="str">
        <f>IFERROR(Товары[[#This Row],[РРЦ, евро]]/Товары[[#This Row],[IRP, Eur]],"-")</f>
        <v>-</v>
      </c>
      <c r="AX451" s="48">
        <f>ROUND(Товары[[#This Row],[РРЦ финальная, руб.]]*(1-Товары[[#This Row],[Скидка DIY]]),2)</f>
        <v>0</v>
      </c>
    </row>
    <row r="452" spans="1:50" x14ac:dyDescent="0.25">
      <c r="A452" s="36">
        <v>450</v>
      </c>
      <c r="C452" s="36" t="s">
        <v>3</v>
      </c>
      <c r="D4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2" s="36" t="s">
        <v>232</v>
      </c>
      <c r="F4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2" s="38">
        <v>9031</v>
      </c>
      <c r="I452" s="37" t="s">
        <v>291</v>
      </c>
      <c r="J452" s="37">
        <v>1283</v>
      </c>
      <c r="K452" s="38">
        <v>966647201</v>
      </c>
      <c r="L452" s="37" t="s">
        <v>904</v>
      </c>
      <c r="O452" s="39" t="s">
        <v>1893</v>
      </c>
      <c r="AS452" s="48">
        <f>ROUND((Товары[[#This Row],[IRP, Eur]]*$AT$1),-2)*(1+Товары[[#This Row],[Процент повышения РРЦ]])</f>
        <v>0</v>
      </c>
      <c r="AT452" s="48"/>
      <c r="AU452" s="50">
        <f>ROUND(Товары[[#This Row],[РРЦ финальная, руб.]]/$AT$1,2)</f>
        <v>0</v>
      </c>
      <c r="AV452" s="49" t="str">
        <f>IFERROR(Товары[[#This Row],[РРЦ, евро]]/Товары[[#This Row],[IRP, Eur]],"-")</f>
        <v>-</v>
      </c>
      <c r="AX452" s="48">
        <f>ROUND(Товары[[#This Row],[РРЦ финальная, руб.]]*(1-Товары[[#This Row],[Скидка DIY]]),2)</f>
        <v>0</v>
      </c>
    </row>
    <row r="453" spans="1:50" x14ac:dyDescent="0.25">
      <c r="A453" s="36">
        <v>451</v>
      </c>
      <c r="C453" s="36" t="s">
        <v>3</v>
      </c>
      <c r="D4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3" s="36" t="s">
        <v>232</v>
      </c>
      <c r="F4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3" s="38">
        <v>9031</v>
      </c>
      <c r="I453" s="37" t="s">
        <v>291</v>
      </c>
      <c r="J453" s="37">
        <v>1278</v>
      </c>
      <c r="K453" s="38">
        <v>900904201</v>
      </c>
      <c r="L453" s="37" t="s">
        <v>905</v>
      </c>
      <c r="O453" s="39" t="s">
        <v>1894</v>
      </c>
      <c r="AS453" s="48">
        <f>ROUND((Товары[[#This Row],[IRP, Eur]]*$AT$1),-2)*(1+Товары[[#This Row],[Процент повышения РРЦ]])</f>
        <v>0</v>
      </c>
      <c r="AT453" s="48"/>
      <c r="AU453" s="50">
        <f>ROUND(Товары[[#This Row],[РРЦ финальная, руб.]]/$AT$1,2)</f>
        <v>0</v>
      </c>
      <c r="AV453" s="49" t="str">
        <f>IFERROR(Товары[[#This Row],[РРЦ, евро]]/Товары[[#This Row],[IRP, Eur]],"-")</f>
        <v>-</v>
      </c>
      <c r="AX453" s="48">
        <f>ROUND(Товары[[#This Row],[РРЦ финальная, руб.]]*(1-Товары[[#This Row],[Скидка DIY]]),2)</f>
        <v>0</v>
      </c>
    </row>
    <row r="454" spans="1:50" x14ac:dyDescent="0.25">
      <c r="A454" s="36">
        <v>452</v>
      </c>
      <c r="C454" s="36" t="s">
        <v>3</v>
      </c>
      <c r="D4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4" s="36" t="s">
        <v>232</v>
      </c>
      <c r="F4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4" s="38">
        <v>9031</v>
      </c>
      <c r="I454" s="37" t="s">
        <v>291</v>
      </c>
      <c r="J454" s="37">
        <v>1251</v>
      </c>
      <c r="K454" s="38">
        <v>900902101</v>
      </c>
      <c r="L454" s="37" t="s">
        <v>906</v>
      </c>
      <c r="O454" s="39" t="s">
        <v>1895</v>
      </c>
      <c r="AS454" s="48">
        <f>ROUND((Товары[[#This Row],[IRP, Eur]]*$AT$1),-2)*(1+Товары[[#This Row],[Процент повышения РРЦ]])</f>
        <v>0</v>
      </c>
      <c r="AT454" s="48"/>
      <c r="AU454" s="50">
        <f>ROUND(Товары[[#This Row],[РРЦ финальная, руб.]]/$AT$1,2)</f>
        <v>0</v>
      </c>
      <c r="AV454" s="49" t="str">
        <f>IFERROR(Товары[[#This Row],[РРЦ, евро]]/Товары[[#This Row],[IRP, Eur]],"-")</f>
        <v>-</v>
      </c>
      <c r="AX454" s="48">
        <f>ROUND(Товары[[#This Row],[РРЦ финальная, руб.]]*(1-Товары[[#This Row],[Скидка DIY]]),2)</f>
        <v>0</v>
      </c>
    </row>
    <row r="455" spans="1:50" x14ac:dyDescent="0.25">
      <c r="A455" s="36">
        <v>453</v>
      </c>
      <c r="C455" s="36" t="s">
        <v>3</v>
      </c>
      <c r="D4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5" s="36" t="s">
        <v>232</v>
      </c>
      <c r="F4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5" s="38">
        <v>9031</v>
      </c>
      <c r="K455" s="38">
        <v>970480701</v>
      </c>
      <c r="L455" s="37" t="s">
        <v>907</v>
      </c>
      <c r="M455" s="37" t="s">
        <v>1391</v>
      </c>
      <c r="O455" s="39" t="s">
        <v>1896</v>
      </c>
      <c r="AS455" s="48">
        <f>ROUND((Товары[[#This Row],[IRP, Eur]]*$AT$1),-2)*(1+Товары[[#This Row],[Процент повышения РРЦ]])</f>
        <v>0</v>
      </c>
      <c r="AT455" s="48"/>
      <c r="AU455" s="50">
        <f>ROUND(Товары[[#This Row],[РРЦ финальная, руб.]]/$AT$1,2)</f>
        <v>0</v>
      </c>
      <c r="AV455" s="49" t="str">
        <f>IFERROR(Товары[[#This Row],[РРЦ, евро]]/Товары[[#This Row],[IRP, Eur]],"-")</f>
        <v>-</v>
      </c>
      <c r="AX455" s="48">
        <f>ROUND(Товары[[#This Row],[РРЦ финальная, руб.]]*(1-Товары[[#This Row],[Скидка DIY]]),2)</f>
        <v>0</v>
      </c>
    </row>
    <row r="456" spans="1:50" x14ac:dyDescent="0.25">
      <c r="A456" s="36">
        <v>454</v>
      </c>
      <c r="C456" s="36" t="s">
        <v>3</v>
      </c>
      <c r="D4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6" s="36" t="s">
        <v>232</v>
      </c>
      <c r="F4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6" s="38">
        <v>9031</v>
      </c>
      <c r="I456" s="37" t="s">
        <v>291</v>
      </c>
      <c r="J456" s="37">
        <v>1254</v>
      </c>
      <c r="K456" s="38">
        <v>900902601</v>
      </c>
      <c r="L456" s="37" t="s">
        <v>908</v>
      </c>
      <c r="O456" s="39" t="s">
        <v>1897</v>
      </c>
      <c r="AS456" s="48">
        <f>ROUND((Товары[[#This Row],[IRP, Eur]]*$AT$1),-2)*(1+Товары[[#This Row],[Процент повышения РРЦ]])</f>
        <v>0</v>
      </c>
      <c r="AT456" s="48"/>
      <c r="AU456" s="50">
        <f>ROUND(Товары[[#This Row],[РРЦ финальная, руб.]]/$AT$1,2)</f>
        <v>0</v>
      </c>
      <c r="AV456" s="49" t="str">
        <f>IFERROR(Товары[[#This Row],[РРЦ, евро]]/Товары[[#This Row],[IRP, Eur]],"-")</f>
        <v>-</v>
      </c>
      <c r="AX456" s="48">
        <f>ROUND(Товары[[#This Row],[РРЦ финальная, руб.]]*(1-Товары[[#This Row],[Скидка DIY]]),2)</f>
        <v>0</v>
      </c>
    </row>
    <row r="457" spans="1:50" x14ac:dyDescent="0.25">
      <c r="A457" s="36">
        <v>455</v>
      </c>
      <c r="C457" s="36" t="s">
        <v>3</v>
      </c>
      <c r="D4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7" s="36" t="s">
        <v>232</v>
      </c>
      <c r="F4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7" s="38">
        <v>9031</v>
      </c>
      <c r="I457" s="37" t="s">
        <v>291</v>
      </c>
      <c r="J457" s="37">
        <v>1255</v>
      </c>
      <c r="K457" s="38">
        <v>900902801</v>
      </c>
      <c r="L457" s="37" t="s">
        <v>909</v>
      </c>
      <c r="O457" s="39" t="s">
        <v>1898</v>
      </c>
      <c r="AS457" s="48">
        <f>ROUND((Товары[[#This Row],[IRP, Eur]]*$AT$1),-2)*(1+Товары[[#This Row],[Процент повышения РРЦ]])</f>
        <v>0</v>
      </c>
      <c r="AT457" s="48"/>
      <c r="AU457" s="50">
        <f>ROUND(Товары[[#This Row],[РРЦ финальная, руб.]]/$AT$1,2)</f>
        <v>0</v>
      </c>
      <c r="AV457" s="49" t="str">
        <f>IFERROR(Товары[[#This Row],[РРЦ, евро]]/Товары[[#This Row],[IRP, Eur]],"-")</f>
        <v>-</v>
      </c>
      <c r="AX457" s="48">
        <f>ROUND(Товары[[#This Row],[РРЦ финальная, руб.]]*(1-Товары[[#This Row],[Скидка DIY]]),2)</f>
        <v>0</v>
      </c>
    </row>
    <row r="458" spans="1:50" x14ac:dyDescent="0.25">
      <c r="A458" s="36">
        <v>456</v>
      </c>
      <c r="C458" s="36" t="s">
        <v>3</v>
      </c>
      <c r="D4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8" s="36" t="s">
        <v>232</v>
      </c>
      <c r="F4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8" s="38">
        <v>9031</v>
      </c>
      <c r="K458" s="38">
        <v>970480601</v>
      </c>
      <c r="L458" s="37" t="s">
        <v>910</v>
      </c>
      <c r="M458" s="37" t="s">
        <v>1387</v>
      </c>
      <c r="O458" s="39" t="s">
        <v>1899</v>
      </c>
      <c r="AS458" s="48">
        <f>ROUND((Товары[[#This Row],[IRP, Eur]]*$AT$1),-2)*(1+Товары[[#This Row],[Процент повышения РРЦ]])</f>
        <v>0</v>
      </c>
      <c r="AT458" s="48"/>
      <c r="AU458" s="50">
        <f>ROUND(Товары[[#This Row],[РРЦ финальная, руб.]]/$AT$1,2)</f>
        <v>0</v>
      </c>
      <c r="AV458" s="49" t="str">
        <f>IFERROR(Товары[[#This Row],[РРЦ, евро]]/Товары[[#This Row],[IRP, Eur]],"-")</f>
        <v>-</v>
      </c>
      <c r="AX458" s="48">
        <f>ROUND(Товары[[#This Row],[РРЦ финальная, руб.]]*(1-Товары[[#This Row],[Скидка DIY]]),2)</f>
        <v>0</v>
      </c>
    </row>
    <row r="459" spans="1:50" x14ac:dyDescent="0.25">
      <c r="A459" s="36">
        <v>457</v>
      </c>
      <c r="C459" s="36" t="s">
        <v>3</v>
      </c>
      <c r="D4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9" s="36" t="s">
        <v>232</v>
      </c>
      <c r="F4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9" s="38">
        <v>9031</v>
      </c>
      <c r="I459" s="37" t="s">
        <v>291</v>
      </c>
      <c r="J459" s="37">
        <v>1280</v>
      </c>
      <c r="K459" s="38">
        <v>900904301</v>
      </c>
      <c r="L459" s="37" t="s">
        <v>911</v>
      </c>
      <c r="O459" s="39" t="s">
        <v>1900</v>
      </c>
      <c r="AS459" s="48">
        <f>ROUND((Товары[[#This Row],[IRP, Eur]]*$AT$1),-2)*(1+Товары[[#This Row],[Процент повышения РРЦ]])</f>
        <v>0</v>
      </c>
      <c r="AT459" s="48"/>
      <c r="AU459" s="50">
        <f>ROUND(Товары[[#This Row],[РРЦ финальная, руб.]]/$AT$1,2)</f>
        <v>0</v>
      </c>
      <c r="AV459" s="49" t="str">
        <f>IFERROR(Товары[[#This Row],[РРЦ, евро]]/Товары[[#This Row],[IRP, Eur]],"-")</f>
        <v>-</v>
      </c>
      <c r="AX459" s="48">
        <f>ROUND(Товары[[#This Row],[РРЦ финальная, руб.]]*(1-Товары[[#This Row],[Скидка DIY]]),2)</f>
        <v>0</v>
      </c>
    </row>
    <row r="460" spans="1:50" x14ac:dyDescent="0.25">
      <c r="A460" s="36">
        <v>458</v>
      </c>
      <c r="C460" s="36" t="s">
        <v>3</v>
      </c>
      <c r="D4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0" s="36" t="s">
        <v>232</v>
      </c>
      <c r="F4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0" s="38">
        <v>9031</v>
      </c>
      <c r="I460" s="37" t="s">
        <v>291</v>
      </c>
      <c r="J460" s="37">
        <v>1250</v>
      </c>
      <c r="K460" s="38">
        <v>900901901</v>
      </c>
      <c r="L460" s="37" t="s">
        <v>912</v>
      </c>
      <c r="O460" s="39" t="s">
        <v>1901</v>
      </c>
      <c r="AS460" s="48">
        <f>ROUND((Товары[[#This Row],[IRP, Eur]]*$AT$1),-2)*(1+Товары[[#This Row],[Процент повышения РРЦ]])</f>
        <v>0</v>
      </c>
      <c r="AT460" s="48"/>
      <c r="AU460" s="50">
        <f>ROUND(Товары[[#This Row],[РРЦ финальная, руб.]]/$AT$1,2)</f>
        <v>0</v>
      </c>
      <c r="AV460" s="49" t="str">
        <f>IFERROR(Товары[[#This Row],[РРЦ, евро]]/Товары[[#This Row],[IRP, Eur]],"-")</f>
        <v>-</v>
      </c>
      <c r="AX460" s="48">
        <f>ROUND(Товары[[#This Row],[РРЦ финальная, руб.]]*(1-Товары[[#This Row],[Скидка DIY]]),2)</f>
        <v>0</v>
      </c>
    </row>
    <row r="461" spans="1:50" x14ac:dyDescent="0.25">
      <c r="A461" s="36">
        <v>459</v>
      </c>
      <c r="C461" s="36" t="s">
        <v>3</v>
      </c>
      <c r="D4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1" s="36" t="s">
        <v>232</v>
      </c>
      <c r="F4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1" s="38">
        <v>9031</v>
      </c>
      <c r="I461" s="37" t="s">
        <v>291</v>
      </c>
      <c r="J461" s="37">
        <v>1282</v>
      </c>
      <c r="K461" s="38">
        <v>900904401</v>
      </c>
      <c r="L461" s="37" t="s">
        <v>913</v>
      </c>
      <c r="O461" s="39" t="s">
        <v>1902</v>
      </c>
      <c r="AS461" s="48">
        <f>ROUND((Товары[[#This Row],[IRP, Eur]]*$AT$1),-2)*(1+Товары[[#This Row],[Процент повышения РРЦ]])</f>
        <v>0</v>
      </c>
      <c r="AT461" s="48"/>
      <c r="AU461" s="50">
        <f>ROUND(Товары[[#This Row],[РРЦ финальная, руб.]]/$AT$1,2)</f>
        <v>0</v>
      </c>
      <c r="AV461" s="49" t="str">
        <f>IFERROR(Товары[[#This Row],[РРЦ, евро]]/Товары[[#This Row],[IRP, Eur]],"-")</f>
        <v>-</v>
      </c>
      <c r="AX461" s="48">
        <f>ROUND(Товары[[#This Row],[РРЦ финальная, руб.]]*(1-Товары[[#This Row],[Скидка DIY]]),2)</f>
        <v>0</v>
      </c>
    </row>
    <row r="462" spans="1:50" x14ac:dyDescent="0.25">
      <c r="A462" s="36">
        <v>460</v>
      </c>
      <c r="C462" s="36" t="s">
        <v>235</v>
      </c>
      <c r="D4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2" s="36" t="s">
        <v>222</v>
      </c>
      <c r="F4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2" s="38">
        <v>1230</v>
      </c>
      <c r="I462" s="37" t="s">
        <v>292</v>
      </c>
      <c r="J462" s="37" t="s">
        <v>368</v>
      </c>
      <c r="K462" s="38">
        <v>967646811</v>
      </c>
      <c r="L462" s="37" t="s">
        <v>914</v>
      </c>
      <c r="O462" s="39" t="s">
        <v>1903</v>
      </c>
      <c r="AS462" s="48">
        <f>ROUND((Товары[[#This Row],[IRP, Eur]]*$AT$1),-2)*(1+Товары[[#This Row],[Процент повышения РРЦ]])</f>
        <v>0</v>
      </c>
      <c r="AT462" s="48"/>
      <c r="AU462" s="50">
        <f>ROUND(Товары[[#This Row],[РРЦ финальная, руб.]]/$AT$1,2)</f>
        <v>0</v>
      </c>
      <c r="AV462" s="49" t="str">
        <f>IFERROR(Товары[[#This Row],[РРЦ, евро]]/Товары[[#This Row],[IRP, Eur]],"-")</f>
        <v>-</v>
      </c>
      <c r="AX462" s="48">
        <f>ROUND(Товары[[#This Row],[РРЦ финальная, руб.]]*(1-Товары[[#This Row],[Скидка DIY]]),2)</f>
        <v>0</v>
      </c>
    </row>
    <row r="463" spans="1:50" x14ac:dyDescent="0.25">
      <c r="A463" s="36">
        <v>461</v>
      </c>
      <c r="C463" s="36" t="s">
        <v>235</v>
      </c>
      <c r="D4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3" s="36" t="s">
        <v>222</v>
      </c>
      <c r="F4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3" s="38">
        <v>1230</v>
      </c>
      <c r="I463" s="37" t="s">
        <v>292</v>
      </c>
      <c r="J463" s="37" t="s">
        <v>368</v>
      </c>
      <c r="K463" s="38">
        <v>967646807</v>
      </c>
      <c r="L463" s="37" t="s">
        <v>915</v>
      </c>
      <c r="M463" s="37" t="s">
        <v>914</v>
      </c>
      <c r="O463" s="39" t="s">
        <v>1903</v>
      </c>
      <c r="AS463" s="48">
        <f>ROUND((Товары[[#This Row],[IRP, Eur]]*$AT$1),-2)*(1+Товары[[#This Row],[Процент повышения РРЦ]])</f>
        <v>0</v>
      </c>
      <c r="AT463" s="48"/>
      <c r="AU463" s="50">
        <f>ROUND(Товары[[#This Row],[РРЦ финальная, руб.]]/$AT$1,2)</f>
        <v>0</v>
      </c>
      <c r="AV463" s="49" t="str">
        <f>IFERROR(Товары[[#This Row],[РРЦ, евро]]/Товары[[#This Row],[IRP, Eur]],"-")</f>
        <v>-</v>
      </c>
      <c r="AX463" s="48">
        <f>ROUND(Товары[[#This Row],[РРЦ финальная, руб.]]*(1-Товары[[#This Row],[Скидка DIY]]),2)</f>
        <v>0</v>
      </c>
    </row>
    <row r="464" spans="1:50" x14ac:dyDescent="0.25">
      <c r="A464" s="36">
        <v>462</v>
      </c>
      <c r="C464" s="36" t="s">
        <v>235</v>
      </c>
      <c r="D4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4" s="36" t="s">
        <v>222</v>
      </c>
      <c r="F4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4" s="38">
        <v>1230</v>
      </c>
      <c r="I464" s="37" t="s">
        <v>292</v>
      </c>
      <c r="J464" s="37" t="s">
        <v>369</v>
      </c>
      <c r="K464" s="38">
        <v>970462807</v>
      </c>
      <c r="L464" s="37" t="s">
        <v>916</v>
      </c>
      <c r="O464" s="39" t="s">
        <v>1904</v>
      </c>
      <c r="AS464" s="48">
        <f>ROUND((Товары[[#This Row],[IRP, Eur]]*$AT$1),-2)*(1+Товары[[#This Row],[Процент повышения РРЦ]])</f>
        <v>0</v>
      </c>
      <c r="AT464" s="48"/>
      <c r="AU464" s="50">
        <f>ROUND(Товары[[#This Row],[РРЦ финальная, руб.]]/$AT$1,2)</f>
        <v>0</v>
      </c>
      <c r="AV464" s="49" t="str">
        <f>IFERROR(Товары[[#This Row],[РРЦ, евро]]/Товары[[#This Row],[IRP, Eur]],"-")</f>
        <v>-</v>
      </c>
      <c r="AX464" s="48">
        <f>ROUND(Товары[[#This Row],[РРЦ финальная, руб.]]*(1-Товары[[#This Row],[Скидка DIY]]),2)</f>
        <v>0</v>
      </c>
    </row>
    <row r="465" spans="1:50" x14ac:dyDescent="0.25">
      <c r="A465" s="36">
        <v>463</v>
      </c>
      <c r="C465" s="36" t="s">
        <v>235</v>
      </c>
      <c r="D4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5" s="36" t="s">
        <v>222</v>
      </c>
      <c r="F4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5" s="38">
        <v>1230</v>
      </c>
      <c r="I465" s="37" t="s">
        <v>292</v>
      </c>
      <c r="J465" s="37" t="s">
        <v>370</v>
      </c>
      <c r="K465" s="38">
        <v>967647211</v>
      </c>
      <c r="L465" s="37" t="s">
        <v>917</v>
      </c>
      <c r="O465" s="39" t="s">
        <v>1905</v>
      </c>
      <c r="AS465" s="48">
        <f>ROUND((Товары[[#This Row],[IRP, Eur]]*$AT$1),-2)*(1+Товары[[#This Row],[Процент повышения РРЦ]])</f>
        <v>0</v>
      </c>
      <c r="AT465" s="48"/>
      <c r="AU465" s="50">
        <f>ROUND(Товары[[#This Row],[РРЦ финальная, руб.]]/$AT$1,2)</f>
        <v>0</v>
      </c>
      <c r="AV465" s="49" t="str">
        <f>IFERROR(Товары[[#This Row],[РРЦ, евро]]/Товары[[#This Row],[IRP, Eur]],"-")</f>
        <v>-</v>
      </c>
      <c r="AX465" s="48">
        <f>ROUND(Товары[[#This Row],[РРЦ финальная, руб.]]*(1-Товары[[#This Row],[Скидка DIY]]),2)</f>
        <v>0</v>
      </c>
    </row>
    <row r="466" spans="1:50" x14ac:dyDescent="0.25">
      <c r="A466" s="36">
        <v>464</v>
      </c>
      <c r="C466" s="36" t="s">
        <v>235</v>
      </c>
      <c r="D4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6" s="36" t="s">
        <v>222</v>
      </c>
      <c r="F4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6" s="38">
        <v>1230</v>
      </c>
      <c r="I466" s="37" t="s">
        <v>292</v>
      </c>
      <c r="J466" s="37" t="s">
        <v>370</v>
      </c>
      <c r="K466" s="38">
        <v>967647207</v>
      </c>
      <c r="L466" s="37" t="s">
        <v>918</v>
      </c>
      <c r="M466" s="37" t="s">
        <v>917</v>
      </c>
      <c r="O466" s="39" t="s">
        <v>1905</v>
      </c>
      <c r="AS466" s="48">
        <f>ROUND((Товары[[#This Row],[IRP, Eur]]*$AT$1),-2)*(1+Товары[[#This Row],[Процент повышения РРЦ]])</f>
        <v>0</v>
      </c>
      <c r="AT466" s="48"/>
      <c r="AU466" s="50">
        <f>ROUND(Товары[[#This Row],[РРЦ финальная, руб.]]/$AT$1,2)</f>
        <v>0</v>
      </c>
      <c r="AV466" s="49" t="str">
        <f>IFERROR(Товары[[#This Row],[РРЦ, евро]]/Товары[[#This Row],[IRP, Eur]],"-")</f>
        <v>-</v>
      </c>
      <c r="AX466" s="48">
        <f>ROUND(Товары[[#This Row],[РРЦ финальная, руб.]]*(1-Товары[[#This Row],[Скидка DIY]]),2)</f>
        <v>0</v>
      </c>
    </row>
    <row r="467" spans="1:50" x14ac:dyDescent="0.25">
      <c r="A467" s="36">
        <v>465</v>
      </c>
      <c r="C467" s="36" t="s">
        <v>235</v>
      </c>
      <c r="D4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7" s="36" t="s">
        <v>222</v>
      </c>
      <c r="F4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7" s="38">
        <v>1230</v>
      </c>
      <c r="I467" s="37" t="s">
        <v>292</v>
      </c>
      <c r="J467" s="37" t="s">
        <v>369</v>
      </c>
      <c r="K467" s="38">
        <v>970462907</v>
      </c>
      <c r="L467" s="37" t="s">
        <v>919</v>
      </c>
      <c r="O467" s="39" t="s">
        <v>1906</v>
      </c>
      <c r="AS467" s="48">
        <f>ROUND((Товары[[#This Row],[IRP, Eur]]*$AT$1),-2)*(1+Товары[[#This Row],[Процент повышения РРЦ]])</f>
        <v>0</v>
      </c>
      <c r="AT467" s="48"/>
      <c r="AU467" s="50">
        <f>ROUND(Товары[[#This Row],[РРЦ финальная, руб.]]/$AT$1,2)</f>
        <v>0</v>
      </c>
      <c r="AV467" s="49" t="str">
        <f>IFERROR(Товары[[#This Row],[РРЦ, евро]]/Товары[[#This Row],[IRP, Eur]],"-")</f>
        <v>-</v>
      </c>
      <c r="AX467" s="48">
        <f>ROUND(Товары[[#This Row],[РРЦ финальная, руб.]]*(1-Товары[[#This Row],[Скидка DIY]]),2)</f>
        <v>0</v>
      </c>
    </row>
    <row r="468" spans="1:50" x14ac:dyDescent="0.25">
      <c r="A468" s="36">
        <v>466</v>
      </c>
      <c r="C468" s="36" t="s">
        <v>235</v>
      </c>
      <c r="D4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8" s="36" t="s">
        <v>222</v>
      </c>
      <c r="F4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8" s="38">
        <v>1230</v>
      </c>
      <c r="I468" s="37" t="s">
        <v>292</v>
      </c>
      <c r="J468" s="37" t="s">
        <v>371</v>
      </c>
      <c r="K468" s="38">
        <v>967845311</v>
      </c>
      <c r="L468" s="37" t="s">
        <v>920</v>
      </c>
      <c r="O468" s="39" t="s">
        <v>1907</v>
      </c>
      <c r="AS468" s="48">
        <f>ROUND((Товары[[#This Row],[IRP, Eur]]*$AT$1),-2)*(1+Товары[[#This Row],[Процент повышения РРЦ]])</f>
        <v>0</v>
      </c>
      <c r="AT468" s="48"/>
      <c r="AU468" s="50">
        <f>ROUND(Товары[[#This Row],[РРЦ финальная, руб.]]/$AT$1,2)</f>
        <v>0</v>
      </c>
      <c r="AV468" s="49" t="str">
        <f>IFERROR(Товары[[#This Row],[РРЦ, евро]]/Товары[[#This Row],[IRP, Eur]],"-")</f>
        <v>-</v>
      </c>
      <c r="AX468" s="48">
        <f>ROUND(Товары[[#This Row],[РРЦ финальная, руб.]]*(1-Товары[[#This Row],[Скидка DIY]]),2)</f>
        <v>0</v>
      </c>
    </row>
    <row r="469" spans="1:50" x14ac:dyDescent="0.25">
      <c r="A469" s="36">
        <v>467</v>
      </c>
      <c r="C469" s="36" t="s">
        <v>235</v>
      </c>
      <c r="D4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9" s="36" t="s">
        <v>222</v>
      </c>
      <c r="F4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9" s="38">
        <v>1230</v>
      </c>
      <c r="I469" s="37" t="s">
        <v>292</v>
      </c>
      <c r="J469" s="37" t="s">
        <v>372</v>
      </c>
      <c r="K469" s="38">
        <v>967845307</v>
      </c>
      <c r="L469" s="37" t="s">
        <v>921</v>
      </c>
      <c r="M469" s="37" t="s">
        <v>920</v>
      </c>
      <c r="O469" s="39" t="s">
        <v>1907</v>
      </c>
      <c r="AS469" s="48">
        <f>ROUND((Товары[[#This Row],[IRP, Eur]]*$AT$1),-2)*(1+Товары[[#This Row],[Процент повышения РРЦ]])</f>
        <v>0</v>
      </c>
      <c r="AT469" s="48"/>
      <c r="AU469" s="50">
        <f>ROUND(Товары[[#This Row],[РРЦ финальная, руб.]]/$AT$1,2)</f>
        <v>0</v>
      </c>
      <c r="AV469" s="49" t="str">
        <f>IFERROR(Товары[[#This Row],[РРЦ, евро]]/Товары[[#This Row],[IRP, Eur]],"-")</f>
        <v>-</v>
      </c>
      <c r="AX469" s="48">
        <f>ROUND(Товары[[#This Row],[РРЦ финальная, руб.]]*(1-Товары[[#This Row],[Скидка DIY]]),2)</f>
        <v>0</v>
      </c>
    </row>
    <row r="470" spans="1:50" x14ac:dyDescent="0.25">
      <c r="A470" s="36">
        <v>468</v>
      </c>
      <c r="C470" s="36" t="s">
        <v>235</v>
      </c>
      <c r="D4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0" s="36" t="s">
        <v>222</v>
      </c>
      <c r="F4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0" s="38">
        <v>1230</v>
      </c>
      <c r="I470" s="37" t="s">
        <v>292</v>
      </c>
      <c r="J470" s="37" t="s">
        <v>373</v>
      </c>
      <c r="K470" s="38">
        <v>967845111</v>
      </c>
      <c r="L470" s="37" t="s">
        <v>922</v>
      </c>
      <c r="O470" s="39" t="s">
        <v>1908</v>
      </c>
      <c r="AS470" s="48">
        <f>ROUND((Товары[[#This Row],[IRP, Eur]]*$AT$1),-2)*(1+Товары[[#This Row],[Процент повышения РРЦ]])</f>
        <v>0</v>
      </c>
      <c r="AT470" s="48"/>
      <c r="AU470" s="50">
        <f>ROUND(Товары[[#This Row],[РРЦ финальная, руб.]]/$AT$1,2)</f>
        <v>0</v>
      </c>
      <c r="AV470" s="49" t="str">
        <f>IFERROR(Товары[[#This Row],[РРЦ, евро]]/Товары[[#This Row],[IRP, Eur]],"-")</f>
        <v>-</v>
      </c>
      <c r="AX470" s="48">
        <f>ROUND(Товары[[#This Row],[РРЦ финальная, руб.]]*(1-Товары[[#This Row],[Скидка DIY]]),2)</f>
        <v>0</v>
      </c>
    </row>
    <row r="471" spans="1:50" x14ac:dyDescent="0.25">
      <c r="A471" s="36">
        <v>469</v>
      </c>
      <c r="C471" s="36" t="s">
        <v>235</v>
      </c>
      <c r="D4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1" s="36" t="s">
        <v>222</v>
      </c>
      <c r="F4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1" s="38">
        <v>1230</v>
      </c>
      <c r="I471" s="37" t="s">
        <v>292</v>
      </c>
      <c r="J471" s="37" t="s">
        <v>374</v>
      </c>
      <c r="K471" s="38">
        <v>967845107</v>
      </c>
      <c r="L471" s="37" t="s">
        <v>923</v>
      </c>
      <c r="M471" s="37" t="s">
        <v>922</v>
      </c>
      <c r="O471" s="39" t="s">
        <v>1908</v>
      </c>
      <c r="AS471" s="48">
        <f>ROUND((Товары[[#This Row],[IRP, Eur]]*$AT$1),-2)*(1+Товары[[#This Row],[Процент повышения РРЦ]])</f>
        <v>0</v>
      </c>
      <c r="AT471" s="48"/>
      <c r="AU471" s="50">
        <f>ROUND(Товары[[#This Row],[РРЦ финальная, руб.]]/$AT$1,2)</f>
        <v>0</v>
      </c>
      <c r="AV471" s="49" t="str">
        <f>IFERROR(Товары[[#This Row],[РРЦ, евро]]/Товары[[#This Row],[IRP, Eur]],"-")</f>
        <v>-</v>
      </c>
      <c r="AX471" s="48">
        <f>ROUND(Товары[[#This Row],[РРЦ финальная, руб.]]*(1-Товары[[#This Row],[Скидка DIY]]),2)</f>
        <v>0</v>
      </c>
    </row>
    <row r="472" spans="1:50" x14ac:dyDescent="0.25">
      <c r="A472" s="36">
        <v>470</v>
      </c>
      <c r="C472" s="36" t="s">
        <v>235</v>
      </c>
      <c r="D4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2" s="36" t="s">
        <v>222</v>
      </c>
      <c r="F4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2" s="38">
        <v>1230</v>
      </c>
      <c r="I472" s="37" t="s">
        <v>292</v>
      </c>
      <c r="J472" s="37" t="s">
        <v>375</v>
      </c>
      <c r="K472" s="38">
        <v>967845211</v>
      </c>
      <c r="L472" s="37" t="s">
        <v>924</v>
      </c>
      <c r="O472" s="39" t="s">
        <v>1909</v>
      </c>
      <c r="AS472" s="48">
        <f>ROUND((Товары[[#This Row],[IRP, Eur]]*$AT$1),-2)*(1+Товары[[#This Row],[Процент повышения РРЦ]])</f>
        <v>0</v>
      </c>
      <c r="AT472" s="48"/>
      <c r="AU472" s="50">
        <f>ROUND(Товары[[#This Row],[РРЦ финальная, руб.]]/$AT$1,2)</f>
        <v>0</v>
      </c>
      <c r="AV472" s="49" t="str">
        <f>IFERROR(Товары[[#This Row],[РРЦ, евро]]/Товары[[#This Row],[IRP, Eur]],"-")</f>
        <v>-</v>
      </c>
      <c r="AX472" s="48">
        <f>ROUND(Товары[[#This Row],[РРЦ финальная, руб.]]*(1-Товары[[#This Row],[Скидка DIY]]),2)</f>
        <v>0</v>
      </c>
    </row>
    <row r="473" spans="1:50" x14ac:dyDescent="0.25">
      <c r="A473" s="36">
        <v>471</v>
      </c>
      <c r="C473" s="36" t="s">
        <v>235</v>
      </c>
      <c r="D4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3" s="36" t="s">
        <v>222</v>
      </c>
      <c r="F4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3" s="38">
        <v>1230</v>
      </c>
      <c r="I473" s="37" t="s">
        <v>292</v>
      </c>
      <c r="J473" s="37" t="s">
        <v>375</v>
      </c>
      <c r="K473" s="38">
        <v>967845207</v>
      </c>
      <c r="L473" s="37" t="s">
        <v>925</v>
      </c>
      <c r="M473" s="37" t="s">
        <v>924</v>
      </c>
      <c r="O473" s="39" t="s">
        <v>1909</v>
      </c>
      <c r="AS473" s="48">
        <f>ROUND((Товары[[#This Row],[IRP, Eur]]*$AT$1),-2)*(1+Товары[[#This Row],[Процент повышения РРЦ]])</f>
        <v>0</v>
      </c>
      <c r="AT473" s="48"/>
      <c r="AU473" s="50">
        <f>ROUND(Товары[[#This Row],[РРЦ финальная, руб.]]/$AT$1,2)</f>
        <v>0</v>
      </c>
      <c r="AV473" s="49" t="str">
        <f>IFERROR(Товары[[#This Row],[РРЦ, евро]]/Товары[[#This Row],[IRP, Eur]],"-")</f>
        <v>-</v>
      </c>
      <c r="AX473" s="48">
        <f>ROUND(Товары[[#This Row],[РРЦ финальная, руб.]]*(1-Товары[[#This Row],[Скидка DIY]]),2)</f>
        <v>0</v>
      </c>
    </row>
    <row r="474" spans="1:50" x14ac:dyDescent="0.25">
      <c r="A474" s="36">
        <v>472</v>
      </c>
      <c r="C474" s="36" t="s">
        <v>236</v>
      </c>
      <c r="D4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4" s="36" t="s">
        <v>223</v>
      </c>
      <c r="F4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4" s="38">
        <v>1238</v>
      </c>
      <c r="I474" s="37" t="s">
        <v>293</v>
      </c>
      <c r="J474" s="37" t="s">
        <v>376</v>
      </c>
      <c r="K474" s="38">
        <v>966809701</v>
      </c>
      <c r="L474" s="37" t="s">
        <v>926</v>
      </c>
      <c r="O474" s="39" t="s">
        <v>1910</v>
      </c>
      <c r="AS474" s="48">
        <f>ROUND((Товары[[#This Row],[IRP, Eur]]*$AT$1),-2)*(1+Товары[[#This Row],[Процент повышения РРЦ]])</f>
        <v>0</v>
      </c>
      <c r="AT474" s="48"/>
      <c r="AU474" s="50">
        <f>ROUND(Товары[[#This Row],[РРЦ финальная, руб.]]/$AT$1,2)</f>
        <v>0</v>
      </c>
      <c r="AV474" s="49" t="str">
        <f>IFERROR(Товары[[#This Row],[РРЦ, евро]]/Товары[[#This Row],[IRP, Eur]],"-")</f>
        <v>-</v>
      </c>
      <c r="AX474" s="48">
        <f>ROUND(Товары[[#This Row],[РРЦ финальная, руб.]]*(1-Товары[[#This Row],[Скидка DIY]]),2)</f>
        <v>0</v>
      </c>
    </row>
    <row r="475" spans="1:50" x14ac:dyDescent="0.25">
      <c r="A475" s="36">
        <v>473</v>
      </c>
      <c r="C475" s="36" t="s">
        <v>236</v>
      </c>
      <c r="D4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5" s="36" t="s">
        <v>223</v>
      </c>
      <c r="F4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5" s="38">
        <v>1238</v>
      </c>
      <c r="I475" s="37" t="s">
        <v>294</v>
      </c>
      <c r="J475" s="37" t="s">
        <v>377</v>
      </c>
      <c r="K475" s="38">
        <v>966809801</v>
      </c>
      <c r="L475" s="37" t="s">
        <v>927</v>
      </c>
      <c r="O475" s="39" t="s">
        <v>1911</v>
      </c>
      <c r="AS475" s="48">
        <f>ROUND((Товары[[#This Row],[IRP, Eur]]*$AT$1),-2)*(1+Товары[[#This Row],[Процент повышения РРЦ]])</f>
        <v>0</v>
      </c>
      <c r="AT475" s="48"/>
      <c r="AU475" s="50">
        <f>ROUND(Товары[[#This Row],[РРЦ финальная, руб.]]/$AT$1,2)</f>
        <v>0</v>
      </c>
      <c r="AV475" s="49" t="str">
        <f>IFERROR(Товары[[#This Row],[РРЦ, евро]]/Товары[[#This Row],[IRP, Eur]],"-")</f>
        <v>-</v>
      </c>
      <c r="AX475" s="48">
        <f>ROUND(Товары[[#This Row],[РРЦ финальная, руб.]]*(1-Товары[[#This Row],[Скидка DIY]]),2)</f>
        <v>0</v>
      </c>
    </row>
    <row r="476" spans="1:50" x14ac:dyDescent="0.25">
      <c r="A476" s="36">
        <v>474</v>
      </c>
      <c r="C476" s="36" t="s">
        <v>236</v>
      </c>
      <c r="D4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6" s="36" t="s">
        <v>223</v>
      </c>
      <c r="F4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6" s="38">
        <v>1238</v>
      </c>
      <c r="I476" s="37" t="s">
        <v>295</v>
      </c>
      <c r="J476" s="37">
        <v>4087</v>
      </c>
      <c r="K476" s="38">
        <v>966809501</v>
      </c>
      <c r="L476" s="37" t="s">
        <v>928</v>
      </c>
      <c r="O476" s="39" t="s">
        <v>1912</v>
      </c>
      <c r="AS476" s="48">
        <f>ROUND((Товары[[#This Row],[IRP, Eur]]*$AT$1),-2)*(1+Товары[[#This Row],[Процент повышения РРЦ]])</f>
        <v>0</v>
      </c>
      <c r="AT476" s="48"/>
      <c r="AU476" s="50">
        <f>ROUND(Товары[[#This Row],[РРЦ финальная, руб.]]/$AT$1,2)</f>
        <v>0</v>
      </c>
      <c r="AV476" s="49" t="str">
        <f>IFERROR(Товары[[#This Row],[РРЦ, евро]]/Товары[[#This Row],[IRP, Eur]],"-")</f>
        <v>-</v>
      </c>
      <c r="AX476" s="48">
        <f>ROUND(Товары[[#This Row],[РРЦ финальная, руб.]]*(1-Товары[[#This Row],[Скидка DIY]]),2)</f>
        <v>0</v>
      </c>
    </row>
    <row r="477" spans="1:50" x14ac:dyDescent="0.25">
      <c r="A477" s="36">
        <v>475</v>
      </c>
      <c r="C477" s="36" t="s">
        <v>236</v>
      </c>
      <c r="D4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7" s="36" t="s">
        <v>223</v>
      </c>
      <c r="F4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7" s="38">
        <v>1238</v>
      </c>
      <c r="K477" s="38">
        <v>966809601</v>
      </c>
      <c r="L477" s="37" t="s">
        <v>929</v>
      </c>
      <c r="O477" s="39" t="s">
        <v>1913</v>
      </c>
      <c r="AS477" s="48">
        <f>ROUND((Товары[[#This Row],[IRP, Eur]]*$AT$1),-2)*(1+Товары[[#This Row],[Процент повышения РРЦ]])</f>
        <v>0</v>
      </c>
      <c r="AT477" s="48"/>
      <c r="AU477" s="50">
        <f>ROUND(Товары[[#This Row],[РРЦ финальная, руб.]]/$AT$1,2)</f>
        <v>0</v>
      </c>
      <c r="AV477" s="49" t="str">
        <f>IFERROR(Товары[[#This Row],[РРЦ, евро]]/Товары[[#This Row],[IRP, Eur]],"-")</f>
        <v>-</v>
      </c>
      <c r="AX477" s="48">
        <f>ROUND(Товары[[#This Row],[РРЦ финальная, руб.]]*(1-Товары[[#This Row],[Скидка DIY]]),2)</f>
        <v>0</v>
      </c>
    </row>
    <row r="478" spans="1:50" x14ac:dyDescent="0.25">
      <c r="A478" s="36">
        <v>476</v>
      </c>
      <c r="C478" s="36" t="s">
        <v>236</v>
      </c>
      <c r="D4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8" s="36" t="s">
        <v>223</v>
      </c>
      <c r="F4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8" s="38">
        <v>1238</v>
      </c>
      <c r="K478" s="38">
        <v>966809602</v>
      </c>
      <c r="L478" s="37" t="s">
        <v>930</v>
      </c>
      <c r="M478" s="37" t="s">
        <v>929</v>
      </c>
      <c r="O478" s="39" t="s">
        <v>1914</v>
      </c>
      <c r="AS478" s="48">
        <f>ROUND((Товары[[#This Row],[IRP, Eur]]*$AT$1),-2)*(1+Товары[[#This Row],[Процент повышения РРЦ]])</f>
        <v>0</v>
      </c>
      <c r="AT478" s="48"/>
      <c r="AU478" s="50">
        <f>ROUND(Товары[[#This Row],[РРЦ финальная, руб.]]/$AT$1,2)</f>
        <v>0</v>
      </c>
      <c r="AV478" s="49" t="str">
        <f>IFERROR(Товары[[#This Row],[РРЦ, евро]]/Товары[[#This Row],[IRP, Eur]],"-")</f>
        <v>-</v>
      </c>
      <c r="AX478" s="48">
        <f>ROUND(Товары[[#This Row],[РРЦ финальная, руб.]]*(1-Товары[[#This Row],[Скидка DIY]]),2)</f>
        <v>0</v>
      </c>
    </row>
    <row r="479" spans="1:50" x14ac:dyDescent="0.25">
      <c r="A479" s="36">
        <v>477</v>
      </c>
      <c r="C479" s="36" t="s">
        <v>236</v>
      </c>
      <c r="D4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9" s="36" t="s">
        <v>223</v>
      </c>
      <c r="F4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9" s="38">
        <v>1238</v>
      </c>
      <c r="I479" s="37" t="s">
        <v>296</v>
      </c>
      <c r="J479" s="37" t="s">
        <v>378</v>
      </c>
      <c r="K479" s="38">
        <v>967933201</v>
      </c>
      <c r="L479" s="37" t="s">
        <v>931</v>
      </c>
      <c r="M479" s="37" t="s">
        <v>1392</v>
      </c>
      <c r="O479" s="39" t="s">
        <v>1915</v>
      </c>
      <c r="AS479" s="48">
        <f>ROUND((Товары[[#This Row],[IRP, Eur]]*$AT$1),-2)*(1+Товары[[#This Row],[Процент повышения РРЦ]])</f>
        <v>0</v>
      </c>
      <c r="AT479" s="48"/>
      <c r="AU479" s="50">
        <f>ROUND(Товары[[#This Row],[РРЦ финальная, руб.]]/$AT$1,2)</f>
        <v>0</v>
      </c>
      <c r="AV479" s="49" t="str">
        <f>IFERROR(Товары[[#This Row],[РРЦ, евро]]/Товары[[#This Row],[IRP, Eur]],"-")</f>
        <v>-</v>
      </c>
      <c r="AX479" s="48">
        <f>ROUND(Товары[[#This Row],[РРЦ финальная, руб.]]*(1-Товары[[#This Row],[Скидка DIY]]),2)</f>
        <v>0</v>
      </c>
    </row>
    <row r="480" spans="1:50" x14ac:dyDescent="0.25">
      <c r="A480" s="36">
        <v>478</v>
      </c>
      <c r="C480" s="36" t="s">
        <v>236</v>
      </c>
      <c r="D4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0" s="36" t="s">
        <v>223</v>
      </c>
      <c r="F4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0" s="38">
        <v>1238</v>
      </c>
      <c r="K480" s="38">
        <v>967104901</v>
      </c>
      <c r="L480" s="37" t="s">
        <v>932</v>
      </c>
      <c r="O480" s="39" t="s">
        <v>1916</v>
      </c>
      <c r="AS480" s="48">
        <f>ROUND((Товары[[#This Row],[IRP, Eur]]*$AT$1),-2)*(1+Товары[[#This Row],[Процент повышения РРЦ]])</f>
        <v>0</v>
      </c>
      <c r="AT480" s="48"/>
      <c r="AU480" s="50">
        <f>ROUND(Товары[[#This Row],[РРЦ финальная, руб.]]/$AT$1,2)</f>
        <v>0</v>
      </c>
      <c r="AV480" s="49" t="str">
        <f>IFERROR(Товары[[#This Row],[РРЦ, евро]]/Товары[[#This Row],[IRP, Eur]],"-")</f>
        <v>-</v>
      </c>
      <c r="AX480" s="48">
        <f>ROUND(Товары[[#This Row],[РРЦ финальная, руб.]]*(1-Товары[[#This Row],[Скидка DIY]]),2)</f>
        <v>0</v>
      </c>
    </row>
    <row r="481" spans="1:50" x14ac:dyDescent="0.25">
      <c r="A481" s="36">
        <v>479</v>
      </c>
      <c r="C481" s="36" t="s">
        <v>236</v>
      </c>
      <c r="D4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1" s="36" t="s">
        <v>223</v>
      </c>
      <c r="F4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1" s="38">
        <v>1238</v>
      </c>
      <c r="I481" s="37" t="s">
        <v>297</v>
      </c>
      <c r="J481" s="37" t="s">
        <v>379</v>
      </c>
      <c r="K481" s="38">
        <v>967104701</v>
      </c>
      <c r="L481" s="37" t="s">
        <v>933</v>
      </c>
      <c r="O481" s="39" t="s">
        <v>1917</v>
      </c>
      <c r="AS481" s="48">
        <f>ROUND((Товары[[#This Row],[IRP, Eur]]*$AT$1),-2)*(1+Товары[[#This Row],[Процент повышения РРЦ]])</f>
        <v>0</v>
      </c>
      <c r="AT481" s="48"/>
      <c r="AU481" s="50">
        <f>ROUND(Товары[[#This Row],[РРЦ финальная, руб.]]/$AT$1,2)</f>
        <v>0</v>
      </c>
      <c r="AV481" s="49" t="str">
        <f>IFERROR(Товары[[#This Row],[РРЦ, евро]]/Товары[[#This Row],[IRP, Eur]],"-")</f>
        <v>-</v>
      </c>
      <c r="AX481" s="48">
        <f>ROUND(Товары[[#This Row],[РРЦ финальная, руб.]]*(1-Товары[[#This Row],[Скидка DIY]]),2)</f>
        <v>0</v>
      </c>
    </row>
    <row r="482" spans="1:50" x14ac:dyDescent="0.25">
      <c r="A482" s="36">
        <v>480</v>
      </c>
      <c r="C482" s="36" t="s">
        <v>237</v>
      </c>
      <c r="D4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2" s="36" t="s">
        <v>219</v>
      </c>
      <c r="F4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2" s="38">
        <v>9313</v>
      </c>
      <c r="I482" s="37" t="s">
        <v>298</v>
      </c>
      <c r="J482" s="37" t="s">
        <v>380</v>
      </c>
      <c r="K482" s="38">
        <v>967099001</v>
      </c>
      <c r="L482" s="37" t="s">
        <v>934</v>
      </c>
      <c r="O482" s="39" t="s">
        <v>1918</v>
      </c>
      <c r="AS482" s="48">
        <f>ROUND((Товары[[#This Row],[IRP, Eur]]*$AT$1),-2)*(1+Товары[[#This Row],[Процент повышения РРЦ]])</f>
        <v>0</v>
      </c>
      <c r="AT482" s="48"/>
      <c r="AU482" s="50">
        <f>ROUND(Товары[[#This Row],[РРЦ финальная, руб.]]/$AT$1,2)</f>
        <v>0</v>
      </c>
      <c r="AV482" s="49" t="str">
        <f>IFERROR(Товары[[#This Row],[РРЦ, евро]]/Товары[[#This Row],[IRP, Eur]],"-")</f>
        <v>-</v>
      </c>
      <c r="AX482" s="48">
        <f>ROUND(Товары[[#This Row],[РРЦ финальная, руб.]]*(1-Товары[[#This Row],[Скидка DIY]]),2)</f>
        <v>0</v>
      </c>
    </row>
    <row r="483" spans="1:50" x14ac:dyDescent="0.25">
      <c r="A483" s="36">
        <v>481</v>
      </c>
      <c r="C483" s="36" t="s">
        <v>237</v>
      </c>
      <c r="D4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3" s="36" t="s">
        <v>219</v>
      </c>
      <c r="F4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3" s="38">
        <v>9313</v>
      </c>
      <c r="I483" s="37" t="s">
        <v>298</v>
      </c>
      <c r="J483" s="37" t="s">
        <v>381</v>
      </c>
      <c r="K483" s="38">
        <v>967087201</v>
      </c>
      <c r="L483" s="37" t="s">
        <v>935</v>
      </c>
      <c r="M483" s="37" t="s">
        <v>1393</v>
      </c>
      <c r="O483" s="39" t="s">
        <v>1919</v>
      </c>
      <c r="AS483" s="48">
        <f>ROUND((Товары[[#This Row],[IRP, Eur]]*$AT$1),-2)*(1+Товары[[#This Row],[Процент повышения РРЦ]])</f>
        <v>0</v>
      </c>
      <c r="AT483" s="48"/>
      <c r="AU483" s="50">
        <f>ROUND(Товары[[#This Row],[РРЦ финальная, руб.]]/$AT$1,2)</f>
        <v>0</v>
      </c>
      <c r="AV483" s="49" t="str">
        <f>IFERROR(Товары[[#This Row],[РРЦ, евро]]/Товары[[#This Row],[IRP, Eur]],"-")</f>
        <v>-</v>
      </c>
      <c r="AX483" s="48">
        <f>ROUND(Товары[[#This Row],[РРЦ финальная, руб.]]*(1-Товары[[#This Row],[Скидка DIY]]),2)</f>
        <v>0</v>
      </c>
    </row>
    <row r="484" spans="1:50" x14ac:dyDescent="0.25">
      <c r="A484" s="36">
        <v>482</v>
      </c>
      <c r="C484" s="36" t="s">
        <v>237</v>
      </c>
      <c r="D4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4" s="36" t="s">
        <v>219</v>
      </c>
      <c r="F4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4" s="38">
        <v>9313</v>
      </c>
      <c r="I484" s="37" t="s">
        <v>298</v>
      </c>
      <c r="J484" s="37" t="s">
        <v>382</v>
      </c>
      <c r="K484" s="38">
        <v>967087301</v>
      </c>
      <c r="L484" s="37" t="s">
        <v>936</v>
      </c>
      <c r="M484" s="37" t="s">
        <v>1394</v>
      </c>
      <c r="O484" s="39" t="s">
        <v>1920</v>
      </c>
      <c r="AS484" s="48">
        <f>ROUND((Товары[[#This Row],[IRP, Eur]]*$AT$1),-2)*(1+Товары[[#This Row],[Процент повышения РРЦ]])</f>
        <v>0</v>
      </c>
      <c r="AT484" s="48"/>
      <c r="AU484" s="50">
        <f>ROUND(Товары[[#This Row],[РРЦ финальная, руб.]]/$AT$1,2)</f>
        <v>0</v>
      </c>
      <c r="AV484" s="49" t="str">
        <f>IFERROR(Товары[[#This Row],[РРЦ, евро]]/Товары[[#This Row],[IRP, Eur]],"-")</f>
        <v>-</v>
      </c>
      <c r="AX484" s="48">
        <f>ROUND(Товары[[#This Row],[РРЦ финальная, руб.]]*(1-Товары[[#This Row],[Скидка DIY]]),2)</f>
        <v>0</v>
      </c>
    </row>
    <row r="485" spans="1:50" x14ac:dyDescent="0.25">
      <c r="A485" s="36">
        <v>483</v>
      </c>
      <c r="C485" s="36" t="s">
        <v>237</v>
      </c>
      <c r="D4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5" s="36" t="s">
        <v>219</v>
      </c>
      <c r="F4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5" s="38">
        <v>9313</v>
      </c>
      <c r="I485" s="37" t="s">
        <v>299</v>
      </c>
      <c r="J485" s="37" t="s">
        <v>383</v>
      </c>
      <c r="K485" s="38">
        <v>967656601</v>
      </c>
      <c r="L485" s="37" t="s">
        <v>937</v>
      </c>
      <c r="M485" s="37" t="s">
        <v>1395</v>
      </c>
      <c r="O485" s="39" t="s">
        <v>1921</v>
      </c>
      <c r="AS485" s="48">
        <f>ROUND((Товары[[#This Row],[IRP, Eur]]*$AT$1),-2)*(1+Товары[[#This Row],[Процент повышения РРЦ]])</f>
        <v>0</v>
      </c>
      <c r="AT485" s="48"/>
      <c r="AU485" s="50">
        <f>ROUND(Товары[[#This Row],[РРЦ финальная, руб.]]/$AT$1,2)</f>
        <v>0</v>
      </c>
      <c r="AV485" s="49" t="str">
        <f>IFERROR(Товары[[#This Row],[РРЦ, евро]]/Товары[[#This Row],[IRP, Eur]],"-")</f>
        <v>-</v>
      </c>
      <c r="AX485" s="48">
        <f>ROUND(Товары[[#This Row],[РРЦ финальная, руб.]]*(1-Товары[[#This Row],[Скидка DIY]]),2)</f>
        <v>0</v>
      </c>
    </row>
    <row r="486" spans="1:50" x14ac:dyDescent="0.25">
      <c r="A486" s="36">
        <v>484</v>
      </c>
      <c r="C486" s="36" t="s">
        <v>237</v>
      </c>
      <c r="D4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6" s="36" t="s">
        <v>219</v>
      </c>
      <c r="F4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6" s="38">
        <v>9313</v>
      </c>
      <c r="I486" s="37" t="s">
        <v>299</v>
      </c>
      <c r="J486" s="37" t="s">
        <v>384</v>
      </c>
      <c r="K486" s="38">
        <v>967657001</v>
      </c>
      <c r="L486" s="37" t="s">
        <v>938</v>
      </c>
      <c r="M486" s="37" t="s">
        <v>1396</v>
      </c>
      <c r="O486" s="39" t="s">
        <v>1922</v>
      </c>
      <c r="AS486" s="48">
        <f>ROUND((Товары[[#This Row],[IRP, Eur]]*$AT$1),-2)*(1+Товары[[#This Row],[Процент повышения РРЦ]])</f>
        <v>0</v>
      </c>
      <c r="AT486" s="48"/>
      <c r="AU486" s="50">
        <f>ROUND(Товары[[#This Row],[РРЦ финальная, руб.]]/$AT$1,2)</f>
        <v>0</v>
      </c>
      <c r="AV486" s="49" t="str">
        <f>IFERROR(Товары[[#This Row],[РРЦ, евро]]/Товары[[#This Row],[IRP, Eur]],"-")</f>
        <v>-</v>
      </c>
      <c r="AX486" s="48">
        <f>ROUND(Товары[[#This Row],[РРЦ финальная, руб.]]*(1-Товары[[#This Row],[Скидка DIY]]),2)</f>
        <v>0</v>
      </c>
    </row>
    <row r="487" spans="1:50" x14ac:dyDescent="0.25">
      <c r="A487" s="36">
        <v>485</v>
      </c>
      <c r="C487" s="36" t="s">
        <v>236</v>
      </c>
      <c r="D4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7" s="36" t="s">
        <v>224</v>
      </c>
      <c r="F4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7" s="38">
        <v>7898</v>
      </c>
      <c r="I487" s="37" t="s">
        <v>300</v>
      </c>
      <c r="J487" s="37">
        <v>4080</v>
      </c>
      <c r="K487" s="38">
        <v>966970001</v>
      </c>
      <c r="L487" s="37" t="s">
        <v>939</v>
      </c>
      <c r="O487" s="39" t="s">
        <v>1923</v>
      </c>
      <c r="AS487" s="48">
        <f>ROUND((Товары[[#This Row],[IRP, Eur]]*$AT$1),-2)*(1+Товары[[#This Row],[Процент повышения РРЦ]])</f>
        <v>0</v>
      </c>
      <c r="AT487" s="48"/>
      <c r="AU487" s="50">
        <f>ROUND(Товары[[#This Row],[РРЦ финальная, руб.]]/$AT$1,2)</f>
        <v>0</v>
      </c>
      <c r="AV487" s="49" t="str">
        <f>IFERROR(Товары[[#This Row],[РРЦ, евро]]/Товары[[#This Row],[IRP, Eur]],"-")</f>
        <v>-</v>
      </c>
      <c r="AX487" s="48">
        <f>ROUND(Товары[[#This Row],[РРЦ финальная, руб.]]*(1-Товары[[#This Row],[Скидка DIY]]),2)</f>
        <v>0</v>
      </c>
    </row>
    <row r="488" spans="1:50" x14ac:dyDescent="0.25">
      <c r="A488" s="36">
        <v>486</v>
      </c>
      <c r="C488" s="36" t="s">
        <v>236</v>
      </c>
      <c r="D4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8" s="36" t="s">
        <v>224</v>
      </c>
      <c r="F4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8" s="38">
        <v>7898</v>
      </c>
      <c r="I488" s="37" t="s">
        <v>300</v>
      </c>
      <c r="J488" s="37" t="s">
        <v>385</v>
      </c>
      <c r="K488" s="38">
        <v>967101901</v>
      </c>
      <c r="L488" s="37" t="s">
        <v>940</v>
      </c>
      <c r="O488" s="39" t="s">
        <v>1924</v>
      </c>
      <c r="AS488" s="48">
        <f>ROUND((Товары[[#This Row],[IRP, Eur]]*$AT$1),-2)*(1+Товары[[#This Row],[Процент повышения РРЦ]])</f>
        <v>0</v>
      </c>
      <c r="AT488" s="48"/>
      <c r="AU488" s="50">
        <f>ROUND(Товары[[#This Row],[РРЦ финальная, руб.]]/$AT$1,2)</f>
        <v>0</v>
      </c>
      <c r="AV488" s="49" t="str">
        <f>IFERROR(Товары[[#This Row],[РРЦ, евро]]/Товары[[#This Row],[IRP, Eur]],"-")</f>
        <v>-</v>
      </c>
      <c r="AX488" s="48">
        <f>ROUND(Товары[[#This Row],[РРЦ финальная, руб.]]*(1-Товары[[#This Row],[Скидка DIY]]),2)</f>
        <v>0</v>
      </c>
    </row>
    <row r="489" spans="1:50" x14ac:dyDescent="0.25">
      <c r="A489" s="36">
        <v>487</v>
      </c>
      <c r="C489" s="36" t="s">
        <v>236</v>
      </c>
      <c r="D4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9" s="36" t="s">
        <v>224</v>
      </c>
      <c r="F4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9" s="38">
        <v>7898</v>
      </c>
      <c r="I489" s="37" t="s">
        <v>300</v>
      </c>
      <c r="J489" s="37" t="s">
        <v>385</v>
      </c>
      <c r="K489" s="38">
        <v>967101801</v>
      </c>
      <c r="L489" s="37" t="s">
        <v>941</v>
      </c>
      <c r="O489" s="39" t="s">
        <v>1925</v>
      </c>
      <c r="AS489" s="48">
        <f>ROUND((Товары[[#This Row],[IRP, Eur]]*$AT$1),-2)*(1+Товары[[#This Row],[Процент повышения РРЦ]])</f>
        <v>0</v>
      </c>
      <c r="AT489" s="48"/>
      <c r="AU489" s="50">
        <f>ROUND(Товары[[#This Row],[РРЦ финальная, руб.]]/$AT$1,2)</f>
        <v>0</v>
      </c>
      <c r="AV489" s="49" t="str">
        <f>IFERROR(Товары[[#This Row],[РРЦ, евро]]/Товары[[#This Row],[IRP, Eur]],"-")</f>
        <v>-</v>
      </c>
      <c r="AX489" s="48">
        <f>ROUND(Товары[[#This Row],[РРЦ финальная, руб.]]*(1-Товары[[#This Row],[Скидка DIY]]),2)</f>
        <v>0</v>
      </c>
    </row>
    <row r="490" spans="1:50" x14ac:dyDescent="0.25">
      <c r="A490" s="36">
        <v>488</v>
      </c>
      <c r="C490" s="36" t="s">
        <v>236</v>
      </c>
      <c r="D4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0" s="36" t="s">
        <v>224</v>
      </c>
      <c r="F4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0" s="38">
        <v>7898</v>
      </c>
      <c r="I490" s="37" t="s">
        <v>300</v>
      </c>
      <c r="J490" s="37">
        <v>4016</v>
      </c>
      <c r="K490" s="38">
        <v>585207001</v>
      </c>
      <c r="L490" s="37" t="s">
        <v>942</v>
      </c>
      <c r="O490" s="39" t="s">
        <v>1926</v>
      </c>
      <c r="AS490" s="48">
        <f>ROUND((Товары[[#This Row],[IRP, Eur]]*$AT$1),-2)*(1+Товары[[#This Row],[Процент повышения РРЦ]])</f>
        <v>0</v>
      </c>
      <c r="AT490" s="48"/>
      <c r="AU490" s="50">
        <f>ROUND(Товары[[#This Row],[РРЦ финальная, руб.]]/$AT$1,2)</f>
        <v>0</v>
      </c>
      <c r="AV490" s="49" t="str">
        <f>IFERROR(Товары[[#This Row],[РРЦ, евро]]/Товары[[#This Row],[IRP, Eur]],"-")</f>
        <v>-</v>
      </c>
      <c r="AX490" s="48">
        <f>ROUND(Товары[[#This Row],[РРЦ финальная, руб.]]*(1-Товары[[#This Row],[Скидка DIY]]),2)</f>
        <v>0</v>
      </c>
    </row>
    <row r="491" spans="1:50" x14ac:dyDescent="0.25">
      <c r="A491" s="36">
        <v>489</v>
      </c>
      <c r="C491" s="36" t="s">
        <v>236</v>
      </c>
      <c r="D4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1" s="36" t="s">
        <v>224</v>
      </c>
      <c r="F4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1" s="38">
        <v>7898</v>
      </c>
      <c r="I491" s="37" t="s">
        <v>300</v>
      </c>
      <c r="J491" s="37">
        <v>4017</v>
      </c>
      <c r="K491" s="38">
        <v>585206901</v>
      </c>
      <c r="L491" s="37" t="s">
        <v>943</v>
      </c>
      <c r="O491" s="39" t="s">
        <v>1927</v>
      </c>
      <c r="AS491" s="48">
        <f>ROUND((Товары[[#This Row],[IRP, Eur]]*$AT$1),-2)*(1+Товары[[#This Row],[Процент повышения РРЦ]])</f>
        <v>0</v>
      </c>
      <c r="AT491" s="48"/>
      <c r="AU491" s="50">
        <f>ROUND(Товары[[#This Row],[РРЦ финальная, руб.]]/$AT$1,2)</f>
        <v>0</v>
      </c>
      <c r="AV491" s="49" t="str">
        <f>IFERROR(Товары[[#This Row],[РРЦ, евро]]/Товары[[#This Row],[IRP, Eur]],"-")</f>
        <v>-</v>
      </c>
      <c r="AX491" s="48">
        <f>ROUND(Товары[[#This Row],[РРЦ финальная, руб.]]*(1-Товары[[#This Row],[Скидка DIY]]),2)</f>
        <v>0</v>
      </c>
    </row>
    <row r="492" spans="1:50" x14ac:dyDescent="0.25">
      <c r="A492" s="36">
        <v>490</v>
      </c>
      <c r="C492" s="36" t="s">
        <v>236</v>
      </c>
      <c r="D4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2" s="36" t="s">
        <v>224</v>
      </c>
      <c r="F4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2" s="38">
        <v>7898</v>
      </c>
      <c r="I492" s="37" t="s">
        <v>300</v>
      </c>
      <c r="J492" s="37">
        <v>4081</v>
      </c>
      <c r="K492" s="38">
        <v>966970101</v>
      </c>
      <c r="L492" s="37" t="s">
        <v>944</v>
      </c>
      <c r="O492" s="39" t="s">
        <v>1928</v>
      </c>
      <c r="AS492" s="48">
        <f>ROUND((Товары[[#This Row],[IRP, Eur]]*$AT$1),-2)*(1+Товары[[#This Row],[Процент повышения РРЦ]])</f>
        <v>0</v>
      </c>
      <c r="AT492" s="48"/>
      <c r="AU492" s="50">
        <f>ROUND(Товары[[#This Row],[РРЦ финальная, руб.]]/$AT$1,2)</f>
        <v>0</v>
      </c>
      <c r="AV492" s="49" t="str">
        <f>IFERROR(Товары[[#This Row],[РРЦ, евро]]/Товары[[#This Row],[IRP, Eur]],"-")</f>
        <v>-</v>
      </c>
      <c r="AX492" s="48">
        <f>ROUND(Товары[[#This Row],[РРЦ финальная, руб.]]*(1-Товары[[#This Row],[Скидка DIY]]),2)</f>
        <v>0</v>
      </c>
    </row>
    <row r="493" spans="1:50" x14ac:dyDescent="0.25">
      <c r="A493" s="36">
        <v>491</v>
      </c>
      <c r="C493" s="36" t="s">
        <v>236</v>
      </c>
      <c r="D4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3" s="36" t="s">
        <v>224</v>
      </c>
      <c r="F4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3" s="38">
        <v>7898</v>
      </c>
      <c r="I493" s="37" t="s">
        <v>300</v>
      </c>
      <c r="J493" s="37">
        <v>4082</v>
      </c>
      <c r="K493" s="38">
        <v>966970201</v>
      </c>
      <c r="L493" s="37" t="s">
        <v>945</v>
      </c>
      <c r="O493" s="39" t="s">
        <v>1927</v>
      </c>
      <c r="AS493" s="48">
        <f>ROUND((Товары[[#This Row],[IRP, Eur]]*$AT$1),-2)*(1+Товары[[#This Row],[Процент повышения РРЦ]])</f>
        <v>0</v>
      </c>
      <c r="AT493" s="48"/>
      <c r="AU493" s="50">
        <f>ROUND(Товары[[#This Row],[РРЦ финальная, руб.]]/$AT$1,2)</f>
        <v>0</v>
      </c>
      <c r="AV493" s="49" t="str">
        <f>IFERROR(Товары[[#This Row],[РРЦ, евро]]/Товары[[#This Row],[IRP, Eur]],"-")</f>
        <v>-</v>
      </c>
      <c r="AX493" s="48">
        <f>ROUND(Товары[[#This Row],[РРЦ финальная, руб.]]*(1-Товары[[#This Row],[Скидка DIY]]),2)</f>
        <v>0</v>
      </c>
    </row>
    <row r="494" spans="1:50" x14ac:dyDescent="0.25">
      <c r="A494" s="36">
        <v>492</v>
      </c>
      <c r="C494" s="36" t="s">
        <v>236</v>
      </c>
      <c r="D4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4" s="36" t="s">
        <v>224</v>
      </c>
      <c r="F4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4" s="38">
        <v>7898</v>
      </c>
      <c r="I494" s="37" t="s">
        <v>300</v>
      </c>
      <c r="J494" s="37" t="s">
        <v>385</v>
      </c>
      <c r="K494" s="38">
        <v>967101701</v>
      </c>
      <c r="L494" s="37" t="s">
        <v>946</v>
      </c>
      <c r="O494" s="39" t="s">
        <v>1929</v>
      </c>
      <c r="AS494" s="48">
        <f>ROUND((Товары[[#This Row],[IRP, Eur]]*$AT$1),-2)*(1+Товары[[#This Row],[Процент повышения РРЦ]])</f>
        <v>0</v>
      </c>
      <c r="AT494" s="48"/>
      <c r="AU494" s="50">
        <f>ROUND(Товары[[#This Row],[РРЦ финальная, руб.]]/$AT$1,2)</f>
        <v>0</v>
      </c>
      <c r="AV494" s="49" t="str">
        <f>IFERROR(Товары[[#This Row],[РРЦ, евро]]/Товары[[#This Row],[IRP, Eur]],"-")</f>
        <v>-</v>
      </c>
      <c r="AX494" s="48">
        <f>ROUND(Товары[[#This Row],[РРЦ финальная, руб.]]*(1-Товары[[#This Row],[Скидка DIY]]),2)</f>
        <v>0</v>
      </c>
    </row>
    <row r="495" spans="1:50" x14ac:dyDescent="0.25">
      <c r="A495" s="36">
        <v>493</v>
      </c>
      <c r="C495" s="36" t="s">
        <v>236</v>
      </c>
      <c r="D4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5" s="36" t="s">
        <v>224</v>
      </c>
      <c r="F4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5" s="38">
        <v>7898</v>
      </c>
      <c r="I495" s="37" t="s">
        <v>300</v>
      </c>
      <c r="J495" s="37" t="s">
        <v>385</v>
      </c>
      <c r="K495" s="38">
        <v>591185901</v>
      </c>
      <c r="L495" s="37" t="s">
        <v>947</v>
      </c>
      <c r="O495" s="39" t="s">
        <v>1930</v>
      </c>
      <c r="AS495" s="48">
        <f>ROUND((Товары[[#This Row],[IRP, Eur]]*$AT$1),-2)*(1+Товары[[#This Row],[Процент повышения РРЦ]])</f>
        <v>0</v>
      </c>
      <c r="AT495" s="48"/>
      <c r="AU495" s="50">
        <f>ROUND(Товары[[#This Row],[РРЦ финальная, руб.]]/$AT$1,2)</f>
        <v>0</v>
      </c>
      <c r="AV495" s="49" t="str">
        <f>IFERROR(Товары[[#This Row],[РРЦ, евро]]/Товары[[#This Row],[IRP, Eur]],"-")</f>
        <v>-</v>
      </c>
      <c r="AX495" s="48">
        <f>ROUND(Товары[[#This Row],[РРЦ финальная, руб.]]*(1-Товары[[#This Row],[Скидка DIY]]),2)</f>
        <v>0</v>
      </c>
    </row>
    <row r="496" spans="1:50" x14ac:dyDescent="0.25">
      <c r="A496" s="36">
        <v>494</v>
      </c>
      <c r="C496" s="36" t="s">
        <v>236</v>
      </c>
      <c r="D4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6" s="36" t="s">
        <v>224</v>
      </c>
      <c r="F4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6" s="38">
        <v>7898</v>
      </c>
      <c r="I496" s="37" t="s">
        <v>300</v>
      </c>
      <c r="J496" s="37" t="s">
        <v>385</v>
      </c>
      <c r="K496" s="38">
        <v>967263501</v>
      </c>
      <c r="L496" s="37" t="s">
        <v>948</v>
      </c>
      <c r="O496" s="39" t="s">
        <v>1931</v>
      </c>
      <c r="AS496" s="48">
        <f>ROUND((Товары[[#This Row],[IRP, Eur]]*$AT$1),-2)*(1+Товары[[#This Row],[Процент повышения РРЦ]])</f>
        <v>0</v>
      </c>
      <c r="AT496" s="48"/>
      <c r="AU496" s="50">
        <f>ROUND(Товары[[#This Row],[РРЦ финальная, руб.]]/$AT$1,2)</f>
        <v>0</v>
      </c>
      <c r="AV496" s="49" t="str">
        <f>IFERROR(Товары[[#This Row],[РРЦ, евро]]/Товары[[#This Row],[IRP, Eur]],"-")</f>
        <v>-</v>
      </c>
      <c r="AX496" s="48">
        <f>ROUND(Товары[[#This Row],[РРЦ финальная, руб.]]*(1-Товары[[#This Row],[Скидка DIY]]),2)</f>
        <v>0</v>
      </c>
    </row>
    <row r="497" spans="1:50" x14ac:dyDescent="0.25">
      <c r="A497" s="36">
        <v>495</v>
      </c>
      <c r="C497" s="36" t="s">
        <v>238</v>
      </c>
      <c r="D4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7" s="36" t="s">
        <v>218</v>
      </c>
      <c r="F4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7" s="38">
        <v>9314</v>
      </c>
      <c r="I497" s="37" t="s">
        <v>301</v>
      </c>
      <c r="J497" s="37" t="s">
        <v>386</v>
      </c>
      <c r="K497" s="38">
        <v>967991101</v>
      </c>
      <c r="L497" s="37" t="s">
        <v>949</v>
      </c>
      <c r="O497" s="39" t="s">
        <v>1932</v>
      </c>
      <c r="AS497" s="48">
        <f>ROUND((Товары[[#This Row],[IRP, Eur]]*$AT$1),-2)*(1+Товары[[#This Row],[Процент повышения РРЦ]])</f>
        <v>0</v>
      </c>
      <c r="AT497" s="48"/>
      <c r="AU497" s="50">
        <f>ROUND(Товары[[#This Row],[РРЦ финальная, руб.]]/$AT$1,2)</f>
        <v>0</v>
      </c>
      <c r="AV497" s="49" t="str">
        <f>IFERROR(Товары[[#This Row],[РРЦ, евро]]/Товары[[#This Row],[IRP, Eur]],"-")</f>
        <v>-</v>
      </c>
      <c r="AX497" s="48">
        <f>ROUND(Товары[[#This Row],[РРЦ финальная, руб.]]*(1-Товары[[#This Row],[Скидка DIY]]),2)</f>
        <v>0</v>
      </c>
    </row>
    <row r="498" spans="1:50" x14ac:dyDescent="0.25">
      <c r="A498" s="36">
        <v>496</v>
      </c>
      <c r="C498" s="36" t="s">
        <v>238</v>
      </c>
      <c r="D4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8" s="36" t="s">
        <v>218</v>
      </c>
      <c r="F4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8" s="38">
        <v>9314</v>
      </c>
      <c r="I498" s="37" t="s">
        <v>301</v>
      </c>
      <c r="J498" s="37" t="s">
        <v>386</v>
      </c>
      <c r="K498" s="38">
        <v>967991301</v>
      </c>
      <c r="L498" s="37" t="s">
        <v>950</v>
      </c>
      <c r="O498" s="39" t="s">
        <v>1933</v>
      </c>
      <c r="AS498" s="48">
        <f>ROUND((Товары[[#This Row],[IRP, Eur]]*$AT$1),-2)*(1+Товары[[#This Row],[Процент повышения РРЦ]])</f>
        <v>0</v>
      </c>
      <c r="AT498" s="48"/>
      <c r="AU498" s="50">
        <f>ROUND(Товары[[#This Row],[РРЦ финальная, руб.]]/$AT$1,2)</f>
        <v>0</v>
      </c>
      <c r="AV498" s="49" t="str">
        <f>IFERROR(Товары[[#This Row],[РРЦ, евро]]/Товары[[#This Row],[IRP, Eur]],"-")</f>
        <v>-</v>
      </c>
      <c r="AX498" s="48">
        <f>ROUND(Товары[[#This Row],[РРЦ финальная, руб.]]*(1-Товары[[#This Row],[Скидка DIY]]),2)</f>
        <v>0</v>
      </c>
    </row>
    <row r="499" spans="1:50" x14ac:dyDescent="0.25">
      <c r="A499" s="36">
        <v>497</v>
      </c>
      <c r="C499" s="36" t="s">
        <v>238</v>
      </c>
      <c r="D4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9" s="36" t="s">
        <v>218</v>
      </c>
      <c r="F4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9" s="38">
        <v>9314</v>
      </c>
      <c r="I499" s="37" t="s">
        <v>301</v>
      </c>
      <c r="J499" s="37" t="s">
        <v>387</v>
      </c>
      <c r="K499" s="38">
        <v>967656901</v>
      </c>
      <c r="L499" s="37" t="s">
        <v>951</v>
      </c>
      <c r="M499" s="37" t="s">
        <v>1397</v>
      </c>
      <c r="O499" s="39" t="s">
        <v>1934</v>
      </c>
      <c r="AS499" s="48">
        <f>ROUND((Товары[[#This Row],[IRP, Eur]]*$AT$1),-2)*(1+Товары[[#This Row],[Процент повышения РРЦ]])</f>
        <v>0</v>
      </c>
      <c r="AT499" s="48"/>
      <c r="AU499" s="50">
        <f>ROUND(Товары[[#This Row],[РРЦ финальная, руб.]]/$AT$1,2)</f>
        <v>0</v>
      </c>
      <c r="AV499" s="49" t="str">
        <f>IFERROR(Товары[[#This Row],[РРЦ, евро]]/Товары[[#This Row],[IRP, Eur]],"-")</f>
        <v>-</v>
      </c>
      <c r="AX499" s="48">
        <f>ROUND(Товары[[#This Row],[РРЦ финальная, руб.]]*(1-Товары[[#This Row],[Скидка DIY]]),2)</f>
        <v>0</v>
      </c>
    </row>
    <row r="500" spans="1:50" x14ac:dyDescent="0.25">
      <c r="A500" s="36">
        <v>498</v>
      </c>
      <c r="C500" s="36" t="s">
        <v>238</v>
      </c>
      <c r="D5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0" s="36" t="s">
        <v>218</v>
      </c>
      <c r="F5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0" s="38">
        <v>9314</v>
      </c>
      <c r="I500" s="37" t="s">
        <v>301</v>
      </c>
      <c r="J500" s="37" t="s">
        <v>387</v>
      </c>
      <c r="K500" s="38">
        <v>967666201</v>
      </c>
      <c r="L500" s="37" t="s">
        <v>952</v>
      </c>
      <c r="M500" s="37" t="s">
        <v>1397</v>
      </c>
      <c r="O500" s="39" t="s">
        <v>1935</v>
      </c>
      <c r="AS500" s="48">
        <f>ROUND((Товары[[#This Row],[IRP, Eur]]*$AT$1),-2)*(1+Товары[[#This Row],[Процент повышения РРЦ]])</f>
        <v>0</v>
      </c>
      <c r="AT500" s="48"/>
      <c r="AU500" s="50">
        <f>ROUND(Товары[[#This Row],[РРЦ финальная, руб.]]/$AT$1,2)</f>
        <v>0</v>
      </c>
      <c r="AV500" s="49" t="str">
        <f>IFERROR(Товары[[#This Row],[РРЦ, евро]]/Товары[[#This Row],[IRP, Eur]],"-")</f>
        <v>-</v>
      </c>
      <c r="AX500" s="48">
        <f>ROUND(Товары[[#This Row],[РРЦ финальная, руб.]]*(1-Товары[[#This Row],[Скидка DIY]]),2)</f>
        <v>0</v>
      </c>
    </row>
    <row r="501" spans="1:50" x14ac:dyDescent="0.25">
      <c r="A501" s="36">
        <v>499</v>
      </c>
      <c r="C501" s="36" t="s">
        <v>238</v>
      </c>
      <c r="D5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1" s="36" t="s">
        <v>218</v>
      </c>
      <c r="F5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1" s="38">
        <v>9314</v>
      </c>
      <c r="I501" s="37" t="s">
        <v>298</v>
      </c>
      <c r="J501" s="37" t="s">
        <v>388</v>
      </c>
      <c r="K501" s="38">
        <v>967085901</v>
      </c>
      <c r="L501" s="37" t="s">
        <v>953</v>
      </c>
      <c r="O501" s="39" t="s">
        <v>1936</v>
      </c>
      <c r="AS501" s="48">
        <f>ROUND((Товары[[#This Row],[IRP, Eur]]*$AT$1),-2)*(1+Товары[[#This Row],[Процент повышения РРЦ]])</f>
        <v>0</v>
      </c>
      <c r="AT501" s="48"/>
      <c r="AU501" s="50">
        <f>ROUND(Товары[[#This Row],[РРЦ финальная, руб.]]/$AT$1,2)</f>
        <v>0</v>
      </c>
      <c r="AV501" s="49" t="str">
        <f>IFERROR(Товары[[#This Row],[РРЦ, евро]]/Товары[[#This Row],[IRP, Eur]],"-")</f>
        <v>-</v>
      </c>
      <c r="AX501" s="48">
        <f>ROUND(Товары[[#This Row],[РРЦ финальная, руб.]]*(1-Товары[[#This Row],[Скидка DIY]]),2)</f>
        <v>0</v>
      </c>
    </row>
    <row r="502" spans="1:50" x14ac:dyDescent="0.25">
      <c r="A502" s="36">
        <v>500</v>
      </c>
      <c r="C502" s="36" t="s">
        <v>238</v>
      </c>
      <c r="D5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2" s="36" t="s">
        <v>218</v>
      </c>
      <c r="F5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2" s="38">
        <v>9314</v>
      </c>
      <c r="I502" s="37" t="s">
        <v>301</v>
      </c>
      <c r="J502" s="37" t="s">
        <v>389</v>
      </c>
      <c r="K502" s="38">
        <v>967656701</v>
      </c>
      <c r="L502" s="37" t="s">
        <v>954</v>
      </c>
      <c r="M502" s="37" t="s">
        <v>1397</v>
      </c>
      <c r="O502" s="39" t="s">
        <v>1937</v>
      </c>
      <c r="AS502" s="48">
        <f>ROUND((Товары[[#This Row],[IRP, Eur]]*$AT$1),-2)*(1+Товары[[#This Row],[Процент повышения РРЦ]])</f>
        <v>0</v>
      </c>
      <c r="AT502" s="48"/>
      <c r="AU502" s="50">
        <f>ROUND(Товары[[#This Row],[РРЦ финальная, руб.]]/$AT$1,2)</f>
        <v>0</v>
      </c>
      <c r="AV502" s="49" t="str">
        <f>IFERROR(Товары[[#This Row],[РРЦ, евро]]/Товары[[#This Row],[IRP, Eur]],"-")</f>
        <v>-</v>
      </c>
      <c r="AX502" s="48">
        <f>ROUND(Товары[[#This Row],[РРЦ финальная, руб.]]*(1-Товары[[#This Row],[Скидка DIY]]),2)</f>
        <v>0</v>
      </c>
    </row>
    <row r="503" spans="1:50" x14ac:dyDescent="0.25">
      <c r="A503" s="36">
        <v>501</v>
      </c>
      <c r="C503" s="36" t="s">
        <v>238</v>
      </c>
      <c r="D5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3" s="36" t="s">
        <v>218</v>
      </c>
      <c r="F5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3" s="38">
        <v>9314</v>
      </c>
      <c r="I503" s="37" t="s">
        <v>298</v>
      </c>
      <c r="J503" s="37" t="s">
        <v>390</v>
      </c>
      <c r="K503" s="38">
        <v>967109301</v>
      </c>
      <c r="L503" s="37" t="s">
        <v>955</v>
      </c>
      <c r="O503" s="39" t="s">
        <v>1938</v>
      </c>
      <c r="AS503" s="48">
        <f>ROUND((Товары[[#This Row],[IRP, Eur]]*$AT$1),-2)*(1+Товары[[#This Row],[Процент повышения РРЦ]])</f>
        <v>0</v>
      </c>
      <c r="AT503" s="48"/>
      <c r="AU503" s="50">
        <f>ROUND(Товары[[#This Row],[РРЦ финальная, руб.]]/$AT$1,2)</f>
        <v>0</v>
      </c>
      <c r="AV503" s="49" t="str">
        <f>IFERROR(Товары[[#This Row],[РРЦ, евро]]/Товары[[#This Row],[IRP, Eur]],"-")</f>
        <v>-</v>
      </c>
      <c r="AX503" s="48">
        <f>ROUND(Товары[[#This Row],[РРЦ финальная, руб.]]*(1-Товары[[#This Row],[Скидка DIY]]),2)</f>
        <v>0</v>
      </c>
    </row>
    <row r="504" spans="1:50" x14ac:dyDescent="0.25">
      <c r="A504" s="36">
        <v>502</v>
      </c>
      <c r="C504" s="36" t="s">
        <v>238</v>
      </c>
      <c r="D5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4" s="36" t="s">
        <v>208</v>
      </c>
      <c r="F5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4" s="38" t="s">
        <v>241</v>
      </c>
      <c r="I504" s="37" t="s">
        <v>302</v>
      </c>
      <c r="J504" s="37" t="s">
        <v>391</v>
      </c>
      <c r="K504" s="38" t="s">
        <v>451</v>
      </c>
      <c r="L504" s="37" t="s">
        <v>956</v>
      </c>
      <c r="O504" s="39" t="s">
        <v>1939</v>
      </c>
      <c r="AS504" s="48">
        <f>ROUND((Товары[[#This Row],[IRP, Eur]]*$AT$1),-2)*(1+Товары[[#This Row],[Процент повышения РРЦ]])</f>
        <v>0</v>
      </c>
      <c r="AT504" s="48"/>
      <c r="AU504" s="50">
        <f>ROUND(Товары[[#This Row],[РРЦ финальная, руб.]]/$AT$1,2)</f>
        <v>0</v>
      </c>
      <c r="AV504" s="49" t="str">
        <f>IFERROR(Товары[[#This Row],[РРЦ, евро]]/Товары[[#This Row],[IRP, Eur]],"-")</f>
        <v>-</v>
      </c>
      <c r="AX504" s="48">
        <f>ROUND(Товары[[#This Row],[РРЦ финальная, руб.]]*(1-Товары[[#This Row],[Скидка DIY]]),2)</f>
        <v>0</v>
      </c>
    </row>
    <row r="505" spans="1:50" x14ac:dyDescent="0.25">
      <c r="A505" s="36">
        <v>503</v>
      </c>
      <c r="C505" s="36" t="s">
        <v>238</v>
      </c>
      <c r="D5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5" s="36" t="s">
        <v>208</v>
      </c>
      <c r="F5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5" s="38">
        <v>9352</v>
      </c>
      <c r="I505" s="37" t="s">
        <v>302</v>
      </c>
      <c r="J505" s="37" t="s">
        <v>392</v>
      </c>
      <c r="K505" s="38">
        <v>967102001</v>
      </c>
      <c r="L505" s="37" t="s">
        <v>957</v>
      </c>
      <c r="O505" s="39" t="s">
        <v>1940</v>
      </c>
      <c r="AS505" s="48">
        <f>ROUND((Товары[[#This Row],[IRP, Eur]]*$AT$1),-2)*(1+Товары[[#This Row],[Процент повышения РРЦ]])</f>
        <v>0</v>
      </c>
      <c r="AT505" s="48"/>
      <c r="AU505" s="50">
        <f>ROUND(Товары[[#This Row],[РРЦ финальная, руб.]]/$AT$1,2)</f>
        <v>0</v>
      </c>
      <c r="AV505" s="49" t="str">
        <f>IFERROR(Товары[[#This Row],[РРЦ, евро]]/Товары[[#This Row],[IRP, Eur]],"-")</f>
        <v>-</v>
      </c>
      <c r="AX505" s="48">
        <f>ROUND(Товары[[#This Row],[РРЦ финальная, руб.]]*(1-Товары[[#This Row],[Скидка DIY]]),2)</f>
        <v>0</v>
      </c>
    </row>
    <row r="506" spans="1:50" x14ac:dyDescent="0.25">
      <c r="A506" s="36">
        <v>504</v>
      </c>
      <c r="C506" s="36" t="s">
        <v>238</v>
      </c>
      <c r="D5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6" s="36" t="s">
        <v>208</v>
      </c>
      <c r="F5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6" s="38" t="s">
        <v>241</v>
      </c>
      <c r="I506" s="37" t="s">
        <v>302</v>
      </c>
      <c r="J506" s="37" t="s">
        <v>391</v>
      </c>
      <c r="K506" s="38" t="s">
        <v>452</v>
      </c>
      <c r="L506" s="37" t="s">
        <v>958</v>
      </c>
      <c r="O506" s="39" t="s">
        <v>1941</v>
      </c>
      <c r="AS506" s="48">
        <f>ROUND((Товары[[#This Row],[IRP, Eur]]*$AT$1),-2)*(1+Товары[[#This Row],[Процент повышения РРЦ]])</f>
        <v>0</v>
      </c>
      <c r="AT506" s="48"/>
      <c r="AU506" s="50">
        <f>ROUND(Товары[[#This Row],[РРЦ финальная, руб.]]/$AT$1,2)</f>
        <v>0</v>
      </c>
      <c r="AV506" s="49" t="str">
        <f>IFERROR(Товары[[#This Row],[РРЦ, евро]]/Товары[[#This Row],[IRP, Eur]],"-")</f>
        <v>-</v>
      </c>
      <c r="AX506" s="48">
        <f>ROUND(Товары[[#This Row],[РРЦ финальная, руб.]]*(1-Товары[[#This Row],[Скидка DIY]]),2)</f>
        <v>0</v>
      </c>
    </row>
    <row r="507" spans="1:50" x14ac:dyDescent="0.25">
      <c r="A507" s="36">
        <v>505</v>
      </c>
      <c r="C507" s="36" t="s">
        <v>238</v>
      </c>
      <c r="D5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7" s="36" t="s">
        <v>208</v>
      </c>
      <c r="F5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7" s="38" t="s">
        <v>241</v>
      </c>
      <c r="I507" s="37" t="s">
        <v>302</v>
      </c>
      <c r="J507" s="37" t="s">
        <v>393</v>
      </c>
      <c r="K507" s="38" t="s">
        <v>453</v>
      </c>
      <c r="L507" s="37" t="s">
        <v>959</v>
      </c>
      <c r="O507" s="39" t="s">
        <v>1942</v>
      </c>
      <c r="AS507" s="48">
        <f>ROUND((Товары[[#This Row],[IRP, Eur]]*$AT$1),-2)*(1+Товары[[#This Row],[Процент повышения РРЦ]])</f>
        <v>0</v>
      </c>
      <c r="AT507" s="48"/>
      <c r="AU507" s="50">
        <f>ROUND(Товары[[#This Row],[РРЦ финальная, руб.]]/$AT$1,2)</f>
        <v>0</v>
      </c>
      <c r="AV507" s="49" t="str">
        <f>IFERROR(Товары[[#This Row],[РРЦ, евро]]/Товары[[#This Row],[IRP, Eur]],"-")</f>
        <v>-</v>
      </c>
      <c r="AX507" s="48">
        <f>ROUND(Товары[[#This Row],[РРЦ финальная, руб.]]*(1-Товары[[#This Row],[Скидка DIY]]),2)</f>
        <v>0</v>
      </c>
    </row>
    <row r="508" spans="1:50" x14ac:dyDescent="0.25">
      <c r="A508" s="36">
        <v>506</v>
      </c>
      <c r="C508" s="36" t="s">
        <v>238</v>
      </c>
      <c r="D5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8" s="36" t="s">
        <v>208</v>
      </c>
      <c r="F5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8" s="38">
        <v>9352</v>
      </c>
      <c r="I508" s="37" t="s">
        <v>302</v>
      </c>
      <c r="J508" s="37" t="s">
        <v>394</v>
      </c>
      <c r="K508" s="38">
        <v>967057901</v>
      </c>
      <c r="L508" s="37" t="s">
        <v>960</v>
      </c>
      <c r="O508" s="39" t="s">
        <v>1943</v>
      </c>
      <c r="AS508" s="48">
        <f>ROUND((Товары[[#This Row],[IRP, Eur]]*$AT$1),-2)*(1+Товары[[#This Row],[Процент повышения РРЦ]])</f>
        <v>0</v>
      </c>
      <c r="AT508" s="48"/>
      <c r="AU508" s="50">
        <f>ROUND(Товары[[#This Row],[РРЦ финальная, руб.]]/$AT$1,2)</f>
        <v>0</v>
      </c>
      <c r="AV508" s="49" t="str">
        <f>IFERROR(Товары[[#This Row],[РРЦ, евро]]/Товары[[#This Row],[IRP, Eur]],"-")</f>
        <v>-</v>
      </c>
      <c r="AX508" s="48">
        <f>ROUND(Товары[[#This Row],[РРЦ финальная, руб.]]*(1-Товары[[#This Row],[Скидка DIY]]),2)</f>
        <v>0</v>
      </c>
    </row>
    <row r="509" spans="1:50" x14ac:dyDescent="0.25">
      <c r="A509" s="36">
        <v>507</v>
      </c>
      <c r="C509" s="36" t="s">
        <v>238</v>
      </c>
      <c r="D5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9" s="36" t="s">
        <v>208</v>
      </c>
      <c r="F5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9" s="38">
        <v>9352</v>
      </c>
      <c r="I509" s="37" t="s">
        <v>302</v>
      </c>
      <c r="J509" s="37" t="s">
        <v>395</v>
      </c>
      <c r="K509" s="38">
        <v>967058201</v>
      </c>
      <c r="L509" s="37" t="s">
        <v>961</v>
      </c>
      <c r="O509" s="39" t="s">
        <v>1944</v>
      </c>
      <c r="AS509" s="48">
        <f>ROUND((Товары[[#This Row],[IRP, Eur]]*$AT$1),-2)*(1+Товары[[#This Row],[Процент повышения РРЦ]])</f>
        <v>0</v>
      </c>
      <c r="AT509" s="48"/>
      <c r="AU509" s="50">
        <f>ROUND(Товары[[#This Row],[РРЦ финальная, руб.]]/$AT$1,2)</f>
        <v>0</v>
      </c>
      <c r="AV509" s="49" t="str">
        <f>IFERROR(Товары[[#This Row],[РРЦ, евро]]/Товары[[#This Row],[IRP, Eur]],"-")</f>
        <v>-</v>
      </c>
      <c r="AX509" s="48">
        <f>ROUND(Товары[[#This Row],[РРЦ финальная, руб.]]*(1-Товары[[#This Row],[Скидка DIY]]),2)</f>
        <v>0</v>
      </c>
    </row>
    <row r="510" spans="1:50" x14ac:dyDescent="0.25">
      <c r="A510" s="36">
        <v>508</v>
      </c>
      <c r="C510" s="36" t="s">
        <v>238</v>
      </c>
      <c r="D5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0" s="36" t="s">
        <v>208</v>
      </c>
      <c r="F5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0" s="38">
        <v>9352</v>
      </c>
      <c r="I510" s="37" t="s">
        <v>303</v>
      </c>
      <c r="J510" s="37" t="s">
        <v>303</v>
      </c>
      <c r="K510" s="38">
        <v>967108201</v>
      </c>
      <c r="L510" s="37" t="s">
        <v>962</v>
      </c>
      <c r="M510" s="37" t="s">
        <v>1398</v>
      </c>
      <c r="O510" s="39" t="s">
        <v>1945</v>
      </c>
      <c r="AS510" s="48">
        <f>ROUND((Товары[[#This Row],[IRP, Eur]]*$AT$1),-2)*(1+Товары[[#This Row],[Процент повышения РРЦ]])</f>
        <v>0</v>
      </c>
      <c r="AT510" s="48"/>
      <c r="AU510" s="50">
        <f>ROUND(Товары[[#This Row],[РРЦ финальная, руб.]]/$AT$1,2)</f>
        <v>0</v>
      </c>
      <c r="AV510" s="49" t="str">
        <f>IFERROR(Товары[[#This Row],[РРЦ, евро]]/Товары[[#This Row],[IRP, Eur]],"-")</f>
        <v>-</v>
      </c>
      <c r="AX510" s="48">
        <f>ROUND(Товары[[#This Row],[РРЦ финальная, руб.]]*(1-Товары[[#This Row],[Скидка DIY]]),2)</f>
        <v>0</v>
      </c>
    </row>
    <row r="511" spans="1:50" x14ac:dyDescent="0.25">
      <c r="A511" s="36">
        <v>509</v>
      </c>
      <c r="C511" s="36" t="s">
        <v>238</v>
      </c>
      <c r="D5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1" s="36" t="s">
        <v>208</v>
      </c>
      <c r="F5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1" s="38">
        <v>9352</v>
      </c>
      <c r="I511" s="37" t="s">
        <v>303</v>
      </c>
      <c r="J511" s="37" t="s">
        <v>396</v>
      </c>
      <c r="K511" s="38">
        <v>582181001</v>
      </c>
      <c r="L511" s="37" t="s">
        <v>963</v>
      </c>
      <c r="M511" s="37" t="s">
        <v>1399</v>
      </c>
      <c r="O511" s="39" t="s">
        <v>1946</v>
      </c>
      <c r="AS511" s="48">
        <f>ROUND((Товары[[#This Row],[IRP, Eur]]*$AT$1),-2)*(1+Товары[[#This Row],[Процент повышения РРЦ]])</f>
        <v>0</v>
      </c>
      <c r="AT511" s="48"/>
      <c r="AU511" s="50">
        <f>ROUND(Товары[[#This Row],[РРЦ финальная, руб.]]/$AT$1,2)</f>
        <v>0</v>
      </c>
      <c r="AV511" s="49" t="str">
        <f>IFERROR(Товары[[#This Row],[РРЦ, евро]]/Товары[[#This Row],[IRP, Eur]],"-")</f>
        <v>-</v>
      </c>
      <c r="AX511" s="48">
        <f>ROUND(Товары[[#This Row],[РРЦ финальная, руб.]]*(1-Товары[[#This Row],[Скидка DIY]]),2)</f>
        <v>0</v>
      </c>
    </row>
    <row r="512" spans="1:50" x14ac:dyDescent="0.25">
      <c r="A512" s="36">
        <v>510</v>
      </c>
      <c r="C512" s="36" t="s">
        <v>239</v>
      </c>
      <c r="D5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2" s="36" t="s">
        <v>221</v>
      </c>
      <c r="F5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2" s="38">
        <v>9311</v>
      </c>
      <c r="I512" s="37" t="s">
        <v>304</v>
      </c>
      <c r="J512" s="37">
        <v>4027</v>
      </c>
      <c r="K512" s="38">
        <v>967093401</v>
      </c>
      <c r="L512" s="37" t="s">
        <v>964</v>
      </c>
      <c r="O512" s="39" t="s">
        <v>1947</v>
      </c>
      <c r="AS512" s="48">
        <f>ROUND((Товары[[#This Row],[IRP, Eur]]*$AT$1),-2)*(1+Товары[[#This Row],[Процент повышения РРЦ]])</f>
        <v>0</v>
      </c>
      <c r="AT512" s="48"/>
      <c r="AU512" s="50">
        <f>ROUND(Товары[[#This Row],[РРЦ финальная, руб.]]/$AT$1,2)</f>
        <v>0</v>
      </c>
      <c r="AV512" s="49" t="str">
        <f>IFERROR(Товары[[#This Row],[РРЦ, евро]]/Товары[[#This Row],[IRP, Eur]],"-")</f>
        <v>-</v>
      </c>
      <c r="AX512" s="48">
        <f>ROUND(Товары[[#This Row],[РРЦ финальная, руб.]]*(1-Товары[[#This Row],[Скидка DIY]]),2)</f>
        <v>0</v>
      </c>
    </row>
    <row r="513" spans="1:50" x14ac:dyDescent="0.25">
      <c r="A513" s="36">
        <v>511</v>
      </c>
      <c r="C513" s="36" t="s">
        <v>239</v>
      </c>
      <c r="D5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3" s="36" t="s">
        <v>221</v>
      </c>
      <c r="F5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3" s="38">
        <v>9311</v>
      </c>
      <c r="I513" s="37" t="s">
        <v>304</v>
      </c>
      <c r="J513" s="37">
        <v>4018</v>
      </c>
      <c r="K513" s="38">
        <v>967302501</v>
      </c>
      <c r="L513" s="37" t="s">
        <v>965</v>
      </c>
      <c r="O513" s="39" t="s">
        <v>1948</v>
      </c>
      <c r="AS513" s="48">
        <f>ROUND((Товары[[#This Row],[IRP, Eur]]*$AT$1),-2)*(1+Товары[[#This Row],[Процент повышения РРЦ]])</f>
        <v>0</v>
      </c>
      <c r="AT513" s="48"/>
      <c r="AU513" s="50">
        <f>ROUND(Товары[[#This Row],[РРЦ финальная, руб.]]/$AT$1,2)</f>
        <v>0</v>
      </c>
      <c r="AV513" s="49" t="str">
        <f>IFERROR(Товары[[#This Row],[РРЦ, евро]]/Товары[[#This Row],[IRP, Eur]],"-")</f>
        <v>-</v>
      </c>
      <c r="AX513" s="48">
        <f>ROUND(Товары[[#This Row],[РРЦ финальная, руб.]]*(1-Товары[[#This Row],[Скидка DIY]]),2)</f>
        <v>0</v>
      </c>
    </row>
    <row r="514" spans="1:50" x14ac:dyDescent="0.25">
      <c r="A514" s="36">
        <v>512</v>
      </c>
      <c r="C514" s="36" t="s">
        <v>239</v>
      </c>
      <c r="D5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4" s="36" t="s">
        <v>221</v>
      </c>
      <c r="F5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4" s="38">
        <v>9311</v>
      </c>
      <c r="I514" s="37" t="s">
        <v>304</v>
      </c>
      <c r="J514" s="37">
        <v>4022</v>
      </c>
      <c r="K514" s="38">
        <v>967302601</v>
      </c>
      <c r="L514" s="37" t="s">
        <v>966</v>
      </c>
      <c r="O514" s="39" t="s">
        <v>1949</v>
      </c>
      <c r="AS514" s="48">
        <f>ROUND((Товары[[#This Row],[IRP, Eur]]*$AT$1),-2)*(1+Товары[[#This Row],[Процент повышения РРЦ]])</f>
        <v>0</v>
      </c>
      <c r="AT514" s="48"/>
      <c r="AU514" s="50">
        <f>ROUND(Товары[[#This Row],[РРЦ финальная, руб.]]/$AT$1,2)</f>
        <v>0</v>
      </c>
      <c r="AV514" s="49" t="str">
        <f>IFERROR(Товары[[#This Row],[РРЦ, евро]]/Товары[[#This Row],[IRP, Eur]],"-")</f>
        <v>-</v>
      </c>
      <c r="AX514" s="48">
        <f>ROUND(Товары[[#This Row],[РРЦ финальная, руб.]]*(1-Товары[[#This Row],[Скидка DIY]]),2)</f>
        <v>0</v>
      </c>
    </row>
    <row r="515" spans="1:50" x14ac:dyDescent="0.25">
      <c r="A515" s="36">
        <v>513</v>
      </c>
      <c r="C515" s="36" t="s">
        <v>239</v>
      </c>
      <c r="D5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5" s="36" t="s">
        <v>221</v>
      </c>
      <c r="F5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5" s="38">
        <v>9311</v>
      </c>
      <c r="I515" s="37" t="s">
        <v>305</v>
      </c>
      <c r="J515" s="37">
        <v>4029</v>
      </c>
      <c r="K515" s="38">
        <v>901058501</v>
      </c>
      <c r="L515" s="37" t="s">
        <v>967</v>
      </c>
      <c r="O515" s="39" t="s">
        <v>1950</v>
      </c>
      <c r="AS515" s="48">
        <f>ROUND((Товары[[#This Row],[IRP, Eur]]*$AT$1),-2)*(1+Товары[[#This Row],[Процент повышения РРЦ]])</f>
        <v>0</v>
      </c>
      <c r="AT515" s="48"/>
      <c r="AU515" s="50">
        <f>ROUND(Товары[[#This Row],[РРЦ финальная, руб.]]/$AT$1,2)</f>
        <v>0</v>
      </c>
      <c r="AV515" s="49" t="str">
        <f>IFERROR(Товары[[#This Row],[РРЦ, евро]]/Товары[[#This Row],[IRP, Eur]],"-")</f>
        <v>-</v>
      </c>
      <c r="AX515" s="48">
        <f>ROUND(Товары[[#This Row],[РРЦ финальная, руб.]]*(1-Товары[[#This Row],[Скидка DIY]]),2)</f>
        <v>0</v>
      </c>
    </row>
    <row r="516" spans="1:50" x14ac:dyDescent="0.25">
      <c r="A516" s="36">
        <v>514</v>
      </c>
      <c r="C516" s="36" t="s">
        <v>237</v>
      </c>
      <c r="D5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6" s="36" t="s">
        <v>220</v>
      </c>
      <c r="F5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6" s="38">
        <v>9315</v>
      </c>
      <c r="I516" s="37" t="s">
        <v>306</v>
      </c>
      <c r="J516" s="37" t="s">
        <v>397</v>
      </c>
      <c r="K516" s="38">
        <v>901060701</v>
      </c>
      <c r="L516" s="37" t="s">
        <v>968</v>
      </c>
      <c r="O516" s="39" t="s">
        <v>1951</v>
      </c>
      <c r="AS516" s="48">
        <f>ROUND((Товары[[#This Row],[IRP, Eur]]*$AT$1),-2)*(1+Товары[[#This Row],[Процент повышения РРЦ]])</f>
        <v>0</v>
      </c>
      <c r="AT516" s="48"/>
      <c r="AU516" s="50">
        <f>ROUND(Товары[[#This Row],[РРЦ финальная, руб.]]/$AT$1,2)</f>
        <v>0</v>
      </c>
      <c r="AV516" s="49" t="str">
        <f>IFERROR(Товары[[#This Row],[РРЦ, евро]]/Товары[[#This Row],[IRP, Eur]],"-")</f>
        <v>-</v>
      </c>
      <c r="AX516" s="48">
        <f>ROUND(Товары[[#This Row],[РРЦ финальная, руб.]]*(1-Товары[[#This Row],[Скидка DIY]]),2)</f>
        <v>0</v>
      </c>
    </row>
    <row r="517" spans="1:50" x14ac:dyDescent="0.25">
      <c r="A517" s="36">
        <v>515</v>
      </c>
      <c r="C517" s="36" t="s">
        <v>237</v>
      </c>
      <c r="D5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7" s="36" t="s">
        <v>220</v>
      </c>
      <c r="F5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7" s="38">
        <v>9315</v>
      </c>
      <c r="I517" s="37" t="s">
        <v>307</v>
      </c>
      <c r="J517" s="37" t="s">
        <v>398</v>
      </c>
      <c r="K517" s="38">
        <v>901060801</v>
      </c>
      <c r="L517" s="37" t="s">
        <v>969</v>
      </c>
      <c r="O517" s="39" t="s">
        <v>1952</v>
      </c>
      <c r="AS517" s="48">
        <f>ROUND((Товары[[#This Row],[IRP, Eur]]*$AT$1),-2)*(1+Товары[[#This Row],[Процент повышения РРЦ]])</f>
        <v>0</v>
      </c>
      <c r="AT517" s="48"/>
      <c r="AU517" s="50">
        <f>ROUND(Товары[[#This Row],[РРЦ финальная, руб.]]/$AT$1,2)</f>
        <v>0</v>
      </c>
      <c r="AV517" s="49" t="str">
        <f>IFERROR(Товары[[#This Row],[РРЦ, евро]]/Товары[[#This Row],[IRP, Eur]],"-")</f>
        <v>-</v>
      </c>
      <c r="AX517" s="48">
        <f>ROUND(Товары[[#This Row],[РРЦ финальная, руб.]]*(1-Товары[[#This Row],[Скидка DIY]]),2)</f>
        <v>0</v>
      </c>
    </row>
    <row r="518" spans="1:50" x14ac:dyDescent="0.25">
      <c r="A518" s="36">
        <v>516</v>
      </c>
      <c r="C518" s="36" t="s">
        <v>237</v>
      </c>
      <c r="D5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8" s="36" t="s">
        <v>224</v>
      </c>
      <c r="F5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8" s="38">
        <v>7898</v>
      </c>
      <c r="I518" s="37" t="s">
        <v>308</v>
      </c>
      <c r="J518" s="37" t="s">
        <v>399</v>
      </c>
      <c r="K518" s="38">
        <v>901060601</v>
      </c>
      <c r="L518" s="37" t="s">
        <v>970</v>
      </c>
      <c r="O518" s="39" t="s">
        <v>1953</v>
      </c>
      <c r="AS518" s="48">
        <f>ROUND((Товары[[#This Row],[IRP, Eur]]*$AT$1),-2)*(1+Товары[[#This Row],[Процент повышения РРЦ]])</f>
        <v>0</v>
      </c>
      <c r="AT518" s="48"/>
      <c r="AU518" s="50">
        <f>ROUND(Товары[[#This Row],[РРЦ финальная, руб.]]/$AT$1,2)</f>
        <v>0</v>
      </c>
      <c r="AV518" s="49" t="str">
        <f>IFERROR(Товары[[#This Row],[РРЦ, евро]]/Товары[[#This Row],[IRP, Eur]],"-")</f>
        <v>-</v>
      </c>
      <c r="AX518" s="48">
        <f>ROUND(Товары[[#This Row],[РРЦ финальная, руб.]]*(1-Товары[[#This Row],[Скидка DIY]]),2)</f>
        <v>0</v>
      </c>
    </row>
    <row r="519" spans="1:50" x14ac:dyDescent="0.25">
      <c r="A519" s="36">
        <v>517</v>
      </c>
      <c r="C519" s="36" t="s">
        <v>237</v>
      </c>
      <c r="D5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9" s="36" t="s">
        <v>215</v>
      </c>
      <c r="F5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9" s="38">
        <v>9321</v>
      </c>
      <c r="I519" s="37" t="s">
        <v>309</v>
      </c>
      <c r="J519" s="37" t="s">
        <v>400</v>
      </c>
      <c r="K519" s="38">
        <v>967623801</v>
      </c>
      <c r="L519" s="37" t="s">
        <v>971</v>
      </c>
      <c r="M519" s="37" t="s">
        <v>1400</v>
      </c>
      <c r="O519" s="39" t="s">
        <v>1954</v>
      </c>
      <c r="AS519" s="48">
        <f>ROUND((Товары[[#This Row],[IRP, Eur]]*$AT$1),-2)*(1+Товары[[#This Row],[Процент повышения РРЦ]])</f>
        <v>0</v>
      </c>
      <c r="AT519" s="48"/>
      <c r="AU519" s="50">
        <f>ROUND(Товары[[#This Row],[РРЦ финальная, руб.]]/$AT$1,2)</f>
        <v>0</v>
      </c>
      <c r="AV519" s="49" t="str">
        <f>IFERROR(Товары[[#This Row],[РРЦ, евро]]/Товары[[#This Row],[IRP, Eur]],"-")</f>
        <v>-</v>
      </c>
      <c r="AX519" s="48">
        <f>ROUND(Товары[[#This Row],[РРЦ финальная, руб.]]*(1-Товары[[#This Row],[Скидка DIY]]),2)</f>
        <v>0</v>
      </c>
    </row>
    <row r="520" spans="1:50" x14ac:dyDescent="0.25">
      <c r="A520" s="36">
        <v>518</v>
      </c>
      <c r="C520" s="36" t="s">
        <v>237</v>
      </c>
      <c r="D5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0" s="36" t="s">
        <v>215</v>
      </c>
      <c r="F5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0" s="38">
        <v>9321</v>
      </c>
      <c r="I520" s="37" t="s">
        <v>309</v>
      </c>
      <c r="J520" s="37" t="s">
        <v>401</v>
      </c>
      <c r="K520" s="38">
        <v>967623901</v>
      </c>
      <c r="L520" s="37" t="s">
        <v>972</v>
      </c>
      <c r="M520" s="37" t="s">
        <v>1400</v>
      </c>
      <c r="O520" s="39" t="s">
        <v>1955</v>
      </c>
      <c r="AS520" s="48">
        <f>ROUND((Товары[[#This Row],[IRP, Eur]]*$AT$1),-2)*(1+Товары[[#This Row],[Процент повышения РРЦ]])</f>
        <v>0</v>
      </c>
      <c r="AT520" s="48"/>
      <c r="AU520" s="50">
        <f>ROUND(Товары[[#This Row],[РРЦ финальная, руб.]]/$AT$1,2)</f>
        <v>0</v>
      </c>
      <c r="AV520" s="49" t="str">
        <f>IFERROR(Товары[[#This Row],[РРЦ, евро]]/Товары[[#This Row],[IRP, Eur]],"-")</f>
        <v>-</v>
      </c>
      <c r="AX520" s="48">
        <f>ROUND(Товары[[#This Row],[РРЦ финальная, руб.]]*(1-Товары[[#This Row],[Скидка DIY]]),2)</f>
        <v>0</v>
      </c>
    </row>
    <row r="521" spans="1:50" x14ac:dyDescent="0.25">
      <c r="A521" s="36">
        <v>519</v>
      </c>
      <c r="C521" s="36" t="s">
        <v>237</v>
      </c>
      <c r="D5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1" s="36" t="s">
        <v>215</v>
      </c>
      <c r="F5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1" s="38">
        <v>9321</v>
      </c>
      <c r="I521" s="37" t="s">
        <v>309</v>
      </c>
      <c r="K521" s="38">
        <v>967242301</v>
      </c>
      <c r="L521" s="37" t="s">
        <v>973</v>
      </c>
      <c r="M521" s="37" t="s">
        <v>1401</v>
      </c>
      <c r="O521" s="39" t="s">
        <v>1956</v>
      </c>
      <c r="AS521" s="48">
        <f>ROUND((Товары[[#This Row],[IRP, Eur]]*$AT$1),-2)*(1+Товары[[#This Row],[Процент повышения РРЦ]])</f>
        <v>0</v>
      </c>
      <c r="AT521" s="48"/>
      <c r="AU521" s="50">
        <f>ROUND(Товары[[#This Row],[РРЦ финальная, руб.]]/$AT$1,2)</f>
        <v>0</v>
      </c>
      <c r="AV521" s="49" t="str">
        <f>IFERROR(Товары[[#This Row],[РРЦ, евро]]/Товары[[#This Row],[IRP, Eur]],"-")</f>
        <v>-</v>
      </c>
      <c r="AX521" s="48">
        <f>ROUND(Товары[[#This Row],[РРЦ финальная, руб.]]*(1-Товары[[#This Row],[Скидка DIY]]),2)</f>
        <v>0</v>
      </c>
    </row>
    <row r="522" spans="1:50" x14ac:dyDescent="0.25">
      <c r="A522" s="36">
        <v>520</v>
      </c>
      <c r="C522" s="36" t="s">
        <v>237</v>
      </c>
      <c r="D5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2" s="36" t="s">
        <v>215</v>
      </c>
      <c r="F5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2" s="38">
        <v>9321</v>
      </c>
      <c r="I522" s="37" t="s">
        <v>309</v>
      </c>
      <c r="K522" s="38">
        <v>967242501</v>
      </c>
      <c r="L522" s="37" t="s">
        <v>974</v>
      </c>
      <c r="M522" s="37" t="s">
        <v>1402</v>
      </c>
      <c r="O522" s="39" t="s">
        <v>1957</v>
      </c>
      <c r="AS522" s="48">
        <f>ROUND((Товары[[#This Row],[IRP, Eur]]*$AT$1),-2)*(1+Товары[[#This Row],[Процент повышения РРЦ]])</f>
        <v>0</v>
      </c>
      <c r="AT522" s="48"/>
      <c r="AU522" s="50">
        <f>ROUND(Товары[[#This Row],[РРЦ финальная, руб.]]/$AT$1,2)</f>
        <v>0</v>
      </c>
      <c r="AV522" s="49" t="str">
        <f>IFERROR(Товары[[#This Row],[РРЦ, евро]]/Товары[[#This Row],[IRP, Eur]],"-")</f>
        <v>-</v>
      </c>
      <c r="AX522" s="48">
        <f>ROUND(Товары[[#This Row],[РРЦ финальная, руб.]]*(1-Товары[[#This Row],[Скидка DIY]]),2)</f>
        <v>0</v>
      </c>
    </row>
    <row r="523" spans="1:50" x14ac:dyDescent="0.25">
      <c r="A523" s="36">
        <v>521</v>
      </c>
      <c r="C523" s="36" t="s">
        <v>237</v>
      </c>
      <c r="D5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3" s="36" t="s">
        <v>215</v>
      </c>
      <c r="F5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3" s="38">
        <v>9321</v>
      </c>
      <c r="I523" s="37" t="s">
        <v>309</v>
      </c>
      <c r="J523" s="37" t="s">
        <v>402</v>
      </c>
      <c r="K523" s="38">
        <v>967981101</v>
      </c>
      <c r="L523" s="37" t="s">
        <v>975</v>
      </c>
      <c r="O523" s="39" t="s">
        <v>1958</v>
      </c>
      <c r="AS523" s="48">
        <f>ROUND((Товары[[#This Row],[IRP, Eur]]*$AT$1),-2)*(1+Товары[[#This Row],[Процент повышения РРЦ]])</f>
        <v>0</v>
      </c>
      <c r="AT523" s="48"/>
      <c r="AU523" s="50">
        <f>ROUND(Товары[[#This Row],[РРЦ финальная, руб.]]/$AT$1,2)</f>
        <v>0</v>
      </c>
      <c r="AV523" s="49" t="str">
        <f>IFERROR(Товары[[#This Row],[РРЦ, евро]]/Товары[[#This Row],[IRP, Eur]],"-")</f>
        <v>-</v>
      </c>
      <c r="AX523" s="48">
        <f>ROUND(Товары[[#This Row],[РРЦ финальная, руб.]]*(1-Товары[[#This Row],[Скидка DIY]]),2)</f>
        <v>0</v>
      </c>
    </row>
    <row r="524" spans="1:50" x14ac:dyDescent="0.25">
      <c r="A524" s="36">
        <v>522</v>
      </c>
      <c r="C524" s="36" t="s">
        <v>237</v>
      </c>
      <c r="D5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4" s="36" t="s">
        <v>215</v>
      </c>
      <c r="F5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4" s="38">
        <v>9321</v>
      </c>
      <c r="I524" s="37" t="s">
        <v>309</v>
      </c>
      <c r="J524" s="37" t="s">
        <v>403</v>
      </c>
      <c r="K524" s="38">
        <v>967986301</v>
      </c>
      <c r="L524" s="37" t="s">
        <v>976</v>
      </c>
      <c r="O524" s="39" t="s">
        <v>1959</v>
      </c>
      <c r="AS524" s="48">
        <f>ROUND((Товары[[#This Row],[IRP, Eur]]*$AT$1),-2)*(1+Товары[[#This Row],[Процент повышения РРЦ]])</f>
        <v>0</v>
      </c>
      <c r="AT524" s="48"/>
      <c r="AU524" s="50">
        <f>ROUND(Товары[[#This Row],[РРЦ финальная, руб.]]/$AT$1,2)</f>
        <v>0</v>
      </c>
      <c r="AV524" s="49" t="str">
        <f>IFERROR(Товары[[#This Row],[РРЦ, евро]]/Товары[[#This Row],[IRP, Eur]],"-")</f>
        <v>-</v>
      </c>
      <c r="AX524" s="48">
        <f>ROUND(Товары[[#This Row],[РРЦ финальная, руб.]]*(1-Товары[[#This Row],[Скидка DIY]]),2)</f>
        <v>0</v>
      </c>
    </row>
    <row r="525" spans="1:50" x14ac:dyDescent="0.25">
      <c r="A525" s="36">
        <v>523</v>
      </c>
      <c r="C525" s="36" t="s">
        <v>237</v>
      </c>
      <c r="D5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5" s="36" t="s">
        <v>215</v>
      </c>
      <c r="F5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5" s="38">
        <v>9321</v>
      </c>
      <c r="I525" s="37" t="s">
        <v>309</v>
      </c>
      <c r="J525" s="37" t="s">
        <v>404</v>
      </c>
      <c r="K525" s="38">
        <v>967986401</v>
      </c>
      <c r="L525" s="37" t="s">
        <v>977</v>
      </c>
      <c r="O525" s="39" t="s">
        <v>1960</v>
      </c>
      <c r="AS525" s="48">
        <f>ROUND((Товары[[#This Row],[IRP, Eur]]*$AT$1),-2)*(1+Товары[[#This Row],[Процент повышения РРЦ]])</f>
        <v>0</v>
      </c>
      <c r="AT525" s="48"/>
      <c r="AU525" s="50">
        <f>ROUND(Товары[[#This Row],[РРЦ финальная, руб.]]/$AT$1,2)</f>
        <v>0</v>
      </c>
      <c r="AV525" s="49" t="str">
        <f>IFERROR(Товары[[#This Row],[РРЦ, евро]]/Товары[[#This Row],[IRP, Eur]],"-")</f>
        <v>-</v>
      </c>
      <c r="AX525" s="48">
        <f>ROUND(Товары[[#This Row],[РРЦ финальная, руб.]]*(1-Товары[[#This Row],[Скидка DIY]]),2)</f>
        <v>0</v>
      </c>
    </row>
    <row r="526" spans="1:50" x14ac:dyDescent="0.25">
      <c r="A526" s="36">
        <v>524</v>
      </c>
      <c r="C526" s="36" t="s">
        <v>238</v>
      </c>
      <c r="D5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6" s="36" t="s">
        <v>216</v>
      </c>
      <c r="F5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6" s="38">
        <v>9322</v>
      </c>
      <c r="I526" s="37" t="s">
        <v>310</v>
      </c>
      <c r="J526" s="37" t="s">
        <v>405</v>
      </c>
      <c r="K526" s="38">
        <v>967854101</v>
      </c>
      <c r="L526" s="37" t="s">
        <v>978</v>
      </c>
      <c r="O526" s="39" t="s">
        <v>1961</v>
      </c>
      <c r="AS526" s="48">
        <f>ROUND((Товары[[#This Row],[IRP, Eur]]*$AT$1),-2)*(1+Товары[[#This Row],[Процент повышения РРЦ]])</f>
        <v>0</v>
      </c>
      <c r="AT526" s="48"/>
      <c r="AU526" s="50">
        <f>ROUND(Товары[[#This Row],[РРЦ финальная, руб.]]/$AT$1,2)</f>
        <v>0</v>
      </c>
      <c r="AV526" s="49" t="str">
        <f>IFERROR(Товары[[#This Row],[РРЦ, евро]]/Товары[[#This Row],[IRP, Eur]],"-")</f>
        <v>-</v>
      </c>
      <c r="AX526" s="48">
        <f>ROUND(Товары[[#This Row],[РРЦ финальная, руб.]]*(1-Товары[[#This Row],[Скидка DIY]]),2)</f>
        <v>0</v>
      </c>
    </row>
    <row r="527" spans="1:50" x14ac:dyDescent="0.25">
      <c r="A527" s="36">
        <v>525</v>
      </c>
      <c r="C527" s="36" t="s">
        <v>238</v>
      </c>
      <c r="D5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7" s="36" t="s">
        <v>216</v>
      </c>
      <c r="F5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7" s="38">
        <v>9322</v>
      </c>
      <c r="I527" s="37" t="s">
        <v>310</v>
      </c>
      <c r="J527" s="37" t="s">
        <v>405</v>
      </c>
      <c r="K527" s="38">
        <v>967967601</v>
      </c>
      <c r="L527" s="37" t="s">
        <v>979</v>
      </c>
      <c r="M527" s="37" t="s">
        <v>978</v>
      </c>
      <c r="O527" s="39" t="s">
        <v>1961</v>
      </c>
      <c r="AS527" s="48">
        <f>ROUND((Товары[[#This Row],[IRP, Eur]]*$AT$1),-2)*(1+Товары[[#This Row],[Процент повышения РРЦ]])</f>
        <v>0</v>
      </c>
      <c r="AT527" s="48"/>
      <c r="AU527" s="50">
        <f>ROUND(Товары[[#This Row],[РРЦ финальная, руб.]]/$AT$1,2)</f>
        <v>0</v>
      </c>
      <c r="AV527" s="49" t="str">
        <f>IFERROR(Товары[[#This Row],[РРЦ, евро]]/Товары[[#This Row],[IRP, Eur]],"-")</f>
        <v>-</v>
      </c>
      <c r="AX527" s="48">
        <f>ROUND(Товары[[#This Row],[РРЦ финальная, руб.]]*(1-Товары[[#This Row],[Скидка DIY]]),2)</f>
        <v>0</v>
      </c>
    </row>
    <row r="528" spans="1:50" x14ac:dyDescent="0.25">
      <c r="A528" s="36">
        <v>526</v>
      </c>
      <c r="C528" s="36" t="s">
        <v>238</v>
      </c>
      <c r="D5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8" s="36" t="s">
        <v>216</v>
      </c>
      <c r="F5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8" s="38">
        <v>9322</v>
      </c>
      <c r="I528" s="37" t="s">
        <v>310</v>
      </c>
      <c r="K528" s="38">
        <v>967243201</v>
      </c>
      <c r="L528" s="37" t="s">
        <v>980</v>
      </c>
      <c r="O528" s="39" t="s">
        <v>1962</v>
      </c>
      <c r="AS528" s="48">
        <f>ROUND((Товары[[#This Row],[IRP, Eur]]*$AT$1),-2)*(1+Товары[[#This Row],[Процент повышения РРЦ]])</f>
        <v>0</v>
      </c>
      <c r="AT528" s="48"/>
      <c r="AU528" s="50">
        <f>ROUND(Товары[[#This Row],[РРЦ финальная, руб.]]/$AT$1,2)</f>
        <v>0</v>
      </c>
      <c r="AV528" s="49" t="str">
        <f>IFERROR(Товары[[#This Row],[РРЦ, евро]]/Товары[[#This Row],[IRP, Eur]],"-")</f>
        <v>-</v>
      </c>
      <c r="AX528" s="48">
        <f>ROUND(Товары[[#This Row],[РРЦ финальная, руб.]]*(1-Товары[[#This Row],[Скидка DIY]]),2)</f>
        <v>0</v>
      </c>
    </row>
    <row r="529" spans="1:50" x14ac:dyDescent="0.25">
      <c r="A529" s="36">
        <v>527</v>
      </c>
      <c r="C529" s="36" t="s">
        <v>238</v>
      </c>
      <c r="D5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9" s="36" t="s">
        <v>216</v>
      </c>
      <c r="F5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9" s="38">
        <v>9322</v>
      </c>
      <c r="I529" s="37" t="s">
        <v>310</v>
      </c>
      <c r="K529" s="38">
        <v>967107301</v>
      </c>
      <c r="L529" s="37" t="s">
        <v>981</v>
      </c>
      <c r="O529" s="39" t="s">
        <v>1963</v>
      </c>
      <c r="AS529" s="48">
        <f>ROUND((Товары[[#This Row],[IRP, Eur]]*$AT$1),-2)*(1+Товары[[#This Row],[Процент повышения РРЦ]])</f>
        <v>0</v>
      </c>
      <c r="AT529" s="48"/>
      <c r="AU529" s="50">
        <f>ROUND(Товары[[#This Row],[РРЦ финальная, руб.]]/$AT$1,2)</f>
        <v>0</v>
      </c>
      <c r="AV529" s="49" t="str">
        <f>IFERROR(Товары[[#This Row],[РРЦ, евро]]/Товары[[#This Row],[IRP, Eur]],"-")</f>
        <v>-</v>
      </c>
      <c r="AX529" s="48">
        <f>ROUND(Товары[[#This Row],[РРЦ финальная, руб.]]*(1-Товары[[#This Row],[Скидка DIY]]),2)</f>
        <v>0</v>
      </c>
    </row>
    <row r="530" spans="1:50" x14ac:dyDescent="0.25">
      <c r="A530" s="36">
        <v>528</v>
      </c>
      <c r="C530" s="36" t="s">
        <v>238</v>
      </c>
      <c r="D5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0" s="36" t="s">
        <v>216</v>
      </c>
      <c r="F5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0" s="38">
        <v>9322</v>
      </c>
      <c r="I530" s="37" t="s">
        <v>310</v>
      </c>
      <c r="J530" s="37" t="s">
        <v>406</v>
      </c>
      <c r="K530" s="38">
        <v>967981301</v>
      </c>
      <c r="L530" s="37" t="s">
        <v>982</v>
      </c>
      <c r="O530" s="39" t="s">
        <v>1964</v>
      </c>
      <c r="AS530" s="48">
        <f>ROUND((Товары[[#This Row],[IRP, Eur]]*$AT$1),-2)*(1+Товары[[#This Row],[Процент повышения РРЦ]])</f>
        <v>0</v>
      </c>
      <c r="AT530" s="48"/>
      <c r="AU530" s="50">
        <f>ROUND(Товары[[#This Row],[РРЦ финальная, руб.]]/$AT$1,2)</f>
        <v>0</v>
      </c>
      <c r="AV530" s="49" t="str">
        <f>IFERROR(Товары[[#This Row],[РРЦ, евро]]/Товары[[#This Row],[IRP, Eur]],"-")</f>
        <v>-</v>
      </c>
      <c r="AX530" s="48">
        <f>ROUND(Товары[[#This Row],[РРЦ финальная, руб.]]*(1-Товары[[#This Row],[Скидка DIY]]),2)</f>
        <v>0</v>
      </c>
    </row>
    <row r="531" spans="1:50" x14ac:dyDescent="0.25">
      <c r="A531" s="36">
        <v>529</v>
      </c>
      <c r="C531" s="36" t="s">
        <v>238</v>
      </c>
      <c r="D5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1" s="36" t="s">
        <v>216</v>
      </c>
      <c r="F5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1" s="38">
        <v>9322</v>
      </c>
      <c r="I531" s="37" t="s">
        <v>310</v>
      </c>
      <c r="J531" s="37" t="s">
        <v>406</v>
      </c>
      <c r="K531" s="38">
        <v>967981401</v>
      </c>
      <c r="L531" s="37" t="s">
        <v>983</v>
      </c>
      <c r="O531" s="39" t="s">
        <v>1965</v>
      </c>
      <c r="AS531" s="48">
        <f>ROUND((Товары[[#This Row],[IRP, Eur]]*$AT$1),-2)*(1+Товары[[#This Row],[Процент повышения РРЦ]])</f>
        <v>0</v>
      </c>
      <c r="AT531" s="48"/>
      <c r="AU531" s="50">
        <f>ROUND(Товары[[#This Row],[РРЦ финальная, руб.]]/$AT$1,2)</f>
        <v>0</v>
      </c>
      <c r="AV531" s="49" t="str">
        <f>IFERROR(Товары[[#This Row],[РРЦ, евро]]/Товары[[#This Row],[IRP, Eur]],"-")</f>
        <v>-</v>
      </c>
      <c r="AX531" s="48">
        <f>ROUND(Товары[[#This Row],[РРЦ финальная, руб.]]*(1-Товары[[#This Row],[Скидка DIY]]),2)</f>
        <v>0</v>
      </c>
    </row>
    <row r="532" spans="1:50" x14ac:dyDescent="0.25">
      <c r="A532" s="36">
        <v>530</v>
      </c>
      <c r="C532" s="36" t="s">
        <v>238</v>
      </c>
      <c r="D5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2" s="36" t="s">
        <v>216</v>
      </c>
      <c r="F5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2" s="38">
        <v>9322</v>
      </c>
      <c r="I532" s="37" t="s">
        <v>310</v>
      </c>
      <c r="J532" s="37" t="s">
        <v>407</v>
      </c>
      <c r="K532" s="38">
        <v>967981501</v>
      </c>
      <c r="L532" s="37" t="s">
        <v>984</v>
      </c>
      <c r="O532" s="39" t="s">
        <v>1966</v>
      </c>
      <c r="AS532" s="48">
        <f>ROUND((Товары[[#This Row],[IRP, Eur]]*$AT$1),-2)*(1+Товары[[#This Row],[Процент повышения РРЦ]])</f>
        <v>0</v>
      </c>
      <c r="AT532" s="48"/>
      <c r="AU532" s="50">
        <f>ROUND(Товары[[#This Row],[РРЦ финальная, руб.]]/$AT$1,2)</f>
        <v>0</v>
      </c>
      <c r="AV532" s="49" t="str">
        <f>IFERROR(Товары[[#This Row],[РРЦ, евро]]/Товары[[#This Row],[IRP, Eur]],"-")</f>
        <v>-</v>
      </c>
      <c r="AX532" s="48">
        <f>ROUND(Товары[[#This Row],[РРЦ финальная, руб.]]*(1-Товары[[#This Row],[Скидка DIY]]),2)</f>
        <v>0</v>
      </c>
    </row>
    <row r="533" spans="1:50" x14ac:dyDescent="0.25">
      <c r="A533" s="36">
        <v>531</v>
      </c>
      <c r="C533" s="36" t="s">
        <v>238</v>
      </c>
      <c r="D5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3" s="36" t="s">
        <v>216</v>
      </c>
      <c r="F5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3" s="38">
        <v>9322</v>
      </c>
      <c r="I533" s="37" t="s">
        <v>310</v>
      </c>
      <c r="J533" s="37" t="s">
        <v>407</v>
      </c>
      <c r="K533" s="38">
        <v>967981601</v>
      </c>
      <c r="L533" s="37" t="s">
        <v>985</v>
      </c>
      <c r="O533" s="39" t="s">
        <v>1967</v>
      </c>
      <c r="AS533" s="48">
        <f>ROUND((Товары[[#This Row],[IRP, Eur]]*$AT$1),-2)*(1+Товары[[#This Row],[Процент повышения РРЦ]])</f>
        <v>0</v>
      </c>
      <c r="AT533" s="48"/>
      <c r="AU533" s="50">
        <f>ROUND(Товары[[#This Row],[РРЦ финальная, руб.]]/$AT$1,2)</f>
        <v>0</v>
      </c>
      <c r="AV533" s="49" t="str">
        <f>IFERROR(Товары[[#This Row],[РРЦ, евро]]/Товары[[#This Row],[IRP, Eur]],"-")</f>
        <v>-</v>
      </c>
      <c r="AX533" s="48">
        <f>ROUND(Товары[[#This Row],[РРЦ финальная, руб.]]*(1-Товары[[#This Row],[Скидка DIY]]),2)</f>
        <v>0</v>
      </c>
    </row>
    <row r="534" spans="1:50" x14ac:dyDescent="0.25">
      <c r="A534" s="36">
        <v>532</v>
      </c>
      <c r="C534" s="36" t="s">
        <v>238</v>
      </c>
      <c r="D5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4" s="36" t="s">
        <v>216</v>
      </c>
      <c r="F5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4" s="38">
        <v>9322</v>
      </c>
      <c r="I534" s="37" t="s">
        <v>310</v>
      </c>
      <c r="J534" s="37" t="s">
        <v>408</v>
      </c>
      <c r="K534" s="38">
        <v>967667801</v>
      </c>
      <c r="L534" s="37" t="s">
        <v>986</v>
      </c>
      <c r="M534" s="37" t="s">
        <v>1328</v>
      </c>
      <c r="O534" s="39" t="s">
        <v>1968</v>
      </c>
      <c r="AS534" s="48">
        <f>ROUND((Товары[[#This Row],[IRP, Eur]]*$AT$1),-2)*(1+Товары[[#This Row],[Процент повышения РРЦ]])</f>
        <v>0</v>
      </c>
      <c r="AT534" s="48"/>
      <c r="AU534" s="50">
        <f>ROUND(Товары[[#This Row],[РРЦ финальная, руб.]]/$AT$1,2)</f>
        <v>0</v>
      </c>
      <c r="AV534" s="49" t="str">
        <f>IFERROR(Товары[[#This Row],[РРЦ, евро]]/Товары[[#This Row],[IRP, Eur]],"-")</f>
        <v>-</v>
      </c>
      <c r="AX534" s="48">
        <f>ROUND(Товары[[#This Row],[РРЦ финальная, руб.]]*(1-Товары[[#This Row],[Скидка DIY]]),2)</f>
        <v>0</v>
      </c>
    </row>
    <row r="535" spans="1:50" x14ac:dyDescent="0.25">
      <c r="A535" s="36">
        <v>533</v>
      </c>
      <c r="C535" s="36" t="s">
        <v>238</v>
      </c>
      <c r="D5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5" s="36" t="s">
        <v>216</v>
      </c>
      <c r="F5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5" s="38">
        <v>9322</v>
      </c>
      <c r="I535" s="37" t="s">
        <v>310</v>
      </c>
      <c r="J535" s="37" t="s">
        <v>408</v>
      </c>
      <c r="K535" s="38">
        <v>967667901</v>
      </c>
      <c r="L535" s="37" t="s">
        <v>987</v>
      </c>
      <c r="M535" s="37" t="s">
        <v>1328</v>
      </c>
      <c r="O535" s="39" t="s">
        <v>1969</v>
      </c>
      <c r="AS535" s="48">
        <f>ROUND((Товары[[#This Row],[IRP, Eur]]*$AT$1),-2)*(1+Товары[[#This Row],[Процент повышения РРЦ]])</f>
        <v>0</v>
      </c>
      <c r="AT535" s="48"/>
      <c r="AU535" s="50">
        <f>ROUND(Товары[[#This Row],[РРЦ финальная, руб.]]/$AT$1,2)</f>
        <v>0</v>
      </c>
      <c r="AV535" s="49" t="str">
        <f>IFERROR(Товары[[#This Row],[РРЦ, евро]]/Товары[[#This Row],[IRP, Eur]],"-")</f>
        <v>-</v>
      </c>
      <c r="AX535" s="48">
        <f>ROUND(Товары[[#This Row],[РРЦ финальная, руб.]]*(1-Товары[[#This Row],[Скидка DIY]]),2)</f>
        <v>0</v>
      </c>
    </row>
    <row r="536" spans="1:50" x14ac:dyDescent="0.25">
      <c r="A536" s="36">
        <v>534</v>
      </c>
      <c r="C536" s="36" t="s">
        <v>238</v>
      </c>
      <c r="D5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6" s="36" t="s">
        <v>205</v>
      </c>
      <c r="F5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6" s="38">
        <v>9323</v>
      </c>
      <c r="I536" s="37" t="s">
        <v>311</v>
      </c>
      <c r="J536" s="37" t="s">
        <v>409</v>
      </c>
      <c r="K536" s="38">
        <v>967691401</v>
      </c>
      <c r="L536" s="37" t="s">
        <v>988</v>
      </c>
      <c r="M536" s="37" t="s">
        <v>1326</v>
      </c>
      <c r="O536" s="39" t="s">
        <v>1970</v>
      </c>
      <c r="AS536" s="48">
        <f>ROUND((Товары[[#This Row],[IRP, Eur]]*$AT$1),-2)*(1+Товары[[#This Row],[Процент повышения РРЦ]])</f>
        <v>0</v>
      </c>
      <c r="AT536" s="48"/>
      <c r="AU536" s="50">
        <f>ROUND(Товары[[#This Row],[РРЦ финальная, руб.]]/$AT$1,2)</f>
        <v>0</v>
      </c>
      <c r="AV536" s="49" t="str">
        <f>IFERROR(Товары[[#This Row],[РРЦ, евро]]/Товары[[#This Row],[IRP, Eur]],"-")</f>
        <v>-</v>
      </c>
      <c r="AX536" s="48">
        <f>ROUND(Товары[[#This Row],[РРЦ финальная, руб.]]*(1-Товары[[#This Row],[Скидка DIY]]),2)</f>
        <v>0</v>
      </c>
    </row>
    <row r="537" spans="1:50" x14ac:dyDescent="0.25">
      <c r="A537" s="36">
        <v>535</v>
      </c>
      <c r="C537" s="36" t="s">
        <v>238</v>
      </c>
      <c r="D5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7" s="36" t="s">
        <v>205</v>
      </c>
      <c r="F5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7" s="38">
        <v>9323</v>
      </c>
      <c r="I537" s="37" t="s">
        <v>311</v>
      </c>
      <c r="J537" s="37" t="s">
        <v>410</v>
      </c>
      <c r="K537" s="38">
        <v>967854301</v>
      </c>
      <c r="L537" s="37" t="s">
        <v>989</v>
      </c>
      <c r="M537" s="37" t="s">
        <v>1324</v>
      </c>
      <c r="O537" s="39" t="s">
        <v>1971</v>
      </c>
      <c r="AS537" s="48">
        <f>ROUND((Товары[[#This Row],[IRP, Eur]]*$AT$1),-2)*(1+Товары[[#This Row],[Процент повышения РРЦ]])</f>
        <v>0</v>
      </c>
      <c r="AT537" s="48"/>
      <c r="AU537" s="50">
        <f>ROUND(Товары[[#This Row],[РРЦ финальная, руб.]]/$AT$1,2)</f>
        <v>0</v>
      </c>
      <c r="AV537" s="49" t="str">
        <f>IFERROR(Товары[[#This Row],[РРЦ, евро]]/Товары[[#This Row],[IRP, Eur]],"-")</f>
        <v>-</v>
      </c>
      <c r="AX537" s="48">
        <f>ROUND(Товары[[#This Row],[РРЦ финальная, руб.]]*(1-Товары[[#This Row],[Скидка DIY]]),2)</f>
        <v>0</v>
      </c>
    </row>
    <row r="538" spans="1:50" x14ac:dyDescent="0.25">
      <c r="A538" s="36">
        <v>536</v>
      </c>
      <c r="C538" s="36" t="s">
        <v>238</v>
      </c>
      <c r="D5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8" s="36" t="s">
        <v>205</v>
      </c>
      <c r="F5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8" s="38">
        <v>9323</v>
      </c>
      <c r="I538" s="37" t="s">
        <v>311</v>
      </c>
      <c r="J538" s="37" t="s">
        <v>410</v>
      </c>
      <c r="K538" s="38">
        <v>967854401</v>
      </c>
      <c r="L538" s="37" t="s">
        <v>990</v>
      </c>
      <c r="M538" s="37" t="s">
        <v>1403</v>
      </c>
      <c r="O538" s="39" t="s">
        <v>1972</v>
      </c>
      <c r="AS538" s="48">
        <f>ROUND((Товары[[#This Row],[IRP, Eur]]*$AT$1),-2)*(1+Товары[[#This Row],[Процент повышения РРЦ]])</f>
        <v>0</v>
      </c>
      <c r="AT538" s="48"/>
      <c r="AU538" s="50">
        <f>ROUND(Товары[[#This Row],[РРЦ финальная, руб.]]/$AT$1,2)</f>
        <v>0</v>
      </c>
      <c r="AV538" s="49" t="str">
        <f>IFERROR(Товары[[#This Row],[РРЦ, евро]]/Товары[[#This Row],[IRP, Eur]],"-")</f>
        <v>-</v>
      </c>
      <c r="AX538" s="48">
        <f>ROUND(Товары[[#This Row],[РРЦ финальная, руб.]]*(1-Товары[[#This Row],[Скидка DIY]]),2)</f>
        <v>0</v>
      </c>
    </row>
    <row r="539" spans="1:50" x14ac:dyDescent="0.25">
      <c r="A539" s="36">
        <v>537</v>
      </c>
      <c r="C539" s="36" t="s">
        <v>238</v>
      </c>
      <c r="D5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9" s="36" t="s">
        <v>205</v>
      </c>
      <c r="F5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9" s="38">
        <v>9323</v>
      </c>
      <c r="I539" s="37" t="s">
        <v>311</v>
      </c>
      <c r="J539" s="37" t="s">
        <v>410</v>
      </c>
      <c r="K539" s="38">
        <v>967856601</v>
      </c>
      <c r="L539" s="37" t="s">
        <v>991</v>
      </c>
      <c r="M539" s="37" t="s">
        <v>1404</v>
      </c>
      <c r="O539" s="39" t="s">
        <v>1973</v>
      </c>
      <c r="AS539" s="48">
        <f>ROUND((Товары[[#This Row],[IRP, Eur]]*$AT$1),-2)*(1+Товары[[#This Row],[Процент повышения РРЦ]])</f>
        <v>0</v>
      </c>
      <c r="AT539" s="48"/>
      <c r="AU539" s="50">
        <f>ROUND(Товары[[#This Row],[РРЦ финальная, руб.]]/$AT$1,2)</f>
        <v>0</v>
      </c>
      <c r="AV539" s="49" t="str">
        <f>IFERROR(Товары[[#This Row],[РРЦ, евро]]/Товары[[#This Row],[IRP, Eur]],"-")</f>
        <v>-</v>
      </c>
      <c r="AX539" s="48">
        <f>ROUND(Товары[[#This Row],[РРЦ финальная, руб.]]*(1-Товары[[#This Row],[Скидка DIY]]),2)</f>
        <v>0</v>
      </c>
    </row>
    <row r="540" spans="1:50" x14ac:dyDescent="0.25">
      <c r="A540" s="36">
        <v>538</v>
      </c>
      <c r="C540" s="36" t="s">
        <v>238</v>
      </c>
      <c r="D5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0" s="36" t="s">
        <v>205</v>
      </c>
      <c r="F5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0" s="38">
        <v>9323</v>
      </c>
      <c r="I540" s="37" t="s">
        <v>311</v>
      </c>
      <c r="J540" s="37" t="s">
        <v>411</v>
      </c>
      <c r="K540" s="38">
        <v>967856701</v>
      </c>
      <c r="L540" s="37" t="s">
        <v>992</v>
      </c>
      <c r="M540" s="37" t="s">
        <v>1405</v>
      </c>
      <c r="O540" s="39" t="s">
        <v>1974</v>
      </c>
      <c r="AS540" s="48">
        <f>ROUND((Товары[[#This Row],[IRP, Eur]]*$AT$1),-2)*(1+Товары[[#This Row],[Процент повышения РРЦ]])</f>
        <v>0</v>
      </c>
      <c r="AT540" s="48"/>
      <c r="AU540" s="50">
        <f>ROUND(Товары[[#This Row],[РРЦ финальная, руб.]]/$AT$1,2)</f>
        <v>0</v>
      </c>
      <c r="AV540" s="49" t="str">
        <f>IFERROR(Товары[[#This Row],[РРЦ, евро]]/Товары[[#This Row],[IRP, Eur]],"-")</f>
        <v>-</v>
      </c>
      <c r="AX540" s="48">
        <f>ROUND(Товары[[#This Row],[РРЦ финальная, руб.]]*(1-Товары[[#This Row],[Скидка DIY]]),2)</f>
        <v>0</v>
      </c>
    </row>
    <row r="541" spans="1:50" x14ac:dyDescent="0.25">
      <c r="A541" s="36">
        <v>539</v>
      </c>
      <c r="C541" s="36" t="s">
        <v>238</v>
      </c>
      <c r="D5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1" s="36" t="s">
        <v>205</v>
      </c>
      <c r="F5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1" s="38">
        <v>9323</v>
      </c>
      <c r="I541" s="37" t="s">
        <v>311</v>
      </c>
      <c r="J541" s="37" t="s">
        <v>411</v>
      </c>
      <c r="K541" s="38">
        <v>967856801</v>
      </c>
      <c r="L541" s="37" t="s">
        <v>993</v>
      </c>
      <c r="M541" s="37" t="s">
        <v>1406</v>
      </c>
      <c r="O541" s="39" t="s">
        <v>1975</v>
      </c>
      <c r="AS541" s="48">
        <f>ROUND((Товары[[#This Row],[IRP, Eur]]*$AT$1),-2)*(1+Товары[[#This Row],[Процент повышения РРЦ]])</f>
        <v>0</v>
      </c>
      <c r="AT541" s="48"/>
      <c r="AU541" s="50">
        <f>ROUND(Товары[[#This Row],[РРЦ финальная, руб.]]/$AT$1,2)</f>
        <v>0</v>
      </c>
      <c r="AV541" s="49" t="str">
        <f>IFERROR(Товары[[#This Row],[РРЦ, евро]]/Товары[[#This Row],[IRP, Eur]],"-")</f>
        <v>-</v>
      </c>
      <c r="AX541" s="48">
        <f>ROUND(Товары[[#This Row],[РРЦ финальная, руб.]]*(1-Товары[[#This Row],[Скидка DIY]]),2)</f>
        <v>0</v>
      </c>
    </row>
    <row r="542" spans="1:50" x14ac:dyDescent="0.25">
      <c r="A542" s="36">
        <v>540</v>
      </c>
      <c r="C542" s="36" t="s">
        <v>238</v>
      </c>
      <c r="D5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2" s="36" t="s">
        <v>205</v>
      </c>
      <c r="F5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2" s="38">
        <v>9323</v>
      </c>
      <c r="I542" s="37" t="s">
        <v>311</v>
      </c>
      <c r="J542" s="37" t="s">
        <v>411</v>
      </c>
      <c r="K542" s="38">
        <v>967856901</v>
      </c>
      <c r="L542" s="37" t="s">
        <v>994</v>
      </c>
      <c r="M542" s="37" t="s">
        <v>1407</v>
      </c>
      <c r="O542" s="39" t="s">
        <v>1976</v>
      </c>
      <c r="AS542" s="48">
        <f>ROUND((Товары[[#This Row],[IRP, Eur]]*$AT$1),-2)*(1+Товары[[#This Row],[Процент повышения РРЦ]])</f>
        <v>0</v>
      </c>
      <c r="AT542" s="48"/>
      <c r="AU542" s="50">
        <f>ROUND(Товары[[#This Row],[РРЦ финальная, руб.]]/$AT$1,2)</f>
        <v>0</v>
      </c>
      <c r="AV542" s="49" t="str">
        <f>IFERROR(Товары[[#This Row],[РРЦ, евро]]/Товары[[#This Row],[IRP, Eur]],"-")</f>
        <v>-</v>
      </c>
      <c r="AX542" s="48">
        <f>ROUND(Товары[[#This Row],[РРЦ финальная, руб.]]*(1-Товары[[#This Row],[Скидка DIY]]),2)</f>
        <v>0</v>
      </c>
    </row>
    <row r="543" spans="1:50" x14ac:dyDescent="0.25">
      <c r="A543" s="36">
        <v>541</v>
      </c>
      <c r="C543" s="36" t="s">
        <v>236</v>
      </c>
      <c r="D5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3" s="36" t="s">
        <v>217</v>
      </c>
      <c r="F5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3" s="38">
        <v>2604</v>
      </c>
      <c r="I543" s="37" t="s">
        <v>312</v>
      </c>
      <c r="J543" s="37">
        <v>2342</v>
      </c>
      <c r="K543" s="38">
        <v>966641401</v>
      </c>
      <c r="L543" s="37" t="s">
        <v>995</v>
      </c>
      <c r="O543" s="39" t="s">
        <v>1977</v>
      </c>
      <c r="AS543" s="48">
        <f>ROUND((Товары[[#This Row],[IRP, Eur]]*$AT$1),-2)*(1+Товары[[#This Row],[Процент повышения РРЦ]])</f>
        <v>0</v>
      </c>
      <c r="AT543" s="48"/>
      <c r="AU543" s="50">
        <f>ROUND(Товары[[#This Row],[РРЦ финальная, руб.]]/$AT$1,2)</f>
        <v>0</v>
      </c>
      <c r="AV543" s="49" t="str">
        <f>IFERROR(Товары[[#This Row],[РРЦ, евро]]/Товары[[#This Row],[IRP, Eur]],"-")</f>
        <v>-</v>
      </c>
      <c r="AX543" s="48">
        <f>ROUND(Товары[[#This Row],[РРЦ финальная, руб.]]*(1-Товары[[#This Row],[Скидка DIY]]),2)</f>
        <v>0</v>
      </c>
    </row>
    <row r="544" spans="1:50" x14ac:dyDescent="0.25">
      <c r="A544" s="36">
        <v>542</v>
      </c>
      <c r="C544" s="36" t="s">
        <v>236</v>
      </c>
      <c r="D5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4" s="36" t="s">
        <v>217</v>
      </c>
      <c r="F5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4" s="38">
        <v>2604</v>
      </c>
      <c r="I544" s="37" t="s">
        <v>295</v>
      </c>
      <c r="J544" s="37">
        <v>2343</v>
      </c>
      <c r="K544" s="38">
        <v>966646101</v>
      </c>
      <c r="L544" s="37" t="s">
        <v>996</v>
      </c>
      <c r="O544" s="39" t="s">
        <v>1978</v>
      </c>
      <c r="AS544" s="48">
        <f>ROUND((Товары[[#This Row],[IRP, Eur]]*$AT$1),-2)*(1+Товары[[#This Row],[Процент повышения РРЦ]])</f>
        <v>0</v>
      </c>
      <c r="AT544" s="48"/>
      <c r="AU544" s="50">
        <f>ROUND(Товары[[#This Row],[РРЦ финальная, руб.]]/$AT$1,2)</f>
        <v>0</v>
      </c>
      <c r="AV544" s="49" t="str">
        <f>IFERROR(Товары[[#This Row],[РРЦ, евро]]/Товары[[#This Row],[IRP, Eur]],"-")</f>
        <v>-</v>
      </c>
      <c r="AX544" s="48">
        <f>ROUND(Товары[[#This Row],[РРЦ финальная, руб.]]*(1-Товары[[#This Row],[Скидка DIY]]),2)</f>
        <v>0</v>
      </c>
    </row>
    <row r="545" spans="1:50" x14ac:dyDescent="0.25">
      <c r="A545" s="36">
        <v>543</v>
      </c>
      <c r="C545" s="36" t="s">
        <v>236</v>
      </c>
      <c r="D5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5" s="36" t="s">
        <v>217</v>
      </c>
      <c r="F5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5" s="38">
        <v>2604</v>
      </c>
      <c r="I545" s="37" t="s">
        <v>312</v>
      </c>
      <c r="J545" s="37">
        <v>2340</v>
      </c>
      <c r="K545" s="38">
        <v>966641301</v>
      </c>
      <c r="L545" s="37" t="s">
        <v>997</v>
      </c>
      <c r="O545" s="39" t="s">
        <v>1979</v>
      </c>
      <c r="AS545" s="48">
        <f>ROUND((Товары[[#This Row],[IRP, Eur]]*$AT$1),-2)*(1+Товары[[#This Row],[Процент повышения РРЦ]])</f>
        <v>0</v>
      </c>
      <c r="AT545" s="48"/>
      <c r="AU545" s="50">
        <f>ROUND(Товары[[#This Row],[РРЦ финальная, руб.]]/$AT$1,2)</f>
        <v>0</v>
      </c>
      <c r="AV545" s="49" t="str">
        <f>IFERROR(Товары[[#This Row],[РРЦ, евро]]/Товары[[#This Row],[IRP, Eur]],"-")</f>
        <v>-</v>
      </c>
      <c r="AX545" s="48">
        <f>ROUND(Товары[[#This Row],[РРЦ финальная, руб.]]*(1-Товары[[#This Row],[Скидка DIY]]),2)</f>
        <v>0</v>
      </c>
    </row>
    <row r="546" spans="1:50" x14ac:dyDescent="0.25">
      <c r="A546" s="36">
        <v>544</v>
      </c>
      <c r="C546" s="36" t="s">
        <v>236</v>
      </c>
      <c r="D5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6" s="36" t="s">
        <v>217</v>
      </c>
      <c r="F5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6" s="38">
        <v>2604</v>
      </c>
      <c r="I546" s="37" t="s">
        <v>295</v>
      </c>
      <c r="J546" s="37">
        <v>2345</v>
      </c>
      <c r="K546" s="38">
        <v>900986201</v>
      </c>
      <c r="L546" s="37" t="s">
        <v>998</v>
      </c>
      <c r="O546" s="39" t="s">
        <v>1980</v>
      </c>
      <c r="AS546" s="48">
        <f>ROUND((Товары[[#This Row],[IRP, Eur]]*$AT$1),-2)*(1+Товары[[#This Row],[Процент повышения РРЦ]])</f>
        <v>0</v>
      </c>
      <c r="AT546" s="48"/>
      <c r="AU546" s="50">
        <f>ROUND(Товары[[#This Row],[РРЦ финальная, руб.]]/$AT$1,2)</f>
        <v>0</v>
      </c>
      <c r="AV546" s="49" t="str">
        <f>IFERROR(Товары[[#This Row],[РРЦ, евро]]/Товары[[#This Row],[IRP, Eur]],"-")</f>
        <v>-</v>
      </c>
      <c r="AX546" s="48">
        <f>ROUND(Товары[[#This Row],[РРЦ финальная, руб.]]*(1-Товары[[#This Row],[Скидка DIY]]),2)</f>
        <v>0</v>
      </c>
    </row>
    <row r="547" spans="1:50" x14ac:dyDescent="0.25">
      <c r="A547" s="36">
        <v>545</v>
      </c>
      <c r="C547" s="36" t="s">
        <v>236</v>
      </c>
      <c r="D5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7" s="36" t="s">
        <v>217</v>
      </c>
      <c r="F5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7" s="38">
        <v>2604</v>
      </c>
      <c r="I547" s="37" t="s">
        <v>295</v>
      </c>
      <c r="J547" s="37">
        <v>2346</v>
      </c>
      <c r="K547" s="38">
        <v>900986301</v>
      </c>
      <c r="L547" s="37" t="s">
        <v>999</v>
      </c>
      <c r="O547" s="39" t="s">
        <v>1981</v>
      </c>
      <c r="AS547" s="48">
        <f>ROUND((Товары[[#This Row],[IRP, Eur]]*$AT$1),-2)*(1+Товары[[#This Row],[Процент повышения РРЦ]])</f>
        <v>0</v>
      </c>
      <c r="AT547" s="48"/>
      <c r="AU547" s="50">
        <f>ROUND(Товары[[#This Row],[РРЦ финальная, руб.]]/$AT$1,2)</f>
        <v>0</v>
      </c>
      <c r="AV547" s="49" t="str">
        <f>IFERROR(Товары[[#This Row],[РРЦ, евро]]/Товары[[#This Row],[IRP, Eur]],"-")</f>
        <v>-</v>
      </c>
      <c r="AX547" s="48">
        <f>ROUND(Товары[[#This Row],[РРЦ финальная, руб.]]*(1-Товары[[#This Row],[Скидка DIY]]),2)</f>
        <v>0</v>
      </c>
    </row>
    <row r="548" spans="1:50" x14ac:dyDescent="0.25">
      <c r="A548" s="36">
        <v>546</v>
      </c>
      <c r="C548" s="36" t="s">
        <v>236</v>
      </c>
      <c r="D5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8" s="36" t="s">
        <v>217</v>
      </c>
      <c r="F5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8" s="38">
        <v>2604</v>
      </c>
      <c r="I548" s="37" t="s">
        <v>313</v>
      </c>
      <c r="J548" s="37" t="s">
        <v>412</v>
      </c>
      <c r="K548" s="38">
        <v>967857001</v>
      </c>
      <c r="L548" s="37" t="s">
        <v>1000</v>
      </c>
      <c r="M548" s="37" t="s">
        <v>1408</v>
      </c>
      <c r="O548" s="39" t="s">
        <v>1982</v>
      </c>
      <c r="AS548" s="48">
        <f>ROUND((Товары[[#This Row],[IRP, Eur]]*$AT$1),-2)*(1+Товары[[#This Row],[Процент повышения РРЦ]])</f>
        <v>0</v>
      </c>
      <c r="AT548" s="48"/>
      <c r="AU548" s="50">
        <f>ROUND(Товары[[#This Row],[РРЦ финальная, руб.]]/$AT$1,2)</f>
        <v>0</v>
      </c>
      <c r="AV548" s="49" t="str">
        <f>IFERROR(Товары[[#This Row],[РРЦ, евро]]/Товары[[#This Row],[IRP, Eur]],"-")</f>
        <v>-</v>
      </c>
      <c r="AX548" s="48">
        <f>ROUND(Товары[[#This Row],[РРЦ финальная, руб.]]*(1-Товары[[#This Row],[Скидка DIY]]),2)</f>
        <v>0</v>
      </c>
    </row>
    <row r="549" spans="1:50" x14ac:dyDescent="0.25">
      <c r="A549" s="36">
        <v>547</v>
      </c>
      <c r="C549" s="36" t="s">
        <v>236</v>
      </c>
      <c r="D5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9" s="36" t="s">
        <v>217</v>
      </c>
      <c r="F5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9" s="38">
        <v>2604</v>
      </c>
      <c r="I549" s="37" t="s">
        <v>314</v>
      </c>
      <c r="J549" s="37" t="s">
        <v>413</v>
      </c>
      <c r="K549" s="38">
        <v>967857101</v>
      </c>
      <c r="L549" s="37" t="s">
        <v>1001</v>
      </c>
      <c r="M549" s="37" t="s">
        <v>1338</v>
      </c>
      <c r="O549" s="39" t="s">
        <v>1983</v>
      </c>
      <c r="AS549" s="48">
        <f>ROUND((Товары[[#This Row],[IRP, Eur]]*$AT$1),-2)*(1+Товары[[#This Row],[Процент повышения РРЦ]])</f>
        <v>0</v>
      </c>
      <c r="AT549" s="48"/>
      <c r="AU549" s="50">
        <f>ROUND(Товары[[#This Row],[РРЦ финальная, руб.]]/$AT$1,2)</f>
        <v>0</v>
      </c>
      <c r="AV549" s="49" t="str">
        <f>IFERROR(Товары[[#This Row],[РРЦ, евро]]/Товары[[#This Row],[IRP, Eur]],"-")</f>
        <v>-</v>
      </c>
      <c r="AX549" s="48">
        <f>ROUND(Товары[[#This Row],[РРЦ финальная, руб.]]*(1-Товары[[#This Row],[Скидка DIY]]),2)</f>
        <v>0</v>
      </c>
    </row>
    <row r="550" spans="1:50" x14ac:dyDescent="0.25">
      <c r="A550" s="36">
        <v>548</v>
      </c>
      <c r="C550" s="36" t="s">
        <v>236</v>
      </c>
      <c r="D5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0" s="36" t="s">
        <v>217</v>
      </c>
      <c r="F5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0" s="38">
        <v>2604</v>
      </c>
      <c r="I550" s="37" t="s">
        <v>315</v>
      </c>
      <c r="J550" s="37" t="s">
        <v>414</v>
      </c>
      <c r="K550" s="38">
        <v>967909601</v>
      </c>
      <c r="L550" s="37" t="s">
        <v>1002</v>
      </c>
      <c r="O550" s="39" t="s">
        <v>1984</v>
      </c>
      <c r="AS550" s="48">
        <f>ROUND((Товары[[#This Row],[IRP, Eur]]*$AT$1),-2)*(1+Товары[[#This Row],[Процент повышения РРЦ]])</f>
        <v>0</v>
      </c>
      <c r="AT550" s="48"/>
      <c r="AU550" s="50">
        <f>ROUND(Товары[[#This Row],[РРЦ финальная, руб.]]/$AT$1,2)</f>
        <v>0</v>
      </c>
      <c r="AV550" s="49" t="str">
        <f>IFERROR(Товары[[#This Row],[РРЦ, евро]]/Товары[[#This Row],[IRP, Eur]],"-")</f>
        <v>-</v>
      </c>
      <c r="AX550" s="48">
        <f>ROUND(Товары[[#This Row],[РРЦ финальная, руб.]]*(1-Товары[[#This Row],[Скидка DIY]]),2)</f>
        <v>0</v>
      </c>
    </row>
    <row r="551" spans="1:50" x14ac:dyDescent="0.25">
      <c r="A551" s="36">
        <v>549</v>
      </c>
      <c r="C551" s="36" t="s">
        <v>236</v>
      </c>
      <c r="D5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1" s="36" t="s">
        <v>217</v>
      </c>
      <c r="F5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1" s="38">
        <v>2604</v>
      </c>
      <c r="I551" s="37" t="s">
        <v>315</v>
      </c>
      <c r="J551" s="37" t="s">
        <v>415</v>
      </c>
      <c r="K551" s="38">
        <v>967909501</v>
      </c>
      <c r="L551" s="37" t="s">
        <v>1003</v>
      </c>
      <c r="O551" s="39" t="s">
        <v>1985</v>
      </c>
      <c r="AS551" s="48">
        <f>ROUND((Товары[[#This Row],[IRP, Eur]]*$AT$1),-2)*(1+Товары[[#This Row],[Процент повышения РРЦ]])</f>
        <v>0</v>
      </c>
      <c r="AT551" s="48"/>
      <c r="AU551" s="50">
        <f>ROUND(Товары[[#This Row],[РРЦ финальная, руб.]]/$AT$1,2)</f>
        <v>0</v>
      </c>
      <c r="AV551" s="49" t="str">
        <f>IFERROR(Товары[[#This Row],[РРЦ, евро]]/Товары[[#This Row],[IRP, Eur]],"-")</f>
        <v>-</v>
      </c>
      <c r="AX551" s="48">
        <f>ROUND(Товары[[#This Row],[РРЦ финальная, руб.]]*(1-Товары[[#This Row],[Скидка DIY]]),2)</f>
        <v>0</v>
      </c>
    </row>
    <row r="552" spans="1:50" x14ac:dyDescent="0.25">
      <c r="A552" s="36">
        <v>550</v>
      </c>
      <c r="C552" s="36" t="s">
        <v>236</v>
      </c>
      <c r="D5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2" s="36" t="s">
        <v>217</v>
      </c>
      <c r="F5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2" s="38">
        <v>2601</v>
      </c>
      <c r="I552" s="37" t="s">
        <v>316</v>
      </c>
      <c r="J552" s="37">
        <v>5306</v>
      </c>
      <c r="K552" s="38">
        <v>901082701</v>
      </c>
      <c r="L552" s="37" t="s">
        <v>1004</v>
      </c>
      <c r="O552" s="39" t="s">
        <v>1986</v>
      </c>
      <c r="AS552" s="48">
        <f>ROUND((Товары[[#This Row],[IRP, Eur]]*$AT$1),-2)*(1+Товары[[#This Row],[Процент повышения РРЦ]])</f>
        <v>0</v>
      </c>
      <c r="AT552" s="48"/>
      <c r="AU552" s="50">
        <f>ROUND(Товары[[#This Row],[РРЦ финальная, руб.]]/$AT$1,2)</f>
        <v>0</v>
      </c>
      <c r="AV552" s="49" t="str">
        <f>IFERROR(Товары[[#This Row],[РРЦ, евро]]/Товары[[#This Row],[IRP, Eur]],"-")</f>
        <v>-</v>
      </c>
      <c r="AX552" s="48">
        <f>ROUND(Товары[[#This Row],[РРЦ финальная, руб.]]*(1-Товары[[#This Row],[Скидка DIY]]),2)</f>
        <v>0</v>
      </c>
    </row>
    <row r="553" spans="1:50" x14ac:dyDescent="0.25">
      <c r="A553" s="36">
        <v>551</v>
      </c>
      <c r="C553" s="36" t="s">
        <v>236</v>
      </c>
      <c r="D5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3" s="36" t="s">
        <v>217</v>
      </c>
      <c r="F5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3" s="38">
        <v>2601</v>
      </c>
      <c r="I553" s="37" t="s">
        <v>316</v>
      </c>
      <c r="J553" s="37">
        <v>5307</v>
      </c>
      <c r="K553" s="38">
        <v>901082801</v>
      </c>
      <c r="L553" s="37" t="s">
        <v>1005</v>
      </c>
      <c r="O553" s="39" t="s">
        <v>1987</v>
      </c>
      <c r="AS553" s="48">
        <f>ROUND((Товары[[#This Row],[IRP, Eur]]*$AT$1),-2)*(1+Товары[[#This Row],[Процент повышения РРЦ]])</f>
        <v>0</v>
      </c>
      <c r="AT553" s="48"/>
      <c r="AU553" s="50">
        <f>ROUND(Товары[[#This Row],[РРЦ финальная, руб.]]/$AT$1,2)</f>
        <v>0</v>
      </c>
      <c r="AV553" s="49" t="str">
        <f>IFERROR(Товары[[#This Row],[РРЦ, евро]]/Товары[[#This Row],[IRP, Eur]],"-")</f>
        <v>-</v>
      </c>
      <c r="AX553" s="48">
        <f>ROUND(Товары[[#This Row],[РРЦ финальная, руб.]]*(1-Товары[[#This Row],[Скидка DIY]]),2)</f>
        <v>0</v>
      </c>
    </row>
    <row r="554" spans="1:50" x14ac:dyDescent="0.25">
      <c r="A554" s="36">
        <v>552</v>
      </c>
      <c r="C554" s="36" t="s">
        <v>236</v>
      </c>
      <c r="D5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4" s="36" t="s">
        <v>217</v>
      </c>
      <c r="F5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4" s="38">
        <v>2601</v>
      </c>
      <c r="I554" s="37" t="s">
        <v>316</v>
      </c>
      <c r="J554" s="37">
        <v>5308</v>
      </c>
      <c r="K554" s="38">
        <v>901082901</v>
      </c>
      <c r="L554" s="37" t="s">
        <v>1006</v>
      </c>
      <c r="O554" s="39" t="s">
        <v>1988</v>
      </c>
      <c r="AS554" s="48">
        <f>ROUND((Товары[[#This Row],[IRP, Eur]]*$AT$1),-2)*(1+Товары[[#This Row],[Процент повышения РРЦ]])</f>
        <v>0</v>
      </c>
      <c r="AT554" s="48"/>
      <c r="AU554" s="50">
        <f>ROUND(Товары[[#This Row],[РРЦ финальная, руб.]]/$AT$1,2)</f>
        <v>0</v>
      </c>
      <c r="AV554" s="49" t="str">
        <f>IFERROR(Товары[[#This Row],[РРЦ, евро]]/Товары[[#This Row],[IRP, Eur]],"-")</f>
        <v>-</v>
      </c>
      <c r="AX554" s="48">
        <f>ROUND(Товары[[#This Row],[РРЦ финальная, руб.]]*(1-Товары[[#This Row],[Скидка DIY]]),2)</f>
        <v>0</v>
      </c>
    </row>
    <row r="555" spans="1:50" x14ac:dyDescent="0.25">
      <c r="A555" s="36">
        <v>553</v>
      </c>
      <c r="C555" s="36" t="s">
        <v>236</v>
      </c>
      <c r="D5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5" s="36" t="s">
        <v>217</v>
      </c>
      <c r="F5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5" s="38">
        <v>2601</v>
      </c>
      <c r="I555" s="37" t="s">
        <v>317</v>
      </c>
      <c r="J555" s="37">
        <v>5368</v>
      </c>
      <c r="K555" s="38">
        <v>901086901</v>
      </c>
      <c r="L555" s="37" t="s">
        <v>1007</v>
      </c>
      <c r="O555" s="39" t="s">
        <v>1989</v>
      </c>
      <c r="AS555" s="48">
        <f>ROUND((Товары[[#This Row],[IRP, Eur]]*$AT$1),-2)*(1+Товары[[#This Row],[Процент повышения РРЦ]])</f>
        <v>0</v>
      </c>
      <c r="AT555" s="48"/>
      <c r="AU555" s="50">
        <f>ROUND(Товары[[#This Row],[РРЦ финальная, руб.]]/$AT$1,2)</f>
        <v>0</v>
      </c>
      <c r="AV555" s="49" t="str">
        <f>IFERROR(Товары[[#This Row],[РРЦ, евро]]/Товары[[#This Row],[IRP, Eur]],"-")</f>
        <v>-</v>
      </c>
      <c r="AX555" s="48">
        <f>ROUND(Товары[[#This Row],[РРЦ финальная, руб.]]*(1-Товары[[#This Row],[Скидка DIY]]),2)</f>
        <v>0</v>
      </c>
    </row>
    <row r="556" spans="1:50" x14ac:dyDescent="0.25">
      <c r="A556" s="36">
        <v>554</v>
      </c>
      <c r="C556" s="36" t="s">
        <v>238</v>
      </c>
      <c r="D5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6" s="36" t="s">
        <v>217</v>
      </c>
      <c r="F5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6" s="38">
        <v>2603</v>
      </c>
      <c r="I556" s="37" t="s">
        <v>318</v>
      </c>
      <c r="J556" s="37" t="s">
        <v>416</v>
      </c>
      <c r="K556" s="38">
        <v>967909801</v>
      </c>
      <c r="L556" s="37" t="s">
        <v>1008</v>
      </c>
      <c r="O556" s="39" t="s">
        <v>1990</v>
      </c>
      <c r="AS556" s="48">
        <f>ROUND((Товары[[#This Row],[IRP, Eur]]*$AT$1),-2)*(1+Товары[[#This Row],[Процент повышения РРЦ]])</f>
        <v>0</v>
      </c>
      <c r="AT556" s="48"/>
      <c r="AU556" s="50">
        <f>ROUND(Товары[[#This Row],[РРЦ финальная, руб.]]/$AT$1,2)</f>
        <v>0</v>
      </c>
      <c r="AV556" s="49" t="str">
        <f>IFERROR(Товары[[#This Row],[РРЦ, евро]]/Товары[[#This Row],[IRP, Eur]],"-")</f>
        <v>-</v>
      </c>
      <c r="AX556" s="48">
        <f>ROUND(Товары[[#This Row],[РРЦ финальная, руб.]]*(1-Товары[[#This Row],[Скидка DIY]]),2)</f>
        <v>0</v>
      </c>
    </row>
    <row r="557" spans="1:50" x14ac:dyDescent="0.25">
      <c r="A557" s="36">
        <v>555</v>
      </c>
      <c r="C557" s="36" t="s">
        <v>238</v>
      </c>
      <c r="D5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7" s="36" t="s">
        <v>217</v>
      </c>
      <c r="F5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7" s="38">
        <v>2603</v>
      </c>
      <c r="I557" s="37" t="s">
        <v>319</v>
      </c>
      <c r="J557" s="37" t="s">
        <v>417</v>
      </c>
      <c r="K557" s="38">
        <v>967909901</v>
      </c>
      <c r="L557" s="37" t="s">
        <v>1009</v>
      </c>
      <c r="O557" s="39" t="s">
        <v>1991</v>
      </c>
      <c r="AS557" s="48">
        <f>ROUND((Товары[[#This Row],[IRP, Eur]]*$AT$1),-2)*(1+Товары[[#This Row],[Процент повышения РРЦ]])</f>
        <v>0</v>
      </c>
      <c r="AT557" s="48"/>
      <c r="AU557" s="50">
        <f>ROUND(Товары[[#This Row],[РРЦ финальная, руб.]]/$AT$1,2)</f>
        <v>0</v>
      </c>
      <c r="AV557" s="49" t="str">
        <f>IFERROR(Товары[[#This Row],[РРЦ, евро]]/Товары[[#This Row],[IRP, Eur]],"-")</f>
        <v>-</v>
      </c>
      <c r="AX557" s="48">
        <f>ROUND(Товары[[#This Row],[РРЦ финальная, руб.]]*(1-Товары[[#This Row],[Скидка DIY]]),2)</f>
        <v>0</v>
      </c>
    </row>
    <row r="558" spans="1:50" x14ac:dyDescent="0.25">
      <c r="A558" s="36">
        <v>556</v>
      </c>
      <c r="C558" s="36" t="s">
        <v>238</v>
      </c>
      <c r="D5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8" s="36" t="s">
        <v>217</v>
      </c>
      <c r="F5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8" s="38">
        <v>2603</v>
      </c>
      <c r="I558" s="37" t="s">
        <v>253</v>
      </c>
      <c r="J558" s="37" t="s">
        <v>418</v>
      </c>
      <c r="K558" s="38">
        <v>967910001</v>
      </c>
      <c r="L558" s="37" t="s">
        <v>1010</v>
      </c>
      <c r="O558" s="39" t="s">
        <v>1992</v>
      </c>
      <c r="AS558" s="48">
        <f>ROUND((Товары[[#This Row],[IRP, Eur]]*$AT$1),-2)*(1+Товары[[#This Row],[Процент повышения РРЦ]])</f>
        <v>0</v>
      </c>
      <c r="AT558" s="48"/>
      <c r="AU558" s="50">
        <f>ROUND(Товары[[#This Row],[РРЦ финальная, руб.]]/$AT$1,2)</f>
        <v>0</v>
      </c>
      <c r="AV558" s="49" t="str">
        <f>IFERROR(Товары[[#This Row],[РРЦ, евро]]/Товары[[#This Row],[IRP, Eur]],"-")</f>
        <v>-</v>
      </c>
      <c r="AX558" s="48">
        <f>ROUND(Товары[[#This Row],[РРЦ финальная, руб.]]*(1-Товары[[#This Row],[Скидка DIY]]),2)</f>
        <v>0</v>
      </c>
    </row>
    <row r="559" spans="1:50" x14ac:dyDescent="0.25">
      <c r="A559" s="36">
        <v>557</v>
      </c>
      <c r="C559" s="36" t="s">
        <v>238</v>
      </c>
      <c r="D5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9" s="36" t="s">
        <v>217</v>
      </c>
      <c r="F5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9" s="38">
        <v>2603</v>
      </c>
      <c r="I559" s="37" t="s">
        <v>318</v>
      </c>
      <c r="J559" s="37" t="s">
        <v>419</v>
      </c>
      <c r="K559" s="38">
        <v>967909701</v>
      </c>
      <c r="L559" s="37" t="s">
        <v>1011</v>
      </c>
      <c r="O559" s="39" t="s">
        <v>1993</v>
      </c>
      <c r="AS559" s="48">
        <f>ROUND((Товары[[#This Row],[IRP, Eur]]*$AT$1),-2)*(1+Товары[[#This Row],[Процент повышения РРЦ]])</f>
        <v>0</v>
      </c>
      <c r="AT559" s="48"/>
      <c r="AU559" s="50">
        <f>ROUND(Товары[[#This Row],[РРЦ финальная, руб.]]/$AT$1,2)</f>
        <v>0</v>
      </c>
      <c r="AV559" s="49" t="str">
        <f>IFERROR(Товары[[#This Row],[РРЦ, евро]]/Товары[[#This Row],[IRP, Eur]],"-")</f>
        <v>-</v>
      </c>
      <c r="AX559" s="48">
        <f>ROUND(Товары[[#This Row],[РРЦ финальная, руб.]]*(1-Товары[[#This Row],[Скидка DIY]]),2)</f>
        <v>0</v>
      </c>
    </row>
    <row r="560" spans="1:50" x14ac:dyDescent="0.25">
      <c r="A560" s="36">
        <v>558</v>
      </c>
      <c r="C560" s="36" t="s">
        <v>237</v>
      </c>
      <c r="D5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0" s="36" t="s">
        <v>213</v>
      </c>
      <c r="F5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0" s="38">
        <v>9341</v>
      </c>
      <c r="I560" s="37" t="s">
        <v>320</v>
      </c>
      <c r="J560" s="37" t="s">
        <v>420</v>
      </c>
      <c r="K560" s="38">
        <v>967608201</v>
      </c>
      <c r="L560" s="37" t="s">
        <v>1012</v>
      </c>
      <c r="M560" s="37" t="s">
        <v>1409</v>
      </c>
      <c r="O560" s="39" t="s">
        <v>1994</v>
      </c>
      <c r="AS560" s="48">
        <f>ROUND((Товары[[#This Row],[IRP, Eur]]*$AT$1),-2)*(1+Товары[[#This Row],[Процент повышения РРЦ]])</f>
        <v>0</v>
      </c>
      <c r="AT560" s="48"/>
      <c r="AU560" s="50">
        <f>ROUND(Товары[[#This Row],[РРЦ финальная, руб.]]/$AT$1,2)</f>
        <v>0</v>
      </c>
      <c r="AV560" s="49" t="str">
        <f>IFERROR(Товары[[#This Row],[РРЦ, евро]]/Товары[[#This Row],[IRP, Eur]],"-")</f>
        <v>-</v>
      </c>
      <c r="AX560" s="48">
        <f>ROUND(Товары[[#This Row],[РРЦ финальная, руб.]]*(1-Товары[[#This Row],[Скидка DIY]]),2)</f>
        <v>0</v>
      </c>
    </row>
    <row r="561" spans="1:50" x14ac:dyDescent="0.25">
      <c r="A561" s="36">
        <v>559</v>
      </c>
      <c r="C561" s="36" t="s">
        <v>237</v>
      </c>
      <c r="D5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1" s="36" t="s">
        <v>213</v>
      </c>
      <c r="F5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1" s="38">
        <v>9341</v>
      </c>
      <c r="I561" s="37" t="s">
        <v>320</v>
      </c>
      <c r="J561" s="37" t="s">
        <v>421</v>
      </c>
      <c r="K561" s="38">
        <v>967608301</v>
      </c>
      <c r="L561" s="37" t="s">
        <v>1013</v>
      </c>
      <c r="M561" s="37" t="s">
        <v>1410</v>
      </c>
      <c r="O561" s="39" t="s">
        <v>1995</v>
      </c>
      <c r="AS561" s="48">
        <f>ROUND((Товары[[#This Row],[IRP, Eur]]*$AT$1),-2)*(1+Товары[[#This Row],[Процент повышения РРЦ]])</f>
        <v>0</v>
      </c>
      <c r="AT561" s="48"/>
      <c r="AU561" s="50">
        <f>ROUND(Товары[[#This Row],[РРЦ финальная, руб.]]/$AT$1,2)</f>
        <v>0</v>
      </c>
      <c r="AV561" s="49" t="str">
        <f>IFERROR(Товары[[#This Row],[РРЦ, евро]]/Товары[[#This Row],[IRP, Eur]],"-")</f>
        <v>-</v>
      </c>
      <c r="AX561" s="48">
        <f>ROUND(Товары[[#This Row],[РРЦ финальная, руб.]]*(1-Товары[[#This Row],[Скидка DIY]]),2)</f>
        <v>0</v>
      </c>
    </row>
    <row r="562" spans="1:50" x14ac:dyDescent="0.25">
      <c r="A562" s="36">
        <v>560</v>
      </c>
      <c r="C562" s="36" t="s">
        <v>237</v>
      </c>
      <c r="D5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2" s="36" t="s">
        <v>213</v>
      </c>
      <c r="F5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2" s="38">
        <v>9341</v>
      </c>
      <c r="I562" s="37" t="s">
        <v>320</v>
      </c>
      <c r="J562" s="37" t="s">
        <v>421</v>
      </c>
      <c r="K562" s="38">
        <v>967691201</v>
      </c>
      <c r="L562" s="37" t="s">
        <v>1014</v>
      </c>
      <c r="M562" s="37" t="s">
        <v>1411</v>
      </c>
      <c r="O562" s="39" t="s">
        <v>1996</v>
      </c>
      <c r="AS562" s="48">
        <f>ROUND((Товары[[#This Row],[IRP, Eur]]*$AT$1),-2)*(1+Товары[[#This Row],[Процент повышения РРЦ]])</f>
        <v>0</v>
      </c>
      <c r="AT562" s="48"/>
      <c r="AU562" s="50">
        <f>ROUND(Товары[[#This Row],[РРЦ финальная, руб.]]/$AT$1,2)</f>
        <v>0</v>
      </c>
      <c r="AV562" s="49" t="str">
        <f>IFERROR(Товары[[#This Row],[РРЦ, евро]]/Товары[[#This Row],[IRP, Eur]],"-")</f>
        <v>-</v>
      </c>
      <c r="AX562" s="48">
        <f>ROUND(Товары[[#This Row],[РРЦ финальная, руб.]]*(1-Товары[[#This Row],[Скидка DIY]]),2)</f>
        <v>0</v>
      </c>
    </row>
    <row r="563" spans="1:50" x14ac:dyDescent="0.25">
      <c r="A563" s="36">
        <v>561</v>
      </c>
      <c r="C563" s="36" t="s">
        <v>237</v>
      </c>
      <c r="D5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3" s="36" t="s">
        <v>213</v>
      </c>
      <c r="F5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3" s="38">
        <v>9341</v>
      </c>
      <c r="I563" s="37" t="s">
        <v>320</v>
      </c>
      <c r="J563" s="37" t="s">
        <v>422</v>
      </c>
      <c r="K563" s="38">
        <v>967608401</v>
      </c>
      <c r="L563" s="37" t="s">
        <v>1015</v>
      </c>
      <c r="O563" s="39" t="s">
        <v>1997</v>
      </c>
      <c r="AS563" s="48">
        <f>ROUND((Товары[[#This Row],[IRP, Eur]]*$AT$1),-2)*(1+Товары[[#This Row],[Процент повышения РРЦ]])</f>
        <v>0</v>
      </c>
      <c r="AT563" s="48"/>
      <c r="AU563" s="50">
        <f>ROUND(Товары[[#This Row],[РРЦ финальная, руб.]]/$AT$1,2)</f>
        <v>0</v>
      </c>
      <c r="AV563" s="49" t="str">
        <f>IFERROR(Товары[[#This Row],[РРЦ, евро]]/Товары[[#This Row],[IRP, Eur]],"-")</f>
        <v>-</v>
      </c>
      <c r="AX563" s="48">
        <f>ROUND(Товары[[#This Row],[РРЦ финальная, руб.]]*(1-Товары[[#This Row],[Скидка DIY]]),2)</f>
        <v>0</v>
      </c>
    </row>
    <row r="564" spans="1:50" x14ac:dyDescent="0.25">
      <c r="A564" s="36">
        <v>562</v>
      </c>
      <c r="C564" s="36" t="s">
        <v>237</v>
      </c>
      <c r="D5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4" s="36" t="s">
        <v>213</v>
      </c>
      <c r="F5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4" s="38">
        <v>9341</v>
      </c>
      <c r="I564" s="37" t="s">
        <v>320</v>
      </c>
      <c r="J564" s="37" t="s">
        <v>423</v>
      </c>
      <c r="K564" s="38">
        <v>967079301</v>
      </c>
      <c r="L564" s="37" t="s">
        <v>1016</v>
      </c>
      <c r="O564" s="39" t="s">
        <v>1998</v>
      </c>
      <c r="AS564" s="48">
        <f>ROUND((Товары[[#This Row],[IRP, Eur]]*$AT$1),-2)*(1+Товары[[#This Row],[Процент повышения РРЦ]])</f>
        <v>0</v>
      </c>
      <c r="AT564" s="48"/>
      <c r="AU564" s="50">
        <f>ROUND(Товары[[#This Row],[РРЦ финальная, руб.]]/$AT$1,2)</f>
        <v>0</v>
      </c>
      <c r="AV564" s="49" t="str">
        <f>IFERROR(Товары[[#This Row],[РРЦ, евро]]/Товары[[#This Row],[IRP, Eur]],"-")</f>
        <v>-</v>
      </c>
      <c r="AX564" s="48">
        <f>ROUND(Товары[[#This Row],[РРЦ финальная, руб.]]*(1-Товары[[#This Row],[Скидка DIY]]),2)</f>
        <v>0</v>
      </c>
    </row>
    <row r="565" spans="1:50" x14ac:dyDescent="0.25">
      <c r="A565" s="36">
        <v>563</v>
      </c>
      <c r="C565" s="36" t="s">
        <v>237</v>
      </c>
      <c r="D5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5" s="36" t="s">
        <v>213</v>
      </c>
      <c r="F5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5" s="38">
        <v>9341</v>
      </c>
      <c r="I565" s="37" t="s">
        <v>320</v>
      </c>
      <c r="J565" s="37" t="s">
        <v>424</v>
      </c>
      <c r="K565" s="38">
        <v>967079401</v>
      </c>
      <c r="L565" s="37" t="s">
        <v>1017</v>
      </c>
      <c r="O565" s="39" t="s">
        <v>1999</v>
      </c>
      <c r="AS565" s="48">
        <f>ROUND((Товары[[#This Row],[IRP, Eur]]*$AT$1),-2)*(1+Товары[[#This Row],[Процент повышения РРЦ]])</f>
        <v>0</v>
      </c>
      <c r="AT565" s="48"/>
      <c r="AU565" s="50">
        <f>ROUND(Товары[[#This Row],[РРЦ финальная, руб.]]/$AT$1,2)</f>
        <v>0</v>
      </c>
      <c r="AV565" s="49" t="str">
        <f>IFERROR(Товары[[#This Row],[РРЦ, евро]]/Товары[[#This Row],[IRP, Eur]],"-")</f>
        <v>-</v>
      </c>
      <c r="AX565" s="48">
        <f>ROUND(Товары[[#This Row],[РРЦ финальная, руб.]]*(1-Товары[[#This Row],[Скидка DIY]]),2)</f>
        <v>0</v>
      </c>
    </row>
    <row r="566" spans="1:50" x14ac:dyDescent="0.25">
      <c r="A566" s="36">
        <v>564</v>
      </c>
      <c r="C566" s="36" t="s">
        <v>238</v>
      </c>
      <c r="D5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6" s="36" t="s">
        <v>214</v>
      </c>
      <c r="F5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6" s="38">
        <v>9346</v>
      </c>
      <c r="I566" s="37" t="s">
        <v>321</v>
      </c>
      <c r="J566" s="37" t="s">
        <v>425</v>
      </c>
      <c r="K566" s="38">
        <v>967854201</v>
      </c>
      <c r="L566" s="37" t="s">
        <v>1018</v>
      </c>
      <c r="O566" s="39" t="s">
        <v>2000</v>
      </c>
      <c r="AS566" s="48">
        <f>ROUND((Товары[[#This Row],[IRP, Eur]]*$AT$1),-2)*(1+Товары[[#This Row],[Процент повышения РРЦ]])</f>
        <v>0</v>
      </c>
      <c r="AT566" s="48"/>
      <c r="AU566" s="50">
        <f>ROUND(Товары[[#This Row],[РРЦ финальная, руб.]]/$AT$1,2)</f>
        <v>0</v>
      </c>
      <c r="AV566" s="49" t="str">
        <f>IFERROR(Товары[[#This Row],[РРЦ, евро]]/Товары[[#This Row],[IRP, Eur]],"-")</f>
        <v>-</v>
      </c>
      <c r="AX566" s="48">
        <f>ROUND(Товары[[#This Row],[РРЦ финальная, руб.]]*(1-Товары[[#This Row],[Скидка DIY]]),2)</f>
        <v>0</v>
      </c>
    </row>
    <row r="567" spans="1:50" x14ac:dyDescent="0.25">
      <c r="A567" s="36">
        <v>565</v>
      </c>
      <c r="C567" s="36" t="s">
        <v>238</v>
      </c>
      <c r="D5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7" s="36" t="s">
        <v>214</v>
      </c>
      <c r="F5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7" s="38">
        <v>9346</v>
      </c>
      <c r="I567" s="37" t="s">
        <v>321</v>
      </c>
      <c r="J567" s="37" t="s">
        <v>426</v>
      </c>
      <c r="K567" s="38">
        <v>967657201</v>
      </c>
      <c r="L567" s="37" t="s">
        <v>1019</v>
      </c>
      <c r="M567" s="37" t="s">
        <v>1412</v>
      </c>
      <c r="O567" s="39" t="s">
        <v>2001</v>
      </c>
      <c r="AS567" s="48">
        <f>ROUND((Товары[[#This Row],[IRP, Eur]]*$AT$1),-2)*(1+Товары[[#This Row],[Процент повышения РРЦ]])</f>
        <v>0</v>
      </c>
      <c r="AT567" s="48"/>
      <c r="AU567" s="50">
        <f>ROUND(Товары[[#This Row],[РРЦ финальная, руб.]]/$AT$1,2)</f>
        <v>0</v>
      </c>
      <c r="AV567" s="49" t="str">
        <f>IFERROR(Товары[[#This Row],[РРЦ, евро]]/Товары[[#This Row],[IRP, Eur]],"-")</f>
        <v>-</v>
      </c>
      <c r="AX567" s="48">
        <f>ROUND(Товары[[#This Row],[РРЦ финальная, руб.]]*(1-Товары[[#This Row],[Скидка DIY]]),2)</f>
        <v>0</v>
      </c>
    </row>
    <row r="568" spans="1:50" x14ac:dyDescent="0.25">
      <c r="A568" s="36">
        <v>566</v>
      </c>
      <c r="C568" s="36" t="s">
        <v>238</v>
      </c>
      <c r="D5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8" s="36" t="s">
        <v>214</v>
      </c>
      <c r="F5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8" s="38">
        <v>9346</v>
      </c>
      <c r="I568" s="37" t="s">
        <v>321</v>
      </c>
      <c r="J568" s="37" t="s">
        <v>426</v>
      </c>
      <c r="K568" s="38">
        <v>967657301</v>
      </c>
      <c r="L568" s="37" t="s">
        <v>1020</v>
      </c>
      <c r="M568" s="37" t="s">
        <v>1413</v>
      </c>
      <c r="O568" s="39" t="s">
        <v>2002</v>
      </c>
      <c r="AS568" s="48">
        <f>ROUND((Товары[[#This Row],[IRP, Eur]]*$AT$1),-2)*(1+Товары[[#This Row],[Процент повышения РРЦ]])</f>
        <v>0</v>
      </c>
      <c r="AT568" s="48"/>
      <c r="AU568" s="50">
        <f>ROUND(Товары[[#This Row],[РРЦ финальная, руб.]]/$AT$1,2)</f>
        <v>0</v>
      </c>
      <c r="AV568" s="49" t="str">
        <f>IFERROR(Товары[[#This Row],[РРЦ, евро]]/Товары[[#This Row],[IRP, Eur]],"-")</f>
        <v>-</v>
      </c>
      <c r="AX568" s="48">
        <f>ROUND(Товары[[#This Row],[РРЦ финальная, руб.]]*(1-Товары[[#This Row],[Скидка DIY]]),2)</f>
        <v>0</v>
      </c>
    </row>
    <row r="569" spans="1:50" x14ac:dyDescent="0.25">
      <c r="A569" s="36">
        <v>567</v>
      </c>
      <c r="C569" s="36" t="s">
        <v>238</v>
      </c>
      <c r="D5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9" s="36" t="s">
        <v>214</v>
      </c>
      <c r="F5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9" s="38">
        <v>9346</v>
      </c>
      <c r="I569" s="37" t="s">
        <v>321</v>
      </c>
      <c r="J569" s="37" t="s">
        <v>427</v>
      </c>
      <c r="K569" s="38">
        <v>967657401</v>
      </c>
      <c r="L569" s="37" t="s">
        <v>1021</v>
      </c>
      <c r="M569" s="37" t="s">
        <v>1328</v>
      </c>
      <c r="O569" s="39" t="s">
        <v>2003</v>
      </c>
      <c r="AS569" s="48">
        <f>ROUND((Товары[[#This Row],[IRP, Eur]]*$AT$1),-2)*(1+Товары[[#This Row],[Процент повышения РРЦ]])</f>
        <v>0</v>
      </c>
      <c r="AT569" s="48"/>
      <c r="AU569" s="50">
        <f>ROUND(Товары[[#This Row],[РРЦ финальная, руб.]]/$AT$1,2)</f>
        <v>0</v>
      </c>
      <c r="AV569" s="49" t="str">
        <f>IFERROR(Товары[[#This Row],[РРЦ, евро]]/Товары[[#This Row],[IRP, Eur]],"-")</f>
        <v>-</v>
      </c>
      <c r="AX569" s="48">
        <f>ROUND(Товары[[#This Row],[РРЦ финальная, руб.]]*(1-Товары[[#This Row],[Скидка DIY]]),2)</f>
        <v>0</v>
      </c>
    </row>
    <row r="570" spans="1:50" x14ac:dyDescent="0.25">
      <c r="A570" s="36">
        <v>568</v>
      </c>
      <c r="C570" s="36" t="s">
        <v>238</v>
      </c>
      <c r="D5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0" s="36" t="s">
        <v>214</v>
      </c>
      <c r="F5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0" s="38">
        <v>9346</v>
      </c>
      <c r="I570" s="37" t="s">
        <v>321</v>
      </c>
      <c r="J570" s="37" t="s">
        <v>427</v>
      </c>
      <c r="K570" s="38">
        <v>967657501</v>
      </c>
      <c r="L570" s="37" t="s">
        <v>1022</v>
      </c>
      <c r="M570" s="37" t="s">
        <v>1328</v>
      </c>
      <c r="O570" s="39" t="s">
        <v>2004</v>
      </c>
      <c r="AS570" s="48">
        <f>ROUND((Товары[[#This Row],[IRP, Eur]]*$AT$1),-2)*(1+Товары[[#This Row],[Процент повышения РРЦ]])</f>
        <v>0</v>
      </c>
      <c r="AT570" s="48"/>
      <c r="AU570" s="50">
        <f>ROUND(Товары[[#This Row],[РРЦ финальная, руб.]]/$AT$1,2)</f>
        <v>0</v>
      </c>
      <c r="AV570" s="49" t="str">
        <f>IFERROR(Товары[[#This Row],[РРЦ, евро]]/Товары[[#This Row],[IRP, Eur]],"-")</f>
        <v>-</v>
      </c>
      <c r="AX570" s="48">
        <f>ROUND(Товары[[#This Row],[РРЦ финальная, руб.]]*(1-Товары[[#This Row],[Скидка DIY]]),2)</f>
        <v>0</v>
      </c>
    </row>
    <row r="571" spans="1:50" x14ac:dyDescent="0.25">
      <c r="A571" s="36">
        <v>569</v>
      </c>
      <c r="C571" s="36" t="s">
        <v>238</v>
      </c>
      <c r="D5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1" s="36" t="s">
        <v>214</v>
      </c>
      <c r="F5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1" s="38">
        <v>9346</v>
      </c>
      <c r="I571" s="37" t="s">
        <v>321</v>
      </c>
      <c r="J571" s="37" t="s">
        <v>428</v>
      </c>
      <c r="K571" s="38">
        <v>967668001</v>
      </c>
      <c r="L571" s="37" t="s">
        <v>1023</v>
      </c>
      <c r="M571" s="37" t="s">
        <v>1328</v>
      </c>
      <c r="O571" s="39" t="s">
        <v>2005</v>
      </c>
      <c r="AS571" s="48">
        <f>ROUND((Товары[[#This Row],[IRP, Eur]]*$AT$1),-2)*(1+Товары[[#This Row],[Процент повышения РРЦ]])</f>
        <v>0</v>
      </c>
      <c r="AT571" s="48"/>
      <c r="AU571" s="50">
        <f>ROUND(Товары[[#This Row],[РРЦ финальная, руб.]]/$AT$1,2)</f>
        <v>0</v>
      </c>
      <c r="AV571" s="49" t="str">
        <f>IFERROR(Товары[[#This Row],[РРЦ, евро]]/Товары[[#This Row],[IRP, Eur]],"-")</f>
        <v>-</v>
      </c>
      <c r="AX571" s="48">
        <f>ROUND(Товары[[#This Row],[РРЦ финальная, руб.]]*(1-Товары[[#This Row],[Скидка DIY]]),2)</f>
        <v>0</v>
      </c>
    </row>
    <row r="572" spans="1:50" x14ac:dyDescent="0.25">
      <c r="A572" s="36">
        <v>570</v>
      </c>
      <c r="C572" s="36" t="s">
        <v>238</v>
      </c>
      <c r="D5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2" s="36" t="s">
        <v>214</v>
      </c>
      <c r="F5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2" s="38">
        <v>9346</v>
      </c>
      <c r="I572" s="37" t="s">
        <v>321</v>
      </c>
      <c r="J572" s="37" t="s">
        <v>428</v>
      </c>
      <c r="K572" s="38">
        <v>967668101</v>
      </c>
      <c r="L572" s="37" t="s">
        <v>1024</v>
      </c>
      <c r="M572" s="37" t="s">
        <v>1328</v>
      </c>
      <c r="O572" s="39" t="s">
        <v>2006</v>
      </c>
      <c r="AS572" s="48">
        <f>ROUND((Товары[[#This Row],[IRP, Eur]]*$AT$1),-2)*(1+Товары[[#This Row],[Процент повышения РРЦ]])</f>
        <v>0</v>
      </c>
      <c r="AT572" s="48"/>
      <c r="AU572" s="50">
        <f>ROUND(Товары[[#This Row],[РРЦ финальная, руб.]]/$AT$1,2)</f>
        <v>0</v>
      </c>
      <c r="AV572" s="49" t="str">
        <f>IFERROR(Товары[[#This Row],[РРЦ, евро]]/Товары[[#This Row],[IRP, Eur]],"-")</f>
        <v>-</v>
      </c>
      <c r="AX572" s="48">
        <f>ROUND(Товары[[#This Row],[РРЦ финальная, руб.]]*(1-Товары[[#This Row],[Скидка DIY]]),2)</f>
        <v>0</v>
      </c>
    </row>
    <row r="573" spans="1:50" x14ac:dyDescent="0.25">
      <c r="A573" s="36">
        <v>571</v>
      </c>
      <c r="C573" s="36" t="s">
        <v>238</v>
      </c>
      <c r="D5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3" s="36" t="s">
        <v>214</v>
      </c>
      <c r="F5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3" s="38">
        <v>9346</v>
      </c>
      <c r="I573" s="37" t="s">
        <v>321</v>
      </c>
      <c r="J573" s="37" t="s">
        <v>429</v>
      </c>
      <c r="K573" s="38">
        <v>967246601</v>
      </c>
      <c r="L573" s="37" t="s">
        <v>1025</v>
      </c>
      <c r="O573" s="39" t="s">
        <v>2007</v>
      </c>
      <c r="AS573" s="48">
        <f>ROUND((Товары[[#This Row],[IRP, Eur]]*$AT$1),-2)*(1+Товары[[#This Row],[Процент повышения РРЦ]])</f>
        <v>0</v>
      </c>
      <c r="AT573" s="48"/>
      <c r="AU573" s="50">
        <f>ROUND(Товары[[#This Row],[РРЦ финальная, руб.]]/$AT$1,2)</f>
        <v>0</v>
      </c>
      <c r="AV573" s="49" t="str">
        <f>IFERROR(Товары[[#This Row],[РРЦ, евро]]/Товары[[#This Row],[IRP, Eur]],"-")</f>
        <v>-</v>
      </c>
      <c r="AX573" s="48">
        <f>ROUND(Товары[[#This Row],[РРЦ финальная, руб.]]*(1-Товары[[#This Row],[Скидка DIY]]),2)</f>
        <v>0</v>
      </c>
    </row>
    <row r="574" spans="1:50" x14ac:dyDescent="0.25">
      <c r="A574" s="36">
        <v>572</v>
      </c>
      <c r="C574" s="36" t="s">
        <v>238</v>
      </c>
      <c r="D5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4" s="36" t="s">
        <v>214</v>
      </c>
      <c r="F5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4" s="38">
        <v>9346</v>
      </c>
      <c r="I574" s="37" t="s">
        <v>321</v>
      </c>
      <c r="J574" s="37" t="s">
        <v>429</v>
      </c>
      <c r="K574" s="38">
        <v>967107001</v>
      </c>
      <c r="L574" s="37" t="s">
        <v>1026</v>
      </c>
      <c r="O574" s="39" t="s">
        <v>2008</v>
      </c>
      <c r="AS574" s="48">
        <f>ROUND((Товары[[#This Row],[IRP, Eur]]*$AT$1),-2)*(1+Товары[[#This Row],[Процент повышения РРЦ]])</f>
        <v>0</v>
      </c>
      <c r="AT574" s="48"/>
      <c r="AU574" s="50">
        <f>ROUND(Товары[[#This Row],[РРЦ финальная, руб.]]/$AT$1,2)</f>
        <v>0</v>
      </c>
      <c r="AV574" s="49" t="str">
        <f>IFERROR(Товары[[#This Row],[РРЦ, евро]]/Товары[[#This Row],[IRP, Eur]],"-")</f>
        <v>-</v>
      </c>
      <c r="AX574" s="48">
        <f>ROUND(Товары[[#This Row],[РРЦ финальная, руб.]]*(1-Товары[[#This Row],[Скидка DIY]]),2)</f>
        <v>0</v>
      </c>
    </row>
    <row r="575" spans="1:50" x14ac:dyDescent="0.25">
      <c r="A575" s="36">
        <v>573</v>
      </c>
      <c r="C575" s="36" t="s">
        <v>238</v>
      </c>
      <c r="D5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5" s="36" t="s">
        <v>212</v>
      </c>
      <c r="F5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5" s="38">
        <v>9345</v>
      </c>
      <c r="I575" s="37" t="s">
        <v>322</v>
      </c>
      <c r="J575" s="37" t="s">
        <v>430</v>
      </c>
      <c r="K575" s="38">
        <v>967292901</v>
      </c>
      <c r="L575" s="37" t="s">
        <v>1027</v>
      </c>
      <c r="O575" s="39" t="s">
        <v>2009</v>
      </c>
      <c r="AS575" s="48">
        <f>ROUND((Товары[[#This Row],[IRP, Eur]]*$AT$1),-2)*(1+Товары[[#This Row],[Процент повышения РРЦ]])</f>
        <v>0</v>
      </c>
      <c r="AT575" s="48"/>
      <c r="AU575" s="50">
        <f>ROUND(Товары[[#This Row],[РРЦ финальная, руб.]]/$AT$1,2)</f>
        <v>0</v>
      </c>
      <c r="AV575" s="49" t="str">
        <f>IFERROR(Товары[[#This Row],[РРЦ, евро]]/Товары[[#This Row],[IRP, Eur]],"-")</f>
        <v>-</v>
      </c>
      <c r="AX575" s="48">
        <f>ROUND(Товары[[#This Row],[РРЦ финальная, руб.]]*(1-Товары[[#This Row],[Скидка DIY]]),2)</f>
        <v>0</v>
      </c>
    </row>
    <row r="576" spans="1:50" x14ac:dyDescent="0.25">
      <c r="A576" s="36">
        <v>574</v>
      </c>
      <c r="C576" s="36" t="s">
        <v>237</v>
      </c>
      <c r="D5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6" s="36" t="s">
        <v>209</v>
      </c>
      <c r="F5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6" s="38">
        <v>9332</v>
      </c>
      <c r="I576" s="37" t="s">
        <v>323</v>
      </c>
      <c r="J576" s="37" t="s">
        <v>431</v>
      </c>
      <c r="K576" s="38">
        <v>966786101</v>
      </c>
      <c r="L576" s="37" t="s">
        <v>1028</v>
      </c>
      <c r="O576" s="39" t="s">
        <v>2010</v>
      </c>
      <c r="AS576" s="48">
        <f>ROUND((Товары[[#This Row],[IRP, Eur]]*$AT$1),-2)*(1+Товары[[#This Row],[Процент повышения РРЦ]])</f>
        <v>0</v>
      </c>
      <c r="AT576" s="48"/>
      <c r="AU576" s="50">
        <f>ROUND(Товары[[#This Row],[РРЦ финальная, руб.]]/$AT$1,2)</f>
        <v>0</v>
      </c>
      <c r="AV576" s="49" t="str">
        <f>IFERROR(Товары[[#This Row],[РРЦ, евро]]/Товары[[#This Row],[IRP, Eur]],"-")</f>
        <v>-</v>
      </c>
      <c r="AX576" s="48">
        <f>ROUND(Товары[[#This Row],[РРЦ финальная, руб.]]*(1-Товары[[#This Row],[Скидка DIY]]),2)</f>
        <v>0</v>
      </c>
    </row>
    <row r="577" spans="1:50" x14ac:dyDescent="0.25">
      <c r="A577" s="36">
        <v>575</v>
      </c>
      <c r="C577" s="36" t="s">
        <v>238</v>
      </c>
      <c r="D5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7" s="36" t="s">
        <v>210</v>
      </c>
      <c r="F5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7" s="38">
        <v>8208</v>
      </c>
      <c r="I577" s="37" t="s">
        <v>324</v>
      </c>
      <c r="J577" s="37" t="s">
        <v>432</v>
      </c>
      <c r="K577" s="38">
        <v>967853701</v>
      </c>
      <c r="L577" s="37" t="s">
        <v>1029</v>
      </c>
      <c r="O577" s="39" t="s">
        <v>2011</v>
      </c>
      <c r="AS577" s="48">
        <f>ROUND((Товары[[#This Row],[IRP, Eur]]*$AT$1),-2)*(1+Товары[[#This Row],[Процент повышения РРЦ]])</f>
        <v>0</v>
      </c>
      <c r="AT577" s="48"/>
      <c r="AU577" s="50">
        <f>ROUND(Товары[[#This Row],[РРЦ финальная, руб.]]/$AT$1,2)</f>
        <v>0</v>
      </c>
      <c r="AV577" s="49" t="str">
        <f>IFERROR(Товары[[#This Row],[РРЦ, евро]]/Товары[[#This Row],[IRP, Eur]],"-")</f>
        <v>-</v>
      </c>
      <c r="AX577" s="48">
        <f>ROUND(Товары[[#This Row],[РРЦ финальная, руб.]]*(1-Товары[[#This Row],[Скидка DIY]]),2)</f>
        <v>0</v>
      </c>
    </row>
    <row r="578" spans="1:50" x14ac:dyDescent="0.25">
      <c r="A578" s="36">
        <v>576</v>
      </c>
      <c r="C578" s="36" t="s">
        <v>238</v>
      </c>
      <c r="D5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8" s="36" t="s">
        <v>210</v>
      </c>
      <c r="F5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8" s="38">
        <v>8208</v>
      </c>
      <c r="I578" s="37" t="s">
        <v>324</v>
      </c>
      <c r="J578" s="37" t="s">
        <v>432</v>
      </c>
      <c r="K578" s="38">
        <v>967853801</v>
      </c>
      <c r="L578" s="37" t="s">
        <v>1030</v>
      </c>
      <c r="O578" s="39" t="s">
        <v>2012</v>
      </c>
      <c r="AS578" s="48">
        <f>ROUND((Товары[[#This Row],[IRP, Eur]]*$AT$1),-2)*(1+Товары[[#This Row],[Процент повышения РРЦ]])</f>
        <v>0</v>
      </c>
      <c r="AT578" s="48"/>
      <c r="AU578" s="50">
        <f>ROUND(Товары[[#This Row],[РРЦ финальная, руб.]]/$AT$1,2)</f>
        <v>0</v>
      </c>
      <c r="AV578" s="49" t="str">
        <f>IFERROR(Товары[[#This Row],[РРЦ, евро]]/Товары[[#This Row],[IRP, Eur]],"-")</f>
        <v>-</v>
      </c>
      <c r="AX578" s="48">
        <f>ROUND(Товары[[#This Row],[РРЦ финальная, руб.]]*(1-Товары[[#This Row],[Скидка DIY]]),2)</f>
        <v>0</v>
      </c>
    </row>
    <row r="579" spans="1:50" x14ac:dyDescent="0.25">
      <c r="A579" s="36">
        <v>577</v>
      </c>
      <c r="C579" s="36" t="s">
        <v>238</v>
      </c>
      <c r="D5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9" s="36" t="s">
        <v>210</v>
      </c>
      <c r="F5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9" s="38">
        <v>8208</v>
      </c>
      <c r="I579" s="37" t="s">
        <v>325</v>
      </c>
      <c r="J579" s="37" t="s">
        <v>433</v>
      </c>
      <c r="K579" s="38">
        <v>967276301</v>
      </c>
      <c r="L579" s="37" t="s">
        <v>1031</v>
      </c>
      <c r="O579" s="39" t="s">
        <v>2013</v>
      </c>
      <c r="AS579" s="48">
        <f>ROUND((Товары[[#This Row],[IRP, Eur]]*$AT$1),-2)*(1+Товары[[#This Row],[Процент повышения РРЦ]])</f>
        <v>0</v>
      </c>
      <c r="AT579" s="48"/>
      <c r="AU579" s="50">
        <f>ROUND(Товары[[#This Row],[РРЦ финальная, руб.]]/$AT$1,2)</f>
        <v>0</v>
      </c>
      <c r="AV579" s="49" t="str">
        <f>IFERROR(Товары[[#This Row],[РРЦ, евро]]/Товары[[#This Row],[IRP, Eur]],"-")</f>
        <v>-</v>
      </c>
      <c r="AX579" s="48">
        <f>ROUND(Товары[[#This Row],[РРЦ финальная, руб.]]*(1-Товары[[#This Row],[Скидка DIY]]),2)</f>
        <v>0</v>
      </c>
    </row>
    <row r="580" spans="1:50" x14ac:dyDescent="0.25">
      <c r="A580" s="36">
        <v>578</v>
      </c>
      <c r="C580" s="36" t="s">
        <v>238</v>
      </c>
      <c r="D5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0" s="36" t="s">
        <v>210</v>
      </c>
      <c r="F5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0" s="38">
        <v>8208</v>
      </c>
      <c r="I580" s="37" t="s">
        <v>325</v>
      </c>
      <c r="J580" s="37" t="s">
        <v>433</v>
      </c>
      <c r="K580" s="38">
        <v>967106601</v>
      </c>
      <c r="L580" s="37" t="s">
        <v>1032</v>
      </c>
      <c r="O580" s="39" t="s">
        <v>2014</v>
      </c>
      <c r="AS580" s="48">
        <f>ROUND((Товары[[#This Row],[IRP, Eur]]*$AT$1),-2)*(1+Товары[[#This Row],[Процент повышения РРЦ]])</f>
        <v>0</v>
      </c>
      <c r="AT580" s="48"/>
      <c r="AU580" s="50">
        <f>ROUND(Товары[[#This Row],[РРЦ финальная, руб.]]/$AT$1,2)</f>
        <v>0</v>
      </c>
      <c r="AV580" s="49" t="str">
        <f>IFERROR(Товары[[#This Row],[РРЦ, евро]]/Товары[[#This Row],[IRP, Eur]],"-")</f>
        <v>-</v>
      </c>
      <c r="AX580" s="48">
        <f>ROUND(Товары[[#This Row],[РРЦ финальная, руб.]]*(1-Товары[[#This Row],[Скидка DIY]]),2)</f>
        <v>0</v>
      </c>
    </row>
    <row r="581" spans="1:50" x14ac:dyDescent="0.25">
      <c r="A581" s="36">
        <v>579</v>
      </c>
      <c r="C581" s="36" t="s">
        <v>238</v>
      </c>
      <c r="D5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1" s="36" t="s">
        <v>210</v>
      </c>
      <c r="F5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1" s="38">
        <v>8208</v>
      </c>
      <c r="I581" s="37" t="s">
        <v>325</v>
      </c>
      <c r="J581" s="37" t="s">
        <v>434</v>
      </c>
      <c r="K581" s="38">
        <v>967991701</v>
      </c>
      <c r="L581" s="37" t="s">
        <v>1033</v>
      </c>
      <c r="M581" s="37" t="s">
        <v>1031</v>
      </c>
      <c r="O581" s="39" t="s">
        <v>2015</v>
      </c>
      <c r="AS581" s="48">
        <f>ROUND((Товары[[#This Row],[IRP, Eur]]*$AT$1),-2)*(1+Товары[[#This Row],[Процент повышения РРЦ]])</f>
        <v>0</v>
      </c>
      <c r="AT581" s="48"/>
      <c r="AU581" s="50">
        <f>ROUND(Товары[[#This Row],[РРЦ финальная, руб.]]/$AT$1,2)</f>
        <v>0</v>
      </c>
      <c r="AV581" s="49" t="str">
        <f>IFERROR(Товары[[#This Row],[РРЦ, евро]]/Товары[[#This Row],[IRP, Eur]],"-")</f>
        <v>-</v>
      </c>
      <c r="AX581" s="48">
        <f>ROUND(Товары[[#This Row],[РРЦ финальная, руб.]]*(1-Товары[[#This Row],[Скидка DIY]]),2)</f>
        <v>0</v>
      </c>
    </row>
    <row r="582" spans="1:50" x14ac:dyDescent="0.25">
      <c r="A582" s="36">
        <v>580</v>
      </c>
      <c r="C582" s="36" t="s">
        <v>238</v>
      </c>
      <c r="D5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2" s="36" t="s">
        <v>210</v>
      </c>
      <c r="F5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2" s="38">
        <v>8208</v>
      </c>
      <c r="I582" s="37" t="s">
        <v>325</v>
      </c>
      <c r="J582" s="37" t="s">
        <v>434</v>
      </c>
      <c r="K582" s="38">
        <v>967991401</v>
      </c>
      <c r="L582" s="37" t="s">
        <v>1034</v>
      </c>
      <c r="M582" s="37" t="s">
        <v>1032</v>
      </c>
      <c r="O582" s="39" t="s">
        <v>2016</v>
      </c>
      <c r="AS582" s="48">
        <f>ROUND((Товары[[#This Row],[IRP, Eur]]*$AT$1),-2)*(1+Товары[[#This Row],[Процент повышения РРЦ]])</f>
        <v>0</v>
      </c>
      <c r="AT582" s="48"/>
      <c r="AU582" s="50">
        <f>ROUND(Товары[[#This Row],[РРЦ финальная, руб.]]/$AT$1,2)</f>
        <v>0</v>
      </c>
      <c r="AV582" s="49" t="str">
        <f>IFERROR(Товары[[#This Row],[РРЦ, евро]]/Товары[[#This Row],[IRP, Eur]],"-")</f>
        <v>-</v>
      </c>
      <c r="AX582" s="48">
        <f>ROUND(Товары[[#This Row],[РРЦ финальная, руб.]]*(1-Товары[[#This Row],[Скидка DIY]]),2)</f>
        <v>0</v>
      </c>
    </row>
    <row r="583" spans="1:50" x14ac:dyDescent="0.25">
      <c r="A583" s="36">
        <v>581</v>
      </c>
      <c r="C583" s="36" t="s">
        <v>238</v>
      </c>
      <c r="D5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3" s="36" t="s">
        <v>210</v>
      </c>
      <c r="F5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3" s="38">
        <v>8208</v>
      </c>
      <c r="I583" s="37" t="s">
        <v>325</v>
      </c>
      <c r="J583" s="37" t="s">
        <v>435</v>
      </c>
      <c r="K583" s="38">
        <v>967667601</v>
      </c>
      <c r="L583" s="37" t="s">
        <v>1035</v>
      </c>
      <c r="M583" s="37" t="s">
        <v>1328</v>
      </c>
      <c r="O583" s="39" t="s">
        <v>2017</v>
      </c>
      <c r="AS583" s="48">
        <f>ROUND((Товары[[#This Row],[IRP, Eur]]*$AT$1),-2)*(1+Товары[[#This Row],[Процент повышения РРЦ]])</f>
        <v>0</v>
      </c>
      <c r="AT583" s="48"/>
      <c r="AU583" s="50">
        <f>ROUND(Товары[[#This Row],[РРЦ финальная, руб.]]/$AT$1,2)</f>
        <v>0</v>
      </c>
      <c r="AV583" s="49" t="str">
        <f>IFERROR(Товары[[#This Row],[РРЦ, евро]]/Товары[[#This Row],[IRP, Eur]],"-")</f>
        <v>-</v>
      </c>
      <c r="AX583" s="48">
        <f>ROUND(Товары[[#This Row],[РРЦ финальная, руб.]]*(1-Товары[[#This Row],[Скидка DIY]]),2)</f>
        <v>0</v>
      </c>
    </row>
    <row r="584" spans="1:50" x14ac:dyDescent="0.25">
      <c r="A584" s="36">
        <v>582</v>
      </c>
      <c r="C584" s="36" t="s">
        <v>238</v>
      </c>
      <c r="D5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4" s="36" t="s">
        <v>210</v>
      </c>
      <c r="F5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4" s="38">
        <v>8208</v>
      </c>
      <c r="I584" s="37" t="s">
        <v>325</v>
      </c>
      <c r="J584" s="37" t="s">
        <v>435</v>
      </c>
      <c r="K584" s="38">
        <v>967667701</v>
      </c>
      <c r="L584" s="37" t="s">
        <v>1036</v>
      </c>
      <c r="M584" s="37" t="s">
        <v>1328</v>
      </c>
      <c r="O584" s="39" t="s">
        <v>2018</v>
      </c>
      <c r="AS584" s="48">
        <f>ROUND((Товары[[#This Row],[IRP, Eur]]*$AT$1),-2)*(1+Товары[[#This Row],[Процент повышения РРЦ]])</f>
        <v>0</v>
      </c>
      <c r="AT584" s="48"/>
      <c r="AU584" s="50">
        <f>ROUND(Товары[[#This Row],[РРЦ финальная, руб.]]/$AT$1,2)</f>
        <v>0</v>
      </c>
      <c r="AV584" s="49" t="str">
        <f>IFERROR(Товары[[#This Row],[РРЦ, евро]]/Товары[[#This Row],[IRP, Eur]],"-")</f>
        <v>-</v>
      </c>
      <c r="AX584" s="48">
        <f>ROUND(Товары[[#This Row],[РРЦ финальная, руб.]]*(1-Товары[[#This Row],[Скидка DIY]]),2)</f>
        <v>0</v>
      </c>
    </row>
    <row r="585" spans="1:50" x14ac:dyDescent="0.25">
      <c r="A585" s="36">
        <v>583</v>
      </c>
      <c r="C585" s="36" t="s">
        <v>238</v>
      </c>
      <c r="D5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5" s="36" t="s">
        <v>210</v>
      </c>
      <c r="F5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5" s="38">
        <v>8208</v>
      </c>
      <c r="I585" s="37" t="s">
        <v>326</v>
      </c>
      <c r="J585" s="37" t="s">
        <v>436</v>
      </c>
      <c r="K585" s="38">
        <v>967853901</v>
      </c>
      <c r="L585" s="37" t="s">
        <v>1037</v>
      </c>
      <c r="O585" s="39" t="s">
        <v>2019</v>
      </c>
      <c r="AS585" s="48">
        <f>ROUND((Товары[[#This Row],[IRP, Eur]]*$AT$1),-2)*(1+Товары[[#This Row],[Процент повышения РРЦ]])</f>
        <v>0</v>
      </c>
      <c r="AT585" s="48"/>
      <c r="AU585" s="50">
        <f>ROUND(Товары[[#This Row],[РРЦ финальная, руб.]]/$AT$1,2)</f>
        <v>0</v>
      </c>
      <c r="AV585" s="49" t="str">
        <f>IFERROR(Товары[[#This Row],[РРЦ, евро]]/Товары[[#This Row],[IRP, Eur]],"-")</f>
        <v>-</v>
      </c>
      <c r="AX585" s="48">
        <f>ROUND(Товары[[#This Row],[РРЦ финальная, руб.]]*(1-Товары[[#This Row],[Скидка DIY]]),2)</f>
        <v>0</v>
      </c>
    </row>
    <row r="586" spans="1:50" x14ac:dyDescent="0.25">
      <c r="A586" s="36">
        <v>584</v>
      </c>
      <c r="C586" s="36" t="s">
        <v>238</v>
      </c>
      <c r="D5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6" s="36" t="s">
        <v>210</v>
      </c>
      <c r="F5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6" s="38">
        <v>8208</v>
      </c>
      <c r="I586" s="37" t="s">
        <v>326</v>
      </c>
      <c r="J586" s="37" t="s">
        <v>436</v>
      </c>
      <c r="K586" s="38">
        <v>967854001</v>
      </c>
      <c r="L586" s="37" t="s">
        <v>1038</v>
      </c>
      <c r="O586" s="39" t="s">
        <v>2020</v>
      </c>
      <c r="AS586" s="48">
        <f>ROUND((Товары[[#This Row],[IRP, Eur]]*$AT$1),-2)*(1+Товары[[#This Row],[Процент повышения РРЦ]])</f>
        <v>0</v>
      </c>
      <c r="AT586" s="48"/>
      <c r="AU586" s="50">
        <f>ROUND(Товары[[#This Row],[РРЦ финальная, руб.]]/$AT$1,2)</f>
        <v>0</v>
      </c>
      <c r="AV586" s="49" t="str">
        <f>IFERROR(Товары[[#This Row],[РРЦ, евро]]/Товары[[#This Row],[IRP, Eur]],"-")</f>
        <v>-</v>
      </c>
      <c r="AX586" s="48">
        <f>ROUND(Товары[[#This Row],[РРЦ финальная, руб.]]*(1-Товары[[#This Row],[Скидка DIY]]),2)</f>
        <v>0</v>
      </c>
    </row>
    <row r="587" spans="1:50" x14ac:dyDescent="0.25">
      <c r="A587" s="36">
        <v>585</v>
      </c>
      <c r="C587" s="36" t="s">
        <v>238</v>
      </c>
      <c r="D5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7" s="36" t="s">
        <v>210</v>
      </c>
      <c r="F5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7" s="38">
        <v>8208</v>
      </c>
      <c r="K587" s="38">
        <v>970490601</v>
      </c>
      <c r="L587" s="37" t="s">
        <v>1039</v>
      </c>
      <c r="O587" s="39" t="s">
        <v>2021</v>
      </c>
      <c r="AS587" s="48">
        <f>ROUND((Товары[[#This Row],[IRP, Eur]]*$AT$1),-2)*(1+Товары[[#This Row],[Процент повышения РРЦ]])</f>
        <v>0</v>
      </c>
      <c r="AT587" s="48"/>
      <c r="AU587" s="50">
        <f>ROUND(Товары[[#This Row],[РРЦ финальная, руб.]]/$AT$1,2)</f>
        <v>0</v>
      </c>
      <c r="AV587" s="49" t="str">
        <f>IFERROR(Товары[[#This Row],[РРЦ, евро]]/Товары[[#This Row],[IRP, Eur]],"-")</f>
        <v>-</v>
      </c>
      <c r="AX587" s="48">
        <f>ROUND(Товары[[#This Row],[РРЦ финальная, руб.]]*(1-Товары[[#This Row],[Скидка DIY]]),2)</f>
        <v>0</v>
      </c>
    </row>
    <row r="588" spans="1:50" x14ac:dyDescent="0.25">
      <c r="A588" s="36">
        <v>586</v>
      </c>
      <c r="C588" s="36" t="s">
        <v>238</v>
      </c>
      <c r="D5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8" s="36" t="s">
        <v>210</v>
      </c>
      <c r="F5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8" s="38">
        <v>8208</v>
      </c>
      <c r="K588" s="38">
        <v>970489101</v>
      </c>
      <c r="L588" s="37" t="s">
        <v>1040</v>
      </c>
      <c r="O588" s="39" t="s">
        <v>2022</v>
      </c>
      <c r="AS588" s="48">
        <f>ROUND((Товары[[#This Row],[IRP, Eur]]*$AT$1),-2)*(1+Товары[[#This Row],[Процент повышения РРЦ]])</f>
        <v>0</v>
      </c>
      <c r="AT588" s="48"/>
      <c r="AU588" s="50">
        <f>ROUND(Товары[[#This Row],[РРЦ финальная, руб.]]/$AT$1,2)</f>
        <v>0</v>
      </c>
      <c r="AV588" s="49" t="str">
        <f>IFERROR(Товары[[#This Row],[РРЦ, евро]]/Товары[[#This Row],[IRP, Eur]],"-")</f>
        <v>-</v>
      </c>
      <c r="AX588" s="48">
        <f>ROUND(Товары[[#This Row],[РРЦ финальная, руб.]]*(1-Товары[[#This Row],[Скидка DIY]]),2)</f>
        <v>0</v>
      </c>
    </row>
    <row r="589" spans="1:50" x14ac:dyDescent="0.25">
      <c r="A589" s="36">
        <v>587</v>
      </c>
      <c r="C589" s="36" t="s">
        <v>238</v>
      </c>
      <c r="D5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9" s="36" t="s">
        <v>210</v>
      </c>
      <c r="F5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9" s="38">
        <v>8208</v>
      </c>
      <c r="K589" s="38">
        <v>970489201</v>
      </c>
      <c r="L589" s="37" t="s">
        <v>1041</v>
      </c>
      <c r="O589" s="39" t="s">
        <v>2023</v>
      </c>
      <c r="AS589" s="48">
        <f>ROUND((Товары[[#This Row],[IRP, Eur]]*$AT$1),-2)*(1+Товары[[#This Row],[Процент повышения РРЦ]])</f>
        <v>0</v>
      </c>
      <c r="AT589" s="48"/>
      <c r="AU589" s="50">
        <f>ROUND(Товары[[#This Row],[РРЦ финальная, руб.]]/$AT$1,2)</f>
        <v>0</v>
      </c>
      <c r="AV589" s="49" t="str">
        <f>IFERROR(Товары[[#This Row],[РРЦ, евро]]/Товары[[#This Row],[IRP, Eur]],"-")</f>
        <v>-</v>
      </c>
      <c r="AX589" s="48">
        <f>ROUND(Товары[[#This Row],[РРЦ финальная, руб.]]*(1-Товары[[#This Row],[Скидка DIY]]),2)</f>
        <v>0</v>
      </c>
    </row>
    <row r="590" spans="1:50" x14ac:dyDescent="0.25">
      <c r="A590" s="36">
        <v>588</v>
      </c>
      <c r="C590" s="36" t="s">
        <v>239</v>
      </c>
      <c r="D5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0" s="36" t="s">
        <v>202</v>
      </c>
      <c r="F5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0" s="38">
        <v>9242</v>
      </c>
      <c r="I590" s="37" t="s">
        <v>327</v>
      </c>
      <c r="J590" s="37">
        <v>3565</v>
      </c>
      <c r="K590" s="38">
        <v>967982701</v>
      </c>
      <c r="L590" s="37" t="s">
        <v>1042</v>
      </c>
      <c r="O590" s="39" t="s">
        <v>2024</v>
      </c>
      <c r="AS590" s="48">
        <f>ROUND((Товары[[#This Row],[IRP, Eur]]*$AT$1),-2)*(1+Товары[[#This Row],[Процент повышения РРЦ]])</f>
        <v>0</v>
      </c>
      <c r="AT590" s="48"/>
      <c r="AU590" s="50">
        <f>ROUND(Товары[[#This Row],[РРЦ финальная, руб.]]/$AT$1,2)</f>
        <v>0</v>
      </c>
      <c r="AV590" s="49" t="str">
        <f>IFERROR(Товары[[#This Row],[РРЦ, евро]]/Товары[[#This Row],[IRP, Eur]],"-")</f>
        <v>-</v>
      </c>
      <c r="AX590" s="48">
        <f>ROUND(Товары[[#This Row],[РРЦ финальная, руб.]]*(1-Товары[[#This Row],[Скидка DIY]]),2)</f>
        <v>0</v>
      </c>
    </row>
    <row r="591" spans="1:50" x14ac:dyDescent="0.25">
      <c r="A591" s="36">
        <v>589</v>
      </c>
      <c r="C591" s="36" t="s">
        <v>239</v>
      </c>
      <c r="D5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1" s="36" t="s">
        <v>206</v>
      </c>
      <c r="F5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1" s="38">
        <v>9231</v>
      </c>
      <c r="I591" s="37" t="s">
        <v>328</v>
      </c>
      <c r="J591" s="37">
        <v>8730</v>
      </c>
      <c r="K591" s="38">
        <v>901184801</v>
      </c>
      <c r="L591" s="37" t="s">
        <v>1043</v>
      </c>
      <c r="O591" s="39" t="s">
        <v>2025</v>
      </c>
      <c r="AS591" s="48">
        <f>ROUND((Товары[[#This Row],[IRP, Eur]]*$AT$1),-2)*(1+Товары[[#This Row],[Процент повышения РРЦ]])</f>
        <v>0</v>
      </c>
      <c r="AT591" s="48"/>
      <c r="AU591" s="50">
        <f>ROUND(Товары[[#This Row],[РРЦ финальная, руб.]]/$AT$1,2)</f>
        <v>0</v>
      </c>
      <c r="AV591" s="49" t="str">
        <f>IFERROR(Товары[[#This Row],[РРЦ, евро]]/Товары[[#This Row],[IRP, Eur]],"-")</f>
        <v>-</v>
      </c>
      <c r="AX591" s="48">
        <f>ROUND(Товары[[#This Row],[РРЦ финальная, руб.]]*(1-Товары[[#This Row],[Скидка DIY]]),2)</f>
        <v>0</v>
      </c>
    </row>
    <row r="592" spans="1:50" x14ac:dyDescent="0.25">
      <c r="A592" s="36">
        <v>590</v>
      </c>
      <c r="C592" s="36" t="s">
        <v>239</v>
      </c>
      <c r="D5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2" s="36" t="s">
        <v>206</v>
      </c>
      <c r="F5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2" s="38">
        <v>9231</v>
      </c>
      <c r="I592" s="37" t="s">
        <v>328</v>
      </c>
      <c r="J592" s="37">
        <v>8733</v>
      </c>
      <c r="K592" s="38">
        <v>901186001</v>
      </c>
      <c r="L592" s="37" t="s">
        <v>1044</v>
      </c>
      <c r="O592" s="39" t="s">
        <v>2026</v>
      </c>
      <c r="AS592" s="48">
        <f>ROUND((Товары[[#This Row],[IRP, Eur]]*$AT$1),-2)*(1+Товары[[#This Row],[Процент повышения РРЦ]])</f>
        <v>0</v>
      </c>
      <c r="AT592" s="48"/>
      <c r="AU592" s="50">
        <f>ROUND(Товары[[#This Row],[РРЦ финальная, руб.]]/$AT$1,2)</f>
        <v>0</v>
      </c>
      <c r="AV592" s="49" t="str">
        <f>IFERROR(Товары[[#This Row],[РРЦ, евро]]/Товары[[#This Row],[IRP, Eur]],"-")</f>
        <v>-</v>
      </c>
      <c r="AX592" s="48">
        <f>ROUND(Товары[[#This Row],[РРЦ финальная, руб.]]*(1-Товары[[#This Row],[Скидка DIY]]),2)</f>
        <v>0</v>
      </c>
    </row>
    <row r="593" spans="1:50" x14ac:dyDescent="0.25">
      <c r="A593" s="36">
        <v>591</v>
      </c>
      <c r="C593" s="36" t="s">
        <v>239</v>
      </c>
      <c r="D5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3" s="36" t="s">
        <v>206</v>
      </c>
      <c r="F5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3" s="38">
        <v>9231</v>
      </c>
      <c r="I593" s="37" t="s">
        <v>328</v>
      </c>
      <c r="J593" s="37">
        <v>8733</v>
      </c>
      <c r="K593" s="38">
        <v>901185901</v>
      </c>
      <c r="L593" s="37" t="s">
        <v>1045</v>
      </c>
      <c r="M593" s="37" t="s">
        <v>1044</v>
      </c>
      <c r="O593" s="39" t="s">
        <v>2026</v>
      </c>
      <c r="AS593" s="48">
        <f>ROUND((Товары[[#This Row],[IRP, Eur]]*$AT$1),-2)*(1+Товары[[#This Row],[Процент повышения РРЦ]])</f>
        <v>0</v>
      </c>
      <c r="AT593" s="48"/>
      <c r="AU593" s="50">
        <f>ROUND(Товары[[#This Row],[РРЦ финальная, руб.]]/$AT$1,2)</f>
        <v>0</v>
      </c>
      <c r="AV593" s="49" t="str">
        <f>IFERROR(Товары[[#This Row],[РРЦ, евро]]/Товары[[#This Row],[IRP, Eur]],"-")</f>
        <v>-</v>
      </c>
      <c r="AX593" s="48">
        <f>ROUND(Товары[[#This Row],[РРЦ финальная, руб.]]*(1-Товары[[#This Row],[Скидка DIY]]),2)</f>
        <v>0</v>
      </c>
    </row>
    <row r="594" spans="1:50" x14ac:dyDescent="0.25">
      <c r="A594" s="36">
        <v>592</v>
      </c>
      <c r="C594" s="36" t="s">
        <v>239</v>
      </c>
      <c r="D5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4" s="36" t="s">
        <v>206</v>
      </c>
      <c r="F5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4" s="38">
        <v>9231</v>
      </c>
      <c r="I594" s="37" t="s">
        <v>328</v>
      </c>
      <c r="J594" s="37">
        <v>8734</v>
      </c>
      <c r="K594" s="38">
        <v>901186201</v>
      </c>
      <c r="L594" s="37" t="s">
        <v>1046</v>
      </c>
      <c r="O594" s="39" t="s">
        <v>2027</v>
      </c>
      <c r="AS594" s="48">
        <f>ROUND((Товары[[#This Row],[IRP, Eur]]*$AT$1),-2)*(1+Товары[[#This Row],[Процент повышения РРЦ]])</f>
        <v>0</v>
      </c>
      <c r="AT594" s="48"/>
      <c r="AU594" s="50">
        <f>ROUND(Товары[[#This Row],[РРЦ финальная, руб.]]/$AT$1,2)</f>
        <v>0</v>
      </c>
      <c r="AV594" s="49" t="str">
        <f>IFERROR(Товары[[#This Row],[РРЦ, евро]]/Товары[[#This Row],[IRP, Eur]],"-")</f>
        <v>-</v>
      </c>
      <c r="AX594" s="48">
        <f>ROUND(Товары[[#This Row],[РРЦ финальная, руб.]]*(1-Товары[[#This Row],[Скидка DIY]]),2)</f>
        <v>0</v>
      </c>
    </row>
    <row r="595" spans="1:50" x14ac:dyDescent="0.25">
      <c r="A595" s="36">
        <v>593</v>
      </c>
      <c r="C595" s="36" t="s">
        <v>239</v>
      </c>
      <c r="D5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5" s="36" t="s">
        <v>206</v>
      </c>
      <c r="F5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5" s="38">
        <v>9231</v>
      </c>
      <c r="I595" s="37" t="s">
        <v>328</v>
      </c>
      <c r="J595" s="37">
        <v>8735</v>
      </c>
      <c r="K595" s="38">
        <v>901186501</v>
      </c>
      <c r="L595" s="37" t="s">
        <v>1047</v>
      </c>
      <c r="O595" s="39" t="s">
        <v>2028</v>
      </c>
      <c r="AS595" s="48">
        <f>ROUND((Товары[[#This Row],[IRP, Eur]]*$AT$1),-2)*(1+Товары[[#This Row],[Процент повышения РРЦ]])</f>
        <v>0</v>
      </c>
      <c r="AT595" s="48"/>
      <c r="AU595" s="50">
        <f>ROUND(Товары[[#This Row],[РРЦ финальная, руб.]]/$AT$1,2)</f>
        <v>0</v>
      </c>
      <c r="AV595" s="49" t="str">
        <f>IFERROR(Товары[[#This Row],[РРЦ, евро]]/Товары[[#This Row],[IRP, Eur]],"-")</f>
        <v>-</v>
      </c>
      <c r="AX595" s="48">
        <f>ROUND(Товары[[#This Row],[РРЦ финальная, руб.]]*(1-Товары[[#This Row],[Скидка DIY]]),2)</f>
        <v>0</v>
      </c>
    </row>
    <row r="596" spans="1:50" x14ac:dyDescent="0.25">
      <c r="A596" s="36">
        <v>594</v>
      </c>
      <c r="C596" s="36" t="s">
        <v>239</v>
      </c>
      <c r="D5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6" s="36" t="s">
        <v>206</v>
      </c>
      <c r="F5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6" s="38">
        <v>9231</v>
      </c>
      <c r="I596" s="37" t="s">
        <v>328</v>
      </c>
      <c r="J596" s="37">
        <v>8735</v>
      </c>
      <c r="K596" s="38">
        <v>901186401</v>
      </c>
      <c r="L596" s="37" t="s">
        <v>1048</v>
      </c>
      <c r="O596" s="39" t="s">
        <v>2028</v>
      </c>
      <c r="AS596" s="48">
        <f>ROUND((Товары[[#This Row],[IRP, Eur]]*$AT$1),-2)*(1+Товары[[#This Row],[Процент повышения РРЦ]])</f>
        <v>0</v>
      </c>
      <c r="AT596" s="48"/>
      <c r="AU596" s="50">
        <f>ROUND(Товары[[#This Row],[РРЦ финальная, руб.]]/$AT$1,2)</f>
        <v>0</v>
      </c>
      <c r="AV596" s="49" t="str">
        <f>IFERROR(Товары[[#This Row],[РРЦ, евро]]/Товары[[#This Row],[IRP, Eur]],"-")</f>
        <v>-</v>
      </c>
      <c r="AX596" s="48">
        <f>ROUND(Товары[[#This Row],[РРЦ финальная, руб.]]*(1-Товары[[#This Row],[Скидка DIY]]),2)</f>
        <v>0</v>
      </c>
    </row>
    <row r="597" spans="1:50" x14ac:dyDescent="0.25">
      <c r="A597" s="36">
        <v>595</v>
      </c>
      <c r="C597" s="36" t="s">
        <v>239</v>
      </c>
      <c r="D5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7" s="36" t="s">
        <v>206</v>
      </c>
      <c r="F5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7" s="38">
        <v>9231</v>
      </c>
      <c r="I597" s="37" t="s">
        <v>328</v>
      </c>
      <c r="J597" s="37">
        <v>12100</v>
      </c>
      <c r="K597" s="38">
        <v>967670501</v>
      </c>
      <c r="L597" s="37" t="s">
        <v>1049</v>
      </c>
      <c r="M597" s="37" t="s">
        <v>1414</v>
      </c>
      <c r="O597" s="39" t="s">
        <v>2029</v>
      </c>
      <c r="AS597" s="48">
        <f>ROUND((Товары[[#This Row],[IRP, Eur]]*$AT$1),-2)*(1+Товары[[#This Row],[Процент повышения РРЦ]])</f>
        <v>0</v>
      </c>
      <c r="AT597" s="48"/>
      <c r="AU597" s="50">
        <f>ROUND(Товары[[#This Row],[РРЦ финальная, руб.]]/$AT$1,2)</f>
        <v>0</v>
      </c>
      <c r="AV597" s="49" t="str">
        <f>IFERROR(Товары[[#This Row],[РРЦ, евро]]/Товары[[#This Row],[IRP, Eur]],"-")</f>
        <v>-</v>
      </c>
      <c r="AX597" s="48">
        <f>ROUND(Товары[[#This Row],[РРЦ финальная, руб.]]*(1-Товары[[#This Row],[Скидка DIY]]),2)</f>
        <v>0</v>
      </c>
    </row>
    <row r="598" spans="1:50" x14ac:dyDescent="0.25">
      <c r="A598" s="36">
        <v>596</v>
      </c>
      <c r="C598" s="36" t="s">
        <v>239</v>
      </c>
      <c r="D5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8" s="36" t="s">
        <v>206</v>
      </c>
      <c r="F5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8" s="38">
        <v>9211</v>
      </c>
      <c r="I598" s="37" t="s">
        <v>329</v>
      </c>
      <c r="J598" s="37">
        <v>8707</v>
      </c>
      <c r="K598" s="38">
        <v>967654001</v>
      </c>
      <c r="L598" s="37" t="s">
        <v>1050</v>
      </c>
      <c r="O598" s="39" t="s">
        <v>2030</v>
      </c>
      <c r="AS598" s="48">
        <f>ROUND((Товары[[#This Row],[IRP, Eur]]*$AT$1),-2)*(1+Товары[[#This Row],[Процент повышения РРЦ]])</f>
        <v>0</v>
      </c>
      <c r="AT598" s="48"/>
      <c r="AU598" s="50">
        <f>ROUND(Товары[[#This Row],[РРЦ финальная, руб.]]/$AT$1,2)</f>
        <v>0</v>
      </c>
      <c r="AV598" s="49" t="str">
        <f>IFERROR(Товары[[#This Row],[РРЦ, евро]]/Товары[[#This Row],[IRP, Eur]],"-")</f>
        <v>-</v>
      </c>
      <c r="AX598" s="48">
        <f>ROUND(Товары[[#This Row],[РРЦ финальная, руб.]]*(1-Товары[[#This Row],[Скидка DIY]]),2)</f>
        <v>0</v>
      </c>
    </row>
    <row r="599" spans="1:50" x14ac:dyDescent="0.25">
      <c r="A599" s="36">
        <v>597</v>
      </c>
      <c r="C599" s="36" t="s">
        <v>239</v>
      </c>
      <c r="D5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9" s="36" t="s">
        <v>206</v>
      </c>
      <c r="F5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9" s="38">
        <v>9211</v>
      </c>
      <c r="I599" s="37" t="s">
        <v>329</v>
      </c>
      <c r="J599" s="37">
        <v>8754</v>
      </c>
      <c r="K599" s="38">
        <v>901187601</v>
      </c>
      <c r="L599" s="37" t="s">
        <v>1051</v>
      </c>
      <c r="O599" s="39" t="s">
        <v>2031</v>
      </c>
      <c r="AS599" s="48">
        <f>ROUND((Товары[[#This Row],[IRP, Eur]]*$AT$1),-2)*(1+Товары[[#This Row],[Процент повышения РРЦ]])</f>
        <v>0</v>
      </c>
      <c r="AT599" s="48"/>
      <c r="AU599" s="50">
        <f>ROUND(Товары[[#This Row],[РРЦ финальная, руб.]]/$AT$1,2)</f>
        <v>0</v>
      </c>
      <c r="AV599" s="49" t="str">
        <f>IFERROR(Товары[[#This Row],[РРЦ, евро]]/Товары[[#This Row],[IRP, Eur]],"-")</f>
        <v>-</v>
      </c>
      <c r="AX599" s="48">
        <f>ROUND(Товары[[#This Row],[РРЦ финальная, руб.]]*(1-Товары[[#This Row],[Скидка DIY]]),2)</f>
        <v>0</v>
      </c>
    </row>
    <row r="600" spans="1:50" x14ac:dyDescent="0.25">
      <c r="A600" s="36">
        <v>598</v>
      </c>
      <c r="C600" s="36" t="s">
        <v>239</v>
      </c>
      <c r="D6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0" s="36" t="s">
        <v>206</v>
      </c>
      <c r="F6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0" s="38">
        <v>9211</v>
      </c>
      <c r="I600" s="37" t="s">
        <v>329</v>
      </c>
      <c r="J600" s="37">
        <v>8754</v>
      </c>
      <c r="K600" s="38">
        <v>901187901</v>
      </c>
      <c r="L600" s="37" t="s">
        <v>1052</v>
      </c>
      <c r="M600" s="37" t="s">
        <v>1328</v>
      </c>
      <c r="O600" s="39" t="s">
        <v>2032</v>
      </c>
      <c r="AS600" s="48">
        <f>ROUND((Товары[[#This Row],[IRP, Eur]]*$AT$1),-2)*(1+Товары[[#This Row],[Процент повышения РРЦ]])</f>
        <v>0</v>
      </c>
      <c r="AT600" s="48"/>
      <c r="AU600" s="50">
        <f>ROUND(Товары[[#This Row],[РРЦ финальная, руб.]]/$AT$1,2)</f>
        <v>0</v>
      </c>
      <c r="AV600" s="49" t="str">
        <f>IFERROR(Товары[[#This Row],[РРЦ, евро]]/Товары[[#This Row],[IRP, Eur]],"-")</f>
        <v>-</v>
      </c>
      <c r="AX600" s="48">
        <f>ROUND(Товары[[#This Row],[РРЦ финальная, руб.]]*(1-Товары[[#This Row],[Скидка DIY]]),2)</f>
        <v>0</v>
      </c>
    </row>
    <row r="601" spans="1:50" x14ac:dyDescent="0.25">
      <c r="A601" s="36">
        <v>599</v>
      </c>
      <c r="C601" s="36" t="s">
        <v>239</v>
      </c>
      <c r="D6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1" s="36" t="s">
        <v>206</v>
      </c>
      <c r="F6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1" s="38">
        <v>9211</v>
      </c>
      <c r="I601" s="37" t="s">
        <v>329</v>
      </c>
      <c r="J601" s="37">
        <v>8854</v>
      </c>
      <c r="K601" s="38">
        <v>967047801</v>
      </c>
      <c r="L601" s="37" t="s">
        <v>1053</v>
      </c>
      <c r="M601" s="37" t="s">
        <v>1051</v>
      </c>
      <c r="O601" s="39" t="s">
        <v>2033</v>
      </c>
      <c r="AS601" s="48">
        <f>ROUND((Товары[[#This Row],[IRP, Eur]]*$AT$1),-2)*(1+Товары[[#This Row],[Процент повышения РРЦ]])</f>
        <v>0</v>
      </c>
      <c r="AT601" s="48"/>
      <c r="AU601" s="50">
        <f>ROUND(Товары[[#This Row],[РРЦ финальная, руб.]]/$AT$1,2)</f>
        <v>0</v>
      </c>
      <c r="AV601" s="49" t="str">
        <f>IFERROR(Товары[[#This Row],[РРЦ, евро]]/Товары[[#This Row],[IRP, Eur]],"-")</f>
        <v>-</v>
      </c>
      <c r="AX601" s="48">
        <f>ROUND(Товары[[#This Row],[РРЦ финальная, руб.]]*(1-Товары[[#This Row],[Скидка DIY]]),2)</f>
        <v>0</v>
      </c>
    </row>
    <row r="602" spans="1:50" x14ac:dyDescent="0.25">
      <c r="A602" s="36">
        <v>600</v>
      </c>
      <c r="C602" s="36" t="s">
        <v>239</v>
      </c>
      <c r="D6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2" s="36" t="s">
        <v>206</v>
      </c>
      <c r="F6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2" s="38">
        <v>9211</v>
      </c>
      <c r="I602" s="37" t="s">
        <v>330</v>
      </c>
      <c r="J602" s="37">
        <v>8855</v>
      </c>
      <c r="K602" s="38">
        <v>967047901</v>
      </c>
      <c r="L602" s="37" t="s">
        <v>1054</v>
      </c>
      <c r="M602" s="37" t="s">
        <v>1415</v>
      </c>
      <c r="O602" s="39" t="s">
        <v>2034</v>
      </c>
      <c r="AS602" s="48">
        <f>ROUND((Товары[[#This Row],[IRP, Eur]]*$AT$1),-2)*(1+Товары[[#This Row],[Процент повышения РРЦ]])</f>
        <v>0</v>
      </c>
      <c r="AT602" s="48"/>
      <c r="AU602" s="50">
        <f>ROUND(Товары[[#This Row],[РРЦ финальная, руб.]]/$AT$1,2)</f>
        <v>0</v>
      </c>
      <c r="AV602" s="49" t="str">
        <f>IFERROR(Товары[[#This Row],[РРЦ, евро]]/Товары[[#This Row],[IRP, Eur]],"-")</f>
        <v>-</v>
      </c>
      <c r="AX602" s="48">
        <f>ROUND(Товары[[#This Row],[РРЦ финальная, руб.]]*(1-Товары[[#This Row],[Скидка DIY]]),2)</f>
        <v>0</v>
      </c>
    </row>
    <row r="603" spans="1:50" x14ac:dyDescent="0.25">
      <c r="A603" s="36">
        <v>601</v>
      </c>
      <c r="C603" s="36" t="s">
        <v>239</v>
      </c>
      <c r="D6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3" s="36" t="s">
        <v>206</v>
      </c>
      <c r="F6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3" s="38">
        <v>9211</v>
      </c>
      <c r="I603" s="37" t="s">
        <v>329</v>
      </c>
      <c r="J603" s="37">
        <v>8857</v>
      </c>
      <c r="K603" s="38">
        <v>967048001</v>
      </c>
      <c r="L603" s="37" t="s">
        <v>1055</v>
      </c>
      <c r="O603" s="39" t="s">
        <v>2035</v>
      </c>
      <c r="AS603" s="48">
        <f>ROUND((Товары[[#This Row],[IRP, Eur]]*$AT$1),-2)*(1+Товары[[#This Row],[Процент повышения РРЦ]])</f>
        <v>0</v>
      </c>
      <c r="AT603" s="48"/>
      <c r="AU603" s="50">
        <f>ROUND(Товары[[#This Row],[РРЦ финальная, руб.]]/$AT$1,2)</f>
        <v>0</v>
      </c>
      <c r="AV603" s="49" t="str">
        <f>IFERROR(Товары[[#This Row],[РРЦ, евро]]/Товары[[#This Row],[IRP, Eur]],"-")</f>
        <v>-</v>
      </c>
      <c r="AX603" s="48">
        <f>ROUND(Товары[[#This Row],[РРЦ финальная, руб.]]*(1-Товары[[#This Row],[Скидка DIY]]),2)</f>
        <v>0</v>
      </c>
    </row>
    <row r="604" spans="1:50" x14ac:dyDescent="0.25">
      <c r="A604" s="36">
        <v>602</v>
      </c>
      <c r="C604" s="36" t="s">
        <v>239</v>
      </c>
      <c r="D6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4" s="36" t="s">
        <v>206</v>
      </c>
      <c r="F6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4" s="38">
        <v>9211</v>
      </c>
      <c r="I604" s="37" t="s">
        <v>329</v>
      </c>
      <c r="J604" s="37">
        <v>8853</v>
      </c>
      <c r="K604" s="38">
        <v>967078801</v>
      </c>
      <c r="L604" s="37" t="s">
        <v>1056</v>
      </c>
      <c r="O604" s="39" t="s">
        <v>2036</v>
      </c>
      <c r="AS604" s="48">
        <f>ROUND((Товары[[#This Row],[IRP, Eur]]*$AT$1),-2)*(1+Товары[[#This Row],[Процент повышения РРЦ]])</f>
        <v>0</v>
      </c>
      <c r="AT604" s="48"/>
      <c r="AU604" s="50">
        <f>ROUND(Товары[[#This Row],[РРЦ финальная, руб.]]/$AT$1,2)</f>
        <v>0</v>
      </c>
      <c r="AV604" s="49" t="str">
        <f>IFERROR(Товары[[#This Row],[РРЦ, евро]]/Товары[[#This Row],[IRP, Eur]],"-")</f>
        <v>-</v>
      </c>
      <c r="AX604" s="48">
        <f>ROUND(Товары[[#This Row],[РРЦ финальная, руб.]]*(1-Товары[[#This Row],[Скидка DIY]]),2)</f>
        <v>0</v>
      </c>
    </row>
    <row r="605" spans="1:50" x14ac:dyDescent="0.25">
      <c r="A605" s="36">
        <v>603</v>
      </c>
      <c r="C605" s="36" t="s">
        <v>239</v>
      </c>
      <c r="D6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5" s="36" t="s">
        <v>206</v>
      </c>
      <c r="F6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5" s="38">
        <v>9211</v>
      </c>
      <c r="I605" s="37" t="s">
        <v>329</v>
      </c>
      <c r="J605" s="37">
        <v>8904</v>
      </c>
      <c r="K605" s="38">
        <v>967048301</v>
      </c>
      <c r="L605" s="37" t="s">
        <v>1057</v>
      </c>
      <c r="M605" s="37" t="s">
        <v>1416</v>
      </c>
      <c r="O605" s="39" t="s">
        <v>2037</v>
      </c>
      <c r="AS605" s="48">
        <f>ROUND((Товары[[#This Row],[IRP, Eur]]*$AT$1),-2)*(1+Товары[[#This Row],[Процент повышения РРЦ]])</f>
        <v>0</v>
      </c>
      <c r="AT605" s="48"/>
      <c r="AU605" s="50">
        <f>ROUND(Товары[[#This Row],[РРЦ финальная, руб.]]/$AT$1,2)</f>
        <v>0</v>
      </c>
      <c r="AV605" s="49" t="str">
        <f>IFERROR(Товары[[#This Row],[РРЦ, евро]]/Товары[[#This Row],[IRP, Eur]],"-")</f>
        <v>-</v>
      </c>
      <c r="AX605" s="48">
        <f>ROUND(Товары[[#This Row],[РРЦ финальная, руб.]]*(1-Товары[[#This Row],[Скидка DIY]]),2)</f>
        <v>0</v>
      </c>
    </row>
    <row r="606" spans="1:50" x14ac:dyDescent="0.25">
      <c r="A606" s="36">
        <v>604</v>
      </c>
      <c r="C606" s="36" t="s">
        <v>239</v>
      </c>
      <c r="D6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6" s="36" t="s">
        <v>206</v>
      </c>
      <c r="F6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6" s="38">
        <v>9211</v>
      </c>
      <c r="I606" s="37" t="s">
        <v>330</v>
      </c>
      <c r="J606" s="37">
        <v>8903</v>
      </c>
      <c r="K606" s="38">
        <v>967048201</v>
      </c>
      <c r="L606" s="37" t="s">
        <v>1058</v>
      </c>
      <c r="M606" s="37" t="s">
        <v>1417</v>
      </c>
      <c r="O606" s="39" t="s">
        <v>2038</v>
      </c>
      <c r="AS606" s="48">
        <f>ROUND((Товары[[#This Row],[IRP, Eur]]*$AT$1),-2)*(1+Товары[[#This Row],[Процент повышения РРЦ]])</f>
        <v>0</v>
      </c>
      <c r="AT606" s="48"/>
      <c r="AU606" s="50">
        <f>ROUND(Товары[[#This Row],[РРЦ финальная, руб.]]/$AT$1,2)</f>
        <v>0</v>
      </c>
      <c r="AV606" s="49" t="str">
        <f>IFERROR(Товары[[#This Row],[РРЦ, евро]]/Товары[[#This Row],[IRP, Eur]],"-")</f>
        <v>-</v>
      </c>
      <c r="AX606" s="48">
        <f>ROUND(Товары[[#This Row],[РРЦ финальная, руб.]]*(1-Товары[[#This Row],[Скидка DIY]]),2)</f>
        <v>0</v>
      </c>
    </row>
    <row r="607" spans="1:50" x14ac:dyDescent="0.25">
      <c r="A607" s="36">
        <v>605</v>
      </c>
      <c r="C607" s="36" t="s">
        <v>239</v>
      </c>
      <c r="D6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7" s="36" t="s">
        <v>206</v>
      </c>
      <c r="F6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7" s="38">
        <v>9211</v>
      </c>
      <c r="I607" s="37" t="s">
        <v>329</v>
      </c>
      <c r="J607" s="37">
        <v>8905</v>
      </c>
      <c r="K607" s="38">
        <v>967048401</v>
      </c>
      <c r="L607" s="37" t="s">
        <v>1059</v>
      </c>
      <c r="M607" s="37" t="s">
        <v>1418</v>
      </c>
      <c r="O607" s="39" t="s">
        <v>2039</v>
      </c>
      <c r="AS607" s="48">
        <f>ROUND((Товары[[#This Row],[IRP, Eur]]*$AT$1),-2)*(1+Товары[[#This Row],[Процент повышения РРЦ]])</f>
        <v>0</v>
      </c>
      <c r="AT607" s="48"/>
      <c r="AU607" s="50">
        <f>ROUND(Товары[[#This Row],[РРЦ финальная, руб.]]/$AT$1,2)</f>
        <v>0</v>
      </c>
      <c r="AV607" s="49" t="str">
        <f>IFERROR(Товары[[#This Row],[РРЦ, евро]]/Товары[[#This Row],[IRP, Eur]],"-")</f>
        <v>-</v>
      </c>
      <c r="AX607" s="48">
        <f>ROUND(Товары[[#This Row],[РРЦ финальная, руб.]]*(1-Товары[[#This Row],[Скидка DIY]]),2)</f>
        <v>0</v>
      </c>
    </row>
    <row r="608" spans="1:50" x14ac:dyDescent="0.25">
      <c r="A608" s="36">
        <v>606</v>
      </c>
      <c r="C608" s="36" t="s">
        <v>239</v>
      </c>
      <c r="D6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8" s="36" t="s">
        <v>206</v>
      </c>
      <c r="F6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8" s="38">
        <v>9211</v>
      </c>
      <c r="I608" s="37" t="s">
        <v>328</v>
      </c>
      <c r="J608" s="37" t="s">
        <v>366</v>
      </c>
      <c r="K608" s="38">
        <v>970475401</v>
      </c>
      <c r="L608" s="37" t="s">
        <v>1060</v>
      </c>
      <c r="M608" s="37" t="s">
        <v>1419</v>
      </c>
      <c r="O608" s="39" t="s">
        <v>2040</v>
      </c>
      <c r="AS608" s="48">
        <f>ROUND((Товары[[#This Row],[IRP, Eur]]*$AT$1),-2)*(1+Товары[[#This Row],[Процент повышения РРЦ]])</f>
        <v>0</v>
      </c>
      <c r="AT608" s="48"/>
      <c r="AU608" s="50">
        <f>ROUND(Товары[[#This Row],[РРЦ финальная, руб.]]/$AT$1,2)</f>
        <v>0</v>
      </c>
      <c r="AV608" s="49" t="str">
        <f>IFERROR(Товары[[#This Row],[РРЦ, евро]]/Товары[[#This Row],[IRP, Eur]],"-")</f>
        <v>-</v>
      </c>
      <c r="AX608" s="48">
        <f>ROUND(Товары[[#This Row],[РРЦ финальная, руб.]]*(1-Товары[[#This Row],[Скидка DIY]]),2)</f>
        <v>0</v>
      </c>
    </row>
    <row r="609" spans="1:50" x14ac:dyDescent="0.25">
      <c r="A609" s="36">
        <v>607</v>
      </c>
      <c r="C609" s="36" t="s">
        <v>239</v>
      </c>
      <c r="D6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9" s="36" t="s">
        <v>206</v>
      </c>
      <c r="F6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9" s="38">
        <v>9211</v>
      </c>
      <c r="I609" s="37" t="s">
        <v>328</v>
      </c>
      <c r="J609" s="37" t="s">
        <v>366</v>
      </c>
      <c r="K609" s="38" t="s">
        <v>366</v>
      </c>
      <c r="L609" s="37" t="s">
        <v>366</v>
      </c>
      <c r="M609" s="37" t="s">
        <v>1419</v>
      </c>
      <c r="O609" s="39" t="s">
        <v>2041</v>
      </c>
      <c r="AS609" s="48">
        <f>ROUND((Товары[[#This Row],[IRP, Eur]]*$AT$1),-2)*(1+Товары[[#This Row],[Процент повышения РРЦ]])</f>
        <v>0</v>
      </c>
      <c r="AT609" s="48"/>
      <c r="AU609" s="50">
        <f>ROUND(Товары[[#This Row],[РРЦ финальная, руб.]]/$AT$1,2)</f>
        <v>0</v>
      </c>
      <c r="AV609" s="49" t="str">
        <f>IFERROR(Товары[[#This Row],[РРЦ, евро]]/Товары[[#This Row],[IRP, Eur]],"-")</f>
        <v>-</v>
      </c>
      <c r="AX609" s="48">
        <f>ROUND(Товары[[#This Row],[РРЦ финальная, руб.]]*(1-Товары[[#This Row],[Скидка DIY]]),2)</f>
        <v>0</v>
      </c>
    </row>
    <row r="610" spans="1:50" x14ac:dyDescent="0.25">
      <c r="A610" s="36">
        <v>608</v>
      </c>
      <c r="C610" s="36" t="s">
        <v>239</v>
      </c>
      <c r="D6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0" s="36" t="s">
        <v>206</v>
      </c>
      <c r="F6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0" s="38">
        <v>9211</v>
      </c>
      <c r="I610" s="37" t="s">
        <v>328</v>
      </c>
      <c r="J610" s="37" t="s">
        <v>366</v>
      </c>
      <c r="K610" s="38" t="s">
        <v>366</v>
      </c>
      <c r="L610" s="37" t="s">
        <v>366</v>
      </c>
      <c r="M610" s="37" t="s">
        <v>1419</v>
      </c>
      <c r="O610" s="39" t="s">
        <v>2042</v>
      </c>
      <c r="AS610" s="48">
        <f>ROUND((Товары[[#This Row],[IRP, Eur]]*$AT$1),-2)*(1+Товары[[#This Row],[Процент повышения РРЦ]])</f>
        <v>0</v>
      </c>
      <c r="AT610" s="48"/>
      <c r="AU610" s="50">
        <f>ROUND(Товары[[#This Row],[РРЦ финальная, руб.]]/$AT$1,2)</f>
        <v>0</v>
      </c>
      <c r="AV610" s="49" t="str">
        <f>IFERROR(Товары[[#This Row],[РРЦ, евро]]/Товары[[#This Row],[IRP, Eur]],"-")</f>
        <v>-</v>
      </c>
      <c r="AX610" s="48">
        <f>ROUND(Товары[[#This Row],[РРЦ финальная, руб.]]*(1-Товары[[#This Row],[Скидка DIY]]),2)</f>
        <v>0</v>
      </c>
    </row>
    <row r="611" spans="1:50" x14ac:dyDescent="0.25">
      <c r="A611" s="36">
        <v>609</v>
      </c>
      <c r="C611" s="36" t="s">
        <v>239</v>
      </c>
      <c r="D6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1" s="36" t="s">
        <v>206</v>
      </c>
      <c r="F6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1" s="38">
        <v>9211</v>
      </c>
      <c r="I611" s="37" t="s">
        <v>329</v>
      </c>
      <c r="J611" s="37">
        <v>8906</v>
      </c>
      <c r="K611" s="38">
        <v>967048501</v>
      </c>
      <c r="L611" s="37" t="s">
        <v>1061</v>
      </c>
      <c r="M611" s="37" t="s">
        <v>1420</v>
      </c>
      <c r="O611" s="39" t="s">
        <v>2043</v>
      </c>
      <c r="AS611" s="48">
        <f>ROUND((Товары[[#This Row],[IRP, Eur]]*$AT$1),-2)*(1+Товары[[#This Row],[Процент повышения РРЦ]])</f>
        <v>0</v>
      </c>
      <c r="AT611" s="48"/>
      <c r="AU611" s="50">
        <f>ROUND(Товары[[#This Row],[РРЦ финальная, руб.]]/$AT$1,2)</f>
        <v>0</v>
      </c>
      <c r="AV611" s="49" t="str">
        <f>IFERROR(Товары[[#This Row],[РРЦ, евро]]/Товары[[#This Row],[IRP, Eur]],"-")</f>
        <v>-</v>
      </c>
      <c r="AX611" s="48">
        <f>ROUND(Товары[[#This Row],[РРЦ финальная, руб.]]*(1-Товары[[#This Row],[Скидка DIY]]),2)</f>
        <v>0</v>
      </c>
    </row>
    <row r="612" spans="1:50" x14ac:dyDescent="0.25">
      <c r="A612" s="36">
        <v>610</v>
      </c>
      <c r="C612" s="36" t="s">
        <v>239</v>
      </c>
      <c r="D6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2" s="36" t="s">
        <v>206</v>
      </c>
      <c r="F6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2" s="38">
        <v>9211</v>
      </c>
      <c r="I612" s="37" t="s">
        <v>330</v>
      </c>
      <c r="J612" s="37">
        <v>8798</v>
      </c>
      <c r="K612" s="38">
        <v>966453001</v>
      </c>
      <c r="L612" s="37" t="s">
        <v>1062</v>
      </c>
      <c r="O612" s="39" t="s">
        <v>2044</v>
      </c>
      <c r="AS612" s="48">
        <f>ROUND((Товары[[#This Row],[IRP, Eur]]*$AT$1),-2)*(1+Товары[[#This Row],[Процент повышения РРЦ]])</f>
        <v>0</v>
      </c>
      <c r="AT612" s="48"/>
      <c r="AU612" s="50">
        <f>ROUND(Товары[[#This Row],[РРЦ финальная, руб.]]/$AT$1,2)</f>
        <v>0</v>
      </c>
      <c r="AV612" s="49" t="str">
        <f>IFERROR(Товары[[#This Row],[РРЦ, евро]]/Товары[[#This Row],[IRP, Eur]],"-")</f>
        <v>-</v>
      </c>
      <c r="AX612" s="48">
        <f>ROUND(Товары[[#This Row],[РРЦ финальная, руб.]]*(1-Товары[[#This Row],[Скидка DIY]]),2)</f>
        <v>0</v>
      </c>
    </row>
    <row r="613" spans="1:50" x14ac:dyDescent="0.25">
      <c r="A613" s="36">
        <v>611</v>
      </c>
      <c r="C613" s="36" t="s">
        <v>239</v>
      </c>
      <c r="D6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3" s="36" t="s">
        <v>206</v>
      </c>
      <c r="F6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3" s="38">
        <v>9211</v>
      </c>
      <c r="I613" s="37" t="s">
        <v>329</v>
      </c>
      <c r="J613" s="37">
        <v>8702</v>
      </c>
      <c r="K613" s="38">
        <v>901181501</v>
      </c>
      <c r="L613" s="37" t="s">
        <v>1063</v>
      </c>
      <c r="M613" s="37" t="s">
        <v>1421</v>
      </c>
      <c r="O613" s="39" t="s">
        <v>2045</v>
      </c>
      <c r="AS613" s="48">
        <f>ROUND((Товары[[#This Row],[IRP, Eur]]*$AT$1),-2)*(1+Товары[[#This Row],[Процент повышения РРЦ]])</f>
        <v>0</v>
      </c>
      <c r="AT613" s="48"/>
      <c r="AU613" s="50">
        <f>ROUND(Товары[[#This Row],[РРЦ финальная, руб.]]/$AT$1,2)</f>
        <v>0</v>
      </c>
      <c r="AV613" s="49" t="str">
        <f>IFERROR(Товары[[#This Row],[РРЦ, евро]]/Товары[[#This Row],[IRP, Eur]],"-")</f>
        <v>-</v>
      </c>
      <c r="AX613" s="48">
        <f>ROUND(Товары[[#This Row],[РРЦ финальная, руб.]]*(1-Товары[[#This Row],[Скидка DIY]]),2)</f>
        <v>0</v>
      </c>
    </row>
    <row r="614" spans="1:50" x14ac:dyDescent="0.25">
      <c r="A614" s="36">
        <v>612</v>
      </c>
      <c r="C614" s="36" t="s">
        <v>239</v>
      </c>
      <c r="D6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4" s="36" t="s">
        <v>206</v>
      </c>
      <c r="F6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4" s="38">
        <v>9213</v>
      </c>
      <c r="I614" s="37" t="s">
        <v>331</v>
      </c>
      <c r="J614" s="37">
        <v>12300</v>
      </c>
      <c r="K614" s="38">
        <v>967988901</v>
      </c>
      <c r="L614" s="37" t="s">
        <v>1064</v>
      </c>
      <c r="M614" s="37" t="s">
        <v>1422</v>
      </c>
      <c r="O614" s="39" t="s">
        <v>2046</v>
      </c>
      <c r="AS614" s="48">
        <f>ROUND((Товары[[#This Row],[IRP, Eur]]*$AT$1),-2)*(1+Товары[[#This Row],[Процент повышения РРЦ]])</f>
        <v>0</v>
      </c>
      <c r="AT614" s="48"/>
      <c r="AU614" s="50">
        <f>ROUND(Товары[[#This Row],[РРЦ финальная, руб.]]/$AT$1,2)</f>
        <v>0</v>
      </c>
      <c r="AV614" s="49" t="str">
        <f>IFERROR(Товары[[#This Row],[РРЦ, евро]]/Товары[[#This Row],[IRP, Eur]],"-")</f>
        <v>-</v>
      </c>
      <c r="AX614" s="48">
        <f>ROUND(Товары[[#This Row],[РРЦ финальная, руб.]]*(1-Товары[[#This Row],[Скидка DIY]]),2)</f>
        <v>0</v>
      </c>
    </row>
    <row r="615" spans="1:50" x14ac:dyDescent="0.25">
      <c r="A615" s="36">
        <v>613</v>
      </c>
      <c r="C615" s="36" t="s">
        <v>239</v>
      </c>
      <c r="D6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5" s="36" t="s">
        <v>206</v>
      </c>
      <c r="F6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5" s="38">
        <v>9213</v>
      </c>
      <c r="I615" s="37" t="s">
        <v>331</v>
      </c>
      <c r="J615" s="37">
        <v>12301</v>
      </c>
      <c r="K615" s="38">
        <v>967989001</v>
      </c>
      <c r="L615" s="37" t="s">
        <v>1065</v>
      </c>
      <c r="M615" s="37" t="s">
        <v>1423</v>
      </c>
      <c r="O615" s="39" t="s">
        <v>2047</v>
      </c>
      <c r="AS615" s="48">
        <f>ROUND((Товары[[#This Row],[IRP, Eur]]*$AT$1),-2)*(1+Товары[[#This Row],[Процент повышения РРЦ]])</f>
        <v>0</v>
      </c>
      <c r="AT615" s="48"/>
      <c r="AU615" s="50">
        <f>ROUND(Товары[[#This Row],[РРЦ финальная, руб.]]/$AT$1,2)</f>
        <v>0</v>
      </c>
      <c r="AV615" s="49" t="str">
        <f>IFERROR(Товары[[#This Row],[РРЦ, евро]]/Товары[[#This Row],[IRP, Eur]],"-")</f>
        <v>-</v>
      </c>
      <c r="AX615" s="48">
        <f>ROUND(Товары[[#This Row],[РРЦ финальная, руб.]]*(1-Товары[[#This Row],[Скидка DIY]]),2)</f>
        <v>0</v>
      </c>
    </row>
    <row r="616" spans="1:50" x14ac:dyDescent="0.25">
      <c r="A616" s="36">
        <v>614</v>
      </c>
      <c r="C616" s="36" t="s">
        <v>239</v>
      </c>
      <c r="D6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6" s="36" t="s">
        <v>206</v>
      </c>
      <c r="F6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6" s="38">
        <v>9213</v>
      </c>
      <c r="I616" s="37" t="s">
        <v>331</v>
      </c>
      <c r="J616" s="37">
        <v>12302</v>
      </c>
      <c r="K616" s="38">
        <v>967989101</v>
      </c>
      <c r="L616" s="37" t="s">
        <v>1066</v>
      </c>
      <c r="M616" s="37" t="s">
        <v>1070</v>
      </c>
      <c r="O616" s="39" t="s">
        <v>2048</v>
      </c>
      <c r="AS616" s="48">
        <f>ROUND((Товары[[#This Row],[IRP, Eur]]*$AT$1),-2)*(1+Товары[[#This Row],[Процент повышения РРЦ]])</f>
        <v>0</v>
      </c>
      <c r="AT616" s="48"/>
      <c r="AU616" s="50">
        <f>ROUND(Товары[[#This Row],[РРЦ финальная, руб.]]/$AT$1,2)</f>
        <v>0</v>
      </c>
      <c r="AV616" s="49" t="str">
        <f>IFERROR(Товары[[#This Row],[РРЦ, евро]]/Товары[[#This Row],[IRP, Eur]],"-")</f>
        <v>-</v>
      </c>
      <c r="AX616" s="48">
        <f>ROUND(Товары[[#This Row],[РРЦ финальная, руб.]]*(1-Товары[[#This Row],[Скидка DIY]]),2)</f>
        <v>0</v>
      </c>
    </row>
    <row r="617" spans="1:50" x14ac:dyDescent="0.25">
      <c r="A617" s="36">
        <v>615</v>
      </c>
      <c r="C617" s="36" t="s">
        <v>239</v>
      </c>
      <c r="D6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7" s="36" t="s">
        <v>206</v>
      </c>
      <c r="F6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7" s="38">
        <v>9213</v>
      </c>
      <c r="I617" s="37" t="s">
        <v>331</v>
      </c>
      <c r="J617" s="37">
        <v>12303</v>
      </c>
      <c r="K617" s="38">
        <v>967989201</v>
      </c>
      <c r="L617" s="37" t="s">
        <v>1067</v>
      </c>
      <c r="M617" s="37" t="s">
        <v>1072</v>
      </c>
      <c r="O617" s="39" t="s">
        <v>2049</v>
      </c>
      <c r="AS617" s="48">
        <f>ROUND((Товары[[#This Row],[IRP, Eur]]*$AT$1),-2)*(1+Товары[[#This Row],[Процент повышения РРЦ]])</f>
        <v>0</v>
      </c>
      <c r="AT617" s="48"/>
      <c r="AU617" s="50">
        <f>ROUND(Товары[[#This Row],[РРЦ финальная, руб.]]/$AT$1,2)</f>
        <v>0</v>
      </c>
      <c r="AV617" s="49" t="str">
        <f>IFERROR(Товары[[#This Row],[РРЦ, евро]]/Товары[[#This Row],[IRP, Eur]],"-")</f>
        <v>-</v>
      </c>
      <c r="AX617" s="48">
        <f>ROUND(Товары[[#This Row],[РРЦ финальная, руб.]]*(1-Товары[[#This Row],[Скидка DIY]]),2)</f>
        <v>0</v>
      </c>
    </row>
    <row r="618" spans="1:50" x14ac:dyDescent="0.25">
      <c r="A618" s="36">
        <v>616</v>
      </c>
      <c r="C618" s="36" t="s">
        <v>239</v>
      </c>
      <c r="D6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8" s="36" t="s">
        <v>206</v>
      </c>
      <c r="F6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8" s="38">
        <v>9213</v>
      </c>
      <c r="I618" s="37" t="s">
        <v>331</v>
      </c>
      <c r="J618" s="37">
        <v>12304</v>
      </c>
      <c r="K618" s="38">
        <v>967989301</v>
      </c>
      <c r="L618" s="37" t="s">
        <v>1068</v>
      </c>
      <c r="M618" s="37" t="s">
        <v>1074</v>
      </c>
      <c r="O618" s="39" t="s">
        <v>2050</v>
      </c>
      <c r="AS618" s="48">
        <f>ROUND((Товары[[#This Row],[IRP, Eur]]*$AT$1),-2)*(1+Товары[[#This Row],[Процент повышения РРЦ]])</f>
        <v>0</v>
      </c>
      <c r="AT618" s="48"/>
      <c r="AU618" s="50">
        <f>ROUND(Товары[[#This Row],[РРЦ финальная, руб.]]/$AT$1,2)</f>
        <v>0</v>
      </c>
      <c r="AV618" s="49" t="str">
        <f>IFERROR(Товары[[#This Row],[РРЦ, евро]]/Товары[[#This Row],[IRP, Eur]],"-")</f>
        <v>-</v>
      </c>
      <c r="AX618" s="48">
        <f>ROUND(Товары[[#This Row],[РРЦ финальная, руб.]]*(1-Товары[[#This Row],[Скидка DIY]]),2)</f>
        <v>0</v>
      </c>
    </row>
    <row r="619" spans="1:50" x14ac:dyDescent="0.25">
      <c r="A619" s="36">
        <v>617</v>
      </c>
      <c r="C619" s="36" t="s">
        <v>239</v>
      </c>
      <c r="D6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9" s="36" t="s">
        <v>206</v>
      </c>
      <c r="F6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9" s="38">
        <v>9213</v>
      </c>
      <c r="I619" s="37" t="s">
        <v>331</v>
      </c>
      <c r="K619" s="38">
        <v>900842301</v>
      </c>
      <c r="L619" s="37" t="s">
        <v>1069</v>
      </c>
      <c r="O619" s="39" t="s">
        <v>2051</v>
      </c>
      <c r="AS619" s="48">
        <f>ROUND((Товары[[#This Row],[IRP, Eur]]*$AT$1),-2)*(1+Товары[[#This Row],[Процент повышения РРЦ]])</f>
        <v>0</v>
      </c>
      <c r="AT619" s="48"/>
      <c r="AU619" s="50">
        <f>ROUND(Товары[[#This Row],[РРЦ финальная, руб.]]/$AT$1,2)</f>
        <v>0</v>
      </c>
      <c r="AV619" s="49" t="str">
        <f>IFERROR(Товары[[#This Row],[РРЦ, евро]]/Товары[[#This Row],[IRP, Eur]],"-")</f>
        <v>-</v>
      </c>
      <c r="AX619" s="48">
        <f>ROUND(Товары[[#This Row],[РРЦ финальная, руб.]]*(1-Товары[[#This Row],[Скидка DIY]]),2)</f>
        <v>0</v>
      </c>
    </row>
    <row r="620" spans="1:50" x14ac:dyDescent="0.25">
      <c r="A620" s="36">
        <v>618</v>
      </c>
      <c r="C620" s="36" t="s">
        <v>239</v>
      </c>
      <c r="D6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0" s="36" t="s">
        <v>206</v>
      </c>
      <c r="F6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0" s="38">
        <v>9213</v>
      </c>
      <c r="I620" s="37" t="s">
        <v>331</v>
      </c>
      <c r="K620" s="38">
        <v>966958801</v>
      </c>
      <c r="L620" s="37" t="s">
        <v>1070</v>
      </c>
      <c r="O620" s="39" t="s">
        <v>2052</v>
      </c>
      <c r="AS620" s="48">
        <f>ROUND((Товары[[#This Row],[IRP, Eur]]*$AT$1),-2)*(1+Товары[[#This Row],[Процент повышения РРЦ]])</f>
        <v>0</v>
      </c>
      <c r="AT620" s="48"/>
      <c r="AU620" s="50">
        <f>ROUND(Товары[[#This Row],[РРЦ финальная, руб.]]/$AT$1,2)</f>
        <v>0</v>
      </c>
      <c r="AV620" s="49" t="str">
        <f>IFERROR(Товары[[#This Row],[РРЦ, евро]]/Товары[[#This Row],[IRP, Eur]],"-")</f>
        <v>-</v>
      </c>
      <c r="AX620" s="48">
        <f>ROUND(Товары[[#This Row],[РРЦ финальная, руб.]]*(1-Товары[[#This Row],[Скидка DIY]]),2)</f>
        <v>0</v>
      </c>
    </row>
    <row r="621" spans="1:50" x14ac:dyDescent="0.25">
      <c r="A621" s="36">
        <v>619</v>
      </c>
      <c r="C621" s="36" t="s">
        <v>239</v>
      </c>
      <c r="D6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1" s="36" t="s">
        <v>206</v>
      </c>
      <c r="F6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1" s="38">
        <v>9213</v>
      </c>
      <c r="I621" s="37" t="s">
        <v>331</v>
      </c>
      <c r="K621" s="38">
        <v>900843001</v>
      </c>
      <c r="L621" s="37" t="s">
        <v>1071</v>
      </c>
      <c r="O621" s="39" t="s">
        <v>2051</v>
      </c>
      <c r="AS621" s="48">
        <f>ROUND((Товары[[#This Row],[IRP, Eur]]*$AT$1),-2)*(1+Товары[[#This Row],[Процент повышения РРЦ]])</f>
        <v>0</v>
      </c>
      <c r="AT621" s="48"/>
      <c r="AU621" s="50">
        <f>ROUND(Товары[[#This Row],[РРЦ финальная, руб.]]/$AT$1,2)</f>
        <v>0</v>
      </c>
      <c r="AV621" s="49" t="str">
        <f>IFERROR(Товары[[#This Row],[РРЦ, евро]]/Товары[[#This Row],[IRP, Eur]],"-")</f>
        <v>-</v>
      </c>
      <c r="AX621" s="48">
        <f>ROUND(Товары[[#This Row],[РРЦ финальная, руб.]]*(1-Товары[[#This Row],[Скидка DIY]]),2)</f>
        <v>0</v>
      </c>
    </row>
    <row r="622" spans="1:50" x14ac:dyDescent="0.25">
      <c r="A622" s="36">
        <v>620</v>
      </c>
      <c r="C622" s="36" t="s">
        <v>239</v>
      </c>
      <c r="D6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2" s="36" t="s">
        <v>206</v>
      </c>
      <c r="F6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2" s="38">
        <v>9213</v>
      </c>
      <c r="I622" s="37" t="s">
        <v>331</v>
      </c>
      <c r="K622" s="38">
        <v>900842501</v>
      </c>
      <c r="L622" s="37" t="s">
        <v>1072</v>
      </c>
      <c r="O622" s="39" t="s">
        <v>2053</v>
      </c>
      <c r="AS622" s="48">
        <f>ROUND((Товары[[#This Row],[IRP, Eur]]*$AT$1),-2)*(1+Товары[[#This Row],[Процент повышения РРЦ]])</f>
        <v>0</v>
      </c>
      <c r="AT622" s="48"/>
      <c r="AU622" s="50">
        <f>ROUND(Товары[[#This Row],[РРЦ финальная, руб.]]/$AT$1,2)</f>
        <v>0</v>
      </c>
      <c r="AV622" s="49" t="str">
        <f>IFERROR(Товары[[#This Row],[РРЦ, евро]]/Товары[[#This Row],[IRP, Eur]],"-")</f>
        <v>-</v>
      </c>
      <c r="AX622" s="48">
        <f>ROUND(Товары[[#This Row],[РРЦ финальная, руб.]]*(1-Товары[[#This Row],[Скидка DIY]]),2)</f>
        <v>0</v>
      </c>
    </row>
    <row r="623" spans="1:50" x14ac:dyDescent="0.25">
      <c r="A623" s="36">
        <v>621</v>
      </c>
      <c r="C623" s="36" t="s">
        <v>239</v>
      </c>
      <c r="D6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3" s="36" t="s">
        <v>206</v>
      </c>
      <c r="F6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3" s="38">
        <v>9213</v>
      </c>
      <c r="I623" s="37" t="s">
        <v>331</v>
      </c>
      <c r="K623" s="38">
        <v>967262101</v>
      </c>
      <c r="L623" s="37" t="s">
        <v>1073</v>
      </c>
      <c r="O623" s="39" t="s">
        <v>2054</v>
      </c>
      <c r="AS623" s="48">
        <f>ROUND((Товары[[#This Row],[IRP, Eur]]*$AT$1),-2)*(1+Товары[[#This Row],[Процент повышения РРЦ]])</f>
        <v>0</v>
      </c>
      <c r="AT623" s="48"/>
      <c r="AU623" s="50">
        <f>ROUND(Товары[[#This Row],[РРЦ финальная, руб.]]/$AT$1,2)</f>
        <v>0</v>
      </c>
      <c r="AV623" s="49" t="str">
        <f>IFERROR(Товары[[#This Row],[РРЦ, евро]]/Товары[[#This Row],[IRP, Eur]],"-")</f>
        <v>-</v>
      </c>
      <c r="AX623" s="48">
        <f>ROUND(Товары[[#This Row],[РРЦ финальная, руб.]]*(1-Товары[[#This Row],[Скидка DIY]]),2)</f>
        <v>0</v>
      </c>
    </row>
    <row r="624" spans="1:50" x14ac:dyDescent="0.25">
      <c r="A624" s="36">
        <v>622</v>
      </c>
      <c r="C624" s="36" t="s">
        <v>239</v>
      </c>
      <c r="D6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4" s="36" t="s">
        <v>206</v>
      </c>
      <c r="F6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4" s="38">
        <v>9213</v>
      </c>
      <c r="I624" s="37" t="s">
        <v>331</v>
      </c>
      <c r="K624" s="38">
        <v>900842601</v>
      </c>
      <c r="L624" s="37" t="s">
        <v>1074</v>
      </c>
      <c r="O624" s="39" t="s">
        <v>2055</v>
      </c>
      <c r="AS624" s="48">
        <f>ROUND((Товары[[#This Row],[IRP, Eur]]*$AT$1),-2)*(1+Товары[[#This Row],[Процент повышения РРЦ]])</f>
        <v>0</v>
      </c>
      <c r="AT624" s="48"/>
      <c r="AU624" s="50">
        <f>ROUND(Товары[[#This Row],[РРЦ финальная, руб.]]/$AT$1,2)</f>
        <v>0</v>
      </c>
      <c r="AV624" s="49" t="str">
        <f>IFERROR(Товары[[#This Row],[РРЦ, евро]]/Товары[[#This Row],[IRP, Eur]],"-")</f>
        <v>-</v>
      </c>
      <c r="AX624" s="48">
        <f>ROUND(Товары[[#This Row],[РРЦ финальная, руб.]]*(1-Товары[[#This Row],[Скидка DIY]]),2)</f>
        <v>0</v>
      </c>
    </row>
    <row r="625" spans="1:50" x14ac:dyDescent="0.25">
      <c r="A625" s="36">
        <v>623</v>
      </c>
      <c r="C625" s="36" t="s">
        <v>239</v>
      </c>
      <c r="D6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5" s="36" t="s">
        <v>206</v>
      </c>
      <c r="F6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5" s="38">
        <v>9213</v>
      </c>
      <c r="I625" s="37" t="s">
        <v>331</v>
      </c>
      <c r="K625" s="38">
        <v>967108901</v>
      </c>
      <c r="L625" s="37" t="s">
        <v>1075</v>
      </c>
      <c r="O625" s="39" t="s">
        <v>2056</v>
      </c>
      <c r="AS625" s="48">
        <f>ROUND((Товары[[#This Row],[IRP, Eur]]*$AT$1),-2)*(1+Товары[[#This Row],[Процент повышения РРЦ]])</f>
        <v>0</v>
      </c>
      <c r="AT625" s="48"/>
      <c r="AU625" s="50">
        <f>ROUND(Товары[[#This Row],[РРЦ финальная, руб.]]/$AT$1,2)</f>
        <v>0</v>
      </c>
      <c r="AV625" s="49" t="str">
        <f>IFERROR(Товары[[#This Row],[РРЦ, евро]]/Товары[[#This Row],[IRP, Eur]],"-")</f>
        <v>-</v>
      </c>
      <c r="AX625" s="48">
        <f>ROUND(Товары[[#This Row],[РРЦ финальная, руб.]]*(1-Товары[[#This Row],[Скидка DIY]]),2)</f>
        <v>0</v>
      </c>
    </row>
    <row r="626" spans="1:50" x14ac:dyDescent="0.25">
      <c r="A626" s="36">
        <v>624</v>
      </c>
      <c r="C626" s="36" t="s">
        <v>239</v>
      </c>
      <c r="D6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6" s="36" t="s">
        <v>206</v>
      </c>
      <c r="F6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6" s="38">
        <v>9213</v>
      </c>
      <c r="I626" s="37" t="s">
        <v>331</v>
      </c>
      <c r="K626" s="38">
        <v>900842701</v>
      </c>
      <c r="L626" s="37" t="s">
        <v>1076</v>
      </c>
      <c r="O626" s="39" t="s">
        <v>2057</v>
      </c>
      <c r="AS626" s="48">
        <f>ROUND((Товары[[#This Row],[IRP, Eur]]*$AT$1),-2)*(1+Товары[[#This Row],[Процент повышения РРЦ]])</f>
        <v>0</v>
      </c>
      <c r="AT626" s="48"/>
      <c r="AU626" s="50">
        <f>ROUND(Товары[[#This Row],[РРЦ финальная, руб.]]/$AT$1,2)</f>
        <v>0</v>
      </c>
      <c r="AV626" s="49" t="str">
        <f>IFERROR(Товары[[#This Row],[РРЦ, евро]]/Товары[[#This Row],[IRP, Eur]],"-")</f>
        <v>-</v>
      </c>
      <c r="AX626" s="48">
        <f>ROUND(Товары[[#This Row],[РРЦ финальная, руб.]]*(1-Товары[[#This Row],[Скидка DIY]]),2)</f>
        <v>0</v>
      </c>
    </row>
    <row r="627" spans="1:50" x14ac:dyDescent="0.25">
      <c r="A627" s="36">
        <v>625</v>
      </c>
      <c r="C627" s="36" t="s">
        <v>239</v>
      </c>
      <c r="D6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7" s="36" t="s">
        <v>206</v>
      </c>
      <c r="F6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7" s="38">
        <v>9211</v>
      </c>
      <c r="I627" s="37" t="s">
        <v>329</v>
      </c>
      <c r="J627" s="37">
        <v>8704</v>
      </c>
      <c r="K627" s="38">
        <v>966433701</v>
      </c>
      <c r="L627" s="37" t="s">
        <v>1077</v>
      </c>
      <c r="O627" s="39" t="s">
        <v>2058</v>
      </c>
      <c r="AS627" s="48">
        <f>ROUND((Товары[[#This Row],[IRP, Eur]]*$AT$1),-2)*(1+Товары[[#This Row],[Процент повышения РРЦ]])</f>
        <v>0</v>
      </c>
      <c r="AT627" s="48"/>
      <c r="AU627" s="50">
        <f>ROUND(Товары[[#This Row],[РРЦ финальная, руб.]]/$AT$1,2)</f>
        <v>0</v>
      </c>
      <c r="AV627" s="49" t="str">
        <f>IFERROR(Товары[[#This Row],[РРЦ, евро]]/Товары[[#This Row],[IRP, Eur]],"-")</f>
        <v>-</v>
      </c>
      <c r="AX627" s="48">
        <f>ROUND(Товары[[#This Row],[РРЦ финальная, руб.]]*(1-Товары[[#This Row],[Скидка DIY]]),2)</f>
        <v>0</v>
      </c>
    </row>
    <row r="628" spans="1:50" x14ac:dyDescent="0.25">
      <c r="A628" s="36">
        <v>626</v>
      </c>
      <c r="C628" s="36" t="s">
        <v>239</v>
      </c>
      <c r="D6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8" s="36" t="s">
        <v>206</v>
      </c>
      <c r="F6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8" s="38">
        <v>9211</v>
      </c>
      <c r="I628" s="37" t="s">
        <v>330</v>
      </c>
      <c r="J628" s="37">
        <v>359</v>
      </c>
      <c r="K628" s="38">
        <v>900839701</v>
      </c>
      <c r="L628" s="37" t="s">
        <v>1078</v>
      </c>
      <c r="O628" s="39" t="s">
        <v>2059</v>
      </c>
      <c r="AS628" s="48">
        <f>ROUND((Товары[[#This Row],[IRP, Eur]]*$AT$1),-2)*(1+Товары[[#This Row],[Процент повышения РРЦ]])</f>
        <v>0</v>
      </c>
      <c r="AT628" s="48"/>
      <c r="AU628" s="50">
        <f>ROUND(Товары[[#This Row],[РРЦ финальная, руб.]]/$AT$1,2)</f>
        <v>0</v>
      </c>
      <c r="AV628" s="49" t="str">
        <f>IFERROR(Товары[[#This Row],[РРЦ, евро]]/Товары[[#This Row],[IRP, Eur]],"-")</f>
        <v>-</v>
      </c>
      <c r="AX628" s="48">
        <f>ROUND(Товары[[#This Row],[РРЦ финальная, руб.]]*(1-Товары[[#This Row],[Скидка DIY]]),2)</f>
        <v>0</v>
      </c>
    </row>
    <row r="629" spans="1:50" x14ac:dyDescent="0.25">
      <c r="A629" s="36">
        <v>627</v>
      </c>
      <c r="C629" s="36" t="s">
        <v>239</v>
      </c>
      <c r="D6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9" s="36" t="s">
        <v>206</v>
      </c>
      <c r="F6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9" s="38">
        <v>9212</v>
      </c>
      <c r="I629" s="37" t="s">
        <v>332</v>
      </c>
      <c r="J629" s="37">
        <v>12002</v>
      </c>
      <c r="K629" s="38">
        <v>967866801</v>
      </c>
      <c r="L629" s="37" t="s">
        <v>1079</v>
      </c>
      <c r="M629" s="37" t="s">
        <v>1424</v>
      </c>
      <c r="O629" s="39" t="s">
        <v>2060</v>
      </c>
      <c r="AS629" s="48">
        <f>ROUND((Товары[[#This Row],[IRP, Eur]]*$AT$1),-2)*(1+Товары[[#This Row],[Процент повышения РРЦ]])</f>
        <v>0</v>
      </c>
      <c r="AT629" s="48"/>
      <c r="AU629" s="50">
        <f>ROUND(Товары[[#This Row],[РРЦ финальная, руб.]]/$AT$1,2)</f>
        <v>0</v>
      </c>
      <c r="AV629" s="49" t="str">
        <f>IFERROR(Товары[[#This Row],[РРЦ, евро]]/Товары[[#This Row],[IRP, Eur]],"-")</f>
        <v>-</v>
      </c>
      <c r="AX629" s="48">
        <f>ROUND(Товары[[#This Row],[РРЦ финальная, руб.]]*(1-Товары[[#This Row],[Скидка DIY]]),2)</f>
        <v>0</v>
      </c>
    </row>
    <row r="630" spans="1:50" x14ac:dyDescent="0.25">
      <c r="A630" s="36">
        <v>628</v>
      </c>
      <c r="C630" s="36" t="s">
        <v>239</v>
      </c>
      <c r="D6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0" s="36" t="s">
        <v>206</v>
      </c>
      <c r="F6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0" s="38">
        <v>9212</v>
      </c>
      <c r="I630" s="37" t="s">
        <v>332</v>
      </c>
      <c r="J630" s="37">
        <v>12003</v>
      </c>
      <c r="K630" s="38">
        <v>967866901</v>
      </c>
      <c r="L630" s="37" t="s">
        <v>1080</v>
      </c>
      <c r="M630" s="37" t="s">
        <v>1425</v>
      </c>
      <c r="O630" s="39" t="s">
        <v>2061</v>
      </c>
      <c r="AS630" s="48">
        <f>ROUND((Товары[[#This Row],[IRP, Eur]]*$AT$1),-2)*(1+Товары[[#This Row],[Процент повышения РРЦ]])</f>
        <v>0</v>
      </c>
      <c r="AT630" s="48"/>
      <c r="AU630" s="50">
        <f>ROUND(Товары[[#This Row],[РРЦ финальная, руб.]]/$AT$1,2)</f>
        <v>0</v>
      </c>
      <c r="AV630" s="49" t="str">
        <f>IFERROR(Товары[[#This Row],[РРЦ, евро]]/Товары[[#This Row],[IRP, Eur]],"-")</f>
        <v>-</v>
      </c>
      <c r="AX630" s="48">
        <f>ROUND(Товары[[#This Row],[РРЦ финальная, руб.]]*(1-Товары[[#This Row],[Скидка DIY]]),2)</f>
        <v>0</v>
      </c>
    </row>
    <row r="631" spans="1:50" x14ac:dyDescent="0.25">
      <c r="A631" s="36">
        <v>629</v>
      </c>
      <c r="C631" s="36" t="s">
        <v>239</v>
      </c>
      <c r="D6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1" s="36" t="s">
        <v>206</v>
      </c>
      <c r="F6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1" s="38">
        <v>9212</v>
      </c>
      <c r="I631" s="37" t="s">
        <v>332</v>
      </c>
      <c r="J631" s="37">
        <v>12003</v>
      </c>
      <c r="K631" s="38">
        <v>967868101</v>
      </c>
      <c r="L631" s="37" t="s">
        <v>1081</v>
      </c>
      <c r="O631" s="39" t="s">
        <v>2062</v>
      </c>
      <c r="AS631" s="48">
        <f>ROUND((Товары[[#This Row],[IRP, Eur]]*$AT$1),-2)*(1+Товары[[#This Row],[Процент повышения РРЦ]])</f>
        <v>0</v>
      </c>
      <c r="AT631" s="48"/>
      <c r="AU631" s="50">
        <f>ROUND(Товары[[#This Row],[РРЦ финальная, руб.]]/$AT$1,2)</f>
        <v>0</v>
      </c>
      <c r="AV631" s="49" t="str">
        <f>IFERROR(Товары[[#This Row],[РРЦ, евро]]/Товары[[#This Row],[IRP, Eur]],"-")</f>
        <v>-</v>
      </c>
      <c r="AX631" s="48">
        <f>ROUND(Товары[[#This Row],[РРЦ финальная, руб.]]*(1-Товары[[#This Row],[Скидка DIY]]),2)</f>
        <v>0</v>
      </c>
    </row>
    <row r="632" spans="1:50" x14ac:dyDescent="0.25">
      <c r="A632" s="36">
        <v>630</v>
      </c>
      <c r="C632" s="36" t="s">
        <v>239</v>
      </c>
      <c r="D6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2" s="36" t="s">
        <v>206</v>
      </c>
      <c r="F6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2" s="38">
        <v>9212</v>
      </c>
      <c r="I632" s="37" t="s">
        <v>332</v>
      </c>
      <c r="J632" s="37">
        <v>12004</v>
      </c>
      <c r="K632" s="38">
        <v>967868201</v>
      </c>
      <c r="L632" s="37" t="s">
        <v>1082</v>
      </c>
      <c r="M632" s="37" t="s">
        <v>1426</v>
      </c>
      <c r="O632" s="39" t="s">
        <v>2063</v>
      </c>
      <c r="AS632" s="48">
        <f>ROUND((Товары[[#This Row],[IRP, Eur]]*$AT$1),-2)*(1+Товары[[#This Row],[Процент повышения РРЦ]])</f>
        <v>0</v>
      </c>
      <c r="AT632" s="48"/>
      <c r="AU632" s="50">
        <f>ROUND(Товары[[#This Row],[РРЦ финальная, руб.]]/$AT$1,2)</f>
        <v>0</v>
      </c>
      <c r="AV632" s="49" t="str">
        <f>IFERROR(Товары[[#This Row],[РРЦ, евро]]/Товары[[#This Row],[IRP, Eur]],"-")</f>
        <v>-</v>
      </c>
      <c r="AX632" s="48">
        <f>ROUND(Товары[[#This Row],[РРЦ финальная, руб.]]*(1-Товары[[#This Row],[Скидка DIY]]),2)</f>
        <v>0</v>
      </c>
    </row>
    <row r="633" spans="1:50" x14ac:dyDescent="0.25">
      <c r="A633" s="36">
        <v>631</v>
      </c>
      <c r="C633" s="36" t="s">
        <v>239</v>
      </c>
      <c r="D6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3" s="36" t="s">
        <v>206</v>
      </c>
      <c r="F6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3" s="38">
        <v>9212</v>
      </c>
      <c r="I633" s="37" t="s">
        <v>332</v>
      </c>
      <c r="J633" s="37">
        <v>12005</v>
      </c>
      <c r="K633" s="38">
        <v>967868301</v>
      </c>
      <c r="L633" s="37" t="s">
        <v>1083</v>
      </c>
      <c r="M633" s="37" t="s">
        <v>1338</v>
      </c>
      <c r="O633" s="39" t="s">
        <v>2064</v>
      </c>
      <c r="AS633" s="48">
        <f>ROUND((Товары[[#This Row],[IRP, Eur]]*$AT$1),-2)*(1+Товары[[#This Row],[Процент повышения РРЦ]])</f>
        <v>0</v>
      </c>
      <c r="AT633" s="48"/>
      <c r="AU633" s="50">
        <f>ROUND(Товары[[#This Row],[РРЦ финальная, руб.]]/$AT$1,2)</f>
        <v>0</v>
      </c>
      <c r="AV633" s="49" t="str">
        <f>IFERROR(Товары[[#This Row],[РРЦ, евро]]/Товары[[#This Row],[IRP, Eur]],"-")</f>
        <v>-</v>
      </c>
      <c r="AX633" s="48">
        <f>ROUND(Товары[[#This Row],[РРЦ финальная, руб.]]*(1-Товары[[#This Row],[Скидка DIY]]),2)</f>
        <v>0</v>
      </c>
    </row>
    <row r="634" spans="1:50" x14ac:dyDescent="0.25">
      <c r="A634" s="36">
        <v>632</v>
      </c>
      <c r="C634" s="36" t="s">
        <v>239</v>
      </c>
      <c r="D6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4" s="36" t="s">
        <v>206</v>
      </c>
      <c r="F6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4" s="38">
        <v>9212</v>
      </c>
      <c r="I634" s="37" t="s">
        <v>332</v>
      </c>
      <c r="J634" s="37">
        <v>12005</v>
      </c>
      <c r="K634" s="38">
        <v>967950601</v>
      </c>
      <c r="L634" s="37" t="s">
        <v>1084</v>
      </c>
      <c r="M634" s="37" t="s">
        <v>1338</v>
      </c>
      <c r="O634" s="39" t="s">
        <v>2065</v>
      </c>
      <c r="AS634" s="48">
        <f>ROUND((Товары[[#This Row],[IRP, Eur]]*$AT$1),-2)*(1+Товары[[#This Row],[Процент повышения РРЦ]])</f>
        <v>0</v>
      </c>
      <c r="AT634" s="48"/>
      <c r="AU634" s="50">
        <f>ROUND(Товары[[#This Row],[РРЦ финальная, руб.]]/$AT$1,2)</f>
        <v>0</v>
      </c>
      <c r="AV634" s="49" t="str">
        <f>IFERROR(Товары[[#This Row],[РРЦ, евро]]/Товары[[#This Row],[IRP, Eur]],"-")</f>
        <v>-</v>
      </c>
      <c r="AX634" s="48">
        <f>ROUND(Товары[[#This Row],[РРЦ финальная, руб.]]*(1-Товары[[#This Row],[Скидка DIY]]),2)</f>
        <v>0</v>
      </c>
    </row>
    <row r="635" spans="1:50" x14ac:dyDescent="0.25">
      <c r="A635" s="36">
        <v>633</v>
      </c>
      <c r="C635" s="36" t="s">
        <v>239</v>
      </c>
      <c r="D6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5" s="36" t="s">
        <v>206</v>
      </c>
      <c r="F6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5" s="38">
        <v>9212</v>
      </c>
      <c r="I635" s="37" t="s">
        <v>332</v>
      </c>
      <c r="J635" s="37">
        <v>12006</v>
      </c>
      <c r="K635" s="38">
        <v>967868401</v>
      </c>
      <c r="L635" s="37" t="s">
        <v>1085</v>
      </c>
      <c r="M635" s="37" t="s">
        <v>1338</v>
      </c>
      <c r="O635" s="39" t="s">
        <v>2066</v>
      </c>
      <c r="AS635" s="48">
        <f>ROUND((Товары[[#This Row],[IRP, Eur]]*$AT$1),-2)*(1+Товары[[#This Row],[Процент повышения РРЦ]])</f>
        <v>0</v>
      </c>
      <c r="AT635" s="48"/>
      <c r="AU635" s="50">
        <f>ROUND(Товары[[#This Row],[РРЦ финальная, руб.]]/$AT$1,2)</f>
        <v>0</v>
      </c>
      <c r="AV635" s="49" t="str">
        <f>IFERROR(Товары[[#This Row],[РРЦ, евро]]/Товары[[#This Row],[IRP, Eur]],"-")</f>
        <v>-</v>
      </c>
      <c r="AX635" s="48">
        <f>ROUND(Товары[[#This Row],[РРЦ финальная, руб.]]*(1-Товары[[#This Row],[Скидка DIY]]),2)</f>
        <v>0</v>
      </c>
    </row>
    <row r="636" spans="1:50" x14ac:dyDescent="0.25">
      <c r="A636" s="36">
        <v>634</v>
      </c>
      <c r="C636" s="36" t="s">
        <v>239</v>
      </c>
      <c r="D6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6" s="36" t="s">
        <v>206</v>
      </c>
      <c r="F6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6" s="38">
        <v>9212</v>
      </c>
      <c r="I636" s="37" t="s">
        <v>332</v>
      </c>
      <c r="J636" s="37">
        <v>12007</v>
      </c>
      <c r="K636" s="38">
        <v>967868501</v>
      </c>
      <c r="L636" s="37" t="s">
        <v>1086</v>
      </c>
      <c r="M636" s="37" t="s">
        <v>1427</v>
      </c>
      <c r="O636" s="39" t="s">
        <v>2067</v>
      </c>
      <c r="AS636" s="48">
        <f>ROUND((Товары[[#This Row],[IRP, Eur]]*$AT$1),-2)*(1+Товары[[#This Row],[Процент повышения РРЦ]])</f>
        <v>0</v>
      </c>
      <c r="AT636" s="48"/>
      <c r="AU636" s="50">
        <f>ROUND(Товары[[#This Row],[РРЦ финальная, руб.]]/$AT$1,2)</f>
        <v>0</v>
      </c>
      <c r="AV636" s="49" t="str">
        <f>IFERROR(Товары[[#This Row],[РРЦ, евро]]/Товары[[#This Row],[IRP, Eur]],"-")</f>
        <v>-</v>
      </c>
      <c r="AX636" s="48">
        <f>ROUND(Товары[[#This Row],[РРЦ финальная, руб.]]*(1-Товары[[#This Row],[Скидка DIY]]),2)</f>
        <v>0</v>
      </c>
    </row>
    <row r="637" spans="1:50" x14ac:dyDescent="0.25">
      <c r="A637" s="36">
        <v>635</v>
      </c>
      <c r="C637" s="36" t="s">
        <v>239</v>
      </c>
      <c r="D6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7" s="36" t="s">
        <v>206</v>
      </c>
      <c r="F6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7" s="38">
        <v>9212</v>
      </c>
      <c r="I637" s="37" t="s">
        <v>333</v>
      </c>
      <c r="J637" s="37">
        <v>12008</v>
      </c>
      <c r="K637" s="38">
        <v>967868601</v>
      </c>
      <c r="L637" s="37" t="s">
        <v>1087</v>
      </c>
      <c r="M637" s="37" t="s">
        <v>1428</v>
      </c>
      <c r="O637" s="39" t="s">
        <v>2068</v>
      </c>
      <c r="AS637" s="48">
        <f>ROUND((Товары[[#This Row],[IRP, Eur]]*$AT$1),-2)*(1+Товары[[#This Row],[Процент повышения РРЦ]])</f>
        <v>0</v>
      </c>
      <c r="AT637" s="48"/>
      <c r="AU637" s="50">
        <f>ROUND(Товары[[#This Row],[РРЦ финальная, руб.]]/$AT$1,2)</f>
        <v>0</v>
      </c>
      <c r="AV637" s="49" t="str">
        <f>IFERROR(Товары[[#This Row],[РРЦ, евро]]/Товары[[#This Row],[IRP, Eur]],"-")</f>
        <v>-</v>
      </c>
      <c r="AX637" s="48">
        <f>ROUND(Товары[[#This Row],[РРЦ финальная, руб.]]*(1-Товары[[#This Row],[Скидка DIY]]),2)</f>
        <v>0</v>
      </c>
    </row>
    <row r="638" spans="1:50" x14ac:dyDescent="0.25">
      <c r="A638" s="36">
        <v>636</v>
      </c>
      <c r="C638" s="36" t="s">
        <v>239</v>
      </c>
      <c r="D6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8" s="36" t="s">
        <v>206</v>
      </c>
      <c r="F6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8" s="38">
        <v>9212</v>
      </c>
      <c r="I638" s="37" t="s">
        <v>332</v>
      </c>
      <c r="J638" s="37">
        <v>12009</v>
      </c>
      <c r="K638" s="38">
        <v>967868701</v>
      </c>
      <c r="L638" s="37" t="s">
        <v>1088</v>
      </c>
      <c r="M638" s="37" t="s">
        <v>1429</v>
      </c>
      <c r="O638" s="39" t="s">
        <v>2069</v>
      </c>
      <c r="AS638" s="48">
        <f>ROUND((Товары[[#This Row],[IRP, Eur]]*$AT$1),-2)*(1+Товары[[#This Row],[Процент повышения РРЦ]])</f>
        <v>0</v>
      </c>
      <c r="AT638" s="48"/>
      <c r="AU638" s="50">
        <f>ROUND(Товары[[#This Row],[РРЦ финальная, руб.]]/$AT$1,2)</f>
        <v>0</v>
      </c>
      <c r="AV638" s="49" t="str">
        <f>IFERROR(Товары[[#This Row],[РРЦ, евро]]/Товары[[#This Row],[IRP, Eur]],"-")</f>
        <v>-</v>
      </c>
      <c r="AX638" s="48">
        <f>ROUND(Товары[[#This Row],[РРЦ финальная, руб.]]*(1-Товары[[#This Row],[Скидка DIY]]),2)</f>
        <v>0</v>
      </c>
    </row>
    <row r="639" spans="1:50" x14ac:dyDescent="0.25">
      <c r="A639" s="36">
        <v>637</v>
      </c>
      <c r="C639" s="36" t="s">
        <v>239</v>
      </c>
      <c r="D6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9" s="36" t="s">
        <v>206</v>
      </c>
      <c r="F6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9" s="38">
        <v>9212</v>
      </c>
      <c r="I639" s="37" t="s">
        <v>332</v>
      </c>
      <c r="J639" s="37">
        <v>12009</v>
      </c>
      <c r="K639" s="38">
        <v>967950701</v>
      </c>
      <c r="L639" s="37" t="s">
        <v>1089</v>
      </c>
      <c r="O639" s="39" t="s">
        <v>2070</v>
      </c>
      <c r="AS639" s="48">
        <f>ROUND((Товары[[#This Row],[IRP, Eur]]*$AT$1),-2)*(1+Товары[[#This Row],[Процент повышения РРЦ]])</f>
        <v>0</v>
      </c>
      <c r="AT639" s="48"/>
      <c r="AU639" s="50">
        <f>ROUND(Товары[[#This Row],[РРЦ финальная, руб.]]/$AT$1,2)</f>
        <v>0</v>
      </c>
      <c r="AV639" s="49" t="str">
        <f>IFERROR(Товары[[#This Row],[РРЦ, евро]]/Товары[[#This Row],[IRP, Eur]],"-")</f>
        <v>-</v>
      </c>
      <c r="AX639" s="48">
        <f>ROUND(Товары[[#This Row],[РРЦ финальная, руб.]]*(1-Товары[[#This Row],[Скидка DIY]]),2)</f>
        <v>0</v>
      </c>
    </row>
    <row r="640" spans="1:50" x14ac:dyDescent="0.25">
      <c r="A640" s="36">
        <v>638</v>
      </c>
      <c r="C640" s="36" t="s">
        <v>239</v>
      </c>
      <c r="D6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0" s="36" t="s">
        <v>206</v>
      </c>
      <c r="F6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0" s="38">
        <v>9212</v>
      </c>
      <c r="I640" s="37" t="s">
        <v>333</v>
      </c>
      <c r="J640" s="37">
        <v>8773</v>
      </c>
      <c r="K640" s="38">
        <v>966617201</v>
      </c>
      <c r="L640" s="37" t="s">
        <v>1090</v>
      </c>
      <c r="M640" s="37" t="s">
        <v>1362</v>
      </c>
      <c r="O640" s="39" t="s">
        <v>2071</v>
      </c>
      <c r="AS640" s="48">
        <f>ROUND((Товары[[#This Row],[IRP, Eur]]*$AT$1),-2)*(1+Товары[[#This Row],[Процент повышения РРЦ]])</f>
        <v>0</v>
      </c>
      <c r="AT640" s="48"/>
      <c r="AU640" s="50">
        <f>ROUND(Товары[[#This Row],[РРЦ финальная, руб.]]/$AT$1,2)</f>
        <v>0</v>
      </c>
      <c r="AV640" s="49" t="str">
        <f>IFERROR(Товары[[#This Row],[РРЦ, евро]]/Товары[[#This Row],[IRP, Eur]],"-")</f>
        <v>-</v>
      </c>
      <c r="AX640" s="48">
        <f>ROUND(Товары[[#This Row],[РРЦ финальная, руб.]]*(1-Товары[[#This Row],[Скидка DIY]]),2)</f>
        <v>0</v>
      </c>
    </row>
    <row r="641" spans="1:50" x14ac:dyDescent="0.25">
      <c r="A641" s="36">
        <v>639</v>
      </c>
      <c r="C641" s="36" t="s">
        <v>239</v>
      </c>
      <c r="D6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1" s="36" t="s">
        <v>206</v>
      </c>
      <c r="F6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1" s="38">
        <v>9212</v>
      </c>
      <c r="I641" s="37" t="s">
        <v>332</v>
      </c>
      <c r="J641" s="37">
        <v>8710</v>
      </c>
      <c r="K641" s="38">
        <v>901182701</v>
      </c>
      <c r="L641" s="37" t="s">
        <v>1091</v>
      </c>
      <c r="M641" s="37" t="s">
        <v>1362</v>
      </c>
      <c r="O641" s="39" t="s">
        <v>2072</v>
      </c>
      <c r="AS641" s="48">
        <f>ROUND((Товары[[#This Row],[IRP, Eur]]*$AT$1),-2)*(1+Товары[[#This Row],[Процент повышения РРЦ]])</f>
        <v>0</v>
      </c>
      <c r="AT641" s="48"/>
      <c r="AU641" s="50">
        <f>ROUND(Товары[[#This Row],[РРЦ финальная, руб.]]/$AT$1,2)</f>
        <v>0</v>
      </c>
      <c r="AV641" s="49" t="str">
        <f>IFERROR(Товары[[#This Row],[РРЦ, евро]]/Товары[[#This Row],[IRP, Eur]],"-")</f>
        <v>-</v>
      </c>
      <c r="AX641" s="48">
        <f>ROUND(Товары[[#This Row],[РРЦ финальная, руб.]]*(1-Товары[[#This Row],[Скидка DIY]]),2)</f>
        <v>0</v>
      </c>
    </row>
    <row r="642" spans="1:50" x14ac:dyDescent="0.25">
      <c r="A642" s="36">
        <v>640</v>
      </c>
      <c r="C642" s="36" t="s">
        <v>239</v>
      </c>
      <c r="D6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2" s="36" t="s">
        <v>206</v>
      </c>
      <c r="F6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2" s="38">
        <v>9212</v>
      </c>
      <c r="I642" s="37" t="s">
        <v>332</v>
      </c>
      <c r="J642" s="37">
        <v>12010</v>
      </c>
      <c r="K642" s="38">
        <v>967868801</v>
      </c>
      <c r="L642" s="37" t="s">
        <v>1092</v>
      </c>
      <c r="M642" s="37" t="s">
        <v>1338</v>
      </c>
      <c r="O642" s="39" t="s">
        <v>2073</v>
      </c>
      <c r="AS642" s="48">
        <f>ROUND((Товары[[#This Row],[IRP, Eur]]*$AT$1),-2)*(1+Товары[[#This Row],[Процент повышения РРЦ]])</f>
        <v>0</v>
      </c>
      <c r="AT642" s="48"/>
      <c r="AU642" s="50">
        <f>ROUND(Товары[[#This Row],[РРЦ финальная, руб.]]/$AT$1,2)</f>
        <v>0</v>
      </c>
      <c r="AV642" s="49" t="str">
        <f>IFERROR(Товары[[#This Row],[РРЦ, евро]]/Товары[[#This Row],[IRP, Eur]],"-")</f>
        <v>-</v>
      </c>
      <c r="AX642" s="48">
        <f>ROUND(Товары[[#This Row],[РРЦ финальная, руб.]]*(1-Товары[[#This Row],[Скидка DIY]]),2)</f>
        <v>0</v>
      </c>
    </row>
    <row r="643" spans="1:50" x14ac:dyDescent="0.25">
      <c r="A643" s="36">
        <v>641</v>
      </c>
      <c r="C643" s="36" t="s">
        <v>239</v>
      </c>
      <c r="D6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3" s="36" t="s">
        <v>206</v>
      </c>
      <c r="F6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3" s="38">
        <v>9212</v>
      </c>
      <c r="I643" s="37" t="s">
        <v>332</v>
      </c>
      <c r="J643" s="37">
        <v>12010</v>
      </c>
      <c r="K643" s="38">
        <v>967950401</v>
      </c>
      <c r="L643" s="37" t="s">
        <v>1093</v>
      </c>
      <c r="M643" s="37" t="s">
        <v>1338</v>
      </c>
      <c r="O643" s="39" t="s">
        <v>2074</v>
      </c>
      <c r="AS643" s="48">
        <f>ROUND((Товары[[#This Row],[IRP, Eur]]*$AT$1),-2)*(1+Товары[[#This Row],[Процент повышения РРЦ]])</f>
        <v>0</v>
      </c>
      <c r="AT643" s="48"/>
      <c r="AU643" s="50">
        <f>ROUND(Товары[[#This Row],[РРЦ финальная, руб.]]/$AT$1,2)</f>
        <v>0</v>
      </c>
      <c r="AV643" s="49" t="str">
        <f>IFERROR(Товары[[#This Row],[РРЦ, евро]]/Товары[[#This Row],[IRP, Eur]],"-")</f>
        <v>-</v>
      </c>
      <c r="AX643" s="48">
        <f>ROUND(Товары[[#This Row],[РРЦ финальная, руб.]]*(1-Товары[[#This Row],[Скидка DIY]]),2)</f>
        <v>0</v>
      </c>
    </row>
    <row r="644" spans="1:50" x14ac:dyDescent="0.25">
      <c r="A644" s="36">
        <v>642</v>
      </c>
      <c r="C644" s="36" t="s">
        <v>239</v>
      </c>
      <c r="D6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4" s="36" t="s">
        <v>206</v>
      </c>
      <c r="F6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4" s="38">
        <v>9212</v>
      </c>
      <c r="I644" s="37" t="s">
        <v>332</v>
      </c>
      <c r="J644" s="37">
        <v>12000</v>
      </c>
      <c r="K644" s="38">
        <v>967638301</v>
      </c>
      <c r="L644" s="37" t="s">
        <v>1094</v>
      </c>
      <c r="O644" s="39" t="s">
        <v>2075</v>
      </c>
      <c r="AS644" s="48">
        <f>ROUND((Товары[[#This Row],[IRP, Eur]]*$AT$1),-2)*(1+Товары[[#This Row],[Процент повышения РРЦ]])</f>
        <v>0</v>
      </c>
      <c r="AT644" s="48"/>
      <c r="AU644" s="50">
        <f>ROUND(Товары[[#This Row],[РРЦ финальная, руб.]]/$AT$1,2)</f>
        <v>0</v>
      </c>
      <c r="AV644" s="49" t="str">
        <f>IFERROR(Товары[[#This Row],[РРЦ, евро]]/Товары[[#This Row],[IRP, Eur]],"-")</f>
        <v>-</v>
      </c>
      <c r="AX644" s="48">
        <f>ROUND(Товары[[#This Row],[РРЦ финальная, руб.]]*(1-Товары[[#This Row],[Скидка DIY]]),2)</f>
        <v>0</v>
      </c>
    </row>
    <row r="645" spans="1:50" x14ac:dyDescent="0.25">
      <c r="A645" s="36">
        <v>643</v>
      </c>
      <c r="C645" s="36" t="s">
        <v>239</v>
      </c>
      <c r="D6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5" s="36" t="s">
        <v>206</v>
      </c>
      <c r="F6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5" s="38">
        <v>9212</v>
      </c>
      <c r="I645" s="37" t="s">
        <v>332</v>
      </c>
      <c r="J645" s="37">
        <v>12001</v>
      </c>
      <c r="K645" s="38">
        <v>967637601</v>
      </c>
      <c r="L645" s="37" t="s">
        <v>1095</v>
      </c>
      <c r="O645" s="39" t="s">
        <v>2076</v>
      </c>
      <c r="AS645" s="48">
        <f>ROUND((Товары[[#This Row],[IRP, Eur]]*$AT$1),-2)*(1+Товары[[#This Row],[Процент повышения РРЦ]])</f>
        <v>0</v>
      </c>
      <c r="AT645" s="48"/>
      <c r="AU645" s="50">
        <f>ROUND(Товары[[#This Row],[РРЦ финальная, руб.]]/$AT$1,2)</f>
        <v>0</v>
      </c>
      <c r="AV645" s="49" t="str">
        <f>IFERROR(Товары[[#This Row],[РРЦ, евро]]/Товары[[#This Row],[IRP, Eur]],"-")</f>
        <v>-</v>
      </c>
      <c r="AX645" s="48">
        <f>ROUND(Товары[[#This Row],[РРЦ финальная, руб.]]*(1-Товары[[#This Row],[Скидка DIY]]),2)</f>
        <v>0</v>
      </c>
    </row>
    <row r="646" spans="1:50" x14ac:dyDescent="0.25">
      <c r="A646" s="36">
        <v>644</v>
      </c>
      <c r="C646" s="36" t="s">
        <v>239</v>
      </c>
      <c r="D6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6" s="36" t="s">
        <v>206</v>
      </c>
      <c r="F6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6" s="38">
        <v>9212</v>
      </c>
      <c r="I646" s="37" t="s">
        <v>334</v>
      </c>
      <c r="J646" s="37">
        <v>298</v>
      </c>
      <c r="K646" s="38">
        <v>967319801</v>
      </c>
      <c r="L646" s="37" t="s">
        <v>1096</v>
      </c>
      <c r="O646" s="39" t="s">
        <v>2077</v>
      </c>
      <c r="AS646" s="48">
        <f>ROUND((Товары[[#This Row],[IRP, Eur]]*$AT$1),-2)*(1+Товары[[#This Row],[Процент повышения РРЦ]])</f>
        <v>0</v>
      </c>
      <c r="AT646" s="48"/>
      <c r="AU646" s="50">
        <f>ROUND(Товары[[#This Row],[РРЦ финальная, руб.]]/$AT$1,2)</f>
        <v>0</v>
      </c>
      <c r="AV646" s="49" t="str">
        <f>IFERROR(Товары[[#This Row],[РРЦ, евро]]/Товары[[#This Row],[IRP, Eur]],"-")</f>
        <v>-</v>
      </c>
      <c r="AX646" s="48">
        <f>ROUND(Товары[[#This Row],[РРЦ финальная, руб.]]*(1-Товары[[#This Row],[Скидка DIY]]),2)</f>
        <v>0</v>
      </c>
    </row>
    <row r="647" spans="1:50" x14ac:dyDescent="0.25">
      <c r="A647" s="36">
        <v>645</v>
      </c>
      <c r="C647" s="36" t="s">
        <v>239</v>
      </c>
      <c r="D6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7" s="36" t="s">
        <v>206</v>
      </c>
      <c r="F6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7" s="38">
        <v>9214</v>
      </c>
      <c r="I647" s="37" t="s">
        <v>335</v>
      </c>
      <c r="J647" s="37">
        <v>8742</v>
      </c>
      <c r="K647" s="38">
        <v>967238401</v>
      </c>
      <c r="L647" s="37" t="s">
        <v>1097</v>
      </c>
      <c r="O647" s="39" t="s">
        <v>2078</v>
      </c>
      <c r="AS647" s="48">
        <f>ROUND((Товары[[#This Row],[IRP, Eur]]*$AT$1),-2)*(1+Товары[[#This Row],[Процент повышения РРЦ]])</f>
        <v>0</v>
      </c>
      <c r="AT647" s="48"/>
      <c r="AU647" s="50">
        <f>ROUND(Товары[[#This Row],[РРЦ финальная, руб.]]/$AT$1,2)</f>
        <v>0</v>
      </c>
      <c r="AV647" s="49" t="str">
        <f>IFERROR(Товары[[#This Row],[РРЦ, евро]]/Товары[[#This Row],[IRP, Eur]],"-")</f>
        <v>-</v>
      </c>
      <c r="AX647" s="48">
        <f>ROUND(Товары[[#This Row],[РРЦ финальная, руб.]]*(1-Товары[[#This Row],[Скидка DIY]]),2)</f>
        <v>0</v>
      </c>
    </row>
    <row r="648" spans="1:50" x14ac:dyDescent="0.25">
      <c r="A648" s="36">
        <v>646</v>
      </c>
      <c r="C648" s="36" t="s">
        <v>239</v>
      </c>
      <c r="D6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8" s="36" t="s">
        <v>206</v>
      </c>
      <c r="F6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8" s="38">
        <v>9214</v>
      </c>
      <c r="I648" s="37" t="s">
        <v>335</v>
      </c>
      <c r="J648" s="37">
        <v>8743</v>
      </c>
      <c r="K648" s="38">
        <v>967238501</v>
      </c>
      <c r="L648" s="37" t="s">
        <v>1098</v>
      </c>
      <c r="O648" s="39" t="s">
        <v>2079</v>
      </c>
      <c r="AS648" s="48">
        <f>ROUND((Товары[[#This Row],[IRP, Eur]]*$AT$1),-2)*(1+Товары[[#This Row],[Процент повышения РРЦ]])</f>
        <v>0</v>
      </c>
      <c r="AT648" s="48"/>
      <c r="AU648" s="50">
        <f>ROUND(Товары[[#This Row],[РРЦ финальная, руб.]]/$AT$1,2)</f>
        <v>0</v>
      </c>
      <c r="AV648" s="49" t="str">
        <f>IFERROR(Товары[[#This Row],[РРЦ, евро]]/Товары[[#This Row],[IRP, Eur]],"-")</f>
        <v>-</v>
      </c>
      <c r="AX648" s="48">
        <f>ROUND(Товары[[#This Row],[РРЦ финальная, руб.]]*(1-Товары[[#This Row],[Скидка DIY]]),2)</f>
        <v>0</v>
      </c>
    </row>
    <row r="649" spans="1:50" x14ac:dyDescent="0.25">
      <c r="A649" s="36">
        <v>647</v>
      </c>
      <c r="C649" s="36" t="s">
        <v>239</v>
      </c>
      <c r="D6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9" s="36" t="s">
        <v>206</v>
      </c>
      <c r="F6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9" s="38">
        <v>9214</v>
      </c>
      <c r="I649" s="37" t="s">
        <v>335</v>
      </c>
      <c r="J649" s="37">
        <v>8745</v>
      </c>
      <c r="K649" s="38">
        <v>967238601</v>
      </c>
      <c r="L649" s="37" t="s">
        <v>1099</v>
      </c>
      <c r="O649" s="39" t="s">
        <v>2080</v>
      </c>
      <c r="AS649" s="48">
        <f>ROUND((Товары[[#This Row],[IRP, Eur]]*$AT$1),-2)*(1+Товары[[#This Row],[Процент повышения РРЦ]])</f>
        <v>0</v>
      </c>
      <c r="AT649" s="48"/>
      <c r="AU649" s="50">
        <f>ROUND(Товары[[#This Row],[РРЦ финальная, руб.]]/$AT$1,2)</f>
        <v>0</v>
      </c>
      <c r="AV649" s="49" t="str">
        <f>IFERROR(Товары[[#This Row],[РРЦ, евро]]/Товары[[#This Row],[IRP, Eur]],"-")</f>
        <v>-</v>
      </c>
      <c r="AX649" s="48">
        <f>ROUND(Товары[[#This Row],[РРЦ финальная, руб.]]*(1-Товары[[#This Row],[Скидка DIY]]),2)</f>
        <v>0</v>
      </c>
    </row>
    <row r="650" spans="1:50" x14ac:dyDescent="0.25">
      <c r="A650" s="36">
        <v>648</v>
      </c>
      <c r="C650" s="36" t="s">
        <v>239</v>
      </c>
      <c r="D6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0" s="36" t="s">
        <v>206</v>
      </c>
      <c r="F6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0" s="38">
        <v>9214</v>
      </c>
      <c r="I650" s="37" t="s">
        <v>335</v>
      </c>
      <c r="J650" s="37">
        <v>8737</v>
      </c>
      <c r="K650" s="38">
        <v>967238001</v>
      </c>
      <c r="L650" s="37" t="s">
        <v>1100</v>
      </c>
      <c r="O650" s="39" t="s">
        <v>2081</v>
      </c>
      <c r="AS650" s="48">
        <f>ROUND((Товары[[#This Row],[IRP, Eur]]*$AT$1),-2)*(1+Товары[[#This Row],[Процент повышения РРЦ]])</f>
        <v>0</v>
      </c>
      <c r="AT650" s="48"/>
      <c r="AU650" s="50">
        <f>ROUND(Товары[[#This Row],[РРЦ финальная, руб.]]/$AT$1,2)</f>
        <v>0</v>
      </c>
      <c r="AV650" s="49" t="str">
        <f>IFERROR(Товары[[#This Row],[РРЦ, евро]]/Товары[[#This Row],[IRP, Eur]],"-")</f>
        <v>-</v>
      </c>
      <c r="AX650" s="48">
        <f>ROUND(Товары[[#This Row],[РРЦ финальная, руб.]]*(1-Товары[[#This Row],[Скидка DIY]]),2)</f>
        <v>0</v>
      </c>
    </row>
    <row r="651" spans="1:50" x14ac:dyDescent="0.25">
      <c r="A651" s="36">
        <v>649</v>
      </c>
      <c r="C651" s="36" t="s">
        <v>239</v>
      </c>
      <c r="D6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1" s="36" t="s">
        <v>206</v>
      </c>
      <c r="F6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1" s="38">
        <v>9214</v>
      </c>
      <c r="I651" s="37" t="s">
        <v>335</v>
      </c>
      <c r="J651" s="37">
        <v>8738</v>
      </c>
      <c r="K651" s="38">
        <v>967238201</v>
      </c>
      <c r="L651" s="37" t="s">
        <v>1101</v>
      </c>
      <c r="O651" s="39" t="s">
        <v>2082</v>
      </c>
      <c r="AS651" s="48">
        <f>ROUND((Товары[[#This Row],[IRP, Eur]]*$AT$1),-2)*(1+Товары[[#This Row],[Процент повышения РРЦ]])</f>
        <v>0</v>
      </c>
      <c r="AT651" s="48"/>
      <c r="AU651" s="50">
        <f>ROUND(Товары[[#This Row],[РРЦ финальная, руб.]]/$AT$1,2)</f>
        <v>0</v>
      </c>
      <c r="AV651" s="49" t="str">
        <f>IFERROR(Товары[[#This Row],[РРЦ, евро]]/Товары[[#This Row],[IRP, Eur]],"-")</f>
        <v>-</v>
      </c>
      <c r="AX651" s="48">
        <f>ROUND(Товары[[#This Row],[РРЦ финальная, руб.]]*(1-Товары[[#This Row],[Скидка DIY]]),2)</f>
        <v>0</v>
      </c>
    </row>
    <row r="652" spans="1:50" x14ac:dyDescent="0.25">
      <c r="A652" s="36">
        <v>650</v>
      </c>
      <c r="C652" s="36" t="s">
        <v>239</v>
      </c>
      <c r="D6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2" s="36" t="s">
        <v>206</v>
      </c>
      <c r="F6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2" s="38">
        <v>9215</v>
      </c>
      <c r="I652" s="37" t="s">
        <v>336</v>
      </c>
      <c r="J652" s="37">
        <v>8713</v>
      </c>
      <c r="K652" s="38">
        <v>967330201</v>
      </c>
      <c r="L652" s="37" t="s">
        <v>1102</v>
      </c>
      <c r="M652" s="37" t="s">
        <v>1430</v>
      </c>
      <c r="O652" s="39" t="s">
        <v>2083</v>
      </c>
      <c r="AS652" s="48">
        <f>ROUND((Товары[[#This Row],[IRP, Eur]]*$AT$1),-2)*(1+Товары[[#This Row],[Процент повышения РРЦ]])</f>
        <v>0</v>
      </c>
      <c r="AT652" s="48"/>
      <c r="AU652" s="50">
        <f>ROUND(Товары[[#This Row],[РРЦ финальная, руб.]]/$AT$1,2)</f>
        <v>0</v>
      </c>
      <c r="AV652" s="49" t="str">
        <f>IFERROR(Товары[[#This Row],[РРЦ, евро]]/Товары[[#This Row],[IRP, Eur]],"-")</f>
        <v>-</v>
      </c>
      <c r="AX652" s="48">
        <f>ROUND(Товары[[#This Row],[РРЦ финальная, руб.]]*(1-Товары[[#This Row],[Скидка DIY]]),2)</f>
        <v>0</v>
      </c>
    </row>
    <row r="653" spans="1:50" x14ac:dyDescent="0.25">
      <c r="A653" s="36">
        <v>651</v>
      </c>
      <c r="C653" s="36" t="s">
        <v>239</v>
      </c>
      <c r="D6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3" s="36" t="s">
        <v>206</v>
      </c>
      <c r="F6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3" s="38">
        <v>9215</v>
      </c>
      <c r="I653" s="37" t="s">
        <v>337</v>
      </c>
      <c r="J653" s="37">
        <v>8714</v>
      </c>
      <c r="K653" s="38">
        <v>967330301</v>
      </c>
      <c r="L653" s="37" t="s">
        <v>1103</v>
      </c>
      <c r="M653" s="37" t="s">
        <v>1431</v>
      </c>
      <c r="O653" s="39" t="s">
        <v>2084</v>
      </c>
      <c r="AS653" s="48">
        <f>ROUND((Товары[[#This Row],[IRP, Eur]]*$AT$1),-2)*(1+Товары[[#This Row],[Процент повышения РРЦ]])</f>
        <v>0</v>
      </c>
      <c r="AT653" s="48"/>
      <c r="AU653" s="50">
        <f>ROUND(Товары[[#This Row],[РРЦ финальная, руб.]]/$AT$1,2)</f>
        <v>0</v>
      </c>
      <c r="AV653" s="49" t="str">
        <f>IFERROR(Товары[[#This Row],[РРЦ, евро]]/Товары[[#This Row],[IRP, Eur]],"-")</f>
        <v>-</v>
      </c>
      <c r="AX653" s="48">
        <f>ROUND(Товары[[#This Row],[РРЦ финальная, руб.]]*(1-Товары[[#This Row],[Скидка DIY]]),2)</f>
        <v>0</v>
      </c>
    </row>
    <row r="654" spans="1:50" x14ac:dyDescent="0.25">
      <c r="A654" s="36">
        <v>652</v>
      </c>
      <c r="C654" s="36" t="s">
        <v>239</v>
      </c>
      <c r="D6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4" s="36" t="s">
        <v>206</v>
      </c>
      <c r="F6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4" s="38">
        <v>9215</v>
      </c>
      <c r="I654" s="37" t="s">
        <v>337</v>
      </c>
      <c r="J654" s="37">
        <v>8716</v>
      </c>
      <c r="K654" s="38">
        <v>967330401</v>
      </c>
      <c r="L654" s="37" t="s">
        <v>1104</v>
      </c>
      <c r="M654" s="37" t="s">
        <v>1432</v>
      </c>
      <c r="O654" s="39" t="s">
        <v>2085</v>
      </c>
      <c r="AS654" s="48">
        <f>ROUND((Товары[[#This Row],[IRP, Eur]]*$AT$1),-2)*(1+Товары[[#This Row],[Процент повышения РРЦ]])</f>
        <v>0</v>
      </c>
      <c r="AT654" s="48"/>
      <c r="AU654" s="50">
        <f>ROUND(Товары[[#This Row],[РРЦ финальная, руб.]]/$AT$1,2)</f>
        <v>0</v>
      </c>
      <c r="AV654" s="49" t="str">
        <f>IFERROR(Товары[[#This Row],[РРЦ, евро]]/Товары[[#This Row],[IRP, Eur]],"-")</f>
        <v>-</v>
      </c>
      <c r="AX654" s="48">
        <f>ROUND(Товары[[#This Row],[РРЦ финальная, руб.]]*(1-Товары[[#This Row],[Скидка DIY]]),2)</f>
        <v>0</v>
      </c>
    </row>
    <row r="655" spans="1:50" x14ac:dyDescent="0.25">
      <c r="A655" s="36">
        <v>653</v>
      </c>
      <c r="C655" s="36" t="s">
        <v>239</v>
      </c>
      <c r="D6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5" s="36" t="s">
        <v>206</v>
      </c>
      <c r="F6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5" s="38">
        <v>9215</v>
      </c>
      <c r="I655" s="37" t="s">
        <v>338</v>
      </c>
      <c r="J655" s="37">
        <v>8718</v>
      </c>
      <c r="K655" s="38">
        <v>967049001</v>
      </c>
      <c r="L655" s="37" t="s">
        <v>1105</v>
      </c>
      <c r="O655" s="39" t="s">
        <v>2086</v>
      </c>
      <c r="AS655" s="48">
        <f>ROUND((Товары[[#This Row],[IRP, Eur]]*$AT$1),-2)*(1+Товары[[#This Row],[Процент повышения РРЦ]])</f>
        <v>0</v>
      </c>
      <c r="AT655" s="48"/>
      <c r="AU655" s="50">
        <f>ROUND(Товары[[#This Row],[РРЦ финальная, руб.]]/$AT$1,2)</f>
        <v>0</v>
      </c>
      <c r="AV655" s="49" t="str">
        <f>IFERROR(Товары[[#This Row],[РРЦ, евро]]/Товары[[#This Row],[IRP, Eur]],"-")</f>
        <v>-</v>
      </c>
      <c r="AX655" s="48">
        <f>ROUND(Товары[[#This Row],[РРЦ финальная, руб.]]*(1-Товары[[#This Row],[Скидка DIY]]),2)</f>
        <v>0</v>
      </c>
    </row>
    <row r="656" spans="1:50" x14ac:dyDescent="0.25">
      <c r="A656" s="36">
        <v>654</v>
      </c>
      <c r="C656" s="36" t="s">
        <v>239</v>
      </c>
      <c r="D6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6" s="36" t="s">
        <v>206</v>
      </c>
      <c r="F6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6" s="38">
        <v>9215</v>
      </c>
      <c r="I656" s="37" t="s">
        <v>338</v>
      </c>
      <c r="J656" s="37">
        <v>8718</v>
      </c>
      <c r="K656" s="38">
        <v>967330501</v>
      </c>
      <c r="L656" s="37" t="s">
        <v>1106</v>
      </c>
      <c r="M656" s="37" t="s">
        <v>1433</v>
      </c>
      <c r="O656" s="39" t="s">
        <v>2087</v>
      </c>
      <c r="AS656" s="48">
        <f>ROUND((Товары[[#This Row],[IRP, Eur]]*$AT$1),-2)*(1+Товары[[#This Row],[Процент повышения РРЦ]])</f>
        <v>0</v>
      </c>
      <c r="AT656" s="48"/>
      <c r="AU656" s="50">
        <f>ROUND(Товары[[#This Row],[РРЦ финальная, руб.]]/$AT$1,2)</f>
        <v>0</v>
      </c>
      <c r="AV656" s="49" t="str">
        <f>IFERROR(Товары[[#This Row],[РРЦ, евро]]/Товары[[#This Row],[IRP, Eur]],"-")</f>
        <v>-</v>
      </c>
      <c r="AX656" s="48">
        <f>ROUND(Товары[[#This Row],[РРЦ финальная, руб.]]*(1-Товары[[#This Row],[Скидка DIY]]),2)</f>
        <v>0</v>
      </c>
    </row>
    <row r="657" spans="1:50" x14ac:dyDescent="0.25">
      <c r="A657" s="36">
        <v>655</v>
      </c>
      <c r="C657" s="36" t="s">
        <v>239</v>
      </c>
      <c r="D6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7" s="36" t="s">
        <v>206</v>
      </c>
      <c r="F6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7" s="38">
        <v>9215</v>
      </c>
      <c r="I657" s="37" t="s">
        <v>338</v>
      </c>
      <c r="J657" s="37">
        <v>8719</v>
      </c>
      <c r="K657" s="38">
        <v>967330601</v>
      </c>
      <c r="L657" s="37" t="s">
        <v>1107</v>
      </c>
      <c r="M657" s="37" t="s">
        <v>1434</v>
      </c>
      <c r="O657" s="39" t="s">
        <v>2088</v>
      </c>
      <c r="AS657" s="48">
        <f>ROUND((Товары[[#This Row],[IRP, Eur]]*$AT$1),-2)*(1+Товары[[#This Row],[Процент повышения РРЦ]])</f>
        <v>0</v>
      </c>
      <c r="AT657" s="48"/>
      <c r="AU657" s="50">
        <f>ROUND(Товары[[#This Row],[РРЦ финальная, руб.]]/$AT$1,2)</f>
        <v>0</v>
      </c>
      <c r="AV657" s="49" t="str">
        <f>IFERROR(Товары[[#This Row],[РРЦ, евро]]/Товары[[#This Row],[IRP, Eur]],"-")</f>
        <v>-</v>
      </c>
      <c r="AX657" s="48">
        <f>ROUND(Товары[[#This Row],[РРЦ финальная, руб.]]*(1-Товары[[#This Row],[Скидка DIY]]),2)</f>
        <v>0</v>
      </c>
    </row>
    <row r="658" spans="1:50" x14ac:dyDescent="0.25">
      <c r="A658" s="36">
        <v>656</v>
      </c>
      <c r="C658" s="36" t="s">
        <v>239</v>
      </c>
      <c r="D6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8" s="36" t="s">
        <v>206</v>
      </c>
      <c r="F6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8" s="38">
        <v>9215</v>
      </c>
      <c r="I658" s="37" t="s">
        <v>338</v>
      </c>
      <c r="J658" s="37">
        <v>8712</v>
      </c>
      <c r="K658" s="38">
        <v>967957001</v>
      </c>
      <c r="L658" s="37" t="s">
        <v>1108</v>
      </c>
      <c r="O658" s="39" t="s">
        <v>2089</v>
      </c>
      <c r="AS658" s="48">
        <f>ROUND((Товары[[#This Row],[IRP, Eur]]*$AT$1),-2)*(1+Товары[[#This Row],[Процент повышения РРЦ]])</f>
        <v>0</v>
      </c>
      <c r="AT658" s="48"/>
      <c r="AU658" s="50">
        <f>ROUND(Товары[[#This Row],[РРЦ финальная, руб.]]/$AT$1,2)</f>
        <v>0</v>
      </c>
      <c r="AV658" s="49" t="str">
        <f>IFERROR(Товары[[#This Row],[РРЦ, евро]]/Товары[[#This Row],[IRP, Eur]],"-")</f>
        <v>-</v>
      </c>
      <c r="AX658" s="48">
        <f>ROUND(Товары[[#This Row],[РРЦ финальная, руб.]]*(1-Товары[[#This Row],[Скидка DIY]]),2)</f>
        <v>0</v>
      </c>
    </row>
    <row r="659" spans="1:50" x14ac:dyDescent="0.25">
      <c r="A659" s="36">
        <v>657</v>
      </c>
      <c r="C659" s="36" t="s">
        <v>239</v>
      </c>
      <c r="D6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9" s="36" t="s">
        <v>207</v>
      </c>
      <c r="F6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9" s="38">
        <v>9229</v>
      </c>
      <c r="I659" s="37" t="s">
        <v>327</v>
      </c>
      <c r="J659" s="37">
        <v>17201</v>
      </c>
      <c r="K659" s="38">
        <v>967954701</v>
      </c>
      <c r="L659" s="37" t="s">
        <v>1109</v>
      </c>
      <c r="M659" s="37" t="s">
        <v>1338</v>
      </c>
      <c r="O659" s="39" t="s">
        <v>2090</v>
      </c>
      <c r="AS659" s="48">
        <f>ROUND((Товары[[#This Row],[IRP, Eur]]*$AT$1),-2)*(1+Товары[[#This Row],[Процент повышения РРЦ]])</f>
        <v>0</v>
      </c>
      <c r="AT659" s="48"/>
      <c r="AU659" s="50">
        <f>ROUND(Товары[[#This Row],[РРЦ финальная, руб.]]/$AT$1,2)</f>
        <v>0</v>
      </c>
      <c r="AV659" s="49" t="str">
        <f>IFERROR(Товары[[#This Row],[РРЦ, евро]]/Товары[[#This Row],[IRP, Eur]],"-")</f>
        <v>-</v>
      </c>
      <c r="AX659" s="48">
        <f>ROUND(Товары[[#This Row],[РРЦ финальная, руб.]]*(1-Товары[[#This Row],[Скидка DIY]]),2)</f>
        <v>0</v>
      </c>
    </row>
    <row r="660" spans="1:50" x14ac:dyDescent="0.25">
      <c r="A660" s="36">
        <v>658</v>
      </c>
      <c r="C660" s="36" t="s">
        <v>239</v>
      </c>
      <c r="D6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0" s="36" t="s">
        <v>207</v>
      </c>
      <c r="F6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0" s="38">
        <v>9229</v>
      </c>
      <c r="I660" s="37" t="s">
        <v>327</v>
      </c>
      <c r="J660" s="37">
        <v>17202</v>
      </c>
      <c r="K660" s="38">
        <v>967954801</v>
      </c>
      <c r="L660" s="37" t="s">
        <v>1110</v>
      </c>
      <c r="M660" s="37" t="s">
        <v>1338</v>
      </c>
      <c r="O660" s="39" t="s">
        <v>2091</v>
      </c>
      <c r="AS660" s="48">
        <f>ROUND((Товары[[#This Row],[IRP, Eur]]*$AT$1),-2)*(1+Товары[[#This Row],[Процент повышения РРЦ]])</f>
        <v>0</v>
      </c>
      <c r="AT660" s="48"/>
      <c r="AU660" s="50">
        <f>ROUND(Товары[[#This Row],[РРЦ финальная, руб.]]/$AT$1,2)</f>
        <v>0</v>
      </c>
      <c r="AV660" s="49" t="str">
        <f>IFERROR(Товары[[#This Row],[РРЦ, евро]]/Товары[[#This Row],[IRP, Eur]],"-")</f>
        <v>-</v>
      </c>
      <c r="AX660" s="48">
        <f>ROUND(Товары[[#This Row],[РРЦ финальная, руб.]]*(1-Товары[[#This Row],[Скидка DIY]]),2)</f>
        <v>0</v>
      </c>
    </row>
    <row r="661" spans="1:50" x14ac:dyDescent="0.25">
      <c r="A661" s="36">
        <v>659</v>
      </c>
      <c r="C661" s="36" t="s">
        <v>239</v>
      </c>
      <c r="D6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1" s="36" t="s">
        <v>207</v>
      </c>
      <c r="F6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1" s="38">
        <v>9229</v>
      </c>
      <c r="I661" s="37" t="s">
        <v>339</v>
      </c>
      <c r="J661" s="37">
        <v>17203</v>
      </c>
      <c r="K661" s="38">
        <v>967954901</v>
      </c>
      <c r="L661" s="37" t="s">
        <v>1111</v>
      </c>
      <c r="M661" s="37" t="s">
        <v>1338</v>
      </c>
      <c r="O661" s="39" t="s">
        <v>2092</v>
      </c>
      <c r="AS661" s="48">
        <f>ROUND((Товары[[#This Row],[IRP, Eur]]*$AT$1),-2)*(1+Товары[[#This Row],[Процент повышения РРЦ]])</f>
        <v>0</v>
      </c>
      <c r="AT661" s="48"/>
      <c r="AU661" s="50">
        <f>ROUND(Товары[[#This Row],[РРЦ финальная, руб.]]/$AT$1,2)</f>
        <v>0</v>
      </c>
      <c r="AV661" s="49" t="str">
        <f>IFERROR(Товары[[#This Row],[РРЦ, евро]]/Товары[[#This Row],[IRP, Eur]],"-")</f>
        <v>-</v>
      </c>
      <c r="AX661" s="48">
        <f>ROUND(Товары[[#This Row],[РРЦ финальная, руб.]]*(1-Товары[[#This Row],[Скидка DIY]]),2)</f>
        <v>0</v>
      </c>
    </row>
    <row r="662" spans="1:50" x14ac:dyDescent="0.25">
      <c r="A662" s="36">
        <v>660</v>
      </c>
      <c r="C662" s="36" t="s">
        <v>239</v>
      </c>
      <c r="D6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2" s="36" t="s">
        <v>207</v>
      </c>
      <c r="F6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2" s="38">
        <v>9229</v>
      </c>
      <c r="I662" s="37" t="s">
        <v>340</v>
      </c>
      <c r="J662" s="37">
        <v>17204</v>
      </c>
      <c r="K662" s="38">
        <v>967955001</v>
      </c>
      <c r="L662" s="37" t="s">
        <v>1112</v>
      </c>
      <c r="M662" s="37" t="s">
        <v>1338</v>
      </c>
      <c r="O662" s="39" t="s">
        <v>2093</v>
      </c>
      <c r="AS662" s="48">
        <f>ROUND((Товары[[#This Row],[IRP, Eur]]*$AT$1),-2)*(1+Товары[[#This Row],[Процент повышения РРЦ]])</f>
        <v>0</v>
      </c>
      <c r="AT662" s="48"/>
      <c r="AU662" s="50">
        <f>ROUND(Товары[[#This Row],[РРЦ финальная, руб.]]/$AT$1,2)</f>
        <v>0</v>
      </c>
      <c r="AV662" s="49" t="str">
        <f>IFERROR(Товары[[#This Row],[РРЦ, евро]]/Товары[[#This Row],[IRP, Eur]],"-")</f>
        <v>-</v>
      </c>
      <c r="AX662" s="48">
        <f>ROUND(Товары[[#This Row],[РРЦ финальная, руб.]]*(1-Товары[[#This Row],[Скидка DIY]]),2)</f>
        <v>0</v>
      </c>
    </row>
    <row r="663" spans="1:50" x14ac:dyDescent="0.25">
      <c r="A663" s="36">
        <v>661</v>
      </c>
      <c r="C663" s="36" t="s">
        <v>239</v>
      </c>
      <c r="D6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3" s="36" t="s">
        <v>207</v>
      </c>
      <c r="F6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3" s="38">
        <v>9229</v>
      </c>
      <c r="I663" s="37" t="s">
        <v>340</v>
      </c>
      <c r="J663" s="37">
        <v>17205</v>
      </c>
      <c r="K663" s="38">
        <v>967955101</v>
      </c>
      <c r="L663" s="37" t="s">
        <v>1113</v>
      </c>
      <c r="M663" s="37" t="s">
        <v>1338</v>
      </c>
      <c r="O663" s="39" t="s">
        <v>2094</v>
      </c>
      <c r="AS663" s="48">
        <f>ROUND((Товары[[#This Row],[IRP, Eur]]*$AT$1),-2)*(1+Товары[[#This Row],[Процент повышения РРЦ]])</f>
        <v>0</v>
      </c>
      <c r="AT663" s="48"/>
      <c r="AU663" s="50">
        <f>ROUND(Товары[[#This Row],[РРЦ финальная, руб.]]/$AT$1,2)</f>
        <v>0</v>
      </c>
      <c r="AV663" s="49" t="str">
        <f>IFERROR(Товары[[#This Row],[РРЦ, евро]]/Товары[[#This Row],[IRP, Eur]],"-")</f>
        <v>-</v>
      </c>
      <c r="AX663" s="48">
        <f>ROUND(Товары[[#This Row],[РРЦ финальная, руб.]]*(1-Товары[[#This Row],[Скидка DIY]]),2)</f>
        <v>0</v>
      </c>
    </row>
    <row r="664" spans="1:50" x14ac:dyDescent="0.25">
      <c r="A664" s="36">
        <v>662</v>
      </c>
      <c r="C664" s="36" t="s">
        <v>239</v>
      </c>
      <c r="D6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4" s="36" t="s">
        <v>207</v>
      </c>
      <c r="F6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4" s="38">
        <v>9229</v>
      </c>
      <c r="I664" s="37" t="s">
        <v>327</v>
      </c>
      <c r="J664" s="37">
        <v>17105</v>
      </c>
      <c r="K664" s="38">
        <v>967914601</v>
      </c>
      <c r="L664" s="37" t="s">
        <v>1114</v>
      </c>
      <c r="M664" s="37" t="s">
        <v>1338</v>
      </c>
      <c r="O664" s="39" t="s">
        <v>2095</v>
      </c>
      <c r="AS664" s="48">
        <f>ROUND((Товары[[#This Row],[IRP, Eur]]*$AT$1),-2)*(1+Товары[[#This Row],[Процент повышения РРЦ]])</f>
        <v>0</v>
      </c>
      <c r="AT664" s="48"/>
      <c r="AU664" s="50">
        <f>ROUND(Товары[[#This Row],[РРЦ финальная, руб.]]/$AT$1,2)</f>
        <v>0</v>
      </c>
      <c r="AV664" s="49" t="str">
        <f>IFERROR(Товары[[#This Row],[РРЦ, евро]]/Товары[[#This Row],[IRP, Eur]],"-")</f>
        <v>-</v>
      </c>
      <c r="AX664" s="48">
        <f>ROUND(Товары[[#This Row],[РРЦ финальная, руб.]]*(1-Товары[[#This Row],[Скидка DIY]]),2)</f>
        <v>0</v>
      </c>
    </row>
    <row r="665" spans="1:50" x14ac:dyDescent="0.25">
      <c r="A665" s="36">
        <v>663</v>
      </c>
      <c r="C665" s="36" t="s">
        <v>239</v>
      </c>
      <c r="D6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5" s="36" t="s">
        <v>207</v>
      </c>
      <c r="F6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5" s="38">
        <v>9229</v>
      </c>
      <c r="I665" s="37" t="s">
        <v>327</v>
      </c>
      <c r="J665" s="37">
        <v>17106</v>
      </c>
      <c r="K665" s="38">
        <v>967914701</v>
      </c>
      <c r="L665" s="37" t="s">
        <v>1115</v>
      </c>
      <c r="M665" s="37" t="s">
        <v>1338</v>
      </c>
      <c r="O665" s="39" t="s">
        <v>2096</v>
      </c>
      <c r="AS665" s="48">
        <f>ROUND((Товары[[#This Row],[IRP, Eur]]*$AT$1),-2)*(1+Товары[[#This Row],[Процент повышения РРЦ]])</f>
        <v>0</v>
      </c>
      <c r="AT665" s="48"/>
      <c r="AU665" s="50">
        <f>ROUND(Товары[[#This Row],[РРЦ финальная, руб.]]/$AT$1,2)</f>
        <v>0</v>
      </c>
      <c r="AV665" s="49" t="str">
        <f>IFERROR(Товары[[#This Row],[РРЦ, евро]]/Товары[[#This Row],[IRP, Eur]],"-")</f>
        <v>-</v>
      </c>
      <c r="AX665" s="48">
        <f>ROUND(Товары[[#This Row],[РРЦ финальная, руб.]]*(1-Товары[[#This Row],[Скидка DIY]]),2)</f>
        <v>0</v>
      </c>
    </row>
    <row r="666" spans="1:50" x14ac:dyDescent="0.25">
      <c r="A666" s="36">
        <v>664</v>
      </c>
      <c r="C666" s="36" t="s">
        <v>239</v>
      </c>
      <c r="D6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6" s="36" t="s">
        <v>207</v>
      </c>
      <c r="F6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6" s="38">
        <v>9229</v>
      </c>
      <c r="I666" s="37" t="s">
        <v>327</v>
      </c>
      <c r="J666" s="37">
        <v>17107</v>
      </c>
      <c r="K666" s="38">
        <v>967914801</v>
      </c>
      <c r="L666" s="37" t="s">
        <v>1116</v>
      </c>
      <c r="M666" s="37" t="s">
        <v>1338</v>
      </c>
      <c r="O666" s="39" t="s">
        <v>2097</v>
      </c>
      <c r="AS666" s="48">
        <f>ROUND((Товары[[#This Row],[IRP, Eur]]*$AT$1),-2)*(1+Товары[[#This Row],[Процент повышения РРЦ]])</f>
        <v>0</v>
      </c>
      <c r="AT666" s="48"/>
      <c r="AU666" s="50">
        <f>ROUND(Товары[[#This Row],[РРЦ финальная, руб.]]/$AT$1,2)</f>
        <v>0</v>
      </c>
      <c r="AV666" s="49" t="str">
        <f>IFERROR(Товары[[#This Row],[РРЦ, евро]]/Товары[[#This Row],[IRP, Eur]],"-")</f>
        <v>-</v>
      </c>
      <c r="AX666" s="48">
        <f>ROUND(Товары[[#This Row],[РРЦ финальная, руб.]]*(1-Товары[[#This Row],[Скидка DIY]]),2)</f>
        <v>0</v>
      </c>
    </row>
    <row r="667" spans="1:50" x14ac:dyDescent="0.25">
      <c r="A667" s="36">
        <v>665</v>
      </c>
      <c r="C667" s="36" t="s">
        <v>239</v>
      </c>
      <c r="D6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7" s="36" t="s">
        <v>207</v>
      </c>
      <c r="F6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7" s="38">
        <v>9229</v>
      </c>
      <c r="I667" s="37" t="s">
        <v>341</v>
      </c>
      <c r="J667" s="37">
        <v>17108</v>
      </c>
      <c r="K667" s="38">
        <v>967914901</v>
      </c>
      <c r="L667" s="37" t="s">
        <v>1117</v>
      </c>
      <c r="M667" s="37" t="s">
        <v>1338</v>
      </c>
      <c r="O667" s="39" t="s">
        <v>2098</v>
      </c>
      <c r="AS667" s="48">
        <f>ROUND((Товары[[#This Row],[IRP, Eur]]*$AT$1),-2)*(1+Товары[[#This Row],[Процент повышения РРЦ]])</f>
        <v>0</v>
      </c>
      <c r="AT667" s="48"/>
      <c r="AU667" s="50">
        <f>ROUND(Товары[[#This Row],[РРЦ финальная, руб.]]/$AT$1,2)</f>
        <v>0</v>
      </c>
      <c r="AV667" s="49" t="str">
        <f>IFERROR(Товары[[#This Row],[РРЦ, евро]]/Товары[[#This Row],[IRP, Eur]],"-")</f>
        <v>-</v>
      </c>
      <c r="AX667" s="48">
        <f>ROUND(Товары[[#This Row],[РРЦ финальная, руб.]]*(1-Товары[[#This Row],[Скидка DIY]]),2)</f>
        <v>0</v>
      </c>
    </row>
    <row r="668" spans="1:50" x14ac:dyDescent="0.25">
      <c r="A668" s="36">
        <v>666</v>
      </c>
      <c r="C668" s="36" t="s">
        <v>239</v>
      </c>
      <c r="D6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8" s="36" t="s">
        <v>207</v>
      </c>
      <c r="F6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8" s="38">
        <v>9229</v>
      </c>
      <c r="I668" s="37" t="s">
        <v>339</v>
      </c>
      <c r="J668" s="37">
        <v>17109</v>
      </c>
      <c r="K668" s="38">
        <v>967915001</v>
      </c>
      <c r="L668" s="37" t="s">
        <v>1118</v>
      </c>
      <c r="M668" s="37" t="s">
        <v>1338</v>
      </c>
      <c r="O668" s="39" t="s">
        <v>2099</v>
      </c>
      <c r="AS668" s="48">
        <f>ROUND((Товары[[#This Row],[IRP, Eur]]*$AT$1),-2)*(1+Товары[[#This Row],[Процент повышения РРЦ]])</f>
        <v>0</v>
      </c>
      <c r="AT668" s="48"/>
      <c r="AU668" s="50">
        <f>ROUND(Товары[[#This Row],[РРЦ финальная, руб.]]/$AT$1,2)</f>
        <v>0</v>
      </c>
      <c r="AV668" s="49" t="str">
        <f>IFERROR(Товары[[#This Row],[РРЦ, евро]]/Товары[[#This Row],[IRP, Eur]],"-")</f>
        <v>-</v>
      </c>
      <c r="AX668" s="48">
        <f>ROUND(Товары[[#This Row],[РРЦ финальная, руб.]]*(1-Товары[[#This Row],[Скидка DIY]]),2)</f>
        <v>0</v>
      </c>
    </row>
    <row r="669" spans="1:50" x14ac:dyDescent="0.25">
      <c r="A669" s="36">
        <v>667</v>
      </c>
      <c r="C669" s="36" t="s">
        <v>239</v>
      </c>
      <c r="D6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9" s="36" t="s">
        <v>207</v>
      </c>
      <c r="F6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9" s="38">
        <v>9229</v>
      </c>
      <c r="I669" s="37" t="s">
        <v>339</v>
      </c>
      <c r="J669" s="37">
        <v>17110</v>
      </c>
      <c r="K669" s="38">
        <v>967915101</v>
      </c>
      <c r="L669" s="37" t="s">
        <v>1119</v>
      </c>
      <c r="M669" s="37" t="s">
        <v>1338</v>
      </c>
      <c r="O669" s="39" t="s">
        <v>2100</v>
      </c>
      <c r="AS669" s="48">
        <f>ROUND((Товары[[#This Row],[IRP, Eur]]*$AT$1),-2)*(1+Товары[[#This Row],[Процент повышения РРЦ]])</f>
        <v>0</v>
      </c>
      <c r="AT669" s="48"/>
      <c r="AU669" s="50">
        <f>ROUND(Товары[[#This Row],[РРЦ финальная, руб.]]/$AT$1,2)</f>
        <v>0</v>
      </c>
      <c r="AV669" s="49" t="str">
        <f>IFERROR(Товары[[#This Row],[РРЦ, евро]]/Товары[[#This Row],[IRP, Eur]],"-")</f>
        <v>-</v>
      </c>
      <c r="AX669" s="48">
        <f>ROUND(Товары[[#This Row],[РРЦ финальная, руб.]]*(1-Товары[[#This Row],[Скидка DIY]]),2)</f>
        <v>0</v>
      </c>
    </row>
    <row r="670" spans="1:50" x14ac:dyDescent="0.25">
      <c r="A670" s="36">
        <v>668</v>
      </c>
      <c r="C670" s="36" t="s">
        <v>239</v>
      </c>
      <c r="D6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0" s="36" t="s">
        <v>207</v>
      </c>
      <c r="F6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0" s="38">
        <v>9229</v>
      </c>
      <c r="I670" s="37" t="s">
        <v>340</v>
      </c>
      <c r="J670" s="37">
        <v>17111</v>
      </c>
      <c r="K670" s="38">
        <v>967915201</v>
      </c>
      <c r="L670" s="37" t="s">
        <v>1120</v>
      </c>
      <c r="M670" s="37" t="s">
        <v>1338</v>
      </c>
      <c r="O670" s="39" t="s">
        <v>2101</v>
      </c>
      <c r="AS670" s="48">
        <f>ROUND((Товары[[#This Row],[IRP, Eur]]*$AT$1),-2)*(1+Товары[[#This Row],[Процент повышения РРЦ]])</f>
        <v>0</v>
      </c>
      <c r="AT670" s="48"/>
      <c r="AU670" s="50">
        <f>ROUND(Товары[[#This Row],[РРЦ финальная, руб.]]/$AT$1,2)</f>
        <v>0</v>
      </c>
      <c r="AV670" s="49" t="str">
        <f>IFERROR(Товары[[#This Row],[РРЦ, евро]]/Товары[[#This Row],[IRP, Eur]],"-")</f>
        <v>-</v>
      </c>
      <c r="AX670" s="48">
        <f>ROUND(Товары[[#This Row],[РРЦ финальная, руб.]]*(1-Товары[[#This Row],[Скидка DIY]]),2)</f>
        <v>0</v>
      </c>
    </row>
    <row r="671" spans="1:50" x14ac:dyDescent="0.25">
      <c r="A671" s="36">
        <v>669</v>
      </c>
      <c r="C671" s="36" t="s">
        <v>239</v>
      </c>
      <c r="D6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1" s="36" t="s">
        <v>207</v>
      </c>
      <c r="F6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1" s="38">
        <v>9229</v>
      </c>
      <c r="I671" s="37" t="s">
        <v>339</v>
      </c>
      <c r="J671" s="37">
        <v>17112</v>
      </c>
      <c r="K671" s="38">
        <v>967915301</v>
      </c>
      <c r="L671" s="37" t="s">
        <v>1121</v>
      </c>
      <c r="M671" s="37" t="s">
        <v>1338</v>
      </c>
      <c r="O671" s="39" t="s">
        <v>2102</v>
      </c>
      <c r="AS671" s="48">
        <f>ROUND((Товары[[#This Row],[IRP, Eur]]*$AT$1),-2)*(1+Товары[[#This Row],[Процент повышения РРЦ]])</f>
        <v>0</v>
      </c>
      <c r="AT671" s="48"/>
      <c r="AU671" s="50">
        <f>ROUND(Товары[[#This Row],[РРЦ финальная, руб.]]/$AT$1,2)</f>
        <v>0</v>
      </c>
      <c r="AV671" s="49" t="str">
        <f>IFERROR(Товары[[#This Row],[РРЦ, евро]]/Товары[[#This Row],[IRP, Eur]],"-")</f>
        <v>-</v>
      </c>
      <c r="AX671" s="48">
        <f>ROUND(Товары[[#This Row],[РРЦ финальная, руб.]]*(1-Товары[[#This Row],[Скидка DIY]]),2)</f>
        <v>0</v>
      </c>
    </row>
    <row r="672" spans="1:50" x14ac:dyDescent="0.25">
      <c r="A672" s="36">
        <v>670</v>
      </c>
      <c r="C672" s="36" t="s">
        <v>239</v>
      </c>
      <c r="D6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2" s="36" t="s">
        <v>207</v>
      </c>
      <c r="F6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2" s="38">
        <v>9228</v>
      </c>
      <c r="I672" s="37" t="s">
        <v>342</v>
      </c>
      <c r="J672" s="37">
        <v>17050</v>
      </c>
      <c r="K672" s="38">
        <v>967954401</v>
      </c>
      <c r="L672" s="37" t="s">
        <v>1122</v>
      </c>
      <c r="M672" s="37" t="s">
        <v>1338</v>
      </c>
      <c r="O672" s="39" t="s">
        <v>2103</v>
      </c>
      <c r="AS672" s="48">
        <f>ROUND((Товары[[#This Row],[IRP, Eur]]*$AT$1),-2)*(1+Товары[[#This Row],[Процент повышения РРЦ]])</f>
        <v>0</v>
      </c>
      <c r="AT672" s="48"/>
      <c r="AU672" s="50">
        <f>ROUND(Товары[[#This Row],[РРЦ финальная, руб.]]/$AT$1,2)</f>
        <v>0</v>
      </c>
      <c r="AV672" s="49" t="str">
        <f>IFERROR(Товары[[#This Row],[РРЦ, евро]]/Товары[[#This Row],[IRP, Eur]],"-")</f>
        <v>-</v>
      </c>
      <c r="AX672" s="48">
        <f>ROUND(Товары[[#This Row],[РРЦ финальная, руб.]]*(1-Товары[[#This Row],[Скидка DIY]]),2)</f>
        <v>0</v>
      </c>
    </row>
    <row r="673" spans="1:50" x14ac:dyDescent="0.25">
      <c r="A673" s="36">
        <v>671</v>
      </c>
      <c r="C673" s="36" t="s">
        <v>239</v>
      </c>
      <c r="D6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3" s="36" t="s">
        <v>207</v>
      </c>
      <c r="F6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3" s="38">
        <v>9228</v>
      </c>
      <c r="I673" s="37" t="s">
        <v>342</v>
      </c>
      <c r="J673" s="37">
        <v>17051</v>
      </c>
      <c r="K673" s="38">
        <v>967954501</v>
      </c>
      <c r="L673" s="37" t="s">
        <v>1123</v>
      </c>
      <c r="M673" s="37" t="s">
        <v>1338</v>
      </c>
      <c r="O673" s="39" t="s">
        <v>2104</v>
      </c>
      <c r="AS673" s="48">
        <f>ROUND((Товары[[#This Row],[IRP, Eur]]*$AT$1),-2)*(1+Товары[[#This Row],[Процент повышения РРЦ]])</f>
        <v>0</v>
      </c>
      <c r="AT673" s="48"/>
      <c r="AU673" s="50">
        <f>ROUND(Товары[[#This Row],[РРЦ финальная, руб.]]/$AT$1,2)</f>
        <v>0</v>
      </c>
      <c r="AV673" s="49" t="str">
        <f>IFERROR(Товары[[#This Row],[РРЦ, евро]]/Товары[[#This Row],[IRP, Eur]],"-")</f>
        <v>-</v>
      </c>
      <c r="AX673" s="48">
        <f>ROUND(Товары[[#This Row],[РРЦ финальная, руб.]]*(1-Товары[[#This Row],[Скидка DIY]]),2)</f>
        <v>0</v>
      </c>
    </row>
    <row r="674" spans="1:50" x14ac:dyDescent="0.25">
      <c r="A674" s="36">
        <v>672</v>
      </c>
      <c r="C674" s="36" t="s">
        <v>239</v>
      </c>
      <c r="D6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4" s="36" t="s">
        <v>207</v>
      </c>
      <c r="F6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4" s="38">
        <v>9228</v>
      </c>
      <c r="I674" s="37" t="s">
        <v>342</v>
      </c>
      <c r="J674" s="37">
        <v>17000</v>
      </c>
      <c r="K674" s="38">
        <v>967861001</v>
      </c>
      <c r="L674" s="37" t="s">
        <v>1124</v>
      </c>
      <c r="M674" s="37" t="s">
        <v>1338</v>
      </c>
      <c r="O674" s="39" t="s">
        <v>2105</v>
      </c>
      <c r="AS674" s="48">
        <f>ROUND((Товары[[#This Row],[IRP, Eur]]*$AT$1),-2)*(1+Товары[[#This Row],[Процент повышения РРЦ]])</f>
        <v>0</v>
      </c>
      <c r="AT674" s="48"/>
      <c r="AU674" s="50">
        <f>ROUND(Товары[[#This Row],[РРЦ финальная, руб.]]/$AT$1,2)</f>
        <v>0</v>
      </c>
      <c r="AV674" s="49" t="str">
        <f>IFERROR(Товары[[#This Row],[РРЦ, евро]]/Товары[[#This Row],[IRP, Eur]],"-")</f>
        <v>-</v>
      </c>
      <c r="AX674" s="48">
        <f>ROUND(Товары[[#This Row],[РРЦ финальная, руб.]]*(1-Товары[[#This Row],[Скидка DIY]]),2)</f>
        <v>0</v>
      </c>
    </row>
    <row r="675" spans="1:50" x14ac:dyDescent="0.25">
      <c r="A675" s="36">
        <v>673</v>
      </c>
      <c r="C675" s="36" t="s">
        <v>239</v>
      </c>
      <c r="D6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5" s="36" t="s">
        <v>207</v>
      </c>
      <c r="F6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5" s="38">
        <v>9228</v>
      </c>
      <c r="I675" s="37" t="s">
        <v>342</v>
      </c>
      <c r="J675" s="37">
        <v>17001</v>
      </c>
      <c r="K675" s="38">
        <v>967861101</v>
      </c>
      <c r="L675" s="37" t="s">
        <v>1125</v>
      </c>
      <c r="M675" s="37" t="s">
        <v>1338</v>
      </c>
      <c r="O675" s="39" t="s">
        <v>2106</v>
      </c>
      <c r="AS675" s="48">
        <f>ROUND((Товары[[#This Row],[IRP, Eur]]*$AT$1),-2)*(1+Товары[[#This Row],[Процент повышения РРЦ]])</f>
        <v>0</v>
      </c>
      <c r="AT675" s="48"/>
      <c r="AU675" s="50">
        <f>ROUND(Товары[[#This Row],[РРЦ финальная, руб.]]/$AT$1,2)</f>
        <v>0</v>
      </c>
      <c r="AV675" s="49" t="str">
        <f>IFERROR(Товары[[#This Row],[РРЦ, евро]]/Товары[[#This Row],[IRP, Eur]],"-")</f>
        <v>-</v>
      </c>
      <c r="AX675" s="48">
        <f>ROUND(Товары[[#This Row],[РРЦ финальная, руб.]]*(1-Товары[[#This Row],[Скидка DIY]]),2)</f>
        <v>0</v>
      </c>
    </row>
    <row r="676" spans="1:50" x14ac:dyDescent="0.25">
      <c r="A676" s="36">
        <v>674</v>
      </c>
      <c r="C676" s="36" t="s">
        <v>239</v>
      </c>
      <c r="D6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6" s="36" t="s">
        <v>207</v>
      </c>
      <c r="F6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6" s="38">
        <v>9228</v>
      </c>
      <c r="I676" s="37" t="s">
        <v>343</v>
      </c>
      <c r="J676" s="37">
        <v>17002</v>
      </c>
      <c r="K676" s="38">
        <v>967861201</v>
      </c>
      <c r="L676" s="37" t="s">
        <v>1126</v>
      </c>
      <c r="M676" s="37" t="s">
        <v>1338</v>
      </c>
      <c r="O676" s="39" t="s">
        <v>2107</v>
      </c>
      <c r="AS676" s="48">
        <f>ROUND((Товары[[#This Row],[IRP, Eur]]*$AT$1),-2)*(1+Товары[[#This Row],[Процент повышения РРЦ]])</f>
        <v>0</v>
      </c>
      <c r="AT676" s="48"/>
      <c r="AU676" s="50">
        <f>ROUND(Товары[[#This Row],[РРЦ финальная, руб.]]/$AT$1,2)</f>
        <v>0</v>
      </c>
      <c r="AV676" s="49" t="str">
        <f>IFERROR(Товары[[#This Row],[РРЦ, евро]]/Товары[[#This Row],[IRP, Eur]],"-")</f>
        <v>-</v>
      </c>
      <c r="AX676" s="48">
        <f>ROUND(Товары[[#This Row],[РРЦ финальная, руб.]]*(1-Товары[[#This Row],[Скидка DIY]]),2)</f>
        <v>0</v>
      </c>
    </row>
    <row r="677" spans="1:50" x14ac:dyDescent="0.25">
      <c r="A677" s="36">
        <v>675</v>
      </c>
      <c r="C677" s="36" t="s">
        <v>239</v>
      </c>
      <c r="D6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7" s="36" t="s">
        <v>207</v>
      </c>
      <c r="F6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7" s="38">
        <v>9228</v>
      </c>
      <c r="I677" s="37" t="s">
        <v>342</v>
      </c>
      <c r="J677" s="37">
        <v>17010</v>
      </c>
      <c r="K677" s="38">
        <v>967861301</v>
      </c>
      <c r="L677" s="37" t="s">
        <v>1127</v>
      </c>
      <c r="M677" s="37" t="s">
        <v>1338</v>
      </c>
      <c r="O677" s="39" t="s">
        <v>2108</v>
      </c>
      <c r="AS677" s="48">
        <f>ROUND((Товары[[#This Row],[IRP, Eur]]*$AT$1),-2)*(1+Товары[[#This Row],[Процент повышения РРЦ]])</f>
        <v>0</v>
      </c>
      <c r="AT677" s="48"/>
      <c r="AU677" s="50">
        <f>ROUND(Товары[[#This Row],[РРЦ финальная, руб.]]/$AT$1,2)</f>
        <v>0</v>
      </c>
      <c r="AV677" s="49" t="str">
        <f>IFERROR(Товары[[#This Row],[РРЦ, евро]]/Товары[[#This Row],[IRP, Eur]],"-")</f>
        <v>-</v>
      </c>
      <c r="AX677" s="48">
        <f>ROUND(Товары[[#This Row],[РРЦ финальная, руб.]]*(1-Товары[[#This Row],[Скидка DIY]]),2)</f>
        <v>0</v>
      </c>
    </row>
    <row r="678" spans="1:50" x14ac:dyDescent="0.25">
      <c r="A678" s="36">
        <v>676</v>
      </c>
      <c r="C678" s="36" t="s">
        <v>239</v>
      </c>
      <c r="D6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8" s="36" t="s">
        <v>207</v>
      </c>
      <c r="F6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8" s="38">
        <v>9228</v>
      </c>
      <c r="I678" s="37" t="s">
        <v>342</v>
      </c>
      <c r="J678" s="37">
        <v>17011</v>
      </c>
      <c r="K678" s="38">
        <v>967861401</v>
      </c>
      <c r="L678" s="37" t="s">
        <v>1128</v>
      </c>
      <c r="M678" s="37" t="s">
        <v>1338</v>
      </c>
      <c r="O678" s="39" t="s">
        <v>2109</v>
      </c>
      <c r="AS678" s="48">
        <f>ROUND((Товары[[#This Row],[IRP, Eur]]*$AT$1),-2)*(1+Товары[[#This Row],[Процент повышения РРЦ]])</f>
        <v>0</v>
      </c>
      <c r="AT678" s="48"/>
      <c r="AU678" s="50">
        <f>ROUND(Товары[[#This Row],[РРЦ финальная, руб.]]/$AT$1,2)</f>
        <v>0</v>
      </c>
      <c r="AV678" s="49" t="str">
        <f>IFERROR(Товары[[#This Row],[РРЦ, евро]]/Товары[[#This Row],[IRP, Eur]],"-")</f>
        <v>-</v>
      </c>
      <c r="AX678" s="48">
        <f>ROUND(Товары[[#This Row],[РРЦ финальная, руб.]]*(1-Товары[[#This Row],[Скидка DIY]]),2)</f>
        <v>0</v>
      </c>
    </row>
    <row r="679" spans="1:50" x14ac:dyDescent="0.25">
      <c r="A679" s="36">
        <v>677</v>
      </c>
      <c r="C679" s="36" t="s">
        <v>239</v>
      </c>
      <c r="D6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9" s="36" t="s">
        <v>207</v>
      </c>
      <c r="F6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9" s="38">
        <v>9228</v>
      </c>
      <c r="I679" s="37" t="s">
        <v>342</v>
      </c>
      <c r="J679" s="37">
        <v>17012</v>
      </c>
      <c r="K679" s="38">
        <v>967861501</v>
      </c>
      <c r="L679" s="37" t="s">
        <v>1129</v>
      </c>
      <c r="M679" s="37" t="s">
        <v>1338</v>
      </c>
      <c r="O679" s="39" t="s">
        <v>2110</v>
      </c>
      <c r="AS679" s="48">
        <f>ROUND((Товары[[#This Row],[IRP, Eur]]*$AT$1),-2)*(1+Товары[[#This Row],[Процент повышения РРЦ]])</f>
        <v>0</v>
      </c>
      <c r="AT679" s="48"/>
      <c r="AU679" s="50">
        <f>ROUND(Товары[[#This Row],[РРЦ финальная, руб.]]/$AT$1,2)</f>
        <v>0</v>
      </c>
      <c r="AV679" s="49" t="str">
        <f>IFERROR(Товары[[#This Row],[РРЦ, евро]]/Товары[[#This Row],[IRP, Eur]],"-")</f>
        <v>-</v>
      </c>
      <c r="AX679" s="48">
        <f>ROUND(Товары[[#This Row],[РРЦ финальная, руб.]]*(1-Товары[[#This Row],[Скидка DIY]]),2)</f>
        <v>0</v>
      </c>
    </row>
    <row r="680" spans="1:50" x14ac:dyDescent="0.25">
      <c r="A680" s="36">
        <v>678</v>
      </c>
      <c r="C680" s="36" t="s">
        <v>239</v>
      </c>
      <c r="D6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0" s="36" t="s">
        <v>207</v>
      </c>
      <c r="F6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0" s="38">
        <v>9228</v>
      </c>
      <c r="I680" s="37" t="s">
        <v>343</v>
      </c>
      <c r="J680" s="37">
        <v>17013</v>
      </c>
      <c r="K680" s="38">
        <v>967861601</v>
      </c>
      <c r="L680" s="37" t="s">
        <v>1130</v>
      </c>
      <c r="M680" s="37" t="s">
        <v>1338</v>
      </c>
      <c r="O680" s="39" t="s">
        <v>2111</v>
      </c>
      <c r="AS680" s="48">
        <f>ROUND((Товары[[#This Row],[IRP, Eur]]*$AT$1),-2)*(1+Товары[[#This Row],[Процент повышения РРЦ]])</f>
        <v>0</v>
      </c>
      <c r="AT680" s="48"/>
      <c r="AU680" s="50">
        <f>ROUND(Товары[[#This Row],[РРЦ финальная, руб.]]/$AT$1,2)</f>
        <v>0</v>
      </c>
      <c r="AV680" s="49" t="str">
        <f>IFERROR(Товары[[#This Row],[РРЦ, евро]]/Товары[[#This Row],[IRP, Eur]],"-")</f>
        <v>-</v>
      </c>
      <c r="AX680" s="48">
        <f>ROUND(Товары[[#This Row],[РРЦ финальная, руб.]]*(1-Товары[[#This Row],[Скидка DIY]]),2)</f>
        <v>0</v>
      </c>
    </row>
    <row r="681" spans="1:50" x14ac:dyDescent="0.25">
      <c r="A681" s="36">
        <v>679</v>
      </c>
      <c r="C681" s="36" t="s">
        <v>239</v>
      </c>
      <c r="D6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1" s="36" t="s">
        <v>207</v>
      </c>
      <c r="F6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1" s="38">
        <v>9228</v>
      </c>
      <c r="I681" s="37" t="s">
        <v>342</v>
      </c>
      <c r="J681" s="37">
        <v>17020</v>
      </c>
      <c r="K681" s="38">
        <v>967861701</v>
      </c>
      <c r="L681" s="37" t="s">
        <v>1131</v>
      </c>
      <c r="M681" s="37" t="s">
        <v>1338</v>
      </c>
      <c r="O681" s="39" t="s">
        <v>2112</v>
      </c>
      <c r="AS681" s="48">
        <f>ROUND((Товары[[#This Row],[IRP, Eur]]*$AT$1),-2)*(1+Товары[[#This Row],[Процент повышения РРЦ]])</f>
        <v>0</v>
      </c>
      <c r="AT681" s="48"/>
      <c r="AU681" s="50">
        <f>ROUND(Товары[[#This Row],[РРЦ финальная, руб.]]/$AT$1,2)</f>
        <v>0</v>
      </c>
      <c r="AV681" s="49" t="str">
        <f>IFERROR(Товары[[#This Row],[РРЦ, евро]]/Товары[[#This Row],[IRP, Eur]],"-")</f>
        <v>-</v>
      </c>
      <c r="AX681" s="48">
        <f>ROUND(Товары[[#This Row],[РРЦ финальная, руб.]]*(1-Товары[[#This Row],[Скидка DIY]]),2)</f>
        <v>0</v>
      </c>
    </row>
    <row r="682" spans="1:50" x14ac:dyDescent="0.25">
      <c r="A682" s="36">
        <v>680</v>
      </c>
      <c r="C682" s="36" t="s">
        <v>239</v>
      </c>
      <c r="D6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2" s="36" t="s">
        <v>207</v>
      </c>
      <c r="F6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2" s="38">
        <v>9227</v>
      </c>
      <c r="I682" s="37" t="s">
        <v>344</v>
      </c>
      <c r="J682" s="37">
        <v>8950</v>
      </c>
      <c r="K682" s="38">
        <v>967095601</v>
      </c>
      <c r="L682" s="37" t="s">
        <v>1132</v>
      </c>
      <c r="M682" s="37" t="s">
        <v>1435</v>
      </c>
      <c r="O682" s="39" t="s">
        <v>2113</v>
      </c>
      <c r="AS682" s="48">
        <f>ROUND((Товары[[#This Row],[IRP, Eur]]*$AT$1),-2)*(1+Товары[[#This Row],[Процент повышения РРЦ]])</f>
        <v>0</v>
      </c>
      <c r="AT682" s="48"/>
      <c r="AU682" s="50">
        <f>ROUND(Товары[[#This Row],[РРЦ финальная, руб.]]/$AT$1,2)</f>
        <v>0</v>
      </c>
      <c r="AV682" s="49" t="str">
        <f>IFERROR(Товары[[#This Row],[РРЦ, евро]]/Товары[[#This Row],[IRP, Eur]],"-")</f>
        <v>-</v>
      </c>
      <c r="AX682" s="48">
        <f>ROUND(Товары[[#This Row],[РРЦ финальная, руб.]]*(1-Товары[[#This Row],[Скидка DIY]]),2)</f>
        <v>0</v>
      </c>
    </row>
    <row r="683" spans="1:50" x14ac:dyDescent="0.25">
      <c r="A683" s="36">
        <v>681</v>
      </c>
      <c r="C683" s="36" t="s">
        <v>239</v>
      </c>
      <c r="D6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3" s="36" t="s">
        <v>207</v>
      </c>
      <c r="F6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3" s="38">
        <v>9227</v>
      </c>
      <c r="I683" s="37" t="s">
        <v>344</v>
      </c>
      <c r="J683" s="37">
        <v>8951</v>
      </c>
      <c r="K683" s="38">
        <v>967095801</v>
      </c>
      <c r="L683" s="37" t="s">
        <v>1133</v>
      </c>
      <c r="M683" s="37" t="s">
        <v>1436</v>
      </c>
      <c r="O683" s="39" t="s">
        <v>2114</v>
      </c>
      <c r="AS683" s="48">
        <f>ROUND((Товары[[#This Row],[IRP, Eur]]*$AT$1),-2)*(1+Товары[[#This Row],[Процент повышения РРЦ]])</f>
        <v>0</v>
      </c>
      <c r="AT683" s="48"/>
      <c r="AU683" s="50">
        <f>ROUND(Товары[[#This Row],[РРЦ финальная, руб.]]/$AT$1,2)</f>
        <v>0</v>
      </c>
      <c r="AV683" s="49" t="str">
        <f>IFERROR(Товары[[#This Row],[РРЦ, евро]]/Товары[[#This Row],[IRP, Eur]],"-")</f>
        <v>-</v>
      </c>
      <c r="AX683" s="48">
        <f>ROUND(Товары[[#This Row],[РРЦ финальная, руб.]]*(1-Товары[[#This Row],[Скидка DIY]]),2)</f>
        <v>0</v>
      </c>
    </row>
    <row r="684" spans="1:50" x14ac:dyDescent="0.25">
      <c r="A684" s="36">
        <v>682</v>
      </c>
      <c r="C684" s="36" t="s">
        <v>239</v>
      </c>
      <c r="D6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4" s="36" t="s">
        <v>207</v>
      </c>
      <c r="F6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4" s="38">
        <v>9227</v>
      </c>
      <c r="I684" s="37" t="s">
        <v>345</v>
      </c>
      <c r="J684" s="37">
        <v>8935</v>
      </c>
      <c r="K684" s="38">
        <v>967095101</v>
      </c>
      <c r="L684" s="37" t="s">
        <v>1134</v>
      </c>
      <c r="M684" s="37" t="s">
        <v>1437</v>
      </c>
      <c r="O684" s="39" t="s">
        <v>2115</v>
      </c>
      <c r="AS684" s="48">
        <f>ROUND((Товары[[#This Row],[IRP, Eur]]*$AT$1),-2)*(1+Товары[[#This Row],[Процент повышения РРЦ]])</f>
        <v>0</v>
      </c>
      <c r="AT684" s="48"/>
      <c r="AU684" s="50">
        <f>ROUND(Товары[[#This Row],[РРЦ финальная, руб.]]/$AT$1,2)</f>
        <v>0</v>
      </c>
      <c r="AV684" s="49" t="str">
        <f>IFERROR(Товары[[#This Row],[РРЦ, евро]]/Товары[[#This Row],[IRP, Eur]],"-")</f>
        <v>-</v>
      </c>
      <c r="AX684" s="48">
        <f>ROUND(Товары[[#This Row],[РРЦ финальная, руб.]]*(1-Товары[[#This Row],[Скидка DIY]]),2)</f>
        <v>0</v>
      </c>
    </row>
    <row r="685" spans="1:50" x14ac:dyDescent="0.25">
      <c r="A685" s="36">
        <v>683</v>
      </c>
      <c r="C685" s="36" t="s">
        <v>239</v>
      </c>
      <c r="D6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5" s="36" t="s">
        <v>207</v>
      </c>
      <c r="F6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5" s="38">
        <v>9227</v>
      </c>
      <c r="I685" s="37" t="s">
        <v>343</v>
      </c>
      <c r="J685" s="37">
        <v>8952</v>
      </c>
      <c r="K685" s="38">
        <v>967095901</v>
      </c>
      <c r="L685" s="37" t="s">
        <v>1135</v>
      </c>
      <c r="M685" s="37" t="s">
        <v>1438</v>
      </c>
      <c r="O685" s="39" t="s">
        <v>2116</v>
      </c>
      <c r="AS685" s="48">
        <f>ROUND((Товары[[#This Row],[IRP, Eur]]*$AT$1),-2)*(1+Товары[[#This Row],[Процент повышения РРЦ]])</f>
        <v>0</v>
      </c>
      <c r="AT685" s="48"/>
      <c r="AU685" s="50">
        <f>ROUND(Товары[[#This Row],[РРЦ финальная, руб.]]/$AT$1,2)</f>
        <v>0</v>
      </c>
      <c r="AV685" s="49" t="str">
        <f>IFERROR(Товары[[#This Row],[РРЦ, евро]]/Товары[[#This Row],[IRP, Eur]],"-")</f>
        <v>-</v>
      </c>
      <c r="AX685" s="48">
        <f>ROUND(Товары[[#This Row],[РРЦ финальная, руб.]]*(1-Товары[[#This Row],[Скидка DIY]]),2)</f>
        <v>0</v>
      </c>
    </row>
    <row r="686" spans="1:50" x14ac:dyDescent="0.25">
      <c r="A686" s="36">
        <v>684</v>
      </c>
      <c r="C686" s="36" t="s">
        <v>239</v>
      </c>
      <c r="D6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6" s="36" t="s">
        <v>207</v>
      </c>
      <c r="F6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6" s="38">
        <v>9226</v>
      </c>
      <c r="I686" s="37" t="s">
        <v>339</v>
      </c>
      <c r="J686" s="37">
        <v>8915</v>
      </c>
      <c r="K686" s="38">
        <v>967093701</v>
      </c>
      <c r="L686" s="37" t="s">
        <v>1136</v>
      </c>
      <c r="M686" s="37" t="s">
        <v>1439</v>
      </c>
      <c r="O686" s="39" t="s">
        <v>2117</v>
      </c>
      <c r="AS686" s="48">
        <f>ROUND((Товары[[#This Row],[IRP, Eur]]*$AT$1),-2)*(1+Товары[[#This Row],[Процент повышения РРЦ]])</f>
        <v>0</v>
      </c>
      <c r="AT686" s="48"/>
      <c r="AU686" s="50">
        <f>ROUND(Товары[[#This Row],[РРЦ финальная, руб.]]/$AT$1,2)</f>
        <v>0</v>
      </c>
      <c r="AV686" s="49" t="str">
        <f>IFERROR(Товары[[#This Row],[РРЦ, евро]]/Товары[[#This Row],[IRP, Eur]],"-")</f>
        <v>-</v>
      </c>
      <c r="AX686" s="48">
        <f>ROUND(Товары[[#This Row],[РРЦ финальная, руб.]]*(1-Товары[[#This Row],[Скидка DIY]]),2)</f>
        <v>0</v>
      </c>
    </row>
    <row r="687" spans="1:50" x14ac:dyDescent="0.25">
      <c r="A687" s="36">
        <v>685</v>
      </c>
      <c r="C687" s="36" t="s">
        <v>239</v>
      </c>
      <c r="D6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7" s="36" t="s">
        <v>207</v>
      </c>
      <c r="F6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7" s="38">
        <v>9226</v>
      </c>
      <c r="I687" s="37" t="s">
        <v>339</v>
      </c>
      <c r="J687" s="37">
        <v>8911</v>
      </c>
      <c r="K687" s="38">
        <v>967093501</v>
      </c>
      <c r="L687" s="37" t="s">
        <v>1137</v>
      </c>
      <c r="M687" s="37" t="s">
        <v>1440</v>
      </c>
      <c r="O687" s="39" t="s">
        <v>2118</v>
      </c>
      <c r="AS687" s="48">
        <f>ROUND((Товары[[#This Row],[IRP, Eur]]*$AT$1),-2)*(1+Товары[[#This Row],[Процент повышения РРЦ]])</f>
        <v>0</v>
      </c>
      <c r="AT687" s="48"/>
      <c r="AU687" s="50">
        <f>ROUND(Товары[[#This Row],[РРЦ финальная, руб.]]/$AT$1,2)</f>
        <v>0</v>
      </c>
      <c r="AV687" s="49" t="str">
        <f>IFERROR(Товары[[#This Row],[РРЦ, евро]]/Товары[[#This Row],[IRP, Eur]],"-")</f>
        <v>-</v>
      </c>
      <c r="AX687" s="48">
        <f>ROUND(Товары[[#This Row],[РРЦ финальная, руб.]]*(1-Товары[[#This Row],[Скидка DIY]]),2)</f>
        <v>0</v>
      </c>
    </row>
    <row r="688" spans="1:50" x14ac:dyDescent="0.25">
      <c r="A688" s="36">
        <v>686</v>
      </c>
      <c r="C688" s="36" t="s">
        <v>239</v>
      </c>
      <c r="D6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8" s="36" t="s">
        <v>207</v>
      </c>
      <c r="F6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8" s="38">
        <v>9226</v>
      </c>
      <c r="I688" s="37" t="s">
        <v>327</v>
      </c>
      <c r="J688" s="37">
        <v>8919</v>
      </c>
      <c r="K688" s="38">
        <v>967093901</v>
      </c>
      <c r="L688" s="37" t="s">
        <v>1138</v>
      </c>
      <c r="M688" s="37" t="s">
        <v>1441</v>
      </c>
      <c r="O688" s="39" t="s">
        <v>2119</v>
      </c>
      <c r="AS688" s="48">
        <f>ROUND((Товары[[#This Row],[IRP, Eur]]*$AT$1),-2)*(1+Товары[[#This Row],[Процент повышения РРЦ]])</f>
        <v>0</v>
      </c>
      <c r="AT688" s="48"/>
      <c r="AU688" s="50">
        <f>ROUND(Товары[[#This Row],[РРЦ финальная, руб.]]/$AT$1,2)</f>
        <v>0</v>
      </c>
      <c r="AV688" s="49" t="str">
        <f>IFERROR(Товары[[#This Row],[РРЦ, евро]]/Товары[[#This Row],[IRP, Eur]],"-")</f>
        <v>-</v>
      </c>
      <c r="AX688" s="48">
        <f>ROUND(Товары[[#This Row],[РРЦ финальная, руб.]]*(1-Товары[[#This Row],[Скидка DIY]]),2)</f>
        <v>0</v>
      </c>
    </row>
    <row r="689" spans="1:50" x14ac:dyDescent="0.25">
      <c r="A689" s="36">
        <v>687</v>
      </c>
      <c r="C689" s="36" t="s">
        <v>239</v>
      </c>
      <c r="D6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9" s="36" t="s">
        <v>207</v>
      </c>
      <c r="F6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9" s="38">
        <v>9226</v>
      </c>
      <c r="I689" s="37" t="s">
        <v>341</v>
      </c>
      <c r="J689" s="37">
        <v>8921</v>
      </c>
      <c r="K689" s="38">
        <v>967094001</v>
      </c>
      <c r="L689" s="37" t="s">
        <v>1139</v>
      </c>
      <c r="M689" s="37" t="s">
        <v>1442</v>
      </c>
      <c r="O689" s="39" t="s">
        <v>2120</v>
      </c>
      <c r="AS689" s="48">
        <f>ROUND((Товары[[#This Row],[IRP, Eur]]*$AT$1),-2)*(1+Товары[[#This Row],[Процент повышения РРЦ]])</f>
        <v>0</v>
      </c>
      <c r="AT689" s="48"/>
      <c r="AU689" s="50">
        <f>ROUND(Товары[[#This Row],[РРЦ финальная, руб.]]/$AT$1,2)</f>
        <v>0</v>
      </c>
      <c r="AV689" s="49" t="str">
        <f>IFERROR(Товары[[#This Row],[РРЦ, евро]]/Товары[[#This Row],[IRP, Eur]],"-")</f>
        <v>-</v>
      </c>
      <c r="AX689" s="48">
        <f>ROUND(Товары[[#This Row],[РРЦ финальная, руб.]]*(1-Товары[[#This Row],[Скидка DIY]]),2)</f>
        <v>0</v>
      </c>
    </row>
    <row r="690" spans="1:50" x14ac:dyDescent="0.25">
      <c r="A690" s="36">
        <v>688</v>
      </c>
      <c r="C690" s="36" t="s">
        <v>239</v>
      </c>
      <c r="D6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0" s="36" t="s">
        <v>207</v>
      </c>
      <c r="F6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0" s="38">
        <v>9226</v>
      </c>
      <c r="I690" s="37" t="s">
        <v>341</v>
      </c>
      <c r="J690" s="37">
        <v>8923</v>
      </c>
      <c r="K690" s="38">
        <v>967094101</v>
      </c>
      <c r="L690" s="37" t="s">
        <v>1140</v>
      </c>
      <c r="M690" s="37" t="s">
        <v>1443</v>
      </c>
      <c r="O690" s="39" t="s">
        <v>2121</v>
      </c>
      <c r="AS690" s="48">
        <f>ROUND((Товары[[#This Row],[IRP, Eur]]*$AT$1),-2)*(1+Товары[[#This Row],[Процент повышения РРЦ]])</f>
        <v>0</v>
      </c>
      <c r="AT690" s="48"/>
      <c r="AU690" s="50">
        <f>ROUND(Товары[[#This Row],[РРЦ финальная, руб.]]/$AT$1,2)</f>
        <v>0</v>
      </c>
      <c r="AV690" s="49" t="str">
        <f>IFERROR(Товары[[#This Row],[РРЦ, евро]]/Товары[[#This Row],[IRP, Eur]],"-")</f>
        <v>-</v>
      </c>
      <c r="AX690" s="48">
        <f>ROUND(Товары[[#This Row],[РРЦ финальная, руб.]]*(1-Товары[[#This Row],[Скидка DIY]]),2)</f>
        <v>0</v>
      </c>
    </row>
    <row r="691" spans="1:50" x14ac:dyDescent="0.25">
      <c r="A691" s="36">
        <v>689</v>
      </c>
      <c r="C691" s="36" t="s">
        <v>239</v>
      </c>
      <c r="D6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1" s="36" t="s">
        <v>207</v>
      </c>
      <c r="F6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1" s="38">
        <v>9226</v>
      </c>
      <c r="I691" s="37" t="s">
        <v>345</v>
      </c>
      <c r="J691" s="37">
        <v>8927</v>
      </c>
      <c r="K691" s="38">
        <v>967094801</v>
      </c>
      <c r="L691" s="37" t="s">
        <v>1141</v>
      </c>
      <c r="M691" s="37" t="s">
        <v>1444</v>
      </c>
      <c r="O691" s="39" t="s">
        <v>2122</v>
      </c>
      <c r="AS691" s="48">
        <f>ROUND((Товары[[#This Row],[IRP, Eur]]*$AT$1),-2)*(1+Товары[[#This Row],[Процент повышения РРЦ]])</f>
        <v>0</v>
      </c>
      <c r="AT691" s="48"/>
      <c r="AU691" s="50">
        <f>ROUND(Товары[[#This Row],[РРЦ финальная, руб.]]/$AT$1,2)</f>
        <v>0</v>
      </c>
      <c r="AV691" s="49" t="str">
        <f>IFERROR(Товары[[#This Row],[РРЦ, евро]]/Товары[[#This Row],[IRP, Eur]],"-")</f>
        <v>-</v>
      </c>
      <c r="AX691" s="48">
        <f>ROUND(Товары[[#This Row],[РРЦ финальная, руб.]]*(1-Товары[[#This Row],[Скидка DIY]]),2)</f>
        <v>0</v>
      </c>
    </row>
    <row r="692" spans="1:50" x14ac:dyDescent="0.25">
      <c r="A692" s="36">
        <v>690</v>
      </c>
      <c r="C692" s="36" t="s">
        <v>239</v>
      </c>
      <c r="D6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2" s="36" t="s">
        <v>207</v>
      </c>
      <c r="F6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2" s="37" t="s">
        <v>345</v>
      </c>
      <c r="K692" s="38">
        <v>970475101</v>
      </c>
      <c r="L692" s="37" t="s">
        <v>1142</v>
      </c>
      <c r="O692" s="39" t="s">
        <v>2123</v>
      </c>
      <c r="AS692" s="48">
        <f>ROUND((Товары[[#This Row],[IRP, Eur]]*$AT$1),-2)*(1+Товары[[#This Row],[Процент повышения РРЦ]])</f>
        <v>0</v>
      </c>
      <c r="AT692" s="48"/>
      <c r="AU692" s="50">
        <f>ROUND(Товары[[#This Row],[РРЦ финальная, руб.]]/$AT$1,2)</f>
        <v>0</v>
      </c>
      <c r="AV692" s="49" t="str">
        <f>IFERROR(Товары[[#This Row],[РРЦ, евро]]/Товары[[#This Row],[IRP, Eur]],"-")</f>
        <v>-</v>
      </c>
      <c r="AX692" s="48">
        <f>ROUND(Товары[[#This Row],[РРЦ финальная, руб.]]*(1-Товары[[#This Row],[Скидка DIY]]),2)</f>
        <v>0</v>
      </c>
    </row>
    <row r="693" spans="1:50" x14ac:dyDescent="0.25">
      <c r="A693" s="36">
        <v>691</v>
      </c>
      <c r="C693" s="36" t="s">
        <v>239</v>
      </c>
      <c r="D6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3" s="36" t="s">
        <v>207</v>
      </c>
      <c r="F6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3" s="37" t="s">
        <v>345</v>
      </c>
      <c r="K693" s="38">
        <v>970475201</v>
      </c>
      <c r="L693" s="37" t="s">
        <v>1143</v>
      </c>
      <c r="O693" s="39" t="s">
        <v>2124</v>
      </c>
      <c r="AS693" s="48">
        <f>ROUND((Товары[[#This Row],[IRP, Eur]]*$AT$1),-2)*(1+Товары[[#This Row],[Процент повышения РРЦ]])</f>
        <v>0</v>
      </c>
      <c r="AT693" s="48"/>
      <c r="AU693" s="50">
        <f>ROUND(Товары[[#This Row],[РРЦ финальная, руб.]]/$AT$1,2)</f>
        <v>0</v>
      </c>
      <c r="AV693" s="49" t="str">
        <f>IFERROR(Товары[[#This Row],[РРЦ, евро]]/Товары[[#This Row],[IRP, Eur]],"-")</f>
        <v>-</v>
      </c>
      <c r="AX693" s="48">
        <f>ROUND(Товары[[#This Row],[РРЦ финальная, руб.]]*(1-Товары[[#This Row],[Скидка DIY]]),2)</f>
        <v>0</v>
      </c>
    </row>
    <row r="694" spans="1:50" x14ac:dyDescent="0.25">
      <c r="A694" s="36">
        <v>692</v>
      </c>
      <c r="C694" s="36" t="s">
        <v>239</v>
      </c>
      <c r="D6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4" s="36" t="s">
        <v>207</v>
      </c>
      <c r="F6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4" s="38">
        <v>9226</v>
      </c>
      <c r="I694" s="37" t="s">
        <v>344</v>
      </c>
      <c r="J694" s="37">
        <v>8929</v>
      </c>
      <c r="K694" s="38">
        <v>967094901</v>
      </c>
      <c r="L694" s="37" t="s">
        <v>1144</v>
      </c>
      <c r="M694" s="37" t="s">
        <v>1445</v>
      </c>
      <c r="O694" s="39" t="s">
        <v>2125</v>
      </c>
      <c r="AS694" s="48">
        <f>ROUND((Товары[[#This Row],[IRP, Eur]]*$AT$1),-2)*(1+Товары[[#This Row],[Процент повышения РРЦ]])</f>
        <v>0</v>
      </c>
      <c r="AT694" s="48"/>
      <c r="AU694" s="50">
        <f>ROUND(Товары[[#This Row],[РРЦ финальная, руб.]]/$AT$1,2)</f>
        <v>0</v>
      </c>
      <c r="AV694" s="49" t="str">
        <f>IFERROR(Товары[[#This Row],[РРЦ, евро]]/Товары[[#This Row],[IRP, Eur]],"-")</f>
        <v>-</v>
      </c>
      <c r="AX694" s="48">
        <f>ROUND(Товары[[#This Row],[РРЦ финальная, руб.]]*(1-Товары[[#This Row],[Скидка DIY]]),2)</f>
        <v>0</v>
      </c>
    </row>
    <row r="695" spans="1:50" x14ac:dyDescent="0.25">
      <c r="A695" s="36">
        <v>693</v>
      </c>
      <c r="C695" s="36" t="s">
        <v>239</v>
      </c>
      <c r="D6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5" s="36" t="s">
        <v>207</v>
      </c>
      <c r="F6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5" s="38">
        <v>9227</v>
      </c>
      <c r="I695" s="37" t="s">
        <v>339</v>
      </c>
      <c r="J695" s="37">
        <v>8955</v>
      </c>
      <c r="K695" s="38">
        <v>967096101</v>
      </c>
      <c r="L695" s="37" t="s">
        <v>1145</v>
      </c>
      <c r="O695" s="39" t="s">
        <v>2126</v>
      </c>
      <c r="AS695" s="48">
        <f>ROUND((Товары[[#This Row],[IRP, Eur]]*$AT$1),-2)*(1+Товары[[#This Row],[Процент повышения РРЦ]])</f>
        <v>0</v>
      </c>
      <c r="AT695" s="48"/>
      <c r="AU695" s="50">
        <f>ROUND(Товары[[#This Row],[РРЦ финальная, руб.]]/$AT$1,2)</f>
        <v>0</v>
      </c>
      <c r="AV695" s="49" t="str">
        <f>IFERROR(Товары[[#This Row],[РРЦ, евро]]/Товары[[#This Row],[IRP, Eur]],"-")</f>
        <v>-</v>
      </c>
      <c r="AX695" s="48">
        <f>ROUND(Товары[[#This Row],[РРЦ финальная, руб.]]*(1-Товары[[#This Row],[Скидка DIY]]),2)</f>
        <v>0</v>
      </c>
    </row>
    <row r="696" spans="1:50" x14ac:dyDescent="0.25">
      <c r="A696" s="36">
        <v>694</v>
      </c>
      <c r="C696" s="36" t="s">
        <v>239</v>
      </c>
      <c r="D6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6" s="36" t="s">
        <v>207</v>
      </c>
      <c r="F6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6" s="38">
        <v>9227</v>
      </c>
      <c r="I696" s="37" t="s">
        <v>327</v>
      </c>
      <c r="J696" s="37">
        <v>8956</v>
      </c>
      <c r="K696" s="38">
        <v>967096201</v>
      </c>
      <c r="L696" s="37" t="s">
        <v>1146</v>
      </c>
      <c r="O696" s="39" t="s">
        <v>2127</v>
      </c>
      <c r="AS696" s="48">
        <f>ROUND((Товары[[#This Row],[IRP, Eur]]*$AT$1),-2)*(1+Товары[[#This Row],[Процент повышения РРЦ]])</f>
        <v>0</v>
      </c>
      <c r="AT696" s="48"/>
      <c r="AU696" s="50">
        <f>ROUND(Товары[[#This Row],[РРЦ финальная, руб.]]/$AT$1,2)</f>
        <v>0</v>
      </c>
      <c r="AV696" s="49" t="str">
        <f>IFERROR(Товары[[#This Row],[РРЦ, евро]]/Товары[[#This Row],[IRP, Eur]],"-")</f>
        <v>-</v>
      </c>
      <c r="AX696" s="48">
        <f>ROUND(Товары[[#This Row],[РРЦ финальная, руб.]]*(1-Товары[[#This Row],[Скидка DIY]]),2)</f>
        <v>0</v>
      </c>
    </row>
    <row r="697" spans="1:50" x14ac:dyDescent="0.25">
      <c r="A697" s="36">
        <v>695</v>
      </c>
      <c r="C697" s="36" t="s">
        <v>239</v>
      </c>
      <c r="D6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7" s="36" t="s">
        <v>207</v>
      </c>
      <c r="F6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7" s="38">
        <v>9227</v>
      </c>
      <c r="I697" s="37" t="s">
        <v>341</v>
      </c>
      <c r="J697" s="37">
        <v>8957</v>
      </c>
      <c r="K697" s="38">
        <v>967096301</v>
      </c>
      <c r="L697" s="37" t="s">
        <v>1147</v>
      </c>
      <c r="O697" s="39" t="s">
        <v>2128</v>
      </c>
      <c r="AS697" s="48">
        <f>ROUND((Товары[[#This Row],[IRP, Eur]]*$AT$1),-2)*(1+Товары[[#This Row],[Процент повышения РРЦ]])</f>
        <v>0</v>
      </c>
      <c r="AT697" s="48"/>
      <c r="AU697" s="50">
        <f>ROUND(Товары[[#This Row],[РРЦ финальная, руб.]]/$AT$1,2)</f>
        <v>0</v>
      </c>
      <c r="AV697" s="49" t="str">
        <f>IFERROR(Товары[[#This Row],[РРЦ, евро]]/Товары[[#This Row],[IRP, Eur]],"-")</f>
        <v>-</v>
      </c>
      <c r="AX697" s="48">
        <f>ROUND(Товары[[#This Row],[РРЦ финальная, руб.]]*(1-Товары[[#This Row],[Скидка DIY]]),2)</f>
        <v>0</v>
      </c>
    </row>
    <row r="698" spans="1:50" x14ac:dyDescent="0.25">
      <c r="A698" s="36">
        <v>696</v>
      </c>
      <c r="C698" s="36" t="s">
        <v>239</v>
      </c>
      <c r="D6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8" s="36" t="s">
        <v>207</v>
      </c>
      <c r="F6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8" s="38">
        <v>9227</v>
      </c>
      <c r="I698" s="37" t="s">
        <v>327</v>
      </c>
      <c r="J698" s="37">
        <v>8958</v>
      </c>
      <c r="K698" s="38">
        <v>967096401</v>
      </c>
      <c r="L698" s="37" t="s">
        <v>1148</v>
      </c>
      <c r="O698" s="39" t="s">
        <v>2129</v>
      </c>
      <c r="AS698" s="48">
        <f>ROUND((Товары[[#This Row],[IRP, Eur]]*$AT$1),-2)*(1+Товары[[#This Row],[Процент повышения РРЦ]])</f>
        <v>0</v>
      </c>
      <c r="AT698" s="48"/>
      <c r="AU698" s="50">
        <f>ROUND(Товары[[#This Row],[РРЦ финальная, руб.]]/$AT$1,2)</f>
        <v>0</v>
      </c>
      <c r="AV698" s="49" t="str">
        <f>IFERROR(Товары[[#This Row],[РРЦ, евро]]/Товары[[#This Row],[IRP, Eur]],"-")</f>
        <v>-</v>
      </c>
      <c r="AX698" s="48">
        <f>ROUND(Товары[[#This Row],[РРЦ финальная, руб.]]*(1-Товары[[#This Row],[Скидка DIY]]),2)</f>
        <v>0</v>
      </c>
    </row>
    <row r="699" spans="1:50" x14ac:dyDescent="0.25">
      <c r="A699" s="36">
        <v>697</v>
      </c>
      <c r="C699" s="36" t="s">
        <v>239</v>
      </c>
      <c r="D6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9" s="36" t="s">
        <v>207</v>
      </c>
      <c r="F6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9" s="38">
        <v>9227</v>
      </c>
      <c r="I699" s="37" t="s">
        <v>344</v>
      </c>
      <c r="J699" s="37">
        <v>8953</v>
      </c>
      <c r="K699" s="38">
        <v>967096001</v>
      </c>
      <c r="L699" s="37" t="s">
        <v>1149</v>
      </c>
      <c r="O699" s="39" t="s">
        <v>2130</v>
      </c>
      <c r="AS699" s="48">
        <f>ROUND((Товары[[#This Row],[IRP, Eur]]*$AT$1),-2)*(1+Товары[[#This Row],[Процент повышения РРЦ]])</f>
        <v>0</v>
      </c>
      <c r="AT699" s="48"/>
      <c r="AU699" s="50">
        <f>ROUND(Товары[[#This Row],[РРЦ финальная, руб.]]/$AT$1,2)</f>
        <v>0</v>
      </c>
      <c r="AV699" s="49" t="str">
        <f>IFERROR(Товары[[#This Row],[РРЦ, евро]]/Товары[[#This Row],[IRP, Eur]],"-")</f>
        <v>-</v>
      </c>
      <c r="AX699" s="48">
        <f>ROUND(Товары[[#This Row],[РРЦ финальная, руб.]]*(1-Товары[[#This Row],[Скидка DIY]]),2)</f>
        <v>0</v>
      </c>
    </row>
    <row r="700" spans="1:50" x14ac:dyDescent="0.25">
      <c r="A700" s="36">
        <v>698</v>
      </c>
      <c r="C700" s="36" t="s">
        <v>239</v>
      </c>
      <c r="D7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0" s="36" t="s">
        <v>207</v>
      </c>
      <c r="F7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0" s="38">
        <v>9223</v>
      </c>
      <c r="I700" s="37" t="s">
        <v>340</v>
      </c>
      <c r="J700" s="37">
        <v>3634</v>
      </c>
      <c r="K700" s="38">
        <v>967676801</v>
      </c>
      <c r="L700" s="37" t="s">
        <v>1150</v>
      </c>
      <c r="M700" s="37" t="s">
        <v>1446</v>
      </c>
      <c r="O700" s="39" t="s">
        <v>2131</v>
      </c>
      <c r="AS700" s="48">
        <f>ROUND((Товары[[#This Row],[IRP, Eur]]*$AT$1),-2)*(1+Товары[[#This Row],[Процент повышения РРЦ]])</f>
        <v>0</v>
      </c>
      <c r="AT700" s="48"/>
      <c r="AU700" s="50">
        <f>ROUND(Товары[[#This Row],[РРЦ финальная, руб.]]/$AT$1,2)</f>
        <v>0</v>
      </c>
      <c r="AV700" s="49" t="str">
        <f>IFERROR(Товары[[#This Row],[РРЦ, евро]]/Товары[[#This Row],[IRP, Eur]],"-")</f>
        <v>-</v>
      </c>
      <c r="AX700" s="48">
        <f>ROUND(Товары[[#This Row],[РРЦ финальная, руб.]]*(1-Товары[[#This Row],[Скидка DIY]]),2)</f>
        <v>0</v>
      </c>
    </row>
    <row r="701" spans="1:50" x14ac:dyDescent="0.25">
      <c r="A701" s="36">
        <v>699</v>
      </c>
      <c r="C701" s="36" t="s">
        <v>239</v>
      </c>
      <c r="D7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1" s="36" t="s">
        <v>207</v>
      </c>
      <c r="F7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1" s="38">
        <v>9223</v>
      </c>
      <c r="I701" s="37" t="s">
        <v>346</v>
      </c>
      <c r="J701" s="37">
        <v>3651</v>
      </c>
      <c r="K701" s="38">
        <v>967676901</v>
      </c>
      <c r="L701" s="37" t="s">
        <v>1151</v>
      </c>
      <c r="M701" s="37" t="s">
        <v>1447</v>
      </c>
      <c r="O701" s="39" t="s">
        <v>2132</v>
      </c>
      <c r="AS701" s="48">
        <f>ROUND((Товары[[#This Row],[IRP, Eur]]*$AT$1),-2)*(1+Товары[[#This Row],[Процент повышения РРЦ]])</f>
        <v>0</v>
      </c>
      <c r="AT701" s="48"/>
      <c r="AU701" s="50">
        <f>ROUND(Товары[[#This Row],[РРЦ финальная, руб.]]/$AT$1,2)</f>
        <v>0</v>
      </c>
      <c r="AV701" s="49" t="str">
        <f>IFERROR(Товары[[#This Row],[РРЦ, евро]]/Товары[[#This Row],[IRP, Eur]],"-")</f>
        <v>-</v>
      </c>
      <c r="AX701" s="48">
        <f>ROUND(Товары[[#This Row],[РРЦ финальная, руб.]]*(1-Товары[[#This Row],[Скидка DIY]]),2)</f>
        <v>0</v>
      </c>
    </row>
    <row r="702" spans="1:50" x14ac:dyDescent="0.25">
      <c r="A702" s="36">
        <v>700</v>
      </c>
      <c r="C702" s="36" t="s">
        <v>239</v>
      </c>
      <c r="D7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2" s="36" t="s">
        <v>207</v>
      </c>
      <c r="F7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2" s="38">
        <v>9223</v>
      </c>
      <c r="I702" s="37" t="s">
        <v>346</v>
      </c>
      <c r="J702" s="37">
        <v>3651</v>
      </c>
      <c r="K702" s="38">
        <v>967677001</v>
      </c>
      <c r="L702" s="37" t="s">
        <v>1152</v>
      </c>
      <c r="M702" s="37" t="s">
        <v>1448</v>
      </c>
      <c r="O702" s="39" t="s">
        <v>2133</v>
      </c>
      <c r="AS702" s="48">
        <f>ROUND((Товары[[#This Row],[IRP, Eur]]*$AT$1),-2)*(1+Товары[[#This Row],[Процент повышения РРЦ]])</f>
        <v>0</v>
      </c>
      <c r="AT702" s="48"/>
      <c r="AU702" s="50">
        <f>ROUND(Товары[[#This Row],[РРЦ финальная, руб.]]/$AT$1,2)</f>
        <v>0</v>
      </c>
      <c r="AV702" s="49" t="str">
        <f>IFERROR(Товары[[#This Row],[РРЦ, евро]]/Товары[[#This Row],[IRP, Eur]],"-")</f>
        <v>-</v>
      </c>
      <c r="AX702" s="48">
        <f>ROUND(Товары[[#This Row],[РРЦ финальная, руб.]]*(1-Товары[[#This Row],[Скидка DIY]]),2)</f>
        <v>0</v>
      </c>
    </row>
    <row r="703" spans="1:50" x14ac:dyDescent="0.25">
      <c r="A703" s="36">
        <v>701</v>
      </c>
      <c r="C703" s="36" t="s">
        <v>239</v>
      </c>
      <c r="D7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3" s="36" t="s">
        <v>207</v>
      </c>
      <c r="F7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3" s="38">
        <v>9223</v>
      </c>
      <c r="I703" s="37" t="s">
        <v>347</v>
      </c>
      <c r="J703" s="37">
        <v>3605</v>
      </c>
      <c r="K703" s="38">
        <v>966642501</v>
      </c>
      <c r="L703" s="37" t="s">
        <v>1153</v>
      </c>
      <c r="O703" s="39" t="s">
        <v>2134</v>
      </c>
      <c r="AS703" s="48">
        <f>ROUND((Товары[[#This Row],[IRP, Eur]]*$AT$1),-2)*(1+Товары[[#This Row],[Процент повышения РРЦ]])</f>
        <v>0</v>
      </c>
      <c r="AT703" s="48"/>
      <c r="AU703" s="50">
        <f>ROUND(Товары[[#This Row],[РРЦ финальная, руб.]]/$AT$1,2)</f>
        <v>0</v>
      </c>
      <c r="AV703" s="49" t="str">
        <f>IFERROR(Товары[[#This Row],[РРЦ, евро]]/Товары[[#This Row],[IRP, Eur]],"-")</f>
        <v>-</v>
      </c>
      <c r="AX703" s="48">
        <f>ROUND(Товары[[#This Row],[РРЦ финальная, руб.]]*(1-Товары[[#This Row],[Скидка DIY]]),2)</f>
        <v>0</v>
      </c>
    </row>
    <row r="704" spans="1:50" x14ac:dyDescent="0.25">
      <c r="A704" s="36">
        <v>702</v>
      </c>
      <c r="C704" s="36" t="s">
        <v>239</v>
      </c>
      <c r="D7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4" s="36" t="s">
        <v>207</v>
      </c>
      <c r="F7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704" s="37" t="s">
        <v>345</v>
      </c>
      <c r="K704" s="38">
        <v>970475301</v>
      </c>
      <c r="L704" s="37" t="s">
        <v>1154</v>
      </c>
      <c r="O704" s="39" t="s">
        <v>2135</v>
      </c>
      <c r="AS704" s="48">
        <f>ROUND((Товары[[#This Row],[IRP, Eur]]*$AT$1),-2)*(1+Товары[[#This Row],[Процент повышения РРЦ]])</f>
        <v>0</v>
      </c>
      <c r="AT704" s="48"/>
      <c r="AU704" s="50">
        <f>ROUND(Товары[[#This Row],[РРЦ финальная, руб.]]/$AT$1,2)</f>
        <v>0</v>
      </c>
      <c r="AV704" s="49" t="str">
        <f>IFERROR(Товары[[#This Row],[РРЦ, евро]]/Товары[[#This Row],[IRP, Eur]],"-")</f>
        <v>-</v>
      </c>
      <c r="AX704" s="48">
        <f>ROUND(Товары[[#This Row],[РРЦ финальная, руб.]]*(1-Товары[[#This Row],[Скидка DIY]]),2)</f>
        <v>0</v>
      </c>
    </row>
    <row r="705" spans="1:50" x14ac:dyDescent="0.25">
      <c r="A705" s="36">
        <v>703</v>
      </c>
      <c r="C705" s="36" t="s">
        <v>239</v>
      </c>
      <c r="D7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5" s="36" t="s">
        <v>207</v>
      </c>
      <c r="F7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5" s="38">
        <v>9223</v>
      </c>
      <c r="I705" s="37" t="s">
        <v>340</v>
      </c>
      <c r="J705" s="37">
        <v>3609</v>
      </c>
      <c r="K705" s="38">
        <v>967676701</v>
      </c>
      <c r="L705" s="37" t="s">
        <v>1155</v>
      </c>
      <c r="M705" s="37" t="s">
        <v>1449</v>
      </c>
      <c r="O705" s="39" t="s">
        <v>2136</v>
      </c>
      <c r="AS705" s="48">
        <f>ROUND((Товары[[#This Row],[IRP, Eur]]*$AT$1),-2)*(1+Товары[[#This Row],[Процент повышения РРЦ]])</f>
        <v>0</v>
      </c>
      <c r="AT705" s="48"/>
      <c r="AU705" s="50">
        <f>ROUND(Товары[[#This Row],[РРЦ финальная, руб.]]/$AT$1,2)</f>
        <v>0</v>
      </c>
      <c r="AV705" s="49" t="str">
        <f>IFERROR(Товары[[#This Row],[РРЦ, евро]]/Товары[[#This Row],[IRP, Eur]],"-")</f>
        <v>-</v>
      </c>
      <c r="AX705" s="48">
        <f>ROUND(Товары[[#This Row],[РРЦ финальная, руб.]]*(1-Товары[[#This Row],[Скидка DIY]]),2)</f>
        <v>0</v>
      </c>
    </row>
    <row r="706" spans="1:50" x14ac:dyDescent="0.25">
      <c r="A706" s="36">
        <v>704</v>
      </c>
      <c r="C706" s="36" t="s">
        <v>239</v>
      </c>
      <c r="D7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6" s="36" t="s">
        <v>207</v>
      </c>
      <c r="F7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6" s="38">
        <v>9223</v>
      </c>
      <c r="I706" s="37" t="s">
        <v>340</v>
      </c>
      <c r="J706" s="37">
        <v>3622</v>
      </c>
      <c r="K706" s="38">
        <v>967632501</v>
      </c>
      <c r="L706" s="37" t="s">
        <v>1156</v>
      </c>
      <c r="M706" s="37" t="s">
        <v>1450</v>
      </c>
      <c r="O706" s="39" t="s">
        <v>2137</v>
      </c>
      <c r="AS706" s="48">
        <f>ROUND((Товары[[#This Row],[IRP, Eur]]*$AT$1),-2)*(1+Товары[[#This Row],[Процент повышения РРЦ]])</f>
        <v>0</v>
      </c>
      <c r="AT706" s="48"/>
      <c r="AU706" s="50">
        <f>ROUND(Товары[[#This Row],[РРЦ финальная, руб.]]/$AT$1,2)</f>
        <v>0</v>
      </c>
      <c r="AV706" s="49" t="str">
        <f>IFERROR(Товары[[#This Row],[РРЦ, евро]]/Товары[[#This Row],[IRP, Eur]],"-")</f>
        <v>-</v>
      </c>
      <c r="AX706" s="48">
        <f>ROUND(Товары[[#This Row],[РРЦ финальная, руб.]]*(1-Товары[[#This Row],[Скидка DIY]]),2)</f>
        <v>0</v>
      </c>
    </row>
    <row r="707" spans="1:50" x14ac:dyDescent="0.25">
      <c r="A707" s="36">
        <v>705</v>
      </c>
      <c r="C707" s="36" t="s">
        <v>239</v>
      </c>
      <c r="D7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7" s="36" t="s">
        <v>207</v>
      </c>
      <c r="F7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7" s="38">
        <v>9223</v>
      </c>
      <c r="I707" s="37" t="s">
        <v>348</v>
      </c>
      <c r="J707" s="37">
        <v>3622</v>
      </c>
      <c r="K707" s="38">
        <v>967632601</v>
      </c>
      <c r="L707" s="37" t="s">
        <v>1157</v>
      </c>
      <c r="O707" s="39" t="s">
        <v>2138</v>
      </c>
      <c r="AS707" s="48">
        <f>ROUND((Товары[[#This Row],[IRP, Eur]]*$AT$1),-2)*(1+Товары[[#This Row],[Процент повышения РРЦ]])</f>
        <v>0</v>
      </c>
      <c r="AT707" s="48"/>
      <c r="AU707" s="50">
        <f>ROUND(Товары[[#This Row],[РРЦ финальная, руб.]]/$AT$1,2)</f>
        <v>0</v>
      </c>
      <c r="AV707" s="49" t="str">
        <f>IFERROR(Товары[[#This Row],[РРЦ, евро]]/Товары[[#This Row],[IRP, Eur]],"-")</f>
        <v>-</v>
      </c>
      <c r="AX707" s="48">
        <f>ROUND(Товары[[#This Row],[РРЦ финальная, руб.]]*(1-Товары[[#This Row],[Скидка DIY]]),2)</f>
        <v>0</v>
      </c>
    </row>
    <row r="708" spans="1:50" x14ac:dyDescent="0.25">
      <c r="A708" s="36">
        <v>706</v>
      </c>
      <c r="C708" s="36" t="s">
        <v>239</v>
      </c>
      <c r="D7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8" s="36" t="s">
        <v>207</v>
      </c>
      <c r="F7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8" s="38">
        <v>9221</v>
      </c>
      <c r="I708" s="37" t="s">
        <v>341</v>
      </c>
      <c r="J708" s="37">
        <v>3132</v>
      </c>
      <c r="K708" s="38">
        <v>901040201</v>
      </c>
      <c r="L708" s="37" t="s">
        <v>1158</v>
      </c>
      <c r="O708" s="39" t="s">
        <v>2139</v>
      </c>
      <c r="AS708" s="48">
        <f>ROUND((Товары[[#This Row],[IRP, Eur]]*$AT$1),-2)*(1+Товары[[#This Row],[Процент повышения РРЦ]])</f>
        <v>0</v>
      </c>
      <c r="AT708" s="48"/>
      <c r="AU708" s="50">
        <f>ROUND(Товары[[#This Row],[РРЦ финальная, руб.]]/$AT$1,2)</f>
        <v>0</v>
      </c>
      <c r="AV708" s="49" t="str">
        <f>IFERROR(Товары[[#This Row],[РРЦ, евро]]/Товары[[#This Row],[IRP, Eur]],"-")</f>
        <v>-</v>
      </c>
      <c r="AX708" s="48">
        <f>ROUND(Товары[[#This Row],[РРЦ финальная, руб.]]*(1-Товары[[#This Row],[Скидка DIY]]),2)</f>
        <v>0</v>
      </c>
    </row>
    <row r="709" spans="1:50" x14ac:dyDescent="0.25">
      <c r="A709" s="36">
        <v>707</v>
      </c>
      <c r="C709" s="36" t="s">
        <v>240</v>
      </c>
      <c r="D7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9" s="36" t="s">
        <v>202</v>
      </c>
      <c r="F7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9" s="38">
        <v>9221</v>
      </c>
      <c r="I709" s="37" t="s">
        <v>345</v>
      </c>
      <c r="K709" s="38">
        <v>970474401</v>
      </c>
      <c r="L709" s="37" t="s">
        <v>1159</v>
      </c>
      <c r="O709" s="39" t="s">
        <v>2140</v>
      </c>
      <c r="AS709" s="48">
        <f>ROUND((Товары[[#This Row],[IRP, Eur]]*$AT$1),-2)*(1+Товары[[#This Row],[Процент повышения РРЦ]])</f>
        <v>0</v>
      </c>
      <c r="AT709" s="48"/>
      <c r="AU709" s="50">
        <f>ROUND(Товары[[#This Row],[РРЦ финальная, руб.]]/$AT$1,2)</f>
        <v>0</v>
      </c>
      <c r="AV709" s="49" t="str">
        <f>IFERROR(Товары[[#This Row],[РРЦ, евро]]/Товары[[#This Row],[IRP, Eur]],"-")</f>
        <v>-</v>
      </c>
      <c r="AX709" s="48">
        <f>ROUND(Товары[[#This Row],[РРЦ финальная, руб.]]*(1-Товары[[#This Row],[Скидка DIY]]),2)</f>
        <v>0</v>
      </c>
    </row>
    <row r="710" spans="1:50" x14ac:dyDescent="0.25">
      <c r="A710" s="36">
        <v>708</v>
      </c>
      <c r="C710" s="36" t="s">
        <v>239</v>
      </c>
      <c r="D7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0" s="36" t="s">
        <v>207</v>
      </c>
      <c r="F7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0" s="38">
        <v>9221</v>
      </c>
      <c r="I710" s="37" t="s">
        <v>341</v>
      </c>
      <c r="J710" s="37">
        <v>3166</v>
      </c>
      <c r="K710" s="38">
        <v>901041001</v>
      </c>
      <c r="L710" s="37" t="s">
        <v>1160</v>
      </c>
      <c r="O710" s="39" t="s">
        <v>2141</v>
      </c>
      <c r="AS710" s="48">
        <f>ROUND((Товары[[#This Row],[IRP, Eur]]*$AT$1),-2)*(1+Товары[[#This Row],[Процент повышения РРЦ]])</f>
        <v>0</v>
      </c>
      <c r="AT710" s="48"/>
      <c r="AU710" s="50">
        <f>ROUND(Товары[[#This Row],[РРЦ финальная, руб.]]/$AT$1,2)</f>
        <v>0</v>
      </c>
      <c r="AV710" s="49" t="str">
        <f>IFERROR(Товары[[#This Row],[РРЦ, евро]]/Товары[[#This Row],[IRP, Eur]],"-")</f>
        <v>-</v>
      </c>
      <c r="AX710" s="48">
        <f>ROUND(Товары[[#This Row],[РРЦ финальная, руб.]]*(1-Товары[[#This Row],[Скидка DIY]]),2)</f>
        <v>0</v>
      </c>
    </row>
    <row r="711" spans="1:50" x14ac:dyDescent="0.25">
      <c r="A711" s="36">
        <v>709</v>
      </c>
      <c r="C711" s="36" t="s">
        <v>239</v>
      </c>
      <c r="D7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1" s="36" t="s">
        <v>207</v>
      </c>
      <c r="F7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1" s="38">
        <v>9221</v>
      </c>
      <c r="I711" s="37" t="s">
        <v>339</v>
      </c>
      <c r="J711" s="37">
        <v>3112</v>
      </c>
      <c r="K711" s="38">
        <v>901039601</v>
      </c>
      <c r="L711" s="37" t="s">
        <v>1161</v>
      </c>
      <c r="O711" s="39" t="s">
        <v>2142</v>
      </c>
      <c r="AS711" s="48">
        <f>ROUND((Товары[[#This Row],[IRP, Eur]]*$AT$1),-2)*(1+Товары[[#This Row],[Процент повышения РРЦ]])</f>
        <v>0</v>
      </c>
      <c r="AT711" s="48"/>
      <c r="AU711" s="50">
        <f>ROUND(Товары[[#This Row],[РРЦ финальная, руб.]]/$AT$1,2)</f>
        <v>0</v>
      </c>
      <c r="AV711" s="49" t="str">
        <f>IFERROR(Товары[[#This Row],[РРЦ, евро]]/Товары[[#This Row],[IRP, Eur]],"-")</f>
        <v>-</v>
      </c>
      <c r="AX711" s="48">
        <f>ROUND(Товары[[#This Row],[РРЦ финальная, руб.]]*(1-Товары[[#This Row],[Скидка DIY]]),2)</f>
        <v>0</v>
      </c>
    </row>
    <row r="712" spans="1:50" x14ac:dyDescent="0.25">
      <c r="A712" s="36">
        <v>710</v>
      </c>
      <c r="C712" s="36" t="s">
        <v>239</v>
      </c>
      <c r="D7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2" s="36" t="s">
        <v>207</v>
      </c>
      <c r="F7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2" s="38">
        <v>9221</v>
      </c>
      <c r="I712" s="37" t="s">
        <v>339</v>
      </c>
      <c r="J712" s="37">
        <v>3180</v>
      </c>
      <c r="K712" s="38">
        <v>901042001</v>
      </c>
      <c r="L712" s="37" t="s">
        <v>1162</v>
      </c>
      <c r="O712" s="39" t="s">
        <v>2143</v>
      </c>
      <c r="AS712" s="48">
        <f>ROUND((Товары[[#This Row],[IRP, Eur]]*$AT$1),-2)*(1+Товары[[#This Row],[Процент повышения РРЦ]])</f>
        <v>0</v>
      </c>
      <c r="AT712" s="48"/>
      <c r="AU712" s="50">
        <f>ROUND(Товары[[#This Row],[РРЦ финальная, руб.]]/$AT$1,2)</f>
        <v>0</v>
      </c>
      <c r="AV712" s="49" t="str">
        <f>IFERROR(Товары[[#This Row],[РРЦ, евро]]/Товары[[#This Row],[IRP, Eur]],"-")</f>
        <v>-</v>
      </c>
      <c r="AX712" s="48">
        <f>ROUND(Товары[[#This Row],[РРЦ финальная, руб.]]*(1-Товары[[#This Row],[Скидка DIY]]),2)</f>
        <v>0</v>
      </c>
    </row>
    <row r="713" spans="1:50" x14ac:dyDescent="0.25">
      <c r="A713" s="36">
        <v>711</v>
      </c>
      <c r="C713" s="36" t="s">
        <v>239</v>
      </c>
      <c r="D7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3" s="36" t="s">
        <v>207</v>
      </c>
      <c r="F7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3" s="38">
        <v>9221</v>
      </c>
      <c r="I713" s="37" t="s">
        <v>339</v>
      </c>
      <c r="J713" s="37">
        <v>3189</v>
      </c>
      <c r="K713" s="38">
        <v>901042601</v>
      </c>
      <c r="L713" s="37" t="s">
        <v>1163</v>
      </c>
      <c r="O713" s="39" t="s">
        <v>2144</v>
      </c>
      <c r="AS713" s="48">
        <f>ROUND((Товары[[#This Row],[IRP, Eur]]*$AT$1),-2)*(1+Товары[[#This Row],[Процент повышения РРЦ]])</f>
        <v>0</v>
      </c>
      <c r="AT713" s="48"/>
      <c r="AU713" s="50">
        <f>ROUND(Товары[[#This Row],[РРЦ финальная, руб.]]/$AT$1,2)</f>
        <v>0</v>
      </c>
      <c r="AV713" s="49" t="str">
        <f>IFERROR(Товары[[#This Row],[РРЦ, евро]]/Товары[[#This Row],[IRP, Eur]],"-")</f>
        <v>-</v>
      </c>
      <c r="AX713" s="48">
        <f>ROUND(Товары[[#This Row],[РРЦ финальная, руб.]]*(1-Товары[[#This Row],[Скидка DIY]]),2)</f>
        <v>0</v>
      </c>
    </row>
    <row r="714" spans="1:50" x14ac:dyDescent="0.25">
      <c r="A714" s="36">
        <v>712</v>
      </c>
      <c r="C714" s="36" t="s">
        <v>239</v>
      </c>
      <c r="D7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4" s="36" t="s">
        <v>207</v>
      </c>
      <c r="F7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4" s="38">
        <v>9221</v>
      </c>
      <c r="I714" s="37" t="s">
        <v>339</v>
      </c>
      <c r="J714" s="37">
        <v>3192</v>
      </c>
      <c r="K714" s="38">
        <v>901042901</v>
      </c>
      <c r="L714" s="37" t="s">
        <v>1164</v>
      </c>
      <c r="O714" s="39" t="s">
        <v>2145</v>
      </c>
      <c r="AS714" s="48">
        <f>ROUND((Товары[[#This Row],[IRP, Eur]]*$AT$1),-2)*(1+Товары[[#This Row],[Процент повышения РРЦ]])</f>
        <v>0</v>
      </c>
      <c r="AT714" s="48"/>
      <c r="AU714" s="50">
        <f>ROUND(Товары[[#This Row],[РРЦ финальная, руб.]]/$AT$1,2)</f>
        <v>0</v>
      </c>
      <c r="AV714" s="49" t="str">
        <f>IFERROR(Товары[[#This Row],[РРЦ, евро]]/Товары[[#This Row],[IRP, Eur]],"-")</f>
        <v>-</v>
      </c>
      <c r="AX714" s="48">
        <f>ROUND(Товары[[#This Row],[РРЦ финальная, руб.]]*(1-Товары[[#This Row],[Скидка DIY]]),2)</f>
        <v>0</v>
      </c>
    </row>
    <row r="715" spans="1:50" x14ac:dyDescent="0.25">
      <c r="A715" s="36">
        <v>713</v>
      </c>
      <c r="C715" s="36" t="s">
        <v>239</v>
      </c>
      <c r="D7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5" s="36" t="s">
        <v>207</v>
      </c>
      <c r="F7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5" s="38">
        <v>9221</v>
      </c>
      <c r="I715" s="37" t="s">
        <v>327</v>
      </c>
      <c r="J715" s="37">
        <v>3176</v>
      </c>
      <c r="K715" s="38">
        <v>901041301</v>
      </c>
      <c r="L715" s="37" t="s">
        <v>1165</v>
      </c>
      <c r="O715" s="39" t="s">
        <v>2146</v>
      </c>
      <c r="AS715" s="48">
        <f>ROUND((Товары[[#This Row],[IRP, Eur]]*$AT$1),-2)*(1+Товары[[#This Row],[Процент повышения РРЦ]])</f>
        <v>0</v>
      </c>
      <c r="AT715" s="48"/>
      <c r="AU715" s="50">
        <f>ROUND(Товары[[#This Row],[РРЦ финальная, руб.]]/$AT$1,2)</f>
        <v>0</v>
      </c>
      <c r="AV715" s="49" t="str">
        <f>IFERROR(Товары[[#This Row],[РРЦ, евро]]/Товары[[#This Row],[IRP, Eur]],"-")</f>
        <v>-</v>
      </c>
      <c r="AX715" s="48">
        <f>ROUND(Товары[[#This Row],[РРЦ финальная, руб.]]*(1-Товары[[#This Row],[Скидка DIY]]),2)</f>
        <v>0</v>
      </c>
    </row>
    <row r="716" spans="1:50" x14ac:dyDescent="0.25">
      <c r="A716" s="36">
        <v>714</v>
      </c>
      <c r="C716" s="36" t="s">
        <v>239</v>
      </c>
      <c r="D7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6" s="36" t="s">
        <v>207</v>
      </c>
      <c r="F7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6" s="38">
        <v>9221</v>
      </c>
      <c r="I716" s="37" t="s">
        <v>327</v>
      </c>
      <c r="J716" s="37">
        <v>3179</v>
      </c>
      <c r="K716" s="38">
        <v>901041901</v>
      </c>
      <c r="L716" s="37" t="s">
        <v>1166</v>
      </c>
      <c r="O716" s="39" t="s">
        <v>2147</v>
      </c>
      <c r="AS716" s="48">
        <f>ROUND((Товары[[#This Row],[IRP, Eur]]*$AT$1),-2)*(1+Товары[[#This Row],[Процент повышения РРЦ]])</f>
        <v>0</v>
      </c>
      <c r="AT716" s="48"/>
      <c r="AU716" s="50">
        <f>ROUND(Товары[[#This Row],[РРЦ финальная, руб.]]/$AT$1,2)</f>
        <v>0</v>
      </c>
      <c r="AV716" s="49" t="str">
        <f>IFERROR(Товары[[#This Row],[РРЦ, евро]]/Товары[[#This Row],[IRP, Eur]],"-")</f>
        <v>-</v>
      </c>
      <c r="AX716" s="48">
        <f>ROUND(Товары[[#This Row],[РРЦ финальная, руб.]]*(1-Товары[[#This Row],[Скидка DIY]]),2)</f>
        <v>0</v>
      </c>
    </row>
    <row r="717" spans="1:50" x14ac:dyDescent="0.25">
      <c r="A717" s="36">
        <v>715</v>
      </c>
      <c r="C717" s="36" t="s">
        <v>239</v>
      </c>
      <c r="D7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7" s="36" t="s">
        <v>207</v>
      </c>
      <c r="F7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7" s="38">
        <v>9221</v>
      </c>
      <c r="I717" s="37" t="s">
        <v>327</v>
      </c>
      <c r="J717" s="37">
        <v>3168</v>
      </c>
      <c r="K717" s="38">
        <v>901041201</v>
      </c>
      <c r="L717" s="37" t="s">
        <v>1167</v>
      </c>
      <c r="O717" s="39" t="s">
        <v>2148</v>
      </c>
      <c r="AS717" s="48">
        <f>ROUND((Товары[[#This Row],[IRP, Eur]]*$AT$1),-2)*(1+Товары[[#This Row],[Процент повышения РРЦ]])</f>
        <v>0</v>
      </c>
      <c r="AT717" s="48"/>
      <c r="AU717" s="50">
        <f>ROUND(Товары[[#This Row],[РРЦ финальная, руб.]]/$AT$1,2)</f>
        <v>0</v>
      </c>
      <c r="AV717" s="49" t="str">
        <f>IFERROR(Товары[[#This Row],[РРЦ, евро]]/Товары[[#This Row],[IRP, Eur]],"-")</f>
        <v>-</v>
      </c>
      <c r="AX717" s="48">
        <f>ROUND(Товары[[#This Row],[РРЦ финальная, руб.]]*(1-Товары[[#This Row],[Скидка DIY]]),2)</f>
        <v>0</v>
      </c>
    </row>
    <row r="718" spans="1:50" x14ac:dyDescent="0.25">
      <c r="A718" s="36">
        <v>716</v>
      </c>
      <c r="C718" s="36" t="s">
        <v>239</v>
      </c>
      <c r="D7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8" s="36" t="s">
        <v>207</v>
      </c>
      <c r="F7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8" s="38">
        <v>9221</v>
      </c>
      <c r="I718" s="37" t="s">
        <v>327</v>
      </c>
      <c r="J718" s="37">
        <v>3120</v>
      </c>
      <c r="K718" s="38">
        <v>967977101</v>
      </c>
      <c r="L718" s="37" t="s">
        <v>1168</v>
      </c>
      <c r="O718" s="39" t="s">
        <v>2149</v>
      </c>
      <c r="AS718" s="48">
        <f>ROUND((Товары[[#This Row],[IRP, Eur]]*$AT$1),-2)*(1+Товары[[#This Row],[Процент повышения РРЦ]])</f>
        <v>0</v>
      </c>
      <c r="AT718" s="48"/>
      <c r="AU718" s="50">
        <f>ROUND(Товары[[#This Row],[РРЦ финальная, руб.]]/$AT$1,2)</f>
        <v>0</v>
      </c>
      <c r="AV718" s="49" t="str">
        <f>IFERROR(Товары[[#This Row],[РРЦ, евро]]/Товары[[#This Row],[IRP, Eur]],"-")</f>
        <v>-</v>
      </c>
      <c r="AX718" s="48">
        <f>ROUND(Товары[[#This Row],[РРЦ финальная, руб.]]*(1-Товары[[#This Row],[Скидка DIY]]),2)</f>
        <v>0</v>
      </c>
    </row>
    <row r="719" spans="1:50" x14ac:dyDescent="0.25">
      <c r="A719" s="36">
        <v>717</v>
      </c>
      <c r="C719" s="36" t="s">
        <v>239</v>
      </c>
      <c r="D7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9" s="36" t="s">
        <v>207</v>
      </c>
      <c r="F7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9" s="38">
        <v>9221</v>
      </c>
      <c r="I719" s="37" t="s">
        <v>349</v>
      </c>
      <c r="J719" s="37">
        <v>3196</v>
      </c>
      <c r="K719" s="38">
        <v>901043201</v>
      </c>
      <c r="L719" s="37" t="s">
        <v>1169</v>
      </c>
      <c r="O719" s="39" t="s">
        <v>2150</v>
      </c>
      <c r="AS719" s="48">
        <f>ROUND((Товары[[#This Row],[IRP, Eur]]*$AT$1),-2)*(1+Товары[[#This Row],[Процент повышения РРЦ]])</f>
        <v>0</v>
      </c>
      <c r="AT719" s="48"/>
      <c r="AU719" s="50">
        <f>ROUND(Товары[[#This Row],[РРЦ финальная, руб.]]/$AT$1,2)</f>
        <v>0</v>
      </c>
      <c r="AV719" s="49" t="str">
        <f>IFERROR(Товары[[#This Row],[РРЦ, евро]]/Товары[[#This Row],[IRP, Eur]],"-")</f>
        <v>-</v>
      </c>
      <c r="AX719" s="48">
        <f>ROUND(Товары[[#This Row],[РРЦ финальная, руб.]]*(1-Товары[[#This Row],[Скидка DIY]]),2)</f>
        <v>0</v>
      </c>
    </row>
    <row r="720" spans="1:50" x14ac:dyDescent="0.25">
      <c r="A720" s="36">
        <v>718</v>
      </c>
      <c r="C720" s="36" t="s">
        <v>239</v>
      </c>
      <c r="D7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0" s="36" t="s">
        <v>207</v>
      </c>
      <c r="F7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0" s="38">
        <v>9221</v>
      </c>
      <c r="I720" s="37" t="s">
        <v>339</v>
      </c>
      <c r="J720" s="37">
        <v>3215</v>
      </c>
      <c r="K720" s="38">
        <v>901044101</v>
      </c>
      <c r="L720" s="37" t="s">
        <v>1170</v>
      </c>
      <c r="O720" s="39" t="s">
        <v>2151</v>
      </c>
      <c r="AS720" s="48">
        <f>ROUND((Товары[[#This Row],[IRP, Eur]]*$AT$1),-2)*(1+Товары[[#This Row],[Процент повышения РРЦ]])</f>
        <v>0</v>
      </c>
      <c r="AT720" s="48"/>
      <c r="AU720" s="50">
        <f>ROUND(Товары[[#This Row],[РРЦ финальная, руб.]]/$AT$1,2)</f>
        <v>0</v>
      </c>
      <c r="AV720" s="49" t="str">
        <f>IFERROR(Товары[[#This Row],[РРЦ, евро]]/Товары[[#This Row],[IRP, Eur]],"-")</f>
        <v>-</v>
      </c>
      <c r="AX720" s="48">
        <f>ROUND(Товары[[#This Row],[РРЦ финальная, руб.]]*(1-Товары[[#This Row],[Скидка DIY]]),2)</f>
        <v>0</v>
      </c>
    </row>
    <row r="721" spans="1:50" x14ac:dyDescent="0.25">
      <c r="A721" s="36">
        <v>719</v>
      </c>
      <c r="C721" s="36" t="s">
        <v>239</v>
      </c>
      <c r="D7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1" s="36" t="s">
        <v>207</v>
      </c>
      <c r="F7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1" s="38">
        <v>9221</v>
      </c>
      <c r="I721" s="37" t="s">
        <v>339</v>
      </c>
      <c r="J721" s="37">
        <v>3219</v>
      </c>
      <c r="K721" s="38">
        <v>966641801</v>
      </c>
      <c r="L721" s="37" t="s">
        <v>1171</v>
      </c>
      <c r="O721" s="39" t="s">
        <v>2152</v>
      </c>
      <c r="AS721" s="48">
        <f>ROUND((Товары[[#This Row],[IRP, Eur]]*$AT$1),-2)*(1+Товары[[#This Row],[Процент повышения РРЦ]])</f>
        <v>0</v>
      </c>
      <c r="AT721" s="48"/>
      <c r="AU721" s="50">
        <f>ROUND(Товары[[#This Row],[РРЦ финальная, руб.]]/$AT$1,2)</f>
        <v>0</v>
      </c>
      <c r="AV721" s="49" t="str">
        <f>IFERROR(Товары[[#This Row],[РРЦ, евро]]/Товары[[#This Row],[IRP, Eur]],"-")</f>
        <v>-</v>
      </c>
      <c r="AX721" s="48">
        <f>ROUND(Товары[[#This Row],[РРЦ финальная, руб.]]*(1-Товары[[#This Row],[Скидка DIY]]),2)</f>
        <v>0</v>
      </c>
    </row>
    <row r="722" spans="1:50" x14ac:dyDescent="0.25">
      <c r="A722" s="36">
        <v>720</v>
      </c>
      <c r="C722" s="36" t="s">
        <v>239</v>
      </c>
      <c r="D7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2" s="36" t="s">
        <v>207</v>
      </c>
      <c r="F7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2" s="38">
        <v>9221</v>
      </c>
      <c r="I722" s="37" t="s">
        <v>348</v>
      </c>
      <c r="J722" s="37">
        <v>3024</v>
      </c>
      <c r="K722" s="38">
        <v>901034801</v>
      </c>
      <c r="L722" s="37" t="s">
        <v>1172</v>
      </c>
      <c r="O722" s="39" t="s">
        <v>2153</v>
      </c>
      <c r="AS722" s="48">
        <f>ROUND((Товары[[#This Row],[IRP, Eur]]*$AT$1),-2)*(1+Товары[[#This Row],[Процент повышения РРЦ]])</f>
        <v>0</v>
      </c>
      <c r="AT722" s="48"/>
      <c r="AU722" s="50">
        <f>ROUND(Товары[[#This Row],[РРЦ финальная, руб.]]/$AT$1,2)</f>
        <v>0</v>
      </c>
      <c r="AV722" s="49" t="str">
        <f>IFERROR(Товары[[#This Row],[РРЦ, евро]]/Товары[[#This Row],[IRP, Eur]],"-")</f>
        <v>-</v>
      </c>
      <c r="AX722" s="48">
        <f>ROUND(Товары[[#This Row],[РРЦ финальная, руб.]]*(1-Товары[[#This Row],[Скидка DIY]]),2)</f>
        <v>0</v>
      </c>
    </row>
    <row r="723" spans="1:50" x14ac:dyDescent="0.25">
      <c r="A723" s="36">
        <v>721</v>
      </c>
      <c r="C723" s="36" t="s">
        <v>239</v>
      </c>
      <c r="D7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3" s="36" t="s">
        <v>207</v>
      </c>
      <c r="F7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3" s="38">
        <v>9221</v>
      </c>
      <c r="I723" s="37" t="s">
        <v>350</v>
      </c>
      <c r="J723" s="37">
        <v>3115</v>
      </c>
      <c r="K723" s="38">
        <v>967676501</v>
      </c>
      <c r="L723" s="37" t="s">
        <v>1173</v>
      </c>
      <c r="M723" s="37" t="s">
        <v>1451</v>
      </c>
      <c r="O723" s="39" t="s">
        <v>2154</v>
      </c>
      <c r="AS723" s="48">
        <f>ROUND((Товары[[#This Row],[IRP, Eur]]*$AT$1),-2)*(1+Товары[[#This Row],[Процент повышения РРЦ]])</f>
        <v>0</v>
      </c>
      <c r="AT723" s="48"/>
      <c r="AU723" s="50">
        <f>ROUND(Товары[[#This Row],[РРЦ финальная, руб.]]/$AT$1,2)</f>
        <v>0</v>
      </c>
      <c r="AV723" s="49" t="str">
        <f>IFERROR(Товары[[#This Row],[РРЦ, евро]]/Товары[[#This Row],[IRP, Eur]],"-")</f>
        <v>-</v>
      </c>
      <c r="AX723" s="48">
        <f>ROUND(Товары[[#This Row],[РРЦ финальная, руб.]]*(1-Товары[[#This Row],[Скидка DIY]]),2)</f>
        <v>0</v>
      </c>
    </row>
    <row r="724" spans="1:50" x14ac:dyDescent="0.25">
      <c r="A724" s="36">
        <v>722</v>
      </c>
      <c r="C724" s="36" t="s">
        <v>239</v>
      </c>
      <c r="D7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4" s="36" t="s">
        <v>207</v>
      </c>
      <c r="F7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4" s="38">
        <v>9221</v>
      </c>
      <c r="I724" s="37" t="s">
        <v>348</v>
      </c>
      <c r="J724" s="37">
        <v>3115</v>
      </c>
      <c r="K724" s="38">
        <v>967676601</v>
      </c>
      <c r="L724" s="37" t="s">
        <v>1174</v>
      </c>
      <c r="M724" s="37" t="s">
        <v>1452</v>
      </c>
      <c r="O724" s="39" t="s">
        <v>2155</v>
      </c>
      <c r="AS724" s="48">
        <f>ROUND((Товары[[#This Row],[IRP, Eur]]*$AT$1),-2)*(1+Товары[[#This Row],[Процент повышения РРЦ]])</f>
        <v>0</v>
      </c>
      <c r="AT724" s="48"/>
      <c r="AU724" s="50">
        <f>ROUND(Товары[[#This Row],[РРЦ финальная, руб.]]/$AT$1,2)</f>
        <v>0</v>
      </c>
      <c r="AV724" s="49" t="str">
        <f>IFERROR(Товары[[#This Row],[РРЦ, евро]]/Товары[[#This Row],[IRP, Eur]],"-")</f>
        <v>-</v>
      </c>
      <c r="AX724" s="48">
        <f>ROUND(Товары[[#This Row],[РРЦ финальная, руб.]]*(1-Товары[[#This Row],[Скидка DIY]]),2)</f>
        <v>0</v>
      </c>
    </row>
    <row r="725" spans="1:50" x14ac:dyDescent="0.25">
      <c r="A725" s="36">
        <v>723</v>
      </c>
      <c r="C725" s="36" t="s">
        <v>239</v>
      </c>
      <c r="D7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5" s="36" t="s">
        <v>207</v>
      </c>
      <c r="F7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5" s="38">
        <v>9221</v>
      </c>
      <c r="I725" s="37" t="s">
        <v>350</v>
      </c>
      <c r="J725" s="37">
        <v>3108</v>
      </c>
      <c r="K725" s="38">
        <v>967635101</v>
      </c>
      <c r="L725" s="37" t="s">
        <v>1175</v>
      </c>
      <c r="O725" s="39" t="s">
        <v>2156</v>
      </c>
      <c r="AS725" s="48">
        <f>ROUND((Товары[[#This Row],[IRP, Eur]]*$AT$1),-2)*(1+Товары[[#This Row],[Процент повышения РРЦ]])</f>
        <v>0</v>
      </c>
      <c r="AT725" s="48"/>
      <c r="AU725" s="50">
        <f>ROUND(Товары[[#This Row],[РРЦ финальная, руб.]]/$AT$1,2)</f>
        <v>0</v>
      </c>
      <c r="AV725" s="49" t="str">
        <f>IFERROR(Товары[[#This Row],[РРЦ, евро]]/Товары[[#This Row],[IRP, Eur]],"-")</f>
        <v>-</v>
      </c>
      <c r="AX725" s="48">
        <f>ROUND(Товары[[#This Row],[РРЦ финальная, руб.]]*(1-Товары[[#This Row],[Скидка DIY]]),2)</f>
        <v>0</v>
      </c>
    </row>
    <row r="726" spans="1:50" x14ac:dyDescent="0.25">
      <c r="A726" s="36">
        <v>724</v>
      </c>
      <c r="C726" s="36" t="s">
        <v>239</v>
      </c>
      <c r="D7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6" s="36" t="s">
        <v>207</v>
      </c>
      <c r="F7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6" s="38">
        <v>9222</v>
      </c>
      <c r="I726" s="37" t="s">
        <v>327</v>
      </c>
      <c r="J726" s="37">
        <v>3100</v>
      </c>
      <c r="K726" s="38">
        <v>901038301</v>
      </c>
      <c r="L726" s="37" t="s">
        <v>1176</v>
      </c>
      <c r="O726" s="39" t="s">
        <v>2157</v>
      </c>
      <c r="AS726" s="48">
        <f>ROUND((Товары[[#This Row],[IRP, Eur]]*$AT$1),-2)*(1+Товары[[#This Row],[Процент повышения РРЦ]])</f>
        <v>0</v>
      </c>
      <c r="AT726" s="48"/>
      <c r="AU726" s="50">
        <f>ROUND(Товары[[#This Row],[РРЦ финальная, руб.]]/$AT$1,2)</f>
        <v>0</v>
      </c>
      <c r="AV726" s="49" t="str">
        <f>IFERROR(Товары[[#This Row],[РРЦ, евро]]/Товары[[#This Row],[IRP, Eur]],"-")</f>
        <v>-</v>
      </c>
      <c r="AX726" s="48">
        <f>ROUND(Товары[[#This Row],[РРЦ финальная, руб.]]*(1-Товары[[#This Row],[Скидка DIY]]),2)</f>
        <v>0</v>
      </c>
    </row>
    <row r="727" spans="1:50" x14ac:dyDescent="0.25">
      <c r="A727" s="36">
        <v>725</v>
      </c>
      <c r="C727" s="36" t="s">
        <v>239</v>
      </c>
      <c r="D7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7" s="36" t="s">
        <v>207</v>
      </c>
      <c r="F7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7" s="38">
        <v>9222</v>
      </c>
      <c r="I727" s="37" t="s">
        <v>327</v>
      </c>
      <c r="J727" s="37">
        <v>3107</v>
      </c>
      <c r="K727" s="38">
        <v>966641601</v>
      </c>
      <c r="L727" s="37" t="s">
        <v>1177</v>
      </c>
      <c r="O727" s="39" t="s">
        <v>2158</v>
      </c>
      <c r="AS727" s="48">
        <f>ROUND((Товары[[#This Row],[IRP, Eur]]*$AT$1),-2)*(1+Товары[[#This Row],[Процент повышения РРЦ]])</f>
        <v>0</v>
      </c>
      <c r="AT727" s="48"/>
      <c r="AU727" s="50">
        <f>ROUND(Товары[[#This Row],[РРЦ финальная, руб.]]/$AT$1,2)</f>
        <v>0</v>
      </c>
      <c r="AV727" s="49" t="str">
        <f>IFERROR(Товары[[#This Row],[РРЦ, евро]]/Товары[[#This Row],[IRP, Eur]],"-")</f>
        <v>-</v>
      </c>
      <c r="AX727" s="48">
        <f>ROUND(Товары[[#This Row],[РРЦ финальная, руб.]]*(1-Товары[[#This Row],[Скидка DIY]]),2)</f>
        <v>0</v>
      </c>
    </row>
    <row r="728" spans="1:50" x14ac:dyDescent="0.25">
      <c r="A728" s="36">
        <v>726</v>
      </c>
      <c r="C728" s="36" t="s">
        <v>239</v>
      </c>
      <c r="D7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8" s="36" t="s">
        <v>207</v>
      </c>
      <c r="F7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8" s="38">
        <v>9222</v>
      </c>
      <c r="I728" s="37" t="s">
        <v>327</v>
      </c>
      <c r="J728" s="37">
        <v>3103</v>
      </c>
      <c r="K728" s="38">
        <v>901038801</v>
      </c>
      <c r="L728" s="37" t="s">
        <v>1178</v>
      </c>
      <c r="O728" s="39" t="s">
        <v>2159</v>
      </c>
      <c r="AS728" s="48">
        <f>ROUND((Товары[[#This Row],[IRP, Eur]]*$AT$1),-2)*(1+Товары[[#This Row],[Процент повышения РРЦ]])</f>
        <v>0</v>
      </c>
      <c r="AT728" s="48"/>
      <c r="AU728" s="50">
        <f>ROUND(Товары[[#This Row],[РРЦ финальная, руб.]]/$AT$1,2)</f>
        <v>0</v>
      </c>
      <c r="AV728" s="49" t="str">
        <f>IFERROR(Товары[[#This Row],[РРЦ, евро]]/Товары[[#This Row],[IRP, Eur]],"-")</f>
        <v>-</v>
      </c>
      <c r="AX728" s="48">
        <f>ROUND(Товары[[#This Row],[РРЦ финальная, руб.]]*(1-Товары[[#This Row],[Скидка DIY]]),2)</f>
        <v>0</v>
      </c>
    </row>
    <row r="729" spans="1:50" x14ac:dyDescent="0.25">
      <c r="A729" s="36">
        <v>727</v>
      </c>
      <c r="C729" s="36" t="s">
        <v>239</v>
      </c>
      <c r="D7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9" s="36" t="s">
        <v>207</v>
      </c>
      <c r="F7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9" s="38">
        <v>9222</v>
      </c>
      <c r="I729" s="37" t="s">
        <v>327</v>
      </c>
      <c r="J729" s="37">
        <v>3099</v>
      </c>
      <c r="K729" s="38">
        <v>967632301</v>
      </c>
      <c r="L729" s="37" t="s">
        <v>1179</v>
      </c>
      <c r="M729" s="37" t="s">
        <v>1453</v>
      </c>
      <c r="O729" s="39" t="s">
        <v>2160</v>
      </c>
      <c r="AS729" s="48">
        <f>ROUND((Товары[[#This Row],[IRP, Eur]]*$AT$1),-2)*(1+Товары[[#This Row],[Процент повышения РРЦ]])</f>
        <v>0</v>
      </c>
      <c r="AT729" s="48"/>
      <c r="AU729" s="50">
        <f>ROUND(Товары[[#This Row],[РРЦ финальная, руб.]]/$AT$1,2)</f>
        <v>0</v>
      </c>
      <c r="AV729" s="49" t="str">
        <f>IFERROR(Товары[[#This Row],[РРЦ, евро]]/Товары[[#This Row],[IRP, Eur]],"-")</f>
        <v>-</v>
      </c>
      <c r="AX729" s="48">
        <f>ROUND(Товары[[#This Row],[РРЦ финальная, руб.]]*(1-Товары[[#This Row],[Скидка DIY]]),2)</f>
        <v>0</v>
      </c>
    </row>
    <row r="730" spans="1:50" x14ac:dyDescent="0.25">
      <c r="A730" s="36">
        <v>728</v>
      </c>
      <c r="C730" s="36" t="s">
        <v>239</v>
      </c>
      <c r="D7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0" s="36" t="s">
        <v>207</v>
      </c>
      <c r="F7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0" s="38">
        <v>9222</v>
      </c>
      <c r="I730" s="37" t="s">
        <v>327</v>
      </c>
      <c r="J730" s="37">
        <v>3101</v>
      </c>
      <c r="K730" s="38">
        <v>901038501</v>
      </c>
      <c r="L730" s="37" t="s">
        <v>1180</v>
      </c>
      <c r="O730" s="39" t="s">
        <v>2161</v>
      </c>
      <c r="AS730" s="48">
        <f>ROUND((Товары[[#This Row],[IRP, Eur]]*$AT$1),-2)*(1+Товары[[#This Row],[Процент повышения РРЦ]])</f>
        <v>0</v>
      </c>
      <c r="AT730" s="48"/>
      <c r="AU730" s="50">
        <f>ROUND(Товары[[#This Row],[РРЦ финальная, руб.]]/$AT$1,2)</f>
        <v>0</v>
      </c>
      <c r="AV730" s="49" t="str">
        <f>IFERROR(Товары[[#This Row],[РРЦ, евро]]/Товары[[#This Row],[IRP, Eur]],"-")</f>
        <v>-</v>
      </c>
      <c r="AX730" s="48">
        <f>ROUND(Товары[[#This Row],[РРЦ финальная, руб.]]*(1-Товары[[#This Row],[Скидка DIY]]),2)</f>
        <v>0</v>
      </c>
    </row>
    <row r="731" spans="1:50" x14ac:dyDescent="0.25">
      <c r="A731" s="36">
        <v>729</v>
      </c>
      <c r="C731" s="36" t="s">
        <v>239</v>
      </c>
      <c r="D7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1" s="36" t="s">
        <v>207</v>
      </c>
      <c r="F7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1" s="38">
        <v>9222</v>
      </c>
      <c r="I731" s="37" t="s">
        <v>327</v>
      </c>
      <c r="J731" s="37">
        <v>3381</v>
      </c>
      <c r="K731" s="38">
        <v>901044901</v>
      </c>
      <c r="L731" s="37" t="s">
        <v>1181</v>
      </c>
      <c r="O731" s="39" t="s">
        <v>2162</v>
      </c>
      <c r="AS731" s="48">
        <f>ROUND((Товары[[#This Row],[IRP, Eur]]*$AT$1),-2)*(1+Товары[[#This Row],[Процент повышения РРЦ]])</f>
        <v>0</v>
      </c>
      <c r="AT731" s="48"/>
      <c r="AU731" s="50">
        <f>ROUND(Товары[[#This Row],[РРЦ финальная, руб.]]/$AT$1,2)</f>
        <v>0</v>
      </c>
      <c r="AV731" s="49" t="str">
        <f>IFERROR(Товары[[#This Row],[РРЦ, евро]]/Товары[[#This Row],[IRP, Eur]],"-")</f>
        <v>-</v>
      </c>
      <c r="AX731" s="48">
        <f>ROUND(Товары[[#This Row],[РРЦ финальная, руб.]]*(1-Товары[[#This Row],[Скидка DIY]]),2)</f>
        <v>0</v>
      </c>
    </row>
    <row r="732" spans="1:50" x14ac:dyDescent="0.25">
      <c r="A732" s="36">
        <v>730</v>
      </c>
      <c r="C732" s="36" t="s">
        <v>239</v>
      </c>
      <c r="D7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2" s="36" t="s">
        <v>207</v>
      </c>
      <c r="F7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2" s="38">
        <v>9222</v>
      </c>
      <c r="I732" s="37" t="s">
        <v>327</v>
      </c>
      <c r="J732" s="37">
        <v>3395</v>
      </c>
      <c r="K732" s="38">
        <v>901045501</v>
      </c>
      <c r="L732" s="37" t="s">
        <v>1182</v>
      </c>
      <c r="O732" s="39" t="s">
        <v>2163</v>
      </c>
      <c r="AS732" s="48">
        <f>ROUND((Товары[[#This Row],[IRP, Eur]]*$AT$1),-2)*(1+Товары[[#This Row],[Процент повышения РРЦ]])</f>
        <v>0</v>
      </c>
      <c r="AT732" s="48"/>
      <c r="AU732" s="50">
        <f>ROUND(Товары[[#This Row],[РРЦ финальная, руб.]]/$AT$1,2)</f>
        <v>0</v>
      </c>
      <c r="AV732" s="49" t="str">
        <f>IFERROR(Товары[[#This Row],[РРЦ, евро]]/Товары[[#This Row],[IRP, Eur]],"-")</f>
        <v>-</v>
      </c>
      <c r="AX732" s="48">
        <f>ROUND(Товары[[#This Row],[РРЦ финальная, руб.]]*(1-Товары[[#This Row],[Скидка DIY]]),2)</f>
        <v>0</v>
      </c>
    </row>
    <row r="733" spans="1:50" x14ac:dyDescent="0.25">
      <c r="A733" s="36">
        <v>731</v>
      </c>
      <c r="C733" s="36" t="s">
        <v>239</v>
      </c>
      <c r="D7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3" s="36" t="s">
        <v>207</v>
      </c>
      <c r="F7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3" s="38">
        <v>9222</v>
      </c>
      <c r="I733" s="37" t="s">
        <v>327</v>
      </c>
      <c r="J733" s="37">
        <v>3391</v>
      </c>
      <c r="K733" s="38">
        <v>901045101</v>
      </c>
      <c r="L733" s="37" t="s">
        <v>1183</v>
      </c>
      <c r="O733" s="39" t="s">
        <v>2164</v>
      </c>
      <c r="AS733" s="48">
        <f>ROUND((Товары[[#This Row],[IRP, Eur]]*$AT$1),-2)*(1+Товары[[#This Row],[Процент повышения РРЦ]])</f>
        <v>0</v>
      </c>
      <c r="AT733" s="48"/>
      <c r="AU733" s="50">
        <f>ROUND(Товары[[#This Row],[РРЦ финальная, руб.]]/$AT$1,2)</f>
        <v>0</v>
      </c>
      <c r="AV733" s="49" t="str">
        <f>IFERROR(Товары[[#This Row],[РРЦ, евро]]/Товары[[#This Row],[IRP, Eur]],"-")</f>
        <v>-</v>
      </c>
      <c r="AX733" s="48">
        <f>ROUND(Товары[[#This Row],[РРЦ финальная, руб.]]*(1-Товары[[#This Row],[Скидка DIY]]),2)</f>
        <v>0</v>
      </c>
    </row>
    <row r="734" spans="1:50" x14ac:dyDescent="0.25">
      <c r="A734" s="36">
        <v>732</v>
      </c>
      <c r="C734" s="36" t="s">
        <v>239</v>
      </c>
      <c r="D7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4" s="36" t="s">
        <v>207</v>
      </c>
      <c r="F7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4" s="38">
        <v>9222</v>
      </c>
      <c r="I734" s="37" t="s">
        <v>348</v>
      </c>
      <c r="J734" s="37">
        <v>3022</v>
      </c>
      <c r="K734" s="38">
        <v>901034701</v>
      </c>
      <c r="L734" s="37" t="s">
        <v>1184</v>
      </c>
      <c r="O734" s="39" t="s">
        <v>2165</v>
      </c>
      <c r="AS734" s="48">
        <f>ROUND((Товары[[#This Row],[IRP, Eur]]*$AT$1),-2)*(1+Товары[[#This Row],[Процент повышения РРЦ]])</f>
        <v>0</v>
      </c>
      <c r="AT734" s="48"/>
      <c r="AU734" s="50">
        <f>ROUND(Товары[[#This Row],[РРЦ финальная, руб.]]/$AT$1,2)</f>
        <v>0</v>
      </c>
      <c r="AV734" s="49" t="str">
        <f>IFERROR(Товары[[#This Row],[РРЦ, евро]]/Товары[[#This Row],[IRP, Eur]],"-")</f>
        <v>-</v>
      </c>
      <c r="AX734" s="48">
        <f>ROUND(Товары[[#This Row],[РРЦ финальная, руб.]]*(1-Товары[[#This Row],[Скидка DIY]]),2)</f>
        <v>0</v>
      </c>
    </row>
    <row r="735" spans="1:50" x14ac:dyDescent="0.25">
      <c r="A735" s="36">
        <v>733</v>
      </c>
      <c r="C735" s="36" t="s">
        <v>239</v>
      </c>
      <c r="D7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5" s="36" t="s">
        <v>207</v>
      </c>
      <c r="F7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5" s="38">
        <v>9222</v>
      </c>
      <c r="I735" s="37" t="s">
        <v>348</v>
      </c>
      <c r="J735" s="37">
        <v>3099</v>
      </c>
      <c r="K735" s="38">
        <v>967632401</v>
      </c>
      <c r="L735" s="37" t="s">
        <v>1185</v>
      </c>
      <c r="O735" s="39" t="s">
        <v>2166</v>
      </c>
      <c r="AS735" s="48">
        <f>ROUND((Товары[[#This Row],[IRP, Eur]]*$AT$1),-2)*(1+Товары[[#This Row],[Процент повышения РРЦ]])</f>
        <v>0</v>
      </c>
      <c r="AT735" s="48"/>
      <c r="AU735" s="50">
        <f>ROUND(Товары[[#This Row],[РРЦ финальная, руб.]]/$AT$1,2)</f>
        <v>0</v>
      </c>
      <c r="AV735" s="49" t="str">
        <f>IFERROR(Товары[[#This Row],[РРЦ, евро]]/Товары[[#This Row],[IRP, Eur]],"-")</f>
        <v>-</v>
      </c>
      <c r="AX735" s="48">
        <f>ROUND(Товары[[#This Row],[РРЦ финальная, руб.]]*(1-Товары[[#This Row],[Скидка DIY]]),2)</f>
        <v>0</v>
      </c>
    </row>
    <row r="736" spans="1:50" x14ac:dyDescent="0.25">
      <c r="A736" s="36">
        <v>734</v>
      </c>
      <c r="C736" s="36" t="s">
        <v>239</v>
      </c>
      <c r="D7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6" s="36" t="s">
        <v>207</v>
      </c>
      <c r="F7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6" s="38">
        <v>9221</v>
      </c>
      <c r="I736" s="37" t="s">
        <v>348</v>
      </c>
      <c r="J736" s="37">
        <v>3004</v>
      </c>
      <c r="K736" s="38">
        <v>901032401</v>
      </c>
      <c r="L736" s="37" t="s">
        <v>1186</v>
      </c>
      <c r="O736" s="39" t="s">
        <v>2167</v>
      </c>
      <c r="AS736" s="48">
        <f>ROUND((Товары[[#This Row],[IRP, Eur]]*$AT$1),-2)*(1+Товары[[#This Row],[Процент повышения РРЦ]])</f>
        <v>0</v>
      </c>
      <c r="AT736" s="48"/>
      <c r="AU736" s="50">
        <f>ROUND(Товары[[#This Row],[РРЦ финальная, руб.]]/$AT$1,2)</f>
        <v>0</v>
      </c>
      <c r="AV736" s="49" t="str">
        <f>IFERROR(Товары[[#This Row],[РРЦ, евро]]/Товары[[#This Row],[IRP, Eur]],"-")</f>
        <v>-</v>
      </c>
      <c r="AX736" s="48">
        <f>ROUND(Товары[[#This Row],[РРЦ финальная, руб.]]*(1-Товары[[#This Row],[Скидка DIY]]),2)</f>
        <v>0</v>
      </c>
    </row>
    <row r="737" spans="1:50" x14ac:dyDescent="0.25">
      <c r="A737" s="36">
        <v>735</v>
      </c>
      <c r="C737" s="36" t="s">
        <v>239</v>
      </c>
      <c r="D7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7" s="36" t="s">
        <v>207</v>
      </c>
      <c r="F7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7" s="38">
        <v>9221</v>
      </c>
      <c r="I737" s="37" t="s">
        <v>313</v>
      </c>
      <c r="J737" s="37">
        <v>3723</v>
      </c>
      <c r="K737" s="38">
        <v>901052001</v>
      </c>
      <c r="L737" s="37" t="s">
        <v>1187</v>
      </c>
      <c r="O737" s="39" t="s">
        <v>2168</v>
      </c>
      <c r="AS737" s="48">
        <f>ROUND((Товары[[#This Row],[IRP, Eur]]*$AT$1),-2)*(1+Товары[[#This Row],[Процент повышения РРЦ]])</f>
        <v>0</v>
      </c>
      <c r="AT737" s="48"/>
      <c r="AU737" s="50">
        <f>ROUND(Товары[[#This Row],[РРЦ финальная, руб.]]/$AT$1,2)</f>
        <v>0</v>
      </c>
      <c r="AV737" s="49" t="str">
        <f>IFERROR(Товары[[#This Row],[РРЦ, евро]]/Товары[[#This Row],[IRP, Eur]],"-")</f>
        <v>-</v>
      </c>
      <c r="AX737" s="48">
        <f>ROUND(Товары[[#This Row],[РРЦ финальная, руб.]]*(1-Товары[[#This Row],[Скидка DIY]]),2)</f>
        <v>0</v>
      </c>
    </row>
    <row r="738" spans="1:50" x14ac:dyDescent="0.25">
      <c r="A738" s="36">
        <v>736</v>
      </c>
      <c r="C738" s="36" t="s">
        <v>239</v>
      </c>
      <c r="D7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8" s="36" t="s">
        <v>207</v>
      </c>
      <c r="F7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8" s="38">
        <v>9221</v>
      </c>
      <c r="I738" s="37" t="s">
        <v>313</v>
      </c>
      <c r="J738" s="37">
        <v>3725</v>
      </c>
      <c r="K738" s="38">
        <v>901052301</v>
      </c>
      <c r="L738" s="37" t="s">
        <v>1188</v>
      </c>
      <c r="O738" s="39" t="s">
        <v>2169</v>
      </c>
      <c r="AS738" s="48">
        <f>ROUND((Товары[[#This Row],[IRP, Eur]]*$AT$1),-2)*(1+Товары[[#This Row],[Процент повышения РРЦ]])</f>
        <v>0</v>
      </c>
      <c r="AT738" s="48"/>
      <c r="AU738" s="50">
        <f>ROUND(Товары[[#This Row],[РРЦ финальная, руб.]]/$AT$1,2)</f>
        <v>0</v>
      </c>
      <c r="AV738" s="49" t="str">
        <f>IFERROR(Товары[[#This Row],[РРЦ, евро]]/Товары[[#This Row],[IRP, Eur]],"-")</f>
        <v>-</v>
      </c>
      <c r="AX738" s="48">
        <f>ROUND(Товары[[#This Row],[РРЦ финальная, руб.]]*(1-Товары[[#This Row],[Скидка DIY]]),2)</f>
        <v>0</v>
      </c>
    </row>
    <row r="739" spans="1:50" x14ac:dyDescent="0.25">
      <c r="A739" s="36">
        <v>737</v>
      </c>
      <c r="C739" s="36" t="s">
        <v>239</v>
      </c>
      <c r="D7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9" s="36" t="s">
        <v>207</v>
      </c>
      <c r="F7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9" s="38">
        <v>9229</v>
      </c>
      <c r="I739" s="37" t="s">
        <v>313</v>
      </c>
      <c r="J739" s="37">
        <v>17100</v>
      </c>
      <c r="K739" s="38">
        <v>967914501</v>
      </c>
      <c r="L739" s="37" t="s">
        <v>1189</v>
      </c>
      <c r="M739" s="37" t="s">
        <v>1338</v>
      </c>
      <c r="O739" s="39" t="s">
        <v>2170</v>
      </c>
      <c r="AS739" s="48">
        <f>ROUND((Товары[[#This Row],[IRP, Eur]]*$AT$1),-2)*(1+Товары[[#This Row],[Процент повышения РРЦ]])</f>
        <v>0</v>
      </c>
      <c r="AT739" s="48"/>
      <c r="AU739" s="50">
        <f>ROUND(Товары[[#This Row],[РРЦ финальная, руб.]]/$AT$1,2)</f>
        <v>0</v>
      </c>
      <c r="AV739" s="49" t="str">
        <f>IFERROR(Товары[[#This Row],[РРЦ, евро]]/Товары[[#This Row],[IRP, Eur]],"-")</f>
        <v>-</v>
      </c>
      <c r="AX739" s="48">
        <f>ROUND(Товары[[#This Row],[РРЦ финальная, руб.]]*(1-Товары[[#This Row],[Скидка DIY]]),2)</f>
        <v>0</v>
      </c>
    </row>
    <row r="740" spans="1:50" x14ac:dyDescent="0.25">
      <c r="A740" s="36">
        <v>738</v>
      </c>
      <c r="C740" s="36" t="s">
        <v>239</v>
      </c>
      <c r="D7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0" s="36" t="s">
        <v>207</v>
      </c>
      <c r="F7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0" s="38">
        <v>9221</v>
      </c>
      <c r="I740" s="37" t="s">
        <v>313</v>
      </c>
      <c r="J740" s="37">
        <v>3728</v>
      </c>
      <c r="K740" s="38">
        <v>901052501</v>
      </c>
      <c r="L740" s="37" t="s">
        <v>1190</v>
      </c>
      <c r="O740" s="39" t="s">
        <v>2171</v>
      </c>
      <c r="AS740" s="48">
        <f>ROUND((Товары[[#This Row],[IRP, Eur]]*$AT$1),-2)*(1+Товары[[#This Row],[Процент повышения РРЦ]])</f>
        <v>0</v>
      </c>
      <c r="AT740" s="48"/>
      <c r="AU740" s="50">
        <f>ROUND(Товары[[#This Row],[РРЦ финальная, руб.]]/$AT$1,2)</f>
        <v>0</v>
      </c>
      <c r="AV740" s="49" t="str">
        <f>IFERROR(Товары[[#This Row],[РРЦ, евро]]/Товары[[#This Row],[IRP, Eur]],"-")</f>
        <v>-</v>
      </c>
      <c r="AX740" s="48">
        <f>ROUND(Товары[[#This Row],[РРЦ финальная, руб.]]*(1-Товары[[#This Row],[Скидка DIY]]),2)</f>
        <v>0</v>
      </c>
    </row>
    <row r="741" spans="1:50" x14ac:dyDescent="0.25">
      <c r="A741" s="36">
        <v>739</v>
      </c>
      <c r="C741" s="36" t="s">
        <v>239</v>
      </c>
      <c r="D7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1" s="36" t="s">
        <v>207</v>
      </c>
      <c r="F7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1" s="38">
        <v>9221</v>
      </c>
      <c r="I741" s="37" t="s">
        <v>313</v>
      </c>
      <c r="J741" s="37">
        <v>3713</v>
      </c>
      <c r="K741" s="38">
        <v>901051801</v>
      </c>
      <c r="L741" s="37" t="s">
        <v>1191</v>
      </c>
      <c r="O741" s="39" t="s">
        <v>2172</v>
      </c>
      <c r="AS741" s="48">
        <f>ROUND((Товары[[#This Row],[IRP, Eur]]*$AT$1),-2)*(1+Товары[[#This Row],[Процент повышения РРЦ]])</f>
        <v>0</v>
      </c>
      <c r="AT741" s="48"/>
      <c r="AU741" s="50">
        <f>ROUND(Товары[[#This Row],[РРЦ финальная, руб.]]/$AT$1,2)</f>
        <v>0</v>
      </c>
      <c r="AV741" s="49" t="str">
        <f>IFERROR(Товары[[#This Row],[РРЦ, евро]]/Товары[[#This Row],[IRP, Eur]],"-")</f>
        <v>-</v>
      </c>
      <c r="AX741" s="48">
        <f>ROUND(Товары[[#This Row],[РРЦ финальная, руб.]]*(1-Товары[[#This Row],[Скидка DIY]]),2)</f>
        <v>0</v>
      </c>
    </row>
    <row r="742" spans="1:50" x14ac:dyDescent="0.25">
      <c r="A742" s="36">
        <v>740</v>
      </c>
      <c r="C742" s="36" t="s">
        <v>239</v>
      </c>
      <c r="D7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2" s="36" t="s">
        <v>207</v>
      </c>
      <c r="F7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2" s="38">
        <v>9221</v>
      </c>
      <c r="I742" s="37" t="s">
        <v>313</v>
      </c>
      <c r="J742" s="37">
        <v>3715</v>
      </c>
      <c r="K742" s="38">
        <v>901051901</v>
      </c>
      <c r="L742" s="37" t="s">
        <v>1192</v>
      </c>
      <c r="O742" s="39" t="s">
        <v>2173</v>
      </c>
      <c r="AS742" s="48">
        <f>ROUND((Товары[[#This Row],[IRP, Eur]]*$AT$1),-2)*(1+Товары[[#This Row],[Процент повышения РРЦ]])</f>
        <v>0</v>
      </c>
      <c r="AT742" s="48"/>
      <c r="AU742" s="50">
        <f>ROUND(Товары[[#This Row],[РРЦ финальная, руб.]]/$AT$1,2)</f>
        <v>0</v>
      </c>
      <c r="AV742" s="49" t="str">
        <f>IFERROR(Товары[[#This Row],[РРЦ, евро]]/Товары[[#This Row],[IRP, Eur]],"-")</f>
        <v>-</v>
      </c>
      <c r="AX742" s="48">
        <f>ROUND(Товары[[#This Row],[РРЦ финальная, руб.]]*(1-Товары[[#This Row],[Скидка DIY]]),2)</f>
        <v>0</v>
      </c>
    </row>
    <row r="743" spans="1:50" x14ac:dyDescent="0.25">
      <c r="A743" s="36">
        <v>741</v>
      </c>
      <c r="C743" s="36" t="s">
        <v>239</v>
      </c>
      <c r="D7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3" s="36" t="s">
        <v>207</v>
      </c>
      <c r="F7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3" s="38">
        <v>9221</v>
      </c>
      <c r="I743" s="37" t="s">
        <v>313</v>
      </c>
      <c r="J743" s="37">
        <v>3734</v>
      </c>
      <c r="K743" s="38">
        <v>966044201</v>
      </c>
      <c r="L743" s="37" t="s">
        <v>1193</v>
      </c>
      <c r="O743" s="39" t="s">
        <v>2174</v>
      </c>
      <c r="AS743" s="48">
        <f>ROUND((Товары[[#This Row],[IRP, Eur]]*$AT$1),-2)*(1+Товары[[#This Row],[Процент повышения РРЦ]])</f>
        <v>0</v>
      </c>
      <c r="AT743" s="48"/>
      <c r="AU743" s="50">
        <f>ROUND(Товары[[#This Row],[РРЦ финальная, руб.]]/$AT$1,2)</f>
        <v>0</v>
      </c>
      <c r="AV743" s="49" t="str">
        <f>IFERROR(Товары[[#This Row],[РРЦ, евро]]/Товары[[#This Row],[IRP, Eur]],"-")</f>
        <v>-</v>
      </c>
      <c r="AX743" s="48">
        <f>ROUND(Товары[[#This Row],[РРЦ финальная, руб.]]*(1-Товары[[#This Row],[Скидка DIY]]),2)</f>
        <v>0</v>
      </c>
    </row>
    <row r="744" spans="1:50" x14ac:dyDescent="0.25">
      <c r="A744" s="36">
        <v>742</v>
      </c>
      <c r="C744" s="36" t="s">
        <v>239</v>
      </c>
      <c r="D7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4" s="36" t="s">
        <v>207</v>
      </c>
      <c r="F7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4" s="38">
        <v>9221</v>
      </c>
      <c r="I744" s="37" t="s">
        <v>313</v>
      </c>
      <c r="J744" s="37">
        <v>3720</v>
      </c>
      <c r="K744" s="38">
        <v>967319101</v>
      </c>
      <c r="L744" s="37" t="s">
        <v>1194</v>
      </c>
      <c r="O744" s="39" t="s">
        <v>2175</v>
      </c>
      <c r="AS744" s="48">
        <f>ROUND((Товары[[#This Row],[IRP, Eur]]*$AT$1),-2)*(1+Товары[[#This Row],[Процент повышения РРЦ]])</f>
        <v>0</v>
      </c>
      <c r="AT744" s="48"/>
      <c r="AU744" s="50">
        <f>ROUND(Товары[[#This Row],[РРЦ финальная, руб.]]/$AT$1,2)</f>
        <v>0</v>
      </c>
      <c r="AV744" s="49" t="str">
        <f>IFERROR(Товары[[#This Row],[РРЦ, евро]]/Товары[[#This Row],[IRP, Eur]],"-")</f>
        <v>-</v>
      </c>
      <c r="AX744" s="48">
        <f>ROUND(Товары[[#This Row],[РРЦ финальная, руб.]]*(1-Товары[[#This Row],[Скидка DIY]]),2)</f>
        <v>0</v>
      </c>
    </row>
    <row r="745" spans="1:50" x14ac:dyDescent="0.25">
      <c r="A745" s="36">
        <v>743</v>
      </c>
      <c r="C745" s="36" t="s">
        <v>239</v>
      </c>
      <c r="D7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5" s="36" t="s">
        <v>207</v>
      </c>
      <c r="F7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5" s="38">
        <v>9221</v>
      </c>
      <c r="I745" s="37" t="s">
        <v>313</v>
      </c>
      <c r="J745" s="37">
        <v>3721</v>
      </c>
      <c r="K745" s="38">
        <v>967319201</v>
      </c>
      <c r="L745" s="37" t="s">
        <v>1195</v>
      </c>
      <c r="O745" s="39" t="s">
        <v>2176</v>
      </c>
      <c r="AS745" s="48">
        <f>ROUND((Товары[[#This Row],[IRP, Eur]]*$AT$1),-2)*(1+Товары[[#This Row],[Процент повышения РРЦ]])</f>
        <v>0</v>
      </c>
      <c r="AT745" s="48"/>
      <c r="AU745" s="50">
        <f>ROUND(Товары[[#This Row],[РРЦ финальная, руб.]]/$AT$1,2)</f>
        <v>0</v>
      </c>
      <c r="AV745" s="49" t="str">
        <f>IFERROR(Товары[[#This Row],[РРЦ, евро]]/Товары[[#This Row],[IRP, Eur]],"-")</f>
        <v>-</v>
      </c>
      <c r="AX745" s="48">
        <f>ROUND(Товары[[#This Row],[РРЦ финальная, руб.]]*(1-Товары[[#This Row],[Скидка DIY]]),2)</f>
        <v>0</v>
      </c>
    </row>
    <row r="746" spans="1:50" x14ac:dyDescent="0.25">
      <c r="A746" s="36">
        <v>744</v>
      </c>
      <c r="C746" s="36" t="s">
        <v>239</v>
      </c>
      <c r="D7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6" s="36" t="s">
        <v>207</v>
      </c>
      <c r="F7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6" s="38">
        <v>9221</v>
      </c>
      <c r="I746" s="37" t="s">
        <v>313</v>
      </c>
      <c r="J746" s="37">
        <v>3719</v>
      </c>
      <c r="K746" s="38">
        <v>967860401</v>
      </c>
      <c r="L746" s="37" t="s">
        <v>1196</v>
      </c>
      <c r="O746" s="39" t="s">
        <v>2177</v>
      </c>
      <c r="AS746" s="48">
        <f>ROUND((Товары[[#This Row],[IRP, Eur]]*$AT$1),-2)*(1+Товары[[#This Row],[Процент повышения РРЦ]])</f>
        <v>0</v>
      </c>
      <c r="AT746" s="48"/>
      <c r="AU746" s="50">
        <f>ROUND(Товары[[#This Row],[РРЦ финальная, руб.]]/$AT$1,2)</f>
        <v>0</v>
      </c>
      <c r="AV746" s="49" t="str">
        <f>IFERROR(Товары[[#This Row],[РРЦ, евро]]/Товары[[#This Row],[IRP, Eur]],"-")</f>
        <v>-</v>
      </c>
      <c r="AX746" s="48">
        <f>ROUND(Товары[[#This Row],[РРЦ финальная, руб.]]*(1-Товары[[#This Row],[Скидка DIY]]),2)</f>
        <v>0</v>
      </c>
    </row>
    <row r="747" spans="1:50" x14ac:dyDescent="0.25">
      <c r="A747" s="36">
        <v>745</v>
      </c>
      <c r="C747" s="36" t="s">
        <v>239</v>
      </c>
      <c r="D7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7" s="36" t="s">
        <v>207</v>
      </c>
      <c r="F7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7" s="38">
        <v>9221</v>
      </c>
      <c r="I747" s="37" t="s">
        <v>351</v>
      </c>
      <c r="J747" s="37">
        <v>3501</v>
      </c>
      <c r="K747" s="38">
        <v>966647901</v>
      </c>
      <c r="L747" s="37" t="s">
        <v>1197</v>
      </c>
      <c r="O747" s="39" t="s">
        <v>2178</v>
      </c>
      <c r="AS747" s="48">
        <f>ROUND((Товары[[#This Row],[IRP, Eur]]*$AT$1),-2)*(1+Товары[[#This Row],[Процент повышения РРЦ]])</f>
        <v>0</v>
      </c>
      <c r="AT747" s="48"/>
      <c r="AU747" s="50">
        <f>ROUND(Товары[[#This Row],[РРЦ финальная, руб.]]/$AT$1,2)</f>
        <v>0</v>
      </c>
      <c r="AV747" s="49" t="str">
        <f>IFERROR(Товары[[#This Row],[РРЦ, евро]]/Товары[[#This Row],[IRP, Eur]],"-")</f>
        <v>-</v>
      </c>
      <c r="AX747" s="48">
        <f>ROUND(Товары[[#This Row],[РРЦ финальная, руб.]]*(1-Товары[[#This Row],[Скидка DIY]]),2)</f>
        <v>0</v>
      </c>
    </row>
    <row r="748" spans="1:50" x14ac:dyDescent="0.25">
      <c r="A748" s="36">
        <v>746</v>
      </c>
      <c r="C748" s="36" t="s">
        <v>239</v>
      </c>
      <c r="D7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8" s="36" t="s">
        <v>207</v>
      </c>
      <c r="F7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8" s="38">
        <v>9221</v>
      </c>
      <c r="I748" s="37" t="s">
        <v>351</v>
      </c>
      <c r="J748" s="37">
        <v>3503</v>
      </c>
      <c r="K748" s="38">
        <v>966641901</v>
      </c>
      <c r="L748" s="37" t="s">
        <v>1198</v>
      </c>
      <c r="O748" s="39" t="s">
        <v>2179</v>
      </c>
      <c r="AS748" s="48">
        <f>ROUND((Товары[[#This Row],[IRP, Eur]]*$AT$1),-2)*(1+Товары[[#This Row],[Процент повышения РРЦ]])</f>
        <v>0</v>
      </c>
      <c r="AT748" s="48"/>
      <c r="AU748" s="50">
        <f>ROUND(Товары[[#This Row],[РРЦ финальная, руб.]]/$AT$1,2)</f>
        <v>0</v>
      </c>
      <c r="AV748" s="49" t="str">
        <f>IFERROR(Товары[[#This Row],[РРЦ, евро]]/Товары[[#This Row],[IRP, Eur]],"-")</f>
        <v>-</v>
      </c>
      <c r="AX748" s="48">
        <f>ROUND(Товары[[#This Row],[РРЦ финальная, руб.]]*(1-Товары[[#This Row],[Скидка DIY]]),2)</f>
        <v>0</v>
      </c>
    </row>
    <row r="749" spans="1:50" x14ac:dyDescent="0.25">
      <c r="A749" s="36">
        <v>747</v>
      </c>
      <c r="C749" s="36" t="s">
        <v>239</v>
      </c>
      <c r="D7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9" s="36" t="s">
        <v>207</v>
      </c>
      <c r="F7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9" s="38">
        <v>9227</v>
      </c>
      <c r="I749" s="37" t="s">
        <v>352</v>
      </c>
      <c r="J749" s="37">
        <v>8974</v>
      </c>
      <c r="K749" s="38">
        <v>967694201</v>
      </c>
      <c r="L749" s="37" t="s">
        <v>1199</v>
      </c>
      <c r="O749" s="39" t="s">
        <v>2180</v>
      </c>
      <c r="AS749" s="48">
        <f>ROUND((Товары[[#This Row],[IRP, Eur]]*$AT$1),-2)*(1+Товары[[#This Row],[Процент повышения РРЦ]])</f>
        <v>0</v>
      </c>
      <c r="AT749" s="48"/>
      <c r="AU749" s="50">
        <f>ROUND(Товары[[#This Row],[РРЦ финальная, руб.]]/$AT$1,2)</f>
        <v>0</v>
      </c>
      <c r="AV749" s="49" t="str">
        <f>IFERROR(Товары[[#This Row],[РРЦ, евро]]/Товары[[#This Row],[IRP, Eur]],"-")</f>
        <v>-</v>
      </c>
      <c r="AX749" s="48">
        <f>ROUND(Товары[[#This Row],[РРЦ финальная, руб.]]*(1-Товары[[#This Row],[Скидка DIY]]),2)</f>
        <v>0</v>
      </c>
    </row>
    <row r="750" spans="1:50" x14ac:dyDescent="0.25">
      <c r="A750" s="36">
        <v>748</v>
      </c>
      <c r="C750" s="36" t="s">
        <v>239</v>
      </c>
      <c r="D7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0" s="36" t="s">
        <v>207</v>
      </c>
      <c r="F7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0" s="38">
        <v>9227</v>
      </c>
      <c r="I750" s="37" t="s">
        <v>352</v>
      </c>
      <c r="J750" s="37">
        <v>8970</v>
      </c>
      <c r="K750" s="38">
        <v>967097001</v>
      </c>
      <c r="L750" s="37" t="s">
        <v>1200</v>
      </c>
      <c r="O750" s="39" t="s">
        <v>2181</v>
      </c>
      <c r="AS750" s="48">
        <f>ROUND((Товары[[#This Row],[IRP, Eur]]*$AT$1),-2)*(1+Товары[[#This Row],[Процент повышения РРЦ]])</f>
        <v>0</v>
      </c>
      <c r="AT750" s="48"/>
      <c r="AU750" s="50">
        <f>ROUND(Товары[[#This Row],[РРЦ финальная, руб.]]/$AT$1,2)</f>
        <v>0</v>
      </c>
      <c r="AV750" s="49" t="str">
        <f>IFERROR(Товары[[#This Row],[РРЦ, евро]]/Товары[[#This Row],[IRP, Eur]],"-")</f>
        <v>-</v>
      </c>
      <c r="AX750" s="48">
        <f>ROUND(Товары[[#This Row],[РРЦ финальная, руб.]]*(1-Товары[[#This Row],[Скидка DIY]]),2)</f>
        <v>0</v>
      </c>
    </row>
    <row r="751" spans="1:50" x14ac:dyDescent="0.25">
      <c r="A751" s="36">
        <v>749</v>
      </c>
      <c r="C751" s="36" t="s">
        <v>239</v>
      </c>
      <c r="D7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1" s="36" t="s">
        <v>207</v>
      </c>
      <c r="F7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1" s="38">
        <v>9227</v>
      </c>
      <c r="I751" s="37" t="s">
        <v>352</v>
      </c>
      <c r="J751" s="37">
        <v>8970</v>
      </c>
      <c r="K751" s="38">
        <v>967097101</v>
      </c>
      <c r="L751" s="37" t="s">
        <v>1201</v>
      </c>
      <c r="O751" s="39" t="s">
        <v>2182</v>
      </c>
      <c r="AS751" s="48">
        <f>ROUND((Товары[[#This Row],[IRP, Eur]]*$AT$1),-2)*(1+Товары[[#This Row],[Процент повышения РРЦ]])</f>
        <v>0</v>
      </c>
      <c r="AT751" s="48"/>
      <c r="AU751" s="50">
        <f>ROUND(Товары[[#This Row],[РРЦ финальная, руб.]]/$AT$1,2)</f>
        <v>0</v>
      </c>
      <c r="AV751" s="49" t="str">
        <f>IFERROR(Товары[[#This Row],[РРЦ, евро]]/Товары[[#This Row],[IRP, Eur]],"-")</f>
        <v>-</v>
      </c>
      <c r="AX751" s="48">
        <f>ROUND(Товары[[#This Row],[РРЦ финальная, руб.]]*(1-Товары[[#This Row],[Скидка DIY]]),2)</f>
        <v>0</v>
      </c>
    </row>
    <row r="752" spans="1:50" x14ac:dyDescent="0.25">
      <c r="A752" s="36">
        <v>750</v>
      </c>
      <c r="C752" s="36" t="s">
        <v>239</v>
      </c>
      <c r="D7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2" s="36" t="s">
        <v>207</v>
      </c>
      <c r="F7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2" s="38">
        <v>9227</v>
      </c>
      <c r="I752" s="37" t="s">
        <v>352</v>
      </c>
      <c r="J752" s="37">
        <v>8966</v>
      </c>
      <c r="K752" s="38">
        <v>967096901</v>
      </c>
      <c r="L752" s="37" t="s">
        <v>1202</v>
      </c>
      <c r="O752" s="39" t="s">
        <v>2183</v>
      </c>
      <c r="AS752" s="48">
        <f>ROUND((Товары[[#This Row],[IRP, Eur]]*$AT$1),-2)*(1+Товары[[#This Row],[Процент повышения РРЦ]])</f>
        <v>0</v>
      </c>
      <c r="AT752" s="48"/>
      <c r="AU752" s="50">
        <f>ROUND(Товары[[#This Row],[РРЦ финальная, руб.]]/$AT$1,2)</f>
        <v>0</v>
      </c>
      <c r="AV752" s="49" t="str">
        <f>IFERROR(Товары[[#This Row],[РРЦ, евро]]/Товары[[#This Row],[IRP, Eur]],"-")</f>
        <v>-</v>
      </c>
      <c r="AX752" s="48">
        <f>ROUND(Товары[[#This Row],[РРЦ финальная, руб.]]*(1-Товары[[#This Row],[Скидка DIY]]),2)</f>
        <v>0</v>
      </c>
    </row>
    <row r="753" spans="1:50" x14ac:dyDescent="0.25">
      <c r="A753" s="36">
        <v>751</v>
      </c>
      <c r="C753" s="36" t="s">
        <v>239</v>
      </c>
      <c r="D7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3" s="36" t="s">
        <v>207</v>
      </c>
      <c r="F7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3" s="38">
        <v>9227</v>
      </c>
      <c r="I753" s="37" t="s">
        <v>352</v>
      </c>
      <c r="J753" s="37">
        <v>8966</v>
      </c>
      <c r="K753" s="38">
        <v>967694101</v>
      </c>
      <c r="L753" s="37" t="s">
        <v>1203</v>
      </c>
      <c r="O753" s="39" t="s">
        <v>2184</v>
      </c>
      <c r="AS753" s="48">
        <f>ROUND((Товары[[#This Row],[IRP, Eur]]*$AT$1),-2)*(1+Товары[[#This Row],[Процент повышения РРЦ]])</f>
        <v>0</v>
      </c>
      <c r="AT753" s="48"/>
      <c r="AU753" s="50">
        <f>ROUND(Товары[[#This Row],[РРЦ финальная, руб.]]/$AT$1,2)</f>
        <v>0</v>
      </c>
      <c r="AV753" s="49" t="str">
        <f>IFERROR(Товары[[#This Row],[РРЦ, евро]]/Товары[[#This Row],[IRP, Eur]],"-")</f>
        <v>-</v>
      </c>
      <c r="AX753" s="48">
        <f>ROUND(Товары[[#This Row],[РРЦ финальная, руб.]]*(1-Товары[[#This Row],[Скидка DIY]]),2)</f>
        <v>0</v>
      </c>
    </row>
    <row r="754" spans="1:50" x14ac:dyDescent="0.25">
      <c r="A754" s="36">
        <v>752</v>
      </c>
      <c r="C754" s="36" t="s">
        <v>239</v>
      </c>
      <c r="D7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4" s="36" t="s">
        <v>207</v>
      </c>
      <c r="F7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4" s="38">
        <v>9227</v>
      </c>
      <c r="I754" s="37" t="s">
        <v>352</v>
      </c>
      <c r="J754" s="37">
        <v>8965</v>
      </c>
      <c r="K754" s="38">
        <v>967096801</v>
      </c>
      <c r="L754" s="37" t="s">
        <v>1204</v>
      </c>
      <c r="O754" s="39" t="s">
        <v>2185</v>
      </c>
      <c r="AS754" s="48">
        <f>ROUND((Товары[[#This Row],[IRP, Eur]]*$AT$1),-2)*(1+Товары[[#This Row],[Процент повышения РРЦ]])</f>
        <v>0</v>
      </c>
      <c r="AT754" s="48"/>
      <c r="AU754" s="50">
        <f>ROUND(Товары[[#This Row],[РРЦ финальная, руб.]]/$AT$1,2)</f>
        <v>0</v>
      </c>
      <c r="AV754" s="49" t="str">
        <f>IFERROR(Товары[[#This Row],[РРЦ, евро]]/Товары[[#This Row],[IRP, Eur]],"-")</f>
        <v>-</v>
      </c>
      <c r="AX754" s="48">
        <f>ROUND(Товары[[#This Row],[РРЦ финальная, руб.]]*(1-Товары[[#This Row],[Скидка DIY]]),2)</f>
        <v>0</v>
      </c>
    </row>
    <row r="755" spans="1:50" x14ac:dyDescent="0.25">
      <c r="A755" s="36">
        <v>753</v>
      </c>
      <c r="C755" s="36" t="s">
        <v>239</v>
      </c>
      <c r="D7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5" s="36" t="s">
        <v>227</v>
      </c>
      <c r="F7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5" s="38">
        <v>9014</v>
      </c>
      <c r="I755" s="37" t="s">
        <v>262</v>
      </c>
      <c r="J755" s="37">
        <v>18424</v>
      </c>
      <c r="K755" s="38">
        <v>967263401</v>
      </c>
      <c r="L755" s="37" t="s">
        <v>1205</v>
      </c>
      <c r="O755" s="39" t="s">
        <v>2186</v>
      </c>
      <c r="AS755" s="48">
        <f>ROUND((Товары[[#This Row],[IRP, Eur]]*$AT$1),-2)*(1+Товары[[#This Row],[Процент повышения РРЦ]])</f>
        <v>0</v>
      </c>
      <c r="AT755" s="48"/>
      <c r="AU755" s="50">
        <f>ROUND(Товары[[#This Row],[РРЦ финальная, руб.]]/$AT$1,2)</f>
        <v>0</v>
      </c>
      <c r="AV755" s="49" t="str">
        <f>IFERROR(Товары[[#This Row],[РРЦ, евро]]/Товары[[#This Row],[IRP, Eur]],"-")</f>
        <v>-</v>
      </c>
      <c r="AX755" s="48">
        <f>ROUND(Товары[[#This Row],[РРЦ финальная, руб.]]*(1-Товары[[#This Row],[Скидка DIY]]),2)</f>
        <v>0</v>
      </c>
    </row>
    <row r="756" spans="1:50" x14ac:dyDescent="0.25">
      <c r="A756" s="36">
        <v>754</v>
      </c>
      <c r="C756" s="36" t="s">
        <v>239</v>
      </c>
      <c r="D7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6" s="36" t="s">
        <v>207</v>
      </c>
      <c r="F7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6" s="38">
        <v>9227</v>
      </c>
      <c r="I756" s="37" t="s">
        <v>353</v>
      </c>
      <c r="J756" s="37">
        <v>3412</v>
      </c>
      <c r="K756" s="38">
        <v>901045701</v>
      </c>
      <c r="L756" s="37" t="s">
        <v>1206</v>
      </c>
      <c r="O756" s="39" t="s">
        <v>2187</v>
      </c>
      <c r="AS756" s="48">
        <f>ROUND((Товары[[#This Row],[IRP, Eur]]*$AT$1),-2)*(1+Товары[[#This Row],[Процент повышения РРЦ]])</f>
        <v>0</v>
      </c>
      <c r="AT756" s="48"/>
      <c r="AU756" s="50">
        <f>ROUND(Товары[[#This Row],[РРЦ финальная, руб.]]/$AT$1,2)</f>
        <v>0</v>
      </c>
      <c r="AV756" s="49" t="str">
        <f>IFERROR(Товары[[#This Row],[РРЦ, евро]]/Товары[[#This Row],[IRP, Eur]],"-")</f>
        <v>-</v>
      </c>
      <c r="AX756" s="48">
        <f>ROUND(Товары[[#This Row],[РРЦ финальная, руб.]]*(1-Товары[[#This Row],[Скидка DIY]]),2)</f>
        <v>0</v>
      </c>
    </row>
    <row r="757" spans="1:50" x14ac:dyDescent="0.25">
      <c r="A757" s="36">
        <v>755</v>
      </c>
      <c r="C757" s="36" t="s">
        <v>239</v>
      </c>
      <c r="D7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7" s="36" t="s">
        <v>207</v>
      </c>
      <c r="F7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7" s="38">
        <v>9227</v>
      </c>
      <c r="I757" s="37" t="s">
        <v>353</v>
      </c>
      <c r="J757" s="37">
        <v>3039</v>
      </c>
      <c r="K757" s="38">
        <v>901035401</v>
      </c>
      <c r="L757" s="37" t="s">
        <v>1207</v>
      </c>
      <c r="O757" s="39" t="s">
        <v>2188</v>
      </c>
      <c r="AS757" s="48">
        <f>ROUND((Товары[[#This Row],[IRP, Eur]]*$AT$1),-2)*(1+Товары[[#This Row],[Процент повышения РРЦ]])</f>
        <v>0</v>
      </c>
      <c r="AT757" s="48"/>
      <c r="AU757" s="50">
        <f>ROUND(Товары[[#This Row],[РРЦ финальная, руб.]]/$AT$1,2)</f>
        <v>0</v>
      </c>
      <c r="AV757" s="49" t="str">
        <f>IFERROR(Товары[[#This Row],[РРЦ, евро]]/Товары[[#This Row],[IRP, Eur]],"-")</f>
        <v>-</v>
      </c>
      <c r="AX757" s="48">
        <f>ROUND(Товары[[#This Row],[РРЦ финальная, руб.]]*(1-Товары[[#This Row],[Скидка DIY]]),2)</f>
        <v>0</v>
      </c>
    </row>
    <row r="758" spans="1:50" x14ac:dyDescent="0.25">
      <c r="A758" s="36">
        <v>756</v>
      </c>
      <c r="C758" s="36" t="s">
        <v>239</v>
      </c>
      <c r="D7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8" s="36" t="s">
        <v>207</v>
      </c>
      <c r="F7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8" s="38">
        <v>9227</v>
      </c>
      <c r="I758" s="37" t="s">
        <v>353</v>
      </c>
      <c r="J758" s="37">
        <v>3487</v>
      </c>
      <c r="K758" s="38">
        <v>901046001</v>
      </c>
      <c r="L758" s="37" t="s">
        <v>1208</v>
      </c>
      <c r="O758" s="39" t="s">
        <v>2189</v>
      </c>
      <c r="AS758" s="48">
        <f>ROUND((Товары[[#This Row],[IRP, Eur]]*$AT$1),-2)*(1+Товары[[#This Row],[Процент повышения РРЦ]])</f>
        <v>0</v>
      </c>
      <c r="AT758" s="48"/>
      <c r="AU758" s="50">
        <f>ROUND(Товары[[#This Row],[РРЦ финальная, руб.]]/$AT$1,2)</f>
        <v>0</v>
      </c>
      <c r="AV758" s="49" t="str">
        <f>IFERROR(Товары[[#This Row],[РРЦ, евро]]/Товары[[#This Row],[IRP, Eur]],"-")</f>
        <v>-</v>
      </c>
      <c r="AX758" s="48">
        <f>ROUND(Товары[[#This Row],[РРЦ финальная, руб.]]*(1-Товары[[#This Row],[Скидка DIY]]),2)</f>
        <v>0</v>
      </c>
    </row>
    <row r="759" spans="1:50" x14ac:dyDescent="0.25">
      <c r="A759" s="36">
        <v>757</v>
      </c>
      <c r="C759" s="36" t="s">
        <v>239</v>
      </c>
      <c r="D7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9" s="36" t="s">
        <v>207</v>
      </c>
      <c r="F7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9" s="38">
        <v>9225</v>
      </c>
      <c r="I759" s="37" t="s">
        <v>354</v>
      </c>
      <c r="J759" s="37">
        <v>17550</v>
      </c>
      <c r="K759" s="38">
        <v>967955201</v>
      </c>
      <c r="L759" s="37" t="s">
        <v>1209</v>
      </c>
      <c r="M759" s="37" t="s">
        <v>1211</v>
      </c>
      <c r="O759" s="39" t="s">
        <v>2190</v>
      </c>
      <c r="AS759" s="48">
        <f>ROUND((Товары[[#This Row],[IRP, Eur]]*$AT$1),-2)*(1+Товары[[#This Row],[Процент повышения РРЦ]])</f>
        <v>0</v>
      </c>
      <c r="AT759" s="48"/>
      <c r="AU759" s="50">
        <f>ROUND(Товары[[#This Row],[РРЦ финальная, руб.]]/$AT$1,2)</f>
        <v>0</v>
      </c>
      <c r="AV759" s="49" t="str">
        <f>IFERROR(Товары[[#This Row],[РРЦ, евро]]/Товары[[#This Row],[IRP, Eur]],"-")</f>
        <v>-</v>
      </c>
      <c r="AX759" s="48">
        <f>ROUND(Товары[[#This Row],[РРЦ финальная, руб.]]*(1-Товары[[#This Row],[Скидка DIY]]),2)</f>
        <v>0</v>
      </c>
    </row>
    <row r="760" spans="1:50" x14ac:dyDescent="0.25">
      <c r="A760" s="36">
        <v>758</v>
      </c>
      <c r="C760" s="36" t="s">
        <v>239</v>
      </c>
      <c r="D7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0" s="36" t="s">
        <v>207</v>
      </c>
      <c r="F7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0" s="38">
        <v>9225</v>
      </c>
      <c r="I760" s="37" t="s">
        <v>354</v>
      </c>
      <c r="J760" s="37">
        <v>17560</v>
      </c>
      <c r="K760" s="38">
        <v>967955401</v>
      </c>
      <c r="L760" s="37" t="s">
        <v>1210</v>
      </c>
      <c r="M760" s="37" t="s">
        <v>1216</v>
      </c>
      <c r="O760" s="39" t="s">
        <v>2191</v>
      </c>
      <c r="AS760" s="48">
        <f>ROUND((Товары[[#This Row],[IRP, Eur]]*$AT$1),-2)*(1+Товары[[#This Row],[Процент повышения РРЦ]])</f>
        <v>0</v>
      </c>
      <c r="AT760" s="48"/>
      <c r="AU760" s="50">
        <f>ROUND(Товары[[#This Row],[РРЦ финальная, руб.]]/$AT$1,2)</f>
        <v>0</v>
      </c>
      <c r="AV760" s="49" t="str">
        <f>IFERROR(Товары[[#This Row],[РРЦ, евро]]/Товары[[#This Row],[IRP, Eur]],"-")</f>
        <v>-</v>
      </c>
      <c r="AX760" s="48">
        <f>ROUND(Товары[[#This Row],[РРЦ финальная, руб.]]*(1-Товары[[#This Row],[Скидка DIY]]),2)</f>
        <v>0</v>
      </c>
    </row>
    <row r="761" spans="1:50" x14ac:dyDescent="0.25">
      <c r="A761" s="36">
        <v>759</v>
      </c>
      <c r="C761" s="36" t="s">
        <v>239</v>
      </c>
      <c r="D7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1" s="36" t="s">
        <v>207</v>
      </c>
      <c r="F7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1" s="38">
        <v>9224</v>
      </c>
      <c r="I761" s="37" t="s">
        <v>354</v>
      </c>
      <c r="J761" s="37">
        <v>3240</v>
      </c>
      <c r="K761" s="38">
        <v>966043601</v>
      </c>
      <c r="L761" s="37" t="s">
        <v>1211</v>
      </c>
      <c r="O761" s="39" t="s">
        <v>2192</v>
      </c>
      <c r="AS761" s="48">
        <f>ROUND((Товары[[#This Row],[IRP, Eur]]*$AT$1),-2)*(1+Товары[[#This Row],[Процент повышения РРЦ]])</f>
        <v>0</v>
      </c>
      <c r="AT761" s="48"/>
      <c r="AU761" s="50">
        <f>ROUND(Товары[[#This Row],[РРЦ финальная, руб.]]/$AT$1,2)</f>
        <v>0</v>
      </c>
      <c r="AV761" s="49" t="str">
        <f>IFERROR(Товары[[#This Row],[РРЦ, евро]]/Товары[[#This Row],[IRP, Eur]],"-")</f>
        <v>-</v>
      </c>
      <c r="AX761" s="48">
        <f>ROUND(Товары[[#This Row],[РРЦ финальная, руб.]]*(1-Товары[[#This Row],[Скидка DIY]]),2)</f>
        <v>0</v>
      </c>
    </row>
    <row r="762" spans="1:50" x14ac:dyDescent="0.25">
      <c r="A762" s="36">
        <v>760</v>
      </c>
      <c r="C762" s="36" t="s">
        <v>239</v>
      </c>
      <c r="D7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2" s="36" t="s">
        <v>207</v>
      </c>
      <c r="F7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2" s="38">
        <v>9224</v>
      </c>
      <c r="I762" s="37" t="s">
        <v>354</v>
      </c>
      <c r="J762" s="37">
        <v>3241</v>
      </c>
      <c r="K762" s="38">
        <v>966043701</v>
      </c>
      <c r="L762" s="37" t="s">
        <v>1212</v>
      </c>
      <c r="O762" s="39" t="s">
        <v>2193</v>
      </c>
      <c r="AS762" s="48">
        <f>ROUND((Товары[[#This Row],[IRP, Eur]]*$AT$1),-2)*(1+Товары[[#This Row],[Процент повышения РРЦ]])</f>
        <v>0</v>
      </c>
      <c r="AT762" s="48"/>
      <c r="AU762" s="50">
        <f>ROUND(Товары[[#This Row],[РРЦ финальная, руб.]]/$AT$1,2)</f>
        <v>0</v>
      </c>
      <c r="AV762" s="49" t="str">
        <f>IFERROR(Товары[[#This Row],[РРЦ, евро]]/Товары[[#This Row],[IRP, Eur]],"-")</f>
        <v>-</v>
      </c>
      <c r="AX762" s="48">
        <f>ROUND(Товары[[#This Row],[РРЦ финальная, руб.]]*(1-Товары[[#This Row],[Скидка DIY]]),2)</f>
        <v>0</v>
      </c>
    </row>
    <row r="763" spans="1:50" x14ac:dyDescent="0.25">
      <c r="A763" s="36">
        <v>761</v>
      </c>
      <c r="C763" s="36" t="s">
        <v>239</v>
      </c>
      <c r="D7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3" s="36" t="s">
        <v>207</v>
      </c>
      <c r="F7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3" s="38">
        <v>9224</v>
      </c>
      <c r="I763" s="37" t="s">
        <v>354</v>
      </c>
      <c r="J763" s="37">
        <v>3242</v>
      </c>
      <c r="K763" s="38">
        <v>966043801</v>
      </c>
      <c r="L763" s="37" t="s">
        <v>1213</v>
      </c>
      <c r="O763" s="39" t="s">
        <v>2194</v>
      </c>
      <c r="AS763" s="48">
        <f>ROUND((Товары[[#This Row],[IRP, Eur]]*$AT$1),-2)*(1+Товары[[#This Row],[Процент повышения РРЦ]])</f>
        <v>0</v>
      </c>
      <c r="AT763" s="48"/>
      <c r="AU763" s="50">
        <f>ROUND(Товары[[#This Row],[РРЦ финальная, руб.]]/$AT$1,2)</f>
        <v>0</v>
      </c>
      <c r="AV763" s="49" t="str">
        <f>IFERROR(Товары[[#This Row],[РРЦ, евро]]/Товары[[#This Row],[IRP, Eur]],"-")</f>
        <v>-</v>
      </c>
      <c r="AX763" s="48">
        <f>ROUND(Товары[[#This Row],[РРЦ финальная, руб.]]*(1-Товары[[#This Row],[Скидка DIY]]),2)</f>
        <v>0</v>
      </c>
    </row>
    <row r="764" spans="1:50" x14ac:dyDescent="0.25">
      <c r="A764" s="36">
        <v>762</v>
      </c>
      <c r="C764" s="36" t="s">
        <v>239</v>
      </c>
      <c r="D7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4" s="36" t="s">
        <v>207</v>
      </c>
      <c r="F7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4" s="38">
        <v>9224</v>
      </c>
      <c r="I764" s="37" t="s">
        <v>354</v>
      </c>
      <c r="J764" s="37">
        <v>3243</v>
      </c>
      <c r="K764" s="38">
        <v>966043901</v>
      </c>
      <c r="L764" s="37" t="s">
        <v>1214</v>
      </c>
      <c r="O764" s="39" t="s">
        <v>2195</v>
      </c>
      <c r="AS764" s="48">
        <f>ROUND((Товары[[#This Row],[IRP, Eur]]*$AT$1),-2)*(1+Товары[[#This Row],[Процент повышения РРЦ]])</f>
        <v>0</v>
      </c>
      <c r="AT764" s="48"/>
      <c r="AU764" s="50">
        <f>ROUND(Товары[[#This Row],[РРЦ финальная, руб.]]/$AT$1,2)</f>
        <v>0</v>
      </c>
      <c r="AV764" s="49" t="str">
        <f>IFERROR(Товары[[#This Row],[РРЦ, евро]]/Товары[[#This Row],[IRP, Eur]],"-")</f>
        <v>-</v>
      </c>
      <c r="AX764" s="48">
        <f>ROUND(Товары[[#This Row],[РРЦ финальная, руб.]]*(1-Товары[[#This Row],[Скидка DIY]]),2)</f>
        <v>0</v>
      </c>
    </row>
    <row r="765" spans="1:50" x14ac:dyDescent="0.25">
      <c r="A765" s="36">
        <v>763</v>
      </c>
      <c r="C765" s="36" t="s">
        <v>239</v>
      </c>
      <c r="D7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5" s="36" t="s">
        <v>207</v>
      </c>
      <c r="F7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5" s="38">
        <v>9224</v>
      </c>
      <c r="I765" s="37" t="s">
        <v>355</v>
      </c>
      <c r="J765" s="37">
        <v>3250</v>
      </c>
      <c r="K765" s="38">
        <v>966044001</v>
      </c>
      <c r="L765" s="37" t="s">
        <v>1215</v>
      </c>
      <c r="O765" s="39" t="s">
        <v>2196</v>
      </c>
      <c r="AS765" s="48">
        <f>ROUND((Товары[[#This Row],[IRP, Eur]]*$AT$1),-2)*(1+Товары[[#This Row],[Процент повышения РРЦ]])</f>
        <v>0</v>
      </c>
      <c r="AT765" s="48"/>
      <c r="AU765" s="50">
        <f>ROUND(Товары[[#This Row],[РРЦ финальная, руб.]]/$AT$1,2)</f>
        <v>0</v>
      </c>
      <c r="AV765" s="49" t="str">
        <f>IFERROR(Товары[[#This Row],[РРЦ, евро]]/Товары[[#This Row],[IRP, Eur]],"-")</f>
        <v>-</v>
      </c>
      <c r="AX765" s="48">
        <f>ROUND(Товары[[#This Row],[РРЦ финальная, руб.]]*(1-Товары[[#This Row],[Скидка DIY]]),2)</f>
        <v>0</v>
      </c>
    </row>
    <row r="766" spans="1:50" x14ac:dyDescent="0.25">
      <c r="A766" s="36">
        <v>764</v>
      </c>
      <c r="C766" s="36" t="s">
        <v>239</v>
      </c>
      <c r="D7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6" s="36" t="s">
        <v>207</v>
      </c>
      <c r="F7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6" s="38">
        <v>9225</v>
      </c>
      <c r="I766" s="37" t="s">
        <v>354</v>
      </c>
      <c r="J766" s="37">
        <v>3260</v>
      </c>
      <c r="K766" s="38">
        <v>967169101</v>
      </c>
      <c r="L766" s="37" t="s">
        <v>1216</v>
      </c>
      <c r="O766" s="39" t="s">
        <v>2197</v>
      </c>
      <c r="AS766" s="48">
        <f>ROUND((Товары[[#This Row],[IRP, Eur]]*$AT$1),-2)*(1+Товары[[#This Row],[Процент повышения РРЦ]])</f>
        <v>0</v>
      </c>
      <c r="AT766" s="48"/>
      <c r="AU766" s="50">
        <f>ROUND(Товары[[#This Row],[РРЦ финальная, руб.]]/$AT$1,2)</f>
        <v>0</v>
      </c>
      <c r="AV766" s="49" t="str">
        <f>IFERROR(Товары[[#This Row],[РРЦ, евро]]/Товары[[#This Row],[IRP, Eur]],"-")</f>
        <v>-</v>
      </c>
      <c r="AX766" s="48">
        <f>ROUND(Товары[[#This Row],[РРЦ финальная, руб.]]*(1-Товары[[#This Row],[Скидка DIY]]),2)</f>
        <v>0</v>
      </c>
    </row>
    <row r="767" spans="1:50" x14ac:dyDescent="0.25">
      <c r="A767" s="36">
        <v>765</v>
      </c>
      <c r="C767" s="36" t="s">
        <v>240</v>
      </c>
      <c r="D7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7" s="36" t="s">
        <v>202</v>
      </c>
      <c r="F7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7" s="38">
        <v>9242</v>
      </c>
      <c r="I767" s="37" t="s">
        <v>356</v>
      </c>
      <c r="J767" s="37">
        <v>505</v>
      </c>
      <c r="K767" s="38">
        <v>967946401</v>
      </c>
      <c r="L767" s="37" t="s">
        <v>1217</v>
      </c>
      <c r="M767" s="37" t="s">
        <v>1338</v>
      </c>
      <c r="O767" s="39" t="s">
        <v>2198</v>
      </c>
      <c r="AS767" s="48">
        <f>ROUND((Товары[[#This Row],[IRP, Eur]]*$AT$1),-2)*(1+Товары[[#This Row],[Процент повышения РРЦ]])</f>
        <v>0</v>
      </c>
      <c r="AT767" s="48"/>
      <c r="AU767" s="50">
        <f>ROUND(Товары[[#This Row],[РРЦ финальная, руб.]]/$AT$1,2)</f>
        <v>0</v>
      </c>
      <c r="AV767" s="49" t="str">
        <f>IFERROR(Товары[[#This Row],[РРЦ, евро]]/Товары[[#This Row],[IRP, Eur]],"-")</f>
        <v>-</v>
      </c>
      <c r="AX767" s="48">
        <f>ROUND(Товары[[#This Row],[РРЦ финальная, руб.]]*(1-Товары[[#This Row],[Скидка DIY]]),2)</f>
        <v>0</v>
      </c>
    </row>
    <row r="768" spans="1:50" x14ac:dyDescent="0.25">
      <c r="A768" s="36">
        <v>766</v>
      </c>
      <c r="C768" s="36" t="s">
        <v>240</v>
      </c>
      <c r="D7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8" s="36" t="s">
        <v>202</v>
      </c>
      <c r="F7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8" s="38">
        <v>9242</v>
      </c>
      <c r="I768" s="37" t="s">
        <v>356</v>
      </c>
      <c r="J768" s="37">
        <v>506</v>
      </c>
      <c r="K768" s="38">
        <v>967947201</v>
      </c>
      <c r="L768" s="37" t="s">
        <v>1218</v>
      </c>
      <c r="M768" s="37" t="s">
        <v>1338</v>
      </c>
      <c r="O768" s="39" t="s">
        <v>2199</v>
      </c>
      <c r="AS768" s="48">
        <f>ROUND((Товары[[#This Row],[IRP, Eur]]*$AT$1),-2)*(1+Товары[[#This Row],[Процент повышения РРЦ]])</f>
        <v>0</v>
      </c>
      <c r="AT768" s="48"/>
      <c r="AU768" s="50">
        <f>ROUND(Товары[[#This Row],[РРЦ финальная, руб.]]/$AT$1,2)</f>
        <v>0</v>
      </c>
      <c r="AV768" s="49" t="str">
        <f>IFERROR(Товары[[#This Row],[РРЦ, евро]]/Товары[[#This Row],[IRP, Eur]],"-")</f>
        <v>-</v>
      </c>
      <c r="AX768" s="48">
        <f>ROUND(Товары[[#This Row],[РРЦ финальная, руб.]]*(1-Товары[[#This Row],[Скидка DIY]]),2)</f>
        <v>0</v>
      </c>
    </row>
    <row r="769" spans="1:50" x14ac:dyDescent="0.25">
      <c r="A769" s="36">
        <v>767</v>
      </c>
      <c r="C769" s="36" t="s">
        <v>240</v>
      </c>
      <c r="D7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9" s="36" t="s">
        <v>202</v>
      </c>
      <c r="F7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9" s="38">
        <v>9242</v>
      </c>
      <c r="I769" s="37" t="s">
        <v>356</v>
      </c>
      <c r="J769" s="37">
        <v>507</v>
      </c>
      <c r="K769" s="38">
        <v>967947901</v>
      </c>
      <c r="L769" s="37" t="s">
        <v>1219</v>
      </c>
      <c r="M769" s="37" t="s">
        <v>1338</v>
      </c>
      <c r="O769" s="39" t="s">
        <v>2200</v>
      </c>
      <c r="AS769" s="48">
        <f>ROUND((Товары[[#This Row],[IRP, Eur]]*$AT$1),-2)*(1+Товары[[#This Row],[Процент повышения РРЦ]])</f>
        <v>0</v>
      </c>
      <c r="AT769" s="48"/>
      <c r="AU769" s="50">
        <f>ROUND(Товары[[#This Row],[РРЦ финальная, руб.]]/$AT$1,2)</f>
        <v>0</v>
      </c>
      <c r="AV769" s="49" t="str">
        <f>IFERROR(Товары[[#This Row],[РРЦ, евро]]/Товары[[#This Row],[IRP, Eur]],"-")</f>
        <v>-</v>
      </c>
      <c r="AX769" s="48">
        <f>ROUND(Товары[[#This Row],[РРЦ финальная, руб.]]*(1-Товары[[#This Row],[Скидка DIY]]),2)</f>
        <v>0</v>
      </c>
    </row>
    <row r="770" spans="1:50" x14ac:dyDescent="0.25">
      <c r="A770" s="36">
        <v>768</v>
      </c>
      <c r="C770" s="36" t="s">
        <v>240</v>
      </c>
      <c r="D7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0" s="36" t="s">
        <v>202</v>
      </c>
      <c r="F7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0" s="38">
        <v>9242</v>
      </c>
      <c r="I770" s="37" t="s">
        <v>356</v>
      </c>
      <c r="J770" s="37">
        <v>508</v>
      </c>
      <c r="K770" s="38">
        <v>967948001</v>
      </c>
      <c r="L770" s="37" t="s">
        <v>1220</v>
      </c>
      <c r="M770" s="37" t="s">
        <v>1338</v>
      </c>
      <c r="O770" s="39" t="s">
        <v>2201</v>
      </c>
      <c r="AS770" s="48">
        <f>ROUND((Товары[[#This Row],[IRP, Eur]]*$AT$1),-2)*(1+Товары[[#This Row],[Процент повышения РРЦ]])</f>
        <v>0</v>
      </c>
      <c r="AT770" s="48"/>
      <c r="AU770" s="50">
        <f>ROUND(Товары[[#This Row],[РРЦ финальная, руб.]]/$AT$1,2)</f>
        <v>0</v>
      </c>
      <c r="AV770" s="49" t="str">
        <f>IFERROR(Товары[[#This Row],[РРЦ, евро]]/Товары[[#This Row],[IRP, Eur]],"-")</f>
        <v>-</v>
      </c>
      <c r="AX770" s="48">
        <f>ROUND(Товары[[#This Row],[РРЦ финальная, руб.]]*(1-Товары[[#This Row],[Скидка DIY]]),2)</f>
        <v>0</v>
      </c>
    </row>
    <row r="771" spans="1:50" x14ac:dyDescent="0.25">
      <c r="A771" s="36">
        <v>769</v>
      </c>
      <c r="C771" s="36" t="s">
        <v>240</v>
      </c>
      <c r="D7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1" s="36" t="s">
        <v>202</v>
      </c>
      <c r="F7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1" s="38">
        <v>9242</v>
      </c>
      <c r="I771" s="37" t="s">
        <v>345</v>
      </c>
      <c r="J771" s="37">
        <v>3517</v>
      </c>
      <c r="K771" s="38">
        <v>966642401</v>
      </c>
      <c r="L771" s="37" t="s">
        <v>1221</v>
      </c>
      <c r="O771" s="39" t="s">
        <v>2202</v>
      </c>
      <c r="AS771" s="48">
        <f>ROUND((Товары[[#This Row],[IRP, Eur]]*$AT$1),-2)*(1+Товары[[#This Row],[Процент повышения РРЦ]])</f>
        <v>0</v>
      </c>
      <c r="AT771" s="48"/>
      <c r="AU771" s="50">
        <f>ROUND(Товары[[#This Row],[РРЦ финальная, руб.]]/$AT$1,2)</f>
        <v>0</v>
      </c>
      <c r="AV771" s="49" t="str">
        <f>IFERROR(Товары[[#This Row],[РРЦ, евро]]/Товары[[#This Row],[IRP, Eur]],"-")</f>
        <v>-</v>
      </c>
      <c r="AX771" s="48">
        <f>ROUND(Товары[[#This Row],[РРЦ финальная, руб.]]*(1-Товары[[#This Row],[Скидка DIY]]),2)</f>
        <v>0</v>
      </c>
    </row>
    <row r="772" spans="1:50" x14ac:dyDescent="0.25">
      <c r="A772" s="36">
        <v>770</v>
      </c>
      <c r="C772" s="36" t="s">
        <v>240</v>
      </c>
      <c r="D7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2" s="36" t="s">
        <v>202</v>
      </c>
      <c r="F7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2" s="38">
        <v>9229</v>
      </c>
      <c r="I772" s="37" t="s">
        <v>345</v>
      </c>
      <c r="K772" s="38">
        <v>970475001</v>
      </c>
      <c r="L772" s="37" t="s">
        <v>1222</v>
      </c>
      <c r="O772" s="39" t="s">
        <v>2202</v>
      </c>
      <c r="AS772" s="48">
        <f>ROUND((Товары[[#This Row],[IRP, Eur]]*$AT$1),-2)*(1+Товары[[#This Row],[Процент повышения РРЦ]])</f>
        <v>0</v>
      </c>
      <c r="AT772" s="48"/>
      <c r="AU772" s="50">
        <f>ROUND(Товары[[#This Row],[РРЦ финальная, руб.]]/$AT$1,2)</f>
        <v>0</v>
      </c>
      <c r="AV772" s="49" t="str">
        <f>IFERROR(Товары[[#This Row],[РРЦ, евро]]/Товары[[#This Row],[IRP, Eur]],"-")</f>
        <v>-</v>
      </c>
      <c r="AX772" s="48">
        <f>ROUND(Товары[[#This Row],[РРЦ финальная, руб.]]*(1-Товары[[#This Row],[Скидка DIY]]),2)</f>
        <v>0</v>
      </c>
    </row>
    <row r="773" spans="1:50" x14ac:dyDescent="0.25">
      <c r="A773" s="36">
        <v>771</v>
      </c>
      <c r="C773" s="36" t="s">
        <v>240</v>
      </c>
      <c r="D7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3" s="36" t="s">
        <v>202</v>
      </c>
      <c r="F7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3" s="38">
        <v>9230</v>
      </c>
      <c r="I773" s="37" t="s">
        <v>345</v>
      </c>
      <c r="K773" s="38" t="s">
        <v>366</v>
      </c>
      <c r="L773" s="37" t="s">
        <v>366</v>
      </c>
      <c r="O773" s="39" t="s">
        <v>2203</v>
      </c>
      <c r="AS773" s="48">
        <f>ROUND((Товары[[#This Row],[IRP, Eur]]*$AT$1),-2)*(1+Товары[[#This Row],[Процент повышения РРЦ]])</f>
        <v>0</v>
      </c>
      <c r="AT773" s="48"/>
      <c r="AU773" s="50">
        <f>ROUND(Товары[[#This Row],[РРЦ финальная, руб.]]/$AT$1,2)</f>
        <v>0</v>
      </c>
      <c r="AV773" s="49" t="str">
        <f>IFERROR(Товары[[#This Row],[РРЦ, евро]]/Товары[[#This Row],[IRP, Eur]],"-")</f>
        <v>-</v>
      </c>
      <c r="AX773" s="48">
        <f>ROUND(Товары[[#This Row],[РРЦ финальная, руб.]]*(1-Товары[[#This Row],[Скидка DIY]]),2)</f>
        <v>0</v>
      </c>
    </row>
    <row r="774" spans="1:50" x14ac:dyDescent="0.25">
      <c r="A774" s="36">
        <v>772</v>
      </c>
      <c r="C774" s="36" t="s">
        <v>240</v>
      </c>
      <c r="D7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4" s="36" t="s">
        <v>202</v>
      </c>
      <c r="F7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4" s="38">
        <v>9233</v>
      </c>
      <c r="I774" s="37" t="s">
        <v>357</v>
      </c>
      <c r="J774" s="37">
        <v>530</v>
      </c>
      <c r="K774" s="38">
        <v>900846701</v>
      </c>
      <c r="L774" s="37" t="s">
        <v>1223</v>
      </c>
      <c r="O774" s="39" t="s">
        <v>2204</v>
      </c>
      <c r="AS774" s="48">
        <f>ROUND((Товары[[#This Row],[IRP, Eur]]*$AT$1),-2)*(1+Товары[[#This Row],[Процент повышения РРЦ]])</f>
        <v>0</v>
      </c>
      <c r="AT774" s="48"/>
      <c r="AU774" s="50">
        <f>ROUND(Товары[[#This Row],[РРЦ финальная, руб.]]/$AT$1,2)</f>
        <v>0</v>
      </c>
      <c r="AV774" s="49" t="str">
        <f>IFERROR(Товары[[#This Row],[РРЦ, евро]]/Товары[[#This Row],[IRP, Eur]],"-")</f>
        <v>-</v>
      </c>
      <c r="AX774" s="48">
        <f>ROUND(Товары[[#This Row],[РРЦ финальная, руб.]]*(1-Товары[[#This Row],[Скидка DIY]]),2)</f>
        <v>0</v>
      </c>
    </row>
    <row r="775" spans="1:50" x14ac:dyDescent="0.25">
      <c r="A775" s="36">
        <v>773</v>
      </c>
      <c r="C775" s="36" t="s">
        <v>240</v>
      </c>
      <c r="D7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5" s="36" t="s">
        <v>202</v>
      </c>
      <c r="F7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5" s="38">
        <v>9233</v>
      </c>
      <c r="I775" s="37" t="s">
        <v>357</v>
      </c>
      <c r="J775" s="37">
        <v>532</v>
      </c>
      <c r="K775" s="38">
        <v>900846801</v>
      </c>
      <c r="L775" s="37" t="s">
        <v>1224</v>
      </c>
      <c r="O775" s="39" t="s">
        <v>2205</v>
      </c>
      <c r="AS775" s="48">
        <f>ROUND((Товары[[#This Row],[IRP, Eur]]*$AT$1),-2)*(1+Товары[[#This Row],[Процент повышения РРЦ]])</f>
        <v>0</v>
      </c>
      <c r="AT775" s="48"/>
      <c r="AU775" s="50">
        <f>ROUND(Товары[[#This Row],[РРЦ финальная, руб.]]/$AT$1,2)</f>
        <v>0</v>
      </c>
      <c r="AV775" s="49" t="str">
        <f>IFERROR(Товары[[#This Row],[РРЦ, евро]]/Товары[[#This Row],[IRP, Eur]],"-")</f>
        <v>-</v>
      </c>
      <c r="AX775" s="48">
        <f>ROUND(Товары[[#This Row],[РРЦ финальная, руб.]]*(1-Товары[[#This Row],[Скидка DIY]]),2)</f>
        <v>0</v>
      </c>
    </row>
    <row r="776" spans="1:50" x14ac:dyDescent="0.25">
      <c r="A776" s="36">
        <v>774</v>
      </c>
      <c r="C776" s="36" t="s">
        <v>240</v>
      </c>
      <c r="D7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6" s="36" t="s">
        <v>202</v>
      </c>
      <c r="F7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6" s="38">
        <v>9233</v>
      </c>
      <c r="I776" s="37" t="s">
        <v>357</v>
      </c>
      <c r="J776" s="37">
        <v>534</v>
      </c>
      <c r="K776" s="38">
        <v>900846901</v>
      </c>
      <c r="L776" s="37" t="s">
        <v>1225</v>
      </c>
      <c r="O776" s="39" t="s">
        <v>2206</v>
      </c>
      <c r="AS776" s="48">
        <f>ROUND((Товары[[#This Row],[IRP, Eur]]*$AT$1),-2)*(1+Товары[[#This Row],[Процент повышения РРЦ]])</f>
        <v>0</v>
      </c>
      <c r="AT776" s="48"/>
      <c r="AU776" s="50">
        <f>ROUND(Товары[[#This Row],[РРЦ финальная, руб.]]/$AT$1,2)</f>
        <v>0</v>
      </c>
      <c r="AV776" s="49" t="str">
        <f>IFERROR(Товары[[#This Row],[РРЦ, евро]]/Товары[[#This Row],[IRP, Eur]],"-")</f>
        <v>-</v>
      </c>
      <c r="AX776" s="48">
        <f>ROUND(Товары[[#This Row],[РРЦ финальная, руб.]]*(1-Товары[[#This Row],[Скидка DIY]]),2)</f>
        <v>0</v>
      </c>
    </row>
    <row r="777" spans="1:50" x14ac:dyDescent="0.25">
      <c r="A777" s="36">
        <v>775</v>
      </c>
      <c r="C777" s="36" t="s">
        <v>240</v>
      </c>
      <c r="D7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7" s="36" t="s">
        <v>202</v>
      </c>
      <c r="F7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7" s="38">
        <v>9233</v>
      </c>
      <c r="I777" s="37" t="s">
        <v>358</v>
      </c>
      <c r="J777" s="37">
        <v>536</v>
      </c>
      <c r="K777" s="38">
        <v>900847001</v>
      </c>
      <c r="L777" s="37" t="s">
        <v>1226</v>
      </c>
      <c r="O777" s="39" t="s">
        <v>2207</v>
      </c>
      <c r="AS777" s="48">
        <f>ROUND((Товары[[#This Row],[IRP, Eur]]*$AT$1),-2)*(1+Товары[[#This Row],[Процент повышения РРЦ]])</f>
        <v>0</v>
      </c>
      <c r="AT777" s="48"/>
      <c r="AU777" s="50">
        <f>ROUND(Товары[[#This Row],[РРЦ финальная, руб.]]/$AT$1,2)</f>
        <v>0</v>
      </c>
      <c r="AV777" s="49" t="str">
        <f>IFERROR(Товары[[#This Row],[РРЦ, евро]]/Товары[[#This Row],[IRP, Eur]],"-")</f>
        <v>-</v>
      </c>
      <c r="AX777" s="48">
        <f>ROUND(Товары[[#This Row],[РРЦ финальная, руб.]]*(1-Товары[[#This Row],[Скидка DIY]]),2)</f>
        <v>0</v>
      </c>
    </row>
    <row r="778" spans="1:50" x14ac:dyDescent="0.25">
      <c r="A778" s="36">
        <v>776</v>
      </c>
      <c r="C778" s="36" t="s">
        <v>240</v>
      </c>
      <c r="D7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8" s="36" t="s">
        <v>202</v>
      </c>
      <c r="F7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8" s="38">
        <v>9233</v>
      </c>
      <c r="I778" s="37" t="s">
        <v>358</v>
      </c>
      <c r="J778" s="37">
        <v>538</v>
      </c>
      <c r="K778" s="38">
        <v>900847101</v>
      </c>
      <c r="L778" s="37" t="s">
        <v>1227</v>
      </c>
      <c r="O778" s="39" t="s">
        <v>2208</v>
      </c>
      <c r="AS778" s="48">
        <f>ROUND((Товары[[#This Row],[IRP, Eur]]*$AT$1),-2)*(1+Товары[[#This Row],[Процент повышения РРЦ]])</f>
        <v>0</v>
      </c>
      <c r="AT778" s="48"/>
      <c r="AU778" s="50">
        <f>ROUND(Товары[[#This Row],[РРЦ финальная, руб.]]/$AT$1,2)</f>
        <v>0</v>
      </c>
      <c r="AV778" s="49" t="str">
        <f>IFERROR(Товары[[#This Row],[РРЦ, евро]]/Товары[[#This Row],[IRP, Eur]],"-")</f>
        <v>-</v>
      </c>
      <c r="AX778" s="48">
        <f>ROUND(Товары[[#This Row],[РРЦ финальная, руб.]]*(1-Товары[[#This Row],[Скидка DIY]]),2)</f>
        <v>0</v>
      </c>
    </row>
    <row r="779" spans="1:50" x14ac:dyDescent="0.25">
      <c r="A779" s="36">
        <v>777</v>
      </c>
      <c r="C779" s="36" t="s">
        <v>240</v>
      </c>
      <c r="D7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9" s="36" t="s">
        <v>202</v>
      </c>
      <c r="F7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9" s="38">
        <v>9233</v>
      </c>
      <c r="I779" s="37" t="s">
        <v>358</v>
      </c>
      <c r="J779" s="37">
        <v>540</v>
      </c>
      <c r="K779" s="38">
        <v>900847201</v>
      </c>
      <c r="L779" s="37" t="s">
        <v>1228</v>
      </c>
      <c r="O779" s="39" t="s">
        <v>2209</v>
      </c>
      <c r="AS779" s="48">
        <f>ROUND((Товары[[#This Row],[IRP, Eur]]*$AT$1),-2)*(1+Товары[[#This Row],[Процент повышения РРЦ]])</f>
        <v>0</v>
      </c>
      <c r="AT779" s="48"/>
      <c r="AU779" s="50">
        <f>ROUND(Товары[[#This Row],[РРЦ финальная, руб.]]/$AT$1,2)</f>
        <v>0</v>
      </c>
      <c r="AV779" s="49" t="str">
        <f>IFERROR(Товары[[#This Row],[РРЦ, евро]]/Товары[[#This Row],[IRP, Eur]],"-")</f>
        <v>-</v>
      </c>
      <c r="AX779" s="48">
        <f>ROUND(Товары[[#This Row],[РРЦ финальная, руб.]]*(1-Товары[[#This Row],[Скидка DIY]]),2)</f>
        <v>0</v>
      </c>
    </row>
    <row r="780" spans="1:50" x14ac:dyDescent="0.25">
      <c r="A780" s="36">
        <v>778</v>
      </c>
      <c r="C780" s="36" t="s">
        <v>240</v>
      </c>
      <c r="D7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0" s="36" t="s">
        <v>207</v>
      </c>
      <c r="F7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0" s="38">
        <v>9225</v>
      </c>
      <c r="I780" s="37" t="s">
        <v>359</v>
      </c>
      <c r="J780" s="37">
        <v>3255</v>
      </c>
      <c r="K780" s="38">
        <v>967632201</v>
      </c>
      <c r="L780" s="37" t="s">
        <v>1229</v>
      </c>
      <c r="O780" s="39" t="s">
        <v>2210</v>
      </c>
      <c r="AS780" s="48">
        <f>ROUND((Товары[[#This Row],[IRP, Eur]]*$AT$1),-2)*(1+Товары[[#This Row],[Процент повышения РРЦ]])</f>
        <v>0</v>
      </c>
      <c r="AT780" s="48"/>
      <c r="AU780" s="50">
        <f>ROUND(Товары[[#This Row],[РРЦ финальная, руб.]]/$AT$1,2)</f>
        <v>0</v>
      </c>
      <c r="AV780" s="49" t="str">
        <f>IFERROR(Товары[[#This Row],[РРЦ, евро]]/Товары[[#This Row],[IRP, Eur]],"-")</f>
        <v>-</v>
      </c>
      <c r="AX780" s="48">
        <f>ROUND(Товары[[#This Row],[РРЦ финальная, руб.]]*(1-Товары[[#This Row],[Скидка DIY]]),2)</f>
        <v>0</v>
      </c>
    </row>
    <row r="781" spans="1:50" x14ac:dyDescent="0.25">
      <c r="A781" s="36">
        <v>779</v>
      </c>
      <c r="C781" s="36" t="s">
        <v>240</v>
      </c>
      <c r="D7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1" s="36" t="s">
        <v>202</v>
      </c>
      <c r="F7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1" s="38">
        <v>9232</v>
      </c>
      <c r="I781" s="37" t="s">
        <v>359</v>
      </c>
      <c r="J781" s="37">
        <v>431</v>
      </c>
      <c r="K781" s="38">
        <v>967675901</v>
      </c>
      <c r="L781" s="37" t="s">
        <v>1230</v>
      </c>
      <c r="O781" s="39" t="s">
        <v>2211</v>
      </c>
      <c r="AS781" s="48">
        <f>ROUND((Товары[[#This Row],[IRP, Eur]]*$AT$1),-2)*(1+Товары[[#This Row],[Процент повышения РРЦ]])</f>
        <v>0</v>
      </c>
      <c r="AT781" s="48"/>
      <c r="AU781" s="50">
        <f>ROUND(Товары[[#This Row],[РРЦ финальная, руб.]]/$AT$1,2)</f>
        <v>0</v>
      </c>
      <c r="AV781" s="49" t="str">
        <f>IFERROR(Товары[[#This Row],[РРЦ, евро]]/Товары[[#This Row],[IRP, Eur]],"-")</f>
        <v>-</v>
      </c>
      <c r="AX781" s="48">
        <f>ROUND(Товары[[#This Row],[РРЦ финальная, руб.]]*(1-Товары[[#This Row],[Скидка DIY]]),2)</f>
        <v>0</v>
      </c>
    </row>
    <row r="782" spans="1:50" x14ac:dyDescent="0.25">
      <c r="A782" s="36">
        <v>780</v>
      </c>
      <c r="C782" s="36" t="s">
        <v>240</v>
      </c>
      <c r="D7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2" s="36" t="s">
        <v>202</v>
      </c>
      <c r="F7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2" s="38">
        <v>9232</v>
      </c>
      <c r="I782" s="37" t="s">
        <v>359</v>
      </c>
      <c r="J782" s="37">
        <v>420</v>
      </c>
      <c r="K782" s="38">
        <v>900843801</v>
      </c>
      <c r="L782" s="37" t="s">
        <v>1231</v>
      </c>
      <c r="O782" s="39" t="s">
        <v>2212</v>
      </c>
      <c r="AS782" s="48">
        <f>ROUND((Товары[[#This Row],[IRP, Eur]]*$AT$1),-2)*(1+Товары[[#This Row],[Процент повышения РРЦ]])</f>
        <v>0</v>
      </c>
      <c r="AT782" s="48"/>
      <c r="AU782" s="50">
        <f>ROUND(Товары[[#This Row],[РРЦ финальная, руб.]]/$AT$1,2)</f>
        <v>0</v>
      </c>
      <c r="AV782" s="49" t="str">
        <f>IFERROR(Товары[[#This Row],[РРЦ, евро]]/Товары[[#This Row],[IRP, Eur]],"-")</f>
        <v>-</v>
      </c>
      <c r="AX782" s="48">
        <f>ROUND(Товары[[#This Row],[РРЦ финальная, руб.]]*(1-Товары[[#This Row],[Скидка DIY]]),2)</f>
        <v>0</v>
      </c>
    </row>
    <row r="783" spans="1:50" x14ac:dyDescent="0.25">
      <c r="A783" s="36">
        <v>781</v>
      </c>
      <c r="C783" s="36" t="s">
        <v>240</v>
      </c>
      <c r="D7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3" s="36" t="s">
        <v>202</v>
      </c>
      <c r="F7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3" s="38">
        <v>9232</v>
      </c>
      <c r="I783" s="37" t="s">
        <v>359</v>
      </c>
      <c r="J783" s="37">
        <v>432</v>
      </c>
      <c r="K783" s="38">
        <v>967676101</v>
      </c>
      <c r="L783" s="37" t="s">
        <v>1232</v>
      </c>
      <c r="M783" s="37" t="s">
        <v>1454</v>
      </c>
      <c r="O783" s="39" t="s">
        <v>2213</v>
      </c>
      <c r="AS783" s="48">
        <f>ROUND((Товары[[#This Row],[IRP, Eur]]*$AT$1),-2)*(1+Товары[[#This Row],[Процент повышения РРЦ]])</f>
        <v>0</v>
      </c>
      <c r="AT783" s="48"/>
      <c r="AU783" s="50">
        <f>ROUND(Товары[[#This Row],[РРЦ финальная, руб.]]/$AT$1,2)</f>
        <v>0</v>
      </c>
      <c r="AV783" s="49" t="str">
        <f>IFERROR(Товары[[#This Row],[РРЦ, евро]]/Товары[[#This Row],[IRP, Eur]],"-")</f>
        <v>-</v>
      </c>
      <c r="AX783" s="48">
        <f>ROUND(Товары[[#This Row],[РРЦ финальная, руб.]]*(1-Товары[[#This Row],[Скидка DIY]]),2)</f>
        <v>0</v>
      </c>
    </row>
    <row r="784" spans="1:50" x14ac:dyDescent="0.25">
      <c r="A784" s="36">
        <v>782</v>
      </c>
      <c r="C784" s="36" t="s">
        <v>240</v>
      </c>
      <c r="D7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4" s="36" t="s">
        <v>202</v>
      </c>
      <c r="F7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4" s="38">
        <v>9232</v>
      </c>
      <c r="I784" s="37" t="s">
        <v>359</v>
      </c>
      <c r="J784" s="37">
        <v>432</v>
      </c>
      <c r="K784" s="38">
        <v>967691001</v>
      </c>
      <c r="L784" s="37" t="s">
        <v>1233</v>
      </c>
      <c r="M784" s="37" t="s">
        <v>1454</v>
      </c>
      <c r="O784" s="39" t="s">
        <v>2214</v>
      </c>
      <c r="AS784" s="48">
        <f>ROUND((Товары[[#This Row],[IRP, Eur]]*$AT$1),-2)*(1+Товары[[#This Row],[Процент повышения РРЦ]])</f>
        <v>0</v>
      </c>
      <c r="AT784" s="48"/>
      <c r="AU784" s="50">
        <f>ROUND(Товары[[#This Row],[РРЦ финальная, руб.]]/$AT$1,2)</f>
        <v>0</v>
      </c>
      <c r="AV784" s="49" t="str">
        <f>IFERROR(Товары[[#This Row],[РРЦ, евро]]/Товары[[#This Row],[IRP, Eur]],"-")</f>
        <v>-</v>
      </c>
      <c r="AX784" s="48">
        <f>ROUND(Товары[[#This Row],[РРЦ финальная, руб.]]*(1-Товары[[#This Row],[Скидка DIY]]),2)</f>
        <v>0</v>
      </c>
    </row>
    <row r="785" spans="1:50" x14ac:dyDescent="0.25">
      <c r="A785" s="36">
        <v>783</v>
      </c>
      <c r="C785" s="36" t="s">
        <v>240</v>
      </c>
      <c r="D7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5" s="36" t="s">
        <v>202</v>
      </c>
      <c r="F7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5" s="38">
        <v>9232</v>
      </c>
      <c r="I785" s="37" t="s">
        <v>359</v>
      </c>
      <c r="J785" s="37">
        <v>436</v>
      </c>
      <c r="K785" s="38">
        <v>967676201</v>
      </c>
      <c r="L785" s="37" t="s">
        <v>1234</v>
      </c>
      <c r="M785" s="37" t="s">
        <v>1455</v>
      </c>
      <c r="O785" s="39" t="s">
        <v>2215</v>
      </c>
      <c r="AS785" s="48">
        <f>ROUND((Товары[[#This Row],[IRP, Eur]]*$AT$1),-2)*(1+Товары[[#This Row],[Процент повышения РРЦ]])</f>
        <v>0</v>
      </c>
      <c r="AT785" s="48"/>
      <c r="AU785" s="50">
        <f>ROUND(Товары[[#This Row],[РРЦ финальная, руб.]]/$AT$1,2)</f>
        <v>0</v>
      </c>
      <c r="AV785" s="49" t="str">
        <f>IFERROR(Товары[[#This Row],[РРЦ, евро]]/Товары[[#This Row],[IRP, Eur]],"-")</f>
        <v>-</v>
      </c>
      <c r="AX785" s="48">
        <f>ROUND(Товары[[#This Row],[РРЦ финальная, руб.]]*(1-Товары[[#This Row],[Скидка DIY]]),2)</f>
        <v>0</v>
      </c>
    </row>
    <row r="786" spans="1:50" x14ac:dyDescent="0.25">
      <c r="A786" s="36">
        <v>784</v>
      </c>
      <c r="C786" s="36" t="s">
        <v>240</v>
      </c>
      <c r="D7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6" s="36" t="s">
        <v>202</v>
      </c>
      <c r="F7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6" s="38">
        <v>9241</v>
      </c>
      <c r="K786" s="38">
        <v>970476801</v>
      </c>
      <c r="L786" s="37" t="s">
        <v>1235</v>
      </c>
      <c r="O786" s="39" t="s">
        <v>2216</v>
      </c>
      <c r="AS786" s="48">
        <f>ROUND((Товары[[#This Row],[IRP, Eur]]*$AT$1),-2)*(1+Товары[[#This Row],[Процент повышения РРЦ]])</f>
        <v>0</v>
      </c>
      <c r="AT786" s="48"/>
      <c r="AU786" s="50">
        <f>ROUND(Товары[[#This Row],[РРЦ финальная, руб.]]/$AT$1,2)</f>
        <v>0</v>
      </c>
      <c r="AV786" s="49" t="str">
        <f>IFERROR(Товары[[#This Row],[РРЦ, евро]]/Товары[[#This Row],[IRP, Eur]],"-")</f>
        <v>-</v>
      </c>
      <c r="AX786" s="48">
        <f>ROUND(Товары[[#This Row],[РРЦ финальная, руб.]]*(1-Товары[[#This Row],[Скидка DIY]]),2)</f>
        <v>0</v>
      </c>
    </row>
    <row r="787" spans="1:50" x14ac:dyDescent="0.25">
      <c r="A787" s="36">
        <v>785</v>
      </c>
      <c r="C787" s="36" t="s">
        <v>240</v>
      </c>
      <c r="D7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7" s="36" t="s">
        <v>202</v>
      </c>
      <c r="F7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7" s="38">
        <v>9241</v>
      </c>
      <c r="I787" s="37" t="s">
        <v>360</v>
      </c>
      <c r="J787" s="37">
        <v>804</v>
      </c>
      <c r="K787" s="38">
        <v>966644901</v>
      </c>
      <c r="L787" s="37" t="s">
        <v>1236</v>
      </c>
      <c r="O787" s="39" t="s">
        <v>2217</v>
      </c>
      <c r="AS787" s="48">
        <f>ROUND((Товары[[#This Row],[IRP, Eur]]*$AT$1),-2)*(1+Товары[[#This Row],[Процент повышения РРЦ]])</f>
        <v>0</v>
      </c>
      <c r="AT787" s="48"/>
      <c r="AU787" s="50">
        <f>ROUND(Товары[[#This Row],[РРЦ финальная, руб.]]/$AT$1,2)</f>
        <v>0</v>
      </c>
      <c r="AV787" s="49" t="str">
        <f>IFERROR(Товары[[#This Row],[РРЦ, евро]]/Товары[[#This Row],[IRP, Eur]],"-")</f>
        <v>-</v>
      </c>
      <c r="AX787" s="48">
        <f>ROUND(Товары[[#This Row],[РРЦ финальная, руб.]]*(1-Товары[[#This Row],[Скидка DIY]]),2)</f>
        <v>0</v>
      </c>
    </row>
    <row r="788" spans="1:50" x14ac:dyDescent="0.25">
      <c r="A788" s="36">
        <v>786</v>
      </c>
      <c r="C788" s="36" t="s">
        <v>240</v>
      </c>
      <c r="D7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8" s="36" t="s">
        <v>202</v>
      </c>
      <c r="F7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8" s="38">
        <v>9241</v>
      </c>
      <c r="K788" s="38">
        <v>970476901</v>
      </c>
      <c r="L788" s="37" t="s">
        <v>1237</v>
      </c>
      <c r="O788" s="39" t="s">
        <v>2218</v>
      </c>
      <c r="AS788" s="48">
        <f>ROUND((Товары[[#This Row],[IRP, Eur]]*$AT$1),-2)*(1+Товары[[#This Row],[Процент повышения РРЦ]])</f>
        <v>0</v>
      </c>
      <c r="AT788" s="48"/>
      <c r="AU788" s="50">
        <f>ROUND(Товары[[#This Row],[РРЦ финальная, руб.]]/$AT$1,2)</f>
        <v>0</v>
      </c>
      <c r="AV788" s="49" t="str">
        <f>IFERROR(Товары[[#This Row],[РРЦ, евро]]/Товары[[#This Row],[IRP, Eur]],"-")</f>
        <v>-</v>
      </c>
      <c r="AX788" s="48">
        <f>ROUND(Товары[[#This Row],[РРЦ финальная, руб.]]*(1-Товары[[#This Row],[Скидка DIY]]),2)</f>
        <v>0</v>
      </c>
    </row>
    <row r="789" spans="1:50" x14ac:dyDescent="0.25">
      <c r="A789" s="36">
        <v>787</v>
      </c>
      <c r="C789" s="36" t="s">
        <v>240</v>
      </c>
      <c r="D7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9" s="36" t="s">
        <v>202</v>
      </c>
      <c r="F7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9" s="38">
        <v>9241</v>
      </c>
      <c r="K789" s="38">
        <v>970477601</v>
      </c>
      <c r="L789" s="37" t="s">
        <v>1238</v>
      </c>
      <c r="O789" s="39" t="s">
        <v>2219</v>
      </c>
      <c r="AS789" s="48">
        <f>ROUND((Товары[[#This Row],[IRP, Eur]]*$AT$1),-2)*(1+Товары[[#This Row],[Процент повышения РРЦ]])</f>
        <v>0</v>
      </c>
      <c r="AT789" s="48"/>
      <c r="AU789" s="50">
        <f>ROUND(Товары[[#This Row],[РРЦ финальная, руб.]]/$AT$1,2)</f>
        <v>0</v>
      </c>
      <c r="AV789" s="49" t="str">
        <f>IFERROR(Товары[[#This Row],[РРЦ, евро]]/Товары[[#This Row],[IRP, Eur]],"-")</f>
        <v>-</v>
      </c>
      <c r="AX789" s="48">
        <f>ROUND(Товары[[#This Row],[РРЦ финальная, руб.]]*(1-Товары[[#This Row],[Скидка DIY]]),2)</f>
        <v>0</v>
      </c>
    </row>
    <row r="790" spans="1:50" x14ac:dyDescent="0.25">
      <c r="A790" s="36">
        <v>788</v>
      </c>
      <c r="C790" s="36" t="s">
        <v>240</v>
      </c>
      <c r="D7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0" s="36" t="s">
        <v>202</v>
      </c>
      <c r="F7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0" s="38">
        <v>9241</v>
      </c>
      <c r="I790" s="37" t="s">
        <v>360</v>
      </c>
      <c r="J790" s="37">
        <v>805</v>
      </c>
      <c r="K790" s="38">
        <v>966645001</v>
      </c>
      <c r="L790" s="37" t="s">
        <v>1239</v>
      </c>
      <c r="O790" s="39" t="s">
        <v>2220</v>
      </c>
      <c r="AS790" s="48">
        <f>ROUND((Товары[[#This Row],[IRP, Eur]]*$AT$1),-2)*(1+Товары[[#This Row],[Процент повышения РРЦ]])</f>
        <v>0</v>
      </c>
      <c r="AT790" s="48"/>
      <c r="AU790" s="50">
        <f>ROUND(Товары[[#This Row],[РРЦ финальная, руб.]]/$AT$1,2)</f>
        <v>0</v>
      </c>
      <c r="AV790" s="49" t="str">
        <f>IFERROR(Товары[[#This Row],[РРЦ, евро]]/Товары[[#This Row],[IRP, Eur]],"-")</f>
        <v>-</v>
      </c>
      <c r="AX790" s="48">
        <f>ROUND(Товары[[#This Row],[РРЦ финальная, руб.]]*(1-Товары[[#This Row],[Скидка DIY]]),2)</f>
        <v>0</v>
      </c>
    </row>
    <row r="791" spans="1:50" x14ac:dyDescent="0.25">
      <c r="A791" s="36">
        <v>789</v>
      </c>
      <c r="C791" s="36" t="s">
        <v>240</v>
      </c>
      <c r="D7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1" s="36" t="s">
        <v>202</v>
      </c>
      <c r="F7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1" s="38">
        <v>9241</v>
      </c>
      <c r="K791" s="38">
        <v>970462701</v>
      </c>
      <c r="L791" s="37" t="s">
        <v>1240</v>
      </c>
      <c r="O791" s="39" t="s">
        <v>2221</v>
      </c>
      <c r="AS791" s="48">
        <f>ROUND((Товары[[#This Row],[IRP, Eur]]*$AT$1),-2)*(1+Товары[[#This Row],[Процент повышения РРЦ]])</f>
        <v>0</v>
      </c>
      <c r="AT791" s="48"/>
      <c r="AU791" s="50">
        <f>ROUND(Товары[[#This Row],[РРЦ финальная, руб.]]/$AT$1,2)</f>
        <v>0</v>
      </c>
      <c r="AV791" s="49" t="str">
        <f>IFERROR(Товары[[#This Row],[РРЦ, евро]]/Товары[[#This Row],[IRP, Eur]],"-")</f>
        <v>-</v>
      </c>
      <c r="AX791" s="48">
        <f>ROUND(Товары[[#This Row],[РРЦ финальная, руб.]]*(1-Товары[[#This Row],[Скидка DIY]]),2)</f>
        <v>0</v>
      </c>
    </row>
    <row r="792" spans="1:50" x14ac:dyDescent="0.25">
      <c r="A792" s="36">
        <v>790</v>
      </c>
      <c r="C792" s="36" t="s">
        <v>240</v>
      </c>
      <c r="D7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2" s="36" t="s">
        <v>202</v>
      </c>
      <c r="F7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2" s="38">
        <v>9241</v>
      </c>
      <c r="I792" s="37" t="s">
        <v>360</v>
      </c>
      <c r="J792" s="37">
        <v>806</v>
      </c>
      <c r="K792" s="38">
        <v>966645101</v>
      </c>
      <c r="L792" s="37" t="s">
        <v>1241</v>
      </c>
      <c r="O792" s="39" t="s">
        <v>2222</v>
      </c>
      <c r="AS792" s="48">
        <f>ROUND((Товары[[#This Row],[IRP, Eur]]*$AT$1),-2)*(1+Товары[[#This Row],[Процент повышения РРЦ]])</f>
        <v>0</v>
      </c>
      <c r="AT792" s="48"/>
      <c r="AU792" s="50">
        <f>ROUND(Товары[[#This Row],[РРЦ финальная, руб.]]/$AT$1,2)</f>
        <v>0</v>
      </c>
      <c r="AV792" s="49" t="str">
        <f>IFERROR(Товары[[#This Row],[РРЦ, евро]]/Товары[[#This Row],[IRP, Eur]],"-")</f>
        <v>-</v>
      </c>
      <c r="AX792" s="48">
        <f>ROUND(Товары[[#This Row],[РРЦ финальная, руб.]]*(1-Товары[[#This Row],[Скидка DIY]]),2)</f>
        <v>0</v>
      </c>
    </row>
    <row r="793" spans="1:50" x14ac:dyDescent="0.25">
      <c r="A793" s="36">
        <v>791</v>
      </c>
      <c r="C793" s="36" t="s">
        <v>240</v>
      </c>
      <c r="D7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3" s="36" t="s">
        <v>202</v>
      </c>
      <c r="F7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3" s="38">
        <v>9241</v>
      </c>
      <c r="K793" s="38">
        <v>970477501</v>
      </c>
      <c r="L793" s="37" t="s">
        <v>1242</v>
      </c>
      <c r="O793" s="39" t="s">
        <v>2223</v>
      </c>
      <c r="AS793" s="48">
        <f>ROUND((Товары[[#This Row],[IRP, Eur]]*$AT$1),-2)*(1+Товары[[#This Row],[Процент повышения РРЦ]])</f>
        <v>0</v>
      </c>
      <c r="AT793" s="48"/>
      <c r="AU793" s="50">
        <f>ROUND(Товары[[#This Row],[РРЦ финальная, руб.]]/$AT$1,2)</f>
        <v>0</v>
      </c>
      <c r="AV793" s="49" t="str">
        <f>IFERROR(Товары[[#This Row],[РРЦ, евро]]/Товары[[#This Row],[IRP, Eur]],"-")</f>
        <v>-</v>
      </c>
      <c r="AX793" s="48">
        <f>ROUND(Товары[[#This Row],[РРЦ финальная, руб.]]*(1-Товары[[#This Row],[Скидка DIY]]),2)</f>
        <v>0</v>
      </c>
    </row>
    <row r="794" spans="1:50" x14ac:dyDescent="0.25">
      <c r="A794" s="36">
        <v>792</v>
      </c>
      <c r="C794" s="36" t="s">
        <v>240</v>
      </c>
      <c r="D7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4" s="36" t="s">
        <v>202</v>
      </c>
      <c r="F7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4" s="38">
        <v>9241</v>
      </c>
      <c r="I794" s="37" t="s">
        <v>361</v>
      </c>
      <c r="J794" s="37">
        <v>814</v>
      </c>
      <c r="K794" s="38">
        <v>966645201</v>
      </c>
      <c r="L794" s="37" t="s">
        <v>1243</v>
      </c>
      <c r="O794" s="39" t="s">
        <v>2224</v>
      </c>
      <c r="AS794" s="48">
        <f>ROUND((Товары[[#This Row],[IRP, Eur]]*$AT$1),-2)*(1+Товары[[#This Row],[Процент повышения РРЦ]])</f>
        <v>0</v>
      </c>
      <c r="AT794" s="48"/>
      <c r="AU794" s="50">
        <f>ROUND(Товары[[#This Row],[РРЦ финальная, руб.]]/$AT$1,2)</f>
        <v>0</v>
      </c>
      <c r="AV794" s="49" t="str">
        <f>IFERROR(Товары[[#This Row],[РРЦ, евро]]/Товары[[#This Row],[IRP, Eur]],"-")</f>
        <v>-</v>
      </c>
      <c r="AX794" s="48">
        <f>ROUND(Товары[[#This Row],[РРЦ финальная, руб.]]*(1-Товары[[#This Row],[Скидка DIY]]),2)</f>
        <v>0</v>
      </c>
    </row>
    <row r="795" spans="1:50" x14ac:dyDescent="0.25">
      <c r="A795" s="36">
        <v>793</v>
      </c>
      <c r="C795" s="36" t="s">
        <v>240</v>
      </c>
      <c r="D7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5" s="36" t="s">
        <v>202</v>
      </c>
      <c r="F7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5" s="38">
        <v>9241</v>
      </c>
      <c r="I795" s="37" t="s">
        <v>361</v>
      </c>
      <c r="J795" s="37">
        <v>814</v>
      </c>
      <c r="K795" s="38">
        <v>967104201</v>
      </c>
      <c r="L795" s="37" t="s">
        <v>1244</v>
      </c>
      <c r="O795" s="39" t="s">
        <v>2225</v>
      </c>
      <c r="AS795" s="48">
        <f>ROUND((Товары[[#This Row],[IRP, Eur]]*$AT$1),-2)*(1+Товары[[#This Row],[Процент повышения РРЦ]])</f>
        <v>0</v>
      </c>
      <c r="AT795" s="48"/>
      <c r="AU795" s="50">
        <f>ROUND(Товары[[#This Row],[РРЦ финальная, руб.]]/$AT$1,2)</f>
        <v>0</v>
      </c>
      <c r="AV795" s="49" t="str">
        <f>IFERROR(Товары[[#This Row],[РРЦ, евро]]/Товары[[#This Row],[IRP, Eur]],"-")</f>
        <v>-</v>
      </c>
      <c r="AX795" s="48">
        <f>ROUND(Товары[[#This Row],[РРЦ финальная, руб.]]*(1-Товары[[#This Row],[Скидка DIY]]),2)</f>
        <v>0</v>
      </c>
    </row>
    <row r="796" spans="1:50" x14ac:dyDescent="0.25">
      <c r="A796" s="36">
        <v>794</v>
      </c>
      <c r="C796" s="36" t="s">
        <v>240</v>
      </c>
      <c r="D7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6" s="36" t="s">
        <v>202</v>
      </c>
      <c r="F7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6" s="38">
        <v>9241</v>
      </c>
      <c r="K796" s="38">
        <v>970461301</v>
      </c>
      <c r="L796" s="37" t="s">
        <v>1245</v>
      </c>
      <c r="O796" s="39" t="s">
        <v>2226</v>
      </c>
      <c r="AS796" s="48">
        <f>ROUND((Товары[[#This Row],[IRP, Eur]]*$AT$1),-2)*(1+Товары[[#This Row],[Процент повышения РРЦ]])</f>
        <v>0</v>
      </c>
      <c r="AT796" s="48"/>
      <c r="AU796" s="50">
        <f>ROUND(Товары[[#This Row],[РРЦ финальная, руб.]]/$AT$1,2)</f>
        <v>0</v>
      </c>
      <c r="AV796" s="49" t="str">
        <f>IFERROR(Товары[[#This Row],[РРЦ, евро]]/Товары[[#This Row],[IRP, Eur]],"-")</f>
        <v>-</v>
      </c>
      <c r="AX796" s="48">
        <f>ROUND(Товары[[#This Row],[РРЦ финальная, руб.]]*(1-Товары[[#This Row],[Скидка DIY]]),2)</f>
        <v>0</v>
      </c>
    </row>
    <row r="797" spans="1:50" x14ac:dyDescent="0.25">
      <c r="A797" s="36">
        <v>795</v>
      </c>
      <c r="C797" s="36" t="s">
        <v>240</v>
      </c>
      <c r="D7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7" s="36" t="s">
        <v>202</v>
      </c>
      <c r="F7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7" s="38">
        <v>9241</v>
      </c>
      <c r="K797" s="38">
        <v>970477001</v>
      </c>
      <c r="L797" s="37" t="s">
        <v>1246</v>
      </c>
      <c r="O797" s="39" t="s">
        <v>2227</v>
      </c>
      <c r="AS797" s="48">
        <f>ROUND((Товары[[#This Row],[IRP, Eur]]*$AT$1),-2)*(1+Товары[[#This Row],[Процент повышения РРЦ]])</f>
        <v>0</v>
      </c>
      <c r="AT797" s="48"/>
      <c r="AU797" s="50">
        <f>ROUND(Товары[[#This Row],[РРЦ финальная, руб.]]/$AT$1,2)</f>
        <v>0</v>
      </c>
      <c r="AV797" s="49" t="str">
        <f>IFERROR(Товары[[#This Row],[РРЦ, евро]]/Товары[[#This Row],[IRP, Eur]],"-")</f>
        <v>-</v>
      </c>
      <c r="AX797" s="48">
        <f>ROUND(Товары[[#This Row],[РРЦ финальная, руб.]]*(1-Товары[[#This Row],[Скидка DIY]]),2)</f>
        <v>0</v>
      </c>
    </row>
    <row r="798" spans="1:50" x14ac:dyDescent="0.25">
      <c r="A798" s="36">
        <v>796</v>
      </c>
      <c r="C798" s="36" t="s">
        <v>240</v>
      </c>
      <c r="D7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8" s="36" t="s">
        <v>202</v>
      </c>
      <c r="F7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8" s="38">
        <v>9241</v>
      </c>
      <c r="I798" s="37" t="s">
        <v>361</v>
      </c>
      <c r="J798" s="37">
        <v>822</v>
      </c>
      <c r="K798" s="38">
        <v>966645301</v>
      </c>
      <c r="L798" s="37" t="s">
        <v>1247</v>
      </c>
      <c r="O798" s="39" t="s">
        <v>2228</v>
      </c>
      <c r="AS798" s="48">
        <f>ROUND((Товары[[#This Row],[IRP, Eur]]*$AT$1),-2)*(1+Товары[[#This Row],[Процент повышения РРЦ]])</f>
        <v>0</v>
      </c>
      <c r="AT798" s="48"/>
      <c r="AU798" s="50">
        <f>ROUND(Товары[[#This Row],[РРЦ финальная, руб.]]/$AT$1,2)</f>
        <v>0</v>
      </c>
      <c r="AV798" s="49" t="str">
        <f>IFERROR(Товары[[#This Row],[РРЦ, евро]]/Товары[[#This Row],[IRP, Eur]],"-")</f>
        <v>-</v>
      </c>
      <c r="AX798" s="48">
        <f>ROUND(Товары[[#This Row],[РРЦ финальная, руб.]]*(1-Товары[[#This Row],[Скидка DIY]]),2)</f>
        <v>0</v>
      </c>
    </row>
    <row r="799" spans="1:50" x14ac:dyDescent="0.25">
      <c r="A799" s="36">
        <v>797</v>
      </c>
      <c r="C799" s="36" t="s">
        <v>240</v>
      </c>
      <c r="D7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9" s="36" t="s">
        <v>202</v>
      </c>
      <c r="F7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9" s="38">
        <v>9241</v>
      </c>
      <c r="K799" s="38">
        <v>970461501</v>
      </c>
      <c r="L799" s="37" t="s">
        <v>1248</v>
      </c>
      <c r="O799" s="39" t="s">
        <v>2229</v>
      </c>
      <c r="AS799" s="48">
        <f>ROUND((Товары[[#This Row],[IRP, Eur]]*$AT$1),-2)*(1+Товары[[#This Row],[Процент повышения РРЦ]])</f>
        <v>0</v>
      </c>
      <c r="AT799" s="48"/>
      <c r="AU799" s="50">
        <f>ROUND(Товары[[#This Row],[РРЦ финальная, руб.]]/$AT$1,2)</f>
        <v>0</v>
      </c>
      <c r="AV799" s="49" t="str">
        <f>IFERROR(Товары[[#This Row],[РРЦ, евро]]/Товары[[#This Row],[IRP, Eur]],"-")</f>
        <v>-</v>
      </c>
      <c r="AX799" s="48">
        <f>ROUND(Товары[[#This Row],[РРЦ финальная, руб.]]*(1-Товары[[#This Row],[Скидка DIY]]),2)</f>
        <v>0</v>
      </c>
    </row>
    <row r="800" spans="1:50" x14ac:dyDescent="0.25">
      <c r="A800" s="36">
        <v>798</v>
      </c>
      <c r="C800" s="36" t="s">
        <v>240</v>
      </c>
      <c r="D8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0" s="36" t="s">
        <v>202</v>
      </c>
      <c r="F8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0" s="38">
        <v>9241</v>
      </c>
      <c r="I800" s="37" t="s">
        <v>361</v>
      </c>
      <c r="J800" s="37">
        <v>823</v>
      </c>
      <c r="K800" s="38">
        <v>966645401</v>
      </c>
      <c r="L800" s="37" t="s">
        <v>1249</v>
      </c>
      <c r="O800" s="39" t="s">
        <v>2230</v>
      </c>
      <c r="AS800" s="48">
        <f>ROUND((Товары[[#This Row],[IRP, Eur]]*$AT$1),-2)*(1+Товары[[#This Row],[Процент повышения РРЦ]])</f>
        <v>0</v>
      </c>
      <c r="AT800" s="48"/>
      <c r="AU800" s="50">
        <f>ROUND(Товары[[#This Row],[РРЦ финальная, руб.]]/$AT$1,2)</f>
        <v>0</v>
      </c>
      <c r="AV800" s="49" t="str">
        <f>IFERROR(Товары[[#This Row],[РРЦ, евро]]/Товары[[#This Row],[IRP, Eur]],"-")</f>
        <v>-</v>
      </c>
      <c r="AX800" s="48">
        <f>ROUND(Товары[[#This Row],[РРЦ финальная, руб.]]*(1-Товары[[#This Row],[Скидка DIY]]),2)</f>
        <v>0</v>
      </c>
    </row>
    <row r="801" spans="1:50" x14ac:dyDescent="0.25">
      <c r="A801" s="36">
        <v>799</v>
      </c>
      <c r="C801" s="36" t="s">
        <v>240</v>
      </c>
      <c r="D8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1" s="36" t="s">
        <v>202</v>
      </c>
      <c r="F8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1" s="38">
        <v>9241</v>
      </c>
      <c r="K801" s="38">
        <v>970477101</v>
      </c>
      <c r="L801" s="37" t="s">
        <v>1250</v>
      </c>
      <c r="O801" s="39" t="s">
        <v>2231</v>
      </c>
      <c r="AS801" s="48">
        <f>ROUND((Товары[[#This Row],[IRP, Eur]]*$AT$1),-2)*(1+Товары[[#This Row],[Процент повышения РРЦ]])</f>
        <v>0</v>
      </c>
      <c r="AT801" s="48"/>
      <c r="AU801" s="50">
        <f>ROUND(Товары[[#This Row],[РРЦ финальная, руб.]]/$AT$1,2)</f>
        <v>0</v>
      </c>
      <c r="AV801" s="49" t="str">
        <f>IFERROR(Товары[[#This Row],[РРЦ, евро]]/Товары[[#This Row],[IRP, Eur]],"-")</f>
        <v>-</v>
      </c>
      <c r="AX801" s="48">
        <f>ROUND(Товары[[#This Row],[РРЦ финальная, руб.]]*(1-Товары[[#This Row],[Скидка DIY]]),2)</f>
        <v>0</v>
      </c>
    </row>
    <row r="802" spans="1:50" x14ac:dyDescent="0.25">
      <c r="A802" s="36">
        <v>800</v>
      </c>
      <c r="C802" s="36" t="s">
        <v>240</v>
      </c>
      <c r="D8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2" s="36" t="s">
        <v>202</v>
      </c>
      <c r="F8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2" s="38">
        <v>9241</v>
      </c>
      <c r="I802" s="37" t="s">
        <v>361</v>
      </c>
      <c r="J802" s="37">
        <v>824</v>
      </c>
      <c r="K802" s="38">
        <v>967791201</v>
      </c>
      <c r="L802" s="37" t="s">
        <v>1251</v>
      </c>
      <c r="O802" s="39" t="s">
        <v>2232</v>
      </c>
      <c r="AS802" s="48">
        <f>ROUND((Товары[[#This Row],[IRP, Eur]]*$AT$1),-2)*(1+Товары[[#This Row],[Процент повышения РРЦ]])</f>
        <v>0</v>
      </c>
      <c r="AT802" s="48"/>
      <c r="AU802" s="50">
        <f>ROUND(Товары[[#This Row],[РРЦ финальная, руб.]]/$AT$1,2)</f>
        <v>0</v>
      </c>
      <c r="AV802" s="49" t="str">
        <f>IFERROR(Товары[[#This Row],[РРЦ, евро]]/Товары[[#This Row],[IRP, Eur]],"-")</f>
        <v>-</v>
      </c>
      <c r="AX802" s="48">
        <f>ROUND(Товары[[#This Row],[РРЦ финальная, руб.]]*(1-Товары[[#This Row],[Скидка DIY]]),2)</f>
        <v>0</v>
      </c>
    </row>
    <row r="803" spans="1:50" x14ac:dyDescent="0.25">
      <c r="A803" s="36">
        <v>801</v>
      </c>
      <c r="C803" s="36" t="s">
        <v>240</v>
      </c>
      <c r="D8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3" s="36" t="s">
        <v>202</v>
      </c>
      <c r="F8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3" s="38">
        <v>9241</v>
      </c>
      <c r="K803" s="38" t="s">
        <v>366</v>
      </c>
      <c r="L803" s="37" t="s">
        <v>1252</v>
      </c>
      <c r="O803" s="39" t="s">
        <v>2233</v>
      </c>
      <c r="AS803" s="48">
        <f>ROUND((Товары[[#This Row],[IRP, Eur]]*$AT$1),-2)*(1+Товары[[#This Row],[Процент повышения РРЦ]])</f>
        <v>0</v>
      </c>
      <c r="AT803" s="48"/>
      <c r="AU803" s="50">
        <f>ROUND(Товары[[#This Row],[РРЦ финальная, руб.]]/$AT$1,2)</f>
        <v>0</v>
      </c>
      <c r="AV803" s="49" t="str">
        <f>IFERROR(Товары[[#This Row],[РРЦ, евро]]/Товары[[#This Row],[IRP, Eur]],"-")</f>
        <v>-</v>
      </c>
      <c r="AX803" s="48">
        <f>ROUND(Товары[[#This Row],[РРЦ финальная, руб.]]*(1-Товары[[#This Row],[Скидка DIY]]),2)</f>
        <v>0</v>
      </c>
    </row>
    <row r="804" spans="1:50" x14ac:dyDescent="0.25">
      <c r="A804" s="36">
        <v>802</v>
      </c>
      <c r="C804" s="36" t="s">
        <v>240</v>
      </c>
      <c r="D8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4" s="36" t="s">
        <v>202</v>
      </c>
      <c r="F8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4" s="38">
        <v>9241</v>
      </c>
      <c r="K804" s="38" t="s">
        <v>454</v>
      </c>
      <c r="L804" s="37" t="s">
        <v>1253</v>
      </c>
      <c r="O804" s="39" t="s">
        <v>2234</v>
      </c>
      <c r="AS804" s="48">
        <f>ROUND((Товары[[#This Row],[IRP, Eur]]*$AT$1),-2)*(1+Товары[[#This Row],[Процент повышения РРЦ]])</f>
        <v>0</v>
      </c>
      <c r="AT804" s="48"/>
      <c r="AU804" s="50">
        <f>ROUND(Товары[[#This Row],[РРЦ финальная, руб.]]/$AT$1,2)</f>
        <v>0</v>
      </c>
      <c r="AV804" s="49" t="str">
        <f>IFERROR(Товары[[#This Row],[РРЦ, евро]]/Товары[[#This Row],[IRP, Eur]],"-")</f>
        <v>-</v>
      </c>
      <c r="AX804" s="48">
        <f>ROUND(Товары[[#This Row],[РРЦ финальная, руб.]]*(1-Товары[[#This Row],[Скидка DIY]]),2)</f>
        <v>0</v>
      </c>
    </row>
    <row r="805" spans="1:50" x14ac:dyDescent="0.25">
      <c r="A805" s="36">
        <v>803</v>
      </c>
      <c r="C805" s="36" t="s">
        <v>240</v>
      </c>
      <c r="D8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5" s="36" t="s">
        <v>202</v>
      </c>
      <c r="F8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5" s="38">
        <v>9241</v>
      </c>
      <c r="I805" s="37" t="s">
        <v>361</v>
      </c>
      <c r="J805" s="37">
        <v>867</v>
      </c>
      <c r="K805" s="38">
        <v>900868001</v>
      </c>
      <c r="L805" s="37" t="s">
        <v>1254</v>
      </c>
      <c r="O805" s="39" t="s">
        <v>2235</v>
      </c>
      <c r="AS805" s="48">
        <f>ROUND((Товары[[#This Row],[IRP, Eur]]*$AT$1),-2)*(1+Товары[[#This Row],[Процент повышения РРЦ]])</f>
        <v>0</v>
      </c>
      <c r="AT805" s="48"/>
      <c r="AU805" s="50">
        <f>ROUND(Товары[[#This Row],[РРЦ финальная, руб.]]/$AT$1,2)</f>
        <v>0</v>
      </c>
      <c r="AV805" s="49" t="str">
        <f>IFERROR(Товары[[#This Row],[РРЦ, евро]]/Товары[[#This Row],[IRP, Eur]],"-")</f>
        <v>-</v>
      </c>
      <c r="AX805" s="48">
        <f>ROUND(Товары[[#This Row],[РРЦ финальная, руб.]]*(1-Товары[[#This Row],[Скидка DIY]]),2)</f>
        <v>0</v>
      </c>
    </row>
    <row r="806" spans="1:50" x14ac:dyDescent="0.25">
      <c r="A806" s="36">
        <v>804</v>
      </c>
      <c r="C806" s="36" t="s">
        <v>240</v>
      </c>
      <c r="D8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6" s="36" t="s">
        <v>202</v>
      </c>
      <c r="F8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6" s="38">
        <v>9241</v>
      </c>
      <c r="I806" s="37" t="s">
        <v>361</v>
      </c>
      <c r="J806" s="37">
        <v>869</v>
      </c>
      <c r="K806" s="38">
        <v>900868201</v>
      </c>
      <c r="L806" s="37" t="s">
        <v>1255</v>
      </c>
      <c r="O806" s="39" t="s">
        <v>2236</v>
      </c>
      <c r="AS806" s="48">
        <f>ROUND((Товары[[#This Row],[IRP, Eur]]*$AT$1),-2)*(1+Товары[[#This Row],[Процент повышения РРЦ]])</f>
        <v>0</v>
      </c>
      <c r="AT806" s="48"/>
      <c r="AU806" s="50">
        <f>ROUND(Товары[[#This Row],[РРЦ финальная, руб.]]/$AT$1,2)</f>
        <v>0</v>
      </c>
      <c r="AV806" s="49" t="str">
        <f>IFERROR(Товары[[#This Row],[РРЦ, евро]]/Товары[[#This Row],[IRP, Eur]],"-")</f>
        <v>-</v>
      </c>
      <c r="AX806" s="48">
        <f>ROUND(Товары[[#This Row],[РРЦ финальная, руб.]]*(1-Товары[[#This Row],[Скидка DIY]]),2)</f>
        <v>0</v>
      </c>
    </row>
    <row r="807" spans="1:50" x14ac:dyDescent="0.25">
      <c r="A807" s="36">
        <v>805</v>
      </c>
      <c r="C807" s="36" t="s">
        <v>240</v>
      </c>
      <c r="D8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7" s="36" t="s">
        <v>202</v>
      </c>
      <c r="F8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7" s="38">
        <v>9241</v>
      </c>
      <c r="K807" s="38">
        <v>970477301</v>
      </c>
      <c r="L807" s="37" t="s">
        <v>1256</v>
      </c>
      <c r="O807" s="39" t="s">
        <v>2237</v>
      </c>
      <c r="AS807" s="48">
        <f>ROUND((Товары[[#This Row],[IRP, Eur]]*$AT$1),-2)*(1+Товары[[#This Row],[Процент повышения РРЦ]])</f>
        <v>0</v>
      </c>
      <c r="AT807" s="48"/>
      <c r="AU807" s="50">
        <f>ROUND(Товары[[#This Row],[РРЦ финальная, руб.]]/$AT$1,2)</f>
        <v>0</v>
      </c>
      <c r="AV807" s="49" t="str">
        <f>IFERROR(Товары[[#This Row],[РРЦ, евро]]/Товары[[#This Row],[IRP, Eur]],"-")</f>
        <v>-</v>
      </c>
      <c r="AX807" s="48">
        <f>ROUND(Товары[[#This Row],[РРЦ финальная, руб.]]*(1-Товары[[#This Row],[Скидка DIY]]),2)</f>
        <v>0</v>
      </c>
    </row>
    <row r="808" spans="1:50" x14ac:dyDescent="0.25">
      <c r="A808" s="36">
        <v>806</v>
      </c>
      <c r="C808" s="36" t="s">
        <v>240</v>
      </c>
      <c r="D8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8" s="36" t="s">
        <v>202</v>
      </c>
      <c r="F8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8" s="38">
        <v>9241</v>
      </c>
      <c r="K808" s="38">
        <v>970477201</v>
      </c>
      <c r="L808" s="37" t="s">
        <v>1257</v>
      </c>
      <c r="O808" s="39" t="s">
        <v>2238</v>
      </c>
      <c r="AS808" s="48">
        <f>ROUND((Товары[[#This Row],[IRP, Eur]]*$AT$1),-2)*(1+Товары[[#This Row],[Процент повышения РРЦ]])</f>
        <v>0</v>
      </c>
      <c r="AT808" s="48"/>
      <c r="AU808" s="50">
        <f>ROUND(Товары[[#This Row],[РРЦ финальная, руб.]]/$AT$1,2)</f>
        <v>0</v>
      </c>
      <c r="AV808" s="49" t="str">
        <f>IFERROR(Товары[[#This Row],[РРЦ, евро]]/Товары[[#This Row],[IRP, Eur]],"-")</f>
        <v>-</v>
      </c>
      <c r="AX808" s="48">
        <f>ROUND(Товары[[#This Row],[РРЦ финальная, руб.]]*(1-Товары[[#This Row],[Скидка DIY]]),2)</f>
        <v>0</v>
      </c>
    </row>
    <row r="809" spans="1:50" x14ac:dyDescent="0.25">
      <c r="A809" s="36">
        <v>807</v>
      </c>
      <c r="C809" s="36" t="s">
        <v>240</v>
      </c>
      <c r="D8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9" s="36" t="s">
        <v>202</v>
      </c>
      <c r="F8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9" s="38">
        <v>9241</v>
      </c>
      <c r="I809" s="37" t="s">
        <v>362</v>
      </c>
      <c r="J809" s="37">
        <v>884</v>
      </c>
      <c r="K809" s="38">
        <v>900869801</v>
      </c>
      <c r="L809" s="37" t="s">
        <v>1258</v>
      </c>
      <c r="O809" s="39" t="s">
        <v>2239</v>
      </c>
      <c r="AS809" s="48">
        <f>ROUND((Товары[[#This Row],[IRP, Eur]]*$AT$1),-2)*(1+Товары[[#This Row],[Процент повышения РРЦ]])</f>
        <v>0</v>
      </c>
      <c r="AT809" s="48"/>
      <c r="AU809" s="50">
        <f>ROUND(Товары[[#This Row],[РРЦ финальная, руб.]]/$AT$1,2)</f>
        <v>0</v>
      </c>
      <c r="AV809" s="49" t="str">
        <f>IFERROR(Товары[[#This Row],[РРЦ, евро]]/Товары[[#This Row],[IRP, Eur]],"-")</f>
        <v>-</v>
      </c>
      <c r="AX809" s="48">
        <f>ROUND(Товары[[#This Row],[РРЦ финальная, руб.]]*(1-Товары[[#This Row],[Скидка DIY]]),2)</f>
        <v>0</v>
      </c>
    </row>
    <row r="810" spans="1:50" x14ac:dyDescent="0.25">
      <c r="A810" s="36">
        <v>808</v>
      </c>
      <c r="C810" s="36" t="s">
        <v>240</v>
      </c>
      <c r="D8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0" s="36" t="s">
        <v>202</v>
      </c>
      <c r="F8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0" s="38">
        <v>9241</v>
      </c>
      <c r="K810" s="38">
        <v>970477401</v>
      </c>
      <c r="L810" s="37" t="s">
        <v>1259</v>
      </c>
      <c r="O810" s="39" t="s">
        <v>2240</v>
      </c>
      <c r="AS810" s="48">
        <f>ROUND((Товары[[#This Row],[IRP, Eur]]*$AT$1),-2)*(1+Товары[[#This Row],[Процент повышения РРЦ]])</f>
        <v>0</v>
      </c>
      <c r="AT810" s="48"/>
      <c r="AU810" s="50">
        <f>ROUND(Товары[[#This Row],[РРЦ финальная, руб.]]/$AT$1,2)</f>
        <v>0</v>
      </c>
      <c r="AV810" s="49" t="str">
        <f>IFERROR(Товары[[#This Row],[РРЦ, евро]]/Товары[[#This Row],[IRP, Eur]],"-")</f>
        <v>-</v>
      </c>
      <c r="AX810" s="48">
        <f>ROUND(Товары[[#This Row],[РРЦ финальная, руб.]]*(1-Товары[[#This Row],[Скидка DIY]]),2)</f>
        <v>0</v>
      </c>
    </row>
    <row r="811" spans="1:50" x14ac:dyDescent="0.25">
      <c r="A811" s="36">
        <v>809</v>
      </c>
      <c r="C811" s="36" t="s">
        <v>240</v>
      </c>
      <c r="D8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1" s="36" t="s">
        <v>202</v>
      </c>
      <c r="F8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1" s="38">
        <v>9241</v>
      </c>
      <c r="K811" s="38">
        <v>970477701</v>
      </c>
      <c r="L811" s="37" t="s">
        <v>1260</v>
      </c>
      <c r="O811" s="39" t="s">
        <v>2241</v>
      </c>
      <c r="AS811" s="48">
        <f>ROUND((Товары[[#This Row],[IRP, Eur]]*$AT$1),-2)*(1+Товары[[#This Row],[Процент повышения РРЦ]])</f>
        <v>0</v>
      </c>
      <c r="AT811" s="48"/>
      <c r="AU811" s="50">
        <f>ROUND(Товары[[#This Row],[РРЦ финальная, руб.]]/$AT$1,2)</f>
        <v>0</v>
      </c>
      <c r="AV811" s="49" t="str">
        <f>IFERROR(Товары[[#This Row],[РРЦ, евро]]/Товары[[#This Row],[IRP, Eur]],"-")</f>
        <v>-</v>
      </c>
      <c r="AX811" s="48">
        <f>ROUND(Товары[[#This Row],[РРЦ финальная, руб.]]*(1-Товары[[#This Row],[Скидка DIY]]),2)</f>
        <v>0</v>
      </c>
    </row>
    <row r="812" spans="1:50" x14ac:dyDescent="0.25">
      <c r="A812" s="36">
        <v>810</v>
      </c>
      <c r="C812" s="36" t="s">
        <v>240</v>
      </c>
      <c r="D8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2" s="36" t="s">
        <v>202</v>
      </c>
      <c r="F8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2" s="38">
        <v>9241</v>
      </c>
      <c r="I812" s="37" t="s">
        <v>363</v>
      </c>
      <c r="J812" s="37">
        <v>894</v>
      </c>
      <c r="K812" s="38">
        <v>900870301</v>
      </c>
      <c r="L812" s="37" t="s">
        <v>1261</v>
      </c>
      <c r="O812" s="39" t="s">
        <v>2242</v>
      </c>
      <c r="AS812" s="48">
        <f>ROUND((Товары[[#This Row],[IRP, Eur]]*$AT$1),-2)*(1+Товары[[#This Row],[Процент повышения РРЦ]])</f>
        <v>0</v>
      </c>
      <c r="AT812" s="48"/>
      <c r="AU812" s="50">
        <f>ROUND(Товары[[#This Row],[РРЦ финальная, руб.]]/$AT$1,2)</f>
        <v>0</v>
      </c>
      <c r="AV812" s="49" t="str">
        <f>IFERROR(Товары[[#This Row],[РРЦ, евро]]/Товары[[#This Row],[IRP, Eur]],"-")</f>
        <v>-</v>
      </c>
      <c r="AX812" s="48">
        <f>ROUND(Товары[[#This Row],[РРЦ финальная, руб.]]*(1-Товары[[#This Row],[Скидка DIY]]),2)</f>
        <v>0</v>
      </c>
    </row>
    <row r="813" spans="1:50" x14ac:dyDescent="0.25">
      <c r="A813" s="36">
        <v>811</v>
      </c>
      <c r="C813" s="36" t="s">
        <v>240</v>
      </c>
      <c r="D8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3" s="36" t="s">
        <v>202</v>
      </c>
      <c r="F8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3" s="38">
        <v>9241</v>
      </c>
      <c r="K813" s="38">
        <v>970478101</v>
      </c>
      <c r="L813" s="37" t="s">
        <v>1262</v>
      </c>
      <c r="O813" s="39" t="s">
        <v>2243</v>
      </c>
      <c r="AS813" s="48">
        <f>ROUND((Товары[[#This Row],[IRP, Eur]]*$AT$1),-2)*(1+Товары[[#This Row],[Процент повышения РРЦ]])</f>
        <v>0</v>
      </c>
      <c r="AT813" s="48"/>
      <c r="AU813" s="50">
        <f>ROUND(Товары[[#This Row],[РРЦ финальная, руб.]]/$AT$1,2)</f>
        <v>0</v>
      </c>
      <c r="AV813" s="49" t="str">
        <f>IFERROR(Товары[[#This Row],[РРЦ, евро]]/Товары[[#This Row],[IRP, Eur]],"-")</f>
        <v>-</v>
      </c>
      <c r="AX813" s="48">
        <f>ROUND(Товары[[#This Row],[РРЦ финальная, руб.]]*(1-Товары[[#This Row],[Скидка DIY]]),2)</f>
        <v>0</v>
      </c>
    </row>
    <row r="814" spans="1:50" x14ac:dyDescent="0.25">
      <c r="A814" s="36">
        <v>812</v>
      </c>
      <c r="C814" s="36" t="s">
        <v>240</v>
      </c>
      <c r="D8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4" s="36" t="s">
        <v>202</v>
      </c>
      <c r="F8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4" s="38">
        <v>9241</v>
      </c>
      <c r="I814" s="37" t="s">
        <v>364</v>
      </c>
      <c r="J814" s="37">
        <v>899</v>
      </c>
      <c r="K814" s="38">
        <v>900870601</v>
      </c>
      <c r="L814" s="37" t="s">
        <v>1263</v>
      </c>
      <c r="O814" s="39" t="s">
        <v>2244</v>
      </c>
      <c r="AS814" s="48">
        <f>ROUND((Товары[[#This Row],[IRP, Eur]]*$AT$1),-2)*(1+Товары[[#This Row],[Процент повышения РРЦ]])</f>
        <v>0</v>
      </c>
      <c r="AT814" s="48"/>
      <c r="AU814" s="50">
        <f>ROUND(Товары[[#This Row],[РРЦ финальная, руб.]]/$AT$1,2)</f>
        <v>0</v>
      </c>
      <c r="AV814" s="49" t="str">
        <f>IFERROR(Товары[[#This Row],[РРЦ, евро]]/Товары[[#This Row],[IRP, Eur]],"-")</f>
        <v>-</v>
      </c>
      <c r="AX814" s="48">
        <f>ROUND(Товары[[#This Row],[РРЦ финальная, руб.]]*(1-Товары[[#This Row],[Скидка DIY]]),2)</f>
        <v>0</v>
      </c>
    </row>
    <row r="815" spans="1:50" x14ac:dyDescent="0.25">
      <c r="A815" s="36">
        <v>813</v>
      </c>
      <c r="C815" s="36" t="s">
        <v>240</v>
      </c>
      <c r="D8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5" s="36" t="s">
        <v>202</v>
      </c>
      <c r="F8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5" s="38">
        <v>9241</v>
      </c>
      <c r="K815" s="38">
        <v>970477901</v>
      </c>
      <c r="L815" s="37" t="s">
        <v>1264</v>
      </c>
      <c r="O815" s="39" t="s">
        <v>2245</v>
      </c>
      <c r="AS815" s="48">
        <f>ROUND((Товары[[#This Row],[IRP, Eur]]*$AT$1),-2)*(1+Товары[[#This Row],[Процент повышения РРЦ]])</f>
        <v>0</v>
      </c>
      <c r="AT815" s="48"/>
      <c r="AU815" s="50">
        <f>ROUND(Товары[[#This Row],[РРЦ финальная, руб.]]/$AT$1,2)</f>
        <v>0</v>
      </c>
      <c r="AV815" s="49" t="str">
        <f>IFERROR(Товары[[#This Row],[РРЦ, евро]]/Товары[[#This Row],[IRP, Eur]],"-")</f>
        <v>-</v>
      </c>
      <c r="AX815" s="48">
        <f>ROUND(Товары[[#This Row],[РРЦ финальная, руб.]]*(1-Товары[[#This Row],[Скидка DIY]]),2)</f>
        <v>0</v>
      </c>
    </row>
    <row r="816" spans="1:50" x14ac:dyDescent="0.25">
      <c r="A816" s="36">
        <v>814</v>
      </c>
      <c r="C816" s="36" t="s">
        <v>240</v>
      </c>
      <c r="D8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6" s="36" t="s">
        <v>202</v>
      </c>
      <c r="F8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6" s="38">
        <v>9241</v>
      </c>
      <c r="I816" s="37" t="s">
        <v>364</v>
      </c>
      <c r="J816" s="37">
        <v>897</v>
      </c>
      <c r="K816" s="38">
        <v>900870501</v>
      </c>
      <c r="L816" s="37" t="s">
        <v>1265</v>
      </c>
      <c r="O816" s="39" t="s">
        <v>2246</v>
      </c>
      <c r="AS816" s="48">
        <f>ROUND((Товары[[#This Row],[IRP, Eur]]*$AT$1),-2)*(1+Товары[[#This Row],[Процент повышения РРЦ]])</f>
        <v>0</v>
      </c>
      <c r="AT816" s="48"/>
      <c r="AU816" s="50">
        <f>ROUND(Товары[[#This Row],[РРЦ финальная, руб.]]/$AT$1,2)</f>
        <v>0</v>
      </c>
      <c r="AV816" s="49" t="str">
        <f>IFERROR(Товары[[#This Row],[РРЦ, евро]]/Товары[[#This Row],[IRP, Eur]],"-")</f>
        <v>-</v>
      </c>
      <c r="AX816" s="48">
        <f>ROUND(Товары[[#This Row],[РРЦ финальная, руб.]]*(1-Товары[[#This Row],[Скидка DIY]]),2)</f>
        <v>0</v>
      </c>
    </row>
    <row r="817" spans="1:50" x14ac:dyDescent="0.25">
      <c r="A817" s="36">
        <v>815</v>
      </c>
      <c r="C817" s="36" t="s">
        <v>240</v>
      </c>
      <c r="D8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7" s="36" t="s">
        <v>202</v>
      </c>
      <c r="F8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7" s="38">
        <v>9241</v>
      </c>
      <c r="K817" s="38">
        <v>970477801</v>
      </c>
      <c r="L817" s="37" t="s">
        <v>1266</v>
      </c>
      <c r="O817" s="39" t="s">
        <v>2247</v>
      </c>
      <c r="AS817" s="48">
        <f>ROUND((Товары[[#This Row],[IRP, Eur]]*$AT$1),-2)*(1+Товары[[#This Row],[Процент повышения РРЦ]])</f>
        <v>0</v>
      </c>
      <c r="AT817" s="48"/>
      <c r="AU817" s="50">
        <f>ROUND(Товары[[#This Row],[РРЦ финальная, руб.]]/$AT$1,2)</f>
        <v>0</v>
      </c>
      <c r="AV817" s="49" t="str">
        <f>IFERROR(Товары[[#This Row],[РРЦ, евро]]/Товары[[#This Row],[IRP, Eur]],"-")</f>
        <v>-</v>
      </c>
      <c r="AX817" s="48">
        <f>ROUND(Товары[[#This Row],[РРЦ финальная, руб.]]*(1-Товары[[#This Row],[Скидка DIY]]),2)</f>
        <v>0</v>
      </c>
    </row>
    <row r="818" spans="1:50" x14ac:dyDescent="0.25">
      <c r="A818" s="36">
        <v>816</v>
      </c>
      <c r="C818" s="36" t="s">
        <v>240</v>
      </c>
      <c r="D8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8" s="36" t="s">
        <v>202</v>
      </c>
      <c r="F8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8" s="38">
        <v>9241</v>
      </c>
      <c r="K818" s="38">
        <v>970478001</v>
      </c>
      <c r="L818" s="37" t="s">
        <v>1267</v>
      </c>
      <c r="O818" s="39" t="s">
        <v>417</v>
      </c>
      <c r="AS818" s="48">
        <f>ROUND((Товары[[#This Row],[IRP, Eur]]*$AT$1),-2)*(1+Товары[[#This Row],[Процент повышения РРЦ]])</f>
        <v>0</v>
      </c>
      <c r="AT818" s="48"/>
      <c r="AU818" s="50">
        <f>ROUND(Товары[[#This Row],[РРЦ финальная, руб.]]/$AT$1,2)</f>
        <v>0</v>
      </c>
      <c r="AV818" s="49" t="str">
        <f>IFERROR(Товары[[#This Row],[РРЦ, евро]]/Товары[[#This Row],[IRP, Eur]],"-")</f>
        <v>-</v>
      </c>
      <c r="AX818" s="48">
        <f>ROUND(Товары[[#This Row],[РРЦ финальная, руб.]]*(1-Товары[[#This Row],[Скидка DIY]]),2)</f>
        <v>0</v>
      </c>
    </row>
    <row r="819" spans="1:50" x14ac:dyDescent="0.25">
      <c r="A819" s="36">
        <v>817</v>
      </c>
      <c r="C819" s="36" t="s">
        <v>240</v>
      </c>
      <c r="D8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9" s="36" t="s">
        <v>202</v>
      </c>
      <c r="F8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9" s="38">
        <v>9242</v>
      </c>
      <c r="I819" s="37" t="s">
        <v>365</v>
      </c>
      <c r="J819" s="37">
        <v>203</v>
      </c>
      <c r="K819" s="38">
        <v>967865901</v>
      </c>
      <c r="L819" s="37" t="s">
        <v>1268</v>
      </c>
      <c r="M819" s="37" t="s">
        <v>1456</v>
      </c>
      <c r="O819" s="39" t="s">
        <v>2248</v>
      </c>
      <c r="AS819" s="48">
        <f>ROUND((Товары[[#This Row],[IRP, Eur]]*$AT$1),-2)*(1+Товары[[#This Row],[Процент повышения РРЦ]])</f>
        <v>0</v>
      </c>
      <c r="AT819" s="48"/>
      <c r="AU819" s="50">
        <f>ROUND(Товары[[#This Row],[РРЦ финальная, руб.]]/$AT$1,2)</f>
        <v>0</v>
      </c>
      <c r="AV819" s="49" t="str">
        <f>IFERROR(Товары[[#This Row],[РРЦ, евро]]/Товары[[#This Row],[IRP, Eur]],"-")</f>
        <v>-</v>
      </c>
      <c r="AX819" s="48">
        <f>ROUND(Товары[[#This Row],[РРЦ финальная, руб.]]*(1-Товары[[#This Row],[Скидка DIY]]),2)</f>
        <v>0</v>
      </c>
    </row>
    <row r="820" spans="1:50" x14ac:dyDescent="0.25">
      <c r="A820" s="36">
        <v>818</v>
      </c>
      <c r="C820" s="36" t="s">
        <v>240</v>
      </c>
      <c r="D8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0" s="36" t="s">
        <v>202</v>
      </c>
      <c r="F8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0" s="38">
        <v>970470401</v>
      </c>
      <c r="L820" s="37" t="s">
        <v>1269</v>
      </c>
      <c r="M820" s="37">
        <v>966806101</v>
      </c>
      <c r="O820" s="39" t="s">
        <v>2249</v>
      </c>
      <c r="AS820" s="48">
        <f>ROUND((Товары[[#This Row],[IRP, Eur]]*$AT$1),-2)*(1+Товары[[#This Row],[Процент повышения РРЦ]])</f>
        <v>0</v>
      </c>
      <c r="AT820" s="48"/>
      <c r="AU820" s="50">
        <f>ROUND(Товары[[#This Row],[РРЦ финальная, руб.]]/$AT$1,2)</f>
        <v>0</v>
      </c>
      <c r="AV820" s="49" t="str">
        <f>IFERROR(Товары[[#This Row],[РРЦ, евро]]/Товары[[#This Row],[IRP, Eur]],"-")</f>
        <v>-</v>
      </c>
      <c r="AX820" s="48">
        <f>ROUND(Товары[[#This Row],[РРЦ финальная, руб.]]*(1-Товары[[#This Row],[Скидка DIY]]),2)</f>
        <v>0</v>
      </c>
    </row>
    <row r="821" spans="1:50" x14ac:dyDescent="0.25">
      <c r="A821" s="36">
        <v>819</v>
      </c>
      <c r="C821" s="36" t="s">
        <v>240</v>
      </c>
      <c r="D8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1" s="36" t="s">
        <v>202</v>
      </c>
      <c r="F8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1" s="38">
        <v>970470501</v>
      </c>
      <c r="L821" s="37" t="s">
        <v>1270</v>
      </c>
      <c r="M821" s="37">
        <v>966806201</v>
      </c>
      <c r="O821" s="39" t="s">
        <v>2250</v>
      </c>
      <c r="AS821" s="48">
        <f>ROUND((Товары[[#This Row],[IRP, Eur]]*$AT$1),-2)*(1+Товары[[#This Row],[Процент повышения РРЦ]])</f>
        <v>0</v>
      </c>
      <c r="AT821" s="48"/>
      <c r="AU821" s="50">
        <f>ROUND(Товары[[#This Row],[РРЦ финальная, руб.]]/$AT$1,2)</f>
        <v>0</v>
      </c>
      <c r="AV821" s="49" t="str">
        <f>IFERROR(Товары[[#This Row],[РРЦ, евро]]/Товары[[#This Row],[IRP, Eur]],"-")</f>
        <v>-</v>
      </c>
      <c r="AX821" s="48">
        <f>ROUND(Товары[[#This Row],[РРЦ финальная, руб.]]*(1-Товары[[#This Row],[Скидка DIY]]),2)</f>
        <v>0</v>
      </c>
    </row>
    <row r="822" spans="1:50" x14ac:dyDescent="0.25">
      <c r="A822" s="36">
        <v>820</v>
      </c>
      <c r="C822" s="36" t="s">
        <v>240</v>
      </c>
      <c r="D8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2" s="36" t="s">
        <v>202</v>
      </c>
      <c r="F8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2" s="38">
        <v>970470601</v>
      </c>
      <c r="L822" s="37" t="s">
        <v>1271</v>
      </c>
      <c r="M822" s="37">
        <v>966806301</v>
      </c>
      <c r="O822" s="39" t="s">
        <v>2251</v>
      </c>
      <c r="AS822" s="48">
        <f>ROUND((Товары[[#This Row],[IRP, Eur]]*$AT$1),-2)*(1+Товары[[#This Row],[Процент повышения РРЦ]])</f>
        <v>0</v>
      </c>
      <c r="AT822" s="48"/>
      <c r="AU822" s="50">
        <f>ROUND(Товары[[#This Row],[РРЦ финальная, руб.]]/$AT$1,2)</f>
        <v>0</v>
      </c>
      <c r="AV822" s="49" t="str">
        <f>IFERROR(Товары[[#This Row],[РРЦ, евро]]/Товары[[#This Row],[IRP, Eur]],"-")</f>
        <v>-</v>
      </c>
      <c r="AX822" s="48">
        <f>ROUND(Товары[[#This Row],[РРЦ финальная, руб.]]*(1-Товары[[#This Row],[Скидка DIY]]),2)</f>
        <v>0</v>
      </c>
    </row>
    <row r="823" spans="1:50" x14ac:dyDescent="0.25">
      <c r="A823" s="36">
        <v>821</v>
      </c>
      <c r="C823" s="36" t="s">
        <v>240</v>
      </c>
      <c r="D8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3" s="36" t="s">
        <v>202</v>
      </c>
      <c r="F8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3" s="38">
        <v>9242</v>
      </c>
      <c r="I823" s="37" t="s">
        <v>365</v>
      </c>
      <c r="J823" s="37">
        <v>205</v>
      </c>
      <c r="K823" s="38">
        <v>967866001</v>
      </c>
      <c r="L823" s="37" t="s">
        <v>1272</v>
      </c>
      <c r="M823" s="37" t="s">
        <v>1457</v>
      </c>
      <c r="O823" s="39" t="s">
        <v>2252</v>
      </c>
      <c r="AS823" s="48">
        <f>ROUND((Товары[[#This Row],[IRP, Eur]]*$AT$1),-2)*(1+Товары[[#This Row],[Процент повышения РРЦ]])</f>
        <v>0</v>
      </c>
      <c r="AT823" s="48"/>
      <c r="AU823" s="50">
        <f>ROUND(Товары[[#This Row],[РРЦ финальная, руб.]]/$AT$1,2)</f>
        <v>0</v>
      </c>
      <c r="AV823" s="49" t="str">
        <f>IFERROR(Товары[[#This Row],[РРЦ, евро]]/Товары[[#This Row],[IRP, Eur]],"-")</f>
        <v>-</v>
      </c>
      <c r="AX823" s="48">
        <f>ROUND(Товары[[#This Row],[РРЦ финальная, руб.]]*(1-Товары[[#This Row],[Скидка DIY]]),2)</f>
        <v>0</v>
      </c>
    </row>
    <row r="824" spans="1:50" x14ac:dyDescent="0.25">
      <c r="A824" s="36">
        <v>822</v>
      </c>
      <c r="C824" s="36" t="s">
        <v>240</v>
      </c>
      <c r="D8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4" s="36" t="s">
        <v>202</v>
      </c>
      <c r="F8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4" s="38">
        <v>9242</v>
      </c>
      <c r="I824" s="37" t="s">
        <v>365</v>
      </c>
      <c r="J824" s="37">
        <v>206</v>
      </c>
      <c r="K824" s="38">
        <v>967866101</v>
      </c>
      <c r="L824" s="37" t="s">
        <v>1273</v>
      </c>
      <c r="M824" s="37" t="s">
        <v>1458</v>
      </c>
      <c r="O824" s="39" t="s">
        <v>2253</v>
      </c>
      <c r="AS824" s="48">
        <f>ROUND((Товары[[#This Row],[IRP, Eur]]*$AT$1),-2)*(1+Товары[[#This Row],[Процент повышения РРЦ]])</f>
        <v>0</v>
      </c>
      <c r="AT824" s="48"/>
      <c r="AU824" s="50">
        <f>ROUND(Товары[[#This Row],[РРЦ финальная, руб.]]/$AT$1,2)</f>
        <v>0</v>
      </c>
      <c r="AV824" s="49" t="str">
        <f>IFERROR(Товары[[#This Row],[РРЦ, евро]]/Товары[[#This Row],[IRP, Eur]],"-")</f>
        <v>-</v>
      </c>
      <c r="AX824" s="48">
        <f>ROUND(Товары[[#This Row],[РРЦ финальная, руб.]]*(1-Товары[[#This Row],[Скидка DIY]]),2)</f>
        <v>0</v>
      </c>
    </row>
    <row r="825" spans="1:50" x14ac:dyDescent="0.25">
      <c r="A825" s="36">
        <v>823</v>
      </c>
      <c r="C825" s="36" t="s">
        <v>240</v>
      </c>
      <c r="D8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5" s="36" t="s">
        <v>202</v>
      </c>
      <c r="F8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5" s="38">
        <v>970470701</v>
      </c>
      <c r="L825" s="37" t="s">
        <v>1274</v>
      </c>
      <c r="M825" s="37">
        <v>966806401</v>
      </c>
      <c r="O825" s="39" t="s">
        <v>2254</v>
      </c>
      <c r="AS825" s="48">
        <f>ROUND((Товары[[#This Row],[IRP, Eur]]*$AT$1),-2)*(1+Товары[[#This Row],[Процент повышения РРЦ]])</f>
        <v>0</v>
      </c>
      <c r="AT825" s="48"/>
      <c r="AU825" s="50">
        <f>ROUND(Товары[[#This Row],[РРЦ финальная, руб.]]/$AT$1,2)</f>
        <v>0</v>
      </c>
      <c r="AV825" s="49" t="str">
        <f>IFERROR(Товары[[#This Row],[РРЦ, евро]]/Товары[[#This Row],[IRP, Eur]],"-")</f>
        <v>-</v>
      </c>
      <c r="AX825" s="48">
        <f>ROUND(Товары[[#This Row],[РРЦ финальная, руб.]]*(1-Товары[[#This Row],[Скидка DIY]]),2)</f>
        <v>0</v>
      </c>
    </row>
    <row r="826" spans="1:50" x14ac:dyDescent="0.25">
      <c r="A826" s="36">
        <v>824</v>
      </c>
      <c r="C826" s="36" t="s">
        <v>240</v>
      </c>
      <c r="D8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6" s="36" t="s">
        <v>202</v>
      </c>
      <c r="F8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6" s="38">
        <v>970470801</v>
      </c>
      <c r="L826" s="37" t="s">
        <v>1275</v>
      </c>
      <c r="M826" s="37">
        <v>966806501</v>
      </c>
      <c r="O826" s="39" t="s">
        <v>2255</v>
      </c>
      <c r="AS826" s="48">
        <f>ROUND((Товары[[#This Row],[IRP, Eur]]*$AT$1),-2)*(1+Товары[[#This Row],[Процент повышения РРЦ]])</f>
        <v>0</v>
      </c>
      <c r="AT826" s="48"/>
      <c r="AU826" s="50">
        <f>ROUND(Товары[[#This Row],[РРЦ финальная, руб.]]/$AT$1,2)</f>
        <v>0</v>
      </c>
      <c r="AV826" s="49" t="str">
        <f>IFERROR(Товары[[#This Row],[РРЦ, евро]]/Товары[[#This Row],[IRP, Eur]],"-")</f>
        <v>-</v>
      </c>
      <c r="AX826" s="48">
        <f>ROUND(Товары[[#This Row],[РРЦ финальная, руб.]]*(1-Товары[[#This Row],[Скидка DIY]]),2)</f>
        <v>0</v>
      </c>
    </row>
    <row r="827" spans="1:50" x14ac:dyDescent="0.25">
      <c r="A827" s="36">
        <v>825</v>
      </c>
      <c r="C827" s="36" t="s">
        <v>240</v>
      </c>
      <c r="D8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7" s="36" t="s">
        <v>202</v>
      </c>
      <c r="F8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7" s="38">
        <v>970470901</v>
      </c>
      <c r="L827" s="37" t="s">
        <v>1276</v>
      </c>
      <c r="M827" s="37">
        <v>966806601</v>
      </c>
      <c r="O827" s="39" t="s">
        <v>2256</v>
      </c>
      <c r="AS827" s="48">
        <f>ROUND((Товары[[#This Row],[IRP, Eur]]*$AT$1),-2)*(1+Товары[[#This Row],[Процент повышения РРЦ]])</f>
        <v>0</v>
      </c>
      <c r="AT827" s="48"/>
      <c r="AU827" s="50">
        <f>ROUND(Товары[[#This Row],[РРЦ финальная, руб.]]/$AT$1,2)</f>
        <v>0</v>
      </c>
      <c r="AV827" s="49" t="str">
        <f>IFERROR(Товары[[#This Row],[РРЦ, евро]]/Товары[[#This Row],[IRP, Eur]],"-")</f>
        <v>-</v>
      </c>
      <c r="AX827" s="48">
        <f>ROUND(Товары[[#This Row],[РРЦ финальная, руб.]]*(1-Товары[[#This Row],[Скидка DIY]]),2)</f>
        <v>0</v>
      </c>
    </row>
    <row r="828" spans="1:50" x14ac:dyDescent="0.25">
      <c r="A828" s="36">
        <v>826</v>
      </c>
      <c r="C828" s="36" t="s">
        <v>240</v>
      </c>
      <c r="D8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8" s="36" t="s">
        <v>202</v>
      </c>
      <c r="F8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8" s="38">
        <v>970471001</v>
      </c>
      <c r="L828" s="37" t="s">
        <v>1277</v>
      </c>
      <c r="M828" s="37">
        <v>966806701</v>
      </c>
      <c r="O828" s="39" t="s">
        <v>2257</v>
      </c>
      <c r="AS828" s="48">
        <f>ROUND((Товары[[#This Row],[IRP, Eur]]*$AT$1),-2)*(1+Товары[[#This Row],[Процент повышения РРЦ]])</f>
        <v>0</v>
      </c>
      <c r="AT828" s="48"/>
      <c r="AU828" s="50">
        <f>ROUND(Товары[[#This Row],[РРЦ финальная, руб.]]/$AT$1,2)</f>
        <v>0</v>
      </c>
      <c r="AV828" s="49" t="str">
        <f>IFERROR(Товары[[#This Row],[РРЦ, евро]]/Товары[[#This Row],[IRP, Eur]],"-")</f>
        <v>-</v>
      </c>
      <c r="AX828" s="48">
        <f>ROUND(Товары[[#This Row],[РРЦ финальная, руб.]]*(1-Товары[[#This Row],[Скидка DIY]]),2)</f>
        <v>0</v>
      </c>
    </row>
    <row r="829" spans="1:50" x14ac:dyDescent="0.25">
      <c r="A829" s="36">
        <v>827</v>
      </c>
      <c r="C829" s="36" t="s">
        <v>240</v>
      </c>
      <c r="D8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9" s="36" t="s">
        <v>202</v>
      </c>
      <c r="F8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9" s="38">
        <v>9242</v>
      </c>
      <c r="I829" s="37" t="s">
        <v>365</v>
      </c>
      <c r="J829" s="37">
        <v>215</v>
      </c>
      <c r="K829" s="38">
        <v>967866201</v>
      </c>
      <c r="L829" s="37" t="s">
        <v>1278</v>
      </c>
      <c r="M829" s="37" t="s">
        <v>1459</v>
      </c>
      <c r="O829" s="39" t="s">
        <v>2258</v>
      </c>
      <c r="AS829" s="48">
        <f>ROUND((Товары[[#This Row],[IRP, Eur]]*$AT$1),-2)*(1+Товары[[#This Row],[Процент повышения РРЦ]])</f>
        <v>0</v>
      </c>
      <c r="AT829" s="48"/>
      <c r="AU829" s="50">
        <f>ROUND(Товары[[#This Row],[РРЦ финальная, руб.]]/$AT$1,2)</f>
        <v>0</v>
      </c>
      <c r="AV829" s="49" t="str">
        <f>IFERROR(Товары[[#This Row],[РРЦ, евро]]/Товары[[#This Row],[IRP, Eur]],"-")</f>
        <v>-</v>
      </c>
      <c r="AX829" s="48">
        <f>ROUND(Товары[[#This Row],[РРЦ финальная, руб.]]*(1-Товары[[#This Row],[Скидка DIY]]),2)</f>
        <v>0</v>
      </c>
    </row>
    <row r="830" spans="1:50" x14ac:dyDescent="0.25">
      <c r="A830" s="36">
        <v>828</v>
      </c>
      <c r="C830" s="36" t="s">
        <v>240</v>
      </c>
      <c r="D8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0" s="36" t="s">
        <v>202</v>
      </c>
      <c r="F8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0" s="38">
        <v>970471101</v>
      </c>
      <c r="L830" s="37" t="s">
        <v>1279</v>
      </c>
      <c r="M830" s="37">
        <v>966807001</v>
      </c>
      <c r="O830" s="39" t="s">
        <v>2259</v>
      </c>
      <c r="AS830" s="48">
        <f>ROUND((Товары[[#This Row],[IRP, Eur]]*$AT$1),-2)*(1+Товары[[#This Row],[Процент повышения РРЦ]])</f>
        <v>0</v>
      </c>
      <c r="AT830" s="48"/>
      <c r="AU830" s="50">
        <f>ROUND(Товары[[#This Row],[РРЦ финальная, руб.]]/$AT$1,2)</f>
        <v>0</v>
      </c>
      <c r="AV830" s="49" t="str">
        <f>IFERROR(Товары[[#This Row],[РРЦ, евро]]/Товары[[#This Row],[IRP, Eur]],"-")</f>
        <v>-</v>
      </c>
      <c r="AX830" s="48">
        <f>ROUND(Товары[[#This Row],[РРЦ финальная, руб.]]*(1-Товары[[#This Row],[Скидка DIY]]),2)</f>
        <v>0</v>
      </c>
    </row>
    <row r="831" spans="1:50" x14ac:dyDescent="0.25">
      <c r="A831" s="36">
        <v>829</v>
      </c>
      <c r="C831" s="36" t="s">
        <v>240</v>
      </c>
      <c r="D8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1" s="36" t="s">
        <v>202</v>
      </c>
      <c r="F8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1" s="38">
        <v>970471201</v>
      </c>
      <c r="L831" s="37" t="s">
        <v>1280</v>
      </c>
      <c r="M831" s="37">
        <v>966807101</v>
      </c>
      <c r="O831" s="39" t="s">
        <v>2260</v>
      </c>
      <c r="AS831" s="48">
        <f>ROUND((Товары[[#This Row],[IRP, Eur]]*$AT$1),-2)*(1+Товары[[#This Row],[Процент повышения РРЦ]])</f>
        <v>0</v>
      </c>
      <c r="AT831" s="48"/>
      <c r="AU831" s="50">
        <f>ROUND(Товары[[#This Row],[РРЦ финальная, руб.]]/$AT$1,2)</f>
        <v>0</v>
      </c>
      <c r="AV831" s="49" t="str">
        <f>IFERROR(Товары[[#This Row],[РРЦ, евро]]/Товары[[#This Row],[IRP, Eur]],"-")</f>
        <v>-</v>
      </c>
      <c r="AX831" s="48">
        <f>ROUND(Товары[[#This Row],[РРЦ финальная, руб.]]*(1-Товары[[#This Row],[Скидка DIY]]),2)</f>
        <v>0</v>
      </c>
    </row>
    <row r="832" spans="1:50" x14ac:dyDescent="0.25">
      <c r="A832" s="36">
        <v>830</v>
      </c>
      <c r="C832" s="36" t="s">
        <v>240</v>
      </c>
      <c r="D8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2" s="36" t="s">
        <v>202</v>
      </c>
      <c r="F8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2" s="38">
        <v>970471301</v>
      </c>
      <c r="L832" s="37" t="s">
        <v>1281</v>
      </c>
      <c r="M832" s="37">
        <v>966807201</v>
      </c>
      <c r="O832" s="39" t="s">
        <v>2261</v>
      </c>
      <c r="AS832" s="48">
        <f>ROUND((Товары[[#This Row],[IRP, Eur]]*$AT$1),-2)*(1+Товары[[#This Row],[Процент повышения РРЦ]])</f>
        <v>0</v>
      </c>
      <c r="AT832" s="48"/>
      <c r="AU832" s="50">
        <f>ROUND(Товары[[#This Row],[РРЦ финальная, руб.]]/$AT$1,2)</f>
        <v>0</v>
      </c>
      <c r="AV832" s="49" t="str">
        <f>IFERROR(Товары[[#This Row],[РРЦ, евро]]/Товары[[#This Row],[IRP, Eur]],"-")</f>
        <v>-</v>
      </c>
      <c r="AX832" s="48">
        <f>ROUND(Товары[[#This Row],[РРЦ финальная, руб.]]*(1-Товары[[#This Row],[Скидка DIY]]),2)</f>
        <v>0</v>
      </c>
    </row>
    <row r="833" spans="1:50" x14ac:dyDescent="0.25">
      <c r="A833" s="36">
        <v>831</v>
      </c>
      <c r="C833" s="36" t="s">
        <v>240</v>
      </c>
      <c r="D8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3" s="36" t="s">
        <v>202</v>
      </c>
      <c r="F8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3" s="38">
        <v>9242</v>
      </c>
      <c r="I833" s="37" t="s">
        <v>365</v>
      </c>
      <c r="J833" s="37">
        <v>216</v>
      </c>
      <c r="K833" s="38">
        <v>967866301</v>
      </c>
      <c r="L833" s="37" t="s">
        <v>1282</v>
      </c>
      <c r="M833" s="37" t="s">
        <v>1460</v>
      </c>
      <c r="O833" s="39" t="s">
        <v>2262</v>
      </c>
      <c r="AS833" s="48">
        <f>ROUND((Товары[[#This Row],[IRP, Eur]]*$AT$1),-2)*(1+Товары[[#This Row],[Процент повышения РРЦ]])</f>
        <v>0</v>
      </c>
      <c r="AT833" s="48"/>
      <c r="AU833" s="50">
        <f>ROUND(Товары[[#This Row],[РРЦ финальная, руб.]]/$AT$1,2)</f>
        <v>0</v>
      </c>
      <c r="AV833" s="49" t="str">
        <f>IFERROR(Товары[[#This Row],[РРЦ, евро]]/Товары[[#This Row],[IRP, Eur]],"-")</f>
        <v>-</v>
      </c>
      <c r="AX833" s="48">
        <f>ROUND(Товары[[#This Row],[РРЦ финальная, руб.]]*(1-Товары[[#This Row],[Скидка DIY]]),2)</f>
        <v>0</v>
      </c>
    </row>
    <row r="834" spans="1:50" x14ac:dyDescent="0.25">
      <c r="A834" s="36">
        <v>832</v>
      </c>
      <c r="C834" s="36" t="s">
        <v>240</v>
      </c>
      <c r="D8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4" s="36" t="s">
        <v>202</v>
      </c>
      <c r="F8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4" s="38">
        <v>970471401</v>
      </c>
      <c r="L834" s="37" t="s">
        <v>1283</v>
      </c>
      <c r="M834" s="37">
        <v>966807301</v>
      </c>
      <c r="O834" s="39" t="s">
        <v>2263</v>
      </c>
      <c r="AS834" s="48">
        <f>ROUND((Товары[[#This Row],[IRP, Eur]]*$AT$1),-2)*(1+Товары[[#This Row],[Процент повышения РРЦ]])</f>
        <v>0</v>
      </c>
      <c r="AT834" s="48"/>
      <c r="AU834" s="50">
        <f>ROUND(Товары[[#This Row],[РРЦ финальная, руб.]]/$AT$1,2)</f>
        <v>0</v>
      </c>
      <c r="AV834" s="49" t="str">
        <f>IFERROR(Товары[[#This Row],[РРЦ, евро]]/Товары[[#This Row],[IRP, Eur]],"-")</f>
        <v>-</v>
      </c>
      <c r="AX834" s="48">
        <f>ROUND(Товары[[#This Row],[РРЦ финальная, руб.]]*(1-Товары[[#This Row],[Скидка DIY]]),2)</f>
        <v>0</v>
      </c>
    </row>
    <row r="835" spans="1:50" x14ac:dyDescent="0.25">
      <c r="A835" s="36">
        <v>833</v>
      </c>
      <c r="C835" s="36" t="s">
        <v>240</v>
      </c>
      <c r="D8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5" s="36" t="s">
        <v>202</v>
      </c>
      <c r="F8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5" s="38">
        <v>970471501</v>
      </c>
      <c r="L835" s="37" t="s">
        <v>1284</v>
      </c>
      <c r="M835" s="37">
        <v>967177501</v>
      </c>
      <c r="O835" s="39" t="s">
        <v>2264</v>
      </c>
      <c r="AS835" s="48">
        <f>ROUND((Товары[[#This Row],[IRP, Eur]]*$AT$1),-2)*(1+Товары[[#This Row],[Процент повышения РРЦ]])</f>
        <v>0</v>
      </c>
      <c r="AT835" s="48"/>
      <c r="AU835" s="50">
        <f>ROUND(Товары[[#This Row],[РРЦ финальная, руб.]]/$AT$1,2)</f>
        <v>0</v>
      </c>
      <c r="AV835" s="49" t="str">
        <f>IFERROR(Товары[[#This Row],[РРЦ, евро]]/Товары[[#This Row],[IRP, Eur]],"-")</f>
        <v>-</v>
      </c>
      <c r="AX835" s="48">
        <f>ROUND(Товары[[#This Row],[РРЦ финальная, руб.]]*(1-Товары[[#This Row],[Скидка DIY]]),2)</f>
        <v>0</v>
      </c>
    </row>
    <row r="836" spans="1:50" x14ac:dyDescent="0.25">
      <c r="A836" s="36">
        <v>834</v>
      </c>
      <c r="C836" s="36" t="s">
        <v>240</v>
      </c>
      <c r="D8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6" s="36" t="s">
        <v>202</v>
      </c>
      <c r="F8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6" s="38">
        <v>970471601</v>
      </c>
      <c r="L836" s="37" t="s">
        <v>1285</v>
      </c>
      <c r="M836" s="37">
        <v>0</v>
      </c>
      <c r="O836" s="39" t="s">
        <v>2265</v>
      </c>
      <c r="AS836" s="48">
        <f>ROUND((Товары[[#This Row],[IRP, Eur]]*$AT$1),-2)*(1+Товары[[#This Row],[Процент повышения РРЦ]])</f>
        <v>0</v>
      </c>
      <c r="AT836" s="48"/>
      <c r="AU836" s="50">
        <f>ROUND(Товары[[#This Row],[РРЦ финальная, руб.]]/$AT$1,2)</f>
        <v>0</v>
      </c>
      <c r="AV836" s="49" t="str">
        <f>IFERROR(Товары[[#This Row],[РРЦ, евро]]/Товары[[#This Row],[IRP, Eur]],"-")</f>
        <v>-</v>
      </c>
      <c r="AX836" s="48">
        <f>ROUND(Товары[[#This Row],[РРЦ финальная, руб.]]*(1-Товары[[#This Row],[Скидка DIY]]),2)</f>
        <v>0</v>
      </c>
    </row>
    <row r="837" spans="1:50" x14ac:dyDescent="0.25">
      <c r="A837" s="36">
        <v>835</v>
      </c>
      <c r="C837" s="36" t="s">
        <v>240</v>
      </c>
      <c r="D8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7" s="36" t="s">
        <v>202</v>
      </c>
      <c r="F8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7" s="38">
        <v>970487601</v>
      </c>
      <c r="L837" s="37" t="s">
        <v>1286</v>
      </c>
      <c r="M837" s="37">
        <v>0</v>
      </c>
      <c r="O837" s="39" t="s">
        <v>2266</v>
      </c>
      <c r="AS837" s="48">
        <f>ROUND((Товары[[#This Row],[IRP, Eur]]*$AT$1),-2)*(1+Товары[[#This Row],[Процент повышения РРЦ]])</f>
        <v>0</v>
      </c>
      <c r="AT837" s="48"/>
      <c r="AU837" s="50">
        <f>ROUND(Товары[[#This Row],[РРЦ финальная, руб.]]/$AT$1,2)</f>
        <v>0</v>
      </c>
      <c r="AV837" s="49" t="str">
        <f>IFERROR(Товары[[#This Row],[РРЦ, евро]]/Товары[[#This Row],[IRP, Eur]],"-")</f>
        <v>-</v>
      </c>
      <c r="AX837" s="48">
        <f>ROUND(Товары[[#This Row],[РРЦ финальная, руб.]]*(1-Товары[[#This Row],[Скидка DIY]]),2)</f>
        <v>0</v>
      </c>
    </row>
    <row r="838" spans="1:50" x14ac:dyDescent="0.25">
      <c r="A838" s="36">
        <v>836</v>
      </c>
      <c r="D8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8" s="37" t="s">
        <v>1287</v>
      </c>
      <c r="O838" s="39" t="s">
        <v>2267</v>
      </c>
      <c r="AS838" s="48">
        <f>ROUND((Товары[[#This Row],[IRP, Eur]]*$AT$1),-2)*(1+Товары[[#This Row],[Процент повышения РРЦ]])</f>
        <v>0</v>
      </c>
      <c r="AT838" s="48"/>
      <c r="AU838" s="50">
        <f>ROUND(Товары[[#This Row],[РРЦ финальная, руб.]]/$AT$1,2)</f>
        <v>0</v>
      </c>
      <c r="AV838" s="49" t="str">
        <f>IFERROR(Товары[[#This Row],[РРЦ, евро]]/Товары[[#This Row],[IRP, Eur]],"-")</f>
        <v>-</v>
      </c>
      <c r="AX838" s="48">
        <f>ROUND(Товары[[#This Row],[РРЦ финальная, руб.]]*(1-Товары[[#This Row],[Скидка DIY]]),2)</f>
        <v>0</v>
      </c>
    </row>
    <row r="839" spans="1:50" x14ac:dyDescent="0.25">
      <c r="A839" s="36">
        <v>837</v>
      </c>
      <c r="D8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9" s="37" t="s">
        <v>1288</v>
      </c>
      <c r="O839" s="39" t="s">
        <v>2268</v>
      </c>
      <c r="AS839" s="48">
        <f>ROUND((Товары[[#This Row],[IRP, Eur]]*$AT$1),-2)*(1+Товары[[#This Row],[Процент повышения РРЦ]])</f>
        <v>0</v>
      </c>
      <c r="AT839" s="48"/>
      <c r="AU839" s="50">
        <f>ROUND(Товары[[#This Row],[РРЦ финальная, руб.]]/$AT$1,2)</f>
        <v>0</v>
      </c>
      <c r="AV839" s="49" t="str">
        <f>IFERROR(Товары[[#This Row],[РРЦ, евро]]/Товары[[#This Row],[IRP, Eur]],"-")</f>
        <v>-</v>
      </c>
      <c r="AX839" s="48">
        <f>ROUND(Товары[[#This Row],[РРЦ финальная, руб.]]*(1-Товары[[#This Row],[Скидка DIY]]),2)</f>
        <v>0</v>
      </c>
    </row>
    <row r="840" spans="1:50" x14ac:dyDescent="0.25">
      <c r="A840" s="36">
        <v>838</v>
      </c>
      <c r="D8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0" s="37" t="s">
        <v>1289</v>
      </c>
      <c r="O840" s="39" t="s">
        <v>2269</v>
      </c>
      <c r="AS840" s="48">
        <f>ROUND((Товары[[#This Row],[IRP, Eur]]*$AT$1),-2)*(1+Товары[[#This Row],[Процент повышения РРЦ]])</f>
        <v>0</v>
      </c>
      <c r="AT840" s="48"/>
      <c r="AU840" s="50">
        <f>ROUND(Товары[[#This Row],[РРЦ финальная, руб.]]/$AT$1,2)</f>
        <v>0</v>
      </c>
      <c r="AV840" s="49" t="str">
        <f>IFERROR(Товары[[#This Row],[РРЦ, евро]]/Товары[[#This Row],[IRP, Eur]],"-")</f>
        <v>-</v>
      </c>
      <c r="AX840" s="48">
        <f>ROUND(Товары[[#This Row],[РРЦ финальная, руб.]]*(1-Товары[[#This Row],[Скидка DIY]]),2)</f>
        <v>0</v>
      </c>
    </row>
    <row r="841" spans="1:50" x14ac:dyDescent="0.25">
      <c r="A841" s="36">
        <v>839</v>
      </c>
      <c r="D8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1" s="37" t="s">
        <v>1290</v>
      </c>
      <c r="O841" s="39" t="s">
        <v>2270</v>
      </c>
      <c r="AS841" s="48">
        <f>ROUND((Товары[[#This Row],[IRP, Eur]]*$AT$1),-2)*(1+Товары[[#This Row],[Процент повышения РРЦ]])</f>
        <v>0</v>
      </c>
      <c r="AT841" s="48"/>
      <c r="AU841" s="50">
        <f>ROUND(Товары[[#This Row],[РРЦ финальная, руб.]]/$AT$1,2)</f>
        <v>0</v>
      </c>
      <c r="AV841" s="49" t="str">
        <f>IFERROR(Товары[[#This Row],[РРЦ, евро]]/Товары[[#This Row],[IRP, Eur]],"-")</f>
        <v>-</v>
      </c>
      <c r="AX841" s="48">
        <f>ROUND(Товары[[#This Row],[РРЦ финальная, руб.]]*(1-Товары[[#This Row],[Скидка DIY]]),2)</f>
        <v>0</v>
      </c>
    </row>
    <row r="842" spans="1:50" x14ac:dyDescent="0.25">
      <c r="A842" s="36">
        <v>840</v>
      </c>
      <c r="D8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2" s="37" t="s">
        <v>1291</v>
      </c>
      <c r="O842" s="39" t="s">
        <v>2271</v>
      </c>
      <c r="AS842" s="48">
        <f>ROUND((Товары[[#This Row],[IRP, Eur]]*$AT$1),-2)*(1+Товары[[#This Row],[Процент повышения РРЦ]])</f>
        <v>0</v>
      </c>
      <c r="AT842" s="48"/>
      <c r="AU842" s="50">
        <f>ROUND(Товары[[#This Row],[РРЦ финальная, руб.]]/$AT$1,2)</f>
        <v>0</v>
      </c>
      <c r="AV842" s="49" t="str">
        <f>IFERROR(Товары[[#This Row],[РРЦ, евро]]/Товары[[#This Row],[IRP, Eur]],"-")</f>
        <v>-</v>
      </c>
      <c r="AX842" s="48">
        <f>ROUND(Товары[[#This Row],[РРЦ финальная, руб.]]*(1-Товары[[#This Row],[Скидка DIY]]),2)</f>
        <v>0</v>
      </c>
    </row>
    <row r="843" spans="1:50" x14ac:dyDescent="0.25">
      <c r="A843" s="36">
        <v>841</v>
      </c>
      <c r="D8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3" s="37" t="s">
        <v>1292</v>
      </c>
      <c r="O843" s="39" t="s">
        <v>2272</v>
      </c>
      <c r="AS843" s="48">
        <f>ROUND((Товары[[#This Row],[IRP, Eur]]*$AT$1),-2)*(1+Товары[[#This Row],[Процент повышения РРЦ]])</f>
        <v>0</v>
      </c>
      <c r="AT843" s="48"/>
      <c r="AU843" s="50">
        <f>ROUND(Товары[[#This Row],[РРЦ финальная, руб.]]/$AT$1,2)</f>
        <v>0</v>
      </c>
      <c r="AV843" s="49" t="str">
        <f>IFERROR(Товары[[#This Row],[РРЦ, евро]]/Товары[[#This Row],[IRP, Eur]],"-")</f>
        <v>-</v>
      </c>
      <c r="AX843" s="48">
        <f>ROUND(Товары[[#This Row],[РРЦ финальная, руб.]]*(1-Товары[[#This Row],[Скидка DIY]]),2)</f>
        <v>0</v>
      </c>
    </row>
    <row r="844" spans="1:50" x14ac:dyDescent="0.25">
      <c r="A844" s="36">
        <v>842</v>
      </c>
      <c r="D8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4" s="37" t="s">
        <v>1293</v>
      </c>
      <c r="O844" s="39" t="s">
        <v>2273</v>
      </c>
      <c r="AS844" s="48">
        <f>ROUND((Товары[[#This Row],[IRP, Eur]]*$AT$1),-2)*(1+Товары[[#This Row],[Процент повышения РРЦ]])</f>
        <v>0</v>
      </c>
      <c r="AT844" s="48"/>
      <c r="AU844" s="50">
        <f>ROUND(Товары[[#This Row],[РРЦ финальная, руб.]]/$AT$1,2)</f>
        <v>0</v>
      </c>
      <c r="AV844" s="49" t="str">
        <f>IFERROR(Товары[[#This Row],[РРЦ, евро]]/Товары[[#This Row],[IRP, Eur]],"-")</f>
        <v>-</v>
      </c>
      <c r="AX844" s="48">
        <f>ROUND(Товары[[#This Row],[РРЦ финальная, руб.]]*(1-Товары[[#This Row],[Скидка DIY]]),2)</f>
        <v>0</v>
      </c>
    </row>
    <row r="845" spans="1:50" x14ac:dyDescent="0.25">
      <c r="A845" s="36">
        <v>843</v>
      </c>
      <c r="D8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5" s="37" t="s">
        <v>1294</v>
      </c>
      <c r="O845" s="39" t="s">
        <v>2274</v>
      </c>
      <c r="AS845" s="48">
        <f>ROUND((Товары[[#This Row],[IRP, Eur]]*$AT$1),-2)*(1+Товары[[#This Row],[Процент повышения РРЦ]])</f>
        <v>0</v>
      </c>
      <c r="AT845" s="48"/>
      <c r="AU845" s="50">
        <f>ROUND(Товары[[#This Row],[РРЦ финальная, руб.]]/$AT$1,2)</f>
        <v>0</v>
      </c>
      <c r="AV845" s="49" t="str">
        <f>IFERROR(Товары[[#This Row],[РРЦ, евро]]/Товары[[#This Row],[IRP, Eur]],"-")</f>
        <v>-</v>
      </c>
      <c r="AX845" s="48">
        <f>ROUND(Товары[[#This Row],[РРЦ финальная, руб.]]*(1-Товары[[#This Row],[Скидка DIY]]),2)</f>
        <v>0</v>
      </c>
    </row>
    <row r="846" spans="1:50" x14ac:dyDescent="0.25">
      <c r="A846" s="36">
        <v>844</v>
      </c>
      <c r="D8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6" s="37" t="s">
        <v>1295</v>
      </c>
      <c r="O846" s="39" t="s">
        <v>2275</v>
      </c>
      <c r="AS846" s="48">
        <f>ROUND((Товары[[#This Row],[IRP, Eur]]*$AT$1),-2)*(1+Товары[[#This Row],[Процент повышения РРЦ]])</f>
        <v>0</v>
      </c>
      <c r="AT846" s="48"/>
      <c r="AU846" s="50">
        <f>ROUND(Товары[[#This Row],[РРЦ финальная, руб.]]/$AT$1,2)</f>
        <v>0</v>
      </c>
      <c r="AV846" s="49" t="str">
        <f>IFERROR(Товары[[#This Row],[РРЦ, евро]]/Товары[[#This Row],[IRP, Eur]],"-")</f>
        <v>-</v>
      </c>
      <c r="AX846" s="48">
        <f>ROUND(Товары[[#This Row],[РРЦ финальная, руб.]]*(1-Товары[[#This Row],[Скидка DIY]]),2)</f>
        <v>0</v>
      </c>
    </row>
    <row r="847" spans="1:50" x14ac:dyDescent="0.25">
      <c r="A847" s="36">
        <v>845</v>
      </c>
      <c r="D8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7" s="37" t="s">
        <v>1296</v>
      </c>
      <c r="O847" s="39" t="s">
        <v>1623</v>
      </c>
      <c r="AS847" s="48">
        <f>ROUND((Товары[[#This Row],[IRP, Eur]]*$AT$1),-2)*(1+Товары[[#This Row],[Процент повышения РРЦ]])</f>
        <v>0</v>
      </c>
      <c r="AT847" s="48"/>
      <c r="AU847" s="50">
        <f>ROUND(Товары[[#This Row],[РРЦ финальная, руб.]]/$AT$1,2)</f>
        <v>0</v>
      </c>
      <c r="AV847" s="49" t="str">
        <f>IFERROR(Товары[[#This Row],[РРЦ, евро]]/Товары[[#This Row],[IRP, Eur]],"-")</f>
        <v>-</v>
      </c>
      <c r="AX847" s="48">
        <f>ROUND(Товары[[#This Row],[РРЦ финальная, руб.]]*(1-Товары[[#This Row],[Скидка DIY]]),2)</f>
        <v>0</v>
      </c>
    </row>
    <row r="848" spans="1:50" x14ac:dyDescent="0.25">
      <c r="A848" s="36">
        <v>846</v>
      </c>
      <c r="D8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8" s="37" t="s">
        <v>1297</v>
      </c>
      <c r="O848" s="39" t="s">
        <v>2276</v>
      </c>
      <c r="AS848" s="48">
        <f>ROUND((Товары[[#This Row],[IRP, Eur]]*$AT$1),-2)*(1+Товары[[#This Row],[Процент повышения РРЦ]])</f>
        <v>0</v>
      </c>
      <c r="AT848" s="48"/>
      <c r="AU848" s="50">
        <f>ROUND(Товары[[#This Row],[РРЦ финальная, руб.]]/$AT$1,2)</f>
        <v>0</v>
      </c>
      <c r="AV848" s="49" t="str">
        <f>IFERROR(Товары[[#This Row],[РРЦ, евро]]/Товары[[#This Row],[IRP, Eur]],"-")</f>
        <v>-</v>
      </c>
      <c r="AX848" s="48">
        <f>ROUND(Товары[[#This Row],[РРЦ финальная, руб.]]*(1-Товары[[#This Row],[Скидка DIY]]),2)</f>
        <v>0</v>
      </c>
    </row>
    <row r="849" spans="1:50" x14ac:dyDescent="0.25">
      <c r="A849" s="36">
        <v>847</v>
      </c>
      <c r="D8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9" s="37" t="s">
        <v>1298</v>
      </c>
      <c r="O849" s="39" t="s">
        <v>2277</v>
      </c>
      <c r="AS849" s="48">
        <f>ROUND((Товары[[#This Row],[IRP, Eur]]*$AT$1),-2)*(1+Товары[[#This Row],[Процент повышения РРЦ]])</f>
        <v>0</v>
      </c>
      <c r="AT849" s="48"/>
      <c r="AU849" s="50">
        <f>ROUND(Товары[[#This Row],[РРЦ финальная, руб.]]/$AT$1,2)</f>
        <v>0</v>
      </c>
      <c r="AV849" s="49" t="str">
        <f>IFERROR(Товары[[#This Row],[РРЦ, евро]]/Товары[[#This Row],[IRP, Eur]],"-")</f>
        <v>-</v>
      </c>
      <c r="AX849" s="48">
        <f>ROUND(Товары[[#This Row],[РРЦ финальная, руб.]]*(1-Товары[[#This Row],[Скидка DIY]]),2)</f>
        <v>0</v>
      </c>
    </row>
    <row r="850" spans="1:50" x14ac:dyDescent="0.25">
      <c r="A850" s="36">
        <v>848</v>
      </c>
      <c r="D8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0" s="37" t="s">
        <v>1299</v>
      </c>
      <c r="O850" s="39" t="s">
        <v>2278</v>
      </c>
      <c r="AS850" s="48">
        <f>ROUND((Товары[[#This Row],[IRP, Eur]]*$AT$1),-2)*(1+Товары[[#This Row],[Процент повышения РРЦ]])</f>
        <v>0</v>
      </c>
      <c r="AT850" s="48"/>
      <c r="AU850" s="50">
        <f>ROUND(Товары[[#This Row],[РРЦ финальная, руб.]]/$AT$1,2)</f>
        <v>0</v>
      </c>
      <c r="AV850" s="49" t="str">
        <f>IFERROR(Товары[[#This Row],[РРЦ, евро]]/Товары[[#This Row],[IRP, Eur]],"-")</f>
        <v>-</v>
      </c>
      <c r="AX850" s="48">
        <f>ROUND(Товары[[#This Row],[РРЦ финальная, руб.]]*(1-Товары[[#This Row],[Скидка DIY]]),2)</f>
        <v>0</v>
      </c>
    </row>
    <row r="851" spans="1:50" x14ac:dyDescent="0.25">
      <c r="A851" s="36">
        <v>849</v>
      </c>
      <c r="D8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1" s="37" t="s">
        <v>1300</v>
      </c>
      <c r="O851" s="39" t="s">
        <v>2279</v>
      </c>
      <c r="AS851" s="48">
        <f>ROUND((Товары[[#This Row],[IRP, Eur]]*$AT$1),-2)*(1+Товары[[#This Row],[Процент повышения РРЦ]])</f>
        <v>0</v>
      </c>
      <c r="AT851" s="48"/>
      <c r="AU851" s="50">
        <f>ROUND(Товары[[#This Row],[РРЦ финальная, руб.]]/$AT$1,2)</f>
        <v>0</v>
      </c>
      <c r="AV851" s="49" t="str">
        <f>IFERROR(Товары[[#This Row],[РРЦ, евро]]/Товары[[#This Row],[IRP, Eur]],"-")</f>
        <v>-</v>
      </c>
      <c r="AX851" s="48">
        <f>ROUND(Товары[[#This Row],[РРЦ финальная, руб.]]*(1-Товары[[#This Row],[Скидка DIY]]),2)</f>
        <v>0</v>
      </c>
    </row>
    <row r="852" spans="1:50" x14ac:dyDescent="0.25">
      <c r="A852" s="36">
        <v>850</v>
      </c>
      <c r="D8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2" s="37" t="s">
        <v>1301</v>
      </c>
      <c r="O852" s="39" t="s">
        <v>2280</v>
      </c>
      <c r="AS852" s="48">
        <f>ROUND((Товары[[#This Row],[IRP, Eur]]*$AT$1),-2)*(1+Товары[[#This Row],[Процент повышения РРЦ]])</f>
        <v>0</v>
      </c>
      <c r="AT852" s="48"/>
      <c r="AU852" s="50">
        <f>ROUND(Товары[[#This Row],[РРЦ финальная, руб.]]/$AT$1,2)</f>
        <v>0</v>
      </c>
      <c r="AV852" s="49" t="str">
        <f>IFERROR(Товары[[#This Row],[РРЦ, евро]]/Товары[[#This Row],[IRP, Eur]],"-")</f>
        <v>-</v>
      </c>
      <c r="AX852" s="48">
        <f>ROUND(Товары[[#This Row],[РРЦ финальная, руб.]]*(1-Товары[[#This Row],[Скидка DIY]]),2)</f>
        <v>0</v>
      </c>
    </row>
    <row r="853" spans="1:50" x14ac:dyDescent="0.25">
      <c r="A853" s="36">
        <v>851</v>
      </c>
      <c r="D8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3" s="37" t="s">
        <v>1302</v>
      </c>
      <c r="O853" s="39" t="s">
        <v>2281</v>
      </c>
      <c r="AS853" s="48">
        <f>ROUND((Товары[[#This Row],[IRP, Eur]]*$AT$1),-2)*(1+Товары[[#This Row],[Процент повышения РРЦ]])</f>
        <v>0</v>
      </c>
      <c r="AT853" s="48"/>
      <c r="AU853" s="50">
        <f>ROUND(Товары[[#This Row],[РРЦ финальная, руб.]]/$AT$1,2)</f>
        <v>0</v>
      </c>
      <c r="AV853" s="49" t="str">
        <f>IFERROR(Товары[[#This Row],[РРЦ, евро]]/Товары[[#This Row],[IRP, Eur]],"-")</f>
        <v>-</v>
      </c>
      <c r="AX853" s="48">
        <f>ROUND(Товары[[#This Row],[РРЦ финальная, руб.]]*(1-Товары[[#This Row],[Скидка DIY]]),2)</f>
        <v>0</v>
      </c>
    </row>
    <row r="854" spans="1:50" x14ac:dyDescent="0.25">
      <c r="A854" s="36">
        <v>852</v>
      </c>
      <c r="D8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4" s="37" t="s">
        <v>1303</v>
      </c>
      <c r="O854" s="39" t="s">
        <v>2282</v>
      </c>
      <c r="AS854" s="48">
        <f>ROUND((Товары[[#This Row],[IRP, Eur]]*$AT$1),-2)*(1+Товары[[#This Row],[Процент повышения РРЦ]])</f>
        <v>0</v>
      </c>
      <c r="AT854" s="48"/>
      <c r="AU854" s="50">
        <f>ROUND(Товары[[#This Row],[РРЦ финальная, руб.]]/$AT$1,2)</f>
        <v>0</v>
      </c>
      <c r="AV854" s="49" t="str">
        <f>IFERROR(Товары[[#This Row],[РРЦ, евро]]/Товары[[#This Row],[IRP, Eur]],"-")</f>
        <v>-</v>
      </c>
      <c r="AX854" s="48">
        <f>ROUND(Товары[[#This Row],[РРЦ финальная, руб.]]*(1-Товары[[#This Row],[Скидка DIY]]),2)</f>
        <v>0</v>
      </c>
    </row>
    <row r="855" spans="1:50" x14ac:dyDescent="0.25">
      <c r="A855" s="36">
        <v>853</v>
      </c>
      <c r="D8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5" s="37" t="s">
        <v>1304</v>
      </c>
      <c r="O855" s="39" t="s">
        <v>2283</v>
      </c>
      <c r="AS855" s="48">
        <f>ROUND((Товары[[#This Row],[IRP, Eur]]*$AT$1),-2)*(1+Товары[[#This Row],[Процент повышения РРЦ]])</f>
        <v>0</v>
      </c>
      <c r="AT855" s="48"/>
      <c r="AU855" s="50">
        <f>ROUND(Товары[[#This Row],[РРЦ финальная, руб.]]/$AT$1,2)</f>
        <v>0</v>
      </c>
      <c r="AV855" s="49" t="str">
        <f>IFERROR(Товары[[#This Row],[РРЦ, евро]]/Товары[[#This Row],[IRP, Eur]],"-")</f>
        <v>-</v>
      </c>
      <c r="AX855" s="48">
        <f>ROUND(Товары[[#This Row],[РРЦ финальная, руб.]]*(1-Товары[[#This Row],[Скидка DIY]]),2)</f>
        <v>0</v>
      </c>
    </row>
    <row r="856" spans="1:50" x14ac:dyDescent="0.25">
      <c r="A856" s="36">
        <v>854</v>
      </c>
      <c r="D8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6" s="37" t="s">
        <v>1305</v>
      </c>
      <c r="O856" s="39" t="s">
        <v>2284</v>
      </c>
      <c r="AS856" s="48">
        <f>ROUND((Товары[[#This Row],[IRP, Eur]]*$AT$1),-2)*(1+Товары[[#This Row],[Процент повышения РРЦ]])</f>
        <v>0</v>
      </c>
      <c r="AT856" s="48"/>
      <c r="AU856" s="50">
        <f>ROUND(Товары[[#This Row],[РРЦ финальная, руб.]]/$AT$1,2)</f>
        <v>0</v>
      </c>
      <c r="AV856" s="49" t="str">
        <f>IFERROR(Товары[[#This Row],[РРЦ, евро]]/Товары[[#This Row],[IRP, Eur]],"-")</f>
        <v>-</v>
      </c>
      <c r="AX856" s="48">
        <f>ROUND(Товары[[#This Row],[РРЦ финальная, руб.]]*(1-Товары[[#This Row],[Скидка DIY]]),2)</f>
        <v>0</v>
      </c>
    </row>
    <row r="857" spans="1:50" x14ac:dyDescent="0.25">
      <c r="A857" s="36">
        <v>855</v>
      </c>
      <c r="D8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7" s="37" t="s">
        <v>1306</v>
      </c>
      <c r="O857" s="39" t="s">
        <v>2285</v>
      </c>
      <c r="AS857" s="48">
        <f>ROUND((Товары[[#This Row],[IRP, Eur]]*$AT$1),-2)*(1+Товары[[#This Row],[Процент повышения РРЦ]])</f>
        <v>0</v>
      </c>
      <c r="AT857" s="48"/>
      <c r="AU857" s="50">
        <f>ROUND(Товары[[#This Row],[РРЦ финальная, руб.]]/$AT$1,2)</f>
        <v>0</v>
      </c>
      <c r="AV857" s="49" t="str">
        <f>IFERROR(Товары[[#This Row],[РРЦ, евро]]/Товары[[#This Row],[IRP, Eur]],"-")</f>
        <v>-</v>
      </c>
      <c r="AX857" s="48">
        <f>ROUND(Товары[[#This Row],[РРЦ финальная, руб.]]*(1-Товары[[#This Row],[Скидка DIY]]),2)</f>
        <v>0</v>
      </c>
    </row>
    <row r="858" spans="1:50" x14ac:dyDescent="0.25">
      <c r="A858" s="36">
        <v>856</v>
      </c>
      <c r="D8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8" s="37" t="s">
        <v>1307</v>
      </c>
      <c r="O858" s="39" t="s">
        <v>2286</v>
      </c>
      <c r="AS858" s="48">
        <f>ROUND((Товары[[#This Row],[IRP, Eur]]*$AT$1),-2)*(1+Товары[[#This Row],[Процент повышения РРЦ]])</f>
        <v>0</v>
      </c>
      <c r="AT858" s="48"/>
      <c r="AU858" s="50">
        <f>ROUND(Товары[[#This Row],[РРЦ финальная, руб.]]/$AT$1,2)</f>
        <v>0</v>
      </c>
      <c r="AV858" s="49" t="str">
        <f>IFERROR(Товары[[#This Row],[РРЦ, евро]]/Товары[[#This Row],[IRP, Eur]],"-")</f>
        <v>-</v>
      </c>
      <c r="AX858" s="48">
        <f>ROUND(Товары[[#This Row],[РРЦ финальная, руб.]]*(1-Товары[[#This Row],[Скидка DIY]]),2)</f>
        <v>0</v>
      </c>
    </row>
    <row r="859" spans="1:50" x14ac:dyDescent="0.25">
      <c r="A859" s="36">
        <v>857</v>
      </c>
      <c r="D8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9" s="37" t="s">
        <v>1308</v>
      </c>
      <c r="O859" s="39" t="s">
        <v>2287</v>
      </c>
      <c r="AS859" s="48">
        <f>ROUND((Товары[[#This Row],[IRP, Eur]]*$AT$1),-2)*(1+Товары[[#This Row],[Процент повышения РРЦ]])</f>
        <v>0</v>
      </c>
      <c r="AT859" s="48"/>
      <c r="AU859" s="50">
        <f>ROUND(Товары[[#This Row],[РРЦ финальная, руб.]]/$AT$1,2)</f>
        <v>0</v>
      </c>
      <c r="AV859" s="49" t="str">
        <f>IFERROR(Товары[[#This Row],[РРЦ, евро]]/Товары[[#This Row],[IRP, Eur]],"-")</f>
        <v>-</v>
      </c>
      <c r="AX859" s="48">
        <f>ROUND(Товары[[#This Row],[РРЦ финальная, руб.]]*(1-Товары[[#This Row],[Скидка DIY]]),2)</f>
        <v>0</v>
      </c>
    </row>
    <row r="860" spans="1:50" x14ac:dyDescent="0.25">
      <c r="A860" s="36">
        <v>858</v>
      </c>
      <c r="D8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0" s="37" t="s">
        <v>1309</v>
      </c>
      <c r="O860" s="39" t="s">
        <v>2288</v>
      </c>
      <c r="AS860" s="48">
        <f>ROUND((Товары[[#This Row],[IRP, Eur]]*$AT$1),-2)*(1+Товары[[#This Row],[Процент повышения РРЦ]])</f>
        <v>0</v>
      </c>
      <c r="AT860" s="48"/>
      <c r="AU860" s="50">
        <f>ROUND(Товары[[#This Row],[РРЦ финальная, руб.]]/$AT$1,2)</f>
        <v>0</v>
      </c>
      <c r="AV860" s="49" t="str">
        <f>IFERROR(Товары[[#This Row],[РРЦ, евро]]/Товары[[#This Row],[IRP, Eur]],"-")</f>
        <v>-</v>
      </c>
      <c r="AX860" s="48">
        <f>ROUND(Товары[[#This Row],[РРЦ финальная, руб.]]*(1-Товары[[#This Row],[Скидка DIY]]),2)</f>
        <v>0</v>
      </c>
    </row>
    <row r="861" spans="1:50" x14ac:dyDescent="0.25">
      <c r="A861" s="36">
        <v>859</v>
      </c>
      <c r="D8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1" s="37" t="s">
        <v>1310</v>
      </c>
      <c r="O861" s="39" t="s">
        <v>2289</v>
      </c>
      <c r="AS861" s="48">
        <f>ROUND((Товары[[#This Row],[IRP, Eur]]*$AT$1),-2)*(1+Товары[[#This Row],[Процент повышения РРЦ]])</f>
        <v>0</v>
      </c>
      <c r="AT861" s="48"/>
      <c r="AU861" s="50">
        <f>ROUND(Товары[[#This Row],[РРЦ финальная, руб.]]/$AT$1,2)</f>
        <v>0</v>
      </c>
      <c r="AV861" s="49" t="str">
        <f>IFERROR(Товары[[#This Row],[РРЦ, евро]]/Товары[[#This Row],[IRP, Eur]],"-")</f>
        <v>-</v>
      </c>
      <c r="AX861" s="48">
        <f>ROUND(Товары[[#This Row],[РРЦ финальная, руб.]]*(1-Товары[[#This Row],[Скидка DIY]]),2)</f>
        <v>0</v>
      </c>
    </row>
    <row r="862" spans="1:50" x14ac:dyDescent="0.25">
      <c r="A862" s="36">
        <v>860</v>
      </c>
      <c r="D8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2" s="37" t="s">
        <v>1311</v>
      </c>
      <c r="O862" s="39" t="s">
        <v>2290</v>
      </c>
      <c r="AS862" s="48">
        <f>ROUND((Товары[[#This Row],[IRP, Eur]]*$AT$1),-2)*(1+Товары[[#This Row],[Процент повышения РРЦ]])</f>
        <v>0</v>
      </c>
      <c r="AT862" s="48"/>
      <c r="AU862" s="50">
        <f>ROUND(Товары[[#This Row],[РРЦ финальная, руб.]]/$AT$1,2)</f>
        <v>0</v>
      </c>
      <c r="AV862" s="49" t="str">
        <f>IFERROR(Товары[[#This Row],[РРЦ, евро]]/Товары[[#This Row],[IRP, Eur]],"-")</f>
        <v>-</v>
      </c>
      <c r="AX862" s="48">
        <f>ROUND(Товары[[#This Row],[РРЦ финальная, руб.]]*(1-Товары[[#This Row],[Скидка DIY]]),2)</f>
        <v>0</v>
      </c>
    </row>
    <row r="863" spans="1:50" x14ac:dyDescent="0.25">
      <c r="A863" s="36">
        <v>861</v>
      </c>
      <c r="D8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3" s="37" t="s">
        <v>1312</v>
      </c>
      <c r="O863" s="39" t="s">
        <v>2291</v>
      </c>
      <c r="AS863" s="48">
        <f>ROUND((Товары[[#This Row],[IRP, Eur]]*$AT$1),-2)*(1+Товары[[#This Row],[Процент повышения РРЦ]])</f>
        <v>0</v>
      </c>
      <c r="AT863" s="48"/>
      <c r="AU863" s="50">
        <f>ROUND(Товары[[#This Row],[РРЦ финальная, руб.]]/$AT$1,2)</f>
        <v>0</v>
      </c>
      <c r="AV863" s="49" t="str">
        <f>IFERROR(Товары[[#This Row],[РРЦ, евро]]/Товары[[#This Row],[IRP, Eur]],"-")</f>
        <v>-</v>
      </c>
      <c r="AX863" s="48">
        <f>ROUND(Товары[[#This Row],[РРЦ финальная, руб.]]*(1-Товары[[#This Row],[Скидка DIY]]),2)</f>
        <v>0</v>
      </c>
    </row>
    <row r="864" spans="1:50" x14ac:dyDescent="0.25">
      <c r="A864" s="36">
        <v>862</v>
      </c>
      <c r="D8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4" s="37" t="s">
        <v>1313</v>
      </c>
      <c r="O864" s="39" t="s">
        <v>2292</v>
      </c>
      <c r="AS864" s="48">
        <f>ROUND((Товары[[#This Row],[IRP, Eur]]*$AT$1),-2)*(1+Товары[[#This Row],[Процент повышения РРЦ]])</f>
        <v>0</v>
      </c>
      <c r="AT864" s="48"/>
      <c r="AU864" s="50">
        <f>ROUND(Товары[[#This Row],[РРЦ финальная, руб.]]/$AT$1,2)</f>
        <v>0</v>
      </c>
      <c r="AV864" s="49" t="str">
        <f>IFERROR(Товары[[#This Row],[РРЦ, евро]]/Товары[[#This Row],[IRP, Eur]],"-")</f>
        <v>-</v>
      </c>
      <c r="AX864" s="48">
        <f>ROUND(Товары[[#This Row],[РРЦ финальная, руб.]]*(1-Товары[[#This Row],[Скидка DIY]]),2)</f>
        <v>0</v>
      </c>
    </row>
    <row r="865" spans="1:50" x14ac:dyDescent="0.25">
      <c r="A865" s="36">
        <v>863</v>
      </c>
      <c r="D8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5" s="37" t="s">
        <v>1314</v>
      </c>
      <c r="O865" s="39" t="s">
        <v>2292</v>
      </c>
      <c r="AS865" s="48">
        <f>ROUND((Товары[[#This Row],[IRP, Eur]]*$AT$1),-2)*(1+Товары[[#This Row],[Процент повышения РРЦ]])</f>
        <v>0</v>
      </c>
      <c r="AT865" s="48"/>
      <c r="AU865" s="50">
        <f>ROUND(Товары[[#This Row],[РРЦ финальная, руб.]]/$AT$1,2)</f>
        <v>0</v>
      </c>
      <c r="AV865" s="49" t="str">
        <f>IFERROR(Товары[[#This Row],[РРЦ, евро]]/Товары[[#This Row],[IRP, Eur]],"-")</f>
        <v>-</v>
      </c>
      <c r="AX865" s="48">
        <f>ROUND(Товары[[#This Row],[РРЦ финальная, руб.]]*(1-Товары[[#This Row],[Скидка DIY]]),2)</f>
        <v>0</v>
      </c>
    </row>
    <row r="866" spans="1:50" x14ac:dyDescent="0.25">
      <c r="A866" s="36">
        <v>864</v>
      </c>
      <c r="D8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6" s="37" t="s">
        <v>1315</v>
      </c>
      <c r="O866" s="39" t="s">
        <v>2293</v>
      </c>
      <c r="AS866" s="48">
        <f>ROUND((Товары[[#This Row],[IRP, Eur]]*$AT$1),-2)*(1+Товары[[#This Row],[Процент повышения РРЦ]])</f>
        <v>0</v>
      </c>
      <c r="AT866" s="48"/>
      <c r="AU866" s="50">
        <f>ROUND(Товары[[#This Row],[РРЦ финальная, руб.]]/$AT$1,2)</f>
        <v>0</v>
      </c>
      <c r="AV866" s="49" t="str">
        <f>IFERROR(Товары[[#This Row],[РРЦ, евро]]/Товары[[#This Row],[IRP, Eur]],"-")</f>
        <v>-</v>
      </c>
      <c r="AX866" s="48">
        <f>ROUND(Товары[[#This Row],[РРЦ финальная, руб.]]*(1-Товары[[#This Row],[Скидка DIY]]),2)</f>
        <v>0</v>
      </c>
    </row>
    <row r="867" spans="1:50" x14ac:dyDescent="0.25">
      <c r="A867" s="36">
        <v>865</v>
      </c>
      <c r="D8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7" s="37" t="s">
        <v>770</v>
      </c>
      <c r="O867" s="39" t="s">
        <v>1762</v>
      </c>
      <c r="AS867" s="48">
        <f>ROUND((Товары[[#This Row],[IRP, Eur]]*$AT$1),-2)*(1+Товары[[#This Row],[Процент повышения РРЦ]])</f>
        <v>0</v>
      </c>
      <c r="AT867" s="48"/>
      <c r="AU867" s="50">
        <f>ROUND(Товары[[#This Row],[РРЦ финальная, руб.]]/$AT$1,2)</f>
        <v>0</v>
      </c>
      <c r="AV867" s="49" t="str">
        <f>IFERROR(Товары[[#This Row],[РРЦ, евро]]/Товары[[#This Row],[IRP, Eur]],"-")</f>
        <v>-</v>
      </c>
      <c r="AX867" s="48">
        <f>ROUND(Товары[[#This Row],[РРЦ финальная, руб.]]*(1-Товары[[#This Row],[Скидка DIY]]),2)</f>
        <v>0</v>
      </c>
    </row>
    <row r="868" spans="1:50" x14ac:dyDescent="0.25">
      <c r="A868" s="36">
        <v>866</v>
      </c>
      <c r="D8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8" s="37" t="s">
        <v>1316</v>
      </c>
      <c r="O868" s="39" t="s">
        <v>2294</v>
      </c>
      <c r="AS868" s="48">
        <f>ROUND((Товары[[#This Row],[IRP, Eur]]*$AT$1),-2)*(1+Товары[[#This Row],[Процент повышения РРЦ]])</f>
        <v>0</v>
      </c>
      <c r="AT868" s="48"/>
      <c r="AU868" s="50">
        <f>ROUND(Товары[[#This Row],[РРЦ финальная, руб.]]/$AT$1,2)</f>
        <v>0</v>
      </c>
      <c r="AV868" s="49" t="str">
        <f>IFERROR(Товары[[#This Row],[РРЦ, евро]]/Товары[[#This Row],[IRP, Eur]],"-")</f>
        <v>-</v>
      </c>
      <c r="AX868" s="48">
        <f>ROUND(Товары[[#This Row],[РРЦ финальная, руб.]]*(1-Товары[[#This Row],[Скидка DIY]]),2)</f>
        <v>0</v>
      </c>
    </row>
    <row r="869" spans="1:50" x14ac:dyDescent="0.25">
      <c r="A869" s="36">
        <v>867</v>
      </c>
      <c r="D8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9" s="37" t="s">
        <v>1317</v>
      </c>
      <c r="O869" s="39" t="s">
        <v>1742</v>
      </c>
      <c r="AS869" s="48">
        <f>ROUND((Товары[[#This Row],[IRP, Eur]]*$AT$1),-2)*(1+Товары[[#This Row],[Процент повышения РРЦ]])</f>
        <v>0</v>
      </c>
      <c r="AT869" s="48"/>
      <c r="AU869" s="50">
        <f>ROUND(Товары[[#This Row],[РРЦ финальная, руб.]]/$AT$1,2)</f>
        <v>0</v>
      </c>
      <c r="AV869" s="49" t="str">
        <f>IFERROR(Товары[[#This Row],[РРЦ, евро]]/Товары[[#This Row],[IRP, Eur]],"-")</f>
        <v>-</v>
      </c>
      <c r="AX869" s="48">
        <f>ROUND(Товары[[#This Row],[РРЦ финальная, руб.]]*(1-Товары[[#This Row],[Скидка DIY]]),2)</f>
        <v>0</v>
      </c>
    </row>
    <row r="870" spans="1:50" x14ac:dyDescent="0.25">
      <c r="A870" s="36">
        <v>868</v>
      </c>
      <c r="D8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0" s="37" t="s">
        <v>1318</v>
      </c>
      <c r="O870" s="39" t="s">
        <v>2295</v>
      </c>
      <c r="AS870" s="48">
        <f>ROUND((Товары[[#This Row],[IRP, Eur]]*$AT$1),-2)*(1+Товары[[#This Row],[Процент повышения РРЦ]])</f>
        <v>0</v>
      </c>
      <c r="AT870" s="48"/>
      <c r="AU870" s="50">
        <f>ROUND(Товары[[#This Row],[РРЦ финальная, руб.]]/$AT$1,2)</f>
        <v>0</v>
      </c>
      <c r="AV870" s="49" t="str">
        <f>IFERROR(Товары[[#This Row],[РРЦ, евро]]/Товары[[#This Row],[IRP, Eur]],"-")</f>
        <v>-</v>
      </c>
      <c r="AX870" s="48">
        <f>ROUND(Товары[[#This Row],[РРЦ финальная, руб.]]*(1-Товары[[#This Row],[Скидка DIY]]),2)</f>
        <v>0</v>
      </c>
    </row>
    <row r="871" spans="1:50" x14ac:dyDescent="0.25">
      <c r="A871" s="36">
        <v>869</v>
      </c>
      <c r="D8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1" s="37" t="s">
        <v>1319</v>
      </c>
      <c r="O871" s="39" t="s">
        <v>2296</v>
      </c>
      <c r="AS871" s="48">
        <f>ROUND((Товары[[#This Row],[IRP, Eur]]*$AT$1),-2)*(1+Товары[[#This Row],[Процент повышения РРЦ]])</f>
        <v>0</v>
      </c>
      <c r="AT871" s="48"/>
      <c r="AU871" s="50">
        <f>ROUND(Товары[[#This Row],[РРЦ финальная, руб.]]/$AT$1,2)</f>
        <v>0</v>
      </c>
      <c r="AV871" s="49" t="str">
        <f>IFERROR(Товары[[#This Row],[РРЦ, евро]]/Товары[[#This Row],[IRP, Eur]],"-")</f>
        <v>-</v>
      </c>
      <c r="AX871" s="48">
        <f>ROUND(Товары[[#This Row],[РРЦ финальная, руб.]]*(1-Товары[[#This Row],[Скидка DIY]]),2)</f>
        <v>0</v>
      </c>
    </row>
    <row r="872" spans="1:50" x14ac:dyDescent="0.25">
      <c r="A872" s="36">
        <v>870</v>
      </c>
      <c r="D8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2" s="37" t="s">
        <v>1320</v>
      </c>
      <c r="O872" s="39" t="s">
        <v>2297</v>
      </c>
      <c r="AS872" s="48">
        <f>ROUND((Товары[[#This Row],[IRP, Eur]]*$AT$1),-2)*(1+Товары[[#This Row],[Процент повышения РРЦ]])</f>
        <v>0</v>
      </c>
      <c r="AT872" s="48"/>
      <c r="AU872" s="50">
        <f>ROUND(Товары[[#This Row],[РРЦ финальная, руб.]]/$AT$1,2)</f>
        <v>0</v>
      </c>
      <c r="AV872" s="49" t="str">
        <f>IFERROR(Товары[[#This Row],[РРЦ, евро]]/Товары[[#This Row],[IRP, Eur]],"-")</f>
        <v>-</v>
      </c>
      <c r="AX872" s="48">
        <f>ROUND(Товары[[#This Row],[РРЦ финальная, руб.]]*(1-Товары[[#This Row],[Скидка DIY]]),2)</f>
        <v>0</v>
      </c>
    </row>
    <row r="873" spans="1:50" x14ac:dyDescent="0.25">
      <c r="A873" s="36">
        <v>871</v>
      </c>
      <c r="D8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3" s="37" t="s">
        <v>1321</v>
      </c>
      <c r="O873" s="39" t="s">
        <v>2298</v>
      </c>
      <c r="AS873" s="48">
        <f>ROUND((Товары[[#This Row],[IRP, Eur]]*$AT$1),-2)*(1+Товары[[#This Row],[Процент повышения РРЦ]])</f>
        <v>0</v>
      </c>
      <c r="AT873" s="48"/>
      <c r="AU873" s="50">
        <f>ROUND(Товары[[#This Row],[РРЦ финальная, руб.]]/$AT$1,2)</f>
        <v>0</v>
      </c>
      <c r="AV873" s="49" t="str">
        <f>IFERROR(Товары[[#This Row],[РРЦ, евро]]/Товары[[#This Row],[IRP, Eur]],"-")</f>
        <v>-</v>
      </c>
      <c r="AX873" s="48">
        <f>ROUND(Товары[[#This Row],[РРЦ финальная, руб.]]*(1-Товары[[#This Row],[Скидка DIY]]),2)</f>
        <v>0</v>
      </c>
    </row>
    <row r="874" spans="1:50" x14ac:dyDescent="0.25">
      <c r="A874" s="36">
        <v>872</v>
      </c>
      <c r="D8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4" s="37" t="s">
        <v>1055</v>
      </c>
      <c r="O874" s="39" t="s">
        <v>2299</v>
      </c>
      <c r="AS874" s="48">
        <f>ROUND((Товары[[#This Row],[IRP, Eur]]*$AT$1),-2)*(1+Товары[[#This Row],[Процент повышения РРЦ]])</f>
        <v>0</v>
      </c>
      <c r="AT874" s="48"/>
      <c r="AU874" s="50">
        <f>ROUND(Товары[[#This Row],[РРЦ финальная, руб.]]/$AT$1,2)</f>
        <v>0</v>
      </c>
      <c r="AV874" s="49" t="str">
        <f>IFERROR(Товары[[#This Row],[РРЦ, евро]]/Товары[[#This Row],[IRP, Eur]],"-")</f>
        <v>-</v>
      </c>
      <c r="AX874" s="48">
        <f>ROUND(Товары[[#This Row],[РРЦ финальная, руб.]]*(1-Товары[[#This Row],[Скидка DIY]]),2)</f>
        <v>0</v>
      </c>
    </row>
    <row r="875" spans="1:50" x14ac:dyDescent="0.25">
      <c r="A875" s="36">
        <v>873</v>
      </c>
      <c r="D8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5" s="37" t="s">
        <v>1075</v>
      </c>
      <c r="O875" s="39" t="s">
        <v>2300</v>
      </c>
      <c r="AS875" s="48">
        <f>ROUND((Товары[[#This Row],[IRP, Eur]]*$AT$1),-2)*(1+Товары[[#This Row],[Процент повышения РРЦ]])</f>
        <v>0</v>
      </c>
      <c r="AT875" s="48"/>
      <c r="AU875" s="50">
        <f>ROUND(Товары[[#This Row],[РРЦ финальная, руб.]]/$AT$1,2)</f>
        <v>0</v>
      </c>
      <c r="AV875" s="49" t="str">
        <f>IFERROR(Товары[[#This Row],[РРЦ, евро]]/Товары[[#This Row],[IRP, Eur]],"-")</f>
        <v>-</v>
      </c>
      <c r="AX875" s="48">
        <f>ROUND(Товары[[#This Row],[РРЦ финальная, руб.]]*(1-Товары[[#This Row],[Скидка DIY]]),2)</f>
        <v>0</v>
      </c>
    </row>
    <row r="876" spans="1:50" x14ac:dyDescent="0.25">
      <c r="A876" s="36">
        <v>874</v>
      </c>
      <c r="D8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6" s="37" t="s">
        <v>1322</v>
      </c>
      <c r="O876" s="39" t="s">
        <v>2301</v>
      </c>
      <c r="AS876" s="48">
        <f>ROUND((Товары[[#This Row],[IRP, Eur]]*$AT$1),-2)*(1+Товары[[#This Row],[Процент повышения РРЦ]])</f>
        <v>0</v>
      </c>
      <c r="AT876" s="48"/>
      <c r="AU876" s="50">
        <f>ROUND(Товары[[#This Row],[РРЦ финальная, руб.]]/$AT$1,2)</f>
        <v>0</v>
      </c>
      <c r="AV876" s="49" t="str">
        <f>IFERROR(Товары[[#This Row],[РРЦ, евро]]/Товары[[#This Row],[IRP, Eur]],"-")</f>
        <v>-</v>
      </c>
      <c r="AX876" s="48">
        <f>ROUND(Товары[[#This Row],[РРЦ финальная, руб.]]*(1-Товары[[#This Row],[Скидка DIY]]),2)</f>
        <v>0</v>
      </c>
    </row>
    <row r="877" spans="1:50" x14ac:dyDescent="0.25">
      <c r="A877" s="36">
        <v>875</v>
      </c>
      <c r="D8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7" s="37" t="s">
        <v>1323</v>
      </c>
      <c r="O877" s="39" t="s">
        <v>2302</v>
      </c>
      <c r="AS877" s="48">
        <f>ROUND((Товары[[#This Row],[IRP, Eur]]*$AT$1),-2)*(1+Товары[[#This Row],[Процент повышения РРЦ]])</f>
        <v>0</v>
      </c>
      <c r="AT877" s="48"/>
      <c r="AU877" s="50">
        <f>ROUND(Товары[[#This Row],[РРЦ финальная, руб.]]/$AT$1,2)</f>
        <v>0</v>
      </c>
      <c r="AV877" s="49" t="str">
        <f>IFERROR(Товары[[#This Row],[РРЦ, евро]]/Товары[[#This Row],[IRP, Eur]],"-")</f>
        <v>-</v>
      </c>
      <c r="AX877" s="48">
        <f>ROUND(Товары[[#This Row],[РРЦ финальная, руб.]]*(1-Товары[[#This Row],[Скидка DIY]]),2)</f>
        <v>0</v>
      </c>
    </row>
    <row r="878" spans="1:50" x14ac:dyDescent="0.25">
      <c r="A878" s="36">
        <v>876</v>
      </c>
      <c r="D8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8" s="37" t="s">
        <v>1324</v>
      </c>
      <c r="O878" s="39" t="s">
        <v>2303</v>
      </c>
      <c r="AS878" s="48">
        <f>ROUND((Товары[[#This Row],[IRP, Eur]]*$AT$1),-2)*(1+Товары[[#This Row],[Процент повышения РРЦ]])</f>
        <v>0</v>
      </c>
      <c r="AT878" s="48"/>
      <c r="AU878" s="50">
        <f>ROUND(Товары[[#This Row],[РРЦ финальная, руб.]]/$AT$1,2)</f>
        <v>0</v>
      </c>
      <c r="AV878" s="49" t="str">
        <f>IFERROR(Товары[[#This Row],[РРЦ, евро]]/Товары[[#This Row],[IRP, Eur]],"-")</f>
        <v>-</v>
      </c>
      <c r="AX878" s="48">
        <f>ROUND(Товары[[#This Row],[РРЦ финальная, руб.]]*(1-Товары[[#This Row],[Скидка DIY]]),2)</f>
        <v>0</v>
      </c>
    </row>
    <row r="879" spans="1:50" x14ac:dyDescent="0.25">
      <c r="A879" s="36">
        <v>877</v>
      </c>
      <c r="D8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9" s="37" t="s">
        <v>1325</v>
      </c>
      <c r="O879" s="39" t="s">
        <v>2304</v>
      </c>
      <c r="AS879" s="48">
        <f>ROUND((Товары[[#This Row],[IRP, Eur]]*$AT$1),-2)*(1+Товары[[#This Row],[Процент повышения РРЦ]])</f>
        <v>0</v>
      </c>
      <c r="AT879" s="48"/>
      <c r="AU879" s="50">
        <f>ROUND(Товары[[#This Row],[РРЦ финальная, руб.]]/$AT$1,2)</f>
        <v>0</v>
      </c>
      <c r="AV879" s="49" t="str">
        <f>IFERROR(Товары[[#This Row],[РРЦ, евро]]/Товары[[#This Row],[IRP, Eur]],"-")</f>
        <v>-</v>
      </c>
      <c r="AX879" s="48">
        <f>ROUND(Товары[[#This Row],[РРЦ финальная, руб.]]*(1-Товары[[#This Row],[Скидка DIY]]),2)</f>
        <v>0</v>
      </c>
    </row>
    <row r="880" spans="1:50" x14ac:dyDescent="0.25">
      <c r="A880" s="36">
        <v>878</v>
      </c>
      <c r="D8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0" s="37" t="s">
        <v>1326</v>
      </c>
      <c r="O880" s="39" t="s">
        <v>1970</v>
      </c>
      <c r="AS880" s="48">
        <f>ROUND((Товары[[#This Row],[IRP, Eur]]*$AT$1),-2)*(1+Товары[[#This Row],[Процент повышения РРЦ]])</f>
        <v>0</v>
      </c>
      <c r="AT880" s="48"/>
      <c r="AU880" s="50">
        <f>ROUND(Товары[[#This Row],[РРЦ финальная, руб.]]/$AT$1,2)</f>
        <v>0</v>
      </c>
      <c r="AV880" s="49" t="str">
        <f>IFERROR(Товары[[#This Row],[РРЦ, евро]]/Товары[[#This Row],[IRP, Eur]],"-")</f>
        <v>-</v>
      </c>
      <c r="AX880" s="48">
        <f>ROUND(Товары[[#This Row],[РРЦ финальная, руб.]]*(1-Товары[[#This Row],[Скидка DIY]]),2)</f>
        <v>0</v>
      </c>
    </row>
    <row r="881" spans="1:50" x14ac:dyDescent="0.25">
      <c r="A881" s="36">
        <v>879</v>
      </c>
      <c r="D8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1" s="37" t="s">
        <v>1327</v>
      </c>
      <c r="O881" s="39" t="s">
        <v>2305</v>
      </c>
      <c r="AS881" s="48">
        <f>ROUND((Товары[[#This Row],[IRP, Eur]]*$AT$1),-2)*(1+Товары[[#This Row],[Процент повышения РРЦ]])</f>
        <v>0</v>
      </c>
      <c r="AT881" s="48"/>
      <c r="AU881" s="50">
        <f>ROUND(Товары[[#This Row],[РРЦ финальная, руб.]]/$AT$1,2)</f>
        <v>0</v>
      </c>
      <c r="AV881" s="49" t="str">
        <f>IFERROR(Товары[[#This Row],[РРЦ, евро]]/Товары[[#This Row],[IRP, Eur]],"-")</f>
        <v>-</v>
      </c>
      <c r="AX881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881">
    <cfRule type="expression" dxfId="7" priority="6">
      <formula>$AL3="Новинка следующего года"</formula>
    </cfRule>
    <cfRule type="expression" dxfId="6" priority="7">
      <formula>$AL3="Новинка текущего года"</formula>
    </cfRule>
    <cfRule type="expression" dxfId="5" priority="8">
      <formula>$AL3="Выведено из ассортимента текущего года"</formula>
    </cfRule>
  </conditionalFormatting>
  <conditionalFormatting sqref="AM3:AM881">
    <cfRule type="expression" dxfId="4" priority="2">
      <formula>OR(AM3="Dealer",AM3="Regional",AM3="Online")</formula>
    </cfRule>
    <cfRule type="cellIs" dxfId="3" priority="3" operator="equal">
      <formula>"DIY канал"</formula>
    </cfRule>
    <cfRule type="cellIs" dxfId="2" priority="4" operator="equal">
      <formula>"ОБИ"</formula>
    </cfRule>
    <cfRule type="cellIs" dxfId="1" priority="5" operator="equal">
      <formula>"ЛЕРУА МЕРЛЕН"</formula>
    </cfRule>
  </conditionalFormatting>
  <conditionalFormatting sqref="AV3:AV881">
    <cfRule type="cellIs" dxfId="0" priority="1" operator="lessThanOrEqual">
      <formula>0.98</formula>
    </cfRule>
  </conditionalFormatting>
  <dataValidations count="6">
    <dataValidation type="list" allowBlank="1" showInputMessage="1" showErrorMessage="1" sqref="C3:C881" xr:uid="{00000000-0002-0000-0300-000000000000}">
      <formula1>INDIRECT("Суперкатегории[Суперкатегория (ENG)]")</formula1>
    </dataValidation>
    <dataValidation type="list" allowBlank="1" showInputMessage="1" showErrorMessage="1" sqref="E3:E881" xr:uid="{00000000-0002-0000-0300-000001000000}">
      <formula1>INDIRECT("Продукт_Группы[Продукт группа]")</formula1>
    </dataValidation>
    <dataValidation type="list" allowBlank="1" showInputMessage="1" showErrorMessage="1" sqref="AL3:AL881" xr:uid="{00000000-0002-0000-0300-000002000000}">
      <formula1>INDIRECT("Статусы_товаров[Статус]")</formula1>
    </dataValidation>
    <dataValidation type="list" allowBlank="1" showInputMessage="1" showErrorMessage="1" sqref="AN3:AN881" xr:uid="{00000000-0002-0000-0300-000003000000}">
      <formula1>"Да, Нет"</formula1>
    </dataValidation>
    <dataValidation type="list" allowBlank="1" showInputMessage="1" showErrorMessage="1" sqref="P3:P881" xr:uid="{FB153253-C82B-410C-9A75-00FD4C53D29B}">
      <formula1>INDIRECT("Продуктовые_календари[Название]")</formula1>
    </dataValidation>
    <dataValidation type="list" allowBlank="1" showInputMessage="1" showErrorMessage="1" sqref="AM3:AM881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3" activePane="bottomLeft" state="frozen"/>
      <selection pane="bottomLeft" activeCell="F57" sqref="F57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9.8554687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2813</v>
      </c>
      <c r="B2" s="27" t="s">
        <v>2317</v>
      </c>
      <c r="C2" s="54" t="s">
        <v>2318</v>
      </c>
      <c r="D2" s="27" t="s">
        <v>2319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2321</v>
      </c>
      <c r="H2" s="27">
        <v>2555</v>
      </c>
    </row>
    <row r="3" spans="1:8" x14ac:dyDescent="0.25">
      <c r="A3" s="32" t="s">
        <v>2814</v>
      </c>
      <c r="B3" s="27" t="s">
        <v>2317</v>
      </c>
      <c r="C3" s="54" t="s">
        <v>2322</v>
      </c>
      <c r="D3" s="27" t="s">
        <v>2319</v>
      </c>
      <c r="E3" s="27" t="s">
        <v>2323</v>
      </c>
      <c r="F3" s="55" t="str">
        <f>VLOOKUP(Клиенты[[#This Row],[GardenaChannel]],GardenChannel[[GardenChannel]:[Sales manager]],2,0)</f>
        <v>ТАРХОВА ТАТЬЯНА</v>
      </c>
      <c r="G3" s="27" t="s">
        <v>2324</v>
      </c>
    </row>
    <row r="4" spans="1:8" x14ac:dyDescent="0.25">
      <c r="A4" s="32" t="s">
        <v>2815</v>
      </c>
      <c r="B4" s="27" t="s">
        <v>2317</v>
      </c>
      <c r="C4" s="54" t="s">
        <v>2325</v>
      </c>
      <c r="D4" s="27" t="s">
        <v>2319</v>
      </c>
      <c r="E4" s="27" t="s">
        <v>2326</v>
      </c>
      <c r="F4" s="55" t="str">
        <f>VLOOKUP(Клиенты[[#This Row],[GardenaChannel]],GardenChannel[[GardenChannel]:[Sales manager]],2,0)</f>
        <v>ТАРХОВА ТАТЬЯНА</v>
      </c>
      <c r="G4" s="27" t="s">
        <v>2327</v>
      </c>
    </row>
    <row r="5" spans="1:8" x14ac:dyDescent="0.25">
      <c r="A5" s="32" t="s">
        <v>2816</v>
      </c>
      <c r="B5" s="27" t="s">
        <v>2328</v>
      </c>
      <c r="C5" s="54" t="s">
        <v>2329</v>
      </c>
      <c r="D5" s="27" t="s">
        <v>2330</v>
      </c>
      <c r="E5" s="27" t="s">
        <v>2331</v>
      </c>
      <c r="F5" s="55" t="str">
        <f>VLOOKUP(Клиенты[[#This Row],[GardenaChannel]],GardenChannel[[GardenChannel]:[Sales manager]],2,0)</f>
        <v>АЛЕКСАНДРОВ ИГОРЬ</v>
      </c>
      <c r="H5" s="27" t="s">
        <v>2328</v>
      </c>
    </row>
    <row r="6" spans="1:8" x14ac:dyDescent="0.25">
      <c r="A6" s="32" t="s">
        <v>2817</v>
      </c>
      <c r="B6" s="27" t="s">
        <v>2328</v>
      </c>
      <c r="C6" s="54" t="s">
        <v>2333</v>
      </c>
      <c r="D6" s="27" t="s">
        <v>2330</v>
      </c>
      <c r="E6" s="27" t="s">
        <v>2331</v>
      </c>
      <c r="F6" s="55" t="str">
        <f>VLOOKUP(Клиенты[[#This Row],[GardenaChannel]],GardenChannel[[GardenChannel]:[Sales manager]],2,0)</f>
        <v>АЛЕКСАНДРОВ ИГОРЬ</v>
      </c>
      <c r="H6" s="27" t="s">
        <v>2328</v>
      </c>
    </row>
    <row r="7" spans="1:8" x14ac:dyDescent="0.25">
      <c r="A7" s="32" t="s">
        <v>2818</v>
      </c>
      <c r="B7" s="27" t="s">
        <v>2328</v>
      </c>
      <c r="C7" s="54" t="s">
        <v>2334</v>
      </c>
      <c r="D7" s="27" t="s">
        <v>2330</v>
      </c>
      <c r="E7" s="27" t="s">
        <v>2331</v>
      </c>
      <c r="F7" s="55" t="str">
        <f>VLOOKUP(Клиенты[[#This Row],[GardenaChannel]],GardenChannel[[GardenChannel]:[Sales manager]],2,0)</f>
        <v>АЛЕКСАНДРОВ ИГОРЬ</v>
      </c>
      <c r="H7" s="27" t="s">
        <v>2328</v>
      </c>
    </row>
    <row r="8" spans="1:8" x14ac:dyDescent="0.25">
      <c r="A8" s="32" t="s">
        <v>2819</v>
      </c>
      <c r="B8" s="26" t="s">
        <v>2328</v>
      </c>
      <c r="C8" s="54" t="s">
        <v>2335</v>
      </c>
      <c r="D8" s="27" t="s">
        <v>2330</v>
      </c>
      <c r="E8" s="27" t="s">
        <v>2331</v>
      </c>
      <c r="F8" s="55" t="str">
        <f>VLOOKUP(Клиенты[[#This Row],[GardenaChannel]],GardenChannel[[GardenChannel]:[Sales manager]],2,0)</f>
        <v>АЛЕКСАНДРОВ ИГОРЬ</v>
      </c>
      <c r="H8" s="27" t="s">
        <v>2328</v>
      </c>
    </row>
    <row r="9" spans="1:8" x14ac:dyDescent="0.25">
      <c r="A9" s="32" t="s">
        <v>2820</v>
      </c>
      <c r="B9" s="27" t="s">
        <v>2328</v>
      </c>
      <c r="C9" s="54" t="s">
        <v>2336</v>
      </c>
      <c r="D9" s="27" t="s">
        <v>2330</v>
      </c>
      <c r="E9" s="27" t="s">
        <v>2331</v>
      </c>
      <c r="F9" s="55" t="str">
        <f>VLOOKUP(Клиенты[[#This Row],[GardenaChannel]],GardenChannel[[GardenChannel]:[Sales manager]],2,0)</f>
        <v>АЛЕКСАНДРОВ ИГОРЬ</v>
      </c>
      <c r="H9" s="27" t="s">
        <v>2328</v>
      </c>
    </row>
    <row r="10" spans="1:8" x14ac:dyDescent="0.25">
      <c r="A10" s="32" t="s">
        <v>2821</v>
      </c>
      <c r="B10" s="27" t="s">
        <v>2328</v>
      </c>
      <c r="C10" s="54" t="s">
        <v>2337</v>
      </c>
      <c r="D10" s="27" t="s">
        <v>2330</v>
      </c>
      <c r="E10" s="27" t="s">
        <v>2331</v>
      </c>
      <c r="F10" s="55" t="str">
        <f>VLOOKUP(Клиенты[[#This Row],[GardenaChannel]],GardenChannel[[GardenChannel]:[Sales manager]],2,0)</f>
        <v>АЛЕКСАНДРОВ ИГОРЬ</v>
      </c>
      <c r="H10" s="27" t="s">
        <v>2328</v>
      </c>
    </row>
    <row r="11" spans="1:8" x14ac:dyDescent="0.25">
      <c r="A11" s="32" t="s">
        <v>2822</v>
      </c>
      <c r="B11" s="27" t="s">
        <v>2328</v>
      </c>
      <c r="C11" s="54" t="s">
        <v>2338</v>
      </c>
      <c r="D11" s="27" t="s">
        <v>2330</v>
      </c>
      <c r="E11" s="27" t="s">
        <v>2331</v>
      </c>
      <c r="F11" s="55" t="str">
        <f>VLOOKUP(Клиенты[[#This Row],[GardenaChannel]],GardenChannel[[GardenChannel]:[Sales manager]],2,0)</f>
        <v>АЛЕКСАНДРОВ ИГОРЬ</v>
      </c>
      <c r="H11" s="27" t="s">
        <v>2328</v>
      </c>
    </row>
    <row r="12" spans="1:8" x14ac:dyDescent="0.25">
      <c r="A12" s="32" t="s">
        <v>2823</v>
      </c>
      <c r="B12" s="27" t="s">
        <v>2328</v>
      </c>
      <c r="C12" s="54" t="s">
        <v>2339</v>
      </c>
      <c r="D12" s="27" t="s">
        <v>2330</v>
      </c>
      <c r="E12" s="27" t="s">
        <v>2331</v>
      </c>
      <c r="F12" s="55" t="str">
        <f>VLOOKUP(Клиенты[[#This Row],[GardenaChannel]],GardenChannel[[GardenChannel]:[Sales manager]],2,0)</f>
        <v>АЛЕКСАНДРОВ ИГОРЬ</v>
      </c>
      <c r="H12" s="27" t="s">
        <v>2328</v>
      </c>
    </row>
    <row r="13" spans="1:8" x14ac:dyDescent="0.25">
      <c r="A13" s="32" t="s">
        <v>2824</v>
      </c>
      <c r="B13" s="27" t="s">
        <v>2328</v>
      </c>
      <c r="C13" s="54" t="s">
        <v>2340</v>
      </c>
      <c r="D13" s="27" t="s">
        <v>2330</v>
      </c>
      <c r="E13" s="27" t="s">
        <v>2331</v>
      </c>
      <c r="F13" s="55" t="str">
        <f>VLOOKUP(Клиенты[[#This Row],[GardenaChannel]],GardenChannel[[GardenChannel]:[Sales manager]],2,0)</f>
        <v>АЛЕКСАНДРОВ ИГОРЬ</v>
      </c>
      <c r="H13" s="27" t="s">
        <v>2328</v>
      </c>
    </row>
    <row r="14" spans="1:8" x14ac:dyDescent="0.25">
      <c r="A14" s="32" t="s">
        <v>2825</v>
      </c>
      <c r="B14" s="27" t="s">
        <v>2328</v>
      </c>
      <c r="C14" s="54" t="s">
        <v>2341</v>
      </c>
      <c r="D14" s="27" t="s">
        <v>2330</v>
      </c>
      <c r="E14" s="27" t="s">
        <v>2331</v>
      </c>
      <c r="F14" s="55" t="str">
        <f>VLOOKUP(Клиенты[[#This Row],[GardenaChannel]],GardenChannel[[GardenChannel]:[Sales manager]],2,0)</f>
        <v>АЛЕКСАНДРОВ ИГОРЬ</v>
      </c>
      <c r="H14" s="27" t="s">
        <v>2328</v>
      </c>
    </row>
    <row r="15" spans="1:8" x14ac:dyDescent="0.25">
      <c r="A15" s="32" t="s">
        <v>2826</v>
      </c>
      <c r="B15" s="27" t="s">
        <v>2328</v>
      </c>
      <c r="C15" s="54" t="s">
        <v>2342</v>
      </c>
      <c r="D15" s="27" t="s">
        <v>2330</v>
      </c>
      <c r="E15" s="27" t="s">
        <v>2331</v>
      </c>
      <c r="F15" s="55" t="str">
        <f>VLOOKUP(Клиенты[[#This Row],[GardenaChannel]],GardenChannel[[GardenChannel]:[Sales manager]],2,0)</f>
        <v>АЛЕКСАНДРОВ ИГОРЬ</v>
      </c>
      <c r="H15" s="27" t="s">
        <v>2328</v>
      </c>
    </row>
    <row r="16" spans="1:8" x14ac:dyDescent="0.25">
      <c r="A16" s="32" t="s">
        <v>2827</v>
      </c>
      <c r="B16" s="27" t="s">
        <v>2328</v>
      </c>
      <c r="C16" s="54" t="s">
        <v>2343</v>
      </c>
      <c r="D16" s="27" t="s">
        <v>2330</v>
      </c>
      <c r="E16" s="27" t="s">
        <v>2344</v>
      </c>
      <c r="F16" s="55" t="str">
        <f>VLOOKUP(Клиенты[[#This Row],[GardenaChannel]],GardenChannel[[GardenChannel]:[Sales manager]],2,0)</f>
        <v>АЛЕКСАНДРОВ ИГОРЬ</v>
      </c>
      <c r="H16" s="27" t="s">
        <v>2328</v>
      </c>
    </row>
    <row r="17" spans="1:8" x14ac:dyDescent="0.25">
      <c r="A17" s="32" t="s">
        <v>2828</v>
      </c>
      <c r="B17" s="27" t="s">
        <v>2328</v>
      </c>
      <c r="C17" s="54" t="s">
        <v>2345</v>
      </c>
      <c r="D17" s="27" t="s">
        <v>2330</v>
      </c>
      <c r="E17" s="27" t="s">
        <v>2331</v>
      </c>
      <c r="F17" s="55" t="str">
        <f>VLOOKUP(Клиенты[[#This Row],[GardenaChannel]],GardenChannel[[GardenChannel]:[Sales manager]],2,0)</f>
        <v>АЛЕКСАНДРОВ ИГОРЬ</v>
      </c>
      <c r="H17" s="27" t="s">
        <v>2328</v>
      </c>
    </row>
    <row r="18" spans="1:8" x14ac:dyDescent="0.25">
      <c r="A18" s="32" t="s">
        <v>2829</v>
      </c>
      <c r="B18" s="27" t="s">
        <v>2328</v>
      </c>
      <c r="C18" s="54" t="s">
        <v>2346</v>
      </c>
      <c r="D18" s="27" t="s">
        <v>2330</v>
      </c>
      <c r="E18" s="27" t="s">
        <v>2331</v>
      </c>
      <c r="F18" s="55" t="str">
        <f>VLOOKUP(Клиенты[[#This Row],[GardenaChannel]],GardenChannel[[GardenChannel]:[Sales manager]],2,0)</f>
        <v>АЛЕКСАНДРОВ ИГОРЬ</v>
      </c>
      <c r="H18" s="27" t="s">
        <v>2328</v>
      </c>
    </row>
    <row r="19" spans="1:8" x14ac:dyDescent="0.25">
      <c r="A19" s="32" t="s">
        <v>2830</v>
      </c>
      <c r="B19" s="27" t="s">
        <v>2328</v>
      </c>
      <c r="C19" s="54" t="s">
        <v>2347</v>
      </c>
      <c r="D19" s="27" t="s">
        <v>2330</v>
      </c>
      <c r="E19" s="27" t="s">
        <v>2331</v>
      </c>
      <c r="F19" s="55" t="str">
        <f>VLOOKUP(Клиенты[[#This Row],[GardenaChannel]],GardenChannel[[GardenChannel]:[Sales manager]],2,0)</f>
        <v>АЛЕКСАНДРОВ ИГОРЬ</v>
      </c>
      <c r="H19" s="27" t="s">
        <v>2328</v>
      </c>
    </row>
    <row r="20" spans="1:8" x14ac:dyDescent="0.25">
      <c r="A20" s="32" t="s">
        <v>2831</v>
      </c>
      <c r="B20" s="27" t="s">
        <v>2328</v>
      </c>
      <c r="C20" s="54" t="s">
        <v>2348</v>
      </c>
      <c r="D20" s="27" t="s">
        <v>2330</v>
      </c>
      <c r="E20" s="27" t="s">
        <v>2331</v>
      </c>
      <c r="F20" s="55" t="str">
        <f>VLOOKUP(Клиенты[[#This Row],[GardenaChannel]],GardenChannel[[GardenChannel]:[Sales manager]],2,0)</f>
        <v>АЛЕКСАНДРОВ ИГОРЬ</v>
      </c>
      <c r="H20" s="27" t="s">
        <v>2328</v>
      </c>
    </row>
    <row r="21" spans="1:8" x14ac:dyDescent="0.25">
      <c r="A21" s="32" t="s">
        <v>2832</v>
      </c>
      <c r="B21" s="27" t="s">
        <v>2328</v>
      </c>
      <c r="C21" s="54" t="s">
        <v>2349</v>
      </c>
      <c r="D21" s="27" t="s">
        <v>2330</v>
      </c>
      <c r="E21" s="27" t="s">
        <v>2331</v>
      </c>
      <c r="F21" s="55" t="str">
        <f>VLOOKUP(Клиенты[[#This Row],[GardenaChannel]],GardenChannel[[GardenChannel]:[Sales manager]],2,0)</f>
        <v>АЛЕКСАНДРОВ ИГОРЬ</v>
      </c>
      <c r="H21" s="27" t="s">
        <v>2328</v>
      </c>
    </row>
    <row r="22" spans="1:8" x14ac:dyDescent="0.25">
      <c r="A22" s="32" t="s">
        <v>2833</v>
      </c>
      <c r="B22" s="27" t="s">
        <v>2328</v>
      </c>
      <c r="C22" s="54" t="s">
        <v>2350</v>
      </c>
      <c r="D22" s="27" t="s">
        <v>2330</v>
      </c>
      <c r="E22" s="27" t="s">
        <v>2331</v>
      </c>
      <c r="F22" s="55" t="str">
        <f>VLOOKUP(Клиенты[[#This Row],[GardenaChannel]],GardenChannel[[GardenChannel]:[Sales manager]],2,0)</f>
        <v>АЛЕКСАНДРОВ ИГОРЬ</v>
      </c>
      <c r="H22" s="27" t="s">
        <v>2328</v>
      </c>
    </row>
    <row r="23" spans="1:8" x14ac:dyDescent="0.25">
      <c r="A23" s="32" t="s">
        <v>2834</v>
      </c>
      <c r="B23" s="27" t="s">
        <v>2328</v>
      </c>
      <c r="C23" s="54" t="s">
        <v>2351</v>
      </c>
      <c r="D23" s="27" t="s">
        <v>2330</v>
      </c>
      <c r="E23" s="27" t="s">
        <v>2331</v>
      </c>
      <c r="F23" s="55" t="str">
        <f>VLOOKUP(Клиенты[[#This Row],[GardenaChannel]],GardenChannel[[GardenChannel]:[Sales manager]],2,0)</f>
        <v>АЛЕКСАНДРОВ ИГОРЬ</v>
      </c>
      <c r="H23" s="27" t="s">
        <v>2328</v>
      </c>
    </row>
    <row r="24" spans="1:8" x14ac:dyDescent="0.25">
      <c r="A24" s="32" t="s">
        <v>2835</v>
      </c>
      <c r="B24" s="27" t="s">
        <v>2328</v>
      </c>
      <c r="C24" s="54" t="s">
        <v>2352</v>
      </c>
      <c r="D24" s="27" t="s">
        <v>2330</v>
      </c>
      <c r="E24" s="27" t="s">
        <v>2331</v>
      </c>
      <c r="F24" s="55" t="str">
        <f>VLOOKUP(Клиенты[[#This Row],[GardenaChannel]],GardenChannel[[GardenChannel]:[Sales manager]],2,0)</f>
        <v>АЛЕКСАНДРОВ ИГОРЬ</v>
      </c>
      <c r="H24" s="27" t="s">
        <v>2328</v>
      </c>
    </row>
    <row r="25" spans="1:8" x14ac:dyDescent="0.25">
      <c r="A25" s="32" t="s">
        <v>2836</v>
      </c>
      <c r="B25" s="27" t="s">
        <v>2328</v>
      </c>
      <c r="C25" s="54" t="s">
        <v>2353</v>
      </c>
      <c r="D25" s="27" t="s">
        <v>2330</v>
      </c>
      <c r="E25" s="27" t="s">
        <v>2331</v>
      </c>
      <c r="F25" s="55" t="str">
        <f>VLOOKUP(Клиенты[[#This Row],[GardenaChannel]],GardenChannel[[GardenChannel]:[Sales manager]],2,0)</f>
        <v>АЛЕКСАНДРОВ ИГОРЬ</v>
      </c>
      <c r="H25" s="27" t="s">
        <v>2328</v>
      </c>
    </row>
    <row r="26" spans="1:8" x14ac:dyDescent="0.25">
      <c r="A26" s="32" t="s">
        <v>2837</v>
      </c>
      <c r="B26" s="27" t="s">
        <v>2328</v>
      </c>
      <c r="C26" s="54" t="s">
        <v>2354</v>
      </c>
      <c r="D26" s="27" t="s">
        <v>2330</v>
      </c>
      <c r="E26" s="27" t="s">
        <v>2331</v>
      </c>
      <c r="F26" s="55" t="str">
        <f>VLOOKUP(Клиенты[[#This Row],[GardenaChannel]],GardenChannel[[GardenChannel]:[Sales manager]],2,0)</f>
        <v>АЛЕКСАНДРОВ ИГОРЬ</v>
      </c>
      <c r="H26" s="27" t="s">
        <v>2328</v>
      </c>
    </row>
    <row r="27" spans="1:8" x14ac:dyDescent="0.25">
      <c r="A27" s="32" t="s">
        <v>2838</v>
      </c>
      <c r="B27" s="27" t="s">
        <v>2328</v>
      </c>
      <c r="C27" s="54" t="s">
        <v>2355</v>
      </c>
      <c r="D27" s="27" t="s">
        <v>2330</v>
      </c>
      <c r="E27" s="27" t="s">
        <v>2331</v>
      </c>
      <c r="F27" s="55" t="str">
        <f>VLOOKUP(Клиенты[[#This Row],[GardenaChannel]],GardenChannel[[GardenChannel]:[Sales manager]],2,0)</f>
        <v>АЛЕКСАНДРОВ ИГОРЬ</v>
      </c>
      <c r="H27" s="27" t="s">
        <v>2328</v>
      </c>
    </row>
    <row r="28" spans="1:8" x14ac:dyDescent="0.25">
      <c r="A28" s="32" t="s">
        <v>2839</v>
      </c>
      <c r="B28" s="27" t="s">
        <v>2328</v>
      </c>
      <c r="C28" s="54" t="s">
        <v>2356</v>
      </c>
      <c r="D28" s="27" t="s">
        <v>2330</v>
      </c>
      <c r="E28" s="27" t="s">
        <v>2331</v>
      </c>
      <c r="F28" s="55" t="str">
        <f>VLOOKUP(Клиенты[[#This Row],[GardenaChannel]],GardenChannel[[GardenChannel]:[Sales manager]],2,0)</f>
        <v>АЛЕКСАНДРОВ ИГОРЬ</v>
      </c>
      <c r="H28" s="27" t="s">
        <v>2328</v>
      </c>
    </row>
    <row r="29" spans="1:8" x14ac:dyDescent="0.25">
      <c r="A29" s="32" t="s">
        <v>2840</v>
      </c>
      <c r="B29" s="27" t="s">
        <v>2328</v>
      </c>
      <c r="C29" s="54" t="s">
        <v>2357</v>
      </c>
      <c r="D29" s="27" t="s">
        <v>2330</v>
      </c>
      <c r="E29" s="27" t="s">
        <v>2331</v>
      </c>
      <c r="F29" s="55" t="str">
        <f>VLOOKUP(Клиенты[[#This Row],[GardenaChannel]],GardenChannel[[GardenChannel]:[Sales manager]],2,0)</f>
        <v>АЛЕКСАНДРОВ ИГОРЬ</v>
      </c>
      <c r="H29" s="27" t="s">
        <v>2328</v>
      </c>
    </row>
    <row r="30" spans="1:8" x14ac:dyDescent="0.25">
      <c r="A30" s="32" t="s">
        <v>2841</v>
      </c>
      <c r="B30" s="27" t="s">
        <v>2328</v>
      </c>
      <c r="C30" s="54" t="s">
        <v>2358</v>
      </c>
      <c r="D30" s="27" t="s">
        <v>2330</v>
      </c>
      <c r="E30" s="27" t="s">
        <v>2331</v>
      </c>
      <c r="F30" s="55" t="str">
        <f>VLOOKUP(Клиенты[[#This Row],[GardenaChannel]],GardenChannel[[GardenChannel]:[Sales manager]],2,0)</f>
        <v>АЛЕКСАНДРОВ ИГОРЬ</v>
      </c>
      <c r="H30" s="27" t="s">
        <v>2328</v>
      </c>
    </row>
    <row r="31" spans="1:8" x14ac:dyDescent="0.25">
      <c r="A31" s="32" t="s">
        <v>2842</v>
      </c>
      <c r="B31" s="27" t="s">
        <v>2328</v>
      </c>
      <c r="C31" s="54" t="s">
        <v>2359</v>
      </c>
      <c r="D31" s="27" t="s">
        <v>2330</v>
      </c>
      <c r="E31" s="27" t="s">
        <v>2331</v>
      </c>
      <c r="F31" s="55" t="str">
        <f>VLOOKUP(Клиенты[[#This Row],[GardenaChannel]],GardenChannel[[GardenChannel]:[Sales manager]],2,0)</f>
        <v>АЛЕКСАНДРОВ ИГОРЬ</v>
      </c>
      <c r="H31" s="27" t="s">
        <v>2328</v>
      </c>
    </row>
    <row r="32" spans="1:8" x14ac:dyDescent="0.25">
      <c r="A32" s="32" t="s">
        <v>2843</v>
      </c>
      <c r="B32" s="27" t="s">
        <v>2328</v>
      </c>
      <c r="C32" s="54" t="s">
        <v>2360</v>
      </c>
      <c r="D32" s="27" t="s">
        <v>2330</v>
      </c>
      <c r="E32" s="27" t="s">
        <v>2331</v>
      </c>
      <c r="F32" s="55" t="str">
        <f>VLOOKUP(Клиенты[[#This Row],[GardenaChannel]],GardenChannel[[GardenChannel]:[Sales manager]],2,0)</f>
        <v>АЛЕКСАНДРОВ ИГОРЬ</v>
      </c>
      <c r="H32" s="27" t="s">
        <v>2328</v>
      </c>
    </row>
    <row r="33" spans="1:8" x14ac:dyDescent="0.25">
      <c r="A33" s="32" t="s">
        <v>2844</v>
      </c>
      <c r="B33" s="27" t="s">
        <v>2328</v>
      </c>
      <c r="C33" s="54" t="s">
        <v>2361</v>
      </c>
      <c r="D33" s="27" t="s">
        <v>2330</v>
      </c>
      <c r="E33" s="27" t="s">
        <v>2331</v>
      </c>
      <c r="F33" s="55" t="str">
        <f>VLOOKUP(Клиенты[[#This Row],[GardenaChannel]],GardenChannel[[GardenChannel]:[Sales manager]],2,0)</f>
        <v>АЛЕКСАНДРОВ ИГОРЬ</v>
      </c>
      <c r="H33" s="27" t="s">
        <v>2328</v>
      </c>
    </row>
    <row r="34" spans="1:8" x14ac:dyDescent="0.25">
      <c r="A34" s="32" t="s">
        <v>2845</v>
      </c>
      <c r="B34" s="27" t="s">
        <v>2328</v>
      </c>
      <c r="C34" s="54" t="s">
        <v>2362</v>
      </c>
      <c r="D34" s="27" t="s">
        <v>2330</v>
      </c>
      <c r="E34" s="27" t="s">
        <v>2331</v>
      </c>
      <c r="F34" s="55" t="str">
        <f>VLOOKUP(Клиенты[[#This Row],[GardenaChannel]],GardenChannel[[GardenChannel]:[Sales manager]],2,0)</f>
        <v>АЛЕКСАНДРОВ ИГОРЬ</v>
      </c>
      <c r="H34" s="27" t="s">
        <v>2328</v>
      </c>
    </row>
    <row r="35" spans="1:8" x14ac:dyDescent="0.25">
      <c r="A35" s="32" t="s">
        <v>2846</v>
      </c>
      <c r="B35" s="27" t="s">
        <v>2328</v>
      </c>
      <c r="C35" s="54" t="s">
        <v>2363</v>
      </c>
      <c r="D35" s="27" t="s">
        <v>2330</v>
      </c>
      <c r="E35" s="27" t="s">
        <v>2331</v>
      </c>
      <c r="F35" s="55" t="str">
        <f>VLOOKUP(Клиенты[[#This Row],[GardenaChannel]],GardenChannel[[GardenChannel]:[Sales manager]],2,0)</f>
        <v>АЛЕКСАНДРОВ ИГОРЬ</v>
      </c>
      <c r="H35" s="27" t="s">
        <v>2328</v>
      </c>
    </row>
    <row r="36" spans="1:8" x14ac:dyDescent="0.25">
      <c r="A36" s="32" t="s">
        <v>2847</v>
      </c>
      <c r="B36" s="27" t="s">
        <v>2328</v>
      </c>
      <c r="C36" s="54" t="s">
        <v>2364</v>
      </c>
      <c r="D36" s="27" t="s">
        <v>2330</v>
      </c>
      <c r="E36" s="27" t="s">
        <v>2331</v>
      </c>
      <c r="F36" s="55" t="str">
        <f>VLOOKUP(Клиенты[[#This Row],[GardenaChannel]],GardenChannel[[GardenChannel]:[Sales manager]],2,0)</f>
        <v>АЛЕКСАНДРОВ ИГОРЬ</v>
      </c>
      <c r="H36" s="27" t="s">
        <v>2328</v>
      </c>
    </row>
    <row r="37" spans="1:8" x14ac:dyDescent="0.25">
      <c r="A37" s="32" t="s">
        <v>2848</v>
      </c>
      <c r="B37" s="27" t="s">
        <v>2328</v>
      </c>
      <c r="C37" s="54" t="s">
        <v>2365</v>
      </c>
      <c r="D37" s="27" t="s">
        <v>2330</v>
      </c>
      <c r="E37" s="27" t="s">
        <v>2331</v>
      </c>
      <c r="F37" s="55" t="str">
        <f>VLOOKUP(Клиенты[[#This Row],[GardenaChannel]],GardenChannel[[GardenChannel]:[Sales manager]],2,0)</f>
        <v>АЛЕКСАНДРОВ ИГОРЬ</v>
      </c>
      <c r="H37" s="27" t="s">
        <v>2328</v>
      </c>
    </row>
    <row r="38" spans="1:8" x14ac:dyDescent="0.25">
      <c r="A38" s="32" t="s">
        <v>2849</v>
      </c>
      <c r="B38" s="27" t="s">
        <v>2328</v>
      </c>
      <c r="C38" s="54" t="s">
        <v>2366</v>
      </c>
      <c r="D38" s="27" t="s">
        <v>2330</v>
      </c>
      <c r="E38" s="27" t="s">
        <v>2331</v>
      </c>
      <c r="F38" s="55" t="str">
        <f>VLOOKUP(Клиенты[[#This Row],[GardenaChannel]],GardenChannel[[GardenChannel]:[Sales manager]],2,0)</f>
        <v>АЛЕКСАНДРОВ ИГОРЬ</v>
      </c>
      <c r="H38" s="27" t="s">
        <v>2328</v>
      </c>
    </row>
    <row r="39" spans="1:8" x14ac:dyDescent="0.25">
      <c r="A39" s="32" t="s">
        <v>2850</v>
      </c>
      <c r="B39" s="27" t="s">
        <v>2328</v>
      </c>
      <c r="C39" s="54" t="s">
        <v>2367</v>
      </c>
      <c r="D39" s="27" t="s">
        <v>2330</v>
      </c>
      <c r="E39" s="27" t="s">
        <v>2368</v>
      </c>
      <c r="F39" s="55" t="str">
        <f>VLOOKUP(Клиенты[[#This Row],[GardenaChannel]],GardenChannel[[GardenChannel]:[Sales manager]],2,0)</f>
        <v>АЛЕКСАНДРОВ ИГОРЬ</v>
      </c>
      <c r="H39" s="27" t="s">
        <v>2328</v>
      </c>
    </row>
    <row r="40" spans="1:8" x14ac:dyDescent="0.25">
      <c r="A40" s="32" t="s">
        <v>2851</v>
      </c>
      <c r="B40" s="27" t="s">
        <v>2328</v>
      </c>
      <c r="C40" s="54" t="s">
        <v>2369</v>
      </c>
      <c r="D40" s="27" t="s">
        <v>2330</v>
      </c>
      <c r="E40" s="27" t="s">
        <v>2331</v>
      </c>
      <c r="F40" s="55" t="str">
        <f>VLOOKUP(Клиенты[[#This Row],[GardenaChannel]],GardenChannel[[GardenChannel]:[Sales manager]],2,0)</f>
        <v>АЛЕКСАНДРОВ ИГОРЬ</v>
      </c>
      <c r="H40" s="27" t="s">
        <v>2328</v>
      </c>
    </row>
    <row r="41" spans="1:8" x14ac:dyDescent="0.25">
      <c r="A41" s="32" t="s">
        <v>2852</v>
      </c>
      <c r="B41" s="27" t="s">
        <v>2328</v>
      </c>
      <c r="C41" s="54" t="s">
        <v>2370</v>
      </c>
      <c r="D41" s="27" t="s">
        <v>2330</v>
      </c>
      <c r="E41" s="27" t="s">
        <v>2344</v>
      </c>
      <c r="F41" s="55" t="str">
        <f>VLOOKUP(Клиенты[[#This Row],[GardenaChannel]],GardenChannel[[GardenChannel]:[Sales manager]],2,0)</f>
        <v>АЛЕКСАНДРОВ ИГОРЬ</v>
      </c>
      <c r="H41" s="27" t="s">
        <v>2328</v>
      </c>
    </row>
    <row r="42" spans="1:8" x14ac:dyDescent="0.25">
      <c r="A42" s="32" t="s">
        <v>2853</v>
      </c>
      <c r="B42" s="27" t="s">
        <v>2328</v>
      </c>
      <c r="C42" s="54" t="s">
        <v>2371</v>
      </c>
      <c r="D42" s="27" t="s">
        <v>2330</v>
      </c>
      <c r="E42" s="27" t="s">
        <v>2331</v>
      </c>
      <c r="F42" s="55" t="str">
        <f>VLOOKUP(Клиенты[[#This Row],[GardenaChannel]],GardenChannel[[GardenChannel]:[Sales manager]],2,0)</f>
        <v>АЛЕКСАНДРОВ ИГОРЬ</v>
      </c>
      <c r="H42" s="27" t="s">
        <v>2328</v>
      </c>
    </row>
    <row r="43" spans="1:8" x14ac:dyDescent="0.25">
      <c r="A43" s="32" t="s">
        <v>2854</v>
      </c>
      <c r="B43" s="27" t="s">
        <v>2328</v>
      </c>
      <c r="C43" s="54" t="s">
        <v>2372</v>
      </c>
      <c r="D43" s="27" t="s">
        <v>2330</v>
      </c>
      <c r="E43" s="27" t="s">
        <v>2331</v>
      </c>
      <c r="F43" s="55" t="str">
        <f>VLOOKUP(Клиенты[[#This Row],[GardenaChannel]],GardenChannel[[GardenChannel]:[Sales manager]],2,0)</f>
        <v>АЛЕКСАНДРОВ ИГОРЬ</v>
      </c>
      <c r="H43" s="27" t="s">
        <v>2328</v>
      </c>
    </row>
    <row r="44" spans="1:8" x14ac:dyDescent="0.25">
      <c r="A44" s="32" t="s">
        <v>2855</v>
      </c>
      <c r="B44" s="27" t="s">
        <v>2328</v>
      </c>
      <c r="C44" s="54" t="s">
        <v>2373</v>
      </c>
      <c r="D44" s="27" t="s">
        <v>2330</v>
      </c>
      <c r="E44" s="27" t="s">
        <v>2368</v>
      </c>
      <c r="F44" s="55" t="str">
        <f>VLOOKUP(Клиенты[[#This Row],[GardenaChannel]],GardenChannel[[GardenChannel]:[Sales manager]],2,0)</f>
        <v>АЛЕКСАНДРОВ ИГОРЬ</v>
      </c>
      <c r="H44" s="27" t="s">
        <v>2328</v>
      </c>
    </row>
    <row r="45" spans="1:8" x14ac:dyDescent="0.25">
      <c r="A45" s="32" t="s">
        <v>2856</v>
      </c>
      <c r="B45" s="27" t="s">
        <v>2328</v>
      </c>
      <c r="C45" s="54" t="s">
        <v>2374</v>
      </c>
      <c r="D45" s="27" t="s">
        <v>2330</v>
      </c>
      <c r="E45" s="27" t="s">
        <v>2331</v>
      </c>
      <c r="F45" s="55" t="str">
        <f>VLOOKUP(Клиенты[[#This Row],[GardenaChannel]],GardenChannel[[GardenChannel]:[Sales manager]],2,0)</f>
        <v>АЛЕКСАНДРОВ ИГОРЬ</v>
      </c>
      <c r="H45" s="27" t="s">
        <v>2328</v>
      </c>
    </row>
    <row r="46" spans="1:8" x14ac:dyDescent="0.25">
      <c r="A46" s="32" t="s">
        <v>2857</v>
      </c>
      <c r="B46" s="27" t="s">
        <v>2328</v>
      </c>
      <c r="C46" s="54" t="s">
        <v>2375</v>
      </c>
      <c r="D46" s="27" t="s">
        <v>2330</v>
      </c>
      <c r="E46" s="27" t="s">
        <v>2331</v>
      </c>
      <c r="F46" s="55" t="str">
        <f>VLOOKUP(Клиенты[[#This Row],[GardenaChannel]],GardenChannel[[GardenChannel]:[Sales manager]],2,0)</f>
        <v>АЛЕКСАНДРОВ ИГОРЬ</v>
      </c>
      <c r="H46" s="27" t="s">
        <v>2328</v>
      </c>
    </row>
    <row r="47" spans="1:8" x14ac:dyDescent="0.25">
      <c r="A47" s="32" t="s">
        <v>2858</v>
      </c>
      <c r="B47" s="27" t="s">
        <v>2328</v>
      </c>
      <c r="C47" s="54" t="s">
        <v>2376</v>
      </c>
      <c r="D47" s="27" t="s">
        <v>2330</v>
      </c>
      <c r="E47" s="27" t="s">
        <v>2331</v>
      </c>
      <c r="F47" s="55" t="str">
        <f>VLOOKUP(Клиенты[[#This Row],[GardenaChannel]],GardenChannel[[GardenChannel]:[Sales manager]],2,0)</f>
        <v>АЛЕКСАНДРОВ ИГОРЬ</v>
      </c>
      <c r="H47" s="27" t="s">
        <v>2328</v>
      </c>
    </row>
    <row r="48" spans="1:8" x14ac:dyDescent="0.25">
      <c r="A48" s="32" t="s">
        <v>2859</v>
      </c>
      <c r="B48" s="27" t="s">
        <v>2328</v>
      </c>
      <c r="C48" s="54" t="s">
        <v>2377</v>
      </c>
      <c r="D48" s="27" t="s">
        <v>2330</v>
      </c>
      <c r="E48" s="27" t="s">
        <v>2331</v>
      </c>
      <c r="F48" s="55" t="str">
        <f>VLOOKUP(Клиенты[[#This Row],[GardenaChannel]],GardenChannel[[GardenChannel]:[Sales manager]],2,0)</f>
        <v>АЛЕКСАНДРОВ ИГОРЬ</v>
      </c>
      <c r="H48" s="27" t="s">
        <v>2328</v>
      </c>
    </row>
    <row r="49" spans="1:8" x14ac:dyDescent="0.25">
      <c r="A49" s="32" t="s">
        <v>2860</v>
      </c>
      <c r="B49" s="27" t="s">
        <v>2328</v>
      </c>
      <c r="C49" s="54" t="s">
        <v>2378</v>
      </c>
      <c r="D49" s="27" t="s">
        <v>2330</v>
      </c>
      <c r="E49" s="27" t="s">
        <v>2331</v>
      </c>
      <c r="F49" s="55" t="str">
        <f>VLOOKUP(Клиенты[[#This Row],[GardenaChannel]],GardenChannel[[GardenChannel]:[Sales manager]],2,0)</f>
        <v>АЛЕКСАНДРОВ ИГОРЬ</v>
      </c>
      <c r="H49" s="27" t="s">
        <v>2328</v>
      </c>
    </row>
    <row r="50" spans="1:8" x14ac:dyDescent="0.25">
      <c r="A50" s="32" t="s">
        <v>2861</v>
      </c>
      <c r="B50" s="27" t="s">
        <v>2328</v>
      </c>
      <c r="C50" s="54" t="s">
        <v>2379</v>
      </c>
      <c r="D50" s="27" t="s">
        <v>2330</v>
      </c>
      <c r="E50" s="27" t="s">
        <v>2331</v>
      </c>
      <c r="F50" s="55" t="str">
        <f>VLOOKUP(Клиенты[[#This Row],[GardenaChannel]],GardenChannel[[GardenChannel]:[Sales manager]],2,0)</f>
        <v>АЛЕКСАНДРОВ ИГОРЬ</v>
      </c>
      <c r="H50" s="27" t="s">
        <v>2328</v>
      </c>
    </row>
    <row r="51" spans="1:8" x14ac:dyDescent="0.25">
      <c r="A51" s="32" t="s">
        <v>2862</v>
      </c>
      <c r="B51" s="27" t="s">
        <v>2328</v>
      </c>
      <c r="C51" s="54" t="s">
        <v>2380</v>
      </c>
      <c r="D51" s="27" t="s">
        <v>2330</v>
      </c>
      <c r="E51" s="27" t="s">
        <v>2331</v>
      </c>
      <c r="F51" s="55" t="str">
        <f>VLOOKUP(Клиенты[[#This Row],[GardenaChannel]],GardenChannel[[GardenChannel]:[Sales manager]],2,0)</f>
        <v>АЛЕКСАНДРОВ ИГОРЬ</v>
      </c>
      <c r="H51" s="27" t="s">
        <v>2328</v>
      </c>
    </row>
    <row r="52" spans="1:8" x14ac:dyDescent="0.25">
      <c r="A52" s="32" t="s">
        <v>2863</v>
      </c>
      <c r="B52" s="27" t="s">
        <v>2328</v>
      </c>
      <c r="C52" s="54" t="s">
        <v>2381</v>
      </c>
      <c r="D52" s="27" t="s">
        <v>2330</v>
      </c>
      <c r="E52" s="27" t="s">
        <v>2344</v>
      </c>
      <c r="F52" s="55" t="str">
        <f>VLOOKUP(Клиенты[[#This Row],[GardenaChannel]],GardenChannel[[GardenChannel]:[Sales manager]],2,0)</f>
        <v>АЛЕКСАНДРОВ ИГОРЬ</v>
      </c>
      <c r="H52" s="27" t="s">
        <v>2328</v>
      </c>
    </row>
    <row r="53" spans="1:8" x14ac:dyDescent="0.25">
      <c r="A53" s="32" t="s">
        <v>2864</v>
      </c>
      <c r="B53" s="27" t="s">
        <v>2328</v>
      </c>
      <c r="C53" s="54" t="s">
        <v>2382</v>
      </c>
      <c r="D53" s="27" t="s">
        <v>2330</v>
      </c>
      <c r="E53" s="27" t="s">
        <v>2331</v>
      </c>
      <c r="F53" s="55" t="str">
        <f>VLOOKUP(Клиенты[[#This Row],[GardenaChannel]],GardenChannel[[GardenChannel]:[Sales manager]],2,0)</f>
        <v>АЛЕКСАНДРОВ ИГОРЬ</v>
      </c>
      <c r="H53" s="27" t="s">
        <v>2328</v>
      </c>
    </row>
    <row r="54" spans="1:8" x14ac:dyDescent="0.25">
      <c r="A54" s="32" t="s">
        <v>2865</v>
      </c>
      <c r="B54" s="27" t="s">
        <v>2328</v>
      </c>
      <c r="C54" s="54" t="s">
        <v>2383</v>
      </c>
      <c r="D54" s="27" t="s">
        <v>2330</v>
      </c>
      <c r="E54" s="27" t="s">
        <v>2331</v>
      </c>
      <c r="F54" s="55" t="str">
        <f>VLOOKUP(Клиенты[[#This Row],[GardenaChannel]],GardenChannel[[GardenChannel]:[Sales manager]],2,0)</f>
        <v>АЛЕКСАНДРОВ ИГОРЬ</v>
      </c>
      <c r="H54" s="27" t="s">
        <v>2328</v>
      </c>
    </row>
    <row r="55" spans="1:8" x14ac:dyDescent="0.25">
      <c r="A55" s="32" t="s">
        <v>2866</v>
      </c>
      <c r="B55" s="27" t="s">
        <v>2328</v>
      </c>
      <c r="C55" s="54" t="s">
        <v>2384</v>
      </c>
      <c r="D55" s="27" t="s">
        <v>2330</v>
      </c>
      <c r="E55" s="27" t="s">
        <v>2331</v>
      </c>
      <c r="F55" s="55" t="str">
        <f>VLOOKUP(Клиенты[[#This Row],[GardenaChannel]],GardenChannel[[GardenChannel]:[Sales manager]],2,0)</f>
        <v>АЛЕКСАНДРОВ ИГОРЬ</v>
      </c>
      <c r="H55" s="27" t="s">
        <v>2328</v>
      </c>
    </row>
    <row r="56" spans="1:8" x14ac:dyDescent="0.25">
      <c r="A56" s="32" t="s">
        <v>2867</v>
      </c>
      <c r="B56" s="27" t="s">
        <v>2385</v>
      </c>
      <c r="C56" s="54" t="s">
        <v>2386</v>
      </c>
      <c r="D56" s="27" t="s">
        <v>2319</v>
      </c>
      <c r="E56" s="27" t="s">
        <v>2387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2868</v>
      </c>
      <c r="B57" s="27" t="s">
        <v>2385</v>
      </c>
      <c r="C57" s="54" t="s">
        <v>2389</v>
      </c>
      <c r="D57" s="27" t="s">
        <v>2319</v>
      </c>
      <c r="E57" s="27" t="s">
        <v>2390</v>
      </c>
      <c r="F57" s="55" t="str">
        <f>VLOOKUP(Клиенты[[#This Row],[GardenaChannel]],GardenChannel[[GardenChannel]:[Sales manager]],2,0)</f>
        <v>ЧУДИН АЛЕКСЕЙ</v>
      </c>
      <c r="G57" s="27" t="s">
        <v>2391</v>
      </c>
      <c r="H57" s="27">
        <v>5307</v>
      </c>
    </row>
    <row r="58" spans="1:8" x14ac:dyDescent="0.25">
      <c r="A58" s="32" t="s">
        <v>2869</v>
      </c>
      <c r="B58" s="27" t="s">
        <v>2385</v>
      </c>
      <c r="C58" s="54" t="s">
        <v>2392</v>
      </c>
      <c r="D58" s="27" t="s">
        <v>2319</v>
      </c>
      <c r="E58" s="27" t="s">
        <v>2390</v>
      </c>
      <c r="F58" s="55" t="str">
        <f>VLOOKUP(Клиенты[[#This Row],[GardenaChannel]],GardenChannel[[GardenChannel]:[Sales manager]],2,0)</f>
        <v>ЧУДИН АЛЕКСЕЙ</v>
      </c>
      <c r="G58" s="27" t="s">
        <v>2391</v>
      </c>
      <c r="H58" s="27">
        <v>5307</v>
      </c>
    </row>
    <row r="59" spans="1:8" x14ac:dyDescent="0.25">
      <c r="A59" s="32" t="s">
        <v>2870</v>
      </c>
      <c r="B59" s="27" t="s">
        <v>2385</v>
      </c>
      <c r="C59" s="54" t="s">
        <v>2393</v>
      </c>
      <c r="D59" s="27" t="s">
        <v>2319</v>
      </c>
      <c r="E59" s="27" t="s">
        <v>2394</v>
      </c>
      <c r="F59" s="55" t="str">
        <f>VLOOKUP(Клиенты[[#This Row],[GardenaChannel]],GardenChannel[[GardenChannel]:[Sales manager]],2,0)</f>
        <v>ЧУДИН АЛЕКСЕЙ</v>
      </c>
      <c r="G59" s="27" t="s">
        <v>2395</v>
      </c>
      <c r="H59" s="27">
        <v>5412</v>
      </c>
    </row>
    <row r="60" spans="1:8" x14ac:dyDescent="0.25">
      <c r="A60" s="32" t="s">
        <v>2871</v>
      </c>
      <c r="B60" s="27" t="s">
        <v>2385</v>
      </c>
      <c r="C60" s="54" t="s">
        <v>2396</v>
      </c>
      <c r="D60" s="27" t="s">
        <v>2319</v>
      </c>
      <c r="E60" s="27" t="s">
        <v>2390</v>
      </c>
      <c r="F60" s="55" t="str">
        <f>VLOOKUP(Клиенты[[#This Row],[GardenaChannel]],GardenChannel[[GardenChannel]:[Sales manager]],2,0)</f>
        <v>ЧУДИН АЛЕКСЕЙ</v>
      </c>
      <c r="G60" s="27" t="s">
        <v>2391</v>
      </c>
      <c r="H60" s="27">
        <v>5307</v>
      </c>
    </row>
    <row r="61" spans="1:8" x14ac:dyDescent="0.25">
      <c r="A61" s="32" t="s">
        <v>2872</v>
      </c>
      <c r="B61" s="27" t="s">
        <v>2385</v>
      </c>
      <c r="C61" s="54" t="s">
        <v>2397</v>
      </c>
      <c r="D61" s="27" t="s">
        <v>2319</v>
      </c>
      <c r="E61" s="27" t="s">
        <v>2390</v>
      </c>
      <c r="F61" s="55" t="str">
        <f>VLOOKUP(Клиенты[[#This Row],[GardenaChannel]],GardenChannel[[GardenChannel]:[Sales manager]],2,0)</f>
        <v>ЧУДИН АЛЕКСЕЙ</v>
      </c>
      <c r="G61" s="27" t="s">
        <v>2391</v>
      </c>
      <c r="H61" s="27">
        <v>5307</v>
      </c>
    </row>
    <row r="62" spans="1:8" x14ac:dyDescent="0.25">
      <c r="A62" s="32" t="s">
        <v>2873</v>
      </c>
      <c r="B62" s="27" t="s">
        <v>2385</v>
      </c>
      <c r="C62" s="54" t="s">
        <v>2398</v>
      </c>
      <c r="D62" s="27" t="s">
        <v>2319</v>
      </c>
      <c r="E62" s="27" t="s">
        <v>2390</v>
      </c>
      <c r="F62" s="55" t="str">
        <f>VLOOKUP(Клиенты[[#This Row],[GardenaChannel]],GardenChannel[[GardenChannel]:[Sales manager]],2,0)</f>
        <v>ЧУДИН АЛЕКСЕЙ</v>
      </c>
      <c r="G62" s="27" t="s">
        <v>2391</v>
      </c>
      <c r="H62" s="27">
        <v>5307</v>
      </c>
    </row>
    <row r="63" spans="1:8" x14ac:dyDescent="0.25">
      <c r="A63" s="32" t="s">
        <v>2874</v>
      </c>
      <c r="B63" s="27" t="s">
        <v>2385</v>
      </c>
      <c r="C63" s="54" t="s">
        <v>2399</v>
      </c>
      <c r="D63" s="27" t="s">
        <v>2319</v>
      </c>
      <c r="E63" s="27" t="s">
        <v>2390</v>
      </c>
      <c r="F63" s="55" t="str">
        <f>VLOOKUP(Клиенты[[#This Row],[GardenaChannel]],GardenChannel[[GardenChannel]:[Sales manager]],2,0)</f>
        <v>ЧУДИН АЛЕКСЕЙ</v>
      </c>
      <c r="G63" s="27" t="s">
        <v>2391</v>
      </c>
      <c r="H63" s="27">
        <v>5307</v>
      </c>
    </row>
    <row r="64" spans="1:8" x14ac:dyDescent="0.25">
      <c r="A64" s="32" t="s">
        <v>2875</v>
      </c>
      <c r="B64" s="27" t="s">
        <v>2385</v>
      </c>
      <c r="C64" s="54" t="s">
        <v>2400</v>
      </c>
      <c r="D64" s="27" t="s">
        <v>2319</v>
      </c>
      <c r="E64" s="27" t="s">
        <v>2401</v>
      </c>
      <c r="F64" s="55" t="str">
        <f>VLOOKUP(Клиенты[[#This Row],[GardenaChannel]],GardenChannel[[GardenChannel]:[Sales manager]],2,0)</f>
        <v>ЧУДИН АЛЕКСЕЙ</v>
      </c>
      <c r="G64" s="27" t="s">
        <v>2402</v>
      </c>
      <c r="H64" s="27">
        <v>5824</v>
      </c>
    </row>
    <row r="65" spans="1:8" x14ac:dyDescent="0.25">
      <c r="A65" s="32" t="s">
        <v>2876</v>
      </c>
      <c r="B65" s="27" t="s">
        <v>2403</v>
      </c>
      <c r="C65" s="54" t="s">
        <v>2404</v>
      </c>
      <c r="D65" s="27" t="s">
        <v>2319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2406</v>
      </c>
      <c r="H65" s="27">
        <v>5303</v>
      </c>
    </row>
    <row r="66" spans="1:8" x14ac:dyDescent="0.25">
      <c r="A66" s="32" t="s">
        <v>2877</v>
      </c>
      <c r="B66" s="27" t="s">
        <v>2403</v>
      </c>
      <c r="C66" s="54" t="s">
        <v>2407</v>
      </c>
      <c r="D66" s="27" t="s">
        <v>2319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2406</v>
      </c>
      <c r="H66" s="27">
        <v>5303</v>
      </c>
    </row>
    <row r="67" spans="1:8" x14ac:dyDescent="0.25">
      <c r="A67" s="32" t="s">
        <v>2878</v>
      </c>
      <c r="B67" s="27" t="s">
        <v>2403</v>
      </c>
      <c r="C67" s="54" t="s">
        <v>2408</v>
      </c>
      <c r="D67" s="27" t="s">
        <v>2319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2406</v>
      </c>
      <c r="H67" s="27">
        <v>5303</v>
      </c>
    </row>
    <row r="68" spans="1:8" x14ac:dyDescent="0.25">
      <c r="A68" s="32" t="s">
        <v>2879</v>
      </c>
      <c r="B68" s="27" t="s">
        <v>2403</v>
      </c>
      <c r="C68" s="54" t="s">
        <v>2409</v>
      </c>
      <c r="D68" s="27" t="s">
        <v>2319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2406</v>
      </c>
      <c r="H68" s="27">
        <v>5303</v>
      </c>
    </row>
    <row r="69" spans="1:8" x14ac:dyDescent="0.25">
      <c r="A69" s="32" t="s">
        <v>2880</v>
      </c>
      <c r="B69" s="27" t="s">
        <v>2403</v>
      </c>
      <c r="C69" s="54" t="s">
        <v>2410</v>
      </c>
      <c r="D69" s="27" t="s">
        <v>2319</v>
      </c>
      <c r="E69" s="27" t="s">
        <v>2411</v>
      </c>
      <c r="F69" s="55" t="str">
        <f>VLOOKUP(Клиенты[[#This Row],[GardenaChannel]],GardenChannel[[GardenChannel]:[Sales manager]],2,0)</f>
        <v>НЕБОВ АЛЕКСАНДР</v>
      </c>
      <c r="G69" s="27" t="s">
        <v>2412</v>
      </c>
      <c r="H69" s="27">
        <v>5408</v>
      </c>
    </row>
    <row r="70" spans="1:8" x14ac:dyDescent="0.25">
      <c r="A70" s="32" t="s">
        <v>2881</v>
      </c>
      <c r="B70" s="27" t="s">
        <v>2413</v>
      </c>
      <c r="C70" s="54" t="s">
        <v>2414</v>
      </c>
      <c r="D70" s="27" t="s">
        <v>2330</v>
      </c>
      <c r="E70" s="27" t="s">
        <v>2331</v>
      </c>
      <c r="F70" s="55" t="str">
        <f>VLOOKUP(Клиенты[[#This Row],[GardenaChannel]],GardenChannel[[GardenChannel]:[Sales manager]],2,0)</f>
        <v>ШКИДИН РОМАН</v>
      </c>
      <c r="H70" s="27" t="s">
        <v>2413</v>
      </c>
    </row>
    <row r="71" spans="1:8" x14ac:dyDescent="0.25">
      <c r="A71" s="32" t="s">
        <v>2882</v>
      </c>
      <c r="B71" s="27" t="s">
        <v>2413</v>
      </c>
      <c r="C71" s="54" t="s">
        <v>2416</v>
      </c>
      <c r="D71" s="27" t="s">
        <v>2330</v>
      </c>
      <c r="E71" s="27" t="s">
        <v>2331</v>
      </c>
      <c r="F71" s="55" t="str">
        <f>VLOOKUP(Клиенты[[#This Row],[GardenaChannel]],GardenChannel[[GardenChannel]:[Sales manager]],2,0)</f>
        <v>ШКИДИН РОМАН</v>
      </c>
      <c r="H71" s="27" t="s">
        <v>2413</v>
      </c>
    </row>
    <row r="72" spans="1:8" x14ac:dyDescent="0.25">
      <c r="A72" s="32" t="s">
        <v>2883</v>
      </c>
      <c r="B72" s="27" t="s">
        <v>2413</v>
      </c>
      <c r="C72" s="54" t="s">
        <v>2417</v>
      </c>
      <c r="D72" s="27" t="s">
        <v>2330</v>
      </c>
      <c r="E72" s="27" t="s">
        <v>2331</v>
      </c>
      <c r="F72" s="55" t="str">
        <f>VLOOKUP(Клиенты[[#This Row],[GardenaChannel]],GardenChannel[[GardenChannel]:[Sales manager]],2,0)</f>
        <v>ШКИДИН РОМАН</v>
      </c>
      <c r="H72" s="27" t="s">
        <v>2413</v>
      </c>
    </row>
    <row r="73" spans="1:8" x14ac:dyDescent="0.25">
      <c r="A73" s="32" t="s">
        <v>2884</v>
      </c>
      <c r="B73" s="27" t="s">
        <v>2413</v>
      </c>
      <c r="C73" s="54" t="s">
        <v>2418</v>
      </c>
      <c r="D73" s="27" t="s">
        <v>2330</v>
      </c>
      <c r="E73" s="27" t="s">
        <v>2368</v>
      </c>
      <c r="F73" s="55" t="str">
        <f>VLOOKUP(Клиенты[[#This Row],[GardenaChannel]],GardenChannel[[GardenChannel]:[Sales manager]],2,0)</f>
        <v>ШКИДИН РОМАН</v>
      </c>
      <c r="H73" s="27" t="s">
        <v>2413</v>
      </c>
    </row>
    <row r="74" spans="1:8" x14ac:dyDescent="0.25">
      <c r="A74" s="32" t="s">
        <v>2885</v>
      </c>
      <c r="B74" s="27" t="s">
        <v>2413</v>
      </c>
      <c r="C74" s="54" t="s">
        <v>2419</v>
      </c>
      <c r="D74" s="27" t="s">
        <v>2330</v>
      </c>
      <c r="E74" s="27" t="s">
        <v>2331</v>
      </c>
      <c r="F74" s="55" t="str">
        <f>VLOOKUP(Клиенты[[#This Row],[GardenaChannel]],GardenChannel[[GardenChannel]:[Sales manager]],2,0)</f>
        <v>ШКИДИН РОМАН</v>
      </c>
      <c r="H74" s="27" t="s">
        <v>2413</v>
      </c>
    </row>
    <row r="75" spans="1:8" x14ac:dyDescent="0.25">
      <c r="A75" s="32" t="s">
        <v>2886</v>
      </c>
      <c r="B75" s="27" t="s">
        <v>2413</v>
      </c>
      <c r="C75" s="54" t="s">
        <v>2420</v>
      </c>
      <c r="D75" s="27" t="s">
        <v>2330</v>
      </c>
      <c r="E75" s="27" t="s">
        <v>2331</v>
      </c>
      <c r="F75" s="55" t="str">
        <f>VLOOKUP(Клиенты[[#This Row],[GardenaChannel]],GardenChannel[[GardenChannel]:[Sales manager]],2,0)</f>
        <v>ШКИДИН РОМАН</v>
      </c>
      <c r="H75" s="27" t="s">
        <v>2413</v>
      </c>
    </row>
    <row r="76" spans="1:8" x14ac:dyDescent="0.25">
      <c r="A76" s="32" t="s">
        <v>2887</v>
      </c>
      <c r="B76" s="27" t="s">
        <v>2413</v>
      </c>
      <c r="C76" s="54" t="s">
        <v>2421</v>
      </c>
      <c r="D76" s="27" t="s">
        <v>2330</v>
      </c>
      <c r="E76" s="27" t="s">
        <v>2368</v>
      </c>
      <c r="F76" s="55" t="str">
        <f>VLOOKUP(Клиенты[[#This Row],[GardenaChannel]],GardenChannel[[GardenChannel]:[Sales manager]],2,0)</f>
        <v>ШКИДИН РОМАН</v>
      </c>
      <c r="H76" s="27" t="s">
        <v>2413</v>
      </c>
    </row>
    <row r="77" spans="1:8" x14ac:dyDescent="0.25">
      <c r="A77" s="32" t="s">
        <v>2888</v>
      </c>
      <c r="B77" s="27" t="s">
        <v>2413</v>
      </c>
      <c r="C77" s="54" t="s">
        <v>2422</v>
      </c>
      <c r="D77" s="27" t="s">
        <v>2330</v>
      </c>
      <c r="E77" s="27" t="s">
        <v>2331</v>
      </c>
      <c r="F77" s="55" t="str">
        <f>VLOOKUP(Клиенты[[#This Row],[GardenaChannel]],GardenChannel[[GardenChannel]:[Sales manager]],2,0)</f>
        <v>ШКИДИН РОМАН</v>
      </c>
      <c r="H77" s="27" t="s">
        <v>2413</v>
      </c>
    </row>
    <row r="78" spans="1:8" x14ac:dyDescent="0.25">
      <c r="A78" s="32" t="s">
        <v>2889</v>
      </c>
      <c r="B78" s="27" t="s">
        <v>2413</v>
      </c>
      <c r="C78" s="54" t="s">
        <v>2423</v>
      </c>
      <c r="D78" s="27" t="s">
        <v>2330</v>
      </c>
      <c r="E78" s="27" t="s">
        <v>2331</v>
      </c>
      <c r="F78" s="55" t="str">
        <f>VLOOKUP(Клиенты[[#This Row],[GardenaChannel]],GardenChannel[[GardenChannel]:[Sales manager]],2,0)</f>
        <v>ШКИДИН РОМАН</v>
      </c>
      <c r="H78" s="27" t="s">
        <v>2413</v>
      </c>
    </row>
    <row r="79" spans="1:8" x14ac:dyDescent="0.25">
      <c r="A79" s="32" t="s">
        <v>2890</v>
      </c>
      <c r="B79" s="27" t="s">
        <v>2413</v>
      </c>
      <c r="C79" s="54" t="s">
        <v>2424</v>
      </c>
      <c r="D79" s="27" t="s">
        <v>2330</v>
      </c>
      <c r="E79" s="27" t="s">
        <v>2331</v>
      </c>
      <c r="F79" s="55" t="str">
        <f>VLOOKUP(Клиенты[[#This Row],[GardenaChannel]],GardenChannel[[GardenChannel]:[Sales manager]],2,0)</f>
        <v>ШКИДИН РОМАН</v>
      </c>
      <c r="H79" s="27" t="s">
        <v>2413</v>
      </c>
    </row>
    <row r="80" spans="1:8" x14ac:dyDescent="0.25">
      <c r="A80" s="32" t="s">
        <v>2891</v>
      </c>
      <c r="B80" s="27" t="s">
        <v>2413</v>
      </c>
      <c r="C80" s="54" t="s">
        <v>2425</v>
      </c>
      <c r="D80" s="27" t="s">
        <v>2330</v>
      </c>
      <c r="E80" s="27" t="s">
        <v>2344</v>
      </c>
      <c r="F80" s="55" t="str">
        <f>VLOOKUP(Клиенты[[#This Row],[GardenaChannel]],GardenChannel[[GardenChannel]:[Sales manager]],2,0)</f>
        <v>ШКИДИН РОМАН</v>
      </c>
      <c r="H80" s="27" t="s">
        <v>2413</v>
      </c>
    </row>
    <row r="81" spans="1:8" x14ac:dyDescent="0.25">
      <c r="A81" s="32" t="s">
        <v>2892</v>
      </c>
      <c r="B81" s="27" t="s">
        <v>2413</v>
      </c>
      <c r="C81" s="54" t="s">
        <v>2426</v>
      </c>
      <c r="D81" s="27" t="s">
        <v>2330</v>
      </c>
      <c r="E81" s="27" t="s">
        <v>2331</v>
      </c>
      <c r="F81" s="55" t="str">
        <f>VLOOKUP(Клиенты[[#This Row],[GardenaChannel]],GardenChannel[[GardenChannel]:[Sales manager]],2,0)</f>
        <v>ШКИДИН РОМАН</v>
      </c>
      <c r="H81" s="27" t="s">
        <v>2413</v>
      </c>
    </row>
    <row r="82" spans="1:8" x14ac:dyDescent="0.25">
      <c r="A82" s="32" t="s">
        <v>2893</v>
      </c>
      <c r="B82" s="27" t="s">
        <v>2413</v>
      </c>
      <c r="C82" s="54" t="s">
        <v>2427</v>
      </c>
      <c r="D82" s="27" t="s">
        <v>2330</v>
      </c>
      <c r="E82" s="27" t="s">
        <v>2331</v>
      </c>
      <c r="F82" s="55" t="str">
        <f>VLOOKUP(Клиенты[[#This Row],[GardenaChannel]],GardenChannel[[GardenChannel]:[Sales manager]],2,0)</f>
        <v>ШКИДИН РОМАН</v>
      </c>
      <c r="H82" s="27" t="s">
        <v>2413</v>
      </c>
    </row>
    <row r="83" spans="1:8" x14ac:dyDescent="0.25">
      <c r="A83" s="32" t="s">
        <v>2894</v>
      </c>
      <c r="B83" s="27" t="s">
        <v>2413</v>
      </c>
      <c r="C83" s="54" t="s">
        <v>2428</v>
      </c>
      <c r="D83" s="27" t="s">
        <v>2330</v>
      </c>
      <c r="E83" s="27" t="s">
        <v>2331</v>
      </c>
      <c r="F83" s="55" t="str">
        <f>VLOOKUP(Клиенты[[#This Row],[GardenaChannel]],GardenChannel[[GardenChannel]:[Sales manager]],2,0)</f>
        <v>ШКИДИН РОМАН</v>
      </c>
      <c r="H83" s="27" t="s">
        <v>2413</v>
      </c>
    </row>
    <row r="84" spans="1:8" x14ac:dyDescent="0.25">
      <c r="A84" s="32" t="s">
        <v>2895</v>
      </c>
      <c r="B84" s="27" t="s">
        <v>2413</v>
      </c>
      <c r="C84" s="54" t="s">
        <v>2429</v>
      </c>
      <c r="D84" s="27" t="s">
        <v>2330</v>
      </c>
      <c r="E84" s="27" t="s">
        <v>2331</v>
      </c>
      <c r="F84" s="55" t="str">
        <f>VLOOKUP(Клиенты[[#This Row],[GardenaChannel]],GardenChannel[[GardenChannel]:[Sales manager]],2,0)</f>
        <v>ШКИДИН РОМАН</v>
      </c>
      <c r="H84" s="27" t="s">
        <v>2413</v>
      </c>
    </row>
    <row r="85" spans="1:8" x14ac:dyDescent="0.25">
      <c r="A85" s="32" t="s">
        <v>2896</v>
      </c>
      <c r="B85" s="27" t="s">
        <v>2413</v>
      </c>
      <c r="C85" s="54" t="s">
        <v>2430</v>
      </c>
      <c r="D85" s="27" t="s">
        <v>2330</v>
      </c>
      <c r="E85" s="27" t="s">
        <v>2331</v>
      </c>
      <c r="F85" s="55" t="str">
        <f>VLOOKUP(Клиенты[[#This Row],[GardenaChannel]],GardenChannel[[GardenChannel]:[Sales manager]],2,0)</f>
        <v>ШКИДИН РОМАН</v>
      </c>
      <c r="H85" s="27" t="s">
        <v>2413</v>
      </c>
    </row>
    <row r="86" spans="1:8" x14ac:dyDescent="0.25">
      <c r="A86" s="32" t="s">
        <v>2897</v>
      </c>
      <c r="B86" s="27" t="s">
        <v>2413</v>
      </c>
      <c r="C86" s="54" t="s">
        <v>2431</v>
      </c>
      <c r="D86" s="27" t="s">
        <v>2330</v>
      </c>
      <c r="E86" s="27" t="s">
        <v>2331</v>
      </c>
      <c r="F86" s="55" t="str">
        <f>VLOOKUP(Клиенты[[#This Row],[GardenaChannel]],GardenChannel[[GardenChannel]:[Sales manager]],2,0)</f>
        <v>ШКИДИН РОМАН</v>
      </c>
      <c r="H86" s="27" t="s">
        <v>2413</v>
      </c>
    </row>
    <row r="87" spans="1:8" x14ac:dyDescent="0.25">
      <c r="A87" s="32" t="s">
        <v>2898</v>
      </c>
      <c r="B87" s="27" t="s">
        <v>2413</v>
      </c>
      <c r="C87" s="54" t="s">
        <v>2432</v>
      </c>
      <c r="D87" s="27" t="s">
        <v>2330</v>
      </c>
      <c r="E87" s="27" t="s">
        <v>2331</v>
      </c>
      <c r="F87" s="55" t="str">
        <f>VLOOKUP(Клиенты[[#This Row],[GardenaChannel]],GardenChannel[[GardenChannel]:[Sales manager]],2,0)</f>
        <v>ШКИДИН РОМАН</v>
      </c>
      <c r="H87" s="27" t="s">
        <v>2413</v>
      </c>
    </row>
    <row r="88" spans="1:8" x14ac:dyDescent="0.25">
      <c r="A88" s="32" t="s">
        <v>2899</v>
      </c>
      <c r="B88" s="27" t="s">
        <v>2413</v>
      </c>
      <c r="C88" s="54" t="s">
        <v>2433</v>
      </c>
      <c r="D88" s="27" t="s">
        <v>2330</v>
      </c>
      <c r="E88" s="27" t="s">
        <v>2331</v>
      </c>
      <c r="F88" s="55" t="str">
        <f>VLOOKUP(Клиенты[[#This Row],[GardenaChannel]],GardenChannel[[GardenChannel]:[Sales manager]],2,0)</f>
        <v>ШКИДИН РОМАН</v>
      </c>
      <c r="H88" s="27" t="s">
        <v>2413</v>
      </c>
    </row>
    <row r="89" spans="1:8" x14ac:dyDescent="0.25">
      <c r="A89" s="32" t="s">
        <v>2900</v>
      </c>
      <c r="B89" s="27" t="s">
        <v>2413</v>
      </c>
      <c r="C89" s="54" t="s">
        <v>2434</v>
      </c>
      <c r="D89" s="27" t="s">
        <v>2330</v>
      </c>
      <c r="E89" s="27" t="s">
        <v>2331</v>
      </c>
      <c r="F89" s="55" t="str">
        <f>VLOOKUP(Клиенты[[#This Row],[GardenaChannel]],GardenChannel[[GardenChannel]:[Sales manager]],2,0)</f>
        <v>ШКИДИН РОМАН</v>
      </c>
      <c r="H89" s="27" t="s">
        <v>2413</v>
      </c>
    </row>
    <row r="90" spans="1:8" x14ac:dyDescent="0.25">
      <c r="A90" s="32" t="s">
        <v>2901</v>
      </c>
      <c r="B90" s="27" t="s">
        <v>2413</v>
      </c>
      <c r="C90" s="54" t="s">
        <v>2435</v>
      </c>
      <c r="D90" s="27" t="s">
        <v>2330</v>
      </c>
      <c r="E90" s="27" t="s">
        <v>2331</v>
      </c>
      <c r="F90" s="55" t="str">
        <f>VLOOKUP(Клиенты[[#This Row],[GardenaChannel]],GardenChannel[[GardenChannel]:[Sales manager]],2,0)</f>
        <v>ШКИДИН РОМАН</v>
      </c>
      <c r="H90" s="27" t="s">
        <v>2413</v>
      </c>
    </row>
    <row r="91" spans="1:8" x14ac:dyDescent="0.25">
      <c r="A91" s="32" t="s">
        <v>2902</v>
      </c>
      <c r="B91" s="27" t="s">
        <v>2413</v>
      </c>
      <c r="C91" s="54" t="s">
        <v>2436</v>
      </c>
      <c r="D91" s="27" t="s">
        <v>2330</v>
      </c>
      <c r="E91" s="27" t="s">
        <v>2331</v>
      </c>
      <c r="F91" s="55" t="str">
        <f>VLOOKUP(Клиенты[[#This Row],[GardenaChannel]],GardenChannel[[GardenChannel]:[Sales manager]],2,0)</f>
        <v>ШКИДИН РОМАН</v>
      </c>
      <c r="H91" s="27" t="s">
        <v>2413</v>
      </c>
    </row>
    <row r="92" spans="1:8" x14ac:dyDescent="0.25">
      <c r="A92" s="32" t="s">
        <v>2903</v>
      </c>
      <c r="B92" s="27" t="s">
        <v>2413</v>
      </c>
      <c r="C92" s="54" t="s">
        <v>2437</v>
      </c>
      <c r="D92" s="27" t="s">
        <v>2330</v>
      </c>
      <c r="E92" s="27" t="s">
        <v>2344</v>
      </c>
      <c r="F92" s="55" t="str">
        <f>VLOOKUP(Клиенты[[#This Row],[GardenaChannel]],GardenChannel[[GardenChannel]:[Sales manager]],2,0)</f>
        <v>ШКИДИН РОМАН</v>
      </c>
      <c r="H92" s="27" t="s">
        <v>2413</v>
      </c>
    </row>
    <row r="93" spans="1:8" x14ac:dyDescent="0.25">
      <c r="A93" s="32" t="s">
        <v>2904</v>
      </c>
      <c r="B93" s="27" t="s">
        <v>2413</v>
      </c>
      <c r="C93" s="54" t="s">
        <v>2438</v>
      </c>
      <c r="D93" s="27" t="s">
        <v>2330</v>
      </c>
      <c r="E93" s="27" t="s">
        <v>2331</v>
      </c>
      <c r="F93" s="55" t="str">
        <f>VLOOKUP(Клиенты[[#This Row],[GardenaChannel]],GardenChannel[[GardenChannel]:[Sales manager]],2,0)</f>
        <v>ШКИДИН РОМАН</v>
      </c>
      <c r="H93" s="27" t="s">
        <v>2413</v>
      </c>
    </row>
    <row r="94" spans="1:8" x14ac:dyDescent="0.25">
      <c r="A94" s="32" t="s">
        <v>2905</v>
      </c>
      <c r="B94" s="27" t="s">
        <v>2413</v>
      </c>
      <c r="C94" s="54" t="s">
        <v>2439</v>
      </c>
      <c r="D94" s="27" t="s">
        <v>2330</v>
      </c>
      <c r="E94" s="27" t="s">
        <v>2331</v>
      </c>
      <c r="F94" s="55" t="str">
        <f>VLOOKUP(Клиенты[[#This Row],[GardenaChannel]],GardenChannel[[GardenChannel]:[Sales manager]],2,0)</f>
        <v>ШКИДИН РОМАН</v>
      </c>
      <c r="H94" s="27" t="s">
        <v>2413</v>
      </c>
    </row>
    <row r="95" spans="1:8" x14ac:dyDescent="0.25">
      <c r="A95" s="32" t="s">
        <v>2906</v>
      </c>
      <c r="B95" s="27" t="s">
        <v>2413</v>
      </c>
      <c r="C95" s="54" t="s">
        <v>2440</v>
      </c>
      <c r="D95" s="27" t="s">
        <v>2330</v>
      </c>
      <c r="E95" s="27" t="s">
        <v>2331</v>
      </c>
      <c r="F95" s="55" t="str">
        <f>VLOOKUP(Клиенты[[#This Row],[GardenaChannel]],GardenChannel[[GardenChannel]:[Sales manager]],2,0)</f>
        <v>ШКИДИН РОМАН</v>
      </c>
      <c r="H95" s="27" t="s">
        <v>2413</v>
      </c>
    </row>
    <row r="96" spans="1:8" x14ac:dyDescent="0.25">
      <c r="A96" s="32" t="s">
        <v>2907</v>
      </c>
      <c r="B96" s="27" t="s">
        <v>2413</v>
      </c>
      <c r="C96" s="54" t="s">
        <v>2441</v>
      </c>
      <c r="D96" s="27" t="s">
        <v>2330</v>
      </c>
      <c r="E96" s="27" t="s">
        <v>2331</v>
      </c>
      <c r="F96" s="55" t="str">
        <f>VLOOKUP(Клиенты[[#This Row],[GardenaChannel]],GardenChannel[[GardenChannel]:[Sales manager]],2,0)</f>
        <v>ШКИДИН РОМАН</v>
      </c>
      <c r="H96" s="27" t="s">
        <v>2413</v>
      </c>
    </row>
    <row r="97" spans="1:8" x14ac:dyDescent="0.25">
      <c r="A97" s="32" t="s">
        <v>2908</v>
      </c>
      <c r="B97" s="27" t="s">
        <v>2413</v>
      </c>
      <c r="C97" s="54" t="s">
        <v>2442</v>
      </c>
      <c r="D97" s="27" t="s">
        <v>2330</v>
      </c>
      <c r="E97" s="27" t="s">
        <v>2331</v>
      </c>
      <c r="F97" s="55" t="str">
        <f>VLOOKUP(Клиенты[[#This Row],[GardenaChannel]],GardenChannel[[GardenChannel]:[Sales manager]],2,0)</f>
        <v>ШКИДИН РОМАН</v>
      </c>
      <c r="H97" s="27" t="s">
        <v>2413</v>
      </c>
    </row>
    <row r="98" spans="1:8" x14ac:dyDescent="0.25">
      <c r="A98" s="32" t="s">
        <v>2909</v>
      </c>
      <c r="B98" s="27" t="s">
        <v>2413</v>
      </c>
      <c r="C98" s="54" t="s">
        <v>2443</v>
      </c>
      <c r="D98" s="27" t="s">
        <v>2330</v>
      </c>
      <c r="E98" s="27" t="s">
        <v>2344</v>
      </c>
      <c r="F98" s="55" t="str">
        <f>VLOOKUP(Клиенты[[#This Row],[GardenaChannel]],GardenChannel[[GardenChannel]:[Sales manager]],2,0)</f>
        <v>ШКИДИН РОМАН</v>
      </c>
      <c r="H98" s="27" t="s">
        <v>2413</v>
      </c>
    </row>
    <row r="99" spans="1:8" x14ac:dyDescent="0.25">
      <c r="A99" s="32" t="s">
        <v>2910</v>
      </c>
      <c r="B99" s="27" t="s">
        <v>2413</v>
      </c>
      <c r="C99" s="54" t="s">
        <v>2444</v>
      </c>
      <c r="D99" s="27" t="s">
        <v>2330</v>
      </c>
      <c r="E99" s="27" t="s">
        <v>2331</v>
      </c>
      <c r="F99" s="55" t="str">
        <f>VLOOKUP(Клиенты[[#This Row],[GardenaChannel]],GardenChannel[[GardenChannel]:[Sales manager]],2,0)</f>
        <v>ШКИДИН РОМАН</v>
      </c>
      <c r="H99" s="27" t="s">
        <v>2413</v>
      </c>
    </row>
    <row r="100" spans="1:8" x14ac:dyDescent="0.25">
      <c r="A100" s="32" t="s">
        <v>2911</v>
      </c>
      <c r="B100" s="27" t="s">
        <v>2413</v>
      </c>
      <c r="C100" s="54" t="s">
        <v>2445</v>
      </c>
      <c r="D100" s="27" t="s">
        <v>2330</v>
      </c>
      <c r="E100" s="27" t="s">
        <v>2331</v>
      </c>
      <c r="F100" s="55" t="str">
        <f>VLOOKUP(Клиенты[[#This Row],[GardenaChannel]],GardenChannel[[GardenChannel]:[Sales manager]],2,0)</f>
        <v>ШКИДИН РОМАН</v>
      </c>
      <c r="H100" s="27" t="s">
        <v>2413</v>
      </c>
    </row>
    <row r="101" spans="1:8" x14ac:dyDescent="0.25">
      <c r="A101" s="32" t="s">
        <v>2912</v>
      </c>
      <c r="B101" s="27" t="s">
        <v>2413</v>
      </c>
      <c r="C101" s="54" t="s">
        <v>2446</v>
      </c>
      <c r="D101" s="27" t="s">
        <v>2330</v>
      </c>
      <c r="E101" s="27" t="s">
        <v>2344</v>
      </c>
      <c r="F101" s="55" t="str">
        <f>VLOOKUP(Клиенты[[#This Row],[GardenaChannel]],GardenChannel[[GardenChannel]:[Sales manager]],2,0)</f>
        <v>ШКИДИН РОМАН</v>
      </c>
      <c r="H101" s="27" t="s">
        <v>2413</v>
      </c>
    </row>
    <row r="102" spans="1:8" x14ac:dyDescent="0.25">
      <c r="A102" s="32" t="s">
        <v>2913</v>
      </c>
      <c r="B102" s="27" t="s">
        <v>2413</v>
      </c>
      <c r="C102" s="54" t="s">
        <v>2447</v>
      </c>
      <c r="D102" s="27" t="s">
        <v>2330</v>
      </c>
      <c r="E102" s="27" t="s">
        <v>2344</v>
      </c>
      <c r="F102" s="55" t="str">
        <f>VLOOKUP(Клиенты[[#This Row],[GardenaChannel]],GardenChannel[[GardenChannel]:[Sales manager]],2,0)</f>
        <v>ШКИДИН РОМАН</v>
      </c>
      <c r="H102" s="27" t="s">
        <v>2413</v>
      </c>
    </row>
    <row r="103" spans="1:8" x14ac:dyDescent="0.25">
      <c r="A103" s="32" t="s">
        <v>2914</v>
      </c>
      <c r="B103" s="27" t="s">
        <v>2413</v>
      </c>
      <c r="C103" s="54" t="s">
        <v>2448</v>
      </c>
      <c r="D103" s="27" t="s">
        <v>2330</v>
      </c>
      <c r="E103" s="27" t="s">
        <v>2344</v>
      </c>
      <c r="F103" s="55" t="str">
        <f>VLOOKUP(Клиенты[[#This Row],[GardenaChannel]],GardenChannel[[GardenChannel]:[Sales manager]],2,0)</f>
        <v>ШКИДИН РОМАН</v>
      </c>
      <c r="H103" s="27" t="s">
        <v>2413</v>
      </c>
    </row>
    <row r="104" spans="1:8" x14ac:dyDescent="0.25">
      <c r="A104" s="32" t="s">
        <v>2915</v>
      </c>
      <c r="B104" s="27" t="s">
        <v>2413</v>
      </c>
      <c r="C104" s="54" t="s">
        <v>2449</v>
      </c>
      <c r="D104" s="27" t="s">
        <v>2330</v>
      </c>
      <c r="E104" s="27" t="s">
        <v>2331</v>
      </c>
      <c r="F104" s="55" t="str">
        <f>VLOOKUP(Клиенты[[#This Row],[GardenaChannel]],GardenChannel[[GardenChannel]:[Sales manager]],2,0)</f>
        <v>ШКИДИН РОМАН</v>
      </c>
      <c r="H104" s="27" t="s">
        <v>2413</v>
      </c>
    </row>
    <row r="105" spans="1:8" x14ac:dyDescent="0.25">
      <c r="A105" s="32" t="s">
        <v>2916</v>
      </c>
      <c r="B105" s="27" t="s">
        <v>2413</v>
      </c>
      <c r="C105" s="54" t="s">
        <v>2450</v>
      </c>
      <c r="D105" s="27" t="s">
        <v>2330</v>
      </c>
      <c r="E105" s="27" t="s">
        <v>2331</v>
      </c>
      <c r="F105" s="55" t="str">
        <f>VLOOKUP(Клиенты[[#This Row],[GardenaChannel]],GardenChannel[[GardenChannel]:[Sales manager]],2,0)</f>
        <v>ШКИДИН РОМАН</v>
      </c>
      <c r="H105" s="27" t="s">
        <v>2413</v>
      </c>
    </row>
    <row r="106" spans="1:8" x14ac:dyDescent="0.25">
      <c r="A106" s="32" t="s">
        <v>2917</v>
      </c>
      <c r="B106" s="27" t="s">
        <v>2413</v>
      </c>
      <c r="C106" s="54" t="s">
        <v>2451</v>
      </c>
      <c r="D106" s="27" t="s">
        <v>2330</v>
      </c>
      <c r="E106" s="27" t="s">
        <v>2331</v>
      </c>
      <c r="F106" s="55" t="str">
        <f>VLOOKUP(Клиенты[[#This Row],[GardenaChannel]],GardenChannel[[GardenChannel]:[Sales manager]],2,0)</f>
        <v>ШКИДИН РОМАН</v>
      </c>
      <c r="H106" s="27" t="s">
        <v>2413</v>
      </c>
    </row>
    <row r="107" spans="1:8" x14ac:dyDescent="0.25">
      <c r="A107" s="32" t="s">
        <v>2918</v>
      </c>
      <c r="B107" s="27" t="s">
        <v>2413</v>
      </c>
      <c r="C107" s="54" t="s">
        <v>2452</v>
      </c>
      <c r="D107" s="27" t="s">
        <v>2330</v>
      </c>
      <c r="E107" s="27" t="s">
        <v>2331</v>
      </c>
      <c r="F107" s="55" t="str">
        <f>VLOOKUP(Клиенты[[#This Row],[GardenaChannel]],GardenChannel[[GardenChannel]:[Sales manager]],2,0)</f>
        <v>ШКИДИН РОМАН</v>
      </c>
      <c r="H107" s="27" t="s">
        <v>2413</v>
      </c>
    </row>
    <row r="108" spans="1:8" x14ac:dyDescent="0.25">
      <c r="A108" s="32" t="s">
        <v>2919</v>
      </c>
      <c r="B108" s="27" t="s">
        <v>2413</v>
      </c>
      <c r="C108" s="54" t="s">
        <v>2453</v>
      </c>
      <c r="D108" s="27" t="s">
        <v>2330</v>
      </c>
      <c r="E108" s="27" t="s">
        <v>2331</v>
      </c>
      <c r="F108" s="55" t="str">
        <f>VLOOKUP(Клиенты[[#This Row],[GardenaChannel]],GardenChannel[[GardenChannel]:[Sales manager]],2,0)</f>
        <v>ШКИДИН РОМАН</v>
      </c>
      <c r="H108" s="27" t="s">
        <v>2413</v>
      </c>
    </row>
    <row r="109" spans="1:8" x14ac:dyDescent="0.25">
      <c r="A109" s="32" t="s">
        <v>2920</v>
      </c>
      <c r="B109" s="27" t="s">
        <v>2413</v>
      </c>
      <c r="C109" s="54" t="s">
        <v>2454</v>
      </c>
      <c r="D109" s="27" t="s">
        <v>2330</v>
      </c>
      <c r="E109" s="27" t="s">
        <v>2331</v>
      </c>
      <c r="F109" s="55" t="str">
        <f>VLOOKUP(Клиенты[[#This Row],[GardenaChannel]],GardenChannel[[GardenChannel]:[Sales manager]],2,0)</f>
        <v>ШКИДИН РОМАН</v>
      </c>
      <c r="H109" s="27" t="s">
        <v>2413</v>
      </c>
    </row>
    <row r="110" spans="1:8" x14ac:dyDescent="0.25">
      <c r="A110" s="32" t="s">
        <v>2921</v>
      </c>
      <c r="B110" s="27" t="s">
        <v>2413</v>
      </c>
      <c r="C110" s="54" t="s">
        <v>2455</v>
      </c>
      <c r="D110" s="27" t="s">
        <v>2330</v>
      </c>
      <c r="E110" s="27" t="s">
        <v>2331</v>
      </c>
      <c r="F110" s="55" t="str">
        <f>VLOOKUP(Клиенты[[#This Row],[GardenaChannel]],GardenChannel[[GardenChannel]:[Sales manager]],2,0)</f>
        <v>ШКИДИН РОМАН</v>
      </c>
      <c r="H110" s="27" t="s">
        <v>2413</v>
      </c>
    </row>
    <row r="111" spans="1:8" x14ac:dyDescent="0.25">
      <c r="A111" s="32" t="s">
        <v>2922</v>
      </c>
      <c r="B111" s="27" t="s">
        <v>2413</v>
      </c>
      <c r="C111" s="54" t="s">
        <v>2456</v>
      </c>
      <c r="D111" s="27" t="s">
        <v>2330</v>
      </c>
      <c r="E111" s="27" t="s">
        <v>2331</v>
      </c>
      <c r="F111" s="55" t="str">
        <f>VLOOKUP(Клиенты[[#This Row],[GardenaChannel]],GardenChannel[[GardenChannel]:[Sales manager]],2,0)</f>
        <v>ШКИДИН РОМАН</v>
      </c>
      <c r="H111" s="27" t="s">
        <v>2413</v>
      </c>
    </row>
    <row r="112" spans="1:8" x14ac:dyDescent="0.25">
      <c r="A112" s="32" t="s">
        <v>2923</v>
      </c>
      <c r="B112" s="27" t="s">
        <v>2413</v>
      </c>
      <c r="C112" s="54" t="s">
        <v>2457</v>
      </c>
      <c r="D112" s="27" t="s">
        <v>2330</v>
      </c>
      <c r="E112" s="27" t="s">
        <v>2331</v>
      </c>
      <c r="F112" s="55" t="str">
        <f>VLOOKUP(Клиенты[[#This Row],[GardenaChannel]],GardenChannel[[GardenChannel]:[Sales manager]],2,0)</f>
        <v>ШКИДИН РОМАН</v>
      </c>
      <c r="H112" s="27" t="s">
        <v>2413</v>
      </c>
    </row>
    <row r="113" spans="1:8" x14ac:dyDescent="0.25">
      <c r="A113" s="32" t="s">
        <v>2924</v>
      </c>
      <c r="B113" s="27" t="s">
        <v>2413</v>
      </c>
      <c r="C113" s="54" t="s">
        <v>2458</v>
      </c>
      <c r="D113" s="27" t="s">
        <v>2330</v>
      </c>
      <c r="E113" s="27" t="s">
        <v>2331</v>
      </c>
      <c r="F113" s="55" t="str">
        <f>VLOOKUP(Клиенты[[#This Row],[GardenaChannel]],GardenChannel[[GardenChannel]:[Sales manager]],2,0)</f>
        <v>ШКИДИН РОМАН</v>
      </c>
      <c r="H113" s="27" t="s">
        <v>2413</v>
      </c>
    </row>
    <row r="114" spans="1:8" x14ac:dyDescent="0.25">
      <c r="A114" s="32" t="s">
        <v>2925</v>
      </c>
      <c r="B114" s="27" t="s">
        <v>2413</v>
      </c>
      <c r="C114" s="54" t="s">
        <v>2459</v>
      </c>
      <c r="D114" s="27" t="s">
        <v>2330</v>
      </c>
      <c r="E114" s="27" t="s">
        <v>2331</v>
      </c>
      <c r="F114" s="55" t="str">
        <f>VLOOKUP(Клиенты[[#This Row],[GardenaChannel]],GardenChannel[[GardenChannel]:[Sales manager]],2,0)</f>
        <v>ШКИДИН РОМАН</v>
      </c>
      <c r="H114" s="27" t="s">
        <v>2413</v>
      </c>
    </row>
    <row r="115" spans="1:8" x14ac:dyDescent="0.25">
      <c r="A115" s="32" t="s">
        <v>2926</v>
      </c>
      <c r="B115" s="27" t="s">
        <v>2413</v>
      </c>
      <c r="C115" s="54" t="s">
        <v>2460</v>
      </c>
      <c r="D115" s="27" t="s">
        <v>2330</v>
      </c>
      <c r="E115" s="27" t="s">
        <v>2331</v>
      </c>
      <c r="F115" s="55" t="str">
        <f>VLOOKUP(Клиенты[[#This Row],[GardenaChannel]],GardenChannel[[GardenChannel]:[Sales manager]],2,0)</f>
        <v>ШКИДИН РОМАН</v>
      </c>
      <c r="H115" s="27" t="s">
        <v>2413</v>
      </c>
    </row>
    <row r="116" spans="1:8" x14ac:dyDescent="0.25">
      <c r="A116" s="32" t="s">
        <v>2927</v>
      </c>
      <c r="B116" s="27" t="s">
        <v>2413</v>
      </c>
      <c r="C116" s="54" t="s">
        <v>2461</v>
      </c>
      <c r="D116" s="27" t="s">
        <v>2330</v>
      </c>
      <c r="E116" s="27" t="s">
        <v>2331</v>
      </c>
      <c r="F116" s="55" t="str">
        <f>VLOOKUP(Клиенты[[#This Row],[GardenaChannel]],GardenChannel[[GardenChannel]:[Sales manager]],2,0)</f>
        <v>ШКИДИН РОМАН</v>
      </c>
      <c r="H116" s="27" t="s">
        <v>2413</v>
      </c>
    </row>
    <row r="117" spans="1:8" x14ac:dyDescent="0.25">
      <c r="A117" s="32" t="s">
        <v>2928</v>
      </c>
      <c r="B117" s="27" t="s">
        <v>2413</v>
      </c>
      <c r="C117" s="54" t="s">
        <v>2462</v>
      </c>
      <c r="D117" s="27" t="s">
        <v>2330</v>
      </c>
      <c r="E117" s="27" t="s">
        <v>2331</v>
      </c>
      <c r="F117" s="55" t="str">
        <f>VLOOKUP(Клиенты[[#This Row],[GardenaChannel]],GardenChannel[[GardenChannel]:[Sales manager]],2,0)</f>
        <v>ШКИДИН РОМАН</v>
      </c>
      <c r="H117" s="27" t="s">
        <v>2413</v>
      </c>
    </row>
    <row r="118" spans="1:8" x14ac:dyDescent="0.25">
      <c r="A118" s="32" t="s">
        <v>2929</v>
      </c>
      <c r="B118" s="27" t="s">
        <v>2413</v>
      </c>
      <c r="C118" s="54" t="s">
        <v>2463</v>
      </c>
      <c r="D118" s="27" t="s">
        <v>2330</v>
      </c>
      <c r="E118" s="27" t="s">
        <v>2331</v>
      </c>
      <c r="F118" s="55" t="str">
        <f>VLOOKUP(Клиенты[[#This Row],[GardenaChannel]],GardenChannel[[GardenChannel]:[Sales manager]],2,0)</f>
        <v>ШКИДИН РОМАН</v>
      </c>
      <c r="H118" s="27" t="s">
        <v>2413</v>
      </c>
    </row>
    <row r="119" spans="1:8" x14ac:dyDescent="0.25">
      <c r="A119" s="32" t="s">
        <v>2930</v>
      </c>
      <c r="B119" s="27" t="s">
        <v>2413</v>
      </c>
      <c r="C119" s="54" t="s">
        <v>2464</v>
      </c>
      <c r="D119" s="27" t="s">
        <v>2330</v>
      </c>
      <c r="E119" s="27" t="s">
        <v>2331</v>
      </c>
      <c r="F119" s="55" t="str">
        <f>VLOOKUP(Клиенты[[#This Row],[GardenaChannel]],GardenChannel[[GardenChannel]:[Sales manager]],2,0)</f>
        <v>ШКИДИН РОМАН</v>
      </c>
      <c r="H119" s="27" t="s">
        <v>2413</v>
      </c>
    </row>
    <row r="120" spans="1:8" x14ac:dyDescent="0.25">
      <c r="A120" s="32" t="s">
        <v>2931</v>
      </c>
      <c r="B120" s="27" t="s">
        <v>2413</v>
      </c>
      <c r="C120" s="54" t="s">
        <v>2465</v>
      </c>
      <c r="D120" s="27" t="s">
        <v>2330</v>
      </c>
      <c r="E120" s="27" t="s">
        <v>2331</v>
      </c>
      <c r="F120" s="55" t="str">
        <f>VLOOKUP(Клиенты[[#This Row],[GardenaChannel]],GardenChannel[[GardenChannel]:[Sales manager]],2,0)</f>
        <v>ШКИДИН РОМАН</v>
      </c>
      <c r="H120" s="27" t="s">
        <v>2413</v>
      </c>
    </row>
    <row r="121" spans="1:8" x14ac:dyDescent="0.25">
      <c r="A121" s="32" t="s">
        <v>2932</v>
      </c>
      <c r="B121" s="27" t="s">
        <v>2413</v>
      </c>
      <c r="C121" s="54" t="s">
        <v>2466</v>
      </c>
      <c r="D121" s="27" t="s">
        <v>2330</v>
      </c>
      <c r="E121" s="27" t="s">
        <v>2331</v>
      </c>
      <c r="F121" s="55" t="str">
        <f>VLOOKUP(Клиенты[[#This Row],[GardenaChannel]],GardenChannel[[GardenChannel]:[Sales manager]],2,0)</f>
        <v>ШКИДИН РОМАН</v>
      </c>
      <c r="H121" s="27" t="s">
        <v>2413</v>
      </c>
    </row>
    <row r="122" spans="1:8" x14ac:dyDescent="0.25">
      <c r="A122" s="32" t="s">
        <v>2933</v>
      </c>
      <c r="B122" s="27" t="s">
        <v>2413</v>
      </c>
      <c r="C122" s="54" t="s">
        <v>2467</v>
      </c>
      <c r="D122" s="27" t="s">
        <v>2330</v>
      </c>
      <c r="E122" s="27" t="s">
        <v>2331</v>
      </c>
      <c r="F122" s="55" t="str">
        <f>VLOOKUP(Клиенты[[#This Row],[GardenaChannel]],GardenChannel[[GardenChannel]:[Sales manager]],2,0)</f>
        <v>ШКИДИН РОМАН</v>
      </c>
      <c r="H122" s="27" t="s">
        <v>2413</v>
      </c>
    </row>
    <row r="123" spans="1:8" x14ac:dyDescent="0.25">
      <c r="A123" s="32" t="s">
        <v>2934</v>
      </c>
      <c r="B123" s="27" t="s">
        <v>2413</v>
      </c>
      <c r="C123" s="54" t="s">
        <v>2468</v>
      </c>
      <c r="D123" s="27" t="s">
        <v>2330</v>
      </c>
      <c r="E123" s="27" t="s">
        <v>2331</v>
      </c>
      <c r="F123" s="55" t="str">
        <f>VLOOKUP(Клиенты[[#This Row],[GardenaChannel]],GardenChannel[[GardenChannel]:[Sales manager]],2,0)</f>
        <v>ШКИДИН РОМАН</v>
      </c>
      <c r="H123" s="27" t="s">
        <v>2413</v>
      </c>
    </row>
    <row r="124" spans="1:8" x14ac:dyDescent="0.25">
      <c r="A124" s="32" t="s">
        <v>2935</v>
      </c>
      <c r="B124" s="27" t="s">
        <v>2413</v>
      </c>
      <c r="C124" s="54" t="s">
        <v>2469</v>
      </c>
      <c r="D124" s="27" t="s">
        <v>2330</v>
      </c>
      <c r="E124" s="27" t="s">
        <v>2331</v>
      </c>
      <c r="F124" s="55" t="str">
        <f>VLOOKUP(Клиенты[[#This Row],[GardenaChannel]],GardenChannel[[GardenChannel]:[Sales manager]],2,0)</f>
        <v>ШКИДИН РОМАН</v>
      </c>
      <c r="H124" s="27" t="s">
        <v>2413</v>
      </c>
    </row>
    <row r="125" spans="1:8" x14ac:dyDescent="0.25">
      <c r="A125" s="32" t="s">
        <v>2936</v>
      </c>
      <c r="B125" s="27" t="s">
        <v>2413</v>
      </c>
      <c r="C125" s="54" t="s">
        <v>2470</v>
      </c>
      <c r="D125" s="27" t="s">
        <v>2330</v>
      </c>
      <c r="E125" s="27" t="s">
        <v>2331</v>
      </c>
      <c r="F125" s="55" t="str">
        <f>VLOOKUP(Клиенты[[#This Row],[GardenaChannel]],GardenChannel[[GardenChannel]:[Sales manager]],2,0)</f>
        <v>ШКИДИН РОМАН</v>
      </c>
      <c r="H125" s="27" t="s">
        <v>2413</v>
      </c>
    </row>
    <row r="126" spans="1:8" x14ac:dyDescent="0.25">
      <c r="A126" s="32" t="s">
        <v>2937</v>
      </c>
      <c r="B126" s="27" t="s">
        <v>2413</v>
      </c>
      <c r="C126" s="54" t="s">
        <v>2471</v>
      </c>
      <c r="D126" s="27" t="s">
        <v>2330</v>
      </c>
      <c r="E126" s="27" t="s">
        <v>2331</v>
      </c>
      <c r="F126" s="55" t="str">
        <f>VLOOKUP(Клиенты[[#This Row],[GardenaChannel]],GardenChannel[[GardenChannel]:[Sales manager]],2,0)</f>
        <v>ШКИДИН РОМАН</v>
      </c>
      <c r="H126" s="27" t="s">
        <v>2413</v>
      </c>
    </row>
    <row r="127" spans="1:8" x14ac:dyDescent="0.25">
      <c r="A127" s="32" t="s">
        <v>2938</v>
      </c>
      <c r="B127" s="27" t="s">
        <v>2413</v>
      </c>
      <c r="C127" s="54" t="s">
        <v>2472</v>
      </c>
      <c r="D127" s="27" t="s">
        <v>2330</v>
      </c>
      <c r="E127" s="27" t="s">
        <v>2331</v>
      </c>
      <c r="F127" s="55" t="str">
        <f>VLOOKUP(Клиенты[[#This Row],[GardenaChannel]],GardenChannel[[GardenChannel]:[Sales manager]],2,0)</f>
        <v>ШКИДИН РОМАН</v>
      </c>
      <c r="H127" s="27" t="s">
        <v>2413</v>
      </c>
    </row>
    <row r="128" spans="1:8" x14ac:dyDescent="0.25">
      <c r="A128" s="32" t="s">
        <v>2939</v>
      </c>
      <c r="B128" s="27" t="s">
        <v>2413</v>
      </c>
      <c r="C128" s="54" t="s">
        <v>2473</v>
      </c>
      <c r="D128" s="27" t="s">
        <v>2330</v>
      </c>
      <c r="E128" s="27" t="s">
        <v>2331</v>
      </c>
      <c r="F128" s="55" t="str">
        <f>VLOOKUP(Клиенты[[#This Row],[GardenaChannel]],GardenChannel[[GardenChannel]:[Sales manager]],2,0)</f>
        <v>ШКИДИН РОМАН</v>
      </c>
      <c r="H128" s="27" t="s">
        <v>2413</v>
      </c>
    </row>
    <row r="129" spans="1:8" x14ac:dyDescent="0.25">
      <c r="A129" s="32" t="s">
        <v>2940</v>
      </c>
      <c r="B129" s="27" t="s">
        <v>2413</v>
      </c>
      <c r="C129" s="54" t="s">
        <v>2474</v>
      </c>
      <c r="D129" s="27" t="s">
        <v>2330</v>
      </c>
      <c r="E129" s="27" t="s">
        <v>2331</v>
      </c>
      <c r="F129" s="55" t="str">
        <f>VLOOKUP(Клиенты[[#This Row],[GardenaChannel]],GardenChannel[[GardenChannel]:[Sales manager]],2,0)</f>
        <v>ШКИДИН РОМАН</v>
      </c>
      <c r="H129" s="27" t="s">
        <v>2413</v>
      </c>
    </row>
    <row r="130" spans="1:8" x14ac:dyDescent="0.25">
      <c r="A130" s="32" t="s">
        <v>2941</v>
      </c>
      <c r="B130" s="27" t="s">
        <v>2413</v>
      </c>
      <c r="C130" s="54" t="s">
        <v>2475</v>
      </c>
      <c r="D130" s="27" t="s">
        <v>2330</v>
      </c>
      <c r="E130" s="27" t="s">
        <v>2331</v>
      </c>
      <c r="F130" s="55" t="str">
        <f>VLOOKUP(Клиенты[[#This Row],[GardenaChannel]],GardenChannel[[GardenChannel]:[Sales manager]],2,0)</f>
        <v>ШКИДИН РОМАН</v>
      </c>
      <c r="H130" s="27" t="s">
        <v>2413</v>
      </c>
    </row>
    <row r="131" spans="1:8" x14ac:dyDescent="0.25">
      <c r="A131" s="32" t="s">
        <v>2942</v>
      </c>
      <c r="B131" s="27" t="s">
        <v>2413</v>
      </c>
      <c r="C131" s="54" t="s">
        <v>2476</v>
      </c>
      <c r="D131" s="27" t="s">
        <v>2330</v>
      </c>
      <c r="E131" s="27" t="s">
        <v>2331</v>
      </c>
      <c r="F131" s="55" t="str">
        <f>VLOOKUP(Клиенты[[#This Row],[GardenaChannel]],GardenChannel[[GardenChannel]:[Sales manager]],2,0)</f>
        <v>ШКИДИН РОМАН</v>
      </c>
      <c r="H131" s="27" t="s">
        <v>2413</v>
      </c>
    </row>
    <row r="132" spans="1:8" x14ac:dyDescent="0.25">
      <c r="A132" s="32" t="s">
        <v>2943</v>
      </c>
      <c r="B132" s="27" t="s">
        <v>2413</v>
      </c>
      <c r="C132" s="54" t="s">
        <v>2477</v>
      </c>
      <c r="D132" s="27" t="s">
        <v>2330</v>
      </c>
      <c r="E132" s="27" t="s">
        <v>2344</v>
      </c>
      <c r="F132" s="55" t="str">
        <f>VLOOKUP(Клиенты[[#This Row],[GardenaChannel]],GardenChannel[[GardenChannel]:[Sales manager]],2,0)</f>
        <v>ШКИДИН РОМАН</v>
      </c>
      <c r="H132" s="27" t="s">
        <v>2413</v>
      </c>
    </row>
    <row r="133" spans="1:8" x14ac:dyDescent="0.25">
      <c r="A133" s="32" t="s">
        <v>2944</v>
      </c>
      <c r="B133" s="27" t="s">
        <v>2413</v>
      </c>
      <c r="C133" s="54" t="s">
        <v>2478</v>
      </c>
      <c r="D133" s="27" t="s">
        <v>2330</v>
      </c>
      <c r="E133" s="27" t="s">
        <v>2331</v>
      </c>
      <c r="F133" s="55" t="str">
        <f>VLOOKUP(Клиенты[[#This Row],[GardenaChannel]],GardenChannel[[GardenChannel]:[Sales manager]],2,0)</f>
        <v>ШКИДИН РОМАН</v>
      </c>
      <c r="H133" s="27" t="s">
        <v>2413</v>
      </c>
    </row>
    <row r="134" spans="1:8" x14ac:dyDescent="0.25">
      <c r="A134" s="32" t="s">
        <v>2945</v>
      </c>
      <c r="B134" s="27" t="s">
        <v>2413</v>
      </c>
      <c r="C134" s="54" t="s">
        <v>2479</v>
      </c>
      <c r="D134" s="27" t="s">
        <v>2330</v>
      </c>
      <c r="E134" s="27" t="s">
        <v>2331</v>
      </c>
      <c r="F134" s="55" t="str">
        <f>VLOOKUP(Клиенты[[#This Row],[GardenaChannel]],GardenChannel[[GardenChannel]:[Sales manager]],2,0)</f>
        <v>ШКИДИН РОМАН</v>
      </c>
      <c r="H134" s="27" t="s">
        <v>2413</v>
      </c>
    </row>
    <row r="135" spans="1:8" x14ac:dyDescent="0.25">
      <c r="A135" s="32" t="s">
        <v>2946</v>
      </c>
      <c r="B135" s="27" t="s">
        <v>2413</v>
      </c>
      <c r="C135" s="54" t="s">
        <v>2480</v>
      </c>
      <c r="D135" s="27" t="s">
        <v>2330</v>
      </c>
      <c r="E135" s="27" t="s">
        <v>2344</v>
      </c>
      <c r="F135" s="55" t="str">
        <f>VLOOKUP(Клиенты[[#This Row],[GardenaChannel]],GardenChannel[[GardenChannel]:[Sales manager]],2,0)</f>
        <v>ШКИДИН РОМАН</v>
      </c>
      <c r="H135" s="27" t="s">
        <v>2413</v>
      </c>
    </row>
    <row r="136" spans="1:8" x14ac:dyDescent="0.25">
      <c r="A136" s="32" t="s">
        <v>2947</v>
      </c>
      <c r="B136" s="27" t="s">
        <v>2413</v>
      </c>
      <c r="C136" s="54" t="s">
        <v>2481</v>
      </c>
      <c r="D136" s="27" t="s">
        <v>2330</v>
      </c>
      <c r="E136" s="27" t="s">
        <v>2331</v>
      </c>
      <c r="F136" s="55" t="str">
        <f>VLOOKUP(Клиенты[[#This Row],[GardenaChannel]],GardenChannel[[GardenChannel]:[Sales manager]],2,0)</f>
        <v>ШКИДИН РОМАН</v>
      </c>
      <c r="H136" s="27" t="s">
        <v>2413</v>
      </c>
    </row>
    <row r="137" spans="1:8" x14ac:dyDescent="0.25">
      <c r="A137" s="32" t="s">
        <v>2948</v>
      </c>
      <c r="B137" s="27" t="s">
        <v>2413</v>
      </c>
      <c r="C137" s="54" t="s">
        <v>2482</v>
      </c>
      <c r="D137" s="27" t="s">
        <v>2330</v>
      </c>
      <c r="E137" s="27" t="s">
        <v>2344</v>
      </c>
      <c r="F137" s="55" t="str">
        <f>VLOOKUP(Клиенты[[#This Row],[GardenaChannel]],GardenChannel[[GardenChannel]:[Sales manager]],2,0)</f>
        <v>ШКИДИН РОМАН</v>
      </c>
      <c r="H137" s="27" t="s">
        <v>2413</v>
      </c>
    </row>
    <row r="138" spans="1:8" x14ac:dyDescent="0.25">
      <c r="A138" s="32" t="s">
        <v>2949</v>
      </c>
      <c r="B138" s="27" t="s">
        <v>2413</v>
      </c>
      <c r="C138" s="54" t="s">
        <v>2483</v>
      </c>
      <c r="D138" s="27" t="s">
        <v>2330</v>
      </c>
      <c r="E138" s="27" t="s">
        <v>2331</v>
      </c>
      <c r="F138" s="55" t="str">
        <f>VLOOKUP(Клиенты[[#This Row],[GardenaChannel]],GardenChannel[[GardenChannel]:[Sales manager]],2,0)</f>
        <v>ШКИДИН РОМАН</v>
      </c>
      <c r="H138" s="27" t="s">
        <v>2413</v>
      </c>
    </row>
    <row r="139" spans="1:8" x14ac:dyDescent="0.25">
      <c r="A139" s="32" t="s">
        <v>2950</v>
      </c>
      <c r="B139" s="27" t="s">
        <v>2413</v>
      </c>
      <c r="C139" s="54" t="s">
        <v>2484</v>
      </c>
      <c r="D139" s="27" t="s">
        <v>2330</v>
      </c>
      <c r="E139" s="27" t="s">
        <v>2331</v>
      </c>
      <c r="F139" s="55" t="str">
        <f>VLOOKUP(Клиенты[[#This Row],[GardenaChannel]],GardenChannel[[GardenChannel]:[Sales manager]],2,0)</f>
        <v>ШКИДИН РОМАН</v>
      </c>
      <c r="H139" s="27" t="s">
        <v>2413</v>
      </c>
    </row>
    <row r="140" spans="1:8" x14ac:dyDescent="0.25">
      <c r="A140" s="32" t="s">
        <v>2951</v>
      </c>
      <c r="B140" s="27" t="s">
        <v>2485</v>
      </c>
      <c r="C140" s="54" t="s">
        <v>2486</v>
      </c>
      <c r="D140" s="27" t="s">
        <v>2319</v>
      </c>
      <c r="E140" s="27" t="s">
        <v>2487</v>
      </c>
      <c r="F140" s="55" t="str">
        <f>VLOOKUP(Клиенты[[#This Row],[GardenaChannel]],GardenChannel[[GardenChannel]:[Sales manager]],2,0)</f>
        <v>МОНАСТЫРСКИЙ МИХАИЛ</v>
      </c>
      <c r="G140" s="27" t="s">
        <v>2489</v>
      </c>
    </row>
    <row r="141" spans="1:8" x14ac:dyDescent="0.25">
      <c r="A141" s="32" t="s">
        <v>2952</v>
      </c>
      <c r="B141" s="27" t="s">
        <v>2485</v>
      </c>
      <c r="C141" s="54" t="s">
        <v>2490</v>
      </c>
      <c r="D141" s="27" t="s">
        <v>2319</v>
      </c>
      <c r="E141" s="27" t="s">
        <v>2487</v>
      </c>
      <c r="F141" s="55" t="str">
        <f>VLOOKUP(Клиенты[[#This Row],[GardenaChannel]],GardenChannel[[GardenChannel]:[Sales manager]],2,0)</f>
        <v>МОНАСТЫРСКИЙ МИХАИЛ</v>
      </c>
      <c r="G141" s="27" t="s">
        <v>2489</v>
      </c>
    </row>
    <row r="142" spans="1:8" x14ac:dyDescent="0.25">
      <c r="A142" s="32" t="s">
        <v>2953</v>
      </c>
      <c r="B142" s="27" t="s">
        <v>2491</v>
      </c>
      <c r="C142" s="54" t="s">
        <v>2492</v>
      </c>
      <c r="D142" s="27" t="s">
        <v>2330</v>
      </c>
      <c r="E142" s="27" t="s">
        <v>2368</v>
      </c>
      <c r="F142" s="55" t="str">
        <f>VLOOKUP(Клиенты[[#This Row],[GardenaChannel]],GardenChannel[[GardenChannel]:[Sales manager]],2,0)</f>
        <v>ПОЛУНОВ ДМИТРИЙ</v>
      </c>
      <c r="H142" s="27" t="s">
        <v>2491</v>
      </c>
    </row>
    <row r="143" spans="1:8" x14ac:dyDescent="0.25">
      <c r="A143" s="32" t="s">
        <v>2954</v>
      </c>
      <c r="B143" s="27" t="s">
        <v>2491</v>
      </c>
      <c r="C143" s="54" t="s">
        <v>2494</v>
      </c>
      <c r="D143" s="27" t="s">
        <v>2330</v>
      </c>
      <c r="E143" s="27" t="s">
        <v>2495</v>
      </c>
      <c r="F143" s="55" t="str">
        <f>VLOOKUP(Клиенты[[#This Row],[GardenaChannel]],GardenChannel[[GardenChannel]:[Sales manager]],2,0)</f>
        <v>ПОЛУНОВ ДМИТРИЙ</v>
      </c>
      <c r="G143" s="27" t="s">
        <v>2496</v>
      </c>
      <c r="H143" s="27" t="s">
        <v>2491</v>
      </c>
    </row>
    <row r="144" spans="1:8" x14ac:dyDescent="0.25">
      <c r="A144" s="32" t="s">
        <v>2955</v>
      </c>
      <c r="B144" s="27" t="s">
        <v>2497</v>
      </c>
      <c r="C144" s="54" t="s">
        <v>2498</v>
      </c>
      <c r="D144" s="27" t="s">
        <v>2499</v>
      </c>
      <c r="E144" s="27" t="s">
        <v>2499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2497</v>
      </c>
    </row>
    <row r="145" spans="1:8" x14ac:dyDescent="0.25">
      <c r="A145" s="32" t="s">
        <v>2956</v>
      </c>
      <c r="B145" s="27" t="s">
        <v>2497</v>
      </c>
      <c r="C145" s="54" t="s">
        <v>2501</v>
      </c>
      <c r="D145" s="27" t="s">
        <v>2499</v>
      </c>
      <c r="E145" s="27" t="s">
        <v>2499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2497</v>
      </c>
    </row>
    <row r="146" spans="1:8" x14ac:dyDescent="0.25">
      <c r="A146" s="32" t="s">
        <v>2957</v>
      </c>
      <c r="B146" s="27" t="s">
        <v>2497</v>
      </c>
      <c r="C146" s="54" t="s">
        <v>2502</v>
      </c>
      <c r="D146" s="27" t="s">
        <v>2499</v>
      </c>
      <c r="E146" s="27" t="s">
        <v>2499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2497</v>
      </c>
    </row>
    <row r="147" spans="1:8" x14ac:dyDescent="0.25">
      <c r="A147" s="32" t="s">
        <v>2958</v>
      </c>
      <c r="B147" s="27" t="s">
        <v>2497</v>
      </c>
      <c r="C147" s="54" t="s">
        <v>2503</v>
      </c>
      <c r="D147" s="27" t="s">
        <v>2499</v>
      </c>
      <c r="E147" s="27" t="s">
        <v>2499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2497</v>
      </c>
    </row>
    <row r="148" spans="1:8" x14ac:dyDescent="0.25">
      <c r="A148" s="32" t="s">
        <v>2959</v>
      </c>
      <c r="B148" s="27" t="s">
        <v>2497</v>
      </c>
      <c r="C148" s="54" t="s">
        <v>2504</v>
      </c>
      <c r="D148" s="27" t="s">
        <v>2499</v>
      </c>
      <c r="E148" s="27" t="s">
        <v>2505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2497</v>
      </c>
    </row>
    <row r="149" spans="1:8" x14ac:dyDescent="0.25">
      <c r="A149" s="32" t="s">
        <v>2960</v>
      </c>
      <c r="B149" s="27" t="s">
        <v>2497</v>
      </c>
      <c r="C149" s="54" t="s">
        <v>2506</v>
      </c>
      <c r="D149" s="27" t="s">
        <v>2499</v>
      </c>
      <c r="E149" s="27" t="s">
        <v>2499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2497</v>
      </c>
    </row>
    <row r="150" spans="1:8" x14ac:dyDescent="0.25">
      <c r="A150" s="32" t="s">
        <v>2961</v>
      </c>
      <c r="B150" s="27" t="s">
        <v>2507</v>
      </c>
      <c r="C150" s="54" t="s">
        <v>2508</v>
      </c>
      <c r="D150" s="27" t="s">
        <v>2330</v>
      </c>
      <c r="E150" s="27" t="s">
        <v>2509</v>
      </c>
      <c r="F150" s="55" t="str">
        <f>VLOOKUP(Клиенты[[#This Row],[GardenaChannel]],GardenChannel[[GardenChannel]:[Sales manager]],2,0)</f>
        <v>АЛЕКСАНДРОВ ИГОРЬ</v>
      </c>
      <c r="H150" s="27" t="s">
        <v>2507</v>
      </c>
    </row>
    <row r="151" spans="1:8" x14ac:dyDescent="0.25">
      <c r="A151" s="32" t="s">
        <v>2962</v>
      </c>
      <c r="B151" s="27" t="s">
        <v>2510</v>
      </c>
      <c r="C151" s="54" t="s">
        <v>2511</v>
      </c>
      <c r="D151" s="27" t="s">
        <v>2330</v>
      </c>
      <c r="E151" s="27" t="s">
        <v>2495</v>
      </c>
      <c r="F151" s="55" t="str">
        <f>VLOOKUP(Клиенты[[#This Row],[GardenaChannel]],GardenChannel[[GardenChannel]:[Sales manager]],2,0)</f>
        <v>ШКИДИН РОМАН</v>
      </c>
      <c r="H151" s="27" t="s">
        <v>2510</v>
      </c>
    </row>
    <row r="152" spans="1:8" x14ac:dyDescent="0.25">
      <c r="A152" s="32" t="s">
        <v>2963</v>
      </c>
      <c r="B152" s="27" t="s">
        <v>2512</v>
      </c>
      <c r="C152" s="54" t="s">
        <v>2513</v>
      </c>
      <c r="D152" s="27" t="s">
        <v>2330</v>
      </c>
      <c r="E152" s="27" t="s">
        <v>2495</v>
      </c>
      <c r="F152" s="55" t="str">
        <f>VLOOKUP(Клиенты[[#This Row],[GardenaChannel]],GardenChannel[[GardenChannel]:[Sales manager]],2,0)</f>
        <v>ЖУРАВЛЕВ ПАВЕЛ</v>
      </c>
      <c r="H152" s="27" t="s">
        <v>2512</v>
      </c>
    </row>
    <row r="153" spans="1:8" x14ac:dyDescent="0.25">
      <c r="A153" s="32" t="s">
        <v>2964</v>
      </c>
      <c r="B153" s="27" t="s">
        <v>2512</v>
      </c>
      <c r="C153" s="54" t="s">
        <v>2515</v>
      </c>
      <c r="D153" s="27" t="s">
        <v>2330</v>
      </c>
      <c r="E153" s="27" t="s">
        <v>2331</v>
      </c>
      <c r="F153" s="55" t="str">
        <f>VLOOKUP(Клиенты[[#This Row],[GardenaChannel]],GardenChannel[[GardenChannel]:[Sales manager]],2,0)</f>
        <v>ЖУРАВЛЕВ ПАВЕЛ</v>
      </c>
      <c r="H153" s="27" t="s">
        <v>2512</v>
      </c>
    </row>
    <row r="154" spans="1:8" x14ac:dyDescent="0.25">
      <c r="A154" s="32" t="s">
        <v>2965</v>
      </c>
      <c r="B154" s="27" t="s">
        <v>2516</v>
      </c>
      <c r="C154" s="54" t="s">
        <v>2517</v>
      </c>
      <c r="D154" s="27" t="s">
        <v>2319</v>
      </c>
      <c r="E154" s="27" t="s">
        <v>2518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2966</v>
      </c>
      <c r="B155" s="27" t="s">
        <v>2520</v>
      </c>
      <c r="C155" s="54" t="s">
        <v>2521</v>
      </c>
      <c r="D155" s="27" t="s">
        <v>2330</v>
      </c>
      <c r="E155" s="27" t="s">
        <v>2331</v>
      </c>
      <c r="F155" s="55" t="str">
        <f>VLOOKUP(Клиенты[[#This Row],[GardenaChannel]],GardenChannel[[GardenChannel]:[Sales manager]],2,0)</f>
        <v>ЖУРАВЛЕВ ПАВЕЛ</v>
      </c>
      <c r="H155" s="27" t="s">
        <v>2520</v>
      </c>
    </row>
    <row r="156" spans="1:8" x14ac:dyDescent="0.25">
      <c r="A156" s="32" t="s">
        <v>2967</v>
      </c>
      <c r="B156" s="27" t="s">
        <v>2520</v>
      </c>
      <c r="C156" s="54" t="s">
        <v>2522</v>
      </c>
      <c r="D156" s="27" t="s">
        <v>2330</v>
      </c>
      <c r="E156" s="27" t="s">
        <v>2344</v>
      </c>
      <c r="F156" s="55" t="str">
        <f>VLOOKUP(Клиенты[[#This Row],[GardenaChannel]],GardenChannel[[GardenChannel]:[Sales manager]],2,0)</f>
        <v>ЖУРАВЛЕВ ПАВЕЛ</v>
      </c>
      <c r="H156" s="27" t="s">
        <v>2520</v>
      </c>
    </row>
    <row r="157" spans="1:8" x14ac:dyDescent="0.25">
      <c r="A157" s="32" t="s">
        <v>2968</v>
      </c>
      <c r="B157" s="27" t="s">
        <v>2520</v>
      </c>
      <c r="C157" s="54" t="s">
        <v>2523</v>
      </c>
      <c r="D157" s="27" t="s">
        <v>2330</v>
      </c>
      <c r="E157" s="27" t="s">
        <v>2331</v>
      </c>
      <c r="F157" s="55" t="str">
        <f>VLOOKUP(Клиенты[[#This Row],[GardenaChannel]],GardenChannel[[GardenChannel]:[Sales manager]],2,0)</f>
        <v>ЖУРАВЛЕВ ПАВЕЛ</v>
      </c>
      <c r="H157" s="27" t="s">
        <v>2520</v>
      </c>
    </row>
    <row r="158" spans="1:8" x14ac:dyDescent="0.25">
      <c r="A158" s="32" t="s">
        <v>2969</v>
      </c>
      <c r="B158" s="27" t="s">
        <v>2520</v>
      </c>
      <c r="C158" s="54" t="s">
        <v>2524</v>
      </c>
      <c r="D158" s="27" t="s">
        <v>2330</v>
      </c>
      <c r="E158" s="27" t="s">
        <v>2331</v>
      </c>
      <c r="F158" s="55" t="str">
        <f>VLOOKUP(Клиенты[[#This Row],[GardenaChannel]],GardenChannel[[GardenChannel]:[Sales manager]],2,0)</f>
        <v>ЖУРАВЛЕВ ПАВЕЛ</v>
      </c>
      <c r="H158" s="27" t="s">
        <v>2520</v>
      </c>
    </row>
    <row r="159" spans="1:8" x14ac:dyDescent="0.25">
      <c r="A159" s="32" t="s">
        <v>2970</v>
      </c>
      <c r="B159" s="27" t="s">
        <v>2520</v>
      </c>
      <c r="C159" s="54" t="s">
        <v>2525</v>
      </c>
      <c r="D159" s="27" t="s">
        <v>2330</v>
      </c>
      <c r="E159" s="27" t="s">
        <v>2344</v>
      </c>
      <c r="F159" s="55" t="str">
        <f>VLOOKUP(Клиенты[[#This Row],[GardenaChannel]],GardenChannel[[GardenChannel]:[Sales manager]],2,0)</f>
        <v>ЖУРАВЛЕВ ПАВЕЛ</v>
      </c>
      <c r="H159" s="27" t="s">
        <v>2520</v>
      </c>
    </row>
    <row r="160" spans="1:8" x14ac:dyDescent="0.25">
      <c r="A160" s="32" t="s">
        <v>2971</v>
      </c>
      <c r="B160" s="27" t="s">
        <v>2520</v>
      </c>
      <c r="C160" s="54" t="s">
        <v>2526</v>
      </c>
      <c r="D160" s="27" t="s">
        <v>2330</v>
      </c>
      <c r="E160" s="27" t="s">
        <v>2344</v>
      </c>
      <c r="F160" s="55" t="str">
        <f>VLOOKUP(Клиенты[[#This Row],[GardenaChannel]],GardenChannel[[GardenChannel]:[Sales manager]],2,0)</f>
        <v>ЖУРАВЛЕВ ПАВЕЛ</v>
      </c>
      <c r="H160" s="27" t="s">
        <v>2520</v>
      </c>
    </row>
    <row r="161" spans="1:8" x14ac:dyDescent="0.25">
      <c r="A161" s="32" t="s">
        <v>2972</v>
      </c>
      <c r="B161" s="27" t="s">
        <v>2520</v>
      </c>
      <c r="C161" s="54" t="s">
        <v>2527</v>
      </c>
      <c r="D161" s="27" t="s">
        <v>2330</v>
      </c>
      <c r="E161" s="27" t="s">
        <v>2368</v>
      </c>
      <c r="F161" s="55" t="str">
        <f>VLOOKUP(Клиенты[[#This Row],[GardenaChannel]],GardenChannel[[GardenChannel]:[Sales manager]],2,0)</f>
        <v>ЖУРАВЛЕВ ПАВЕЛ</v>
      </c>
      <c r="H161" s="27" t="s">
        <v>2520</v>
      </c>
    </row>
    <row r="162" spans="1:8" x14ac:dyDescent="0.25">
      <c r="A162" s="32" t="s">
        <v>2973</v>
      </c>
      <c r="B162" s="27" t="s">
        <v>2520</v>
      </c>
      <c r="C162" s="54" t="s">
        <v>2528</v>
      </c>
      <c r="D162" s="27" t="s">
        <v>2330</v>
      </c>
      <c r="E162" s="27" t="s">
        <v>2331</v>
      </c>
      <c r="F162" s="55" t="str">
        <f>VLOOKUP(Клиенты[[#This Row],[GardenaChannel]],GardenChannel[[GardenChannel]:[Sales manager]],2,0)</f>
        <v>ЖУРАВЛЕВ ПАВЕЛ</v>
      </c>
      <c r="H162" s="27" t="s">
        <v>2520</v>
      </c>
    </row>
    <row r="163" spans="1:8" x14ac:dyDescent="0.25">
      <c r="A163" s="32" t="s">
        <v>2974</v>
      </c>
      <c r="B163" s="27" t="s">
        <v>2520</v>
      </c>
      <c r="C163" s="54" t="s">
        <v>2529</v>
      </c>
      <c r="D163" s="27" t="s">
        <v>2330</v>
      </c>
      <c r="E163" s="27" t="s">
        <v>2331</v>
      </c>
      <c r="F163" s="55" t="str">
        <f>VLOOKUP(Клиенты[[#This Row],[GardenaChannel]],GardenChannel[[GardenChannel]:[Sales manager]],2,0)</f>
        <v>ЖУРАВЛЕВ ПАВЕЛ</v>
      </c>
      <c r="H163" s="27" t="s">
        <v>2520</v>
      </c>
    </row>
    <row r="164" spans="1:8" x14ac:dyDescent="0.25">
      <c r="A164" s="32" t="s">
        <v>2975</v>
      </c>
      <c r="B164" s="27" t="s">
        <v>2520</v>
      </c>
      <c r="C164" s="54" t="s">
        <v>2530</v>
      </c>
      <c r="D164" s="27" t="s">
        <v>2330</v>
      </c>
      <c r="E164" s="27" t="s">
        <v>2344</v>
      </c>
      <c r="F164" s="55" t="str">
        <f>VLOOKUP(Клиенты[[#This Row],[GardenaChannel]],GardenChannel[[GardenChannel]:[Sales manager]],2,0)</f>
        <v>ЖУРАВЛЕВ ПАВЕЛ</v>
      </c>
      <c r="H164" s="27" t="s">
        <v>2520</v>
      </c>
    </row>
    <row r="165" spans="1:8" x14ac:dyDescent="0.25">
      <c r="A165" s="32" t="s">
        <v>2976</v>
      </c>
      <c r="B165" s="27" t="s">
        <v>2520</v>
      </c>
      <c r="C165" s="54" t="s">
        <v>2531</v>
      </c>
      <c r="D165" s="27" t="s">
        <v>2330</v>
      </c>
      <c r="E165" s="27" t="s">
        <v>2331</v>
      </c>
      <c r="F165" s="55" t="str">
        <f>VLOOKUP(Клиенты[[#This Row],[GardenaChannel]],GardenChannel[[GardenChannel]:[Sales manager]],2,0)</f>
        <v>ЖУРАВЛЕВ ПАВЕЛ</v>
      </c>
      <c r="H165" s="27" t="s">
        <v>2520</v>
      </c>
    </row>
    <row r="166" spans="1:8" x14ac:dyDescent="0.25">
      <c r="A166" s="32" t="s">
        <v>2977</v>
      </c>
      <c r="B166" s="27" t="s">
        <v>2520</v>
      </c>
      <c r="C166" s="54" t="s">
        <v>2532</v>
      </c>
      <c r="D166" s="27" t="s">
        <v>2330</v>
      </c>
      <c r="E166" s="27" t="s">
        <v>2331</v>
      </c>
      <c r="F166" s="55" t="str">
        <f>VLOOKUP(Клиенты[[#This Row],[GardenaChannel]],GardenChannel[[GardenChannel]:[Sales manager]],2,0)</f>
        <v>ЖУРАВЛЕВ ПАВЕЛ</v>
      </c>
      <c r="H166" s="27" t="s">
        <v>2520</v>
      </c>
    </row>
    <row r="167" spans="1:8" x14ac:dyDescent="0.25">
      <c r="A167" s="32" t="s">
        <v>2978</v>
      </c>
      <c r="B167" s="27" t="s">
        <v>2520</v>
      </c>
      <c r="C167" s="54" t="s">
        <v>2533</v>
      </c>
      <c r="D167" s="27" t="s">
        <v>2330</v>
      </c>
      <c r="E167" s="27" t="s">
        <v>2344</v>
      </c>
      <c r="F167" s="55" t="str">
        <f>VLOOKUP(Клиенты[[#This Row],[GardenaChannel]],GardenChannel[[GardenChannel]:[Sales manager]],2,0)</f>
        <v>ЖУРАВЛЕВ ПАВЕЛ</v>
      </c>
      <c r="H167" s="27" t="s">
        <v>2520</v>
      </c>
    </row>
    <row r="168" spans="1:8" x14ac:dyDescent="0.25">
      <c r="A168" s="32" t="s">
        <v>2979</v>
      </c>
      <c r="B168" s="27" t="s">
        <v>2520</v>
      </c>
      <c r="C168" s="54" t="s">
        <v>2534</v>
      </c>
      <c r="D168" s="27" t="s">
        <v>2330</v>
      </c>
      <c r="E168" s="27" t="s">
        <v>2331</v>
      </c>
      <c r="F168" s="55" t="str">
        <f>VLOOKUP(Клиенты[[#This Row],[GardenaChannel]],GardenChannel[[GardenChannel]:[Sales manager]],2,0)</f>
        <v>ЖУРАВЛЕВ ПАВЕЛ</v>
      </c>
      <c r="H168" s="27" t="s">
        <v>2520</v>
      </c>
    </row>
    <row r="169" spans="1:8" x14ac:dyDescent="0.25">
      <c r="A169" s="32" t="s">
        <v>2980</v>
      </c>
      <c r="B169" s="27" t="s">
        <v>2520</v>
      </c>
      <c r="C169" s="54" t="s">
        <v>2535</v>
      </c>
      <c r="D169" s="27" t="s">
        <v>2330</v>
      </c>
      <c r="E169" s="27" t="s">
        <v>2331</v>
      </c>
      <c r="F169" s="55" t="str">
        <f>VLOOKUP(Клиенты[[#This Row],[GardenaChannel]],GardenChannel[[GardenChannel]:[Sales manager]],2,0)</f>
        <v>ЖУРАВЛЕВ ПАВЕЛ</v>
      </c>
      <c r="H169" s="27" t="s">
        <v>2520</v>
      </c>
    </row>
    <row r="170" spans="1:8" x14ac:dyDescent="0.25">
      <c r="A170" s="32" t="s">
        <v>2981</v>
      </c>
      <c r="B170" s="27" t="s">
        <v>2520</v>
      </c>
      <c r="C170" s="54" t="s">
        <v>2536</v>
      </c>
      <c r="D170" s="27" t="s">
        <v>2330</v>
      </c>
      <c r="E170" s="27" t="s">
        <v>2331</v>
      </c>
      <c r="F170" s="55" t="str">
        <f>VLOOKUP(Клиенты[[#This Row],[GardenaChannel]],GardenChannel[[GardenChannel]:[Sales manager]],2,0)</f>
        <v>ЖУРАВЛЕВ ПАВЕЛ</v>
      </c>
      <c r="H170" s="27" t="s">
        <v>2520</v>
      </c>
    </row>
    <row r="171" spans="1:8" x14ac:dyDescent="0.25">
      <c r="A171" s="32" t="s">
        <v>2982</v>
      </c>
      <c r="B171" s="27" t="s">
        <v>2520</v>
      </c>
      <c r="C171" s="54" t="s">
        <v>2537</v>
      </c>
      <c r="D171" s="27" t="s">
        <v>2330</v>
      </c>
      <c r="E171" s="27" t="s">
        <v>2331</v>
      </c>
      <c r="F171" s="55" t="str">
        <f>VLOOKUP(Клиенты[[#This Row],[GardenaChannel]],GardenChannel[[GardenChannel]:[Sales manager]],2,0)</f>
        <v>ЖУРАВЛЕВ ПАВЕЛ</v>
      </c>
      <c r="H171" s="27" t="s">
        <v>2520</v>
      </c>
    </row>
    <row r="172" spans="1:8" x14ac:dyDescent="0.25">
      <c r="A172" s="32" t="s">
        <v>2983</v>
      </c>
      <c r="B172" s="27" t="s">
        <v>2520</v>
      </c>
      <c r="C172" s="54" t="s">
        <v>2538</v>
      </c>
      <c r="D172" s="27" t="s">
        <v>2330</v>
      </c>
      <c r="E172" s="27" t="s">
        <v>2331</v>
      </c>
      <c r="F172" s="55" t="str">
        <f>VLOOKUP(Клиенты[[#This Row],[GardenaChannel]],GardenChannel[[GardenChannel]:[Sales manager]],2,0)</f>
        <v>ЖУРАВЛЕВ ПАВЕЛ</v>
      </c>
      <c r="H172" s="27" t="s">
        <v>2520</v>
      </c>
    </row>
    <row r="173" spans="1:8" x14ac:dyDescent="0.25">
      <c r="A173" s="32" t="s">
        <v>2984</v>
      </c>
      <c r="B173" s="27" t="s">
        <v>2520</v>
      </c>
      <c r="C173" s="54" t="s">
        <v>2539</v>
      </c>
      <c r="D173" s="27" t="s">
        <v>2330</v>
      </c>
      <c r="E173" s="27" t="s">
        <v>2331</v>
      </c>
      <c r="F173" s="55" t="str">
        <f>VLOOKUP(Клиенты[[#This Row],[GardenaChannel]],GardenChannel[[GardenChannel]:[Sales manager]],2,0)</f>
        <v>ЖУРАВЛЕВ ПАВЕЛ</v>
      </c>
      <c r="H173" s="27" t="s">
        <v>2520</v>
      </c>
    </row>
    <row r="174" spans="1:8" x14ac:dyDescent="0.25">
      <c r="A174" s="32" t="s">
        <v>2985</v>
      </c>
      <c r="B174" s="27" t="s">
        <v>2520</v>
      </c>
      <c r="C174" s="54" t="s">
        <v>2540</v>
      </c>
      <c r="D174" s="27" t="s">
        <v>2330</v>
      </c>
      <c r="E174" s="27" t="s">
        <v>2331</v>
      </c>
      <c r="F174" s="55" t="str">
        <f>VLOOKUP(Клиенты[[#This Row],[GardenaChannel]],GardenChannel[[GardenChannel]:[Sales manager]],2,0)</f>
        <v>ЖУРАВЛЕВ ПАВЕЛ</v>
      </c>
      <c r="H174" s="27" t="s">
        <v>2520</v>
      </c>
    </row>
    <row r="175" spans="1:8" x14ac:dyDescent="0.25">
      <c r="A175" s="32" t="s">
        <v>2986</v>
      </c>
      <c r="B175" s="27" t="s">
        <v>2520</v>
      </c>
      <c r="C175" s="54" t="s">
        <v>2541</v>
      </c>
      <c r="D175" s="27" t="s">
        <v>2330</v>
      </c>
      <c r="E175" s="27" t="s">
        <v>2331</v>
      </c>
      <c r="F175" s="55" t="str">
        <f>VLOOKUP(Клиенты[[#This Row],[GardenaChannel]],GardenChannel[[GardenChannel]:[Sales manager]],2,0)</f>
        <v>ЖУРАВЛЕВ ПАВЕЛ</v>
      </c>
      <c r="H175" s="27" t="s">
        <v>2520</v>
      </c>
    </row>
    <row r="176" spans="1:8" x14ac:dyDescent="0.25">
      <c r="A176" s="32" t="s">
        <v>2987</v>
      </c>
      <c r="B176" s="27" t="s">
        <v>2520</v>
      </c>
      <c r="C176" s="54" t="s">
        <v>2542</v>
      </c>
      <c r="D176" s="27" t="s">
        <v>2330</v>
      </c>
      <c r="E176" s="27" t="s">
        <v>2331</v>
      </c>
      <c r="F176" s="55" t="str">
        <f>VLOOKUP(Клиенты[[#This Row],[GardenaChannel]],GardenChannel[[GardenChannel]:[Sales manager]],2,0)</f>
        <v>ЖУРАВЛЕВ ПАВЕЛ</v>
      </c>
      <c r="H176" s="27" t="s">
        <v>2520</v>
      </c>
    </row>
    <row r="177" spans="1:8" x14ac:dyDescent="0.25">
      <c r="A177" s="32" t="s">
        <v>2988</v>
      </c>
      <c r="B177" s="27" t="s">
        <v>2520</v>
      </c>
      <c r="C177" s="54" t="s">
        <v>2543</v>
      </c>
      <c r="D177" s="27" t="s">
        <v>2330</v>
      </c>
      <c r="E177" s="27" t="s">
        <v>2331</v>
      </c>
      <c r="F177" s="55" t="str">
        <f>VLOOKUP(Клиенты[[#This Row],[GardenaChannel]],GardenChannel[[GardenChannel]:[Sales manager]],2,0)</f>
        <v>ЖУРАВЛЕВ ПАВЕЛ</v>
      </c>
      <c r="H177" s="27" t="s">
        <v>2520</v>
      </c>
    </row>
    <row r="178" spans="1:8" x14ac:dyDescent="0.25">
      <c r="A178" s="32" t="s">
        <v>2989</v>
      </c>
      <c r="B178" s="27" t="s">
        <v>2520</v>
      </c>
      <c r="C178" s="54" t="s">
        <v>2544</v>
      </c>
      <c r="D178" s="27" t="s">
        <v>2330</v>
      </c>
      <c r="E178" s="27" t="s">
        <v>2331</v>
      </c>
      <c r="F178" s="55" t="str">
        <f>VLOOKUP(Клиенты[[#This Row],[GardenaChannel]],GardenChannel[[GardenChannel]:[Sales manager]],2,0)</f>
        <v>ЖУРАВЛЕВ ПАВЕЛ</v>
      </c>
      <c r="H178" s="27" t="s">
        <v>2520</v>
      </c>
    </row>
    <row r="179" spans="1:8" x14ac:dyDescent="0.25">
      <c r="A179" s="32" t="s">
        <v>2990</v>
      </c>
      <c r="B179" s="27" t="s">
        <v>2520</v>
      </c>
      <c r="C179" s="54" t="s">
        <v>2545</v>
      </c>
      <c r="D179" s="27" t="s">
        <v>2330</v>
      </c>
      <c r="E179" s="27" t="s">
        <v>2331</v>
      </c>
      <c r="F179" s="55" t="str">
        <f>VLOOKUP(Клиенты[[#This Row],[GardenaChannel]],GardenChannel[[GardenChannel]:[Sales manager]],2,0)</f>
        <v>ЖУРАВЛЕВ ПАВЕЛ</v>
      </c>
      <c r="H179" s="27" t="s">
        <v>2520</v>
      </c>
    </row>
    <row r="180" spans="1:8" x14ac:dyDescent="0.25">
      <c r="A180" s="32" t="s">
        <v>2991</v>
      </c>
      <c r="B180" s="27" t="s">
        <v>2520</v>
      </c>
      <c r="C180" s="54" t="s">
        <v>2546</v>
      </c>
      <c r="D180" s="27" t="s">
        <v>2330</v>
      </c>
      <c r="E180" s="27" t="s">
        <v>2331</v>
      </c>
      <c r="F180" s="55" t="str">
        <f>VLOOKUP(Клиенты[[#This Row],[GardenaChannel]],GardenChannel[[GardenChannel]:[Sales manager]],2,0)</f>
        <v>ЖУРАВЛЕВ ПАВЕЛ</v>
      </c>
      <c r="H180" s="27" t="s">
        <v>2520</v>
      </c>
    </row>
    <row r="181" spans="1:8" x14ac:dyDescent="0.25">
      <c r="A181" s="32" t="s">
        <v>2992</v>
      </c>
      <c r="B181" s="27" t="s">
        <v>2520</v>
      </c>
      <c r="C181" s="54" t="s">
        <v>2547</v>
      </c>
      <c r="D181" s="27" t="s">
        <v>2330</v>
      </c>
      <c r="E181" s="27" t="s">
        <v>2331</v>
      </c>
      <c r="F181" s="55" t="str">
        <f>VLOOKUP(Клиенты[[#This Row],[GardenaChannel]],GardenChannel[[GardenChannel]:[Sales manager]],2,0)</f>
        <v>ЖУРАВЛЕВ ПАВЕЛ</v>
      </c>
      <c r="H181" s="27" t="s">
        <v>2520</v>
      </c>
    </row>
    <row r="182" spans="1:8" x14ac:dyDescent="0.25">
      <c r="A182" s="32" t="s">
        <v>2993</v>
      </c>
      <c r="B182" s="27" t="s">
        <v>2520</v>
      </c>
      <c r="C182" s="54" t="s">
        <v>2548</v>
      </c>
      <c r="D182" s="27" t="s">
        <v>2330</v>
      </c>
      <c r="E182" s="27" t="s">
        <v>2331</v>
      </c>
      <c r="F182" s="55" t="str">
        <f>VLOOKUP(Клиенты[[#This Row],[GardenaChannel]],GardenChannel[[GardenChannel]:[Sales manager]],2,0)</f>
        <v>ЖУРАВЛЕВ ПАВЕЛ</v>
      </c>
      <c r="H182" s="27" t="s">
        <v>2520</v>
      </c>
    </row>
    <row r="183" spans="1:8" x14ac:dyDescent="0.25">
      <c r="A183" s="32" t="s">
        <v>2994</v>
      </c>
      <c r="B183" s="27" t="s">
        <v>2520</v>
      </c>
      <c r="C183" s="54" t="s">
        <v>2549</v>
      </c>
      <c r="D183" s="27" t="s">
        <v>2330</v>
      </c>
      <c r="E183" s="27" t="s">
        <v>2331</v>
      </c>
      <c r="F183" s="55" t="str">
        <f>VLOOKUP(Клиенты[[#This Row],[GardenaChannel]],GardenChannel[[GardenChannel]:[Sales manager]],2,0)</f>
        <v>ЖУРАВЛЕВ ПАВЕЛ</v>
      </c>
      <c r="H183" s="27" t="s">
        <v>2520</v>
      </c>
    </row>
    <row r="184" spans="1:8" x14ac:dyDescent="0.25">
      <c r="A184" s="32" t="s">
        <v>2995</v>
      </c>
      <c r="B184" s="27" t="s">
        <v>2520</v>
      </c>
      <c r="C184" s="54" t="s">
        <v>2550</v>
      </c>
      <c r="D184" s="27" t="s">
        <v>2330</v>
      </c>
      <c r="E184" s="27" t="s">
        <v>2331</v>
      </c>
      <c r="F184" s="55" t="str">
        <f>VLOOKUP(Клиенты[[#This Row],[GardenaChannel]],GardenChannel[[GardenChannel]:[Sales manager]],2,0)</f>
        <v>ЖУРАВЛЕВ ПАВЕЛ</v>
      </c>
      <c r="H184" s="27" t="s">
        <v>2520</v>
      </c>
    </row>
    <row r="185" spans="1:8" x14ac:dyDescent="0.25">
      <c r="A185" s="32" t="s">
        <v>2996</v>
      </c>
      <c r="B185" s="27" t="s">
        <v>2520</v>
      </c>
      <c r="C185" s="54" t="s">
        <v>2551</v>
      </c>
      <c r="D185" s="27" t="s">
        <v>2330</v>
      </c>
      <c r="E185" s="27" t="s">
        <v>2344</v>
      </c>
      <c r="F185" s="55" t="str">
        <f>VLOOKUP(Клиенты[[#This Row],[GardenaChannel]],GardenChannel[[GardenChannel]:[Sales manager]],2,0)</f>
        <v>ЖУРАВЛЕВ ПАВЕЛ</v>
      </c>
      <c r="H185" s="27" t="s">
        <v>2520</v>
      </c>
    </row>
    <row r="186" spans="1:8" x14ac:dyDescent="0.25">
      <c r="A186" s="32" t="s">
        <v>2997</v>
      </c>
      <c r="B186" s="27" t="s">
        <v>2552</v>
      </c>
      <c r="C186" s="54" t="s">
        <v>2553</v>
      </c>
      <c r="D186" s="27" t="s">
        <v>2330</v>
      </c>
      <c r="E186" s="27" t="s">
        <v>2331</v>
      </c>
      <c r="F186" s="55" t="str">
        <f>VLOOKUP(Клиенты[[#This Row],[GardenaChannel]],GardenChannel[[GardenChannel]:[Sales manager]],2,0)</f>
        <v>ОРЛОВ КИРИЛЛ</v>
      </c>
      <c r="H186" s="27" t="s">
        <v>2552</v>
      </c>
    </row>
    <row r="187" spans="1:8" x14ac:dyDescent="0.25">
      <c r="A187" s="32" t="s">
        <v>2998</v>
      </c>
      <c r="B187" s="27" t="s">
        <v>2552</v>
      </c>
      <c r="C187" s="54" t="s">
        <v>2555</v>
      </c>
      <c r="D187" s="27" t="s">
        <v>2330</v>
      </c>
      <c r="E187" s="27" t="s">
        <v>2331</v>
      </c>
      <c r="F187" s="55" t="str">
        <f>VLOOKUP(Клиенты[[#This Row],[GardenaChannel]],GardenChannel[[GardenChannel]:[Sales manager]],2,0)</f>
        <v>ОРЛОВ КИРИЛЛ</v>
      </c>
      <c r="H187" s="27" t="s">
        <v>2552</v>
      </c>
    </row>
    <row r="188" spans="1:8" x14ac:dyDescent="0.25">
      <c r="A188" s="32" t="s">
        <v>2999</v>
      </c>
      <c r="B188" s="27" t="s">
        <v>2552</v>
      </c>
      <c r="C188" s="54" t="s">
        <v>2556</v>
      </c>
      <c r="D188" s="27" t="s">
        <v>2330</v>
      </c>
      <c r="E188" s="27" t="s">
        <v>2368</v>
      </c>
      <c r="F188" s="55" t="str">
        <f>VLOOKUP(Клиенты[[#This Row],[GardenaChannel]],GardenChannel[[GardenChannel]:[Sales manager]],2,0)</f>
        <v>ОРЛОВ КИРИЛЛ</v>
      </c>
      <c r="H188" s="27" t="s">
        <v>2552</v>
      </c>
    </row>
    <row r="189" spans="1:8" x14ac:dyDescent="0.25">
      <c r="A189" s="32" t="s">
        <v>3000</v>
      </c>
      <c r="B189" s="27" t="s">
        <v>2552</v>
      </c>
      <c r="C189" s="54" t="s">
        <v>2557</v>
      </c>
      <c r="D189" s="27" t="s">
        <v>2330</v>
      </c>
      <c r="E189" s="27" t="s">
        <v>2368</v>
      </c>
      <c r="F189" s="55" t="str">
        <f>VLOOKUP(Клиенты[[#This Row],[GardenaChannel]],GardenChannel[[GardenChannel]:[Sales manager]],2,0)</f>
        <v>ОРЛОВ КИРИЛЛ</v>
      </c>
      <c r="H189" s="27" t="s">
        <v>2552</v>
      </c>
    </row>
    <row r="190" spans="1:8" x14ac:dyDescent="0.25">
      <c r="A190" s="32" t="s">
        <v>3001</v>
      </c>
      <c r="B190" s="27" t="s">
        <v>2552</v>
      </c>
      <c r="C190" s="54" t="s">
        <v>2558</v>
      </c>
      <c r="D190" s="27" t="s">
        <v>2330</v>
      </c>
      <c r="E190" s="27" t="s">
        <v>2331</v>
      </c>
      <c r="F190" s="55" t="str">
        <f>VLOOKUP(Клиенты[[#This Row],[GardenaChannel]],GardenChannel[[GardenChannel]:[Sales manager]],2,0)</f>
        <v>ОРЛОВ КИРИЛЛ</v>
      </c>
      <c r="H190" s="27" t="s">
        <v>2552</v>
      </c>
    </row>
    <row r="191" spans="1:8" x14ac:dyDescent="0.25">
      <c r="A191" s="32" t="s">
        <v>3002</v>
      </c>
      <c r="B191" s="27" t="s">
        <v>2552</v>
      </c>
      <c r="C191" s="54" t="s">
        <v>2559</v>
      </c>
      <c r="D191" s="27" t="s">
        <v>2330</v>
      </c>
      <c r="E191" s="27" t="s">
        <v>2331</v>
      </c>
      <c r="F191" s="55" t="str">
        <f>VLOOKUP(Клиенты[[#This Row],[GardenaChannel]],GardenChannel[[GardenChannel]:[Sales manager]],2,0)</f>
        <v>ОРЛОВ КИРИЛЛ</v>
      </c>
      <c r="H191" s="27" t="s">
        <v>2552</v>
      </c>
    </row>
    <row r="192" spans="1:8" x14ac:dyDescent="0.25">
      <c r="A192" s="32" t="s">
        <v>3003</v>
      </c>
      <c r="B192" s="27" t="s">
        <v>2552</v>
      </c>
      <c r="C192" s="54" t="s">
        <v>2560</v>
      </c>
      <c r="D192" s="27" t="s">
        <v>2330</v>
      </c>
      <c r="E192" s="27" t="s">
        <v>2331</v>
      </c>
      <c r="F192" s="55" t="str">
        <f>VLOOKUP(Клиенты[[#This Row],[GardenaChannel]],GardenChannel[[GardenChannel]:[Sales manager]],2,0)</f>
        <v>ОРЛОВ КИРИЛЛ</v>
      </c>
      <c r="H192" s="27" t="s">
        <v>2552</v>
      </c>
    </row>
    <row r="193" spans="1:8" x14ac:dyDescent="0.25">
      <c r="A193" s="32" t="s">
        <v>3004</v>
      </c>
      <c r="B193" s="27" t="s">
        <v>2552</v>
      </c>
      <c r="C193" s="54" t="s">
        <v>2561</v>
      </c>
      <c r="D193" s="27" t="s">
        <v>2330</v>
      </c>
      <c r="E193" s="27" t="s">
        <v>2331</v>
      </c>
      <c r="F193" s="55" t="str">
        <f>VLOOKUP(Клиенты[[#This Row],[GardenaChannel]],GardenChannel[[GardenChannel]:[Sales manager]],2,0)</f>
        <v>ОРЛОВ КИРИЛЛ</v>
      </c>
      <c r="H193" s="27" t="s">
        <v>2552</v>
      </c>
    </row>
    <row r="194" spans="1:8" x14ac:dyDescent="0.25">
      <c r="A194" s="32" t="s">
        <v>3005</v>
      </c>
      <c r="B194" s="27" t="s">
        <v>2552</v>
      </c>
      <c r="C194" s="54" t="s">
        <v>2562</v>
      </c>
      <c r="D194" s="27" t="s">
        <v>2330</v>
      </c>
      <c r="E194" s="27" t="s">
        <v>2331</v>
      </c>
      <c r="F194" s="55" t="str">
        <f>VLOOKUP(Клиенты[[#This Row],[GardenaChannel]],GardenChannel[[GardenChannel]:[Sales manager]],2,0)</f>
        <v>ОРЛОВ КИРИЛЛ</v>
      </c>
      <c r="H194" s="27" t="s">
        <v>2552</v>
      </c>
    </row>
    <row r="195" spans="1:8" x14ac:dyDescent="0.25">
      <c r="A195" s="32" t="s">
        <v>3006</v>
      </c>
      <c r="B195" s="27" t="s">
        <v>2552</v>
      </c>
      <c r="C195" s="54" t="s">
        <v>2563</v>
      </c>
      <c r="D195" s="27" t="s">
        <v>2330</v>
      </c>
      <c r="E195" s="27" t="s">
        <v>2331</v>
      </c>
      <c r="F195" s="55" t="str">
        <f>VLOOKUP(Клиенты[[#This Row],[GardenaChannel]],GardenChannel[[GardenChannel]:[Sales manager]],2,0)</f>
        <v>ОРЛОВ КИРИЛЛ</v>
      </c>
      <c r="H195" s="27" t="s">
        <v>2552</v>
      </c>
    </row>
    <row r="196" spans="1:8" x14ac:dyDescent="0.25">
      <c r="A196" s="32" t="s">
        <v>3007</v>
      </c>
      <c r="B196" s="27" t="s">
        <v>2552</v>
      </c>
      <c r="C196" s="54" t="s">
        <v>2564</v>
      </c>
      <c r="D196" s="27" t="s">
        <v>2330</v>
      </c>
      <c r="E196" s="27" t="s">
        <v>2331</v>
      </c>
      <c r="F196" s="55" t="str">
        <f>VLOOKUP(Клиенты[[#This Row],[GardenaChannel]],GardenChannel[[GardenChannel]:[Sales manager]],2,0)</f>
        <v>ОРЛОВ КИРИЛЛ</v>
      </c>
      <c r="H196" s="27" t="s">
        <v>2552</v>
      </c>
    </row>
    <row r="197" spans="1:8" x14ac:dyDescent="0.25">
      <c r="A197" s="32" t="s">
        <v>3008</v>
      </c>
      <c r="B197" s="27" t="s">
        <v>2552</v>
      </c>
      <c r="C197" s="54" t="s">
        <v>2565</v>
      </c>
      <c r="D197" s="27" t="s">
        <v>2330</v>
      </c>
      <c r="E197" s="27" t="s">
        <v>2331</v>
      </c>
      <c r="F197" s="55" t="str">
        <f>VLOOKUP(Клиенты[[#This Row],[GardenaChannel]],GardenChannel[[GardenChannel]:[Sales manager]],2,0)</f>
        <v>ОРЛОВ КИРИЛЛ</v>
      </c>
      <c r="H197" s="27" t="s">
        <v>2552</v>
      </c>
    </row>
    <row r="198" spans="1:8" x14ac:dyDescent="0.25">
      <c r="A198" s="32" t="s">
        <v>3009</v>
      </c>
      <c r="B198" s="27" t="s">
        <v>2552</v>
      </c>
      <c r="C198" s="54" t="s">
        <v>2566</v>
      </c>
      <c r="D198" s="27" t="s">
        <v>2330</v>
      </c>
      <c r="E198" s="27" t="s">
        <v>2344</v>
      </c>
      <c r="F198" s="55" t="str">
        <f>VLOOKUP(Клиенты[[#This Row],[GardenaChannel]],GardenChannel[[GardenChannel]:[Sales manager]],2,0)</f>
        <v>ОРЛОВ КИРИЛЛ</v>
      </c>
      <c r="H198" s="27" t="s">
        <v>2552</v>
      </c>
    </row>
    <row r="199" spans="1:8" x14ac:dyDescent="0.25">
      <c r="A199" s="32" t="s">
        <v>3010</v>
      </c>
      <c r="B199" s="27" t="s">
        <v>2552</v>
      </c>
      <c r="C199" s="54" t="s">
        <v>2567</v>
      </c>
      <c r="D199" s="27" t="s">
        <v>2330</v>
      </c>
      <c r="E199" s="27" t="s">
        <v>2331</v>
      </c>
      <c r="F199" s="55" t="str">
        <f>VLOOKUP(Клиенты[[#This Row],[GardenaChannel]],GardenChannel[[GardenChannel]:[Sales manager]],2,0)</f>
        <v>ОРЛОВ КИРИЛЛ</v>
      </c>
      <c r="H199" s="27" t="s">
        <v>2552</v>
      </c>
    </row>
    <row r="200" spans="1:8" x14ac:dyDescent="0.25">
      <c r="A200" s="32" t="s">
        <v>3011</v>
      </c>
      <c r="B200" s="27" t="s">
        <v>2552</v>
      </c>
      <c r="C200" s="54" t="s">
        <v>2568</v>
      </c>
      <c r="D200" s="27" t="s">
        <v>2330</v>
      </c>
      <c r="E200" s="27" t="s">
        <v>2331</v>
      </c>
      <c r="F200" s="55" t="str">
        <f>VLOOKUP(Клиенты[[#This Row],[GardenaChannel]],GardenChannel[[GardenChannel]:[Sales manager]],2,0)</f>
        <v>ОРЛОВ КИРИЛЛ</v>
      </c>
      <c r="H200" s="27" t="s">
        <v>2552</v>
      </c>
    </row>
    <row r="201" spans="1:8" x14ac:dyDescent="0.25">
      <c r="A201" s="32" t="s">
        <v>3012</v>
      </c>
      <c r="B201" s="27" t="s">
        <v>2552</v>
      </c>
      <c r="C201" s="54" t="s">
        <v>2569</v>
      </c>
      <c r="D201" s="27" t="s">
        <v>2330</v>
      </c>
      <c r="E201" s="27" t="s">
        <v>2331</v>
      </c>
      <c r="F201" s="55" t="str">
        <f>VLOOKUP(Клиенты[[#This Row],[GardenaChannel]],GardenChannel[[GardenChannel]:[Sales manager]],2,0)</f>
        <v>ОРЛОВ КИРИЛЛ</v>
      </c>
      <c r="H201" s="27" t="s">
        <v>2552</v>
      </c>
    </row>
    <row r="202" spans="1:8" x14ac:dyDescent="0.25">
      <c r="A202" s="32" t="s">
        <v>3013</v>
      </c>
      <c r="B202" s="27" t="s">
        <v>2552</v>
      </c>
      <c r="C202" s="54" t="s">
        <v>2570</v>
      </c>
      <c r="D202" s="27" t="s">
        <v>2330</v>
      </c>
      <c r="E202" s="27" t="s">
        <v>2331</v>
      </c>
      <c r="F202" s="55" t="str">
        <f>VLOOKUP(Клиенты[[#This Row],[GardenaChannel]],GardenChannel[[GardenChannel]:[Sales manager]],2,0)</f>
        <v>ОРЛОВ КИРИЛЛ</v>
      </c>
      <c r="H202" s="27" t="s">
        <v>2552</v>
      </c>
    </row>
    <row r="203" spans="1:8" x14ac:dyDescent="0.25">
      <c r="A203" s="32" t="s">
        <v>3014</v>
      </c>
      <c r="B203" s="27" t="s">
        <v>2552</v>
      </c>
      <c r="C203" s="54" t="s">
        <v>2571</v>
      </c>
      <c r="D203" s="27" t="s">
        <v>2330</v>
      </c>
      <c r="E203" s="27" t="s">
        <v>2344</v>
      </c>
      <c r="F203" s="55" t="str">
        <f>VLOOKUP(Клиенты[[#This Row],[GardenaChannel]],GardenChannel[[GardenChannel]:[Sales manager]],2,0)</f>
        <v>ОРЛОВ КИРИЛЛ</v>
      </c>
      <c r="H203" s="27" t="s">
        <v>2552</v>
      </c>
    </row>
    <row r="204" spans="1:8" x14ac:dyDescent="0.25">
      <c r="A204" s="32" t="s">
        <v>3015</v>
      </c>
      <c r="B204" s="27" t="s">
        <v>2552</v>
      </c>
      <c r="C204" s="54" t="s">
        <v>2572</v>
      </c>
      <c r="D204" s="27" t="s">
        <v>2330</v>
      </c>
      <c r="E204" s="27" t="s">
        <v>2344</v>
      </c>
      <c r="F204" s="55" t="str">
        <f>VLOOKUP(Клиенты[[#This Row],[GardenaChannel]],GardenChannel[[GardenChannel]:[Sales manager]],2,0)</f>
        <v>ОРЛОВ КИРИЛЛ</v>
      </c>
      <c r="H204" s="27" t="s">
        <v>2552</v>
      </c>
    </row>
    <row r="205" spans="1:8" x14ac:dyDescent="0.25">
      <c r="A205" s="32" t="s">
        <v>3016</v>
      </c>
      <c r="B205" s="27" t="s">
        <v>2552</v>
      </c>
      <c r="C205" s="54" t="s">
        <v>2573</v>
      </c>
      <c r="D205" s="27" t="s">
        <v>2330</v>
      </c>
      <c r="E205" s="27" t="s">
        <v>2331</v>
      </c>
      <c r="F205" s="55" t="str">
        <f>VLOOKUP(Клиенты[[#This Row],[GardenaChannel]],GardenChannel[[GardenChannel]:[Sales manager]],2,0)</f>
        <v>ОРЛОВ КИРИЛЛ</v>
      </c>
      <c r="H205" s="27" t="s">
        <v>2552</v>
      </c>
    </row>
    <row r="206" spans="1:8" x14ac:dyDescent="0.25">
      <c r="A206" s="32" t="s">
        <v>3017</v>
      </c>
      <c r="B206" s="27" t="s">
        <v>2552</v>
      </c>
      <c r="C206" s="54" t="s">
        <v>2574</v>
      </c>
      <c r="D206" s="27" t="s">
        <v>2330</v>
      </c>
      <c r="E206" s="27" t="s">
        <v>2331</v>
      </c>
      <c r="F206" s="55" t="str">
        <f>VLOOKUP(Клиенты[[#This Row],[GardenaChannel]],GardenChannel[[GardenChannel]:[Sales manager]],2,0)</f>
        <v>ОРЛОВ КИРИЛЛ</v>
      </c>
      <c r="H206" s="27" t="s">
        <v>2552</v>
      </c>
    </row>
    <row r="207" spans="1:8" x14ac:dyDescent="0.25">
      <c r="A207" s="32" t="s">
        <v>3018</v>
      </c>
      <c r="B207" s="27" t="s">
        <v>2552</v>
      </c>
      <c r="C207" s="54" t="s">
        <v>2575</v>
      </c>
      <c r="D207" s="27" t="s">
        <v>2330</v>
      </c>
      <c r="E207" s="27" t="s">
        <v>2331</v>
      </c>
      <c r="F207" s="55" t="str">
        <f>VLOOKUP(Клиенты[[#This Row],[GardenaChannel]],GardenChannel[[GardenChannel]:[Sales manager]],2,0)</f>
        <v>ОРЛОВ КИРИЛЛ</v>
      </c>
      <c r="H207" s="27" t="s">
        <v>2552</v>
      </c>
    </row>
    <row r="208" spans="1:8" x14ac:dyDescent="0.25">
      <c r="A208" s="32" t="s">
        <v>3019</v>
      </c>
      <c r="B208" s="27" t="s">
        <v>2552</v>
      </c>
      <c r="C208" s="54" t="s">
        <v>2576</v>
      </c>
      <c r="D208" s="27" t="s">
        <v>2330</v>
      </c>
      <c r="E208" s="27" t="s">
        <v>2331</v>
      </c>
      <c r="F208" s="55" t="str">
        <f>VLOOKUP(Клиенты[[#This Row],[GardenaChannel]],GardenChannel[[GardenChannel]:[Sales manager]],2,0)</f>
        <v>ОРЛОВ КИРИЛЛ</v>
      </c>
      <c r="H208" s="27" t="s">
        <v>2552</v>
      </c>
    </row>
    <row r="209" spans="1:8" x14ac:dyDescent="0.25">
      <c r="A209" s="32" t="s">
        <v>3020</v>
      </c>
      <c r="B209" s="27" t="s">
        <v>2552</v>
      </c>
      <c r="C209" s="54" t="s">
        <v>2577</v>
      </c>
      <c r="D209" s="27" t="s">
        <v>2330</v>
      </c>
      <c r="E209" s="27" t="s">
        <v>2331</v>
      </c>
      <c r="F209" s="55" t="str">
        <f>VLOOKUP(Клиенты[[#This Row],[GardenaChannel]],GardenChannel[[GardenChannel]:[Sales manager]],2,0)</f>
        <v>ОРЛОВ КИРИЛЛ</v>
      </c>
      <c r="H209" s="27" t="s">
        <v>2552</v>
      </c>
    </row>
    <row r="210" spans="1:8" x14ac:dyDescent="0.25">
      <c r="A210" s="32" t="s">
        <v>3021</v>
      </c>
      <c r="B210" s="27" t="s">
        <v>2552</v>
      </c>
      <c r="C210" s="54" t="s">
        <v>2578</v>
      </c>
      <c r="D210" s="27" t="s">
        <v>2330</v>
      </c>
      <c r="E210" s="27" t="s">
        <v>2331</v>
      </c>
      <c r="F210" s="55" t="str">
        <f>VLOOKUP(Клиенты[[#This Row],[GardenaChannel]],GardenChannel[[GardenChannel]:[Sales manager]],2,0)</f>
        <v>ОРЛОВ КИРИЛЛ</v>
      </c>
      <c r="H210" s="27" t="s">
        <v>2552</v>
      </c>
    </row>
    <row r="211" spans="1:8" x14ac:dyDescent="0.25">
      <c r="A211" s="32" t="s">
        <v>3022</v>
      </c>
      <c r="B211" s="27" t="s">
        <v>2552</v>
      </c>
      <c r="C211" s="54" t="s">
        <v>2579</v>
      </c>
      <c r="D211" s="27" t="s">
        <v>2330</v>
      </c>
      <c r="E211" s="27" t="s">
        <v>2331</v>
      </c>
      <c r="F211" s="55" t="str">
        <f>VLOOKUP(Клиенты[[#This Row],[GardenaChannel]],GardenChannel[[GardenChannel]:[Sales manager]],2,0)</f>
        <v>ОРЛОВ КИРИЛЛ</v>
      </c>
      <c r="H211" s="27" t="s">
        <v>2552</v>
      </c>
    </row>
    <row r="212" spans="1:8" x14ac:dyDescent="0.25">
      <c r="A212" s="32" t="s">
        <v>3023</v>
      </c>
      <c r="B212" s="27" t="s">
        <v>2552</v>
      </c>
      <c r="C212" s="54" t="s">
        <v>2580</v>
      </c>
      <c r="D212" s="27" t="s">
        <v>2330</v>
      </c>
      <c r="E212" s="27" t="s">
        <v>2368</v>
      </c>
      <c r="F212" s="55" t="str">
        <f>VLOOKUP(Клиенты[[#This Row],[GardenaChannel]],GardenChannel[[GardenChannel]:[Sales manager]],2,0)</f>
        <v>ОРЛОВ КИРИЛЛ</v>
      </c>
      <c r="H212" s="27" t="s">
        <v>2552</v>
      </c>
    </row>
    <row r="213" spans="1:8" x14ac:dyDescent="0.25">
      <c r="A213" s="32" t="s">
        <v>3024</v>
      </c>
      <c r="B213" s="27" t="s">
        <v>2552</v>
      </c>
      <c r="C213" s="54" t="s">
        <v>2581</v>
      </c>
      <c r="D213" s="27" t="s">
        <v>2330</v>
      </c>
      <c r="E213" s="27" t="s">
        <v>2331</v>
      </c>
      <c r="F213" s="55" t="str">
        <f>VLOOKUP(Клиенты[[#This Row],[GardenaChannel]],GardenChannel[[GardenChannel]:[Sales manager]],2,0)</f>
        <v>ОРЛОВ КИРИЛЛ</v>
      </c>
      <c r="H213" s="27" t="s">
        <v>2552</v>
      </c>
    </row>
    <row r="214" spans="1:8" x14ac:dyDescent="0.25">
      <c r="A214" s="32" t="s">
        <v>3025</v>
      </c>
      <c r="B214" s="27" t="s">
        <v>2552</v>
      </c>
      <c r="C214" s="54" t="s">
        <v>2582</v>
      </c>
      <c r="D214" s="27" t="s">
        <v>2330</v>
      </c>
      <c r="E214" s="27" t="s">
        <v>2331</v>
      </c>
      <c r="F214" s="55" t="str">
        <f>VLOOKUP(Клиенты[[#This Row],[GardenaChannel]],GardenChannel[[GardenChannel]:[Sales manager]],2,0)</f>
        <v>ОРЛОВ КИРИЛЛ</v>
      </c>
      <c r="H214" s="27" t="s">
        <v>2552</v>
      </c>
    </row>
    <row r="215" spans="1:8" x14ac:dyDescent="0.25">
      <c r="A215" s="32" t="s">
        <v>3026</v>
      </c>
      <c r="B215" s="27" t="s">
        <v>2552</v>
      </c>
      <c r="C215" s="54" t="s">
        <v>2583</v>
      </c>
      <c r="D215" s="27" t="s">
        <v>2330</v>
      </c>
      <c r="E215" s="27" t="s">
        <v>2331</v>
      </c>
      <c r="F215" s="55" t="str">
        <f>VLOOKUP(Клиенты[[#This Row],[GardenaChannel]],GardenChannel[[GardenChannel]:[Sales manager]],2,0)</f>
        <v>ОРЛОВ КИРИЛЛ</v>
      </c>
      <c r="H215" s="27" t="s">
        <v>2552</v>
      </c>
    </row>
    <row r="216" spans="1:8" x14ac:dyDescent="0.25">
      <c r="A216" s="32" t="s">
        <v>3027</v>
      </c>
      <c r="B216" s="27" t="s">
        <v>2552</v>
      </c>
      <c r="C216" s="54" t="s">
        <v>2584</v>
      </c>
      <c r="D216" s="27" t="s">
        <v>2330</v>
      </c>
      <c r="E216" s="27" t="s">
        <v>2331</v>
      </c>
      <c r="F216" s="55" t="str">
        <f>VLOOKUP(Клиенты[[#This Row],[GardenaChannel]],GardenChannel[[GardenChannel]:[Sales manager]],2,0)</f>
        <v>ОРЛОВ КИРИЛЛ</v>
      </c>
      <c r="H216" s="27" t="s">
        <v>2552</v>
      </c>
    </row>
    <row r="217" spans="1:8" x14ac:dyDescent="0.25">
      <c r="A217" s="32" t="s">
        <v>3028</v>
      </c>
      <c r="B217" s="27" t="s">
        <v>2552</v>
      </c>
      <c r="C217" s="54" t="s">
        <v>2585</v>
      </c>
      <c r="D217" s="27" t="s">
        <v>2330</v>
      </c>
      <c r="E217" s="27" t="s">
        <v>2331</v>
      </c>
      <c r="F217" s="55" t="str">
        <f>VLOOKUP(Клиенты[[#This Row],[GardenaChannel]],GardenChannel[[GardenChannel]:[Sales manager]],2,0)</f>
        <v>ОРЛОВ КИРИЛЛ</v>
      </c>
      <c r="H217" s="27" t="s">
        <v>2552</v>
      </c>
    </row>
    <row r="218" spans="1:8" x14ac:dyDescent="0.25">
      <c r="A218" s="32" t="s">
        <v>3029</v>
      </c>
      <c r="B218" s="27" t="s">
        <v>2552</v>
      </c>
      <c r="C218" s="54" t="s">
        <v>2586</v>
      </c>
      <c r="D218" s="27" t="s">
        <v>2330</v>
      </c>
      <c r="E218" s="27" t="s">
        <v>2344</v>
      </c>
      <c r="F218" s="55" t="str">
        <f>VLOOKUP(Клиенты[[#This Row],[GardenaChannel]],GardenChannel[[GardenChannel]:[Sales manager]],2,0)</f>
        <v>ОРЛОВ КИРИЛЛ</v>
      </c>
      <c r="H218" s="27" t="s">
        <v>2552</v>
      </c>
    </row>
    <row r="219" spans="1:8" x14ac:dyDescent="0.25">
      <c r="A219" s="32" t="s">
        <v>3030</v>
      </c>
      <c r="B219" s="27" t="s">
        <v>2552</v>
      </c>
      <c r="C219" s="54" t="s">
        <v>2587</v>
      </c>
      <c r="D219" s="27" t="s">
        <v>2330</v>
      </c>
      <c r="E219" s="27" t="s">
        <v>2331</v>
      </c>
      <c r="F219" s="55" t="str">
        <f>VLOOKUP(Клиенты[[#This Row],[GardenaChannel]],GardenChannel[[GardenChannel]:[Sales manager]],2,0)</f>
        <v>ОРЛОВ КИРИЛЛ</v>
      </c>
      <c r="H219" s="27" t="s">
        <v>2552</v>
      </c>
    </row>
    <row r="220" spans="1:8" x14ac:dyDescent="0.25">
      <c r="A220" s="32" t="s">
        <v>3031</v>
      </c>
      <c r="B220" s="27" t="s">
        <v>2552</v>
      </c>
      <c r="C220" s="54" t="s">
        <v>2588</v>
      </c>
      <c r="D220" s="27" t="s">
        <v>2330</v>
      </c>
      <c r="E220" s="27" t="s">
        <v>2331</v>
      </c>
      <c r="F220" s="55" t="str">
        <f>VLOOKUP(Клиенты[[#This Row],[GardenaChannel]],GardenChannel[[GardenChannel]:[Sales manager]],2,0)</f>
        <v>ОРЛОВ КИРИЛЛ</v>
      </c>
      <c r="H220" s="27" t="s">
        <v>2552</v>
      </c>
    </row>
    <row r="221" spans="1:8" x14ac:dyDescent="0.25">
      <c r="A221" s="32" t="s">
        <v>3032</v>
      </c>
      <c r="B221" s="27" t="s">
        <v>2552</v>
      </c>
      <c r="C221" s="54" t="s">
        <v>2589</v>
      </c>
      <c r="D221" s="27" t="s">
        <v>2330</v>
      </c>
      <c r="E221" s="27" t="s">
        <v>2331</v>
      </c>
      <c r="F221" s="55" t="str">
        <f>VLOOKUP(Клиенты[[#This Row],[GardenaChannel]],GardenChannel[[GardenChannel]:[Sales manager]],2,0)</f>
        <v>ОРЛОВ КИРИЛЛ</v>
      </c>
      <c r="H221" s="27" t="s">
        <v>2552</v>
      </c>
    </row>
    <row r="222" spans="1:8" x14ac:dyDescent="0.25">
      <c r="A222" s="32" t="s">
        <v>3033</v>
      </c>
      <c r="B222" s="27" t="s">
        <v>2552</v>
      </c>
      <c r="C222" s="54" t="s">
        <v>2590</v>
      </c>
      <c r="D222" s="27" t="s">
        <v>2330</v>
      </c>
      <c r="E222" s="27" t="s">
        <v>2331</v>
      </c>
      <c r="F222" s="55" t="str">
        <f>VLOOKUP(Клиенты[[#This Row],[GardenaChannel]],GardenChannel[[GardenChannel]:[Sales manager]],2,0)</f>
        <v>ОРЛОВ КИРИЛЛ</v>
      </c>
      <c r="H222" s="27" t="s">
        <v>2552</v>
      </c>
    </row>
    <row r="223" spans="1:8" x14ac:dyDescent="0.25">
      <c r="A223" s="32" t="s">
        <v>3034</v>
      </c>
      <c r="B223" s="27" t="s">
        <v>2552</v>
      </c>
      <c r="C223" s="54" t="s">
        <v>2591</v>
      </c>
      <c r="D223" s="27" t="s">
        <v>2330</v>
      </c>
      <c r="E223" s="27" t="s">
        <v>2331</v>
      </c>
      <c r="F223" s="55" t="str">
        <f>VLOOKUP(Клиенты[[#This Row],[GardenaChannel]],GardenChannel[[GardenChannel]:[Sales manager]],2,0)</f>
        <v>ОРЛОВ КИРИЛЛ</v>
      </c>
      <c r="H223" s="27" t="s">
        <v>2552</v>
      </c>
    </row>
    <row r="224" spans="1:8" x14ac:dyDescent="0.25">
      <c r="A224" s="32" t="s">
        <v>3035</v>
      </c>
      <c r="B224" s="27" t="s">
        <v>2552</v>
      </c>
      <c r="C224" s="54" t="s">
        <v>2592</v>
      </c>
      <c r="D224" s="27" t="s">
        <v>2330</v>
      </c>
      <c r="E224" s="27" t="s">
        <v>2344</v>
      </c>
      <c r="F224" s="55" t="str">
        <f>VLOOKUP(Клиенты[[#This Row],[GardenaChannel]],GardenChannel[[GardenChannel]:[Sales manager]],2,0)</f>
        <v>ОРЛОВ КИРИЛЛ</v>
      </c>
      <c r="H224" s="27" t="s">
        <v>2552</v>
      </c>
    </row>
    <row r="225" spans="1:8" x14ac:dyDescent="0.25">
      <c r="A225" s="32" t="s">
        <v>3036</v>
      </c>
      <c r="B225" s="27" t="s">
        <v>2552</v>
      </c>
      <c r="C225" s="54" t="s">
        <v>2593</v>
      </c>
      <c r="D225" s="27" t="s">
        <v>2330</v>
      </c>
      <c r="E225" s="27" t="s">
        <v>2331</v>
      </c>
      <c r="F225" s="55" t="str">
        <f>VLOOKUP(Клиенты[[#This Row],[GardenaChannel]],GardenChannel[[GardenChannel]:[Sales manager]],2,0)</f>
        <v>ОРЛОВ КИРИЛЛ</v>
      </c>
      <c r="H225" s="27" t="s">
        <v>2552</v>
      </c>
    </row>
    <row r="226" spans="1:8" x14ac:dyDescent="0.25">
      <c r="A226" s="32" t="s">
        <v>3037</v>
      </c>
      <c r="B226" s="27" t="s">
        <v>2552</v>
      </c>
      <c r="C226" s="54" t="s">
        <v>2594</v>
      </c>
      <c r="D226" s="27" t="s">
        <v>2330</v>
      </c>
      <c r="E226" s="27" t="s">
        <v>2331</v>
      </c>
      <c r="F226" s="55" t="str">
        <f>VLOOKUP(Клиенты[[#This Row],[GardenaChannel]],GardenChannel[[GardenChannel]:[Sales manager]],2,0)</f>
        <v>ОРЛОВ КИРИЛЛ</v>
      </c>
      <c r="H226" s="27" t="s">
        <v>2552</v>
      </c>
    </row>
    <row r="227" spans="1:8" x14ac:dyDescent="0.25">
      <c r="A227" s="32" t="s">
        <v>3038</v>
      </c>
      <c r="B227" s="27" t="s">
        <v>2552</v>
      </c>
      <c r="C227" s="54" t="s">
        <v>2595</v>
      </c>
      <c r="D227" s="27" t="s">
        <v>2330</v>
      </c>
      <c r="E227" s="27" t="s">
        <v>2331</v>
      </c>
      <c r="F227" s="55" t="str">
        <f>VLOOKUP(Клиенты[[#This Row],[GardenaChannel]],GardenChannel[[GardenChannel]:[Sales manager]],2,0)</f>
        <v>ОРЛОВ КИРИЛЛ</v>
      </c>
      <c r="H227" s="27" t="s">
        <v>2552</v>
      </c>
    </row>
    <row r="228" spans="1:8" x14ac:dyDescent="0.25">
      <c r="A228" s="32" t="s">
        <v>3039</v>
      </c>
      <c r="B228" s="27" t="s">
        <v>2552</v>
      </c>
      <c r="C228" s="54" t="s">
        <v>2596</v>
      </c>
      <c r="D228" s="27" t="s">
        <v>2330</v>
      </c>
      <c r="E228" s="27" t="s">
        <v>2331</v>
      </c>
      <c r="F228" s="55" t="str">
        <f>VLOOKUP(Клиенты[[#This Row],[GardenaChannel]],GardenChannel[[GardenChannel]:[Sales manager]],2,0)</f>
        <v>ОРЛОВ КИРИЛЛ</v>
      </c>
      <c r="H228" s="27" t="s">
        <v>2552</v>
      </c>
    </row>
    <row r="229" spans="1:8" x14ac:dyDescent="0.25">
      <c r="A229" s="32" t="s">
        <v>3040</v>
      </c>
      <c r="B229" s="27" t="s">
        <v>2552</v>
      </c>
      <c r="C229" s="54" t="s">
        <v>2597</v>
      </c>
      <c r="D229" s="27" t="s">
        <v>2330</v>
      </c>
      <c r="E229" s="27" t="s">
        <v>2331</v>
      </c>
      <c r="F229" s="55" t="str">
        <f>VLOOKUP(Клиенты[[#This Row],[GardenaChannel]],GardenChannel[[GardenChannel]:[Sales manager]],2,0)</f>
        <v>ОРЛОВ КИРИЛЛ</v>
      </c>
      <c r="H229" s="27" t="s">
        <v>2552</v>
      </c>
    </row>
    <row r="230" spans="1:8" x14ac:dyDescent="0.25">
      <c r="A230" s="32" t="s">
        <v>3041</v>
      </c>
      <c r="B230" s="27" t="s">
        <v>2552</v>
      </c>
      <c r="C230" s="54" t="s">
        <v>2598</v>
      </c>
      <c r="D230" s="27" t="s">
        <v>2330</v>
      </c>
      <c r="E230" s="27" t="s">
        <v>2368</v>
      </c>
      <c r="F230" s="55" t="str">
        <f>VLOOKUP(Клиенты[[#This Row],[GardenaChannel]],GardenChannel[[GardenChannel]:[Sales manager]],2,0)</f>
        <v>ОРЛОВ КИРИЛЛ</v>
      </c>
      <c r="H230" s="27" t="s">
        <v>2552</v>
      </c>
    </row>
    <row r="231" spans="1:8" x14ac:dyDescent="0.25">
      <c r="A231" s="32" t="s">
        <v>3042</v>
      </c>
      <c r="B231" s="27" t="s">
        <v>2552</v>
      </c>
      <c r="C231" s="54" t="s">
        <v>2599</v>
      </c>
      <c r="D231" s="27" t="s">
        <v>2330</v>
      </c>
      <c r="E231" s="27" t="s">
        <v>2331</v>
      </c>
      <c r="F231" s="55" t="str">
        <f>VLOOKUP(Клиенты[[#This Row],[GardenaChannel]],GardenChannel[[GardenChannel]:[Sales manager]],2,0)</f>
        <v>ОРЛОВ КИРИЛЛ</v>
      </c>
      <c r="H231" s="27" t="s">
        <v>2552</v>
      </c>
    </row>
    <row r="232" spans="1:8" x14ac:dyDescent="0.25">
      <c r="A232" s="32" t="s">
        <v>3043</v>
      </c>
      <c r="B232" s="27" t="s">
        <v>2552</v>
      </c>
      <c r="C232" s="54" t="s">
        <v>2600</v>
      </c>
      <c r="D232" s="27" t="s">
        <v>2330</v>
      </c>
      <c r="E232" s="27" t="s">
        <v>2344</v>
      </c>
      <c r="F232" s="55" t="str">
        <f>VLOOKUP(Клиенты[[#This Row],[GardenaChannel]],GardenChannel[[GardenChannel]:[Sales manager]],2,0)</f>
        <v>ОРЛОВ КИРИЛЛ</v>
      </c>
      <c r="H232" s="27" t="s">
        <v>2552</v>
      </c>
    </row>
    <row r="233" spans="1:8" x14ac:dyDescent="0.25">
      <c r="A233" s="32" t="s">
        <v>3044</v>
      </c>
      <c r="B233" s="27" t="s">
        <v>2552</v>
      </c>
      <c r="C233" s="54" t="s">
        <v>2601</v>
      </c>
      <c r="D233" s="27" t="s">
        <v>2330</v>
      </c>
      <c r="E233" s="27" t="s">
        <v>2331</v>
      </c>
      <c r="F233" s="55" t="str">
        <f>VLOOKUP(Клиенты[[#This Row],[GardenaChannel]],GardenChannel[[GardenChannel]:[Sales manager]],2,0)</f>
        <v>ОРЛОВ КИРИЛЛ</v>
      </c>
      <c r="H233" s="27" t="s">
        <v>2552</v>
      </c>
    </row>
    <row r="234" spans="1:8" x14ac:dyDescent="0.25">
      <c r="A234" s="32" t="s">
        <v>3045</v>
      </c>
      <c r="B234" s="27" t="s">
        <v>2552</v>
      </c>
      <c r="C234" s="54" t="s">
        <v>2602</v>
      </c>
      <c r="D234" s="27" t="s">
        <v>2330</v>
      </c>
      <c r="E234" s="27" t="s">
        <v>2331</v>
      </c>
      <c r="F234" s="55" t="str">
        <f>VLOOKUP(Клиенты[[#This Row],[GardenaChannel]],GardenChannel[[GardenChannel]:[Sales manager]],2,0)</f>
        <v>ОРЛОВ КИРИЛЛ</v>
      </c>
      <c r="H234" s="27" t="s">
        <v>2552</v>
      </c>
    </row>
    <row r="235" spans="1:8" x14ac:dyDescent="0.25">
      <c r="A235" s="32" t="s">
        <v>3046</v>
      </c>
      <c r="B235" s="27" t="s">
        <v>2552</v>
      </c>
      <c r="C235" s="54" t="s">
        <v>2603</v>
      </c>
      <c r="D235" s="27" t="s">
        <v>2330</v>
      </c>
      <c r="E235" s="27" t="s">
        <v>2344</v>
      </c>
      <c r="F235" s="55" t="str">
        <f>VLOOKUP(Клиенты[[#This Row],[GardenaChannel]],GardenChannel[[GardenChannel]:[Sales manager]],2,0)</f>
        <v>ОРЛОВ КИРИЛЛ</v>
      </c>
      <c r="H235" s="27" t="s">
        <v>2552</v>
      </c>
    </row>
    <row r="236" spans="1:8" x14ac:dyDescent="0.25">
      <c r="A236" s="32" t="s">
        <v>3047</v>
      </c>
      <c r="B236" s="27" t="s">
        <v>2552</v>
      </c>
      <c r="C236" s="54" t="s">
        <v>2604</v>
      </c>
      <c r="D236" s="27" t="s">
        <v>2330</v>
      </c>
      <c r="E236" s="27" t="s">
        <v>2331</v>
      </c>
      <c r="F236" s="55" t="str">
        <f>VLOOKUP(Клиенты[[#This Row],[GardenaChannel]],GardenChannel[[GardenChannel]:[Sales manager]],2,0)</f>
        <v>ОРЛОВ КИРИЛЛ</v>
      </c>
      <c r="H236" s="27" t="s">
        <v>2552</v>
      </c>
    </row>
    <row r="237" spans="1:8" x14ac:dyDescent="0.25">
      <c r="A237" s="32" t="s">
        <v>3048</v>
      </c>
      <c r="B237" s="27" t="s">
        <v>2552</v>
      </c>
      <c r="C237" s="54" t="s">
        <v>2605</v>
      </c>
      <c r="D237" s="27" t="s">
        <v>2330</v>
      </c>
      <c r="E237" s="27" t="s">
        <v>2331</v>
      </c>
      <c r="F237" s="55" t="str">
        <f>VLOOKUP(Клиенты[[#This Row],[GardenaChannel]],GardenChannel[[GardenChannel]:[Sales manager]],2,0)</f>
        <v>ОРЛОВ КИРИЛЛ</v>
      </c>
      <c r="H237" s="27" t="s">
        <v>2552</v>
      </c>
    </row>
    <row r="238" spans="1:8" x14ac:dyDescent="0.25">
      <c r="A238" s="32" t="s">
        <v>3049</v>
      </c>
      <c r="B238" s="27" t="s">
        <v>2552</v>
      </c>
      <c r="C238" s="54" t="s">
        <v>2606</v>
      </c>
      <c r="D238" s="27" t="s">
        <v>2330</v>
      </c>
      <c r="E238" s="27" t="s">
        <v>2368</v>
      </c>
      <c r="F238" s="55" t="str">
        <f>VLOOKUP(Клиенты[[#This Row],[GardenaChannel]],GardenChannel[[GardenChannel]:[Sales manager]],2,0)</f>
        <v>ОРЛОВ КИРИЛЛ</v>
      </c>
      <c r="H238" s="27" t="s">
        <v>2552</v>
      </c>
    </row>
    <row r="239" spans="1:8" x14ac:dyDescent="0.25">
      <c r="A239" s="32" t="s">
        <v>3050</v>
      </c>
      <c r="B239" s="27" t="s">
        <v>2552</v>
      </c>
      <c r="C239" s="54" t="s">
        <v>2607</v>
      </c>
      <c r="D239" s="27" t="s">
        <v>2330</v>
      </c>
      <c r="E239" s="27" t="s">
        <v>2331</v>
      </c>
      <c r="F239" s="55" t="str">
        <f>VLOOKUP(Клиенты[[#This Row],[GardenaChannel]],GardenChannel[[GardenChannel]:[Sales manager]],2,0)</f>
        <v>ОРЛОВ КИРИЛЛ</v>
      </c>
      <c r="H239" s="27" t="s">
        <v>2552</v>
      </c>
    </row>
    <row r="240" spans="1:8" x14ac:dyDescent="0.25">
      <c r="A240" s="32" t="s">
        <v>3051</v>
      </c>
      <c r="B240" s="27" t="s">
        <v>2552</v>
      </c>
      <c r="C240" s="54" t="s">
        <v>2608</v>
      </c>
      <c r="D240" s="27" t="s">
        <v>2330</v>
      </c>
      <c r="E240" s="27" t="s">
        <v>2331</v>
      </c>
      <c r="F240" s="55" t="str">
        <f>VLOOKUP(Клиенты[[#This Row],[GardenaChannel]],GardenChannel[[GardenChannel]:[Sales manager]],2,0)</f>
        <v>ОРЛОВ КИРИЛЛ</v>
      </c>
      <c r="H240" s="27" t="s">
        <v>2552</v>
      </c>
    </row>
    <row r="241" spans="1:8" x14ac:dyDescent="0.25">
      <c r="A241" s="32" t="s">
        <v>3052</v>
      </c>
      <c r="B241" s="27" t="s">
        <v>2552</v>
      </c>
      <c r="C241" s="54" t="s">
        <v>2609</v>
      </c>
      <c r="D241" s="27" t="s">
        <v>2330</v>
      </c>
      <c r="E241" s="27" t="s">
        <v>2331</v>
      </c>
      <c r="F241" s="55" t="str">
        <f>VLOOKUP(Клиенты[[#This Row],[GardenaChannel]],GardenChannel[[GardenChannel]:[Sales manager]],2,0)</f>
        <v>ОРЛОВ КИРИЛЛ</v>
      </c>
      <c r="H241" s="27" t="s">
        <v>2552</v>
      </c>
    </row>
    <row r="242" spans="1:8" x14ac:dyDescent="0.25">
      <c r="A242" s="32" t="s">
        <v>3053</v>
      </c>
      <c r="B242" s="27" t="s">
        <v>2552</v>
      </c>
      <c r="C242" s="54" t="s">
        <v>2610</v>
      </c>
      <c r="D242" s="27" t="s">
        <v>2330</v>
      </c>
      <c r="E242" s="27" t="s">
        <v>2331</v>
      </c>
      <c r="F242" s="55" t="str">
        <f>VLOOKUP(Клиенты[[#This Row],[GardenaChannel]],GardenChannel[[GardenChannel]:[Sales manager]],2,0)</f>
        <v>ОРЛОВ КИРИЛЛ</v>
      </c>
      <c r="H242" s="27" t="s">
        <v>2552</v>
      </c>
    </row>
    <row r="243" spans="1:8" x14ac:dyDescent="0.25">
      <c r="A243" s="32" t="s">
        <v>3054</v>
      </c>
      <c r="B243" s="27" t="s">
        <v>2552</v>
      </c>
      <c r="C243" s="54" t="s">
        <v>2611</v>
      </c>
      <c r="D243" s="27" t="s">
        <v>2330</v>
      </c>
      <c r="E243" s="27" t="s">
        <v>2368</v>
      </c>
      <c r="F243" s="55" t="str">
        <f>VLOOKUP(Клиенты[[#This Row],[GardenaChannel]],GardenChannel[[GardenChannel]:[Sales manager]],2,0)</f>
        <v>ОРЛОВ КИРИЛЛ</v>
      </c>
      <c r="H243" s="27" t="s">
        <v>2552</v>
      </c>
    </row>
    <row r="244" spans="1:8" x14ac:dyDescent="0.25">
      <c r="A244" s="32" t="s">
        <v>3055</v>
      </c>
      <c r="B244" s="27" t="s">
        <v>2552</v>
      </c>
      <c r="C244" s="54" t="s">
        <v>2612</v>
      </c>
      <c r="D244" s="27" t="s">
        <v>2330</v>
      </c>
      <c r="E244" s="27" t="s">
        <v>2331</v>
      </c>
      <c r="F244" s="55" t="str">
        <f>VLOOKUP(Клиенты[[#This Row],[GardenaChannel]],GardenChannel[[GardenChannel]:[Sales manager]],2,0)</f>
        <v>ОРЛОВ КИРИЛЛ</v>
      </c>
      <c r="H244" s="27" t="s">
        <v>2552</v>
      </c>
    </row>
    <row r="245" spans="1:8" x14ac:dyDescent="0.25">
      <c r="A245" s="32" t="s">
        <v>3056</v>
      </c>
      <c r="B245" s="27" t="s">
        <v>2552</v>
      </c>
      <c r="C245" s="54" t="s">
        <v>2613</v>
      </c>
      <c r="D245" s="27" t="s">
        <v>2330</v>
      </c>
      <c r="E245" s="27" t="s">
        <v>2331</v>
      </c>
      <c r="F245" s="55" t="str">
        <f>VLOOKUP(Клиенты[[#This Row],[GardenaChannel]],GardenChannel[[GardenChannel]:[Sales manager]],2,0)</f>
        <v>ОРЛОВ КИРИЛЛ</v>
      </c>
      <c r="H245" s="27" t="s">
        <v>2552</v>
      </c>
    </row>
    <row r="246" spans="1:8" x14ac:dyDescent="0.25">
      <c r="A246" s="32" t="s">
        <v>3057</v>
      </c>
      <c r="B246" s="27" t="s">
        <v>2552</v>
      </c>
      <c r="C246" s="54" t="s">
        <v>2614</v>
      </c>
      <c r="D246" s="27" t="s">
        <v>2330</v>
      </c>
      <c r="E246" s="27" t="s">
        <v>2331</v>
      </c>
      <c r="F246" s="55" t="str">
        <f>VLOOKUP(Клиенты[[#This Row],[GardenaChannel]],GardenChannel[[GardenChannel]:[Sales manager]],2,0)</f>
        <v>ОРЛОВ КИРИЛЛ</v>
      </c>
      <c r="H246" s="27" t="s">
        <v>2552</v>
      </c>
    </row>
    <row r="247" spans="1:8" x14ac:dyDescent="0.25">
      <c r="A247" s="32" t="s">
        <v>3058</v>
      </c>
      <c r="B247" s="27" t="s">
        <v>2552</v>
      </c>
      <c r="C247" s="54" t="s">
        <v>2615</v>
      </c>
      <c r="D247" s="27" t="s">
        <v>2330</v>
      </c>
      <c r="E247" s="27" t="s">
        <v>2331</v>
      </c>
      <c r="F247" s="55" t="str">
        <f>VLOOKUP(Клиенты[[#This Row],[GardenaChannel]],GardenChannel[[GardenChannel]:[Sales manager]],2,0)</f>
        <v>ОРЛОВ КИРИЛЛ</v>
      </c>
      <c r="H247" s="27" t="s">
        <v>2552</v>
      </c>
    </row>
    <row r="248" spans="1:8" x14ac:dyDescent="0.25">
      <c r="A248" s="32" t="s">
        <v>3059</v>
      </c>
      <c r="B248" s="27" t="s">
        <v>2552</v>
      </c>
      <c r="C248" s="54" t="s">
        <v>2616</v>
      </c>
      <c r="D248" s="27" t="s">
        <v>2330</v>
      </c>
      <c r="E248" s="27" t="s">
        <v>2331</v>
      </c>
      <c r="F248" s="55" t="str">
        <f>VLOOKUP(Клиенты[[#This Row],[GardenaChannel]],GardenChannel[[GardenChannel]:[Sales manager]],2,0)</f>
        <v>ОРЛОВ КИРИЛЛ</v>
      </c>
      <c r="H248" s="27" t="s">
        <v>2552</v>
      </c>
    </row>
    <row r="249" spans="1:8" x14ac:dyDescent="0.25">
      <c r="A249" s="32" t="s">
        <v>3060</v>
      </c>
      <c r="B249" s="27" t="s">
        <v>2552</v>
      </c>
      <c r="C249" s="54" t="s">
        <v>2617</v>
      </c>
      <c r="D249" s="27" t="s">
        <v>2330</v>
      </c>
      <c r="E249" s="27" t="s">
        <v>2331</v>
      </c>
      <c r="F249" s="55" t="str">
        <f>VLOOKUP(Клиенты[[#This Row],[GardenaChannel]],GardenChannel[[GardenChannel]:[Sales manager]],2,0)</f>
        <v>ОРЛОВ КИРИЛЛ</v>
      </c>
      <c r="H249" s="27" t="s">
        <v>2552</v>
      </c>
    </row>
    <row r="250" spans="1:8" x14ac:dyDescent="0.25">
      <c r="A250" s="32" t="s">
        <v>3061</v>
      </c>
      <c r="B250" s="27" t="s">
        <v>2552</v>
      </c>
      <c r="C250" s="54" t="s">
        <v>2618</v>
      </c>
      <c r="D250" s="27" t="s">
        <v>2330</v>
      </c>
      <c r="E250" s="27" t="s">
        <v>2331</v>
      </c>
      <c r="F250" s="55" t="str">
        <f>VLOOKUP(Клиенты[[#This Row],[GardenaChannel]],GardenChannel[[GardenChannel]:[Sales manager]],2,0)</f>
        <v>ОРЛОВ КИРИЛЛ</v>
      </c>
      <c r="H250" s="27" t="s">
        <v>2552</v>
      </c>
    </row>
    <row r="251" spans="1:8" x14ac:dyDescent="0.25">
      <c r="A251" s="32" t="s">
        <v>3062</v>
      </c>
      <c r="B251" s="27" t="s">
        <v>2552</v>
      </c>
      <c r="C251" s="54" t="s">
        <v>2619</v>
      </c>
      <c r="D251" s="27" t="s">
        <v>2330</v>
      </c>
      <c r="E251" s="27" t="s">
        <v>2331</v>
      </c>
      <c r="F251" s="55" t="str">
        <f>VLOOKUP(Клиенты[[#This Row],[GardenaChannel]],GardenChannel[[GardenChannel]:[Sales manager]],2,0)</f>
        <v>ОРЛОВ КИРИЛЛ</v>
      </c>
      <c r="H251" s="27" t="s">
        <v>2552</v>
      </c>
    </row>
    <row r="252" spans="1:8" x14ac:dyDescent="0.25">
      <c r="A252" s="32" t="s">
        <v>3063</v>
      </c>
      <c r="B252" s="27" t="s">
        <v>2552</v>
      </c>
      <c r="C252" s="54" t="s">
        <v>2620</v>
      </c>
      <c r="D252" s="27" t="s">
        <v>2330</v>
      </c>
      <c r="E252" s="27" t="s">
        <v>2331</v>
      </c>
      <c r="F252" s="55" t="str">
        <f>VLOOKUP(Клиенты[[#This Row],[GardenaChannel]],GardenChannel[[GardenChannel]:[Sales manager]],2,0)</f>
        <v>ОРЛОВ КИРИЛЛ</v>
      </c>
      <c r="H252" s="27" t="s">
        <v>2552</v>
      </c>
    </row>
    <row r="253" spans="1:8" x14ac:dyDescent="0.25">
      <c r="A253" s="32" t="s">
        <v>3064</v>
      </c>
      <c r="B253" s="27" t="s">
        <v>2552</v>
      </c>
      <c r="C253" s="54" t="s">
        <v>2621</v>
      </c>
      <c r="D253" s="27" t="s">
        <v>2330</v>
      </c>
      <c r="E253" s="27" t="s">
        <v>2331</v>
      </c>
      <c r="F253" s="55" t="str">
        <f>VLOOKUP(Клиенты[[#This Row],[GardenaChannel]],GardenChannel[[GardenChannel]:[Sales manager]],2,0)</f>
        <v>ОРЛОВ КИРИЛЛ</v>
      </c>
      <c r="H253" s="27" t="s">
        <v>2552</v>
      </c>
    </row>
    <row r="254" spans="1:8" x14ac:dyDescent="0.25">
      <c r="A254" s="32" t="s">
        <v>3065</v>
      </c>
      <c r="B254" s="27" t="s">
        <v>2552</v>
      </c>
      <c r="C254" s="54" t="s">
        <v>2622</v>
      </c>
      <c r="D254" s="27" t="s">
        <v>2330</v>
      </c>
      <c r="E254" s="27" t="s">
        <v>2331</v>
      </c>
      <c r="F254" s="55" t="str">
        <f>VLOOKUP(Клиенты[[#This Row],[GardenaChannel]],GardenChannel[[GardenChannel]:[Sales manager]],2,0)</f>
        <v>ОРЛОВ КИРИЛЛ</v>
      </c>
      <c r="H254" s="27" t="s">
        <v>2552</v>
      </c>
    </row>
    <row r="255" spans="1:8" x14ac:dyDescent="0.25">
      <c r="A255" s="32" t="s">
        <v>3066</v>
      </c>
      <c r="B255" s="27" t="s">
        <v>2552</v>
      </c>
      <c r="C255" s="54" t="s">
        <v>2623</v>
      </c>
      <c r="D255" s="27" t="s">
        <v>2330</v>
      </c>
      <c r="E255" s="27" t="s">
        <v>2331</v>
      </c>
      <c r="F255" s="55" t="str">
        <f>VLOOKUP(Клиенты[[#This Row],[GardenaChannel]],GardenChannel[[GardenChannel]:[Sales manager]],2,0)</f>
        <v>ОРЛОВ КИРИЛЛ</v>
      </c>
      <c r="H255" s="27" t="s">
        <v>2552</v>
      </c>
    </row>
    <row r="256" spans="1:8" x14ac:dyDescent="0.25">
      <c r="A256" s="32" t="s">
        <v>3067</v>
      </c>
      <c r="B256" s="27" t="s">
        <v>2552</v>
      </c>
      <c r="C256" s="54" t="s">
        <v>2624</v>
      </c>
      <c r="D256" s="27" t="s">
        <v>2330</v>
      </c>
      <c r="E256" s="27" t="s">
        <v>2331</v>
      </c>
      <c r="F256" s="55" t="str">
        <f>VLOOKUP(Клиенты[[#This Row],[GardenaChannel]],GardenChannel[[GardenChannel]:[Sales manager]],2,0)</f>
        <v>ОРЛОВ КИРИЛЛ</v>
      </c>
      <c r="H256" s="27" t="s">
        <v>2552</v>
      </c>
    </row>
    <row r="257" spans="1:8" x14ac:dyDescent="0.25">
      <c r="A257" s="32" t="s">
        <v>3068</v>
      </c>
      <c r="B257" s="27" t="s">
        <v>2552</v>
      </c>
      <c r="C257" s="54" t="s">
        <v>2625</v>
      </c>
      <c r="D257" s="27" t="s">
        <v>2330</v>
      </c>
      <c r="E257" s="27" t="s">
        <v>2331</v>
      </c>
      <c r="F257" s="55" t="str">
        <f>VLOOKUP(Клиенты[[#This Row],[GardenaChannel]],GardenChannel[[GardenChannel]:[Sales manager]],2,0)</f>
        <v>ОРЛОВ КИРИЛЛ</v>
      </c>
      <c r="H257" s="27" t="s">
        <v>2552</v>
      </c>
    </row>
    <row r="258" spans="1:8" x14ac:dyDescent="0.25">
      <c r="A258" s="32" t="s">
        <v>3069</v>
      </c>
      <c r="B258" s="27" t="s">
        <v>2626</v>
      </c>
      <c r="C258" s="54" t="s">
        <v>2627</v>
      </c>
      <c r="D258" s="27" t="s">
        <v>2330</v>
      </c>
      <c r="E258" s="27" t="s">
        <v>2331</v>
      </c>
      <c r="F258" s="55" t="str">
        <f>VLOOKUP(Клиенты[[#This Row],[GardenaChannel]],GardenChannel[[GardenChannel]:[Sales manager]],2,0)</f>
        <v>КАШКИН ВЛАДИМИР</v>
      </c>
      <c r="H258" s="27" t="s">
        <v>2626</v>
      </c>
    </row>
    <row r="259" spans="1:8" x14ac:dyDescent="0.25">
      <c r="A259" s="32" t="s">
        <v>3070</v>
      </c>
      <c r="B259" s="27" t="s">
        <v>2626</v>
      </c>
      <c r="C259" s="54" t="s">
        <v>2629</v>
      </c>
      <c r="D259" s="27" t="s">
        <v>2330</v>
      </c>
      <c r="E259" s="27" t="s">
        <v>2331</v>
      </c>
      <c r="F259" s="55" t="str">
        <f>VLOOKUP(Клиенты[[#This Row],[GardenaChannel]],GardenChannel[[GardenChannel]:[Sales manager]],2,0)</f>
        <v>КАШКИН ВЛАДИМИР</v>
      </c>
      <c r="H259" s="27" t="s">
        <v>2626</v>
      </c>
    </row>
    <row r="260" spans="1:8" x14ac:dyDescent="0.25">
      <c r="A260" s="32" t="s">
        <v>3071</v>
      </c>
      <c r="B260" s="27" t="s">
        <v>2626</v>
      </c>
      <c r="C260" s="54" t="s">
        <v>2630</v>
      </c>
      <c r="D260" s="27" t="s">
        <v>2330</v>
      </c>
      <c r="E260" s="27" t="s">
        <v>2331</v>
      </c>
      <c r="F260" s="55" t="str">
        <f>VLOOKUP(Клиенты[[#This Row],[GardenaChannel]],GardenChannel[[GardenChannel]:[Sales manager]],2,0)</f>
        <v>КАШКИН ВЛАДИМИР</v>
      </c>
      <c r="H260" s="27" t="s">
        <v>2626</v>
      </c>
    </row>
    <row r="261" spans="1:8" x14ac:dyDescent="0.25">
      <c r="A261" s="32" t="s">
        <v>3072</v>
      </c>
      <c r="B261" s="27" t="s">
        <v>2626</v>
      </c>
      <c r="C261" s="54" t="s">
        <v>2631</v>
      </c>
      <c r="D261" s="27" t="s">
        <v>2330</v>
      </c>
      <c r="E261" s="27" t="s">
        <v>2331</v>
      </c>
      <c r="F261" s="55" t="str">
        <f>VLOOKUP(Клиенты[[#This Row],[GardenaChannel]],GardenChannel[[GardenChannel]:[Sales manager]],2,0)</f>
        <v>КАШКИН ВЛАДИМИР</v>
      </c>
      <c r="H261" s="27" t="s">
        <v>2626</v>
      </c>
    </row>
    <row r="262" spans="1:8" x14ac:dyDescent="0.25">
      <c r="A262" s="32" t="s">
        <v>3073</v>
      </c>
      <c r="B262" s="27" t="s">
        <v>2626</v>
      </c>
      <c r="C262" s="54" t="s">
        <v>2632</v>
      </c>
      <c r="D262" s="27" t="s">
        <v>2330</v>
      </c>
      <c r="E262" s="27" t="s">
        <v>2331</v>
      </c>
      <c r="F262" s="55" t="str">
        <f>VLOOKUP(Клиенты[[#This Row],[GardenaChannel]],GardenChannel[[GardenChannel]:[Sales manager]],2,0)</f>
        <v>КАШКИН ВЛАДИМИР</v>
      </c>
      <c r="H262" s="27" t="s">
        <v>2626</v>
      </c>
    </row>
    <row r="263" spans="1:8" x14ac:dyDescent="0.25">
      <c r="A263" s="32" t="s">
        <v>3074</v>
      </c>
      <c r="B263" s="27" t="s">
        <v>2626</v>
      </c>
      <c r="C263" s="54" t="s">
        <v>2633</v>
      </c>
      <c r="D263" s="27" t="s">
        <v>2330</v>
      </c>
      <c r="E263" s="27" t="s">
        <v>2331</v>
      </c>
      <c r="F263" s="55" t="str">
        <f>VLOOKUP(Клиенты[[#This Row],[GardenaChannel]],GardenChannel[[GardenChannel]:[Sales manager]],2,0)</f>
        <v>КАШКИН ВЛАДИМИР</v>
      </c>
      <c r="H263" s="27" t="s">
        <v>2626</v>
      </c>
    </row>
    <row r="264" spans="1:8" x14ac:dyDescent="0.25">
      <c r="A264" s="32" t="s">
        <v>3075</v>
      </c>
      <c r="B264" s="27" t="s">
        <v>2626</v>
      </c>
      <c r="C264" s="54" t="s">
        <v>2634</v>
      </c>
      <c r="D264" s="27" t="s">
        <v>2330</v>
      </c>
      <c r="E264" s="27" t="s">
        <v>2331</v>
      </c>
      <c r="F264" s="55" t="str">
        <f>VLOOKUP(Клиенты[[#This Row],[GardenaChannel]],GardenChannel[[GardenChannel]:[Sales manager]],2,0)</f>
        <v>КАШКИН ВЛАДИМИР</v>
      </c>
      <c r="H264" s="27" t="s">
        <v>2626</v>
      </c>
    </row>
    <row r="265" spans="1:8" x14ac:dyDescent="0.25">
      <c r="A265" s="32" t="s">
        <v>3076</v>
      </c>
      <c r="B265" s="27" t="s">
        <v>2626</v>
      </c>
      <c r="C265" s="54" t="s">
        <v>2635</v>
      </c>
      <c r="D265" s="27" t="s">
        <v>2330</v>
      </c>
      <c r="E265" s="27" t="s">
        <v>2331</v>
      </c>
      <c r="F265" s="55" t="str">
        <f>VLOOKUP(Клиенты[[#This Row],[GardenaChannel]],GardenChannel[[GardenChannel]:[Sales manager]],2,0)</f>
        <v>КАШКИН ВЛАДИМИР</v>
      </c>
      <c r="H265" s="27" t="s">
        <v>2626</v>
      </c>
    </row>
    <row r="266" spans="1:8" x14ac:dyDescent="0.25">
      <c r="A266" s="32" t="s">
        <v>3077</v>
      </c>
      <c r="B266" s="27" t="s">
        <v>2626</v>
      </c>
      <c r="C266" s="54" t="s">
        <v>2636</v>
      </c>
      <c r="D266" s="27" t="s">
        <v>2330</v>
      </c>
      <c r="E266" s="27" t="s">
        <v>2331</v>
      </c>
      <c r="F266" s="55" t="str">
        <f>VLOOKUP(Клиенты[[#This Row],[GardenaChannel]],GardenChannel[[GardenChannel]:[Sales manager]],2,0)</f>
        <v>КАШКИН ВЛАДИМИР</v>
      </c>
      <c r="H266" s="27" t="s">
        <v>2626</v>
      </c>
    </row>
    <row r="267" spans="1:8" x14ac:dyDescent="0.25">
      <c r="A267" s="32" t="s">
        <v>3078</v>
      </c>
      <c r="B267" s="27" t="s">
        <v>2626</v>
      </c>
      <c r="C267" s="54" t="s">
        <v>2637</v>
      </c>
      <c r="D267" s="27" t="s">
        <v>2330</v>
      </c>
      <c r="E267" s="27" t="s">
        <v>2331</v>
      </c>
      <c r="F267" s="55" t="str">
        <f>VLOOKUP(Клиенты[[#This Row],[GardenaChannel]],GardenChannel[[GardenChannel]:[Sales manager]],2,0)</f>
        <v>КАШКИН ВЛАДИМИР</v>
      </c>
      <c r="H267" s="27" t="s">
        <v>2626</v>
      </c>
    </row>
    <row r="268" spans="1:8" x14ac:dyDescent="0.25">
      <c r="A268" s="32" t="s">
        <v>3079</v>
      </c>
      <c r="B268" s="27" t="s">
        <v>2626</v>
      </c>
      <c r="C268" s="54" t="s">
        <v>2638</v>
      </c>
      <c r="D268" s="27" t="s">
        <v>2330</v>
      </c>
      <c r="E268" s="27" t="s">
        <v>2331</v>
      </c>
      <c r="F268" s="55" t="str">
        <f>VLOOKUP(Клиенты[[#This Row],[GardenaChannel]],GardenChannel[[GardenChannel]:[Sales manager]],2,0)</f>
        <v>КАШКИН ВЛАДИМИР</v>
      </c>
      <c r="H268" s="27" t="s">
        <v>2626</v>
      </c>
    </row>
    <row r="269" spans="1:8" x14ac:dyDescent="0.25">
      <c r="A269" s="32" t="s">
        <v>3080</v>
      </c>
      <c r="B269" s="27" t="s">
        <v>2626</v>
      </c>
      <c r="C269" s="54" t="s">
        <v>2639</v>
      </c>
      <c r="D269" s="27" t="s">
        <v>2330</v>
      </c>
      <c r="E269" s="27" t="s">
        <v>2331</v>
      </c>
      <c r="F269" s="55" t="str">
        <f>VLOOKUP(Клиенты[[#This Row],[GardenaChannel]],GardenChannel[[GardenChannel]:[Sales manager]],2,0)</f>
        <v>КАШКИН ВЛАДИМИР</v>
      </c>
      <c r="H269" s="27" t="s">
        <v>2626</v>
      </c>
    </row>
    <row r="270" spans="1:8" x14ac:dyDescent="0.25">
      <c r="A270" s="32" t="s">
        <v>3081</v>
      </c>
      <c r="B270" s="27" t="s">
        <v>2626</v>
      </c>
      <c r="C270" s="54" t="s">
        <v>2640</v>
      </c>
      <c r="D270" s="27" t="s">
        <v>2330</v>
      </c>
      <c r="E270" s="27" t="s">
        <v>2331</v>
      </c>
      <c r="F270" s="55" t="str">
        <f>VLOOKUP(Клиенты[[#This Row],[GardenaChannel]],GardenChannel[[GardenChannel]:[Sales manager]],2,0)</f>
        <v>КАШКИН ВЛАДИМИР</v>
      </c>
      <c r="H270" s="27" t="s">
        <v>2626</v>
      </c>
    </row>
    <row r="271" spans="1:8" x14ac:dyDescent="0.25">
      <c r="A271" s="32" t="s">
        <v>3082</v>
      </c>
      <c r="B271" s="27" t="s">
        <v>2626</v>
      </c>
      <c r="C271" s="54" t="s">
        <v>2641</v>
      </c>
      <c r="D271" s="27" t="s">
        <v>2330</v>
      </c>
      <c r="E271" s="27" t="s">
        <v>2344</v>
      </c>
      <c r="F271" s="55" t="str">
        <f>VLOOKUP(Клиенты[[#This Row],[GardenaChannel]],GardenChannel[[GardenChannel]:[Sales manager]],2,0)</f>
        <v>КАШКИН ВЛАДИМИР</v>
      </c>
      <c r="H271" s="27" t="s">
        <v>2626</v>
      </c>
    </row>
    <row r="272" spans="1:8" x14ac:dyDescent="0.25">
      <c r="A272" s="32" t="s">
        <v>3083</v>
      </c>
      <c r="B272" s="27" t="s">
        <v>2626</v>
      </c>
      <c r="C272" s="54" t="s">
        <v>2642</v>
      </c>
      <c r="D272" s="27" t="s">
        <v>2330</v>
      </c>
      <c r="E272" s="27" t="s">
        <v>2331</v>
      </c>
      <c r="F272" s="55" t="str">
        <f>VLOOKUP(Клиенты[[#This Row],[GardenaChannel]],GardenChannel[[GardenChannel]:[Sales manager]],2,0)</f>
        <v>КАШКИН ВЛАДИМИР</v>
      </c>
      <c r="H272" s="27" t="s">
        <v>2626</v>
      </c>
    </row>
    <row r="273" spans="1:8" x14ac:dyDescent="0.25">
      <c r="A273" s="32" t="s">
        <v>3084</v>
      </c>
      <c r="B273" s="27" t="s">
        <v>2626</v>
      </c>
      <c r="C273" s="54" t="s">
        <v>2643</v>
      </c>
      <c r="D273" s="27" t="s">
        <v>2330</v>
      </c>
      <c r="E273" s="27" t="s">
        <v>2368</v>
      </c>
      <c r="F273" s="55" t="str">
        <f>VLOOKUP(Клиенты[[#This Row],[GardenaChannel]],GardenChannel[[GardenChannel]:[Sales manager]],2,0)</f>
        <v>КАШКИН ВЛАДИМИР</v>
      </c>
      <c r="H273" s="27" t="s">
        <v>2626</v>
      </c>
    </row>
    <row r="274" spans="1:8" x14ac:dyDescent="0.25">
      <c r="A274" s="32" t="s">
        <v>3085</v>
      </c>
      <c r="B274" s="27" t="s">
        <v>2626</v>
      </c>
      <c r="C274" s="54" t="s">
        <v>2644</v>
      </c>
      <c r="D274" s="27" t="s">
        <v>2330</v>
      </c>
      <c r="E274" s="27" t="s">
        <v>2331</v>
      </c>
      <c r="F274" s="55" t="str">
        <f>VLOOKUP(Клиенты[[#This Row],[GardenaChannel]],GardenChannel[[GardenChannel]:[Sales manager]],2,0)</f>
        <v>КАШКИН ВЛАДИМИР</v>
      </c>
      <c r="H274" s="27" t="s">
        <v>2626</v>
      </c>
    </row>
    <row r="275" spans="1:8" x14ac:dyDescent="0.25">
      <c r="A275" s="32" t="s">
        <v>3086</v>
      </c>
      <c r="B275" s="27" t="s">
        <v>2626</v>
      </c>
      <c r="C275" s="54" t="s">
        <v>2645</v>
      </c>
      <c r="D275" s="27" t="s">
        <v>2330</v>
      </c>
      <c r="E275" s="27" t="s">
        <v>2344</v>
      </c>
      <c r="F275" s="55" t="str">
        <f>VLOOKUP(Клиенты[[#This Row],[GardenaChannel]],GardenChannel[[GardenChannel]:[Sales manager]],2,0)</f>
        <v>КАШКИН ВЛАДИМИР</v>
      </c>
      <c r="H275" s="27" t="s">
        <v>2626</v>
      </c>
    </row>
    <row r="276" spans="1:8" x14ac:dyDescent="0.25">
      <c r="A276" s="32" t="s">
        <v>3087</v>
      </c>
      <c r="B276" s="27" t="s">
        <v>2626</v>
      </c>
      <c r="C276" s="54" t="s">
        <v>2646</v>
      </c>
      <c r="D276" s="27" t="s">
        <v>2330</v>
      </c>
      <c r="E276" s="27" t="s">
        <v>2331</v>
      </c>
      <c r="F276" s="55" t="str">
        <f>VLOOKUP(Клиенты[[#This Row],[GardenaChannel]],GardenChannel[[GardenChannel]:[Sales manager]],2,0)</f>
        <v>КАШКИН ВЛАДИМИР</v>
      </c>
      <c r="H276" s="27" t="s">
        <v>2626</v>
      </c>
    </row>
    <row r="277" spans="1:8" x14ac:dyDescent="0.25">
      <c r="A277" s="32" t="s">
        <v>3088</v>
      </c>
      <c r="B277" s="27" t="s">
        <v>2626</v>
      </c>
      <c r="C277" s="54" t="s">
        <v>2647</v>
      </c>
      <c r="D277" s="27" t="s">
        <v>2330</v>
      </c>
      <c r="E277" s="27" t="s">
        <v>2344</v>
      </c>
      <c r="F277" s="55" t="str">
        <f>VLOOKUP(Клиенты[[#This Row],[GardenaChannel]],GardenChannel[[GardenChannel]:[Sales manager]],2,0)</f>
        <v>КАШКИН ВЛАДИМИР</v>
      </c>
      <c r="H277" s="27" t="s">
        <v>2626</v>
      </c>
    </row>
    <row r="278" spans="1:8" x14ac:dyDescent="0.25">
      <c r="A278" s="32" t="s">
        <v>3089</v>
      </c>
      <c r="B278" s="27" t="s">
        <v>2626</v>
      </c>
      <c r="C278" s="54" t="s">
        <v>2648</v>
      </c>
      <c r="D278" s="27" t="s">
        <v>2330</v>
      </c>
      <c r="E278" s="27" t="s">
        <v>2331</v>
      </c>
      <c r="F278" s="55" t="str">
        <f>VLOOKUP(Клиенты[[#This Row],[GardenaChannel]],GardenChannel[[GardenChannel]:[Sales manager]],2,0)</f>
        <v>КАШКИН ВЛАДИМИР</v>
      </c>
      <c r="H278" s="27" t="s">
        <v>2626</v>
      </c>
    </row>
    <row r="279" spans="1:8" x14ac:dyDescent="0.25">
      <c r="A279" s="32" t="s">
        <v>3090</v>
      </c>
      <c r="B279" s="27" t="s">
        <v>2626</v>
      </c>
      <c r="C279" s="54" t="s">
        <v>2649</v>
      </c>
      <c r="D279" s="27" t="s">
        <v>2330</v>
      </c>
      <c r="E279" s="27" t="s">
        <v>2344</v>
      </c>
      <c r="F279" s="55" t="str">
        <f>VLOOKUP(Клиенты[[#This Row],[GardenaChannel]],GardenChannel[[GardenChannel]:[Sales manager]],2,0)</f>
        <v>КАШКИН ВЛАДИМИР</v>
      </c>
      <c r="H279" s="27" t="s">
        <v>2626</v>
      </c>
    </row>
    <row r="280" spans="1:8" x14ac:dyDescent="0.25">
      <c r="A280" s="32" t="s">
        <v>3091</v>
      </c>
      <c r="B280" s="27" t="s">
        <v>2626</v>
      </c>
      <c r="C280" s="54" t="s">
        <v>2650</v>
      </c>
      <c r="D280" s="27" t="s">
        <v>2330</v>
      </c>
      <c r="E280" s="27" t="s">
        <v>2331</v>
      </c>
      <c r="F280" s="55" t="str">
        <f>VLOOKUP(Клиенты[[#This Row],[GardenaChannel]],GardenChannel[[GardenChannel]:[Sales manager]],2,0)</f>
        <v>КАШКИН ВЛАДИМИР</v>
      </c>
      <c r="H280" s="27" t="s">
        <v>2626</v>
      </c>
    </row>
    <row r="281" spans="1:8" x14ac:dyDescent="0.25">
      <c r="A281" s="32" t="s">
        <v>3092</v>
      </c>
      <c r="B281" s="27" t="s">
        <v>2626</v>
      </c>
      <c r="C281" s="54" t="s">
        <v>2651</v>
      </c>
      <c r="D281" s="27" t="s">
        <v>2330</v>
      </c>
      <c r="E281" s="27" t="s">
        <v>2344</v>
      </c>
      <c r="F281" s="55" t="str">
        <f>VLOOKUP(Клиенты[[#This Row],[GardenaChannel]],GardenChannel[[GardenChannel]:[Sales manager]],2,0)</f>
        <v>КАШКИН ВЛАДИМИР</v>
      </c>
      <c r="H281" s="27" t="s">
        <v>2626</v>
      </c>
    </row>
    <row r="282" spans="1:8" x14ac:dyDescent="0.25">
      <c r="A282" s="32" t="s">
        <v>3093</v>
      </c>
      <c r="B282" s="27" t="s">
        <v>2626</v>
      </c>
      <c r="C282" s="54" t="s">
        <v>2652</v>
      </c>
      <c r="D282" s="27" t="s">
        <v>2330</v>
      </c>
      <c r="E282" s="27" t="s">
        <v>2344</v>
      </c>
      <c r="F282" s="55" t="str">
        <f>VLOOKUP(Клиенты[[#This Row],[GardenaChannel]],GardenChannel[[GardenChannel]:[Sales manager]],2,0)</f>
        <v>КАШКИН ВЛАДИМИР</v>
      </c>
      <c r="H282" s="27" t="s">
        <v>2626</v>
      </c>
    </row>
    <row r="283" spans="1:8" x14ac:dyDescent="0.25">
      <c r="A283" s="32" t="s">
        <v>3094</v>
      </c>
      <c r="B283" s="27" t="s">
        <v>2626</v>
      </c>
      <c r="C283" s="54" t="s">
        <v>2653</v>
      </c>
      <c r="D283" s="27" t="s">
        <v>2330</v>
      </c>
      <c r="E283" s="27" t="s">
        <v>2331</v>
      </c>
      <c r="F283" s="55" t="str">
        <f>VLOOKUP(Клиенты[[#This Row],[GardenaChannel]],GardenChannel[[GardenChannel]:[Sales manager]],2,0)</f>
        <v>КАШКИН ВЛАДИМИР</v>
      </c>
      <c r="H283" s="27" t="s">
        <v>2626</v>
      </c>
    </row>
    <row r="284" spans="1:8" x14ac:dyDescent="0.25">
      <c r="A284" s="32" t="s">
        <v>3095</v>
      </c>
      <c r="B284" s="27" t="s">
        <v>2626</v>
      </c>
      <c r="C284" s="54" t="s">
        <v>2654</v>
      </c>
      <c r="D284" s="27" t="s">
        <v>2330</v>
      </c>
      <c r="E284" s="27" t="s">
        <v>2368</v>
      </c>
      <c r="F284" s="55" t="str">
        <f>VLOOKUP(Клиенты[[#This Row],[GardenaChannel]],GardenChannel[[GardenChannel]:[Sales manager]],2,0)</f>
        <v>КАШКИН ВЛАДИМИР</v>
      </c>
      <c r="H284" s="27" t="s">
        <v>2626</v>
      </c>
    </row>
    <row r="285" spans="1:8" x14ac:dyDescent="0.25">
      <c r="A285" s="32" t="s">
        <v>3096</v>
      </c>
      <c r="B285" s="27" t="s">
        <v>2626</v>
      </c>
      <c r="C285" s="54" t="s">
        <v>2655</v>
      </c>
      <c r="D285" s="27" t="s">
        <v>2330</v>
      </c>
      <c r="E285" s="27" t="s">
        <v>2331</v>
      </c>
      <c r="F285" s="55" t="str">
        <f>VLOOKUP(Клиенты[[#This Row],[GardenaChannel]],GardenChannel[[GardenChannel]:[Sales manager]],2,0)</f>
        <v>КАШКИН ВЛАДИМИР</v>
      </c>
      <c r="H285" s="27" t="s">
        <v>2626</v>
      </c>
    </row>
    <row r="286" spans="1:8" x14ac:dyDescent="0.25">
      <c r="A286" s="32" t="s">
        <v>3097</v>
      </c>
      <c r="B286" s="27" t="s">
        <v>2626</v>
      </c>
      <c r="C286" s="54" t="s">
        <v>2656</v>
      </c>
      <c r="D286" s="27" t="s">
        <v>2330</v>
      </c>
      <c r="E286" s="27" t="s">
        <v>2331</v>
      </c>
      <c r="F286" s="55" t="str">
        <f>VLOOKUP(Клиенты[[#This Row],[GardenaChannel]],GardenChannel[[GardenChannel]:[Sales manager]],2,0)</f>
        <v>КАШКИН ВЛАДИМИР</v>
      </c>
      <c r="H286" s="27" t="s">
        <v>2626</v>
      </c>
    </row>
    <row r="287" spans="1:8" x14ac:dyDescent="0.25">
      <c r="A287" s="32" t="s">
        <v>3098</v>
      </c>
      <c r="B287" s="27" t="s">
        <v>2626</v>
      </c>
      <c r="C287" s="54" t="s">
        <v>2657</v>
      </c>
      <c r="D287" s="27" t="s">
        <v>2330</v>
      </c>
      <c r="E287" s="27" t="s">
        <v>2368</v>
      </c>
      <c r="F287" s="55" t="str">
        <f>VLOOKUP(Клиенты[[#This Row],[GardenaChannel]],GardenChannel[[GardenChannel]:[Sales manager]],2,0)</f>
        <v>КАШКИН ВЛАДИМИР</v>
      </c>
      <c r="H287" s="27" t="s">
        <v>2626</v>
      </c>
    </row>
    <row r="288" spans="1:8" x14ac:dyDescent="0.25">
      <c r="A288" s="32" t="s">
        <v>3099</v>
      </c>
      <c r="B288" s="27" t="s">
        <v>2626</v>
      </c>
      <c r="C288" s="54" t="s">
        <v>2658</v>
      </c>
      <c r="D288" s="27" t="s">
        <v>2330</v>
      </c>
      <c r="E288" s="27" t="s">
        <v>2368</v>
      </c>
      <c r="F288" s="55" t="str">
        <f>VLOOKUP(Клиенты[[#This Row],[GardenaChannel]],GardenChannel[[GardenChannel]:[Sales manager]],2,0)</f>
        <v>КАШКИН ВЛАДИМИР</v>
      </c>
      <c r="H288" s="27" t="s">
        <v>2626</v>
      </c>
    </row>
    <row r="289" spans="1:8" x14ac:dyDescent="0.25">
      <c r="A289" s="32" t="s">
        <v>3100</v>
      </c>
      <c r="B289" s="27" t="s">
        <v>2626</v>
      </c>
      <c r="C289" s="54" t="s">
        <v>2659</v>
      </c>
      <c r="D289" s="27" t="s">
        <v>2330</v>
      </c>
      <c r="E289" s="27" t="s">
        <v>2331</v>
      </c>
      <c r="F289" s="55" t="str">
        <f>VLOOKUP(Клиенты[[#This Row],[GardenaChannel]],GardenChannel[[GardenChannel]:[Sales manager]],2,0)</f>
        <v>КАШКИН ВЛАДИМИР</v>
      </c>
      <c r="H289" s="27" t="s">
        <v>2626</v>
      </c>
    </row>
    <row r="290" spans="1:8" x14ac:dyDescent="0.25">
      <c r="A290" s="32" t="s">
        <v>3101</v>
      </c>
      <c r="B290" s="27" t="s">
        <v>2626</v>
      </c>
      <c r="C290" s="54" t="s">
        <v>2660</v>
      </c>
      <c r="D290" s="27" t="s">
        <v>2330</v>
      </c>
      <c r="E290" s="27" t="s">
        <v>2331</v>
      </c>
      <c r="F290" s="55" t="str">
        <f>VLOOKUP(Клиенты[[#This Row],[GardenaChannel]],GardenChannel[[GardenChannel]:[Sales manager]],2,0)</f>
        <v>КАШКИН ВЛАДИМИР</v>
      </c>
      <c r="H290" s="27" t="s">
        <v>2626</v>
      </c>
    </row>
    <row r="291" spans="1:8" x14ac:dyDescent="0.25">
      <c r="A291" s="32" t="s">
        <v>3102</v>
      </c>
      <c r="B291" s="27" t="s">
        <v>2626</v>
      </c>
      <c r="C291" s="54" t="s">
        <v>2661</v>
      </c>
      <c r="D291" s="27" t="s">
        <v>2330</v>
      </c>
      <c r="E291" s="27" t="s">
        <v>2344</v>
      </c>
      <c r="F291" s="55" t="str">
        <f>VLOOKUP(Клиенты[[#This Row],[GardenaChannel]],GardenChannel[[GardenChannel]:[Sales manager]],2,0)</f>
        <v>КАШКИН ВЛАДИМИР</v>
      </c>
      <c r="H291" s="27" t="s">
        <v>2626</v>
      </c>
    </row>
    <row r="292" spans="1:8" x14ac:dyDescent="0.25">
      <c r="A292" s="32" t="s">
        <v>3103</v>
      </c>
      <c r="B292" s="27" t="s">
        <v>2626</v>
      </c>
      <c r="C292" s="54" t="s">
        <v>2662</v>
      </c>
      <c r="D292" s="27" t="s">
        <v>2330</v>
      </c>
      <c r="E292" s="27" t="s">
        <v>2331</v>
      </c>
      <c r="F292" s="55" t="str">
        <f>VLOOKUP(Клиенты[[#This Row],[GardenaChannel]],GardenChannel[[GardenChannel]:[Sales manager]],2,0)</f>
        <v>КАШКИН ВЛАДИМИР</v>
      </c>
      <c r="H292" s="27" t="s">
        <v>2626</v>
      </c>
    </row>
    <row r="293" spans="1:8" x14ac:dyDescent="0.25">
      <c r="A293" s="32" t="s">
        <v>3104</v>
      </c>
      <c r="B293" s="27" t="s">
        <v>2626</v>
      </c>
      <c r="C293" s="54" t="s">
        <v>2663</v>
      </c>
      <c r="D293" s="27" t="s">
        <v>2330</v>
      </c>
      <c r="E293" s="27" t="s">
        <v>2331</v>
      </c>
      <c r="F293" s="55" t="str">
        <f>VLOOKUP(Клиенты[[#This Row],[GardenaChannel]],GardenChannel[[GardenChannel]:[Sales manager]],2,0)</f>
        <v>КАШКИН ВЛАДИМИР</v>
      </c>
      <c r="H293" s="27" t="s">
        <v>2626</v>
      </c>
    </row>
    <row r="294" spans="1:8" x14ac:dyDescent="0.25">
      <c r="A294" s="32" t="s">
        <v>3105</v>
      </c>
      <c r="B294" s="27" t="s">
        <v>2626</v>
      </c>
      <c r="C294" s="54" t="s">
        <v>2664</v>
      </c>
      <c r="D294" s="27" t="s">
        <v>2330</v>
      </c>
      <c r="E294" s="27" t="s">
        <v>2331</v>
      </c>
      <c r="F294" s="55" t="str">
        <f>VLOOKUP(Клиенты[[#This Row],[GardenaChannel]],GardenChannel[[GardenChannel]:[Sales manager]],2,0)</f>
        <v>КАШКИН ВЛАДИМИР</v>
      </c>
      <c r="H294" s="27" t="s">
        <v>2626</v>
      </c>
    </row>
    <row r="295" spans="1:8" x14ac:dyDescent="0.25">
      <c r="A295" s="32" t="s">
        <v>3106</v>
      </c>
      <c r="B295" s="27" t="s">
        <v>2626</v>
      </c>
      <c r="C295" s="54" t="s">
        <v>2665</v>
      </c>
      <c r="D295" s="27" t="s">
        <v>2330</v>
      </c>
      <c r="E295" s="27" t="s">
        <v>2331</v>
      </c>
      <c r="F295" s="55" t="str">
        <f>VLOOKUP(Клиенты[[#This Row],[GardenaChannel]],GardenChannel[[GardenChannel]:[Sales manager]],2,0)</f>
        <v>КАШКИН ВЛАДИМИР</v>
      </c>
      <c r="H295" s="27" t="s">
        <v>2626</v>
      </c>
    </row>
    <row r="296" spans="1:8" x14ac:dyDescent="0.25">
      <c r="A296" s="32" t="s">
        <v>3107</v>
      </c>
      <c r="B296" s="27" t="s">
        <v>2626</v>
      </c>
      <c r="C296" s="54" t="s">
        <v>2666</v>
      </c>
      <c r="D296" s="27" t="s">
        <v>2330</v>
      </c>
      <c r="E296" s="27" t="s">
        <v>2331</v>
      </c>
      <c r="F296" s="55" t="str">
        <f>VLOOKUP(Клиенты[[#This Row],[GardenaChannel]],GardenChannel[[GardenChannel]:[Sales manager]],2,0)</f>
        <v>КАШКИН ВЛАДИМИР</v>
      </c>
      <c r="H296" s="27" t="s">
        <v>2626</v>
      </c>
    </row>
    <row r="297" spans="1:8" x14ac:dyDescent="0.25">
      <c r="A297" s="32" t="s">
        <v>3108</v>
      </c>
      <c r="B297" s="27" t="s">
        <v>2626</v>
      </c>
      <c r="C297" s="54" t="s">
        <v>2667</v>
      </c>
      <c r="D297" s="27" t="s">
        <v>2330</v>
      </c>
      <c r="E297" s="27" t="s">
        <v>2331</v>
      </c>
      <c r="F297" s="55" t="str">
        <f>VLOOKUP(Клиенты[[#This Row],[GardenaChannel]],GardenChannel[[GardenChannel]:[Sales manager]],2,0)</f>
        <v>КАШКИН ВЛАДИМИР</v>
      </c>
      <c r="H297" s="27" t="s">
        <v>2626</v>
      </c>
    </row>
    <row r="298" spans="1:8" x14ac:dyDescent="0.25">
      <c r="A298" s="32" t="s">
        <v>3109</v>
      </c>
      <c r="B298" s="27" t="s">
        <v>2626</v>
      </c>
      <c r="C298" s="54" t="s">
        <v>2668</v>
      </c>
      <c r="D298" s="27" t="s">
        <v>2330</v>
      </c>
      <c r="E298" s="27" t="s">
        <v>2331</v>
      </c>
      <c r="F298" s="55" t="str">
        <f>VLOOKUP(Клиенты[[#This Row],[GardenaChannel]],GardenChannel[[GardenChannel]:[Sales manager]],2,0)</f>
        <v>КАШКИН ВЛАДИМИР</v>
      </c>
      <c r="H298" s="27" t="s">
        <v>2626</v>
      </c>
    </row>
    <row r="299" spans="1:8" x14ac:dyDescent="0.25">
      <c r="A299" s="32" t="s">
        <v>3110</v>
      </c>
      <c r="B299" s="27" t="s">
        <v>2626</v>
      </c>
      <c r="C299" s="54" t="s">
        <v>2669</v>
      </c>
      <c r="D299" s="27" t="s">
        <v>2330</v>
      </c>
      <c r="E299" s="27" t="s">
        <v>2331</v>
      </c>
      <c r="F299" s="55" t="str">
        <f>VLOOKUP(Клиенты[[#This Row],[GardenaChannel]],GardenChannel[[GardenChannel]:[Sales manager]],2,0)</f>
        <v>КАШКИН ВЛАДИМИР</v>
      </c>
      <c r="H299" s="27" t="s">
        <v>2626</v>
      </c>
    </row>
    <row r="300" spans="1:8" x14ac:dyDescent="0.25">
      <c r="A300" s="32" t="s">
        <v>3111</v>
      </c>
      <c r="B300" s="27" t="s">
        <v>2626</v>
      </c>
      <c r="C300" s="54" t="s">
        <v>2670</v>
      </c>
      <c r="D300" s="27" t="s">
        <v>2330</v>
      </c>
      <c r="E300" s="27" t="s">
        <v>2331</v>
      </c>
      <c r="F300" s="55" t="str">
        <f>VLOOKUP(Клиенты[[#This Row],[GardenaChannel]],GardenChannel[[GardenChannel]:[Sales manager]],2,0)</f>
        <v>КАШКИН ВЛАДИМИР</v>
      </c>
      <c r="H300" s="27" t="s">
        <v>2626</v>
      </c>
    </row>
    <row r="301" spans="1:8" x14ac:dyDescent="0.25">
      <c r="A301" s="32" t="s">
        <v>3112</v>
      </c>
      <c r="B301" s="27" t="s">
        <v>2626</v>
      </c>
      <c r="C301" s="54" t="s">
        <v>2671</v>
      </c>
      <c r="D301" s="27" t="s">
        <v>2330</v>
      </c>
      <c r="E301" s="27" t="s">
        <v>2331</v>
      </c>
      <c r="F301" s="55" t="str">
        <f>VLOOKUP(Клиенты[[#This Row],[GardenaChannel]],GardenChannel[[GardenChannel]:[Sales manager]],2,0)</f>
        <v>КАШКИН ВЛАДИМИР</v>
      </c>
      <c r="H301" s="27" t="s">
        <v>2626</v>
      </c>
    </row>
    <row r="302" spans="1:8" x14ac:dyDescent="0.25">
      <c r="A302" s="32" t="s">
        <v>3113</v>
      </c>
      <c r="B302" s="27" t="s">
        <v>2626</v>
      </c>
      <c r="C302" s="54" t="s">
        <v>2672</v>
      </c>
      <c r="D302" s="27" t="s">
        <v>2330</v>
      </c>
      <c r="E302" s="27" t="s">
        <v>2368</v>
      </c>
      <c r="F302" s="55" t="str">
        <f>VLOOKUP(Клиенты[[#This Row],[GardenaChannel]],GardenChannel[[GardenChannel]:[Sales manager]],2,0)</f>
        <v>КАШКИН ВЛАДИМИР</v>
      </c>
      <c r="H302" s="27" t="s">
        <v>2626</v>
      </c>
    </row>
    <row r="303" spans="1:8" x14ac:dyDescent="0.25">
      <c r="A303" s="32" t="s">
        <v>3114</v>
      </c>
      <c r="B303" s="27" t="s">
        <v>2626</v>
      </c>
      <c r="C303" s="54" t="s">
        <v>2673</v>
      </c>
      <c r="D303" s="27" t="s">
        <v>2330</v>
      </c>
      <c r="E303" s="27" t="s">
        <v>2331</v>
      </c>
      <c r="F303" s="55" t="str">
        <f>VLOOKUP(Клиенты[[#This Row],[GardenaChannel]],GardenChannel[[GardenChannel]:[Sales manager]],2,0)</f>
        <v>КАШКИН ВЛАДИМИР</v>
      </c>
      <c r="H303" s="27" t="s">
        <v>2626</v>
      </c>
    </row>
    <row r="304" spans="1:8" x14ac:dyDescent="0.25">
      <c r="A304" s="32" t="s">
        <v>3115</v>
      </c>
      <c r="B304" s="27" t="s">
        <v>2626</v>
      </c>
      <c r="C304" s="54" t="s">
        <v>2674</v>
      </c>
      <c r="D304" s="27" t="s">
        <v>2330</v>
      </c>
      <c r="E304" s="27" t="s">
        <v>2331</v>
      </c>
      <c r="F304" s="55" t="str">
        <f>VLOOKUP(Клиенты[[#This Row],[GardenaChannel]],GardenChannel[[GardenChannel]:[Sales manager]],2,0)</f>
        <v>КАШКИН ВЛАДИМИР</v>
      </c>
      <c r="H304" s="27" t="s">
        <v>2626</v>
      </c>
    </row>
    <row r="305" spans="1:8" x14ac:dyDescent="0.25">
      <c r="A305" s="32" t="s">
        <v>3116</v>
      </c>
      <c r="B305" s="27" t="s">
        <v>2675</v>
      </c>
      <c r="C305" s="54" t="s">
        <v>2676</v>
      </c>
      <c r="D305" s="27" t="s">
        <v>2330</v>
      </c>
      <c r="E305" s="27" t="s">
        <v>2331</v>
      </c>
      <c r="F305" s="55" t="str">
        <f>VLOOKUP(Клиенты[[#This Row],[GardenaChannel]],GardenChannel[[GardenChannel]:[Sales manager]],2,0)</f>
        <v>КОРНИЛИН ИЛЬЯ</v>
      </c>
      <c r="H305" s="27" t="s">
        <v>2675</v>
      </c>
    </row>
    <row r="306" spans="1:8" x14ac:dyDescent="0.25">
      <c r="A306" s="32" t="s">
        <v>3117</v>
      </c>
      <c r="B306" s="27" t="s">
        <v>2675</v>
      </c>
      <c r="C306" s="54" t="s">
        <v>2678</v>
      </c>
      <c r="D306" s="27" t="s">
        <v>2330</v>
      </c>
      <c r="E306" s="27" t="s">
        <v>2331</v>
      </c>
      <c r="F306" s="55" t="str">
        <f>VLOOKUP(Клиенты[[#This Row],[GardenaChannel]],GardenChannel[[GardenChannel]:[Sales manager]],2,0)</f>
        <v>КОРНИЛИН ИЛЬЯ</v>
      </c>
      <c r="H306" s="27" t="s">
        <v>2675</v>
      </c>
    </row>
    <row r="307" spans="1:8" x14ac:dyDescent="0.25">
      <c r="A307" s="32" t="s">
        <v>3118</v>
      </c>
      <c r="B307" s="27" t="s">
        <v>2675</v>
      </c>
      <c r="C307" s="54" t="s">
        <v>2679</v>
      </c>
      <c r="D307" s="27" t="s">
        <v>2330</v>
      </c>
      <c r="E307" s="27" t="s">
        <v>2331</v>
      </c>
      <c r="F307" s="55" t="str">
        <f>VLOOKUP(Клиенты[[#This Row],[GardenaChannel]],GardenChannel[[GardenChannel]:[Sales manager]],2,0)</f>
        <v>КОРНИЛИН ИЛЬЯ</v>
      </c>
      <c r="H307" s="27" t="s">
        <v>2675</v>
      </c>
    </row>
    <row r="308" spans="1:8" x14ac:dyDescent="0.25">
      <c r="A308" s="32" t="s">
        <v>3119</v>
      </c>
      <c r="B308" s="27" t="s">
        <v>2675</v>
      </c>
      <c r="C308" s="54" t="s">
        <v>2680</v>
      </c>
      <c r="D308" s="27" t="s">
        <v>2330</v>
      </c>
      <c r="E308" s="27" t="s">
        <v>2331</v>
      </c>
      <c r="F308" s="55" t="str">
        <f>VLOOKUP(Клиенты[[#This Row],[GardenaChannel]],GardenChannel[[GardenChannel]:[Sales manager]],2,0)</f>
        <v>КОРНИЛИН ИЛЬЯ</v>
      </c>
      <c r="H308" s="27" t="s">
        <v>2675</v>
      </c>
    </row>
    <row r="309" spans="1:8" x14ac:dyDescent="0.25">
      <c r="A309" s="32" t="s">
        <v>3120</v>
      </c>
      <c r="B309" s="27" t="s">
        <v>2675</v>
      </c>
      <c r="C309" s="54" t="s">
        <v>2681</v>
      </c>
      <c r="D309" s="27" t="s">
        <v>2330</v>
      </c>
      <c r="E309" s="27" t="s">
        <v>2331</v>
      </c>
      <c r="F309" s="55" t="str">
        <f>VLOOKUP(Клиенты[[#This Row],[GardenaChannel]],GardenChannel[[GardenChannel]:[Sales manager]],2,0)</f>
        <v>КОРНИЛИН ИЛЬЯ</v>
      </c>
      <c r="H309" s="27" t="s">
        <v>2675</v>
      </c>
    </row>
    <row r="310" spans="1:8" x14ac:dyDescent="0.25">
      <c r="A310" s="32" t="s">
        <v>3121</v>
      </c>
      <c r="B310" s="27" t="s">
        <v>2675</v>
      </c>
      <c r="C310" s="54" t="s">
        <v>2682</v>
      </c>
      <c r="D310" s="27" t="s">
        <v>2330</v>
      </c>
      <c r="E310" s="27" t="s">
        <v>2344</v>
      </c>
      <c r="F310" s="55" t="str">
        <f>VLOOKUP(Клиенты[[#This Row],[GardenaChannel]],GardenChannel[[GardenChannel]:[Sales manager]],2,0)</f>
        <v>КОРНИЛИН ИЛЬЯ</v>
      </c>
      <c r="H310" s="27" t="s">
        <v>2675</v>
      </c>
    </row>
    <row r="311" spans="1:8" x14ac:dyDescent="0.25">
      <c r="A311" s="32" t="s">
        <v>3122</v>
      </c>
      <c r="B311" s="27" t="s">
        <v>2675</v>
      </c>
      <c r="C311" s="54" t="s">
        <v>2683</v>
      </c>
      <c r="D311" s="27" t="s">
        <v>2330</v>
      </c>
      <c r="E311" s="27" t="s">
        <v>2344</v>
      </c>
      <c r="F311" s="55" t="str">
        <f>VLOOKUP(Клиенты[[#This Row],[GardenaChannel]],GardenChannel[[GardenChannel]:[Sales manager]],2,0)</f>
        <v>КОРНИЛИН ИЛЬЯ</v>
      </c>
      <c r="H311" s="27" t="s">
        <v>2675</v>
      </c>
    </row>
    <row r="312" spans="1:8" x14ac:dyDescent="0.25">
      <c r="A312" s="32" t="s">
        <v>3123</v>
      </c>
      <c r="B312" s="27" t="s">
        <v>2675</v>
      </c>
      <c r="C312" s="54" t="s">
        <v>2684</v>
      </c>
      <c r="D312" s="27" t="s">
        <v>2330</v>
      </c>
      <c r="E312" s="27" t="s">
        <v>2331</v>
      </c>
      <c r="F312" s="55" t="str">
        <f>VLOOKUP(Клиенты[[#This Row],[GardenaChannel]],GardenChannel[[GardenChannel]:[Sales manager]],2,0)</f>
        <v>КОРНИЛИН ИЛЬЯ</v>
      </c>
      <c r="H312" s="27" t="s">
        <v>2675</v>
      </c>
    </row>
    <row r="313" spans="1:8" x14ac:dyDescent="0.25">
      <c r="A313" s="32" t="s">
        <v>3124</v>
      </c>
      <c r="B313" s="27" t="s">
        <v>2675</v>
      </c>
      <c r="C313" s="54" t="s">
        <v>2685</v>
      </c>
      <c r="D313" s="27" t="s">
        <v>2330</v>
      </c>
      <c r="E313" s="27" t="s">
        <v>2331</v>
      </c>
      <c r="F313" s="55" t="str">
        <f>VLOOKUP(Клиенты[[#This Row],[GardenaChannel]],GardenChannel[[GardenChannel]:[Sales manager]],2,0)</f>
        <v>КОРНИЛИН ИЛЬЯ</v>
      </c>
      <c r="H313" s="27" t="s">
        <v>2675</v>
      </c>
    </row>
    <row r="314" spans="1:8" x14ac:dyDescent="0.25">
      <c r="A314" s="32" t="s">
        <v>3125</v>
      </c>
      <c r="B314" s="27" t="s">
        <v>2675</v>
      </c>
      <c r="C314" s="54" t="s">
        <v>2686</v>
      </c>
      <c r="D314" s="27" t="s">
        <v>2330</v>
      </c>
      <c r="E314" s="27" t="s">
        <v>2344</v>
      </c>
      <c r="F314" s="55" t="str">
        <f>VLOOKUP(Клиенты[[#This Row],[GardenaChannel]],GardenChannel[[GardenChannel]:[Sales manager]],2,0)</f>
        <v>КОРНИЛИН ИЛЬЯ</v>
      </c>
      <c r="H314" s="27" t="s">
        <v>2675</v>
      </c>
    </row>
    <row r="315" spans="1:8" x14ac:dyDescent="0.25">
      <c r="A315" s="32" t="s">
        <v>3126</v>
      </c>
      <c r="B315" s="27" t="s">
        <v>2675</v>
      </c>
      <c r="C315" s="54" t="s">
        <v>2687</v>
      </c>
      <c r="D315" s="27" t="s">
        <v>2330</v>
      </c>
      <c r="E315" s="27" t="s">
        <v>2368</v>
      </c>
      <c r="F315" s="55" t="str">
        <f>VLOOKUP(Клиенты[[#This Row],[GardenaChannel]],GardenChannel[[GardenChannel]:[Sales manager]],2,0)</f>
        <v>КОРНИЛИН ИЛЬЯ</v>
      </c>
      <c r="H315" s="27" t="s">
        <v>2675</v>
      </c>
    </row>
    <row r="316" spans="1:8" x14ac:dyDescent="0.25">
      <c r="A316" s="32" t="s">
        <v>3127</v>
      </c>
      <c r="B316" s="27" t="s">
        <v>2675</v>
      </c>
      <c r="C316" s="54" t="s">
        <v>2688</v>
      </c>
      <c r="D316" s="27" t="s">
        <v>2330</v>
      </c>
      <c r="E316" s="27" t="s">
        <v>2344</v>
      </c>
      <c r="F316" s="55" t="str">
        <f>VLOOKUP(Клиенты[[#This Row],[GardenaChannel]],GardenChannel[[GardenChannel]:[Sales manager]],2,0)</f>
        <v>КОРНИЛИН ИЛЬЯ</v>
      </c>
      <c r="H316" s="27" t="s">
        <v>2675</v>
      </c>
    </row>
    <row r="317" spans="1:8" x14ac:dyDescent="0.25">
      <c r="A317" s="32" t="s">
        <v>3128</v>
      </c>
      <c r="B317" s="27" t="s">
        <v>2675</v>
      </c>
      <c r="C317" s="54" t="s">
        <v>2689</v>
      </c>
      <c r="D317" s="27" t="s">
        <v>2330</v>
      </c>
      <c r="E317" s="27" t="s">
        <v>2331</v>
      </c>
      <c r="F317" s="55" t="str">
        <f>VLOOKUP(Клиенты[[#This Row],[GardenaChannel]],GardenChannel[[GardenChannel]:[Sales manager]],2,0)</f>
        <v>КОРНИЛИН ИЛЬЯ</v>
      </c>
      <c r="H317" s="27" t="s">
        <v>2675</v>
      </c>
    </row>
    <row r="318" spans="1:8" x14ac:dyDescent="0.25">
      <c r="A318" s="32" t="s">
        <v>3129</v>
      </c>
      <c r="B318" s="27" t="s">
        <v>2675</v>
      </c>
      <c r="C318" s="54" t="s">
        <v>2690</v>
      </c>
      <c r="D318" s="27" t="s">
        <v>2330</v>
      </c>
      <c r="E318" s="27" t="s">
        <v>2331</v>
      </c>
      <c r="F318" s="55" t="str">
        <f>VLOOKUP(Клиенты[[#This Row],[GardenaChannel]],GardenChannel[[GardenChannel]:[Sales manager]],2,0)</f>
        <v>КОРНИЛИН ИЛЬЯ</v>
      </c>
      <c r="H318" s="27" t="s">
        <v>2675</v>
      </c>
    </row>
    <row r="319" spans="1:8" x14ac:dyDescent="0.25">
      <c r="A319" s="32" t="s">
        <v>3130</v>
      </c>
      <c r="B319" s="27" t="s">
        <v>2675</v>
      </c>
      <c r="C319" s="54" t="s">
        <v>2691</v>
      </c>
      <c r="D319" s="27" t="s">
        <v>2330</v>
      </c>
      <c r="E319" s="27" t="s">
        <v>2368</v>
      </c>
      <c r="F319" s="55" t="str">
        <f>VLOOKUP(Клиенты[[#This Row],[GardenaChannel]],GardenChannel[[GardenChannel]:[Sales manager]],2,0)</f>
        <v>КОРНИЛИН ИЛЬЯ</v>
      </c>
      <c r="H319" s="27" t="s">
        <v>2675</v>
      </c>
    </row>
    <row r="320" spans="1:8" x14ac:dyDescent="0.25">
      <c r="A320" s="32" t="s">
        <v>3131</v>
      </c>
      <c r="B320" s="27" t="s">
        <v>2675</v>
      </c>
      <c r="C320" s="54" t="s">
        <v>2692</v>
      </c>
      <c r="D320" s="27" t="s">
        <v>2330</v>
      </c>
      <c r="E320" s="27" t="s">
        <v>2344</v>
      </c>
      <c r="F320" s="55" t="str">
        <f>VLOOKUP(Клиенты[[#This Row],[GardenaChannel]],GardenChannel[[GardenChannel]:[Sales manager]],2,0)</f>
        <v>КОРНИЛИН ИЛЬЯ</v>
      </c>
      <c r="H320" s="27" t="s">
        <v>2675</v>
      </c>
    </row>
    <row r="321" spans="1:8" x14ac:dyDescent="0.25">
      <c r="A321" s="32" t="s">
        <v>3132</v>
      </c>
      <c r="B321" s="27" t="s">
        <v>2675</v>
      </c>
      <c r="C321" s="54" t="s">
        <v>2693</v>
      </c>
      <c r="D321" s="27" t="s">
        <v>2330</v>
      </c>
      <c r="E321" s="27" t="s">
        <v>2368</v>
      </c>
      <c r="F321" s="55" t="str">
        <f>VLOOKUP(Клиенты[[#This Row],[GardenaChannel]],GardenChannel[[GardenChannel]:[Sales manager]],2,0)</f>
        <v>КОРНИЛИН ИЛЬЯ</v>
      </c>
      <c r="H321" s="27" t="s">
        <v>2675</v>
      </c>
    </row>
    <row r="322" spans="1:8" x14ac:dyDescent="0.25">
      <c r="A322" s="32" t="s">
        <v>3133</v>
      </c>
      <c r="B322" s="27" t="s">
        <v>2675</v>
      </c>
      <c r="C322" s="54" t="s">
        <v>2694</v>
      </c>
      <c r="D322" s="27" t="s">
        <v>2330</v>
      </c>
      <c r="E322" s="27" t="s">
        <v>2331</v>
      </c>
      <c r="F322" s="55" t="str">
        <f>VLOOKUP(Клиенты[[#This Row],[GardenaChannel]],GardenChannel[[GardenChannel]:[Sales manager]],2,0)</f>
        <v>КОРНИЛИН ИЛЬЯ</v>
      </c>
      <c r="H322" s="27" t="s">
        <v>2675</v>
      </c>
    </row>
    <row r="323" spans="1:8" x14ac:dyDescent="0.25">
      <c r="A323" s="32" t="s">
        <v>3134</v>
      </c>
      <c r="B323" s="27" t="s">
        <v>2675</v>
      </c>
      <c r="C323" s="54" t="s">
        <v>2695</v>
      </c>
      <c r="D323" s="27" t="s">
        <v>2330</v>
      </c>
      <c r="E323" s="27" t="s">
        <v>2331</v>
      </c>
      <c r="F323" s="55" t="str">
        <f>VLOOKUP(Клиенты[[#This Row],[GardenaChannel]],GardenChannel[[GardenChannel]:[Sales manager]],2,0)</f>
        <v>КОРНИЛИН ИЛЬЯ</v>
      </c>
      <c r="H323" s="27" t="s">
        <v>2675</v>
      </c>
    </row>
    <row r="324" spans="1:8" x14ac:dyDescent="0.25">
      <c r="A324" s="32" t="s">
        <v>3135</v>
      </c>
      <c r="B324" s="27" t="s">
        <v>2675</v>
      </c>
      <c r="C324" s="54" t="s">
        <v>2696</v>
      </c>
      <c r="D324" s="27" t="s">
        <v>2330</v>
      </c>
      <c r="E324" s="27" t="s">
        <v>2331</v>
      </c>
      <c r="F324" s="55" t="str">
        <f>VLOOKUP(Клиенты[[#This Row],[GardenaChannel]],GardenChannel[[GardenChannel]:[Sales manager]],2,0)</f>
        <v>КОРНИЛИН ИЛЬЯ</v>
      </c>
      <c r="H324" s="27" t="s">
        <v>2675</v>
      </c>
    </row>
    <row r="325" spans="1:8" x14ac:dyDescent="0.25">
      <c r="A325" s="32" t="s">
        <v>3136</v>
      </c>
      <c r="B325" s="27" t="s">
        <v>2675</v>
      </c>
      <c r="C325" s="54" t="s">
        <v>2697</v>
      </c>
      <c r="D325" s="27" t="s">
        <v>2330</v>
      </c>
      <c r="E325" s="27" t="s">
        <v>2331</v>
      </c>
      <c r="F325" s="55" t="str">
        <f>VLOOKUP(Клиенты[[#This Row],[GardenaChannel]],GardenChannel[[GardenChannel]:[Sales manager]],2,0)</f>
        <v>КОРНИЛИН ИЛЬЯ</v>
      </c>
      <c r="H325" s="27" t="s">
        <v>2675</v>
      </c>
    </row>
    <row r="326" spans="1:8" x14ac:dyDescent="0.25">
      <c r="A326" s="32" t="s">
        <v>3137</v>
      </c>
      <c r="B326" s="27" t="s">
        <v>2675</v>
      </c>
      <c r="C326" s="54" t="s">
        <v>2698</v>
      </c>
      <c r="D326" s="27" t="s">
        <v>2330</v>
      </c>
      <c r="E326" s="27" t="s">
        <v>2331</v>
      </c>
      <c r="F326" s="55" t="str">
        <f>VLOOKUP(Клиенты[[#This Row],[GardenaChannel]],GardenChannel[[GardenChannel]:[Sales manager]],2,0)</f>
        <v>КОРНИЛИН ИЛЬЯ</v>
      </c>
      <c r="H326" s="27" t="s">
        <v>2675</v>
      </c>
    </row>
    <row r="327" spans="1:8" x14ac:dyDescent="0.25">
      <c r="A327" s="32" t="s">
        <v>3138</v>
      </c>
      <c r="B327" s="27" t="s">
        <v>2675</v>
      </c>
      <c r="C327" s="54" t="s">
        <v>2699</v>
      </c>
      <c r="D327" s="27" t="s">
        <v>2330</v>
      </c>
      <c r="E327" s="27" t="s">
        <v>2331</v>
      </c>
      <c r="F327" s="55" t="str">
        <f>VLOOKUP(Клиенты[[#This Row],[GardenaChannel]],GardenChannel[[GardenChannel]:[Sales manager]],2,0)</f>
        <v>КОРНИЛИН ИЛЬЯ</v>
      </c>
      <c r="H327" s="27" t="s">
        <v>2675</v>
      </c>
    </row>
    <row r="328" spans="1:8" x14ac:dyDescent="0.25">
      <c r="A328" s="32" t="s">
        <v>3139</v>
      </c>
      <c r="B328" s="27" t="s">
        <v>2675</v>
      </c>
      <c r="C328" s="54" t="s">
        <v>2700</v>
      </c>
      <c r="D328" s="27" t="s">
        <v>2330</v>
      </c>
      <c r="E328" s="27" t="s">
        <v>2368</v>
      </c>
      <c r="F328" s="55" t="str">
        <f>VLOOKUP(Клиенты[[#This Row],[GardenaChannel]],GardenChannel[[GardenChannel]:[Sales manager]],2,0)</f>
        <v>КОРНИЛИН ИЛЬЯ</v>
      </c>
      <c r="H328" s="27" t="s">
        <v>2675</v>
      </c>
    </row>
    <row r="329" spans="1:8" x14ac:dyDescent="0.25">
      <c r="A329" s="32" t="s">
        <v>3140</v>
      </c>
      <c r="B329" s="27" t="s">
        <v>2675</v>
      </c>
      <c r="C329" s="54" t="s">
        <v>2701</v>
      </c>
      <c r="D329" s="27" t="s">
        <v>2330</v>
      </c>
      <c r="E329" s="27" t="s">
        <v>2331</v>
      </c>
      <c r="F329" s="55" t="str">
        <f>VLOOKUP(Клиенты[[#This Row],[GardenaChannel]],GardenChannel[[GardenChannel]:[Sales manager]],2,0)</f>
        <v>КОРНИЛИН ИЛЬЯ</v>
      </c>
      <c r="H329" s="27" t="s">
        <v>2675</v>
      </c>
    </row>
    <row r="330" spans="1:8" x14ac:dyDescent="0.25">
      <c r="A330" s="32" t="s">
        <v>3141</v>
      </c>
      <c r="B330" s="27" t="s">
        <v>2675</v>
      </c>
      <c r="C330" s="54" t="s">
        <v>2702</v>
      </c>
      <c r="D330" s="27" t="s">
        <v>2330</v>
      </c>
      <c r="E330" s="27" t="s">
        <v>2331</v>
      </c>
      <c r="F330" s="55" t="str">
        <f>VLOOKUP(Клиенты[[#This Row],[GardenaChannel]],GardenChannel[[GardenChannel]:[Sales manager]],2,0)</f>
        <v>КОРНИЛИН ИЛЬЯ</v>
      </c>
      <c r="H330" s="27" t="s">
        <v>2675</v>
      </c>
    </row>
    <row r="331" spans="1:8" x14ac:dyDescent="0.25">
      <c r="A331" s="32" t="s">
        <v>3142</v>
      </c>
      <c r="B331" s="27" t="s">
        <v>2675</v>
      </c>
      <c r="C331" s="54" t="s">
        <v>2703</v>
      </c>
      <c r="D331" s="27" t="s">
        <v>2330</v>
      </c>
      <c r="E331" s="27" t="s">
        <v>2331</v>
      </c>
      <c r="F331" s="55" t="str">
        <f>VLOOKUP(Клиенты[[#This Row],[GardenaChannel]],GardenChannel[[GardenChannel]:[Sales manager]],2,0)</f>
        <v>КОРНИЛИН ИЛЬЯ</v>
      </c>
      <c r="H331" s="27" t="s">
        <v>2675</v>
      </c>
    </row>
    <row r="332" spans="1:8" x14ac:dyDescent="0.25">
      <c r="A332" s="32" t="s">
        <v>3143</v>
      </c>
      <c r="B332" s="27" t="s">
        <v>2675</v>
      </c>
      <c r="C332" s="54" t="s">
        <v>2704</v>
      </c>
      <c r="D332" s="27" t="s">
        <v>2330</v>
      </c>
      <c r="E332" s="27" t="s">
        <v>2331</v>
      </c>
      <c r="F332" s="55" t="str">
        <f>VLOOKUP(Клиенты[[#This Row],[GardenaChannel]],GardenChannel[[GardenChannel]:[Sales manager]],2,0)</f>
        <v>КОРНИЛИН ИЛЬЯ</v>
      </c>
      <c r="H332" s="27" t="s">
        <v>2675</v>
      </c>
    </row>
    <row r="333" spans="1:8" x14ac:dyDescent="0.25">
      <c r="A333" s="32" t="s">
        <v>3144</v>
      </c>
      <c r="B333" s="27" t="s">
        <v>2675</v>
      </c>
      <c r="C333" s="54" t="s">
        <v>2705</v>
      </c>
      <c r="D333" s="27" t="s">
        <v>2330</v>
      </c>
      <c r="E333" s="27" t="s">
        <v>2331</v>
      </c>
      <c r="F333" s="55" t="str">
        <f>VLOOKUP(Клиенты[[#This Row],[GardenaChannel]],GardenChannel[[GardenChannel]:[Sales manager]],2,0)</f>
        <v>КОРНИЛИН ИЛЬЯ</v>
      </c>
      <c r="H333" s="27" t="s">
        <v>2675</v>
      </c>
    </row>
    <row r="334" spans="1:8" x14ac:dyDescent="0.25">
      <c r="A334" s="32" t="s">
        <v>3145</v>
      </c>
      <c r="B334" s="27" t="s">
        <v>2675</v>
      </c>
      <c r="C334" s="54" t="s">
        <v>2706</v>
      </c>
      <c r="D334" s="27" t="s">
        <v>2330</v>
      </c>
      <c r="E334" s="27" t="s">
        <v>2331</v>
      </c>
      <c r="F334" s="55" t="str">
        <f>VLOOKUP(Клиенты[[#This Row],[GardenaChannel]],GardenChannel[[GardenChannel]:[Sales manager]],2,0)</f>
        <v>КОРНИЛИН ИЛЬЯ</v>
      </c>
      <c r="H334" s="27" t="s">
        <v>2675</v>
      </c>
    </row>
    <row r="335" spans="1:8" x14ac:dyDescent="0.25">
      <c r="A335" s="32" t="s">
        <v>3146</v>
      </c>
      <c r="B335" s="27" t="s">
        <v>2675</v>
      </c>
      <c r="C335" s="54" t="s">
        <v>2707</v>
      </c>
      <c r="D335" s="27" t="s">
        <v>2330</v>
      </c>
      <c r="E335" s="27" t="s">
        <v>2331</v>
      </c>
      <c r="F335" s="55" t="str">
        <f>VLOOKUP(Клиенты[[#This Row],[GardenaChannel]],GardenChannel[[GardenChannel]:[Sales manager]],2,0)</f>
        <v>КОРНИЛИН ИЛЬЯ</v>
      </c>
      <c r="H335" s="27" t="s">
        <v>2675</v>
      </c>
    </row>
    <row r="336" spans="1:8" x14ac:dyDescent="0.25">
      <c r="A336" s="32" t="s">
        <v>3147</v>
      </c>
      <c r="B336" s="27" t="s">
        <v>2675</v>
      </c>
      <c r="C336" s="54" t="s">
        <v>2708</v>
      </c>
      <c r="D336" s="27" t="s">
        <v>2330</v>
      </c>
      <c r="E336" s="27" t="s">
        <v>2331</v>
      </c>
      <c r="F336" s="55" t="str">
        <f>VLOOKUP(Клиенты[[#This Row],[GardenaChannel]],GardenChannel[[GardenChannel]:[Sales manager]],2,0)</f>
        <v>КОРНИЛИН ИЛЬЯ</v>
      </c>
      <c r="H336" s="27" t="s">
        <v>2675</v>
      </c>
    </row>
    <row r="337" spans="1:8" x14ac:dyDescent="0.25">
      <c r="A337" s="32" t="s">
        <v>3148</v>
      </c>
      <c r="B337" s="27" t="s">
        <v>2675</v>
      </c>
      <c r="C337" s="54" t="s">
        <v>2709</v>
      </c>
      <c r="D337" s="27" t="s">
        <v>2330</v>
      </c>
      <c r="E337" s="27" t="s">
        <v>2331</v>
      </c>
      <c r="F337" s="55" t="str">
        <f>VLOOKUP(Клиенты[[#This Row],[GardenaChannel]],GardenChannel[[GardenChannel]:[Sales manager]],2,0)</f>
        <v>КОРНИЛИН ИЛЬЯ</v>
      </c>
      <c r="H337" s="27" t="s">
        <v>2675</v>
      </c>
    </row>
    <row r="338" spans="1:8" x14ac:dyDescent="0.25">
      <c r="A338" s="32" t="s">
        <v>3149</v>
      </c>
      <c r="B338" s="27" t="s">
        <v>2675</v>
      </c>
      <c r="C338" s="54" t="s">
        <v>2710</v>
      </c>
      <c r="D338" s="27" t="s">
        <v>2330</v>
      </c>
      <c r="E338" s="27" t="s">
        <v>2331</v>
      </c>
      <c r="F338" s="55" t="str">
        <f>VLOOKUP(Клиенты[[#This Row],[GardenaChannel]],GardenChannel[[GardenChannel]:[Sales manager]],2,0)</f>
        <v>КОРНИЛИН ИЛЬЯ</v>
      </c>
      <c r="H338" s="27" t="s">
        <v>2675</v>
      </c>
    </row>
    <row r="339" spans="1:8" x14ac:dyDescent="0.25">
      <c r="A339" s="32" t="s">
        <v>3150</v>
      </c>
      <c r="B339" s="27" t="s">
        <v>2675</v>
      </c>
      <c r="C339" s="54" t="s">
        <v>2711</v>
      </c>
      <c r="D339" s="27" t="s">
        <v>2330</v>
      </c>
      <c r="E339" s="27" t="s">
        <v>2344</v>
      </c>
      <c r="F339" s="55" t="str">
        <f>VLOOKUP(Клиенты[[#This Row],[GardenaChannel]],GardenChannel[[GardenChannel]:[Sales manager]],2,0)</f>
        <v>КОРНИЛИН ИЛЬЯ</v>
      </c>
      <c r="H339" s="27" t="s">
        <v>2675</v>
      </c>
    </row>
    <row r="340" spans="1:8" x14ac:dyDescent="0.25">
      <c r="A340" s="32" t="s">
        <v>3151</v>
      </c>
      <c r="B340" s="27" t="s">
        <v>2675</v>
      </c>
      <c r="C340" s="54" t="s">
        <v>2712</v>
      </c>
      <c r="D340" s="27" t="s">
        <v>2330</v>
      </c>
      <c r="E340" s="27" t="s">
        <v>2331</v>
      </c>
      <c r="F340" s="55" t="str">
        <f>VLOOKUP(Клиенты[[#This Row],[GardenaChannel]],GardenChannel[[GardenChannel]:[Sales manager]],2,0)</f>
        <v>КОРНИЛИН ИЛЬЯ</v>
      </c>
      <c r="H340" s="27" t="s">
        <v>2675</v>
      </c>
    </row>
    <row r="341" spans="1:8" x14ac:dyDescent="0.25">
      <c r="A341" s="32" t="s">
        <v>3152</v>
      </c>
      <c r="B341" s="27" t="s">
        <v>2675</v>
      </c>
      <c r="C341" s="54" t="s">
        <v>2713</v>
      </c>
      <c r="D341" s="27" t="s">
        <v>2330</v>
      </c>
      <c r="E341" s="27" t="s">
        <v>2331</v>
      </c>
      <c r="F341" s="55" t="str">
        <f>VLOOKUP(Клиенты[[#This Row],[GardenaChannel]],GardenChannel[[GardenChannel]:[Sales manager]],2,0)</f>
        <v>КОРНИЛИН ИЛЬЯ</v>
      </c>
      <c r="H341" s="27" t="s">
        <v>2675</v>
      </c>
    </row>
    <row r="342" spans="1:8" x14ac:dyDescent="0.25">
      <c r="A342" s="32" t="s">
        <v>3153</v>
      </c>
      <c r="B342" s="27" t="s">
        <v>2675</v>
      </c>
      <c r="C342" s="54" t="s">
        <v>2714</v>
      </c>
      <c r="D342" s="27" t="s">
        <v>2330</v>
      </c>
      <c r="E342" s="27" t="s">
        <v>2344</v>
      </c>
      <c r="F342" s="55" t="str">
        <f>VLOOKUP(Клиенты[[#This Row],[GardenaChannel]],GardenChannel[[GardenChannel]:[Sales manager]],2,0)</f>
        <v>КОРНИЛИН ИЛЬЯ</v>
      </c>
      <c r="H342" s="27" t="s">
        <v>2675</v>
      </c>
    </row>
    <row r="343" spans="1:8" x14ac:dyDescent="0.25">
      <c r="A343" s="32" t="s">
        <v>3154</v>
      </c>
      <c r="B343" s="27" t="s">
        <v>2675</v>
      </c>
      <c r="C343" s="54" t="s">
        <v>2715</v>
      </c>
      <c r="D343" s="27" t="s">
        <v>2330</v>
      </c>
      <c r="E343" s="27" t="s">
        <v>2331</v>
      </c>
      <c r="F343" s="55" t="str">
        <f>VLOOKUP(Клиенты[[#This Row],[GardenaChannel]],GardenChannel[[GardenChannel]:[Sales manager]],2,0)</f>
        <v>КОРНИЛИН ИЛЬЯ</v>
      </c>
      <c r="H343" s="27" t="s">
        <v>2675</v>
      </c>
    </row>
    <row r="344" spans="1:8" x14ac:dyDescent="0.25">
      <c r="A344" s="32" t="s">
        <v>3155</v>
      </c>
      <c r="B344" s="27" t="s">
        <v>2675</v>
      </c>
      <c r="C344" s="54" t="s">
        <v>2716</v>
      </c>
      <c r="D344" s="27" t="s">
        <v>2330</v>
      </c>
      <c r="E344" s="27" t="s">
        <v>2331</v>
      </c>
      <c r="F344" s="55" t="str">
        <f>VLOOKUP(Клиенты[[#This Row],[GardenaChannel]],GardenChannel[[GardenChannel]:[Sales manager]],2,0)</f>
        <v>КОРНИЛИН ИЛЬЯ</v>
      </c>
      <c r="H344" s="27" t="s">
        <v>2675</v>
      </c>
    </row>
    <row r="345" spans="1:8" x14ac:dyDescent="0.25">
      <c r="A345" s="32" t="s">
        <v>3156</v>
      </c>
      <c r="B345" s="27" t="s">
        <v>2675</v>
      </c>
      <c r="C345" s="54" t="s">
        <v>2717</v>
      </c>
      <c r="D345" s="27" t="s">
        <v>2330</v>
      </c>
      <c r="E345" s="27" t="s">
        <v>2331</v>
      </c>
      <c r="F345" s="55" t="str">
        <f>VLOOKUP(Клиенты[[#This Row],[GardenaChannel]],GardenChannel[[GardenChannel]:[Sales manager]],2,0)</f>
        <v>КОРНИЛИН ИЛЬЯ</v>
      </c>
      <c r="H345" s="27" t="s">
        <v>2675</v>
      </c>
    </row>
    <row r="346" spans="1:8" x14ac:dyDescent="0.25">
      <c r="A346" s="32" t="s">
        <v>3157</v>
      </c>
      <c r="B346" s="27" t="s">
        <v>2675</v>
      </c>
      <c r="C346" s="54" t="s">
        <v>2718</v>
      </c>
      <c r="D346" s="27" t="s">
        <v>2330</v>
      </c>
      <c r="E346" s="27" t="s">
        <v>2331</v>
      </c>
      <c r="F346" s="55" t="str">
        <f>VLOOKUP(Клиенты[[#This Row],[GardenaChannel]],GardenChannel[[GardenChannel]:[Sales manager]],2,0)</f>
        <v>КОРНИЛИН ИЛЬЯ</v>
      </c>
      <c r="H346" s="27" t="s">
        <v>2675</v>
      </c>
    </row>
    <row r="347" spans="1:8" x14ac:dyDescent="0.25">
      <c r="A347" s="32" t="s">
        <v>3158</v>
      </c>
      <c r="B347" s="27" t="s">
        <v>2675</v>
      </c>
      <c r="C347" s="54" t="s">
        <v>2719</v>
      </c>
      <c r="D347" s="27" t="s">
        <v>2330</v>
      </c>
      <c r="E347" s="27" t="s">
        <v>2331</v>
      </c>
      <c r="F347" s="55" t="str">
        <f>VLOOKUP(Клиенты[[#This Row],[GardenaChannel]],GardenChannel[[GardenChannel]:[Sales manager]],2,0)</f>
        <v>КОРНИЛИН ИЛЬЯ</v>
      </c>
      <c r="H347" s="27" t="s">
        <v>2675</v>
      </c>
    </row>
    <row r="348" spans="1:8" x14ac:dyDescent="0.25">
      <c r="A348" s="32" t="s">
        <v>3159</v>
      </c>
      <c r="B348" s="27" t="s">
        <v>2675</v>
      </c>
      <c r="C348" s="54" t="s">
        <v>2720</v>
      </c>
      <c r="D348" s="27" t="s">
        <v>2330</v>
      </c>
      <c r="E348" s="27" t="s">
        <v>2331</v>
      </c>
      <c r="F348" s="55" t="str">
        <f>VLOOKUP(Клиенты[[#This Row],[GardenaChannel]],GardenChannel[[GardenChannel]:[Sales manager]],2,0)</f>
        <v>КОРНИЛИН ИЛЬЯ</v>
      </c>
      <c r="H348" s="27" t="s">
        <v>2675</v>
      </c>
    </row>
    <row r="349" spans="1:8" x14ac:dyDescent="0.25">
      <c r="A349" s="32" t="s">
        <v>3160</v>
      </c>
      <c r="B349" s="27" t="s">
        <v>2675</v>
      </c>
      <c r="C349" s="54" t="s">
        <v>2721</v>
      </c>
      <c r="D349" s="27" t="s">
        <v>2330</v>
      </c>
      <c r="E349" s="27" t="s">
        <v>2331</v>
      </c>
      <c r="F349" s="55" t="str">
        <f>VLOOKUP(Клиенты[[#This Row],[GardenaChannel]],GardenChannel[[GardenChannel]:[Sales manager]],2,0)</f>
        <v>КОРНИЛИН ИЛЬЯ</v>
      </c>
      <c r="H349" s="27" t="s">
        <v>2675</v>
      </c>
    </row>
    <row r="350" spans="1:8" x14ac:dyDescent="0.25">
      <c r="A350" s="32" t="s">
        <v>3161</v>
      </c>
      <c r="B350" s="27" t="s">
        <v>2675</v>
      </c>
      <c r="C350" s="54" t="s">
        <v>2722</v>
      </c>
      <c r="D350" s="27" t="s">
        <v>2330</v>
      </c>
      <c r="E350" s="27" t="s">
        <v>2344</v>
      </c>
      <c r="F350" s="55" t="str">
        <f>VLOOKUP(Клиенты[[#This Row],[GardenaChannel]],GardenChannel[[GardenChannel]:[Sales manager]],2,0)</f>
        <v>КОРНИЛИН ИЛЬЯ</v>
      </c>
      <c r="H350" s="27" t="s">
        <v>2675</v>
      </c>
    </row>
    <row r="351" spans="1:8" x14ac:dyDescent="0.25">
      <c r="A351" s="32" t="s">
        <v>3162</v>
      </c>
      <c r="B351" s="27" t="s">
        <v>2675</v>
      </c>
      <c r="C351" s="54" t="s">
        <v>2723</v>
      </c>
      <c r="D351" s="27" t="s">
        <v>2330</v>
      </c>
      <c r="E351" s="27" t="s">
        <v>2331</v>
      </c>
      <c r="F351" s="55" t="str">
        <f>VLOOKUP(Клиенты[[#This Row],[GardenaChannel]],GardenChannel[[GardenChannel]:[Sales manager]],2,0)</f>
        <v>КОРНИЛИН ИЛЬЯ</v>
      </c>
      <c r="H351" s="27" t="s">
        <v>2675</v>
      </c>
    </row>
    <row r="352" spans="1:8" x14ac:dyDescent="0.25">
      <c r="A352" s="32" t="s">
        <v>3163</v>
      </c>
      <c r="B352" s="27" t="s">
        <v>2675</v>
      </c>
      <c r="C352" s="54" t="s">
        <v>2724</v>
      </c>
      <c r="D352" s="27" t="s">
        <v>2330</v>
      </c>
      <c r="E352" s="27" t="s">
        <v>2344</v>
      </c>
      <c r="F352" s="55" t="str">
        <f>VLOOKUP(Клиенты[[#This Row],[GardenaChannel]],GardenChannel[[GardenChannel]:[Sales manager]],2,0)</f>
        <v>КОРНИЛИН ИЛЬЯ</v>
      </c>
      <c r="H352" s="27" t="s">
        <v>2675</v>
      </c>
    </row>
    <row r="353" spans="1:8" x14ac:dyDescent="0.25">
      <c r="A353" s="32" t="s">
        <v>3164</v>
      </c>
      <c r="B353" s="27" t="s">
        <v>2675</v>
      </c>
      <c r="C353" s="54" t="s">
        <v>2725</v>
      </c>
      <c r="D353" s="27" t="s">
        <v>2330</v>
      </c>
      <c r="E353" s="27" t="s">
        <v>2331</v>
      </c>
      <c r="F353" s="55" t="str">
        <f>VLOOKUP(Клиенты[[#This Row],[GardenaChannel]],GardenChannel[[GardenChannel]:[Sales manager]],2,0)</f>
        <v>КОРНИЛИН ИЛЬЯ</v>
      </c>
      <c r="H353" s="27" t="s">
        <v>2675</v>
      </c>
    </row>
    <row r="354" spans="1:8" x14ac:dyDescent="0.25">
      <c r="A354" s="32" t="s">
        <v>3165</v>
      </c>
      <c r="B354" s="27" t="s">
        <v>2675</v>
      </c>
      <c r="C354" s="54" t="s">
        <v>2726</v>
      </c>
      <c r="D354" s="27" t="s">
        <v>2330</v>
      </c>
      <c r="E354" s="27" t="s">
        <v>2331</v>
      </c>
      <c r="F354" s="55" t="str">
        <f>VLOOKUP(Клиенты[[#This Row],[GardenaChannel]],GardenChannel[[GardenChannel]:[Sales manager]],2,0)</f>
        <v>КОРНИЛИН ИЛЬЯ</v>
      </c>
      <c r="H354" s="27" t="s">
        <v>2675</v>
      </c>
    </row>
    <row r="355" spans="1:8" x14ac:dyDescent="0.25">
      <c r="A355" s="32" t="s">
        <v>3166</v>
      </c>
      <c r="B355" s="27" t="s">
        <v>2675</v>
      </c>
      <c r="C355" s="54" t="s">
        <v>2727</v>
      </c>
      <c r="D355" s="27" t="s">
        <v>2330</v>
      </c>
      <c r="E355" s="27" t="s">
        <v>2344</v>
      </c>
      <c r="F355" s="55" t="str">
        <f>VLOOKUP(Клиенты[[#This Row],[GardenaChannel]],GardenChannel[[GardenChannel]:[Sales manager]],2,0)</f>
        <v>КОРНИЛИН ИЛЬЯ</v>
      </c>
      <c r="H355" s="27" t="s">
        <v>2675</v>
      </c>
    </row>
    <row r="356" spans="1:8" x14ac:dyDescent="0.25">
      <c r="A356" s="32" t="s">
        <v>3167</v>
      </c>
      <c r="B356" s="27" t="s">
        <v>2675</v>
      </c>
      <c r="C356" s="54" t="s">
        <v>2728</v>
      </c>
      <c r="D356" s="27" t="s">
        <v>2330</v>
      </c>
      <c r="E356" s="27" t="s">
        <v>2331</v>
      </c>
      <c r="F356" s="55" t="str">
        <f>VLOOKUP(Клиенты[[#This Row],[GardenaChannel]],GardenChannel[[GardenChannel]:[Sales manager]],2,0)</f>
        <v>КОРНИЛИН ИЛЬЯ</v>
      </c>
      <c r="H356" s="27" t="s">
        <v>2675</v>
      </c>
    </row>
    <row r="357" spans="1:8" x14ac:dyDescent="0.25">
      <c r="A357" s="32" t="s">
        <v>3168</v>
      </c>
      <c r="B357" s="27" t="s">
        <v>2675</v>
      </c>
      <c r="C357" s="54" t="s">
        <v>2729</v>
      </c>
      <c r="D357" s="27" t="s">
        <v>2330</v>
      </c>
      <c r="E357" s="27" t="s">
        <v>2368</v>
      </c>
      <c r="F357" s="55" t="str">
        <f>VLOOKUP(Клиенты[[#This Row],[GardenaChannel]],GardenChannel[[GardenChannel]:[Sales manager]],2,0)</f>
        <v>КОРНИЛИН ИЛЬЯ</v>
      </c>
      <c r="H357" s="27" t="s">
        <v>2675</v>
      </c>
    </row>
    <row r="358" spans="1:8" x14ac:dyDescent="0.25">
      <c r="A358" s="32" t="s">
        <v>3169</v>
      </c>
      <c r="B358" s="27" t="s">
        <v>2675</v>
      </c>
      <c r="C358" s="54" t="s">
        <v>2730</v>
      </c>
      <c r="D358" s="27" t="s">
        <v>2330</v>
      </c>
      <c r="E358" s="27" t="s">
        <v>2331</v>
      </c>
      <c r="F358" s="55" t="str">
        <f>VLOOKUP(Клиенты[[#This Row],[GardenaChannel]],GardenChannel[[GardenChannel]:[Sales manager]],2,0)</f>
        <v>КОРНИЛИН ИЛЬЯ</v>
      </c>
      <c r="H358" s="27" t="s">
        <v>2675</v>
      </c>
    </row>
    <row r="359" spans="1:8" x14ac:dyDescent="0.25">
      <c r="A359" s="32" t="s">
        <v>3170</v>
      </c>
      <c r="B359" s="27" t="s">
        <v>2675</v>
      </c>
      <c r="C359" s="54" t="s">
        <v>2731</v>
      </c>
      <c r="D359" s="27" t="s">
        <v>2330</v>
      </c>
      <c r="E359" s="27" t="s">
        <v>2331</v>
      </c>
      <c r="F359" s="55" t="str">
        <f>VLOOKUP(Клиенты[[#This Row],[GardenaChannel]],GardenChannel[[GardenChannel]:[Sales manager]],2,0)</f>
        <v>КОРНИЛИН ИЛЬЯ</v>
      </c>
      <c r="H359" s="27" t="s">
        <v>2675</v>
      </c>
    </row>
    <row r="360" spans="1:8" x14ac:dyDescent="0.25">
      <c r="A360" s="32" t="s">
        <v>3171</v>
      </c>
      <c r="B360" s="27" t="s">
        <v>2675</v>
      </c>
      <c r="C360" s="54" t="s">
        <v>2732</v>
      </c>
      <c r="D360" s="27" t="s">
        <v>2330</v>
      </c>
      <c r="E360" s="27" t="s">
        <v>2331</v>
      </c>
      <c r="F360" s="55" t="str">
        <f>VLOOKUP(Клиенты[[#This Row],[GardenaChannel]],GardenChannel[[GardenChannel]:[Sales manager]],2,0)</f>
        <v>КОРНИЛИН ИЛЬЯ</v>
      </c>
      <c r="H360" s="27" t="s">
        <v>2675</v>
      </c>
    </row>
    <row r="361" spans="1:8" x14ac:dyDescent="0.25">
      <c r="A361" s="32" t="s">
        <v>3172</v>
      </c>
      <c r="B361" s="27" t="s">
        <v>2675</v>
      </c>
      <c r="C361" s="54" t="s">
        <v>2733</v>
      </c>
      <c r="D361" s="27" t="s">
        <v>2330</v>
      </c>
      <c r="E361" s="27" t="s">
        <v>2331</v>
      </c>
      <c r="F361" s="55" t="str">
        <f>VLOOKUP(Клиенты[[#This Row],[GardenaChannel]],GardenChannel[[GardenChannel]:[Sales manager]],2,0)</f>
        <v>КОРНИЛИН ИЛЬЯ</v>
      </c>
      <c r="H361" s="27" t="s">
        <v>2675</v>
      </c>
    </row>
    <row r="362" spans="1:8" x14ac:dyDescent="0.25">
      <c r="A362" s="32" t="s">
        <v>3173</v>
      </c>
      <c r="B362" s="27" t="s">
        <v>2675</v>
      </c>
      <c r="C362" s="54" t="s">
        <v>2734</v>
      </c>
      <c r="D362" s="27" t="s">
        <v>2330</v>
      </c>
      <c r="E362" s="27" t="s">
        <v>2331</v>
      </c>
      <c r="F362" s="55" t="str">
        <f>VLOOKUP(Клиенты[[#This Row],[GardenaChannel]],GardenChannel[[GardenChannel]:[Sales manager]],2,0)</f>
        <v>КОРНИЛИН ИЛЬЯ</v>
      </c>
      <c r="H362" s="27" t="s">
        <v>2675</v>
      </c>
    </row>
    <row r="363" spans="1:8" x14ac:dyDescent="0.25">
      <c r="A363" s="32" t="s">
        <v>3174</v>
      </c>
      <c r="B363" s="27" t="s">
        <v>2675</v>
      </c>
      <c r="C363" s="54" t="s">
        <v>2735</v>
      </c>
      <c r="D363" s="27" t="s">
        <v>2330</v>
      </c>
      <c r="E363" s="27" t="s">
        <v>2331</v>
      </c>
      <c r="F363" s="55" t="str">
        <f>VLOOKUP(Клиенты[[#This Row],[GardenaChannel]],GardenChannel[[GardenChannel]:[Sales manager]],2,0)</f>
        <v>КОРНИЛИН ИЛЬЯ</v>
      </c>
      <c r="H363" s="27" t="s">
        <v>2675</v>
      </c>
    </row>
    <row r="364" spans="1:8" x14ac:dyDescent="0.25">
      <c r="A364" s="32" t="s">
        <v>3175</v>
      </c>
      <c r="B364" s="27" t="s">
        <v>2675</v>
      </c>
      <c r="C364" s="54" t="s">
        <v>2736</v>
      </c>
      <c r="D364" s="27" t="s">
        <v>2330</v>
      </c>
      <c r="E364" s="27" t="s">
        <v>2331</v>
      </c>
      <c r="F364" s="55" t="str">
        <f>VLOOKUP(Клиенты[[#This Row],[GardenaChannel]],GardenChannel[[GardenChannel]:[Sales manager]],2,0)</f>
        <v>КОРНИЛИН ИЛЬЯ</v>
      </c>
      <c r="H364" s="27" t="s">
        <v>2675</v>
      </c>
    </row>
    <row r="365" spans="1:8" x14ac:dyDescent="0.25">
      <c r="A365" s="32" t="s">
        <v>3176</v>
      </c>
      <c r="B365" s="27" t="s">
        <v>2675</v>
      </c>
      <c r="C365" s="54" t="s">
        <v>2737</v>
      </c>
      <c r="D365" s="27" t="s">
        <v>2330</v>
      </c>
      <c r="E365" s="27" t="s">
        <v>2331</v>
      </c>
      <c r="F365" s="55" t="str">
        <f>VLOOKUP(Клиенты[[#This Row],[GardenaChannel]],GardenChannel[[GardenChannel]:[Sales manager]],2,0)</f>
        <v>КОРНИЛИН ИЛЬЯ</v>
      </c>
      <c r="H365" s="27" t="s">
        <v>2675</v>
      </c>
    </row>
    <row r="366" spans="1:8" x14ac:dyDescent="0.25">
      <c r="A366" s="32" t="s">
        <v>3177</v>
      </c>
      <c r="B366" s="27" t="s">
        <v>2675</v>
      </c>
      <c r="C366" s="54" t="s">
        <v>2738</v>
      </c>
      <c r="D366" s="27" t="s">
        <v>2330</v>
      </c>
      <c r="E366" s="27" t="s">
        <v>2331</v>
      </c>
      <c r="F366" s="55" t="str">
        <f>VLOOKUP(Клиенты[[#This Row],[GardenaChannel]],GardenChannel[[GardenChannel]:[Sales manager]],2,0)</f>
        <v>КОРНИЛИН ИЛЬЯ</v>
      </c>
      <c r="H366" s="27" t="s">
        <v>2675</v>
      </c>
    </row>
    <row r="367" spans="1:8" x14ac:dyDescent="0.25">
      <c r="A367" s="32" t="s">
        <v>3178</v>
      </c>
      <c r="B367" s="27" t="s">
        <v>2675</v>
      </c>
      <c r="C367" s="54" t="s">
        <v>2739</v>
      </c>
      <c r="D367" s="27" t="s">
        <v>2330</v>
      </c>
      <c r="E367" s="27" t="s">
        <v>2331</v>
      </c>
      <c r="F367" s="55" t="str">
        <f>VLOOKUP(Клиенты[[#This Row],[GardenaChannel]],GardenChannel[[GardenChannel]:[Sales manager]],2,0)</f>
        <v>КОРНИЛИН ИЛЬЯ</v>
      </c>
      <c r="H367" s="27" t="s">
        <v>2675</v>
      </c>
    </row>
    <row r="368" spans="1:8" x14ac:dyDescent="0.25">
      <c r="A368" s="32" t="s">
        <v>3179</v>
      </c>
      <c r="B368" s="27" t="s">
        <v>2675</v>
      </c>
      <c r="C368" s="54" t="s">
        <v>2740</v>
      </c>
      <c r="D368" s="27" t="s">
        <v>2330</v>
      </c>
      <c r="E368" s="27" t="s">
        <v>2331</v>
      </c>
      <c r="F368" s="55" t="str">
        <f>VLOOKUP(Клиенты[[#This Row],[GardenaChannel]],GardenChannel[[GardenChannel]:[Sales manager]],2,0)</f>
        <v>КОРНИЛИН ИЛЬЯ</v>
      </c>
      <c r="H368" s="27" t="s">
        <v>2675</v>
      </c>
    </row>
    <row r="369" spans="1:8" x14ac:dyDescent="0.25">
      <c r="A369" s="32" t="s">
        <v>3180</v>
      </c>
      <c r="B369" s="27" t="s">
        <v>2675</v>
      </c>
      <c r="C369" s="54" t="s">
        <v>2741</v>
      </c>
      <c r="D369" s="27" t="s">
        <v>2330</v>
      </c>
      <c r="E369" s="27" t="s">
        <v>2331</v>
      </c>
      <c r="F369" s="55" t="str">
        <f>VLOOKUP(Клиенты[[#This Row],[GardenaChannel]],GardenChannel[[GardenChannel]:[Sales manager]],2,0)</f>
        <v>КОРНИЛИН ИЛЬЯ</v>
      </c>
      <c r="H369" s="27" t="s">
        <v>2675</v>
      </c>
    </row>
    <row r="370" spans="1:8" x14ac:dyDescent="0.25">
      <c r="A370" s="32" t="s">
        <v>3181</v>
      </c>
      <c r="B370" s="27" t="s">
        <v>2675</v>
      </c>
      <c r="C370" s="54" t="s">
        <v>2742</v>
      </c>
      <c r="D370" s="27" t="s">
        <v>2330</v>
      </c>
      <c r="E370" s="27" t="s">
        <v>2331</v>
      </c>
      <c r="F370" s="55" t="str">
        <f>VLOOKUP(Клиенты[[#This Row],[GardenaChannel]],GardenChannel[[GardenChannel]:[Sales manager]],2,0)</f>
        <v>КОРНИЛИН ИЛЬЯ</v>
      </c>
      <c r="H370" s="27" t="s">
        <v>2675</v>
      </c>
    </row>
    <row r="371" spans="1:8" x14ac:dyDescent="0.25">
      <c r="A371" s="32" t="s">
        <v>3182</v>
      </c>
      <c r="B371" s="27" t="s">
        <v>2675</v>
      </c>
      <c r="C371" s="54" t="s">
        <v>2743</v>
      </c>
      <c r="D371" s="27" t="s">
        <v>2330</v>
      </c>
      <c r="E371" s="27" t="s">
        <v>2331</v>
      </c>
      <c r="F371" s="55" t="str">
        <f>VLOOKUP(Клиенты[[#This Row],[GardenaChannel]],GardenChannel[[GardenChannel]:[Sales manager]],2,0)</f>
        <v>КОРНИЛИН ИЛЬЯ</v>
      </c>
      <c r="H371" s="27" t="s">
        <v>2675</v>
      </c>
    </row>
    <row r="372" spans="1:8" x14ac:dyDescent="0.25">
      <c r="A372" s="32" t="s">
        <v>3183</v>
      </c>
      <c r="B372" s="27" t="s">
        <v>2675</v>
      </c>
      <c r="C372" s="54" t="s">
        <v>2744</v>
      </c>
      <c r="D372" s="27" t="s">
        <v>2330</v>
      </c>
      <c r="E372" s="27" t="s">
        <v>2331</v>
      </c>
      <c r="F372" s="55" t="str">
        <f>VLOOKUP(Клиенты[[#This Row],[GardenaChannel]],GardenChannel[[GardenChannel]:[Sales manager]],2,0)</f>
        <v>КОРНИЛИН ИЛЬЯ</v>
      </c>
      <c r="H372" s="27" t="s">
        <v>2675</v>
      </c>
    </row>
    <row r="373" spans="1:8" x14ac:dyDescent="0.25">
      <c r="A373" s="32" t="s">
        <v>3184</v>
      </c>
      <c r="B373" s="27" t="s">
        <v>50</v>
      </c>
      <c r="C373" s="54" t="s">
        <v>2745</v>
      </c>
      <c r="D373" s="27" t="s">
        <v>2330</v>
      </c>
      <c r="E373" s="27" t="s">
        <v>2331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3185</v>
      </c>
      <c r="B374" s="27" t="s">
        <v>50</v>
      </c>
      <c r="C374" s="54" t="s">
        <v>2746</v>
      </c>
      <c r="D374" s="27" t="s">
        <v>2330</v>
      </c>
      <c r="E374" s="27" t="s">
        <v>2331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3186</v>
      </c>
      <c r="B375" s="27" t="s">
        <v>50</v>
      </c>
      <c r="C375" s="54" t="s">
        <v>2747</v>
      </c>
      <c r="D375" s="27" t="s">
        <v>2330</v>
      </c>
      <c r="E375" s="27" t="s">
        <v>2331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3187</v>
      </c>
      <c r="B376" s="27" t="s">
        <v>50</v>
      </c>
      <c r="C376" s="54" t="s">
        <v>2748</v>
      </c>
      <c r="D376" s="27" t="s">
        <v>2330</v>
      </c>
      <c r="E376" s="27" t="s">
        <v>2331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3188</v>
      </c>
      <c r="B377" s="27" t="s">
        <v>50</v>
      </c>
      <c r="C377" s="54" t="s">
        <v>2749</v>
      </c>
      <c r="D377" s="27" t="s">
        <v>2330</v>
      </c>
      <c r="E377" s="27" t="s">
        <v>2331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3189</v>
      </c>
      <c r="B378" s="27" t="s">
        <v>50</v>
      </c>
      <c r="C378" s="54" t="s">
        <v>2750</v>
      </c>
      <c r="D378" s="27" t="s">
        <v>2330</v>
      </c>
      <c r="E378" s="27" t="s">
        <v>2331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3190</v>
      </c>
      <c r="B379" s="27" t="s">
        <v>50</v>
      </c>
      <c r="C379" s="54" t="s">
        <v>2751</v>
      </c>
      <c r="D379" s="27" t="s">
        <v>2330</v>
      </c>
      <c r="E379" s="27" t="s">
        <v>2331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3191</v>
      </c>
      <c r="B380" s="27" t="s">
        <v>50</v>
      </c>
      <c r="C380" s="54" t="s">
        <v>2752</v>
      </c>
      <c r="D380" s="27" t="s">
        <v>2330</v>
      </c>
      <c r="E380" s="27" t="s">
        <v>2331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3192</v>
      </c>
      <c r="B381" s="27" t="s">
        <v>50</v>
      </c>
      <c r="C381" s="54" t="s">
        <v>2753</v>
      </c>
      <c r="D381" s="27" t="s">
        <v>2330</v>
      </c>
      <c r="E381" s="27" t="s">
        <v>2331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3193</v>
      </c>
      <c r="B382" s="27" t="s">
        <v>50</v>
      </c>
      <c r="C382" s="54" t="s">
        <v>2754</v>
      </c>
      <c r="D382" s="27" t="s">
        <v>2330</v>
      </c>
      <c r="E382" s="27" t="s">
        <v>2331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3194</v>
      </c>
      <c r="B383" s="27" t="s">
        <v>50</v>
      </c>
      <c r="C383" s="54" t="s">
        <v>2755</v>
      </c>
      <c r="D383" s="27" t="s">
        <v>2330</v>
      </c>
      <c r="E383" s="27" t="s">
        <v>2344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3195</v>
      </c>
      <c r="B384" s="27" t="s">
        <v>50</v>
      </c>
      <c r="C384" s="54" t="s">
        <v>2756</v>
      </c>
      <c r="D384" s="27" t="s">
        <v>2330</v>
      </c>
      <c r="E384" s="27" t="s">
        <v>2331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3196</v>
      </c>
      <c r="B385" s="27" t="s">
        <v>50</v>
      </c>
      <c r="C385" s="54" t="s">
        <v>2757</v>
      </c>
      <c r="D385" s="27" t="s">
        <v>2330</v>
      </c>
      <c r="E385" s="27" t="s">
        <v>2331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3197</v>
      </c>
      <c r="B386" s="27" t="s">
        <v>50</v>
      </c>
      <c r="C386" s="54" t="s">
        <v>2758</v>
      </c>
      <c r="D386" s="27" t="s">
        <v>2330</v>
      </c>
      <c r="E386" s="27" t="s">
        <v>2331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3198</v>
      </c>
      <c r="B387" s="27" t="s">
        <v>50</v>
      </c>
      <c r="C387" s="54" t="s">
        <v>2759</v>
      </c>
      <c r="D387" s="27" t="s">
        <v>2330</v>
      </c>
      <c r="E387" s="27" t="s">
        <v>2331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3199</v>
      </c>
      <c r="B388" s="27" t="s">
        <v>50</v>
      </c>
      <c r="C388" s="54" t="s">
        <v>2760</v>
      </c>
      <c r="D388" s="27" t="s">
        <v>2330</v>
      </c>
      <c r="E388" s="27" t="s">
        <v>2331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3200</v>
      </c>
      <c r="B389" s="27" t="s">
        <v>50</v>
      </c>
      <c r="C389" s="54" t="s">
        <v>2761</v>
      </c>
      <c r="D389" s="27" t="s">
        <v>2330</v>
      </c>
      <c r="E389" s="27" t="s">
        <v>2368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3201</v>
      </c>
      <c r="B390" s="27" t="s">
        <v>50</v>
      </c>
      <c r="C390" s="54" t="s">
        <v>2762</v>
      </c>
      <c r="D390" s="27" t="s">
        <v>2330</v>
      </c>
      <c r="E390" s="27" t="s">
        <v>2331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3202</v>
      </c>
      <c r="B391" s="27" t="s">
        <v>50</v>
      </c>
      <c r="C391" s="54" t="s">
        <v>2763</v>
      </c>
      <c r="D391" s="27" t="s">
        <v>2330</v>
      </c>
      <c r="E391" s="27" t="s">
        <v>2331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3203</v>
      </c>
      <c r="B392" s="27" t="s">
        <v>50</v>
      </c>
      <c r="C392" s="54" t="s">
        <v>2764</v>
      </c>
      <c r="D392" s="27" t="s">
        <v>2330</v>
      </c>
      <c r="E392" s="27" t="s">
        <v>2344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3204</v>
      </c>
      <c r="B393" s="27" t="s">
        <v>50</v>
      </c>
      <c r="C393" s="54" t="s">
        <v>2765</v>
      </c>
      <c r="D393" s="27" t="s">
        <v>2330</v>
      </c>
      <c r="E393" s="27" t="s">
        <v>2331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3205</v>
      </c>
      <c r="B394" s="27" t="s">
        <v>50</v>
      </c>
      <c r="C394" s="54" t="s">
        <v>2766</v>
      </c>
      <c r="D394" s="27" t="s">
        <v>2330</v>
      </c>
      <c r="E394" s="27" t="s">
        <v>2331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3206</v>
      </c>
      <c r="B395" s="27" t="s">
        <v>50</v>
      </c>
      <c r="C395" s="54" t="s">
        <v>2767</v>
      </c>
      <c r="D395" s="27" t="s">
        <v>2330</v>
      </c>
      <c r="E395" s="27" t="s">
        <v>2331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3207</v>
      </c>
      <c r="B396" s="27" t="s">
        <v>50</v>
      </c>
      <c r="C396" s="54" t="s">
        <v>2768</v>
      </c>
      <c r="D396" s="27" t="s">
        <v>2330</v>
      </c>
      <c r="E396" s="27" t="s">
        <v>2331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3208</v>
      </c>
      <c r="B397" s="27" t="s">
        <v>50</v>
      </c>
      <c r="C397" s="54" t="s">
        <v>2769</v>
      </c>
      <c r="D397" s="27" t="s">
        <v>2330</v>
      </c>
      <c r="E397" s="27" t="s">
        <v>2331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3209</v>
      </c>
      <c r="B398" s="27" t="s">
        <v>50</v>
      </c>
      <c r="C398" s="54" t="s">
        <v>2770</v>
      </c>
      <c r="D398" s="27" t="s">
        <v>2330</v>
      </c>
      <c r="E398" s="27" t="s">
        <v>2331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3210</v>
      </c>
      <c r="B399" s="27" t="s">
        <v>50</v>
      </c>
      <c r="C399" s="54" t="s">
        <v>2771</v>
      </c>
      <c r="D399" s="27" t="s">
        <v>2330</v>
      </c>
      <c r="E399" s="27" t="s">
        <v>2331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3211</v>
      </c>
      <c r="B400" s="27" t="s">
        <v>50</v>
      </c>
      <c r="C400" s="54" t="s">
        <v>2772</v>
      </c>
      <c r="D400" s="27" t="s">
        <v>2330</v>
      </c>
      <c r="E400" s="27" t="s">
        <v>2331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3212</v>
      </c>
      <c r="B401" s="27" t="s">
        <v>50</v>
      </c>
      <c r="C401" s="54" t="s">
        <v>2773</v>
      </c>
      <c r="D401" s="27" t="s">
        <v>2330</v>
      </c>
      <c r="E401" s="27" t="s">
        <v>2331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3213</v>
      </c>
      <c r="B402" s="27" t="s">
        <v>50</v>
      </c>
      <c r="C402" s="54" t="s">
        <v>2774</v>
      </c>
      <c r="D402" s="27" t="s">
        <v>2330</v>
      </c>
      <c r="E402" s="27" t="s">
        <v>2331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3214</v>
      </c>
      <c r="B403" s="27" t="s">
        <v>50</v>
      </c>
      <c r="C403" s="54" t="s">
        <v>2775</v>
      </c>
      <c r="D403" s="27" t="s">
        <v>2330</v>
      </c>
      <c r="E403" s="27" t="s">
        <v>2331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3215</v>
      </c>
      <c r="B404" s="27" t="s">
        <v>50</v>
      </c>
      <c r="C404" s="54" t="s">
        <v>2776</v>
      </c>
      <c r="D404" s="27" t="s">
        <v>2330</v>
      </c>
      <c r="E404" s="27" t="s">
        <v>2331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3216</v>
      </c>
      <c r="B405" s="27" t="s">
        <v>50</v>
      </c>
      <c r="C405" s="54" t="s">
        <v>2777</v>
      </c>
      <c r="D405" s="27" t="s">
        <v>2330</v>
      </c>
      <c r="E405" s="27" t="s">
        <v>2331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3217</v>
      </c>
      <c r="B406" s="27" t="s">
        <v>50</v>
      </c>
      <c r="C406" s="54" t="s">
        <v>2778</v>
      </c>
      <c r="D406" s="27" t="s">
        <v>2330</v>
      </c>
      <c r="E406" s="27" t="s">
        <v>2331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3218</v>
      </c>
      <c r="B407" s="27" t="s">
        <v>50</v>
      </c>
      <c r="C407" s="54" t="s">
        <v>2779</v>
      </c>
      <c r="D407" s="27" t="s">
        <v>2330</v>
      </c>
      <c r="E407" s="27" t="s">
        <v>2331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3219</v>
      </c>
      <c r="B408" s="27" t="s">
        <v>50</v>
      </c>
      <c r="C408" s="54" t="s">
        <v>2780</v>
      </c>
      <c r="D408" s="27" t="s">
        <v>2330</v>
      </c>
      <c r="E408" s="27" t="s">
        <v>2331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3220</v>
      </c>
      <c r="B409" s="27" t="s">
        <v>50</v>
      </c>
      <c r="C409" s="54" t="s">
        <v>2781</v>
      </c>
      <c r="D409" s="27" t="s">
        <v>2330</v>
      </c>
      <c r="E409" s="27" t="s">
        <v>2331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3221</v>
      </c>
      <c r="B410" s="27" t="s">
        <v>50</v>
      </c>
      <c r="C410" s="54" t="s">
        <v>2782</v>
      </c>
      <c r="D410" s="27" t="s">
        <v>2330</v>
      </c>
      <c r="E410" s="27" t="s">
        <v>2331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3222</v>
      </c>
      <c r="B411" s="27" t="s">
        <v>50</v>
      </c>
      <c r="C411" s="54" t="s">
        <v>2783</v>
      </c>
      <c r="D411" s="27" t="s">
        <v>2330</v>
      </c>
      <c r="E411" s="27" t="s">
        <v>2331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3223</v>
      </c>
      <c r="B412" s="27" t="s">
        <v>50</v>
      </c>
      <c r="C412" s="54" t="s">
        <v>2784</v>
      </c>
      <c r="D412" s="27" t="s">
        <v>2330</v>
      </c>
      <c r="E412" s="27" t="s">
        <v>2331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3224</v>
      </c>
      <c r="B413" s="27" t="s">
        <v>50</v>
      </c>
      <c r="C413" s="54" t="s">
        <v>2785</v>
      </c>
      <c r="D413" s="27" t="s">
        <v>2330</v>
      </c>
      <c r="E413" s="27" t="s">
        <v>2331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3225</v>
      </c>
      <c r="B414" s="27" t="s">
        <v>50</v>
      </c>
      <c r="C414" s="54" t="s">
        <v>2786</v>
      </c>
      <c r="D414" s="27" t="s">
        <v>2330</v>
      </c>
      <c r="E414" s="27" t="s">
        <v>2331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3226</v>
      </c>
      <c r="B415" s="27" t="s">
        <v>50</v>
      </c>
      <c r="C415" s="54" t="s">
        <v>2787</v>
      </c>
      <c r="D415" s="27" t="s">
        <v>2330</v>
      </c>
      <c r="E415" s="27" t="s">
        <v>2344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3227</v>
      </c>
      <c r="B416" s="27" t="s">
        <v>50</v>
      </c>
      <c r="C416" s="54" t="s">
        <v>2788</v>
      </c>
      <c r="D416" s="27" t="s">
        <v>2330</v>
      </c>
      <c r="E416" s="27" t="s">
        <v>2331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3228</v>
      </c>
      <c r="B417" s="27" t="s">
        <v>50</v>
      </c>
      <c r="C417" s="54" t="s">
        <v>2789</v>
      </c>
      <c r="D417" s="27" t="s">
        <v>2330</v>
      </c>
      <c r="E417" s="27" t="s">
        <v>2331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3229</v>
      </c>
      <c r="B418" s="27" t="s">
        <v>50</v>
      </c>
      <c r="C418" s="54" t="s">
        <v>2790</v>
      </c>
      <c r="D418" s="27" t="s">
        <v>2330</v>
      </c>
      <c r="E418" s="27" t="s">
        <v>2331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3230</v>
      </c>
      <c r="B419" s="27" t="s">
        <v>50</v>
      </c>
      <c r="C419" s="54" t="s">
        <v>2791</v>
      </c>
      <c r="D419" s="27" t="s">
        <v>2330</v>
      </c>
      <c r="E419" s="27" t="s">
        <v>2331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3231</v>
      </c>
      <c r="B420" s="27" t="s">
        <v>50</v>
      </c>
      <c r="C420" s="54" t="s">
        <v>2792</v>
      </c>
      <c r="D420" s="27" t="s">
        <v>2330</v>
      </c>
      <c r="E420" s="27" t="s">
        <v>2331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3232</v>
      </c>
      <c r="B421" s="27" t="s">
        <v>50</v>
      </c>
      <c r="C421" s="54" t="s">
        <v>2793</v>
      </c>
      <c r="D421" s="27" t="s">
        <v>2330</v>
      </c>
      <c r="E421" s="27" t="s">
        <v>2331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3233</v>
      </c>
      <c r="B422" s="27" t="s">
        <v>50</v>
      </c>
      <c r="C422" s="54" t="s">
        <v>2794</v>
      </c>
      <c r="D422" s="27" t="s">
        <v>2330</v>
      </c>
      <c r="E422" s="27" t="s">
        <v>2331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3234</v>
      </c>
      <c r="B423" s="27" t="s">
        <v>50</v>
      </c>
      <c r="C423" s="54" t="s">
        <v>2795</v>
      </c>
      <c r="D423" s="27" t="s">
        <v>2330</v>
      </c>
      <c r="E423" s="27" t="s">
        <v>2331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3235</v>
      </c>
      <c r="B424" s="27" t="s">
        <v>50</v>
      </c>
      <c r="C424" s="54" t="s">
        <v>2796</v>
      </c>
      <c r="D424" s="27" t="s">
        <v>2330</v>
      </c>
      <c r="E424" s="27" t="s">
        <v>2331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3236</v>
      </c>
      <c r="B425" s="27" t="s">
        <v>50</v>
      </c>
      <c r="C425" s="54" t="s">
        <v>2797</v>
      </c>
      <c r="D425" s="27" t="s">
        <v>2330</v>
      </c>
      <c r="E425" s="27" t="s">
        <v>2344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3237</v>
      </c>
      <c r="B426" s="27" t="s">
        <v>50</v>
      </c>
      <c r="C426" s="54" t="s">
        <v>2798</v>
      </c>
      <c r="D426" s="27" t="s">
        <v>2330</v>
      </c>
      <c r="E426" s="27" t="s">
        <v>2344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3238</v>
      </c>
      <c r="B427" s="27" t="s">
        <v>50</v>
      </c>
      <c r="C427" s="54" t="s">
        <v>2799</v>
      </c>
      <c r="D427" s="27" t="s">
        <v>2330</v>
      </c>
      <c r="E427" s="27" t="s">
        <v>2344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3239</v>
      </c>
      <c r="B428" s="27" t="s">
        <v>50</v>
      </c>
      <c r="C428" s="54" t="s">
        <v>2800</v>
      </c>
      <c r="D428" s="27" t="s">
        <v>2330</v>
      </c>
      <c r="E428" s="27" t="s">
        <v>2331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3240</v>
      </c>
      <c r="B429" s="27" t="s">
        <v>50</v>
      </c>
      <c r="C429" s="54" t="s">
        <v>2801</v>
      </c>
      <c r="D429" s="27" t="s">
        <v>2330</v>
      </c>
      <c r="E429" s="27" t="s">
        <v>2331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3241</v>
      </c>
      <c r="B430" s="27" t="s">
        <v>50</v>
      </c>
      <c r="C430" s="54" t="s">
        <v>2802</v>
      </c>
      <c r="D430" s="27" t="s">
        <v>2330</v>
      </c>
      <c r="E430" s="27" t="s">
        <v>2331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3242</v>
      </c>
      <c r="B431" s="27" t="s">
        <v>50</v>
      </c>
      <c r="C431" s="54" t="s">
        <v>2803</v>
      </c>
      <c r="D431" s="27" t="s">
        <v>2330</v>
      </c>
      <c r="E431" s="27" t="s">
        <v>2331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3243</v>
      </c>
      <c r="B432" s="27" t="s">
        <v>50</v>
      </c>
      <c r="C432" s="54" t="s">
        <v>2804</v>
      </c>
      <c r="D432" s="27" t="s">
        <v>2330</v>
      </c>
      <c r="E432" s="27" t="s">
        <v>2331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3244</v>
      </c>
      <c r="B433" s="27" t="s">
        <v>50</v>
      </c>
      <c r="C433" s="54" t="s">
        <v>2805</v>
      </c>
      <c r="D433" s="27" t="s">
        <v>2330</v>
      </c>
      <c r="E433" s="27" t="s">
        <v>2344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3245</v>
      </c>
      <c r="B434" s="27" t="s">
        <v>50</v>
      </c>
      <c r="C434" s="54" t="s">
        <v>2806</v>
      </c>
      <c r="D434" s="27" t="s">
        <v>2330</v>
      </c>
      <c r="E434" s="27" t="s">
        <v>2331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3246</v>
      </c>
      <c r="B435" s="27" t="s">
        <v>50</v>
      </c>
      <c r="C435" s="54" t="s">
        <v>2807</v>
      </c>
      <c r="D435" s="27" t="s">
        <v>2330</v>
      </c>
      <c r="E435" s="27" t="s">
        <v>2331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3247</v>
      </c>
      <c r="B436" s="27" t="s">
        <v>50</v>
      </c>
      <c r="C436" s="54" t="s">
        <v>2808</v>
      </c>
      <c r="D436" s="27" t="s">
        <v>2330</v>
      </c>
      <c r="E436" s="27" t="s">
        <v>2331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3248</v>
      </c>
      <c r="B437" s="27" t="s">
        <v>50</v>
      </c>
      <c r="C437" s="54" t="s">
        <v>2809</v>
      </c>
      <c r="D437" s="27" t="s">
        <v>2330</v>
      </c>
      <c r="E437" s="27" t="s">
        <v>2331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3249</v>
      </c>
      <c r="B438" s="27" t="s">
        <v>50</v>
      </c>
      <c r="C438" s="54" t="s">
        <v>2810</v>
      </c>
      <c r="D438" s="27" t="s">
        <v>2330</v>
      </c>
      <c r="E438" s="27" t="s">
        <v>2331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3250</v>
      </c>
      <c r="B439" s="27" t="s">
        <v>50</v>
      </c>
      <c r="C439" s="54" t="s">
        <v>2811</v>
      </c>
      <c r="D439" s="27" t="s">
        <v>2330</v>
      </c>
      <c r="E439" s="27" t="s">
        <v>2331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3251</v>
      </c>
      <c r="B440" s="27" t="s">
        <v>50</v>
      </c>
      <c r="C440" s="54" t="s">
        <v>2812</v>
      </c>
      <c r="D440" s="27" t="s">
        <v>2330</v>
      </c>
      <c r="E440" s="27" t="s">
        <v>2331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C7" sqref="C7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2813</v>
      </c>
      <c r="B2" s="6" t="s">
        <v>2319</v>
      </c>
      <c r="C2" s="6" t="s">
        <v>37</v>
      </c>
      <c r="D2" s="13">
        <v>43831</v>
      </c>
      <c r="E2" s="30" t="s">
        <v>63</v>
      </c>
      <c r="F2" s="6" t="s">
        <v>55</v>
      </c>
      <c r="G2" s="6" t="s">
        <v>57</v>
      </c>
      <c r="H2" s="6" t="s">
        <v>59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2"/>
  <sheetViews>
    <sheetView workbookViewId="0">
      <selection activeCell="I25" sqref="I25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64</v>
      </c>
      <c r="B1" s="6" t="s">
        <v>43</v>
      </c>
      <c r="C1" s="6" t="s">
        <v>44</v>
      </c>
      <c r="D1" s="13" t="s">
        <v>66</v>
      </c>
      <c r="E1" t="s">
        <v>67</v>
      </c>
      <c r="F1" s="7" t="s">
        <v>30</v>
      </c>
      <c r="G1" s="7" t="s">
        <v>32</v>
      </c>
      <c r="H1" s="7" t="s">
        <v>68</v>
      </c>
      <c r="I1" s="7" t="s">
        <v>69</v>
      </c>
      <c r="J1" s="7" t="s">
        <v>34</v>
      </c>
      <c r="K1" s="7" t="s">
        <v>70</v>
      </c>
      <c r="L1" s="7" t="s">
        <v>71</v>
      </c>
      <c r="M1" s="7" t="s">
        <v>72</v>
      </c>
      <c r="N1" s="28" t="s">
        <v>74</v>
      </c>
      <c r="O1" s="28" t="s">
        <v>75</v>
      </c>
      <c r="P1" s="28" t="s">
        <v>76</v>
      </c>
      <c r="Q1" s="28" t="s">
        <v>77</v>
      </c>
      <c r="R1" s="28" t="s">
        <v>78</v>
      </c>
      <c r="S1" s="28" t="s">
        <v>79</v>
      </c>
      <c r="T1" s="28" t="s">
        <v>80</v>
      </c>
      <c r="U1" s="28" t="s">
        <v>81</v>
      </c>
      <c r="V1" s="28" t="s">
        <v>82</v>
      </c>
      <c r="W1" s="28" t="s">
        <v>83</v>
      </c>
      <c r="X1" s="28" t="s">
        <v>84</v>
      </c>
      <c r="Y1" s="28" t="s">
        <v>85</v>
      </c>
      <c r="Z1" s="28" t="s">
        <v>97</v>
      </c>
      <c r="AA1" s="28" t="s">
        <v>86</v>
      </c>
      <c r="AB1" s="28" t="s">
        <v>87</v>
      </c>
      <c r="AC1" s="28" t="s">
        <v>88</v>
      </c>
      <c r="AD1" s="28" t="s">
        <v>89</v>
      </c>
      <c r="AE1" s="28" t="s">
        <v>90</v>
      </c>
      <c r="AF1" s="28" t="s">
        <v>91</v>
      </c>
      <c r="AG1" s="28" t="s">
        <v>92</v>
      </c>
      <c r="AH1" s="28" t="s">
        <v>93</v>
      </c>
      <c r="AI1" s="28" t="s">
        <v>94</v>
      </c>
      <c r="AJ1" s="28" t="s">
        <v>95</v>
      </c>
      <c r="AK1" s="28" t="s">
        <v>96</v>
      </c>
      <c r="AL1" s="28" t="s">
        <v>176</v>
      </c>
      <c r="AM1" s="28" t="s">
        <v>165</v>
      </c>
      <c r="AN1" s="28" t="s">
        <v>166</v>
      </c>
      <c r="AO1" s="28" t="s">
        <v>167</v>
      </c>
      <c r="AP1" s="28" t="s">
        <v>168</v>
      </c>
      <c r="AQ1" s="28" t="s">
        <v>169</v>
      </c>
      <c r="AR1" s="28" t="s">
        <v>170</v>
      </c>
      <c r="AS1" s="28" t="s">
        <v>171</v>
      </c>
      <c r="AT1" s="28" t="s">
        <v>172</v>
      </c>
      <c r="AU1" s="28" t="s">
        <v>173</v>
      </c>
      <c r="AV1" s="28" t="s">
        <v>174</v>
      </c>
      <c r="AW1" s="28" t="s">
        <v>175</v>
      </c>
      <c r="AX1" s="28" t="s">
        <v>153</v>
      </c>
      <c r="AY1" s="28" t="s">
        <v>154</v>
      </c>
      <c r="AZ1" s="28" t="s">
        <v>155</v>
      </c>
      <c r="BA1" s="28" t="s">
        <v>156</v>
      </c>
      <c r="BB1" s="28" t="s">
        <v>157</v>
      </c>
      <c r="BC1" s="28" t="s">
        <v>158</v>
      </c>
      <c r="BD1" s="28" t="s">
        <v>159</v>
      </c>
      <c r="BE1" s="28" t="s">
        <v>160</v>
      </c>
      <c r="BF1" s="28" t="s">
        <v>161</v>
      </c>
      <c r="BG1" s="28" t="s">
        <v>162</v>
      </c>
      <c r="BH1" s="28" t="s">
        <v>163</v>
      </c>
      <c r="BI1" s="28" t="s">
        <v>164</v>
      </c>
      <c r="BJ1" s="28" t="s">
        <v>177</v>
      </c>
      <c r="BK1" s="28" t="s">
        <v>142</v>
      </c>
      <c r="BL1" s="28" t="s">
        <v>143</v>
      </c>
      <c r="BM1" s="28" t="s">
        <v>144</v>
      </c>
      <c r="BN1" s="28" t="s">
        <v>145</v>
      </c>
      <c r="BO1" s="28" t="s">
        <v>146</v>
      </c>
      <c r="BP1" s="28" t="s">
        <v>147</v>
      </c>
      <c r="BQ1" s="28" t="s">
        <v>148</v>
      </c>
      <c r="BR1" s="28" t="s">
        <v>149</v>
      </c>
      <c r="BS1" s="28" t="s">
        <v>150</v>
      </c>
      <c r="BT1" s="28" t="s">
        <v>151</v>
      </c>
      <c r="BU1" s="28" t="s">
        <v>152</v>
      </c>
      <c r="BV1" s="28" t="s">
        <v>178</v>
      </c>
      <c r="BW1" s="28" t="s">
        <v>131</v>
      </c>
      <c r="BX1" s="28" t="s">
        <v>132</v>
      </c>
      <c r="BY1" s="28" t="s">
        <v>133</v>
      </c>
      <c r="BZ1" s="28" t="s">
        <v>134</v>
      </c>
      <c r="CA1" s="28" t="s">
        <v>135</v>
      </c>
      <c r="CB1" s="28" t="s">
        <v>136</v>
      </c>
      <c r="CC1" s="28" t="s">
        <v>137</v>
      </c>
      <c r="CD1" s="28" t="s">
        <v>138</v>
      </c>
      <c r="CE1" s="28" t="s">
        <v>139</v>
      </c>
      <c r="CF1" s="28" t="s">
        <v>140</v>
      </c>
      <c r="CG1" s="28" t="s">
        <v>141</v>
      </c>
      <c r="CH1" s="28" t="s">
        <v>179</v>
      </c>
      <c r="CI1" s="28" t="s">
        <v>120</v>
      </c>
      <c r="CJ1" s="28" t="s">
        <v>121</v>
      </c>
      <c r="CK1" s="28" t="s">
        <v>122</v>
      </c>
      <c r="CL1" s="28" t="s">
        <v>123</v>
      </c>
      <c r="CM1" s="28" t="s">
        <v>124</v>
      </c>
      <c r="CN1" s="28" t="s">
        <v>125</v>
      </c>
      <c r="CO1" s="28" t="s">
        <v>126</v>
      </c>
      <c r="CP1" s="28" t="s">
        <v>127</v>
      </c>
      <c r="CQ1" s="28" t="s">
        <v>128</v>
      </c>
      <c r="CR1" s="28" t="s">
        <v>129</v>
      </c>
      <c r="CS1" s="28" t="s">
        <v>130</v>
      </c>
      <c r="CT1" s="28" t="s">
        <v>180</v>
      </c>
      <c r="CU1" s="28" t="s">
        <v>109</v>
      </c>
      <c r="CV1" s="28" t="s">
        <v>110</v>
      </c>
      <c r="CW1" s="28" t="s">
        <v>111</v>
      </c>
      <c r="CX1" s="28" t="s">
        <v>112</v>
      </c>
      <c r="CY1" s="28" t="s">
        <v>113</v>
      </c>
      <c r="CZ1" s="28" t="s">
        <v>114</v>
      </c>
      <c r="DA1" s="28" t="s">
        <v>115</v>
      </c>
      <c r="DB1" s="28" t="s">
        <v>116</v>
      </c>
      <c r="DC1" s="28" t="s">
        <v>117</v>
      </c>
      <c r="DD1" s="28" t="s">
        <v>118</v>
      </c>
      <c r="DE1" s="28" t="s">
        <v>119</v>
      </c>
      <c r="DF1" s="28" t="s">
        <v>181</v>
      </c>
      <c r="DG1" s="28" t="s">
        <v>98</v>
      </c>
      <c r="DH1" s="28" t="s">
        <v>99</v>
      </c>
      <c r="DI1" s="28" t="s">
        <v>100</v>
      </c>
      <c r="DJ1" s="28" t="s">
        <v>101</v>
      </c>
      <c r="DK1" s="28" t="s">
        <v>102</v>
      </c>
      <c r="DL1" s="28" t="s">
        <v>103</v>
      </c>
      <c r="DM1" s="28" t="s">
        <v>104</v>
      </c>
      <c r="DN1" s="28" t="s">
        <v>105</v>
      </c>
      <c r="DO1" s="28" t="s">
        <v>106</v>
      </c>
      <c r="DP1" s="28" t="s">
        <v>107</v>
      </c>
      <c r="DQ1" s="28" t="s">
        <v>108</v>
      </c>
    </row>
    <row r="2" spans="1:121" x14ac:dyDescent="0.25">
      <c r="A2" s="28" t="s">
        <v>65</v>
      </c>
      <c r="B2" s="6" t="s">
        <v>51</v>
      </c>
      <c r="C2" s="6" t="s">
        <v>51</v>
      </c>
      <c r="D2" s="13">
        <v>43831</v>
      </c>
      <c r="N2" s="28" t="s">
        <v>73</v>
      </c>
      <c r="Z2" s="28" t="s">
        <v>73</v>
      </c>
      <c r="AL2" s="28" t="s">
        <v>73</v>
      </c>
      <c r="AX2" s="28" t="s">
        <v>73</v>
      </c>
      <c r="BJ2" s="28" t="s">
        <v>73</v>
      </c>
      <c r="BV2" s="28" t="s">
        <v>73</v>
      </c>
      <c r="CH2" s="28" t="s">
        <v>73</v>
      </c>
      <c r="CT2" s="28" t="s">
        <v>73</v>
      </c>
      <c r="DF2" s="28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>
    <tabColor rgb="FFFF0000"/>
  </sheetPr>
  <dimension ref="A2:U13"/>
  <sheetViews>
    <sheetView zoomScale="60" zoomScaleNormal="60" workbookViewId="0">
      <pane xSplit="4" ySplit="13" topLeftCell="J14" activePane="bottomRight" state="frozen"/>
      <selection pane="topRight" activeCell="F1" sqref="F1"/>
      <selection pane="bottomLeft" activeCell="A15" sqref="A15"/>
      <selection pane="bottomRight" activeCell="D29" sqref="D29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1" ht="63.75" customHeight="1" x14ac:dyDescent="0.25">
      <c r="B2" s="73"/>
      <c r="C2" s="73"/>
    </row>
    <row r="3" spans="1:21" x14ac:dyDescent="0.25">
      <c r="C3" s="63"/>
      <c r="F3" s="63"/>
    </row>
    <row r="4" spans="1:21" x14ac:dyDescent="0.25">
      <c r="B4" s="74" t="s">
        <v>3258</v>
      </c>
      <c r="C4" s="74"/>
      <c r="D4" s="64"/>
      <c r="E4" s="64"/>
      <c r="F4" s="65"/>
      <c r="G4" s="66"/>
      <c r="I4" s="64"/>
    </row>
    <row r="5" spans="1:21" x14ac:dyDescent="0.25">
      <c r="B5" s="74" t="s">
        <v>3259</v>
      </c>
      <c r="C5" s="74"/>
      <c r="D5" s="67">
        <v>43831</v>
      </c>
      <c r="F5" s="63"/>
    </row>
    <row r="6" spans="1:21" x14ac:dyDescent="0.25">
      <c r="B6" s="74" t="s">
        <v>3260</v>
      </c>
      <c r="C6" s="74"/>
      <c r="F6" s="59"/>
      <c r="U6" s="59"/>
    </row>
    <row r="7" spans="1:21" x14ac:dyDescent="0.25">
      <c r="B7" s="68"/>
      <c r="C7" s="69"/>
      <c r="F7" s="59"/>
      <c r="U7" s="59"/>
    </row>
    <row r="8" spans="1:21" x14ac:dyDescent="0.25">
      <c r="B8" s="68" t="s">
        <v>3261</v>
      </c>
      <c r="C8" s="69"/>
      <c r="F8" s="59"/>
      <c r="U8" s="59"/>
    </row>
    <row r="9" spans="1:21" x14ac:dyDescent="0.25">
      <c r="B9" s="68"/>
      <c r="C9" s="69"/>
      <c r="F9" s="59"/>
      <c r="U9" s="59"/>
    </row>
    <row r="10" spans="1:21" x14ac:dyDescent="0.25">
      <c r="B10" s="68" t="s">
        <v>3262</v>
      </c>
      <c r="C10" s="69"/>
      <c r="F10" s="59"/>
      <c r="U10" s="59"/>
    </row>
    <row r="11" spans="1:21" x14ac:dyDescent="0.25">
      <c r="B11" s="68" t="s">
        <v>3263</v>
      </c>
      <c r="C11" s="69"/>
    </row>
    <row r="12" spans="1:21" ht="62.25" customHeight="1" x14ac:dyDescent="0.25">
      <c r="B12" s="75" t="s">
        <v>3264</v>
      </c>
      <c r="C12" s="75"/>
      <c r="D12" s="75"/>
    </row>
    <row r="13" spans="1:21" x14ac:dyDescent="0.25">
      <c r="A13" s="70" t="s">
        <v>3265</v>
      </c>
      <c r="B13" s="70" t="s">
        <v>3266</v>
      </c>
      <c r="C13" s="70" t="s">
        <v>3267</v>
      </c>
      <c r="D13" s="70" t="s">
        <v>3268</v>
      </c>
      <c r="E13" s="70" t="s">
        <v>3269</v>
      </c>
      <c r="F13" s="70" t="s">
        <v>25</v>
      </c>
      <c r="G13" s="70" t="s">
        <v>3270</v>
      </c>
      <c r="H13" s="70" t="s">
        <v>3271</v>
      </c>
      <c r="I13" s="70" t="s">
        <v>3272</v>
      </c>
      <c r="J13" s="70" t="s">
        <v>3273</v>
      </c>
      <c r="K13" s="70" t="s">
        <v>3274</v>
      </c>
      <c r="L13" s="71" t="s">
        <v>3275</v>
      </c>
      <c r="M13" s="70" t="s">
        <v>3276</v>
      </c>
      <c r="N13" s="70" t="s">
        <v>3277</v>
      </c>
      <c r="O13" s="70" t="s">
        <v>3278</v>
      </c>
      <c r="P13" s="70" t="s">
        <v>3279</v>
      </c>
      <c r="Q13" s="70" t="s">
        <v>3280</v>
      </c>
      <c r="R13" s="70" t="s">
        <v>3281</v>
      </c>
      <c r="S13" s="71" t="s">
        <v>3282</v>
      </c>
      <c r="T13" s="72" t="s">
        <v>3283</v>
      </c>
      <c r="U13" s="70" t="s">
        <v>3284</v>
      </c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2319</v>
      </c>
    </row>
    <row r="3" spans="1:2" x14ac:dyDescent="0.25">
      <c r="A3">
        <v>2</v>
      </c>
      <c r="B3" t="s">
        <v>2330</v>
      </c>
    </row>
    <row r="4" spans="1:2" x14ac:dyDescent="0.25">
      <c r="A4">
        <v>3</v>
      </c>
      <c r="B4" t="s">
        <v>2499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2323</v>
      </c>
    </row>
    <row r="4" spans="1:2" x14ac:dyDescent="0.25">
      <c r="A4">
        <v>3</v>
      </c>
      <c r="B4" t="s">
        <v>2326</v>
      </c>
    </row>
    <row r="5" spans="1:2" x14ac:dyDescent="0.25">
      <c r="A5">
        <v>4</v>
      </c>
      <c r="B5" t="s">
        <v>2331</v>
      </c>
    </row>
    <row r="6" spans="1:2" x14ac:dyDescent="0.25">
      <c r="A6">
        <v>5</v>
      </c>
      <c r="B6" t="s">
        <v>2344</v>
      </c>
    </row>
    <row r="7" spans="1:2" x14ac:dyDescent="0.25">
      <c r="A7">
        <v>6</v>
      </c>
      <c r="B7" t="s">
        <v>2368</v>
      </c>
    </row>
    <row r="8" spans="1:2" x14ac:dyDescent="0.25">
      <c r="A8">
        <v>7</v>
      </c>
      <c r="B8" t="s">
        <v>2387</v>
      </c>
    </row>
    <row r="9" spans="1:2" x14ac:dyDescent="0.25">
      <c r="A9">
        <v>8</v>
      </c>
      <c r="B9" t="s">
        <v>2390</v>
      </c>
    </row>
    <row r="10" spans="1:2" x14ac:dyDescent="0.25">
      <c r="A10">
        <v>9</v>
      </c>
      <c r="B10" t="s">
        <v>2394</v>
      </c>
    </row>
    <row r="11" spans="1:2" x14ac:dyDescent="0.25">
      <c r="A11">
        <v>10</v>
      </c>
      <c r="B11" t="s">
        <v>2401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2411</v>
      </c>
    </row>
    <row r="14" spans="1:2" x14ac:dyDescent="0.25">
      <c r="A14">
        <v>13</v>
      </c>
      <c r="B14" t="s">
        <v>2487</v>
      </c>
    </row>
    <row r="15" spans="1:2" x14ac:dyDescent="0.25">
      <c r="A15">
        <v>14</v>
      </c>
      <c r="B15" t="s">
        <v>2495</v>
      </c>
    </row>
    <row r="16" spans="1:2" x14ac:dyDescent="0.25">
      <c r="A16">
        <v>15</v>
      </c>
      <c r="B16" t="s">
        <v>2499</v>
      </c>
    </row>
    <row r="17" spans="1:2" x14ac:dyDescent="0.25">
      <c r="A17">
        <v>16</v>
      </c>
      <c r="B17" t="s">
        <v>2505</v>
      </c>
    </row>
    <row r="18" spans="1:2" x14ac:dyDescent="0.25">
      <c r="A18">
        <v>17</v>
      </c>
      <c r="B18" t="s">
        <v>2509</v>
      </c>
    </row>
    <row r="19" spans="1:2" x14ac:dyDescent="0.25">
      <c r="A19">
        <v>18</v>
      </c>
      <c r="B19" t="s">
        <v>2518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205</v>
      </c>
    </row>
    <row r="4" spans="1:4" x14ac:dyDescent="0.25">
      <c r="A4" s="5">
        <v>3</v>
      </c>
      <c r="B4" s="3" t="s">
        <v>202</v>
      </c>
    </row>
    <row r="5" spans="1:4" x14ac:dyDescent="0.25">
      <c r="A5" s="5">
        <v>4</v>
      </c>
      <c r="B5" s="3" t="s">
        <v>206</v>
      </c>
    </row>
    <row r="6" spans="1:4" x14ac:dyDescent="0.25">
      <c r="A6" s="5">
        <v>5</v>
      </c>
      <c r="B6" s="3" t="s">
        <v>207</v>
      </c>
    </row>
    <row r="7" spans="1:4" x14ac:dyDescent="0.25">
      <c r="A7" s="5">
        <v>6</v>
      </c>
      <c r="B7" s="3" t="s">
        <v>208</v>
      </c>
    </row>
    <row r="8" spans="1:4" x14ac:dyDescent="0.25">
      <c r="A8" s="5">
        <v>7</v>
      </c>
      <c r="B8" s="3" t="s">
        <v>209</v>
      </c>
    </row>
    <row r="9" spans="1:4" x14ac:dyDescent="0.25">
      <c r="A9" s="5">
        <v>8</v>
      </c>
      <c r="B9" s="3" t="s">
        <v>210</v>
      </c>
    </row>
    <row r="10" spans="1:4" x14ac:dyDescent="0.25">
      <c r="A10" s="5">
        <v>9</v>
      </c>
      <c r="B10" s="3" t="s">
        <v>211</v>
      </c>
    </row>
    <row r="11" spans="1:4" x14ac:dyDescent="0.25">
      <c r="A11" s="5">
        <v>10</v>
      </c>
      <c r="B11" s="3" t="s">
        <v>212</v>
      </c>
    </row>
    <row r="12" spans="1:4" x14ac:dyDescent="0.25">
      <c r="A12" s="5">
        <v>11</v>
      </c>
      <c r="B12" s="3" t="s">
        <v>213</v>
      </c>
    </row>
    <row r="13" spans="1:4" x14ac:dyDescent="0.25">
      <c r="A13" s="5">
        <v>12</v>
      </c>
      <c r="B13" s="3" t="s">
        <v>214</v>
      </c>
    </row>
    <row r="14" spans="1:4" x14ac:dyDescent="0.25">
      <c r="A14" s="5">
        <v>13</v>
      </c>
      <c r="B14" s="3" t="s">
        <v>215</v>
      </c>
    </row>
    <row r="15" spans="1:4" x14ac:dyDescent="0.25">
      <c r="A15" s="5">
        <v>14</v>
      </c>
      <c r="B15" s="3" t="s">
        <v>216</v>
      </c>
    </row>
    <row r="16" spans="1:4" x14ac:dyDescent="0.25">
      <c r="A16" s="5">
        <v>15</v>
      </c>
      <c r="B16" s="3" t="s">
        <v>217</v>
      </c>
    </row>
    <row r="17" spans="1:2" x14ac:dyDescent="0.25">
      <c r="A17" s="5">
        <v>16</v>
      </c>
      <c r="B17" s="3" t="s">
        <v>218</v>
      </c>
    </row>
    <row r="18" spans="1:2" x14ac:dyDescent="0.25">
      <c r="A18" s="5">
        <v>17</v>
      </c>
      <c r="B18" s="3" t="s">
        <v>219</v>
      </c>
    </row>
    <row r="19" spans="1:2" x14ac:dyDescent="0.25">
      <c r="A19" s="5">
        <v>18</v>
      </c>
      <c r="B19" s="3" t="s">
        <v>220</v>
      </c>
    </row>
    <row r="20" spans="1:2" x14ac:dyDescent="0.25">
      <c r="A20" s="5">
        <v>19</v>
      </c>
      <c r="B20" s="3" t="s">
        <v>221</v>
      </c>
    </row>
    <row r="21" spans="1:2" x14ac:dyDescent="0.25">
      <c r="A21" s="5">
        <v>20</v>
      </c>
      <c r="B21" s="3" t="s">
        <v>222</v>
      </c>
    </row>
    <row r="22" spans="1:2" x14ac:dyDescent="0.25">
      <c r="A22" s="5">
        <v>21</v>
      </c>
      <c r="B22" s="3" t="s">
        <v>223</v>
      </c>
    </row>
    <row r="23" spans="1:2" x14ac:dyDescent="0.25">
      <c r="A23" s="5">
        <v>22</v>
      </c>
      <c r="B23" s="3" t="s">
        <v>224</v>
      </c>
    </row>
    <row r="24" spans="1:2" x14ac:dyDescent="0.25">
      <c r="A24" s="5">
        <v>23</v>
      </c>
      <c r="B24" s="3" t="s">
        <v>225</v>
      </c>
    </row>
    <row r="25" spans="1:2" x14ac:dyDescent="0.25">
      <c r="A25" s="5">
        <v>24</v>
      </c>
      <c r="B25" s="3" t="s">
        <v>226</v>
      </c>
    </row>
    <row r="26" spans="1:2" x14ac:dyDescent="0.25">
      <c r="A26" s="5">
        <v>25</v>
      </c>
      <c r="B26" s="3" t="s">
        <v>227</v>
      </c>
    </row>
    <row r="27" spans="1:2" x14ac:dyDescent="0.25">
      <c r="A27" s="5">
        <v>26</v>
      </c>
      <c r="B27" s="3" t="s">
        <v>228</v>
      </c>
    </row>
    <row r="28" spans="1:2" x14ac:dyDescent="0.25">
      <c r="A28" s="5">
        <v>27</v>
      </c>
      <c r="B28" s="3" t="s">
        <v>203</v>
      </c>
    </row>
    <row r="29" spans="1:2" x14ac:dyDescent="0.25">
      <c r="A29" s="5">
        <v>28</v>
      </c>
      <c r="B29" s="3" t="s">
        <v>229</v>
      </c>
    </row>
    <row r="30" spans="1:2" x14ac:dyDescent="0.25">
      <c r="A30" s="5">
        <v>29</v>
      </c>
      <c r="B30" s="3" t="s">
        <v>230</v>
      </c>
    </row>
    <row r="31" spans="1:2" x14ac:dyDescent="0.25">
      <c r="A31" s="5">
        <v>30</v>
      </c>
      <c r="B31" s="3" t="s">
        <v>231</v>
      </c>
    </row>
    <row r="32" spans="1:2" x14ac:dyDescent="0.25">
      <c r="A32" s="5">
        <v>31</v>
      </c>
      <c r="B32" s="3" t="s">
        <v>232</v>
      </c>
    </row>
    <row r="33" spans="1:2" x14ac:dyDescent="0.25">
      <c r="A33" s="5">
        <v>32</v>
      </c>
      <c r="B33" s="3" t="s">
        <v>233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2306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2307</v>
      </c>
    </row>
    <row r="6" spans="1:2" x14ac:dyDescent="0.25">
      <c r="A6" s="9">
        <v>5</v>
      </c>
      <c r="B6" s="1" t="s">
        <v>2308</v>
      </c>
    </row>
    <row r="7" spans="1:2" x14ac:dyDescent="0.25">
      <c r="A7" s="9">
        <v>6</v>
      </c>
      <c r="B7" s="1" t="s">
        <v>2309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2493</v>
      </c>
    </row>
    <row r="3" spans="1:3" x14ac:dyDescent="0.25">
      <c r="A3" s="9">
        <v>2</v>
      </c>
      <c r="B3" s="10" t="s">
        <v>2328</v>
      </c>
      <c r="C3" s="10" t="s">
        <v>2332</v>
      </c>
    </row>
    <row r="4" spans="1:3" x14ac:dyDescent="0.25">
      <c r="A4" s="9">
        <v>3</v>
      </c>
      <c r="B4" s="10" t="s">
        <v>2675</v>
      </c>
      <c r="C4" s="10" t="s">
        <v>2677</v>
      </c>
    </row>
    <row r="5" spans="1:3" x14ac:dyDescent="0.25">
      <c r="A5" s="9">
        <v>4</v>
      </c>
      <c r="B5" s="10" t="s">
        <v>2520</v>
      </c>
      <c r="C5" s="10" t="s">
        <v>2514</v>
      </c>
    </row>
    <row r="6" spans="1:3" x14ac:dyDescent="0.25">
      <c r="A6" s="9">
        <v>5</v>
      </c>
      <c r="B6" s="10" t="s">
        <v>2413</v>
      </c>
      <c r="C6" s="10" t="s">
        <v>2415</v>
      </c>
    </row>
    <row r="7" spans="1:3" x14ac:dyDescent="0.25">
      <c r="A7" s="9">
        <v>6</v>
      </c>
      <c r="B7" s="10" t="s">
        <v>2626</v>
      </c>
      <c r="C7" s="10" t="s">
        <v>2628</v>
      </c>
    </row>
    <row r="8" spans="1:3" x14ac:dyDescent="0.25">
      <c r="A8" s="9">
        <v>7</v>
      </c>
      <c r="B8" s="10" t="s">
        <v>2552</v>
      </c>
      <c r="C8" s="10" t="s">
        <v>2554</v>
      </c>
    </row>
    <row r="9" spans="1:3" x14ac:dyDescent="0.25">
      <c r="A9" s="9">
        <v>8</v>
      </c>
      <c r="B9" s="10" t="s">
        <v>2491</v>
      </c>
      <c r="C9" s="10" t="s">
        <v>2493</v>
      </c>
    </row>
    <row r="10" spans="1:3" x14ac:dyDescent="0.25">
      <c r="A10" s="9">
        <v>9</v>
      </c>
      <c r="B10" s="10" t="s">
        <v>2507</v>
      </c>
      <c r="C10" s="10" t="s">
        <v>2332</v>
      </c>
    </row>
    <row r="11" spans="1:3" x14ac:dyDescent="0.25">
      <c r="A11" s="9">
        <v>10</v>
      </c>
      <c r="B11" s="10" t="s">
        <v>3252</v>
      </c>
      <c r="C11" s="10" t="s">
        <v>2677</v>
      </c>
    </row>
    <row r="12" spans="1:3" x14ac:dyDescent="0.25">
      <c r="A12" s="9">
        <v>11</v>
      </c>
      <c r="B12" s="10" t="s">
        <v>2512</v>
      </c>
      <c r="C12" s="10" t="s">
        <v>2514</v>
      </c>
    </row>
    <row r="13" spans="1:3" x14ac:dyDescent="0.25">
      <c r="A13" s="9">
        <v>12</v>
      </c>
      <c r="B13" s="10" t="s">
        <v>2510</v>
      </c>
      <c r="C13" s="10" t="s">
        <v>2415</v>
      </c>
    </row>
    <row r="14" spans="1:3" x14ac:dyDescent="0.25">
      <c r="A14" s="9">
        <v>13</v>
      </c>
      <c r="B14" s="10" t="s">
        <v>3253</v>
      </c>
      <c r="C14" s="10" t="s">
        <v>2628</v>
      </c>
    </row>
    <row r="15" spans="1:3" x14ac:dyDescent="0.25">
      <c r="A15" s="9">
        <v>14</v>
      </c>
      <c r="B15" s="10" t="s">
        <v>3254</v>
      </c>
      <c r="C15" s="10" t="s">
        <v>2554</v>
      </c>
    </row>
    <row r="16" spans="1:3" x14ac:dyDescent="0.25">
      <c r="A16" s="9">
        <v>15</v>
      </c>
      <c r="B16" s="10" t="s">
        <v>2497</v>
      </c>
      <c r="C16" s="10" t="s">
        <v>2500</v>
      </c>
    </row>
    <row r="17" spans="1:3" x14ac:dyDescent="0.25">
      <c r="A17" s="9">
        <v>16</v>
      </c>
      <c r="B17" s="10" t="s">
        <v>2317</v>
      </c>
      <c r="C17" s="10" t="s">
        <v>2320</v>
      </c>
    </row>
    <row r="18" spans="1:3" x14ac:dyDescent="0.25">
      <c r="A18" s="9">
        <v>17</v>
      </c>
      <c r="B18" s="10" t="s">
        <v>2403</v>
      </c>
      <c r="C18" s="10" t="s">
        <v>2405</v>
      </c>
    </row>
    <row r="19" spans="1:3" x14ac:dyDescent="0.25">
      <c r="A19" s="9">
        <v>18</v>
      </c>
      <c r="B19" s="10" t="s">
        <v>2385</v>
      </c>
      <c r="C19" s="10" t="s">
        <v>2388</v>
      </c>
    </row>
    <row r="20" spans="1:3" x14ac:dyDescent="0.25">
      <c r="A20" s="9">
        <v>19</v>
      </c>
      <c r="B20" s="10" t="s">
        <v>2516</v>
      </c>
      <c r="C20" s="10" t="s">
        <v>2519</v>
      </c>
    </row>
    <row r="21" spans="1:3" x14ac:dyDescent="0.25">
      <c r="A21" s="9">
        <v>20</v>
      </c>
      <c r="B21" s="10" t="s">
        <v>2485</v>
      </c>
      <c r="C21" s="10" t="s">
        <v>2488</v>
      </c>
    </row>
    <row r="22" spans="1:3" x14ac:dyDescent="0.25">
      <c r="A22" s="9">
        <v>21</v>
      </c>
      <c r="B22" s="10" t="s">
        <v>3255</v>
      </c>
      <c r="C22" s="10" t="s">
        <v>3256</v>
      </c>
    </row>
    <row r="23" spans="1:3" x14ac:dyDescent="0.25">
      <c r="A23" s="9">
        <v>22</v>
      </c>
      <c r="B23" s="10" t="s">
        <v>3257</v>
      </c>
      <c r="C23" s="10" t="s">
        <v>3256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Олег Моисеев</cp:lastModifiedBy>
  <dcterms:created xsi:type="dcterms:W3CDTF">2020-05-26T07:49:30Z</dcterms:created>
  <dcterms:modified xsi:type="dcterms:W3CDTF">2020-06-15T10:48:53Z</dcterms:modified>
</cp:coreProperties>
</file>