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A502F9B7-792F-47F7-9778-FB00B59DD364}" xr6:coauthVersionLast="45" xr6:coauthVersionMax="45" xr10:uidLastSave="{00000000-0000-0000-0000-000000000000}"/>
  <bookViews>
    <workbookView xWindow="-18105" yWindow="2865" windowWidth="17310" windowHeight="9810" firstSheet="8" activeTab="8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K24" i="22" l="1"/>
  <c r="GK23" i="22"/>
  <c r="GK22" i="22"/>
  <c r="GK21" i="22"/>
  <c r="GK20" i="22"/>
  <c r="GK19" i="22"/>
  <c r="GK18" i="22"/>
  <c r="GK17" i="22"/>
  <c r="GK16" i="22"/>
  <c r="GK15" i="22"/>
  <c r="GK14" i="22"/>
  <c r="GK13" i="22"/>
  <c r="GK12" i="22"/>
  <c r="GK7" i="22"/>
  <c r="AW4" i="5" l="1"/>
  <c r="AW5" i="5"/>
  <c r="AW6" i="5"/>
  <c r="AW7" i="5"/>
  <c r="AW8" i="5"/>
  <c r="AW9" i="5"/>
  <c r="AW10" i="5"/>
  <c r="AW3" i="5"/>
  <c r="F2" i="12" l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AX3" i="5" l="1"/>
  <c r="AX4" i="5"/>
  <c r="AX5" i="5"/>
  <c r="AX6" i="5"/>
  <c r="AX7" i="5"/>
  <c r="AX8" i="5"/>
  <c r="AX9" i="5"/>
  <c r="AX10" i="5"/>
  <c r="AT1" i="5"/>
  <c r="AS9" i="5" l="1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D4" i="5" l="1"/>
  <c r="F4" i="5"/>
  <c r="G4" i="5"/>
  <c r="G3" i="5" l="1"/>
  <c r="F3" i="5"/>
  <c r="D3" i="5" l="1"/>
</calcChain>
</file>

<file path=xl/sharedStrings.xml><?xml version="1.0" encoding="utf-8"?>
<sst xmlns="http://schemas.openxmlformats.org/spreadsheetml/2006/main" count="3477" uniqueCount="1468">
  <si>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</si>
  <si>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</si>
  <si>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</si>
  <si>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</si>
  <si>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</si>
  <si>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</si>
  <si>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</si>
  <si>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</si>
  <si>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</si>
  <si>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</si>
  <si>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</si>
  <si>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</si>
  <si>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</si>
  <si>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</si>
  <si>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</si>
  <si>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</si>
  <si>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</si>
  <si>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</si>
  <si>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</si>
  <si>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</si>
  <si>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</si>
  <si>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</si>
  <si>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</si>
  <si>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</si>
  <si>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</si>
  <si>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</si>
  <si>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</si>
  <si>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</si>
  <si>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</si>
  <si>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</si>
  <si>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</si>
  <si>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</si>
  <si>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</si>
  <si>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</si>
  <si>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</si>
  <si>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</si>
  <si>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</si>
  <si>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</si>
  <si>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</si>
  <si>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</si>
  <si>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</si>
  <si>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</si>
  <si>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</si>
  <si>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</si>
  <si>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</si>
  <si>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</si>
  <si>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</si>
  <si>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</si>
  <si>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</si>
  <si>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</si>
  <si>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</si>
  <si>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</si>
  <si>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</si>
  <si>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</si>
  <si>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</si>
  <si>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</si>
  <si>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</si>
  <si>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</si>
  <si>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</si>
  <si>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</si>
  <si>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</si>
  <si>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</si>
  <si>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</si>
  <si>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</si>
  <si>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</si>
  <si>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</si>
  <si>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</si>
  <si>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</si>
  <si>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</si>
  <si>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</si>
  <si>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</si>
  <si>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</si>
  <si>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</si>
  <si>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</si>
  <si>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</si>
  <si>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</si>
  <si>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</si>
  <si>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</si>
  <si>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</si>
  <si>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</si>
  <si>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</si>
  <si>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</si>
  <si>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</si>
  <si>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</si>
  <si>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</si>
  <si>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</si>
  <si>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</si>
  <si>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</si>
  <si>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</si>
  <si>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</si>
  <si>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</si>
  <si>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</si>
  <si>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</si>
  <si>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</si>
  <si>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</si>
  <si>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</si>
  <si>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</si>
  <si>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</si>
  <si>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</si>
  <si>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</si>
  <si>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</si>
  <si>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</si>
  <si>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</si>
  <si>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</si>
  <si>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</si>
  <si>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</si>
  <si>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</si>
  <si>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</si>
  <si>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</si>
  <si>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</si>
  <si>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</si>
  <si>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</si>
  <si>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</si>
  <si>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</si>
  <si>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</si>
  <si>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</si>
  <si>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</si>
  <si>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</si>
  <si>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</si>
  <si>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</si>
  <si>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</si>
  <si>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</si>
  <si>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</si>
  <si>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</si>
  <si>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</si>
  <si>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</si>
  <si>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</si>
  <si>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</si>
  <si>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</si>
  <si>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</si>
  <si>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</si>
  <si>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</si>
  <si>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</si>
  <si>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</si>
  <si>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</si>
  <si>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</si>
  <si>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</si>
  <si>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</si>
  <si>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</si>
  <si>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</si>
  <si>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</si>
  <si>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</si>
  <si>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</si>
  <si>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</si>
  <si>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</si>
  <si>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</si>
  <si>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</si>
  <si>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</si>
  <si>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</si>
  <si>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</si>
  <si>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</si>
  <si>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</si>
  <si>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</si>
  <si>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</si>
  <si>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</si>
  <si>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</si>
  <si>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</si>
  <si>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</si>
  <si>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</si>
  <si>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</si>
  <si>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</si>
  <si>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</si>
  <si>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</si>
  <si>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</si>
  <si>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</si>
  <si>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</si>
  <si>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</si>
  <si>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</si>
  <si>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</si>
  <si>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</si>
  <si>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</si>
  <si>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</si>
  <si>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</si>
  <si>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</si>
  <si>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</si>
  <si>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</si>
  <si>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</si>
  <si>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</si>
  <si>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</si>
  <si>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</si>
  <si>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</si>
  <si>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</si>
  <si>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</si>
  <si>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</si>
  <si>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</si>
  <si>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</si>
  <si>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</si>
  <si>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</si>
  <si>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</si>
  <si>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</si>
  <si>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</si>
  <si>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</si>
  <si>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</si>
  <si>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</si>
  <si>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</si>
  <si>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</si>
  <si>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</si>
  <si>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</si>
  <si>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</si>
  <si>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</si>
  <si>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</si>
  <si>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</si>
  <si>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</si>
  <si>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</si>
  <si>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</si>
  <si>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</si>
  <si>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</si>
  <si>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</si>
  <si>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</si>
  <si>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</si>
  <si>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</si>
  <si>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</si>
  <si>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</si>
  <si>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</si>
  <si>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</si>
  <si>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</si>
  <si>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</si>
  <si>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</si>
  <si>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</si>
  <si>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</si>
  <si>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</si>
  <si>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</si>
  <si>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</si>
  <si>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</si>
  <si>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</si>
  <si>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</si>
  <si>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</si>
  <si>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</si>
  <si>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</si>
  <si>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</si>
  <si>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</si>
  <si>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</si>
  <si>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</si>
  <si>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</si>
  <si>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</si>
  <si>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</si>
  <si>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</si>
  <si>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</si>
  <si>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</si>
  <si>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</si>
  <si>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</si>
  <si>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</si>
  <si>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</si>
  <si>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</si>
  <si>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</si>
  <si>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</si>
  <si>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</si>
  <si>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</si>
  <si>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</si>
  <si>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</si>
  <si>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</si>
  <si>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</si>
  <si>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</si>
  <si>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</si>
  <si>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</si>
  <si>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</si>
  <si>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</si>
  <si>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</si>
  <si>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</si>
  <si>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</si>
  <si>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</si>
  <si>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</si>
  <si>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</si>
  <si>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</si>
  <si>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</si>
  <si>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</si>
  <si>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</si>
  <si>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</si>
  <si>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</si>
  <si>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</si>
  <si>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</si>
  <si>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</si>
  <si>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</si>
  <si>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</si>
  <si>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</si>
  <si>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</si>
  <si>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</si>
  <si>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</si>
  <si>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</si>
  <si>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</si>
  <si>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</si>
  <si>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</si>
  <si>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</si>
  <si>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</si>
  <si>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</si>
  <si>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</si>
  <si>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</si>
  <si>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</si>
  <si>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</si>
  <si>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</si>
  <si>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</si>
  <si>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</si>
  <si>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</si>
  <si>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</si>
  <si>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</si>
  <si>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</si>
  <si>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</si>
  <si>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</si>
  <si>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</si>
  <si>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</si>
  <si>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</si>
  <si>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</si>
  <si>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</si>
  <si>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</si>
  <si>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</si>
  <si>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</si>
  <si>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</si>
  <si>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</si>
  <si>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</si>
  <si>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</si>
  <si>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</si>
  <si>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</si>
  <si>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</si>
  <si>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</si>
  <si>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</si>
  <si>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</si>
  <si>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</si>
  <si>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</si>
  <si>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</si>
  <si>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</si>
  <si>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</si>
  <si>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</si>
  <si>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</si>
  <si>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</si>
  <si>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</si>
  <si>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</si>
  <si>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</si>
  <si>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</si>
  <si>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</si>
  <si>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</si>
  <si>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</si>
  <si>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</si>
  <si>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</si>
  <si>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</si>
  <si>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</si>
  <si>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</si>
  <si>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</si>
  <si>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</si>
  <si>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</si>
  <si>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</si>
  <si>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</si>
  <si>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</si>
  <si>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</si>
  <si>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</si>
  <si>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</si>
  <si>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</si>
  <si>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</si>
  <si>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</si>
  <si>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</si>
  <si>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</si>
  <si>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</si>
  <si>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</si>
  <si>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</si>
  <si>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</si>
  <si>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</si>
  <si>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</si>
  <si>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</si>
  <si>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</si>
  <si>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</si>
  <si>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</si>
  <si>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</si>
  <si>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</si>
  <si>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</si>
  <si>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</si>
  <si>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</si>
  <si>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</si>
  <si>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</si>
  <si>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</si>
  <si>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</si>
  <si>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</si>
  <si>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</si>
  <si>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</si>
  <si>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</si>
  <si>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</si>
  <si>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</si>
  <si>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</si>
  <si>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</si>
  <si>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</si>
  <si>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</si>
  <si>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</si>
  <si>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</si>
  <si>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</si>
  <si>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</si>
  <si>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</si>
  <si>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</si>
  <si>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</si>
  <si>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</si>
  <si>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</si>
  <si>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</si>
  <si>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</si>
  <si>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</si>
  <si>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</si>
  <si>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</si>
  <si>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</si>
  <si>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</si>
  <si>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</si>
  <si>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</si>
  <si>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</si>
  <si>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</si>
  <si>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</si>
  <si>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</si>
  <si>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</si>
  <si>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</si>
  <si>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</si>
  <si>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</si>
  <si>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</si>
  <si>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</si>
  <si>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</si>
  <si>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</si>
  <si>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</si>
  <si>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</si>
  <si>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</si>
  <si>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</si>
  <si>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</si>
  <si>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</si>
  <si>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</si>
  <si>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</si>
  <si>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</si>
  <si>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</si>
  <si>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</si>
  <si>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</si>
  <si>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</si>
  <si>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</si>
  <si>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</si>
  <si>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</si>
  <si>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</si>
  <si>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</si>
  <si>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</si>
  <si>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</si>
  <si>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</si>
  <si>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</si>
  <si>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</si>
  <si>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</si>
  <si>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</si>
  <si>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</si>
  <si>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</si>
  <si>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</si>
  <si>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</si>
  <si>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</si>
  <si>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</si>
  <si>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</si>
  <si>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</si>
  <si>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</si>
  <si>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</si>
  <si>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</si>
  <si>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</si>
  <si>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</si>
  <si>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</si>
  <si>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</si>
  <si>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</si>
  <si>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</si>
  <si>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</si>
  <si>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</si>
  <si>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</si>
  <si>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</si>
  <si>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</si>
  <si>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</si>
  <si>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</si>
  <si>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</si>
  <si>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</si>
  <si>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</si>
  <si>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</si>
  <si>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</si>
  <si>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</si>
  <si>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</si>
  <si>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</si>
  <si>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</si>
  <si>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</si>
  <si>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</si>
  <si>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</si>
  <si>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</si>
  <si>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</si>
  <si>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</si>
  <si>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</si>
  <si>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</si>
  <si>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</si>
  <si>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</si>
  <si>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</si>
  <si>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</si>
  <si>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</si>
  <si>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</si>
  <si>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</si>
  <si>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</si>
  <si>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</si>
  <si>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</si>
  <si>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</si>
  <si>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</si>
  <si>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</si>
  <si>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</si>
  <si>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</si>
  <si>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</si>
  <si>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</si>
  <si>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</si>
  <si>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</si>
  <si>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</si>
  <si>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</si>
  <si>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</si>
  <si>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</si>
  <si>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</si>
  <si>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</si>
  <si>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</si>
  <si>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</si>
  <si>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</si>
  <si>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</si>
  <si>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</si>
  <si>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</si>
  <si>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</si>
  <si>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</si>
  <si>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</si>
  <si>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</si>
  <si>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</si>
  <si>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</si>
  <si>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</si>
  <si>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</si>
  <si>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</si>
  <si>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</si>
  <si>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</si>
  <si>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</si>
  <si>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</si>
  <si>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</si>
  <si>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</si>
  <si>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</si>
  <si>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</si>
  <si>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</si>
  <si>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</si>
  <si>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</si>
  <si>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</si>
  <si>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</si>
  <si>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</si>
  <si>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</si>
  <si>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</si>
  <si>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</si>
  <si>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</si>
  <si>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</si>
  <si>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</si>
  <si>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</si>
  <si>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</si>
  <si>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</si>
  <si>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</si>
  <si>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</si>
  <si>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</si>
  <si>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</si>
  <si>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</si>
  <si>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</si>
  <si>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</si>
  <si>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</si>
  <si>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</si>
  <si>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</si>
  <si>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</si>
  <si>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</si>
  <si>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</si>
  <si>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</si>
  <si>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</si>
  <si>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</si>
  <si>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</si>
  <si>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</si>
  <si>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</si>
  <si>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</si>
  <si>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</si>
  <si>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</si>
  <si>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</si>
  <si>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</si>
  <si>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</si>
  <si>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</si>
  <si>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</si>
  <si>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</si>
  <si>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</si>
  <si>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</si>
  <si>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</si>
  <si>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</si>
  <si>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</si>
  <si>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</si>
  <si>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</si>
  <si>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</si>
  <si>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</si>
  <si>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</si>
  <si>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</si>
  <si>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</si>
  <si>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</si>
  <si>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</si>
  <si>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</si>
  <si>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</si>
  <si>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</si>
  <si>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</si>
  <si>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</si>
  <si>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</si>
  <si>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</si>
  <si>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</si>
  <si>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</si>
  <si>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</si>
  <si>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</si>
  <si>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</si>
  <si>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</si>
  <si>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</si>
  <si>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</si>
  <si>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</si>
  <si>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</si>
  <si>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</si>
  <si>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</si>
  <si>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</si>
  <si>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</si>
  <si>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</si>
  <si>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</si>
  <si>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</si>
  <si>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</si>
  <si>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</si>
  <si>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</si>
  <si>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</si>
  <si>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</si>
  <si>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</si>
  <si>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</si>
  <si>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</si>
  <si>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</si>
  <si>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</si>
  <si>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</si>
  <si>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</si>
  <si>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</si>
  <si>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</si>
  <si>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</si>
  <si>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</si>
  <si>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</si>
  <si>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</si>
  <si>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</si>
  <si>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</si>
  <si>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</si>
  <si>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</si>
  <si>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</si>
  <si>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</si>
  <si>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</si>
  <si>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</si>
  <si>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</si>
  <si>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</si>
  <si>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</si>
  <si>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</si>
  <si>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</si>
  <si>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</si>
  <si>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</si>
  <si>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</si>
  <si>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</si>
  <si>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</si>
  <si>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</si>
  <si>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</si>
  <si>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</si>
  <si>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</si>
  <si>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</si>
  <si>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</si>
  <si>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</si>
  <si>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</si>
  <si>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</si>
  <si>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</si>
  <si>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</si>
  <si>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</si>
  <si>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</si>
  <si>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</si>
  <si>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</si>
  <si>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</si>
  <si>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</si>
  <si>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</si>
  <si>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</si>
  <si>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</si>
  <si>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</si>
  <si>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</si>
  <si>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</si>
  <si>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</si>
  <si>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</si>
  <si>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</si>
  <si>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</si>
  <si>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</si>
  <si>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</si>
  <si>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</si>
  <si>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</si>
  <si>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</si>
  <si>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</si>
  <si>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</si>
  <si>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</si>
  <si>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</si>
  <si>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</si>
  <si>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</si>
  <si>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</si>
  <si>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</si>
  <si>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</si>
  <si>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</si>
  <si>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</si>
  <si>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</si>
  <si>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</si>
  <si>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</si>
  <si>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</si>
  <si>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</si>
  <si>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</si>
  <si>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</si>
  <si>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</si>
  <si>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</si>
  <si>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</si>
  <si>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</si>
  <si>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</si>
  <si>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</si>
  <si>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</si>
  <si>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</si>
  <si>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</si>
  <si>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</si>
  <si>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</si>
  <si>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</si>
  <si>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</si>
  <si>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</si>
  <si>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</si>
  <si>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</si>
  <si>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</si>
  <si>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</si>
  <si>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</si>
  <si>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</si>
  <si>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</si>
  <si>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</si>
  <si>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</si>
  <si>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</si>
  <si>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</si>
  <si>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</si>
  <si>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</si>
  <si>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</si>
  <si>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</si>
  <si>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</si>
  <si>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</si>
  <si>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</si>
  <si>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</si>
  <si>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</si>
  <si>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</si>
  <si>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</si>
  <si>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</si>
  <si>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</si>
  <si>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</si>
  <si>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</si>
  <si>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</si>
  <si>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</si>
  <si>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</si>
  <si>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</si>
  <si>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</si>
  <si>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</si>
  <si>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</si>
  <si>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</si>
  <si>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</si>
  <si>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</si>
  <si>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</si>
  <si>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</si>
  <si>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</si>
  <si>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</si>
  <si>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</si>
  <si>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</si>
  <si>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</si>
  <si>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</si>
  <si>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</si>
  <si>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</si>
  <si>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</si>
  <si>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</si>
  <si>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</si>
  <si>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</si>
  <si>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</si>
  <si>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</si>
  <si>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</si>
  <si>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</si>
  <si>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</si>
  <si>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</si>
  <si>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</si>
  <si>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</si>
  <si>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</si>
  <si>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</si>
  <si>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</si>
  <si>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</si>
  <si>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</si>
  <si>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</si>
  <si>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</si>
  <si>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</si>
  <si>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</si>
  <si>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</si>
  <si>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</si>
  <si>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</si>
  <si>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</si>
  <si>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</si>
  <si>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</si>
  <si>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</si>
  <si>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</si>
  <si>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</si>
  <si>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</si>
  <si>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</si>
  <si>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</si>
  <si>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</si>
  <si>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</si>
  <si>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</si>
  <si>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</si>
  <si>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</si>
  <si>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</si>
  <si>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</si>
  <si>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</si>
  <si>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</si>
  <si>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</si>
  <si>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</si>
  <si>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</si>
  <si>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</si>
  <si>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</si>
  <si>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</si>
  <si>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</si>
  <si>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</si>
  <si>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</si>
  <si>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</si>
  <si>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</si>
  <si>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</si>
  <si>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</si>
  <si>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</si>
  <si>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</si>
  <si>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</si>
  <si>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</si>
  <si>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</si>
  <si>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</si>
  <si>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</si>
  <si>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</si>
  <si>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</si>
  <si>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</si>
  <si>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</si>
  <si>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</si>
  <si>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</si>
  <si>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</si>
  <si>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</si>
  <si>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</si>
  <si>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</si>
  <si>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</si>
  <si>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</si>
  <si>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</si>
  <si>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</si>
  <si>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</si>
  <si>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</si>
  <si>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</si>
  <si>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</si>
  <si>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</si>
  <si>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</si>
  <si>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</si>
  <si>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</si>
  <si>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</si>
  <si>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</si>
  <si>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</si>
  <si>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</si>
  <si>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</si>
  <si>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</si>
  <si>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</si>
  <si>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</si>
  <si>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</si>
  <si>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</si>
  <si>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</si>
  <si>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</si>
  <si>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</si>
  <si>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</si>
  <si>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</si>
  <si>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</si>
  <si>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</si>
  <si>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</si>
  <si>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</si>
  <si>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</si>
  <si>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</si>
  <si>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</si>
  <si>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</si>
  <si>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</si>
  <si>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</si>
  <si>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</si>
  <si>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</si>
  <si>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</si>
  <si>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</si>
  <si>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</si>
  <si>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</si>
  <si>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</si>
  <si>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</si>
  <si>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</si>
  <si>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</si>
  <si>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</si>
  <si>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</si>
  <si>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</si>
  <si>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</si>
  <si>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</si>
  <si>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</si>
  <si>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</si>
  <si>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</si>
  <si>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</si>
  <si>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</si>
  <si>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</si>
  <si>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</si>
  <si>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</si>
  <si>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</si>
  <si>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</si>
  <si>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</si>
  <si>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</si>
  <si>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</si>
  <si>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</si>
  <si>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</si>
  <si>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</si>
  <si>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</si>
  <si>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</si>
  <si>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</si>
  <si>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</si>
  <si>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</si>
  <si>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</si>
  <si>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</si>
  <si>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</si>
  <si>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</si>
  <si>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</si>
  <si>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</si>
  <si>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</si>
  <si>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</si>
  <si>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</si>
  <si>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</si>
  <si>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</si>
  <si>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</si>
  <si>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</si>
  <si>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</si>
  <si>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</si>
  <si>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</si>
  <si>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</si>
  <si>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</si>
  <si>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</si>
  <si>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</si>
  <si>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</si>
  <si>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</si>
  <si>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</si>
  <si>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</si>
  <si>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</si>
  <si>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</si>
  <si>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</si>
  <si>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</si>
  <si>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</si>
  <si>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</si>
  <si>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</si>
  <si>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</si>
  <si>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</si>
  <si>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</si>
  <si>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</si>
  <si>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</si>
  <si>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</si>
  <si>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</si>
  <si>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</si>
  <si>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</si>
  <si>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</si>
  <si>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</si>
  <si>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</si>
  <si>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</si>
  <si>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</si>
  <si>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</si>
  <si>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</si>
  <si>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</si>
  <si>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</si>
  <si>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</si>
  <si>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</si>
  <si>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</si>
  <si>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</si>
  <si>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</si>
  <si>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</si>
  <si>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</si>
  <si>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</si>
  <si>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</si>
  <si>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</si>
  <si>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</si>
  <si>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</si>
  <si>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</si>
  <si>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</si>
  <si>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</si>
  <si>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</si>
  <si>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</si>
  <si>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</si>
  <si>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</si>
  <si>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</si>
  <si>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</si>
  <si>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</si>
  <si>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</si>
  <si>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</si>
  <si>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</si>
  <si>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</si>
  <si>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</si>
  <si>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</si>
  <si>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</si>
  <si>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</si>
  <si>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</si>
  <si>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</si>
  <si>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</si>
  <si>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</si>
  <si>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</si>
  <si>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</si>
  <si>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</si>
  <si>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</si>
  <si>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</si>
  <si>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</si>
  <si>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</si>
  <si>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</si>
  <si>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</si>
  <si>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</si>
  <si>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</si>
  <si>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</si>
  <si>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</si>
  <si>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</si>
  <si>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</si>
  <si>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</si>
  <si>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</si>
  <si>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</si>
  <si>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</si>
  <si>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</si>
  <si>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</si>
  <si>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</si>
  <si>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</si>
  <si>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</si>
  <si>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</si>
  <si>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</si>
  <si>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</si>
  <si>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</si>
  <si>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</si>
  <si>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</si>
  <si>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</si>
  <si>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</si>
  <si>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</si>
  <si>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</si>
  <si>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</si>
  <si>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</si>
  <si>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</si>
  <si>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</si>
  <si>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</si>
  <si>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</si>
  <si>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</si>
  <si>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</si>
  <si>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</si>
  <si>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</si>
  <si>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</si>
  <si>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</si>
  <si>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</si>
  <si>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</si>
  <si>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</si>
  <si>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</si>
  <si>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</si>
  <si>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</si>
  <si>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</si>
  <si>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</si>
  <si>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</si>
  <si>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</si>
  <si>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</si>
  <si>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</si>
  <si>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</si>
  <si>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</si>
  <si>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</si>
  <si>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</si>
  <si>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</si>
  <si>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</si>
  <si>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</si>
  <si>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</si>
  <si>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</si>
  <si>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</si>
  <si>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</si>
  <si>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</si>
  <si>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</si>
  <si>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</si>
  <si>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</si>
  <si>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</si>
  <si>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</si>
  <si>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</si>
  <si>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</si>
  <si>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</si>
  <si>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</si>
  <si>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</si>
  <si>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</si>
  <si>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</si>
  <si>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</si>
  <si>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</si>
  <si>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</si>
  <si>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</si>
  <si>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</si>
  <si>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</si>
  <si>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</si>
  <si>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</si>
  <si>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</si>
  <si>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</si>
  <si>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</si>
  <si>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</si>
  <si>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</si>
  <si>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</si>
  <si>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</si>
  <si>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</si>
  <si>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</si>
  <si>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</si>
  <si>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</si>
  <si>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</si>
  <si>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</si>
  <si>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</si>
  <si>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</si>
  <si>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</si>
  <si>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</si>
  <si>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</si>
  <si>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</si>
  <si>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</si>
  <si>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</si>
  <si>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</si>
  <si>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</si>
  <si>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</si>
  <si>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</si>
  <si>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</si>
  <si>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</si>
  <si>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</si>
  <si>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</si>
  <si>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</si>
  <si>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</si>
  <si>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</si>
  <si>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</si>
  <si>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</si>
  <si>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</si>
  <si>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</si>
  <si>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</si>
  <si>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</si>
  <si>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</si>
  <si>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</si>
  <si>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</si>
  <si>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</si>
  <si>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</si>
  <si>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</si>
  <si>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</si>
  <si>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</si>
  <si>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</si>
  <si>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</si>
  <si>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</si>
  <si>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</si>
  <si>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</si>
  <si>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</si>
  <si>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</si>
  <si>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</si>
  <si>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</si>
  <si>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</si>
  <si>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</si>
  <si>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</si>
  <si>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</si>
  <si>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</si>
  <si>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</si>
  <si>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</si>
  <si>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</si>
  <si>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</si>
  <si>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</si>
  <si>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</si>
  <si>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</si>
  <si>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</si>
  <si>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</si>
  <si>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</si>
  <si>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</si>
  <si>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</si>
  <si>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</si>
  <si>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</si>
  <si>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</si>
  <si>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</si>
  <si>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</si>
  <si>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</si>
  <si>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</si>
  <si>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</si>
  <si>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</si>
  <si>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</si>
  <si>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</si>
  <si>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</si>
  <si>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</si>
  <si>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</si>
  <si>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</si>
  <si>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</si>
  <si>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</si>
  <si>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</si>
  <si>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</si>
  <si>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</si>
  <si>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</si>
  <si>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</si>
  <si>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</si>
  <si>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</si>
  <si>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</si>
  <si>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</si>
  <si>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</si>
  <si>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</si>
  <si>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</si>
  <si>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</si>
  <si>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</si>
  <si>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</si>
  <si>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</si>
  <si>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</si>
  <si>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</si>
  <si>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</si>
  <si>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</si>
  <si>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</si>
  <si>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</si>
  <si>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</si>
  <si>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</si>
  <si>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</si>
  <si>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</si>
  <si>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</si>
  <si>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</si>
  <si>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</si>
  <si>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</si>
  <si>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</si>
  <si>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</si>
  <si>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</si>
  <si>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</si>
  <si>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</si>
  <si>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</si>
  <si>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</si>
  <si>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</si>
  <si>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</si>
  <si>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</si>
  <si>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</si>
  <si>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</si>
  <si>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</si>
  <si>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</si>
  <si>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</si>
  <si>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</si>
  <si>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</si>
  <si>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</si>
  <si>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</si>
  <si>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</si>
  <si>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</si>
  <si>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</si>
  <si>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</si>
  <si>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</si>
  <si>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</si>
  <si>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</si>
  <si>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</si>
  <si>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</si>
  <si>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</si>
  <si>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</si>
  <si>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</si>
  <si>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</si>
  <si>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</si>
  <si>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</si>
  <si>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</si>
  <si>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</si>
  <si>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</si>
  <si>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</si>
  <si>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</si>
  <si>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</si>
  <si>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</si>
  <si>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</si>
  <si>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</si>
  <si>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</si>
  <si>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</si>
  <si>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</si>
  <si>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</si>
  <si>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</si>
  <si>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</si>
  <si>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</si>
  <si>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</si>
  <si>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</si>
  <si>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</si>
  <si>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</si>
  <si>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</si>
  <si>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</si>
  <si>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</si>
  <si>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</si>
  <si>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</si>
  <si>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</si>
  <si>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</si>
  <si>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</si>
  <si>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</si>
  <si>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</si>
  <si>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</si>
  <si>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</si>
  <si>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</si>
  <si>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</si>
  <si>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</si>
  <si>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</si>
  <si>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</si>
  <si>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PricelistPriceTotal умножить на количество</t>
  </si>
  <si>
    <t>штуки умножить на price list</t>
  </si>
  <si>
    <t>PricelistPriceTotal умножить на количество минус Bonus</t>
  </si>
  <si>
    <t>берем GS - процент годового бонуса (столбец С)</t>
  </si>
  <si>
    <t>Заполнить вручную</t>
  </si>
  <si>
    <t>штуки умножить на промо price list столбец EK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</si>
  <si>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</si>
  <si>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</si>
  <si>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</si>
  <si>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</si>
  <si>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</si>
  <si>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</si>
  <si>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</si>
  <si>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</si>
  <si>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</si>
  <si>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</si>
  <si>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</si>
  <si>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</si>
  <si>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</si>
  <si>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</si>
  <si>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</si>
  <si>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</si>
  <si>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</si>
  <si>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</si>
  <si>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</si>
  <si>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</si>
  <si>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</si>
  <si>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</si>
  <si>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</si>
  <si>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</si>
  <si>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</si>
  <si>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</si>
  <si>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</si>
  <si>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</si>
  <si>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</si>
  <si>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</si>
  <si>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</si>
  <si>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</si>
  <si>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</si>
  <si>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</si>
  <si>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</si>
  <si>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</si>
  <si>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</si>
  <si>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</si>
  <si>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</si>
  <si>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</si>
  <si>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</si>
  <si>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</si>
  <si>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</si>
  <si>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</si>
  <si>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</si>
  <si>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</si>
  <si>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</si>
  <si>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</si>
  <si>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</si>
  <si>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</si>
  <si>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</si>
  <si>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</si>
  <si>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</si>
  <si>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</si>
  <si>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</si>
  <si>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</si>
  <si>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</si>
  <si>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</si>
  <si>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</si>
  <si>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</si>
  <si>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</si>
  <si>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</si>
  <si>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</si>
  <si>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</si>
  <si>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</si>
  <si>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</si>
  <si>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</si>
  <si>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</si>
  <si>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</si>
  <si>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</si>
  <si>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</si>
  <si>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</si>
  <si>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</si>
  <si>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</si>
  <si>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</si>
  <si>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</si>
  <si>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</si>
  <si>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</si>
  <si>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</si>
  <si>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</si>
  <si>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</si>
  <si>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</si>
  <si>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</si>
  <si>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</si>
  <si>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</si>
  <si>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</si>
  <si>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</si>
  <si>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</si>
  <si>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</si>
  <si>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</si>
  <si>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</si>
  <si>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</si>
  <si>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</si>
  <si>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</si>
  <si>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</si>
  <si>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</si>
  <si>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</si>
  <si>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</si>
  <si>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</si>
  <si>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</si>
  <si>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</si>
  <si>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</si>
  <si>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</si>
  <si>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</si>
  <si>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</si>
  <si>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</si>
  <si>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</si>
  <si>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</si>
  <si>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</si>
  <si>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</si>
  <si>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</si>
  <si>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</si>
  <si>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</si>
  <si>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</si>
  <si>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</si>
  <si>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</si>
  <si>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</si>
  <si>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</si>
  <si>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</si>
  <si>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</si>
  <si>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</si>
  <si>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</si>
  <si>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</si>
  <si>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</si>
  <si>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</si>
  <si>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</si>
  <si>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</si>
  <si>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</si>
  <si>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</si>
  <si>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</si>
  <si>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</si>
  <si>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</si>
  <si>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</si>
  <si>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</si>
  <si>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</si>
  <si>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</si>
  <si>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</si>
  <si>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</si>
  <si>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</si>
  <si>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</si>
  <si>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</si>
  <si>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</si>
  <si>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</si>
  <si>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</si>
  <si>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</si>
  <si>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</si>
  <si>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</si>
  <si>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</si>
  <si>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</si>
  <si>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</si>
  <si>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</si>
  <si>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</si>
  <si>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</si>
  <si>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</si>
  <si>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</si>
  <si>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</si>
  <si>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</si>
  <si>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</si>
  <si>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</si>
  <si>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</si>
  <si>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</si>
  <si>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</si>
  <si>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</si>
  <si>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</si>
  <si>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</si>
  <si>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</si>
  <si>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</si>
  <si>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</si>
  <si>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</si>
  <si>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</si>
  <si>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</si>
  <si>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</si>
  <si>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</si>
  <si>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</si>
  <si>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</si>
  <si>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</si>
  <si>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</si>
  <si>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</si>
  <si>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</si>
  <si>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</si>
  <si>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</si>
  <si>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</si>
  <si>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</si>
  <si>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</si>
  <si>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</si>
  <si>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</si>
  <si>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</si>
  <si>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Delta, %3</t>
  </si>
  <si>
    <t>Столбец4</t>
  </si>
  <si>
    <t>Price list цена, руб.5</t>
  </si>
  <si>
    <t>Скидка от РРЦ, %6</t>
  </si>
  <si>
    <t>Прогноз за год, шт. 7</t>
  </si>
  <si>
    <t>Прогноз январь, шт.8</t>
  </si>
  <si>
    <t>Прогноз февраль, шт.9</t>
  </si>
  <si>
    <t>Прогноз март, шт.10</t>
  </si>
  <si>
    <t>Прогноз апрель, шт.11</t>
  </si>
  <si>
    <t>Прогноз май, шт.12</t>
  </si>
  <si>
    <t>Прогноз июнь, шт.13</t>
  </si>
  <si>
    <t>Прогноз июль, шт.14</t>
  </si>
  <si>
    <t>Прогноз август, шт.15</t>
  </si>
  <si>
    <t>Прогноз сентрябрь, шт.16</t>
  </si>
  <si>
    <t>Прогноз октябрь, шт.17</t>
  </si>
  <si>
    <t>Прогноз ноябрь, шт.18</t>
  </si>
  <si>
    <t>Прогноз декабрь, шт.19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</si>
</sst>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9" fontId="1" fillId="7" borderId="0" xfId="3" applyNumberFormat="1" applyFont="1" applyFill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6" fillId="7" borderId="0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488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79" dataDxfId="478">
  <autoFilter ref="A2:AX10" xr:uid="{6B7FED29-D1EF-44AD-8CEA-6B36EA57CFDF}"/>
  <tableColumns count="50">
    <tableColumn id="20" xr3:uid="{F0834113-79EB-4DC4-BB50-96E4D3BC9E62}" name="№" dataDxfId="477"/>
    <tableColumn id="1" xr3:uid="{00000000-0010-0000-0300-000001000000}" name="Категория для прайс-листа диллеров" dataDxfId="476"/>
    <tableColumn id="2" xr3:uid="{00000000-0010-0000-0300-000002000000}" name="Суперкатегория (ENG)" dataDxfId="475"/>
    <tableColumn id="3" xr3:uid="{00000000-0010-0000-0300-000003000000}" name="Суперкатегория (RUS)" dataDxfId="474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73"/>
    <tableColumn id="5" xr3:uid="{00000000-0010-0000-0300-000005000000}" name="Название продукт группы (ENG)" dataDxfId="472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71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70"/>
    <tableColumn id="8" xr3:uid="{00000000-0010-0000-0300-000008000000}" name="Generic Name (long)" dataDxfId="469"/>
    <tableColumn id="9" xr3:uid="{00000000-0010-0000-0300-000009000000}" name="Model" dataDxfId="468"/>
    <tableColumn id="10" xr3:uid="{00000000-0010-0000-0300-00000A000000}" name="PNS" dataDxfId="467"/>
    <tableColumn id="11" xr3:uid="{00000000-0010-0000-0300-00000B000000}" name="Артикул" dataDxfId="466"/>
    <tableColumn id="12" xr3:uid="{00000000-0010-0000-0300-00000C000000}" name="Артикул предшественника (если есть)" dataDxfId="465"/>
    <tableColumn id="13" xr3:uid="{00000000-0010-0000-0300-00000D000000}" name="Название артикула (ENG)" dataDxfId="464"/>
    <tableColumn id="14" xr3:uid="{00000000-0010-0000-0300-00000E000000}" name="Название артикула (RUS)" dataDxfId="463"/>
    <tableColumn id="15" xr3:uid="{00000000-0010-0000-0300-00000F000000}" name="Используемый календарь" dataDxfId="462"/>
    <tableColumn id="21" xr3:uid="{22E1A367-1EE8-43BC-814E-457CB0799CE2}" name="to be sold in" dataDxfId="461"/>
    <tableColumn id="22" xr3:uid="{96D0E354-E4F0-4C0D-A215-B5053EDC93D3}" name="Sales Start Date" dataDxfId="460"/>
    <tableColumn id="23" xr3:uid="{8E8FA46F-C4EA-4B11-9002-6C2FB1732F50}" name="Preliminary Elimination Date" dataDxfId="459"/>
    <tableColumn id="24" xr3:uid="{1CD4DFA3-524A-4B3F-B75B-153436EC8505}" name="Elimination Date" dataDxfId="458"/>
    <tableColumn id="25" xr3:uid="{9E91402A-0829-46E3-BCAD-2B3FBD67E8B4}" name="GTIN-13/EAN" dataDxfId="457"/>
    <tableColumn id="26" xr3:uid="{6D670FEE-0EE3-4984-AE03-EE53C5B4F796}" name="Current Producing Factory Entity Reference" dataDxfId="456"/>
    <tableColumn id="27" xr3:uid="{5EE7ABD6-FDA4-4488-802E-A3E44391980C}" name="Country of Origin" dataDxfId="455"/>
    <tableColumn id="28" xr3:uid="{9B515A88-1ED3-4508-B5E0-8006888F9EC2}" name="Unit of measure" dataDxfId="454"/>
    <tableColumn id="29" xr3:uid="{87BE889F-2ABE-4DA6-8E30-3420049514D6}" name="Quantity in Master pack" dataDxfId="453"/>
    <tableColumn id="30" xr3:uid="{47EEE49F-81B7-4FCC-B374-69DEC03ECE66}" name="Article gross weight, preliminary" dataDxfId="452"/>
    <tableColumn id="31" xr3:uid="{EFEF2C58-568B-4F24-9FA2-6034A66D278C}" name="Article gross weight" dataDxfId="451"/>
    <tableColumn id="32" xr3:uid="{D9BFC098-81CC-44FD-9FDE-FE6F58BB8BD6}" name="Article net weight, preliminary" dataDxfId="450"/>
    <tableColumn id="33" xr3:uid="{C47E9D47-775F-4F97-AD61-45CFFC8D6D30}" name="Article net weight" dataDxfId="449"/>
    <tableColumn id="34" xr3:uid="{8FDF5358-549B-4DBC-B8D0-CFC371276F4D}" name="Packaging length" dataDxfId="448"/>
    <tableColumn id="35" xr3:uid="{6E69E3B5-4350-4ABB-89BF-8A6BD2DC4947}" name="Packaging width" dataDxfId="447"/>
    <tableColumn id="36" xr3:uid="{96879B4C-6D27-4389-8B5A-11E1CBC022EA}" name="Packaging height" dataDxfId="446"/>
    <tableColumn id="37" xr3:uid="{170F61C0-2069-494A-A33C-F39311F5A9C7}" name="Packaging volume" dataDxfId="445"/>
    <tableColumn id="38" xr3:uid="{5E3DED34-6BEE-4E8A-AFB4-2CACE6CD1835}" name="Product size length" dataDxfId="444"/>
    <tableColumn id="39" xr3:uid="{FF80A301-50E2-4D81-BB7D-1EE251460E5A}" name="Product size height" dataDxfId="443"/>
    <tableColumn id="40" xr3:uid="{37BA004B-7442-4871-93EF-B13A77E1A917}" name="Product size width" dataDxfId="442"/>
    <tableColumn id="41" xr3:uid="{9C4077D9-3E18-4C57-A4FE-24EC817418FB}" name="Units Per Pallet" dataDxfId="441"/>
    <tableColumn id="16" xr3:uid="{00000000-0010-0000-0300-000010000000}" name="Статус" dataDxfId="440"/>
    <tableColumn id="17" xr3:uid="{00000000-0010-0000-0300-000011000000}" name="Эксклюзив клиента или канала продажи" dataDxfId="439"/>
    <tableColumn id="18" xr3:uid="{00000000-0010-0000-0300-000012000000}" name="Локальный сертификат" dataDxfId="438"/>
    <tableColumn id="43" xr3:uid="{F395E6EB-A30D-4A38-AB3A-7536C9D93B73}" name="IRP, Eur" dataDxfId="437"/>
    <tableColumn id="42" xr3:uid="{05ED5D32-E5CB-4A2F-932D-7E4E79D8C3DB}" name="РРЦ текущий" dataDxfId="436"/>
    <tableColumn id="19" xr3:uid="{942DBC0D-E4D1-4CAE-964C-D4023A4F222C}" name="DIY текущий" dataDxfId="435"/>
    <tableColumn id="44" xr3:uid="{B34018FA-361B-4D7A-BB24-F38CB52B40FF}" name="Процент повышения РРЦ" dataDxfId="434"/>
    <tableColumn id="45" xr3:uid="{74423DE5-1814-4A91-B002-871E2E69DACF}" name="РРЦ расчетная, руб." dataDxfId="433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32"/>
    <tableColumn id="49" xr3:uid="{9DFD32D8-20F7-44F2-9EFD-A1D48FECC173}" name="РРЦ, евро" dataDxfId="431">
      <calculatedColumnFormula>ROUND(Товары[[#This Row],[РРЦ финальная, руб.]]/$AT$1,2)</calculatedColumnFormula>
    </tableColumn>
    <tableColumn id="47" xr3:uid="{274477BF-6DA6-42C0-8813-165D8A99D45E}" name="Индекс IRP" dataDxfId="430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29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28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27" dataDxfId="426">
  <autoFilter ref="A1:H440" xr:uid="{00000000-0009-0000-0100-00000D000000}"/>
  <tableColumns count="8">
    <tableColumn id="8" xr3:uid="{E2D1A163-1F1A-4C5F-BF19-12C204A54D1C}" name="№" dataDxfId="425"/>
    <tableColumn id="1" xr3:uid="{00000000-0010-0000-0A00-000001000000}" name="GardenaChannel" dataDxfId="424"/>
    <tableColumn id="2" xr3:uid="{00000000-0010-0000-0A00-000002000000}" name="Customer" dataDxfId="423"/>
    <tableColumn id="3" xr3:uid="{00000000-0010-0000-0A00-000003000000}" name="Channel type" dataDxfId="422"/>
    <tableColumn id="4" xr3:uid="{00000000-0010-0000-0A00-000004000000}" name="Customer status" dataDxfId="421"/>
    <tableColumn id="5" xr3:uid="{00000000-0010-0000-0A00-000005000000}" name="Sales manager" dataDxfId="420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19"/>
    <tableColumn id="7" xr3:uid="{00000000-0010-0000-0A00-000007000000}" name="CustomerBudget" dataDxfId="4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417">
  <autoFilter ref="A1:K2" xr:uid="{00000000-0009-0000-0100-00000F000000}"/>
  <tableColumns count="11">
    <tableColumn id="11" xr3:uid="{F724774D-6E5F-421B-8A8A-7AD1541FFA21}" name="№" dataDxfId="416"/>
    <tableColumn id="1" xr3:uid="{00000000-0010-0000-0C00-000001000000}" name="Channel type" dataDxfId="415"/>
    <tableColumn id="2" xr3:uid="{00000000-0010-0000-0C00-000002000000}" name="Customer status" dataDxfId="414"/>
    <tableColumn id="3" xr3:uid="{00000000-0010-0000-0C00-000003000000}" name="Период" dataDxfId="413"/>
    <tableColumn id="4" xr3:uid="{00000000-0010-0000-0C00-000004000000}" name="Оборудование для полива" dataDxfId="412"/>
    <tableColumn id="5" xr3:uid="{00000000-0010-0000-0C00-000005000000}" name="Электрика (Готовая продукция)" dataDxfId="411"/>
    <tableColumn id="6" xr3:uid="{00000000-0010-0000-0C00-000006000000}" name="Газонокосилки-роботы" dataDxfId="410"/>
    <tableColumn id="7" xr3:uid="{00000000-0010-0000-0C00-000007000000}" name="Насосное оборудование" dataDxfId="409"/>
    <tableColumn id="8" xr3:uid="{00000000-0010-0000-0C00-000008000000}" name="Ручные и режущие инструменты" dataDxfId="408"/>
    <tableColumn id="9" xr3:uid="{00000000-0010-0000-0C00-000009000000}" name="Зимние инструменты ClassicLine" dataDxfId="407"/>
    <tableColumn id="10" xr3:uid="{00000000-0010-0000-0C00-00000A000000}" name="Максимальный годовой бонус" dataDxfId="40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02" headerRowBorderDxfId="401" tableBorderDxfId="400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399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39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397"/>
    <tableColumn id="2" xr3:uid="{00000000-0010-0000-0700-000002000000}" name="SubGroup" dataDxfId="396"/>
    <tableColumn id="3" xr3:uid="{00000000-0010-0000-0700-000003000000}" name="Процент от РРЦ, без НДС" dataDxfId="395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394">
  <tableColumns count="121">
    <tableColumn id="1" xr3:uid="{00000000-0010-0000-0D00-000001000000}" name="ID" dataDxfId="393"/>
    <tableColumn id="2" xr3:uid="{00000000-0010-0000-0D00-000002000000}" name="Channel type" dataDxfId="392"/>
    <tableColumn id="3" xr3:uid="{00000000-0010-0000-0D00-000003000000}" name="Customer status" dataDxfId="391"/>
    <tableColumn id="4" xr3:uid="{00000000-0010-0000-0D00-000004000000}" name="Дата прогноза" dataDxfId="390"/>
    <tableColumn id="5" xr3:uid="{00000000-0010-0000-0D00-000005000000}" name="Данные справочника товаров"/>
    <tableColumn id="6" xr3:uid="{00000000-0010-0000-0D00-000006000000}" name="STK 2.5, руб." dataDxfId="389"/>
    <tableColumn id="7" xr3:uid="{00000000-0010-0000-0D00-000007000000}" name="IRP, Eur" dataDxfId="388"/>
    <tableColumn id="8" xr3:uid="{00000000-0010-0000-0D00-000008000000}" name="РРЦ, руб.с НДС" dataDxfId="387"/>
    <tableColumn id="9" xr3:uid="{00000000-0010-0000-0D00-000009000000}" name="Индекс IRP" dataDxfId="386"/>
    <tableColumn id="10" xr3:uid="{00000000-0010-0000-0D00-00000A000000}" name="DIY price list, руб. без НДС" dataDxfId="385"/>
    <tableColumn id="11" xr3:uid="{00000000-0010-0000-0D00-00000B000000}" name="2 net цена, руб." dataDxfId="384"/>
    <tableColumn id="12" xr3:uid="{00000000-0010-0000-0D00-00000C000000}" name="3 net цена, руб." dataDxfId="383"/>
    <tableColumn id="13" xr3:uid="{00000000-0010-0000-0D00-00000D000000}" name="Transfer цена, руб." dataDxfId="382"/>
    <tableColumn id="14" xr3:uid="{00000000-0010-0000-0D00-00000E000000}" name="Price-list январь" dataDxfId="381"/>
    <tableColumn id="15" xr3:uid="{00000000-0010-0000-0D00-00000F000000}" name="Price-list февраль" dataDxfId="380"/>
    <tableColumn id="16" xr3:uid="{00000000-0010-0000-0D00-000010000000}" name="Price-list март" dataDxfId="379"/>
    <tableColumn id="17" xr3:uid="{00000000-0010-0000-0D00-000011000000}" name="Price-list апрель" dataDxfId="378"/>
    <tableColumn id="18" xr3:uid="{00000000-0010-0000-0D00-000012000000}" name="Price-list май" dataDxfId="377"/>
    <tableColumn id="19" xr3:uid="{00000000-0010-0000-0D00-000013000000}" name="Price-list июнь" dataDxfId="376"/>
    <tableColumn id="20" xr3:uid="{00000000-0010-0000-0D00-000014000000}" name="Price-list июль" dataDxfId="375"/>
    <tableColumn id="21" xr3:uid="{00000000-0010-0000-0D00-000015000000}" name="Price-list август" dataDxfId="374"/>
    <tableColumn id="22" xr3:uid="{00000000-0010-0000-0D00-000016000000}" name="Price-list сентябрь" dataDxfId="373"/>
    <tableColumn id="23" xr3:uid="{00000000-0010-0000-0D00-000017000000}" name="Price-list октябрь" dataDxfId="372"/>
    <tableColumn id="24" xr3:uid="{00000000-0010-0000-0D00-000018000000}" name="Price-list ноябрь" dataDxfId="371"/>
    <tableColumn id="25" xr3:uid="{00000000-0010-0000-0D00-000019000000}" name="Price-list декабрь" dataDxfId="370"/>
    <tableColumn id="26" xr3:uid="{00000000-0010-0000-0D00-00001A000000}" name="Объем продаж январь" dataDxfId="369"/>
    <tableColumn id="27" xr3:uid="{00000000-0010-0000-0D00-00001B000000}" name="Объем продаж февраль" dataDxfId="368"/>
    <tableColumn id="28" xr3:uid="{00000000-0010-0000-0D00-00001C000000}" name="Объем продаж март" dataDxfId="367"/>
    <tableColumn id="29" xr3:uid="{00000000-0010-0000-0D00-00001D000000}" name="Объем продаж апрель" dataDxfId="366"/>
    <tableColumn id="30" xr3:uid="{00000000-0010-0000-0D00-00001E000000}" name="Объем продаж май" dataDxfId="365"/>
    <tableColumn id="31" xr3:uid="{00000000-0010-0000-0D00-00001F000000}" name="Объем продаж июнь" dataDxfId="364"/>
    <tableColumn id="32" xr3:uid="{00000000-0010-0000-0D00-000020000000}" name="Объем продаж июль" dataDxfId="363"/>
    <tableColumn id="33" xr3:uid="{00000000-0010-0000-0D00-000021000000}" name="Объем продаж август" dataDxfId="362"/>
    <tableColumn id="34" xr3:uid="{00000000-0010-0000-0D00-000022000000}" name="Объем продаж сентябрь" dataDxfId="361"/>
    <tableColumn id="35" xr3:uid="{00000000-0010-0000-0D00-000023000000}" name="Объем продаж октябрь" dataDxfId="360"/>
    <tableColumn id="36" xr3:uid="{00000000-0010-0000-0D00-000024000000}" name="Объем продаж ноябрь" dataDxfId="359"/>
    <tableColumn id="37" xr3:uid="{00000000-0010-0000-0D00-000025000000}" name="Объем продаж декабрь" dataDxfId="358"/>
    <tableColumn id="38" xr3:uid="{00000000-0010-0000-0D00-000026000000}" name="GS январь" dataDxfId="357"/>
    <tableColumn id="39" xr3:uid="{00000000-0010-0000-0D00-000027000000}" name="GS февраль" dataDxfId="356"/>
    <tableColumn id="40" xr3:uid="{00000000-0010-0000-0D00-000028000000}" name="GS март" dataDxfId="355"/>
    <tableColumn id="41" xr3:uid="{00000000-0010-0000-0D00-000029000000}" name="GS апрель" dataDxfId="354"/>
    <tableColumn id="42" xr3:uid="{00000000-0010-0000-0D00-00002A000000}" name="GS май" dataDxfId="353"/>
    <tableColumn id="43" xr3:uid="{00000000-0010-0000-0D00-00002B000000}" name="GS июнь" dataDxfId="352"/>
    <tableColumn id="44" xr3:uid="{00000000-0010-0000-0D00-00002C000000}" name="GS июль" dataDxfId="351"/>
    <tableColumn id="45" xr3:uid="{00000000-0010-0000-0D00-00002D000000}" name="GS август" dataDxfId="350"/>
    <tableColumn id="46" xr3:uid="{00000000-0010-0000-0D00-00002E000000}" name="GS сентябрь" dataDxfId="349"/>
    <tableColumn id="47" xr3:uid="{00000000-0010-0000-0D00-00002F000000}" name="GS октябрь" dataDxfId="348"/>
    <tableColumn id="48" xr3:uid="{00000000-0010-0000-0D00-000030000000}" name="GS ноябрь" dataDxfId="347"/>
    <tableColumn id="49" xr3:uid="{00000000-0010-0000-0D00-000031000000}" name="GS декабрь" dataDxfId="346"/>
    <tableColumn id="50" xr3:uid="{00000000-0010-0000-0D00-000032000000}" name="NS Январь" dataDxfId="345"/>
    <tableColumn id="51" xr3:uid="{00000000-0010-0000-0D00-000033000000}" name="NS февраль" dataDxfId="344"/>
    <tableColumn id="52" xr3:uid="{00000000-0010-0000-0D00-000034000000}" name="NS март" dataDxfId="343"/>
    <tableColumn id="53" xr3:uid="{00000000-0010-0000-0D00-000035000000}" name="NS апрель" dataDxfId="342"/>
    <tableColumn id="54" xr3:uid="{00000000-0010-0000-0D00-000036000000}" name="NS май" dataDxfId="341"/>
    <tableColumn id="55" xr3:uid="{00000000-0010-0000-0D00-000037000000}" name="NS июнь" dataDxfId="340"/>
    <tableColumn id="56" xr3:uid="{00000000-0010-0000-0D00-000038000000}" name="NS июль" dataDxfId="339"/>
    <tableColumn id="57" xr3:uid="{00000000-0010-0000-0D00-000039000000}" name="NS август" dataDxfId="338"/>
    <tableColumn id="58" xr3:uid="{00000000-0010-0000-0D00-00003A000000}" name="NS сентябрь" dataDxfId="337"/>
    <tableColumn id="59" xr3:uid="{00000000-0010-0000-0D00-00003B000000}" name="NS октябрь" dataDxfId="336"/>
    <tableColumn id="60" xr3:uid="{00000000-0010-0000-0D00-00003C000000}" name="NS ноябрь" dataDxfId="335"/>
    <tableColumn id="61" xr3:uid="{00000000-0010-0000-0D00-00003D000000}" name="NS декабрь" dataDxfId="334"/>
    <tableColumn id="62" xr3:uid="{00000000-0010-0000-0D00-00003E000000}" name="Promo Price-list январь" dataDxfId="333"/>
    <tableColumn id="63" xr3:uid="{00000000-0010-0000-0D00-00003F000000}" name="Promo Price-list февраль" dataDxfId="332"/>
    <tableColumn id="64" xr3:uid="{00000000-0010-0000-0D00-000040000000}" name="Promo Price-list март" dataDxfId="331"/>
    <tableColumn id="65" xr3:uid="{00000000-0010-0000-0D00-000041000000}" name="Promo Price-list апрель" dataDxfId="330"/>
    <tableColumn id="66" xr3:uid="{00000000-0010-0000-0D00-000042000000}" name="Promo Price-list май" dataDxfId="329"/>
    <tableColumn id="67" xr3:uid="{00000000-0010-0000-0D00-000043000000}" name="Promo Price-list июнь" dataDxfId="328"/>
    <tableColumn id="68" xr3:uid="{00000000-0010-0000-0D00-000044000000}" name="Promo Price-list июль" dataDxfId="327"/>
    <tableColumn id="69" xr3:uid="{00000000-0010-0000-0D00-000045000000}" name="Promo Price-list август" dataDxfId="326"/>
    <tableColumn id="70" xr3:uid="{00000000-0010-0000-0D00-000046000000}" name="Promo Price-list сентябрь" dataDxfId="325"/>
    <tableColumn id="71" xr3:uid="{00000000-0010-0000-0D00-000047000000}" name="Promo Price-list октябрь" dataDxfId="324"/>
    <tableColumn id="72" xr3:uid="{00000000-0010-0000-0D00-000048000000}" name="Promo Price-list ноябрь" dataDxfId="323"/>
    <tableColumn id="73" xr3:uid="{00000000-0010-0000-0D00-000049000000}" name="Promo Price-list декабрь" dataDxfId="322"/>
    <tableColumn id="74" xr3:uid="{00000000-0010-0000-0D00-00004A000000}" name="Promo Объем продаж январь" dataDxfId="321"/>
    <tableColumn id="75" xr3:uid="{00000000-0010-0000-0D00-00004B000000}" name="Promo Объем февраль" dataDxfId="320"/>
    <tableColumn id="76" xr3:uid="{00000000-0010-0000-0D00-00004C000000}" name="Promo Объем март" dataDxfId="319"/>
    <tableColumn id="77" xr3:uid="{00000000-0010-0000-0D00-00004D000000}" name="Promo Объем апрель" dataDxfId="318"/>
    <tableColumn id="78" xr3:uid="{00000000-0010-0000-0D00-00004E000000}" name="Promo Объем май" dataDxfId="317"/>
    <tableColumn id="79" xr3:uid="{00000000-0010-0000-0D00-00004F000000}" name="Promo Объем июнь" dataDxfId="316"/>
    <tableColumn id="80" xr3:uid="{00000000-0010-0000-0D00-000050000000}" name="Promo Объем июль" dataDxfId="315"/>
    <tableColumn id="81" xr3:uid="{00000000-0010-0000-0D00-000051000000}" name="Promo Объем август" dataDxfId="314"/>
    <tableColumn id="82" xr3:uid="{00000000-0010-0000-0D00-000052000000}" name="Promo Объем сентябрь" dataDxfId="313"/>
    <tableColumn id="83" xr3:uid="{00000000-0010-0000-0D00-000053000000}" name="Promo Объем октябрь" dataDxfId="312"/>
    <tableColumn id="84" xr3:uid="{00000000-0010-0000-0D00-000054000000}" name="Promo Объем ноябрь" dataDxfId="311"/>
    <tableColumn id="85" xr3:uid="{00000000-0010-0000-0D00-000055000000}" name="Promo Объем декабрь" dataDxfId="310"/>
    <tableColumn id="86" xr3:uid="{00000000-0010-0000-0D00-000056000000}" name="Promo GS январь" dataDxfId="309"/>
    <tableColumn id="87" xr3:uid="{00000000-0010-0000-0D00-000057000000}" name="Promo GS февраль" dataDxfId="308"/>
    <tableColumn id="88" xr3:uid="{00000000-0010-0000-0D00-000058000000}" name="Promo GS март" dataDxfId="307"/>
    <tableColumn id="89" xr3:uid="{00000000-0010-0000-0D00-000059000000}" name="Promo GS апрель" dataDxfId="306"/>
    <tableColumn id="90" xr3:uid="{00000000-0010-0000-0D00-00005A000000}" name="Promo GS май" dataDxfId="305"/>
    <tableColumn id="91" xr3:uid="{00000000-0010-0000-0D00-00005B000000}" name="Promo GS июнь" dataDxfId="304"/>
    <tableColumn id="92" xr3:uid="{00000000-0010-0000-0D00-00005C000000}" name="Promo GS июль" dataDxfId="303"/>
    <tableColumn id="93" xr3:uid="{00000000-0010-0000-0D00-00005D000000}" name="Promo GS август" dataDxfId="302"/>
    <tableColumn id="94" xr3:uid="{00000000-0010-0000-0D00-00005E000000}" name="Promo GS сентябрь" dataDxfId="301"/>
    <tableColumn id="95" xr3:uid="{00000000-0010-0000-0D00-00005F000000}" name="Promo GS октябрь" dataDxfId="300"/>
    <tableColumn id="96" xr3:uid="{00000000-0010-0000-0D00-000060000000}" name="Promo GS ноябрь" dataDxfId="299"/>
    <tableColumn id="97" xr3:uid="{00000000-0010-0000-0D00-000061000000}" name="Promo GS декабрь" dataDxfId="298"/>
    <tableColumn id="98" xr3:uid="{00000000-0010-0000-0D00-000062000000}" name="Promo NS январь" dataDxfId="297"/>
    <tableColumn id="99" xr3:uid="{00000000-0010-0000-0D00-000063000000}" name="Promo NS февраль" dataDxfId="296"/>
    <tableColumn id="100" xr3:uid="{00000000-0010-0000-0D00-000064000000}" name="Promo NS март" dataDxfId="295"/>
    <tableColumn id="101" xr3:uid="{00000000-0010-0000-0D00-000065000000}" name="Promo NS апрель" dataDxfId="294"/>
    <tableColumn id="102" xr3:uid="{00000000-0010-0000-0D00-000066000000}" name="Promo NS май" dataDxfId="293"/>
    <tableColumn id="103" xr3:uid="{00000000-0010-0000-0D00-000067000000}" name="Promo NS июнь" dataDxfId="292"/>
    <tableColumn id="104" xr3:uid="{00000000-0010-0000-0D00-000068000000}" name="Promo NS июль" dataDxfId="291"/>
    <tableColumn id="105" xr3:uid="{00000000-0010-0000-0D00-000069000000}" name="Promo NS август" dataDxfId="290"/>
    <tableColumn id="106" xr3:uid="{00000000-0010-0000-0D00-00006A000000}" name="Promo NS сентябрь" dataDxfId="289"/>
    <tableColumn id="107" xr3:uid="{00000000-0010-0000-0D00-00006B000000}" name="Promo NS октябрь" dataDxfId="288"/>
    <tableColumn id="108" xr3:uid="{00000000-0010-0000-0D00-00006C000000}" name="Promo NS ноябрь" dataDxfId="287"/>
    <tableColumn id="109" xr3:uid="{00000000-0010-0000-0D00-00006D000000}" name="Promo NS декабрь" dataDxfId="286"/>
    <tableColumn id="110" xr3:uid="{00000000-0010-0000-0D00-00006E000000}" name="GP Value январь" dataDxfId="285"/>
    <tableColumn id="111" xr3:uid="{00000000-0010-0000-0D00-00006F000000}" name="GP Value февраль" dataDxfId="284"/>
    <tableColumn id="112" xr3:uid="{00000000-0010-0000-0D00-000070000000}" name="GP Value март" dataDxfId="283"/>
    <tableColumn id="113" xr3:uid="{00000000-0010-0000-0D00-000071000000}" name="GP Value апрель" dataDxfId="282"/>
    <tableColumn id="114" xr3:uid="{00000000-0010-0000-0D00-000072000000}" name="GP Value май" dataDxfId="281"/>
    <tableColumn id="115" xr3:uid="{00000000-0010-0000-0D00-000073000000}" name="GP Value июнь" dataDxfId="280"/>
    <tableColumn id="116" xr3:uid="{00000000-0010-0000-0D00-000074000000}" name="GP Value июль" dataDxfId="279"/>
    <tableColumn id="117" xr3:uid="{00000000-0010-0000-0D00-000075000000}" name="GP Value август" dataDxfId="278"/>
    <tableColumn id="118" xr3:uid="{00000000-0010-0000-0D00-000076000000}" name="GP Value сентябрь" dataDxfId="277"/>
    <tableColumn id="119" xr3:uid="{00000000-0010-0000-0D00-000077000000}" name="GP Value октябрь" dataDxfId="276"/>
    <tableColumn id="120" xr3:uid="{00000000-0010-0000-0D00-000078000000}" name="GP Value ноябрь" dataDxfId="275"/>
    <tableColumn id="121" xr3:uid="{00000000-0010-0000-0D00-000079000000}" name="GP Value декабрь" dataDxfId="27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73" dataDxfId="272" headerRowCellStyle="Обычный 2" dataCellStyle="Обычный 2">
  <autoFilter ref="A13:V14" xr:uid="{ADF718DD-67AC-4401-B168-AFEE638B048C}"/>
  <tableColumns count="22">
    <tableColumn id="22" xr3:uid="{361E8588-935C-493B-A7CF-935B5D4480B5}" name="Id" dataDxfId="271" dataCellStyle="Обычный 2"/>
    <tableColumn id="1" xr3:uid="{AC1F4D41-C0A8-443D-9E3C-D9C4FF50F830}" name="КАТЕГОРИЯ" dataDxfId="270" dataCellStyle="Обычный 2"/>
    <tableColumn id="2" xr3:uid="{20B689EB-7652-4723-BFAB-8C7C64C8FD7A}" name="Фото продукта" dataDxfId="269" dataCellStyle="Обычный 2"/>
    <tableColumn id="3" xr3:uid="{8821E9F1-B085-4717-B559-CDD126769DA7}" name="Продукт группа - название" dataDxfId="268" dataCellStyle="Обычный 2"/>
    <tableColumn id="4" xr3:uid="{A99D0144-C997-463C-9A1D-9B08CF9140E1}" name="Артикул GARDENA" dataDxfId="267" dataCellStyle="Обычный 2"/>
    <tableColumn id="5" xr3:uid="{ED79FFB3-1BA8-4E97-9A5F-C09EAECD5CB1}" name="Артикул предшествующего продукта (если есть)" dataDxfId="266" dataCellStyle="Обычный 2"/>
    <tableColumn id="6" xr3:uid="{71EF79FE-B1E9-4844-9BB4-A63692EDA3AE}" name="Название" dataDxfId="265" dataCellStyle="Обычный 2"/>
    <tableColumn id="7" xr3:uid="{5A0F710D-9900-48D2-A5A0-EE9A1926CA9F}" name="Описание" dataDxfId="264" dataCellStyle="Обычный 2"/>
    <tableColumn id="8" xr3:uid="{0709C17B-24E7-4283-B7CD-103780E925FD}" name="РРЦ 2020, руб. с НДС" dataDxfId="263" dataCellStyle="Обычный 2"/>
    <tableColumn id="9" xr3:uid="{7346265F-E87E-4F08-A3D6-0027CF43A157}" name="EAN штуки" dataDxfId="262" dataCellStyle="Обычный 2"/>
    <tableColumn id="10" xr3:uid="{2C8CCB7E-EDD1-482F-A1E4-EC04C692D1EA}" name="страна производства" dataDxfId="261" dataCellStyle="Обычный 2"/>
    <tableColumn id="11" xr3:uid="{6995D219-9DF9-4115-8CDC-849E890401E6}" name="единица измерения" dataDxfId="260" dataCellStyle="Обычный 2"/>
    <tableColumn id="12" xr3:uid="{1A1113D4-0FC3-4FC9-8993-94D48C5B7E0B}" name="кол-во в мастер-паке" dataDxfId="259" dataCellStyle="Финансовый 2"/>
    <tableColumn id="13" xr3:uid="{085F48D9-0BB4-48CA-BB0A-E910E6B6C9E8}" name="Вес гросс штуки, финальный" dataDxfId="258" dataCellStyle="Обычный 2"/>
    <tableColumn id="14" xr3:uid="{2834A4E1-0E95-43BB-97C8-392563130CF3}" name="Вес нетто штуки, финальный" dataDxfId="257" dataCellStyle="Обычный 2"/>
    <tableColumn id="15" xr3:uid="{5BEC7C38-B443-4DCB-BE49-1848A79C42F9}" name="Длина упаковки" dataDxfId="256" dataCellStyle="Обычный 2"/>
    <tableColumn id="16" xr3:uid="{7C9AB8E1-B1C6-47E3-9BE8-5A1D1C646B25}" name="Ширина упаковки" dataDxfId="255" dataCellStyle="Обычный 2"/>
    <tableColumn id="17" xr3:uid="{10918133-09A5-4117-B3B1-E785EFE65B4A}" name="Высота упаковки" dataDxfId="254" dataCellStyle="Обычный 2"/>
    <tableColumn id="18" xr3:uid="{DE26A25B-99E8-4A9D-8AFE-A2E1D13A4931}" name="Объем упаковки" dataDxfId="253" dataCellStyle="Обычный 2"/>
    <tableColumn id="19" xr3:uid="{9AF542A1-08A7-49E6-9900-1EB99D7350D1}" name="Кол-во штук на паллете" dataDxfId="252" dataCellStyle="Финансовый 2"/>
    <tableColumn id="20" xr3:uid="{9B215DDF-BCA2-477C-8AFA-BC848C8FF031}" name="Сертификация" dataDxfId="251" dataCellStyle="Обычный 2"/>
    <tableColumn id="21" xr3:uid="{76E684EA-EAE5-44EF-8156-B78DA5E17975}" name="Гарантия" dataDxfId="250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F7" totalsRowShown="0" headerRowDxfId="249" dataDxfId="248" tableBorderDxfId="247" headerRowCellStyle="Обычный 2" dataCellStyle="Обычный 2">
  <autoFilter ref="A6:HF7" xr:uid="{42BACFC5-5E64-476B-A3DB-892D30BB8DF2}"/>
  <tableColumns count="214">
    <tableColumn id="214" xr3:uid="{ED363292-9191-4905-92F7-B2A0D9D6DDCB}" name="№" dataDxfId="246" dataCellStyle="Обычный 2"/>
    <tableColumn id="1" xr3:uid="{4545771D-2DE7-4A36-9A9B-05CA9607D752}" name="Артикул" dataDxfId="245" dataCellStyle="Обычный 2"/>
    <tableColumn id="2" xr3:uid="{559CB638-BDA2-4A52-AA4F-7160E63546D4}" name="РРЦ, руб.с НДС" dataDxfId="244" dataCellStyle="Обычный 2"/>
    <tableColumn id="3" xr3:uid="{7D569CF0-F34D-4426-8591-FDEBCF14DE3C}" name="Процент изменения" dataDxfId="243" dataCellStyle="Обычный 2"/>
    <tableColumn id="4" xr3:uid="{1DC3AA0D-D670-4794-8AF1-C04A0A387315}" name="STK 2.5,  Eur" dataDxfId="242" dataCellStyle="Обычный 2"/>
    <tableColumn id="5" xr3:uid="{EE57BC20-AFCE-4EE3-8EDF-7461A2CA0BC6}" name="STK 2.5, руб." dataDxfId="241" dataCellStyle="Обычный 2"/>
    <tableColumn id="6" xr3:uid="{9E61B737-3111-4868-AAD1-89F1AF64D19E}" name="IRP, Eur" dataDxfId="240" dataCellStyle="Обычный 2"/>
    <tableColumn id="7" xr3:uid="{1E5FE8BF-50B0-4274-8735-FDD3DE2A74AB}" name="РРЦ, руб.с НДС2" dataDxfId="239" dataCellStyle="Обычный 2"/>
    <tableColumn id="8" xr3:uid="{68D166DE-1C85-4A99-B4EB-F67E16BF5C59}" name="Индекс IRP" dataDxfId="238" dataCellStyle="Обычный 2"/>
    <tableColumn id="9" xr3:uid="{F6A2BBA5-3D1B-42BB-A99D-100FB259FFF1}" name="DIY price list, руб. без НДС" dataDxfId="237" dataCellStyle="Обычный 2"/>
    <tableColumn id="10" xr3:uid="{A3D06AC1-53DF-47CA-BFF2-88C03E561EC8}" name="Delta, %" dataDxfId="236" dataCellStyle="Обычный 2"/>
    <tableColumn id="11" xr3:uid="{97C7AA4C-785B-49E1-94F1-B25CC649E1D7}" name="2 net цена, руб." dataDxfId="235" dataCellStyle="Обычный 2"/>
    <tableColumn id="12" xr3:uid="{1FC200C6-88CD-4B76-8226-5F199536C4C6}" name="Delta, %3" dataDxfId="234" dataCellStyle="Обычный 2"/>
    <tableColumn id="13" xr3:uid="{70706C25-4209-4C19-981D-B25AB77BD90C}" name="3 net цена, руб." dataDxfId="233" dataCellStyle="Обычный 2"/>
    <tableColumn id="14" xr3:uid="{CA5F5A69-F19C-46A7-A29D-BB2DDEEEB1B0}" name="QTY Act, шт." dataDxfId="232" dataCellStyle="Обычный 2"/>
    <tableColumn id="15" xr3:uid="{2813B571-CE41-4B60-B0C6-90F21E18F8CB}" name="GS, руб." dataDxfId="231" dataCellStyle="Обычный 2"/>
    <tableColumn id="16" xr3:uid="{CD8492E8-7393-4EAD-905A-433B8CAD3DCD}" name="NS, руб." dataDxfId="230" dataCellStyle="Обычный 2"/>
    <tableColumn id="17" xr3:uid="{8F92CE82-C8A5-455D-813F-9D80FA79594E}" name="LC, руб." dataDxfId="229" dataCellStyle="Обычный 2"/>
    <tableColumn id="18" xr3:uid="{3C62EFF9-B5FA-4914-96F9-EFAAD5645B9F}" name="GP value, руб." dataDxfId="228" dataCellStyle="Обычный 2"/>
    <tableColumn id="19" xr3:uid="{A42219DF-ACAC-4333-93B1-C63C5CF7817B}" name="GP, %" dataDxfId="227" dataCellStyle="Обычный 2"/>
    <tableColumn id="20" xr3:uid="{4470B48C-0BEC-4B12-989F-23716295C070}" name="Transfer цена, руб." dataDxfId="226" dataCellStyle="Обычный 2"/>
    <tableColumn id="21" xr3:uid="{40BBCB9C-8908-41FB-B7AE-3FE5EA62DDE2}" name="ИТОГО Прогноз за год, шт. " dataDxfId="225" dataCellStyle="Обычный 2"/>
    <tableColumn id="22" xr3:uid="{93363778-B12D-444A-A3EE-AD48320856EE}" name="ИТОГО Прогноз январь, шт." dataDxfId="224" dataCellStyle="Обычный 2"/>
    <tableColumn id="23" xr3:uid="{908E10D2-A767-4E2C-AF95-059979DCC14F}" name="ИТОГО Прогноз февраль, шт." dataDxfId="223" dataCellStyle="Обычный 2"/>
    <tableColumn id="24" xr3:uid="{46961975-0E16-49DF-9A93-F9935DD2FBD3}" name="ИТОГО Прогноз март, шт." dataDxfId="222" dataCellStyle="Обычный 2"/>
    <tableColumn id="25" xr3:uid="{BA8488E0-733B-405A-A6AD-229D98321F57}" name="ИТОГО Прогноз апрель, шт." dataDxfId="221" dataCellStyle="Обычный 2"/>
    <tableColumn id="26" xr3:uid="{18260B4F-B440-459B-A635-92661BD0DA3A}" name="ИТОГО Прогноз май, шт." dataDxfId="220" dataCellStyle="Обычный 2"/>
    <tableColumn id="27" xr3:uid="{49D181C0-3DCE-4EA3-B4FD-4BC1814A2E37}" name="ИТОГО Прогноз июнь, шт." dataDxfId="219" dataCellStyle="Обычный 2"/>
    <tableColumn id="28" xr3:uid="{2E7D2C3C-48DF-4C94-B570-077067A3F9A6}" name="ИТОГО Прогноз июль, шт." dataDxfId="218" dataCellStyle="Обычный 2"/>
    <tableColumn id="29" xr3:uid="{2847D38F-2B96-4DAD-B1E0-0399B72CA62E}" name="ИТОГО Прогноз август, шт." dataDxfId="217" dataCellStyle="Обычный 2"/>
    <tableColumn id="30" xr3:uid="{27D0291D-228A-4CA3-AB32-8089F9AAAC19}" name="ИТОГО Прогноз сентрябрь, шт." dataDxfId="216" dataCellStyle="Обычный 2"/>
    <tableColumn id="31" xr3:uid="{5A8E85B3-CAE9-4B35-B9EA-737FCC96156C}" name="ИТОГО Прогноз октябрь, шт." dataDxfId="215" dataCellStyle="Обычный 2"/>
    <tableColumn id="32" xr3:uid="{DF850F56-F718-4791-AB77-F6AB637240EE}" name="ИТОГО Прогноз ноябрь, шт." dataDxfId="214" dataCellStyle="Обычный 2"/>
    <tableColumn id="33" xr3:uid="{DEFEFE78-A0FA-4457-8E8E-F1BD5D7517F1}" name="ИТОГО Прогноз декабрь, шт." dataDxfId="213" dataCellStyle="Обычный 2"/>
    <tableColumn id="34" xr3:uid="{03678C77-B1BD-4416-8928-6B0DDFD94F86}" name="ИТОГО GS за год, руб." dataDxfId="212" dataCellStyle="Обычный 2"/>
    <tableColumn id="35" xr3:uid="{10CD29AB-0473-422C-B6EA-B32DE7BF00F4}" name="ИТОГО GS январь, шт." dataDxfId="211" dataCellStyle="Обычный 2"/>
    <tableColumn id="36" xr3:uid="{4E1AECCE-B5C0-4195-AAD9-BB88D02D42F9}" name="ИТОГО GS февраль, шт." dataDxfId="210" dataCellStyle="Обычный 2"/>
    <tableColumn id="37" xr3:uid="{91E0E416-43D5-4F69-9F7B-40F993491451}" name="ИТОГО GS март, шт." dataDxfId="209" dataCellStyle="Обычный 2"/>
    <tableColumn id="38" xr3:uid="{F7EE1E43-7183-4188-9579-174647E424F1}" name="ИТОГО GS апрель, шт." dataDxfId="208" dataCellStyle="Обычный 2"/>
    <tableColumn id="39" xr3:uid="{2417955D-B2F4-4518-B1FB-FEB1F96D8FBB}" name="ИТОГО GS май, шт." dataDxfId="207" dataCellStyle="Обычный 2"/>
    <tableColumn id="40" xr3:uid="{003CFC27-05FE-487B-B1A9-959BF645EFBA}" name="ИТОГО GS июнь, шт." dataDxfId="206" dataCellStyle="Обычный 2"/>
    <tableColumn id="41" xr3:uid="{0C9D1DE7-148F-4C2B-8B0D-F920CBD87E3D}" name="ИТОГО GS июль, шт." dataDxfId="205" dataCellStyle="Обычный 2"/>
    <tableColumn id="42" xr3:uid="{FA318691-3B3D-4BEA-8A7E-85A020F10E2D}" name="ИТОГО GS август, шт." dataDxfId="204" dataCellStyle="Обычный 2"/>
    <tableColumn id="43" xr3:uid="{EFB241B9-9212-42F9-ABD7-E6F792A0E06C}" name="ИТОГО GS сентрябрь, шт." dataDxfId="203" dataCellStyle="Обычный 2"/>
    <tableColumn id="44" xr3:uid="{50F7DDF4-277A-4D3C-B1B5-D855ADC9B928}" name="ИТОГО GS октябрь, шт." dataDxfId="202" dataCellStyle="Обычный 2"/>
    <tableColumn id="45" xr3:uid="{D4F36679-C2E6-4F2D-AEE5-4F223F25DA9F}" name="ИТОГО GS ноябрь, шт." dataDxfId="201" dataCellStyle="Обычный 2"/>
    <tableColumn id="46" xr3:uid="{851A1C42-2721-41C2-BAB3-F7D7B0C97CE7}" name="ИТОГО NS за год, руб." dataDxfId="200" dataCellStyle="Обычный 2"/>
    <tableColumn id="47" xr3:uid="{AF4D59E8-07C4-4AF8-BBFC-7F663C6213E2}" name="ИТОГО NS январь, шт." dataDxfId="199" dataCellStyle="Обычный 2"/>
    <tableColumn id="48" xr3:uid="{508B265F-A776-4BFB-9D4E-B79EFABCE7A9}" name="ИТОГО NS февраль, шт." dataDxfId="198" dataCellStyle="Обычный 2"/>
    <tableColumn id="49" xr3:uid="{C35EFBB7-F755-4F3D-90A9-7D1EEF92DC3F}" name="ИТОГО NS март, шт." dataDxfId="197" dataCellStyle="Обычный 2"/>
    <tableColumn id="50" xr3:uid="{C8CBB70F-D6D7-4BEE-A418-6CD94EB6DFB4}" name="ИТОГО NS апрель, шт." dataDxfId="196" dataCellStyle="Обычный 2"/>
    <tableColumn id="51" xr3:uid="{6EACDA44-BC0A-4568-95BF-A6C470C1C2C7}" name="ИТОГО NS май, шт." dataDxfId="195" dataCellStyle="Обычный 2"/>
    <tableColumn id="52" xr3:uid="{B361BD8D-B32A-42A8-A829-A43753DF9290}" name="ИТОГО NS июнь, шт." dataDxfId="194" dataCellStyle="Обычный 2"/>
    <tableColumn id="53" xr3:uid="{03F94018-F135-4F8F-BD0E-AA07A8BDB5B5}" name="ИТОГО NS июль, шт." dataDxfId="193" dataCellStyle="Обычный 2"/>
    <tableColumn id="54" xr3:uid="{BDDACBCA-E192-4F9E-827D-591A95D4295A}" name="ИТОГО NS август, шт." dataDxfId="192" dataCellStyle="Обычный 2"/>
    <tableColumn id="55" xr3:uid="{C8EDC1D7-9D98-4249-9603-83EEA44806CA}" name="ИТОГО NS сентрябрь, шт." dataDxfId="191" dataCellStyle="Обычный 2"/>
    <tableColumn id="56" xr3:uid="{A619A9F2-29C1-4568-B8B5-7AF0757568B5}" name="ИТОГО NS октябрь, шт." dataDxfId="190" dataCellStyle="Обычный 2"/>
    <tableColumn id="57" xr3:uid="{3C92EE0F-B597-479D-89EB-DEC5859439DB}" name="ИТОГО NS ноябрь, шт." dataDxfId="189" dataCellStyle="Обычный 2"/>
    <tableColumn id="58" xr3:uid="{0A86A7CF-86B8-40E9-AD12-BC8B45425852}" name="ИТОГО LC за год, руб." dataDxfId="188" dataCellStyle="Обычный 2"/>
    <tableColumn id="59" xr3:uid="{1BA37E80-B27D-4777-8183-4619485E395B}" name="ИТОГО LC январь, руб." dataDxfId="187" dataCellStyle="Обычный 2"/>
    <tableColumn id="60" xr3:uid="{D3439D8F-2C1C-4FF2-BFED-E4DBA6EDAE04}" name="ИТОГО LC февраль, руб." dataDxfId="186" dataCellStyle="Обычный 2"/>
    <tableColumn id="61" xr3:uid="{73395AB3-E1E6-4DA4-A5B6-BD6754334103}" name="ИТОГО LC март, руб." dataDxfId="185" dataCellStyle="Обычный 2"/>
    <tableColumn id="62" xr3:uid="{E99989B5-4EB7-4C95-8123-66077D0F148B}" name="ИТОГО LC апрель, руб." dataDxfId="184" dataCellStyle="Обычный 2"/>
    <tableColumn id="63" xr3:uid="{B2E119E3-F212-4906-93FD-983A37DD9B92}" name="ИТОГО LC май, руб." dataDxfId="183" dataCellStyle="Обычный 2"/>
    <tableColumn id="64" xr3:uid="{5EAC5B35-095E-48E8-AF7B-7AEE1B301586}" name="ИТОГО LC июнь, руб." dataDxfId="182" dataCellStyle="Обычный 2"/>
    <tableColumn id="65" xr3:uid="{BF8B343D-9D8D-435A-AC57-DC2B573A58DA}" name="ИТОГО LC июль, руб." dataDxfId="181" dataCellStyle="Обычный 2"/>
    <tableColumn id="66" xr3:uid="{125D3BBB-2721-4209-B7BC-9E9237697B6A}" name="ИТОГО LC август, руб." dataDxfId="180" dataCellStyle="Обычный 2"/>
    <tableColumn id="67" xr3:uid="{AB036659-4542-4FDD-BE5B-E72582166894}" name="ИТОГО LC сентрябрь, руб." dataDxfId="179" dataCellStyle="Обычный 2"/>
    <tableColumn id="68" xr3:uid="{6C7314D7-062A-4B94-A7AF-1DD87D0CB235}" name="ИТОГО LC октябрь, руб." dataDxfId="178" dataCellStyle="Обычный 2"/>
    <tableColumn id="69" xr3:uid="{07C9F95B-A681-4302-AD49-1346B1F54050}" name="ИТОГО LC ноябрь, руб." dataDxfId="177" dataCellStyle="Обычный 2"/>
    <tableColumn id="70" xr3:uid="{5C6A1586-CA9D-42F0-82A5-C8717DA6FC4B}" name="Столбец4" dataDxfId="176" dataCellStyle="Обычный 2"/>
    <tableColumn id="71" xr3:uid="{95B22689-4246-4688-830B-C37BED45A7F1}" name="ИТОГО GP value за год, руб." dataDxfId="175" dataCellStyle="Обычный 2"/>
    <tableColumn id="72" xr3:uid="{121D065F-0534-48C6-8C69-8994A402B4AA}" name="ИТОГО GP value январь, руб." dataDxfId="174" dataCellStyle="Обычный 2"/>
    <tableColumn id="73" xr3:uid="{087CD607-5E13-4F38-A781-64BE987C874D}" name="ИТОГО GP value февраль, руб." dataDxfId="173" dataCellStyle="Обычный 2"/>
    <tableColumn id="74" xr3:uid="{07EDE99C-38A3-4D58-A12A-CC6F6E189668}" name="ИТОГО GP value март, руб." dataDxfId="172" dataCellStyle="Обычный 2"/>
    <tableColumn id="75" xr3:uid="{57D65BA5-50BA-4CF2-B113-92B159EF66AF}" name="ИТОГО GP value апрель, руб." dataDxfId="171" dataCellStyle="Обычный 2"/>
    <tableColumn id="76" xr3:uid="{B4BC1755-0599-45DC-9B96-D7C13262EF74}" name="ИТОГО GP value май, руб." dataDxfId="170" dataCellStyle="Обычный 2"/>
    <tableColumn id="77" xr3:uid="{8938E468-46CA-4877-99C3-6750DC8369EC}" name="ИТОГО GP value июнь, руб." dataDxfId="169" dataCellStyle="Обычный 2"/>
    <tableColumn id="78" xr3:uid="{9904CB30-8FAF-4959-8630-221EE3774474}" name="ИТОГО GP value июль, руб." dataDxfId="168" dataCellStyle="Обычный 2"/>
    <tableColumn id="79" xr3:uid="{8E4337B6-2E24-44AF-9121-2435038457D7}" name="ИТОГО GP value август, руб." dataDxfId="167" dataCellStyle="Обычный 2"/>
    <tableColumn id="80" xr3:uid="{F5FA4690-DC4A-4E72-897A-5DC0586EAA9E}" name="ИТОГО GP value сентрябрь, руб." dataDxfId="166" dataCellStyle="Обычный 2"/>
    <tableColumn id="81" xr3:uid="{7A1CD32C-E00F-46B3-AB1C-6E87C8996EB1}" name="ИТОГО GP value октябрь, руб." dataDxfId="165" dataCellStyle="Обычный 2"/>
    <tableColumn id="82" xr3:uid="{B9B948F7-DD69-4CE8-96E3-E4DFC8CBEE92}" name="ИТОГО GP value ноябрь, руб." dataDxfId="164" dataCellStyle="Обычный 2"/>
    <tableColumn id="83" xr3:uid="{F7ECC1A1-8DBC-4E61-8DE0-874A56C25260}" name="ИТОГО GP % за год" dataDxfId="163" dataCellStyle="Обычный 2"/>
    <tableColumn id="84" xr3:uid="{E6BBFEE1-76EB-4FCB-98C3-EED744024269}" name="ИТОГО GP % январь" dataDxfId="162" dataCellStyle="Обычный 2"/>
    <tableColumn id="85" xr3:uid="{1172D779-B5B8-4EBF-976F-0F852822C22F}" name="ИТОГО GP % февраль" dataDxfId="161" dataCellStyle="Обычный 2"/>
    <tableColumn id="86" xr3:uid="{120BDBE6-FE55-4285-AEA5-888F9C19D3A3}" name="ИТОГО GP % март" dataDxfId="160" dataCellStyle="Обычный 2"/>
    <tableColumn id="87" xr3:uid="{9BCE9A1E-20E9-40E5-99B8-1F7D45A6E05A}" name="ИТОГО GP % апрель" dataDxfId="159" dataCellStyle="Обычный 2"/>
    <tableColumn id="88" xr3:uid="{D50E0A67-2587-450D-9A4B-2C3C7F162FF7}" name="ИТОГО GP % май" dataDxfId="158" dataCellStyle="Обычный 2"/>
    <tableColumn id="89" xr3:uid="{21AEB5EA-1518-4F7F-9474-44E95763FCD0}" name="ИТОГО GP % июнь" dataDxfId="157" dataCellStyle="Обычный 2"/>
    <tableColumn id="90" xr3:uid="{8114B713-DD84-43D1-9C9F-C53812451822}" name="ИТОГО GP % июль" dataDxfId="156" dataCellStyle="Обычный 2"/>
    <tableColumn id="91" xr3:uid="{BA9D428E-9727-4D01-9ECB-F0396F8706F9}" name="ИТОГО GP % август" dataDxfId="155" dataCellStyle="Обычный 2"/>
    <tableColumn id="92" xr3:uid="{37B4D5B4-4B29-4FE0-B1AA-7FECF7849C4C}" name="ИТОГО GP % сентрябрь" dataDxfId="154" dataCellStyle="Обычный 2"/>
    <tableColumn id="93" xr3:uid="{269D5AA7-C0CA-43DF-A58F-6398B2F52C53}" name="ИТОГО GP % октябрь" dataDxfId="153" dataCellStyle="Обычный 2"/>
    <tableColumn id="94" xr3:uid="{80CD0364-9424-403E-AD97-C8CDE2096526}" name="ИТОГО GP % ноябрь" dataDxfId="152" dataCellStyle="Обычный 2"/>
    <tableColumn id="95" xr3:uid="{F2987B63-17E8-4C76-AF79-563FE97654CD}" name="ИТОГО 2 net цена за год" dataDxfId="151" dataCellStyle="Обычный 2"/>
    <tableColumn id="96" xr3:uid="{ED770198-6AB5-4ADC-A3D2-099886B9B23D}" name="ИТОГО 2 net цена январь" dataDxfId="150" dataCellStyle="Обычный 2"/>
    <tableColumn id="97" xr3:uid="{3F0B3900-849B-4873-946B-D87A7523809A}" name="ИТОГО 2 net цена февраль" dataDxfId="149" dataCellStyle="Обычный 2"/>
    <tableColumn id="98" xr3:uid="{2535E1AC-A279-4BA3-A8CD-917C7E268AA7}" name="ИТОГО 2 net цена март" dataDxfId="148" dataCellStyle="Обычный 2"/>
    <tableColumn id="99" xr3:uid="{1C382845-D38E-4D7A-A47E-8EA527DE15F7}" name="ИТОГО 2 net цена апрель" dataDxfId="147" dataCellStyle="Обычный 2"/>
    <tableColumn id="100" xr3:uid="{CB884BC9-4404-4CFC-BBA0-FEEFC009C6C0}" name="ИТОГО 2 net цена май" dataDxfId="146" dataCellStyle="Обычный 2"/>
    <tableColumn id="101" xr3:uid="{66A3A3B7-9052-4CD5-87C1-F6E39E04F9BD}" name="ИТОГО 2 net цена июнь" dataDxfId="145" dataCellStyle="Обычный 2"/>
    <tableColumn id="102" xr3:uid="{DE7C5C58-071A-4638-8D13-233EB51DA03A}" name="ИТОГО 2 net цена июль" dataDxfId="144" dataCellStyle="Обычный 2"/>
    <tableColumn id="103" xr3:uid="{7DE0DE0E-3B70-4C57-BDAE-8B26B4AF2161}" name="ИТОГО 2 net цена август" dataDxfId="143" dataCellStyle="Обычный 2"/>
    <tableColumn id="104" xr3:uid="{CF54A508-942E-4A06-B8DD-1CD27FD837AA}" name="ИТОГО 2 net цена сентрябрь" dataDxfId="142" dataCellStyle="Обычный 2"/>
    <tableColumn id="105" xr3:uid="{5FA2E3B0-BC4D-4654-83AC-CE8C95E2B453}" name="ИТОГО 2 net цена октябрь" dataDxfId="141" dataCellStyle="Обычный 2"/>
    <tableColumn id="106" xr3:uid="{C8A35B51-1847-41BF-A58C-EB69C240B4F6}" name="ИТОГО 2 net цена ноябрь" dataDxfId="140" dataCellStyle="Обычный 2"/>
    <tableColumn id="107" xr3:uid="{5B886BD7-74FD-405C-A199-2753EB4109E9}" name="ИТОГО 3 net цена за год" dataDxfId="139" dataCellStyle="Обычный 2"/>
    <tableColumn id="108" xr3:uid="{2C200703-C8CB-4A5A-90CD-9DAAB8546E46}" name="ИТОГО 3 net цена январь" dataDxfId="138" dataCellStyle="Обычный 2"/>
    <tableColumn id="109" xr3:uid="{959B69D1-0E8C-46C4-80C8-7312756584AD}" name="ИТОГО 3 net цена февраль" dataDxfId="137" dataCellStyle="Обычный 2"/>
    <tableColumn id="110" xr3:uid="{60A20D32-1A9B-4AB9-AD8A-04EAAA14FF74}" name="ИТОГО 3 net цена март" dataDxfId="136" dataCellStyle="Обычный 2"/>
    <tableColumn id="111" xr3:uid="{E8BBEB91-05D3-4A53-8C3B-380736A70953}" name="ИТОГО 3 net цена апрель" dataDxfId="135" dataCellStyle="Обычный 2"/>
    <tableColumn id="112" xr3:uid="{BD7B886A-291D-4531-8539-9C8ACC901F00}" name="ИТОГО 3 net цена май" dataDxfId="134" dataCellStyle="Обычный 2"/>
    <tableColumn id="113" xr3:uid="{FBF9B28B-9CE9-4E6E-8FEA-8D17F488CBC0}" name="ИТОГО 3 net цена июнь" dataDxfId="133" dataCellStyle="Обычный 2"/>
    <tableColumn id="114" xr3:uid="{9DA657E0-E133-4903-AF39-A56756A1CDF3}" name="ИТОГО 3 net цена июль" dataDxfId="132" dataCellStyle="Обычный 2"/>
    <tableColumn id="115" xr3:uid="{11666157-554C-4D5B-BDB4-A9DF979CCAF3}" name="ИТОГО 3 net цена август" dataDxfId="131" dataCellStyle="Обычный 2"/>
    <tableColumn id="116" xr3:uid="{E614B108-5B0D-4BEA-BB2A-2F63F1761885}" name="ИТОГО 3 net цена сентрябрь" dataDxfId="130" dataCellStyle="Обычный 2"/>
    <tableColumn id="117" xr3:uid="{4D6F8372-E0B1-4F55-9C50-EFA57FA4E71F}" name="ИТОГО 3 net цена октябрь" dataDxfId="129" dataCellStyle="Обычный 2"/>
    <tableColumn id="118" xr3:uid="{AFBB524C-133A-4695-A792-095B7A5BDBEC}" name="ИТОГО 3 net цена ноябрь" dataDxfId="128" dataCellStyle="Обычный 2"/>
    <tableColumn id="119" xr3:uid="{02B78577-78AE-47EB-BD9C-72282496995F}" name="Price list цена, руб." dataDxfId="127" dataCellStyle="Обычный 2"/>
    <tableColumn id="120" xr3:uid="{5A3F53BC-119D-40B4-9980-0D0E51F968F3}" name="Скидка от РРЦ, %" dataDxfId="126" dataCellStyle="Обычный 2"/>
    <tableColumn id="121" xr3:uid="{AEBFF562-F492-4939-AD61-FC704C42BB1A}" name="Прогноз за год, шт. " dataDxfId="125" dataCellStyle="Обычный 2"/>
    <tableColumn id="122" xr3:uid="{0535E32F-BA3B-45A3-B644-EA3E5C01A430}" name="Прогноз январь, шт." dataDxfId="124" dataCellStyle="Обычный 2"/>
    <tableColumn id="123" xr3:uid="{2839AD92-79C7-4E71-86D9-300214B21A9F}" name="Прогноз февраль, шт." dataDxfId="123" dataCellStyle="Обычный 2"/>
    <tableColumn id="124" xr3:uid="{D42301EC-9C8F-4BAE-9D6D-E85D88213C3D}" name="Прогноз март, шт." dataDxfId="122" dataCellStyle="Обычный 2"/>
    <tableColumn id="125" xr3:uid="{70D21021-AF36-448A-9C16-802308CF3A04}" name="Прогноз апрель, шт." dataDxfId="121" dataCellStyle="Обычный 2"/>
    <tableColumn id="126" xr3:uid="{287963E4-1476-42B8-9811-E72429AC5302}" name="Прогноз май, шт." dataDxfId="120" dataCellStyle="Обычный 2"/>
    <tableColumn id="127" xr3:uid="{E05A0901-8206-4D05-A43B-AC909AB7A0DA}" name="Прогноз июнь, шт." dataDxfId="119" dataCellStyle="Обычный 2"/>
    <tableColumn id="128" xr3:uid="{B898803E-8C15-43CB-81B5-B5D48EAEA11C}" name="Прогноз июль, шт." dataDxfId="118" dataCellStyle="Обычный 2"/>
    <tableColumn id="129" xr3:uid="{91354A95-A1CB-444F-97FC-F4DD6D08B671}" name="Прогноз август, шт." dataDxfId="117" dataCellStyle="Обычный 2"/>
    <tableColumn id="130" xr3:uid="{2F35C430-D3FE-496C-A9F9-8092F794A4A3}" name="Прогноз сентрябрь, шт." dataDxfId="116" dataCellStyle="Обычный 2"/>
    <tableColumn id="131" xr3:uid="{5642E94C-9632-4B78-B204-7E2258E25461}" name="Прогноз октябрь, шт." dataDxfId="115" dataCellStyle="Обычный 2"/>
    <tableColumn id="132" xr3:uid="{0FD7506A-FCE6-457F-B536-83CFBA0D544B}" name="Прогноз ноябрь, шт." dataDxfId="114" dataCellStyle="Обычный 2"/>
    <tableColumn id="133" xr3:uid="{B9005289-3DFC-4152-9FAE-1A46A1FD427B}" name="Прогноз декабрь, шт." dataDxfId="113" dataCellStyle="Обычный 2"/>
    <tableColumn id="134" xr3:uid="{34CCD620-1AE3-43AA-B1CA-928C73F0C342}" name="Price list цена, руб.5" dataDxfId="112" dataCellStyle="Обычный 2"/>
    <tableColumn id="135" xr3:uid="{18DE723F-7EAE-46E1-BD94-23DDFE848850}" name="Отличие" dataDxfId="111" dataCellStyle="Обычный 2"/>
    <tableColumn id="136" xr3:uid="{07ED3DCB-598E-4755-9D06-B55F6E64C6A8}" name="Скидка от РРЦ, %6" dataDxfId="110" dataCellStyle="Обычный 2"/>
    <tableColumn id="137" xr3:uid="{7745B9F0-FDA3-438D-9CB3-26704906639D}" name="Прогноз за год, шт. 7" dataDxfId="109" dataCellStyle="Обычный 2"/>
    <tableColumn id="138" xr3:uid="{1D7C1074-7336-4F23-ABD2-B2A96D467814}" name="Прогноз январь, шт.8" dataDxfId="108" dataCellStyle="Обычный 2"/>
    <tableColumn id="139" xr3:uid="{8F918225-74A1-40BA-9D1A-68D1E9052381}" name="Прогноз февраль, шт.9" dataDxfId="107" dataCellStyle="Обычный 2"/>
    <tableColumn id="140" xr3:uid="{FB441A4E-5B99-442C-9DF0-5BF7A912AA26}" name="Прогноз март, шт.10" dataDxfId="106" dataCellStyle="Обычный 2"/>
    <tableColumn id="141" xr3:uid="{1D70896F-B896-424A-908E-EB7EE2ED4E4C}" name="Прогноз апрель, шт.11" dataDxfId="105" dataCellStyle="Обычный 2"/>
    <tableColumn id="142" xr3:uid="{1F5F06C9-4AD9-4A32-8F58-B3CC863077A3}" name="Прогноз май, шт.12" dataDxfId="104" dataCellStyle="Обычный 2"/>
    <tableColumn id="143" xr3:uid="{D57F2ED5-3913-4AF3-BE27-B6219DBA160C}" name="Прогноз июнь, шт.13" dataDxfId="103" dataCellStyle="Обычный 2"/>
    <tableColumn id="144" xr3:uid="{C8D040E0-B2C3-41D6-80D8-01EA4F15331B}" name="Прогноз июль, шт.14" dataDxfId="102" dataCellStyle="Обычный 2"/>
    <tableColumn id="145" xr3:uid="{E09D2FAF-B4FE-466A-8EE0-9177DE92B8B0}" name="Прогноз август, шт.15" dataDxfId="101" dataCellStyle="Обычный 2"/>
    <tableColumn id="146" xr3:uid="{B8CAD14D-F7C2-46BE-9BD0-D48769055988}" name="Прогноз сентрябрь, шт.16" dataDxfId="100" dataCellStyle="Обычный 2"/>
    <tableColumn id="147" xr3:uid="{3A858A45-F298-49DA-93A0-FA8D96C940A3}" name="Прогноз октябрь, шт.17" dataDxfId="99" dataCellStyle="Обычный 2"/>
    <tableColumn id="148" xr3:uid="{A9A047C5-3BA3-4C24-BAA6-CF870EB4EB1D}" name="Прогноз ноябрь, шт.18" dataDxfId="98" dataCellStyle="Обычный 2"/>
    <tableColumn id="149" xr3:uid="{C0C91EAC-DC10-4FB4-AF3C-C5CB3C52F470}" name="Прогноз декабрь, шт.19" dataDxfId="97" dataCellStyle="Обычный 2"/>
    <tableColumn id="150" xr3:uid="{95720B67-BEFB-46F9-9D7A-EACBE0C27803}" name="GS за год, руб." dataDxfId="96" dataCellStyle="Обычный 2"/>
    <tableColumn id="151" xr3:uid="{604D8077-0334-4CD9-8A97-E84A5A9C1252}" name="GS январь, руб." dataDxfId="95" dataCellStyle="Обычный 2"/>
    <tableColumn id="152" xr3:uid="{B154345C-3FA0-4C0F-9F21-B63FAA764159}" name="GS февраль, руб." dataDxfId="94" dataCellStyle="Обычный 2"/>
    <tableColumn id="153" xr3:uid="{047FCAB3-68C1-4141-BEB6-1F17D576B519}" name="GS март, руб." dataDxfId="93" dataCellStyle="Обычный 2"/>
    <tableColumn id="154" xr3:uid="{144321B0-B9C9-4251-BC6E-05C88CBA678E}" name="GS апрель, руб." dataDxfId="92" dataCellStyle="Обычный 2"/>
    <tableColumn id="155" xr3:uid="{282D38BD-530D-413E-B5BC-88C70FA35407}" name="GS май, руб." dataDxfId="91" dataCellStyle="Обычный 2"/>
    <tableColumn id="156" xr3:uid="{39A60F2C-3CE1-4BD0-8204-F53CE0263C23}" name="GS июнь, руб." dataDxfId="90" dataCellStyle="Обычный 2"/>
    <tableColumn id="157" xr3:uid="{A6D6278E-A5A9-44B9-865B-87A7FDE62A61}" name="GS июль, руб." dataDxfId="89" dataCellStyle="Обычный 2"/>
    <tableColumn id="158" xr3:uid="{7539F5C4-7C22-4F45-BCFF-6302D7BD2189}" name="GS август, руб." dataDxfId="88" dataCellStyle="Обычный 2"/>
    <tableColumn id="159" xr3:uid="{8D652B08-AEFA-48ED-A4F8-C6C181C8746E}" name="GS сентрябрь, руб." dataDxfId="87" dataCellStyle="Обычный 2"/>
    <tableColumn id="160" xr3:uid="{5F7F7B9E-B71C-4899-A7D9-61B47EB77DCC}" name="GS октябрь, руб." dataDxfId="86" dataCellStyle="Обычный 2"/>
    <tableColumn id="161" xr3:uid="{206E31E0-1F5E-42FE-A4FE-47A5CBD7A439}" name="GS ноябрь, руб." dataDxfId="85" dataCellStyle="Обычный 2"/>
    <tableColumn id="162" xr3:uid="{AFB09ECD-C050-4EA7-BD09-6BB5C6A3140F}" name="NS за год, руб." dataDxfId="84" dataCellStyle="Обычный 2"/>
    <tableColumn id="163" xr3:uid="{D44EB185-EA89-4925-B2B1-42D2BA9E3145}" name="NS январь, руб." dataDxfId="83" dataCellStyle="Обычный 2"/>
    <tableColumn id="164" xr3:uid="{D54B5704-8F04-4DF2-8F35-91A35DFB62AF}" name="NS февраль, руб." dataDxfId="82" dataCellStyle="Обычный 2"/>
    <tableColumn id="165" xr3:uid="{1347DE14-4422-4B27-862F-D4B866C3E2A9}" name="NS март, руб." dataDxfId="81" dataCellStyle="Обычный 2"/>
    <tableColumn id="166" xr3:uid="{A52CB30A-6520-493C-9C46-DFCACC9E4CFF}" name="NS апрель, руб." dataDxfId="80" dataCellStyle="Обычный 2"/>
    <tableColumn id="167" xr3:uid="{4FACDA9F-2874-40F2-8773-8D83A50FB1F6}" name="NS май, руб." dataDxfId="79" dataCellStyle="Обычный 2"/>
    <tableColumn id="168" xr3:uid="{4B4794F3-CE7B-49BF-B94B-C7017A225C3D}" name="NS июнь, руб." dataDxfId="78" dataCellStyle="Обычный 2"/>
    <tableColumn id="169" xr3:uid="{DC7EED99-8803-4798-B203-076E3BD5E593}" name="NS июль, руб." dataDxfId="77" dataCellStyle="Обычный 2"/>
    <tableColumn id="170" xr3:uid="{C1514E80-3555-441E-8C30-9AF8AFAE9A8A}" name="NS август, руб." dataDxfId="76" dataCellStyle="Обычный 2"/>
    <tableColumn id="171" xr3:uid="{7544C462-E994-4D9D-BA94-942FF60B7050}" name="NS сентрябрь, руб." dataDxfId="75" dataCellStyle="Обычный 2"/>
    <tableColumn id="172" xr3:uid="{3B004F10-4B0A-42A5-B230-BF575CDE7DDC}" name="NS октябрь, руб." dataDxfId="74" dataCellStyle="Обычный 2"/>
    <tableColumn id="173" xr3:uid="{1F873C73-8E9D-44B4-98C1-6F3B641C65A8}" name="NS ноябрь, руб." dataDxfId="73" dataCellStyle="Обычный 2"/>
    <tableColumn id="174" xr3:uid="{7975EF04-71E5-4B54-99CD-904D7CBBDB3C}" name="NS декабрь, шт." dataDxfId="72" dataCellStyle="Обычный 2"/>
    <tableColumn id="175" xr3:uid="{F1CF01AA-9991-48AF-A677-74B1846236D2}" name="Промо цена, руб." dataDxfId="71" dataCellStyle="Обычный 2"/>
    <tableColumn id="176" xr3:uid="{F393FC86-2E44-430C-B72A-D1895626302A}" name="скидка от Price list цены, %" dataDxfId="70" dataCellStyle="Обычный 2"/>
    <tableColumn id="177" xr3:uid="{D39B0F7F-FD54-4EAC-A3A5-894EB33CADE4}" name="Промо прогноз за год, шт. " dataDxfId="69" dataCellStyle="Обычный 2"/>
    <tableColumn id="178" xr3:uid="{C5AFDD53-B266-4796-AB47-F0428796BAAC}" name="Промо прогноз январь, шт." dataDxfId="68" dataCellStyle="Обычный 2"/>
    <tableColumn id="179" xr3:uid="{0F88930D-A57D-47EF-AE42-9DFAF94D17BE}" name="Промо прогноз февраль, шт." dataDxfId="67" dataCellStyle="Обычный 2"/>
    <tableColumn id="180" xr3:uid="{C945DC34-6A08-4C5D-A199-143506BF490B}" name="Промо прогноз март, шт." dataDxfId="66" dataCellStyle="Обычный 2"/>
    <tableColumn id="181" xr3:uid="{6661CDAD-6FDA-493A-867A-C46B8CA9B709}" name="Промо прогноз апрель, шт." dataDxfId="65" dataCellStyle="Обычный 2"/>
    <tableColumn id="182" xr3:uid="{F8340B39-63B5-4596-A24E-DA8929E9C81D}" name="Промо прогноз май, шт." dataDxfId="64" dataCellStyle="Обычный 2"/>
    <tableColumn id="183" xr3:uid="{66F0D4F8-0ABB-42EE-8CB1-FEF1BE84D9F0}" name="Промо прогноз июнь, шт." dataDxfId="63" dataCellStyle="Обычный 2"/>
    <tableColumn id="184" xr3:uid="{6E84C991-4323-493F-B846-129CAE7AE021}" name="Промо прогноз июль, шт." dataDxfId="62" dataCellStyle="Обычный 2"/>
    <tableColumn id="185" xr3:uid="{E503C206-2D69-4EA7-B94D-4F8146B5B91F}" name="Промо прогноз август, шт." dataDxfId="61" dataCellStyle="Обычный 2"/>
    <tableColumn id="186" xr3:uid="{7CBFEC54-C246-420A-8A2E-8F940D85414B}" name="Промо прогноз сентрябрь, шт." dataDxfId="60" dataCellStyle="Обычный 2"/>
    <tableColumn id="187" xr3:uid="{DA64A246-B583-47DF-87C4-DD4C3D934623}" name="Промо прогноз октябрь, шт." dataDxfId="59" dataCellStyle="Обычный 2"/>
    <tableColumn id="188" xr3:uid="{EFA6D77C-0A52-48C3-9325-6A0345C55136}" name="Промо прогноз ноябрь, шт." dataDxfId="58" dataCellStyle="Обычный 2"/>
    <tableColumn id="189" xr3:uid="{9ECDA3F6-5006-4D02-921F-BBF7A4430342}" name="Промо прогноз декабрь, шт." dataDxfId="57" dataCellStyle="Обычный 2"/>
    <tableColumn id="190" xr3:uid="{2E9B801B-4FA2-4A70-B686-F55613792C7E}" name="Промо GS за год, руб." dataDxfId="56" dataCellStyle="Обычный 2"/>
    <tableColumn id="191" xr3:uid="{63A2EA70-C098-415C-9777-D3E883D08DD2}" name="Промо GS январь, руб." dataDxfId="55" dataCellStyle="Обычный 2"/>
    <tableColumn id="192" xr3:uid="{27E1950D-DEDD-42CB-8B11-530BFB23DA7B}" name="Промо GS февраль, руб." dataDxfId="54" dataCellStyle="Обычный 2">
      <calculatedColumnFormula>(200)*0.1</calculatedColumnFormula>
    </tableColumn>
    <tableColumn id="193" xr3:uid="{157C481E-E786-42F1-A5E3-C518C3878114}" name="Промо GS март, руб." dataDxfId="53" dataCellStyle="Обычный 2"/>
    <tableColumn id="194" xr3:uid="{2D7AB503-6E7C-47A0-A13C-95E44A53E45F}" name="Промо GS апрель, руб." dataDxfId="52" dataCellStyle="Обычный 2"/>
    <tableColumn id="195" xr3:uid="{5EEBE0D8-485D-44E6-AB1A-21BC6D54C67C}" name="Промо GS май, руб." dataDxfId="51" dataCellStyle="Обычный 2"/>
    <tableColumn id="196" xr3:uid="{ECA30F18-8263-4C20-9898-F58F3B4C0C61}" name="Промо GS июнь, руб." dataDxfId="50" dataCellStyle="Обычный 2"/>
    <tableColumn id="197" xr3:uid="{C0DA0FC5-FBEB-45F6-A4CD-BCDA7E3200B0}" name="Промо GS июль, руб." dataDxfId="49" dataCellStyle="Обычный 2"/>
    <tableColumn id="198" xr3:uid="{B3915587-754B-4135-B1E8-8145147CE2C7}" name="Промо GS август, руб." dataDxfId="48" dataCellStyle="Обычный 2"/>
    <tableColumn id="199" xr3:uid="{D17DE2C7-DC0C-4950-A166-9025469D6D65}" name="Промо GS сентрябрь, руб." dataDxfId="47" dataCellStyle="Обычный 2"/>
    <tableColumn id="200" xr3:uid="{2B2AE1C2-7433-48B7-BA08-11D2F0620A1D}" name="Промо GS октябрь, руб." dataDxfId="46" dataCellStyle="Обычный 2"/>
    <tableColumn id="201" xr3:uid="{9AC442F2-2998-4CAB-AAE7-2B1A21693F5A}" name="Промо GS ноябрь, руб." dataDxfId="45" dataCellStyle="Обычный 2"/>
    <tableColumn id="202" xr3:uid="{DAFF80EF-3813-4B72-B3F7-2CAA028854D6}" name="Промо NS за год, руб." dataDxfId="44" dataCellStyle="Обычный 2"/>
    <tableColumn id="203" xr3:uid="{37346D21-6958-4C12-A599-0D8196471B5E}" name="Промо NS январь, руб." dataDxfId="43" dataCellStyle="Обычный 2"/>
    <tableColumn id="204" xr3:uid="{35E3D396-28F4-413D-B2B2-0E2BB0585244}" name="Промо NS февраль, руб." dataDxfId="42" dataCellStyle="Обычный 2"/>
    <tableColumn id="205" xr3:uid="{4F318F4D-E885-4D9C-9D9F-CF0A3C2C6BA2}" name="Промо NS март, руб." dataDxfId="41" dataCellStyle="Обычный 2"/>
    <tableColumn id="206" xr3:uid="{99B1517D-168F-4186-89B6-63BF7A239C96}" name="Промо NS апрель, руб." dataDxfId="40" dataCellStyle="Обычный 2"/>
    <tableColumn id="207" xr3:uid="{DBBF432E-D647-43CC-A714-38C9901F1894}" name="Промо NS май, руб." dataDxfId="39" dataCellStyle="Обычный 2"/>
    <tableColumn id="208" xr3:uid="{93A08434-326F-4361-BE56-4A70696F5830}" name="Промо NS июнь, руб." dataDxfId="38" dataCellStyle="Обычный 2"/>
    <tableColumn id="209" xr3:uid="{593FE06D-D4C0-47A8-92DD-754488C80C51}" name="Промо NS июль, руб." dataDxfId="37" dataCellStyle="Обычный 2"/>
    <tableColumn id="210" xr3:uid="{D178C12F-4DB2-4EAA-8EEE-7D7C4BB872E4}" name="Промо NS август, руб." dataDxfId="36" dataCellStyle="Обычный 2"/>
    <tableColumn id="211" xr3:uid="{B41DFE96-B74A-4542-BD55-0B04CFAE9EF2}" name="Промо NS сентрябрь, руб." dataDxfId="35" dataCellStyle="Обычный 2"/>
    <tableColumn id="212" xr3:uid="{3163229D-ADBC-40C9-AA76-04B56B188315}" name="Промо NS октябрь, руб." dataDxfId="34" dataCellStyle="Обычный 2"/>
    <tableColumn id="213" xr3:uid="{F14CE16E-EA38-415A-819F-EB069FF96078}" name="Промо NS ноябрь, руб." dataDxfId="33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32">
  <autoFilter ref="A1:C2" xr:uid="{00000000-0009-0000-0100-000005000000}"/>
  <tableColumns count="3">
    <tableColumn id="1" xr3:uid="{00000000-0010-0000-0400-000001000000}" name="№" dataDxfId="31"/>
    <tableColumn id="2" xr3:uid="{00000000-0010-0000-0400-000002000000}" name="Название" dataDxfId="30"/>
    <tableColumn id="3" xr3:uid="{00000000-0010-0000-0400-000003000000}" name="Путь к файлу" dataDxfId="2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8" dataCellStyle="Финансовый"/>
    <tableColumn id="2" xr3:uid="{00000000-0010-0000-0000-000002000000}" name="Суперкатегория (ENG)" dataDxfId="27"/>
    <tableColumn id="3" xr3:uid="{00000000-0010-0000-0000-000003000000}" name="Суперкатегория (RUS)" dataDxfId="26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5" dataDxfId="24">
  <autoFilter ref="A1:D33" xr:uid="{00000000-0009-0000-0100-000002000000}"/>
  <tableColumns count="4">
    <tableColumn id="1" xr3:uid="{00000000-0010-0000-0100-000001000000}" name="№" dataDxfId="23"/>
    <tableColumn id="2" xr3:uid="{00000000-0010-0000-0100-000002000000}" name="Продукт группа" dataDxfId="22"/>
    <tableColumn id="3" xr3:uid="{00000000-0010-0000-0100-000003000000}" name="Название продукт группы (ENG)" dataDxfId="21"/>
    <tableColumn id="4" xr3:uid="{00000000-0010-0000-0100-000004000000}" name="Название продукт группы (RUS)" dataDxfId="20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19"/>
    <tableColumn id="2" xr3:uid="{00000000-0010-0000-0200-000002000000}" name="Статус" dataDxfId="18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17" dataDxfId="16">
  <autoFilter ref="A1:E2" xr:uid="{00000000-0009-0000-0100-000008000000}"/>
  <tableColumns count="5">
    <tableColumn id="5" xr3:uid="{D948CA53-CDCE-46C5-BE95-D1E2925C758E}" name="№" dataDxfId="15"/>
    <tableColumn id="1" xr3:uid="{00000000-0010-0000-0500-000001000000}" name="Артикул" dataDxfId="14"/>
    <tableColumn id="2" xr3:uid="{00000000-0010-0000-0500-000002000000}" name="STK 2.5, Eur" dataDxfId="13"/>
    <tableColumn id="3" xr3:uid="{00000000-0010-0000-0500-000003000000}" name="STK 2.5, руб." dataDxfId="12"/>
    <tableColumn id="4" xr3:uid="{00000000-0010-0000-0500-000004000000}" name="Дата принятия" dataDxfId="1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10" tableBorderDxfId="9">
  <autoFilter ref="A1:C3" xr:uid="{00000000-0009-0000-0100-00000B000000}"/>
  <tableColumns count="3">
    <tableColumn id="1" xr3:uid="{00000000-0010-0000-0800-000001000000}" name="№" dataDxfId="8"/>
    <tableColumn id="2" xr3:uid="{00000000-0010-0000-0800-000002000000}" name="Дата принятия" dataDxfId="7"/>
    <tableColumn id="3" xr3:uid="{00000000-0010-0000-0800-000003000000}" name="Процент от РРЦ, без НДС" dataDxfId="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zoomScaleNormal="100" workbookViewId="0">
      <pane ySplit="2" topLeftCell="A3" activePane="bottomLeft" state="frozen"/>
      <selection pane="bottomLeft" activeCell="B15" sqref="B15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487" priority="6">
      <formula>$AL3="Новинка следующего года"</formula>
    </cfRule>
    <cfRule type="expression" dxfId="486" priority="7">
      <formula>$AL3="Новинка текущего года"</formula>
    </cfRule>
    <cfRule type="expression" dxfId="485" priority="8">
      <formula>$AL3="Выведено из ассортимента текущего года"</formula>
    </cfRule>
  </conditionalFormatting>
  <conditionalFormatting sqref="AM3:AM10">
    <cfRule type="expression" dxfId="484" priority="2">
      <formula>OR(AM3="Dealer",AM3="Regional",AM3="Online")</formula>
    </cfRule>
    <cfRule type="cellIs" dxfId="483" priority="3" operator="equal">
      <formula>"DIY канал"</formula>
    </cfRule>
    <cfRule type="cellIs" dxfId="482" priority="4" operator="equal">
      <formula>"ОБИ"</formula>
    </cfRule>
    <cfRule type="cellIs" dxfId="481" priority="5" operator="equal">
      <formula>"ЛЕРУА МЕРЛЕН"</formula>
    </cfRule>
  </conditionalFormatting>
  <conditionalFormatting sqref="AV3:AV10">
    <cfRule type="cellIs" dxfId="480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E1" sqref="E1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405" priority="1">
      <formula>$AL2="Новинка следующего года"</formula>
    </cfRule>
    <cfRule type="expression" dxfId="404" priority="2">
      <formula>$AL2="Новинка текущего года"</formula>
    </cfRule>
    <cfRule type="expression" dxfId="403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05"/>
      <c r="C2" s="105"/>
    </row>
    <row r="3" spans="1:22" x14ac:dyDescent="0.25">
      <c r="C3" s="63"/>
      <c r="F3" s="63"/>
    </row>
    <row r="4" spans="1:22" x14ac:dyDescent="0.25">
      <c r="B4" s="106" t="s">
        <v>1200</v>
      </c>
      <c r="C4" s="106"/>
      <c r="D4" s="64"/>
      <c r="E4" s="64"/>
      <c r="F4" s="65"/>
      <c r="G4" s="66"/>
      <c r="I4" s="64"/>
    </row>
    <row r="5" spans="1:22" x14ac:dyDescent="0.25">
      <c r="B5" s="106" t="s">
        <v>1201</v>
      </c>
      <c r="C5" s="106"/>
      <c r="D5" s="67">
        <v>43831</v>
      </c>
      <c r="F5" s="63"/>
    </row>
    <row r="6" spans="1:22" x14ac:dyDescent="0.25">
      <c r="B6" s="106" t="s">
        <v>1202</v>
      </c>
      <c r="C6" s="106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107" t="s">
        <v>1206</v>
      </c>
      <c r="C12" s="107"/>
      <c r="D12" s="107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F30"/>
  <sheetViews>
    <sheetView topLeftCell="D4" zoomScale="85" zoomScaleNormal="85" workbookViewId="0">
      <selection activeCell="H12" sqref="H12"/>
    </sheetView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20" width="7.85546875" style="87" hidden="1" customWidth="1"/>
    <col min="21" max="21" width="7.5703125" style="87" hidden="1" customWidth="1"/>
    <col min="22" max="22" width="9.5703125" style="88" hidden="1" customWidth="1"/>
    <col min="23" max="23" width="9.140625" style="87" hidden="1" customWidth="1"/>
    <col min="24" max="24" width="45.42578125" style="87" hidden="1" customWidth="1"/>
    <col min="25" max="33" width="9.140625" style="87" hidden="1" customWidth="1"/>
    <col min="34" max="34" width="9.140625" style="89" hidden="1" customWidth="1"/>
    <col min="35" max="46" width="9.140625" style="87" hidden="1" customWidth="1"/>
    <col min="47" max="47" width="9.140625" style="88" hidden="1" customWidth="1"/>
    <col min="48" max="57" width="9.140625" style="87" hidden="1" customWidth="1"/>
    <col min="58" max="58" width="9.140625" style="89" hidden="1" customWidth="1"/>
    <col min="59" max="59" width="9.140625" style="88" hidden="1" customWidth="1"/>
    <col min="60" max="69" width="9.140625" style="87" hidden="1" customWidth="1"/>
    <col min="70" max="70" width="9.140625" style="89" hidden="1" customWidth="1"/>
    <col min="71" max="71" width="9.140625" style="87" hidden="1" customWidth="1"/>
    <col min="72" max="72" width="9.140625" style="88" hidden="1" customWidth="1"/>
    <col min="73" max="82" width="9.140625" style="87" hidden="1" customWidth="1"/>
    <col min="83" max="83" width="9.140625" style="89" hidden="1" customWidth="1"/>
    <col min="84" max="84" width="9.140625" style="88" hidden="1" customWidth="1"/>
    <col min="85" max="94" width="9.140625" style="87" hidden="1" customWidth="1"/>
    <col min="95" max="95" width="9.140625" style="89" hidden="1" customWidth="1"/>
    <col min="96" max="96" width="9.140625" style="88" hidden="1" customWidth="1"/>
    <col min="97" max="106" width="9.140625" style="87" hidden="1" customWidth="1"/>
    <col min="107" max="107" width="9.140625" style="89" hidden="1" customWidth="1"/>
    <col min="108" max="108" width="9.140625" style="88" hidden="1" customWidth="1"/>
    <col min="109" max="118" width="9.140625" style="87" hidden="1" customWidth="1"/>
    <col min="119" max="119" width="9.140625" style="89" hidden="1" customWidth="1"/>
    <col min="120" max="120" width="19.7109375" style="87" customWidth="1"/>
    <col min="121" max="121" width="18.28515625" style="87" customWidth="1"/>
    <col min="122" max="122" width="20.28515625" style="87" customWidth="1"/>
    <col min="123" max="123" width="20.85546875" style="87" customWidth="1"/>
    <col min="124" max="124" width="22" style="87" customWidth="1"/>
    <col min="125" max="125" width="19" style="87" customWidth="1"/>
    <col min="126" max="126" width="20.7109375" style="87" customWidth="1"/>
    <col min="127" max="127" width="18.28515625" style="87" customWidth="1"/>
    <col min="128" max="128" width="19.42578125" style="87" customWidth="1"/>
    <col min="129" max="129" width="19.28515625" style="87" customWidth="1"/>
    <col min="130" max="130" width="20" style="87" customWidth="1"/>
    <col min="131" max="131" width="23.5703125" style="87" customWidth="1"/>
    <col min="132" max="132" width="21.5703125" style="87" customWidth="1"/>
    <col min="133" max="133" width="20.85546875" style="87" customWidth="1"/>
    <col min="134" max="134" width="21.85546875" style="87" customWidth="1"/>
    <col min="135" max="135" width="20.7109375" style="88" customWidth="1"/>
    <col min="136" max="136" width="10.7109375" style="87" customWidth="1"/>
    <col min="137" max="137" width="19.28515625" style="87" customWidth="1"/>
    <col min="138" max="138" width="29.28515625" style="87" bestFit="1" customWidth="1"/>
    <col min="139" max="139" width="40.42578125" style="87" customWidth="1"/>
    <col min="140" max="140" width="23" style="87" customWidth="1"/>
    <col min="141" max="141" width="21" style="87" customWidth="1"/>
    <col min="142" max="142" width="22.7109375" style="87" customWidth="1"/>
    <col min="143" max="143" width="20.28515625" style="87" customWidth="1"/>
    <col min="144" max="144" width="21.5703125" style="87" customWidth="1"/>
    <col min="145" max="145" width="21.28515625" style="87" customWidth="1"/>
    <col min="146" max="146" width="22" style="87" customWidth="1"/>
    <col min="147" max="147" width="25.5703125" style="87" customWidth="1"/>
    <col min="148" max="148" width="23.5703125" style="87" customWidth="1"/>
    <col min="149" max="149" width="22.85546875" style="87" customWidth="1"/>
    <col min="150" max="150" width="23.85546875" style="89" customWidth="1"/>
    <col min="151" max="151" width="15.85546875" style="87" customWidth="1"/>
    <col min="152" max="152" width="16.85546875" style="87" customWidth="1"/>
    <col min="153" max="153" width="18" style="87" customWidth="1"/>
    <col min="154" max="154" width="15" style="87" customWidth="1"/>
    <col min="155" max="155" width="16.5703125" style="87" customWidth="1"/>
    <col min="156" max="156" width="14.28515625" style="87" customWidth="1"/>
    <col min="157" max="157" width="15.42578125" style="87" customWidth="1"/>
    <col min="158" max="158" width="15.28515625" style="87" customWidth="1"/>
    <col min="159" max="159" width="16" style="87" customWidth="1"/>
    <col min="160" max="160" width="19.42578125" style="87" customWidth="1"/>
    <col min="161" max="161" width="17.42578125" style="87" customWidth="1"/>
    <col min="162" max="162" width="16.85546875" style="87" customWidth="1"/>
    <col min="163" max="163" width="15.85546875" style="88" customWidth="1"/>
    <col min="164" max="164" width="16.85546875" style="87" customWidth="1"/>
    <col min="165" max="165" width="18" style="87" customWidth="1"/>
    <col min="166" max="166" width="15" style="87" customWidth="1"/>
    <col min="167" max="167" width="16.5703125" style="87" customWidth="1"/>
    <col min="168" max="168" width="14.28515625" style="87" customWidth="1"/>
    <col min="169" max="169" width="15.42578125" style="87" customWidth="1"/>
    <col min="170" max="170" width="15.28515625" style="87" customWidth="1"/>
    <col min="171" max="171" width="16" style="87" customWidth="1"/>
    <col min="172" max="172" width="19.42578125" style="87" customWidth="1"/>
    <col min="173" max="173" width="17.42578125" style="87" customWidth="1"/>
    <col min="174" max="174" width="16.85546875" style="87" customWidth="1"/>
    <col min="175" max="175" width="17.140625" style="87" customWidth="1"/>
    <col min="176" max="176" width="18.42578125" style="88" customWidth="1"/>
    <col min="177" max="177" width="27.28515625" style="89" customWidth="1"/>
    <col min="178" max="178" width="26.42578125" style="87" customWidth="1"/>
    <col min="179" max="179" width="26.85546875" style="87" customWidth="1"/>
    <col min="180" max="180" width="28" style="87" customWidth="1"/>
    <col min="181" max="181" width="25" style="87" customWidth="1"/>
    <col min="182" max="182" width="26.7109375" style="87" customWidth="1"/>
    <col min="183" max="183" width="24.42578125" style="87" customWidth="1"/>
    <col min="184" max="184" width="25.5703125" style="87" customWidth="1"/>
    <col min="185" max="185" width="25.42578125" style="87" customWidth="1"/>
    <col min="186" max="186" width="26" style="87" customWidth="1"/>
    <col min="187" max="187" width="29.5703125" style="87" customWidth="1"/>
    <col min="188" max="188" width="27.5703125" style="87" customWidth="1"/>
    <col min="189" max="189" width="26.85546875" style="87" customWidth="1"/>
    <col min="190" max="190" width="27.85546875" style="89" customWidth="1"/>
    <col min="191" max="191" width="22.140625" style="87" customWidth="1"/>
    <col min="192" max="192" width="23.140625" style="87" customWidth="1"/>
    <col min="193" max="193" width="24.42578125" style="87" customWidth="1"/>
    <col min="194" max="194" width="21.28515625" style="87" customWidth="1"/>
    <col min="195" max="195" width="23" style="87" customWidth="1"/>
    <col min="196" max="196" width="20.7109375" style="87" customWidth="1"/>
    <col min="197" max="197" width="21.85546875" style="87" customWidth="1"/>
    <col min="198" max="198" width="21.7109375" style="87" customWidth="1"/>
    <col min="199" max="199" width="22.28515625" style="87" customWidth="1"/>
    <col min="200" max="200" width="25.85546875" style="87" customWidth="1"/>
    <col min="201" max="201" width="23.85546875" style="87" customWidth="1"/>
    <col min="202" max="202" width="23.140625" style="87" customWidth="1"/>
    <col min="203" max="203" width="22.140625" style="88" customWidth="1"/>
    <col min="204" max="204" width="23.140625" style="87" customWidth="1"/>
    <col min="205" max="205" width="24.42578125" style="87" customWidth="1"/>
    <col min="206" max="206" width="21.28515625" style="87" customWidth="1"/>
    <col min="207" max="207" width="23" style="87" customWidth="1"/>
    <col min="208" max="208" width="20.7109375" style="87" customWidth="1"/>
    <col min="209" max="209" width="21.85546875" style="87" customWidth="1"/>
    <col min="210" max="210" width="21.7109375" style="87" customWidth="1"/>
    <col min="211" max="211" width="22.28515625" style="87" customWidth="1"/>
    <col min="212" max="212" width="25.85546875" style="87" customWidth="1"/>
    <col min="213" max="213" width="23.85546875" style="87" customWidth="1"/>
    <col min="214" max="214" width="23.140625" style="89" customWidth="1"/>
    <col min="215" max="16384" width="9.140625" style="87"/>
  </cols>
  <sheetData>
    <row r="1" spans="1:214" s="76" customFormat="1" ht="37.5" customHeight="1" x14ac:dyDescent="0.25">
      <c r="A1" s="102" t="s">
        <v>43</v>
      </c>
      <c r="B1" s="103" t="s">
        <v>261</v>
      </c>
      <c r="C1" s="76" t="s">
        <v>1238</v>
      </c>
      <c r="V1" s="75" t="s">
        <v>1232</v>
      </c>
      <c r="X1" s="77" t="s">
        <v>1233</v>
      </c>
      <c r="AH1" s="78"/>
      <c r="AU1" s="79"/>
      <c r="BF1" s="78"/>
      <c r="BG1" s="79"/>
      <c r="BR1" s="78"/>
      <c r="BT1" s="79"/>
      <c r="CE1" s="78"/>
      <c r="CF1" s="79"/>
      <c r="CQ1" s="78"/>
      <c r="CR1" s="79"/>
      <c r="DC1" s="78"/>
      <c r="DD1" s="79"/>
      <c r="DO1" s="78"/>
      <c r="DP1" s="79"/>
      <c r="DR1" s="77" t="s">
        <v>1234</v>
      </c>
      <c r="DS1" s="76" t="s">
        <v>1235</v>
      </c>
      <c r="ED1" s="78"/>
      <c r="EE1" s="80" t="s">
        <v>1236</v>
      </c>
      <c r="EF1" s="81"/>
      <c r="EG1" s="81"/>
      <c r="EH1" s="81"/>
      <c r="EI1" s="81"/>
      <c r="EJ1" s="81"/>
      <c r="EK1" s="81"/>
      <c r="EL1" s="81"/>
      <c r="EM1" s="81"/>
      <c r="EN1" s="81"/>
      <c r="EO1" s="81"/>
      <c r="EP1" s="81"/>
      <c r="EQ1" s="81"/>
      <c r="ER1" s="81"/>
      <c r="ES1" s="81"/>
      <c r="ET1" s="81"/>
      <c r="EV1" s="76" t="s">
        <v>1235</v>
      </c>
      <c r="FG1" s="79"/>
      <c r="FH1" s="76" t="s">
        <v>1235</v>
      </c>
      <c r="FT1" s="79"/>
      <c r="FU1" s="78"/>
      <c r="FW1" s="76" t="s">
        <v>1237</v>
      </c>
      <c r="GH1" s="78"/>
      <c r="GJ1" s="76" t="s">
        <v>1237</v>
      </c>
      <c r="GU1" s="79"/>
      <c r="GV1" s="76" t="s">
        <v>1237</v>
      </c>
      <c r="HF1" s="78"/>
    </row>
    <row r="2" spans="1:214" s="76" customFormat="1" ht="75" x14ac:dyDescent="0.25">
      <c r="A2" s="104" t="s">
        <v>52</v>
      </c>
      <c r="B2" s="103">
        <v>2021</v>
      </c>
      <c r="V2" s="75"/>
      <c r="X2" s="74" t="s">
        <v>1239</v>
      </c>
      <c r="AU2" s="79"/>
      <c r="BG2" s="79"/>
      <c r="BT2" s="79"/>
      <c r="CF2" s="79"/>
      <c r="CR2" s="79"/>
      <c r="DD2" s="79"/>
      <c r="DP2" s="82">
        <v>43831</v>
      </c>
      <c r="DS2" s="76" t="s">
        <v>1240</v>
      </c>
      <c r="DT2" s="76" t="s">
        <v>1241</v>
      </c>
      <c r="DU2" s="76" t="s">
        <v>1242</v>
      </c>
      <c r="ED2" s="78"/>
      <c r="EE2" s="80"/>
      <c r="EF2" s="81" t="s">
        <v>1243</v>
      </c>
      <c r="EG2" s="81" t="s">
        <v>1244</v>
      </c>
      <c r="EH2" s="81" t="s">
        <v>1245</v>
      </c>
      <c r="EI2" s="81"/>
      <c r="EJ2" s="81"/>
      <c r="EK2" s="81"/>
      <c r="EL2" s="81"/>
      <c r="EM2" s="81"/>
      <c r="EN2" s="81"/>
      <c r="EO2" s="81"/>
      <c r="EP2" s="81"/>
      <c r="EQ2" s="81"/>
      <c r="ER2" s="81"/>
      <c r="ES2" s="81"/>
      <c r="ET2" s="81"/>
      <c r="EV2" s="76" t="s">
        <v>1241</v>
      </c>
      <c r="EW2" s="76" t="s">
        <v>1242</v>
      </c>
      <c r="FG2" s="79"/>
      <c r="FH2" s="76" t="s">
        <v>1241</v>
      </c>
      <c r="FI2" s="76" t="s">
        <v>1242</v>
      </c>
      <c r="FT2" s="79"/>
      <c r="FU2" s="78"/>
      <c r="FW2" s="76" t="s">
        <v>1246</v>
      </c>
      <c r="FX2" s="76" t="s">
        <v>1241</v>
      </c>
      <c r="FY2" s="76" t="s">
        <v>1242</v>
      </c>
      <c r="GH2" s="78"/>
      <c r="GJ2" s="76" t="s">
        <v>1241</v>
      </c>
      <c r="GK2" s="76" t="s">
        <v>1242</v>
      </c>
      <c r="GU2" s="79"/>
      <c r="GV2" s="76" t="s">
        <v>1241</v>
      </c>
      <c r="GW2" s="76" t="s">
        <v>1242</v>
      </c>
      <c r="HF2" s="78"/>
    </row>
    <row r="3" spans="1:214" s="76" customFormat="1" x14ac:dyDescent="0.25">
      <c r="A3" s="102" t="s">
        <v>44</v>
      </c>
      <c r="B3" s="103" t="s">
        <v>37</v>
      </c>
      <c r="V3" s="75"/>
      <c r="X3" s="101"/>
      <c r="AU3" s="79"/>
      <c r="BG3" s="79"/>
      <c r="BT3" s="79"/>
      <c r="CF3" s="79"/>
      <c r="CR3" s="79"/>
      <c r="DD3" s="79"/>
      <c r="DP3" s="82"/>
      <c r="ED3" s="101"/>
      <c r="EE3" s="80"/>
      <c r="EF3" s="81"/>
      <c r="EG3" s="81"/>
      <c r="EH3" s="81"/>
      <c r="EI3" s="81"/>
      <c r="EJ3" s="81"/>
      <c r="EK3" s="81"/>
      <c r="EL3" s="81"/>
      <c r="EM3" s="81"/>
      <c r="EN3" s="81"/>
      <c r="EO3" s="81"/>
      <c r="EP3" s="81"/>
      <c r="EQ3" s="81"/>
      <c r="ER3" s="81"/>
      <c r="ES3" s="81"/>
      <c r="ET3" s="81"/>
      <c r="FG3" s="101"/>
      <c r="FT3" s="79"/>
      <c r="FU3" s="78"/>
      <c r="GH3" s="78"/>
      <c r="GU3" s="79"/>
      <c r="HF3" s="78"/>
    </row>
    <row r="4" spans="1:214" s="76" customFormat="1" ht="75" x14ac:dyDescent="0.25">
      <c r="A4" s="76" t="s">
        <v>1247</v>
      </c>
      <c r="B4" s="76" t="s">
        <v>1247</v>
      </c>
      <c r="V4" s="79" t="s">
        <v>1248</v>
      </c>
      <c r="W4" s="79" t="s">
        <v>1248</v>
      </c>
      <c r="X4" s="79" t="s">
        <v>1248</v>
      </c>
      <c r="Y4" s="79" t="s">
        <v>1248</v>
      </c>
      <c r="Z4" s="79" t="s">
        <v>1248</v>
      </c>
      <c r="AA4" s="79" t="s">
        <v>1248</v>
      </c>
      <c r="AB4" s="79" t="s">
        <v>1248</v>
      </c>
      <c r="AC4" s="79" t="s">
        <v>1248</v>
      </c>
      <c r="AD4" s="79" t="s">
        <v>1248</v>
      </c>
      <c r="AE4" s="79" t="s">
        <v>1248</v>
      </c>
      <c r="AF4" s="79" t="s">
        <v>1248</v>
      </c>
      <c r="AG4" s="79" t="s">
        <v>1248</v>
      </c>
      <c r="AH4" s="79" t="s">
        <v>1248</v>
      </c>
      <c r="AI4" s="79" t="s">
        <v>1248</v>
      </c>
      <c r="AJ4" s="79" t="s">
        <v>1248</v>
      </c>
      <c r="AK4" s="79" t="s">
        <v>1248</v>
      </c>
      <c r="AL4" s="79" t="s">
        <v>1248</v>
      </c>
      <c r="AM4" s="79" t="s">
        <v>1248</v>
      </c>
      <c r="AN4" s="79" t="s">
        <v>1248</v>
      </c>
      <c r="AO4" s="79" t="s">
        <v>1248</v>
      </c>
      <c r="AP4" s="79" t="s">
        <v>1248</v>
      </c>
      <c r="AQ4" s="79" t="s">
        <v>1248</v>
      </c>
      <c r="AR4" s="79" t="s">
        <v>1248</v>
      </c>
      <c r="AS4" s="79" t="s">
        <v>1248</v>
      </c>
      <c r="AT4" s="79" t="s">
        <v>1248</v>
      </c>
      <c r="AU4" s="79" t="s">
        <v>1248</v>
      </c>
      <c r="AV4" s="79" t="s">
        <v>1248</v>
      </c>
      <c r="AW4" s="79" t="s">
        <v>1248</v>
      </c>
      <c r="AX4" s="79" t="s">
        <v>1248</v>
      </c>
      <c r="AY4" s="79" t="s">
        <v>1248</v>
      </c>
      <c r="AZ4" s="79" t="s">
        <v>1248</v>
      </c>
      <c r="BA4" s="79" t="s">
        <v>1248</v>
      </c>
      <c r="BB4" s="79" t="s">
        <v>1248</v>
      </c>
      <c r="BC4" s="79" t="s">
        <v>1248</v>
      </c>
      <c r="BD4" s="79" t="s">
        <v>1248</v>
      </c>
      <c r="BE4" s="79" t="s">
        <v>1248</v>
      </c>
      <c r="BF4" s="79" t="s">
        <v>1248</v>
      </c>
      <c r="BG4" s="79" t="s">
        <v>1249</v>
      </c>
      <c r="BH4" s="79" t="s">
        <v>1248</v>
      </c>
      <c r="BI4" s="79" t="s">
        <v>1248</v>
      </c>
      <c r="BJ4" s="79" t="s">
        <v>1248</v>
      </c>
      <c r="BK4" s="79" t="s">
        <v>1248</v>
      </c>
      <c r="BL4" s="79" t="s">
        <v>1248</v>
      </c>
      <c r="BM4" s="79" t="s">
        <v>1248</v>
      </c>
      <c r="BN4" s="79" t="s">
        <v>1248</v>
      </c>
      <c r="BO4" s="79" t="s">
        <v>1248</v>
      </c>
      <c r="BP4" s="79" t="s">
        <v>1248</v>
      </c>
      <c r="BQ4" s="79" t="s">
        <v>1248</v>
      </c>
      <c r="BR4" s="79" t="s">
        <v>1248</v>
      </c>
      <c r="BS4" s="79"/>
      <c r="BT4" s="79" t="s">
        <v>1250</v>
      </c>
      <c r="BU4" s="79" t="s">
        <v>1248</v>
      </c>
      <c r="BV4" s="79" t="s">
        <v>1248</v>
      </c>
      <c r="BW4" s="79" t="s">
        <v>1248</v>
      </c>
      <c r="BX4" s="79" t="s">
        <v>1248</v>
      </c>
      <c r="BY4" s="79" t="s">
        <v>1248</v>
      </c>
      <c r="BZ4" s="79" t="s">
        <v>1248</v>
      </c>
      <c r="CA4" s="79" t="s">
        <v>1248</v>
      </c>
      <c r="CB4" s="79" t="s">
        <v>1248</v>
      </c>
      <c r="CC4" s="79" t="s">
        <v>1248</v>
      </c>
      <c r="CD4" s="79" t="s">
        <v>1248</v>
      </c>
      <c r="CE4" s="79" t="s">
        <v>1248</v>
      </c>
      <c r="CF4" s="79" t="s">
        <v>1251</v>
      </c>
      <c r="CG4" s="79" t="s">
        <v>1248</v>
      </c>
      <c r="CH4" s="79" t="s">
        <v>1248</v>
      </c>
      <c r="CI4" s="79" t="s">
        <v>1248</v>
      </c>
      <c r="CJ4" s="79" t="s">
        <v>1248</v>
      </c>
      <c r="CK4" s="79" t="s">
        <v>1248</v>
      </c>
      <c r="CL4" s="79" t="s">
        <v>1248</v>
      </c>
      <c r="CM4" s="79" t="s">
        <v>1248</v>
      </c>
      <c r="CN4" s="79" t="s">
        <v>1248</v>
      </c>
      <c r="CO4" s="79" t="s">
        <v>1248</v>
      </c>
      <c r="CP4" s="79" t="s">
        <v>1248</v>
      </c>
      <c r="CQ4" s="79" t="s">
        <v>1248</v>
      </c>
      <c r="CR4" s="79" t="s">
        <v>1252</v>
      </c>
      <c r="CS4" s="79" t="s">
        <v>1248</v>
      </c>
      <c r="CT4" s="79" t="s">
        <v>1248</v>
      </c>
      <c r="CU4" s="79" t="s">
        <v>1248</v>
      </c>
      <c r="CV4" s="79" t="s">
        <v>1248</v>
      </c>
      <c r="CW4" s="79" t="s">
        <v>1248</v>
      </c>
      <c r="CX4" s="79" t="s">
        <v>1248</v>
      </c>
      <c r="CY4" s="79" t="s">
        <v>1248</v>
      </c>
      <c r="CZ4" s="79" t="s">
        <v>1248</v>
      </c>
      <c r="DA4" s="79" t="s">
        <v>1248</v>
      </c>
      <c r="DB4" s="79" t="s">
        <v>1248</v>
      </c>
      <c r="DC4" s="79" t="s">
        <v>1248</v>
      </c>
      <c r="DD4" s="79" t="s">
        <v>1253</v>
      </c>
      <c r="DE4" s="79" t="s">
        <v>1248</v>
      </c>
      <c r="DF4" s="79" t="s">
        <v>1248</v>
      </c>
      <c r="DG4" s="79" t="s">
        <v>1248</v>
      </c>
      <c r="DH4" s="79" t="s">
        <v>1248</v>
      </c>
      <c r="DI4" s="79" t="s">
        <v>1248</v>
      </c>
      <c r="DJ4" s="79" t="s">
        <v>1248</v>
      </c>
      <c r="DK4" s="79" t="s">
        <v>1248</v>
      </c>
      <c r="DL4" s="79" t="s">
        <v>1248</v>
      </c>
      <c r="DM4" s="79" t="s">
        <v>1248</v>
      </c>
      <c r="DN4" s="79" t="s">
        <v>1248</v>
      </c>
      <c r="DO4" s="79" t="s">
        <v>1248</v>
      </c>
      <c r="DP4" s="79" t="s">
        <v>1254</v>
      </c>
      <c r="DQ4" s="79" t="s">
        <v>1248</v>
      </c>
      <c r="DR4" s="76" t="s">
        <v>1255</v>
      </c>
      <c r="DS4" s="76" t="s">
        <v>1256</v>
      </c>
      <c r="DT4" s="76" t="s">
        <v>1256</v>
      </c>
      <c r="DU4" s="76" t="s">
        <v>1257</v>
      </c>
      <c r="DV4" s="76" t="s">
        <v>1256</v>
      </c>
      <c r="DW4" s="76" t="s">
        <v>1256</v>
      </c>
      <c r="DX4" s="76" t="s">
        <v>1256</v>
      </c>
      <c r="DY4" s="76" t="s">
        <v>1256</v>
      </c>
      <c r="DZ4" s="76" t="s">
        <v>1256</v>
      </c>
      <c r="EA4" s="76" t="s">
        <v>1256</v>
      </c>
      <c r="EB4" s="76" t="s">
        <v>1256</v>
      </c>
      <c r="EC4" s="76" t="s">
        <v>1256</v>
      </c>
      <c r="ED4" s="76" t="s">
        <v>1256</v>
      </c>
      <c r="EE4" s="80"/>
      <c r="EF4" s="81"/>
      <c r="EG4" s="81"/>
      <c r="EH4" s="81"/>
      <c r="EI4" s="81"/>
      <c r="EJ4" s="81"/>
      <c r="EK4" s="81"/>
      <c r="EL4" s="81"/>
      <c r="EM4" s="81"/>
      <c r="EN4" s="81"/>
      <c r="EO4" s="81"/>
      <c r="EP4" s="81"/>
      <c r="EQ4" s="81"/>
      <c r="ER4" s="81"/>
      <c r="ES4" s="81"/>
      <c r="ET4" s="81"/>
      <c r="EU4" s="76" t="s">
        <v>1255</v>
      </c>
      <c r="EV4" s="76" t="s">
        <v>1258</v>
      </c>
      <c r="EW4" s="76" t="s">
        <v>1259</v>
      </c>
      <c r="FG4" s="76" t="s">
        <v>1255</v>
      </c>
      <c r="FH4" s="76" t="s">
        <v>1260</v>
      </c>
      <c r="FI4" s="76" t="s">
        <v>1261</v>
      </c>
      <c r="FT4" s="79" t="s">
        <v>1255</v>
      </c>
      <c r="FU4" s="78" t="s">
        <v>1262</v>
      </c>
      <c r="FV4" s="76" t="s">
        <v>1255</v>
      </c>
      <c r="FW4" s="76" t="s">
        <v>1256</v>
      </c>
      <c r="FX4" s="76" t="s">
        <v>1256</v>
      </c>
      <c r="FY4" s="76" t="s">
        <v>1257</v>
      </c>
      <c r="GH4" s="78"/>
      <c r="GJ4" s="76" t="s">
        <v>1258</v>
      </c>
      <c r="GK4" s="76" t="s">
        <v>1263</v>
      </c>
      <c r="GU4" s="79"/>
      <c r="GV4" s="76" t="s">
        <v>1260</v>
      </c>
      <c r="GW4" s="76" t="s">
        <v>1261</v>
      </c>
      <c r="HF4" s="78"/>
    </row>
    <row r="5" spans="1:214" s="76" customFormat="1" x14ac:dyDescent="0.25">
      <c r="V5" s="79"/>
      <c r="AU5" s="79"/>
      <c r="BG5" s="79"/>
      <c r="BT5" s="79"/>
      <c r="CF5" s="79"/>
      <c r="CR5" s="79"/>
      <c r="DD5" s="79"/>
      <c r="DP5" s="79"/>
      <c r="EE5" s="83">
        <v>0.1</v>
      </c>
      <c r="EF5" s="84"/>
      <c r="EG5" s="85"/>
      <c r="EH5" s="85"/>
      <c r="EI5" s="84">
        <v>0.1</v>
      </c>
      <c r="EJ5" s="84">
        <v>0.1</v>
      </c>
      <c r="EK5" s="84">
        <v>0.1</v>
      </c>
      <c r="EL5" s="84">
        <v>0.1</v>
      </c>
      <c r="EM5" s="84">
        <v>0.1</v>
      </c>
      <c r="EN5" s="84">
        <v>0.1</v>
      </c>
      <c r="EO5" s="85"/>
      <c r="EP5" s="85"/>
      <c r="EQ5" s="85"/>
      <c r="ER5" s="85"/>
      <c r="ES5" s="85"/>
      <c r="ET5" s="85"/>
      <c r="FT5" s="79"/>
      <c r="FU5" s="78"/>
      <c r="GH5" s="78"/>
      <c r="GK5" s="86"/>
      <c r="GU5" s="79"/>
      <c r="HF5" s="78"/>
    </row>
    <row r="6" spans="1:214" s="76" customFormat="1" ht="60" x14ac:dyDescent="0.25">
      <c r="A6" s="93" t="s">
        <v>0</v>
      </c>
      <c r="B6" s="91" t="s">
        <v>18</v>
      </c>
      <c r="C6" s="92" t="s">
        <v>67</v>
      </c>
      <c r="D6" s="93" t="s">
        <v>1264</v>
      </c>
      <c r="E6" s="94" t="s">
        <v>1265</v>
      </c>
      <c r="F6" s="94" t="s">
        <v>30</v>
      </c>
      <c r="G6" s="94" t="s">
        <v>32</v>
      </c>
      <c r="H6" s="94" t="s">
        <v>1450</v>
      </c>
      <c r="I6" s="94" t="s">
        <v>68</v>
      </c>
      <c r="J6" s="94" t="s">
        <v>34</v>
      </c>
      <c r="K6" s="94" t="s">
        <v>1266</v>
      </c>
      <c r="L6" s="94" t="s">
        <v>69</v>
      </c>
      <c r="M6" s="94" t="s">
        <v>1451</v>
      </c>
      <c r="N6" s="94" t="s">
        <v>70</v>
      </c>
      <c r="O6" s="94" t="s">
        <v>1267</v>
      </c>
      <c r="P6" s="94" t="s">
        <v>1268</v>
      </c>
      <c r="Q6" s="94" t="s">
        <v>1269</v>
      </c>
      <c r="R6" s="94" t="s">
        <v>1270</v>
      </c>
      <c r="S6" s="94" t="s">
        <v>1271</v>
      </c>
      <c r="T6" s="94" t="s">
        <v>1272</v>
      </c>
      <c r="U6" s="94" t="s">
        <v>71</v>
      </c>
      <c r="V6" s="91" t="s">
        <v>1273</v>
      </c>
      <c r="W6" s="92" t="s">
        <v>1274</v>
      </c>
      <c r="X6" s="92" t="s">
        <v>1275</v>
      </c>
      <c r="Y6" s="92" t="s">
        <v>1276</v>
      </c>
      <c r="Z6" s="92" t="s">
        <v>1277</v>
      </c>
      <c r="AA6" s="92" t="s">
        <v>1278</v>
      </c>
      <c r="AB6" s="92" t="s">
        <v>1279</v>
      </c>
      <c r="AC6" s="92" t="s">
        <v>1280</v>
      </c>
      <c r="AD6" s="92" t="s">
        <v>1281</v>
      </c>
      <c r="AE6" s="92" t="s">
        <v>1282</v>
      </c>
      <c r="AF6" s="92" t="s">
        <v>1283</v>
      </c>
      <c r="AG6" s="92" t="s">
        <v>1284</v>
      </c>
      <c r="AH6" s="95" t="s">
        <v>1285</v>
      </c>
      <c r="AI6" s="92" t="s">
        <v>1286</v>
      </c>
      <c r="AJ6" s="92" t="s">
        <v>1287</v>
      </c>
      <c r="AK6" s="92" t="s">
        <v>1288</v>
      </c>
      <c r="AL6" s="92" t="s">
        <v>1289</v>
      </c>
      <c r="AM6" s="92" t="s">
        <v>1290</v>
      </c>
      <c r="AN6" s="92" t="s">
        <v>1291</v>
      </c>
      <c r="AO6" s="92" t="s">
        <v>1292</v>
      </c>
      <c r="AP6" s="92" t="s">
        <v>1293</v>
      </c>
      <c r="AQ6" s="92" t="s">
        <v>1294</v>
      </c>
      <c r="AR6" s="92" t="s">
        <v>1295</v>
      </c>
      <c r="AS6" s="92" t="s">
        <v>1296</v>
      </c>
      <c r="AT6" s="92" t="s">
        <v>1297</v>
      </c>
      <c r="AU6" s="91" t="s">
        <v>1298</v>
      </c>
      <c r="AV6" s="92" t="s">
        <v>1299</v>
      </c>
      <c r="AW6" s="92" t="s">
        <v>1300</v>
      </c>
      <c r="AX6" s="92" t="s">
        <v>1301</v>
      </c>
      <c r="AY6" s="92" t="s">
        <v>1302</v>
      </c>
      <c r="AZ6" s="92" t="s">
        <v>1303</v>
      </c>
      <c r="BA6" s="92" t="s">
        <v>1304</v>
      </c>
      <c r="BB6" s="92" t="s">
        <v>1305</v>
      </c>
      <c r="BC6" s="92" t="s">
        <v>1306</v>
      </c>
      <c r="BD6" s="92" t="s">
        <v>1307</v>
      </c>
      <c r="BE6" s="92" t="s">
        <v>1308</v>
      </c>
      <c r="BF6" s="95" t="s">
        <v>1309</v>
      </c>
      <c r="BG6" s="91" t="s">
        <v>1310</v>
      </c>
      <c r="BH6" s="92" t="s">
        <v>1311</v>
      </c>
      <c r="BI6" s="92" t="s">
        <v>1312</v>
      </c>
      <c r="BJ6" s="92" t="s">
        <v>1313</v>
      </c>
      <c r="BK6" s="92" t="s">
        <v>1314</v>
      </c>
      <c r="BL6" s="92" t="s">
        <v>1315</v>
      </c>
      <c r="BM6" s="92" t="s">
        <v>1316</v>
      </c>
      <c r="BN6" s="92" t="s">
        <v>1317</v>
      </c>
      <c r="BO6" s="92" t="s">
        <v>1318</v>
      </c>
      <c r="BP6" s="92" t="s">
        <v>1319</v>
      </c>
      <c r="BQ6" s="92" t="s">
        <v>1320</v>
      </c>
      <c r="BR6" s="95" t="s">
        <v>1321</v>
      </c>
      <c r="BS6" s="92" t="s">
        <v>1452</v>
      </c>
      <c r="BT6" s="91" t="s">
        <v>1322</v>
      </c>
      <c r="BU6" s="92" t="s">
        <v>1323</v>
      </c>
      <c r="BV6" s="92" t="s">
        <v>1324</v>
      </c>
      <c r="BW6" s="92" t="s">
        <v>1325</v>
      </c>
      <c r="BX6" s="92" t="s">
        <v>1326</v>
      </c>
      <c r="BY6" s="92" t="s">
        <v>1327</v>
      </c>
      <c r="BZ6" s="92" t="s">
        <v>1328</v>
      </c>
      <c r="CA6" s="92" t="s">
        <v>1329</v>
      </c>
      <c r="CB6" s="92" t="s">
        <v>1330</v>
      </c>
      <c r="CC6" s="92" t="s">
        <v>1331</v>
      </c>
      <c r="CD6" s="92" t="s">
        <v>1332</v>
      </c>
      <c r="CE6" s="95" t="s">
        <v>1333</v>
      </c>
      <c r="CF6" s="91" t="s">
        <v>1334</v>
      </c>
      <c r="CG6" s="92" t="s">
        <v>1335</v>
      </c>
      <c r="CH6" s="92" t="s">
        <v>1336</v>
      </c>
      <c r="CI6" s="92" t="s">
        <v>1337</v>
      </c>
      <c r="CJ6" s="92" t="s">
        <v>1338</v>
      </c>
      <c r="CK6" s="92" t="s">
        <v>1339</v>
      </c>
      <c r="CL6" s="92" t="s">
        <v>1340</v>
      </c>
      <c r="CM6" s="92" t="s">
        <v>1341</v>
      </c>
      <c r="CN6" s="92" t="s">
        <v>1342</v>
      </c>
      <c r="CO6" s="92" t="s">
        <v>1343</v>
      </c>
      <c r="CP6" s="92" t="s">
        <v>1344</v>
      </c>
      <c r="CQ6" s="95" t="s">
        <v>1345</v>
      </c>
      <c r="CR6" s="91" t="s">
        <v>1346</v>
      </c>
      <c r="CS6" s="92" t="s">
        <v>1347</v>
      </c>
      <c r="CT6" s="92" t="s">
        <v>1348</v>
      </c>
      <c r="CU6" s="92" t="s">
        <v>1349</v>
      </c>
      <c r="CV6" s="92" t="s">
        <v>1350</v>
      </c>
      <c r="CW6" s="92" t="s">
        <v>1351</v>
      </c>
      <c r="CX6" s="92" t="s">
        <v>1352</v>
      </c>
      <c r="CY6" s="92" t="s">
        <v>1353</v>
      </c>
      <c r="CZ6" s="92" t="s">
        <v>1354</v>
      </c>
      <c r="DA6" s="92" t="s">
        <v>1355</v>
      </c>
      <c r="DB6" s="92" t="s">
        <v>1356</v>
      </c>
      <c r="DC6" s="95" t="s">
        <v>1357</v>
      </c>
      <c r="DD6" s="91" t="s">
        <v>1358</v>
      </c>
      <c r="DE6" s="92" t="s">
        <v>1359</v>
      </c>
      <c r="DF6" s="92" t="s">
        <v>1360</v>
      </c>
      <c r="DG6" s="92" t="s">
        <v>1361</v>
      </c>
      <c r="DH6" s="92" t="s">
        <v>1362</v>
      </c>
      <c r="DI6" s="92" t="s">
        <v>1363</v>
      </c>
      <c r="DJ6" s="92" t="s">
        <v>1364</v>
      </c>
      <c r="DK6" s="92" t="s">
        <v>1365</v>
      </c>
      <c r="DL6" s="92" t="s">
        <v>1366</v>
      </c>
      <c r="DM6" s="92" t="s">
        <v>1367</v>
      </c>
      <c r="DN6" s="92" t="s">
        <v>1368</v>
      </c>
      <c r="DO6" s="95" t="s">
        <v>1369</v>
      </c>
      <c r="DP6" s="91" t="s">
        <v>1370</v>
      </c>
      <c r="DQ6" s="92" t="s">
        <v>1371</v>
      </c>
      <c r="DR6" s="96" t="s">
        <v>1372</v>
      </c>
      <c r="DS6" s="96" t="s">
        <v>1373</v>
      </c>
      <c r="DT6" s="96" t="s">
        <v>1374</v>
      </c>
      <c r="DU6" s="96" t="s">
        <v>1375</v>
      </c>
      <c r="DV6" s="96" t="s">
        <v>1376</v>
      </c>
      <c r="DW6" s="96" t="s">
        <v>1377</v>
      </c>
      <c r="DX6" s="96" t="s">
        <v>1378</v>
      </c>
      <c r="DY6" s="96" t="s">
        <v>1379</v>
      </c>
      <c r="DZ6" s="96" t="s">
        <v>1380</v>
      </c>
      <c r="EA6" s="96" t="s">
        <v>1381</v>
      </c>
      <c r="EB6" s="96" t="s">
        <v>1382</v>
      </c>
      <c r="EC6" s="92" t="s">
        <v>1383</v>
      </c>
      <c r="ED6" s="95" t="s">
        <v>1384</v>
      </c>
      <c r="EE6" s="91" t="s">
        <v>1453</v>
      </c>
      <c r="EF6" s="92" t="s">
        <v>1385</v>
      </c>
      <c r="EG6" s="92" t="s">
        <v>1454</v>
      </c>
      <c r="EH6" s="92" t="s">
        <v>1455</v>
      </c>
      <c r="EI6" s="92" t="s">
        <v>1456</v>
      </c>
      <c r="EJ6" s="92" t="s">
        <v>1457</v>
      </c>
      <c r="EK6" s="92" t="s">
        <v>1458</v>
      </c>
      <c r="EL6" s="92" t="s">
        <v>1459</v>
      </c>
      <c r="EM6" s="92" t="s">
        <v>1460</v>
      </c>
      <c r="EN6" s="92" t="s">
        <v>1461</v>
      </c>
      <c r="EO6" s="92" t="s">
        <v>1462</v>
      </c>
      <c r="EP6" s="92" t="s">
        <v>1463</v>
      </c>
      <c r="EQ6" s="92" t="s">
        <v>1464</v>
      </c>
      <c r="ER6" s="92" t="s">
        <v>1465</v>
      </c>
      <c r="ES6" s="92" t="s">
        <v>1466</v>
      </c>
      <c r="ET6" s="95" t="s">
        <v>1467</v>
      </c>
      <c r="EU6" s="92" t="s">
        <v>1386</v>
      </c>
      <c r="EV6" s="92" t="s">
        <v>1387</v>
      </c>
      <c r="EW6" s="92" t="s">
        <v>1388</v>
      </c>
      <c r="EX6" s="92" t="s">
        <v>1389</v>
      </c>
      <c r="EY6" s="92" t="s">
        <v>1390</v>
      </c>
      <c r="EZ6" s="92" t="s">
        <v>1391</v>
      </c>
      <c r="FA6" s="92" t="s">
        <v>1392</v>
      </c>
      <c r="FB6" s="92" t="s">
        <v>1393</v>
      </c>
      <c r="FC6" s="92" t="s">
        <v>1394</v>
      </c>
      <c r="FD6" s="92" t="s">
        <v>1395</v>
      </c>
      <c r="FE6" s="92" t="s">
        <v>1396</v>
      </c>
      <c r="FF6" s="92" t="s">
        <v>1397</v>
      </c>
      <c r="FG6" s="91" t="s">
        <v>1398</v>
      </c>
      <c r="FH6" s="92" t="s">
        <v>1399</v>
      </c>
      <c r="FI6" s="92" t="s">
        <v>1400</v>
      </c>
      <c r="FJ6" s="92" t="s">
        <v>1401</v>
      </c>
      <c r="FK6" s="92" t="s">
        <v>1402</v>
      </c>
      <c r="FL6" s="92" t="s">
        <v>1403</v>
      </c>
      <c r="FM6" s="92" t="s">
        <v>1404</v>
      </c>
      <c r="FN6" s="92" t="s">
        <v>1405</v>
      </c>
      <c r="FO6" s="92" t="s">
        <v>1406</v>
      </c>
      <c r="FP6" s="92" t="s">
        <v>1407</v>
      </c>
      <c r="FQ6" s="92" t="s">
        <v>1408</v>
      </c>
      <c r="FR6" s="92" t="s">
        <v>1409</v>
      </c>
      <c r="FS6" s="92" t="s">
        <v>1410</v>
      </c>
      <c r="FT6" s="91" t="s">
        <v>1411</v>
      </c>
      <c r="FU6" s="95" t="s">
        <v>1412</v>
      </c>
      <c r="FV6" s="92" t="s">
        <v>1413</v>
      </c>
      <c r="FW6" s="92" t="s">
        <v>1414</v>
      </c>
      <c r="FX6" s="92" t="s">
        <v>1415</v>
      </c>
      <c r="FY6" s="92" t="s">
        <v>1416</v>
      </c>
      <c r="FZ6" s="92" t="s">
        <v>1417</v>
      </c>
      <c r="GA6" s="92" t="s">
        <v>1418</v>
      </c>
      <c r="GB6" s="92" t="s">
        <v>1419</v>
      </c>
      <c r="GC6" s="92" t="s">
        <v>1420</v>
      </c>
      <c r="GD6" s="92" t="s">
        <v>1421</v>
      </c>
      <c r="GE6" s="92" t="s">
        <v>1422</v>
      </c>
      <c r="GF6" s="92" t="s">
        <v>1423</v>
      </c>
      <c r="GG6" s="92" t="s">
        <v>1424</v>
      </c>
      <c r="GH6" s="95" t="s">
        <v>1425</v>
      </c>
      <c r="GI6" s="92" t="s">
        <v>1426</v>
      </c>
      <c r="GJ6" s="92" t="s">
        <v>1427</v>
      </c>
      <c r="GK6" s="92" t="s">
        <v>1428</v>
      </c>
      <c r="GL6" s="92" t="s">
        <v>1429</v>
      </c>
      <c r="GM6" s="92" t="s">
        <v>1430</v>
      </c>
      <c r="GN6" s="92" t="s">
        <v>1431</v>
      </c>
      <c r="GO6" s="92" t="s">
        <v>1432</v>
      </c>
      <c r="GP6" s="92" t="s">
        <v>1433</v>
      </c>
      <c r="GQ6" s="92" t="s">
        <v>1434</v>
      </c>
      <c r="GR6" s="92" t="s">
        <v>1435</v>
      </c>
      <c r="GS6" s="92" t="s">
        <v>1436</v>
      </c>
      <c r="GT6" s="92" t="s">
        <v>1437</v>
      </c>
      <c r="GU6" s="91" t="s">
        <v>1438</v>
      </c>
      <c r="GV6" s="92" t="s">
        <v>1439</v>
      </c>
      <c r="GW6" s="92" t="s">
        <v>1440</v>
      </c>
      <c r="GX6" s="92" t="s">
        <v>1441</v>
      </c>
      <c r="GY6" s="92" t="s">
        <v>1442</v>
      </c>
      <c r="GZ6" s="92" t="s">
        <v>1443</v>
      </c>
      <c r="HA6" s="92" t="s">
        <v>1444</v>
      </c>
      <c r="HB6" s="92" t="s">
        <v>1445</v>
      </c>
      <c r="HC6" s="92" t="s">
        <v>1446</v>
      </c>
      <c r="HD6" s="92" t="s">
        <v>1447</v>
      </c>
      <c r="HE6" s="92" t="s">
        <v>1448</v>
      </c>
      <c r="HF6" s="92" t="s">
        <v>1449</v>
      </c>
    </row>
    <row r="7" spans="1:214" x14ac:dyDescent="0.25">
      <c r="A7" s="97"/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9"/>
      <c r="AI7" s="97"/>
      <c r="AJ7" s="97"/>
      <c r="AK7" s="97"/>
      <c r="AL7" s="97"/>
      <c r="AM7" s="97"/>
      <c r="AN7" s="97"/>
      <c r="AO7" s="97"/>
      <c r="AP7" s="97"/>
      <c r="AQ7" s="97"/>
      <c r="AR7" s="97"/>
      <c r="AS7" s="97"/>
      <c r="AT7" s="97"/>
      <c r="AU7" s="98"/>
      <c r="AV7" s="97"/>
      <c r="AW7" s="97"/>
      <c r="AX7" s="97"/>
      <c r="AY7" s="97"/>
      <c r="AZ7" s="97"/>
      <c r="BA7" s="97"/>
      <c r="BB7" s="97"/>
      <c r="BC7" s="97"/>
      <c r="BD7" s="97"/>
      <c r="BE7" s="97"/>
      <c r="BF7" s="99"/>
      <c r="BG7" s="98"/>
      <c r="BH7" s="97"/>
      <c r="BI7" s="97"/>
      <c r="BJ7" s="97"/>
      <c r="BK7" s="97"/>
      <c r="BL7" s="97"/>
      <c r="BM7" s="97"/>
      <c r="BN7" s="97"/>
      <c r="BO7" s="97"/>
      <c r="BP7" s="97"/>
      <c r="BQ7" s="97"/>
      <c r="BR7" s="99"/>
      <c r="BS7" s="97"/>
      <c r="BT7" s="98"/>
      <c r="BU7" s="97"/>
      <c r="BV7" s="97"/>
      <c r="BW7" s="97"/>
      <c r="BX7" s="97"/>
      <c r="BY7" s="97"/>
      <c r="BZ7" s="97"/>
      <c r="CA7" s="97"/>
      <c r="CB7" s="97"/>
      <c r="CC7" s="97"/>
      <c r="CD7" s="97"/>
      <c r="CE7" s="99"/>
      <c r="CF7" s="98"/>
      <c r="CG7" s="97"/>
      <c r="CH7" s="97"/>
      <c r="CI7" s="97"/>
      <c r="CJ7" s="97"/>
      <c r="CK7" s="97"/>
      <c r="CL7" s="97"/>
      <c r="CM7" s="97"/>
      <c r="CN7" s="97"/>
      <c r="CO7" s="97"/>
      <c r="CP7" s="97"/>
      <c r="CQ7" s="99"/>
      <c r="CR7" s="98"/>
      <c r="CS7" s="97"/>
      <c r="CT7" s="97"/>
      <c r="CU7" s="97"/>
      <c r="CV7" s="97"/>
      <c r="CW7" s="97"/>
      <c r="CX7" s="97"/>
      <c r="CY7" s="97"/>
      <c r="CZ7" s="97"/>
      <c r="DA7" s="97"/>
      <c r="DB7" s="97"/>
      <c r="DC7" s="99"/>
      <c r="DD7" s="98"/>
      <c r="DE7" s="97"/>
      <c r="DF7" s="97"/>
      <c r="DG7" s="97"/>
      <c r="DH7" s="97"/>
      <c r="DI7" s="97"/>
      <c r="DJ7" s="97"/>
      <c r="DK7" s="97"/>
      <c r="DL7" s="97"/>
      <c r="DM7" s="97"/>
      <c r="DN7" s="97"/>
      <c r="DO7" s="99"/>
      <c r="DP7" s="97">
        <v>100</v>
      </c>
      <c r="DQ7" s="97"/>
      <c r="DR7" s="97"/>
      <c r="DS7" s="97"/>
      <c r="DT7" s="97"/>
      <c r="DU7" s="97"/>
      <c r="DV7" s="97"/>
      <c r="DW7" s="97"/>
      <c r="DX7" s="97"/>
      <c r="DY7" s="97"/>
      <c r="DZ7" s="97"/>
      <c r="EA7" s="97"/>
      <c r="EB7" s="97"/>
      <c r="EC7" s="97"/>
      <c r="ED7" s="97"/>
      <c r="EE7" s="97">
        <v>100</v>
      </c>
      <c r="EF7" s="97"/>
      <c r="EG7" s="97"/>
      <c r="EH7" s="97"/>
      <c r="EI7" s="97"/>
      <c r="EJ7" s="97"/>
      <c r="EK7" s="97"/>
      <c r="EL7" s="97"/>
      <c r="EM7" s="97"/>
      <c r="EN7" s="97"/>
      <c r="EO7" s="97"/>
      <c r="EP7" s="97"/>
      <c r="EQ7" s="97"/>
      <c r="ER7" s="97"/>
      <c r="ES7" s="97"/>
      <c r="ET7" s="99"/>
      <c r="EU7" s="97"/>
      <c r="EV7" s="97"/>
      <c r="EW7" s="97"/>
      <c r="EX7" s="97"/>
      <c r="EY7" s="97"/>
      <c r="EZ7" s="97"/>
      <c r="FA7" s="97"/>
      <c r="FB7" s="97"/>
      <c r="FC7" s="97"/>
      <c r="FD7" s="97"/>
      <c r="FE7" s="97"/>
      <c r="FF7" s="97"/>
      <c r="FG7" s="98"/>
      <c r="FH7" s="97"/>
      <c r="FI7" s="97"/>
      <c r="FJ7" s="97"/>
      <c r="FK7" s="97"/>
      <c r="FL7" s="97"/>
      <c r="FM7" s="97"/>
      <c r="FN7" s="97"/>
      <c r="FO7" s="97"/>
      <c r="FP7" s="97"/>
      <c r="FQ7" s="97"/>
      <c r="FR7" s="97"/>
      <c r="FS7" s="97"/>
      <c r="FT7" s="98"/>
      <c r="FU7" s="99"/>
      <c r="FV7" s="97"/>
      <c r="FW7" s="97"/>
      <c r="FX7" s="97"/>
      <c r="FY7" s="97"/>
      <c r="FZ7" s="97"/>
      <c r="GA7" s="97"/>
      <c r="GB7" s="97"/>
      <c r="GC7" s="97"/>
      <c r="GD7" s="97"/>
      <c r="GE7" s="97"/>
      <c r="GF7" s="97"/>
      <c r="GG7" s="97"/>
      <c r="GH7" s="99"/>
      <c r="GI7" s="97"/>
      <c r="GJ7" s="97">
        <v>200</v>
      </c>
      <c r="GK7" s="97">
        <f>(200)*0.1</f>
        <v>20</v>
      </c>
      <c r="GL7" s="97">
        <v>200</v>
      </c>
      <c r="GM7" s="97">
        <v>200</v>
      </c>
      <c r="GN7" s="97">
        <v>200</v>
      </c>
      <c r="GO7" s="97">
        <v>200</v>
      </c>
      <c r="GP7" s="97">
        <v>200</v>
      </c>
      <c r="GQ7" s="97">
        <v>200</v>
      </c>
      <c r="GR7" s="97">
        <v>200</v>
      </c>
      <c r="GS7" s="97">
        <v>200</v>
      </c>
      <c r="GT7" s="97">
        <v>200</v>
      </c>
      <c r="GU7" s="98"/>
      <c r="GV7" s="97"/>
      <c r="GW7" s="97"/>
      <c r="GX7" s="97"/>
      <c r="GY7" s="97"/>
      <c r="GZ7" s="97"/>
      <c r="HA7" s="97"/>
      <c r="HB7" s="97"/>
      <c r="HC7" s="97"/>
      <c r="HD7" s="97"/>
      <c r="HE7" s="97"/>
      <c r="HF7" s="100"/>
    </row>
    <row r="8" spans="1:214" x14ac:dyDescent="0.25">
      <c r="DP8" s="87">
        <v>120</v>
      </c>
      <c r="EE8" s="87">
        <v>120</v>
      </c>
      <c r="GJ8" s="87">
        <v>200</v>
      </c>
      <c r="GK8" s="87">
        <v>0</v>
      </c>
      <c r="GL8" s="87">
        <v>200</v>
      </c>
      <c r="GM8" s="87">
        <v>200</v>
      </c>
      <c r="GN8" s="87">
        <v>200</v>
      </c>
      <c r="GO8" s="87">
        <v>200</v>
      </c>
      <c r="GP8" s="87">
        <v>200</v>
      </c>
      <c r="GQ8" s="87">
        <v>200</v>
      </c>
      <c r="GR8" s="87">
        <v>200</v>
      </c>
      <c r="GS8" s="87">
        <v>200</v>
      </c>
      <c r="GT8" s="87">
        <v>200</v>
      </c>
    </row>
    <row r="9" spans="1:214" x14ac:dyDescent="0.25">
      <c r="DP9" s="87">
        <v>140</v>
      </c>
      <c r="EE9" s="87">
        <v>140</v>
      </c>
      <c r="GJ9" s="87">
        <v>200</v>
      </c>
      <c r="GK9" s="87">
        <v>0</v>
      </c>
      <c r="GL9" s="87">
        <v>200</v>
      </c>
      <c r="GM9" s="87">
        <v>200</v>
      </c>
      <c r="GN9" s="87">
        <v>200</v>
      </c>
      <c r="GO9" s="87">
        <v>200</v>
      </c>
      <c r="GP9" s="87">
        <v>200</v>
      </c>
      <c r="GQ9" s="87">
        <v>200</v>
      </c>
      <c r="GR9" s="87">
        <v>200</v>
      </c>
      <c r="GS9" s="87">
        <v>200</v>
      </c>
      <c r="GT9" s="87">
        <v>200</v>
      </c>
    </row>
    <row r="10" spans="1:214" x14ac:dyDescent="0.25">
      <c r="DP10" s="87">
        <v>160</v>
      </c>
      <c r="EE10" s="87">
        <v>160</v>
      </c>
      <c r="EI10" s="90"/>
      <c r="GJ10" s="87">
        <v>200</v>
      </c>
      <c r="GK10" s="87">
        <v>0</v>
      </c>
      <c r="GL10" s="87">
        <v>200</v>
      </c>
      <c r="GM10" s="87">
        <v>200</v>
      </c>
      <c r="GN10" s="87">
        <v>200</v>
      </c>
      <c r="GO10" s="87">
        <v>200</v>
      </c>
      <c r="GP10" s="87">
        <v>200</v>
      </c>
      <c r="GQ10" s="87">
        <v>200</v>
      </c>
      <c r="GR10" s="87">
        <v>200</v>
      </c>
      <c r="GS10" s="87">
        <v>200</v>
      </c>
      <c r="GT10" s="87">
        <v>200</v>
      </c>
    </row>
    <row r="11" spans="1:214" x14ac:dyDescent="0.25">
      <c r="DP11" s="87">
        <v>180</v>
      </c>
      <c r="EE11" s="87">
        <v>200</v>
      </c>
      <c r="EI11" s="90"/>
      <c r="GJ11" s="87">
        <v>200</v>
      </c>
      <c r="GK11" s="87">
        <v>0</v>
      </c>
      <c r="GL11" s="87">
        <v>200</v>
      </c>
      <c r="GM11" s="87">
        <v>200</v>
      </c>
      <c r="GN11" s="87">
        <v>200</v>
      </c>
      <c r="GO11" s="87">
        <v>200</v>
      </c>
      <c r="GP11" s="87">
        <v>200</v>
      </c>
      <c r="GQ11" s="87">
        <v>200</v>
      </c>
      <c r="GR11" s="87">
        <v>200</v>
      </c>
      <c r="GS11" s="87">
        <v>200</v>
      </c>
      <c r="GT11" s="87">
        <v>200</v>
      </c>
    </row>
    <row r="12" spans="1:214" x14ac:dyDescent="0.25">
      <c r="DP12" s="87">
        <v>200</v>
      </c>
      <c r="EE12" s="87">
        <v>200</v>
      </c>
      <c r="EI12" s="90"/>
      <c r="GJ12" s="87">
        <v>200</v>
      </c>
      <c r="GK12" s="87">
        <f t="shared" ref="GK12:GK24" si="0">(200)*0.1</f>
        <v>20</v>
      </c>
      <c r="GL12" s="87">
        <v>200</v>
      </c>
      <c r="GM12" s="87">
        <v>200</v>
      </c>
      <c r="GN12" s="87">
        <v>200</v>
      </c>
      <c r="GO12" s="87">
        <v>200</v>
      </c>
      <c r="GP12" s="87">
        <v>200</v>
      </c>
      <c r="GQ12" s="87">
        <v>200</v>
      </c>
      <c r="GR12" s="87">
        <v>200</v>
      </c>
      <c r="GS12" s="87">
        <v>200</v>
      </c>
      <c r="GT12" s="87">
        <v>200</v>
      </c>
    </row>
    <row r="13" spans="1:214" x14ac:dyDescent="0.25">
      <c r="DP13" s="87">
        <v>220</v>
      </c>
      <c r="EE13" s="87">
        <v>220</v>
      </c>
      <c r="EI13" s="90"/>
      <c r="GJ13" s="87">
        <v>200</v>
      </c>
      <c r="GK13" s="87">
        <f t="shared" si="0"/>
        <v>20</v>
      </c>
      <c r="GL13" s="87">
        <v>200</v>
      </c>
      <c r="GM13" s="87">
        <v>200</v>
      </c>
      <c r="GN13" s="87">
        <v>200</v>
      </c>
      <c r="GO13" s="87">
        <v>200</v>
      </c>
      <c r="GP13" s="87">
        <v>200</v>
      </c>
      <c r="GQ13" s="87">
        <v>200</v>
      </c>
      <c r="GR13" s="87">
        <v>200</v>
      </c>
      <c r="GS13" s="87">
        <v>200</v>
      </c>
      <c r="GT13" s="87">
        <v>200</v>
      </c>
    </row>
    <row r="14" spans="1:214" x14ac:dyDescent="0.25">
      <c r="DP14" s="87">
        <v>240</v>
      </c>
      <c r="EE14" s="87">
        <v>240</v>
      </c>
      <c r="EI14" s="90"/>
      <c r="GJ14" s="87">
        <v>200</v>
      </c>
      <c r="GK14" s="87">
        <f t="shared" si="0"/>
        <v>20</v>
      </c>
      <c r="GL14" s="87">
        <v>200</v>
      </c>
      <c r="GM14" s="87">
        <v>200</v>
      </c>
      <c r="GN14" s="87">
        <v>200</v>
      </c>
      <c r="GO14" s="87">
        <v>200</v>
      </c>
      <c r="GP14" s="87">
        <v>200</v>
      </c>
      <c r="GQ14" s="87">
        <v>200</v>
      </c>
      <c r="GR14" s="87">
        <v>200</v>
      </c>
      <c r="GS14" s="87">
        <v>200</v>
      </c>
      <c r="GT14" s="87">
        <v>200</v>
      </c>
    </row>
    <row r="15" spans="1:214" x14ac:dyDescent="0.25">
      <c r="DP15" s="87">
        <v>260</v>
      </c>
      <c r="EE15" s="87">
        <v>260</v>
      </c>
      <c r="EI15" s="90"/>
      <c r="GJ15" s="87">
        <v>200</v>
      </c>
      <c r="GK15" s="87">
        <f t="shared" si="0"/>
        <v>20</v>
      </c>
      <c r="GL15" s="87">
        <v>200</v>
      </c>
      <c r="GM15" s="87">
        <v>200</v>
      </c>
      <c r="GN15" s="87">
        <v>200</v>
      </c>
      <c r="GO15" s="87">
        <v>200</v>
      </c>
      <c r="GP15" s="87">
        <v>200</v>
      </c>
      <c r="GQ15" s="87">
        <v>200</v>
      </c>
      <c r="GR15" s="87">
        <v>200</v>
      </c>
      <c r="GS15" s="87">
        <v>200</v>
      </c>
      <c r="GT15" s="87">
        <v>200</v>
      </c>
    </row>
    <row r="16" spans="1:214" x14ac:dyDescent="0.25">
      <c r="DP16" s="87">
        <v>280</v>
      </c>
      <c r="EE16" s="87">
        <v>280</v>
      </c>
      <c r="EI16" s="90"/>
      <c r="GJ16" s="87">
        <v>200</v>
      </c>
      <c r="GK16" s="87">
        <f t="shared" si="0"/>
        <v>20</v>
      </c>
      <c r="GL16" s="87">
        <v>200</v>
      </c>
      <c r="GM16" s="87">
        <v>200</v>
      </c>
      <c r="GN16" s="87">
        <v>200</v>
      </c>
      <c r="GO16" s="87">
        <v>200</v>
      </c>
      <c r="GP16" s="87">
        <v>200</v>
      </c>
      <c r="GQ16" s="87">
        <v>200</v>
      </c>
      <c r="GR16" s="87">
        <v>200</v>
      </c>
      <c r="GS16" s="87">
        <v>200</v>
      </c>
      <c r="GT16" s="87">
        <v>200</v>
      </c>
    </row>
    <row r="17" spans="120:202" x14ac:dyDescent="0.25">
      <c r="DP17" s="87">
        <v>300</v>
      </c>
      <c r="EE17" s="87">
        <v>300</v>
      </c>
      <c r="EI17" s="90"/>
      <c r="GJ17" s="87">
        <v>200</v>
      </c>
      <c r="GK17" s="87">
        <f t="shared" si="0"/>
        <v>20</v>
      </c>
      <c r="GL17" s="87">
        <v>200</v>
      </c>
      <c r="GM17" s="87">
        <v>200</v>
      </c>
      <c r="GN17" s="87">
        <v>200</v>
      </c>
      <c r="GO17" s="87">
        <v>200</v>
      </c>
      <c r="GP17" s="87">
        <v>200</v>
      </c>
      <c r="GQ17" s="87">
        <v>200</v>
      </c>
      <c r="GR17" s="87">
        <v>200</v>
      </c>
      <c r="GS17" s="87">
        <v>200</v>
      </c>
      <c r="GT17" s="87">
        <v>200</v>
      </c>
    </row>
    <row r="18" spans="120:202" x14ac:dyDescent="0.25">
      <c r="DP18" s="87">
        <v>320</v>
      </c>
      <c r="EE18" s="87">
        <v>320</v>
      </c>
      <c r="EI18" s="90"/>
      <c r="GJ18" s="87">
        <v>200</v>
      </c>
      <c r="GK18" s="87">
        <f t="shared" si="0"/>
        <v>20</v>
      </c>
      <c r="GL18" s="87">
        <v>200</v>
      </c>
      <c r="GM18" s="87">
        <v>200</v>
      </c>
      <c r="GN18" s="87">
        <v>200</v>
      </c>
      <c r="GO18" s="87">
        <v>200</v>
      </c>
      <c r="GP18" s="87">
        <v>200</v>
      </c>
      <c r="GQ18" s="87">
        <v>200</v>
      </c>
      <c r="GR18" s="87">
        <v>200</v>
      </c>
      <c r="GS18" s="87">
        <v>200</v>
      </c>
      <c r="GT18" s="87">
        <v>200</v>
      </c>
    </row>
    <row r="19" spans="120:202" x14ac:dyDescent="0.25">
      <c r="DP19" s="87">
        <v>340</v>
      </c>
      <c r="EE19" s="87">
        <v>340</v>
      </c>
      <c r="EI19" s="90"/>
      <c r="GJ19" s="87">
        <v>200</v>
      </c>
      <c r="GK19" s="87">
        <f t="shared" si="0"/>
        <v>20</v>
      </c>
      <c r="GL19" s="87">
        <v>200</v>
      </c>
      <c r="GM19" s="87">
        <v>200</v>
      </c>
      <c r="GN19" s="87">
        <v>200</v>
      </c>
      <c r="GO19" s="87">
        <v>200</v>
      </c>
      <c r="GP19" s="87">
        <v>200</v>
      </c>
      <c r="GQ19" s="87">
        <v>200</v>
      </c>
      <c r="GR19" s="87">
        <v>200</v>
      </c>
      <c r="GS19" s="87">
        <v>200</v>
      </c>
      <c r="GT19" s="87">
        <v>200</v>
      </c>
    </row>
    <row r="20" spans="120:202" x14ac:dyDescent="0.25">
      <c r="DP20" s="87">
        <v>360</v>
      </c>
      <c r="EE20" s="87">
        <v>360</v>
      </c>
      <c r="EI20" s="90"/>
      <c r="GJ20" s="87">
        <v>200</v>
      </c>
      <c r="GK20" s="87">
        <f t="shared" si="0"/>
        <v>20</v>
      </c>
      <c r="GL20" s="87">
        <v>200</v>
      </c>
      <c r="GM20" s="87">
        <v>200</v>
      </c>
      <c r="GN20" s="87">
        <v>200</v>
      </c>
      <c r="GO20" s="87">
        <v>200</v>
      </c>
      <c r="GP20" s="87">
        <v>200</v>
      </c>
      <c r="GQ20" s="87">
        <v>200</v>
      </c>
      <c r="GR20" s="87">
        <v>200</v>
      </c>
      <c r="GS20" s="87">
        <v>200</v>
      </c>
      <c r="GT20" s="87">
        <v>200</v>
      </c>
    </row>
    <row r="21" spans="120:202" x14ac:dyDescent="0.25">
      <c r="DP21" s="87">
        <v>380</v>
      </c>
      <c r="EE21" s="87">
        <v>380</v>
      </c>
      <c r="EI21" s="90"/>
      <c r="GJ21" s="87">
        <v>200</v>
      </c>
      <c r="GK21" s="87">
        <f t="shared" si="0"/>
        <v>20</v>
      </c>
      <c r="GL21" s="87">
        <v>200</v>
      </c>
      <c r="GM21" s="87">
        <v>200</v>
      </c>
      <c r="GN21" s="87">
        <v>200</v>
      </c>
      <c r="GO21" s="87">
        <v>200</v>
      </c>
      <c r="GP21" s="87">
        <v>200</v>
      </c>
      <c r="GQ21" s="87">
        <v>200</v>
      </c>
      <c r="GR21" s="87">
        <v>200</v>
      </c>
      <c r="GS21" s="87">
        <v>200</v>
      </c>
      <c r="GT21" s="87">
        <v>200</v>
      </c>
    </row>
    <row r="22" spans="120:202" x14ac:dyDescent="0.25">
      <c r="DP22" s="87">
        <v>400</v>
      </c>
      <c r="EE22" s="87">
        <v>400</v>
      </c>
      <c r="EI22" s="90"/>
      <c r="GJ22" s="87">
        <v>200</v>
      </c>
      <c r="GK22" s="87">
        <f t="shared" si="0"/>
        <v>20</v>
      </c>
      <c r="GL22" s="87">
        <v>200</v>
      </c>
      <c r="GM22" s="87">
        <v>200</v>
      </c>
      <c r="GN22" s="87">
        <v>200</v>
      </c>
      <c r="GO22" s="87">
        <v>200</v>
      </c>
      <c r="GP22" s="87">
        <v>200</v>
      </c>
      <c r="GQ22" s="87">
        <v>200</v>
      </c>
      <c r="GR22" s="87">
        <v>200</v>
      </c>
      <c r="GS22" s="87">
        <v>200</v>
      </c>
      <c r="GT22" s="87">
        <v>200</v>
      </c>
    </row>
    <row r="23" spans="120:202" x14ac:dyDescent="0.25">
      <c r="DP23" s="87">
        <v>420</v>
      </c>
      <c r="EE23" s="87">
        <v>420</v>
      </c>
      <c r="EI23" s="90"/>
      <c r="GJ23" s="87">
        <v>200</v>
      </c>
      <c r="GK23" s="87">
        <f t="shared" si="0"/>
        <v>20</v>
      </c>
      <c r="GL23" s="87">
        <v>200</v>
      </c>
      <c r="GM23" s="87">
        <v>200</v>
      </c>
      <c r="GN23" s="87">
        <v>200</v>
      </c>
      <c r="GO23" s="87">
        <v>200</v>
      </c>
      <c r="GP23" s="87">
        <v>200</v>
      </c>
      <c r="GQ23" s="87">
        <v>200</v>
      </c>
      <c r="GR23" s="87">
        <v>200</v>
      </c>
      <c r="GS23" s="87">
        <v>200</v>
      </c>
      <c r="GT23" s="87">
        <v>200</v>
      </c>
    </row>
    <row r="24" spans="120:202" x14ac:dyDescent="0.25">
      <c r="DP24" s="87">
        <v>440</v>
      </c>
      <c r="EE24" s="87">
        <v>440</v>
      </c>
      <c r="EI24" s="90"/>
      <c r="GJ24" s="87">
        <v>200</v>
      </c>
      <c r="GK24" s="87">
        <f t="shared" si="0"/>
        <v>20</v>
      </c>
      <c r="GL24" s="87">
        <v>200</v>
      </c>
      <c r="GM24" s="87">
        <v>200</v>
      </c>
      <c r="GN24" s="87">
        <v>200</v>
      </c>
      <c r="GO24" s="87">
        <v>200</v>
      </c>
      <c r="GP24" s="87">
        <v>200</v>
      </c>
      <c r="GQ24" s="87">
        <v>200</v>
      </c>
      <c r="GR24" s="87">
        <v>200</v>
      </c>
      <c r="GS24" s="87">
        <v>200</v>
      </c>
      <c r="GT24" s="87">
        <v>200</v>
      </c>
    </row>
    <row r="25" spans="120:202" x14ac:dyDescent="0.25">
      <c r="DP25" s="87">
        <v>460</v>
      </c>
      <c r="EE25" s="87">
        <v>460</v>
      </c>
      <c r="EI25" s="90"/>
    </row>
    <row r="26" spans="120:202" x14ac:dyDescent="0.25">
      <c r="DP26" s="87">
        <v>480</v>
      </c>
      <c r="EE26" s="87">
        <v>480</v>
      </c>
      <c r="EI26" s="90"/>
    </row>
    <row r="27" spans="120:202" x14ac:dyDescent="0.25">
      <c r="DP27" s="87">
        <v>500</v>
      </c>
      <c r="EE27" s="87">
        <v>500</v>
      </c>
      <c r="EI27" s="90"/>
    </row>
    <row r="28" spans="120:202" x14ac:dyDescent="0.25">
      <c r="DP28" s="87">
        <v>520</v>
      </c>
      <c r="EE28" s="87">
        <v>520</v>
      </c>
      <c r="EI28" s="90"/>
    </row>
    <row r="29" spans="120:202" x14ac:dyDescent="0.25">
      <c r="DP29" s="87">
        <v>540</v>
      </c>
      <c r="EE29" s="87">
        <v>540</v>
      </c>
      <c r="EI29" s="90"/>
    </row>
    <row r="30" spans="120:202" x14ac:dyDescent="0.25">
      <c r="DP30" s="87">
        <v>560</v>
      </c>
      <c r="EE30" s="87">
        <v>560</v>
      </c>
      <c r="EI30" s="90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tabSelected="1" workbookViewId="0">
      <selection activeCell="C8" sqref="C8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2020-06-30T09:45:10Z</dcterms:modified>
</cp:coreProperties>
</file>