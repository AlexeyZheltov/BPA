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001"/>
  <workbookPr codeName="ЭтаКнига"/>
  <mc:AlternateContent xmlns:mc="http://schemas.openxmlformats.org/markup-compatibility/2006">
    <mc:Choice Requires="x15">
      <x15ac:absPath xmlns:x15ac="http://schemas.microsoft.com/office/spreadsheetml/2010/11/ac" url="C:\Repos\BPA\"/>
    </mc:Choice>
  </mc:AlternateContent>
  <xr:revisionPtr revIDLastSave="0" documentId="13_ncr:1_{0F830D4D-2EDD-465B-B6D2-BA8B1FAF98D6}" xr6:coauthVersionLast="45" xr6:coauthVersionMax="45" xr10:uidLastSave="{00000000-0000-0000-0000-000000000000}"/>
  <bookViews>
    <workbookView xWindow="810" yWindow="-120" windowWidth="23310" windowHeight="13740" tabRatio="725" activeTab="4" xr2:uid="{00000000-000D-0000-FFFF-FFFF00000000}"/>
  </bookViews>
  <sheets>
    <sheet name="Товары" sheetId="5" r:id="rId1"/>
    <sheet name="Клиенты" sheetId="12" r:id="rId2"/>
    <sheet name="Структура ассортимента" sheetId="24" r:id="rId3"/>
    <sheet name="Скидки" sheetId="14" r:id="rId4"/>
    <sheet name="РРЦ" sheetId="8" r:id="rId5"/>
    <sheet name="Структура цен DIY" sheetId="9" r:id="rId6"/>
    <sheet name="Планирование" sheetId="15" r:id="rId7"/>
    <sheet name="Прайс лист" sheetId="19" r:id="rId8"/>
    <sheet name="Планирование нового года шаблон" sheetId="22" state="hidden" r:id="rId9"/>
    <sheet name="Exclusives" sheetId="20" r:id="rId10"/>
    <sheet name="Channel type" sheetId="16" r:id="rId11"/>
    <sheet name="Сертификация" sheetId="25" r:id="rId12"/>
    <sheet name="Customer status" sheetId="17" r:id="rId13"/>
    <sheet name="Продуктовые календари" sheetId="6" r:id="rId14"/>
    <sheet name="Статусы товаров" sheetId="4" r:id="rId15"/>
    <sheet name="STK" sheetId="7" r:id="rId16"/>
    <sheet name="Бюджетные курсы" sheetId="10" r:id="rId17"/>
    <sheet name="Эксклюзивность" sheetId="11" r:id="rId18"/>
    <sheet name="GardenChannel" sheetId="13" r:id="rId19"/>
  </sheets>
  <externalReferences>
    <externalReference r:id="rId20"/>
  </externalReferences>
  <definedNames>
    <definedName name="_xlnm._FilterDatabase" localSheetId="7" hidden="1">'Прайс лист'!$B$13:$W$13</definedName>
    <definedName name="Battery_Cat">[1]Arrays!$D$3:$D$8</definedName>
    <definedName name="Consumer_Brands_Net_Sales">'[1]Calcs HQV Group Data'!$O:$O</definedName>
    <definedName name="Corded_Cat">[1]Arrays!$D$10:$D$14</definedName>
    <definedName name="Country_sub_region_GDW">'[1]Calcs HQV Group Data'!$K:$K</definedName>
    <definedName name="Gardena_Net_Sales">'[1]Calcs HQV Group Data'!$N:$N</definedName>
    <definedName name="Group_Sales_Local_Currency">'[1]Calcs HQV Group Data'!$P:$P</definedName>
    <definedName name="HandTools_Cat">[1]Arrays!$D$16:$D$19</definedName>
    <definedName name="Husqvarna_Net_Sales">'[1]Calcs HQV Group Data'!$M:$M</definedName>
    <definedName name="Input_Battery_less_36">'[1]Input Market Data'!$Y:$Y</definedName>
    <definedName name="Input_battery_more_36">'[1]Input Market Data'!$Z:$Z</definedName>
    <definedName name="Input_Channel_Split_Dealer">'[1]Input Market Data'!$O:$O</definedName>
    <definedName name="Input_Channel_Split_Online">'[1]Input Market Data'!$Q:$Q</definedName>
    <definedName name="Input_Channel_Split_Retailer">'[1]Input Market Data'!$P:$P</definedName>
    <definedName name="Input_Market_1">'[1]Input Market Data'!$AB:$AB</definedName>
    <definedName name="Input_Market_1_name">'[1]Input Market Data'!$AC:$AC</definedName>
    <definedName name="Input_Market_2">'[1]Input Market Data'!$AD:$AD</definedName>
    <definedName name="Input_Market_2_name">'[1]Input Market Data'!$AE:$AE</definedName>
    <definedName name="Input_Market_3">'[1]Input Market Data'!$AF:$AF</definedName>
    <definedName name="Input_Market_3_name">'[1]Input Market Data'!$AG:$AG</definedName>
    <definedName name="Input_Market_4">'[1]Input Market Data'!$AH:$AH</definedName>
    <definedName name="Input_Market_4_name">'[1]Input Market Data'!$AI:$AI</definedName>
    <definedName name="Input_Market_5">'[1]Input Market Data'!$AJ:$AJ</definedName>
    <definedName name="Input_Market_5_name">'[1]Input Market Data'!$AK:$AK</definedName>
    <definedName name="Input_Market_Expected_CAGR">'[1]Input Market Data'!$H:$H</definedName>
    <definedName name="Input_Market_Private">'[1]Input Market Data'!$AL:$AL</definedName>
    <definedName name="Input_Market_Value_LC">'[1]Input Market Data'!$G:$G</definedName>
    <definedName name="Input_Market_Volume">'[1]Input Market Data'!$J:$J</definedName>
    <definedName name="Input_Use_Mass">'[1]Input Market Data'!$T:$T</definedName>
    <definedName name="Input_Use_Professional">'[1]Input Market Data'!$S:$S</definedName>
    <definedName name="Input_User_Consumer">'[1]Input Market Data'!$W:$W</definedName>
    <definedName name="Input_User_Professional">'[1]Input Market Data'!$V:$V</definedName>
    <definedName name="Input_Weather">'[1]Input Market Data'!$M:$M</definedName>
    <definedName name="Market_Value_LC">'[1]Calcs HQV Group Data'!$X:$X</definedName>
    <definedName name="New_Categories">'[1]Calcs HQV Group Data'!$F:$F</definedName>
    <definedName name="Parts_Accessories_Cat">[1]Arrays!$D$21:$D$30</definedName>
    <definedName name="PetrolHH_Cat">[1]Arrays!$D$32:$D$35</definedName>
    <definedName name="PlanningNYCell">'Планирование нового года шаблон'!$A$1</definedName>
    <definedName name="Robotic">[1]Arrays!$D$37:$D$38</definedName>
    <definedName name="SubCategory_3">'[1]Calcs HQV Group Data'!$G:$G</definedName>
    <definedName name="Volume_Group">'[1]Calcs HQV Group Data'!$AH:$AH</definedName>
    <definedName name="Volume_Market">'[1]Calcs HQV Group Data'!$AJ:$AJ</definedName>
    <definedName name="Watering_Cat">[1]Arrays!$D$40:$D$42</definedName>
    <definedName name="Wheeled_Cat">[1]Arrays!$D$44:$D$49</definedName>
    <definedName name="Year">'[1]Calcs HQV Group Data'!$B:$B</definedName>
    <definedName name="АТ7">Планирование_новый_год[ИТОГО Прогноз октябрь, шт.]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11" i="5" l="1"/>
  <c r="F12" i="5"/>
  <c r="F13" i="5"/>
  <c r="F14" i="5"/>
  <c r="F15" i="5"/>
  <c r="F16" i="5"/>
  <c r="F17" i="5"/>
  <c r="F18" i="5"/>
  <c r="F19" i="5"/>
  <c r="C11" i="5"/>
  <c r="D11" i="5"/>
  <c r="E11" i="5"/>
  <c r="G11" i="5"/>
  <c r="H11" i="5"/>
  <c r="J11" i="5"/>
  <c r="C12" i="5" l="1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214" i="5"/>
  <c r="C215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C246" i="5"/>
  <c r="C247" i="5"/>
  <c r="C248" i="5"/>
  <c r="C249" i="5"/>
  <c r="C250" i="5"/>
  <c r="C251" i="5"/>
  <c r="C252" i="5"/>
  <c r="C253" i="5"/>
  <c r="C254" i="5"/>
  <c r="C255" i="5"/>
  <c r="C256" i="5"/>
  <c r="C257" i="5"/>
  <c r="C258" i="5"/>
  <c r="C259" i="5"/>
  <c r="C260" i="5"/>
  <c r="C261" i="5"/>
  <c r="C262" i="5"/>
  <c r="C263" i="5"/>
  <c r="C264" i="5"/>
  <c r="C265" i="5"/>
  <c r="C266" i="5"/>
  <c r="C267" i="5"/>
  <c r="C268" i="5"/>
  <c r="C269" i="5"/>
  <c r="C270" i="5"/>
  <c r="C271" i="5"/>
  <c r="C272" i="5"/>
  <c r="C273" i="5"/>
  <c r="C274" i="5"/>
  <c r="C275" i="5"/>
  <c r="C276" i="5"/>
  <c r="C277" i="5"/>
  <c r="C278" i="5"/>
  <c r="C279" i="5"/>
  <c r="C280" i="5"/>
  <c r="C281" i="5"/>
  <c r="C282" i="5"/>
  <c r="C283" i="5"/>
  <c r="C284" i="5"/>
  <c r="C285" i="5"/>
  <c r="C286" i="5"/>
  <c r="C287" i="5"/>
  <c r="C288" i="5"/>
  <c r="C289" i="5"/>
  <c r="C290" i="5"/>
  <c r="C291" i="5"/>
  <c r="C292" i="5"/>
  <c r="C293" i="5"/>
  <c r="C294" i="5"/>
  <c r="C295" i="5"/>
  <c r="C296" i="5"/>
  <c r="C297" i="5"/>
  <c r="C298" i="5"/>
  <c r="C299" i="5"/>
  <c r="C300" i="5"/>
  <c r="C301" i="5"/>
  <c r="C302" i="5"/>
  <c r="C303" i="5"/>
  <c r="C304" i="5"/>
  <c r="C305" i="5"/>
  <c r="C306" i="5"/>
  <c r="C307" i="5"/>
  <c r="C308" i="5"/>
  <c r="C309" i="5"/>
  <c r="C310" i="5"/>
  <c r="C311" i="5"/>
  <c r="C312" i="5"/>
  <c r="C313" i="5"/>
  <c r="C314" i="5"/>
  <c r="C315" i="5"/>
  <c r="C316" i="5"/>
  <c r="C317" i="5"/>
  <c r="C318" i="5"/>
  <c r="C319" i="5"/>
  <c r="C320" i="5"/>
  <c r="C321" i="5"/>
  <c r="C322" i="5"/>
  <c r="C323" i="5"/>
  <c r="C324" i="5"/>
  <c r="C325" i="5"/>
  <c r="C326" i="5"/>
  <c r="C327" i="5"/>
  <c r="C328" i="5"/>
  <c r="C329" i="5"/>
  <c r="C330" i="5"/>
  <c r="C331" i="5"/>
  <c r="C332" i="5"/>
  <c r="C333" i="5"/>
  <c r="C334" i="5"/>
  <c r="C335" i="5"/>
  <c r="C336" i="5"/>
  <c r="C337" i="5"/>
  <c r="C338" i="5"/>
  <c r="C339" i="5"/>
  <c r="C340" i="5"/>
  <c r="C341" i="5"/>
  <c r="C342" i="5"/>
  <c r="C343" i="5"/>
  <c r="C344" i="5"/>
  <c r="C345" i="5"/>
  <c r="C346" i="5"/>
  <c r="C347" i="5"/>
  <c r="C348" i="5"/>
  <c r="C349" i="5"/>
  <c r="C350" i="5"/>
  <c r="C351" i="5"/>
  <c r="C352" i="5"/>
  <c r="C353" i="5"/>
  <c r="C354" i="5"/>
  <c r="C355" i="5"/>
  <c r="C356" i="5"/>
  <c r="C357" i="5"/>
  <c r="C358" i="5"/>
  <c r="C359" i="5"/>
  <c r="C360" i="5"/>
  <c r="C361" i="5"/>
  <c r="C362" i="5"/>
  <c r="C363" i="5"/>
  <c r="C364" i="5"/>
  <c r="C365" i="5"/>
  <c r="C366" i="5"/>
  <c r="C367" i="5"/>
  <c r="C368" i="5"/>
  <c r="C369" i="5"/>
  <c r="C370" i="5"/>
  <c r="C371" i="5"/>
  <c r="C372" i="5"/>
  <c r="C373" i="5"/>
  <c r="C374" i="5"/>
  <c r="C375" i="5"/>
  <c r="C376" i="5"/>
  <c r="C377" i="5"/>
  <c r="C378" i="5"/>
  <c r="C379" i="5"/>
  <c r="C380" i="5"/>
  <c r="C381" i="5"/>
  <c r="C382" i="5"/>
  <c r="C383" i="5"/>
  <c r="C384" i="5"/>
  <c r="C385" i="5"/>
  <c r="C386" i="5"/>
  <c r="C387" i="5"/>
  <c r="C388" i="5"/>
  <c r="C389" i="5"/>
  <c r="C390" i="5"/>
  <c r="C391" i="5"/>
  <c r="C392" i="5"/>
  <c r="C393" i="5"/>
  <c r="C394" i="5"/>
  <c r="C395" i="5"/>
  <c r="C396" i="5"/>
  <c r="C397" i="5"/>
  <c r="C398" i="5"/>
  <c r="C399" i="5"/>
  <c r="C400" i="5"/>
  <c r="C401" i="5"/>
  <c r="C402" i="5"/>
  <c r="C403" i="5"/>
  <c r="C404" i="5"/>
  <c r="C405" i="5"/>
  <c r="C406" i="5"/>
  <c r="C407" i="5"/>
  <c r="C408" i="5"/>
  <c r="C409" i="5"/>
  <c r="C410" i="5"/>
  <c r="C411" i="5"/>
  <c r="C412" i="5"/>
  <c r="C413" i="5"/>
  <c r="C414" i="5"/>
  <c r="C415" i="5"/>
  <c r="C416" i="5"/>
  <c r="C417" i="5"/>
  <c r="C418" i="5"/>
  <c r="C419" i="5"/>
  <c r="C420" i="5"/>
  <c r="C421" i="5"/>
  <c r="C422" i="5"/>
  <c r="C423" i="5"/>
  <c r="C424" i="5"/>
  <c r="C425" i="5"/>
  <c r="C426" i="5"/>
  <c r="C427" i="5"/>
  <c r="C428" i="5"/>
  <c r="C429" i="5"/>
  <c r="C430" i="5"/>
  <c r="C431" i="5"/>
  <c r="C432" i="5"/>
  <c r="C433" i="5"/>
  <c r="C434" i="5"/>
  <c r="C435" i="5"/>
  <c r="C436" i="5"/>
  <c r="C437" i="5"/>
  <c r="C438" i="5"/>
  <c r="C439" i="5"/>
  <c r="C440" i="5"/>
  <c r="C441" i="5"/>
  <c r="C442" i="5"/>
  <c r="C443" i="5"/>
  <c r="C444" i="5"/>
  <c r="C445" i="5"/>
  <c r="C446" i="5"/>
  <c r="C447" i="5"/>
  <c r="C448" i="5"/>
  <c r="C449" i="5"/>
  <c r="C450" i="5"/>
  <c r="C451" i="5"/>
  <c r="C452" i="5"/>
  <c r="C453" i="5"/>
  <c r="C454" i="5"/>
  <c r="C455" i="5"/>
  <c r="C456" i="5"/>
  <c r="C457" i="5"/>
  <c r="C458" i="5"/>
  <c r="C459" i="5"/>
  <c r="C460" i="5"/>
  <c r="C461" i="5"/>
  <c r="C462" i="5"/>
  <c r="C463" i="5"/>
  <c r="C464" i="5"/>
  <c r="C465" i="5"/>
  <c r="C466" i="5"/>
  <c r="C467" i="5"/>
  <c r="C468" i="5"/>
  <c r="C469" i="5"/>
  <c r="C470" i="5"/>
  <c r="C471" i="5"/>
  <c r="C472" i="5"/>
  <c r="C473" i="5"/>
  <c r="C474" i="5"/>
  <c r="C475" i="5"/>
  <c r="C476" i="5"/>
  <c r="C477" i="5"/>
  <c r="C478" i="5"/>
  <c r="C479" i="5"/>
  <c r="C480" i="5"/>
  <c r="C481" i="5"/>
  <c r="C482" i="5"/>
  <c r="C483" i="5"/>
  <c r="C484" i="5"/>
  <c r="C485" i="5"/>
  <c r="C486" i="5"/>
  <c r="C487" i="5"/>
  <c r="C488" i="5"/>
  <c r="C489" i="5"/>
  <c r="C490" i="5"/>
  <c r="C491" i="5"/>
  <c r="C492" i="5"/>
  <c r="C493" i="5"/>
  <c r="C494" i="5"/>
  <c r="C495" i="5"/>
  <c r="C496" i="5"/>
  <c r="C497" i="5"/>
  <c r="C498" i="5"/>
  <c r="C499" i="5"/>
  <c r="C500" i="5"/>
  <c r="C501" i="5"/>
  <c r="C502" i="5"/>
  <c r="C503" i="5"/>
  <c r="C504" i="5"/>
  <c r="C505" i="5"/>
  <c r="C506" i="5"/>
  <c r="C507" i="5"/>
  <c r="C508" i="5"/>
  <c r="C509" i="5"/>
  <c r="C510" i="5"/>
  <c r="C511" i="5"/>
  <c r="C512" i="5"/>
  <c r="C513" i="5"/>
  <c r="C514" i="5"/>
  <c r="C515" i="5"/>
  <c r="C516" i="5"/>
  <c r="C517" i="5"/>
  <c r="C518" i="5"/>
  <c r="C519" i="5"/>
  <c r="C520" i="5"/>
  <c r="C521" i="5"/>
  <c r="C522" i="5"/>
  <c r="C523" i="5"/>
  <c r="C524" i="5"/>
  <c r="C525" i="5"/>
  <c r="C526" i="5"/>
  <c r="C527" i="5"/>
  <c r="C528" i="5"/>
  <c r="C529" i="5"/>
  <c r="C530" i="5"/>
  <c r="C531" i="5"/>
  <c r="C532" i="5"/>
  <c r="C533" i="5"/>
  <c r="C534" i="5"/>
  <c r="C535" i="5"/>
  <c r="C536" i="5"/>
  <c r="C537" i="5"/>
  <c r="C538" i="5"/>
  <c r="C539" i="5"/>
  <c r="C540" i="5"/>
  <c r="C541" i="5"/>
  <c r="C542" i="5"/>
  <c r="C543" i="5"/>
  <c r="C544" i="5"/>
  <c r="C545" i="5"/>
  <c r="C546" i="5"/>
  <c r="C547" i="5"/>
  <c r="C548" i="5"/>
  <c r="C549" i="5"/>
  <c r="C550" i="5"/>
  <c r="C551" i="5"/>
  <c r="C552" i="5"/>
  <c r="C553" i="5"/>
  <c r="C554" i="5"/>
  <c r="C555" i="5"/>
  <c r="C556" i="5"/>
  <c r="C557" i="5"/>
  <c r="C558" i="5"/>
  <c r="C559" i="5"/>
  <c r="C560" i="5"/>
  <c r="C561" i="5"/>
  <c r="C562" i="5"/>
  <c r="C563" i="5"/>
  <c r="C564" i="5"/>
  <c r="C565" i="5"/>
  <c r="C566" i="5"/>
  <c r="C567" i="5"/>
  <c r="C568" i="5"/>
  <c r="C569" i="5"/>
  <c r="C570" i="5"/>
  <c r="C571" i="5"/>
  <c r="C572" i="5"/>
  <c r="C573" i="5"/>
  <c r="C574" i="5"/>
  <c r="C575" i="5"/>
  <c r="C576" i="5"/>
  <c r="C577" i="5"/>
  <c r="C578" i="5"/>
  <c r="C579" i="5"/>
  <c r="C580" i="5"/>
  <c r="C581" i="5"/>
  <c r="C582" i="5"/>
  <c r="C583" i="5"/>
  <c r="C584" i="5"/>
  <c r="C585" i="5"/>
  <c r="C586" i="5"/>
  <c r="C587" i="5"/>
  <c r="C588" i="5"/>
  <c r="C589" i="5"/>
  <c r="C590" i="5"/>
  <c r="C591" i="5"/>
  <c r="C592" i="5"/>
  <c r="C593" i="5"/>
  <c r="C594" i="5"/>
  <c r="C595" i="5"/>
  <c r="C596" i="5"/>
  <c r="C597" i="5"/>
  <c r="C598" i="5"/>
  <c r="C599" i="5"/>
  <c r="C600" i="5"/>
  <c r="C601" i="5"/>
  <c r="C602" i="5"/>
  <c r="C603" i="5"/>
  <c r="C604" i="5"/>
  <c r="C605" i="5"/>
  <c r="C606" i="5"/>
  <c r="C607" i="5"/>
  <c r="C608" i="5"/>
  <c r="C609" i="5"/>
  <c r="C610" i="5"/>
  <c r="C611" i="5"/>
  <c r="C612" i="5"/>
  <c r="C613" i="5"/>
  <c r="C614" i="5"/>
  <c r="C615" i="5"/>
  <c r="C616" i="5"/>
  <c r="C617" i="5"/>
  <c r="C618" i="5"/>
  <c r="C619" i="5"/>
  <c r="C620" i="5"/>
  <c r="C621" i="5"/>
  <c r="C622" i="5"/>
  <c r="C623" i="5"/>
  <c r="C624" i="5"/>
  <c r="C625" i="5"/>
  <c r="C626" i="5"/>
  <c r="C627" i="5"/>
  <c r="C628" i="5"/>
  <c r="C629" i="5"/>
  <c r="C630" i="5"/>
  <c r="C631" i="5"/>
  <c r="C632" i="5"/>
  <c r="C633" i="5"/>
  <c r="C634" i="5"/>
  <c r="C635" i="5"/>
  <c r="C636" i="5"/>
  <c r="C637" i="5"/>
  <c r="C638" i="5"/>
  <c r="C639" i="5"/>
  <c r="C640" i="5"/>
  <c r="C641" i="5"/>
  <c r="C642" i="5"/>
  <c r="C643" i="5"/>
  <c r="C644" i="5"/>
  <c r="C645" i="5"/>
  <c r="C646" i="5"/>
  <c r="C647" i="5"/>
  <c r="C648" i="5"/>
  <c r="C649" i="5"/>
  <c r="C650" i="5"/>
  <c r="C651" i="5"/>
  <c r="C652" i="5"/>
  <c r="C653" i="5"/>
  <c r="C654" i="5"/>
  <c r="C655" i="5"/>
  <c r="C656" i="5"/>
  <c r="C657" i="5"/>
  <c r="C658" i="5"/>
  <c r="C659" i="5"/>
  <c r="C660" i="5"/>
  <c r="C661" i="5"/>
  <c r="C662" i="5"/>
  <c r="C663" i="5"/>
  <c r="C664" i="5"/>
  <c r="C665" i="5"/>
  <c r="C666" i="5"/>
  <c r="C667" i="5"/>
  <c r="C668" i="5"/>
  <c r="C669" i="5"/>
  <c r="C670" i="5"/>
  <c r="C671" i="5"/>
  <c r="C672" i="5"/>
  <c r="C673" i="5"/>
  <c r="C674" i="5"/>
  <c r="C675" i="5"/>
  <c r="C676" i="5"/>
  <c r="C677" i="5"/>
  <c r="C678" i="5"/>
  <c r="C679" i="5"/>
  <c r="C680" i="5"/>
  <c r="C681" i="5"/>
  <c r="C682" i="5"/>
  <c r="C683" i="5"/>
  <c r="C684" i="5"/>
  <c r="C685" i="5"/>
  <c r="C686" i="5"/>
  <c r="C687" i="5"/>
  <c r="C688" i="5"/>
  <c r="C689" i="5"/>
  <c r="C690" i="5"/>
  <c r="C691" i="5"/>
  <c r="C692" i="5"/>
  <c r="C693" i="5"/>
  <c r="C694" i="5"/>
  <c r="C695" i="5"/>
  <c r="C696" i="5"/>
  <c r="C697" i="5"/>
  <c r="C698" i="5"/>
  <c r="C699" i="5"/>
  <c r="C700" i="5"/>
  <c r="C701" i="5"/>
  <c r="C702" i="5"/>
  <c r="C703" i="5"/>
  <c r="C704" i="5"/>
  <c r="C705" i="5"/>
  <c r="C706" i="5"/>
  <c r="C707" i="5"/>
  <c r="C708" i="5"/>
  <c r="C709" i="5"/>
  <c r="C710" i="5"/>
  <c r="C711" i="5"/>
  <c r="C712" i="5"/>
  <c r="C713" i="5"/>
  <c r="C714" i="5"/>
  <c r="C715" i="5"/>
  <c r="C716" i="5"/>
  <c r="C717" i="5"/>
  <c r="C718" i="5"/>
  <c r="C719" i="5"/>
  <c r="C720" i="5"/>
  <c r="C721" i="5"/>
  <c r="C722" i="5"/>
  <c r="C723" i="5"/>
  <c r="C724" i="5"/>
  <c r="C725" i="5"/>
  <c r="C726" i="5"/>
  <c r="C727" i="5"/>
  <c r="C728" i="5"/>
  <c r="C729" i="5"/>
  <c r="C730" i="5"/>
  <c r="C731" i="5"/>
  <c r="C732" i="5"/>
  <c r="C733" i="5"/>
  <c r="C734" i="5"/>
  <c r="C735" i="5"/>
  <c r="C736" i="5"/>
  <c r="C737" i="5"/>
  <c r="C738" i="5"/>
  <c r="C739" i="5"/>
  <c r="C740" i="5"/>
  <c r="C741" i="5"/>
  <c r="C742" i="5"/>
  <c r="C743" i="5"/>
  <c r="C744" i="5"/>
  <c r="C745" i="5"/>
  <c r="C746" i="5"/>
  <c r="C747" i="5"/>
  <c r="C748" i="5"/>
  <c r="C749" i="5"/>
  <c r="C750" i="5"/>
  <c r="C751" i="5"/>
  <c r="C752" i="5"/>
  <c r="C753" i="5"/>
  <c r="C754" i="5"/>
  <c r="C755" i="5"/>
  <c r="C756" i="5"/>
  <c r="C757" i="5"/>
  <c r="C758" i="5"/>
  <c r="C759" i="5"/>
  <c r="C760" i="5"/>
  <c r="C761" i="5"/>
  <c r="C762" i="5"/>
  <c r="C763" i="5"/>
  <c r="C764" i="5"/>
  <c r="C765" i="5"/>
  <c r="C766" i="5"/>
  <c r="C767" i="5"/>
  <c r="C768" i="5"/>
  <c r="C769" i="5"/>
  <c r="C770" i="5"/>
  <c r="C771" i="5"/>
  <c r="C772" i="5"/>
  <c r="C773" i="5"/>
  <c r="C774" i="5"/>
  <c r="C775" i="5"/>
  <c r="C776" i="5"/>
  <c r="C777" i="5"/>
  <c r="C778" i="5"/>
  <c r="C779" i="5"/>
  <c r="C780" i="5"/>
  <c r="C781" i="5"/>
  <c r="C782" i="5"/>
  <c r="C783" i="5"/>
  <c r="C784" i="5"/>
  <c r="C785" i="5"/>
  <c r="C786" i="5"/>
  <c r="C787" i="5"/>
  <c r="C788" i="5"/>
  <c r="C789" i="5"/>
  <c r="C790" i="5"/>
  <c r="C791" i="5"/>
  <c r="C792" i="5"/>
  <c r="C793" i="5"/>
  <c r="C794" i="5"/>
  <c r="C795" i="5"/>
  <c r="C796" i="5"/>
  <c r="C797" i="5"/>
  <c r="C798" i="5"/>
  <c r="C799" i="5"/>
  <c r="C800" i="5"/>
  <c r="C801" i="5"/>
  <c r="C802" i="5"/>
  <c r="C803" i="5"/>
  <c r="C804" i="5"/>
  <c r="C805" i="5"/>
  <c r="C806" i="5"/>
  <c r="C807" i="5"/>
  <c r="C808" i="5"/>
  <c r="C809" i="5"/>
  <c r="C810" i="5"/>
  <c r="C811" i="5"/>
  <c r="C812" i="5"/>
  <c r="C813" i="5"/>
  <c r="C814" i="5"/>
  <c r="C815" i="5"/>
  <c r="C816" i="5"/>
  <c r="C817" i="5"/>
  <c r="C818" i="5"/>
  <c r="C819" i="5"/>
  <c r="C820" i="5"/>
  <c r="C821" i="5"/>
  <c r="C822" i="5"/>
  <c r="C823" i="5"/>
  <c r="C824" i="5"/>
  <c r="C825" i="5"/>
  <c r="C826" i="5"/>
  <c r="C827" i="5"/>
  <c r="C828" i="5"/>
  <c r="C829" i="5"/>
  <c r="C830" i="5"/>
  <c r="C831" i="5"/>
  <c r="C832" i="5"/>
  <c r="C833" i="5"/>
  <c r="C834" i="5"/>
  <c r="C835" i="5"/>
  <c r="C836" i="5"/>
  <c r="C837" i="5"/>
  <c r="C838" i="5"/>
  <c r="C839" i="5"/>
  <c r="C840" i="5"/>
  <c r="C841" i="5"/>
  <c r="C842" i="5"/>
  <c r="C843" i="5"/>
  <c r="C844" i="5"/>
  <c r="C845" i="5"/>
  <c r="C846" i="5"/>
  <c r="C847" i="5"/>
  <c r="C848" i="5"/>
  <c r="C849" i="5"/>
  <c r="C850" i="5"/>
  <c r="C851" i="5"/>
  <c r="C852" i="5"/>
  <c r="C853" i="5"/>
  <c r="C854" i="5"/>
  <c r="C855" i="5"/>
  <c r="C856" i="5"/>
  <c r="C857" i="5"/>
  <c r="C858" i="5"/>
  <c r="C859" i="5"/>
  <c r="C860" i="5"/>
  <c r="C861" i="5"/>
  <c r="C862" i="5"/>
  <c r="C863" i="5"/>
  <c r="C864" i="5"/>
  <c r="C865" i="5"/>
  <c r="C866" i="5"/>
  <c r="C867" i="5"/>
  <c r="C868" i="5"/>
  <c r="C869" i="5"/>
  <c r="C870" i="5"/>
  <c r="C871" i="5"/>
  <c r="C872" i="5"/>
  <c r="C873" i="5"/>
  <c r="C874" i="5"/>
  <c r="C875" i="5"/>
  <c r="C876" i="5"/>
  <c r="C877" i="5"/>
  <c r="C878" i="5"/>
  <c r="C879" i="5"/>
  <c r="C880" i="5"/>
  <c r="C881" i="5"/>
  <c r="C882" i="5"/>
  <c r="C883" i="5"/>
  <c r="C884" i="5"/>
  <c r="C885" i="5"/>
  <c r="C886" i="5"/>
  <c r="C887" i="5"/>
  <c r="C888" i="5"/>
  <c r="C889" i="5"/>
  <c r="C890" i="5"/>
  <c r="C891" i="5"/>
  <c r="C892" i="5"/>
  <c r="C893" i="5"/>
  <c r="C894" i="5"/>
  <c r="C895" i="5"/>
  <c r="C896" i="5"/>
  <c r="C897" i="5"/>
  <c r="C898" i="5"/>
  <c r="C899" i="5"/>
  <c r="C900" i="5"/>
  <c r="C901" i="5"/>
  <c r="C902" i="5"/>
  <c r="C903" i="5"/>
  <c r="C904" i="5"/>
  <c r="C905" i="5"/>
  <c r="C906" i="5"/>
  <c r="C907" i="5"/>
  <c r="C908" i="5"/>
  <c r="C909" i="5"/>
  <c r="C910" i="5"/>
  <c r="C911" i="5"/>
  <c r="C912" i="5"/>
  <c r="C913" i="5"/>
  <c r="C914" i="5"/>
  <c r="C915" i="5"/>
  <c r="C916" i="5"/>
  <c r="C917" i="5"/>
  <c r="C918" i="5"/>
  <c r="C919" i="5"/>
  <c r="C920" i="5"/>
  <c r="C921" i="5"/>
  <c r="C922" i="5"/>
  <c r="C923" i="5"/>
  <c r="C924" i="5"/>
  <c r="C925" i="5"/>
  <c r="C926" i="5"/>
  <c r="C927" i="5"/>
  <c r="C928" i="5"/>
  <c r="C929" i="5"/>
  <c r="C930" i="5"/>
  <c r="C931" i="5"/>
  <c r="C932" i="5"/>
  <c r="C933" i="5"/>
  <c r="C934" i="5"/>
  <c r="C935" i="5"/>
  <c r="C936" i="5"/>
  <c r="C937" i="5"/>
  <c r="C938" i="5"/>
  <c r="C939" i="5"/>
  <c r="C940" i="5"/>
  <c r="C941" i="5"/>
  <c r="C942" i="5"/>
  <c r="C943" i="5"/>
  <c r="C944" i="5"/>
  <c r="C945" i="5"/>
  <c r="C946" i="5"/>
  <c r="C947" i="5"/>
  <c r="C948" i="5"/>
  <c r="C949" i="5"/>
  <c r="C950" i="5"/>
  <c r="C951" i="5"/>
  <c r="C952" i="5"/>
  <c r="C953" i="5"/>
  <c r="C954" i="5"/>
  <c r="C955" i="5"/>
  <c r="C956" i="5"/>
  <c r="C957" i="5"/>
  <c r="C958" i="5"/>
  <c r="C959" i="5"/>
  <c r="C960" i="5"/>
  <c r="C961" i="5"/>
  <c r="C962" i="5"/>
  <c r="C963" i="5"/>
  <c r="C964" i="5"/>
  <c r="C965" i="5"/>
  <c r="C966" i="5"/>
  <c r="C967" i="5"/>
  <c r="C968" i="5"/>
  <c r="C969" i="5"/>
  <c r="C970" i="5"/>
  <c r="C971" i="5"/>
  <c r="C972" i="5"/>
  <c r="C973" i="5"/>
  <c r="C974" i="5"/>
  <c r="C975" i="5"/>
  <c r="C976" i="5"/>
  <c r="C977" i="5"/>
  <c r="C978" i="5"/>
  <c r="C979" i="5"/>
  <c r="C980" i="5"/>
  <c r="C981" i="5"/>
  <c r="C982" i="5"/>
  <c r="C983" i="5"/>
  <c r="C984" i="5"/>
  <c r="C985" i="5"/>
  <c r="C986" i="5"/>
  <c r="C987" i="5"/>
  <c r="C988" i="5"/>
  <c r="C989" i="5"/>
  <c r="C990" i="5"/>
  <c r="C991" i="5"/>
  <c r="C992" i="5"/>
  <c r="C993" i="5"/>
  <c r="C994" i="5"/>
  <c r="C995" i="5"/>
  <c r="C996" i="5"/>
  <c r="C997" i="5"/>
  <c r="C998" i="5"/>
  <c r="C999" i="5"/>
  <c r="C1000" i="5"/>
  <c r="C1001" i="5"/>
  <c r="C1002" i="5"/>
  <c r="C1003" i="5"/>
  <c r="C1004" i="5"/>
  <c r="C1005" i="5"/>
  <c r="C1006" i="5"/>
  <c r="C1007" i="5"/>
  <c r="C1008" i="5"/>
  <c r="C1009" i="5"/>
  <c r="C1010" i="5"/>
  <c r="C1011" i="5"/>
  <c r="C1012" i="5"/>
  <c r="C1013" i="5"/>
  <c r="C1014" i="5"/>
  <c r="C1015" i="5"/>
  <c r="C1016" i="5"/>
  <c r="C1017" i="5"/>
  <c r="C1018" i="5"/>
  <c r="C1019" i="5"/>
  <c r="C1020" i="5"/>
  <c r="C1021" i="5"/>
  <c r="C1022" i="5"/>
  <c r="C1023" i="5"/>
  <c r="C1024" i="5"/>
  <c r="C1025" i="5"/>
  <c r="C1026" i="5"/>
  <c r="C1027" i="5"/>
  <c r="C1028" i="5"/>
  <c r="C1029" i="5"/>
  <c r="C1030" i="5"/>
  <c r="C1031" i="5"/>
  <c r="C1032" i="5"/>
  <c r="C1033" i="5"/>
  <c r="C1034" i="5"/>
  <c r="C1035" i="5"/>
  <c r="C1036" i="5"/>
  <c r="C1037" i="5"/>
  <c r="C1038" i="5"/>
  <c r="C1039" i="5"/>
  <c r="C1040" i="5"/>
  <c r="C1041" i="5"/>
  <c r="C1042" i="5"/>
  <c r="C1043" i="5"/>
  <c r="C1044" i="5"/>
  <c r="C1045" i="5"/>
  <c r="C1046" i="5"/>
  <c r="C1047" i="5"/>
  <c r="C1048" i="5"/>
  <c r="C1049" i="5"/>
  <c r="C1050" i="5"/>
  <c r="C1051" i="5"/>
  <c r="C1052" i="5"/>
  <c r="C1053" i="5"/>
  <c r="C1054" i="5"/>
  <c r="C1055" i="5"/>
  <c r="C1056" i="5"/>
  <c r="C1057" i="5"/>
  <c r="C1058" i="5"/>
  <c r="C1059" i="5"/>
  <c r="C1060" i="5"/>
  <c r="C1061" i="5"/>
  <c r="C1062" i="5"/>
  <c r="C1063" i="5"/>
  <c r="C1064" i="5"/>
  <c r="C1065" i="5"/>
  <c r="C1066" i="5"/>
  <c r="C1067" i="5"/>
  <c r="C1068" i="5"/>
  <c r="C1069" i="5"/>
  <c r="C1070" i="5"/>
  <c r="C1071" i="5"/>
  <c r="C1072" i="5"/>
  <c r="C1073" i="5"/>
  <c r="C1074" i="5"/>
  <c r="C1075" i="5"/>
  <c r="C1076" i="5"/>
  <c r="C1077" i="5"/>
  <c r="C1078" i="5"/>
  <c r="C1079" i="5"/>
  <c r="C1080" i="5"/>
  <c r="C1081" i="5"/>
  <c r="C1082" i="5"/>
  <c r="C1083" i="5"/>
  <c r="C1084" i="5"/>
  <c r="C1085" i="5"/>
  <c r="C1086" i="5"/>
  <c r="C1087" i="5"/>
  <c r="C1088" i="5"/>
  <c r="C1089" i="5"/>
  <c r="C1090" i="5"/>
  <c r="C1091" i="5"/>
  <c r="C1092" i="5"/>
  <c r="C1093" i="5"/>
  <c r="C1094" i="5"/>
  <c r="C1095" i="5"/>
  <c r="C1096" i="5"/>
  <c r="C1097" i="5"/>
  <c r="C1098" i="5"/>
  <c r="C1099" i="5"/>
  <c r="C1100" i="5"/>
  <c r="C1101" i="5"/>
  <c r="C1102" i="5"/>
  <c r="C1103" i="5"/>
  <c r="C1104" i="5"/>
  <c r="C1105" i="5"/>
  <c r="C1106" i="5"/>
  <c r="C1107" i="5"/>
  <c r="C1108" i="5"/>
  <c r="C1109" i="5"/>
  <c r="C1110" i="5"/>
  <c r="C1111" i="5"/>
  <c r="C1112" i="5"/>
  <c r="C1113" i="5"/>
  <c r="C1114" i="5"/>
  <c r="C1115" i="5"/>
  <c r="C1116" i="5"/>
  <c r="C1117" i="5"/>
  <c r="C1118" i="5"/>
  <c r="C1119" i="5"/>
  <c r="C1120" i="5"/>
  <c r="C1121" i="5"/>
  <c r="C1122" i="5"/>
  <c r="C1123" i="5"/>
  <c r="C1124" i="5"/>
  <c r="C1125" i="5"/>
  <c r="C1126" i="5"/>
  <c r="C1127" i="5"/>
  <c r="C1128" i="5"/>
  <c r="C1129" i="5"/>
  <c r="C1130" i="5"/>
  <c r="C1131" i="5"/>
  <c r="C1132" i="5"/>
  <c r="C1133" i="5"/>
  <c r="C1134" i="5"/>
  <c r="C1135" i="5"/>
  <c r="C1136" i="5"/>
  <c r="C1137" i="5"/>
  <c r="C1138" i="5"/>
  <c r="C1139" i="5"/>
  <c r="C1140" i="5"/>
  <c r="C1141" i="5"/>
  <c r="C1142" i="5"/>
  <c r="C1143" i="5"/>
  <c r="C1144" i="5"/>
  <c r="C1145" i="5"/>
  <c r="C1146" i="5"/>
  <c r="C1147" i="5"/>
  <c r="C1148" i="5"/>
  <c r="C1149" i="5"/>
  <c r="C1150" i="5"/>
  <c r="C1151" i="5"/>
  <c r="C1152" i="5"/>
  <c r="C1153" i="5"/>
  <c r="C1154" i="5"/>
  <c r="C1155" i="5"/>
  <c r="C1156" i="5"/>
  <c r="C1157" i="5"/>
  <c r="C1158" i="5"/>
  <c r="C1159" i="5"/>
  <c r="C1160" i="5"/>
  <c r="C1161" i="5"/>
  <c r="C1162" i="5"/>
  <c r="C1163" i="5"/>
  <c r="C1164" i="5"/>
  <c r="C1165" i="5"/>
  <c r="C1166" i="5"/>
  <c r="C1167" i="5"/>
  <c r="C1168" i="5"/>
  <c r="C1169" i="5"/>
  <c r="C1170" i="5"/>
  <c r="C1171" i="5"/>
  <c r="C1172" i="5"/>
  <c r="C1173" i="5"/>
  <c r="C1174" i="5"/>
  <c r="C1175" i="5"/>
  <c r="C1176" i="5"/>
  <c r="C1177" i="5"/>
  <c r="C1178" i="5"/>
  <c r="C1179" i="5"/>
  <c r="C1180" i="5"/>
  <c r="C1181" i="5"/>
  <c r="C1182" i="5"/>
  <c r="C1183" i="5"/>
  <c r="C1184" i="5"/>
  <c r="C1185" i="5"/>
  <c r="C1186" i="5"/>
  <c r="C1187" i="5"/>
  <c r="C1188" i="5"/>
  <c r="C1189" i="5"/>
  <c r="C1190" i="5"/>
  <c r="C1191" i="5"/>
  <c r="C1192" i="5"/>
  <c r="C1193" i="5"/>
  <c r="C1194" i="5"/>
  <c r="C1195" i="5"/>
  <c r="C1196" i="5"/>
  <c r="C1197" i="5"/>
  <c r="C1198" i="5"/>
  <c r="C1199" i="5"/>
  <c r="C1200" i="5"/>
  <c r="C1201" i="5"/>
  <c r="C1202" i="5"/>
  <c r="C1203" i="5"/>
  <c r="C1204" i="5"/>
  <c r="C1205" i="5"/>
  <c r="C1206" i="5"/>
  <c r="C1207" i="5"/>
  <c r="C1208" i="5"/>
  <c r="C1209" i="5"/>
  <c r="C1210" i="5"/>
  <c r="C1211" i="5"/>
  <c r="C1212" i="5"/>
  <c r="C1213" i="5"/>
  <c r="C1214" i="5"/>
  <c r="C1215" i="5"/>
  <c r="C1216" i="5"/>
  <c r="C1217" i="5"/>
  <c r="C1218" i="5"/>
  <c r="C1219" i="5"/>
  <c r="C1220" i="5"/>
  <c r="C1221" i="5"/>
  <c r="C1222" i="5"/>
  <c r="C1223" i="5"/>
  <c r="C1224" i="5"/>
  <c r="C1225" i="5"/>
  <c r="C1226" i="5"/>
  <c r="C1227" i="5"/>
  <c r="C1228" i="5"/>
  <c r="C1229" i="5"/>
  <c r="C1230" i="5"/>
  <c r="C1231" i="5"/>
  <c r="C1232" i="5"/>
  <c r="C1233" i="5"/>
  <c r="C1234" i="5"/>
  <c r="C1235" i="5"/>
  <c r="C1236" i="5"/>
  <c r="C1237" i="5"/>
  <c r="C1238" i="5"/>
  <c r="C1239" i="5"/>
  <c r="C1240" i="5"/>
  <c r="C1241" i="5"/>
  <c r="C1242" i="5"/>
  <c r="C1243" i="5"/>
  <c r="C1244" i="5"/>
  <c r="C1245" i="5"/>
  <c r="C1246" i="5"/>
  <c r="C1247" i="5"/>
  <c r="C1248" i="5"/>
  <c r="C1249" i="5"/>
  <c r="C1250" i="5"/>
  <c r="C1251" i="5"/>
  <c r="C1252" i="5"/>
  <c r="C1253" i="5"/>
  <c r="C1254" i="5"/>
  <c r="C1255" i="5"/>
  <c r="C1256" i="5"/>
  <c r="C1257" i="5"/>
  <c r="C1258" i="5"/>
  <c r="C1259" i="5"/>
  <c r="C1260" i="5"/>
  <c r="C1261" i="5"/>
  <c r="C1262" i="5"/>
  <c r="C1263" i="5"/>
  <c r="C1264" i="5"/>
  <c r="C1265" i="5"/>
  <c r="C1266" i="5"/>
  <c r="C1267" i="5"/>
  <c r="C1268" i="5"/>
  <c r="C1269" i="5"/>
  <c r="C1270" i="5"/>
  <c r="C1271" i="5"/>
  <c r="C1272" i="5"/>
  <c r="C1273" i="5"/>
  <c r="C1274" i="5"/>
  <c r="C1275" i="5"/>
  <c r="C1276" i="5"/>
  <c r="C1277" i="5"/>
  <c r="C1278" i="5"/>
  <c r="C1279" i="5"/>
  <c r="C1280" i="5"/>
  <c r="C1281" i="5"/>
  <c r="C1282" i="5"/>
  <c r="C1283" i="5"/>
  <c r="C1284" i="5"/>
  <c r="C1285" i="5"/>
  <c r="C1286" i="5"/>
  <c r="C1287" i="5"/>
  <c r="C1288" i="5"/>
  <c r="C1289" i="5"/>
  <c r="C1290" i="5"/>
  <c r="C1291" i="5"/>
  <c r="C1292" i="5"/>
  <c r="C1293" i="5"/>
  <c r="C1294" i="5"/>
  <c r="C1295" i="5"/>
  <c r="C1296" i="5"/>
  <c r="C1297" i="5"/>
  <c r="C1298" i="5"/>
  <c r="C1299" i="5"/>
  <c r="C1300" i="5"/>
  <c r="C1301" i="5"/>
  <c r="C1302" i="5"/>
  <c r="C1303" i="5"/>
  <c r="C1304" i="5"/>
  <c r="C1305" i="5"/>
  <c r="C1306" i="5"/>
  <c r="C1307" i="5"/>
  <c r="C1308" i="5"/>
  <c r="C1309" i="5"/>
  <c r="C1310" i="5"/>
  <c r="C1311" i="5"/>
  <c r="C1312" i="5"/>
  <c r="C1313" i="5"/>
  <c r="C1314" i="5"/>
  <c r="C1315" i="5"/>
  <c r="C1316" i="5"/>
  <c r="C1317" i="5"/>
  <c r="C1318" i="5"/>
  <c r="C1319" i="5"/>
  <c r="C1320" i="5"/>
  <c r="C1321" i="5"/>
  <c r="C1322" i="5"/>
  <c r="C1323" i="5"/>
  <c r="C1324" i="5"/>
  <c r="C1325" i="5"/>
  <c r="C1326" i="5"/>
  <c r="C1327" i="5"/>
  <c r="C1328" i="5"/>
  <c r="C1329" i="5"/>
  <c r="C1330" i="5"/>
  <c r="C1331" i="5"/>
  <c r="C1332" i="5"/>
  <c r="C1333" i="5"/>
  <c r="C1334" i="5"/>
  <c r="C1335" i="5"/>
  <c r="C1336" i="5"/>
  <c r="C1337" i="5"/>
  <c r="C1338" i="5"/>
  <c r="C1339" i="5"/>
  <c r="C1340" i="5"/>
  <c r="C1341" i="5"/>
  <c r="C1342" i="5"/>
  <c r="C1343" i="5"/>
  <c r="C1344" i="5"/>
  <c r="C1345" i="5"/>
  <c r="C1346" i="5"/>
  <c r="C1347" i="5"/>
  <c r="C1348" i="5"/>
  <c r="C1349" i="5"/>
  <c r="C1350" i="5"/>
  <c r="C1351" i="5"/>
  <c r="C1352" i="5"/>
  <c r="C1353" i="5"/>
  <c r="C1354" i="5"/>
  <c r="C1355" i="5"/>
  <c r="C1356" i="5"/>
  <c r="C1357" i="5"/>
  <c r="C1358" i="5"/>
  <c r="C1359" i="5"/>
  <c r="C1360" i="5"/>
  <c r="C1361" i="5"/>
  <c r="C1362" i="5"/>
  <c r="C1363" i="5"/>
  <c r="C1364" i="5"/>
  <c r="C1365" i="5"/>
  <c r="C1366" i="5"/>
  <c r="C1367" i="5"/>
  <c r="C1368" i="5"/>
  <c r="C1369" i="5"/>
  <c r="C1370" i="5"/>
  <c r="C1371" i="5"/>
  <c r="C1372" i="5"/>
  <c r="C1373" i="5"/>
  <c r="C1374" i="5"/>
  <c r="C1375" i="5"/>
  <c r="C1376" i="5"/>
  <c r="C1377" i="5"/>
  <c r="C1378" i="5"/>
  <c r="C1379" i="5"/>
  <c r="C1380" i="5"/>
  <c r="C1381" i="5"/>
  <c r="C1382" i="5"/>
  <c r="C1383" i="5"/>
  <c r="C1384" i="5"/>
  <c r="C1385" i="5"/>
  <c r="C1386" i="5"/>
  <c r="C1387" i="5"/>
  <c r="C1388" i="5"/>
  <c r="C1389" i="5"/>
  <c r="C1390" i="5"/>
  <c r="C1391" i="5"/>
  <c r="C1392" i="5"/>
  <c r="C1393" i="5"/>
  <c r="C1394" i="5"/>
  <c r="C1395" i="5"/>
  <c r="C1396" i="5"/>
  <c r="C1397" i="5"/>
  <c r="C1398" i="5"/>
  <c r="C1399" i="5"/>
  <c r="C1400" i="5"/>
  <c r="C1401" i="5"/>
  <c r="C1402" i="5"/>
  <c r="C1403" i="5"/>
  <c r="C1404" i="5"/>
  <c r="C1405" i="5"/>
  <c r="C1406" i="5"/>
  <c r="C1407" i="5"/>
  <c r="C1408" i="5"/>
  <c r="C1409" i="5"/>
  <c r="C1410" i="5"/>
  <c r="C1411" i="5"/>
  <c r="C1412" i="5"/>
  <c r="C1413" i="5"/>
  <c r="C1414" i="5"/>
  <c r="C1415" i="5"/>
  <c r="C1416" i="5"/>
  <c r="C1417" i="5"/>
  <c r="C1418" i="5"/>
  <c r="C1419" i="5"/>
  <c r="C1420" i="5"/>
  <c r="C1421" i="5"/>
  <c r="C1422" i="5"/>
  <c r="C1423" i="5"/>
  <c r="C1424" i="5"/>
  <c r="C1425" i="5"/>
  <c r="C1426" i="5"/>
  <c r="C1427" i="5"/>
  <c r="C1428" i="5"/>
  <c r="C1429" i="5"/>
  <c r="C1430" i="5"/>
  <c r="C1431" i="5"/>
  <c r="C1432" i="5"/>
  <c r="C1433" i="5"/>
  <c r="C1434" i="5"/>
  <c r="C1435" i="5"/>
  <c r="C1436" i="5"/>
  <c r="C1437" i="5"/>
  <c r="C1438" i="5"/>
  <c r="C1439" i="5"/>
  <c r="C1440" i="5"/>
  <c r="C1441" i="5"/>
  <c r="C1442" i="5"/>
  <c r="C1443" i="5"/>
  <c r="C1444" i="5"/>
  <c r="C1445" i="5"/>
  <c r="C1446" i="5"/>
  <c r="C1447" i="5"/>
  <c r="C1448" i="5"/>
  <c r="C1449" i="5"/>
  <c r="C1450" i="5"/>
  <c r="C1451" i="5"/>
  <c r="C1452" i="5"/>
  <c r="C1453" i="5"/>
  <c r="C1454" i="5"/>
  <c r="C1455" i="5"/>
  <c r="C1456" i="5"/>
  <c r="C1457" i="5"/>
  <c r="C1458" i="5"/>
  <c r="C1459" i="5"/>
  <c r="C1460" i="5"/>
  <c r="C1461" i="5"/>
  <c r="C1462" i="5"/>
  <c r="C1463" i="5"/>
  <c r="C1464" i="5"/>
  <c r="C1465" i="5"/>
  <c r="C1466" i="5"/>
  <c r="C1467" i="5"/>
  <c r="C1468" i="5"/>
  <c r="C1469" i="5"/>
  <c r="C1470" i="5"/>
  <c r="C1471" i="5"/>
  <c r="C1472" i="5"/>
  <c r="C1473" i="5"/>
  <c r="C1474" i="5"/>
  <c r="C1475" i="5"/>
  <c r="C1476" i="5"/>
  <c r="C1477" i="5"/>
  <c r="C1478" i="5"/>
  <c r="C1479" i="5"/>
  <c r="C1480" i="5"/>
  <c r="C1481" i="5"/>
  <c r="C1482" i="5"/>
  <c r="C1483" i="5"/>
  <c r="C1484" i="5"/>
  <c r="C1485" i="5"/>
  <c r="C1486" i="5"/>
  <c r="C1487" i="5"/>
  <c r="C1488" i="5"/>
  <c r="C1489" i="5"/>
  <c r="C1490" i="5"/>
  <c r="C1491" i="5"/>
  <c r="C1492" i="5"/>
  <c r="C1493" i="5"/>
  <c r="C1494" i="5"/>
  <c r="C1495" i="5"/>
  <c r="C1496" i="5"/>
  <c r="C1497" i="5"/>
  <c r="C1498" i="5"/>
  <c r="C1499" i="5"/>
  <c r="C1500" i="5"/>
  <c r="C1501" i="5"/>
  <c r="C1502" i="5"/>
  <c r="C1503" i="5"/>
  <c r="C1504" i="5"/>
  <c r="C1505" i="5"/>
  <c r="C1506" i="5"/>
  <c r="C1507" i="5"/>
  <c r="C1508" i="5"/>
  <c r="C1509" i="5"/>
  <c r="C1510" i="5"/>
  <c r="C1511" i="5"/>
  <c r="C1512" i="5"/>
  <c r="C1513" i="5"/>
  <c r="C1514" i="5"/>
  <c r="C1515" i="5"/>
  <c r="C1516" i="5"/>
  <c r="C1517" i="5"/>
  <c r="C1518" i="5"/>
  <c r="C1519" i="5"/>
  <c r="C1520" i="5"/>
  <c r="C1521" i="5"/>
  <c r="C1522" i="5"/>
  <c r="C1523" i="5"/>
  <c r="C1524" i="5"/>
  <c r="C1525" i="5"/>
  <c r="C1526" i="5"/>
  <c r="C1527" i="5"/>
  <c r="C1528" i="5"/>
  <c r="C1529" i="5"/>
  <c r="C1530" i="5"/>
  <c r="C1531" i="5"/>
  <c r="C1532" i="5"/>
  <c r="C1533" i="5"/>
  <c r="C1534" i="5"/>
  <c r="C1535" i="5"/>
  <c r="C1536" i="5"/>
  <c r="C1537" i="5"/>
  <c r="C1538" i="5"/>
  <c r="C1539" i="5"/>
  <c r="C1540" i="5"/>
  <c r="C1541" i="5"/>
  <c r="C1542" i="5"/>
  <c r="C1543" i="5"/>
  <c r="C1544" i="5"/>
  <c r="C1545" i="5"/>
  <c r="C1546" i="5"/>
  <c r="C1547" i="5"/>
  <c r="C1548" i="5"/>
  <c r="C1549" i="5"/>
  <c r="C1550" i="5"/>
  <c r="C1551" i="5"/>
  <c r="C1552" i="5"/>
  <c r="C1553" i="5"/>
  <c r="C1554" i="5"/>
  <c r="C1555" i="5"/>
  <c r="C1556" i="5"/>
  <c r="C1557" i="5"/>
  <c r="C1558" i="5"/>
  <c r="C1559" i="5"/>
  <c r="C1560" i="5"/>
  <c r="C1561" i="5"/>
  <c r="C1562" i="5"/>
  <c r="C1563" i="5"/>
  <c r="C1564" i="5"/>
  <c r="C1565" i="5"/>
  <c r="C1566" i="5"/>
  <c r="C1567" i="5"/>
  <c r="C1568" i="5"/>
  <c r="C1569" i="5"/>
  <c r="C1570" i="5"/>
  <c r="C1571" i="5"/>
  <c r="C1572" i="5"/>
  <c r="C1573" i="5"/>
  <c r="C1574" i="5"/>
  <c r="C1575" i="5"/>
  <c r="C1576" i="5"/>
  <c r="C1577" i="5"/>
  <c r="C1578" i="5"/>
  <c r="C1579" i="5"/>
  <c r="C1580" i="5"/>
  <c r="C1581" i="5"/>
  <c r="C1582" i="5"/>
  <c r="C1583" i="5"/>
  <c r="C1584" i="5"/>
  <c r="C1585" i="5"/>
  <c r="C1586" i="5"/>
  <c r="C1587" i="5"/>
  <c r="C1588" i="5"/>
  <c r="C1589" i="5"/>
  <c r="C1590" i="5"/>
  <c r="C1591" i="5"/>
  <c r="C1592" i="5"/>
  <c r="C1593" i="5"/>
  <c r="C1594" i="5"/>
  <c r="C1595" i="5"/>
  <c r="C1596" i="5"/>
  <c r="C1597" i="5"/>
  <c r="C1598" i="5"/>
  <c r="C1599" i="5"/>
  <c r="C1600" i="5"/>
  <c r="C1601" i="5"/>
  <c r="C1602" i="5"/>
  <c r="C1603" i="5"/>
  <c r="C1604" i="5"/>
  <c r="C1605" i="5"/>
  <c r="C1606" i="5"/>
  <c r="C1607" i="5"/>
  <c r="C1608" i="5"/>
  <c r="C1609" i="5"/>
  <c r="C1610" i="5"/>
  <c r="C1611" i="5"/>
  <c r="C1612" i="5"/>
  <c r="C1613" i="5"/>
  <c r="C1614" i="5"/>
  <c r="C1615" i="5"/>
  <c r="C1616" i="5"/>
  <c r="C1617" i="5"/>
  <c r="C1618" i="5"/>
  <c r="C1619" i="5"/>
  <c r="C1620" i="5"/>
  <c r="C1621" i="5"/>
  <c r="C1622" i="5"/>
  <c r="C1623" i="5"/>
  <c r="C1624" i="5"/>
  <c r="C1625" i="5"/>
  <c r="C1626" i="5"/>
  <c r="C1627" i="5"/>
  <c r="C1628" i="5"/>
  <c r="C1629" i="5"/>
  <c r="C1630" i="5"/>
  <c r="C1631" i="5"/>
  <c r="C1632" i="5"/>
  <c r="C1633" i="5"/>
  <c r="C1634" i="5"/>
  <c r="C1635" i="5"/>
  <c r="C1636" i="5"/>
  <c r="C1637" i="5"/>
  <c r="C1638" i="5"/>
  <c r="C1639" i="5"/>
  <c r="C1640" i="5"/>
  <c r="C1641" i="5"/>
  <c r="C1642" i="5"/>
  <c r="C1643" i="5"/>
  <c r="C1644" i="5"/>
  <c r="C1645" i="5"/>
  <c r="C1646" i="5"/>
  <c r="C1647" i="5"/>
  <c r="C1648" i="5"/>
  <c r="C1649" i="5"/>
  <c r="C1650" i="5"/>
  <c r="C1651" i="5"/>
  <c r="C1652" i="5"/>
  <c r="C1653" i="5"/>
  <c r="C1654" i="5"/>
  <c r="C1655" i="5"/>
  <c r="C1656" i="5"/>
  <c r="C1657" i="5"/>
  <c r="C1658" i="5"/>
  <c r="C1659" i="5"/>
  <c r="C1660" i="5"/>
  <c r="C1661" i="5"/>
  <c r="C1662" i="5"/>
  <c r="C1663" i="5"/>
  <c r="C1664" i="5"/>
  <c r="C1665" i="5"/>
  <c r="C1666" i="5"/>
  <c r="C1667" i="5"/>
  <c r="C1668" i="5"/>
  <c r="C1669" i="5"/>
  <c r="C1670" i="5"/>
  <c r="C1671" i="5"/>
  <c r="C1672" i="5"/>
  <c r="C1673" i="5"/>
  <c r="C1674" i="5"/>
  <c r="C1675" i="5"/>
  <c r="C1676" i="5"/>
  <c r="C1677" i="5"/>
  <c r="C1678" i="5"/>
  <c r="C1679" i="5"/>
  <c r="C1680" i="5"/>
  <c r="C1681" i="5"/>
  <c r="C1682" i="5"/>
  <c r="C1683" i="5"/>
  <c r="C1684" i="5"/>
  <c r="C1685" i="5"/>
  <c r="C1686" i="5"/>
  <c r="C1687" i="5"/>
  <c r="C1688" i="5"/>
  <c r="C1689" i="5"/>
  <c r="C1690" i="5"/>
  <c r="C1691" i="5"/>
  <c r="C1692" i="5"/>
  <c r="C1693" i="5"/>
  <c r="C1694" i="5"/>
  <c r="C1695" i="5"/>
  <c r="C1696" i="5"/>
  <c r="C1697" i="5"/>
  <c r="C1698" i="5"/>
  <c r="C1699" i="5"/>
  <c r="C1700" i="5"/>
  <c r="C1701" i="5"/>
  <c r="C1702" i="5"/>
  <c r="C1703" i="5"/>
  <c r="C1704" i="5"/>
  <c r="C1705" i="5"/>
  <c r="C1706" i="5"/>
  <c r="C1707" i="5"/>
  <c r="C1708" i="5"/>
  <c r="C1709" i="5"/>
  <c r="C1710" i="5"/>
  <c r="C1711" i="5"/>
  <c r="C1712" i="5"/>
  <c r="C1713" i="5"/>
  <c r="C1714" i="5"/>
  <c r="C1715" i="5"/>
  <c r="C1716" i="5"/>
  <c r="C1717" i="5"/>
  <c r="C1718" i="5"/>
  <c r="C1719" i="5"/>
  <c r="C1720" i="5"/>
  <c r="C1721" i="5"/>
  <c r="C1722" i="5"/>
  <c r="C1723" i="5"/>
  <c r="C1724" i="5"/>
  <c r="C1725" i="5"/>
  <c r="C1726" i="5"/>
  <c r="C1727" i="5"/>
  <c r="C1728" i="5"/>
  <c r="C1729" i="5"/>
  <c r="C1730" i="5"/>
  <c r="C1731" i="5"/>
  <c r="C1732" i="5"/>
  <c r="C1733" i="5"/>
  <c r="C1734" i="5"/>
  <c r="C1735" i="5"/>
  <c r="C1736" i="5"/>
  <c r="C1737" i="5"/>
  <c r="C1738" i="5"/>
  <c r="C1739" i="5"/>
  <c r="C1740" i="5"/>
  <c r="C1741" i="5"/>
  <c r="C1742" i="5"/>
  <c r="C1743" i="5"/>
  <c r="C1744" i="5"/>
  <c r="C1745" i="5"/>
  <c r="C1746" i="5"/>
  <c r="C1747" i="5"/>
  <c r="C1748" i="5"/>
  <c r="C1749" i="5"/>
  <c r="C1750" i="5"/>
  <c r="C1751" i="5"/>
  <c r="C1752" i="5"/>
  <c r="C1753" i="5"/>
  <c r="C1754" i="5"/>
  <c r="C1755" i="5"/>
  <c r="C1756" i="5"/>
  <c r="C1757" i="5"/>
  <c r="C1758" i="5"/>
  <c r="C1759" i="5"/>
  <c r="C1760" i="5"/>
  <c r="C1761" i="5"/>
  <c r="C1762" i="5"/>
  <c r="C1763" i="5"/>
  <c r="C1764" i="5"/>
  <c r="C1765" i="5"/>
  <c r="C1766" i="5"/>
  <c r="C1767" i="5"/>
  <c r="C1768" i="5"/>
  <c r="C1769" i="5"/>
  <c r="C1770" i="5"/>
  <c r="C1771" i="5"/>
  <c r="C1772" i="5"/>
  <c r="C1773" i="5"/>
  <c r="C1774" i="5"/>
  <c r="C1775" i="5"/>
  <c r="C1776" i="5"/>
  <c r="C1777" i="5"/>
  <c r="C1778" i="5"/>
  <c r="C1779" i="5"/>
  <c r="C1780" i="5"/>
  <c r="C1781" i="5"/>
  <c r="C1782" i="5"/>
  <c r="C1783" i="5"/>
  <c r="C1784" i="5"/>
  <c r="C1785" i="5"/>
  <c r="C1786" i="5"/>
  <c r="C1787" i="5"/>
  <c r="C1788" i="5"/>
  <c r="C1789" i="5"/>
  <c r="C1790" i="5"/>
  <c r="C1791" i="5"/>
  <c r="C1792" i="5"/>
  <c r="C1793" i="5"/>
  <c r="C1794" i="5"/>
  <c r="C1795" i="5"/>
  <c r="C1796" i="5"/>
  <c r="C1797" i="5"/>
  <c r="C1798" i="5"/>
  <c r="C1799" i="5"/>
  <c r="C1800" i="5"/>
  <c r="C1801" i="5"/>
  <c r="C1802" i="5"/>
  <c r="C1803" i="5"/>
  <c r="C1804" i="5"/>
  <c r="C1805" i="5"/>
  <c r="C1806" i="5"/>
  <c r="C1807" i="5"/>
  <c r="C1808" i="5"/>
  <c r="C1809" i="5"/>
  <c r="C1810" i="5"/>
  <c r="C1811" i="5"/>
  <c r="C1812" i="5"/>
  <c r="C1813" i="5"/>
  <c r="C1814" i="5"/>
  <c r="C1815" i="5"/>
  <c r="C1816" i="5"/>
  <c r="C1817" i="5"/>
  <c r="C1818" i="5"/>
  <c r="C1819" i="5"/>
  <c r="C1820" i="5"/>
  <c r="C1821" i="5"/>
  <c r="C1822" i="5"/>
  <c r="C1823" i="5"/>
  <c r="C1824" i="5"/>
  <c r="C1825" i="5"/>
  <c r="C1826" i="5"/>
  <c r="C1827" i="5"/>
  <c r="C1828" i="5"/>
  <c r="C1829" i="5"/>
  <c r="C1830" i="5"/>
  <c r="C1831" i="5"/>
  <c r="C1832" i="5"/>
  <c r="C1833" i="5"/>
  <c r="C1834" i="5"/>
  <c r="C1835" i="5"/>
  <c r="C1836" i="5"/>
  <c r="C1837" i="5"/>
  <c r="C1838" i="5"/>
  <c r="C1839" i="5"/>
  <c r="C1840" i="5"/>
  <c r="C1841" i="5"/>
  <c r="C1842" i="5"/>
  <c r="C1843" i="5"/>
  <c r="C1844" i="5"/>
  <c r="C1845" i="5"/>
  <c r="C1846" i="5"/>
  <c r="C1847" i="5"/>
  <c r="C1848" i="5"/>
  <c r="C1849" i="5"/>
  <c r="C1850" i="5"/>
  <c r="C1851" i="5"/>
  <c r="C1852" i="5"/>
  <c r="C1853" i="5"/>
  <c r="C1854" i="5"/>
  <c r="C1855" i="5"/>
  <c r="C1856" i="5"/>
  <c r="C1857" i="5"/>
  <c r="C1858" i="5"/>
  <c r="C1859" i="5"/>
  <c r="C1860" i="5"/>
  <c r="C1861" i="5"/>
  <c r="C1862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66" i="5"/>
  <c r="D67" i="5"/>
  <c r="D68" i="5"/>
  <c r="D69" i="5"/>
  <c r="D70" i="5"/>
  <c r="D71" i="5"/>
  <c r="D72" i="5"/>
  <c r="D73" i="5"/>
  <c r="D74" i="5"/>
  <c r="D75" i="5"/>
  <c r="D76" i="5"/>
  <c r="D77" i="5"/>
  <c r="D78" i="5"/>
  <c r="D79" i="5"/>
  <c r="D80" i="5"/>
  <c r="D81" i="5"/>
  <c r="D82" i="5"/>
  <c r="D83" i="5"/>
  <c r="D84" i="5"/>
  <c r="D85" i="5"/>
  <c r="D86" i="5"/>
  <c r="D87" i="5"/>
  <c r="D88" i="5"/>
  <c r="D89" i="5"/>
  <c r="D90" i="5"/>
  <c r="D91" i="5"/>
  <c r="D92" i="5"/>
  <c r="D93" i="5"/>
  <c r="D94" i="5"/>
  <c r="D95" i="5"/>
  <c r="D96" i="5"/>
  <c r="D97" i="5"/>
  <c r="D98" i="5"/>
  <c r="D99" i="5"/>
  <c r="D100" i="5"/>
  <c r="D101" i="5"/>
  <c r="D102" i="5"/>
  <c r="D103" i="5"/>
  <c r="D104" i="5"/>
  <c r="D105" i="5"/>
  <c r="D106" i="5"/>
  <c r="D107" i="5"/>
  <c r="D108" i="5"/>
  <c r="D109" i="5"/>
  <c r="D110" i="5"/>
  <c r="D111" i="5"/>
  <c r="D112" i="5"/>
  <c r="D113" i="5"/>
  <c r="D114" i="5"/>
  <c r="D115" i="5"/>
  <c r="D116" i="5"/>
  <c r="D117" i="5"/>
  <c r="D118" i="5"/>
  <c r="D119" i="5"/>
  <c r="D120" i="5"/>
  <c r="D121" i="5"/>
  <c r="D122" i="5"/>
  <c r="D123" i="5"/>
  <c r="D124" i="5"/>
  <c r="D125" i="5"/>
  <c r="D126" i="5"/>
  <c r="D127" i="5"/>
  <c r="D128" i="5"/>
  <c r="D129" i="5"/>
  <c r="D130" i="5"/>
  <c r="D131" i="5"/>
  <c r="D132" i="5"/>
  <c r="D133" i="5"/>
  <c r="D134" i="5"/>
  <c r="D135" i="5"/>
  <c r="D136" i="5"/>
  <c r="D137" i="5"/>
  <c r="D138" i="5"/>
  <c r="D139" i="5"/>
  <c r="D140" i="5"/>
  <c r="D141" i="5"/>
  <c r="D142" i="5"/>
  <c r="D143" i="5"/>
  <c r="D144" i="5"/>
  <c r="D145" i="5"/>
  <c r="D146" i="5"/>
  <c r="D147" i="5"/>
  <c r="D148" i="5"/>
  <c r="D149" i="5"/>
  <c r="D150" i="5"/>
  <c r="D151" i="5"/>
  <c r="D152" i="5"/>
  <c r="D153" i="5"/>
  <c r="D154" i="5"/>
  <c r="D155" i="5"/>
  <c r="D156" i="5"/>
  <c r="D157" i="5"/>
  <c r="D158" i="5"/>
  <c r="D159" i="5"/>
  <c r="D160" i="5"/>
  <c r="D161" i="5"/>
  <c r="D162" i="5"/>
  <c r="D163" i="5"/>
  <c r="D164" i="5"/>
  <c r="D165" i="5"/>
  <c r="D166" i="5"/>
  <c r="D167" i="5"/>
  <c r="D168" i="5"/>
  <c r="D169" i="5"/>
  <c r="D170" i="5"/>
  <c r="D171" i="5"/>
  <c r="D172" i="5"/>
  <c r="D173" i="5"/>
  <c r="D174" i="5"/>
  <c r="D175" i="5"/>
  <c r="D176" i="5"/>
  <c r="D177" i="5"/>
  <c r="D178" i="5"/>
  <c r="D179" i="5"/>
  <c r="D180" i="5"/>
  <c r="D181" i="5"/>
  <c r="D182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D198" i="5"/>
  <c r="D199" i="5"/>
  <c r="D200" i="5"/>
  <c r="D201" i="5"/>
  <c r="D202" i="5"/>
  <c r="D203" i="5"/>
  <c r="D204" i="5"/>
  <c r="D205" i="5"/>
  <c r="D206" i="5"/>
  <c r="D207" i="5"/>
  <c r="D208" i="5"/>
  <c r="D209" i="5"/>
  <c r="D210" i="5"/>
  <c r="D211" i="5"/>
  <c r="D212" i="5"/>
  <c r="D213" i="5"/>
  <c r="D214" i="5"/>
  <c r="D215" i="5"/>
  <c r="D216" i="5"/>
  <c r="D217" i="5"/>
  <c r="D218" i="5"/>
  <c r="D219" i="5"/>
  <c r="D220" i="5"/>
  <c r="D221" i="5"/>
  <c r="D222" i="5"/>
  <c r="D223" i="5"/>
  <c r="D224" i="5"/>
  <c r="D225" i="5"/>
  <c r="D226" i="5"/>
  <c r="D227" i="5"/>
  <c r="D228" i="5"/>
  <c r="D229" i="5"/>
  <c r="D230" i="5"/>
  <c r="D231" i="5"/>
  <c r="D232" i="5"/>
  <c r="D233" i="5"/>
  <c r="D234" i="5"/>
  <c r="D235" i="5"/>
  <c r="D236" i="5"/>
  <c r="D237" i="5"/>
  <c r="D238" i="5"/>
  <c r="D239" i="5"/>
  <c r="D240" i="5"/>
  <c r="D241" i="5"/>
  <c r="D242" i="5"/>
  <c r="D243" i="5"/>
  <c r="D244" i="5"/>
  <c r="D245" i="5"/>
  <c r="D246" i="5"/>
  <c r="D247" i="5"/>
  <c r="D248" i="5"/>
  <c r="D249" i="5"/>
  <c r="D250" i="5"/>
  <c r="D251" i="5"/>
  <c r="D252" i="5"/>
  <c r="D253" i="5"/>
  <c r="D254" i="5"/>
  <c r="D255" i="5"/>
  <c r="D256" i="5"/>
  <c r="D257" i="5"/>
  <c r="D258" i="5"/>
  <c r="D259" i="5"/>
  <c r="D260" i="5"/>
  <c r="D261" i="5"/>
  <c r="D262" i="5"/>
  <c r="D263" i="5"/>
  <c r="D264" i="5"/>
  <c r="D265" i="5"/>
  <c r="D266" i="5"/>
  <c r="D267" i="5"/>
  <c r="D268" i="5"/>
  <c r="D269" i="5"/>
  <c r="D270" i="5"/>
  <c r="D271" i="5"/>
  <c r="D272" i="5"/>
  <c r="D273" i="5"/>
  <c r="D274" i="5"/>
  <c r="D275" i="5"/>
  <c r="D276" i="5"/>
  <c r="D277" i="5"/>
  <c r="D278" i="5"/>
  <c r="D279" i="5"/>
  <c r="D280" i="5"/>
  <c r="D281" i="5"/>
  <c r="D282" i="5"/>
  <c r="D283" i="5"/>
  <c r="D284" i="5"/>
  <c r="D285" i="5"/>
  <c r="D286" i="5"/>
  <c r="D287" i="5"/>
  <c r="D288" i="5"/>
  <c r="D289" i="5"/>
  <c r="D290" i="5"/>
  <c r="D291" i="5"/>
  <c r="D292" i="5"/>
  <c r="D293" i="5"/>
  <c r="D294" i="5"/>
  <c r="D295" i="5"/>
  <c r="D296" i="5"/>
  <c r="D297" i="5"/>
  <c r="D298" i="5"/>
  <c r="D299" i="5"/>
  <c r="D300" i="5"/>
  <c r="D301" i="5"/>
  <c r="D302" i="5"/>
  <c r="D303" i="5"/>
  <c r="D304" i="5"/>
  <c r="D305" i="5"/>
  <c r="D306" i="5"/>
  <c r="D307" i="5"/>
  <c r="D308" i="5"/>
  <c r="D309" i="5"/>
  <c r="D310" i="5"/>
  <c r="D311" i="5"/>
  <c r="D312" i="5"/>
  <c r="D313" i="5"/>
  <c r="D314" i="5"/>
  <c r="D315" i="5"/>
  <c r="D316" i="5"/>
  <c r="D317" i="5"/>
  <c r="D318" i="5"/>
  <c r="D319" i="5"/>
  <c r="D320" i="5"/>
  <c r="D321" i="5"/>
  <c r="D322" i="5"/>
  <c r="D323" i="5"/>
  <c r="D324" i="5"/>
  <c r="D325" i="5"/>
  <c r="D326" i="5"/>
  <c r="D327" i="5"/>
  <c r="D328" i="5"/>
  <c r="D329" i="5"/>
  <c r="D330" i="5"/>
  <c r="D331" i="5"/>
  <c r="D332" i="5"/>
  <c r="D333" i="5"/>
  <c r="D334" i="5"/>
  <c r="D335" i="5"/>
  <c r="D336" i="5"/>
  <c r="D337" i="5"/>
  <c r="D338" i="5"/>
  <c r="D339" i="5"/>
  <c r="D340" i="5"/>
  <c r="D341" i="5"/>
  <c r="D342" i="5"/>
  <c r="D343" i="5"/>
  <c r="D344" i="5"/>
  <c r="D345" i="5"/>
  <c r="D346" i="5"/>
  <c r="D347" i="5"/>
  <c r="D348" i="5"/>
  <c r="D349" i="5"/>
  <c r="D350" i="5"/>
  <c r="D351" i="5"/>
  <c r="D352" i="5"/>
  <c r="D353" i="5"/>
  <c r="D354" i="5"/>
  <c r="D355" i="5"/>
  <c r="D356" i="5"/>
  <c r="D357" i="5"/>
  <c r="D358" i="5"/>
  <c r="D359" i="5"/>
  <c r="D360" i="5"/>
  <c r="D361" i="5"/>
  <c r="D362" i="5"/>
  <c r="D363" i="5"/>
  <c r="D364" i="5"/>
  <c r="D365" i="5"/>
  <c r="D366" i="5"/>
  <c r="D367" i="5"/>
  <c r="D368" i="5"/>
  <c r="D369" i="5"/>
  <c r="D370" i="5"/>
  <c r="D371" i="5"/>
  <c r="D372" i="5"/>
  <c r="D373" i="5"/>
  <c r="D374" i="5"/>
  <c r="D375" i="5"/>
  <c r="D376" i="5"/>
  <c r="D377" i="5"/>
  <c r="D378" i="5"/>
  <c r="D379" i="5"/>
  <c r="D380" i="5"/>
  <c r="D381" i="5"/>
  <c r="D382" i="5"/>
  <c r="D383" i="5"/>
  <c r="D384" i="5"/>
  <c r="D385" i="5"/>
  <c r="D386" i="5"/>
  <c r="D387" i="5"/>
  <c r="D388" i="5"/>
  <c r="D389" i="5"/>
  <c r="D390" i="5"/>
  <c r="D391" i="5"/>
  <c r="D392" i="5"/>
  <c r="D393" i="5"/>
  <c r="D394" i="5"/>
  <c r="D395" i="5"/>
  <c r="D396" i="5"/>
  <c r="D397" i="5"/>
  <c r="D398" i="5"/>
  <c r="D399" i="5"/>
  <c r="D400" i="5"/>
  <c r="D401" i="5"/>
  <c r="D402" i="5"/>
  <c r="D403" i="5"/>
  <c r="D404" i="5"/>
  <c r="D405" i="5"/>
  <c r="D406" i="5"/>
  <c r="D407" i="5"/>
  <c r="D408" i="5"/>
  <c r="D409" i="5"/>
  <c r="D410" i="5"/>
  <c r="D411" i="5"/>
  <c r="D412" i="5"/>
  <c r="D413" i="5"/>
  <c r="D414" i="5"/>
  <c r="D415" i="5"/>
  <c r="D416" i="5"/>
  <c r="D417" i="5"/>
  <c r="D418" i="5"/>
  <c r="D419" i="5"/>
  <c r="D420" i="5"/>
  <c r="D421" i="5"/>
  <c r="D422" i="5"/>
  <c r="D423" i="5"/>
  <c r="D424" i="5"/>
  <c r="D425" i="5"/>
  <c r="D426" i="5"/>
  <c r="D427" i="5"/>
  <c r="D428" i="5"/>
  <c r="D429" i="5"/>
  <c r="D430" i="5"/>
  <c r="D431" i="5"/>
  <c r="D432" i="5"/>
  <c r="D433" i="5"/>
  <c r="D434" i="5"/>
  <c r="D435" i="5"/>
  <c r="D436" i="5"/>
  <c r="D437" i="5"/>
  <c r="D438" i="5"/>
  <c r="D439" i="5"/>
  <c r="D440" i="5"/>
  <c r="D441" i="5"/>
  <c r="D442" i="5"/>
  <c r="D443" i="5"/>
  <c r="D444" i="5"/>
  <c r="D445" i="5"/>
  <c r="D446" i="5"/>
  <c r="D447" i="5"/>
  <c r="D448" i="5"/>
  <c r="D449" i="5"/>
  <c r="D450" i="5"/>
  <c r="D451" i="5"/>
  <c r="D452" i="5"/>
  <c r="D453" i="5"/>
  <c r="D454" i="5"/>
  <c r="D455" i="5"/>
  <c r="D456" i="5"/>
  <c r="D457" i="5"/>
  <c r="D458" i="5"/>
  <c r="D459" i="5"/>
  <c r="D460" i="5"/>
  <c r="D461" i="5"/>
  <c r="D462" i="5"/>
  <c r="D463" i="5"/>
  <c r="D464" i="5"/>
  <c r="D465" i="5"/>
  <c r="D466" i="5"/>
  <c r="D467" i="5"/>
  <c r="D468" i="5"/>
  <c r="D469" i="5"/>
  <c r="D470" i="5"/>
  <c r="D471" i="5"/>
  <c r="D472" i="5"/>
  <c r="D473" i="5"/>
  <c r="D474" i="5"/>
  <c r="D475" i="5"/>
  <c r="D476" i="5"/>
  <c r="D477" i="5"/>
  <c r="D478" i="5"/>
  <c r="D479" i="5"/>
  <c r="D480" i="5"/>
  <c r="D481" i="5"/>
  <c r="D482" i="5"/>
  <c r="D483" i="5"/>
  <c r="D484" i="5"/>
  <c r="D485" i="5"/>
  <c r="D486" i="5"/>
  <c r="D487" i="5"/>
  <c r="D488" i="5"/>
  <c r="D489" i="5"/>
  <c r="D490" i="5"/>
  <c r="D491" i="5"/>
  <c r="D492" i="5"/>
  <c r="D493" i="5"/>
  <c r="D494" i="5"/>
  <c r="D495" i="5"/>
  <c r="D496" i="5"/>
  <c r="D497" i="5"/>
  <c r="D498" i="5"/>
  <c r="D499" i="5"/>
  <c r="D500" i="5"/>
  <c r="D501" i="5"/>
  <c r="D502" i="5"/>
  <c r="D503" i="5"/>
  <c r="D504" i="5"/>
  <c r="D505" i="5"/>
  <c r="D506" i="5"/>
  <c r="D507" i="5"/>
  <c r="D508" i="5"/>
  <c r="D509" i="5"/>
  <c r="D510" i="5"/>
  <c r="D511" i="5"/>
  <c r="D512" i="5"/>
  <c r="D513" i="5"/>
  <c r="D514" i="5"/>
  <c r="D515" i="5"/>
  <c r="D516" i="5"/>
  <c r="D517" i="5"/>
  <c r="D518" i="5"/>
  <c r="D519" i="5"/>
  <c r="D520" i="5"/>
  <c r="D521" i="5"/>
  <c r="D522" i="5"/>
  <c r="D523" i="5"/>
  <c r="D524" i="5"/>
  <c r="D525" i="5"/>
  <c r="D526" i="5"/>
  <c r="D527" i="5"/>
  <c r="D528" i="5"/>
  <c r="D529" i="5"/>
  <c r="D530" i="5"/>
  <c r="D531" i="5"/>
  <c r="D532" i="5"/>
  <c r="D533" i="5"/>
  <c r="D534" i="5"/>
  <c r="D535" i="5"/>
  <c r="D536" i="5"/>
  <c r="D537" i="5"/>
  <c r="D538" i="5"/>
  <c r="D539" i="5"/>
  <c r="D540" i="5"/>
  <c r="D541" i="5"/>
  <c r="D542" i="5"/>
  <c r="D543" i="5"/>
  <c r="D544" i="5"/>
  <c r="D545" i="5"/>
  <c r="D546" i="5"/>
  <c r="D547" i="5"/>
  <c r="D548" i="5"/>
  <c r="D549" i="5"/>
  <c r="D550" i="5"/>
  <c r="D551" i="5"/>
  <c r="D552" i="5"/>
  <c r="D553" i="5"/>
  <c r="D554" i="5"/>
  <c r="D555" i="5"/>
  <c r="D556" i="5"/>
  <c r="D557" i="5"/>
  <c r="D558" i="5"/>
  <c r="D559" i="5"/>
  <c r="D560" i="5"/>
  <c r="D561" i="5"/>
  <c r="D562" i="5"/>
  <c r="D563" i="5"/>
  <c r="D564" i="5"/>
  <c r="D565" i="5"/>
  <c r="D566" i="5"/>
  <c r="D567" i="5"/>
  <c r="D568" i="5"/>
  <c r="D569" i="5"/>
  <c r="D570" i="5"/>
  <c r="D571" i="5"/>
  <c r="D572" i="5"/>
  <c r="D573" i="5"/>
  <c r="D574" i="5"/>
  <c r="D575" i="5"/>
  <c r="D576" i="5"/>
  <c r="D577" i="5"/>
  <c r="D578" i="5"/>
  <c r="D579" i="5"/>
  <c r="D580" i="5"/>
  <c r="D581" i="5"/>
  <c r="D582" i="5"/>
  <c r="D583" i="5"/>
  <c r="D584" i="5"/>
  <c r="D585" i="5"/>
  <c r="D586" i="5"/>
  <c r="D587" i="5"/>
  <c r="D588" i="5"/>
  <c r="D589" i="5"/>
  <c r="D590" i="5"/>
  <c r="D591" i="5"/>
  <c r="D592" i="5"/>
  <c r="D593" i="5"/>
  <c r="D594" i="5"/>
  <c r="D595" i="5"/>
  <c r="D596" i="5"/>
  <c r="D597" i="5"/>
  <c r="D598" i="5"/>
  <c r="D599" i="5"/>
  <c r="D600" i="5"/>
  <c r="D601" i="5"/>
  <c r="D602" i="5"/>
  <c r="D603" i="5"/>
  <c r="D604" i="5"/>
  <c r="D605" i="5"/>
  <c r="D606" i="5"/>
  <c r="D607" i="5"/>
  <c r="D608" i="5"/>
  <c r="D609" i="5"/>
  <c r="D610" i="5"/>
  <c r="D611" i="5"/>
  <c r="D612" i="5"/>
  <c r="D613" i="5"/>
  <c r="D614" i="5"/>
  <c r="D615" i="5"/>
  <c r="D616" i="5"/>
  <c r="D617" i="5"/>
  <c r="D618" i="5"/>
  <c r="D619" i="5"/>
  <c r="D620" i="5"/>
  <c r="D621" i="5"/>
  <c r="D622" i="5"/>
  <c r="D623" i="5"/>
  <c r="D624" i="5"/>
  <c r="D625" i="5"/>
  <c r="D626" i="5"/>
  <c r="D627" i="5"/>
  <c r="D628" i="5"/>
  <c r="D629" i="5"/>
  <c r="D630" i="5"/>
  <c r="D631" i="5"/>
  <c r="D632" i="5"/>
  <c r="D633" i="5"/>
  <c r="D634" i="5"/>
  <c r="D635" i="5"/>
  <c r="D636" i="5"/>
  <c r="D637" i="5"/>
  <c r="D638" i="5"/>
  <c r="D639" i="5"/>
  <c r="D640" i="5"/>
  <c r="D641" i="5"/>
  <c r="D642" i="5"/>
  <c r="D643" i="5"/>
  <c r="D644" i="5"/>
  <c r="D645" i="5"/>
  <c r="D646" i="5"/>
  <c r="D647" i="5"/>
  <c r="D648" i="5"/>
  <c r="D649" i="5"/>
  <c r="D650" i="5"/>
  <c r="D651" i="5"/>
  <c r="D652" i="5"/>
  <c r="D653" i="5"/>
  <c r="D654" i="5"/>
  <c r="D655" i="5"/>
  <c r="D656" i="5"/>
  <c r="D657" i="5"/>
  <c r="D658" i="5"/>
  <c r="D659" i="5"/>
  <c r="D660" i="5"/>
  <c r="D661" i="5"/>
  <c r="D662" i="5"/>
  <c r="D663" i="5"/>
  <c r="D664" i="5"/>
  <c r="D665" i="5"/>
  <c r="D666" i="5"/>
  <c r="D667" i="5"/>
  <c r="D668" i="5"/>
  <c r="D669" i="5"/>
  <c r="D670" i="5"/>
  <c r="D671" i="5"/>
  <c r="D672" i="5"/>
  <c r="D673" i="5"/>
  <c r="D674" i="5"/>
  <c r="D675" i="5"/>
  <c r="D676" i="5"/>
  <c r="D677" i="5"/>
  <c r="D678" i="5"/>
  <c r="D679" i="5"/>
  <c r="D680" i="5"/>
  <c r="D681" i="5"/>
  <c r="D682" i="5"/>
  <c r="D683" i="5"/>
  <c r="D684" i="5"/>
  <c r="D685" i="5"/>
  <c r="D686" i="5"/>
  <c r="D687" i="5"/>
  <c r="D688" i="5"/>
  <c r="D689" i="5"/>
  <c r="D690" i="5"/>
  <c r="D691" i="5"/>
  <c r="D692" i="5"/>
  <c r="D693" i="5"/>
  <c r="D694" i="5"/>
  <c r="D695" i="5"/>
  <c r="D696" i="5"/>
  <c r="D697" i="5"/>
  <c r="D698" i="5"/>
  <c r="D699" i="5"/>
  <c r="D700" i="5"/>
  <c r="D701" i="5"/>
  <c r="D702" i="5"/>
  <c r="D703" i="5"/>
  <c r="D704" i="5"/>
  <c r="D705" i="5"/>
  <c r="D706" i="5"/>
  <c r="D707" i="5"/>
  <c r="D708" i="5"/>
  <c r="D709" i="5"/>
  <c r="D710" i="5"/>
  <c r="D711" i="5"/>
  <c r="D712" i="5"/>
  <c r="D713" i="5"/>
  <c r="D714" i="5"/>
  <c r="D715" i="5"/>
  <c r="D716" i="5"/>
  <c r="D717" i="5"/>
  <c r="D718" i="5"/>
  <c r="D719" i="5"/>
  <c r="D720" i="5"/>
  <c r="D721" i="5"/>
  <c r="D722" i="5"/>
  <c r="D723" i="5"/>
  <c r="D724" i="5"/>
  <c r="D725" i="5"/>
  <c r="D726" i="5"/>
  <c r="D727" i="5"/>
  <c r="D728" i="5"/>
  <c r="D729" i="5"/>
  <c r="D730" i="5"/>
  <c r="D731" i="5"/>
  <c r="D732" i="5"/>
  <c r="D733" i="5"/>
  <c r="D734" i="5"/>
  <c r="D735" i="5"/>
  <c r="D736" i="5"/>
  <c r="D737" i="5"/>
  <c r="D738" i="5"/>
  <c r="D739" i="5"/>
  <c r="D740" i="5"/>
  <c r="D741" i="5"/>
  <c r="D742" i="5"/>
  <c r="D743" i="5"/>
  <c r="D744" i="5"/>
  <c r="D745" i="5"/>
  <c r="D746" i="5"/>
  <c r="D747" i="5"/>
  <c r="D748" i="5"/>
  <c r="D749" i="5"/>
  <c r="D750" i="5"/>
  <c r="D751" i="5"/>
  <c r="D752" i="5"/>
  <c r="D753" i="5"/>
  <c r="D754" i="5"/>
  <c r="D755" i="5"/>
  <c r="D756" i="5"/>
  <c r="D757" i="5"/>
  <c r="D758" i="5"/>
  <c r="D759" i="5"/>
  <c r="D760" i="5"/>
  <c r="D761" i="5"/>
  <c r="D762" i="5"/>
  <c r="D763" i="5"/>
  <c r="D764" i="5"/>
  <c r="D765" i="5"/>
  <c r="D766" i="5"/>
  <c r="D767" i="5"/>
  <c r="D768" i="5"/>
  <c r="D769" i="5"/>
  <c r="D770" i="5"/>
  <c r="D771" i="5"/>
  <c r="D772" i="5"/>
  <c r="D773" i="5"/>
  <c r="D774" i="5"/>
  <c r="D775" i="5"/>
  <c r="D776" i="5"/>
  <c r="D777" i="5"/>
  <c r="D778" i="5"/>
  <c r="D779" i="5"/>
  <c r="D780" i="5"/>
  <c r="D781" i="5"/>
  <c r="D782" i="5"/>
  <c r="D783" i="5"/>
  <c r="D784" i="5"/>
  <c r="D785" i="5"/>
  <c r="D786" i="5"/>
  <c r="D787" i="5"/>
  <c r="D788" i="5"/>
  <c r="D789" i="5"/>
  <c r="D790" i="5"/>
  <c r="D791" i="5"/>
  <c r="D792" i="5"/>
  <c r="D793" i="5"/>
  <c r="D794" i="5"/>
  <c r="D795" i="5"/>
  <c r="D796" i="5"/>
  <c r="D797" i="5"/>
  <c r="D798" i="5"/>
  <c r="D799" i="5"/>
  <c r="D800" i="5"/>
  <c r="D801" i="5"/>
  <c r="D802" i="5"/>
  <c r="D803" i="5"/>
  <c r="D804" i="5"/>
  <c r="D805" i="5"/>
  <c r="D806" i="5"/>
  <c r="D807" i="5"/>
  <c r="D808" i="5"/>
  <c r="D809" i="5"/>
  <c r="D810" i="5"/>
  <c r="D811" i="5"/>
  <c r="D812" i="5"/>
  <c r="D813" i="5"/>
  <c r="D814" i="5"/>
  <c r="D815" i="5"/>
  <c r="D816" i="5"/>
  <c r="D817" i="5"/>
  <c r="D818" i="5"/>
  <c r="D819" i="5"/>
  <c r="D820" i="5"/>
  <c r="D821" i="5"/>
  <c r="D822" i="5"/>
  <c r="D823" i="5"/>
  <c r="D824" i="5"/>
  <c r="D825" i="5"/>
  <c r="D826" i="5"/>
  <c r="D827" i="5"/>
  <c r="D828" i="5"/>
  <c r="D829" i="5"/>
  <c r="D830" i="5"/>
  <c r="D831" i="5"/>
  <c r="D832" i="5"/>
  <c r="D833" i="5"/>
  <c r="D834" i="5"/>
  <c r="D835" i="5"/>
  <c r="D836" i="5"/>
  <c r="D837" i="5"/>
  <c r="D838" i="5"/>
  <c r="D839" i="5"/>
  <c r="D840" i="5"/>
  <c r="D841" i="5"/>
  <c r="D842" i="5"/>
  <c r="D843" i="5"/>
  <c r="D844" i="5"/>
  <c r="D845" i="5"/>
  <c r="D846" i="5"/>
  <c r="D847" i="5"/>
  <c r="D848" i="5"/>
  <c r="D849" i="5"/>
  <c r="D850" i="5"/>
  <c r="D851" i="5"/>
  <c r="D852" i="5"/>
  <c r="D853" i="5"/>
  <c r="D854" i="5"/>
  <c r="D855" i="5"/>
  <c r="D856" i="5"/>
  <c r="D857" i="5"/>
  <c r="D858" i="5"/>
  <c r="D859" i="5"/>
  <c r="D860" i="5"/>
  <c r="D861" i="5"/>
  <c r="D862" i="5"/>
  <c r="D863" i="5"/>
  <c r="D864" i="5"/>
  <c r="D865" i="5"/>
  <c r="D866" i="5"/>
  <c r="D867" i="5"/>
  <c r="D868" i="5"/>
  <c r="D869" i="5"/>
  <c r="D870" i="5"/>
  <c r="D871" i="5"/>
  <c r="D872" i="5"/>
  <c r="D873" i="5"/>
  <c r="D874" i="5"/>
  <c r="D875" i="5"/>
  <c r="D876" i="5"/>
  <c r="D877" i="5"/>
  <c r="D878" i="5"/>
  <c r="D879" i="5"/>
  <c r="D880" i="5"/>
  <c r="D881" i="5"/>
  <c r="D882" i="5"/>
  <c r="D883" i="5"/>
  <c r="D884" i="5"/>
  <c r="D885" i="5"/>
  <c r="D886" i="5"/>
  <c r="D887" i="5"/>
  <c r="D888" i="5"/>
  <c r="D889" i="5"/>
  <c r="D890" i="5"/>
  <c r="D891" i="5"/>
  <c r="D892" i="5"/>
  <c r="D893" i="5"/>
  <c r="D894" i="5"/>
  <c r="D895" i="5"/>
  <c r="D896" i="5"/>
  <c r="D897" i="5"/>
  <c r="D898" i="5"/>
  <c r="D899" i="5"/>
  <c r="D900" i="5"/>
  <c r="D901" i="5"/>
  <c r="D902" i="5"/>
  <c r="D903" i="5"/>
  <c r="D904" i="5"/>
  <c r="D905" i="5"/>
  <c r="D906" i="5"/>
  <c r="D907" i="5"/>
  <c r="D908" i="5"/>
  <c r="D909" i="5"/>
  <c r="D910" i="5"/>
  <c r="D911" i="5"/>
  <c r="D912" i="5"/>
  <c r="D913" i="5"/>
  <c r="D914" i="5"/>
  <c r="D915" i="5"/>
  <c r="D916" i="5"/>
  <c r="D917" i="5"/>
  <c r="D918" i="5"/>
  <c r="D919" i="5"/>
  <c r="D920" i="5"/>
  <c r="D921" i="5"/>
  <c r="D922" i="5"/>
  <c r="D923" i="5"/>
  <c r="D924" i="5"/>
  <c r="D925" i="5"/>
  <c r="D926" i="5"/>
  <c r="D927" i="5"/>
  <c r="D928" i="5"/>
  <c r="D929" i="5"/>
  <c r="D930" i="5"/>
  <c r="D931" i="5"/>
  <c r="D932" i="5"/>
  <c r="D933" i="5"/>
  <c r="D934" i="5"/>
  <c r="D935" i="5"/>
  <c r="D936" i="5"/>
  <c r="D937" i="5"/>
  <c r="D938" i="5"/>
  <c r="D939" i="5"/>
  <c r="D940" i="5"/>
  <c r="D941" i="5"/>
  <c r="D942" i="5"/>
  <c r="D943" i="5"/>
  <c r="D944" i="5"/>
  <c r="D945" i="5"/>
  <c r="D946" i="5"/>
  <c r="D947" i="5"/>
  <c r="D948" i="5"/>
  <c r="D949" i="5"/>
  <c r="D950" i="5"/>
  <c r="D951" i="5"/>
  <c r="D952" i="5"/>
  <c r="D953" i="5"/>
  <c r="D954" i="5"/>
  <c r="D955" i="5"/>
  <c r="D956" i="5"/>
  <c r="D957" i="5"/>
  <c r="D958" i="5"/>
  <c r="D959" i="5"/>
  <c r="D960" i="5"/>
  <c r="D961" i="5"/>
  <c r="D962" i="5"/>
  <c r="D963" i="5"/>
  <c r="D964" i="5"/>
  <c r="D965" i="5"/>
  <c r="D966" i="5"/>
  <c r="D967" i="5"/>
  <c r="D968" i="5"/>
  <c r="D969" i="5"/>
  <c r="D970" i="5"/>
  <c r="D971" i="5"/>
  <c r="D972" i="5"/>
  <c r="D973" i="5"/>
  <c r="D974" i="5"/>
  <c r="D975" i="5"/>
  <c r="D976" i="5"/>
  <c r="D977" i="5"/>
  <c r="D978" i="5"/>
  <c r="D979" i="5"/>
  <c r="D980" i="5"/>
  <c r="D981" i="5"/>
  <c r="D982" i="5"/>
  <c r="D983" i="5"/>
  <c r="D984" i="5"/>
  <c r="D985" i="5"/>
  <c r="D986" i="5"/>
  <c r="D987" i="5"/>
  <c r="D988" i="5"/>
  <c r="D989" i="5"/>
  <c r="D990" i="5"/>
  <c r="D991" i="5"/>
  <c r="D992" i="5"/>
  <c r="D993" i="5"/>
  <c r="D994" i="5"/>
  <c r="D995" i="5"/>
  <c r="D996" i="5"/>
  <c r="D997" i="5"/>
  <c r="D998" i="5"/>
  <c r="D999" i="5"/>
  <c r="D1000" i="5"/>
  <c r="D1001" i="5"/>
  <c r="D1002" i="5"/>
  <c r="D1003" i="5"/>
  <c r="D1004" i="5"/>
  <c r="D1005" i="5"/>
  <c r="D1006" i="5"/>
  <c r="D1007" i="5"/>
  <c r="D1008" i="5"/>
  <c r="D1009" i="5"/>
  <c r="D1010" i="5"/>
  <c r="D1011" i="5"/>
  <c r="D1012" i="5"/>
  <c r="D1013" i="5"/>
  <c r="D1014" i="5"/>
  <c r="D1015" i="5"/>
  <c r="D1016" i="5"/>
  <c r="D1017" i="5"/>
  <c r="D1018" i="5"/>
  <c r="D1019" i="5"/>
  <c r="D1020" i="5"/>
  <c r="D1021" i="5"/>
  <c r="D1022" i="5"/>
  <c r="D1023" i="5"/>
  <c r="D1024" i="5"/>
  <c r="D1025" i="5"/>
  <c r="D1026" i="5"/>
  <c r="D1027" i="5"/>
  <c r="D1028" i="5"/>
  <c r="D1029" i="5"/>
  <c r="D1030" i="5"/>
  <c r="D1031" i="5"/>
  <c r="D1032" i="5"/>
  <c r="D1033" i="5"/>
  <c r="D1034" i="5"/>
  <c r="D1035" i="5"/>
  <c r="D1036" i="5"/>
  <c r="D1037" i="5"/>
  <c r="D1038" i="5"/>
  <c r="D1039" i="5"/>
  <c r="D1040" i="5"/>
  <c r="D1041" i="5"/>
  <c r="D1042" i="5"/>
  <c r="D1043" i="5"/>
  <c r="D1044" i="5"/>
  <c r="D1045" i="5"/>
  <c r="D1046" i="5"/>
  <c r="D1047" i="5"/>
  <c r="D1048" i="5"/>
  <c r="D1049" i="5"/>
  <c r="D1050" i="5"/>
  <c r="D1051" i="5"/>
  <c r="D1052" i="5"/>
  <c r="D1053" i="5"/>
  <c r="D1054" i="5"/>
  <c r="D1055" i="5"/>
  <c r="D1056" i="5"/>
  <c r="D1057" i="5"/>
  <c r="D1058" i="5"/>
  <c r="D1059" i="5"/>
  <c r="D1060" i="5"/>
  <c r="D1061" i="5"/>
  <c r="D1062" i="5"/>
  <c r="D1063" i="5"/>
  <c r="D1064" i="5"/>
  <c r="D1065" i="5"/>
  <c r="D1066" i="5"/>
  <c r="D1067" i="5"/>
  <c r="D1068" i="5"/>
  <c r="D1069" i="5"/>
  <c r="D1070" i="5"/>
  <c r="D1071" i="5"/>
  <c r="D1072" i="5"/>
  <c r="D1073" i="5"/>
  <c r="D1074" i="5"/>
  <c r="D1075" i="5"/>
  <c r="D1076" i="5"/>
  <c r="D1077" i="5"/>
  <c r="D1078" i="5"/>
  <c r="D1079" i="5"/>
  <c r="D1080" i="5"/>
  <c r="D1081" i="5"/>
  <c r="D1082" i="5"/>
  <c r="D1083" i="5"/>
  <c r="D1084" i="5"/>
  <c r="D1085" i="5"/>
  <c r="D1086" i="5"/>
  <c r="D1087" i="5"/>
  <c r="D1088" i="5"/>
  <c r="D1089" i="5"/>
  <c r="D1090" i="5"/>
  <c r="D1091" i="5"/>
  <c r="D1092" i="5"/>
  <c r="D1093" i="5"/>
  <c r="D1094" i="5"/>
  <c r="D1095" i="5"/>
  <c r="D1096" i="5"/>
  <c r="D1097" i="5"/>
  <c r="D1098" i="5"/>
  <c r="D1099" i="5"/>
  <c r="D1100" i="5"/>
  <c r="D1101" i="5"/>
  <c r="D1102" i="5"/>
  <c r="D1103" i="5"/>
  <c r="D1104" i="5"/>
  <c r="D1105" i="5"/>
  <c r="D1106" i="5"/>
  <c r="D1107" i="5"/>
  <c r="D1108" i="5"/>
  <c r="D1109" i="5"/>
  <c r="D1110" i="5"/>
  <c r="D1111" i="5"/>
  <c r="D1112" i="5"/>
  <c r="D1113" i="5"/>
  <c r="D1114" i="5"/>
  <c r="D1115" i="5"/>
  <c r="D1116" i="5"/>
  <c r="D1117" i="5"/>
  <c r="D1118" i="5"/>
  <c r="D1119" i="5"/>
  <c r="D1120" i="5"/>
  <c r="D1121" i="5"/>
  <c r="D1122" i="5"/>
  <c r="D1123" i="5"/>
  <c r="D1124" i="5"/>
  <c r="D1125" i="5"/>
  <c r="D1126" i="5"/>
  <c r="D1127" i="5"/>
  <c r="D1128" i="5"/>
  <c r="D1129" i="5"/>
  <c r="D1130" i="5"/>
  <c r="D1131" i="5"/>
  <c r="D1132" i="5"/>
  <c r="D1133" i="5"/>
  <c r="D1134" i="5"/>
  <c r="D1135" i="5"/>
  <c r="D1136" i="5"/>
  <c r="D1137" i="5"/>
  <c r="D1138" i="5"/>
  <c r="D1139" i="5"/>
  <c r="D1140" i="5"/>
  <c r="D1141" i="5"/>
  <c r="D1142" i="5"/>
  <c r="D1143" i="5"/>
  <c r="D1144" i="5"/>
  <c r="D1145" i="5"/>
  <c r="D1146" i="5"/>
  <c r="D1147" i="5"/>
  <c r="D1148" i="5"/>
  <c r="D1149" i="5"/>
  <c r="D1150" i="5"/>
  <c r="D1151" i="5"/>
  <c r="D1152" i="5"/>
  <c r="D1153" i="5"/>
  <c r="D1154" i="5"/>
  <c r="D1155" i="5"/>
  <c r="D1156" i="5"/>
  <c r="D1157" i="5"/>
  <c r="D1158" i="5"/>
  <c r="D1159" i="5"/>
  <c r="D1160" i="5"/>
  <c r="D1161" i="5"/>
  <c r="D1162" i="5"/>
  <c r="D1163" i="5"/>
  <c r="D1164" i="5"/>
  <c r="D1165" i="5"/>
  <c r="D1166" i="5"/>
  <c r="D1167" i="5"/>
  <c r="D1168" i="5"/>
  <c r="D1169" i="5"/>
  <c r="D1170" i="5"/>
  <c r="D1171" i="5"/>
  <c r="D1172" i="5"/>
  <c r="D1173" i="5"/>
  <c r="D1174" i="5"/>
  <c r="D1175" i="5"/>
  <c r="D1176" i="5"/>
  <c r="D1177" i="5"/>
  <c r="D1178" i="5"/>
  <c r="D1179" i="5"/>
  <c r="D1180" i="5"/>
  <c r="D1181" i="5"/>
  <c r="D1182" i="5"/>
  <c r="D1183" i="5"/>
  <c r="D1184" i="5"/>
  <c r="D1185" i="5"/>
  <c r="D1186" i="5"/>
  <c r="D1187" i="5"/>
  <c r="D1188" i="5"/>
  <c r="D1189" i="5"/>
  <c r="D1190" i="5"/>
  <c r="D1191" i="5"/>
  <c r="D1192" i="5"/>
  <c r="D1193" i="5"/>
  <c r="D1194" i="5"/>
  <c r="D1195" i="5"/>
  <c r="D1196" i="5"/>
  <c r="D1197" i="5"/>
  <c r="D1198" i="5"/>
  <c r="D1199" i="5"/>
  <c r="D1200" i="5"/>
  <c r="D1201" i="5"/>
  <c r="D1202" i="5"/>
  <c r="D1203" i="5"/>
  <c r="D1204" i="5"/>
  <c r="D1205" i="5"/>
  <c r="D1206" i="5"/>
  <c r="D1207" i="5"/>
  <c r="D1208" i="5"/>
  <c r="D1209" i="5"/>
  <c r="D1210" i="5"/>
  <c r="D1211" i="5"/>
  <c r="D1212" i="5"/>
  <c r="D1213" i="5"/>
  <c r="D1214" i="5"/>
  <c r="D1215" i="5"/>
  <c r="D1216" i="5"/>
  <c r="D1217" i="5"/>
  <c r="D1218" i="5"/>
  <c r="D1219" i="5"/>
  <c r="D1220" i="5"/>
  <c r="D1221" i="5"/>
  <c r="D1222" i="5"/>
  <c r="D1223" i="5"/>
  <c r="D1224" i="5"/>
  <c r="D1225" i="5"/>
  <c r="D1226" i="5"/>
  <c r="D1227" i="5"/>
  <c r="D1228" i="5"/>
  <c r="D1229" i="5"/>
  <c r="D1230" i="5"/>
  <c r="D1231" i="5"/>
  <c r="D1232" i="5"/>
  <c r="D1233" i="5"/>
  <c r="D1234" i="5"/>
  <c r="D1235" i="5"/>
  <c r="D1236" i="5"/>
  <c r="D1237" i="5"/>
  <c r="D1238" i="5"/>
  <c r="D1239" i="5"/>
  <c r="D1240" i="5"/>
  <c r="D1241" i="5"/>
  <c r="D1242" i="5"/>
  <c r="D1243" i="5"/>
  <c r="D1244" i="5"/>
  <c r="D1245" i="5"/>
  <c r="D1246" i="5"/>
  <c r="D1247" i="5"/>
  <c r="D1248" i="5"/>
  <c r="D1249" i="5"/>
  <c r="D1250" i="5"/>
  <c r="D1251" i="5"/>
  <c r="D1252" i="5"/>
  <c r="D1253" i="5"/>
  <c r="D1254" i="5"/>
  <c r="D1255" i="5"/>
  <c r="D1256" i="5"/>
  <c r="D1257" i="5"/>
  <c r="D1258" i="5"/>
  <c r="D1259" i="5"/>
  <c r="D1260" i="5"/>
  <c r="D1261" i="5"/>
  <c r="D1262" i="5"/>
  <c r="D1263" i="5"/>
  <c r="D1264" i="5"/>
  <c r="D1265" i="5"/>
  <c r="D1266" i="5"/>
  <c r="D1267" i="5"/>
  <c r="D1268" i="5"/>
  <c r="D1269" i="5"/>
  <c r="D1270" i="5"/>
  <c r="D1271" i="5"/>
  <c r="D1272" i="5"/>
  <c r="D1273" i="5"/>
  <c r="D1274" i="5"/>
  <c r="D1275" i="5"/>
  <c r="D1276" i="5"/>
  <c r="D1277" i="5"/>
  <c r="D1278" i="5"/>
  <c r="D1279" i="5"/>
  <c r="D1280" i="5"/>
  <c r="D1281" i="5"/>
  <c r="D1282" i="5"/>
  <c r="D1283" i="5"/>
  <c r="D1284" i="5"/>
  <c r="D1285" i="5"/>
  <c r="D1286" i="5"/>
  <c r="D1287" i="5"/>
  <c r="D1288" i="5"/>
  <c r="D1289" i="5"/>
  <c r="D1290" i="5"/>
  <c r="D1291" i="5"/>
  <c r="D1292" i="5"/>
  <c r="D1293" i="5"/>
  <c r="D1294" i="5"/>
  <c r="D1295" i="5"/>
  <c r="D1296" i="5"/>
  <c r="D1297" i="5"/>
  <c r="D1298" i="5"/>
  <c r="D1299" i="5"/>
  <c r="D1300" i="5"/>
  <c r="D1301" i="5"/>
  <c r="D1302" i="5"/>
  <c r="D1303" i="5"/>
  <c r="D1304" i="5"/>
  <c r="D1305" i="5"/>
  <c r="D1306" i="5"/>
  <c r="D1307" i="5"/>
  <c r="D1308" i="5"/>
  <c r="D1309" i="5"/>
  <c r="D1310" i="5"/>
  <c r="D1311" i="5"/>
  <c r="D1312" i="5"/>
  <c r="D1313" i="5"/>
  <c r="D1314" i="5"/>
  <c r="D1315" i="5"/>
  <c r="D1316" i="5"/>
  <c r="D1317" i="5"/>
  <c r="D1318" i="5"/>
  <c r="D1319" i="5"/>
  <c r="D1320" i="5"/>
  <c r="D1321" i="5"/>
  <c r="D1322" i="5"/>
  <c r="D1323" i="5"/>
  <c r="D1324" i="5"/>
  <c r="D1325" i="5"/>
  <c r="D1326" i="5"/>
  <c r="D1327" i="5"/>
  <c r="D1328" i="5"/>
  <c r="D1329" i="5"/>
  <c r="D1330" i="5"/>
  <c r="D1331" i="5"/>
  <c r="D1332" i="5"/>
  <c r="D1333" i="5"/>
  <c r="D1334" i="5"/>
  <c r="D1335" i="5"/>
  <c r="D1336" i="5"/>
  <c r="D1337" i="5"/>
  <c r="D1338" i="5"/>
  <c r="D1339" i="5"/>
  <c r="D1340" i="5"/>
  <c r="D1341" i="5"/>
  <c r="D1342" i="5"/>
  <c r="D1343" i="5"/>
  <c r="D1344" i="5"/>
  <c r="D1345" i="5"/>
  <c r="D1346" i="5"/>
  <c r="D1347" i="5"/>
  <c r="D1348" i="5"/>
  <c r="D1349" i="5"/>
  <c r="D1350" i="5"/>
  <c r="D1351" i="5"/>
  <c r="D1352" i="5"/>
  <c r="D1353" i="5"/>
  <c r="D1354" i="5"/>
  <c r="D1355" i="5"/>
  <c r="D1356" i="5"/>
  <c r="D1357" i="5"/>
  <c r="D1358" i="5"/>
  <c r="D1359" i="5"/>
  <c r="D1360" i="5"/>
  <c r="D1361" i="5"/>
  <c r="D1362" i="5"/>
  <c r="D1363" i="5"/>
  <c r="D1364" i="5"/>
  <c r="D1365" i="5"/>
  <c r="D1366" i="5"/>
  <c r="D1367" i="5"/>
  <c r="D1368" i="5"/>
  <c r="D1369" i="5"/>
  <c r="D1370" i="5"/>
  <c r="D1371" i="5"/>
  <c r="D1372" i="5"/>
  <c r="D1373" i="5"/>
  <c r="D1374" i="5"/>
  <c r="D1375" i="5"/>
  <c r="D1376" i="5"/>
  <c r="D1377" i="5"/>
  <c r="D1378" i="5"/>
  <c r="D1379" i="5"/>
  <c r="D1380" i="5"/>
  <c r="D1381" i="5"/>
  <c r="D1382" i="5"/>
  <c r="D1383" i="5"/>
  <c r="D1384" i="5"/>
  <c r="D1385" i="5"/>
  <c r="D1386" i="5"/>
  <c r="D1387" i="5"/>
  <c r="D1388" i="5"/>
  <c r="D1389" i="5"/>
  <c r="D1390" i="5"/>
  <c r="D1391" i="5"/>
  <c r="D1392" i="5"/>
  <c r="D1393" i="5"/>
  <c r="D1394" i="5"/>
  <c r="D1395" i="5"/>
  <c r="D1396" i="5"/>
  <c r="D1397" i="5"/>
  <c r="D1398" i="5"/>
  <c r="D1399" i="5"/>
  <c r="D1400" i="5"/>
  <c r="D1401" i="5"/>
  <c r="D1402" i="5"/>
  <c r="D1403" i="5"/>
  <c r="D1404" i="5"/>
  <c r="D1405" i="5"/>
  <c r="D1406" i="5"/>
  <c r="D1407" i="5"/>
  <c r="D1408" i="5"/>
  <c r="D1409" i="5"/>
  <c r="D1410" i="5"/>
  <c r="D1411" i="5"/>
  <c r="D1412" i="5"/>
  <c r="D1413" i="5"/>
  <c r="D1414" i="5"/>
  <c r="D1415" i="5"/>
  <c r="D1416" i="5"/>
  <c r="D1417" i="5"/>
  <c r="D1418" i="5"/>
  <c r="D1419" i="5"/>
  <c r="D1420" i="5"/>
  <c r="D1421" i="5"/>
  <c r="D1422" i="5"/>
  <c r="D1423" i="5"/>
  <c r="D1424" i="5"/>
  <c r="D1425" i="5"/>
  <c r="D1426" i="5"/>
  <c r="D1427" i="5"/>
  <c r="D1428" i="5"/>
  <c r="D1429" i="5"/>
  <c r="D1430" i="5"/>
  <c r="D1431" i="5"/>
  <c r="D1432" i="5"/>
  <c r="D1433" i="5"/>
  <c r="D1434" i="5"/>
  <c r="D1435" i="5"/>
  <c r="D1436" i="5"/>
  <c r="D1437" i="5"/>
  <c r="D1438" i="5"/>
  <c r="D1439" i="5"/>
  <c r="D1440" i="5"/>
  <c r="D1441" i="5"/>
  <c r="D1442" i="5"/>
  <c r="D1443" i="5"/>
  <c r="D1444" i="5"/>
  <c r="D1445" i="5"/>
  <c r="D1446" i="5"/>
  <c r="D1447" i="5"/>
  <c r="D1448" i="5"/>
  <c r="D1449" i="5"/>
  <c r="D1450" i="5"/>
  <c r="D1451" i="5"/>
  <c r="D1452" i="5"/>
  <c r="D1453" i="5"/>
  <c r="D1454" i="5"/>
  <c r="D1455" i="5"/>
  <c r="D1456" i="5"/>
  <c r="D1457" i="5"/>
  <c r="D1458" i="5"/>
  <c r="D1459" i="5"/>
  <c r="D1460" i="5"/>
  <c r="D1461" i="5"/>
  <c r="D1462" i="5"/>
  <c r="D1463" i="5"/>
  <c r="D1464" i="5"/>
  <c r="D1465" i="5"/>
  <c r="D1466" i="5"/>
  <c r="D1467" i="5"/>
  <c r="D1468" i="5"/>
  <c r="D1469" i="5"/>
  <c r="D1470" i="5"/>
  <c r="D1471" i="5"/>
  <c r="D1472" i="5"/>
  <c r="D1473" i="5"/>
  <c r="D1474" i="5"/>
  <c r="D1475" i="5"/>
  <c r="D1476" i="5"/>
  <c r="D1477" i="5"/>
  <c r="D1478" i="5"/>
  <c r="D1479" i="5"/>
  <c r="D1480" i="5"/>
  <c r="D1481" i="5"/>
  <c r="D1482" i="5"/>
  <c r="D1483" i="5"/>
  <c r="D1484" i="5"/>
  <c r="D1485" i="5"/>
  <c r="D1486" i="5"/>
  <c r="D1487" i="5"/>
  <c r="D1488" i="5"/>
  <c r="D1489" i="5"/>
  <c r="D1490" i="5"/>
  <c r="D1491" i="5"/>
  <c r="D1492" i="5"/>
  <c r="D1493" i="5"/>
  <c r="D1494" i="5"/>
  <c r="D1495" i="5"/>
  <c r="D1496" i="5"/>
  <c r="D1497" i="5"/>
  <c r="D1498" i="5"/>
  <c r="D1499" i="5"/>
  <c r="D1500" i="5"/>
  <c r="D1501" i="5"/>
  <c r="D1502" i="5"/>
  <c r="D1503" i="5"/>
  <c r="D1504" i="5"/>
  <c r="D1505" i="5"/>
  <c r="D1506" i="5"/>
  <c r="D1507" i="5"/>
  <c r="D1508" i="5"/>
  <c r="D1509" i="5"/>
  <c r="D1510" i="5"/>
  <c r="D1511" i="5"/>
  <c r="D1512" i="5"/>
  <c r="D1513" i="5"/>
  <c r="D1514" i="5"/>
  <c r="D1515" i="5"/>
  <c r="D1516" i="5"/>
  <c r="D1517" i="5"/>
  <c r="D1518" i="5"/>
  <c r="D1519" i="5"/>
  <c r="D1520" i="5"/>
  <c r="D1521" i="5"/>
  <c r="D1522" i="5"/>
  <c r="D1523" i="5"/>
  <c r="D1524" i="5"/>
  <c r="D1525" i="5"/>
  <c r="D1526" i="5"/>
  <c r="D1527" i="5"/>
  <c r="D1528" i="5"/>
  <c r="D1529" i="5"/>
  <c r="D1530" i="5"/>
  <c r="D1531" i="5"/>
  <c r="D1532" i="5"/>
  <c r="D1533" i="5"/>
  <c r="D1534" i="5"/>
  <c r="D1535" i="5"/>
  <c r="D1536" i="5"/>
  <c r="D1537" i="5"/>
  <c r="D1538" i="5"/>
  <c r="D1539" i="5"/>
  <c r="D1540" i="5"/>
  <c r="D1541" i="5"/>
  <c r="D1542" i="5"/>
  <c r="D1543" i="5"/>
  <c r="D1544" i="5"/>
  <c r="D1545" i="5"/>
  <c r="D1546" i="5"/>
  <c r="D1547" i="5"/>
  <c r="D1548" i="5"/>
  <c r="D1549" i="5"/>
  <c r="D1550" i="5"/>
  <c r="D1551" i="5"/>
  <c r="D1552" i="5"/>
  <c r="D1553" i="5"/>
  <c r="D1554" i="5"/>
  <c r="D1555" i="5"/>
  <c r="D1556" i="5"/>
  <c r="D1557" i="5"/>
  <c r="D1558" i="5"/>
  <c r="D1559" i="5"/>
  <c r="D1560" i="5"/>
  <c r="D1561" i="5"/>
  <c r="D1562" i="5"/>
  <c r="D1563" i="5"/>
  <c r="D1564" i="5"/>
  <c r="D1565" i="5"/>
  <c r="D1566" i="5"/>
  <c r="D1567" i="5"/>
  <c r="D1568" i="5"/>
  <c r="D1569" i="5"/>
  <c r="D1570" i="5"/>
  <c r="D1571" i="5"/>
  <c r="D1572" i="5"/>
  <c r="D1573" i="5"/>
  <c r="D1574" i="5"/>
  <c r="D1575" i="5"/>
  <c r="D1576" i="5"/>
  <c r="D1577" i="5"/>
  <c r="D1578" i="5"/>
  <c r="D1579" i="5"/>
  <c r="D1580" i="5"/>
  <c r="D1581" i="5"/>
  <c r="D1582" i="5"/>
  <c r="D1583" i="5"/>
  <c r="D1584" i="5"/>
  <c r="D1585" i="5"/>
  <c r="D1586" i="5"/>
  <c r="D1587" i="5"/>
  <c r="D1588" i="5"/>
  <c r="D1589" i="5"/>
  <c r="D1590" i="5"/>
  <c r="D1591" i="5"/>
  <c r="D1592" i="5"/>
  <c r="D1593" i="5"/>
  <c r="D1594" i="5"/>
  <c r="D1595" i="5"/>
  <c r="D1596" i="5"/>
  <c r="D1597" i="5"/>
  <c r="D1598" i="5"/>
  <c r="D1599" i="5"/>
  <c r="D1600" i="5"/>
  <c r="D1601" i="5"/>
  <c r="D1602" i="5"/>
  <c r="D1603" i="5"/>
  <c r="D1604" i="5"/>
  <c r="D1605" i="5"/>
  <c r="D1606" i="5"/>
  <c r="D1607" i="5"/>
  <c r="D1608" i="5"/>
  <c r="D1609" i="5"/>
  <c r="D1610" i="5"/>
  <c r="D1611" i="5"/>
  <c r="D1612" i="5"/>
  <c r="D1613" i="5"/>
  <c r="D1614" i="5"/>
  <c r="D1615" i="5"/>
  <c r="D1616" i="5"/>
  <c r="D1617" i="5"/>
  <c r="D1618" i="5"/>
  <c r="D1619" i="5"/>
  <c r="D1620" i="5"/>
  <c r="D1621" i="5"/>
  <c r="D1622" i="5"/>
  <c r="D1623" i="5"/>
  <c r="D1624" i="5"/>
  <c r="D1625" i="5"/>
  <c r="D1626" i="5"/>
  <c r="D1627" i="5"/>
  <c r="D1628" i="5"/>
  <c r="D1629" i="5"/>
  <c r="D1630" i="5"/>
  <c r="D1631" i="5"/>
  <c r="D1632" i="5"/>
  <c r="D1633" i="5"/>
  <c r="D1634" i="5"/>
  <c r="D1635" i="5"/>
  <c r="D1636" i="5"/>
  <c r="D1637" i="5"/>
  <c r="D1638" i="5"/>
  <c r="D1639" i="5"/>
  <c r="D1640" i="5"/>
  <c r="D1641" i="5"/>
  <c r="D1642" i="5"/>
  <c r="D1643" i="5"/>
  <c r="D1644" i="5"/>
  <c r="D1645" i="5"/>
  <c r="D1646" i="5"/>
  <c r="D1647" i="5"/>
  <c r="D1648" i="5"/>
  <c r="D1649" i="5"/>
  <c r="D1650" i="5"/>
  <c r="D1651" i="5"/>
  <c r="D1652" i="5"/>
  <c r="D1653" i="5"/>
  <c r="D1654" i="5"/>
  <c r="D1655" i="5"/>
  <c r="D1656" i="5"/>
  <c r="D1657" i="5"/>
  <c r="D1658" i="5"/>
  <c r="D1659" i="5"/>
  <c r="D1660" i="5"/>
  <c r="D1661" i="5"/>
  <c r="D1662" i="5"/>
  <c r="D1663" i="5"/>
  <c r="D1664" i="5"/>
  <c r="D1665" i="5"/>
  <c r="D1666" i="5"/>
  <c r="D1667" i="5"/>
  <c r="D1668" i="5"/>
  <c r="D1669" i="5"/>
  <c r="D1670" i="5"/>
  <c r="D1671" i="5"/>
  <c r="D1672" i="5"/>
  <c r="D1673" i="5"/>
  <c r="D1674" i="5"/>
  <c r="D1675" i="5"/>
  <c r="D1676" i="5"/>
  <c r="D1677" i="5"/>
  <c r="D1678" i="5"/>
  <c r="D1679" i="5"/>
  <c r="D1680" i="5"/>
  <c r="D1681" i="5"/>
  <c r="D1682" i="5"/>
  <c r="D1683" i="5"/>
  <c r="D1684" i="5"/>
  <c r="D1685" i="5"/>
  <c r="D1686" i="5"/>
  <c r="D1687" i="5"/>
  <c r="D1688" i="5"/>
  <c r="D1689" i="5"/>
  <c r="D1690" i="5"/>
  <c r="D1691" i="5"/>
  <c r="D1692" i="5"/>
  <c r="D1693" i="5"/>
  <c r="D1694" i="5"/>
  <c r="D1695" i="5"/>
  <c r="D1696" i="5"/>
  <c r="D1697" i="5"/>
  <c r="D1698" i="5"/>
  <c r="D1699" i="5"/>
  <c r="D1700" i="5"/>
  <c r="D1701" i="5"/>
  <c r="D1702" i="5"/>
  <c r="D1703" i="5"/>
  <c r="D1704" i="5"/>
  <c r="D1705" i="5"/>
  <c r="D1706" i="5"/>
  <c r="D1707" i="5"/>
  <c r="D1708" i="5"/>
  <c r="D1709" i="5"/>
  <c r="D1710" i="5"/>
  <c r="D1711" i="5"/>
  <c r="D1712" i="5"/>
  <c r="D1713" i="5"/>
  <c r="D1714" i="5"/>
  <c r="D1715" i="5"/>
  <c r="D1716" i="5"/>
  <c r="D1717" i="5"/>
  <c r="D1718" i="5"/>
  <c r="D1719" i="5"/>
  <c r="D1720" i="5"/>
  <c r="D1721" i="5"/>
  <c r="D1722" i="5"/>
  <c r="D1723" i="5"/>
  <c r="D1724" i="5"/>
  <c r="D1725" i="5"/>
  <c r="D1726" i="5"/>
  <c r="D1727" i="5"/>
  <c r="D1728" i="5"/>
  <c r="D1729" i="5"/>
  <c r="D1730" i="5"/>
  <c r="D1731" i="5"/>
  <c r="D1732" i="5"/>
  <c r="D1733" i="5"/>
  <c r="D1734" i="5"/>
  <c r="D1735" i="5"/>
  <c r="D1736" i="5"/>
  <c r="D1737" i="5"/>
  <c r="D1738" i="5"/>
  <c r="D1739" i="5"/>
  <c r="D1740" i="5"/>
  <c r="D1741" i="5"/>
  <c r="D1742" i="5"/>
  <c r="D1743" i="5"/>
  <c r="D1744" i="5"/>
  <c r="D1745" i="5"/>
  <c r="D1746" i="5"/>
  <c r="D1747" i="5"/>
  <c r="D1748" i="5"/>
  <c r="D1749" i="5"/>
  <c r="D1750" i="5"/>
  <c r="D1751" i="5"/>
  <c r="D1752" i="5"/>
  <c r="D1753" i="5"/>
  <c r="D1754" i="5"/>
  <c r="D1755" i="5"/>
  <c r="D1756" i="5"/>
  <c r="D1757" i="5"/>
  <c r="D1758" i="5"/>
  <c r="D1759" i="5"/>
  <c r="D1760" i="5"/>
  <c r="D1761" i="5"/>
  <c r="D1762" i="5"/>
  <c r="D1763" i="5"/>
  <c r="D1764" i="5"/>
  <c r="D1765" i="5"/>
  <c r="D1766" i="5"/>
  <c r="D1767" i="5"/>
  <c r="D1768" i="5"/>
  <c r="D1769" i="5"/>
  <c r="D1770" i="5"/>
  <c r="D1771" i="5"/>
  <c r="D1772" i="5"/>
  <c r="D1773" i="5"/>
  <c r="D1774" i="5"/>
  <c r="D1775" i="5"/>
  <c r="D1776" i="5"/>
  <c r="D1777" i="5"/>
  <c r="D1778" i="5"/>
  <c r="D1779" i="5"/>
  <c r="D1780" i="5"/>
  <c r="D1781" i="5"/>
  <c r="D1782" i="5"/>
  <c r="D1783" i="5"/>
  <c r="D1784" i="5"/>
  <c r="D1785" i="5"/>
  <c r="D1786" i="5"/>
  <c r="D1787" i="5"/>
  <c r="D1788" i="5"/>
  <c r="D1789" i="5"/>
  <c r="D1790" i="5"/>
  <c r="D1791" i="5"/>
  <c r="D1792" i="5"/>
  <c r="D1793" i="5"/>
  <c r="D1794" i="5"/>
  <c r="D1795" i="5"/>
  <c r="D1796" i="5"/>
  <c r="D1797" i="5"/>
  <c r="D1798" i="5"/>
  <c r="D1799" i="5"/>
  <c r="D1800" i="5"/>
  <c r="D1801" i="5"/>
  <c r="D1802" i="5"/>
  <c r="D1803" i="5"/>
  <c r="D1804" i="5"/>
  <c r="D1805" i="5"/>
  <c r="D1806" i="5"/>
  <c r="D1807" i="5"/>
  <c r="D1808" i="5"/>
  <c r="D1809" i="5"/>
  <c r="D1810" i="5"/>
  <c r="D1811" i="5"/>
  <c r="D1812" i="5"/>
  <c r="D1813" i="5"/>
  <c r="D1814" i="5"/>
  <c r="D1815" i="5"/>
  <c r="D1816" i="5"/>
  <c r="D1817" i="5"/>
  <c r="D1818" i="5"/>
  <c r="D1819" i="5"/>
  <c r="D1820" i="5"/>
  <c r="D1821" i="5"/>
  <c r="D1822" i="5"/>
  <c r="D1823" i="5"/>
  <c r="D1824" i="5"/>
  <c r="D1825" i="5"/>
  <c r="D1826" i="5"/>
  <c r="D1827" i="5"/>
  <c r="D1828" i="5"/>
  <c r="D1829" i="5"/>
  <c r="D1830" i="5"/>
  <c r="D1831" i="5"/>
  <c r="D1832" i="5"/>
  <c r="D1833" i="5"/>
  <c r="D1834" i="5"/>
  <c r="D1835" i="5"/>
  <c r="D1836" i="5"/>
  <c r="D1837" i="5"/>
  <c r="D1838" i="5"/>
  <c r="D1839" i="5"/>
  <c r="D1840" i="5"/>
  <c r="D1841" i="5"/>
  <c r="D1842" i="5"/>
  <c r="D1843" i="5"/>
  <c r="D1844" i="5"/>
  <c r="D1845" i="5"/>
  <c r="D1846" i="5"/>
  <c r="D1847" i="5"/>
  <c r="D1848" i="5"/>
  <c r="D1849" i="5"/>
  <c r="D1850" i="5"/>
  <c r="D1851" i="5"/>
  <c r="D1852" i="5"/>
  <c r="D1853" i="5"/>
  <c r="D1854" i="5"/>
  <c r="D1855" i="5"/>
  <c r="D1856" i="5"/>
  <c r="D1857" i="5"/>
  <c r="D1858" i="5"/>
  <c r="D1859" i="5"/>
  <c r="D1860" i="5"/>
  <c r="D1861" i="5"/>
  <c r="D1862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E98" i="5"/>
  <c r="E99" i="5"/>
  <c r="E100" i="5"/>
  <c r="E101" i="5"/>
  <c r="E102" i="5"/>
  <c r="E103" i="5"/>
  <c r="E104" i="5"/>
  <c r="E105" i="5"/>
  <c r="E106" i="5"/>
  <c r="E107" i="5"/>
  <c r="E108" i="5"/>
  <c r="E109" i="5"/>
  <c r="E110" i="5"/>
  <c r="E111" i="5"/>
  <c r="E112" i="5"/>
  <c r="E113" i="5"/>
  <c r="E114" i="5"/>
  <c r="E115" i="5"/>
  <c r="E116" i="5"/>
  <c r="E117" i="5"/>
  <c r="E118" i="5"/>
  <c r="E119" i="5"/>
  <c r="E120" i="5"/>
  <c r="E121" i="5"/>
  <c r="E122" i="5"/>
  <c r="E123" i="5"/>
  <c r="E124" i="5"/>
  <c r="E125" i="5"/>
  <c r="E126" i="5"/>
  <c r="E127" i="5"/>
  <c r="E128" i="5"/>
  <c r="E129" i="5"/>
  <c r="E130" i="5"/>
  <c r="E131" i="5"/>
  <c r="E132" i="5"/>
  <c r="E133" i="5"/>
  <c r="E134" i="5"/>
  <c r="E135" i="5"/>
  <c r="E136" i="5"/>
  <c r="E137" i="5"/>
  <c r="E138" i="5"/>
  <c r="E139" i="5"/>
  <c r="E140" i="5"/>
  <c r="E141" i="5"/>
  <c r="E142" i="5"/>
  <c r="E143" i="5"/>
  <c r="E144" i="5"/>
  <c r="E145" i="5"/>
  <c r="E146" i="5"/>
  <c r="E147" i="5"/>
  <c r="E148" i="5"/>
  <c r="E149" i="5"/>
  <c r="E150" i="5"/>
  <c r="E151" i="5"/>
  <c r="E152" i="5"/>
  <c r="E153" i="5"/>
  <c r="E154" i="5"/>
  <c r="E155" i="5"/>
  <c r="E156" i="5"/>
  <c r="E157" i="5"/>
  <c r="E158" i="5"/>
  <c r="E159" i="5"/>
  <c r="E160" i="5"/>
  <c r="E161" i="5"/>
  <c r="E162" i="5"/>
  <c r="E163" i="5"/>
  <c r="E164" i="5"/>
  <c r="E165" i="5"/>
  <c r="E166" i="5"/>
  <c r="E167" i="5"/>
  <c r="E168" i="5"/>
  <c r="E169" i="5"/>
  <c r="E170" i="5"/>
  <c r="E171" i="5"/>
  <c r="E172" i="5"/>
  <c r="E173" i="5"/>
  <c r="E174" i="5"/>
  <c r="E175" i="5"/>
  <c r="E176" i="5"/>
  <c r="E177" i="5"/>
  <c r="E178" i="5"/>
  <c r="E179" i="5"/>
  <c r="E180" i="5"/>
  <c r="E181" i="5"/>
  <c r="E182" i="5"/>
  <c r="E183" i="5"/>
  <c r="E184" i="5"/>
  <c r="E185" i="5"/>
  <c r="E186" i="5"/>
  <c r="E187" i="5"/>
  <c r="E188" i="5"/>
  <c r="E189" i="5"/>
  <c r="E190" i="5"/>
  <c r="E191" i="5"/>
  <c r="E192" i="5"/>
  <c r="E193" i="5"/>
  <c r="E194" i="5"/>
  <c r="E195" i="5"/>
  <c r="E196" i="5"/>
  <c r="E197" i="5"/>
  <c r="E198" i="5"/>
  <c r="E199" i="5"/>
  <c r="E200" i="5"/>
  <c r="E201" i="5"/>
  <c r="E202" i="5"/>
  <c r="E203" i="5"/>
  <c r="E204" i="5"/>
  <c r="E205" i="5"/>
  <c r="E206" i="5"/>
  <c r="E207" i="5"/>
  <c r="E208" i="5"/>
  <c r="E209" i="5"/>
  <c r="E210" i="5"/>
  <c r="E211" i="5"/>
  <c r="E212" i="5"/>
  <c r="E213" i="5"/>
  <c r="E214" i="5"/>
  <c r="E215" i="5"/>
  <c r="E216" i="5"/>
  <c r="E217" i="5"/>
  <c r="E218" i="5"/>
  <c r="E219" i="5"/>
  <c r="E220" i="5"/>
  <c r="E221" i="5"/>
  <c r="E222" i="5"/>
  <c r="E223" i="5"/>
  <c r="E224" i="5"/>
  <c r="E225" i="5"/>
  <c r="E226" i="5"/>
  <c r="E227" i="5"/>
  <c r="E228" i="5"/>
  <c r="E229" i="5"/>
  <c r="E230" i="5"/>
  <c r="E231" i="5"/>
  <c r="E232" i="5"/>
  <c r="E233" i="5"/>
  <c r="E234" i="5"/>
  <c r="E235" i="5"/>
  <c r="E236" i="5"/>
  <c r="E237" i="5"/>
  <c r="E238" i="5"/>
  <c r="E239" i="5"/>
  <c r="E240" i="5"/>
  <c r="E241" i="5"/>
  <c r="E242" i="5"/>
  <c r="E243" i="5"/>
  <c r="E244" i="5"/>
  <c r="E245" i="5"/>
  <c r="E246" i="5"/>
  <c r="E247" i="5"/>
  <c r="E248" i="5"/>
  <c r="E249" i="5"/>
  <c r="E250" i="5"/>
  <c r="E251" i="5"/>
  <c r="E252" i="5"/>
  <c r="E253" i="5"/>
  <c r="E254" i="5"/>
  <c r="E255" i="5"/>
  <c r="E256" i="5"/>
  <c r="E257" i="5"/>
  <c r="E258" i="5"/>
  <c r="E259" i="5"/>
  <c r="E260" i="5"/>
  <c r="E261" i="5"/>
  <c r="E262" i="5"/>
  <c r="E263" i="5"/>
  <c r="E264" i="5"/>
  <c r="E265" i="5"/>
  <c r="E266" i="5"/>
  <c r="E267" i="5"/>
  <c r="E268" i="5"/>
  <c r="E269" i="5"/>
  <c r="E270" i="5"/>
  <c r="E271" i="5"/>
  <c r="E272" i="5"/>
  <c r="E273" i="5"/>
  <c r="E274" i="5"/>
  <c r="E275" i="5"/>
  <c r="E276" i="5"/>
  <c r="E277" i="5"/>
  <c r="E278" i="5"/>
  <c r="E279" i="5"/>
  <c r="E280" i="5"/>
  <c r="E281" i="5"/>
  <c r="E282" i="5"/>
  <c r="E283" i="5"/>
  <c r="E284" i="5"/>
  <c r="E285" i="5"/>
  <c r="E286" i="5"/>
  <c r="E287" i="5"/>
  <c r="E288" i="5"/>
  <c r="E289" i="5"/>
  <c r="E290" i="5"/>
  <c r="E291" i="5"/>
  <c r="E292" i="5"/>
  <c r="E293" i="5"/>
  <c r="E294" i="5"/>
  <c r="E295" i="5"/>
  <c r="E296" i="5"/>
  <c r="E297" i="5"/>
  <c r="E298" i="5"/>
  <c r="E299" i="5"/>
  <c r="E300" i="5"/>
  <c r="E301" i="5"/>
  <c r="E302" i="5"/>
  <c r="E303" i="5"/>
  <c r="E304" i="5"/>
  <c r="E305" i="5"/>
  <c r="E306" i="5"/>
  <c r="E307" i="5"/>
  <c r="E308" i="5"/>
  <c r="E309" i="5"/>
  <c r="E310" i="5"/>
  <c r="E311" i="5"/>
  <c r="E312" i="5"/>
  <c r="E313" i="5"/>
  <c r="E314" i="5"/>
  <c r="E315" i="5"/>
  <c r="E316" i="5"/>
  <c r="E317" i="5"/>
  <c r="E318" i="5"/>
  <c r="E319" i="5"/>
  <c r="E320" i="5"/>
  <c r="E321" i="5"/>
  <c r="E322" i="5"/>
  <c r="E323" i="5"/>
  <c r="E324" i="5"/>
  <c r="E325" i="5"/>
  <c r="E326" i="5"/>
  <c r="E327" i="5"/>
  <c r="E328" i="5"/>
  <c r="E329" i="5"/>
  <c r="E330" i="5"/>
  <c r="E331" i="5"/>
  <c r="E332" i="5"/>
  <c r="E333" i="5"/>
  <c r="E334" i="5"/>
  <c r="E335" i="5"/>
  <c r="E336" i="5"/>
  <c r="E337" i="5"/>
  <c r="E338" i="5"/>
  <c r="E339" i="5"/>
  <c r="E340" i="5"/>
  <c r="E341" i="5"/>
  <c r="E342" i="5"/>
  <c r="E343" i="5"/>
  <c r="E344" i="5"/>
  <c r="E345" i="5"/>
  <c r="E346" i="5"/>
  <c r="E347" i="5"/>
  <c r="E348" i="5"/>
  <c r="E349" i="5"/>
  <c r="E350" i="5"/>
  <c r="E351" i="5"/>
  <c r="E352" i="5"/>
  <c r="E353" i="5"/>
  <c r="E354" i="5"/>
  <c r="E355" i="5"/>
  <c r="E356" i="5"/>
  <c r="E357" i="5"/>
  <c r="E358" i="5"/>
  <c r="E359" i="5"/>
  <c r="E360" i="5"/>
  <c r="E361" i="5"/>
  <c r="E362" i="5"/>
  <c r="E363" i="5"/>
  <c r="E364" i="5"/>
  <c r="E365" i="5"/>
  <c r="E366" i="5"/>
  <c r="E367" i="5"/>
  <c r="E368" i="5"/>
  <c r="E369" i="5"/>
  <c r="E370" i="5"/>
  <c r="E371" i="5"/>
  <c r="E372" i="5"/>
  <c r="E373" i="5"/>
  <c r="E374" i="5"/>
  <c r="E375" i="5"/>
  <c r="E376" i="5"/>
  <c r="E377" i="5"/>
  <c r="E378" i="5"/>
  <c r="E379" i="5"/>
  <c r="E380" i="5"/>
  <c r="E381" i="5"/>
  <c r="E382" i="5"/>
  <c r="E383" i="5"/>
  <c r="E384" i="5"/>
  <c r="E385" i="5"/>
  <c r="E386" i="5"/>
  <c r="E387" i="5"/>
  <c r="E388" i="5"/>
  <c r="E389" i="5"/>
  <c r="E390" i="5"/>
  <c r="E391" i="5"/>
  <c r="E392" i="5"/>
  <c r="E393" i="5"/>
  <c r="E394" i="5"/>
  <c r="E395" i="5"/>
  <c r="E396" i="5"/>
  <c r="E397" i="5"/>
  <c r="E398" i="5"/>
  <c r="E399" i="5"/>
  <c r="E400" i="5"/>
  <c r="E401" i="5"/>
  <c r="E402" i="5"/>
  <c r="E403" i="5"/>
  <c r="E404" i="5"/>
  <c r="E405" i="5"/>
  <c r="E406" i="5"/>
  <c r="E407" i="5"/>
  <c r="E408" i="5"/>
  <c r="E409" i="5"/>
  <c r="E410" i="5"/>
  <c r="E411" i="5"/>
  <c r="E412" i="5"/>
  <c r="E413" i="5"/>
  <c r="E414" i="5"/>
  <c r="E415" i="5"/>
  <c r="E416" i="5"/>
  <c r="E417" i="5"/>
  <c r="E418" i="5"/>
  <c r="E419" i="5"/>
  <c r="E420" i="5"/>
  <c r="E421" i="5"/>
  <c r="E422" i="5"/>
  <c r="E423" i="5"/>
  <c r="E424" i="5"/>
  <c r="E425" i="5"/>
  <c r="E426" i="5"/>
  <c r="E427" i="5"/>
  <c r="E428" i="5"/>
  <c r="E429" i="5"/>
  <c r="E430" i="5"/>
  <c r="E431" i="5"/>
  <c r="E432" i="5"/>
  <c r="E433" i="5"/>
  <c r="E434" i="5"/>
  <c r="E435" i="5"/>
  <c r="E436" i="5"/>
  <c r="E437" i="5"/>
  <c r="E438" i="5"/>
  <c r="E439" i="5"/>
  <c r="E440" i="5"/>
  <c r="E441" i="5"/>
  <c r="E442" i="5"/>
  <c r="E443" i="5"/>
  <c r="E444" i="5"/>
  <c r="E445" i="5"/>
  <c r="E446" i="5"/>
  <c r="E447" i="5"/>
  <c r="E448" i="5"/>
  <c r="E449" i="5"/>
  <c r="E450" i="5"/>
  <c r="E451" i="5"/>
  <c r="E452" i="5"/>
  <c r="E453" i="5"/>
  <c r="E454" i="5"/>
  <c r="E455" i="5"/>
  <c r="E456" i="5"/>
  <c r="E457" i="5"/>
  <c r="E458" i="5"/>
  <c r="E459" i="5"/>
  <c r="E460" i="5"/>
  <c r="E461" i="5"/>
  <c r="E462" i="5"/>
  <c r="E463" i="5"/>
  <c r="E464" i="5"/>
  <c r="E465" i="5"/>
  <c r="E466" i="5"/>
  <c r="E467" i="5"/>
  <c r="E468" i="5"/>
  <c r="E469" i="5"/>
  <c r="E470" i="5"/>
  <c r="E471" i="5"/>
  <c r="E472" i="5"/>
  <c r="E473" i="5"/>
  <c r="E474" i="5"/>
  <c r="E475" i="5"/>
  <c r="E476" i="5"/>
  <c r="E477" i="5"/>
  <c r="E478" i="5"/>
  <c r="E479" i="5"/>
  <c r="E480" i="5"/>
  <c r="E481" i="5"/>
  <c r="E482" i="5"/>
  <c r="E483" i="5"/>
  <c r="E484" i="5"/>
  <c r="E485" i="5"/>
  <c r="E486" i="5"/>
  <c r="E487" i="5"/>
  <c r="E488" i="5"/>
  <c r="E489" i="5"/>
  <c r="E490" i="5"/>
  <c r="E491" i="5"/>
  <c r="E492" i="5"/>
  <c r="E493" i="5"/>
  <c r="E494" i="5"/>
  <c r="E495" i="5"/>
  <c r="E496" i="5"/>
  <c r="E497" i="5"/>
  <c r="E498" i="5"/>
  <c r="E499" i="5"/>
  <c r="E500" i="5"/>
  <c r="E501" i="5"/>
  <c r="E502" i="5"/>
  <c r="E503" i="5"/>
  <c r="E504" i="5"/>
  <c r="E505" i="5"/>
  <c r="E506" i="5"/>
  <c r="E507" i="5"/>
  <c r="E508" i="5"/>
  <c r="E509" i="5"/>
  <c r="E510" i="5"/>
  <c r="E511" i="5"/>
  <c r="E512" i="5"/>
  <c r="E513" i="5"/>
  <c r="E514" i="5"/>
  <c r="E515" i="5"/>
  <c r="E516" i="5"/>
  <c r="E517" i="5"/>
  <c r="E518" i="5"/>
  <c r="E519" i="5"/>
  <c r="E520" i="5"/>
  <c r="E521" i="5"/>
  <c r="E522" i="5"/>
  <c r="E523" i="5"/>
  <c r="E524" i="5"/>
  <c r="E525" i="5"/>
  <c r="E526" i="5"/>
  <c r="E527" i="5"/>
  <c r="E528" i="5"/>
  <c r="E529" i="5"/>
  <c r="E530" i="5"/>
  <c r="E531" i="5"/>
  <c r="E532" i="5"/>
  <c r="E533" i="5"/>
  <c r="E534" i="5"/>
  <c r="E535" i="5"/>
  <c r="E536" i="5"/>
  <c r="E537" i="5"/>
  <c r="E538" i="5"/>
  <c r="E539" i="5"/>
  <c r="E540" i="5"/>
  <c r="E541" i="5"/>
  <c r="E542" i="5"/>
  <c r="E543" i="5"/>
  <c r="E544" i="5"/>
  <c r="E545" i="5"/>
  <c r="E546" i="5"/>
  <c r="E547" i="5"/>
  <c r="E548" i="5"/>
  <c r="E549" i="5"/>
  <c r="E550" i="5"/>
  <c r="E551" i="5"/>
  <c r="E552" i="5"/>
  <c r="E553" i="5"/>
  <c r="E554" i="5"/>
  <c r="E555" i="5"/>
  <c r="E556" i="5"/>
  <c r="E557" i="5"/>
  <c r="E558" i="5"/>
  <c r="E559" i="5"/>
  <c r="E560" i="5"/>
  <c r="E561" i="5"/>
  <c r="E562" i="5"/>
  <c r="E563" i="5"/>
  <c r="E564" i="5"/>
  <c r="E565" i="5"/>
  <c r="E566" i="5"/>
  <c r="E567" i="5"/>
  <c r="E568" i="5"/>
  <c r="E569" i="5"/>
  <c r="E570" i="5"/>
  <c r="E571" i="5"/>
  <c r="E572" i="5"/>
  <c r="E573" i="5"/>
  <c r="E574" i="5"/>
  <c r="E575" i="5"/>
  <c r="E576" i="5"/>
  <c r="E577" i="5"/>
  <c r="E578" i="5"/>
  <c r="E579" i="5"/>
  <c r="E580" i="5"/>
  <c r="E581" i="5"/>
  <c r="E582" i="5"/>
  <c r="E583" i="5"/>
  <c r="E584" i="5"/>
  <c r="E585" i="5"/>
  <c r="E586" i="5"/>
  <c r="E587" i="5"/>
  <c r="E588" i="5"/>
  <c r="E589" i="5"/>
  <c r="E590" i="5"/>
  <c r="E591" i="5"/>
  <c r="E592" i="5"/>
  <c r="E593" i="5"/>
  <c r="E594" i="5"/>
  <c r="E595" i="5"/>
  <c r="E596" i="5"/>
  <c r="E597" i="5"/>
  <c r="E598" i="5"/>
  <c r="E599" i="5"/>
  <c r="E600" i="5"/>
  <c r="E601" i="5"/>
  <c r="E602" i="5"/>
  <c r="E603" i="5"/>
  <c r="E604" i="5"/>
  <c r="E605" i="5"/>
  <c r="E606" i="5"/>
  <c r="E607" i="5"/>
  <c r="E608" i="5"/>
  <c r="E609" i="5"/>
  <c r="E610" i="5"/>
  <c r="E611" i="5"/>
  <c r="E612" i="5"/>
  <c r="E613" i="5"/>
  <c r="E614" i="5"/>
  <c r="E615" i="5"/>
  <c r="E616" i="5"/>
  <c r="E617" i="5"/>
  <c r="E618" i="5"/>
  <c r="E619" i="5"/>
  <c r="E620" i="5"/>
  <c r="E621" i="5"/>
  <c r="E622" i="5"/>
  <c r="E623" i="5"/>
  <c r="E624" i="5"/>
  <c r="E625" i="5"/>
  <c r="E626" i="5"/>
  <c r="E627" i="5"/>
  <c r="E628" i="5"/>
  <c r="E629" i="5"/>
  <c r="E630" i="5"/>
  <c r="E631" i="5"/>
  <c r="E632" i="5"/>
  <c r="E633" i="5"/>
  <c r="E634" i="5"/>
  <c r="E635" i="5"/>
  <c r="E636" i="5"/>
  <c r="E637" i="5"/>
  <c r="E638" i="5"/>
  <c r="E639" i="5"/>
  <c r="E640" i="5"/>
  <c r="E641" i="5"/>
  <c r="E642" i="5"/>
  <c r="E643" i="5"/>
  <c r="E644" i="5"/>
  <c r="E645" i="5"/>
  <c r="E646" i="5"/>
  <c r="E647" i="5"/>
  <c r="E648" i="5"/>
  <c r="E649" i="5"/>
  <c r="E650" i="5"/>
  <c r="E651" i="5"/>
  <c r="E652" i="5"/>
  <c r="E653" i="5"/>
  <c r="E654" i="5"/>
  <c r="E655" i="5"/>
  <c r="E656" i="5"/>
  <c r="E657" i="5"/>
  <c r="E658" i="5"/>
  <c r="E659" i="5"/>
  <c r="E660" i="5"/>
  <c r="E661" i="5"/>
  <c r="E662" i="5"/>
  <c r="E663" i="5"/>
  <c r="E664" i="5"/>
  <c r="E665" i="5"/>
  <c r="E666" i="5"/>
  <c r="E667" i="5"/>
  <c r="E668" i="5"/>
  <c r="E669" i="5"/>
  <c r="E670" i="5"/>
  <c r="E671" i="5"/>
  <c r="E672" i="5"/>
  <c r="E673" i="5"/>
  <c r="E674" i="5"/>
  <c r="E675" i="5"/>
  <c r="E676" i="5"/>
  <c r="E677" i="5"/>
  <c r="E678" i="5"/>
  <c r="E679" i="5"/>
  <c r="E680" i="5"/>
  <c r="E681" i="5"/>
  <c r="E682" i="5"/>
  <c r="E683" i="5"/>
  <c r="E684" i="5"/>
  <c r="E685" i="5"/>
  <c r="E686" i="5"/>
  <c r="E687" i="5"/>
  <c r="E688" i="5"/>
  <c r="E689" i="5"/>
  <c r="E690" i="5"/>
  <c r="E691" i="5"/>
  <c r="E692" i="5"/>
  <c r="E693" i="5"/>
  <c r="E694" i="5"/>
  <c r="E695" i="5"/>
  <c r="E696" i="5"/>
  <c r="E697" i="5"/>
  <c r="E698" i="5"/>
  <c r="E699" i="5"/>
  <c r="E700" i="5"/>
  <c r="E701" i="5"/>
  <c r="E702" i="5"/>
  <c r="E703" i="5"/>
  <c r="E704" i="5"/>
  <c r="E705" i="5"/>
  <c r="E706" i="5"/>
  <c r="E707" i="5"/>
  <c r="E708" i="5"/>
  <c r="E709" i="5"/>
  <c r="E710" i="5"/>
  <c r="E711" i="5"/>
  <c r="E712" i="5"/>
  <c r="E713" i="5"/>
  <c r="E714" i="5"/>
  <c r="E715" i="5"/>
  <c r="E716" i="5"/>
  <c r="E717" i="5"/>
  <c r="E718" i="5"/>
  <c r="E719" i="5"/>
  <c r="E720" i="5"/>
  <c r="E721" i="5"/>
  <c r="E722" i="5"/>
  <c r="E723" i="5"/>
  <c r="E724" i="5"/>
  <c r="E725" i="5"/>
  <c r="E726" i="5"/>
  <c r="E727" i="5"/>
  <c r="E728" i="5"/>
  <c r="E729" i="5"/>
  <c r="E730" i="5"/>
  <c r="E731" i="5"/>
  <c r="E732" i="5"/>
  <c r="E733" i="5"/>
  <c r="E734" i="5"/>
  <c r="E735" i="5"/>
  <c r="E736" i="5"/>
  <c r="E737" i="5"/>
  <c r="E738" i="5"/>
  <c r="E739" i="5"/>
  <c r="E740" i="5"/>
  <c r="E741" i="5"/>
  <c r="E742" i="5"/>
  <c r="E743" i="5"/>
  <c r="E744" i="5"/>
  <c r="E745" i="5"/>
  <c r="E746" i="5"/>
  <c r="E747" i="5"/>
  <c r="E748" i="5"/>
  <c r="E749" i="5"/>
  <c r="E750" i="5"/>
  <c r="E751" i="5"/>
  <c r="E752" i="5"/>
  <c r="E753" i="5"/>
  <c r="E754" i="5"/>
  <c r="E755" i="5"/>
  <c r="E756" i="5"/>
  <c r="E757" i="5"/>
  <c r="E758" i="5"/>
  <c r="E759" i="5"/>
  <c r="E760" i="5"/>
  <c r="E761" i="5"/>
  <c r="E762" i="5"/>
  <c r="E763" i="5"/>
  <c r="E764" i="5"/>
  <c r="E765" i="5"/>
  <c r="E766" i="5"/>
  <c r="E767" i="5"/>
  <c r="E768" i="5"/>
  <c r="E769" i="5"/>
  <c r="E770" i="5"/>
  <c r="E771" i="5"/>
  <c r="E772" i="5"/>
  <c r="E773" i="5"/>
  <c r="E774" i="5"/>
  <c r="E775" i="5"/>
  <c r="E776" i="5"/>
  <c r="E777" i="5"/>
  <c r="E778" i="5"/>
  <c r="E779" i="5"/>
  <c r="E780" i="5"/>
  <c r="E781" i="5"/>
  <c r="E782" i="5"/>
  <c r="E783" i="5"/>
  <c r="E784" i="5"/>
  <c r="E785" i="5"/>
  <c r="E786" i="5"/>
  <c r="E787" i="5"/>
  <c r="E788" i="5"/>
  <c r="E789" i="5"/>
  <c r="E790" i="5"/>
  <c r="E791" i="5"/>
  <c r="E792" i="5"/>
  <c r="E793" i="5"/>
  <c r="E794" i="5"/>
  <c r="E795" i="5"/>
  <c r="E796" i="5"/>
  <c r="E797" i="5"/>
  <c r="E798" i="5"/>
  <c r="E799" i="5"/>
  <c r="E800" i="5"/>
  <c r="E801" i="5"/>
  <c r="E802" i="5"/>
  <c r="E803" i="5"/>
  <c r="E804" i="5"/>
  <c r="E805" i="5"/>
  <c r="E806" i="5"/>
  <c r="E807" i="5"/>
  <c r="E808" i="5"/>
  <c r="E809" i="5"/>
  <c r="E810" i="5"/>
  <c r="E811" i="5"/>
  <c r="E812" i="5"/>
  <c r="E813" i="5"/>
  <c r="E814" i="5"/>
  <c r="E815" i="5"/>
  <c r="E816" i="5"/>
  <c r="E817" i="5"/>
  <c r="E818" i="5"/>
  <c r="E819" i="5"/>
  <c r="E820" i="5"/>
  <c r="E821" i="5"/>
  <c r="E822" i="5"/>
  <c r="E823" i="5"/>
  <c r="E824" i="5"/>
  <c r="E825" i="5"/>
  <c r="E826" i="5"/>
  <c r="E827" i="5"/>
  <c r="E828" i="5"/>
  <c r="E829" i="5"/>
  <c r="E830" i="5"/>
  <c r="E831" i="5"/>
  <c r="E832" i="5"/>
  <c r="E833" i="5"/>
  <c r="E834" i="5"/>
  <c r="E835" i="5"/>
  <c r="E836" i="5"/>
  <c r="E837" i="5"/>
  <c r="E838" i="5"/>
  <c r="E839" i="5"/>
  <c r="E840" i="5"/>
  <c r="E841" i="5"/>
  <c r="E842" i="5"/>
  <c r="E843" i="5"/>
  <c r="E844" i="5"/>
  <c r="E845" i="5"/>
  <c r="E846" i="5"/>
  <c r="E847" i="5"/>
  <c r="E848" i="5"/>
  <c r="E849" i="5"/>
  <c r="E850" i="5"/>
  <c r="E851" i="5"/>
  <c r="E852" i="5"/>
  <c r="E853" i="5"/>
  <c r="E854" i="5"/>
  <c r="E855" i="5"/>
  <c r="E856" i="5"/>
  <c r="E857" i="5"/>
  <c r="E858" i="5"/>
  <c r="E859" i="5"/>
  <c r="E860" i="5"/>
  <c r="E861" i="5"/>
  <c r="E862" i="5"/>
  <c r="E863" i="5"/>
  <c r="E864" i="5"/>
  <c r="E865" i="5"/>
  <c r="E866" i="5"/>
  <c r="E867" i="5"/>
  <c r="E868" i="5"/>
  <c r="E869" i="5"/>
  <c r="E870" i="5"/>
  <c r="E871" i="5"/>
  <c r="E872" i="5"/>
  <c r="E873" i="5"/>
  <c r="E874" i="5"/>
  <c r="E875" i="5"/>
  <c r="E876" i="5"/>
  <c r="E877" i="5"/>
  <c r="E878" i="5"/>
  <c r="E879" i="5"/>
  <c r="E880" i="5"/>
  <c r="E881" i="5"/>
  <c r="E882" i="5"/>
  <c r="E883" i="5"/>
  <c r="E884" i="5"/>
  <c r="E885" i="5"/>
  <c r="E886" i="5"/>
  <c r="E887" i="5"/>
  <c r="E888" i="5"/>
  <c r="E889" i="5"/>
  <c r="E890" i="5"/>
  <c r="E891" i="5"/>
  <c r="E892" i="5"/>
  <c r="E893" i="5"/>
  <c r="E894" i="5"/>
  <c r="E895" i="5"/>
  <c r="E896" i="5"/>
  <c r="E897" i="5"/>
  <c r="E898" i="5"/>
  <c r="E899" i="5"/>
  <c r="E900" i="5"/>
  <c r="E901" i="5"/>
  <c r="E902" i="5"/>
  <c r="E903" i="5"/>
  <c r="E904" i="5"/>
  <c r="E905" i="5"/>
  <c r="E906" i="5"/>
  <c r="E907" i="5"/>
  <c r="E908" i="5"/>
  <c r="E909" i="5"/>
  <c r="E910" i="5"/>
  <c r="E911" i="5"/>
  <c r="E912" i="5"/>
  <c r="E913" i="5"/>
  <c r="E914" i="5"/>
  <c r="E915" i="5"/>
  <c r="E916" i="5"/>
  <c r="E917" i="5"/>
  <c r="E918" i="5"/>
  <c r="E919" i="5"/>
  <c r="E920" i="5"/>
  <c r="E921" i="5"/>
  <c r="E922" i="5"/>
  <c r="E923" i="5"/>
  <c r="E924" i="5"/>
  <c r="E925" i="5"/>
  <c r="E926" i="5"/>
  <c r="E927" i="5"/>
  <c r="E928" i="5"/>
  <c r="E929" i="5"/>
  <c r="E930" i="5"/>
  <c r="E931" i="5"/>
  <c r="E932" i="5"/>
  <c r="E933" i="5"/>
  <c r="E934" i="5"/>
  <c r="E935" i="5"/>
  <c r="E936" i="5"/>
  <c r="E937" i="5"/>
  <c r="E938" i="5"/>
  <c r="E939" i="5"/>
  <c r="E940" i="5"/>
  <c r="E941" i="5"/>
  <c r="E942" i="5"/>
  <c r="E943" i="5"/>
  <c r="E944" i="5"/>
  <c r="E945" i="5"/>
  <c r="E946" i="5"/>
  <c r="E947" i="5"/>
  <c r="E948" i="5"/>
  <c r="E949" i="5"/>
  <c r="E950" i="5"/>
  <c r="E951" i="5"/>
  <c r="E952" i="5"/>
  <c r="E953" i="5"/>
  <c r="E954" i="5"/>
  <c r="E955" i="5"/>
  <c r="E956" i="5"/>
  <c r="E957" i="5"/>
  <c r="E958" i="5"/>
  <c r="E959" i="5"/>
  <c r="E960" i="5"/>
  <c r="E961" i="5"/>
  <c r="E962" i="5"/>
  <c r="E963" i="5"/>
  <c r="E964" i="5"/>
  <c r="E965" i="5"/>
  <c r="E966" i="5"/>
  <c r="E967" i="5"/>
  <c r="E968" i="5"/>
  <c r="E969" i="5"/>
  <c r="E970" i="5"/>
  <c r="E971" i="5"/>
  <c r="E972" i="5"/>
  <c r="E973" i="5"/>
  <c r="E974" i="5"/>
  <c r="E975" i="5"/>
  <c r="E976" i="5"/>
  <c r="E977" i="5"/>
  <c r="E978" i="5"/>
  <c r="E979" i="5"/>
  <c r="E980" i="5"/>
  <c r="E981" i="5"/>
  <c r="E982" i="5"/>
  <c r="E983" i="5"/>
  <c r="E984" i="5"/>
  <c r="E985" i="5"/>
  <c r="E986" i="5"/>
  <c r="E987" i="5"/>
  <c r="E988" i="5"/>
  <c r="E989" i="5"/>
  <c r="E990" i="5"/>
  <c r="E991" i="5"/>
  <c r="E992" i="5"/>
  <c r="E993" i="5"/>
  <c r="E994" i="5"/>
  <c r="E995" i="5"/>
  <c r="E996" i="5"/>
  <c r="E997" i="5"/>
  <c r="E998" i="5"/>
  <c r="E999" i="5"/>
  <c r="E1000" i="5"/>
  <c r="E1001" i="5"/>
  <c r="E1002" i="5"/>
  <c r="E1003" i="5"/>
  <c r="E1004" i="5"/>
  <c r="E1005" i="5"/>
  <c r="E1006" i="5"/>
  <c r="E1007" i="5"/>
  <c r="E1008" i="5"/>
  <c r="E1009" i="5"/>
  <c r="E1010" i="5"/>
  <c r="E1011" i="5"/>
  <c r="E1012" i="5"/>
  <c r="E1013" i="5"/>
  <c r="E1014" i="5"/>
  <c r="E1015" i="5"/>
  <c r="E1016" i="5"/>
  <c r="E1017" i="5"/>
  <c r="E1018" i="5"/>
  <c r="E1019" i="5"/>
  <c r="E1020" i="5"/>
  <c r="E1021" i="5"/>
  <c r="E1022" i="5"/>
  <c r="E1023" i="5"/>
  <c r="E1024" i="5"/>
  <c r="E1025" i="5"/>
  <c r="E1026" i="5"/>
  <c r="E1027" i="5"/>
  <c r="E1028" i="5"/>
  <c r="E1029" i="5"/>
  <c r="E1030" i="5"/>
  <c r="E1031" i="5"/>
  <c r="E1032" i="5"/>
  <c r="E1033" i="5"/>
  <c r="E1034" i="5"/>
  <c r="E1035" i="5"/>
  <c r="E1036" i="5"/>
  <c r="E1037" i="5"/>
  <c r="E1038" i="5"/>
  <c r="E1039" i="5"/>
  <c r="E1040" i="5"/>
  <c r="E1041" i="5"/>
  <c r="E1042" i="5"/>
  <c r="E1043" i="5"/>
  <c r="E1044" i="5"/>
  <c r="E1045" i="5"/>
  <c r="E1046" i="5"/>
  <c r="E1047" i="5"/>
  <c r="E1048" i="5"/>
  <c r="E1049" i="5"/>
  <c r="E1050" i="5"/>
  <c r="E1051" i="5"/>
  <c r="E1052" i="5"/>
  <c r="E1053" i="5"/>
  <c r="E1054" i="5"/>
  <c r="E1055" i="5"/>
  <c r="E1056" i="5"/>
  <c r="E1057" i="5"/>
  <c r="E1058" i="5"/>
  <c r="E1059" i="5"/>
  <c r="E1060" i="5"/>
  <c r="E1061" i="5"/>
  <c r="E1062" i="5"/>
  <c r="E1063" i="5"/>
  <c r="E1064" i="5"/>
  <c r="E1065" i="5"/>
  <c r="E1066" i="5"/>
  <c r="E1067" i="5"/>
  <c r="E1068" i="5"/>
  <c r="E1069" i="5"/>
  <c r="E1070" i="5"/>
  <c r="E1071" i="5"/>
  <c r="E1072" i="5"/>
  <c r="E1073" i="5"/>
  <c r="E1074" i="5"/>
  <c r="E1075" i="5"/>
  <c r="E1076" i="5"/>
  <c r="E1077" i="5"/>
  <c r="E1078" i="5"/>
  <c r="E1079" i="5"/>
  <c r="E1080" i="5"/>
  <c r="E1081" i="5"/>
  <c r="E1082" i="5"/>
  <c r="E1083" i="5"/>
  <c r="E1084" i="5"/>
  <c r="E1085" i="5"/>
  <c r="E1086" i="5"/>
  <c r="E1087" i="5"/>
  <c r="E1088" i="5"/>
  <c r="E1089" i="5"/>
  <c r="E1090" i="5"/>
  <c r="E1091" i="5"/>
  <c r="E1092" i="5"/>
  <c r="E1093" i="5"/>
  <c r="E1094" i="5"/>
  <c r="E1095" i="5"/>
  <c r="E1096" i="5"/>
  <c r="E1097" i="5"/>
  <c r="E1098" i="5"/>
  <c r="E1099" i="5"/>
  <c r="E1100" i="5"/>
  <c r="E1101" i="5"/>
  <c r="E1102" i="5"/>
  <c r="E1103" i="5"/>
  <c r="E1104" i="5"/>
  <c r="E1105" i="5"/>
  <c r="E1106" i="5"/>
  <c r="E1107" i="5"/>
  <c r="E1108" i="5"/>
  <c r="E1109" i="5"/>
  <c r="E1110" i="5"/>
  <c r="E1111" i="5"/>
  <c r="E1112" i="5"/>
  <c r="E1113" i="5"/>
  <c r="E1114" i="5"/>
  <c r="E1115" i="5"/>
  <c r="E1116" i="5"/>
  <c r="E1117" i="5"/>
  <c r="E1118" i="5"/>
  <c r="E1119" i="5"/>
  <c r="E1120" i="5"/>
  <c r="E1121" i="5"/>
  <c r="E1122" i="5"/>
  <c r="E1123" i="5"/>
  <c r="E1124" i="5"/>
  <c r="E1125" i="5"/>
  <c r="E1126" i="5"/>
  <c r="E1127" i="5"/>
  <c r="E1128" i="5"/>
  <c r="E1129" i="5"/>
  <c r="E1130" i="5"/>
  <c r="E1131" i="5"/>
  <c r="E1132" i="5"/>
  <c r="E1133" i="5"/>
  <c r="E1134" i="5"/>
  <c r="E1135" i="5"/>
  <c r="E1136" i="5"/>
  <c r="E1137" i="5"/>
  <c r="E1138" i="5"/>
  <c r="E1139" i="5"/>
  <c r="E1140" i="5"/>
  <c r="E1141" i="5"/>
  <c r="E1142" i="5"/>
  <c r="E1143" i="5"/>
  <c r="E1144" i="5"/>
  <c r="E1145" i="5"/>
  <c r="E1146" i="5"/>
  <c r="E1147" i="5"/>
  <c r="E1148" i="5"/>
  <c r="E1149" i="5"/>
  <c r="E1150" i="5"/>
  <c r="E1151" i="5"/>
  <c r="E1152" i="5"/>
  <c r="E1153" i="5"/>
  <c r="E1154" i="5"/>
  <c r="E1155" i="5"/>
  <c r="E1156" i="5"/>
  <c r="E1157" i="5"/>
  <c r="E1158" i="5"/>
  <c r="E1159" i="5"/>
  <c r="E1160" i="5"/>
  <c r="E1161" i="5"/>
  <c r="E1162" i="5"/>
  <c r="E1163" i="5"/>
  <c r="E1164" i="5"/>
  <c r="E1165" i="5"/>
  <c r="E1166" i="5"/>
  <c r="E1167" i="5"/>
  <c r="E1168" i="5"/>
  <c r="E1169" i="5"/>
  <c r="E1170" i="5"/>
  <c r="E1171" i="5"/>
  <c r="E1172" i="5"/>
  <c r="E1173" i="5"/>
  <c r="E1174" i="5"/>
  <c r="E1175" i="5"/>
  <c r="E1176" i="5"/>
  <c r="E1177" i="5"/>
  <c r="E1178" i="5"/>
  <c r="E1179" i="5"/>
  <c r="E1180" i="5"/>
  <c r="E1181" i="5"/>
  <c r="E1182" i="5"/>
  <c r="E1183" i="5"/>
  <c r="E1184" i="5"/>
  <c r="E1185" i="5"/>
  <c r="E1186" i="5"/>
  <c r="E1187" i="5"/>
  <c r="E1188" i="5"/>
  <c r="E1189" i="5"/>
  <c r="E1190" i="5"/>
  <c r="E1191" i="5"/>
  <c r="E1192" i="5"/>
  <c r="E1193" i="5"/>
  <c r="E1194" i="5"/>
  <c r="E1195" i="5"/>
  <c r="E1196" i="5"/>
  <c r="E1197" i="5"/>
  <c r="E1198" i="5"/>
  <c r="E1199" i="5"/>
  <c r="E1200" i="5"/>
  <c r="E1201" i="5"/>
  <c r="E1202" i="5"/>
  <c r="E1203" i="5"/>
  <c r="E1204" i="5"/>
  <c r="E1205" i="5"/>
  <c r="E1206" i="5"/>
  <c r="E1207" i="5"/>
  <c r="E1208" i="5"/>
  <c r="E1209" i="5"/>
  <c r="E1210" i="5"/>
  <c r="E1211" i="5"/>
  <c r="E1212" i="5"/>
  <c r="E1213" i="5"/>
  <c r="E1214" i="5"/>
  <c r="E1215" i="5"/>
  <c r="E1216" i="5"/>
  <c r="E1217" i="5"/>
  <c r="E1218" i="5"/>
  <c r="E1219" i="5"/>
  <c r="E1220" i="5"/>
  <c r="E1221" i="5"/>
  <c r="E1222" i="5"/>
  <c r="E1223" i="5"/>
  <c r="E1224" i="5"/>
  <c r="E1225" i="5"/>
  <c r="E1226" i="5"/>
  <c r="E1227" i="5"/>
  <c r="E1228" i="5"/>
  <c r="E1229" i="5"/>
  <c r="E1230" i="5"/>
  <c r="E1231" i="5"/>
  <c r="E1232" i="5"/>
  <c r="E1233" i="5"/>
  <c r="E1234" i="5"/>
  <c r="E1235" i="5"/>
  <c r="E1236" i="5"/>
  <c r="E1237" i="5"/>
  <c r="E1238" i="5"/>
  <c r="E1239" i="5"/>
  <c r="E1240" i="5"/>
  <c r="E1241" i="5"/>
  <c r="E1242" i="5"/>
  <c r="E1243" i="5"/>
  <c r="E1244" i="5"/>
  <c r="E1245" i="5"/>
  <c r="E1246" i="5"/>
  <c r="E1247" i="5"/>
  <c r="E1248" i="5"/>
  <c r="E1249" i="5"/>
  <c r="E1250" i="5"/>
  <c r="E1251" i="5"/>
  <c r="E1252" i="5"/>
  <c r="E1253" i="5"/>
  <c r="E1254" i="5"/>
  <c r="E1255" i="5"/>
  <c r="E1256" i="5"/>
  <c r="E1257" i="5"/>
  <c r="E1258" i="5"/>
  <c r="E1259" i="5"/>
  <c r="E1260" i="5"/>
  <c r="E1261" i="5"/>
  <c r="E1262" i="5"/>
  <c r="E1263" i="5"/>
  <c r="E1264" i="5"/>
  <c r="E1265" i="5"/>
  <c r="E1266" i="5"/>
  <c r="E1267" i="5"/>
  <c r="E1268" i="5"/>
  <c r="E1269" i="5"/>
  <c r="E1270" i="5"/>
  <c r="E1271" i="5"/>
  <c r="E1272" i="5"/>
  <c r="E1273" i="5"/>
  <c r="E1274" i="5"/>
  <c r="E1275" i="5"/>
  <c r="E1276" i="5"/>
  <c r="E1277" i="5"/>
  <c r="E1278" i="5"/>
  <c r="E1279" i="5"/>
  <c r="E1280" i="5"/>
  <c r="E1281" i="5"/>
  <c r="E1282" i="5"/>
  <c r="E1283" i="5"/>
  <c r="E1284" i="5"/>
  <c r="E1285" i="5"/>
  <c r="E1286" i="5"/>
  <c r="E1287" i="5"/>
  <c r="E1288" i="5"/>
  <c r="E1289" i="5"/>
  <c r="E1290" i="5"/>
  <c r="E1291" i="5"/>
  <c r="E1292" i="5"/>
  <c r="E1293" i="5"/>
  <c r="E1294" i="5"/>
  <c r="E1295" i="5"/>
  <c r="E1296" i="5"/>
  <c r="E1297" i="5"/>
  <c r="E1298" i="5"/>
  <c r="E1299" i="5"/>
  <c r="E1300" i="5"/>
  <c r="E1301" i="5"/>
  <c r="E1302" i="5"/>
  <c r="E1303" i="5"/>
  <c r="E1304" i="5"/>
  <c r="E1305" i="5"/>
  <c r="E1306" i="5"/>
  <c r="E1307" i="5"/>
  <c r="E1308" i="5"/>
  <c r="E1309" i="5"/>
  <c r="E1310" i="5"/>
  <c r="E1311" i="5"/>
  <c r="E1312" i="5"/>
  <c r="E1313" i="5"/>
  <c r="E1314" i="5"/>
  <c r="E1315" i="5"/>
  <c r="E1316" i="5"/>
  <c r="E1317" i="5"/>
  <c r="E1318" i="5"/>
  <c r="E1319" i="5"/>
  <c r="E1320" i="5"/>
  <c r="E1321" i="5"/>
  <c r="E1322" i="5"/>
  <c r="E1323" i="5"/>
  <c r="E1324" i="5"/>
  <c r="E1325" i="5"/>
  <c r="E1326" i="5"/>
  <c r="E1327" i="5"/>
  <c r="E1328" i="5"/>
  <c r="E1329" i="5"/>
  <c r="E1330" i="5"/>
  <c r="E1331" i="5"/>
  <c r="E1332" i="5"/>
  <c r="E1333" i="5"/>
  <c r="E1334" i="5"/>
  <c r="E1335" i="5"/>
  <c r="E1336" i="5"/>
  <c r="E1337" i="5"/>
  <c r="E1338" i="5"/>
  <c r="E1339" i="5"/>
  <c r="E1340" i="5"/>
  <c r="E1341" i="5"/>
  <c r="E1342" i="5"/>
  <c r="E1343" i="5"/>
  <c r="E1344" i="5"/>
  <c r="E1345" i="5"/>
  <c r="E1346" i="5"/>
  <c r="E1347" i="5"/>
  <c r="E1348" i="5"/>
  <c r="E1349" i="5"/>
  <c r="E1350" i="5"/>
  <c r="E1351" i="5"/>
  <c r="E1352" i="5"/>
  <c r="E1353" i="5"/>
  <c r="E1354" i="5"/>
  <c r="E1355" i="5"/>
  <c r="E1356" i="5"/>
  <c r="E1357" i="5"/>
  <c r="E1358" i="5"/>
  <c r="E1359" i="5"/>
  <c r="E1360" i="5"/>
  <c r="E1361" i="5"/>
  <c r="E1362" i="5"/>
  <c r="E1363" i="5"/>
  <c r="E1364" i="5"/>
  <c r="E1365" i="5"/>
  <c r="E1366" i="5"/>
  <c r="E1367" i="5"/>
  <c r="E1368" i="5"/>
  <c r="E1369" i="5"/>
  <c r="E1370" i="5"/>
  <c r="E1371" i="5"/>
  <c r="E1372" i="5"/>
  <c r="E1373" i="5"/>
  <c r="E1374" i="5"/>
  <c r="E1375" i="5"/>
  <c r="E1376" i="5"/>
  <c r="E1377" i="5"/>
  <c r="E1378" i="5"/>
  <c r="E1379" i="5"/>
  <c r="E1380" i="5"/>
  <c r="E1381" i="5"/>
  <c r="E1382" i="5"/>
  <c r="E1383" i="5"/>
  <c r="E1384" i="5"/>
  <c r="E1385" i="5"/>
  <c r="E1386" i="5"/>
  <c r="E1387" i="5"/>
  <c r="E1388" i="5"/>
  <c r="E1389" i="5"/>
  <c r="E1390" i="5"/>
  <c r="E1391" i="5"/>
  <c r="E1392" i="5"/>
  <c r="E1393" i="5"/>
  <c r="E1394" i="5"/>
  <c r="E1395" i="5"/>
  <c r="E1396" i="5"/>
  <c r="E1397" i="5"/>
  <c r="E1398" i="5"/>
  <c r="E1399" i="5"/>
  <c r="E1400" i="5"/>
  <c r="E1401" i="5"/>
  <c r="E1402" i="5"/>
  <c r="E1403" i="5"/>
  <c r="E1404" i="5"/>
  <c r="E1405" i="5"/>
  <c r="E1406" i="5"/>
  <c r="E1407" i="5"/>
  <c r="E1408" i="5"/>
  <c r="E1409" i="5"/>
  <c r="E1410" i="5"/>
  <c r="E1411" i="5"/>
  <c r="E1412" i="5"/>
  <c r="E1413" i="5"/>
  <c r="E1414" i="5"/>
  <c r="E1415" i="5"/>
  <c r="E1416" i="5"/>
  <c r="E1417" i="5"/>
  <c r="E1418" i="5"/>
  <c r="E1419" i="5"/>
  <c r="E1420" i="5"/>
  <c r="E1421" i="5"/>
  <c r="E1422" i="5"/>
  <c r="E1423" i="5"/>
  <c r="E1424" i="5"/>
  <c r="E1425" i="5"/>
  <c r="E1426" i="5"/>
  <c r="E1427" i="5"/>
  <c r="E1428" i="5"/>
  <c r="E1429" i="5"/>
  <c r="E1430" i="5"/>
  <c r="E1431" i="5"/>
  <c r="E1432" i="5"/>
  <c r="E1433" i="5"/>
  <c r="E1434" i="5"/>
  <c r="E1435" i="5"/>
  <c r="E1436" i="5"/>
  <c r="E1437" i="5"/>
  <c r="E1438" i="5"/>
  <c r="E1439" i="5"/>
  <c r="E1440" i="5"/>
  <c r="E1441" i="5"/>
  <c r="E1442" i="5"/>
  <c r="E1443" i="5"/>
  <c r="E1444" i="5"/>
  <c r="E1445" i="5"/>
  <c r="E1446" i="5"/>
  <c r="E1447" i="5"/>
  <c r="E1448" i="5"/>
  <c r="E1449" i="5"/>
  <c r="E1450" i="5"/>
  <c r="E1451" i="5"/>
  <c r="E1452" i="5"/>
  <c r="E1453" i="5"/>
  <c r="E1454" i="5"/>
  <c r="E1455" i="5"/>
  <c r="E1456" i="5"/>
  <c r="E1457" i="5"/>
  <c r="E1458" i="5"/>
  <c r="E1459" i="5"/>
  <c r="E1460" i="5"/>
  <c r="E1461" i="5"/>
  <c r="E1462" i="5"/>
  <c r="E1463" i="5"/>
  <c r="E1464" i="5"/>
  <c r="E1465" i="5"/>
  <c r="E1466" i="5"/>
  <c r="E1467" i="5"/>
  <c r="E1468" i="5"/>
  <c r="E1469" i="5"/>
  <c r="E1470" i="5"/>
  <c r="E1471" i="5"/>
  <c r="E1472" i="5"/>
  <c r="E1473" i="5"/>
  <c r="E1474" i="5"/>
  <c r="E1475" i="5"/>
  <c r="E1476" i="5"/>
  <c r="E1477" i="5"/>
  <c r="E1478" i="5"/>
  <c r="E1479" i="5"/>
  <c r="E1480" i="5"/>
  <c r="E1481" i="5"/>
  <c r="E1482" i="5"/>
  <c r="E1483" i="5"/>
  <c r="E1484" i="5"/>
  <c r="E1485" i="5"/>
  <c r="E1486" i="5"/>
  <c r="E1487" i="5"/>
  <c r="E1488" i="5"/>
  <c r="E1489" i="5"/>
  <c r="E1490" i="5"/>
  <c r="E1491" i="5"/>
  <c r="E1492" i="5"/>
  <c r="E1493" i="5"/>
  <c r="E1494" i="5"/>
  <c r="E1495" i="5"/>
  <c r="E1496" i="5"/>
  <c r="E1497" i="5"/>
  <c r="E1498" i="5"/>
  <c r="E1499" i="5"/>
  <c r="E1500" i="5"/>
  <c r="E1501" i="5"/>
  <c r="E1502" i="5"/>
  <c r="E1503" i="5"/>
  <c r="E1504" i="5"/>
  <c r="E1505" i="5"/>
  <c r="E1506" i="5"/>
  <c r="E1507" i="5"/>
  <c r="E1508" i="5"/>
  <c r="E1509" i="5"/>
  <c r="E1510" i="5"/>
  <c r="E1511" i="5"/>
  <c r="E1512" i="5"/>
  <c r="E1513" i="5"/>
  <c r="E1514" i="5"/>
  <c r="E1515" i="5"/>
  <c r="E1516" i="5"/>
  <c r="E1517" i="5"/>
  <c r="E1518" i="5"/>
  <c r="E1519" i="5"/>
  <c r="E1520" i="5"/>
  <c r="E1521" i="5"/>
  <c r="E1522" i="5"/>
  <c r="E1523" i="5"/>
  <c r="E1524" i="5"/>
  <c r="E1525" i="5"/>
  <c r="E1526" i="5"/>
  <c r="E1527" i="5"/>
  <c r="E1528" i="5"/>
  <c r="E1529" i="5"/>
  <c r="E1530" i="5"/>
  <c r="E1531" i="5"/>
  <c r="E1532" i="5"/>
  <c r="E1533" i="5"/>
  <c r="E1534" i="5"/>
  <c r="E1535" i="5"/>
  <c r="E1536" i="5"/>
  <c r="E1537" i="5"/>
  <c r="E1538" i="5"/>
  <c r="E1539" i="5"/>
  <c r="E1540" i="5"/>
  <c r="E1541" i="5"/>
  <c r="E1542" i="5"/>
  <c r="E1543" i="5"/>
  <c r="E1544" i="5"/>
  <c r="E1545" i="5"/>
  <c r="E1546" i="5"/>
  <c r="E1547" i="5"/>
  <c r="E1548" i="5"/>
  <c r="E1549" i="5"/>
  <c r="E1550" i="5"/>
  <c r="E1551" i="5"/>
  <c r="E1552" i="5"/>
  <c r="E1553" i="5"/>
  <c r="E1554" i="5"/>
  <c r="E1555" i="5"/>
  <c r="E1556" i="5"/>
  <c r="E1557" i="5"/>
  <c r="E1558" i="5"/>
  <c r="E1559" i="5"/>
  <c r="E1560" i="5"/>
  <c r="E1561" i="5"/>
  <c r="E1562" i="5"/>
  <c r="E1563" i="5"/>
  <c r="E1564" i="5"/>
  <c r="E1565" i="5"/>
  <c r="E1566" i="5"/>
  <c r="E1567" i="5"/>
  <c r="E1568" i="5"/>
  <c r="E1569" i="5"/>
  <c r="E1570" i="5"/>
  <c r="E1571" i="5"/>
  <c r="E1572" i="5"/>
  <c r="E1573" i="5"/>
  <c r="E1574" i="5"/>
  <c r="E1575" i="5"/>
  <c r="E1576" i="5"/>
  <c r="E1577" i="5"/>
  <c r="E1578" i="5"/>
  <c r="E1579" i="5"/>
  <c r="E1580" i="5"/>
  <c r="E1581" i="5"/>
  <c r="E1582" i="5"/>
  <c r="E1583" i="5"/>
  <c r="E1584" i="5"/>
  <c r="E1585" i="5"/>
  <c r="E1586" i="5"/>
  <c r="E1587" i="5"/>
  <c r="E1588" i="5"/>
  <c r="E1589" i="5"/>
  <c r="E1590" i="5"/>
  <c r="E1591" i="5"/>
  <c r="E1592" i="5"/>
  <c r="E1593" i="5"/>
  <c r="E1594" i="5"/>
  <c r="E1595" i="5"/>
  <c r="E1596" i="5"/>
  <c r="E1597" i="5"/>
  <c r="E1598" i="5"/>
  <c r="E1599" i="5"/>
  <c r="E1600" i="5"/>
  <c r="E1601" i="5"/>
  <c r="E1602" i="5"/>
  <c r="E1603" i="5"/>
  <c r="E1604" i="5"/>
  <c r="E1605" i="5"/>
  <c r="E1606" i="5"/>
  <c r="E1607" i="5"/>
  <c r="E1608" i="5"/>
  <c r="E1609" i="5"/>
  <c r="E1610" i="5"/>
  <c r="E1611" i="5"/>
  <c r="E1612" i="5"/>
  <c r="E1613" i="5"/>
  <c r="E1614" i="5"/>
  <c r="E1615" i="5"/>
  <c r="E1616" i="5"/>
  <c r="E1617" i="5"/>
  <c r="E1618" i="5"/>
  <c r="E1619" i="5"/>
  <c r="E1620" i="5"/>
  <c r="E1621" i="5"/>
  <c r="E1622" i="5"/>
  <c r="E1623" i="5"/>
  <c r="E1624" i="5"/>
  <c r="E1625" i="5"/>
  <c r="E1626" i="5"/>
  <c r="E1627" i="5"/>
  <c r="E1628" i="5"/>
  <c r="E1629" i="5"/>
  <c r="E1630" i="5"/>
  <c r="E1631" i="5"/>
  <c r="E1632" i="5"/>
  <c r="E1633" i="5"/>
  <c r="E1634" i="5"/>
  <c r="E1635" i="5"/>
  <c r="E1636" i="5"/>
  <c r="E1637" i="5"/>
  <c r="E1638" i="5"/>
  <c r="E1639" i="5"/>
  <c r="E1640" i="5"/>
  <c r="E1641" i="5"/>
  <c r="E1642" i="5"/>
  <c r="E1643" i="5"/>
  <c r="E1644" i="5"/>
  <c r="E1645" i="5"/>
  <c r="E1646" i="5"/>
  <c r="E1647" i="5"/>
  <c r="E1648" i="5"/>
  <c r="E1649" i="5"/>
  <c r="E1650" i="5"/>
  <c r="E1651" i="5"/>
  <c r="E1652" i="5"/>
  <c r="E1653" i="5"/>
  <c r="E1654" i="5"/>
  <c r="E1655" i="5"/>
  <c r="E1656" i="5"/>
  <c r="E1657" i="5"/>
  <c r="E1658" i="5"/>
  <c r="E1659" i="5"/>
  <c r="E1660" i="5"/>
  <c r="E1661" i="5"/>
  <c r="E1662" i="5"/>
  <c r="E1663" i="5"/>
  <c r="E1664" i="5"/>
  <c r="E1665" i="5"/>
  <c r="E1666" i="5"/>
  <c r="E1667" i="5"/>
  <c r="E1668" i="5"/>
  <c r="E1669" i="5"/>
  <c r="E1670" i="5"/>
  <c r="E1671" i="5"/>
  <c r="E1672" i="5"/>
  <c r="E1673" i="5"/>
  <c r="E1674" i="5"/>
  <c r="E1675" i="5"/>
  <c r="E1676" i="5"/>
  <c r="E1677" i="5"/>
  <c r="E1678" i="5"/>
  <c r="E1679" i="5"/>
  <c r="E1680" i="5"/>
  <c r="E1681" i="5"/>
  <c r="E1682" i="5"/>
  <c r="E1683" i="5"/>
  <c r="E1684" i="5"/>
  <c r="E1685" i="5"/>
  <c r="E1686" i="5"/>
  <c r="E1687" i="5"/>
  <c r="E1688" i="5"/>
  <c r="E1689" i="5"/>
  <c r="E1690" i="5"/>
  <c r="E1691" i="5"/>
  <c r="E1692" i="5"/>
  <c r="E1693" i="5"/>
  <c r="E1694" i="5"/>
  <c r="E1695" i="5"/>
  <c r="E1696" i="5"/>
  <c r="E1697" i="5"/>
  <c r="E1698" i="5"/>
  <c r="E1699" i="5"/>
  <c r="E1700" i="5"/>
  <c r="E1701" i="5"/>
  <c r="E1702" i="5"/>
  <c r="E1703" i="5"/>
  <c r="E1704" i="5"/>
  <c r="E1705" i="5"/>
  <c r="E1706" i="5"/>
  <c r="E1707" i="5"/>
  <c r="E1708" i="5"/>
  <c r="E1709" i="5"/>
  <c r="E1710" i="5"/>
  <c r="E1711" i="5"/>
  <c r="E1712" i="5"/>
  <c r="E1713" i="5"/>
  <c r="E1714" i="5"/>
  <c r="E1715" i="5"/>
  <c r="E1716" i="5"/>
  <c r="E1717" i="5"/>
  <c r="E1718" i="5"/>
  <c r="E1719" i="5"/>
  <c r="E1720" i="5"/>
  <c r="E1721" i="5"/>
  <c r="E1722" i="5"/>
  <c r="E1723" i="5"/>
  <c r="E1724" i="5"/>
  <c r="E1725" i="5"/>
  <c r="E1726" i="5"/>
  <c r="E1727" i="5"/>
  <c r="E1728" i="5"/>
  <c r="E1729" i="5"/>
  <c r="E1730" i="5"/>
  <c r="E1731" i="5"/>
  <c r="E1732" i="5"/>
  <c r="E1733" i="5"/>
  <c r="E1734" i="5"/>
  <c r="E1735" i="5"/>
  <c r="E1736" i="5"/>
  <c r="E1737" i="5"/>
  <c r="E1738" i="5"/>
  <c r="E1739" i="5"/>
  <c r="E1740" i="5"/>
  <c r="E1741" i="5"/>
  <c r="E1742" i="5"/>
  <c r="E1743" i="5"/>
  <c r="E1744" i="5"/>
  <c r="E1745" i="5"/>
  <c r="E1746" i="5"/>
  <c r="E1747" i="5"/>
  <c r="E1748" i="5"/>
  <c r="E1749" i="5"/>
  <c r="E1750" i="5"/>
  <c r="E1751" i="5"/>
  <c r="E1752" i="5"/>
  <c r="E1753" i="5"/>
  <c r="E1754" i="5"/>
  <c r="E1755" i="5"/>
  <c r="E1756" i="5"/>
  <c r="E1757" i="5"/>
  <c r="E1758" i="5"/>
  <c r="E1759" i="5"/>
  <c r="E1760" i="5"/>
  <c r="E1761" i="5"/>
  <c r="E1762" i="5"/>
  <c r="E1763" i="5"/>
  <c r="E1764" i="5"/>
  <c r="E1765" i="5"/>
  <c r="E1766" i="5"/>
  <c r="E1767" i="5"/>
  <c r="E1768" i="5"/>
  <c r="E1769" i="5"/>
  <c r="E1770" i="5"/>
  <c r="E1771" i="5"/>
  <c r="E1772" i="5"/>
  <c r="E1773" i="5"/>
  <c r="E1774" i="5"/>
  <c r="E1775" i="5"/>
  <c r="E1776" i="5"/>
  <c r="E1777" i="5"/>
  <c r="E1778" i="5"/>
  <c r="E1779" i="5"/>
  <c r="E1780" i="5"/>
  <c r="E1781" i="5"/>
  <c r="E1782" i="5"/>
  <c r="E1783" i="5"/>
  <c r="E1784" i="5"/>
  <c r="E1785" i="5"/>
  <c r="E1786" i="5"/>
  <c r="E1787" i="5"/>
  <c r="E1788" i="5"/>
  <c r="E1789" i="5"/>
  <c r="E1790" i="5"/>
  <c r="E1791" i="5"/>
  <c r="E1792" i="5"/>
  <c r="E1793" i="5"/>
  <c r="E1794" i="5"/>
  <c r="E1795" i="5"/>
  <c r="E1796" i="5"/>
  <c r="E1797" i="5"/>
  <c r="E1798" i="5"/>
  <c r="E1799" i="5"/>
  <c r="E1800" i="5"/>
  <c r="E1801" i="5"/>
  <c r="E1802" i="5"/>
  <c r="E1803" i="5"/>
  <c r="E1804" i="5"/>
  <c r="E1805" i="5"/>
  <c r="E1806" i="5"/>
  <c r="E1807" i="5"/>
  <c r="E1808" i="5"/>
  <c r="E1809" i="5"/>
  <c r="E1810" i="5"/>
  <c r="E1811" i="5"/>
  <c r="E1812" i="5"/>
  <c r="E1813" i="5"/>
  <c r="E1814" i="5"/>
  <c r="E1815" i="5"/>
  <c r="E1816" i="5"/>
  <c r="E1817" i="5"/>
  <c r="E1818" i="5"/>
  <c r="E1819" i="5"/>
  <c r="E1820" i="5"/>
  <c r="E1821" i="5"/>
  <c r="E1822" i="5"/>
  <c r="E1823" i="5"/>
  <c r="E1824" i="5"/>
  <c r="E1825" i="5"/>
  <c r="E1826" i="5"/>
  <c r="E1827" i="5"/>
  <c r="E1828" i="5"/>
  <c r="E1829" i="5"/>
  <c r="E1830" i="5"/>
  <c r="E1831" i="5"/>
  <c r="E1832" i="5"/>
  <c r="E1833" i="5"/>
  <c r="E1834" i="5"/>
  <c r="E1835" i="5"/>
  <c r="E1836" i="5"/>
  <c r="E1837" i="5"/>
  <c r="E1838" i="5"/>
  <c r="E1839" i="5"/>
  <c r="E1840" i="5"/>
  <c r="E1841" i="5"/>
  <c r="E1842" i="5"/>
  <c r="E1843" i="5"/>
  <c r="E1844" i="5"/>
  <c r="E1845" i="5"/>
  <c r="E1846" i="5"/>
  <c r="E1847" i="5"/>
  <c r="E1848" i="5"/>
  <c r="E1849" i="5"/>
  <c r="E1850" i="5"/>
  <c r="E1851" i="5"/>
  <c r="E1852" i="5"/>
  <c r="E1853" i="5"/>
  <c r="E1854" i="5"/>
  <c r="E1855" i="5"/>
  <c r="E1856" i="5"/>
  <c r="E1857" i="5"/>
  <c r="E1858" i="5"/>
  <c r="E1859" i="5"/>
  <c r="E1860" i="5"/>
  <c r="E1861" i="5"/>
  <c r="E1862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35" i="5"/>
  <c r="F36" i="5"/>
  <c r="F37" i="5"/>
  <c r="F38" i="5"/>
  <c r="F39" i="5"/>
  <c r="F40" i="5"/>
  <c r="F41" i="5"/>
  <c r="F42" i="5"/>
  <c r="F43" i="5"/>
  <c r="F44" i="5"/>
  <c r="F45" i="5"/>
  <c r="F46" i="5"/>
  <c r="F47" i="5"/>
  <c r="F48" i="5"/>
  <c r="F49" i="5"/>
  <c r="F50" i="5"/>
  <c r="F51" i="5"/>
  <c r="F52" i="5"/>
  <c r="F53" i="5"/>
  <c r="F54" i="5"/>
  <c r="F55" i="5"/>
  <c r="F56" i="5"/>
  <c r="F57" i="5"/>
  <c r="F58" i="5"/>
  <c r="F59" i="5"/>
  <c r="F60" i="5"/>
  <c r="F61" i="5"/>
  <c r="F62" i="5"/>
  <c r="F63" i="5"/>
  <c r="F64" i="5"/>
  <c r="F65" i="5"/>
  <c r="F66" i="5"/>
  <c r="F67" i="5"/>
  <c r="F68" i="5"/>
  <c r="F69" i="5"/>
  <c r="F70" i="5"/>
  <c r="F71" i="5"/>
  <c r="F72" i="5"/>
  <c r="F73" i="5"/>
  <c r="F74" i="5"/>
  <c r="F75" i="5"/>
  <c r="F76" i="5"/>
  <c r="F77" i="5"/>
  <c r="F78" i="5"/>
  <c r="F79" i="5"/>
  <c r="F80" i="5"/>
  <c r="F81" i="5"/>
  <c r="F82" i="5"/>
  <c r="F83" i="5"/>
  <c r="F84" i="5"/>
  <c r="F85" i="5"/>
  <c r="F86" i="5"/>
  <c r="F87" i="5"/>
  <c r="F88" i="5"/>
  <c r="F89" i="5"/>
  <c r="F90" i="5"/>
  <c r="F91" i="5"/>
  <c r="F92" i="5"/>
  <c r="F93" i="5"/>
  <c r="F94" i="5"/>
  <c r="F95" i="5"/>
  <c r="F96" i="5"/>
  <c r="F97" i="5"/>
  <c r="F98" i="5"/>
  <c r="F99" i="5"/>
  <c r="F100" i="5"/>
  <c r="F101" i="5"/>
  <c r="F102" i="5"/>
  <c r="F103" i="5"/>
  <c r="F104" i="5"/>
  <c r="F105" i="5"/>
  <c r="F106" i="5"/>
  <c r="F107" i="5"/>
  <c r="F108" i="5"/>
  <c r="F109" i="5"/>
  <c r="F110" i="5"/>
  <c r="F111" i="5"/>
  <c r="F112" i="5"/>
  <c r="F113" i="5"/>
  <c r="F114" i="5"/>
  <c r="F115" i="5"/>
  <c r="F116" i="5"/>
  <c r="F117" i="5"/>
  <c r="F118" i="5"/>
  <c r="F119" i="5"/>
  <c r="F120" i="5"/>
  <c r="F121" i="5"/>
  <c r="F122" i="5"/>
  <c r="F123" i="5"/>
  <c r="F124" i="5"/>
  <c r="F125" i="5"/>
  <c r="F126" i="5"/>
  <c r="F127" i="5"/>
  <c r="F128" i="5"/>
  <c r="F129" i="5"/>
  <c r="F130" i="5"/>
  <c r="F131" i="5"/>
  <c r="F132" i="5"/>
  <c r="F133" i="5"/>
  <c r="F134" i="5"/>
  <c r="F135" i="5"/>
  <c r="F136" i="5"/>
  <c r="F137" i="5"/>
  <c r="F138" i="5"/>
  <c r="F139" i="5"/>
  <c r="F140" i="5"/>
  <c r="F141" i="5"/>
  <c r="F142" i="5"/>
  <c r="F143" i="5"/>
  <c r="F144" i="5"/>
  <c r="F145" i="5"/>
  <c r="F146" i="5"/>
  <c r="F147" i="5"/>
  <c r="F148" i="5"/>
  <c r="F149" i="5"/>
  <c r="F150" i="5"/>
  <c r="F151" i="5"/>
  <c r="F152" i="5"/>
  <c r="F153" i="5"/>
  <c r="F154" i="5"/>
  <c r="F155" i="5"/>
  <c r="F156" i="5"/>
  <c r="F157" i="5"/>
  <c r="F158" i="5"/>
  <c r="F159" i="5"/>
  <c r="F160" i="5"/>
  <c r="F161" i="5"/>
  <c r="F162" i="5"/>
  <c r="F163" i="5"/>
  <c r="F164" i="5"/>
  <c r="F165" i="5"/>
  <c r="F166" i="5"/>
  <c r="F167" i="5"/>
  <c r="F168" i="5"/>
  <c r="F169" i="5"/>
  <c r="F170" i="5"/>
  <c r="F171" i="5"/>
  <c r="F172" i="5"/>
  <c r="F173" i="5"/>
  <c r="F174" i="5"/>
  <c r="F175" i="5"/>
  <c r="F176" i="5"/>
  <c r="F177" i="5"/>
  <c r="F178" i="5"/>
  <c r="F179" i="5"/>
  <c r="F180" i="5"/>
  <c r="F181" i="5"/>
  <c r="F182" i="5"/>
  <c r="F183" i="5"/>
  <c r="F184" i="5"/>
  <c r="F185" i="5"/>
  <c r="F186" i="5"/>
  <c r="F187" i="5"/>
  <c r="F188" i="5"/>
  <c r="F189" i="5"/>
  <c r="F190" i="5"/>
  <c r="F191" i="5"/>
  <c r="F192" i="5"/>
  <c r="F193" i="5"/>
  <c r="F194" i="5"/>
  <c r="F195" i="5"/>
  <c r="F196" i="5"/>
  <c r="F197" i="5"/>
  <c r="F198" i="5"/>
  <c r="F199" i="5"/>
  <c r="F200" i="5"/>
  <c r="F201" i="5"/>
  <c r="F202" i="5"/>
  <c r="F203" i="5"/>
  <c r="F204" i="5"/>
  <c r="F205" i="5"/>
  <c r="F206" i="5"/>
  <c r="F207" i="5"/>
  <c r="F208" i="5"/>
  <c r="F209" i="5"/>
  <c r="F210" i="5"/>
  <c r="F211" i="5"/>
  <c r="F212" i="5"/>
  <c r="F213" i="5"/>
  <c r="F214" i="5"/>
  <c r="F215" i="5"/>
  <c r="F216" i="5"/>
  <c r="F217" i="5"/>
  <c r="F218" i="5"/>
  <c r="F219" i="5"/>
  <c r="F220" i="5"/>
  <c r="F221" i="5"/>
  <c r="F222" i="5"/>
  <c r="F223" i="5"/>
  <c r="F224" i="5"/>
  <c r="F225" i="5"/>
  <c r="F226" i="5"/>
  <c r="F227" i="5"/>
  <c r="F228" i="5"/>
  <c r="F229" i="5"/>
  <c r="F230" i="5"/>
  <c r="F231" i="5"/>
  <c r="F232" i="5"/>
  <c r="F233" i="5"/>
  <c r="F234" i="5"/>
  <c r="F235" i="5"/>
  <c r="F236" i="5"/>
  <c r="F237" i="5"/>
  <c r="F238" i="5"/>
  <c r="F239" i="5"/>
  <c r="F240" i="5"/>
  <c r="F241" i="5"/>
  <c r="F242" i="5"/>
  <c r="F243" i="5"/>
  <c r="F244" i="5"/>
  <c r="F245" i="5"/>
  <c r="F246" i="5"/>
  <c r="F247" i="5"/>
  <c r="F248" i="5"/>
  <c r="F249" i="5"/>
  <c r="F250" i="5"/>
  <c r="F251" i="5"/>
  <c r="F252" i="5"/>
  <c r="F253" i="5"/>
  <c r="F254" i="5"/>
  <c r="F255" i="5"/>
  <c r="F256" i="5"/>
  <c r="F257" i="5"/>
  <c r="F258" i="5"/>
  <c r="F259" i="5"/>
  <c r="F260" i="5"/>
  <c r="F261" i="5"/>
  <c r="F262" i="5"/>
  <c r="F263" i="5"/>
  <c r="F264" i="5"/>
  <c r="F265" i="5"/>
  <c r="F266" i="5"/>
  <c r="F267" i="5"/>
  <c r="F268" i="5"/>
  <c r="F269" i="5"/>
  <c r="F270" i="5"/>
  <c r="F271" i="5"/>
  <c r="F272" i="5"/>
  <c r="F273" i="5"/>
  <c r="F274" i="5"/>
  <c r="F275" i="5"/>
  <c r="F276" i="5"/>
  <c r="F277" i="5"/>
  <c r="F278" i="5"/>
  <c r="F279" i="5"/>
  <c r="F280" i="5"/>
  <c r="F281" i="5"/>
  <c r="F282" i="5"/>
  <c r="F283" i="5"/>
  <c r="F284" i="5"/>
  <c r="F285" i="5"/>
  <c r="F286" i="5"/>
  <c r="F287" i="5"/>
  <c r="F288" i="5"/>
  <c r="F289" i="5"/>
  <c r="F290" i="5"/>
  <c r="F291" i="5"/>
  <c r="F292" i="5"/>
  <c r="F293" i="5"/>
  <c r="F294" i="5"/>
  <c r="F295" i="5"/>
  <c r="F296" i="5"/>
  <c r="F297" i="5"/>
  <c r="F298" i="5"/>
  <c r="F299" i="5"/>
  <c r="F300" i="5"/>
  <c r="F301" i="5"/>
  <c r="F302" i="5"/>
  <c r="F303" i="5"/>
  <c r="F304" i="5"/>
  <c r="F305" i="5"/>
  <c r="F306" i="5"/>
  <c r="F307" i="5"/>
  <c r="F308" i="5"/>
  <c r="F309" i="5"/>
  <c r="F310" i="5"/>
  <c r="F311" i="5"/>
  <c r="F312" i="5"/>
  <c r="F313" i="5"/>
  <c r="F314" i="5"/>
  <c r="F315" i="5"/>
  <c r="F316" i="5"/>
  <c r="F317" i="5"/>
  <c r="F318" i="5"/>
  <c r="F319" i="5"/>
  <c r="F320" i="5"/>
  <c r="F321" i="5"/>
  <c r="F322" i="5"/>
  <c r="F323" i="5"/>
  <c r="F324" i="5"/>
  <c r="F325" i="5"/>
  <c r="F326" i="5"/>
  <c r="F327" i="5"/>
  <c r="F328" i="5"/>
  <c r="F329" i="5"/>
  <c r="F330" i="5"/>
  <c r="F331" i="5"/>
  <c r="F332" i="5"/>
  <c r="F333" i="5"/>
  <c r="F334" i="5"/>
  <c r="F335" i="5"/>
  <c r="F336" i="5"/>
  <c r="F337" i="5"/>
  <c r="F338" i="5"/>
  <c r="F339" i="5"/>
  <c r="F340" i="5"/>
  <c r="F341" i="5"/>
  <c r="F342" i="5"/>
  <c r="F343" i="5"/>
  <c r="F344" i="5"/>
  <c r="F345" i="5"/>
  <c r="F346" i="5"/>
  <c r="F347" i="5"/>
  <c r="F348" i="5"/>
  <c r="F349" i="5"/>
  <c r="F350" i="5"/>
  <c r="F351" i="5"/>
  <c r="F352" i="5"/>
  <c r="F353" i="5"/>
  <c r="F354" i="5"/>
  <c r="F355" i="5"/>
  <c r="F356" i="5"/>
  <c r="F357" i="5"/>
  <c r="F358" i="5"/>
  <c r="F359" i="5"/>
  <c r="F360" i="5"/>
  <c r="F361" i="5"/>
  <c r="F362" i="5"/>
  <c r="F363" i="5"/>
  <c r="F364" i="5"/>
  <c r="F365" i="5"/>
  <c r="F366" i="5"/>
  <c r="F367" i="5"/>
  <c r="F368" i="5"/>
  <c r="F369" i="5"/>
  <c r="F370" i="5"/>
  <c r="F371" i="5"/>
  <c r="F372" i="5"/>
  <c r="F373" i="5"/>
  <c r="F374" i="5"/>
  <c r="F375" i="5"/>
  <c r="F376" i="5"/>
  <c r="F377" i="5"/>
  <c r="F378" i="5"/>
  <c r="F379" i="5"/>
  <c r="F380" i="5"/>
  <c r="F381" i="5"/>
  <c r="F382" i="5"/>
  <c r="F383" i="5"/>
  <c r="F384" i="5"/>
  <c r="F385" i="5"/>
  <c r="F386" i="5"/>
  <c r="F387" i="5"/>
  <c r="F388" i="5"/>
  <c r="F389" i="5"/>
  <c r="F390" i="5"/>
  <c r="F391" i="5"/>
  <c r="F392" i="5"/>
  <c r="F393" i="5"/>
  <c r="F394" i="5"/>
  <c r="F395" i="5"/>
  <c r="F396" i="5"/>
  <c r="F397" i="5"/>
  <c r="F398" i="5"/>
  <c r="F399" i="5"/>
  <c r="F400" i="5"/>
  <c r="F401" i="5"/>
  <c r="F402" i="5"/>
  <c r="F403" i="5"/>
  <c r="F404" i="5"/>
  <c r="F405" i="5"/>
  <c r="F406" i="5"/>
  <c r="F407" i="5"/>
  <c r="F408" i="5"/>
  <c r="F409" i="5"/>
  <c r="F410" i="5"/>
  <c r="F411" i="5"/>
  <c r="F412" i="5"/>
  <c r="F413" i="5"/>
  <c r="F414" i="5"/>
  <c r="F415" i="5"/>
  <c r="F416" i="5"/>
  <c r="F417" i="5"/>
  <c r="F418" i="5"/>
  <c r="F419" i="5"/>
  <c r="F420" i="5"/>
  <c r="F421" i="5"/>
  <c r="F422" i="5"/>
  <c r="F423" i="5"/>
  <c r="F424" i="5"/>
  <c r="F425" i="5"/>
  <c r="F426" i="5"/>
  <c r="F427" i="5"/>
  <c r="F428" i="5"/>
  <c r="F429" i="5"/>
  <c r="F430" i="5"/>
  <c r="F431" i="5"/>
  <c r="F432" i="5"/>
  <c r="F433" i="5"/>
  <c r="F434" i="5"/>
  <c r="F435" i="5"/>
  <c r="F436" i="5"/>
  <c r="F437" i="5"/>
  <c r="F438" i="5"/>
  <c r="F439" i="5"/>
  <c r="F440" i="5"/>
  <c r="F441" i="5"/>
  <c r="F442" i="5"/>
  <c r="F443" i="5"/>
  <c r="F444" i="5"/>
  <c r="F445" i="5"/>
  <c r="F446" i="5"/>
  <c r="F447" i="5"/>
  <c r="F448" i="5"/>
  <c r="F449" i="5"/>
  <c r="F450" i="5"/>
  <c r="F451" i="5"/>
  <c r="F452" i="5"/>
  <c r="F453" i="5"/>
  <c r="F454" i="5"/>
  <c r="F455" i="5"/>
  <c r="F456" i="5"/>
  <c r="F457" i="5"/>
  <c r="F458" i="5"/>
  <c r="F459" i="5"/>
  <c r="F460" i="5"/>
  <c r="F461" i="5"/>
  <c r="F462" i="5"/>
  <c r="F463" i="5"/>
  <c r="F464" i="5"/>
  <c r="F465" i="5"/>
  <c r="F466" i="5"/>
  <c r="F467" i="5"/>
  <c r="F468" i="5"/>
  <c r="F469" i="5"/>
  <c r="F470" i="5"/>
  <c r="F471" i="5"/>
  <c r="F472" i="5"/>
  <c r="F473" i="5"/>
  <c r="F474" i="5"/>
  <c r="F475" i="5"/>
  <c r="F476" i="5"/>
  <c r="F477" i="5"/>
  <c r="F478" i="5"/>
  <c r="F479" i="5"/>
  <c r="F480" i="5"/>
  <c r="F481" i="5"/>
  <c r="F482" i="5"/>
  <c r="F483" i="5"/>
  <c r="F484" i="5"/>
  <c r="F485" i="5"/>
  <c r="F486" i="5"/>
  <c r="F487" i="5"/>
  <c r="F488" i="5"/>
  <c r="F489" i="5"/>
  <c r="F490" i="5"/>
  <c r="F491" i="5"/>
  <c r="F492" i="5"/>
  <c r="F493" i="5"/>
  <c r="F494" i="5"/>
  <c r="F495" i="5"/>
  <c r="F496" i="5"/>
  <c r="F497" i="5"/>
  <c r="F498" i="5"/>
  <c r="F499" i="5"/>
  <c r="F500" i="5"/>
  <c r="F501" i="5"/>
  <c r="F502" i="5"/>
  <c r="F503" i="5"/>
  <c r="F504" i="5"/>
  <c r="F505" i="5"/>
  <c r="F506" i="5"/>
  <c r="F507" i="5"/>
  <c r="F508" i="5"/>
  <c r="F509" i="5"/>
  <c r="F510" i="5"/>
  <c r="F511" i="5"/>
  <c r="F512" i="5"/>
  <c r="F513" i="5"/>
  <c r="F514" i="5"/>
  <c r="F515" i="5"/>
  <c r="F516" i="5"/>
  <c r="F517" i="5"/>
  <c r="F518" i="5"/>
  <c r="F519" i="5"/>
  <c r="F520" i="5"/>
  <c r="F521" i="5"/>
  <c r="F522" i="5"/>
  <c r="F523" i="5"/>
  <c r="F524" i="5"/>
  <c r="F525" i="5"/>
  <c r="F526" i="5"/>
  <c r="F527" i="5"/>
  <c r="F528" i="5"/>
  <c r="F529" i="5"/>
  <c r="F530" i="5"/>
  <c r="F531" i="5"/>
  <c r="F532" i="5"/>
  <c r="F533" i="5"/>
  <c r="F534" i="5"/>
  <c r="F535" i="5"/>
  <c r="F536" i="5"/>
  <c r="F537" i="5"/>
  <c r="F538" i="5"/>
  <c r="F539" i="5"/>
  <c r="F540" i="5"/>
  <c r="F541" i="5"/>
  <c r="F542" i="5"/>
  <c r="F543" i="5"/>
  <c r="F544" i="5"/>
  <c r="F545" i="5"/>
  <c r="F546" i="5"/>
  <c r="F547" i="5"/>
  <c r="F548" i="5"/>
  <c r="F549" i="5"/>
  <c r="F550" i="5"/>
  <c r="F551" i="5"/>
  <c r="F552" i="5"/>
  <c r="F553" i="5"/>
  <c r="F554" i="5"/>
  <c r="F555" i="5"/>
  <c r="F556" i="5"/>
  <c r="F557" i="5"/>
  <c r="F558" i="5"/>
  <c r="F559" i="5"/>
  <c r="F560" i="5"/>
  <c r="F561" i="5"/>
  <c r="F562" i="5"/>
  <c r="F563" i="5"/>
  <c r="F564" i="5"/>
  <c r="F565" i="5"/>
  <c r="F566" i="5"/>
  <c r="F567" i="5"/>
  <c r="F568" i="5"/>
  <c r="F569" i="5"/>
  <c r="F570" i="5"/>
  <c r="F571" i="5"/>
  <c r="F572" i="5"/>
  <c r="F573" i="5"/>
  <c r="F574" i="5"/>
  <c r="F575" i="5"/>
  <c r="F576" i="5"/>
  <c r="F577" i="5"/>
  <c r="F578" i="5"/>
  <c r="F579" i="5"/>
  <c r="F580" i="5"/>
  <c r="F581" i="5"/>
  <c r="F582" i="5"/>
  <c r="F583" i="5"/>
  <c r="F584" i="5"/>
  <c r="F585" i="5"/>
  <c r="F586" i="5"/>
  <c r="F587" i="5"/>
  <c r="F588" i="5"/>
  <c r="F589" i="5"/>
  <c r="F590" i="5"/>
  <c r="F591" i="5"/>
  <c r="F592" i="5"/>
  <c r="F593" i="5"/>
  <c r="F594" i="5"/>
  <c r="F595" i="5"/>
  <c r="F596" i="5"/>
  <c r="F597" i="5"/>
  <c r="F598" i="5"/>
  <c r="F599" i="5"/>
  <c r="F600" i="5"/>
  <c r="F601" i="5"/>
  <c r="F602" i="5"/>
  <c r="F603" i="5"/>
  <c r="F604" i="5"/>
  <c r="F605" i="5"/>
  <c r="F606" i="5"/>
  <c r="F607" i="5"/>
  <c r="F608" i="5"/>
  <c r="F609" i="5"/>
  <c r="F610" i="5"/>
  <c r="F611" i="5"/>
  <c r="F612" i="5"/>
  <c r="F613" i="5"/>
  <c r="F614" i="5"/>
  <c r="F615" i="5"/>
  <c r="F616" i="5"/>
  <c r="F617" i="5"/>
  <c r="F618" i="5"/>
  <c r="F619" i="5"/>
  <c r="F620" i="5"/>
  <c r="F621" i="5"/>
  <c r="F622" i="5"/>
  <c r="F623" i="5"/>
  <c r="F624" i="5"/>
  <c r="F625" i="5"/>
  <c r="F626" i="5"/>
  <c r="F627" i="5"/>
  <c r="F628" i="5"/>
  <c r="F629" i="5"/>
  <c r="F630" i="5"/>
  <c r="F631" i="5"/>
  <c r="F632" i="5"/>
  <c r="F633" i="5"/>
  <c r="F634" i="5"/>
  <c r="F635" i="5"/>
  <c r="F636" i="5"/>
  <c r="F637" i="5"/>
  <c r="F638" i="5"/>
  <c r="F639" i="5"/>
  <c r="F640" i="5"/>
  <c r="F641" i="5"/>
  <c r="F642" i="5"/>
  <c r="F643" i="5"/>
  <c r="F644" i="5"/>
  <c r="F645" i="5"/>
  <c r="F646" i="5"/>
  <c r="F647" i="5"/>
  <c r="F648" i="5"/>
  <c r="F649" i="5"/>
  <c r="F650" i="5"/>
  <c r="F651" i="5"/>
  <c r="F652" i="5"/>
  <c r="F653" i="5"/>
  <c r="F654" i="5"/>
  <c r="F655" i="5"/>
  <c r="F656" i="5"/>
  <c r="F657" i="5"/>
  <c r="F658" i="5"/>
  <c r="F659" i="5"/>
  <c r="F660" i="5"/>
  <c r="F661" i="5"/>
  <c r="F662" i="5"/>
  <c r="F663" i="5"/>
  <c r="F664" i="5"/>
  <c r="F665" i="5"/>
  <c r="F666" i="5"/>
  <c r="F667" i="5"/>
  <c r="F668" i="5"/>
  <c r="F669" i="5"/>
  <c r="F670" i="5"/>
  <c r="F671" i="5"/>
  <c r="F672" i="5"/>
  <c r="F673" i="5"/>
  <c r="F674" i="5"/>
  <c r="F675" i="5"/>
  <c r="F676" i="5"/>
  <c r="F677" i="5"/>
  <c r="F678" i="5"/>
  <c r="F679" i="5"/>
  <c r="F680" i="5"/>
  <c r="F681" i="5"/>
  <c r="F682" i="5"/>
  <c r="F683" i="5"/>
  <c r="F684" i="5"/>
  <c r="F685" i="5"/>
  <c r="F686" i="5"/>
  <c r="F687" i="5"/>
  <c r="F688" i="5"/>
  <c r="F689" i="5"/>
  <c r="F690" i="5"/>
  <c r="F691" i="5"/>
  <c r="F692" i="5"/>
  <c r="F693" i="5"/>
  <c r="F694" i="5"/>
  <c r="F695" i="5"/>
  <c r="F696" i="5"/>
  <c r="F697" i="5"/>
  <c r="F698" i="5"/>
  <c r="F699" i="5"/>
  <c r="F700" i="5"/>
  <c r="F701" i="5"/>
  <c r="F702" i="5"/>
  <c r="F703" i="5"/>
  <c r="F704" i="5"/>
  <c r="F705" i="5"/>
  <c r="F706" i="5"/>
  <c r="F707" i="5"/>
  <c r="F708" i="5"/>
  <c r="F709" i="5"/>
  <c r="F710" i="5"/>
  <c r="F711" i="5"/>
  <c r="F712" i="5"/>
  <c r="F713" i="5"/>
  <c r="F714" i="5"/>
  <c r="F715" i="5"/>
  <c r="F716" i="5"/>
  <c r="F717" i="5"/>
  <c r="F718" i="5"/>
  <c r="F719" i="5"/>
  <c r="F720" i="5"/>
  <c r="F721" i="5"/>
  <c r="F722" i="5"/>
  <c r="F723" i="5"/>
  <c r="F724" i="5"/>
  <c r="F725" i="5"/>
  <c r="F726" i="5"/>
  <c r="F727" i="5"/>
  <c r="F728" i="5"/>
  <c r="F729" i="5"/>
  <c r="F730" i="5"/>
  <c r="F731" i="5"/>
  <c r="F732" i="5"/>
  <c r="F733" i="5"/>
  <c r="F734" i="5"/>
  <c r="F735" i="5"/>
  <c r="F736" i="5"/>
  <c r="F737" i="5"/>
  <c r="F738" i="5"/>
  <c r="F739" i="5"/>
  <c r="F740" i="5"/>
  <c r="F741" i="5"/>
  <c r="F742" i="5"/>
  <c r="F743" i="5"/>
  <c r="F744" i="5"/>
  <c r="F745" i="5"/>
  <c r="F746" i="5"/>
  <c r="F747" i="5"/>
  <c r="F748" i="5"/>
  <c r="F749" i="5"/>
  <c r="F750" i="5"/>
  <c r="F751" i="5"/>
  <c r="F752" i="5"/>
  <c r="F753" i="5"/>
  <c r="F754" i="5"/>
  <c r="F755" i="5"/>
  <c r="F756" i="5"/>
  <c r="F757" i="5"/>
  <c r="F758" i="5"/>
  <c r="F759" i="5"/>
  <c r="F760" i="5"/>
  <c r="F761" i="5"/>
  <c r="F762" i="5"/>
  <c r="F763" i="5"/>
  <c r="F764" i="5"/>
  <c r="F765" i="5"/>
  <c r="F766" i="5"/>
  <c r="F767" i="5"/>
  <c r="F768" i="5"/>
  <c r="F769" i="5"/>
  <c r="F770" i="5"/>
  <c r="F771" i="5"/>
  <c r="F772" i="5"/>
  <c r="F773" i="5"/>
  <c r="F774" i="5"/>
  <c r="F775" i="5"/>
  <c r="F776" i="5"/>
  <c r="F777" i="5"/>
  <c r="F778" i="5"/>
  <c r="F779" i="5"/>
  <c r="F780" i="5"/>
  <c r="F781" i="5"/>
  <c r="F782" i="5"/>
  <c r="F783" i="5"/>
  <c r="F784" i="5"/>
  <c r="F785" i="5"/>
  <c r="F786" i="5"/>
  <c r="F787" i="5"/>
  <c r="F788" i="5"/>
  <c r="F789" i="5"/>
  <c r="F790" i="5"/>
  <c r="F791" i="5"/>
  <c r="F792" i="5"/>
  <c r="F793" i="5"/>
  <c r="F794" i="5"/>
  <c r="F795" i="5"/>
  <c r="F796" i="5"/>
  <c r="F797" i="5"/>
  <c r="F798" i="5"/>
  <c r="F799" i="5"/>
  <c r="F800" i="5"/>
  <c r="F801" i="5"/>
  <c r="F802" i="5"/>
  <c r="F803" i="5"/>
  <c r="F804" i="5"/>
  <c r="F805" i="5"/>
  <c r="F806" i="5"/>
  <c r="F807" i="5"/>
  <c r="F808" i="5"/>
  <c r="F809" i="5"/>
  <c r="F810" i="5"/>
  <c r="F811" i="5"/>
  <c r="F812" i="5"/>
  <c r="F813" i="5"/>
  <c r="F814" i="5"/>
  <c r="F815" i="5"/>
  <c r="F816" i="5"/>
  <c r="F817" i="5"/>
  <c r="F818" i="5"/>
  <c r="F819" i="5"/>
  <c r="F820" i="5"/>
  <c r="F821" i="5"/>
  <c r="F822" i="5"/>
  <c r="F823" i="5"/>
  <c r="F824" i="5"/>
  <c r="F825" i="5"/>
  <c r="F826" i="5"/>
  <c r="F827" i="5"/>
  <c r="F828" i="5"/>
  <c r="F829" i="5"/>
  <c r="F830" i="5"/>
  <c r="F831" i="5"/>
  <c r="F832" i="5"/>
  <c r="F833" i="5"/>
  <c r="F834" i="5"/>
  <c r="F835" i="5"/>
  <c r="F836" i="5"/>
  <c r="F837" i="5"/>
  <c r="F838" i="5"/>
  <c r="F839" i="5"/>
  <c r="F840" i="5"/>
  <c r="F841" i="5"/>
  <c r="F842" i="5"/>
  <c r="F843" i="5"/>
  <c r="F844" i="5"/>
  <c r="F845" i="5"/>
  <c r="F846" i="5"/>
  <c r="F847" i="5"/>
  <c r="F848" i="5"/>
  <c r="F849" i="5"/>
  <c r="F850" i="5"/>
  <c r="F851" i="5"/>
  <c r="F852" i="5"/>
  <c r="F853" i="5"/>
  <c r="F854" i="5"/>
  <c r="F855" i="5"/>
  <c r="F856" i="5"/>
  <c r="F857" i="5"/>
  <c r="F858" i="5"/>
  <c r="F859" i="5"/>
  <c r="F860" i="5"/>
  <c r="F861" i="5"/>
  <c r="F862" i="5"/>
  <c r="F863" i="5"/>
  <c r="F864" i="5"/>
  <c r="F865" i="5"/>
  <c r="F866" i="5"/>
  <c r="F867" i="5"/>
  <c r="F868" i="5"/>
  <c r="F869" i="5"/>
  <c r="F870" i="5"/>
  <c r="F871" i="5"/>
  <c r="F872" i="5"/>
  <c r="F873" i="5"/>
  <c r="F874" i="5"/>
  <c r="F875" i="5"/>
  <c r="F876" i="5"/>
  <c r="F877" i="5"/>
  <c r="F878" i="5"/>
  <c r="F879" i="5"/>
  <c r="F880" i="5"/>
  <c r="F881" i="5"/>
  <c r="F882" i="5"/>
  <c r="F883" i="5"/>
  <c r="F884" i="5"/>
  <c r="F885" i="5"/>
  <c r="F886" i="5"/>
  <c r="F887" i="5"/>
  <c r="F888" i="5"/>
  <c r="F889" i="5"/>
  <c r="F890" i="5"/>
  <c r="F891" i="5"/>
  <c r="F892" i="5"/>
  <c r="F893" i="5"/>
  <c r="F894" i="5"/>
  <c r="F895" i="5"/>
  <c r="F896" i="5"/>
  <c r="F897" i="5"/>
  <c r="F898" i="5"/>
  <c r="F899" i="5"/>
  <c r="F900" i="5"/>
  <c r="F901" i="5"/>
  <c r="F902" i="5"/>
  <c r="F903" i="5"/>
  <c r="F904" i="5"/>
  <c r="F905" i="5"/>
  <c r="F906" i="5"/>
  <c r="F907" i="5"/>
  <c r="F908" i="5"/>
  <c r="F909" i="5"/>
  <c r="F910" i="5"/>
  <c r="F911" i="5"/>
  <c r="F912" i="5"/>
  <c r="F913" i="5"/>
  <c r="F914" i="5"/>
  <c r="F915" i="5"/>
  <c r="F916" i="5"/>
  <c r="F917" i="5"/>
  <c r="F918" i="5"/>
  <c r="F919" i="5"/>
  <c r="F920" i="5"/>
  <c r="F921" i="5"/>
  <c r="F922" i="5"/>
  <c r="F923" i="5"/>
  <c r="F924" i="5"/>
  <c r="F925" i="5"/>
  <c r="F926" i="5"/>
  <c r="F927" i="5"/>
  <c r="F928" i="5"/>
  <c r="F929" i="5"/>
  <c r="F930" i="5"/>
  <c r="F931" i="5"/>
  <c r="F932" i="5"/>
  <c r="F933" i="5"/>
  <c r="F934" i="5"/>
  <c r="F935" i="5"/>
  <c r="F936" i="5"/>
  <c r="F937" i="5"/>
  <c r="F938" i="5"/>
  <c r="F939" i="5"/>
  <c r="F940" i="5"/>
  <c r="F941" i="5"/>
  <c r="F942" i="5"/>
  <c r="F943" i="5"/>
  <c r="F944" i="5"/>
  <c r="F945" i="5"/>
  <c r="F946" i="5"/>
  <c r="F947" i="5"/>
  <c r="F948" i="5"/>
  <c r="F949" i="5"/>
  <c r="F950" i="5"/>
  <c r="F951" i="5"/>
  <c r="F952" i="5"/>
  <c r="F953" i="5"/>
  <c r="F954" i="5"/>
  <c r="F955" i="5"/>
  <c r="F956" i="5"/>
  <c r="F957" i="5"/>
  <c r="F958" i="5"/>
  <c r="F959" i="5"/>
  <c r="F960" i="5"/>
  <c r="F961" i="5"/>
  <c r="F962" i="5"/>
  <c r="F963" i="5"/>
  <c r="F964" i="5"/>
  <c r="F965" i="5"/>
  <c r="F966" i="5"/>
  <c r="F967" i="5"/>
  <c r="F968" i="5"/>
  <c r="F969" i="5"/>
  <c r="F970" i="5"/>
  <c r="F971" i="5"/>
  <c r="F972" i="5"/>
  <c r="F973" i="5"/>
  <c r="F974" i="5"/>
  <c r="F975" i="5"/>
  <c r="F976" i="5"/>
  <c r="F977" i="5"/>
  <c r="F978" i="5"/>
  <c r="F979" i="5"/>
  <c r="F980" i="5"/>
  <c r="F981" i="5"/>
  <c r="F982" i="5"/>
  <c r="F983" i="5"/>
  <c r="F984" i="5"/>
  <c r="F985" i="5"/>
  <c r="F986" i="5"/>
  <c r="F987" i="5"/>
  <c r="F988" i="5"/>
  <c r="F989" i="5"/>
  <c r="F990" i="5"/>
  <c r="F991" i="5"/>
  <c r="F992" i="5"/>
  <c r="F993" i="5"/>
  <c r="F994" i="5"/>
  <c r="F995" i="5"/>
  <c r="F996" i="5"/>
  <c r="F997" i="5"/>
  <c r="F998" i="5"/>
  <c r="F999" i="5"/>
  <c r="F1000" i="5"/>
  <c r="F1001" i="5"/>
  <c r="F1002" i="5"/>
  <c r="F1003" i="5"/>
  <c r="F1004" i="5"/>
  <c r="F1005" i="5"/>
  <c r="F1006" i="5"/>
  <c r="F1007" i="5"/>
  <c r="F1008" i="5"/>
  <c r="F1009" i="5"/>
  <c r="F1010" i="5"/>
  <c r="F1011" i="5"/>
  <c r="F1012" i="5"/>
  <c r="F1013" i="5"/>
  <c r="F1014" i="5"/>
  <c r="F1015" i="5"/>
  <c r="F1016" i="5"/>
  <c r="F1017" i="5"/>
  <c r="F1018" i="5"/>
  <c r="F1019" i="5"/>
  <c r="F1020" i="5"/>
  <c r="F1021" i="5"/>
  <c r="F1022" i="5"/>
  <c r="F1023" i="5"/>
  <c r="F1024" i="5"/>
  <c r="F1025" i="5"/>
  <c r="F1026" i="5"/>
  <c r="F1027" i="5"/>
  <c r="F1028" i="5"/>
  <c r="F1029" i="5"/>
  <c r="F1030" i="5"/>
  <c r="F1031" i="5"/>
  <c r="F1032" i="5"/>
  <c r="F1033" i="5"/>
  <c r="F1034" i="5"/>
  <c r="F1035" i="5"/>
  <c r="F1036" i="5"/>
  <c r="F1037" i="5"/>
  <c r="F1038" i="5"/>
  <c r="F1039" i="5"/>
  <c r="F1040" i="5"/>
  <c r="F1041" i="5"/>
  <c r="F1042" i="5"/>
  <c r="F1043" i="5"/>
  <c r="F1044" i="5"/>
  <c r="F1045" i="5"/>
  <c r="F1046" i="5"/>
  <c r="F1047" i="5"/>
  <c r="F1048" i="5"/>
  <c r="F1049" i="5"/>
  <c r="F1050" i="5"/>
  <c r="F1051" i="5"/>
  <c r="F1052" i="5"/>
  <c r="F1053" i="5"/>
  <c r="F1054" i="5"/>
  <c r="F1055" i="5"/>
  <c r="F1056" i="5"/>
  <c r="F1057" i="5"/>
  <c r="F1058" i="5"/>
  <c r="F1059" i="5"/>
  <c r="F1060" i="5"/>
  <c r="F1061" i="5"/>
  <c r="F1062" i="5"/>
  <c r="F1063" i="5"/>
  <c r="F1064" i="5"/>
  <c r="F1065" i="5"/>
  <c r="F1066" i="5"/>
  <c r="F1067" i="5"/>
  <c r="F1068" i="5"/>
  <c r="F1069" i="5"/>
  <c r="F1070" i="5"/>
  <c r="F1071" i="5"/>
  <c r="F1072" i="5"/>
  <c r="F1073" i="5"/>
  <c r="F1074" i="5"/>
  <c r="F1075" i="5"/>
  <c r="F1076" i="5"/>
  <c r="F1077" i="5"/>
  <c r="F1078" i="5"/>
  <c r="F1079" i="5"/>
  <c r="F1080" i="5"/>
  <c r="F1081" i="5"/>
  <c r="F1082" i="5"/>
  <c r="F1083" i="5"/>
  <c r="F1084" i="5"/>
  <c r="F1085" i="5"/>
  <c r="F1086" i="5"/>
  <c r="F1087" i="5"/>
  <c r="F1088" i="5"/>
  <c r="F1089" i="5"/>
  <c r="F1090" i="5"/>
  <c r="F1091" i="5"/>
  <c r="F1092" i="5"/>
  <c r="F1093" i="5"/>
  <c r="F1094" i="5"/>
  <c r="F1095" i="5"/>
  <c r="F1096" i="5"/>
  <c r="F1097" i="5"/>
  <c r="F1098" i="5"/>
  <c r="F1099" i="5"/>
  <c r="F1100" i="5"/>
  <c r="F1101" i="5"/>
  <c r="F1102" i="5"/>
  <c r="F1103" i="5"/>
  <c r="F1104" i="5"/>
  <c r="F1105" i="5"/>
  <c r="F1106" i="5"/>
  <c r="F1107" i="5"/>
  <c r="F1108" i="5"/>
  <c r="F1109" i="5"/>
  <c r="F1110" i="5"/>
  <c r="F1111" i="5"/>
  <c r="F1112" i="5"/>
  <c r="F1113" i="5"/>
  <c r="F1114" i="5"/>
  <c r="F1115" i="5"/>
  <c r="F1116" i="5"/>
  <c r="F1117" i="5"/>
  <c r="F1118" i="5"/>
  <c r="F1119" i="5"/>
  <c r="F1120" i="5"/>
  <c r="F1121" i="5"/>
  <c r="F1122" i="5"/>
  <c r="F1123" i="5"/>
  <c r="F1124" i="5"/>
  <c r="F1125" i="5"/>
  <c r="F1126" i="5"/>
  <c r="F1127" i="5"/>
  <c r="F1128" i="5"/>
  <c r="F1129" i="5"/>
  <c r="F1130" i="5"/>
  <c r="F1131" i="5"/>
  <c r="F1132" i="5"/>
  <c r="F1133" i="5"/>
  <c r="F1134" i="5"/>
  <c r="F1135" i="5"/>
  <c r="F1136" i="5"/>
  <c r="F1137" i="5"/>
  <c r="F1138" i="5"/>
  <c r="F1139" i="5"/>
  <c r="F1140" i="5"/>
  <c r="F1141" i="5"/>
  <c r="F1142" i="5"/>
  <c r="F1143" i="5"/>
  <c r="F1144" i="5"/>
  <c r="F1145" i="5"/>
  <c r="F1146" i="5"/>
  <c r="F1147" i="5"/>
  <c r="F1148" i="5"/>
  <c r="F1149" i="5"/>
  <c r="F1150" i="5"/>
  <c r="F1151" i="5"/>
  <c r="F1152" i="5"/>
  <c r="F1153" i="5"/>
  <c r="F1154" i="5"/>
  <c r="F1155" i="5"/>
  <c r="F1156" i="5"/>
  <c r="F1157" i="5"/>
  <c r="F1158" i="5"/>
  <c r="F1159" i="5"/>
  <c r="F1160" i="5"/>
  <c r="F1161" i="5"/>
  <c r="F1162" i="5"/>
  <c r="F1163" i="5"/>
  <c r="F1164" i="5"/>
  <c r="F1165" i="5"/>
  <c r="F1166" i="5"/>
  <c r="F1167" i="5"/>
  <c r="F1168" i="5"/>
  <c r="F1169" i="5"/>
  <c r="F1170" i="5"/>
  <c r="F1171" i="5"/>
  <c r="F1172" i="5"/>
  <c r="F1173" i="5"/>
  <c r="F1174" i="5"/>
  <c r="F1175" i="5"/>
  <c r="F1176" i="5"/>
  <c r="F1177" i="5"/>
  <c r="F1178" i="5"/>
  <c r="F1179" i="5"/>
  <c r="F1180" i="5"/>
  <c r="F1181" i="5"/>
  <c r="F1182" i="5"/>
  <c r="F1183" i="5"/>
  <c r="F1184" i="5"/>
  <c r="F1185" i="5"/>
  <c r="F1186" i="5"/>
  <c r="F1187" i="5"/>
  <c r="F1188" i="5"/>
  <c r="F1189" i="5"/>
  <c r="F1190" i="5"/>
  <c r="F1191" i="5"/>
  <c r="F1192" i="5"/>
  <c r="F1193" i="5"/>
  <c r="F1194" i="5"/>
  <c r="F1195" i="5"/>
  <c r="F1196" i="5"/>
  <c r="F1197" i="5"/>
  <c r="F1198" i="5"/>
  <c r="F1199" i="5"/>
  <c r="F1200" i="5"/>
  <c r="F1201" i="5"/>
  <c r="F1202" i="5"/>
  <c r="F1203" i="5"/>
  <c r="F1204" i="5"/>
  <c r="F1205" i="5"/>
  <c r="F1206" i="5"/>
  <c r="F1207" i="5"/>
  <c r="F1208" i="5"/>
  <c r="F1209" i="5"/>
  <c r="F1210" i="5"/>
  <c r="F1211" i="5"/>
  <c r="F1212" i="5"/>
  <c r="F1213" i="5"/>
  <c r="F1214" i="5"/>
  <c r="F1215" i="5"/>
  <c r="F1216" i="5"/>
  <c r="F1217" i="5"/>
  <c r="F1218" i="5"/>
  <c r="F1219" i="5"/>
  <c r="F1220" i="5"/>
  <c r="F1221" i="5"/>
  <c r="F1222" i="5"/>
  <c r="F1223" i="5"/>
  <c r="F1224" i="5"/>
  <c r="F1225" i="5"/>
  <c r="F1226" i="5"/>
  <c r="F1227" i="5"/>
  <c r="F1228" i="5"/>
  <c r="F1229" i="5"/>
  <c r="F1230" i="5"/>
  <c r="F1231" i="5"/>
  <c r="F1232" i="5"/>
  <c r="F1233" i="5"/>
  <c r="F1234" i="5"/>
  <c r="F1235" i="5"/>
  <c r="F1236" i="5"/>
  <c r="F1237" i="5"/>
  <c r="F1238" i="5"/>
  <c r="F1239" i="5"/>
  <c r="F1240" i="5"/>
  <c r="F1241" i="5"/>
  <c r="F1242" i="5"/>
  <c r="F1243" i="5"/>
  <c r="F1244" i="5"/>
  <c r="F1245" i="5"/>
  <c r="F1246" i="5"/>
  <c r="F1247" i="5"/>
  <c r="F1248" i="5"/>
  <c r="F1249" i="5"/>
  <c r="F1250" i="5"/>
  <c r="F1251" i="5"/>
  <c r="F1252" i="5"/>
  <c r="F1253" i="5"/>
  <c r="F1254" i="5"/>
  <c r="F1255" i="5"/>
  <c r="F1256" i="5"/>
  <c r="F1257" i="5"/>
  <c r="F1258" i="5"/>
  <c r="F1259" i="5"/>
  <c r="F1260" i="5"/>
  <c r="F1261" i="5"/>
  <c r="F1262" i="5"/>
  <c r="F1263" i="5"/>
  <c r="F1264" i="5"/>
  <c r="F1265" i="5"/>
  <c r="F1266" i="5"/>
  <c r="F1267" i="5"/>
  <c r="F1268" i="5"/>
  <c r="F1269" i="5"/>
  <c r="F1270" i="5"/>
  <c r="F1271" i="5"/>
  <c r="F1272" i="5"/>
  <c r="F1273" i="5"/>
  <c r="F1274" i="5"/>
  <c r="F1275" i="5"/>
  <c r="F1276" i="5"/>
  <c r="F1277" i="5"/>
  <c r="F1278" i="5"/>
  <c r="F1279" i="5"/>
  <c r="F1280" i="5"/>
  <c r="F1281" i="5"/>
  <c r="F1282" i="5"/>
  <c r="F1283" i="5"/>
  <c r="F1284" i="5"/>
  <c r="F1285" i="5"/>
  <c r="F1286" i="5"/>
  <c r="F1287" i="5"/>
  <c r="F1288" i="5"/>
  <c r="F1289" i="5"/>
  <c r="F1290" i="5"/>
  <c r="F1291" i="5"/>
  <c r="F1292" i="5"/>
  <c r="F1293" i="5"/>
  <c r="F1294" i="5"/>
  <c r="F1295" i="5"/>
  <c r="F1296" i="5"/>
  <c r="F1297" i="5"/>
  <c r="F1298" i="5"/>
  <c r="F1299" i="5"/>
  <c r="F1300" i="5"/>
  <c r="F1301" i="5"/>
  <c r="F1302" i="5"/>
  <c r="F1303" i="5"/>
  <c r="F1304" i="5"/>
  <c r="F1305" i="5"/>
  <c r="F1306" i="5"/>
  <c r="F1307" i="5"/>
  <c r="F1308" i="5"/>
  <c r="F1309" i="5"/>
  <c r="F1310" i="5"/>
  <c r="F1311" i="5"/>
  <c r="F1312" i="5"/>
  <c r="F1313" i="5"/>
  <c r="F1314" i="5"/>
  <c r="F1315" i="5"/>
  <c r="F1316" i="5"/>
  <c r="F1317" i="5"/>
  <c r="F1318" i="5"/>
  <c r="F1319" i="5"/>
  <c r="F1320" i="5"/>
  <c r="F1321" i="5"/>
  <c r="F1322" i="5"/>
  <c r="F1323" i="5"/>
  <c r="F1324" i="5"/>
  <c r="F1325" i="5"/>
  <c r="F1326" i="5"/>
  <c r="F1327" i="5"/>
  <c r="F1328" i="5"/>
  <c r="F1329" i="5"/>
  <c r="F1330" i="5"/>
  <c r="F1331" i="5"/>
  <c r="F1332" i="5"/>
  <c r="F1333" i="5"/>
  <c r="F1334" i="5"/>
  <c r="F1335" i="5"/>
  <c r="F1336" i="5"/>
  <c r="F1337" i="5"/>
  <c r="F1338" i="5"/>
  <c r="F1339" i="5"/>
  <c r="F1340" i="5"/>
  <c r="F1341" i="5"/>
  <c r="F1342" i="5"/>
  <c r="F1343" i="5"/>
  <c r="F1344" i="5"/>
  <c r="F1345" i="5"/>
  <c r="F1346" i="5"/>
  <c r="F1347" i="5"/>
  <c r="F1348" i="5"/>
  <c r="F1349" i="5"/>
  <c r="F1350" i="5"/>
  <c r="F1351" i="5"/>
  <c r="F1352" i="5"/>
  <c r="F1353" i="5"/>
  <c r="F1354" i="5"/>
  <c r="F1355" i="5"/>
  <c r="F1356" i="5"/>
  <c r="F1357" i="5"/>
  <c r="F1358" i="5"/>
  <c r="F1359" i="5"/>
  <c r="F1360" i="5"/>
  <c r="F1361" i="5"/>
  <c r="F1362" i="5"/>
  <c r="F1363" i="5"/>
  <c r="F1364" i="5"/>
  <c r="F1365" i="5"/>
  <c r="F1366" i="5"/>
  <c r="F1367" i="5"/>
  <c r="F1368" i="5"/>
  <c r="F1369" i="5"/>
  <c r="F1370" i="5"/>
  <c r="F1371" i="5"/>
  <c r="F1372" i="5"/>
  <c r="F1373" i="5"/>
  <c r="F1374" i="5"/>
  <c r="F1375" i="5"/>
  <c r="F1376" i="5"/>
  <c r="F1377" i="5"/>
  <c r="F1378" i="5"/>
  <c r="F1379" i="5"/>
  <c r="F1380" i="5"/>
  <c r="F1381" i="5"/>
  <c r="F1382" i="5"/>
  <c r="F1383" i="5"/>
  <c r="F1384" i="5"/>
  <c r="F1385" i="5"/>
  <c r="F1386" i="5"/>
  <c r="F1387" i="5"/>
  <c r="F1388" i="5"/>
  <c r="F1389" i="5"/>
  <c r="F1390" i="5"/>
  <c r="F1391" i="5"/>
  <c r="F1392" i="5"/>
  <c r="F1393" i="5"/>
  <c r="F1394" i="5"/>
  <c r="F1395" i="5"/>
  <c r="F1396" i="5"/>
  <c r="F1397" i="5"/>
  <c r="F1398" i="5"/>
  <c r="F1399" i="5"/>
  <c r="F1400" i="5"/>
  <c r="F1401" i="5"/>
  <c r="F1402" i="5"/>
  <c r="F1403" i="5"/>
  <c r="F1404" i="5"/>
  <c r="F1405" i="5"/>
  <c r="F1406" i="5"/>
  <c r="F1407" i="5"/>
  <c r="F1408" i="5"/>
  <c r="F1409" i="5"/>
  <c r="F1410" i="5"/>
  <c r="F1411" i="5"/>
  <c r="F1412" i="5"/>
  <c r="F1413" i="5"/>
  <c r="F1414" i="5"/>
  <c r="F1415" i="5"/>
  <c r="F1416" i="5"/>
  <c r="F1417" i="5"/>
  <c r="F1418" i="5"/>
  <c r="F1419" i="5"/>
  <c r="F1420" i="5"/>
  <c r="F1421" i="5"/>
  <c r="F1422" i="5"/>
  <c r="F1423" i="5"/>
  <c r="F1424" i="5"/>
  <c r="F1425" i="5"/>
  <c r="F1426" i="5"/>
  <c r="F1427" i="5"/>
  <c r="F1428" i="5"/>
  <c r="F1429" i="5"/>
  <c r="F1430" i="5"/>
  <c r="F1431" i="5"/>
  <c r="F1432" i="5"/>
  <c r="F1433" i="5"/>
  <c r="F1434" i="5"/>
  <c r="F1435" i="5"/>
  <c r="F1436" i="5"/>
  <c r="F1437" i="5"/>
  <c r="F1438" i="5"/>
  <c r="F1439" i="5"/>
  <c r="F1440" i="5"/>
  <c r="F1441" i="5"/>
  <c r="F1442" i="5"/>
  <c r="F1443" i="5"/>
  <c r="F1444" i="5"/>
  <c r="F1445" i="5"/>
  <c r="F1446" i="5"/>
  <c r="F1447" i="5"/>
  <c r="F1448" i="5"/>
  <c r="F1449" i="5"/>
  <c r="F1450" i="5"/>
  <c r="F1451" i="5"/>
  <c r="F1452" i="5"/>
  <c r="F1453" i="5"/>
  <c r="F1454" i="5"/>
  <c r="F1455" i="5"/>
  <c r="F1456" i="5"/>
  <c r="F1457" i="5"/>
  <c r="F1458" i="5"/>
  <c r="F1459" i="5"/>
  <c r="F1460" i="5"/>
  <c r="F1461" i="5"/>
  <c r="F1462" i="5"/>
  <c r="F1463" i="5"/>
  <c r="F1464" i="5"/>
  <c r="F1465" i="5"/>
  <c r="F1466" i="5"/>
  <c r="F1467" i="5"/>
  <c r="F1468" i="5"/>
  <c r="F1469" i="5"/>
  <c r="F1470" i="5"/>
  <c r="F1471" i="5"/>
  <c r="F1472" i="5"/>
  <c r="F1473" i="5"/>
  <c r="F1474" i="5"/>
  <c r="F1475" i="5"/>
  <c r="F1476" i="5"/>
  <c r="F1477" i="5"/>
  <c r="F1478" i="5"/>
  <c r="F1479" i="5"/>
  <c r="F1480" i="5"/>
  <c r="F1481" i="5"/>
  <c r="F1482" i="5"/>
  <c r="F1483" i="5"/>
  <c r="F1484" i="5"/>
  <c r="F1485" i="5"/>
  <c r="F1486" i="5"/>
  <c r="F1487" i="5"/>
  <c r="F1488" i="5"/>
  <c r="F1489" i="5"/>
  <c r="F1490" i="5"/>
  <c r="F1491" i="5"/>
  <c r="F1492" i="5"/>
  <c r="F1493" i="5"/>
  <c r="F1494" i="5"/>
  <c r="F1495" i="5"/>
  <c r="F1496" i="5"/>
  <c r="F1497" i="5"/>
  <c r="F1498" i="5"/>
  <c r="F1499" i="5"/>
  <c r="F1500" i="5"/>
  <c r="F1501" i="5"/>
  <c r="F1502" i="5"/>
  <c r="F1503" i="5"/>
  <c r="F1504" i="5"/>
  <c r="F1505" i="5"/>
  <c r="F1506" i="5"/>
  <c r="F1507" i="5"/>
  <c r="F1508" i="5"/>
  <c r="F1509" i="5"/>
  <c r="F1510" i="5"/>
  <c r="F1511" i="5"/>
  <c r="F1512" i="5"/>
  <c r="F1513" i="5"/>
  <c r="F1514" i="5"/>
  <c r="F1515" i="5"/>
  <c r="F1516" i="5"/>
  <c r="F1517" i="5"/>
  <c r="F1518" i="5"/>
  <c r="F1519" i="5"/>
  <c r="F1520" i="5"/>
  <c r="F1521" i="5"/>
  <c r="F1522" i="5"/>
  <c r="F1523" i="5"/>
  <c r="F1524" i="5"/>
  <c r="F1525" i="5"/>
  <c r="F1526" i="5"/>
  <c r="F1527" i="5"/>
  <c r="F1528" i="5"/>
  <c r="F1529" i="5"/>
  <c r="F1530" i="5"/>
  <c r="F1531" i="5"/>
  <c r="F1532" i="5"/>
  <c r="F1533" i="5"/>
  <c r="F1534" i="5"/>
  <c r="F1535" i="5"/>
  <c r="F1536" i="5"/>
  <c r="F1537" i="5"/>
  <c r="F1538" i="5"/>
  <c r="F1539" i="5"/>
  <c r="F1540" i="5"/>
  <c r="F1541" i="5"/>
  <c r="F1542" i="5"/>
  <c r="F1543" i="5"/>
  <c r="F1544" i="5"/>
  <c r="F1545" i="5"/>
  <c r="F1546" i="5"/>
  <c r="F1547" i="5"/>
  <c r="F1548" i="5"/>
  <c r="F1549" i="5"/>
  <c r="F1550" i="5"/>
  <c r="F1551" i="5"/>
  <c r="F1552" i="5"/>
  <c r="F1553" i="5"/>
  <c r="F1554" i="5"/>
  <c r="F1555" i="5"/>
  <c r="F1556" i="5"/>
  <c r="F1557" i="5"/>
  <c r="F1558" i="5"/>
  <c r="F1559" i="5"/>
  <c r="F1560" i="5"/>
  <c r="F1561" i="5"/>
  <c r="F1562" i="5"/>
  <c r="F1563" i="5"/>
  <c r="F1564" i="5"/>
  <c r="F1565" i="5"/>
  <c r="F1566" i="5"/>
  <c r="F1567" i="5"/>
  <c r="F1568" i="5"/>
  <c r="F1569" i="5"/>
  <c r="F1570" i="5"/>
  <c r="F1571" i="5"/>
  <c r="F1572" i="5"/>
  <c r="F1573" i="5"/>
  <c r="F1574" i="5"/>
  <c r="F1575" i="5"/>
  <c r="F1576" i="5"/>
  <c r="F1577" i="5"/>
  <c r="F1578" i="5"/>
  <c r="F1579" i="5"/>
  <c r="F1580" i="5"/>
  <c r="F1581" i="5"/>
  <c r="F1582" i="5"/>
  <c r="F1583" i="5"/>
  <c r="F1584" i="5"/>
  <c r="F1585" i="5"/>
  <c r="F1586" i="5"/>
  <c r="F1587" i="5"/>
  <c r="F1588" i="5"/>
  <c r="F1589" i="5"/>
  <c r="F1590" i="5"/>
  <c r="F1591" i="5"/>
  <c r="F1592" i="5"/>
  <c r="F1593" i="5"/>
  <c r="F1594" i="5"/>
  <c r="F1595" i="5"/>
  <c r="F1596" i="5"/>
  <c r="F1597" i="5"/>
  <c r="F1598" i="5"/>
  <c r="F1599" i="5"/>
  <c r="F1600" i="5"/>
  <c r="F1601" i="5"/>
  <c r="F1602" i="5"/>
  <c r="F1603" i="5"/>
  <c r="F1604" i="5"/>
  <c r="F1605" i="5"/>
  <c r="F1606" i="5"/>
  <c r="F1607" i="5"/>
  <c r="F1608" i="5"/>
  <c r="F1609" i="5"/>
  <c r="F1610" i="5"/>
  <c r="F1611" i="5"/>
  <c r="F1612" i="5"/>
  <c r="F1613" i="5"/>
  <c r="F1614" i="5"/>
  <c r="F1615" i="5"/>
  <c r="F1616" i="5"/>
  <c r="F1617" i="5"/>
  <c r="F1618" i="5"/>
  <c r="F1619" i="5"/>
  <c r="F1620" i="5"/>
  <c r="F1621" i="5"/>
  <c r="F1622" i="5"/>
  <c r="F1623" i="5"/>
  <c r="F1624" i="5"/>
  <c r="F1625" i="5"/>
  <c r="F1626" i="5"/>
  <c r="F1627" i="5"/>
  <c r="F1628" i="5"/>
  <c r="F1629" i="5"/>
  <c r="F1630" i="5"/>
  <c r="F1631" i="5"/>
  <c r="F1632" i="5"/>
  <c r="F1633" i="5"/>
  <c r="F1634" i="5"/>
  <c r="F1635" i="5"/>
  <c r="F1636" i="5"/>
  <c r="F1637" i="5"/>
  <c r="F1638" i="5"/>
  <c r="F1639" i="5"/>
  <c r="F1640" i="5"/>
  <c r="F1641" i="5"/>
  <c r="F1642" i="5"/>
  <c r="F1643" i="5"/>
  <c r="F1644" i="5"/>
  <c r="F1645" i="5"/>
  <c r="F1646" i="5"/>
  <c r="F1647" i="5"/>
  <c r="F1648" i="5"/>
  <c r="F1649" i="5"/>
  <c r="F1650" i="5"/>
  <c r="F1651" i="5"/>
  <c r="F1652" i="5"/>
  <c r="F1653" i="5"/>
  <c r="F1654" i="5"/>
  <c r="F1655" i="5"/>
  <c r="F1656" i="5"/>
  <c r="F1657" i="5"/>
  <c r="F1658" i="5"/>
  <c r="F1659" i="5"/>
  <c r="F1660" i="5"/>
  <c r="F1661" i="5"/>
  <c r="F1662" i="5"/>
  <c r="F1663" i="5"/>
  <c r="F1664" i="5"/>
  <c r="F1665" i="5"/>
  <c r="F1666" i="5"/>
  <c r="F1667" i="5"/>
  <c r="F1668" i="5"/>
  <c r="F1669" i="5"/>
  <c r="F1670" i="5"/>
  <c r="F1671" i="5"/>
  <c r="F1672" i="5"/>
  <c r="F1673" i="5"/>
  <c r="F1674" i="5"/>
  <c r="F1675" i="5"/>
  <c r="F1676" i="5"/>
  <c r="F1677" i="5"/>
  <c r="F1678" i="5"/>
  <c r="F1679" i="5"/>
  <c r="F1680" i="5"/>
  <c r="F1681" i="5"/>
  <c r="F1682" i="5"/>
  <c r="F1683" i="5"/>
  <c r="F1684" i="5"/>
  <c r="F1685" i="5"/>
  <c r="F1686" i="5"/>
  <c r="F1687" i="5"/>
  <c r="F1688" i="5"/>
  <c r="F1689" i="5"/>
  <c r="F1690" i="5"/>
  <c r="F1691" i="5"/>
  <c r="F1692" i="5"/>
  <c r="F1693" i="5"/>
  <c r="F1694" i="5"/>
  <c r="F1695" i="5"/>
  <c r="F1696" i="5"/>
  <c r="F1697" i="5"/>
  <c r="F1698" i="5"/>
  <c r="F1699" i="5"/>
  <c r="F1700" i="5"/>
  <c r="F1701" i="5"/>
  <c r="F1702" i="5"/>
  <c r="F1703" i="5"/>
  <c r="F1704" i="5"/>
  <c r="F1705" i="5"/>
  <c r="F1706" i="5"/>
  <c r="F1707" i="5"/>
  <c r="F1708" i="5"/>
  <c r="F1709" i="5"/>
  <c r="F1710" i="5"/>
  <c r="F1711" i="5"/>
  <c r="F1712" i="5"/>
  <c r="F1713" i="5"/>
  <c r="F1714" i="5"/>
  <c r="F1715" i="5"/>
  <c r="F1716" i="5"/>
  <c r="F1717" i="5"/>
  <c r="F1718" i="5"/>
  <c r="F1719" i="5"/>
  <c r="F1720" i="5"/>
  <c r="F1721" i="5"/>
  <c r="F1722" i="5"/>
  <c r="F1723" i="5"/>
  <c r="F1724" i="5"/>
  <c r="F1725" i="5"/>
  <c r="F1726" i="5"/>
  <c r="F1727" i="5"/>
  <c r="F1728" i="5"/>
  <c r="F1729" i="5"/>
  <c r="F1730" i="5"/>
  <c r="F1731" i="5"/>
  <c r="F1732" i="5"/>
  <c r="F1733" i="5"/>
  <c r="F1734" i="5"/>
  <c r="F1735" i="5"/>
  <c r="F1736" i="5"/>
  <c r="F1737" i="5"/>
  <c r="F1738" i="5"/>
  <c r="F1739" i="5"/>
  <c r="F1740" i="5"/>
  <c r="F1741" i="5"/>
  <c r="F1742" i="5"/>
  <c r="F1743" i="5"/>
  <c r="F1744" i="5"/>
  <c r="F1745" i="5"/>
  <c r="F1746" i="5"/>
  <c r="F1747" i="5"/>
  <c r="F1748" i="5"/>
  <c r="F1749" i="5"/>
  <c r="F1750" i="5"/>
  <c r="F1751" i="5"/>
  <c r="F1752" i="5"/>
  <c r="F1753" i="5"/>
  <c r="F1754" i="5"/>
  <c r="F1755" i="5"/>
  <c r="F1756" i="5"/>
  <c r="F1757" i="5"/>
  <c r="F1758" i="5"/>
  <c r="F1759" i="5"/>
  <c r="F1760" i="5"/>
  <c r="F1761" i="5"/>
  <c r="F1762" i="5"/>
  <c r="F1763" i="5"/>
  <c r="F1764" i="5"/>
  <c r="F1765" i="5"/>
  <c r="F1766" i="5"/>
  <c r="F1767" i="5"/>
  <c r="F1768" i="5"/>
  <c r="F1769" i="5"/>
  <c r="F1770" i="5"/>
  <c r="F1771" i="5"/>
  <c r="F1772" i="5"/>
  <c r="F1773" i="5"/>
  <c r="F1774" i="5"/>
  <c r="F1775" i="5"/>
  <c r="F1776" i="5"/>
  <c r="F1777" i="5"/>
  <c r="F1778" i="5"/>
  <c r="F1779" i="5"/>
  <c r="F1780" i="5"/>
  <c r="F1781" i="5"/>
  <c r="F1782" i="5"/>
  <c r="F1783" i="5"/>
  <c r="F1784" i="5"/>
  <c r="F1785" i="5"/>
  <c r="F1786" i="5"/>
  <c r="F1787" i="5"/>
  <c r="F1788" i="5"/>
  <c r="F1789" i="5"/>
  <c r="F1790" i="5"/>
  <c r="F1791" i="5"/>
  <c r="F1792" i="5"/>
  <c r="F1793" i="5"/>
  <c r="F1794" i="5"/>
  <c r="F1795" i="5"/>
  <c r="F1796" i="5"/>
  <c r="F1797" i="5"/>
  <c r="F1798" i="5"/>
  <c r="F1799" i="5"/>
  <c r="F1800" i="5"/>
  <c r="F1801" i="5"/>
  <c r="F1802" i="5"/>
  <c r="F1803" i="5"/>
  <c r="F1804" i="5"/>
  <c r="F1805" i="5"/>
  <c r="F1806" i="5"/>
  <c r="F1807" i="5"/>
  <c r="F1808" i="5"/>
  <c r="F1809" i="5"/>
  <c r="F1810" i="5"/>
  <c r="F1811" i="5"/>
  <c r="F1812" i="5"/>
  <c r="F1813" i="5"/>
  <c r="F1814" i="5"/>
  <c r="F1815" i="5"/>
  <c r="F1816" i="5"/>
  <c r="F1817" i="5"/>
  <c r="F1818" i="5"/>
  <c r="F1819" i="5"/>
  <c r="F1820" i="5"/>
  <c r="F1821" i="5"/>
  <c r="F1822" i="5"/>
  <c r="F1823" i="5"/>
  <c r="F1824" i="5"/>
  <c r="F1825" i="5"/>
  <c r="F1826" i="5"/>
  <c r="F1827" i="5"/>
  <c r="F1828" i="5"/>
  <c r="F1829" i="5"/>
  <c r="F1830" i="5"/>
  <c r="F1831" i="5"/>
  <c r="F1832" i="5"/>
  <c r="F1833" i="5"/>
  <c r="F1834" i="5"/>
  <c r="F1835" i="5"/>
  <c r="F1836" i="5"/>
  <c r="F1837" i="5"/>
  <c r="F1838" i="5"/>
  <c r="F1839" i="5"/>
  <c r="F1840" i="5"/>
  <c r="F1841" i="5"/>
  <c r="F1842" i="5"/>
  <c r="F1843" i="5"/>
  <c r="F1844" i="5"/>
  <c r="F1845" i="5"/>
  <c r="F1846" i="5"/>
  <c r="F1847" i="5"/>
  <c r="F1848" i="5"/>
  <c r="F1849" i="5"/>
  <c r="F1850" i="5"/>
  <c r="F1851" i="5"/>
  <c r="F1852" i="5"/>
  <c r="F1853" i="5"/>
  <c r="F1854" i="5"/>
  <c r="F1855" i="5"/>
  <c r="F1856" i="5"/>
  <c r="F1857" i="5"/>
  <c r="F1858" i="5"/>
  <c r="F1859" i="5"/>
  <c r="F1860" i="5"/>
  <c r="F1861" i="5"/>
  <c r="F1862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G89" i="5"/>
  <c r="G90" i="5"/>
  <c r="G91" i="5"/>
  <c r="G92" i="5"/>
  <c r="G93" i="5"/>
  <c r="G94" i="5"/>
  <c r="G95" i="5"/>
  <c r="G96" i="5"/>
  <c r="G97" i="5"/>
  <c r="G98" i="5"/>
  <c r="G99" i="5"/>
  <c r="G100" i="5"/>
  <c r="G101" i="5"/>
  <c r="G102" i="5"/>
  <c r="G103" i="5"/>
  <c r="G104" i="5"/>
  <c r="G105" i="5"/>
  <c r="G106" i="5"/>
  <c r="G107" i="5"/>
  <c r="G108" i="5"/>
  <c r="G109" i="5"/>
  <c r="G110" i="5"/>
  <c r="G111" i="5"/>
  <c r="G112" i="5"/>
  <c r="G113" i="5"/>
  <c r="G114" i="5"/>
  <c r="G115" i="5"/>
  <c r="G116" i="5"/>
  <c r="G117" i="5"/>
  <c r="G118" i="5"/>
  <c r="G119" i="5"/>
  <c r="G120" i="5"/>
  <c r="G121" i="5"/>
  <c r="G122" i="5"/>
  <c r="G123" i="5"/>
  <c r="G124" i="5"/>
  <c r="G125" i="5"/>
  <c r="G126" i="5"/>
  <c r="G127" i="5"/>
  <c r="G128" i="5"/>
  <c r="G129" i="5"/>
  <c r="G130" i="5"/>
  <c r="G131" i="5"/>
  <c r="G132" i="5"/>
  <c r="G133" i="5"/>
  <c r="G134" i="5"/>
  <c r="G135" i="5"/>
  <c r="G136" i="5"/>
  <c r="G137" i="5"/>
  <c r="G138" i="5"/>
  <c r="G139" i="5"/>
  <c r="G140" i="5"/>
  <c r="G141" i="5"/>
  <c r="G142" i="5"/>
  <c r="G143" i="5"/>
  <c r="G144" i="5"/>
  <c r="G145" i="5"/>
  <c r="G146" i="5"/>
  <c r="G147" i="5"/>
  <c r="G148" i="5"/>
  <c r="G149" i="5"/>
  <c r="G150" i="5"/>
  <c r="G151" i="5"/>
  <c r="G152" i="5"/>
  <c r="G153" i="5"/>
  <c r="G154" i="5"/>
  <c r="G155" i="5"/>
  <c r="G156" i="5"/>
  <c r="G157" i="5"/>
  <c r="G158" i="5"/>
  <c r="G159" i="5"/>
  <c r="G160" i="5"/>
  <c r="G161" i="5"/>
  <c r="G162" i="5"/>
  <c r="G163" i="5"/>
  <c r="G164" i="5"/>
  <c r="G165" i="5"/>
  <c r="G166" i="5"/>
  <c r="G167" i="5"/>
  <c r="G168" i="5"/>
  <c r="G169" i="5"/>
  <c r="G170" i="5"/>
  <c r="G171" i="5"/>
  <c r="G172" i="5"/>
  <c r="G173" i="5"/>
  <c r="G174" i="5"/>
  <c r="G175" i="5"/>
  <c r="G176" i="5"/>
  <c r="G177" i="5"/>
  <c r="G178" i="5"/>
  <c r="G179" i="5"/>
  <c r="G180" i="5"/>
  <c r="G181" i="5"/>
  <c r="G182" i="5"/>
  <c r="G183" i="5"/>
  <c r="G184" i="5"/>
  <c r="G185" i="5"/>
  <c r="G186" i="5"/>
  <c r="G187" i="5"/>
  <c r="G188" i="5"/>
  <c r="G189" i="5"/>
  <c r="G190" i="5"/>
  <c r="G191" i="5"/>
  <c r="G192" i="5"/>
  <c r="G193" i="5"/>
  <c r="G194" i="5"/>
  <c r="G195" i="5"/>
  <c r="G196" i="5"/>
  <c r="G197" i="5"/>
  <c r="G198" i="5"/>
  <c r="G199" i="5"/>
  <c r="G200" i="5"/>
  <c r="G201" i="5"/>
  <c r="G202" i="5"/>
  <c r="G203" i="5"/>
  <c r="G204" i="5"/>
  <c r="G205" i="5"/>
  <c r="G206" i="5"/>
  <c r="G207" i="5"/>
  <c r="G208" i="5"/>
  <c r="G209" i="5"/>
  <c r="G210" i="5"/>
  <c r="G211" i="5"/>
  <c r="G212" i="5"/>
  <c r="G213" i="5"/>
  <c r="G214" i="5"/>
  <c r="G215" i="5"/>
  <c r="G216" i="5"/>
  <c r="G217" i="5"/>
  <c r="G218" i="5"/>
  <c r="G219" i="5"/>
  <c r="G220" i="5"/>
  <c r="G221" i="5"/>
  <c r="G222" i="5"/>
  <c r="G223" i="5"/>
  <c r="G224" i="5"/>
  <c r="G225" i="5"/>
  <c r="G226" i="5"/>
  <c r="G227" i="5"/>
  <c r="G228" i="5"/>
  <c r="G229" i="5"/>
  <c r="G230" i="5"/>
  <c r="G231" i="5"/>
  <c r="G232" i="5"/>
  <c r="G233" i="5"/>
  <c r="G234" i="5"/>
  <c r="G235" i="5"/>
  <c r="G236" i="5"/>
  <c r="G237" i="5"/>
  <c r="G238" i="5"/>
  <c r="G239" i="5"/>
  <c r="G240" i="5"/>
  <c r="G241" i="5"/>
  <c r="G242" i="5"/>
  <c r="G243" i="5"/>
  <c r="G244" i="5"/>
  <c r="G245" i="5"/>
  <c r="G246" i="5"/>
  <c r="G247" i="5"/>
  <c r="G248" i="5"/>
  <c r="G249" i="5"/>
  <c r="G250" i="5"/>
  <c r="G251" i="5"/>
  <c r="G252" i="5"/>
  <c r="G253" i="5"/>
  <c r="G254" i="5"/>
  <c r="G255" i="5"/>
  <c r="G256" i="5"/>
  <c r="G257" i="5"/>
  <c r="G258" i="5"/>
  <c r="G259" i="5"/>
  <c r="G260" i="5"/>
  <c r="G261" i="5"/>
  <c r="G262" i="5"/>
  <c r="G263" i="5"/>
  <c r="G264" i="5"/>
  <c r="G265" i="5"/>
  <c r="G266" i="5"/>
  <c r="G267" i="5"/>
  <c r="G268" i="5"/>
  <c r="G269" i="5"/>
  <c r="G270" i="5"/>
  <c r="G271" i="5"/>
  <c r="G272" i="5"/>
  <c r="G273" i="5"/>
  <c r="G274" i="5"/>
  <c r="G275" i="5"/>
  <c r="G276" i="5"/>
  <c r="G277" i="5"/>
  <c r="G278" i="5"/>
  <c r="G279" i="5"/>
  <c r="G280" i="5"/>
  <c r="G281" i="5"/>
  <c r="G282" i="5"/>
  <c r="G283" i="5"/>
  <c r="G284" i="5"/>
  <c r="G285" i="5"/>
  <c r="G286" i="5"/>
  <c r="G287" i="5"/>
  <c r="G288" i="5"/>
  <c r="G289" i="5"/>
  <c r="G290" i="5"/>
  <c r="G291" i="5"/>
  <c r="G292" i="5"/>
  <c r="G293" i="5"/>
  <c r="G294" i="5"/>
  <c r="G295" i="5"/>
  <c r="G296" i="5"/>
  <c r="G297" i="5"/>
  <c r="G298" i="5"/>
  <c r="G299" i="5"/>
  <c r="G300" i="5"/>
  <c r="G301" i="5"/>
  <c r="G302" i="5"/>
  <c r="G303" i="5"/>
  <c r="G304" i="5"/>
  <c r="G305" i="5"/>
  <c r="G306" i="5"/>
  <c r="G307" i="5"/>
  <c r="G308" i="5"/>
  <c r="G309" i="5"/>
  <c r="G310" i="5"/>
  <c r="G311" i="5"/>
  <c r="G312" i="5"/>
  <c r="G313" i="5"/>
  <c r="G314" i="5"/>
  <c r="G315" i="5"/>
  <c r="G316" i="5"/>
  <c r="G317" i="5"/>
  <c r="G318" i="5"/>
  <c r="G319" i="5"/>
  <c r="G320" i="5"/>
  <c r="G321" i="5"/>
  <c r="G322" i="5"/>
  <c r="G323" i="5"/>
  <c r="G324" i="5"/>
  <c r="G325" i="5"/>
  <c r="G326" i="5"/>
  <c r="G327" i="5"/>
  <c r="G328" i="5"/>
  <c r="G329" i="5"/>
  <c r="G330" i="5"/>
  <c r="G331" i="5"/>
  <c r="G332" i="5"/>
  <c r="G333" i="5"/>
  <c r="G334" i="5"/>
  <c r="G335" i="5"/>
  <c r="G336" i="5"/>
  <c r="G337" i="5"/>
  <c r="G338" i="5"/>
  <c r="G339" i="5"/>
  <c r="G340" i="5"/>
  <c r="G341" i="5"/>
  <c r="G342" i="5"/>
  <c r="G343" i="5"/>
  <c r="G344" i="5"/>
  <c r="G345" i="5"/>
  <c r="G346" i="5"/>
  <c r="G347" i="5"/>
  <c r="G348" i="5"/>
  <c r="G349" i="5"/>
  <c r="G350" i="5"/>
  <c r="G351" i="5"/>
  <c r="G352" i="5"/>
  <c r="G353" i="5"/>
  <c r="G354" i="5"/>
  <c r="G355" i="5"/>
  <c r="G356" i="5"/>
  <c r="G357" i="5"/>
  <c r="G358" i="5"/>
  <c r="G359" i="5"/>
  <c r="G360" i="5"/>
  <c r="G361" i="5"/>
  <c r="G362" i="5"/>
  <c r="G363" i="5"/>
  <c r="G364" i="5"/>
  <c r="G365" i="5"/>
  <c r="G366" i="5"/>
  <c r="G367" i="5"/>
  <c r="G368" i="5"/>
  <c r="G369" i="5"/>
  <c r="G370" i="5"/>
  <c r="G371" i="5"/>
  <c r="G372" i="5"/>
  <c r="G373" i="5"/>
  <c r="G374" i="5"/>
  <c r="G375" i="5"/>
  <c r="G376" i="5"/>
  <c r="G377" i="5"/>
  <c r="G378" i="5"/>
  <c r="G379" i="5"/>
  <c r="G380" i="5"/>
  <c r="G381" i="5"/>
  <c r="G382" i="5"/>
  <c r="G383" i="5"/>
  <c r="G384" i="5"/>
  <c r="G385" i="5"/>
  <c r="G386" i="5"/>
  <c r="G387" i="5"/>
  <c r="G388" i="5"/>
  <c r="G389" i="5"/>
  <c r="G390" i="5"/>
  <c r="G391" i="5"/>
  <c r="G392" i="5"/>
  <c r="G393" i="5"/>
  <c r="G394" i="5"/>
  <c r="G395" i="5"/>
  <c r="G396" i="5"/>
  <c r="G397" i="5"/>
  <c r="G398" i="5"/>
  <c r="G399" i="5"/>
  <c r="G400" i="5"/>
  <c r="G401" i="5"/>
  <c r="G402" i="5"/>
  <c r="G403" i="5"/>
  <c r="G404" i="5"/>
  <c r="G405" i="5"/>
  <c r="G406" i="5"/>
  <c r="G407" i="5"/>
  <c r="G408" i="5"/>
  <c r="G409" i="5"/>
  <c r="G410" i="5"/>
  <c r="G411" i="5"/>
  <c r="G412" i="5"/>
  <c r="G413" i="5"/>
  <c r="G414" i="5"/>
  <c r="G415" i="5"/>
  <c r="G416" i="5"/>
  <c r="G417" i="5"/>
  <c r="G418" i="5"/>
  <c r="G419" i="5"/>
  <c r="G420" i="5"/>
  <c r="G421" i="5"/>
  <c r="G422" i="5"/>
  <c r="G423" i="5"/>
  <c r="G424" i="5"/>
  <c r="G425" i="5"/>
  <c r="G426" i="5"/>
  <c r="G427" i="5"/>
  <c r="G428" i="5"/>
  <c r="G429" i="5"/>
  <c r="G430" i="5"/>
  <c r="G431" i="5"/>
  <c r="G432" i="5"/>
  <c r="G433" i="5"/>
  <c r="G434" i="5"/>
  <c r="G435" i="5"/>
  <c r="G436" i="5"/>
  <c r="G437" i="5"/>
  <c r="G438" i="5"/>
  <c r="G439" i="5"/>
  <c r="G440" i="5"/>
  <c r="G441" i="5"/>
  <c r="G442" i="5"/>
  <c r="G443" i="5"/>
  <c r="G444" i="5"/>
  <c r="G445" i="5"/>
  <c r="G446" i="5"/>
  <c r="G447" i="5"/>
  <c r="G448" i="5"/>
  <c r="G449" i="5"/>
  <c r="G450" i="5"/>
  <c r="G451" i="5"/>
  <c r="G452" i="5"/>
  <c r="G453" i="5"/>
  <c r="G454" i="5"/>
  <c r="G455" i="5"/>
  <c r="G456" i="5"/>
  <c r="G457" i="5"/>
  <c r="G458" i="5"/>
  <c r="G459" i="5"/>
  <c r="G460" i="5"/>
  <c r="G461" i="5"/>
  <c r="G462" i="5"/>
  <c r="G463" i="5"/>
  <c r="G464" i="5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482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499" i="5"/>
  <c r="G500" i="5"/>
  <c r="G501" i="5"/>
  <c r="G502" i="5"/>
  <c r="G503" i="5"/>
  <c r="G504" i="5"/>
  <c r="G505" i="5"/>
  <c r="G506" i="5"/>
  <c r="G507" i="5"/>
  <c r="G508" i="5"/>
  <c r="G509" i="5"/>
  <c r="G510" i="5"/>
  <c r="G511" i="5"/>
  <c r="G512" i="5"/>
  <c r="G513" i="5"/>
  <c r="G514" i="5"/>
  <c r="G515" i="5"/>
  <c r="G516" i="5"/>
  <c r="G517" i="5"/>
  <c r="G518" i="5"/>
  <c r="G519" i="5"/>
  <c r="G520" i="5"/>
  <c r="G521" i="5"/>
  <c r="G522" i="5"/>
  <c r="G523" i="5"/>
  <c r="G524" i="5"/>
  <c r="G525" i="5"/>
  <c r="G526" i="5"/>
  <c r="G527" i="5"/>
  <c r="G528" i="5"/>
  <c r="G529" i="5"/>
  <c r="G530" i="5"/>
  <c r="G531" i="5"/>
  <c r="G532" i="5"/>
  <c r="G533" i="5"/>
  <c r="G534" i="5"/>
  <c r="G535" i="5"/>
  <c r="G536" i="5"/>
  <c r="G537" i="5"/>
  <c r="G538" i="5"/>
  <c r="G539" i="5"/>
  <c r="G540" i="5"/>
  <c r="G541" i="5"/>
  <c r="G542" i="5"/>
  <c r="G543" i="5"/>
  <c r="G544" i="5"/>
  <c r="G545" i="5"/>
  <c r="G546" i="5"/>
  <c r="G547" i="5"/>
  <c r="G548" i="5"/>
  <c r="G549" i="5"/>
  <c r="G550" i="5"/>
  <c r="G551" i="5"/>
  <c r="G552" i="5"/>
  <c r="G553" i="5"/>
  <c r="G554" i="5"/>
  <c r="G555" i="5"/>
  <c r="G556" i="5"/>
  <c r="G557" i="5"/>
  <c r="G558" i="5"/>
  <c r="G559" i="5"/>
  <c r="G560" i="5"/>
  <c r="G561" i="5"/>
  <c r="G562" i="5"/>
  <c r="G563" i="5"/>
  <c r="G564" i="5"/>
  <c r="G565" i="5"/>
  <c r="G566" i="5"/>
  <c r="G567" i="5"/>
  <c r="G568" i="5"/>
  <c r="G569" i="5"/>
  <c r="G570" i="5"/>
  <c r="G571" i="5"/>
  <c r="G572" i="5"/>
  <c r="G573" i="5"/>
  <c r="G574" i="5"/>
  <c r="G575" i="5"/>
  <c r="G576" i="5"/>
  <c r="G577" i="5"/>
  <c r="G578" i="5"/>
  <c r="G579" i="5"/>
  <c r="G580" i="5"/>
  <c r="G581" i="5"/>
  <c r="G582" i="5"/>
  <c r="G583" i="5"/>
  <c r="G584" i="5"/>
  <c r="G585" i="5"/>
  <c r="G586" i="5"/>
  <c r="G587" i="5"/>
  <c r="G588" i="5"/>
  <c r="G589" i="5"/>
  <c r="G590" i="5"/>
  <c r="G591" i="5"/>
  <c r="G592" i="5"/>
  <c r="G593" i="5"/>
  <c r="G594" i="5"/>
  <c r="G595" i="5"/>
  <c r="G596" i="5"/>
  <c r="G597" i="5"/>
  <c r="G598" i="5"/>
  <c r="G599" i="5"/>
  <c r="G600" i="5"/>
  <c r="G601" i="5"/>
  <c r="G602" i="5"/>
  <c r="G603" i="5"/>
  <c r="G604" i="5"/>
  <c r="G605" i="5"/>
  <c r="G606" i="5"/>
  <c r="G607" i="5"/>
  <c r="G608" i="5"/>
  <c r="G609" i="5"/>
  <c r="G610" i="5"/>
  <c r="G611" i="5"/>
  <c r="G612" i="5"/>
  <c r="G613" i="5"/>
  <c r="G614" i="5"/>
  <c r="G615" i="5"/>
  <c r="G616" i="5"/>
  <c r="G617" i="5"/>
  <c r="G618" i="5"/>
  <c r="G619" i="5"/>
  <c r="G620" i="5"/>
  <c r="G621" i="5"/>
  <c r="G622" i="5"/>
  <c r="G623" i="5"/>
  <c r="G624" i="5"/>
  <c r="G625" i="5"/>
  <c r="G626" i="5"/>
  <c r="G627" i="5"/>
  <c r="G628" i="5"/>
  <c r="G629" i="5"/>
  <c r="G630" i="5"/>
  <c r="G631" i="5"/>
  <c r="G632" i="5"/>
  <c r="G633" i="5"/>
  <c r="G634" i="5"/>
  <c r="G635" i="5"/>
  <c r="G636" i="5"/>
  <c r="G637" i="5"/>
  <c r="G638" i="5"/>
  <c r="G639" i="5"/>
  <c r="G640" i="5"/>
  <c r="G641" i="5"/>
  <c r="G642" i="5"/>
  <c r="G643" i="5"/>
  <c r="G644" i="5"/>
  <c r="G645" i="5"/>
  <c r="G646" i="5"/>
  <c r="G647" i="5"/>
  <c r="G648" i="5"/>
  <c r="G649" i="5"/>
  <c r="G650" i="5"/>
  <c r="G651" i="5"/>
  <c r="G652" i="5"/>
  <c r="G653" i="5"/>
  <c r="G654" i="5"/>
  <c r="G655" i="5"/>
  <c r="G656" i="5"/>
  <c r="G657" i="5"/>
  <c r="G658" i="5"/>
  <c r="G659" i="5"/>
  <c r="G660" i="5"/>
  <c r="G661" i="5"/>
  <c r="G662" i="5"/>
  <c r="G663" i="5"/>
  <c r="G664" i="5"/>
  <c r="G665" i="5"/>
  <c r="G666" i="5"/>
  <c r="G667" i="5"/>
  <c r="G668" i="5"/>
  <c r="G669" i="5"/>
  <c r="G670" i="5"/>
  <c r="G671" i="5"/>
  <c r="G672" i="5"/>
  <c r="G673" i="5"/>
  <c r="G674" i="5"/>
  <c r="G675" i="5"/>
  <c r="G676" i="5"/>
  <c r="G677" i="5"/>
  <c r="G678" i="5"/>
  <c r="G679" i="5"/>
  <c r="G680" i="5"/>
  <c r="G681" i="5"/>
  <c r="G682" i="5"/>
  <c r="G683" i="5"/>
  <c r="G684" i="5"/>
  <c r="G685" i="5"/>
  <c r="G686" i="5"/>
  <c r="G687" i="5"/>
  <c r="G688" i="5"/>
  <c r="G689" i="5"/>
  <c r="G690" i="5"/>
  <c r="G691" i="5"/>
  <c r="G692" i="5"/>
  <c r="G693" i="5"/>
  <c r="G694" i="5"/>
  <c r="G695" i="5"/>
  <c r="G696" i="5"/>
  <c r="G697" i="5"/>
  <c r="G698" i="5"/>
  <c r="G699" i="5"/>
  <c r="G700" i="5"/>
  <c r="G701" i="5"/>
  <c r="G702" i="5"/>
  <c r="G703" i="5"/>
  <c r="G704" i="5"/>
  <c r="G705" i="5"/>
  <c r="G706" i="5"/>
  <c r="G707" i="5"/>
  <c r="G708" i="5"/>
  <c r="G709" i="5"/>
  <c r="G710" i="5"/>
  <c r="G711" i="5"/>
  <c r="G712" i="5"/>
  <c r="G713" i="5"/>
  <c r="G714" i="5"/>
  <c r="G715" i="5"/>
  <c r="G716" i="5"/>
  <c r="G717" i="5"/>
  <c r="G718" i="5"/>
  <c r="G719" i="5"/>
  <c r="G720" i="5"/>
  <c r="G721" i="5"/>
  <c r="G722" i="5"/>
  <c r="G723" i="5"/>
  <c r="G724" i="5"/>
  <c r="G725" i="5"/>
  <c r="G726" i="5"/>
  <c r="G727" i="5"/>
  <c r="G728" i="5"/>
  <c r="G729" i="5"/>
  <c r="G730" i="5"/>
  <c r="G731" i="5"/>
  <c r="G732" i="5"/>
  <c r="G733" i="5"/>
  <c r="G734" i="5"/>
  <c r="G735" i="5"/>
  <c r="G736" i="5"/>
  <c r="G737" i="5"/>
  <c r="G738" i="5"/>
  <c r="G739" i="5"/>
  <c r="G740" i="5"/>
  <c r="G741" i="5"/>
  <c r="G742" i="5"/>
  <c r="G743" i="5"/>
  <c r="G744" i="5"/>
  <c r="G745" i="5"/>
  <c r="G746" i="5"/>
  <c r="G747" i="5"/>
  <c r="G748" i="5"/>
  <c r="G749" i="5"/>
  <c r="G750" i="5"/>
  <c r="G751" i="5"/>
  <c r="G752" i="5"/>
  <c r="G753" i="5"/>
  <c r="G754" i="5"/>
  <c r="G755" i="5"/>
  <c r="G756" i="5"/>
  <c r="G757" i="5"/>
  <c r="G758" i="5"/>
  <c r="G759" i="5"/>
  <c r="G760" i="5"/>
  <c r="G761" i="5"/>
  <c r="G762" i="5"/>
  <c r="G763" i="5"/>
  <c r="G764" i="5"/>
  <c r="G765" i="5"/>
  <c r="G766" i="5"/>
  <c r="G767" i="5"/>
  <c r="G768" i="5"/>
  <c r="G769" i="5"/>
  <c r="G770" i="5"/>
  <c r="G771" i="5"/>
  <c r="G772" i="5"/>
  <c r="G773" i="5"/>
  <c r="G774" i="5"/>
  <c r="G775" i="5"/>
  <c r="G776" i="5"/>
  <c r="G777" i="5"/>
  <c r="G778" i="5"/>
  <c r="G779" i="5"/>
  <c r="G780" i="5"/>
  <c r="G781" i="5"/>
  <c r="G782" i="5"/>
  <c r="G783" i="5"/>
  <c r="G784" i="5"/>
  <c r="G785" i="5"/>
  <c r="G786" i="5"/>
  <c r="G787" i="5"/>
  <c r="G788" i="5"/>
  <c r="G789" i="5"/>
  <c r="G790" i="5"/>
  <c r="G791" i="5"/>
  <c r="G792" i="5"/>
  <c r="G793" i="5"/>
  <c r="G794" i="5"/>
  <c r="G795" i="5"/>
  <c r="G796" i="5"/>
  <c r="G797" i="5"/>
  <c r="G798" i="5"/>
  <c r="G799" i="5"/>
  <c r="G800" i="5"/>
  <c r="G801" i="5"/>
  <c r="G802" i="5"/>
  <c r="G803" i="5"/>
  <c r="G804" i="5"/>
  <c r="G805" i="5"/>
  <c r="G806" i="5"/>
  <c r="G807" i="5"/>
  <c r="G808" i="5"/>
  <c r="G809" i="5"/>
  <c r="G810" i="5"/>
  <c r="G811" i="5"/>
  <c r="G812" i="5"/>
  <c r="G813" i="5"/>
  <c r="G814" i="5"/>
  <c r="G815" i="5"/>
  <c r="G816" i="5"/>
  <c r="G817" i="5"/>
  <c r="G818" i="5"/>
  <c r="G819" i="5"/>
  <c r="G820" i="5"/>
  <c r="G821" i="5"/>
  <c r="G822" i="5"/>
  <c r="G823" i="5"/>
  <c r="G824" i="5"/>
  <c r="G825" i="5"/>
  <c r="G826" i="5"/>
  <c r="G827" i="5"/>
  <c r="G828" i="5"/>
  <c r="G829" i="5"/>
  <c r="G830" i="5"/>
  <c r="G831" i="5"/>
  <c r="G832" i="5"/>
  <c r="G833" i="5"/>
  <c r="G834" i="5"/>
  <c r="G835" i="5"/>
  <c r="G836" i="5"/>
  <c r="G837" i="5"/>
  <c r="G838" i="5"/>
  <c r="G839" i="5"/>
  <c r="G840" i="5"/>
  <c r="G841" i="5"/>
  <c r="G842" i="5"/>
  <c r="G843" i="5"/>
  <c r="G844" i="5"/>
  <c r="G845" i="5"/>
  <c r="G846" i="5"/>
  <c r="G847" i="5"/>
  <c r="G848" i="5"/>
  <c r="G849" i="5"/>
  <c r="G850" i="5"/>
  <c r="G851" i="5"/>
  <c r="G852" i="5"/>
  <c r="G853" i="5"/>
  <c r="G854" i="5"/>
  <c r="G855" i="5"/>
  <c r="G856" i="5"/>
  <c r="G857" i="5"/>
  <c r="G858" i="5"/>
  <c r="G859" i="5"/>
  <c r="G860" i="5"/>
  <c r="G861" i="5"/>
  <c r="G862" i="5"/>
  <c r="G863" i="5"/>
  <c r="G864" i="5"/>
  <c r="G865" i="5"/>
  <c r="G866" i="5"/>
  <c r="G867" i="5"/>
  <c r="G868" i="5"/>
  <c r="G869" i="5"/>
  <c r="G870" i="5"/>
  <c r="G871" i="5"/>
  <c r="G872" i="5"/>
  <c r="G873" i="5"/>
  <c r="G874" i="5"/>
  <c r="G875" i="5"/>
  <c r="G876" i="5"/>
  <c r="G877" i="5"/>
  <c r="G878" i="5"/>
  <c r="G879" i="5"/>
  <c r="G880" i="5"/>
  <c r="G881" i="5"/>
  <c r="G882" i="5"/>
  <c r="G883" i="5"/>
  <c r="G884" i="5"/>
  <c r="G885" i="5"/>
  <c r="G886" i="5"/>
  <c r="G887" i="5"/>
  <c r="G888" i="5"/>
  <c r="G889" i="5"/>
  <c r="G890" i="5"/>
  <c r="G891" i="5"/>
  <c r="G892" i="5"/>
  <c r="G893" i="5"/>
  <c r="G894" i="5"/>
  <c r="G895" i="5"/>
  <c r="G896" i="5"/>
  <c r="G897" i="5"/>
  <c r="G898" i="5"/>
  <c r="G899" i="5"/>
  <c r="G900" i="5"/>
  <c r="G901" i="5"/>
  <c r="G902" i="5"/>
  <c r="G903" i="5"/>
  <c r="G904" i="5"/>
  <c r="G905" i="5"/>
  <c r="G906" i="5"/>
  <c r="G907" i="5"/>
  <c r="G908" i="5"/>
  <c r="G909" i="5"/>
  <c r="G910" i="5"/>
  <c r="G911" i="5"/>
  <c r="G912" i="5"/>
  <c r="G913" i="5"/>
  <c r="G914" i="5"/>
  <c r="G915" i="5"/>
  <c r="G916" i="5"/>
  <c r="G917" i="5"/>
  <c r="G918" i="5"/>
  <c r="G919" i="5"/>
  <c r="G920" i="5"/>
  <c r="G921" i="5"/>
  <c r="G922" i="5"/>
  <c r="G923" i="5"/>
  <c r="G924" i="5"/>
  <c r="G925" i="5"/>
  <c r="G926" i="5"/>
  <c r="G927" i="5"/>
  <c r="G928" i="5"/>
  <c r="G929" i="5"/>
  <c r="G930" i="5"/>
  <c r="G931" i="5"/>
  <c r="G932" i="5"/>
  <c r="G933" i="5"/>
  <c r="G934" i="5"/>
  <c r="G935" i="5"/>
  <c r="G936" i="5"/>
  <c r="G937" i="5"/>
  <c r="G938" i="5"/>
  <c r="G939" i="5"/>
  <c r="G940" i="5"/>
  <c r="G941" i="5"/>
  <c r="G942" i="5"/>
  <c r="G943" i="5"/>
  <c r="G944" i="5"/>
  <c r="G945" i="5"/>
  <c r="G946" i="5"/>
  <c r="G947" i="5"/>
  <c r="G948" i="5"/>
  <c r="G949" i="5"/>
  <c r="G950" i="5"/>
  <c r="G951" i="5"/>
  <c r="G952" i="5"/>
  <c r="G953" i="5"/>
  <c r="G954" i="5"/>
  <c r="G955" i="5"/>
  <c r="G956" i="5"/>
  <c r="G957" i="5"/>
  <c r="G958" i="5"/>
  <c r="G959" i="5"/>
  <c r="G960" i="5"/>
  <c r="G961" i="5"/>
  <c r="G962" i="5"/>
  <c r="G963" i="5"/>
  <c r="G964" i="5"/>
  <c r="G965" i="5"/>
  <c r="G966" i="5"/>
  <c r="G967" i="5"/>
  <c r="G968" i="5"/>
  <c r="G969" i="5"/>
  <c r="G970" i="5"/>
  <c r="G971" i="5"/>
  <c r="G972" i="5"/>
  <c r="G973" i="5"/>
  <c r="G974" i="5"/>
  <c r="G975" i="5"/>
  <c r="G976" i="5"/>
  <c r="G977" i="5"/>
  <c r="G978" i="5"/>
  <c r="G979" i="5"/>
  <c r="G980" i="5"/>
  <c r="G981" i="5"/>
  <c r="G982" i="5"/>
  <c r="G983" i="5"/>
  <c r="G984" i="5"/>
  <c r="G985" i="5"/>
  <c r="G986" i="5"/>
  <c r="G987" i="5"/>
  <c r="G988" i="5"/>
  <c r="G989" i="5"/>
  <c r="G990" i="5"/>
  <c r="G991" i="5"/>
  <c r="G992" i="5"/>
  <c r="G993" i="5"/>
  <c r="G994" i="5"/>
  <c r="G995" i="5"/>
  <c r="G996" i="5"/>
  <c r="G997" i="5"/>
  <c r="G998" i="5"/>
  <c r="G999" i="5"/>
  <c r="G1000" i="5"/>
  <c r="G1001" i="5"/>
  <c r="G1002" i="5"/>
  <c r="G1003" i="5"/>
  <c r="G1004" i="5"/>
  <c r="G1005" i="5"/>
  <c r="G1006" i="5"/>
  <c r="G1007" i="5"/>
  <c r="G1008" i="5"/>
  <c r="G1009" i="5"/>
  <c r="G1010" i="5"/>
  <c r="G1011" i="5"/>
  <c r="G1012" i="5"/>
  <c r="G1013" i="5"/>
  <c r="G1014" i="5"/>
  <c r="G1015" i="5"/>
  <c r="G1016" i="5"/>
  <c r="G1017" i="5"/>
  <c r="G1018" i="5"/>
  <c r="G1019" i="5"/>
  <c r="G1020" i="5"/>
  <c r="G1021" i="5"/>
  <c r="G1022" i="5"/>
  <c r="G1023" i="5"/>
  <c r="G1024" i="5"/>
  <c r="G1025" i="5"/>
  <c r="G1026" i="5"/>
  <c r="G1027" i="5"/>
  <c r="G1028" i="5"/>
  <c r="G1029" i="5"/>
  <c r="G1030" i="5"/>
  <c r="G1031" i="5"/>
  <c r="G1032" i="5"/>
  <c r="G1033" i="5"/>
  <c r="G1034" i="5"/>
  <c r="G1035" i="5"/>
  <c r="G1036" i="5"/>
  <c r="G1037" i="5"/>
  <c r="G1038" i="5"/>
  <c r="G1039" i="5"/>
  <c r="G1040" i="5"/>
  <c r="G1041" i="5"/>
  <c r="G1042" i="5"/>
  <c r="G1043" i="5"/>
  <c r="G1044" i="5"/>
  <c r="G1045" i="5"/>
  <c r="G1046" i="5"/>
  <c r="G1047" i="5"/>
  <c r="G1048" i="5"/>
  <c r="G1049" i="5"/>
  <c r="G1050" i="5"/>
  <c r="G1051" i="5"/>
  <c r="G1052" i="5"/>
  <c r="G1053" i="5"/>
  <c r="G1054" i="5"/>
  <c r="G1055" i="5"/>
  <c r="G1056" i="5"/>
  <c r="G1057" i="5"/>
  <c r="G1058" i="5"/>
  <c r="G1059" i="5"/>
  <c r="G1060" i="5"/>
  <c r="G1061" i="5"/>
  <c r="G1062" i="5"/>
  <c r="G1063" i="5"/>
  <c r="G1064" i="5"/>
  <c r="G1065" i="5"/>
  <c r="G1066" i="5"/>
  <c r="G1067" i="5"/>
  <c r="G1068" i="5"/>
  <c r="G1069" i="5"/>
  <c r="G1070" i="5"/>
  <c r="G1071" i="5"/>
  <c r="G1072" i="5"/>
  <c r="G1073" i="5"/>
  <c r="G1074" i="5"/>
  <c r="G1075" i="5"/>
  <c r="G1076" i="5"/>
  <c r="G1077" i="5"/>
  <c r="G1078" i="5"/>
  <c r="G1079" i="5"/>
  <c r="G1080" i="5"/>
  <c r="G1081" i="5"/>
  <c r="G1082" i="5"/>
  <c r="G1083" i="5"/>
  <c r="G1084" i="5"/>
  <c r="G1085" i="5"/>
  <c r="G1086" i="5"/>
  <c r="G1087" i="5"/>
  <c r="G1088" i="5"/>
  <c r="G1089" i="5"/>
  <c r="G1090" i="5"/>
  <c r="G1091" i="5"/>
  <c r="G1092" i="5"/>
  <c r="G1093" i="5"/>
  <c r="G1094" i="5"/>
  <c r="G1095" i="5"/>
  <c r="G1096" i="5"/>
  <c r="G1097" i="5"/>
  <c r="G1098" i="5"/>
  <c r="G1099" i="5"/>
  <c r="G1100" i="5"/>
  <c r="G1101" i="5"/>
  <c r="G1102" i="5"/>
  <c r="G1103" i="5"/>
  <c r="G1104" i="5"/>
  <c r="G1105" i="5"/>
  <c r="G1106" i="5"/>
  <c r="G1107" i="5"/>
  <c r="G1108" i="5"/>
  <c r="G1109" i="5"/>
  <c r="G1110" i="5"/>
  <c r="G1111" i="5"/>
  <c r="G1112" i="5"/>
  <c r="G1113" i="5"/>
  <c r="G1114" i="5"/>
  <c r="G1115" i="5"/>
  <c r="G1116" i="5"/>
  <c r="G1117" i="5"/>
  <c r="G1118" i="5"/>
  <c r="G1119" i="5"/>
  <c r="G1120" i="5"/>
  <c r="G1121" i="5"/>
  <c r="G1122" i="5"/>
  <c r="G1123" i="5"/>
  <c r="G1124" i="5"/>
  <c r="G1125" i="5"/>
  <c r="G1126" i="5"/>
  <c r="G1127" i="5"/>
  <c r="G1128" i="5"/>
  <c r="G1129" i="5"/>
  <c r="G1130" i="5"/>
  <c r="G1131" i="5"/>
  <c r="G1132" i="5"/>
  <c r="G1133" i="5"/>
  <c r="G1134" i="5"/>
  <c r="G1135" i="5"/>
  <c r="G1136" i="5"/>
  <c r="G1137" i="5"/>
  <c r="G1138" i="5"/>
  <c r="G1139" i="5"/>
  <c r="G1140" i="5"/>
  <c r="G1141" i="5"/>
  <c r="G1142" i="5"/>
  <c r="G1143" i="5"/>
  <c r="G1144" i="5"/>
  <c r="G1145" i="5"/>
  <c r="G1146" i="5"/>
  <c r="G1147" i="5"/>
  <c r="G1148" i="5"/>
  <c r="G1149" i="5"/>
  <c r="G1150" i="5"/>
  <c r="G1151" i="5"/>
  <c r="G1152" i="5"/>
  <c r="G1153" i="5"/>
  <c r="G1154" i="5"/>
  <c r="G1155" i="5"/>
  <c r="G1156" i="5"/>
  <c r="G1157" i="5"/>
  <c r="G1158" i="5"/>
  <c r="G1159" i="5"/>
  <c r="G1160" i="5"/>
  <c r="G1161" i="5"/>
  <c r="G1162" i="5"/>
  <c r="G1163" i="5"/>
  <c r="G1164" i="5"/>
  <c r="G1165" i="5"/>
  <c r="G1166" i="5"/>
  <c r="G1167" i="5"/>
  <c r="G1168" i="5"/>
  <c r="G1169" i="5"/>
  <c r="G1170" i="5"/>
  <c r="G1171" i="5"/>
  <c r="G1172" i="5"/>
  <c r="G1173" i="5"/>
  <c r="G1174" i="5"/>
  <c r="G1175" i="5"/>
  <c r="G1176" i="5"/>
  <c r="G1177" i="5"/>
  <c r="G1178" i="5"/>
  <c r="G1179" i="5"/>
  <c r="G1180" i="5"/>
  <c r="G1181" i="5"/>
  <c r="G1182" i="5"/>
  <c r="G1183" i="5"/>
  <c r="G1184" i="5"/>
  <c r="G1185" i="5"/>
  <c r="G1186" i="5"/>
  <c r="G1187" i="5"/>
  <c r="G1188" i="5"/>
  <c r="G1189" i="5"/>
  <c r="G1190" i="5"/>
  <c r="G1191" i="5"/>
  <c r="G1192" i="5"/>
  <c r="G1193" i="5"/>
  <c r="G1194" i="5"/>
  <c r="G1195" i="5"/>
  <c r="G1196" i="5"/>
  <c r="G1197" i="5"/>
  <c r="G1198" i="5"/>
  <c r="G1199" i="5"/>
  <c r="G1200" i="5"/>
  <c r="G1201" i="5"/>
  <c r="G1202" i="5"/>
  <c r="G1203" i="5"/>
  <c r="G1204" i="5"/>
  <c r="G1205" i="5"/>
  <c r="G1206" i="5"/>
  <c r="G1207" i="5"/>
  <c r="G1208" i="5"/>
  <c r="G1209" i="5"/>
  <c r="G1210" i="5"/>
  <c r="G1211" i="5"/>
  <c r="G1212" i="5"/>
  <c r="G1213" i="5"/>
  <c r="G1214" i="5"/>
  <c r="G1215" i="5"/>
  <c r="G1216" i="5"/>
  <c r="G1217" i="5"/>
  <c r="G1218" i="5"/>
  <c r="G1219" i="5"/>
  <c r="G1220" i="5"/>
  <c r="G1221" i="5"/>
  <c r="G1222" i="5"/>
  <c r="G1223" i="5"/>
  <c r="G1224" i="5"/>
  <c r="G1225" i="5"/>
  <c r="G1226" i="5"/>
  <c r="G1227" i="5"/>
  <c r="G1228" i="5"/>
  <c r="G1229" i="5"/>
  <c r="G1230" i="5"/>
  <c r="G1231" i="5"/>
  <c r="G1232" i="5"/>
  <c r="G1233" i="5"/>
  <c r="G1234" i="5"/>
  <c r="G1235" i="5"/>
  <c r="G1236" i="5"/>
  <c r="G1237" i="5"/>
  <c r="G1238" i="5"/>
  <c r="G1239" i="5"/>
  <c r="G1240" i="5"/>
  <c r="G1241" i="5"/>
  <c r="G1242" i="5"/>
  <c r="G1243" i="5"/>
  <c r="G1244" i="5"/>
  <c r="G1245" i="5"/>
  <c r="G1246" i="5"/>
  <c r="G1247" i="5"/>
  <c r="G1248" i="5"/>
  <c r="G1249" i="5"/>
  <c r="G1250" i="5"/>
  <c r="G1251" i="5"/>
  <c r="G1252" i="5"/>
  <c r="G1253" i="5"/>
  <c r="G1254" i="5"/>
  <c r="G1255" i="5"/>
  <c r="G1256" i="5"/>
  <c r="G1257" i="5"/>
  <c r="G1258" i="5"/>
  <c r="G1259" i="5"/>
  <c r="G1260" i="5"/>
  <c r="G1261" i="5"/>
  <c r="G1262" i="5"/>
  <c r="G1263" i="5"/>
  <c r="G1264" i="5"/>
  <c r="G1265" i="5"/>
  <c r="G1266" i="5"/>
  <c r="G1267" i="5"/>
  <c r="G1268" i="5"/>
  <c r="G1269" i="5"/>
  <c r="G1270" i="5"/>
  <c r="G1271" i="5"/>
  <c r="G1272" i="5"/>
  <c r="G1273" i="5"/>
  <c r="G1274" i="5"/>
  <c r="G1275" i="5"/>
  <c r="G1276" i="5"/>
  <c r="G1277" i="5"/>
  <c r="G1278" i="5"/>
  <c r="G1279" i="5"/>
  <c r="G1280" i="5"/>
  <c r="G1281" i="5"/>
  <c r="G1282" i="5"/>
  <c r="G1283" i="5"/>
  <c r="G1284" i="5"/>
  <c r="G1285" i="5"/>
  <c r="G1286" i="5"/>
  <c r="G1287" i="5"/>
  <c r="G1288" i="5"/>
  <c r="G1289" i="5"/>
  <c r="G1290" i="5"/>
  <c r="G1291" i="5"/>
  <c r="G1292" i="5"/>
  <c r="G1293" i="5"/>
  <c r="G1294" i="5"/>
  <c r="G1295" i="5"/>
  <c r="G1296" i="5"/>
  <c r="G1297" i="5"/>
  <c r="G1298" i="5"/>
  <c r="G1299" i="5"/>
  <c r="G1300" i="5"/>
  <c r="G1301" i="5"/>
  <c r="G1302" i="5"/>
  <c r="G1303" i="5"/>
  <c r="G1304" i="5"/>
  <c r="G1305" i="5"/>
  <c r="G1306" i="5"/>
  <c r="G1307" i="5"/>
  <c r="G1308" i="5"/>
  <c r="G1309" i="5"/>
  <c r="G1310" i="5"/>
  <c r="G1311" i="5"/>
  <c r="G1312" i="5"/>
  <c r="G1313" i="5"/>
  <c r="G1314" i="5"/>
  <c r="G1315" i="5"/>
  <c r="G1316" i="5"/>
  <c r="G1317" i="5"/>
  <c r="G1318" i="5"/>
  <c r="G1319" i="5"/>
  <c r="G1320" i="5"/>
  <c r="G1321" i="5"/>
  <c r="G1322" i="5"/>
  <c r="G1323" i="5"/>
  <c r="G1324" i="5"/>
  <c r="G1325" i="5"/>
  <c r="G1326" i="5"/>
  <c r="G1327" i="5"/>
  <c r="G1328" i="5"/>
  <c r="G1329" i="5"/>
  <c r="G1330" i="5"/>
  <c r="G1331" i="5"/>
  <c r="G1332" i="5"/>
  <c r="G1333" i="5"/>
  <c r="G1334" i="5"/>
  <c r="G1335" i="5"/>
  <c r="G1336" i="5"/>
  <c r="G1337" i="5"/>
  <c r="G1338" i="5"/>
  <c r="G1339" i="5"/>
  <c r="G1340" i="5"/>
  <c r="G1341" i="5"/>
  <c r="G1342" i="5"/>
  <c r="G1343" i="5"/>
  <c r="G1344" i="5"/>
  <c r="G1345" i="5"/>
  <c r="G1346" i="5"/>
  <c r="G1347" i="5"/>
  <c r="G1348" i="5"/>
  <c r="G1349" i="5"/>
  <c r="G1350" i="5"/>
  <c r="G1351" i="5"/>
  <c r="G1352" i="5"/>
  <c r="G1353" i="5"/>
  <c r="G1354" i="5"/>
  <c r="G1355" i="5"/>
  <c r="G1356" i="5"/>
  <c r="G1357" i="5"/>
  <c r="G1358" i="5"/>
  <c r="G1359" i="5"/>
  <c r="G1360" i="5"/>
  <c r="G1361" i="5"/>
  <c r="G1362" i="5"/>
  <c r="G1363" i="5"/>
  <c r="G1364" i="5"/>
  <c r="G1365" i="5"/>
  <c r="G1366" i="5"/>
  <c r="G1367" i="5"/>
  <c r="G1368" i="5"/>
  <c r="G1369" i="5"/>
  <c r="G1370" i="5"/>
  <c r="G1371" i="5"/>
  <c r="G1372" i="5"/>
  <c r="G1373" i="5"/>
  <c r="G1374" i="5"/>
  <c r="G1375" i="5"/>
  <c r="G1376" i="5"/>
  <c r="G1377" i="5"/>
  <c r="G1378" i="5"/>
  <c r="G1379" i="5"/>
  <c r="G1380" i="5"/>
  <c r="G1381" i="5"/>
  <c r="G1382" i="5"/>
  <c r="G1383" i="5"/>
  <c r="G1384" i="5"/>
  <c r="G1385" i="5"/>
  <c r="G1386" i="5"/>
  <c r="G1387" i="5"/>
  <c r="G1388" i="5"/>
  <c r="G1389" i="5"/>
  <c r="G1390" i="5"/>
  <c r="G1391" i="5"/>
  <c r="G1392" i="5"/>
  <c r="G1393" i="5"/>
  <c r="G1394" i="5"/>
  <c r="G1395" i="5"/>
  <c r="G1396" i="5"/>
  <c r="G1397" i="5"/>
  <c r="G1398" i="5"/>
  <c r="G1399" i="5"/>
  <c r="G1400" i="5"/>
  <c r="G1401" i="5"/>
  <c r="G1402" i="5"/>
  <c r="G1403" i="5"/>
  <c r="G1404" i="5"/>
  <c r="G1405" i="5"/>
  <c r="G1406" i="5"/>
  <c r="G1407" i="5"/>
  <c r="G1408" i="5"/>
  <c r="G1409" i="5"/>
  <c r="G1410" i="5"/>
  <c r="G1411" i="5"/>
  <c r="G1412" i="5"/>
  <c r="G1413" i="5"/>
  <c r="G1414" i="5"/>
  <c r="G1415" i="5"/>
  <c r="G1416" i="5"/>
  <c r="G1417" i="5"/>
  <c r="G1418" i="5"/>
  <c r="G1419" i="5"/>
  <c r="G1420" i="5"/>
  <c r="G1421" i="5"/>
  <c r="G1422" i="5"/>
  <c r="G1423" i="5"/>
  <c r="G1424" i="5"/>
  <c r="G1425" i="5"/>
  <c r="G1426" i="5"/>
  <c r="G1427" i="5"/>
  <c r="G1428" i="5"/>
  <c r="G1429" i="5"/>
  <c r="G1430" i="5"/>
  <c r="G1431" i="5"/>
  <c r="G1432" i="5"/>
  <c r="G1433" i="5"/>
  <c r="G1434" i="5"/>
  <c r="G1435" i="5"/>
  <c r="G1436" i="5"/>
  <c r="G1437" i="5"/>
  <c r="G1438" i="5"/>
  <c r="G1439" i="5"/>
  <c r="G1440" i="5"/>
  <c r="G1441" i="5"/>
  <c r="G1442" i="5"/>
  <c r="G1443" i="5"/>
  <c r="G1444" i="5"/>
  <c r="G1445" i="5"/>
  <c r="G1446" i="5"/>
  <c r="G1447" i="5"/>
  <c r="G1448" i="5"/>
  <c r="G1449" i="5"/>
  <c r="G1450" i="5"/>
  <c r="G1451" i="5"/>
  <c r="G1452" i="5"/>
  <c r="G1453" i="5"/>
  <c r="G1454" i="5"/>
  <c r="G1455" i="5"/>
  <c r="G1456" i="5"/>
  <c r="G1457" i="5"/>
  <c r="G1458" i="5"/>
  <c r="G1459" i="5"/>
  <c r="G1460" i="5"/>
  <c r="G1461" i="5"/>
  <c r="G1462" i="5"/>
  <c r="G1463" i="5"/>
  <c r="G1464" i="5"/>
  <c r="G1465" i="5"/>
  <c r="G1466" i="5"/>
  <c r="G1467" i="5"/>
  <c r="G1468" i="5"/>
  <c r="G1469" i="5"/>
  <c r="G1470" i="5"/>
  <c r="G1471" i="5"/>
  <c r="G1472" i="5"/>
  <c r="G1473" i="5"/>
  <c r="G1474" i="5"/>
  <c r="G1475" i="5"/>
  <c r="G1476" i="5"/>
  <c r="G1477" i="5"/>
  <c r="G1478" i="5"/>
  <c r="G1479" i="5"/>
  <c r="G1480" i="5"/>
  <c r="G1481" i="5"/>
  <c r="G1482" i="5"/>
  <c r="G1483" i="5"/>
  <c r="G1484" i="5"/>
  <c r="G1485" i="5"/>
  <c r="G1486" i="5"/>
  <c r="G1487" i="5"/>
  <c r="G1488" i="5"/>
  <c r="G1489" i="5"/>
  <c r="G1490" i="5"/>
  <c r="G1491" i="5"/>
  <c r="G1492" i="5"/>
  <c r="G1493" i="5"/>
  <c r="G1494" i="5"/>
  <c r="G1495" i="5"/>
  <c r="G1496" i="5"/>
  <c r="G1497" i="5"/>
  <c r="G1498" i="5"/>
  <c r="G1499" i="5"/>
  <c r="G1500" i="5"/>
  <c r="G1501" i="5"/>
  <c r="G1502" i="5"/>
  <c r="G1503" i="5"/>
  <c r="G1504" i="5"/>
  <c r="G1505" i="5"/>
  <c r="G1506" i="5"/>
  <c r="G1507" i="5"/>
  <c r="G1508" i="5"/>
  <c r="G1509" i="5"/>
  <c r="G1510" i="5"/>
  <c r="G1511" i="5"/>
  <c r="G1512" i="5"/>
  <c r="G1513" i="5"/>
  <c r="G1514" i="5"/>
  <c r="G1515" i="5"/>
  <c r="G1516" i="5"/>
  <c r="G1517" i="5"/>
  <c r="G1518" i="5"/>
  <c r="G1519" i="5"/>
  <c r="G1520" i="5"/>
  <c r="G1521" i="5"/>
  <c r="G1522" i="5"/>
  <c r="G1523" i="5"/>
  <c r="G1524" i="5"/>
  <c r="G1525" i="5"/>
  <c r="G1526" i="5"/>
  <c r="G1527" i="5"/>
  <c r="G1528" i="5"/>
  <c r="G1529" i="5"/>
  <c r="G1530" i="5"/>
  <c r="G1531" i="5"/>
  <c r="G1532" i="5"/>
  <c r="G1533" i="5"/>
  <c r="G1534" i="5"/>
  <c r="G1535" i="5"/>
  <c r="G1536" i="5"/>
  <c r="G1537" i="5"/>
  <c r="G1538" i="5"/>
  <c r="G1539" i="5"/>
  <c r="G1540" i="5"/>
  <c r="G1541" i="5"/>
  <c r="G1542" i="5"/>
  <c r="G1543" i="5"/>
  <c r="G1544" i="5"/>
  <c r="G1545" i="5"/>
  <c r="G1546" i="5"/>
  <c r="G1547" i="5"/>
  <c r="G1548" i="5"/>
  <c r="G1549" i="5"/>
  <c r="G1550" i="5"/>
  <c r="G1551" i="5"/>
  <c r="G1552" i="5"/>
  <c r="G1553" i="5"/>
  <c r="G1554" i="5"/>
  <c r="G1555" i="5"/>
  <c r="G1556" i="5"/>
  <c r="G1557" i="5"/>
  <c r="G1558" i="5"/>
  <c r="G1559" i="5"/>
  <c r="G1560" i="5"/>
  <c r="G1561" i="5"/>
  <c r="G1562" i="5"/>
  <c r="G1563" i="5"/>
  <c r="G1564" i="5"/>
  <c r="G1565" i="5"/>
  <c r="G1566" i="5"/>
  <c r="G1567" i="5"/>
  <c r="G1568" i="5"/>
  <c r="G1569" i="5"/>
  <c r="G1570" i="5"/>
  <c r="G1571" i="5"/>
  <c r="G1572" i="5"/>
  <c r="G1573" i="5"/>
  <c r="G1574" i="5"/>
  <c r="G1575" i="5"/>
  <c r="G1576" i="5"/>
  <c r="G1577" i="5"/>
  <c r="G1578" i="5"/>
  <c r="G1579" i="5"/>
  <c r="G1580" i="5"/>
  <c r="G1581" i="5"/>
  <c r="G1582" i="5"/>
  <c r="G1583" i="5"/>
  <c r="G1584" i="5"/>
  <c r="G1585" i="5"/>
  <c r="G1586" i="5"/>
  <c r="G1587" i="5"/>
  <c r="G1588" i="5"/>
  <c r="G1589" i="5"/>
  <c r="G1590" i="5"/>
  <c r="G1591" i="5"/>
  <c r="G1592" i="5"/>
  <c r="G1593" i="5"/>
  <c r="G1594" i="5"/>
  <c r="G1595" i="5"/>
  <c r="G1596" i="5"/>
  <c r="G1597" i="5"/>
  <c r="G1598" i="5"/>
  <c r="G1599" i="5"/>
  <c r="G1600" i="5"/>
  <c r="G1601" i="5"/>
  <c r="G1602" i="5"/>
  <c r="G1603" i="5"/>
  <c r="G1604" i="5"/>
  <c r="G1605" i="5"/>
  <c r="G1606" i="5"/>
  <c r="G1607" i="5"/>
  <c r="G1608" i="5"/>
  <c r="G1609" i="5"/>
  <c r="G1610" i="5"/>
  <c r="G1611" i="5"/>
  <c r="G1612" i="5"/>
  <c r="G1613" i="5"/>
  <c r="G1614" i="5"/>
  <c r="G1615" i="5"/>
  <c r="G1616" i="5"/>
  <c r="G1617" i="5"/>
  <c r="G1618" i="5"/>
  <c r="G1619" i="5"/>
  <c r="G1620" i="5"/>
  <c r="G1621" i="5"/>
  <c r="G1622" i="5"/>
  <c r="G1623" i="5"/>
  <c r="G1624" i="5"/>
  <c r="G1625" i="5"/>
  <c r="G1626" i="5"/>
  <c r="G1627" i="5"/>
  <c r="G1628" i="5"/>
  <c r="G1629" i="5"/>
  <c r="G1630" i="5"/>
  <c r="G1631" i="5"/>
  <c r="G1632" i="5"/>
  <c r="G1633" i="5"/>
  <c r="G1634" i="5"/>
  <c r="G1635" i="5"/>
  <c r="G1636" i="5"/>
  <c r="G1637" i="5"/>
  <c r="G1638" i="5"/>
  <c r="G1639" i="5"/>
  <c r="G1640" i="5"/>
  <c r="G1641" i="5"/>
  <c r="G1642" i="5"/>
  <c r="G1643" i="5"/>
  <c r="G1644" i="5"/>
  <c r="G1645" i="5"/>
  <c r="G1646" i="5"/>
  <c r="G1647" i="5"/>
  <c r="G1648" i="5"/>
  <c r="G1649" i="5"/>
  <c r="G1650" i="5"/>
  <c r="G1651" i="5"/>
  <c r="G1652" i="5"/>
  <c r="G1653" i="5"/>
  <c r="G1654" i="5"/>
  <c r="G1655" i="5"/>
  <c r="G1656" i="5"/>
  <c r="G1657" i="5"/>
  <c r="G1658" i="5"/>
  <c r="G1659" i="5"/>
  <c r="G1660" i="5"/>
  <c r="G1661" i="5"/>
  <c r="G1662" i="5"/>
  <c r="G1663" i="5"/>
  <c r="G1664" i="5"/>
  <c r="G1665" i="5"/>
  <c r="G1666" i="5"/>
  <c r="G1667" i="5"/>
  <c r="G1668" i="5"/>
  <c r="G1669" i="5"/>
  <c r="G1670" i="5"/>
  <c r="G1671" i="5"/>
  <c r="G1672" i="5"/>
  <c r="G1673" i="5"/>
  <c r="G1674" i="5"/>
  <c r="G1675" i="5"/>
  <c r="G1676" i="5"/>
  <c r="G1677" i="5"/>
  <c r="G1678" i="5"/>
  <c r="G1679" i="5"/>
  <c r="G1680" i="5"/>
  <c r="G1681" i="5"/>
  <c r="G1682" i="5"/>
  <c r="G1683" i="5"/>
  <c r="G1684" i="5"/>
  <c r="G1685" i="5"/>
  <c r="G1686" i="5"/>
  <c r="G1687" i="5"/>
  <c r="G1688" i="5"/>
  <c r="G1689" i="5"/>
  <c r="G1690" i="5"/>
  <c r="G1691" i="5"/>
  <c r="G1692" i="5"/>
  <c r="G1693" i="5"/>
  <c r="G1694" i="5"/>
  <c r="G1695" i="5"/>
  <c r="G1696" i="5"/>
  <c r="G1697" i="5"/>
  <c r="G1698" i="5"/>
  <c r="G1699" i="5"/>
  <c r="G1700" i="5"/>
  <c r="G1701" i="5"/>
  <c r="G1702" i="5"/>
  <c r="G1703" i="5"/>
  <c r="G1704" i="5"/>
  <c r="G1705" i="5"/>
  <c r="G1706" i="5"/>
  <c r="G1707" i="5"/>
  <c r="G1708" i="5"/>
  <c r="G1709" i="5"/>
  <c r="G1710" i="5"/>
  <c r="G1711" i="5"/>
  <c r="G1712" i="5"/>
  <c r="G1713" i="5"/>
  <c r="G1714" i="5"/>
  <c r="G1715" i="5"/>
  <c r="G1716" i="5"/>
  <c r="G1717" i="5"/>
  <c r="G1718" i="5"/>
  <c r="G1719" i="5"/>
  <c r="G1720" i="5"/>
  <c r="G1721" i="5"/>
  <c r="G1722" i="5"/>
  <c r="G1723" i="5"/>
  <c r="G1724" i="5"/>
  <c r="G1725" i="5"/>
  <c r="G1726" i="5"/>
  <c r="G1727" i="5"/>
  <c r="G1728" i="5"/>
  <c r="G1729" i="5"/>
  <c r="G1730" i="5"/>
  <c r="G1731" i="5"/>
  <c r="G1732" i="5"/>
  <c r="G1733" i="5"/>
  <c r="G1734" i="5"/>
  <c r="G1735" i="5"/>
  <c r="G1736" i="5"/>
  <c r="G1737" i="5"/>
  <c r="G1738" i="5"/>
  <c r="G1739" i="5"/>
  <c r="G1740" i="5"/>
  <c r="G1741" i="5"/>
  <c r="G1742" i="5"/>
  <c r="G1743" i="5"/>
  <c r="G1744" i="5"/>
  <c r="G1745" i="5"/>
  <c r="G1746" i="5"/>
  <c r="G1747" i="5"/>
  <c r="G1748" i="5"/>
  <c r="G1749" i="5"/>
  <c r="G1750" i="5"/>
  <c r="G1751" i="5"/>
  <c r="G1752" i="5"/>
  <c r="G1753" i="5"/>
  <c r="G1754" i="5"/>
  <c r="G1755" i="5"/>
  <c r="G1756" i="5"/>
  <c r="G1757" i="5"/>
  <c r="G1758" i="5"/>
  <c r="G1759" i="5"/>
  <c r="G1760" i="5"/>
  <c r="G1761" i="5"/>
  <c r="G1762" i="5"/>
  <c r="G1763" i="5"/>
  <c r="G1764" i="5"/>
  <c r="G1765" i="5"/>
  <c r="G1766" i="5"/>
  <c r="G1767" i="5"/>
  <c r="G1768" i="5"/>
  <c r="G1769" i="5"/>
  <c r="G1770" i="5"/>
  <c r="G1771" i="5"/>
  <c r="G1772" i="5"/>
  <c r="G1773" i="5"/>
  <c r="G1774" i="5"/>
  <c r="G1775" i="5"/>
  <c r="G1776" i="5"/>
  <c r="G1777" i="5"/>
  <c r="G1778" i="5"/>
  <c r="G1779" i="5"/>
  <c r="G1780" i="5"/>
  <c r="G1781" i="5"/>
  <c r="G1782" i="5"/>
  <c r="G1783" i="5"/>
  <c r="G1784" i="5"/>
  <c r="G1785" i="5"/>
  <c r="G1786" i="5"/>
  <c r="G1787" i="5"/>
  <c r="G1788" i="5"/>
  <c r="G1789" i="5"/>
  <c r="G1790" i="5"/>
  <c r="G1791" i="5"/>
  <c r="G1792" i="5"/>
  <c r="G1793" i="5"/>
  <c r="G1794" i="5"/>
  <c r="G1795" i="5"/>
  <c r="G1796" i="5"/>
  <c r="G1797" i="5"/>
  <c r="G1798" i="5"/>
  <c r="G1799" i="5"/>
  <c r="G1800" i="5"/>
  <c r="G1801" i="5"/>
  <c r="G1802" i="5"/>
  <c r="G1803" i="5"/>
  <c r="G1804" i="5"/>
  <c r="G1805" i="5"/>
  <c r="G1806" i="5"/>
  <c r="G1807" i="5"/>
  <c r="G1808" i="5"/>
  <c r="G1809" i="5"/>
  <c r="G1810" i="5"/>
  <c r="G1811" i="5"/>
  <c r="G1812" i="5"/>
  <c r="G1813" i="5"/>
  <c r="G1814" i="5"/>
  <c r="G1815" i="5"/>
  <c r="G1816" i="5"/>
  <c r="G1817" i="5"/>
  <c r="G1818" i="5"/>
  <c r="G1819" i="5"/>
  <c r="G1820" i="5"/>
  <c r="G1821" i="5"/>
  <c r="G1822" i="5"/>
  <c r="G1823" i="5"/>
  <c r="G1824" i="5"/>
  <c r="G1825" i="5"/>
  <c r="G1826" i="5"/>
  <c r="G1827" i="5"/>
  <c r="G1828" i="5"/>
  <c r="G1829" i="5"/>
  <c r="G1830" i="5"/>
  <c r="G1831" i="5"/>
  <c r="G1832" i="5"/>
  <c r="G1833" i="5"/>
  <c r="G1834" i="5"/>
  <c r="G1835" i="5"/>
  <c r="G1836" i="5"/>
  <c r="G1837" i="5"/>
  <c r="G1838" i="5"/>
  <c r="G1839" i="5"/>
  <c r="G1840" i="5"/>
  <c r="G1841" i="5"/>
  <c r="G1842" i="5"/>
  <c r="G1843" i="5"/>
  <c r="G1844" i="5"/>
  <c r="G1845" i="5"/>
  <c r="G1846" i="5"/>
  <c r="G1847" i="5"/>
  <c r="G1848" i="5"/>
  <c r="G1849" i="5"/>
  <c r="G1850" i="5"/>
  <c r="G1851" i="5"/>
  <c r="G1852" i="5"/>
  <c r="G1853" i="5"/>
  <c r="G1854" i="5"/>
  <c r="G1855" i="5"/>
  <c r="G1856" i="5"/>
  <c r="G1857" i="5"/>
  <c r="G1858" i="5"/>
  <c r="G1859" i="5"/>
  <c r="G1860" i="5"/>
  <c r="G1861" i="5"/>
  <c r="G1862" i="5"/>
  <c r="H12" i="5"/>
  <c r="H13" i="5"/>
  <c r="H14" i="5"/>
  <c r="H15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71" i="5"/>
  <c r="H72" i="5"/>
  <c r="H73" i="5"/>
  <c r="H74" i="5"/>
  <c r="H75" i="5"/>
  <c r="H76" i="5"/>
  <c r="H77" i="5"/>
  <c r="H78" i="5"/>
  <c r="H79" i="5"/>
  <c r="H80" i="5"/>
  <c r="H81" i="5"/>
  <c r="H82" i="5"/>
  <c r="H83" i="5"/>
  <c r="H84" i="5"/>
  <c r="H85" i="5"/>
  <c r="H86" i="5"/>
  <c r="H87" i="5"/>
  <c r="H88" i="5"/>
  <c r="H89" i="5"/>
  <c r="H90" i="5"/>
  <c r="H91" i="5"/>
  <c r="H92" i="5"/>
  <c r="H93" i="5"/>
  <c r="H94" i="5"/>
  <c r="H95" i="5"/>
  <c r="H96" i="5"/>
  <c r="H97" i="5"/>
  <c r="H98" i="5"/>
  <c r="H99" i="5"/>
  <c r="H100" i="5"/>
  <c r="H101" i="5"/>
  <c r="H102" i="5"/>
  <c r="H103" i="5"/>
  <c r="H104" i="5"/>
  <c r="H105" i="5"/>
  <c r="H106" i="5"/>
  <c r="H107" i="5"/>
  <c r="H108" i="5"/>
  <c r="H109" i="5"/>
  <c r="H110" i="5"/>
  <c r="H111" i="5"/>
  <c r="H112" i="5"/>
  <c r="H113" i="5"/>
  <c r="H114" i="5"/>
  <c r="H115" i="5"/>
  <c r="H116" i="5"/>
  <c r="H117" i="5"/>
  <c r="H118" i="5"/>
  <c r="H119" i="5"/>
  <c r="H120" i="5"/>
  <c r="H121" i="5"/>
  <c r="H122" i="5"/>
  <c r="H123" i="5"/>
  <c r="H124" i="5"/>
  <c r="H125" i="5"/>
  <c r="H126" i="5"/>
  <c r="H127" i="5"/>
  <c r="H128" i="5"/>
  <c r="H129" i="5"/>
  <c r="H130" i="5"/>
  <c r="H131" i="5"/>
  <c r="H132" i="5"/>
  <c r="H133" i="5"/>
  <c r="H134" i="5"/>
  <c r="H135" i="5"/>
  <c r="H136" i="5"/>
  <c r="H137" i="5"/>
  <c r="H138" i="5"/>
  <c r="H139" i="5"/>
  <c r="H140" i="5"/>
  <c r="H141" i="5"/>
  <c r="H142" i="5"/>
  <c r="H143" i="5"/>
  <c r="H144" i="5"/>
  <c r="H145" i="5"/>
  <c r="H146" i="5"/>
  <c r="H147" i="5"/>
  <c r="H148" i="5"/>
  <c r="H149" i="5"/>
  <c r="H150" i="5"/>
  <c r="H151" i="5"/>
  <c r="H152" i="5"/>
  <c r="H153" i="5"/>
  <c r="H154" i="5"/>
  <c r="H155" i="5"/>
  <c r="H156" i="5"/>
  <c r="H157" i="5"/>
  <c r="H158" i="5"/>
  <c r="H159" i="5"/>
  <c r="H160" i="5"/>
  <c r="H161" i="5"/>
  <c r="H162" i="5"/>
  <c r="H163" i="5"/>
  <c r="H164" i="5"/>
  <c r="H165" i="5"/>
  <c r="H166" i="5"/>
  <c r="H167" i="5"/>
  <c r="H168" i="5"/>
  <c r="H169" i="5"/>
  <c r="H170" i="5"/>
  <c r="H171" i="5"/>
  <c r="H172" i="5"/>
  <c r="H173" i="5"/>
  <c r="H174" i="5"/>
  <c r="H175" i="5"/>
  <c r="H176" i="5"/>
  <c r="H177" i="5"/>
  <c r="H178" i="5"/>
  <c r="H179" i="5"/>
  <c r="H180" i="5"/>
  <c r="H181" i="5"/>
  <c r="H182" i="5"/>
  <c r="H183" i="5"/>
  <c r="H184" i="5"/>
  <c r="H185" i="5"/>
  <c r="H186" i="5"/>
  <c r="H187" i="5"/>
  <c r="H188" i="5"/>
  <c r="H189" i="5"/>
  <c r="H190" i="5"/>
  <c r="H191" i="5"/>
  <c r="H192" i="5"/>
  <c r="H193" i="5"/>
  <c r="H194" i="5"/>
  <c r="H195" i="5"/>
  <c r="H196" i="5"/>
  <c r="H197" i="5"/>
  <c r="H198" i="5"/>
  <c r="H199" i="5"/>
  <c r="H200" i="5"/>
  <c r="H201" i="5"/>
  <c r="H202" i="5"/>
  <c r="H203" i="5"/>
  <c r="H204" i="5"/>
  <c r="H205" i="5"/>
  <c r="H206" i="5"/>
  <c r="H207" i="5"/>
  <c r="H208" i="5"/>
  <c r="H209" i="5"/>
  <c r="H210" i="5"/>
  <c r="H211" i="5"/>
  <c r="H212" i="5"/>
  <c r="H213" i="5"/>
  <c r="H214" i="5"/>
  <c r="H215" i="5"/>
  <c r="H216" i="5"/>
  <c r="H217" i="5"/>
  <c r="H218" i="5"/>
  <c r="H219" i="5"/>
  <c r="H220" i="5"/>
  <c r="H221" i="5"/>
  <c r="H222" i="5"/>
  <c r="H223" i="5"/>
  <c r="H224" i="5"/>
  <c r="H225" i="5"/>
  <c r="H226" i="5"/>
  <c r="H227" i="5"/>
  <c r="H228" i="5"/>
  <c r="H229" i="5"/>
  <c r="H230" i="5"/>
  <c r="H231" i="5"/>
  <c r="H232" i="5"/>
  <c r="H233" i="5"/>
  <c r="H234" i="5"/>
  <c r="H235" i="5"/>
  <c r="H236" i="5"/>
  <c r="H237" i="5"/>
  <c r="H238" i="5"/>
  <c r="H239" i="5"/>
  <c r="H240" i="5"/>
  <c r="H241" i="5"/>
  <c r="H242" i="5"/>
  <c r="H243" i="5"/>
  <c r="H244" i="5"/>
  <c r="H245" i="5"/>
  <c r="H246" i="5"/>
  <c r="H247" i="5"/>
  <c r="H248" i="5"/>
  <c r="H249" i="5"/>
  <c r="H250" i="5"/>
  <c r="H251" i="5"/>
  <c r="H252" i="5"/>
  <c r="H253" i="5"/>
  <c r="H254" i="5"/>
  <c r="H255" i="5"/>
  <c r="H256" i="5"/>
  <c r="H257" i="5"/>
  <c r="H258" i="5"/>
  <c r="H259" i="5"/>
  <c r="H260" i="5"/>
  <c r="H261" i="5"/>
  <c r="H262" i="5"/>
  <c r="H263" i="5"/>
  <c r="H264" i="5"/>
  <c r="H265" i="5"/>
  <c r="H266" i="5"/>
  <c r="H267" i="5"/>
  <c r="H268" i="5"/>
  <c r="H269" i="5"/>
  <c r="H270" i="5"/>
  <c r="H271" i="5"/>
  <c r="H272" i="5"/>
  <c r="H273" i="5"/>
  <c r="H274" i="5"/>
  <c r="H275" i="5"/>
  <c r="H276" i="5"/>
  <c r="H277" i="5"/>
  <c r="H278" i="5"/>
  <c r="H279" i="5"/>
  <c r="H280" i="5"/>
  <c r="H281" i="5"/>
  <c r="H282" i="5"/>
  <c r="H283" i="5"/>
  <c r="H284" i="5"/>
  <c r="H285" i="5"/>
  <c r="H286" i="5"/>
  <c r="H287" i="5"/>
  <c r="H288" i="5"/>
  <c r="H289" i="5"/>
  <c r="H290" i="5"/>
  <c r="H291" i="5"/>
  <c r="H292" i="5"/>
  <c r="H293" i="5"/>
  <c r="H294" i="5"/>
  <c r="H295" i="5"/>
  <c r="H296" i="5"/>
  <c r="H297" i="5"/>
  <c r="H298" i="5"/>
  <c r="H299" i="5"/>
  <c r="H300" i="5"/>
  <c r="H301" i="5"/>
  <c r="H302" i="5"/>
  <c r="H303" i="5"/>
  <c r="H304" i="5"/>
  <c r="H305" i="5"/>
  <c r="H306" i="5"/>
  <c r="H307" i="5"/>
  <c r="H308" i="5"/>
  <c r="H309" i="5"/>
  <c r="H310" i="5"/>
  <c r="H311" i="5"/>
  <c r="H312" i="5"/>
  <c r="H313" i="5"/>
  <c r="H314" i="5"/>
  <c r="H315" i="5"/>
  <c r="H316" i="5"/>
  <c r="H317" i="5"/>
  <c r="H318" i="5"/>
  <c r="H319" i="5"/>
  <c r="H320" i="5"/>
  <c r="H321" i="5"/>
  <c r="H322" i="5"/>
  <c r="H323" i="5"/>
  <c r="H324" i="5"/>
  <c r="H325" i="5"/>
  <c r="H326" i="5"/>
  <c r="H327" i="5"/>
  <c r="H328" i="5"/>
  <c r="H329" i="5"/>
  <c r="H330" i="5"/>
  <c r="H331" i="5"/>
  <c r="H332" i="5"/>
  <c r="H333" i="5"/>
  <c r="H334" i="5"/>
  <c r="H335" i="5"/>
  <c r="H336" i="5"/>
  <c r="H337" i="5"/>
  <c r="H338" i="5"/>
  <c r="H339" i="5"/>
  <c r="H340" i="5"/>
  <c r="H341" i="5"/>
  <c r="H342" i="5"/>
  <c r="H343" i="5"/>
  <c r="H344" i="5"/>
  <c r="H345" i="5"/>
  <c r="H346" i="5"/>
  <c r="H347" i="5"/>
  <c r="H348" i="5"/>
  <c r="H349" i="5"/>
  <c r="H350" i="5"/>
  <c r="H351" i="5"/>
  <c r="H352" i="5"/>
  <c r="H353" i="5"/>
  <c r="H354" i="5"/>
  <c r="H355" i="5"/>
  <c r="H356" i="5"/>
  <c r="H357" i="5"/>
  <c r="H358" i="5"/>
  <c r="H359" i="5"/>
  <c r="H360" i="5"/>
  <c r="H361" i="5"/>
  <c r="H362" i="5"/>
  <c r="H363" i="5"/>
  <c r="H364" i="5"/>
  <c r="H365" i="5"/>
  <c r="H366" i="5"/>
  <c r="H367" i="5"/>
  <c r="H368" i="5"/>
  <c r="H369" i="5"/>
  <c r="H370" i="5"/>
  <c r="H371" i="5"/>
  <c r="H372" i="5"/>
  <c r="H373" i="5"/>
  <c r="H374" i="5"/>
  <c r="H375" i="5"/>
  <c r="H376" i="5"/>
  <c r="H377" i="5"/>
  <c r="H378" i="5"/>
  <c r="H379" i="5"/>
  <c r="H380" i="5"/>
  <c r="H381" i="5"/>
  <c r="H382" i="5"/>
  <c r="H383" i="5"/>
  <c r="H384" i="5"/>
  <c r="H385" i="5"/>
  <c r="H386" i="5"/>
  <c r="H387" i="5"/>
  <c r="H388" i="5"/>
  <c r="H389" i="5"/>
  <c r="H390" i="5"/>
  <c r="H391" i="5"/>
  <c r="H392" i="5"/>
  <c r="H393" i="5"/>
  <c r="H394" i="5"/>
  <c r="H395" i="5"/>
  <c r="H396" i="5"/>
  <c r="H397" i="5"/>
  <c r="H398" i="5"/>
  <c r="H399" i="5"/>
  <c r="H400" i="5"/>
  <c r="H401" i="5"/>
  <c r="H402" i="5"/>
  <c r="H403" i="5"/>
  <c r="H404" i="5"/>
  <c r="H405" i="5"/>
  <c r="H406" i="5"/>
  <c r="H407" i="5"/>
  <c r="H408" i="5"/>
  <c r="H409" i="5"/>
  <c r="H410" i="5"/>
  <c r="H411" i="5"/>
  <c r="H412" i="5"/>
  <c r="H413" i="5"/>
  <c r="H414" i="5"/>
  <c r="H415" i="5"/>
  <c r="H416" i="5"/>
  <c r="H417" i="5"/>
  <c r="H418" i="5"/>
  <c r="H419" i="5"/>
  <c r="H420" i="5"/>
  <c r="H421" i="5"/>
  <c r="H422" i="5"/>
  <c r="H423" i="5"/>
  <c r="H424" i="5"/>
  <c r="H425" i="5"/>
  <c r="H426" i="5"/>
  <c r="H427" i="5"/>
  <c r="H428" i="5"/>
  <c r="H429" i="5"/>
  <c r="H430" i="5"/>
  <c r="H431" i="5"/>
  <c r="H432" i="5"/>
  <c r="H433" i="5"/>
  <c r="H434" i="5"/>
  <c r="H435" i="5"/>
  <c r="H436" i="5"/>
  <c r="H437" i="5"/>
  <c r="H438" i="5"/>
  <c r="H439" i="5"/>
  <c r="H440" i="5"/>
  <c r="H441" i="5"/>
  <c r="H442" i="5"/>
  <c r="H443" i="5"/>
  <c r="H444" i="5"/>
  <c r="H445" i="5"/>
  <c r="H446" i="5"/>
  <c r="H447" i="5"/>
  <c r="H448" i="5"/>
  <c r="H449" i="5"/>
  <c r="H450" i="5"/>
  <c r="H451" i="5"/>
  <c r="H452" i="5"/>
  <c r="H453" i="5"/>
  <c r="H454" i="5"/>
  <c r="H455" i="5"/>
  <c r="H456" i="5"/>
  <c r="H457" i="5"/>
  <c r="H458" i="5"/>
  <c r="H459" i="5"/>
  <c r="H460" i="5"/>
  <c r="H461" i="5"/>
  <c r="H462" i="5"/>
  <c r="H463" i="5"/>
  <c r="H464" i="5"/>
  <c r="H465" i="5"/>
  <c r="H466" i="5"/>
  <c r="H467" i="5"/>
  <c r="H468" i="5"/>
  <c r="H469" i="5"/>
  <c r="H470" i="5"/>
  <c r="H471" i="5"/>
  <c r="H472" i="5"/>
  <c r="H473" i="5"/>
  <c r="H474" i="5"/>
  <c r="H475" i="5"/>
  <c r="H476" i="5"/>
  <c r="H477" i="5"/>
  <c r="H478" i="5"/>
  <c r="H479" i="5"/>
  <c r="H480" i="5"/>
  <c r="H481" i="5"/>
  <c r="H482" i="5"/>
  <c r="H483" i="5"/>
  <c r="H484" i="5"/>
  <c r="H485" i="5"/>
  <c r="H486" i="5"/>
  <c r="H487" i="5"/>
  <c r="H488" i="5"/>
  <c r="H489" i="5"/>
  <c r="H490" i="5"/>
  <c r="H491" i="5"/>
  <c r="H492" i="5"/>
  <c r="H493" i="5"/>
  <c r="H494" i="5"/>
  <c r="H495" i="5"/>
  <c r="H496" i="5"/>
  <c r="H497" i="5"/>
  <c r="H498" i="5"/>
  <c r="H499" i="5"/>
  <c r="H500" i="5"/>
  <c r="H501" i="5"/>
  <c r="H502" i="5"/>
  <c r="H503" i="5"/>
  <c r="H504" i="5"/>
  <c r="H505" i="5"/>
  <c r="H506" i="5"/>
  <c r="H507" i="5"/>
  <c r="H508" i="5"/>
  <c r="H509" i="5"/>
  <c r="H510" i="5"/>
  <c r="H511" i="5"/>
  <c r="H512" i="5"/>
  <c r="H513" i="5"/>
  <c r="H514" i="5"/>
  <c r="H515" i="5"/>
  <c r="H516" i="5"/>
  <c r="H517" i="5"/>
  <c r="H518" i="5"/>
  <c r="H519" i="5"/>
  <c r="H520" i="5"/>
  <c r="H521" i="5"/>
  <c r="H522" i="5"/>
  <c r="H523" i="5"/>
  <c r="H524" i="5"/>
  <c r="H525" i="5"/>
  <c r="H526" i="5"/>
  <c r="H527" i="5"/>
  <c r="H528" i="5"/>
  <c r="H529" i="5"/>
  <c r="H530" i="5"/>
  <c r="H531" i="5"/>
  <c r="H532" i="5"/>
  <c r="H533" i="5"/>
  <c r="H534" i="5"/>
  <c r="H535" i="5"/>
  <c r="H536" i="5"/>
  <c r="H537" i="5"/>
  <c r="H538" i="5"/>
  <c r="H539" i="5"/>
  <c r="H540" i="5"/>
  <c r="H541" i="5"/>
  <c r="H542" i="5"/>
  <c r="H543" i="5"/>
  <c r="H544" i="5"/>
  <c r="H545" i="5"/>
  <c r="H546" i="5"/>
  <c r="H547" i="5"/>
  <c r="H548" i="5"/>
  <c r="H549" i="5"/>
  <c r="H550" i="5"/>
  <c r="H551" i="5"/>
  <c r="H552" i="5"/>
  <c r="H553" i="5"/>
  <c r="H554" i="5"/>
  <c r="H555" i="5"/>
  <c r="H556" i="5"/>
  <c r="H557" i="5"/>
  <c r="H558" i="5"/>
  <c r="H559" i="5"/>
  <c r="H560" i="5"/>
  <c r="H561" i="5"/>
  <c r="H562" i="5"/>
  <c r="H563" i="5"/>
  <c r="H564" i="5"/>
  <c r="H565" i="5"/>
  <c r="H566" i="5"/>
  <c r="H567" i="5"/>
  <c r="H568" i="5"/>
  <c r="H569" i="5"/>
  <c r="H570" i="5"/>
  <c r="H571" i="5"/>
  <c r="H572" i="5"/>
  <c r="H573" i="5"/>
  <c r="H574" i="5"/>
  <c r="H575" i="5"/>
  <c r="H576" i="5"/>
  <c r="H577" i="5"/>
  <c r="H578" i="5"/>
  <c r="H579" i="5"/>
  <c r="H580" i="5"/>
  <c r="H581" i="5"/>
  <c r="H582" i="5"/>
  <c r="H583" i="5"/>
  <c r="H584" i="5"/>
  <c r="H585" i="5"/>
  <c r="H586" i="5"/>
  <c r="H587" i="5"/>
  <c r="H588" i="5"/>
  <c r="H589" i="5"/>
  <c r="H590" i="5"/>
  <c r="H591" i="5"/>
  <c r="H592" i="5"/>
  <c r="H593" i="5"/>
  <c r="H594" i="5"/>
  <c r="H595" i="5"/>
  <c r="H596" i="5"/>
  <c r="H597" i="5"/>
  <c r="H598" i="5"/>
  <c r="H599" i="5"/>
  <c r="H600" i="5"/>
  <c r="H601" i="5"/>
  <c r="H602" i="5"/>
  <c r="H603" i="5"/>
  <c r="H604" i="5"/>
  <c r="H605" i="5"/>
  <c r="H606" i="5"/>
  <c r="H607" i="5"/>
  <c r="H608" i="5"/>
  <c r="H609" i="5"/>
  <c r="H610" i="5"/>
  <c r="H611" i="5"/>
  <c r="H612" i="5"/>
  <c r="H613" i="5"/>
  <c r="H614" i="5"/>
  <c r="H615" i="5"/>
  <c r="H616" i="5"/>
  <c r="H617" i="5"/>
  <c r="H618" i="5"/>
  <c r="H619" i="5"/>
  <c r="H620" i="5"/>
  <c r="H621" i="5"/>
  <c r="H622" i="5"/>
  <c r="H623" i="5"/>
  <c r="H624" i="5"/>
  <c r="H625" i="5"/>
  <c r="H626" i="5"/>
  <c r="H627" i="5"/>
  <c r="H628" i="5"/>
  <c r="H629" i="5"/>
  <c r="H630" i="5"/>
  <c r="H631" i="5"/>
  <c r="H632" i="5"/>
  <c r="H633" i="5"/>
  <c r="H634" i="5"/>
  <c r="H635" i="5"/>
  <c r="H636" i="5"/>
  <c r="H637" i="5"/>
  <c r="H638" i="5"/>
  <c r="H639" i="5"/>
  <c r="H640" i="5"/>
  <c r="H641" i="5"/>
  <c r="H642" i="5"/>
  <c r="H643" i="5"/>
  <c r="H644" i="5"/>
  <c r="H645" i="5"/>
  <c r="H646" i="5"/>
  <c r="H647" i="5"/>
  <c r="H648" i="5"/>
  <c r="H649" i="5"/>
  <c r="H650" i="5"/>
  <c r="H651" i="5"/>
  <c r="H652" i="5"/>
  <c r="H653" i="5"/>
  <c r="H654" i="5"/>
  <c r="H655" i="5"/>
  <c r="H656" i="5"/>
  <c r="H657" i="5"/>
  <c r="H658" i="5"/>
  <c r="H659" i="5"/>
  <c r="H660" i="5"/>
  <c r="H661" i="5"/>
  <c r="H662" i="5"/>
  <c r="H663" i="5"/>
  <c r="H664" i="5"/>
  <c r="H665" i="5"/>
  <c r="H666" i="5"/>
  <c r="H667" i="5"/>
  <c r="H668" i="5"/>
  <c r="H669" i="5"/>
  <c r="H670" i="5"/>
  <c r="H671" i="5"/>
  <c r="H672" i="5"/>
  <c r="H673" i="5"/>
  <c r="H674" i="5"/>
  <c r="H675" i="5"/>
  <c r="H676" i="5"/>
  <c r="H677" i="5"/>
  <c r="H678" i="5"/>
  <c r="H679" i="5"/>
  <c r="H680" i="5"/>
  <c r="H681" i="5"/>
  <c r="H682" i="5"/>
  <c r="H683" i="5"/>
  <c r="H684" i="5"/>
  <c r="H685" i="5"/>
  <c r="H686" i="5"/>
  <c r="H687" i="5"/>
  <c r="H688" i="5"/>
  <c r="H689" i="5"/>
  <c r="H690" i="5"/>
  <c r="H691" i="5"/>
  <c r="H692" i="5"/>
  <c r="H693" i="5"/>
  <c r="H694" i="5"/>
  <c r="H695" i="5"/>
  <c r="H696" i="5"/>
  <c r="H697" i="5"/>
  <c r="H698" i="5"/>
  <c r="H699" i="5"/>
  <c r="H700" i="5"/>
  <c r="H701" i="5"/>
  <c r="H702" i="5"/>
  <c r="H703" i="5"/>
  <c r="H704" i="5"/>
  <c r="H705" i="5"/>
  <c r="H706" i="5"/>
  <c r="H707" i="5"/>
  <c r="H708" i="5"/>
  <c r="H709" i="5"/>
  <c r="H710" i="5"/>
  <c r="H711" i="5"/>
  <c r="H712" i="5"/>
  <c r="H713" i="5"/>
  <c r="H714" i="5"/>
  <c r="H715" i="5"/>
  <c r="H716" i="5"/>
  <c r="H717" i="5"/>
  <c r="H718" i="5"/>
  <c r="H719" i="5"/>
  <c r="H720" i="5"/>
  <c r="H721" i="5"/>
  <c r="H722" i="5"/>
  <c r="H723" i="5"/>
  <c r="H724" i="5"/>
  <c r="H725" i="5"/>
  <c r="H726" i="5"/>
  <c r="H727" i="5"/>
  <c r="H728" i="5"/>
  <c r="H729" i="5"/>
  <c r="H730" i="5"/>
  <c r="H731" i="5"/>
  <c r="H732" i="5"/>
  <c r="H733" i="5"/>
  <c r="H734" i="5"/>
  <c r="H735" i="5"/>
  <c r="H736" i="5"/>
  <c r="H737" i="5"/>
  <c r="H738" i="5"/>
  <c r="H739" i="5"/>
  <c r="H740" i="5"/>
  <c r="H741" i="5"/>
  <c r="H742" i="5"/>
  <c r="H743" i="5"/>
  <c r="H744" i="5"/>
  <c r="H745" i="5"/>
  <c r="H746" i="5"/>
  <c r="H747" i="5"/>
  <c r="H748" i="5"/>
  <c r="H749" i="5"/>
  <c r="H750" i="5"/>
  <c r="H751" i="5"/>
  <c r="H752" i="5"/>
  <c r="H753" i="5"/>
  <c r="H754" i="5"/>
  <c r="H755" i="5"/>
  <c r="H756" i="5"/>
  <c r="H757" i="5"/>
  <c r="H758" i="5"/>
  <c r="H759" i="5"/>
  <c r="H760" i="5"/>
  <c r="H761" i="5"/>
  <c r="H762" i="5"/>
  <c r="H763" i="5"/>
  <c r="H764" i="5"/>
  <c r="H765" i="5"/>
  <c r="H766" i="5"/>
  <c r="H767" i="5"/>
  <c r="H768" i="5"/>
  <c r="H769" i="5"/>
  <c r="H770" i="5"/>
  <c r="H771" i="5"/>
  <c r="H772" i="5"/>
  <c r="H773" i="5"/>
  <c r="H774" i="5"/>
  <c r="H775" i="5"/>
  <c r="H776" i="5"/>
  <c r="H777" i="5"/>
  <c r="H778" i="5"/>
  <c r="H779" i="5"/>
  <c r="H780" i="5"/>
  <c r="H781" i="5"/>
  <c r="H782" i="5"/>
  <c r="H783" i="5"/>
  <c r="H784" i="5"/>
  <c r="H785" i="5"/>
  <c r="H786" i="5"/>
  <c r="H787" i="5"/>
  <c r="H788" i="5"/>
  <c r="H789" i="5"/>
  <c r="H790" i="5"/>
  <c r="H791" i="5"/>
  <c r="H792" i="5"/>
  <c r="H793" i="5"/>
  <c r="H794" i="5"/>
  <c r="H795" i="5"/>
  <c r="H796" i="5"/>
  <c r="H797" i="5"/>
  <c r="H798" i="5"/>
  <c r="H799" i="5"/>
  <c r="H800" i="5"/>
  <c r="H801" i="5"/>
  <c r="H802" i="5"/>
  <c r="H803" i="5"/>
  <c r="H804" i="5"/>
  <c r="H805" i="5"/>
  <c r="H806" i="5"/>
  <c r="H807" i="5"/>
  <c r="H808" i="5"/>
  <c r="H809" i="5"/>
  <c r="H810" i="5"/>
  <c r="H811" i="5"/>
  <c r="H812" i="5"/>
  <c r="H813" i="5"/>
  <c r="H814" i="5"/>
  <c r="H815" i="5"/>
  <c r="H816" i="5"/>
  <c r="H817" i="5"/>
  <c r="H818" i="5"/>
  <c r="H819" i="5"/>
  <c r="H820" i="5"/>
  <c r="H821" i="5"/>
  <c r="H822" i="5"/>
  <c r="H823" i="5"/>
  <c r="H824" i="5"/>
  <c r="H825" i="5"/>
  <c r="H826" i="5"/>
  <c r="H827" i="5"/>
  <c r="H828" i="5"/>
  <c r="H829" i="5"/>
  <c r="H830" i="5"/>
  <c r="H831" i="5"/>
  <c r="H832" i="5"/>
  <c r="H833" i="5"/>
  <c r="H834" i="5"/>
  <c r="H835" i="5"/>
  <c r="H836" i="5"/>
  <c r="H837" i="5"/>
  <c r="H838" i="5"/>
  <c r="H839" i="5"/>
  <c r="H840" i="5"/>
  <c r="H841" i="5"/>
  <c r="H842" i="5"/>
  <c r="H843" i="5"/>
  <c r="H844" i="5"/>
  <c r="H845" i="5"/>
  <c r="H846" i="5"/>
  <c r="H847" i="5"/>
  <c r="H848" i="5"/>
  <c r="H849" i="5"/>
  <c r="H850" i="5"/>
  <c r="H851" i="5"/>
  <c r="H852" i="5"/>
  <c r="H853" i="5"/>
  <c r="H854" i="5"/>
  <c r="H855" i="5"/>
  <c r="H856" i="5"/>
  <c r="H857" i="5"/>
  <c r="H858" i="5"/>
  <c r="H859" i="5"/>
  <c r="H860" i="5"/>
  <c r="H861" i="5"/>
  <c r="H862" i="5"/>
  <c r="H863" i="5"/>
  <c r="H864" i="5"/>
  <c r="H865" i="5"/>
  <c r="H866" i="5"/>
  <c r="H867" i="5"/>
  <c r="H868" i="5"/>
  <c r="H869" i="5"/>
  <c r="H870" i="5"/>
  <c r="H871" i="5"/>
  <c r="H872" i="5"/>
  <c r="H873" i="5"/>
  <c r="H874" i="5"/>
  <c r="H875" i="5"/>
  <c r="H876" i="5"/>
  <c r="H877" i="5"/>
  <c r="H878" i="5"/>
  <c r="H879" i="5"/>
  <c r="H880" i="5"/>
  <c r="H881" i="5"/>
  <c r="H882" i="5"/>
  <c r="H883" i="5"/>
  <c r="H884" i="5"/>
  <c r="H885" i="5"/>
  <c r="H886" i="5"/>
  <c r="H887" i="5"/>
  <c r="H888" i="5"/>
  <c r="H889" i="5"/>
  <c r="H890" i="5"/>
  <c r="H891" i="5"/>
  <c r="H892" i="5"/>
  <c r="H893" i="5"/>
  <c r="H894" i="5"/>
  <c r="H895" i="5"/>
  <c r="H896" i="5"/>
  <c r="H897" i="5"/>
  <c r="H898" i="5"/>
  <c r="H899" i="5"/>
  <c r="H900" i="5"/>
  <c r="H901" i="5"/>
  <c r="H902" i="5"/>
  <c r="H903" i="5"/>
  <c r="H904" i="5"/>
  <c r="H905" i="5"/>
  <c r="H906" i="5"/>
  <c r="H907" i="5"/>
  <c r="H908" i="5"/>
  <c r="H909" i="5"/>
  <c r="H910" i="5"/>
  <c r="H911" i="5"/>
  <c r="H912" i="5"/>
  <c r="H913" i="5"/>
  <c r="H914" i="5"/>
  <c r="H915" i="5"/>
  <c r="H916" i="5"/>
  <c r="H917" i="5"/>
  <c r="H918" i="5"/>
  <c r="H919" i="5"/>
  <c r="H920" i="5"/>
  <c r="H921" i="5"/>
  <c r="H922" i="5"/>
  <c r="H923" i="5"/>
  <c r="H924" i="5"/>
  <c r="H925" i="5"/>
  <c r="H926" i="5"/>
  <c r="H927" i="5"/>
  <c r="H928" i="5"/>
  <c r="H929" i="5"/>
  <c r="H930" i="5"/>
  <c r="H931" i="5"/>
  <c r="H932" i="5"/>
  <c r="H933" i="5"/>
  <c r="H934" i="5"/>
  <c r="H935" i="5"/>
  <c r="H936" i="5"/>
  <c r="H937" i="5"/>
  <c r="H938" i="5"/>
  <c r="H939" i="5"/>
  <c r="H940" i="5"/>
  <c r="H941" i="5"/>
  <c r="H942" i="5"/>
  <c r="H943" i="5"/>
  <c r="H944" i="5"/>
  <c r="H945" i="5"/>
  <c r="H946" i="5"/>
  <c r="H947" i="5"/>
  <c r="H948" i="5"/>
  <c r="H949" i="5"/>
  <c r="H950" i="5"/>
  <c r="H951" i="5"/>
  <c r="H952" i="5"/>
  <c r="H953" i="5"/>
  <c r="H954" i="5"/>
  <c r="H955" i="5"/>
  <c r="H956" i="5"/>
  <c r="H957" i="5"/>
  <c r="H958" i="5"/>
  <c r="H959" i="5"/>
  <c r="H960" i="5"/>
  <c r="H961" i="5"/>
  <c r="H962" i="5"/>
  <c r="H963" i="5"/>
  <c r="H964" i="5"/>
  <c r="H965" i="5"/>
  <c r="H966" i="5"/>
  <c r="H967" i="5"/>
  <c r="H968" i="5"/>
  <c r="H969" i="5"/>
  <c r="H970" i="5"/>
  <c r="H971" i="5"/>
  <c r="H972" i="5"/>
  <c r="H973" i="5"/>
  <c r="H974" i="5"/>
  <c r="H975" i="5"/>
  <c r="H976" i="5"/>
  <c r="H977" i="5"/>
  <c r="H978" i="5"/>
  <c r="H979" i="5"/>
  <c r="H980" i="5"/>
  <c r="H981" i="5"/>
  <c r="H982" i="5"/>
  <c r="H983" i="5"/>
  <c r="H984" i="5"/>
  <c r="H985" i="5"/>
  <c r="H986" i="5"/>
  <c r="H987" i="5"/>
  <c r="H988" i="5"/>
  <c r="H989" i="5"/>
  <c r="H990" i="5"/>
  <c r="H991" i="5"/>
  <c r="H992" i="5"/>
  <c r="H993" i="5"/>
  <c r="H994" i="5"/>
  <c r="H995" i="5"/>
  <c r="H996" i="5"/>
  <c r="H997" i="5"/>
  <c r="H998" i="5"/>
  <c r="H999" i="5"/>
  <c r="H1000" i="5"/>
  <c r="H1001" i="5"/>
  <c r="H1002" i="5"/>
  <c r="H1003" i="5"/>
  <c r="H1004" i="5"/>
  <c r="H1005" i="5"/>
  <c r="H1006" i="5"/>
  <c r="H1007" i="5"/>
  <c r="H1008" i="5"/>
  <c r="H1009" i="5"/>
  <c r="H1010" i="5"/>
  <c r="H1011" i="5"/>
  <c r="H1012" i="5"/>
  <c r="H1013" i="5"/>
  <c r="H1014" i="5"/>
  <c r="H1015" i="5"/>
  <c r="H1016" i="5"/>
  <c r="H1017" i="5"/>
  <c r="H1018" i="5"/>
  <c r="H1019" i="5"/>
  <c r="H1020" i="5"/>
  <c r="H1021" i="5"/>
  <c r="H1022" i="5"/>
  <c r="H1023" i="5"/>
  <c r="H1024" i="5"/>
  <c r="H1025" i="5"/>
  <c r="H1026" i="5"/>
  <c r="H1027" i="5"/>
  <c r="H1028" i="5"/>
  <c r="H1029" i="5"/>
  <c r="H1030" i="5"/>
  <c r="H1031" i="5"/>
  <c r="H1032" i="5"/>
  <c r="H1033" i="5"/>
  <c r="H1034" i="5"/>
  <c r="H1035" i="5"/>
  <c r="H1036" i="5"/>
  <c r="H1037" i="5"/>
  <c r="H1038" i="5"/>
  <c r="H1039" i="5"/>
  <c r="H1040" i="5"/>
  <c r="H1041" i="5"/>
  <c r="H1042" i="5"/>
  <c r="H1043" i="5"/>
  <c r="H1044" i="5"/>
  <c r="H1045" i="5"/>
  <c r="H1046" i="5"/>
  <c r="H1047" i="5"/>
  <c r="H1048" i="5"/>
  <c r="H1049" i="5"/>
  <c r="H1050" i="5"/>
  <c r="H1051" i="5"/>
  <c r="H1052" i="5"/>
  <c r="H1053" i="5"/>
  <c r="H1054" i="5"/>
  <c r="H1055" i="5"/>
  <c r="H1056" i="5"/>
  <c r="H1057" i="5"/>
  <c r="H1058" i="5"/>
  <c r="H1059" i="5"/>
  <c r="H1060" i="5"/>
  <c r="H1061" i="5"/>
  <c r="H1062" i="5"/>
  <c r="H1063" i="5"/>
  <c r="H1064" i="5"/>
  <c r="H1065" i="5"/>
  <c r="H1066" i="5"/>
  <c r="H1067" i="5"/>
  <c r="H1068" i="5"/>
  <c r="H1069" i="5"/>
  <c r="H1070" i="5"/>
  <c r="H1071" i="5"/>
  <c r="H1072" i="5"/>
  <c r="H1073" i="5"/>
  <c r="H1074" i="5"/>
  <c r="H1075" i="5"/>
  <c r="H1076" i="5"/>
  <c r="H1077" i="5"/>
  <c r="H1078" i="5"/>
  <c r="H1079" i="5"/>
  <c r="H1080" i="5"/>
  <c r="H1081" i="5"/>
  <c r="H1082" i="5"/>
  <c r="H1083" i="5"/>
  <c r="H1084" i="5"/>
  <c r="H1085" i="5"/>
  <c r="H1086" i="5"/>
  <c r="H1087" i="5"/>
  <c r="H1088" i="5"/>
  <c r="H1089" i="5"/>
  <c r="H1090" i="5"/>
  <c r="H1091" i="5"/>
  <c r="H1092" i="5"/>
  <c r="H1093" i="5"/>
  <c r="H1094" i="5"/>
  <c r="H1095" i="5"/>
  <c r="H1096" i="5"/>
  <c r="H1097" i="5"/>
  <c r="H1098" i="5"/>
  <c r="H1099" i="5"/>
  <c r="H1100" i="5"/>
  <c r="H1101" i="5"/>
  <c r="H1102" i="5"/>
  <c r="H1103" i="5"/>
  <c r="H1104" i="5"/>
  <c r="H1105" i="5"/>
  <c r="H1106" i="5"/>
  <c r="H1107" i="5"/>
  <c r="H1108" i="5"/>
  <c r="H1109" i="5"/>
  <c r="H1110" i="5"/>
  <c r="H1111" i="5"/>
  <c r="H1112" i="5"/>
  <c r="H1113" i="5"/>
  <c r="H1114" i="5"/>
  <c r="H1115" i="5"/>
  <c r="H1116" i="5"/>
  <c r="H1117" i="5"/>
  <c r="H1118" i="5"/>
  <c r="H1119" i="5"/>
  <c r="H1120" i="5"/>
  <c r="H1121" i="5"/>
  <c r="H1122" i="5"/>
  <c r="H1123" i="5"/>
  <c r="H1124" i="5"/>
  <c r="H1125" i="5"/>
  <c r="H1126" i="5"/>
  <c r="H1127" i="5"/>
  <c r="H1128" i="5"/>
  <c r="H1129" i="5"/>
  <c r="H1130" i="5"/>
  <c r="H1131" i="5"/>
  <c r="H1132" i="5"/>
  <c r="H1133" i="5"/>
  <c r="H1134" i="5"/>
  <c r="H1135" i="5"/>
  <c r="H1136" i="5"/>
  <c r="H1137" i="5"/>
  <c r="H1138" i="5"/>
  <c r="H1139" i="5"/>
  <c r="H1140" i="5"/>
  <c r="H1141" i="5"/>
  <c r="H1142" i="5"/>
  <c r="H1143" i="5"/>
  <c r="H1144" i="5"/>
  <c r="H1145" i="5"/>
  <c r="H1146" i="5"/>
  <c r="H1147" i="5"/>
  <c r="H1148" i="5"/>
  <c r="H1149" i="5"/>
  <c r="H1150" i="5"/>
  <c r="H1151" i="5"/>
  <c r="H1152" i="5"/>
  <c r="H1153" i="5"/>
  <c r="H1154" i="5"/>
  <c r="H1155" i="5"/>
  <c r="H1156" i="5"/>
  <c r="H1157" i="5"/>
  <c r="H1158" i="5"/>
  <c r="H1159" i="5"/>
  <c r="H1160" i="5"/>
  <c r="H1161" i="5"/>
  <c r="H1162" i="5"/>
  <c r="H1163" i="5"/>
  <c r="H1164" i="5"/>
  <c r="H1165" i="5"/>
  <c r="H1166" i="5"/>
  <c r="H1167" i="5"/>
  <c r="H1168" i="5"/>
  <c r="H1169" i="5"/>
  <c r="H1170" i="5"/>
  <c r="H1171" i="5"/>
  <c r="H1172" i="5"/>
  <c r="H1173" i="5"/>
  <c r="H1174" i="5"/>
  <c r="H1175" i="5"/>
  <c r="H1176" i="5"/>
  <c r="H1177" i="5"/>
  <c r="H1178" i="5"/>
  <c r="H1179" i="5"/>
  <c r="H1180" i="5"/>
  <c r="H1181" i="5"/>
  <c r="H1182" i="5"/>
  <c r="H1183" i="5"/>
  <c r="H1184" i="5"/>
  <c r="H1185" i="5"/>
  <c r="H1186" i="5"/>
  <c r="H1187" i="5"/>
  <c r="H1188" i="5"/>
  <c r="H1189" i="5"/>
  <c r="H1190" i="5"/>
  <c r="H1191" i="5"/>
  <c r="H1192" i="5"/>
  <c r="H1193" i="5"/>
  <c r="H1194" i="5"/>
  <c r="H1195" i="5"/>
  <c r="H1196" i="5"/>
  <c r="H1197" i="5"/>
  <c r="H1198" i="5"/>
  <c r="H1199" i="5"/>
  <c r="H1200" i="5"/>
  <c r="H1201" i="5"/>
  <c r="H1202" i="5"/>
  <c r="H1203" i="5"/>
  <c r="H1204" i="5"/>
  <c r="H1205" i="5"/>
  <c r="H1206" i="5"/>
  <c r="H1207" i="5"/>
  <c r="H1208" i="5"/>
  <c r="H1209" i="5"/>
  <c r="H1210" i="5"/>
  <c r="H1211" i="5"/>
  <c r="H1212" i="5"/>
  <c r="H1213" i="5"/>
  <c r="H1214" i="5"/>
  <c r="H1215" i="5"/>
  <c r="H1216" i="5"/>
  <c r="H1217" i="5"/>
  <c r="H1218" i="5"/>
  <c r="H1219" i="5"/>
  <c r="H1220" i="5"/>
  <c r="H1221" i="5"/>
  <c r="H1222" i="5"/>
  <c r="H1223" i="5"/>
  <c r="H1224" i="5"/>
  <c r="H1225" i="5"/>
  <c r="H1226" i="5"/>
  <c r="H1227" i="5"/>
  <c r="H1228" i="5"/>
  <c r="H1229" i="5"/>
  <c r="H1230" i="5"/>
  <c r="H1231" i="5"/>
  <c r="H1232" i="5"/>
  <c r="H1233" i="5"/>
  <c r="H1234" i="5"/>
  <c r="H1235" i="5"/>
  <c r="H1236" i="5"/>
  <c r="H1237" i="5"/>
  <c r="H1238" i="5"/>
  <c r="H1239" i="5"/>
  <c r="H1240" i="5"/>
  <c r="H1241" i="5"/>
  <c r="H1242" i="5"/>
  <c r="H1243" i="5"/>
  <c r="H1244" i="5"/>
  <c r="H1245" i="5"/>
  <c r="H1246" i="5"/>
  <c r="H1247" i="5"/>
  <c r="H1248" i="5"/>
  <c r="H1249" i="5"/>
  <c r="H1250" i="5"/>
  <c r="H1251" i="5"/>
  <c r="H1252" i="5"/>
  <c r="H1253" i="5"/>
  <c r="H1254" i="5"/>
  <c r="H1255" i="5"/>
  <c r="H1256" i="5"/>
  <c r="H1257" i="5"/>
  <c r="H1258" i="5"/>
  <c r="H1259" i="5"/>
  <c r="H1260" i="5"/>
  <c r="H1261" i="5"/>
  <c r="H1262" i="5"/>
  <c r="H1263" i="5"/>
  <c r="H1264" i="5"/>
  <c r="H1265" i="5"/>
  <c r="H1266" i="5"/>
  <c r="H1267" i="5"/>
  <c r="H1268" i="5"/>
  <c r="H1269" i="5"/>
  <c r="H1270" i="5"/>
  <c r="H1271" i="5"/>
  <c r="H1272" i="5"/>
  <c r="H1273" i="5"/>
  <c r="H1274" i="5"/>
  <c r="H1275" i="5"/>
  <c r="H1276" i="5"/>
  <c r="H1277" i="5"/>
  <c r="H1278" i="5"/>
  <c r="H1279" i="5"/>
  <c r="H1280" i="5"/>
  <c r="H1281" i="5"/>
  <c r="H1282" i="5"/>
  <c r="H1283" i="5"/>
  <c r="H1284" i="5"/>
  <c r="H1285" i="5"/>
  <c r="H1286" i="5"/>
  <c r="H1287" i="5"/>
  <c r="H1288" i="5"/>
  <c r="H1289" i="5"/>
  <c r="H1290" i="5"/>
  <c r="H1291" i="5"/>
  <c r="H1292" i="5"/>
  <c r="H1293" i="5"/>
  <c r="H1294" i="5"/>
  <c r="H1295" i="5"/>
  <c r="H1296" i="5"/>
  <c r="H1297" i="5"/>
  <c r="H1298" i="5"/>
  <c r="H1299" i="5"/>
  <c r="H1300" i="5"/>
  <c r="H1301" i="5"/>
  <c r="H1302" i="5"/>
  <c r="H1303" i="5"/>
  <c r="H1304" i="5"/>
  <c r="H1305" i="5"/>
  <c r="H1306" i="5"/>
  <c r="H1307" i="5"/>
  <c r="H1308" i="5"/>
  <c r="H1309" i="5"/>
  <c r="H1310" i="5"/>
  <c r="H1311" i="5"/>
  <c r="H1312" i="5"/>
  <c r="H1313" i="5"/>
  <c r="H1314" i="5"/>
  <c r="H1315" i="5"/>
  <c r="H1316" i="5"/>
  <c r="H1317" i="5"/>
  <c r="H1318" i="5"/>
  <c r="H1319" i="5"/>
  <c r="H1320" i="5"/>
  <c r="H1321" i="5"/>
  <c r="H1322" i="5"/>
  <c r="H1323" i="5"/>
  <c r="H1324" i="5"/>
  <c r="H1325" i="5"/>
  <c r="H1326" i="5"/>
  <c r="H1327" i="5"/>
  <c r="H1328" i="5"/>
  <c r="H1329" i="5"/>
  <c r="H1330" i="5"/>
  <c r="H1331" i="5"/>
  <c r="H1332" i="5"/>
  <c r="H1333" i="5"/>
  <c r="H1334" i="5"/>
  <c r="H1335" i="5"/>
  <c r="H1336" i="5"/>
  <c r="H1337" i="5"/>
  <c r="H1338" i="5"/>
  <c r="H1339" i="5"/>
  <c r="H1340" i="5"/>
  <c r="H1341" i="5"/>
  <c r="H1342" i="5"/>
  <c r="H1343" i="5"/>
  <c r="H1344" i="5"/>
  <c r="H1345" i="5"/>
  <c r="H1346" i="5"/>
  <c r="H1347" i="5"/>
  <c r="H1348" i="5"/>
  <c r="H1349" i="5"/>
  <c r="H1350" i="5"/>
  <c r="H1351" i="5"/>
  <c r="H1352" i="5"/>
  <c r="H1353" i="5"/>
  <c r="H1354" i="5"/>
  <c r="H1355" i="5"/>
  <c r="H1356" i="5"/>
  <c r="H1357" i="5"/>
  <c r="H1358" i="5"/>
  <c r="H1359" i="5"/>
  <c r="H1360" i="5"/>
  <c r="H1361" i="5"/>
  <c r="H1362" i="5"/>
  <c r="H1363" i="5"/>
  <c r="H1364" i="5"/>
  <c r="H1365" i="5"/>
  <c r="H1366" i="5"/>
  <c r="H1367" i="5"/>
  <c r="H1368" i="5"/>
  <c r="H1369" i="5"/>
  <c r="H1370" i="5"/>
  <c r="H1371" i="5"/>
  <c r="H1372" i="5"/>
  <c r="H1373" i="5"/>
  <c r="H1374" i="5"/>
  <c r="H1375" i="5"/>
  <c r="H1376" i="5"/>
  <c r="H1377" i="5"/>
  <c r="H1378" i="5"/>
  <c r="H1379" i="5"/>
  <c r="H1380" i="5"/>
  <c r="H1381" i="5"/>
  <c r="H1382" i="5"/>
  <c r="H1383" i="5"/>
  <c r="H1384" i="5"/>
  <c r="H1385" i="5"/>
  <c r="H1386" i="5"/>
  <c r="H1387" i="5"/>
  <c r="H1388" i="5"/>
  <c r="H1389" i="5"/>
  <c r="H1390" i="5"/>
  <c r="H1391" i="5"/>
  <c r="H1392" i="5"/>
  <c r="H1393" i="5"/>
  <c r="H1394" i="5"/>
  <c r="H1395" i="5"/>
  <c r="H1396" i="5"/>
  <c r="H1397" i="5"/>
  <c r="H1398" i="5"/>
  <c r="H1399" i="5"/>
  <c r="H1400" i="5"/>
  <c r="H1401" i="5"/>
  <c r="H1402" i="5"/>
  <c r="H1403" i="5"/>
  <c r="H1404" i="5"/>
  <c r="H1405" i="5"/>
  <c r="H1406" i="5"/>
  <c r="H1407" i="5"/>
  <c r="H1408" i="5"/>
  <c r="H1409" i="5"/>
  <c r="H1410" i="5"/>
  <c r="H1411" i="5"/>
  <c r="H1412" i="5"/>
  <c r="H1413" i="5"/>
  <c r="H1414" i="5"/>
  <c r="H1415" i="5"/>
  <c r="H1416" i="5"/>
  <c r="H1417" i="5"/>
  <c r="H1418" i="5"/>
  <c r="H1419" i="5"/>
  <c r="H1420" i="5"/>
  <c r="H1421" i="5"/>
  <c r="H1422" i="5"/>
  <c r="H1423" i="5"/>
  <c r="H1424" i="5"/>
  <c r="H1425" i="5"/>
  <c r="H1426" i="5"/>
  <c r="H1427" i="5"/>
  <c r="H1428" i="5"/>
  <c r="H1429" i="5"/>
  <c r="H1430" i="5"/>
  <c r="H1431" i="5"/>
  <c r="H1432" i="5"/>
  <c r="H1433" i="5"/>
  <c r="H1434" i="5"/>
  <c r="H1435" i="5"/>
  <c r="H1436" i="5"/>
  <c r="H1437" i="5"/>
  <c r="H1438" i="5"/>
  <c r="H1439" i="5"/>
  <c r="H1440" i="5"/>
  <c r="H1441" i="5"/>
  <c r="H1442" i="5"/>
  <c r="H1443" i="5"/>
  <c r="H1444" i="5"/>
  <c r="H1445" i="5"/>
  <c r="H1446" i="5"/>
  <c r="H1447" i="5"/>
  <c r="H1448" i="5"/>
  <c r="H1449" i="5"/>
  <c r="H1450" i="5"/>
  <c r="H1451" i="5"/>
  <c r="H1452" i="5"/>
  <c r="H1453" i="5"/>
  <c r="H1454" i="5"/>
  <c r="H1455" i="5"/>
  <c r="H1456" i="5"/>
  <c r="H1457" i="5"/>
  <c r="H1458" i="5"/>
  <c r="H1459" i="5"/>
  <c r="H1460" i="5"/>
  <c r="H1461" i="5"/>
  <c r="H1462" i="5"/>
  <c r="H1463" i="5"/>
  <c r="H1464" i="5"/>
  <c r="H1465" i="5"/>
  <c r="H1466" i="5"/>
  <c r="H1467" i="5"/>
  <c r="H1468" i="5"/>
  <c r="H1469" i="5"/>
  <c r="H1470" i="5"/>
  <c r="H1471" i="5"/>
  <c r="H1472" i="5"/>
  <c r="H1473" i="5"/>
  <c r="H1474" i="5"/>
  <c r="H1475" i="5"/>
  <c r="H1476" i="5"/>
  <c r="H1477" i="5"/>
  <c r="H1478" i="5"/>
  <c r="H1479" i="5"/>
  <c r="H1480" i="5"/>
  <c r="H1481" i="5"/>
  <c r="H1482" i="5"/>
  <c r="H1483" i="5"/>
  <c r="H1484" i="5"/>
  <c r="H1485" i="5"/>
  <c r="H1486" i="5"/>
  <c r="H1487" i="5"/>
  <c r="H1488" i="5"/>
  <c r="H1489" i="5"/>
  <c r="H1490" i="5"/>
  <c r="H1491" i="5"/>
  <c r="H1492" i="5"/>
  <c r="H1493" i="5"/>
  <c r="H1494" i="5"/>
  <c r="H1495" i="5"/>
  <c r="H1496" i="5"/>
  <c r="H1497" i="5"/>
  <c r="H1498" i="5"/>
  <c r="H1499" i="5"/>
  <c r="H1500" i="5"/>
  <c r="H1501" i="5"/>
  <c r="H1502" i="5"/>
  <c r="H1503" i="5"/>
  <c r="H1504" i="5"/>
  <c r="H1505" i="5"/>
  <c r="H1506" i="5"/>
  <c r="H1507" i="5"/>
  <c r="H1508" i="5"/>
  <c r="H1509" i="5"/>
  <c r="H1510" i="5"/>
  <c r="H1511" i="5"/>
  <c r="H1512" i="5"/>
  <c r="H1513" i="5"/>
  <c r="H1514" i="5"/>
  <c r="H1515" i="5"/>
  <c r="H1516" i="5"/>
  <c r="H1517" i="5"/>
  <c r="H1518" i="5"/>
  <c r="H1519" i="5"/>
  <c r="H1520" i="5"/>
  <c r="H1521" i="5"/>
  <c r="H1522" i="5"/>
  <c r="H1523" i="5"/>
  <c r="H1524" i="5"/>
  <c r="H1525" i="5"/>
  <c r="H1526" i="5"/>
  <c r="H1527" i="5"/>
  <c r="H1528" i="5"/>
  <c r="H1529" i="5"/>
  <c r="H1530" i="5"/>
  <c r="H1531" i="5"/>
  <c r="H1532" i="5"/>
  <c r="H1533" i="5"/>
  <c r="H1534" i="5"/>
  <c r="H1535" i="5"/>
  <c r="H1536" i="5"/>
  <c r="H1537" i="5"/>
  <c r="H1538" i="5"/>
  <c r="H1539" i="5"/>
  <c r="H1540" i="5"/>
  <c r="H1541" i="5"/>
  <c r="H1542" i="5"/>
  <c r="H1543" i="5"/>
  <c r="H1544" i="5"/>
  <c r="H1545" i="5"/>
  <c r="H1546" i="5"/>
  <c r="H1547" i="5"/>
  <c r="H1548" i="5"/>
  <c r="H1549" i="5"/>
  <c r="H1550" i="5"/>
  <c r="H1551" i="5"/>
  <c r="H1552" i="5"/>
  <c r="H1553" i="5"/>
  <c r="H1554" i="5"/>
  <c r="H1555" i="5"/>
  <c r="H1556" i="5"/>
  <c r="H1557" i="5"/>
  <c r="H1558" i="5"/>
  <c r="H1559" i="5"/>
  <c r="H1560" i="5"/>
  <c r="H1561" i="5"/>
  <c r="H1562" i="5"/>
  <c r="H1563" i="5"/>
  <c r="H1564" i="5"/>
  <c r="H1565" i="5"/>
  <c r="H1566" i="5"/>
  <c r="H1567" i="5"/>
  <c r="H1568" i="5"/>
  <c r="H1569" i="5"/>
  <c r="H1570" i="5"/>
  <c r="H1571" i="5"/>
  <c r="H1572" i="5"/>
  <c r="H1573" i="5"/>
  <c r="H1574" i="5"/>
  <c r="H1575" i="5"/>
  <c r="H1576" i="5"/>
  <c r="H1577" i="5"/>
  <c r="H1578" i="5"/>
  <c r="H1579" i="5"/>
  <c r="H1580" i="5"/>
  <c r="H1581" i="5"/>
  <c r="H1582" i="5"/>
  <c r="H1583" i="5"/>
  <c r="H1584" i="5"/>
  <c r="H1585" i="5"/>
  <c r="H1586" i="5"/>
  <c r="H1587" i="5"/>
  <c r="H1588" i="5"/>
  <c r="H1589" i="5"/>
  <c r="H1590" i="5"/>
  <c r="H1591" i="5"/>
  <c r="H1592" i="5"/>
  <c r="H1593" i="5"/>
  <c r="H1594" i="5"/>
  <c r="H1595" i="5"/>
  <c r="H1596" i="5"/>
  <c r="H1597" i="5"/>
  <c r="H1598" i="5"/>
  <c r="H1599" i="5"/>
  <c r="H1600" i="5"/>
  <c r="H1601" i="5"/>
  <c r="H1602" i="5"/>
  <c r="H1603" i="5"/>
  <c r="H1604" i="5"/>
  <c r="H1605" i="5"/>
  <c r="H1606" i="5"/>
  <c r="H1607" i="5"/>
  <c r="H1608" i="5"/>
  <c r="H1609" i="5"/>
  <c r="H1610" i="5"/>
  <c r="H1611" i="5"/>
  <c r="H1612" i="5"/>
  <c r="H1613" i="5"/>
  <c r="H1614" i="5"/>
  <c r="H1615" i="5"/>
  <c r="H1616" i="5"/>
  <c r="H1617" i="5"/>
  <c r="H1618" i="5"/>
  <c r="H1619" i="5"/>
  <c r="H1620" i="5"/>
  <c r="H1621" i="5"/>
  <c r="H1622" i="5"/>
  <c r="H1623" i="5"/>
  <c r="H1624" i="5"/>
  <c r="H1625" i="5"/>
  <c r="H1626" i="5"/>
  <c r="H1627" i="5"/>
  <c r="H1628" i="5"/>
  <c r="H1629" i="5"/>
  <c r="H1630" i="5"/>
  <c r="H1631" i="5"/>
  <c r="H1632" i="5"/>
  <c r="H1633" i="5"/>
  <c r="H1634" i="5"/>
  <c r="H1635" i="5"/>
  <c r="H1636" i="5"/>
  <c r="H1637" i="5"/>
  <c r="H1638" i="5"/>
  <c r="H1639" i="5"/>
  <c r="H1640" i="5"/>
  <c r="H1641" i="5"/>
  <c r="H1642" i="5"/>
  <c r="H1643" i="5"/>
  <c r="H1644" i="5"/>
  <c r="H1645" i="5"/>
  <c r="H1646" i="5"/>
  <c r="H1647" i="5"/>
  <c r="H1648" i="5"/>
  <c r="H1649" i="5"/>
  <c r="H1650" i="5"/>
  <c r="H1651" i="5"/>
  <c r="H1652" i="5"/>
  <c r="H1653" i="5"/>
  <c r="H1654" i="5"/>
  <c r="H1655" i="5"/>
  <c r="H1656" i="5"/>
  <c r="H1657" i="5"/>
  <c r="H1658" i="5"/>
  <c r="H1659" i="5"/>
  <c r="H1660" i="5"/>
  <c r="H1661" i="5"/>
  <c r="H1662" i="5"/>
  <c r="H1663" i="5"/>
  <c r="H1664" i="5"/>
  <c r="H1665" i="5"/>
  <c r="H1666" i="5"/>
  <c r="H1667" i="5"/>
  <c r="H1668" i="5"/>
  <c r="H1669" i="5"/>
  <c r="H1670" i="5"/>
  <c r="H1671" i="5"/>
  <c r="H1672" i="5"/>
  <c r="H1673" i="5"/>
  <c r="H1674" i="5"/>
  <c r="H1675" i="5"/>
  <c r="H1676" i="5"/>
  <c r="H1677" i="5"/>
  <c r="H1678" i="5"/>
  <c r="H1679" i="5"/>
  <c r="H1680" i="5"/>
  <c r="H1681" i="5"/>
  <c r="H1682" i="5"/>
  <c r="H1683" i="5"/>
  <c r="H1684" i="5"/>
  <c r="H1685" i="5"/>
  <c r="H1686" i="5"/>
  <c r="H1687" i="5"/>
  <c r="H1688" i="5"/>
  <c r="H1689" i="5"/>
  <c r="H1690" i="5"/>
  <c r="H1691" i="5"/>
  <c r="H1692" i="5"/>
  <c r="H1693" i="5"/>
  <c r="H1694" i="5"/>
  <c r="H1695" i="5"/>
  <c r="H1696" i="5"/>
  <c r="H1697" i="5"/>
  <c r="H1698" i="5"/>
  <c r="H1699" i="5"/>
  <c r="H1700" i="5"/>
  <c r="H1701" i="5"/>
  <c r="H1702" i="5"/>
  <c r="H1703" i="5"/>
  <c r="H1704" i="5"/>
  <c r="H1705" i="5"/>
  <c r="H1706" i="5"/>
  <c r="H1707" i="5"/>
  <c r="H1708" i="5"/>
  <c r="H1709" i="5"/>
  <c r="H1710" i="5"/>
  <c r="H1711" i="5"/>
  <c r="H1712" i="5"/>
  <c r="H1713" i="5"/>
  <c r="H1714" i="5"/>
  <c r="H1715" i="5"/>
  <c r="H1716" i="5"/>
  <c r="H1717" i="5"/>
  <c r="H1718" i="5"/>
  <c r="H1719" i="5"/>
  <c r="H1720" i="5"/>
  <c r="H1721" i="5"/>
  <c r="H1722" i="5"/>
  <c r="H1723" i="5"/>
  <c r="H1724" i="5"/>
  <c r="H1725" i="5"/>
  <c r="H1726" i="5"/>
  <c r="H1727" i="5"/>
  <c r="H1728" i="5"/>
  <c r="H1729" i="5"/>
  <c r="H1730" i="5"/>
  <c r="H1731" i="5"/>
  <c r="H1732" i="5"/>
  <c r="H1733" i="5"/>
  <c r="H1734" i="5"/>
  <c r="H1735" i="5"/>
  <c r="H1736" i="5"/>
  <c r="H1737" i="5"/>
  <c r="H1738" i="5"/>
  <c r="H1739" i="5"/>
  <c r="H1740" i="5"/>
  <c r="H1741" i="5"/>
  <c r="H1742" i="5"/>
  <c r="H1743" i="5"/>
  <c r="H1744" i="5"/>
  <c r="H1745" i="5"/>
  <c r="H1746" i="5"/>
  <c r="H1747" i="5"/>
  <c r="H1748" i="5"/>
  <c r="H1749" i="5"/>
  <c r="H1750" i="5"/>
  <c r="H1751" i="5"/>
  <c r="H1752" i="5"/>
  <c r="H1753" i="5"/>
  <c r="H1754" i="5"/>
  <c r="H1755" i="5"/>
  <c r="H1756" i="5"/>
  <c r="H1757" i="5"/>
  <c r="H1758" i="5"/>
  <c r="H1759" i="5"/>
  <c r="H1760" i="5"/>
  <c r="H1761" i="5"/>
  <c r="H1762" i="5"/>
  <c r="H1763" i="5"/>
  <c r="H1764" i="5"/>
  <c r="H1765" i="5"/>
  <c r="H1766" i="5"/>
  <c r="H1767" i="5"/>
  <c r="H1768" i="5"/>
  <c r="H1769" i="5"/>
  <c r="H1770" i="5"/>
  <c r="H1771" i="5"/>
  <c r="H1772" i="5"/>
  <c r="H1773" i="5"/>
  <c r="H1774" i="5"/>
  <c r="H1775" i="5"/>
  <c r="H1776" i="5"/>
  <c r="H1777" i="5"/>
  <c r="H1778" i="5"/>
  <c r="H1779" i="5"/>
  <c r="H1780" i="5"/>
  <c r="H1781" i="5"/>
  <c r="H1782" i="5"/>
  <c r="H1783" i="5"/>
  <c r="H1784" i="5"/>
  <c r="H1785" i="5"/>
  <c r="H1786" i="5"/>
  <c r="H1787" i="5"/>
  <c r="H1788" i="5"/>
  <c r="H1789" i="5"/>
  <c r="H1790" i="5"/>
  <c r="H1791" i="5"/>
  <c r="H1792" i="5"/>
  <c r="H1793" i="5"/>
  <c r="H1794" i="5"/>
  <c r="H1795" i="5"/>
  <c r="H1796" i="5"/>
  <c r="H1797" i="5"/>
  <c r="H1798" i="5"/>
  <c r="H1799" i="5"/>
  <c r="H1800" i="5"/>
  <c r="H1801" i="5"/>
  <c r="H1802" i="5"/>
  <c r="H1803" i="5"/>
  <c r="H1804" i="5"/>
  <c r="H1805" i="5"/>
  <c r="H1806" i="5"/>
  <c r="H1807" i="5"/>
  <c r="H1808" i="5"/>
  <c r="H1809" i="5"/>
  <c r="H1810" i="5"/>
  <c r="H1811" i="5"/>
  <c r="H1812" i="5"/>
  <c r="H1813" i="5"/>
  <c r="H1814" i="5"/>
  <c r="H1815" i="5"/>
  <c r="H1816" i="5"/>
  <c r="H1817" i="5"/>
  <c r="H1818" i="5"/>
  <c r="H1819" i="5"/>
  <c r="H1820" i="5"/>
  <c r="H1821" i="5"/>
  <c r="H1822" i="5"/>
  <c r="H1823" i="5"/>
  <c r="H1824" i="5"/>
  <c r="H1825" i="5"/>
  <c r="H1826" i="5"/>
  <c r="H1827" i="5"/>
  <c r="H1828" i="5"/>
  <c r="H1829" i="5"/>
  <c r="H1830" i="5"/>
  <c r="H1831" i="5"/>
  <c r="H1832" i="5"/>
  <c r="H1833" i="5"/>
  <c r="H1834" i="5"/>
  <c r="H1835" i="5"/>
  <c r="H1836" i="5"/>
  <c r="H1837" i="5"/>
  <c r="H1838" i="5"/>
  <c r="H1839" i="5"/>
  <c r="H1840" i="5"/>
  <c r="H1841" i="5"/>
  <c r="H1842" i="5"/>
  <c r="H1843" i="5"/>
  <c r="H1844" i="5"/>
  <c r="H1845" i="5"/>
  <c r="H1846" i="5"/>
  <c r="H1847" i="5"/>
  <c r="H1848" i="5"/>
  <c r="H1849" i="5"/>
  <c r="H1850" i="5"/>
  <c r="H1851" i="5"/>
  <c r="H1852" i="5"/>
  <c r="H1853" i="5"/>
  <c r="H1854" i="5"/>
  <c r="H1855" i="5"/>
  <c r="H1856" i="5"/>
  <c r="H1857" i="5"/>
  <c r="H1858" i="5"/>
  <c r="H1859" i="5"/>
  <c r="H1860" i="5"/>
  <c r="H1861" i="5"/>
  <c r="H1862" i="5"/>
  <c r="J12" i="5"/>
  <c r="J13" i="5"/>
  <c r="J14" i="5"/>
  <c r="J15" i="5"/>
  <c r="J16" i="5"/>
  <c r="J17" i="5"/>
  <c r="J18" i="5"/>
  <c r="J19" i="5"/>
  <c r="J20" i="5"/>
  <c r="J21" i="5"/>
  <c r="J22" i="5"/>
  <c r="J23" i="5"/>
  <c r="J24" i="5"/>
  <c r="J25" i="5"/>
  <c r="J26" i="5"/>
  <c r="J27" i="5"/>
  <c r="J28" i="5"/>
  <c r="J29" i="5"/>
  <c r="J30" i="5"/>
  <c r="J31" i="5"/>
  <c r="J32" i="5"/>
  <c r="J33" i="5"/>
  <c r="J34" i="5"/>
  <c r="J35" i="5"/>
  <c r="J36" i="5"/>
  <c r="J37" i="5"/>
  <c r="J38" i="5"/>
  <c r="J39" i="5"/>
  <c r="J40" i="5"/>
  <c r="J41" i="5"/>
  <c r="J42" i="5"/>
  <c r="J43" i="5"/>
  <c r="J44" i="5"/>
  <c r="J45" i="5"/>
  <c r="J46" i="5"/>
  <c r="J47" i="5"/>
  <c r="J48" i="5"/>
  <c r="J49" i="5"/>
  <c r="J50" i="5"/>
  <c r="J51" i="5"/>
  <c r="J52" i="5"/>
  <c r="J53" i="5"/>
  <c r="J54" i="5"/>
  <c r="J55" i="5"/>
  <c r="J56" i="5"/>
  <c r="J57" i="5"/>
  <c r="J58" i="5"/>
  <c r="J59" i="5"/>
  <c r="J60" i="5"/>
  <c r="J61" i="5"/>
  <c r="J62" i="5"/>
  <c r="J63" i="5"/>
  <c r="J64" i="5"/>
  <c r="J65" i="5"/>
  <c r="J66" i="5"/>
  <c r="J67" i="5"/>
  <c r="J68" i="5"/>
  <c r="J69" i="5"/>
  <c r="J70" i="5"/>
  <c r="J71" i="5"/>
  <c r="J72" i="5"/>
  <c r="J73" i="5"/>
  <c r="J74" i="5"/>
  <c r="J75" i="5"/>
  <c r="J76" i="5"/>
  <c r="J77" i="5"/>
  <c r="J78" i="5"/>
  <c r="J79" i="5"/>
  <c r="J80" i="5"/>
  <c r="J81" i="5"/>
  <c r="J82" i="5"/>
  <c r="J83" i="5"/>
  <c r="J84" i="5"/>
  <c r="J85" i="5"/>
  <c r="J86" i="5"/>
  <c r="J87" i="5"/>
  <c r="J88" i="5"/>
  <c r="J89" i="5"/>
  <c r="J90" i="5"/>
  <c r="J91" i="5"/>
  <c r="J92" i="5"/>
  <c r="J93" i="5"/>
  <c r="J94" i="5"/>
  <c r="J95" i="5"/>
  <c r="J96" i="5"/>
  <c r="J97" i="5"/>
  <c r="J98" i="5"/>
  <c r="J99" i="5"/>
  <c r="J100" i="5"/>
  <c r="J101" i="5"/>
  <c r="J102" i="5"/>
  <c r="J103" i="5"/>
  <c r="J104" i="5"/>
  <c r="J105" i="5"/>
  <c r="J106" i="5"/>
  <c r="J107" i="5"/>
  <c r="J108" i="5"/>
  <c r="J109" i="5"/>
  <c r="J110" i="5"/>
  <c r="J111" i="5"/>
  <c r="J112" i="5"/>
  <c r="J113" i="5"/>
  <c r="J114" i="5"/>
  <c r="J115" i="5"/>
  <c r="J116" i="5"/>
  <c r="J117" i="5"/>
  <c r="J118" i="5"/>
  <c r="J119" i="5"/>
  <c r="J120" i="5"/>
  <c r="J121" i="5"/>
  <c r="J122" i="5"/>
  <c r="J123" i="5"/>
  <c r="J124" i="5"/>
  <c r="J125" i="5"/>
  <c r="J126" i="5"/>
  <c r="J127" i="5"/>
  <c r="J128" i="5"/>
  <c r="J129" i="5"/>
  <c r="J130" i="5"/>
  <c r="J131" i="5"/>
  <c r="J132" i="5"/>
  <c r="J133" i="5"/>
  <c r="J134" i="5"/>
  <c r="J135" i="5"/>
  <c r="J136" i="5"/>
  <c r="J137" i="5"/>
  <c r="J138" i="5"/>
  <c r="J139" i="5"/>
  <c r="J140" i="5"/>
  <c r="J141" i="5"/>
  <c r="J142" i="5"/>
  <c r="J143" i="5"/>
  <c r="J144" i="5"/>
  <c r="J145" i="5"/>
  <c r="J146" i="5"/>
  <c r="J147" i="5"/>
  <c r="J148" i="5"/>
  <c r="J149" i="5"/>
  <c r="J150" i="5"/>
  <c r="J151" i="5"/>
  <c r="J152" i="5"/>
  <c r="J153" i="5"/>
  <c r="J154" i="5"/>
  <c r="J155" i="5"/>
  <c r="J156" i="5"/>
  <c r="J157" i="5"/>
  <c r="J158" i="5"/>
  <c r="J159" i="5"/>
  <c r="J160" i="5"/>
  <c r="J161" i="5"/>
  <c r="J162" i="5"/>
  <c r="J163" i="5"/>
  <c r="J164" i="5"/>
  <c r="J165" i="5"/>
  <c r="J166" i="5"/>
  <c r="J167" i="5"/>
  <c r="J168" i="5"/>
  <c r="J169" i="5"/>
  <c r="J170" i="5"/>
  <c r="J171" i="5"/>
  <c r="J172" i="5"/>
  <c r="J173" i="5"/>
  <c r="J174" i="5"/>
  <c r="J175" i="5"/>
  <c r="J176" i="5"/>
  <c r="J177" i="5"/>
  <c r="J178" i="5"/>
  <c r="J179" i="5"/>
  <c r="J180" i="5"/>
  <c r="J181" i="5"/>
  <c r="J182" i="5"/>
  <c r="J183" i="5"/>
  <c r="J184" i="5"/>
  <c r="J185" i="5"/>
  <c r="J186" i="5"/>
  <c r="J187" i="5"/>
  <c r="J188" i="5"/>
  <c r="J189" i="5"/>
  <c r="J190" i="5"/>
  <c r="J191" i="5"/>
  <c r="J192" i="5"/>
  <c r="J193" i="5"/>
  <c r="J194" i="5"/>
  <c r="J195" i="5"/>
  <c r="J196" i="5"/>
  <c r="J197" i="5"/>
  <c r="J198" i="5"/>
  <c r="J199" i="5"/>
  <c r="J200" i="5"/>
  <c r="J201" i="5"/>
  <c r="J202" i="5"/>
  <c r="J203" i="5"/>
  <c r="J204" i="5"/>
  <c r="J205" i="5"/>
  <c r="J206" i="5"/>
  <c r="J207" i="5"/>
  <c r="J208" i="5"/>
  <c r="J209" i="5"/>
  <c r="J210" i="5"/>
  <c r="J211" i="5"/>
  <c r="J212" i="5"/>
  <c r="J213" i="5"/>
  <c r="J214" i="5"/>
  <c r="J215" i="5"/>
  <c r="J216" i="5"/>
  <c r="J217" i="5"/>
  <c r="J218" i="5"/>
  <c r="J219" i="5"/>
  <c r="J220" i="5"/>
  <c r="J221" i="5"/>
  <c r="J222" i="5"/>
  <c r="J223" i="5"/>
  <c r="J224" i="5"/>
  <c r="J225" i="5"/>
  <c r="J226" i="5"/>
  <c r="J227" i="5"/>
  <c r="J228" i="5"/>
  <c r="J229" i="5"/>
  <c r="J230" i="5"/>
  <c r="J231" i="5"/>
  <c r="J232" i="5"/>
  <c r="J233" i="5"/>
  <c r="J234" i="5"/>
  <c r="J235" i="5"/>
  <c r="J236" i="5"/>
  <c r="J237" i="5"/>
  <c r="J238" i="5"/>
  <c r="J239" i="5"/>
  <c r="J240" i="5"/>
  <c r="J241" i="5"/>
  <c r="J242" i="5"/>
  <c r="J243" i="5"/>
  <c r="J244" i="5"/>
  <c r="J245" i="5"/>
  <c r="J246" i="5"/>
  <c r="J247" i="5"/>
  <c r="J248" i="5"/>
  <c r="J249" i="5"/>
  <c r="J250" i="5"/>
  <c r="J251" i="5"/>
  <c r="J252" i="5"/>
  <c r="J253" i="5"/>
  <c r="J254" i="5"/>
  <c r="J255" i="5"/>
  <c r="J256" i="5"/>
  <c r="J257" i="5"/>
  <c r="J258" i="5"/>
  <c r="J259" i="5"/>
  <c r="J260" i="5"/>
  <c r="J261" i="5"/>
  <c r="J262" i="5"/>
  <c r="J263" i="5"/>
  <c r="J264" i="5"/>
  <c r="J265" i="5"/>
  <c r="J266" i="5"/>
  <c r="J267" i="5"/>
  <c r="J268" i="5"/>
  <c r="J269" i="5"/>
  <c r="J270" i="5"/>
  <c r="J271" i="5"/>
  <c r="J272" i="5"/>
  <c r="J273" i="5"/>
  <c r="J274" i="5"/>
  <c r="J275" i="5"/>
  <c r="J276" i="5"/>
  <c r="J277" i="5"/>
  <c r="J278" i="5"/>
  <c r="J279" i="5"/>
  <c r="J280" i="5"/>
  <c r="J281" i="5"/>
  <c r="J282" i="5"/>
  <c r="J283" i="5"/>
  <c r="J284" i="5"/>
  <c r="J285" i="5"/>
  <c r="J286" i="5"/>
  <c r="J287" i="5"/>
  <c r="J288" i="5"/>
  <c r="J289" i="5"/>
  <c r="J290" i="5"/>
  <c r="J291" i="5"/>
  <c r="J292" i="5"/>
  <c r="J293" i="5"/>
  <c r="J294" i="5"/>
  <c r="J295" i="5"/>
  <c r="J296" i="5"/>
  <c r="J297" i="5"/>
  <c r="J298" i="5"/>
  <c r="J299" i="5"/>
  <c r="J300" i="5"/>
  <c r="J301" i="5"/>
  <c r="J302" i="5"/>
  <c r="J303" i="5"/>
  <c r="J304" i="5"/>
  <c r="J305" i="5"/>
  <c r="J306" i="5"/>
  <c r="J307" i="5"/>
  <c r="J308" i="5"/>
  <c r="J309" i="5"/>
  <c r="J310" i="5"/>
  <c r="J311" i="5"/>
  <c r="J312" i="5"/>
  <c r="J313" i="5"/>
  <c r="J314" i="5"/>
  <c r="J315" i="5"/>
  <c r="J316" i="5"/>
  <c r="J317" i="5"/>
  <c r="J318" i="5"/>
  <c r="J319" i="5"/>
  <c r="J320" i="5"/>
  <c r="J321" i="5"/>
  <c r="J322" i="5"/>
  <c r="J323" i="5"/>
  <c r="J324" i="5"/>
  <c r="J325" i="5"/>
  <c r="J326" i="5"/>
  <c r="J327" i="5"/>
  <c r="J328" i="5"/>
  <c r="J329" i="5"/>
  <c r="J330" i="5"/>
  <c r="J331" i="5"/>
  <c r="J332" i="5"/>
  <c r="J333" i="5"/>
  <c r="J334" i="5"/>
  <c r="J335" i="5"/>
  <c r="J336" i="5"/>
  <c r="J337" i="5"/>
  <c r="J338" i="5"/>
  <c r="J339" i="5"/>
  <c r="J340" i="5"/>
  <c r="J341" i="5"/>
  <c r="J342" i="5"/>
  <c r="J343" i="5"/>
  <c r="J344" i="5"/>
  <c r="J345" i="5"/>
  <c r="J346" i="5"/>
  <c r="J347" i="5"/>
  <c r="J348" i="5"/>
  <c r="J349" i="5"/>
  <c r="J350" i="5"/>
  <c r="J351" i="5"/>
  <c r="J352" i="5"/>
  <c r="J353" i="5"/>
  <c r="J354" i="5"/>
  <c r="J355" i="5"/>
  <c r="J356" i="5"/>
  <c r="J357" i="5"/>
  <c r="J358" i="5"/>
  <c r="J359" i="5"/>
  <c r="J360" i="5"/>
  <c r="J361" i="5"/>
  <c r="J362" i="5"/>
  <c r="J363" i="5"/>
  <c r="J364" i="5"/>
  <c r="J365" i="5"/>
  <c r="J366" i="5"/>
  <c r="J367" i="5"/>
  <c r="J368" i="5"/>
  <c r="J369" i="5"/>
  <c r="J370" i="5"/>
  <c r="J371" i="5"/>
  <c r="J372" i="5"/>
  <c r="J373" i="5"/>
  <c r="J374" i="5"/>
  <c r="J375" i="5"/>
  <c r="J376" i="5"/>
  <c r="J377" i="5"/>
  <c r="J378" i="5"/>
  <c r="J379" i="5"/>
  <c r="J380" i="5"/>
  <c r="J381" i="5"/>
  <c r="J382" i="5"/>
  <c r="J383" i="5"/>
  <c r="J384" i="5"/>
  <c r="J385" i="5"/>
  <c r="J386" i="5"/>
  <c r="J387" i="5"/>
  <c r="J388" i="5"/>
  <c r="J389" i="5"/>
  <c r="J390" i="5"/>
  <c r="J391" i="5"/>
  <c r="J392" i="5"/>
  <c r="J393" i="5"/>
  <c r="J394" i="5"/>
  <c r="J395" i="5"/>
  <c r="J396" i="5"/>
  <c r="J397" i="5"/>
  <c r="J398" i="5"/>
  <c r="J399" i="5"/>
  <c r="J400" i="5"/>
  <c r="J401" i="5"/>
  <c r="J402" i="5"/>
  <c r="J403" i="5"/>
  <c r="J404" i="5"/>
  <c r="J405" i="5"/>
  <c r="J406" i="5"/>
  <c r="J407" i="5"/>
  <c r="J408" i="5"/>
  <c r="J409" i="5"/>
  <c r="J410" i="5"/>
  <c r="J411" i="5"/>
  <c r="J412" i="5"/>
  <c r="J413" i="5"/>
  <c r="J414" i="5"/>
  <c r="J415" i="5"/>
  <c r="J416" i="5"/>
  <c r="J417" i="5"/>
  <c r="J418" i="5"/>
  <c r="J419" i="5"/>
  <c r="J420" i="5"/>
  <c r="J421" i="5"/>
  <c r="J422" i="5"/>
  <c r="J423" i="5"/>
  <c r="J424" i="5"/>
  <c r="J425" i="5"/>
  <c r="J426" i="5"/>
  <c r="J427" i="5"/>
  <c r="J428" i="5"/>
  <c r="J429" i="5"/>
  <c r="J430" i="5"/>
  <c r="J431" i="5"/>
  <c r="J432" i="5"/>
  <c r="J433" i="5"/>
  <c r="J434" i="5"/>
  <c r="J435" i="5"/>
  <c r="J436" i="5"/>
  <c r="J437" i="5"/>
  <c r="J438" i="5"/>
  <c r="J439" i="5"/>
  <c r="J440" i="5"/>
  <c r="J441" i="5"/>
  <c r="J442" i="5"/>
  <c r="J443" i="5"/>
  <c r="J444" i="5"/>
  <c r="J445" i="5"/>
  <c r="J446" i="5"/>
  <c r="J447" i="5"/>
  <c r="J448" i="5"/>
  <c r="J449" i="5"/>
  <c r="J450" i="5"/>
  <c r="J451" i="5"/>
  <c r="J452" i="5"/>
  <c r="J453" i="5"/>
  <c r="J454" i="5"/>
  <c r="J455" i="5"/>
  <c r="J456" i="5"/>
  <c r="J457" i="5"/>
  <c r="J458" i="5"/>
  <c r="J459" i="5"/>
  <c r="J460" i="5"/>
  <c r="J461" i="5"/>
  <c r="J462" i="5"/>
  <c r="J463" i="5"/>
  <c r="J464" i="5"/>
  <c r="J465" i="5"/>
  <c r="J466" i="5"/>
  <c r="J467" i="5"/>
  <c r="J468" i="5"/>
  <c r="J469" i="5"/>
  <c r="J470" i="5"/>
  <c r="J471" i="5"/>
  <c r="J472" i="5"/>
  <c r="J473" i="5"/>
  <c r="J474" i="5"/>
  <c r="J475" i="5"/>
  <c r="J476" i="5"/>
  <c r="J477" i="5"/>
  <c r="J478" i="5"/>
  <c r="J479" i="5"/>
  <c r="J480" i="5"/>
  <c r="J481" i="5"/>
  <c r="J482" i="5"/>
  <c r="J483" i="5"/>
  <c r="J484" i="5"/>
  <c r="J485" i="5"/>
  <c r="J486" i="5"/>
  <c r="J487" i="5"/>
  <c r="J488" i="5"/>
  <c r="J489" i="5"/>
  <c r="J490" i="5"/>
  <c r="J491" i="5"/>
  <c r="J492" i="5"/>
  <c r="J493" i="5"/>
  <c r="J494" i="5"/>
  <c r="J495" i="5"/>
  <c r="J496" i="5"/>
  <c r="J497" i="5"/>
  <c r="J498" i="5"/>
  <c r="J499" i="5"/>
  <c r="J500" i="5"/>
  <c r="J501" i="5"/>
  <c r="J502" i="5"/>
  <c r="J503" i="5"/>
  <c r="J504" i="5"/>
  <c r="J505" i="5"/>
  <c r="J506" i="5"/>
  <c r="J507" i="5"/>
  <c r="J508" i="5"/>
  <c r="J509" i="5"/>
  <c r="J510" i="5"/>
  <c r="J511" i="5"/>
  <c r="J512" i="5"/>
  <c r="J513" i="5"/>
  <c r="J514" i="5"/>
  <c r="J515" i="5"/>
  <c r="J516" i="5"/>
  <c r="J517" i="5"/>
  <c r="J518" i="5"/>
  <c r="J519" i="5"/>
  <c r="J520" i="5"/>
  <c r="J521" i="5"/>
  <c r="J522" i="5"/>
  <c r="J523" i="5"/>
  <c r="J524" i="5"/>
  <c r="J525" i="5"/>
  <c r="J526" i="5"/>
  <c r="J527" i="5"/>
  <c r="J528" i="5"/>
  <c r="J529" i="5"/>
  <c r="J530" i="5"/>
  <c r="J531" i="5"/>
  <c r="J532" i="5"/>
  <c r="J533" i="5"/>
  <c r="J534" i="5"/>
  <c r="J535" i="5"/>
  <c r="J536" i="5"/>
  <c r="J537" i="5"/>
  <c r="J538" i="5"/>
  <c r="J539" i="5"/>
  <c r="J540" i="5"/>
  <c r="J541" i="5"/>
  <c r="J542" i="5"/>
  <c r="J543" i="5"/>
  <c r="J544" i="5"/>
  <c r="J545" i="5"/>
  <c r="J546" i="5"/>
  <c r="J547" i="5"/>
  <c r="J548" i="5"/>
  <c r="J549" i="5"/>
  <c r="J550" i="5"/>
  <c r="J551" i="5"/>
  <c r="J552" i="5"/>
  <c r="J553" i="5"/>
  <c r="J554" i="5"/>
  <c r="J555" i="5"/>
  <c r="J556" i="5"/>
  <c r="J557" i="5"/>
  <c r="J558" i="5"/>
  <c r="J559" i="5"/>
  <c r="J560" i="5"/>
  <c r="J561" i="5"/>
  <c r="J562" i="5"/>
  <c r="J563" i="5"/>
  <c r="J564" i="5"/>
  <c r="J565" i="5"/>
  <c r="J566" i="5"/>
  <c r="J567" i="5"/>
  <c r="J568" i="5"/>
  <c r="J569" i="5"/>
  <c r="J570" i="5"/>
  <c r="J571" i="5"/>
  <c r="J572" i="5"/>
  <c r="J573" i="5"/>
  <c r="J574" i="5"/>
  <c r="J575" i="5"/>
  <c r="J576" i="5"/>
  <c r="J577" i="5"/>
  <c r="J578" i="5"/>
  <c r="J579" i="5"/>
  <c r="J580" i="5"/>
  <c r="J581" i="5"/>
  <c r="J582" i="5"/>
  <c r="J583" i="5"/>
  <c r="J584" i="5"/>
  <c r="J585" i="5"/>
  <c r="J586" i="5"/>
  <c r="J587" i="5"/>
  <c r="J588" i="5"/>
  <c r="J589" i="5"/>
  <c r="J590" i="5"/>
  <c r="J591" i="5"/>
  <c r="J592" i="5"/>
  <c r="J593" i="5"/>
  <c r="J594" i="5"/>
  <c r="J595" i="5"/>
  <c r="J596" i="5"/>
  <c r="J597" i="5"/>
  <c r="J598" i="5"/>
  <c r="J599" i="5"/>
  <c r="J600" i="5"/>
  <c r="J601" i="5"/>
  <c r="J602" i="5"/>
  <c r="J603" i="5"/>
  <c r="J604" i="5"/>
  <c r="J605" i="5"/>
  <c r="J606" i="5"/>
  <c r="J607" i="5"/>
  <c r="J608" i="5"/>
  <c r="J609" i="5"/>
  <c r="J610" i="5"/>
  <c r="J611" i="5"/>
  <c r="J612" i="5"/>
  <c r="J613" i="5"/>
  <c r="J614" i="5"/>
  <c r="J615" i="5"/>
  <c r="J616" i="5"/>
  <c r="J617" i="5"/>
  <c r="J618" i="5"/>
  <c r="J619" i="5"/>
  <c r="J620" i="5"/>
  <c r="J621" i="5"/>
  <c r="J622" i="5"/>
  <c r="J623" i="5"/>
  <c r="J624" i="5"/>
  <c r="J625" i="5"/>
  <c r="J626" i="5"/>
  <c r="J627" i="5"/>
  <c r="J628" i="5"/>
  <c r="J629" i="5"/>
  <c r="J630" i="5"/>
  <c r="J631" i="5"/>
  <c r="J632" i="5"/>
  <c r="J633" i="5"/>
  <c r="J634" i="5"/>
  <c r="J635" i="5"/>
  <c r="J636" i="5"/>
  <c r="J637" i="5"/>
  <c r="J638" i="5"/>
  <c r="J639" i="5"/>
  <c r="J640" i="5"/>
  <c r="J641" i="5"/>
  <c r="J642" i="5"/>
  <c r="J643" i="5"/>
  <c r="J644" i="5"/>
  <c r="J645" i="5"/>
  <c r="J646" i="5"/>
  <c r="J647" i="5"/>
  <c r="J648" i="5"/>
  <c r="J649" i="5"/>
  <c r="J650" i="5"/>
  <c r="J651" i="5"/>
  <c r="J652" i="5"/>
  <c r="J653" i="5"/>
  <c r="J654" i="5"/>
  <c r="J655" i="5"/>
  <c r="J656" i="5"/>
  <c r="J657" i="5"/>
  <c r="J658" i="5"/>
  <c r="J659" i="5"/>
  <c r="J660" i="5"/>
  <c r="J661" i="5"/>
  <c r="J662" i="5"/>
  <c r="J663" i="5"/>
  <c r="J664" i="5"/>
  <c r="J665" i="5"/>
  <c r="J666" i="5"/>
  <c r="J667" i="5"/>
  <c r="J668" i="5"/>
  <c r="J669" i="5"/>
  <c r="J670" i="5"/>
  <c r="J671" i="5"/>
  <c r="J672" i="5"/>
  <c r="J673" i="5"/>
  <c r="J674" i="5"/>
  <c r="J675" i="5"/>
  <c r="J676" i="5"/>
  <c r="J677" i="5"/>
  <c r="J678" i="5"/>
  <c r="J679" i="5"/>
  <c r="J680" i="5"/>
  <c r="J681" i="5"/>
  <c r="J682" i="5"/>
  <c r="J683" i="5"/>
  <c r="J684" i="5"/>
  <c r="J685" i="5"/>
  <c r="J686" i="5"/>
  <c r="J687" i="5"/>
  <c r="J688" i="5"/>
  <c r="J689" i="5"/>
  <c r="J690" i="5"/>
  <c r="J691" i="5"/>
  <c r="J692" i="5"/>
  <c r="J693" i="5"/>
  <c r="J694" i="5"/>
  <c r="J695" i="5"/>
  <c r="J696" i="5"/>
  <c r="J697" i="5"/>
  <c r="J698" i="5"/>
  <c r="J699" i="5"/>
  <c r="J700" i="5"/>
  <c r="J701" i="5"/>
  <c r="J702" i="5"/>
  <c r="J703" i="5"/>
  <c r="J704" i="5"/>
  <c r="J705" i="5"/>
  <c r="J706" i="5"/>
  <c r="J707" i="5"/>
  <c r="J708" i="5"/>
  <c r="J709" i="5"/>
  <c r="J710" i="5"/>
  <c r="J711" i="5"/>
  <c r="J712" i="5"/>
  <c r="J713" i="5"/>
  <c r="J714" i="5"/>
  <c r="J715" i="5"/>
  <c r="J716" i="5"/>
  <c r="J717" i="5"/>
  <c r="J718" i="5"/>
  <c r="J719" i="5"/>
  <c r="J720" i="5"/>
  <c r="J721" i="5"/>
  <c r="J722" i="5"/>
  <c r="J723" i="5"/>
  <c r="J724" i="5"/>
  <c r="J725" i="5"/>
  <c r="J726" i="5"/>
  <c r="J727" i="5"/>
  <c r="J728" i="5"/>
  <c r="J729" i="5"/>
  <c r="J730" i="5"/>
  <c r="J731" i="5"/>
  <c r="J732" i="5"/>
  <c r="J733" i="5"/>
  <c r="J734" i="5"/>
  <c r="J735" i="5"/>
  <c r="J736" i="5"/>
  <c r="J737" i="5"/>
  <c r="J738" i="5"/>
  <c r="J739" i="5"/>
  <c r="J740" i="5"/>
  <c r="J741" i="5"/>
  <c r="J742" i="5"/>
  <c r="J743" i="5"/>
  <c r="J744" i="5"/>
  <c r="J745" i="5"/>
  <c r="J746" i="5"/>
  <c r="J747" i="5"/>
  <c r="J748" i="5"/>
  <c r="J749" i="5"/>
  <c r="J750" i="5"/>
  <c r="J751" i="5"/>
  <c r="J752" i="5"/>
  <c r="J753" i="5"/>
  <c r="J754" i="5"/>
  <c r="J755" i="5"/>
  <c r="J756" i="5"/>
  <c r="J757" i="5"/>
  <c r="J758" i="5"/>
  <c r="J759" i="5"/>
  <c r="J760" i="5"/>
  <c r="J761" i="5"/>
  <c r="J762" i="5"/>
  <c r="J763" i="5"/>
  <c r="J764" i="5"/>
  <c r="J765" i="5"/>
  <c r="J766" i="5"/>
  <c r="J767" i="5"/>
  <c r="J768" i="5"/>
  <c r="J769" i="5"/>
  <c r="J770" i="5"/>
  <c r="J771" i="5"/>
  <c r="J772" i="5"/>
  <c r="J773" i="5"/>
  <c r="J774" i="5"/>
  <c r="J775" i="5"/>
  <c r="J776" i="5"/>
  <c r="J777" i="5"/>
  <c r="J778" i="5"/>
  <c r="J779" i="5"/>
  <c r="J780" i="5"/>
  <c r="J781" i="5"/>
  <c r="J782" i="5"/>
  <c r="J783" i="5"/>
  <c r="J784" i="5"/>
  <c r="J785" i="5"/>
  <c r="J786" i="5"/>
  <c r="J787" i="5"/>
  <c r="J788" i="5"/>
  <c r="J789" i="5"/>
  <c r="J790" i="5"/>
  <c r="J791" i="5"/>
  <c r="J792" i="5"/>
  <c r="J793" i="5"/>
  <c r="J794" i="5"/>
  <c r="J795" i="5"/>
  <c r="J796" i="5"/>
  <c r="J797" i="5"/>
  <c r="J798" i="5"/>
  <c r="J799" i="5"/>
  <c r="J800" i="5"/>
  <c r="J801" i="5"/>
  <c r="J802" i="5"/>
  <c r="J803" i="5"/>
  <c r="J804" i="5"/>
  <c r="J805" i="5"/>
  <c r="J806" i="5"/>
  <c r="J807" i="5"/>
  <c r="J808" i="5"/>
  <c r="J809" i="5"/>
  <c r="J810" i="5"/>
  <c r="J811" i="5"/>
  <c r="J812" i="5"/>
  <c r="J813" i="5"/>
  <c r="J814" i="5"/>
  <c r="J815" i="5"/>
  <c r="J816" i="5"/>
  <c r="J817" i="5"/>
  <c r="J818" i="5"/>
  <c r="J819" i="5"/>
  <c r="J820" i="5"/>
  <c r="J821" i="5"/>
  <c r="J822" i="5"/>
  <c r="J823" i="5"/>
  <c r="J824" i="5"/>
  <c r="J825" i="5"/>
  <c r="J826" i="5"/>
  <c r="J827" i="5"/>
  <c r="J828" i="5"/>
  <c r="J829" i="5"/>
  <c r="J830" i="5"/>
  <c r="J831" i="5"/>
  <c r="J832" i="5"/>
  <c r="J833" i="5"/>
  <c r="J834" i="5"/>
  <c r="J835" i="5"/>
  <c r="J836" i="5"/>
  <c r="J837" i="5"/>
  <c r="J838" i="5"/>
  <c r="J839" i="5"/>
  <c r="J840" i="5"/>
  <c r="J841" i="5"/>
  <c r="J842" i="5"/>
  <c r="J843" i="5"/>
  <c r="J844" i="5"/>
  <c r="J845" i="5"/>
  <c r="J846" i="5"/>
  <c r="J847" i="5"/>
  <c r="J848" i="5"/>
  <c r="J849" i="5"/>
  <c r="J850" i="5"/>
  <c r="J851" i="5"/>
  <c r="J852" i="5"/>
  <c r="J853" i="5"/>
  <c r="J854" i="5"/>
  <c r="J855" i="5"/>
  <c r="J856" i="5"/>
  <c r="J857" i="5"/>
  <c r="J858" i="5"/>
  <c r="J859" i="5"/>
  <c r="J860" i="5"/>
  <c r="J861" i="5"/>
  <c r="J862" i="5"/>
  <c r="J863" i="5"/>
  <c r="J864" i="5"/>
  <c r="J865" i="5"/>
  <c r="J866" i="5"/>
  <c r="J867" i="5"/>
  <c r="J868" i="5"/>
  <c r="J869" i="5"/>
  <c r="J870" i="5"/>
  <c r="J871" i="5"/>
  <c r="J872" i="5"/>
  <c r="J873" i="5"/>
  <c r="J874" i="5"/>
  <c r="J875" i="5"/>
  <c r="J876" i="5"/>
  <c r="J877" i="5"/>
  <c r="J878" i="5"/>
  <c r="J879" i="5"/>
  <c r="J880" i="5"/>
  <c r="J881" i="5"/>
  <c r="J882" i="5"/>
  <c r="J883" i="5"/>
  <c r="J884" i="5"/>
  <c r="J885" i="5"/>
  <c r="J886" i="5"/>
  <c r="J887" i="5"/>
  <c r="J888" i="5"/>
  <c r="J889" i="5"/>
  <c r="J890" i="5"/>
  <c r="J891" i="5"/>
  <c r="J892" i="5"/>
  <c r="J893" i="5"/>
  <c r="J894" i="5"/>
  <c r="J895" i="5"/>
  <c r="J896" i="5"/>
  <c r="J897" i="5"/>
  <c r="J898" i="5"/>
  <c r="J899" i="5"/>
  <c r="J900" i="5"/>
  <c r="J901" i="5"/>
  <c r="J902" i="5"/>
  <c r="J903" i="5"/>
  <c r="J904" i="5"/>
  <c r="J905" i="5"/>
  <c r="J906" i="5"/>
  <c r="J907" i="5"/>
  <c r="J908" i="5"/>
  <c r="J909" i="5"/>
  <c r="J910" i="5"/>
  <c r="J911" i="5"/>
  <c r="J912" i="5"/>
  <c r="J913" i="5"/>
  <c r="J914" i="5"/>
  <c r="J915" i="5"/>
  <c r="J916" i="5"/>
  <c r="J917" i="5"/>
  <c r="J918" i="5"/>
  <c r="J919" i="5"/>
  <c r="J920" i="5"/>
  <c r="J921" i="5"/>
  <c r="J922" i="5"/>
  <c r="J923" i="5"/>
  <c r="J924" i="5"/>
  <c r="J925" i="5"/>
  <c r="J926" i="5"/>
  <c r="J927" i="5"/>
  <c r="J928" i="5"/>
  <c r="J929" i="5"/>
  <c r="J930" i="5"/>
  <c r="J931" i="5"/>
  <c r="J932" i="5"/>
  <c r="J933" i="5"/>
  <c r="J934" i="5"/>
  <c r="J935" i="5"/>
  <c r="J936" i="5"/>
  <c r="J937" i="5"/>
  <c r="J938" i="5"/>
  <c r="J939" i="5"/>
  <c r="J940" i="5"/>
  <c r="J941" i="5"/>
  <c r="J942" i="5"/>
  <c r="J943" i="5"/>
  <c r="J944" i="5"/>
  <c r="J945" i="5"/>
  <c r="J946" i="5"/>
  <c r="J947" i="5"/>
  <c r="J948" i="5"/>
  <c r="J949" i="5"/>
  <c r="J950" i="5"/>
  <c r="J951" i="5"/>
  <c r="J952" i="5"/>
  <c r="J953" i="5"/>
  <c r="J954" i="5"/>
  <c r="J955" i="5"/>
  <c r="J956" i="5"/>
  <c r="J957" i="5"/>
  <c r="J958" i="5"/>
  <c r="J959" i="5"/>
  <c r="J960" i="5"/>
  <c r="J961" i="5"/>
  <c r="J962" i="5"/>
  <c r="J963" i="5"/>
  <c r="J964" i="5"/>
  <c r="J965" i="5"/>
  <c r="J966" i="5"/>
  <c r="J967" i="5"/>
  <c r="J968" i="5"/>
  <c r="J969" i="5"/>
  <c r="J970" i="5"/>
  <c r="J971" i="5"/>
  <c r="J972" i="5"/>
  <c r="J973" i="5"/>
  <c r="J974" i="5"/>
  <c r="J975" i="5"/>
  <c r="J976" i="5"/>
  <c r="J977" i="5"/>
  <c r="J978" i="5"/>
  <c r="J979" i="5"/>
  <c r="J980" i="5"/>
  <c r="J981" i="5"/>
  <c r="J982" i="5"/>
  <c r="J983" i="5"/>
  <c r="J984" i="5"/>
  <c r="J985" i="5"/>
  <c r="J986" i="5"/>
  <c r="J987" i="5"/>
  <c r="J988" i="5"/>
  <c r="J989" i="5"/>
  <c r="J990" i="5"/>
  <c r="J991" i="5"/>
  <c r="J992" i="5"/>
  <c r="J993" i="5"/>
  <c r="J994" i="5"/>
  <c r="J995" i="5"/>
  <c r="J996" i="5"/>
  <c r="J997" i="5"/>
  <c r="J998" i="5"/>
  <c r="J999" i="5"/>
  <c r="J1000" i="5"/>
  <c r="J1001" i="5"/>
  <c r="J1002" i="5"/>
  <c r="J1003" i="5"/>
  <c r="J1004" i="5"/>
  <c r="J1005" i="5"/>
  <c r="J1006" i="5"/>
  <c r="J1007" i="5"/>
  <c r="J1008" i="5"/>
  <c r="J1009" i="5"/>
  <c r="J1010" i="5"/>
  <c r="J1011" i="5"/>
  <c r="J1012" i="5"/>
  <c r="J1013" i="5"/>
  <c r="J1014" i="5"/>
  <c r="J1015" i="5"/>
  <c r="J1016" i="5"/>
  <c r="J1017" i="5"/>
  <c r="J1018" i="5"/>
  <c r="J1019" i="5"/>
  <c r="J1020" i="5"/>
  <c r="J1021" i="5"/>
  <c r="J1022" i="5"/>
  <c r="J1023" i="5"/>
  <c r="J1024" i="5"/>
  <c r="J1025" i="5"/>
  <c r="J1026" i="5"/>
  <c r="J1027" i="5"/>
  <c r="J1028" i="5"/>
  <c r="J1029" i="5"/>
  <c r="J1030" i="5"/>
  <c r="J1031" i="5"/>
  <c r="J1032" i="5"/>
  <c r="J1033" i="5"/>
  <c r="J1034" i="5"/>
  <c r="J1035" i="5"/>
  <c r="J1036" i="5"/>
  <c r="J1037" i="5"/>
  <c r="J1038" i="5"/>
  <c r="J1039" i="5"/>
  <c r="J1040" i="5"/>
  <c r="J1041" i="5"/>
  <c r="J1042" i="5"/>
  <c r="J1043" i="5"/>
  <c r="J1044" i="5"/>
  <c r="J1045" i="5"/>
  <c r="J1046" i="5"/>
  <c r="J1047" i="5"/>
  <c r="J1048" i="5"/>
  <c r="J1049" i="5"/>
  <c r="J1050" i="5"/>
  <c r="J1051" i="5"/>
  <c r="J1052" i="5"/>
  <c r="J1053" i="5"/>
  <c r="J1054" i="5"/>
  <c r="J1055" i="5"/>
  <c r="J1056" i="5"/>
  <c r="J1057" i="5"/>
  <c r="J1058" i="5"/>
  <c r="J1059" i="5"/>
  <c r="J1060" i="5"/>
  <c r="J1061" i="5"/>
  <c r="J1062" i="5"/>
  <c r="J1063" i="5"/>
  <c r="J1064" i="5"/>
  <c r="J1065" i="5"/>
  <c r="J1066" i="5"/>
  <c r="J1067" i="5"/>
  <c r="J1068" i="5"/>
  <c r="J1069" i="5"/>
  <c r="J1070" i="5"/>
  <c r="J1071" i="5"/>
  <c r="J1072" i="5"/>
  <c r="J1073" i="5"/>
  <c r="J1074" i="5"/>
  <c r="J1075" i="5"/>
  <c r="J1076" i="5"/>
  <c r="J1077" i="5"/>
  <c r="J1078" i="5"/>
  <c r="J1079" i="5"/>
  <c r="J1080" i="5"/>
  <c r="J1081" i="5"/>
  <c r="J1082" i="5"/>
  <c r="J1083" i="5"/>
  <c r="J1084" i="5"/>
  <c r="J1085" i="5"/>
  <c r="J1086" i="5"/>
  <c r="J1087" i="5"/>
  <c r="J1088" i="5"/>
  <c r="J1089" i="5"/>
  <c r="J1090" i="5"/>
  <c r="J1091" i="5"/>
  <c r="J1092" i="5"/>
  <c r="J1093" i="5"/>
  <c r="J1094" i="5"/>
  <c r="J1095" i="5"/>
  <c r="J1096" i="5"/>
  <c r="J1097" i="5"/>
  <c r="J1098" i="5"/>
  <c r="J1099" i="5"/>
  <c r="J1100" i="5"/>
  <c r="J1101" i="5"/>
  <c r="J1102" i="5"/>
  <c r="J1103" i="5"/>
  <c r="J1104" i="5"/>
  <c r="J1105" i="5"/>
  <c r="J1106" i="5"/>
  <c r="J1107" i="5"/>
  <c r="J1108" i="5"/>
  <c r="J1109" i="5"/>
  <c r="J1110" i="5"/>
  <c r="J1111" i="5"/>
  <c r="J1112" i="5"/>
  <c r="J1113" i="5"/>
  <c r="J1114" i="5"/>
  <c r="J1115" i="5"/>
  <c r="J1116" i="5"/>
  <c r="J1117" i="5"/>
  <c r="J1118" i="5"/>
  <c r="J1119" i="5"/>
  <c r="J1120" i="5"/>
  <c r="J1121" i="5"/>
  <c r="J1122" i="5"/>
  <c r="J1123" i="5"/>
  <c r="J1124" i="5"/>
  <c r="J1125" i="5"/>
  <c r="J1126" i="5"/>
  <c r="J1127" i="5"/>
  <c r="J1128" i="5"/>
  <c r="J1129" i="5"/>
  <c r="J1130" i="5"/>
  <c r="J1131" i="5"/>
  <c r="J1132" i="5"/>
  <c r="J1133" i="5"/>
  <c r="J1134" i="5"/>
  <c r="J1135" i="5"/>
  <c r="J1136" i="5"/>
  <c r="J1137" i="5"/>
  <c r="J1138" i="5"/>
  <c r="J1139" i="5"/>
  <c r="J1140" i="5"/>
  <c r="J1141" i="5"/>
  <c r="J1142" i="5"/>
  <c r="J1143" i="5"/>
  <c r="J1144" i="5"/>
  <c r="J1145" i="5"/>
  <c r="J1146" i="5"/>
  <c r="J1147" i="5"/>
  <c r="J1148" i="5"/>
  <c r="J1149" i="5"/>
  <c r="J1150" i="5"/>
  <c r="J1151" i="5"/>
  <c r="J1152" i="5"/>
  <c r="J1153" i="5"/>
  <c r="J1154" i="5"/>
  <c r="J1155" i="5"/>
  <c r="J1156" i="5"/>
  <c r="J1157" i="5"/>
  <c r="J1158" i="5"/>
  <c r="J1159" i="5"/>
  <c r="J1160" i="5"/>
  <c r="J1161" i="5"/>
  <c r="J1162" i="5"/>
  <c r="J1163" i="5"/>
  <c r="J1164" i="5"/>
  <c r="J1165" i="5"/>
  <c r="J1166" i="5"/>
  <c r="J1167" i="5"/>
  <c r="J1168" i="5"/>
  <c r="J1169" i="5"/>
  <c r="J1170" i="5"/>
  <c r="J1171" i="5"/>
  <c r="J1172" i="5"/>
  <c r="J1173" i="5"/>
  <c r="J1174" i="5"/>
  <c r="J1175" i="5"/>
  <c r="J1176" i="5"/>
  <c r="J1177" i="5"/>
  <c r="J1178" i="5"/>
  <c r="J1179" i="5"/>
  <c r="J1180" i="5"/>
  <c r="J1181" i="5"/>
  <c r="J1182" i="5"/>
  <c r="J1183" i="5"/>
  <c r="J1184" i="5"/>
  <c r="J1185" i="5"/>
  <c r="J1186" i="5"/>
  <c r="J1187" i="5"/>
  <c r="J1188" i="5"/>
  <c r="J1189" i="5"/>
  <c r="J1190" i="5"/>
  <c r="J1191" i="5"/>
  <c r="J1192" i="5"/>
  <c r="J1193" i="5"/>
  <c r="J1194" i="5"/>
  <c r="J1195" i="5"/>
  <c r="J1196" i="5"/>
  <c r="J1197" i="5"/>
  <c r="J1198" i="5"/>
  <c r="J1199" i="5"/>
  <c r="J1200" i="5"/>
  <c r="J1201" i="5"/>
  <c r="J1202" i="5"/>
  <c r="J1203" i="5"/>
  <c r="J1204" i="5"/>
  <c r="J1205" i="5"/>
  <c r="J1206" i="5"/>
  <c r="J1207" i="5"/>
  <c r="J1208" i="5"/>
  <c r="J1209" i="5"/>
  <c r="J1210" i="5"/>
  <c r="J1211" i="5"/>
  <c r="J1212" i="5"/>
  <c r="J1213" i="5"/>
  <c r="J1214" i="5"/>
  <c r="J1215" i="5"/>
  <c r="J1216" i="5"/>
  <c r="J1217" i="5"/>
  <c r="J1218" i="5"/>
  <c r="J1219" i="5"/>
  <c r="J1220" i="5"/>
  <c r="J1221" i="5"/>
  <c r="J1222" i="5"/>
  <c r="J1223" i="5"/>
  <c r="J1224" i="5"/>
  <c r="J1225" i="5"/>
  <c r="J1226" i="5"/>
  <c r="J1227" i="5"/>
  <c r="J1228" i="5"/>
  <c r="J1229" i="5"/>
  <c r="J1230" i="5"/>
  <c r="J1231" i="5"/>
  <c r="J1232" i="5"/>
  <c r="J1233" i="5"/>
  <c r="J1234" i="5"/>
  <c r="J1235" i="5"/>
  <c r="J1236" i="5"/>
  <c r="J1237" i="5"/>
  <c r="J1238" i="5"/>
  <c r="J1239" i="5"/>
  <c r="J1240" i="5"/>
  <c r="J1241" i="5"/>
  <c r="J1242" i="5"/>
  <c r="J1243" i="5"/>
  <c r="J1244" i="5"/>
  <c r="J1245" i="5"/>
  <c r="J1246" i="5"/>
  <c r="J1247" i="5"/>
  <c r="J1248" i="5"/>
  <c r="J1249" i="5"/>
  <c r="J1250" i="5"/>
  <c r="J1251" i="5"/>
  <c r="J1252" i="5"/>
  <c r="J1253" i="5"/>
  <c r="J1254" i="5"/>
  <c r="J1255" i="5"/>
  <c r="J1256" i="5"/>
  <c r="J1257" i="5"/>
  <c r="J1258" i="5"/>
  <c r="J1259" i="5"/>
  <c r="J1260" i="5"/>
  <c r="J1261" i="5"/>
  <c r="J1262" i="5"/>
  <c r="J1263" i="5"/>
  <c r="J1264" i="5"/>
  <c r="J1265" i="5"/>
  <c r="J1266" i="5"/>
  <c r="J1267" i="5"/>
  <c r="J1268" i="5"/>
  <c r="J1269" i="5"/>
  <c r="J1270" i="5"/>
  <c r="J1271" i="5"/>
  <c r="J1272" i="5"/>
  <c r="J1273" i="5"/>
  <c r="J1274" i="5"/>
  <c r="J1275" i="5"/>
  <c r="J1276" i="5"/>
  <c r="J1277" i="5"/>
  <c r="J1278" i="5"/>
  <c r="J1279" i="5"/>
  <c r="J1280" i="5"/>
  <c r="J1281" i="5"/>
  <c r="J1282" i="5"/>
  <c r="J1283" i="5"/>
  <c r="J1284" i="5"/>
  <c r="J1285" i="5"/>
  <c r="J1286" i="5"/>
  <c r="J1287" i="5"/>
  <c r="J1288" i="5"/>
  <c r="J1289" i="5"/>
  <c r="J1290" i="5"/>
  <c r="J1291" i="5"/>
  <c r="J1292" i="5"/>
  <c r="J1293" i="5"/>
  <c r="J1294" i="5"/>
  <c r="J1295" i="5"/>
  <c r="J1296" i="5"/>
  <c r="J1297" i="5"/>
  <c r="J1298" i="5"/>
  <c r="J1299" i="5"/>
  <c r="J1300" i="5"/>
  <c r="J1301" i="5"/>
  <c r="J1302" i="5"/>
  <c r="J1303" i="5"/>
  <c r="J1304" i="5"/>
  <c r="J1305" i="5"/>
  <c r="J1306" i="5"/>
  <c r="J1307" i="5"/>
  <c r="J1308" i="5"/>
  <c r="J1309" i="5"/>
  <c r="J1310" i="5"/>
  <c r="J1311" i="5"/>
  <c r="J1312" i="5"/>
  <c r="J1313" i="5"/>
  <c r="J1314" i="5"/>
  <c r="J1315" i="5"/>
  <c r="J1316" i="5"/>
  <c r="J1317" i="5"/>
  <c r="J1318" i="5"/>
  <c r="J1319" i="5"/>
  <c r="J1320" i="5"/>
  <c r="J1321" i="5"/>
  <c r="J1322" i="5"/>
  <c r="J1323" i="5"/>
  <c r="J1324" i="5"/>
  <c r="J1325" i="5"/>
  <c r="J1326" i="5"/>
  <c r="J1327" i="5"/>
  <c r="J1328" i="5"/>
  <c r="J1329" i="5"/>
  <c r="J1330" i="5"/>
  <c r="J1331" i="5"/>
  <c r="J1332" i="5"/>
  <c r="J1333" i="5"/>
  <c r="J1334" i="5"/>
  <c r="J1335" i="5"/>
  <c r="J1336" i="5"/>
  <c r="J1337" i="5"/>
  <c r="J1338" i="5"/>
  <c r="J1339" i="5"/>
  <c r="J1340" i="5"/>
  <c r="J1341" i="5"/>
  <c r="J1342" i="5"/>
  <c r="J1343" i="5"/>
  <c r="J1344" i="5"/>
  <c r="J1345" i="5"/>
  <c r="J1346" i="5"/>
  <c r="J1347" i="5"/>
  <c r="J1348" i="5"/>
  <c r="J1349" i="5"/>
  <c r="J1350" i="5"/>
  <c r="J1351" i="5"/>
  <c r="J1352" i="5"/>
  <c r="J1353" i="5"/>
  <c r="J1354" i="5"/>
  <c r="J1355" i="5"/>
  <c r="J1356" i="5"/>
  <c r="J1357" i="5"/>
  <c r="J1358" i="5"/>
  <c r="J1359" i="5"/>
  <c r="J1360" i="5"/>
  <c r="J1361" i="5"/>
  <c r="J1362" i="5"/>
  <c r="J1363" i="5"/>
  <c r="J1364" i="5"/>
  <c r="J1365" i="5"/>
  <c r="J1366" i="5"/>
  <c r="J1367" i="5"/>
  <c r="J1368" i="5"/>
  <c r="J1369" i="5"/>
  <c r="J1370" i="5"/>
  <c r="J1371" i="5"/>
  <c r="J1372" i="5"/>
  <c r="J1373" i="5"/>
  <c r="J1374" i="5"/>
  <c r="J1375" i="5"/>
  <c r="J1376" i="5"/>
  <c r="J1377" i="5"/>
  <c r="J1378" i="5"/>
  <c r="J1379" i="5"/>
  <c r="J1380" i="5"/>
  <c r="J1381" i="5"/>
  <c r="J1382" i="5"/>
  <c r="J1383" i="5"/>
  <c r="J1384" i="5"/>
  <c r="J1385" i="5"/>
  <c r="J1386" i="5"/>
  <c r="J1387" i="5"/>
  <c r="J1388" i="5"/>
  <c r="J1389" i="5"/>
  <c r="J1390" i="5"/>
  <c r="J1391" i="5"/>
  <c r="J1392" i="5"/>
  <c r="J1393" i="5"/>
  <c r="J1394" i="5"/>
  <c r="J1395" i="5"/>
  <c r="J1396" i="5"/>
  <c r="J1397" i="5"/>
  <c r="J1398" i="5"/>
  <c r="J1399" i="5"/>
  <c r="J1400" i="5"/>
  <c r="J1401" i="5"/>
  <c r="J1402" i="5"/>
  <c r="J1403" i="5"/>
  <c r="J1404" i="5"/>
  <c r="J1405" i="5"/>
  <c r="J1406" i="5"/>
  <c r="J1407" i="5"/>
  <c r="J1408" i="5"/>
  <c r="J1409" i="5"/>
  <c r="J1410" i="5"/>
  <c r="J1411" i="5"/>
  <c r="J1412" i="5"/>
  <c r="J1413" i="5"/>
  <c r="J1414" i="5"/>
  <c r="J1415" i="5"/>
  <c r="J1416" i="5"/>
  <c r="J1417" i="5"/>
  <c r="J1418" i="5"/>
  <c r="J1419" i="5"/>
  <c r="J1420" i="5"/>
  <c r="J1421" i="5"/>
  <c r="J1422" i="5"/>
  <c r="J1423" i="5"/>
  <c r="J1424" i="5"/>
  <c r="J1425" i="5"/>
  <c r="J1426" i="5"/>
  <c r="J1427" i="5"/>
  <c r="J1428" i="5"/>
  <c r="J1429" i="5"/>
  <c r="J1430" i="5"/>
  <c r="J1431" i="5"/>
  <c r="J1432" i="5"/>
  <c r="J1433" i="5"/>
  <c r="J1434" i="5"/>
  <c r="J1435" i="5"/>
  <c r="J1436" i="5"/>
  <c r="J1437" i="5"/>
  <c r="J1438" i="5"/>
  <c r="J1439" i="5"/>
  <c r="J1440" i="5"/>
  <c r="J1441" i="5"/>
  <c r="J1442" i="5"/>
  <c r="J1443" i="5"/>
  <c r="J1444" i="5"/>
  <c r="J1445" i="5"/>
  <c r="J1446" i="5"/>
  <c r="J1447" i="5"/>
  <c r="J1448" i="5"/>
  <c r="J1449" i="5"/>
  <c r="J1450" i="5"/>
  <c r="J1451" i="5"/>
  <c r="J1452" i="5"/>
  <c r="J1453" i="5"/>
  <c r="J1454" i="5"/>
  <c r="J1455" i="5"/>
  <c r="J1456" i="5"/>
  <c r="J1457" i="5"/>
  <c r="J1458" i="5"/>
  <c r="J1459" i="5"/>
  <c r="J1460" i="5"/>
  <c r="J1461" i="5"/>
  <c r="J1462" i="5"/>
  <c r="J1463" i="5"/>
  <c r="J1464" i="5"/>
  <c r="J1465" i="5"/>
  <c r="J1466" i="5"/>
  <c r="J1467" i="5"/>
  <c r="J1468" i="5"/>
  <c r="J1469" i="5"/>
  <c r="J1470" i="5"/>
  <c r="J1471" i="5"/>
  <c r="J1472" i="5"/>
  <c r="J1473" i="5"/>
  <c r="J1474" i="5"/>
  <c r="J1475" i="5"/>
  <c r="J1476" i="5"/>
  <c r="J1477" i="5"/>
  <c r="J1478" i="5"/>
  <c r="J1479" i="5"/>
  <c r="J1480" i="5"/>
  <c r="J1481" i="5"/>
  <c r="J1482" i="5"/>
  <c r="J1483" i="5"/>
  <c r="J1484" i="5"/>
  <c r="J1485" i="5"/>
  <c r="J1486" i="5"/>
  <c r="J1487" i="5"/>
  <c r="J1488" i="5"/>
  <c r="J1489" i="5"/>
  <c r="J1490" i="5"/>
  <c r="J1491" i="5"/>
  <c r="J1492" i="5"/>
  <c r="J1493" i="5"/>
  <c r="J1494" i="5"/>
  <c r="J1495" i="5"/>
  <c r="J1496" i="5"/>
  <c r="J1497" i="5"/>
  <c r="J1498" i="5"/>
  <c r="J1499" i="5"/>
  <c r="J1500" i="5"/>
  <c r="J1501" i="5"/>
  <c r="J1502" i="5"/>
  <c r="J1503" i="5"/>
  <c r="J1504" i="5"/>
  <c r="J1505" i="5"/>
  <c r="J1506" i="5"/>
  <c r="J1507" i="5"/>
  <c r="J1508" i="5"/>
  <c r="J1509" i="5"/>
  <c r="J1510" i="5"/>
  <c r="J1511" i="5"/>
  <c r="J1512" i="5"/>
  <c r="J1513" i="5"/>
  <c r="J1514" i="5"/>
  <c r="J1515" i="5"/>
  <c r="J1516" i="5"/>
  <c r="J1517" i="5"/>
  <c r="J1518" i="5"/>
  <c r="J1519" i="5"/>
  <c r="J1520" i="5"/>
  <c r="J1521" i="5"/>
  <c r="J1522" i="5"/>
  <c r="J1523" i="5"/>
  <c r="J1524" i="5"/>
  <c r="J1525" i="5"/>
  <c r="J1526" i="5"/>
  <c r="J1527" i="5"/>
  <c r="J1528" i="5"/>
  <c r="J1529" i="5"/>
  <c r="J1530" i="5"/>
  <c r="J1531" i="5"/>
  <c r="J1532" i="5"/>
  <c r="J1533" i="5"/>
  <c r="J1534" i="5"/>
  <c r="J1535" i="5"/>
  <c r="J1536" i="5"/>
  <c r="J1537" i="5"/>
  <c r="J1538" i="5"/>
  <c r="J1539" i="5"/>
  <c r="J1540" i="5"/>
  <c r="J1541" i="5"/>
  <c r="J1542" i="5"/>
  <c r="J1543" i="5"/>
  <c r="J1544" i="5"/>
  <c r="J1545" i="5"/>
  <c r="J1546" i="5"/>
  <c r="J1547" i="5"/>
  <c r="J1548" i="5"/>
  <c r="J1549" i="5"/>
  <c r="J1550" i="5"/>
  <c r="J1551" i="5"/>
  <c r="J1552" i="5"/>
  <c r="J1553" i="5"/>
  <c r="J1554" i="5"/>
  <c r="J1555" i="5"/>
  <c r="J1556" i="5"/>
  <c r="J1557" i="5"/>
  <c r="J1558" i="5"/>
  <c r="J1559" i="5"/>
  <c r="J1560" i="5"/>
  <c r="J1561" i="5"/>
  <c r="J1562" i="5"/>
  <c r="J1563" i="5"/>
  <c r="J1564" i="5"/>
  <c r="J1565" i="5"/>
  <c r="J1566" i="5"/>
  <c r="J1567" i="5"/>
  <c r="J1568" i="5"/>
  <c r="J1569" i="5"/>
  <c r="J1570" i="5"/>
  <c r="J1571" i="5"/>
  <c r="J1572" i="5"/>
  <c r="J1573" i="5"/>
  <c r="J1574" i="5"/>
  <c r="J1575" i="5"/>
  <c r="J1576" i="5"/>
  <c r="J1577" i="5"/>
  <c r="J1578" i="5"/>
  <c r="J1579" i="5"/>
  <c r="J1580" i="5"/>
  <c r="J1581" i="5"/>
  <c r="J1582" i="5"/>
  <c r="J1583" i="5"/>
  <c r="J1584" i="5"/>
  <c r="J1585" i="5"/>
  <c r="J1586" i="5"/>
  <c r="J1587" i="5"/>
  <c r="J1588" i="5"/>
  <c r="J1589" i="5"/>
  <c r="J1590" i="5"/>
  <c r="J1591" i="5"/>
  <c r="J1592" i="5"/>
  <c r="J1593" i="5"/>
  <c r="J1594" i="5"/>
  <c r="J1595" i="5"/>
  <c r="J1596" i="5"/>
  <c r="J1597" i="5"/>
  <c r="J1598" i="5"/>
  <c r="J1599" i="5"/>
  <c r="J1600" i="5"/>
  <c r="J1601" i="5"/>
  <c r="J1602" i="5"/>
  <c r="J1603" i="5"/>
  <c r="J1604" i="5"/>
  <c r="J1605" i="5"/>
  <c r="J1606" i="5"/>
  <c r="J1607" i="5"/>
  <c r="J1608" i="5"/>
  <c r="J1609" i="5"/>
  <c r="J1610" i="5"/>
  <c r="J1611" i="5"/>
  <c r="J1612" i="5"/>
  <c r="J1613" i="5"/>
  <c r="J1614" i="5"/>
  <c r="J1615" i="5"/>
  <c r="J1616" i="5"/>
  <c r="J1617" i="5"/>
  <c r="J1618" i="5"/>
  <c r="J1619" i="5"/>
  <c r="J1620" i="5"/>
  <c r="J1621" i="5"/>
  <c r="J1622" i="5"/>
  <c r="J1623" i="5"/>
  <c r="J1624" i="5"/>
  <c r="J1625" i="5"/>
  <c r="J1626" i="5"/>
  <c r="J1627" i="5"/>
  <c r="J1628" i="5"/>
  <c r="J1629" i="5"/>
  <c r="J1630" i="5"/>
  <c r="J1631" i="5"/>
  <c r="J1632" i="5"/>
  <c r="J1633" i="5"/>
  <c r="J1634" i="5"/>
  <c r="J1635" i="5"/>
  <c r="J1636" i="5"/>
  <c r="J1637" i="5"/>
  <c r="J1638" i="5"/>
  <c r="J1639" i="5"/>
  <c r="J1640" i="5"/>
  <c r="J1641" i="5"/>
  <c r="J1642" i="5"/>
  <c r="J1643" i="5"/>
  <c r="J1644" i="5"/>
  <c r="J1645" i="5"/>
  <c r="J1646" i="5"/>
  <c r="J1647" i="5"/>
  <c r="J1648" i="5"/>
  <c r="J1649" i="5"/>
  <c r="J1650" i="5"/>
  <c r="J1651" i="5"/>
  <c r="J1652" i="5"/>
  <c r="J1653" i="5"/>
  <c r="J1654" i="5"/>
  <c r="J1655" i="5"/>
  <c r="J1656" i="5"/>
  <c r="J1657" i="5"/>
  <c r="J1658" i="5"/>
  <c r="J1659" i="5"/>
  <c r="J1660" i="5"/>
  <c r="J1661" i="5"/>
  <c r="J1662" i="5"/>
  <c r="J1663" i="5"/>
  <c r="J1664" i="5"/>
  <c r="J1665" i="5"/>
  <c r="J1666" i="5"/>
  <c r="J1667" i="5"/>
  <c r="J1668" i="5"/>
  <c r="J1669" i="5"/>
  <c r="J1670" i="5"/>
  <c r="J1671" i="5"/>
  <c r="J1672" i="5"/>
  <c r="J1673" i="5"/>
  <c r="J1674" i="5"/>
  <c r="J1675" i="5"/>
  <c r="J1676" i="5"/>
  <c r="J1677" i="5"/>
  <c r="J1678" i="5"/>
  <c r="J1679" i="5"/>
  <c r="J1680" i="5"/>
  <c r="J1681" i="5"/>
  <c r="J1682" i="5"/>
  <c r="J1683" i="5"/>
  <c r="J1684" i="5"/>
  <c r="J1685" i="5"/>
  <c r="J1686" i="5"/>
  <c r="J1687" i="5"/>
  <c r="J1688" i="5"/>
  <c r="J1689" i="5"/>
  <c r="J1690" i="5"/>
  <c r="J1691" i="5"/>
  <c r="J1692" i="5"/>
  <c r="J1693" i="5"/>
  <c r="J1694" i="5"/>
  <c r="J1695" i="5"/>
  <c r="J1696" i="5"/>
  <c r="J1697" i="5"/>
  <c r="J1698" i="5"/>
  <c r="J1699" i="5"/>
  <c r="J1700" i="5"/>
  <c r="J1701" i="5"/>
  <c r="J1702" i="5"/>
  <c r="J1703" i="5"/>
  <c r="J1704" i="5"/>
  <c r="J1705" i="5"/>
  <c r="J1706" i="5"/>
  <c r="J1707" i="5"/>
  <c r="J1708" i="5"/>
  <c r="J1709" i="5"/>
  <c r="J1710" i="5"/>
  <c r="J1711" i="5"/>
  <c r="J1712" i="5"/>
  <c r="J1713" i="5"/>
  <c r="J1714" i="5"/>
  <c r="J1715" i="5"/>
  <c r="J1716" i="5"/>
  <c r="J1717" i="5"/>
  <c r="J1718" i="5"/>
  <c r="J1719" i="5"/>
  <c r="J1720" i="5"/>
  <c r="J1721" i="5"/>
  <c r="J1722" i="5"/>
  <c r="J1723" i="5"/>
  <c r="J1724" i="5"/>
  <c r="J1725" i="5"/>
  <c r="J1726" i="5"/>
  <c r="J1727" i="5"/>
  <c r="J1728" i="5"/>
  <c r="J1729" i="5"/>
  <c r="J1730" i="5"/>
  <c r="J1731" i="5"/>
  <c r="J1732" i="5"/>
  <c r="J1733" i="5"/>
  <c r="J1734" i="5"/>
  <c r="J1735" i="5"/>
  <c r="J1736" i="5"/>
  <c r="J1737" i="5"/>
  <c r="J1738" i="5"/>
  <c r="J1739" i="5"/>
  <c r="J1740" i="5"/>
  <c r="J1741" i="5"/>
  <c r="J1742" i="5"/>
  <c r="J1743" i="5"/>
  <c r="J1744" i="5"/>
  <c r="J1745" i="5"/>
  <c r="J1746" i="5"/>
  <c r="J1747" i="5"/>
  <c r="J1748" i="5"/>
  <c r="J1749" i="5"/>
  <c r="J1750" i="5"/>
  <c r="J1751" i="5"/>
  <c r="J1752" i="5"/>
  <c r="J1753" i="5"/>
  <c r="J1754" i="5"/>
  <c r="J1755" i="5"/>
  <c r="J1756" i="5"/>
  <c r="J1757" i="5"/>
  <c r="J1758" i="5"/>
  <c r="J1759" i="5"/>
  <c r="J1760" i="5"/>
  <c r="J1761" i="5"/>
  <c r="J1762" i="5"/>
  <c r="J1763" i="5"/>
  <c r="J1764" i="5"/>
  <c r="J1765" i="5"/>
  <c r="J1766" i="5"/>
  <c r="J1767" i="5"/>
  <c r="J1768" i="5"/>
  <c r="J1769" i="5"/>
  <c r="J1770" i="5"/>
  <c r="J1771" i="5"/>
  <c r="J1772" i="5"/>
  <c r="J1773" i="5"/>
  <c r="J1774" i="5"/>
  <c r="J1775" i="5"/>
  <c r="J1776" i="5"/>
  <c r="J1777" i="5"/>
  <c r="J1778" i="5"/>
  <c r="J1779" i="5"/>
  <c r="J1780" i="5"/>
  <c r="J1781" i="5"/>
  <c r="J1782" i="5"/>
  <c r="J1783" i="5"/>
  <c r="J1784" i="5"/>
  <c r="J1785" i="5"/>
  <c r="J1786" i="5"/>
  <c r="J1787" i="5"/>
  <c r="J1788" i="5"/>
  <c r="J1789" i="5"/>
  <c r="J1790" i="5"/>
  <c r="J1791" i="5"/>
  <c r="J1792" i="5"/>
  <c r="J1793" i="5"/>
  <c r="J1794" i="5"/>
  <c r="J1795" i="5"/>
  <c r="J1796" i="5"/>
  <c r="J1797" i="5"/>
  <c r="J1798" i="5"/>
  <c r="J1799" i="5"/>
  <c r="J1800" i="5"/>
  <c r="J1801" i="5"/>
  <c r="J1802" i="5"/>
  <c r="J1803" i="5"/>
  <c r="J1804" i="5"/>
  <c r="J1805" i="5"/>
  <c r="J1806" i="5"/>
  <c r="J1807" i="5"/>
  <c r="J1808" i="5"/>
  <c r="J1809" i="5"/>
  <c r="J1810" i="5"/>
  <c r="J1811" i="5"/>
  <c r="J1812" i="5"/>
  <c r="J1813" i="5"/>
  <c r="J1814" i="5"/>
  <c r="J1815" i="5"/>
  <c r="J1816" i="5"/>
  <c r="J1817" i="5"/>
  <c r="J1818" i="5"/>
  <c r="J1819" i="5"/>
  <c r="J1820" i="5"/>
  <c r="J1821" i="5"/>
  <c r="J1822" i="5"/>
  <c r="J1823" i="5"/>
  <c r="J1824" i="5"/>
  <c r="J1825" i="5"/>
  <c r="J1826" i="5"/>
  <c r="J1827" i="5"/>
  <c r="J1828" i="5"/>
  <c r="J1829" i="5"/>
  <c r="J1830" i="5"/>
  <c r="J1831" i="5"/>
  <c r="J1832" i="5"/>
  <c r="J1833" i="5"/>
  <c r="J1834" i="5"/>
  <c r="J1835" i="5"/>
  <c r="J1836" i="5"/>
  <c r="J1837" i="5"/>
  <c r="J1838" i="5"/>
  <c r="J1839" i="5"/>
  <c r="J1840" i="5"/>
  <c r="J1841" i="5"/>
  <c r="J1842" i="5"/>
  <c r="J1843" i="5"/>
  <c r="J1844" i="5"/>
  <c r="J1845" i="5"/>
  <c r="J1846" i="5"/>
  <c r="J1847" i="5"/>
  <c r="J1848" i="5"/>
  <c r="J1849" i="5"/>
  <c r="J1850" i="5"/>
  <c r="J1851" i="5"/>
  <c r="J1852" i="5"/>
  <c r="J1853" i="5"/>
  <c r="J1854" i="5"/>
  <c r="J1855" i="5"/>
  <c r="J1856" i="5"/>
  <c r="J1857" i="5"/>
  <c r="J1858" i="5"/>
  <c r="J1859" i="5"/>
  <c r="J1860" i="5"/>
  <c r="J1861" i="5"/>
  <c r="J1862" i="5"/>
  <c r="AV11" i="5"/>
  <c r="AV12" i="5"/>
  <c r="AV13" i="5"/>
  <c r="AV14" i="5"/>
  <c r="AW14" i="5" s="1"/>
  <c r="AV15" i="5"/>
  <c r="AV16" i="5"/>
  <c r="AW16" i="5" s="1"/>
  <c r="AV17" i="5"/>
  <c r="AW17" i="5" s="1"/>
  <c r="AV18" i="5"/>
  <c r="AV19" i="5"/>
  <c r="AV20" i="5"/>
  <c r="AV21" i="5"/>
  <c r="AV22" i="5"/>
  <c r="AW22" i="5" s="1"/>
  <c r="AV23" i="5"/>
  <c r="AV24" i="5"/>
  <c r="AW24" i="5" s="1"/>
  <c r="AV25" i="5"/>
  <c r="AV26" i="5"/>
  <c r="AV27" i="5"/>
  <c r="AV28" i="5"/>
  <c r="AV29" i="5"/>
  <c r="AV30" i="5"/>
  <c r="AV31" i="5"/>
  <c r="AV32" i="5"/>
  <c r="AW32" i="5" s="1"/>
  <c r="AV33" i="5"/>
  <c r="AW33" i="5" s="1"/>
  <c r="AV34" i="5"/>
  <c r="AV35" i="5"/>
  <c r="AV36" i="5"/>
  <c r="AV37" i="5"/>
  <c r="AV38" i="5"/>
  <c r="AW38" i="5" s="1"/>
  <c r="AV39" i="5"/>
  <c r="AV40" i="5"/>
  <c r="AW40" i="5" s="1"/>
  <c r="AV41" i="5"/>
  <c r="AV42" i="5"/>
  <c r="AV43" i="5"/>
  <c r="AV44" i="5"/>
  <c r="AV45" i="5"/>
  <c r="AV46" i="5"/>
  <c r="AW46" i="5" s="1"/>
  <c r="AV47" i="5"/>
  <c r="AV48" i="5"/>
  <c r="AW48" i="5" s="1"/>
  <c r="AV49" i="5"/>
  <c r="AV50" i="5"/>
  <c r="AV51" i="5"/>
  <c r="AV52" i="5"/>
  <c r="AV53" i="5"/>
  <c r="AV54" i="5"/>
  <c r="AW54" i="5" s="1"/>
  <c r="AV55" i="5"/>
  <c r="AV56" i="5"/>
  <c r="AW56" i="5" s="1"/>
  <c r="AV57" i="5"/>
  <c r="AV58" i="5"/>
  <c r="AV59" i="5"/>
  <c r="AV60" i="5"/>
  <c r="AV61" i="5"/>
  <c r="AV62" i="5"/>
  <c r="AW62" i="5" s="1"/>
  <c r="AV63" i="5"/>
  <c r="AV64" i="5"/>
  <c r="AW64" i="5" s="1"/>
  <c r="AV65" i="5"/>
  <c r="AV66" i="5"/>
  <c r="AV67" i="5"/>
  <c r="AV68" i="5"/>
  <c r="AV69" i="5"/>
  <c r="AV70" i="5"/>
  <c r="AW70" i="5" s="1"/>
  <c r="AV71" i="5"/>
  <c r="AV72" i="5"/>
  <c r="AW72" i="5" s="1"/>
  <c r="AV73" i="5"/>
  <c r="AW73" i="5" s="1"/>
  <c r="AV74" i="5"/>
  <c r="AV75" i="5"/>
  <c r="AV76" i="5"/>
  <c r="AV77" i="5"/>
  <c r="AV78" i="5"/>
  <c r="AW78" i="5" s="1"/>
  <c r="AV79" i="5"/>
  <c r="AV80" i="5"/>
  <c r="AW80" i="5" s="1"/>
  <c r="AV81" i="5"/>
  <c r="AW81" i="5" s="1"/>
  <c r="AV82" i="5"/>
  <c r="AV83" i="5"/>
  <c r="AV84" i="5"/>
  <c r="AV85" i="5"/>
  <c r="AV86" i="5"/>
  <c r="AW86" i="5" s="1"/>
  <c r="AV87" i="5"/>
  <c r="AV88" i="5"/>
  <c r="AW88" i="5" s="1"/>
  <c r="AV89" i="5"/>
  <c r="AV90" i="5"/>
  <c r="AV91" i="5"/>
  <c r="AV92" i="5"/>
  <c r="AV93" i="5"/>
  <c r="AV94" i="5"/>
  <c r="AV95" i="5"/>
  <c r="AV96" i="5"/>
  <c r="AW96" i="5" s="1"/>
  <c r="AV97" i="5"/>
  <c r="AW97" i="5" s="1"/>
  <c r="AV98" i="5"/>
  <c r="AV99" i="5"/>
  <c r="AV100" i="5"/>
  <c r="AV101" i="5"/>
  <c r="AV102" i="5"/>
  <c r="AW102" i="5" s="1"/>
  <c r="AV103" i="5"/>
  <c r="AV104" i="5"/>
  <c r="AW104" i="5" s="1"/>
  <c r="AV105" i="5"/>
  <c r="AV106" i="5"/>
  <c r="AV107" i="5"/>
  <c r="AV108" i="5"/>
  <c r="AV109" i="5"/>
  <c r="AV110" i="5"/>
  <c r="AW110" i="5" s="1"/>
  <c r="AV111" i="5"/>
  <c r="AV112" i="5"/>
  <c r="AW112" i="5" s="1"/>
  <c r="AV113" i="5"/>
  <c r="AV114" i="5"/>
  <c r="AV115" i="5"/>
  <c r="AV116" i="5"/>
  <c r="AV117" i="5"/>
  <c r="AV118" i="5"/>
  <c r="AW118" i="5" s="1"/>
  <c r="AV119" i="5"/>
  <c r="AV120" i="5"/>
  <c r="AW120" i="5" s="1"/>
  <c r="AV121" i="5"/>
  <c r="AV122" i="5"/>
  <c r="AV123" i="5"/>
  <c r="AV124" i="5"/>
  <c r="AV125" i="5"/>
  <c r="AV126" i="5"/>
  <c r="AW126" i="5" s="1"/>
  <c r="AV127" i="5"/>
  <c r="AV128" i="5"/>
  <c r="AW128" i="5" s="1"/>
  <c r="AV129" i="5"/>
  <c r="AV130" i="5"/>
  <c r="AV131" i="5"/>
  <c r="AV132" i="5"/>
  <c r="AV133" i="5"/>
  <c r="AV134" i="5"/>
  <c r="AW134" i="5" s="1"/>
  <c r="AV135" i="5"/>
  <c r="AV136" i="5"/>
  <c r="AW136" i="5" s="1"/>
  <c r="AV137" i="5"/>
  <c r="AW137" i="5" s="1"/>
  <c r="AV138" i="5"/>
  <c r="AV139" i="5"/>
  <c r="AV140" i="5"/>
  <c r="AV141" i="5"/>
  <c r="AV142" i="5"/>
  <c r="AW142" i="5" s="1"/>
  <c r="AV143" i="5"/>
  <c r="AV144" i="5"/>
  <c r="AW144" i="5" s="1"/>
  <c r="AV145" i="5"/>
  <c r="AW145" i="5" s="1"/>
  <c r="AV146" i="5"/>
  <c r="AV147" i="5"/>
  <c r="AV148" i="5"/>
  <c r="AV149" i="5"/>
  <c r="AV150" i="5"/>
  <c r="AW150" i="5" s="1"/>
  <c r="AV151" i="5"/>
  <c r="AV152" i="5"/>
  <c r="AW152" i="5" s="1"/>
  <c r="AV153" i="5"/>
  <c r="AV154" i="5"/>
  <c r="AV155" i="5"/>
  <c r="AV156" i="5"/>
  <c r="AV157" i="5"/>
  <c r="AV158" i="5"/>
  <c r="AV159" i="5"/>
  <c r="AV160" i="5"/>
  <c r="AW160" i="5" s="1"/>
  <c r="AV161" i="5"/>
  <c r="AW161" i="5" s="1"/>
  <c r="AV162" i="5"/>
  <c r="AV163" i="5"/>
  <c r="AV164" i="5"/>
  <c r="AV165" i="5"/>
  <c r="AV166" i="5"/>
  <c r="AW166" i="5" s="1"/>
  <c r="AV167" i="5"/>
  <c r="AV168" i="5"/>
  <c r="AW168" i="5" s="1"/>
  <c r="AV169" i="5"/>
  <c r="AV170" i="5"/>
  <c r="AV171" i="5"/>
  <c r="AV172" i="5"/>
  <c r="AV173" i="5"/>
  <c r="AV174" i="5"/>
  <c r="AW174" i="5" s="1"/>
  <c r="AV175" i="5"/>
  <c r="AV176" i="5"/>
  <c r="AW176" i="5" s="1"/>
  <c r="AV177" i="5"/>
  <c r="AV178" i="5"/>
  <c r="AV179" i="5"/>
  <c r="AV180" i="5"/>
  <c r="AV181" i="5"/>
  <c r="AV182" i="5"/>
  <c r="AW182" i="5" s="1"/>
  <c r="AV183" i="5"/>
  <c r="AV184" i="5"/>
  <c r="AW184" i="5" s="1"/>
  <c r="AV185" i="5"/>
  <c r="AV186" i="5"/>
  <c r="AV187" i="5"/>
  <c r="AV188" i="5"/>
  <c r="AV189" i="5"/>
  <c r="AV190" i="5"/>
  <c r="AW190" i="5" s="1"/>
  <c r="AV191" i="5"/>
  <c r="AV192" i="5"/>
  <c r="AW192" i="5" s="1"/>
  <c r="AV193" i="5"/>
  <c r="AV194" i="5"/>
  <c r="AV195" i="5"/>
  <c r="AV196" i="5"/>
  <c r="AV197" i="5"/>
  <c r="AV198" i="5"/>
  <c r="AW198" i="5" s="1"/>
  <c r="AV199" i="5"/>
  <c r="AV200" i="5"/>
  <c r="AW200" i="5" s="1"/>
  <c r="AV201" i="5"/>
  <c r="AV202" i="5"/>
  <c r="AV203" i="5"/>
  <c r="AV204" i="5"/>
  <c r="AV205" i="5"/>
  <c r="AV206" i="5"/>
  <c r="AW206" i="5" s="1"/>
  <c r="AV207" i="5"/>
  <c r="AV208" i="5"/>
  <c r="AW208" i="5" s="1"/>
  <c r="AV209" i="5"/>
  <c r="AW209" i="5" s="1"/>
  <c r="AV210" i="5"/>
  <c r="AV211" i="5"/>
  <c r="AV212" i="5"/>
  <c r="AV213" i="5"/>
  <c r="AV214" i="5"/>
  <c r="AV215" i="5"/>
  <c r="AV216" i="5"/>
  <c r="AW216" i="5" s="1"/>
  <c r="AV217" i="5"/>
  <c r="AV218" i="5"/>
  <c r="AV219" i="5"/>
  <c r="AV220" i="5"/>
  <c r="AV221" i="5"/>
  <c r="AV222" i="5"/>
  <c r="AW222" i="5" s="1"/>
  <c r="AV223" i="5"/>
  <c r="AV224" i="5"/>
  <c r="AW224" i="5" s="1"/>
  <c r="AV225" i="5"/>
  <c r="AW225" i="5" s="1"/>
  <c r="AV226" i="5"/>
  <c r="AV227" i="5"/>
  <c r="AV228" i="5"/>
  <c r="AV229" i="5"/>
  <c r="AV230" i="5"/>
  <c r="AW230" i="5" s="1"/>
  <c r="AV231" i="5"/>
  <c r="AV232" i="5"/>
  <c r="AW232" i="5" s="1"/>
  <c r="AV233" i="5"/>
  <c r="AV234" i="5"/>
  <c r="AV235" i="5"/>
  <c r="AV236" i="5"/>
  <c r="AV237" i="5"/>
  <c r="AV238" i="5"/>
  <c r="AW238" i="5" s="1"/>
  <c r="AV239" i="5"/>
  <c r="AV240" i="5"/>
  <c r="AW240" i="5" s="1"/>
  <c r="AV241" i="5"/>
  <c r="AV242" i="5"/>
  <c r="AV243" i="5"/>
  <c r="AV244" i="5"/>
  <c r="AV245" i="5"/>
  <c r="AV246" i="5"/>
  <c r="AW246" i="5" s="1"/>
  <c r="AV247" i="5"/>
  <c r="AV248" i="5"/>
  <c r="AW248" i="5" s="1"/>
  <c r="AV249" i="5"/>
  <c r="AV250" i="5"/>
  <c r="AV251" i="5"/>
  <c r="AV252" i="5"/>
  <c r="AV253" i="5"/>
  <c r="AV254" i="5"/>
  <c r="AW254" i="5" s="1"/>
  <c r="AV255" i="5"/>
  <c r="AV256" i="5"/>
  <c r="AW256" i="5" s="1"/>
  <c r="AV257" i="5"/>
  <c r="AV258" i="5"/>
  <c r="AV259" i="5"/>
  <c r="AV260" i="5"/>
  <c r="AV261" i="5"/>
  <c r="AV262" i="5"/>
  <c r="AW262" i="5" s="1"/>
  <c r="AV263" i="5"/>
  <c r="AV264" i="5"/>
  <c r="AW264" i="5" s="1"/>
  <c r="AV265" i="5"/>
  <c r="AV266" i="5"/>
  <c r="AV267" i="5"/>
  <c r="AV268" i="5"/>
  <c r="AV269" i="5"/>
  <c r="AV270" i="5"/>
  <c r="AW270" i="5" s="1"/>
  <c r="AV271" i="5"/>
  <c r="AV272" i="5"/>
  <c r="AW272" i="5" s="1"/>
  <c r="AV273" i="5"/>
  <c r="AW273" i="5" s="1"/>
  <c r="AV274" i="5"/>
  <c r="AV275" i="5"/>
  <c r="AV276" i="5"/>
  <c r="AV277" i="5"/>
  <c r="AV278" i="5"/>
  <c r="AV279" i="5"/>
  <c r="AV280" i="5"/>
  <c r="AW280" i="5" s="1"/>
  <c r="AV281" i="5"/>
  <c r="AV282" i="5"/>
  <c r="AV283" i="5"/>
  <c r="AV284" i="5"/>
  <c r="AV285" i="5"/>
  <c r="AV286" i="5"/>
  <c r="AV287" i="5"/>
  <c r="AV288" i="5"/>
  <c r="AW288" i="5" s="1"/>
  <c r="AV289" i="5"/>
  <c r="AW289" i="5" s="1"/>
  <c r="AV290" i="5"/>
  <c r="AV291" i="5"/>
  <c r="AV292" i="5"/>
  <c r="AV293" i="5"/>
  <c r="AV294" i="5"/>
  <c r="AW294" i="5" s="1"/>
  <c r="AV295" i="5"/>
  <c r="AV296" i="5"/>
  <c r="AW296" i="5" s="1"/>
  <c r="AV297" i="5"/>
  <c r="AV298" i="5"/>
  <c r="AV299" i="5"/>
  <c r="AV300" i="5"/>
  <c r="AV301" i="5"/>
  <c r="AV302" i="5"/>
  <c r="AW302" i="5" s="1"/>
  <c r="AV303" i="5"/>
  <c r="AV304" i="5"/>
  <c r="AW304" i="5" s="1"/>
  <c r="AV305" i="5"/>
  <c r="AV306" i="5"/>
  <c r="AV307" i="5"/>
  <c r="AV308" i="5"/>
  <c r="AV309" i="5"/>
  <c r="AV310" i="5"/>
  <c r="AW310" i="5" s="1"/>
  <c r="AV311" i="5"/>
  <c r="AV312" i="5"/>
  <c r="AW312" i="5" s="1"/>
  <c r="AV313" i="5"/>
  <c r="AV314" i="5"/>
  <c r="AV315" i="5"/>
  <c r="AV316" i="5"/>
  <c r="AV317" i="5"/>
  <c r="AV318" i="5"/>
  <c r="AW318" i="5" s="1"/>
  <c r="AV319" i="5"/>
  <c r="AV320" i="5"/>
  <c r="AW320" i="5" s="1"/>
  <c r="AV321" i="5"/>
  <c r="AV322" i="5"/>
  <c r="AV323" i="5"/>
  <c r="AV324" i="5"/>
  <c r="AV325" i="5"/>
  <c r="AV326" i="5"/>
  <c r="AW326" i="5" s="1"/>
  <c r="AV327" i="5"/>
  <c r="AV328" i="5"/>
  <c r="AW328" i="5" s="1"/>
  <c r="AV329" i="5"/>
  <c r="AV330" i="5"/>
  <c r="AV331" i="5"/>
  <c r="AV332" i="5"/>
  <c r="AV333" i="5"/>
  <c r="AV334" i="5"/>
  <c r="AW334" i="5" s="1"/>
  <c r="AV335" i="5"/>
  <c r="AV336" i="5"/>
  <c r="AW336" i="5" s="1"/>
  <c r="AV337" i="5"/>
  <c r="AW337" i="5" s="1"/>
  <c r="AV338" i="5"/>
  <c r="AV339" i="5"/>
  <c r="AV340" i="5"/>
  <c r="AV341" i="5"/>
  <c r="AV342" i="5"/>
  <c r="AW342" i="5" s="1"/>
  <c r="AV343" i="5"/>
  <c r="AV344" i="5"/>
  <c r="AW344" i="5" s="1"/>
  <c r="AV345" i="5"/>
  <c r="AV346" i="5"/>
  <c r="AV347" i="5"/>
  <c r="AV348" i="5"/>
  <c r="AV349" i="5"/>
  <c r="AV350" i="5"/>
  <c r="AV351" i="5"/>
  <c r="AV352" i="5"/>
  <c r="AW352" i="5" s="1"/>
  <c r="AV353" i="5"/>
  <c r="AW353" i="5" s="1"/>
  <c r="AV354" i="5"/>
  <c r="AV355" i="5"/>
  <c r="AV356" i="5"/>
  <c r="AV357" i="5"/>
  <c r="AV358" i="5"/>
  <c r="AW358" i="5" s="1"/>
  <c r="AV359" i="5"/>
  <c r="AV360" i="5"/>
  <c r="AW360" i="5" s="1"/>
  <c r="AV361" i="5"/>
  <c r="AV362" i="5"/>
  <c r="AV363" i="5"/>
  <c r="AV364" i="5"/>
  <c r="AV365" i="5"/>
  <c r="AV366" i="5"/>
  <c r="AW366" i="5" s="1"/>
  <c r="AV367" i="5"/>
  <c r="AV368" i="5"/>
  <c r="AW368" i="5" s="1"/>
  <c r="AV369" i="5"/>
  <c r="AV370" i="5"/>
  <c r="AV371" i="5"/>
  <c r="AV372" i="5"/>
  <c r="AV373" i="5"/>
  <c r="AV374" i="5"/>
  <c r="AW374" i="5" s="1"/>
  <c r="AV375" i="5"/>
  <c r="AV376" i="5"/>
  <c r="AW376" i="5" s="1"/>
  <c r="AV377" i="5"/>
  <c r="AV378" i="5"/>
  <c r="AV379" i="5"/>
  <c r="AV380" i="5"/>
  <c r="AV381" i="5"/>
  <c r="AV382" i="5"/>
  <c r="AW382" i="5" s="1"/>
  <c r="AV383" i="5"/>
  <c r="AV384" i="5"/>
  <c r="AW384" i="5" s="1"/>
  <c r="AV385" i="5"/>
  <c r="AV386" i="5"/>
  <c r="AV387" i="5"/>
  <c r="AV388" i="5"/>
  <c r="AV389" i="5"/>
  <c r="AV390" i="5"/>
  <c r="AW390" i="5" s="1"/>
  <c r="AV391" i="5"/>
  <c r="AV392" i="5"/>
  <c r="AW392" i="5" s="1"/>
  <c r="AV393" i="5"/>
  <c r="AV394" i="5"/>
  <c r="AV395" i="5"/>
  <c r="AV396" i="5"/>
  <c r="AV397" i="5"/>
  <c r="AV398" i="5"/>
  <c r="AW398" i="5" s="1"/>
  <c r="AV399" i="5"/>
  <c r="AV400" i="5"/>
  <c r="AW400" i="5" s="1"/>
  <c r="AV401" i="5"/>
  <c r="AW401" i="5" s="1"/>
  <c r="AV402" i="5"/>
  <c r="AV403" i="5"/>
  <c r="AV404" i="5"/>
  <c r="AV405" i="5"/>
  <c r="AV406" i="5"/>
  <c r="AW406" i="5" s="1"/>
  <c r="AV407" i="5"/>
  <c r="AV408" i="5"/>
  <c r="AW408" i="5" s="1"/>
  <c r="AV409" i="5"/>
  <c r="AV410" i="5"/>
  <c r="AV411" i="5"/>
  <c r="AV412" i="5"/>
  <c r="AV413" i="5"/>
  <c r="AV414" i="5"/>
  <c r="AW414" i="5" s="1"/>
  <c r="AV415" i="5"/>
  <c r="AV416" i="5"/>
  <c r="AW416" i="5" s="1"/>
  <c r="AV417" i="5"/>
  <c r="AW417" i="5" s="1"/>
  <c r="AV418" i="5"/>
  <c r="AV419" i="5"/>
  <c r="AV420" i="5"/>
  <c r="AV421" i="5"/>
  <c r="AV422" i="5"/>
  <c r="AW422" i="5" s="1"/>
  <c r="AV423" i="5"/>
  <c r="AV424" i="5"/>
  <c r="AW424" i="5" s="1"/>
  <c r="AV425" i="5"/>
  <c r="AV426" i="5"/>
  <c r="AV427" i="5"/>
  <c r="AV428" i="5"/>
  <c r="AV429" i="5"/>
  <c r="AV430" i="5"/>
  <c r="AV431" i="5"/>
  <c r="AV432" i="5"/>
  <c r="AW432" i="5" s="1"/>
  <c r="AV433" i="5"/>
  <c r="AV434" i="5"/>
  <c r="AV435" i="5"/>
  <c r="AV436" i="5"/>
  <c r="AV437" i="5"/>
  <c r="AV438" i="5"/>
  <c r="AW438" i="5" s="1"/>
  <c r="AV439" i="5"/>
  <c r="AV440" i="5"/>
  <c r="AW440" i="5" s="1"/>
  <c r="AV441" i="5"/>
  <c r="AV442" i="5"/>
  <c r="AV443" i="5"/>
  <c r="AV444" i="5"/>
  <c r="AV445" i="5"/>
  <c r="AV446" i="5"/>
  <c r="AW446" i="5" s="1"/>
  <c r="AV447" i="5"/>
  <c r="AV448" i="5"/>
  <c r="AW448" i="5" s="1"/>
  <c r="AV449" i="5"/>
  <c r="AV450" i="5"/>
  <c r="AV451" i="5"/>
  <c r="AV452" i="5"/>
  <c r="AV453" i="5"/>
  <c r="AV454" i="5"/>
  <c r="AW454" i="5" s="1"/>
  <c r="AV455" i="5"/>
  <c r="AV456" i="5"/>
  <c r="AW456" i="5" s="1"/>
  <c r="AV457" i="5"/>
  <c r="AV458" i="5"/>
  <c r="AV459" i="5"/>
  <c r="AV460" i="5"/>
  <c r="AV461" i="5"/>
  <c r="AV462" i="5"/>
  <c r="AW462" i="5" s="1"/>
  <c r="AV463" i="5"/>
  <c r="AV464" i="5"/>
  <c r="AW464" i="5" s="1"/>
  <c r="AV465" i="5"/>
  <c r="AW465" i="5" s="1"/>
  <c r="AV466" i="5"/>
  <c r="AV467" i="5"/>
  <c r="AV468" i="5"/>
  <c r="AV469" i="5"/>
  <c r="AV470" i="5"/>
  <c r="AW470" i="5" s="1"/>
  <c r="AV471" i="5"/>
  <c r="AV472" i="5"/>
  <c r="AW472" i="5" s="1"/>
  <c r="AV473" i="5"/>
  <c r="AV474" i="5"/>
  <c r="AV475" i="5"/>
  <c r="AV476" i="5"/>
  <c r="AV477" i="5"/>
  <c r="AV478" i="5"/>
  <c r="AW478" i="5" s="1"/>
  <c r="AV479" i="5"/>
  <c r="AV480" i="5"/>
  <c r="AW480" i="5" s="1"/>
  <c r="AV481" i="5"/>
  <c r="AW481" i="5" s="1"/>
  <c r="AV482" i="5"/>
  <c r="AV483" i="5"/>
  <c r="AV484" i="5"/>
  <c r="AV485" i="5"/>
  <c r="AV486" i="5"/>
  <c r="AW486" i="5" s="1"/>
  <c r="AV487" i="5"/>
  <c r="AV488" i="5"/>
  <c r="AW488" i="5" s="1"/>
  <c r="AV489" i="5"/>
  <c r="AV490" i="5"/>
  <c r="AV491" i="5"/>
  <c r="AV492" i="5"/>
  <c r="AV493" i="5"/>
  <c r="AV494" i="5"/>
  <c r="AW494" i="5" s="1"/>
  <c r="AV495" i="5"/>
  <c r="AV496" i="5"/>
  <c r="AW496" i="5" s="1"/>
  <c r="AV497" i="5"/>
  <c r="AV498" i="5"/>
  <c r="AV499" i="5"/>
  <c r="AV500" i="5"/>
  <c r="AV501" i="5"/>
  <c r="AV502" i="5"/>
  <c r="AW502" i="5" s="1"/>
  <c r="AV503" i="5"/>
  <c r="AV504" i="5"/>
  <c r="AW504" i="5" s="1"/>
  <c r="AV505" i="5"/>
  <c r="AV506" i="5"/>
  <c r="AV507" i="5"/>
  <c r="AV508" i="5"/>
  <c r="AV509" i="5"/>
  <c r="AV510" i="5"/>
  <c r="AW510" i="5" s="1"/>
  <c r="AV511" i="5"/>
  <c r="AV512" i="5"/>
  <c r="AW512" i="5" s="1"/>
  <c r="AV513" i="5"/>
  <c r="AV514" i="5"/>
  <c r="AV515" i="5"/>
  <c r="AV516" i="5"/>
  <c r="AV517" i="5"/>
  <c r="AV518" i="5"/>
  <c r="AW518" i="5" s="1"/>
  <c r="AV519" i="5"/>
  <c r="AV520" i="5"/>
  <c r="AW520" i="5" s="1"/>
  <c r="AV521" i="5"/>
  <c r="AV522" i="5"/>
  <c r="AV523" i="5"/>
  <c r="AV524" i="5"/>
  <c r="AV525" i="5"/>
  <c r="AV526" i="5"/>
  <c r="AW526" i="5" s="1"/>
  <c r="AV527" i="5"/>
  <c r="AV528" i="5"/>
  <c r="AW528" i="5" s="1"/>
  <c r="AV529" i="5"/>
  <c r="AW529" i="5" s="1"/>
  <c r="AV530" i="5"/>
  <c r="AV531" i="5"/>
  <c r="AV532" i="5"/>
  <c r="AV533" i="5"/>
  <c r="AV534" i="5"/>
  <c r="AW534" i="5" s="1"/>
  <c r="AV535" i="5"/>
  <c r="AV536" i="5"/>
  <c r="AW536" i="5" s="1"/>
  <c r="AV537" i="5"/>
  <c r="AV538" i="5"/>
  <c r="AV539" i="5"/>
  <c r="AV540" i="5"/>
  <c r="AV541" i="5"/>
  <c r="AV542" i="5"/>
  <c r="AW542" i="5" s="1"/>
  <c r="AV543" i="5"/>
  <c r="AV544" i="5"/>
  <c r="AW544" i="5" s="1"/>
  <c r="AV545" i="5"/>
  <c r="AW545" i="5" s="1"/>
  <c r="AV546" i="5"/>
  <c r="AV547" i="5"/>
  <c r="AV548" i="5"/>
  <c r="AV549" i="5"/>
  <c r="AV550" i="5"/>
  <c r="AW550" i="5" s="1"/>
  <c r="AV551" i="5"/>
  <c r="AV552" i="5"/>
  <c r="AW552" i="5" s="1"/>
  <c r="AV553" i="5"/>
  <c r="AV554" i="5"/>
  <c r="AV555" i="5"/>
  <c r="AV556" i="5"/>
  <c r="AV557" i="5"/>
  <c r="AV558" i="5"/>
  <c r="AV559" i="5"/>
  <c r="AV560" i="5"/>
  <c r="AW560" i="5" s="1"/>
  <c r="AV561" i="5"/>
  <c r="AV562" i="5"/>
  <c r="AV563" i="5"/>
  <c r="AV564" i="5"/>
  <c r="AV565" i="5"/>
  <c r="AV566" i="5"/>
  <c r="AW566" i="5" s="1"/>
  <c r="AV567" i="5"/>
  <c r="AV568" i="5"/>
  <c r="AW568" i="5" s="1"/>
  <c r="AV569" i="5"/>
  <c r="AV570" i="5"/>
  <c r="AV571" i="5"/>
  <c r="AV572" i="5"/>
  <c r="AV573" i="5"/>
  <c r="AV574" i="5"/>
  <c r="AW574" i="5" s="1"/>
  <c r="AV575" i="5"/>
  <c r="AV576" i="5"/>
  <c r="AW576" i="5" s="1"/>
  <c r="AV577" i="5"/>
  <c r="AV578" i="5"/>
  <c r="AV579" i="5"/>
  <c r="AV580" i="5"/>
  <c r="AV581" i="5"/>
  <c r="AV582" i="5"/>
  <c r="AW582" i="5" s="1"/>
  <c r="AV583" i="5"/>
  <c r="AV584" i="5"/>
  <c r="AW584" i="5" s="1"/>
  <c r="AV585" i="5"/>
  <c r="AV586" i="5"/>
  <c r="AV587" i="5"/>
  <c r="AV588" i="5"/>
  <c r="AV589" i="5"/>
  <c r="AV590" i="5"/>
  <c r="AW590" i="5" s="1"/>
  <c r="AV591" i="5"/>
  <c r="AV592" i="5"/>
  <c r="AW592" i="5" s="1"/>
  <c r="AV593" i="5"/>
  <c r="AW593" i="5" s="1"/>
  <c r="AV594" i="5"/>
  <c r="AV595" i="5"/>
  <c r="AV596" i="5"/>
  <c r="AV597" i="5"/>
  <c r="AV598" i="5"/>
  <c r="AV599" i="5"/>
  <c r="AV600" i="5"/>
  <c r="AW600" i="5" s="1"/>
  <c r="AV601" i="5"/>
  <c r="AV602" i="5"/>
  <c r="AV603" i="5"/>
  <c r="AV604" i="5"/>
  <c r="AV605" i="5"/>
  <c r="AV606" i="5"/>
  <c r="AW606" i="5" s="1"/>
  <c r="AV607" i="5"/>
  <c r="AV608" i="5"/>
  <c r="AW608" i="5" s="1"/>
  <c r="AV609" i="5"/>
  <c r="AW609" i="5" s="1"/>
  <c r="AV610" i="5"/>
  <c r="AV611" i="5"/>
  <c r="AV612" i="5"/>
  <c r="AV613" i="5"/>
  <c r="AV614" i="5"/>
  <c r="AW614" i="5" s="1"/>
  <c r="AV615" i="5"/>
  <c r="AV616" i="5"/>
  <c r="AW616" i="5" s="1"/>
  <c r="AV617" i="5"/>
  <c r="AV618" i="5"/>
  <c r="AV619" i="5"/>
  <c r="AV620" i="5"/>
  <c r="AV621" i="5"/>
  <c r="AV622" i="5"/>
  <c r="AV623" i="5"/>
  <c r="AV624" i="5"/>
  <c r="AW624" i="5" s="1"/>
  <c r="AV625" i="5"/>
  <c r="AV626" i="5"/>
  <c r="AV627" i="5"/>
  <c r="AV628" i="5"/>
  <c r="AV629" i="5"/>
  <c r="AV630" i="5"/>
  <c r="AW630" i="5" s="1"/>
  <c r="AV631" i="5"/>
  <c r="AV632" i="5"/>
  <c r="AW632" i="5" s="1"/>
  <c r="AV633" i="5"/>
  <c r="AV634" i="5"/>
  <c r="AV635" i="5"/>
  <c r="AV636" i="5"/>
  <c r="AV637" i="5"/>
  <c r="AV638" i="5"/>
  <c r="AW638" i="5" s="1"/>
  <c r="AV639" i="5"/>
  <c r="AV640" i="5"/>
  <c r="AW640" i="5" s="1"/>
  <c r="AV641" i="5"/>
  <c r="AV642" i="5"/>
  <c r="AV643" i="5"/>
  <c r="AV644" i="5"/>
  <c r="AV645" i="5"/>
  <c r="AV646" i="5"/>
  <c r="AW646" i="5" s="1"/>
  <c r="AV647" i="5"/>
  <c r="AV648" i="5"/>
  <c r="AW648" i="5" s="1"/>
  <c r="AV649" i="5"/>
  <c r="AV650" i="5"/>
  <c r="AV651" i="5"/>
  <c r="AV652" i="5"/>
  <c r="AV653" i="5"/>
  <c r="AV654" i="5"/>
  <c r="AW654" i="5" s="1"/>
  <c r="AV655" i="5"/>
  <c r="AV656" i="5"/>
  <c r="AW656" i="5" s="1"/>
  <c r="AV657" i="5"/>
  <c r="AW657" i="5" s="1"/>
  <c r="AV658" i="5"/>
  <c r="AV659" i="5"/>
  <c r="AV660" i="5"/>
  <c r="AV661" i="5"/>
  <c r="AV662" i="5"/>
  <c r="AW662" i="5" s="1"/>
  <c r="AV663" i="5"/>
  <c r="AV664" i="5"/>
  <c r="AW664" i="5" s="1"/>
  <c r="AV665" i="5"/>
  <c r="AV666" i="5"/>
  <c r="AV667" i="5"/>
  <c r="AV668" i="5"/>
  <c r="AV669" i="5"/>
  <c r="AV670" i="5"/>
  <c r="AV671" i="5"/>
  <c r="AV672" i="5"/>
  <c r="AW672" i="5" s="1"/>
  <c r="AV673" i="5"/>
  <c r="AW673" i="5" s="1"/>
  <c r="AV674" i="5"/>
  <c r="AV675" i="5"/>
  <c r="AV676" i="5"/>
  <c r="AV677" i="5"/>
  <c r="AV678" i="5"/>
  <c r="AW678" i="5" s="1"/>
  <c r="AV679" i="5"/>
  <c r="AV680" i="5"/>
  <c r="AW680" i="5" s="1"/>
  <c r="AV681" i="5"/>
  <c r="AV682" i="5"/>
  <c r="AV683" i="5"/>
  <c r="AV684" i="5"/>
  <c r="AV685" i="5"/>
  <c r="AV686" i="5"/>
  <c r="AW686" i="5" s="1"/>
  <c r="AV687" i="5"/>
  <c r="AV688" i="5"/>
  <c r="AW688" i="5" s="1"/>
  <c r="AV689" i="5"/>
  <c r="AV690" i="5"/>
  <c r="AV691" i="5"/>
  <c r="AV692" i="5"/>
  <c r="AV693" i="5"/>
  <c r="AV694" i="5"/>
  <c r="AW694" i="5" s="1"/>
  <c r="AV695" i="5"/>
  <c r="AV696" i="5"/>
  <c r="AW696" i="5" s="1"/>
  <c r="AV697" i="5"/>
  <c r="AV698" i="5"/>
  <c r="AV699" i="5"/>
  <c r="AV700" i="5"/>
  <c r="AV701" i="5"/>
  <c r="AV702" i="5"/>
  <c r="AW702" i="5" s="1"/>
  <c r="AV703" i="5"/>
  <c r="AV704" i="5"/>
  <c r="AW704" i="5" s="1"/>
  <c r="AV705" i="5"/>
  <c r="AV706" i="5"/>
  <c r="AV707" i="5"/>
  <c r="AV708" i="5"/>
  <c r="AV709" i="5"/>
  <c r="AV710" i="5"/>
  <c r="AW710" i="5" s="1"/>
  <c r="AV711" i="5"/>
  <c r="AV712" i="5"/>
  <c r="AW712" i="5" s="1"/>
  <c r="AV713" i="5"/>
  <c r="AV714" i="5"/>
  <c r="AV715" i="5"/>
  <c r="AV716" i="5"/>
  <c r="AV717" i="5"/>
  <c r="AV718" i="5"/>
  <c r="AW718" i="5" s="1"/>
  <c r="AV719" i="5"/>
  <c r="AV720" i="5"/>
  <c r="AW720" i="5" s="1"/>
  <c r="AV721" i="5"/>
  <c r="AV722" i="5"/>
  <c r="AV723" i="5"/>
  <c r="AV724" i="5"/>
  <c r="AV725" i="5"/>
  <c r="AV726" i="5"/>
  <c r="AW726" i="5" s="1"/>
  <c r="AV727" i="5"/>
  <c r="AV728" i="5"/>
  <c r="AW728" i="5" s="1"/>
  <c r="AV729" i="5"/>
  <c r="AV730" i="5"/>
  <c r="AV731" i="5"/>
  <c r="AV732" i="5"/>
  <c r="AV733" i="5"/>
  <c r="AV734" i="5"/>
  <c r="AW734" i="5" s="1"/>
  <c r="AV735" i="5"/>
  <c r="AV736" i="5"/>
  <c r="AW736" i="5" s="1"/>
  <c r="AV737" i="5"/>
  <c r="AV738" i="5"/>
  <c r="AV739" i="5"/>
  <c r="AV740" i="5"/>
  <c r="AV741" i="5"/>
  <c r="AV742" i="5"/>
  <c r="AW742" i="5" s="1"/>
  <c r="AV743" i="5"/>
  <c r="AV744" i="5"/>
  <c r="AW744" i="5" s="1"/>
  <c r="AV745" i="5"/>
  <c r="AV746" i="5"/>
  <c r="AV747" i="5"/>
  <c r="AV748" i="5"/>
  <c r="AV749" i="5"/>
  <c r="AV750" i="5"/>
  <c r="AW750" i="5" s="1"/>
  <c r="AV751" i="5"/>
  <c r="AV752" i="5"/>
  <c r="AW752" i="5" s="1"/>
  <c r="AV753" i="5"/>
  <c r="AV754" i="5"/>
  <c r="AV755" i="5"/>
  <c r="AV756" i="5"/>
  <c r="AV757" i="5"/>
  <c r="AV758" i="5"/>
  <c r="AW758" i="5" s="1"/>
  <c r="AV759" i="5"/>
  <c r="AV760" i="5"/>
  <c r="AW760" i="5" s="1"/>
  <c r="AV761" i="5"/>
  <c r="AV762" i="5"/>
  <c r="AV763" i="5"/>
  <c r="AV764" i="5"/>
  <c r="AV765" i="5"/>
  <c r="AV766" i="5"/>
  <c r="AW766" i="5" s="1"/>
  <c r="AV767" i="5"/>
  <c r="AV768" i="5"/>
  <c r="AW768" i="5" s="1"/>
  <c r="AV769" i="5"/>
  <c r="AV770" i="5"/>
  <c r="AV771" i="5"/>
  <c r="AV772" i="5"/>
  <c r="AV773" i="5"/>
  <c r="AV774" i="5"/>
  <c r="AW774" i="5" s="1"/>
  <c r="AV775" i="5"/>
  <c r="AV776" i="5"/>
  <c r="AW776" i="5" s="1"/>
  <c r="AV777" i="5"/>
  <c r="AV778" i="5"/>
  <c r="AV779" i="5"/>
  <c r="AV780" i="5"/>
  <c r="AV781" i="5"/>
  <c r="AV782" i="5"/>
  <c r="AW782" i="5" s="1"/>
  <c r="AV783" i="5"/>
  <c r="AV784" i="5"/>
  <c r="AW784" i="5" s="1"/>
  <c r="AV785" i="5"/>
  <c r="AV786" i="5"/>
  <c r="AV787" i="5"/>
  <c r="AV788" i="5"/>
  <c r="AV789" i="5"/>
  <c r="AV790" i="5"/>
  <c r="AW790" i="5" s="1"/>
  <c r="AV791" i="5"/>
  <c r="AV792" i="5"/>
  <c r="AW792" i="5" s="1"/>
  <c r="AV793" i="5"/>
  <c r="AV794" i="5"/>
  <c r="AV795" i="5"/>
  <c r="AV796" i="5"/>
  <c r="AV797" i="5"/>
  <c r="AV798" i="5"/>
  <c r="AW798" i="5" s="1"/>
  <c r="AV799" i="5"/>
  <c r="AV800" i="5"/>
  <c r="AW800" i="5" s="1"/>
  <c r="AV801" i="5"/>
  <c r="AV802" i="5"/>
  <c r="AV803" i="5"/>
  <c r="AV804" i="5"/>
  <c r="AV805" i="5"/>
  <c r="AV806" i="5"/>
  <c r="AW806" i="5" s="1"/>
  <c r="AV807" i="5"/>
  <c r="AV808" i="5"/>
  <c r="AW808" i="5" s="1"/>
  <c r="AV809" i="5"/>
  <c r="AV810" i="5"/>
  <c r="AV811" i="5"/>
  <c r="AV812" i="5"/>
  <c r="AV813" i="5"/>
  <c r="AV814" i="5"/>
  <c r="AW814" i="5" s="1"/>
  <c r="AV815" i="5"/>
  <c r="AV816" i="5"/>
  <c r="AW816" i="5" s="1"/>
  <c r="AV817" i="5"/>
  <c r="AV818" i="5"/>
  <c r="AV819" i="5"/>
  <c r="AV820" i="5"/>
  <c r="AV821" i="5"/>
  <c r="AV822" i="5"/>
  <c r="AW822" i="5" s="1"/>
  <c r="AV823" i="5"/>
  <c r="AV824" i="5"/>
  <c r="AW824" i="5" s="1"/>
  <c r="AV825" i="5"/>
  <c r="AV826" i="5"/>
  <c r="AV827" i="5"/>
  <c r="AV828" i="5"/>
  <c r="AV829" i="5"/>
  <c r="AV830" i="5"/>
  <c r="AW830" i="5" s="1"/>
  <c r="AV831" i="5"/>
  <c r="AV832" i="5"/>
  <c r="AW832" i="5" s="1"/>
  <c r="AV833" i="5"/>
  <c r="AV834" i="5"/>
  <c r="AV835" i="5"/>
  <c r="AV836" i="5"/>
  <c r="AV837" i="5"/>
  <c r="AV838" i="5"/>
  <c r="AW838" i="5" s="1"/>
  <c r="AV839" i="5"/>
  <c r="AV840" i="5"/>
  <c r="AW840" i="5" s="1"/>
  <c r="AV841" i="5"/>
  <c r="AV842" i="5"/>
  <c r="AV843" i="5"/>
  <c r="AV844" i="5"/>
  <c r="AV845" i="5"/>
  <c r="AV846" i="5"/>
  <c r="AW846" i="5" s="1"/>
  <c r="AV847" i="5"/>
  <c r="AV848" i="5"/>
  <c r="AW848" i="5" s="1"/>
  <c r="AV849" i="5"/>
  <c r="AV850" i="5"/>
  <c r="AV851" i="5"/>
  <c r="AV852" i="5"/>
  <c r="AV853" i="5"/>
  <c r="AV854" i="5"/>
  <c r="AW854" i="5" s="1"/>
  <c r="AV855" i="5"/>
  <c r="AV856" i="5"/>
  <c r="AW856" i="5" s="1"/>
  <c r="AV857" i="5"/>
  <c r="AV858" i="5"/>
  <c r="AV859" i="5"/>
  <c r="AV860" i="5"/>
  <c r="AV861" i="5"/>
  <c r="AV862" i="5"/>
  <c r="AW862" i="5" s="1"/>
  <c r="AV863" i="5"/>
  <c r="AV864" i="5"/>
  <c r="AW864" i="5" s="1"/>
  <c r="AV865" i="5"/>
  <c r="AV866" i="5"/>
  <c r="AV867" i="5"/>
  <c r="AV868" i="5"/>
  <c r="AV869" i="5"/>
  <c r="AV870" i="5"/>
  <c r="AW870" i="5" s="1"/>
  <c r="AV871" i="5"/>
  <c r="AV872" i="5"/>
  <c r="AW872" i="5" s="1"/>
  <c r="AV873" i="5"/>
  <c r="AV874" i="5"/>
  <c r="AV875" i="5"/>
  <c r="AV876" i="5"/>
  <c r="AV877" i="5"/>
  <c r="AV878" i="5"/>
  <c r="AW878" i="5" s="1"/>
  <c r="AV879" i="5"/>
  <c r="AV880" i="5"/>
  <c r="AW880" i="5" s="1"/>
  <c r="AV881" i="5"/>
  <c r="AV882" i="5"/>
  <c r="AV883" i="5"/>
  <c r="AV884" i="5"/>
  <c r="AV885" i="5"/>
  <c r="AV886" i="5"/>
  <c r="AW886" i="5" s="1"/>
  <c r="AV887" i="5"/>
  <c r="AV888" i="5"/>
  <c r="AW888" i="5" s="1"/>
  <c r="AV889" i="5"/>
  <c r="AV890" i="5"/>
  <c r="AV891" i="5"/>
  <c r="AV892" i="5"/>
  <c r="AV893" i="5"/>
  <c r="AV894" i="5"/>
  <c r="AW894" i="5" s="1"/>
  <c r="AV895" i="5"/>
  <c r="AV896" i="5"/>
  <c r="AW896" i="5" s="1"/>
  <c r="AV897" i="5"/>
  <c r="AV898" i="5"/>
  <c r="AV899" i="5"/>
  <c r="AV900" i="5"/>
  <c r="AV901" i="5"/>
  <c r="AV902" i="5"/>
  <c r="AW902" i="5" s="1"/>
  <c r="AV903" i="5"/>
  <c r="AV904" i="5"/>
  <c r="AW904" i="5" s="1"/>
  <c r="AV905" i="5"/>
  <c r="AV906" i="5"/>
  <c r="AV907" i="5"/>
  <c r="AV908" i="5"/>
  <c r="AV909" i="5"/>
  <c r="AV910" i="5"/>
  <c r="AW910" i="5" s="1"/>
  <c r="AV911" i="5"/>
  <c r="AV912" i="5"/>
  <c r="AW912" i="5" s="1"/>
  <c r="AV913" i="5"/>
  <c r="AV914" i="5"/>
  <c r="AV915" i="5"/>
  <c r="AV916" i="5"/>
  <c r="AV917" i="5"/>
  <c r="AV918" i="5"/>
  <c r="AW918" i="5" s="1"/>
  <c r="AV919" i="5"/>
  <c r="AV920" i="5"/>
  <c r="AW920" i="5" s="1"/>
  <c r="AV921" i="5"/>
  <c r="AV922" i="5"/>
  <c r="AV923" i="5"/>
  <c r="AV924" i="5"/>
  <c r="AV925" i="5"/>
  <c r="AV926" i="5"/>
  <c r="AW926" i="5" s="1"/>
  <c r="AV927" i="5"/>
  <c r="AV928" i="5"/>
  <c r="AW928" i="5" s="1"/>
  <c r="AV929" i="5"/>
  <c r="AV930" i="5"/>
  <c r="AV931" i="5"/>
  <c r="AV932" i="5"/>
  <c r="AV933" i="5"/>
  <c r="AV934" i="5"/>
  <c r="AW934" i="5" s="1"/>
  <c r="AV935" i="5"/>
  <c r="AV936" i="5"/>
  <c r="AW936" i="5" s="1"/>
  <c r="AV937" i="5"/>
  <c r="AV938" i="5"/>
  <c r="AV939" i="5"/>
  <c r="AV940" i="5"/>
  <c r="AV941" i="5"/>
  <c r="AV942" i="5"/>
  <c r="AW942" i="5" s="1"/>
  <c r="AV943" i="5"/>
  <c r="AV944" i="5"/>
  <c r="AW944" i="5" s="1"/>
  <c r="AV945" i="5"/>
  <c r="AV946" i="5"/>
  <c r="AV947" i="5"/>
  <c r="AV948" i="5"/>
  <c r="AV949" i="5"/>
  <c r="AV950" i="5"/>
  <c r="AW950" i="5" s="1"/>
  <c r="AV951" i="5"/>
  <c r="AV952" i="5"/>
  <c r="AW952" i="5" s="1"/>
  <c r="AV953" i="5"/>
  <c r="AV954" i="5"/>
  <c r="AV955" i="5"/>
  <c r="AV956" i="5"/>
  <c r="AV957" i="5"/>
  <c r="AV958" i="5"/>
  <c r="AW958" i="5" s="1"/>
  <c r="AV959" i="5"/>
  <c r="AV960" i="5"/>
  <c r="AW960" i="5" s="1"/>
  <c r="AV961" i="5"/>
  <c r="AV962" i="5"/>
  <c r="AV963" i="5"/>
  <c r="AV964" i="5"/>
  <c r="AV965" i="5"/>
  <c r="AV966" i="5"/>
  <c r="AW966" i="5" s="1"/>
  <c r="AV967" i="5"/>
  <c r="AV968" i="5"/>
  <c r="AW968" i="5" s="1"/>
  <c r="AV969" i="5"/>
  <c r="AV970" i="5"/>
  <c r="AV971" i="5"/>
  <c r="AV972" i="5"/>
  <c r="AV973" i="5"/>
  <c r="AV974" i="5"/>
  <c r="AW974" i="5" s="1"/>
  <c r="AV975" i="5"/>
  <c r="AV976" i="5"/>
  <c r="AW976" i="5" s="1"/>
  <c r="AV977" i="5"/>
  <c r="AV978" i="5"/>
  <c r="AV979" i="5"/>
  <c r="AV980" i="5"/>
  <c r="AV981" i="5"/>
  <c r="AV982" i="5"/>
  <c r="AW982" i="5" s="1"/>
  <c r="AV983" i="5"/>
  <c r="AV984" i="5"/>
  <c r="AW984" i="5" s="1"/>
  <c r="AV985" i="5"/>
  <c r="AV986" i="5"/>
  <c r="AV987" i="5"/>
  <c r="AV988" i="5"/>
  <c r="AV989" i="5"/>
  <c r="AV990" i="5"/>
  <c r="AW990" i="5" s="1"/>
  <c r="AV991" i="5"/>
  <c r="AV992" i="5"/>
  <c r="AW992" i="5" s="1"/>
  <c r="AV993" i="5"/>
  <c r="AV994" i="5"/>
  <c r="AV995" i="5"/>
  <c r="AV996" i="5"/>
  <c r="AV997" i="5"/>
  <c r="AV998" i="5"/>
  <c r="AW998" i="5" s="1"/>
  <c r="AV999" i="5"/>
  <c r="AV1000" i="5"/>
  <c r="AW1000" i="5" s="1"/>
  <c r="AV1001" i="5"/>
  <c r="AV1002" i="5"/>
  <c r="AV1003" i="5"/>
  <c r="AV1004" i="5"/>
  <c r="AV1005" i="5"/>
  <c r="AV1006" i="5"/>
  <c r="AW1006" i="5" s="1"/>
  <c r="AV1007" i="5"/>
  <c r="AV1008" i="5"/>
  <c r="AW1008" i="5" s="1"/>
  <c r="AV1009" i="5"/>
  <c r="AV1010" i="5"/>
  <c r="AV1011" i="5"/>
  <c r="AV1012" i="5"/>
  <c r="AV1013" i="5"/>
  <c r="AV1014" i="5"/>
  <c r="AW1014" i="5" s="1"/>
  <c r="AV1015" i="5"/>
  <c r="AV1016" i="5"/>
  <c r="AW1016" i="5" s="1"/>
  <c r="AV1017" i="5"/>
  <c r="AV1018" i="5"/>
  <c r="AV1019" i="5"/>
  <c r="AV1020" i="5"/>
  <c r="AV1021" i="5"/>
  <c r="AV1022" i="5"/>
  <c r="AW1022" i="5" s="1"/>
  <c r="AV1023" i="5"/>
  <c r="AV1024" i="5"/>
  <c r="AW1024" i="5" s="1"/>
  <c r="AV1025" i="5"/>
  <c r="AV1026" i="5"/>
  <c r="AV1027" i="5"/>
  <c r="AV1028" i="5"/>
  <c r="AV1029" i="5"/>
  <c r="AV1030" i="5"/>
  <c r="AW1030" i="5" s="1"/>
  <c r="AV1031" i="5"/>
  <c r="AV1032" i="5"/>
  <c r="AW1032" i="5" s="1"/>
  <c r="AV1033" i="5"/>
  <c r="AV1034" i="5"/>
  <c r="AV1035" i="5"/>
  <c r="AV1036" i="5"/>
  <c r="AV1037" i="5"/>
  <c r="AV1038" i="5"/>
  <c r="AW1038" i="5" s="1"/>
  <c r="AV1039" i="5"/>
  <c r="AV1040" i="5"/>
  <c r="AW1040" i="5" s="1"/>
  <c r="AV1041" i="5"/>
  <c r="AV1042" i="5"/>
  <c r="AV1043" i="5"/>
  <c r="AV1044" i="5"/>
  <c r="AV1045" i="5"/>
  <c r="AV1046" i="5"/>
  <c r="AW1046" i="5" s="1"/>
  <c r="AV1047" i="5"/>
  <c r="AV1048" i="5"/>
  <c r="AW1048" i="5" s="1"/>
  <c r="AV1049" i="5"/>
  <c r="AV1050" i="5"/>
  <c r="AV1051" i="5"/>
  <c r="AV1052" i="5"/>
  <c r="AV1053" i="5"/>
  <c r="AV1054" i="5"/>
  <c r="AW1054" i="5" s="1"/>
  <c r="AV1055" i="5"/>
  <c r="AV1056" i="5"/>
  <c r="AW1056" i="5" s="1"/>
  <c r="AV1057" i="5"/>
  <c r="AV1058" i="5"/>
  <c r="AV1059" i="5"/>
  <c r="AV1060" i="5"/>
  <c r="AV1061" i="5"/>
  <c r="AV1062" i="5"/>
  <c r="AW1062" i="5" s="1"/>
  <c r="AV1063" i="5"/>
  <c r="AV1064" i="5"/>
  <c r="AW1064" i="5" s="1"/>
  <c r="AV1065" i="5"/>
  <c r="AV1066" i="5"/>
  <c r="AV1067" i="5"/>
  <c r="AV1068" i="5"/>
  <c r="AV1069" i="5"/>
  <c r="AV1070" i="5"/>
  <c r="AW1070" i="5" s="1"/>
  <c r="AV1071" i="5"/>
  <c r="AV1072" i="5"/>
  <c r="AV1073" i="5"/>
  <c r="AV1074" i="5"/>
  <c r="AV1075" i="5"/>
  <c r="AV1076" i="5"/>
  <c r="AV1077" i="5"/>
  <c r="AV1078" i="5"/>
  <c r="AW1078" i="5" s="1"/>
  <c r="AV1079" i="5"/>
  <c r="AV1080" i="5"/>
  <c r="AW1080" i="5" s="1"/>
  <c r="AV1081" i="5"/>
  <c r="AV1082" i="5"/>
  <c r="AV1083" i="5"/>
  <c r="AV1084" i="5"/>
  <c r="AV1085" i="5"/>
  <c r="AV1086" i="5"/>
  <c r="AW1086" i="5" s="1"/>
  <c r="AV1087" i="5"/>
  <c r="AV1088" i="5"/>
  <c r="AV1089" i="5"/>
  <c r="AV1090" i="5"/>
  <c r="AV1091" i="5"/>
  <c r="AV1092" i="5"/>
  <c r="AV1093" i="5"/>
  <c r="AV1094" i="5"/>
  <c r="AW1094" i="5" s="1"/>
  <c r="AV1095" i="5"/>
  <c r="AV1096" i="5"/>
  <c r="AW1096" i="5" s="1"/>
  <c r="AV1097" i="5"/>
  <c r="AV1098" i="5"/>
  <c r="AV1099" i="5"/>
  <c r="AV1100" i="5"/>
  <c r="AV1101" i="5"/>
  <c r="AV1102" i="5"/>
  <c r="AW1102" i="5" s="1"/>
  <c r="AV1103" i="5"/>
  <c r="AV1104" i="5"/>
  <c r="AW1104" i="5" s="1"/>
  <c r="AV1105" i="5"/>
  <c r="AV1106" i="5"/>
  <c r="AV1107" i="5"/>
  <c r="AV1108" i="5"/>
  <c r="AV1109" i="5"/>
  <c r="AV1110" i="5"/>
  <c r="AW1110" i="5" s="1"/>
  <c r="AV1111" i="5"/>
  <c r="AV1112" i="5"/>
  <c r="AW1112" i="5" s="1"/>
  <c r="AV1113" i="5"/>
  <c r="AV1114" i="5"/>
  <c r="AV1115" i="5"/>
  <c r="AV1116" i="5"/>
  <c r="AV1117" i="5"/>
  <c r="AV1118" i="5"/>
  <c r="AW1118" i="5" s="1"/>
  <c r="AV1119" i="5"/>
  <c r="AV1120" i="5"/>
  <c r="AW1120" i="5" s="1"/>
  <c r="AV1121" i="5"/>
  <c r="AV1122" i="5"/>
  <c r="AV1123" i="5"/>
  <c r="AV1124" i="5"/>
  <c r="AV1125" i="5"/>
  <c r="AV1126" i="5"/>
  <c r="AW1126" i="5" s="1"/>
  <c r="AV1127" i="5"/>
  <c r="AV1128" i="5"/>
  <c r="AW1128" i="5" s="1"/>
  <c r="AV1129" i="5"/>
  <c r="AV1130" i="5"/>
  <c r="AV1131" i="5"/>
  <c r="AV1132" i="5"/>
  <c r="AV1133" i="5"/>
  <c r="AV1134" i="5"/>
  <c r="AW1134" i="5" s="1"/>
  <c r="AV1135" i="5"/>
  <c r="AV1136" i="5"/>
  <c r="AV1137" i="5"/>
  <c r="AV1138" i="5"/>
  <c r="AV1139" i="5"/>
  <c r="AV1140" i="5"/>
  <c r="AV1141" i="5"/>
  <c r="AV1142" i="5"/>
  <c r="AW1142" i="5" s="1"/>
  <c r="AV1143" i="5"/>
  <c r="AV1144" i="5"/>
  <c r="AW1144" i="5" s="1"/>
  <c r="AV1145" i="5"/>
  <c r="AV1146" i="5"/>
  <c r="AV1147" i="5"/>
  <c r="AV1148" i="5"/>
  <c r="AV1149" i="5"/>
  <c r="AV1150" i="5"/>
  <c r="AW1150" i="5" s="1"/>
  <c r="AV1151" i="5"/>
  <c r="AV1152" i="5"/>
  <c r="AV1153" i="5"/>
  <c r="AV1154" i="5"/>
  <c r="AV1155" i="5"/>
  <c r="AV1156" i="5"/>
  <c r="AV1157" i="5"/>
  <c r="AV1158" i="5"/>
  <c r="AW1158" i="5" s="1"/>
  <c r="AV1159" i="5"/>
  <c r="AV1160" i="5"/>
  <c r="AW1160" i="5" s="1"/>
  <c r="AV1161" i="5"/>
  <c r="AV1162" i="5"/>
  <c r="AV1163" i="5"/>
  <c r="AV1164" i="5"/>
  <c r="AV1165" i="5"/>
  <c r="AV1166" i="5"/>
  <c r="AW1166" i="5" s="1"/>
  <c r="AV1167" i="5"/>
  <c r="AV1168" i="5"/>
  <c r="AW1168" i="5" s="1"/>
  <c r="AV1169" i="5"/>
  <c r="AV1170" i="5"/>
  <c r="AV1171" i="5"/>
  <c r="AV1172" i="5"/>
  <c r="AV1173" i="5"/>
  <c r="AV1174" i="5"/>
  <c r="AW1174" i="5" s="1"/>
  <c r="AV1175" i="5"/>
  <c r="AV1176" i="5"/>
  <c r="AW1176" i="5" s="1"/>
  <c r="AV1177" i="5"/>
  <c r="AV1178" i="5"/>
  <c r="AV1179" i="5"/>
  <c r="AV1180" i="5"/>
  <c r="AV1181" i="5"/>
  <c r="AV1182" i="5"/>
  <c r="AW1182" i="5" s="1"/>
  <c r="AV1183" i="5"/>
  <c r="AV1184" i="5"/>
  <c r="AW1184" i="5" s="1"/>
  <c r="AV1185" i="5"/>
  <c r="AV1186" i="5"/>
  <c r="AV1187" i="5"/>
  <c r="AV1188" i="5"/>
  <c r="AV1189" i="5"/>
  <c r="AV1190" i="5"/>
  <c r="AW1190" i="5" s="1"/>
  <c r="AV1191" i="5"/>
  <c r="AV1192" i="5"/>
  <c r="AW1192" i="5" s="1"/>
  <c r="AV1193" i="5"/>
  <c r="AV1194" i="5"/>
  <c r="AV1195" i="5"/>
  <c r="AV1196" i="5"/>
  <c r="AV1197" i="5"/>
  <c r="AV1198" i="5"/>
  <c r="AW1198" i="5" s="1"/>
  <c r="AV1199" i="5"/>
  <c r="AV1200" i="5"/>
  <c r="AV1201" i="5"/>
  <c r="AV1202" i="5"/>
  <c r="AV1203" i="5"/>
  <c r="AV1204" i="5"/>
  <c r="AV1205" i="5"/>
  <c r="AV1206" i="5"/>
  <c r="AW1206" i="5" s="1"/>
  <c r="AV1207" i="5"/>
  <c r="AV1208" i="5"/>
  <c r="AW1208" i="5" s="1"/>
  <c r="AV1209" i="5"/>
  <c r="AV1210" i="5"/>
  <c r="AV1211" i="5"/>
  <c r="AV1212" i="5"/>
  <c r="AV1213" i="5"/>
  <c r="AV1214" i="5"/>
  <c r="AW1214" i="5" s="1"/>
  <c r="AV1215" i="5"/>
  <c r="AV1216" i="5"/>
  <c r="AV1217" i="5"/>
  <c r="AV1218" i="5"/>
  <c r="AV1219" i="5"/>
  <c r="AV1220" i="5"/>
  <c r="AV1221" i="5"/>
  <c r="AV1222" i="5"/>
  <c r="AW1222" i="5" s="1"/>
  <c r="AV1223" i="5"/>
  <c r="AV1224" i="5"/>
  <c r="AW1224" i="5" s="1"/>
  <c r="AV1225" i="5"/>
  <c r="AV1226" i="5"/>
  <c r="AV1227" i="5"/>
  <c r="AV1228" i="5"/>
  <c r="AV1229" i="5"/>
  <c r="AV1230" i="5"/>
  <c r="AW1230" i="5" s="1"/>
  <c r="AV1231" i="5"/>
  <c r="AV1232" i="5"/>
  <c r="AW1232" i="5" s="1"/>
  <c r="AV1233" i="5"/>
  <c r="AV1234" i="5"/>
  <c r="AV1235" i="5"/>
  <c r="AV1236" i="5"/>
  <c r="AV1237" i="5"/>
  <c r="AV1238" i="5"/>
  <c r="AW1238" i="5" s="1"/>
  <c r="AV1239" i="5"/>
  <c r="AV1240" i="5"/>
  <c r="AW1240" i="5" s="1"/>
  <c r="AV1241" i="5"/>
  <c r="AV1242" i="5"/>
  <c r="AV1243" i="5"/>
  <c r="AV1244" i="5"/>
  <c r="AV1245" i="5"/>
  <c r="AV1246" i="5"/>
  <c r="AW1246" i="5" s="1"/>
  <c r="AV1247" i="5"/>
  <c r="AV1248" i="5"/>
  <c r="AW1248" i="5" s="1"/>
  <c r="AV1249" i="5"/>
  <c r="AV1250" i="5"/>
  <c r="AV1251" i="5"/>
  <c r="AV1252" i="5"/>
  <c r="AV1253" i="5"/>
  <c r="AV1254" i="5"/>
  <c r="AW1254" i="5" s="1"/>
  <c r="AV1255" i="5"/>
  <c r="AV1256" i="5"/>
  <c r="AW1256" i="5" s="1"/>
  <c r="AV1257" i="5"/>
  <c r="AV1258" i="5"/>
  <c r="AV1259" i="5"/>
  <c r="AV1260" i="5"/>
  <c r="AV1261" i="5"/>
  <c r="AV1262" i="5"/>
  <c r="AW1262" i="5" s="1"/>
  <c r="AV1263" i="5"/>
  <c r="AV1264" i="5"/>
  <c r="AV1265" i="5"/>
  <c r="AV1266" i="5"/>
  <c r="AV1267" i="5"/>
  <c r="AV1268" i="5"/>
  <c r="AV1269" i="5"/>
  <c r="AV1270" i="5"/>
  <c r="AW1270" i="5" s="1"/>
  <c r="AV1271" i="5"/>
  <c r="AV1272" i="5"/>
  <c r="AW1272" i="5" s="1"/>
  <c r="AV1273" i="5"/>
  <c r="AV1274" i="5"/>
  <c r="AV1275" i="5"/>
  <c r="AV1276" i="5"/>
  <c r="AV1277" i="5"/>
  <c r="AV1278" i="5"/>
  <c r="AW1278" i="5" s="1"/>
  <c r="AV1279" i="5"/>
  <c r="AV1280" i="5"/>
  <c r="AW1280" i="5" s="1"/>
  <c r="AV1281" i="5"/>
  <c r="AV1282" i="5"/>
  <c r="AV1283" i="5"/>
  <c r="AV1284" i="5"/>
  <c r="AV1285" i="5"/>
  <c r="AV1286" i="5"/>
  <c r="AW1286" i="5" s="1"/>
  <c r="AV1287" i="5"/>
  <c r="AV1288" i="5"/>
  <c r="AW1288" i="5" s="1"/>
  <c r="AV1289" i="5"/>
  <c r="AV1290" i="5"/>
  <c r="AV1291" i="5"/>
  <c r="AV1292" i="5"/>
  <c r="AV1293" i="5"/>
  <c r="AV1294" i="5"/>
  <c r="AW1294" i="5" s="1"/>
  <c r="AV1295" i="5"/>
  <c r="AV1296" i="5"/>
  <c r="AW1296" i="5" s="1"/>
  <c r="AV1297" i="5"/>
  <c r="AV1298" i="5"/>
  <c r="AV1299" i="5"/>
  <c r="AV1300" i="5"/>
  <c r="AV1301" i="5"/>
  <c r="AV1302" i="5"/>
  <c r="AW1302" i="5" s="1"/>
  <c r="AV1303" i="5"/>
  <c r="AV1304" i="5"/>
  <c r="AW1304" i="5" s="1"/>
  <c r="AV1305" i="5"/>
  <c r="AV1306" i="5"/>
  <c r="AV1307" i="5"/>
  <c r="AV1308" i="5"/>
  <c r="AV1309" i="5"/>
  <c r="AV1310" i="5"/>
  <c r="AW1310" i="5" s="1"/>
  <c r="AV1311" i="5"/>
  <c r="AV1312" i="5"/>
  <c r="AW1312" i="5" s="1"/>
  <c r="AV1313" i="5"/>
  <c r="AV1314" i="5"/>
  <c r="AV1315" i="5"/>
  <c r="AV1316" i="5"/>
  <c r="AV1317" i="5"/>
  <c r="AV1318" i="5"/>
  <c r="AW1318" i="5" s="1"/>
  <c r="AV1319" i="5"/>
  <c r="AV1320" i="5"/>
  <c r="AW1320" i="5" s="1"/>
  <c r="AV1321" i="5"/>
  <c r="AV1322" i="5"/>
  <c r="AV1323" i="5"/>
  <c r="AV1324" i="5"/>
  <c r="AV1325" i="5"/>
  <c r="AV1326" i="5"/>
  <c r="AW1326" i="5" s="1"/>
  <c r="AV1327" i="5"/>
  <c r="AV1328" i="5"/>
  <c r="AW1328" i="5" s="1"/>
  <c r="AV1329" i="5"/>
  <c r="AV1330" i="5"/>
  <c r="AV1331" i="5"/>
  <c r="AV1332" i="5"/>
  <c r="AV1333" i="5"/>
  <c r="AV1334" i="5"/>
  <c r="AW1334" i="5" s="1"/>
  <c r="AV1335" i="5"/>
  <c r="AV1336" i="5"/>
  <c r="AW1336" i="5" s="1"/>
  <c r="AV1337" i="5"/>
  <c r="AV1338" i="5"/>
  <c r="AV1339" i="5"/>
  <c r="AV1340" i="5"/>
  <c r="AV1341" i="5"/>
  <c r="AV1342" i="5"/>
  <c r="AW1342" i="5" s="1"/>
  <c r="AV1343" i="5"/>
  <c r="AV1344" i="5"/>
  <c r="AW1344" i="5" s="1"/>
  <c r="AV1345" i="5"/>
  <c r="AV1346" i="5"/>
  <c r="AV1347" i="5"/>
  <c r="AV1348" i="5"/>
  <c r="AV1349" i="5"/>
  <c r="AV1350" i="5"/>
  <c r="AW1350" i="5" s="1"/>
  <c r="AV1351" i="5"/>
  <c r="AV1352" i="5"/>
  <c r="AW1352" i="5" s="1"/>
  <c r="AV1353" i="5"/>
  <c r="AV1354" i="5"/>
  <c r="AV1355" i="5"/>
  <c r="AV1356" i="5"/>
  <c r="AV1357" i="5"/>
  <c r="AV1358" i="5"/>
  <c r="AW1358" i="5" s="1"/>
  <c r="AV1359" i="5"/>
  <c r="AV1360" i="5"/>
  <c r="AW1360" i="5" s="1"/>
  <c r="AV1361" i="5"/>
  <c r="AV1362" i="5"/>
  <c r="AV1363" i="5"/>
  <c r="AV1364" i="5"/>
  <c r="AV1365" i="5"/>
  <c r="AV1366" i="5"/>
  <c r="AW1366" i="5" s="1"/>
  <c r="AV1367" i="5"/>
  <c r="AV1368" i="5"/>
  <c r="AW1368" i="5" s="1"/>
  <c r="AV1369" i="5"/>
  <c r="AV1370" i="5"/>
  <c r="AV1371" i="5"/>
  <c r="AV1372" i="5"/>
  <c r="AV1373" i="5"/>
  <c r="AV1374" i="5"/>
  <c r="AW1374" i="5" s="1"/>
  <c r="AV1375" i="5"/>
  <c r="AV1376" i="5"/>
  <c r="AW1376" i="5" s="1"/>
  <c r="AV1377" i="5"/>
  <c r="AV1378" i="5"/>
  <c r="AV1379" i="5"/>
  <c r="AV1380" i="5"/>
  <c r="AV1381" i="5"/>
  <c r="AV1382" i="5"/>
  <c r="AW1382" i="5" s="1"/>
  <c r="AV1383" i="5"/>
  <c r="AV1384" i="5"/>
  <c r="AW1384" i="5" s="1"/>
  <c r="AV1385" i="5"/>
  <c r="AV1386" i="5"/>
  <c r="AV1387" i="5"/>
  <c r="AV1388" i="5"/>
  <c r="AV1389" i="5"/>
  <c r="AV1390" i="5"/>
  <c r="AW1390" i="5" s="1"/>
  <c r="AV1391" i="5"/>
  <c r="AV1392" i="5"/>
  <c r="AW1392" i="5" s="1"/>
  <c r="AV1393" i="5"/>
  <c r="AV1394" i="5"/>
  <c r="AV1395" i="5"/>
  <c r="AV1396" i="5"/>
  <c r="AV1397" i="5"/>
  <c r="AV1398" i="5"/>
  <c r="AW1398" i="5" s="1"/>
  <c r="AV1399" i="5"/>
  <c r="AV1400" i="5"/>
  <c r="AW1400" i="5" s="1"/>
  <c r="AV1401" i="5"/>
  <c r="AV1402" i="5"/>
  <c r="AV1403" i="5"/>
  <c r="AV1404" i="5"/>
  <c r="AV1405" i="5"/>
  <c r="AV1406" i="5"/>
  <c r="AW1406" i="5" s="1"/>
  <c r="AV1407" i="5"/>
  <c r="AV1408" i="5"/>
  <c r="AW1408" i="5" s="1"/>
  <c r="AV1409" i="5"/>
  <c r="AV1410" i="5"/>
  <c r="AV1411" i="5"/>
  <c r="AV1412" i="5"/>
  <c r="AV1413" i="5"/>
  <c r="AV1414" i="5"/>
  <c r="AW1414" i="5" s="1"/>
  <c r="AV1415" i="5"/>
  <c r="AV1416" i="5"/>
  <c r="AW1416" i="5" s="1"/>
  <c r="AV1417" i="5"/>
  <c r="AV1418" i="5"/>
  <c r="AV1419" i="5"/>
  <c r="AV1420" i="5"/>
  <c r="AV1421" i="5"/>
  <c r="AV1422" i="5"/>
  <c r="AW1422" i="5" s="1"/>
  <c r="AV1423" i="5"/>
  <c r="AV1424" i="5"/>
  <c r="AW1424" i="5" s="1"/>
  <c r="AV1425" i="5"/>
  <c r="AV1426" i="5"/>
  <c r="AV1427" i="5"/>
  <c r="AV1428" i="5"/>
  <c r="AV1429" i="5"/>
  <c r="AV1430" i="5"/>
  <c r="AW1430" i="5" s="1"/>
  <c r="AV1431" i="5"/>
  <c r="AV1432" i="5"/>
  <c r="AW1432" i="5" s="1"/>
  <c r="AV1433" i="5"/>
  <c r="AV1434" i="5"/>
  <c r="AV1435" i="5"/>
  <c r="AV1436" i="5"/>
  <c r="AV1437" i="5"/>
  <c r="AV1438" i="5"/>
  <c r="AW1438" i="5" s="1"/>
  <c r="AV1439" i="5"/>
  <c r="AV1440" i="5"/>
  <c r="AW1440" i="5" s="1"/>
  <c r="AV1441" i="5"/>
  <c r="AV1442" i="5"/>
  <c r="AV1443" i="5"/>
  <c r="AV1444" i="5"/>
  <c r="AV1445" i="5"/>
  <c r="AV1446" i="5"/>
  <c r="AW1446" i="5" s="1"/>
  <c r="AV1447" i="5"/>
  <c r="AV1448" i="5"/>
  <c r="AW1448" i="5" s="1"/>
  <c r="AV1449" i="5"/>
  <c r="AV1450" i="5"/>
  <c r="AV1451" i="5"/>
  <c r="AV1452" i="5"/>
  <c r="AV1453" i="5"/>
  <c r="AV1454" i="5"/>
  <c r="AW1454" i="5" s="1"/>
  <c r="AV1455" i="5"/>
  <c r="AV1456" i="5"/>
  <c r="AW1456" i="5" s="1"/>
  <c r="AV1457" i="5"/>
  <c r="AV1458" i="5"/>
  <c r="AV1459" i="5"/>
  <c r="AV1460" i="5"/>
  <c r="AV1461" i="5"/>
  <c r="AV1462" i="5"/>
  <c r="AW1462" i="5" s="1"/>
  <c r="AV1463" i="5"/>
  <c r="AV1464" i="5"/>
  <c r="AW1464" i="5" s="1"/>
  <c r="AV1465" i="5"/>
  <c r="AV1466" i="5"/>
  <c r="AV1467" i="5"/>
  <c r="AV1468" i="5"/>
  <c r="AV1469" i="5"/>
  <c r="AV1470" i="5"/>
  <c r="AW1470" i="5" s="1"/>
  <c r="AV1471" i="5"/>
  <c r="AV1472" i="5"/>
  <c r="AW1472" i="5" s="1"/>
  <c r="AV1473" i="5"/>
  <c r="AV1474" i="5"/>
  <c r="AV1475" i="5"/>
  <c r="AV1476" i="5"/>
  <c r="AV1477" i="5"/>
  <c r="AV1478" i="5"/>
  <c r="AW1478" i="5" s="1"/>
  <c r="AV1479" i="5"/>
  <c r="AV1480" i="5"/>
  <c r="AW1480" i="5" s="1"/>
  <c r="AV1481" i="5"/>
  <c r="AV1482" i="5"/>
  <c r="AV1483" i="5"/>
  <c r="AV1484" i="5"/>
  <c r="AV1485" i="5"/>
  <c r="AV1486" i="5"/>
  <c r="AW1486" i="5" s="1"/>
  <c r="AV1487" i="5"/>
  <c r="AV1488" i="5"/>
  <c r="AW1488" i="5" s="1"/>
  <c r="AV1489" i="5"/>
  <c r="AV1490" i="5"/>
  <c r="AV1491" i="5"/>
  <c r="AV1492" i="5"/>
  <c r="AV1493" i="5"/>
  <c r="AV1494" i="5"/>
  <c r="AW1494" i="5" s="1"/>
  <c r="AV1495" i="5"/>
  <c r="AV1496" i="5"/>
  <c r="AW1496" i="5" s="1"/>
  <c r="AV1497" i="5"/>
  <c r="AV1498" i="5"/>
  <c r="AV1499" i="5"/>
  <c r="AV1500" i="5"/>
  <c r="AV1501" i="5"/>
  <c r="AV1502" i="5"/>
  <c r="AW1502" i="5" s="1"/>
  <c r="AV1503" i="5"/>
  <c r="AV1504" i="5"/>
  <c r="AW1504" i="5" s="1"/>
  <c r="AV1505" i="5"/>
  <c r="AV1506" i="5"/>
  <c r="AV1507" i="5"/>
  <c r="AV1508" i="5"/>
  <c r="AV1509" i="5"/>
  <c r="AV1510" i="5"/>
  <c r="AW1510" i="5" s="1"/>
  <c r="AV1511" i="5"/>
  <c r="AV1512" i="5"/>
  <c r="AW1512" i="5" s="1"/>
  <c r="AV1513" i="5"/>
  <c r="AV1514" i="5"/>
  <c r="AV1515" i="5"/>
  <c r="AV1516" i="5"/>
  <c r="AV1517" i="5"/>
  <c r="AV1518" i="5"/>
  <c r="AW1518" i="5" s="1"/>
  <c r="AV1519" i="5"/>
  <c r="AV1520" i="5"/>
  <c r="AW1520" i="5" s="1"/>
  <c r="AV1521" i="5"/>
  <c r="AV1522" i="5"/>
  <c r="AV1523" i="5"/>
  <c r="AV1524" i="5"/>
  <c r="AV1525" i="5"/>
  <c r="AV1526" i="5"/>
  <c r="AW1526" i="5" s="1"/>
  <c r="AV1527" i="5"/>
  <c r="AV1528" i="5"/>
  <c r="AW1528" i="5" s="1"/>
  <c r="AV1529" i="5"/>
  <c r="AV1530" i="5"/>
  <c r="AV1531" i="5"/>
  <c r="AV1532" i="5"/>
  <c r="AV1533" i="5"/>
  <c r="AV1534" i="5"/>
  <c r="AW1534" i="5" s="1"/>
  <c r="AV1535" i="5"/>
  <c r="AV1536" i="5"/>
  <c r="AW1536" i="5" s="1"/>
  <c r="AV1537" i="5"/>
  <c r="AV1538" i="5"/>
  <c r="AV1539" i="5"/>
  <c r="AV1540" i="5"/>
  <c r="AV1541" i="5"/>
  <c r="AV1542" i="5"/>
  <c r="AW1542" i="5" s="1"/>
  <c r="AV1543" i="5"/>
  <c r="AV1544" i="5"/>
  <c r="AW1544" i="5" s="1"/>
  <c r="AV1545" i="5"/>
  <c r="AV1546" i="5"/>
  <c r="AV1547" i="5"/>
  <c r="AV1548" i="5"/>
  <c r="AV1549" i="5"/>
  <c r="AV1550" i="5"/>
  <c r="AW1550" i="5" s="1"/>
  <c r="AV1551" i="5"/>
  <c r="AV1552" i="5"/>
  <c r="AW1552" i="5" s="1"/>
  <c r="AV1553" i="5"/>
  <c r="AV1554" i="5"/>
  <c r="AV1555" i="5"/>
  <c r="AV1556" i="5"/>
  <c r="AV1557" i="5"/>
  <c r="AV1558" i="5"/>
  <c r="AW1558" i="5" s="1"/>
  <c r="AV1559" i="5"/>
  <c r="AV1560" i="5"/>
  <c r="AW1560" i="5" s="1"/>
  <c r="AV1561" i="5"/>
  <c r="AV1562" i="5"/>
  <c r="AV1563" i="5"/>
  <c r="AV1564" i="5"/>
  <c r="AV1565" i="5"/>
  <c r="AV1566" i="5"/>
  <c r="AW1566" i="5" s="1"/>
  <c r="AV1567" i="5"/>
  <c r="AV1568" i="5"/>
  <c r="AW1568" i="5" s="1"/>
  <c r="AV1569" i="5"/>
  <c r="AV1570" i="5"/>
  <c r="AV1571" i="5"/>
  <c r="AV1572" i="5"/>
  <c r="AV1573" i="5"/>
  <c r="AV1574" i="5"/>
  <c r="AW1574" i="5" s="1"/>
  <c r="AV1575" i="5"/>
  <c r="AV1576" i="5"/>
  <c r="AW1576" i="5" s="1"/>
  <c r="AV1577" i="5"/>
  <c r="AV1578" i="5"/>
  <c r="AV1579" i="5"/>
  <c r="AV1580" i="5"/>
  <c r="AV1581" i="5"/>
  <c r="AV1582" i="5"/>
  <c r="AW1582" i="5" s="1"/>
  <c r="AV1583" i="5"/>
  <c r="AV1584" i="5"/>
  <c r="AW1584" i="5" s="1"/>
  <c r="AV1585" i="5"/>
  <c r="AV1586" i="5"/>
  <c r="AV1587" i="5"/>
  <c r="AV1588" i="5"/>
  <c r="AV1589" i="5"/>
  <c r="AV1590" i="5"/>
  <c r="AW1590" i="5" s="1"/>
  <c r="AV1591" i="5"/>
  <c r="AV1592" i="5"/>
  <c r="AW1592" i="5" s="1"/>
  <c r="AV1593" i="5"/>
  <c r="AV1594" i="5"/>
  <c r="AV1595" i="5"/>
  <c r="AV1596" i="5"/>
  <c r="AV1597" i="5"/>
  <c r="AV1598" i="5"/>
  <c r="AW1598" i="5" s="1"/>
  <c r="AV1599" i="5"/>
  <c r="AV1600" i="5"/>
  <c r="AW1600" i="5" s="1"/>
  <c r="AV1601" i="5"/>
  <c r="AV1602" i="5"/>
  <c r="AV1603" i="5"/>
  <c r="AV1604" i="5"/>
  <c r="AV1605" i="5"/>
  <c r="AV1606" i="5"/>
  <c r="AW1606" i="5" s="1"/>
  <c r="AV1607" i="5"/>
  <c r="AV1608" i="5"/>
  <c r="AW1608" i="5" s="1"/>
  <c r="AV1609" i="5"/>
  <c r="AV1610" i="5"/>
  <c r="AV1611" i="5"/>
  <c r="AV1612" i="5"/>
  <c r="AV1613" i="5"/>
  <c r="AV1614" i="5"/>
  <c r="AW1614" i="5" s="1"/>
  <c r="AV1615" i="5"/>
  <c r="AV1616" i="5"/>
  <c r="AW1616" i="5" s="1"/>
  <c r="AV1617" i="5"/>
  <c r="AV1618" i="5"/>
  <c r="AV1619" i="5"/>
  <c r="AV1620" i="5"/>
  <c r="AV1621" i="5"/>
  <c r="AV1622" i="5"/>
  <c r="AW1622" i="5" s="1"/>
  <c r="AV1623" i="5"/>
  <c r="AV1624" i="5"/>
  <c r="AW1624" i="5" s="1"/>
  <c r="AV1625" i="5"/>
  <c r="AV1626" i="5"/>
  <c r="AV1627" i="5"/>
  <c r="AV1628" i="5"/>
  <c r="AV1629" i="5"/>
  <c r="AV1630" i="5"/>
  <c r="AW1630" i="5" s="1"/>
  <c r="AV1631" i="5"/>
  <c r="AV1632" i="5"/>
  <c r="AW1632" i="5" s="1"/>
  <c r="AV1633" i="5"/>
  <c r="AV1634" i="5"/>
  <c r="AV1635" i="5"/>
  <c r="AV1636" i="5"/>
  <c r="AV1637" i="5"/>
  <c r="AV1638" i="5"/>
  <c r="AW1638" i="5" s="1"/>
  <c r="AV1639" i="5"/>
  <c r="AV1640" i="5"/>
  <c r="AW1640" i="5" s="1"/>
  <c r="AV1641" i="5"/>
  <c r="AV1642" i="5"/>
  <c r="AV1643" i="5"/>
  <c r="AV1644" i="5"/>
  <c r="AV1645" i="5"/>
  <c r="AV1646" i="5"/>
  <c r="AW1646" i="5" s="1"/>
  <c r="AV1647" i="5"/>
  <c r="AV1648" i="5"/>
  <c r="AW1648" i="5" s="1"/>
  <c r="AV1649" i="5"/>
  <c r="AV1650" i="5"/>
  <c r="AV1651" i="5"/>
  <c r="AV1652" i="5"/>
  <c r="AV1653" i="5"/>
  <c r="AV1654" i="5"/>
  <c r="AW1654" i="5" s="1"/>
  <c r="AV1655" i="5"/>
  <c r="AV1656" i="5"/>
  <c r="AW1656" i="5" s="1"/>
  <c r="AV1657" i="5"/>
  <c r="AV1658" i="5"/>
  <c r="AV1659" i="5"/>
  <c r="AV1660" i="5"/>
  <c r="AV1661" i="5"/>
  <c r="AV1662" i="5"/>
  <c r="AW1662" i="5" s="1"/>
  <c r="AV1663" i="5"/>
  <c r="AV1664" i="5"/>
  <c r="AW1664" i="5" s="1"/>
  <c r="AV1665" i="5"/>
  <c r="AV1666" i="5"/>
  <c r="AV1667" i="5"/>
  <c r="AV1668" i="5"/>
  <c r="AV1669" i="5"/>
  <c r="AV1670" i="5"/>
  <c r="AW1670" i="5" s="1"/>
  <c r="AV1671" i="5"/>
  <c r="AV1672" i="5"/>
  <c r="AW1672" i="5" s="1"/>
  <c r="AV1673" i="5"/>
  <c r="AV1674" i="5"/>
  <c r="AV1675" i="5"/>
  <c r="AV1676" i="5"/>
  <c r="AV1677" i="5"/>
  <c r="AV1678" i="5"/>
  <c r="AW1678" i="5" s="1"/>
  <c r="AV1679" i="5"/>
  <c r="AV1680" i="5"/>
  <c r="AW1680" i="5" s="1"/>
  <c r="AV1681" i="5"/>
  <c r="AV1682" i="5"/>
  <c r="AV1683" i="5"/>
  <c r="AV1684" i="5"/>
  <c r="AV1685" i="5"/>
  <c r="AV1686" i="5"/>
  <c r="AW1686" i="5" s="1"/>
  <c r="AV1687" i="5"/>
  <c r="AV1688" i="5"/>
  <c r="AW1688" i="5" s="1"/>
  <c r="AV1689" i="5"/>
  <c r="AV1690" i="5"/>
  <c r="AV1691" i="5"/>
  <c r="AV1692" i="5"/>
  <c r="AV1693" i="5"/>
  <c r="AV1694" i="5"/>
  <c r="AW1694" i="5" s="1"/>
  <c r="AV1695" i="5"/>
  <c r="AV1696" i="5"/>
  <c r="AW1696" i="5" s="1"/>
  <c r="AV1697" i="5"/>
  <c r="AV1698" i="5"/>
  <c r="AV1699" i="5"/>
  <c r="AV1700" i="5"/>
  <c r="AV1701" i="5"/>
  <c r="AV1702" i="5"/>
  <c r="AW1702" i="5" s="1"/>
  <c r="AV1703" i="5"/>
  <c r="AV1704" i="5"/>
  <c r="AW1704" i="5" s="1"/>
  <c r="AV1705" i="5"/>
  <c r="AV1706" i="5"/>
  <c r="AV1707" i="5"/>
  <c r="AV1708" i="5"/>
  <c r="AV1709" i="5"/>
  <c r="AV1710" i="5"/>
  <c r="AW1710" i="5" s="1"/>
  <c r="AV1711" i="5"/>
  <c r="AV1712" i="5"/>
  <c r="AW1712" i="5" s="1"/>
  <c r="AV1713" i="5"/>
  <c r="AV1714" i="5"/>
  <c r="AV1715" i="5"/>
  <c r="AV1716" i="5"/>
  <c r="AV1717" i="5"/>
  <c r="AV1718" i="5"/>
  <c r="AW1718" i="5" s="1"/>
  <c r="AV1719" i="5"/>
  <c r="AV1720" i="5"/>
  <c r="AW1720" i="5" s="1"/>
  <c r="AV1721" i="5"/>
  <c r="AV1722" i="5"/>
  <c r="AV1723" i="5"/>
  <c r="AV1724" i="5"/>
  <c r="AV1725" i="5"/>
  <c r="AV1726" i="5"/>
  <c r="AW1726" i="5" s="1"/>
  <c r="AV1727" i="5"/>
  <c r="AV1728" i="5"/>
  <c r="AW1728" i="5" s="1"/>
  <c r="AV1729" i="5"/>
  <c r="AV1730" i="5"/>
  <c r="AV1731" i="5"/>
  <c r="AV1732" i="5"/>
  <c r="AV1733" i="5"/>
  <c r="AV1734" i="5"/>
  <c r="AW1734" i="5" s="1"/>
  <c r="AV1735" i="5"/>
  <c r="AV1736" i="5"/>
  <c r="AW1736" i="5" s="1"/>
  <c r="AV1737" i="5"/>
  <c r="AV1738" i="5"/>
  <c r="AV1739" i="5"/>
  <c r="AV1740" i="5"/>
  <c r="AV1741" i="5"/>
  <c r="AV1742" i="5"/>
  <c r="AW1742" i="5" s="1"/>
  <c r="AV1743" i="5"/>
  <c r="AV1744" i="5"/>
  <c r="AW1744" i="5" s="1"/>
  <c r="AV1745" i="5"/>
  <c r="AV1746" i="5"/>
  <c r="AV1747" i="5"/>
  <c r="AV1748" i="5"/>
  <c r="AV1749" i="5"/>
  <c r="AV1750" i="5"/>
  <c r="AW1750" i="5" s="1"/>
  <c r="AV1751" i="5"/>
  <c r="AV1752" i="5"/>
  <c r="AW1752" i="5" s="1"/>
  <c r="AV1753" i="5"/>
  <c r="AV1754" i="5"/>
  <c r="AV1755" i="5"/>
  <c r="AV1756" i="5"/>
  <c r="AV1757" i="5"/>
  <c r="AV1758" i="5"/>
  <c r="AW1758" i="5" s="1"/>
  <c r="AV1759" i="5"/>
  <c r="AV1760" i="5"/>
  <c r="AW1760" i="5" s="1"/>
  <c r="AV1761" i="5"/>
  <c r="AV1762" i="5"/>
  <c r="AV1763" i="5"/>
  <c r="AV1764" i="5"/>
  <c r="AV1765" i="5"/>
  <c r="AV1766" i="5"/>
  <c r="AW1766" i="5" s="1"/>
  <c r="AV1767" i="5"/>
  <c r="AV1768" i="5"/>
  <c r="AW1768" i="5" s="1"/>
  <c r="AV1769" i="5"/>
  <c r="AV1770" i="5"/>
  <c r="AV1771" i="5"/>
  <c r="AV1772" i="5"/>
  <c r="AV1773" i="5"/>
  <c r="AV1774" i="5"/>
  <c r="AW1774" i="5" s="1"/>
  <c r="AV1775" i="5"/>
  <c r="AV1776" i="5"/>
  <c r="AW1776" i="5" s="1"/>
  <c r="AV1777" i="5"/>
  <c r="AV1778" i="5"/>
  <c r="AV1779" i="5"/>
  <c r="AV1780" i="5"/>
  <c r="AV1781" i="5"/>
  <c r="AV1782" i="5"/>
  <c r="AW1782" i="5" s="1"/>
  <c r="AV1783" i="5"/>
  <c r="AV1784" i="5"/>
  <c r="AW1784" i="5" s="1"/>
  <c r="AV1785" i="5"/>
  <c r="AV1786" i="5"/>
  <c r="AV1787" i="5"/>
  <c r="AV1788" i="5"/>
  <c r="AV1789" i="5"/>
  <c r="AV1790" i="5"/>
  <c r="AW1790" i="5" s="1"/>
  <c r="AV1791" i="5"/>
  <c r="AV1792" i="5"/>
  <c r="AW1792" i="5" s="1"/>
  <c r="AV1793" i="5"/>
  <c r="AV1794" i="5"/>
  <c r="AV1795" i="5"/>
  <c r="AV1796" i="5"/>
  <c r="AV1797" i="5"/>
  <c r="AV1798" i="5"/>
  <c r="AW1798" i="5" s="1"/>
  <c r="AV1799" i="5"/>
  <c r="AV1800" i="5"/>
  <c r="AW1800" i="5" s="1"/>
  <c r="AV1801" i="5"/>
  <c r="AV1802" i="5"/>
  <c r="AV1803" i="5"/>
  <c r="AV1804" i="5"/>
  <c r="AV1805" i="5"/>
  <c r="AV1806" i="5"/>
  <c r="AW1806" i="5" s="1"/>
  <c r="AV1807" i="5"/>
  <c r="AV1808" i="5"/>
  <c r="AW1808" i="5" s="1"/>
  <c r="AV1809" i="5"/>
  <c r="AV1810" i="5"/>
  <c r="AV1811" i="5"/>
  <c r="AV1812" i="5"/>
  <c r="AV1813" i="5"/>
  <c r="AV1814" i="5"/>
  <c r="AW1814" i="5" s="1"/>
  <c r="AV1815" i="5"/>
  <c r="AV1816" i="5"/>
  <c r="AW1816" i="5" s="1"/>
  <c r="AV1817" i="5"/>
  <c r="AV1818" i="5"/>
  <c r="AV1819" i="5"/>
  <c r="AV1820" i="5"/>
  <c r="AV1821" i="5"/>
  <c r="AV1822" i="5"/>
  <c r="AW1822" i="5" s="1"/>
  <c r="AV1823" i="5"/>
  <c r="AV1824" i="5"/>
  <c r="AW1824" i="5" s="1"/>
  <c r="AV1825" i="5"/>
  <c r="AV1826" i="5"/>
  <c r="AV1827" i="5"/>
  <c r="AV1828" i="5"/>
  <c r="AV1829" i="5"/>
  <c r="AV1830" i="5"/>
  <c r="AW1830" i="5" s="1"/>
  <c r="AV1831" i="5"/>
  <c r="AV1832" i="5"/>
  <c r="AW1832" i="5" s="1"/>
  <c r="AV1833" i="5"/>
  <c r="AV1834" i="5"/>
  <c r="AV1835" i="5"/>
  <c r="AV1836" i="5"/>
  <c r="AV1837" i="5"/>
  <c r="AV1838" i="5"/>
  <c r="AW1838" i="5" s="1"/>
  <c r="AV1839" i="5"/>
  <c r="AV1840" i="5"/>
  <c r="AW1840" i="5" s="1"/>
  <c r="AV1841" i="5"/>
  <c r="AV1842" i="5"/>
  <c r="AV1843" i="5"/>
  <c r="AV1844" i="5"/>
  <c r="AV1845" i="5"/>
  <c r="AV1846" i="5"/>
  <c r="AW1846" i="5" s="1"/>
  <c r="AV1847" i="5"/>
  <c r="AV1848" i="5"/>
  <c r="AW1848" i="5" s="1"/>
  <c r="AV1849" i="5"/>
  <c r="AV1850" i="5"/>
  <c r="AV1851" i="5"/>
  <c r="AV1852" i="5"/>
  <c r="AV1853" i="5"/>
  <c r="AV1854" i="5"/>
  <c r="AW1854" i="5" s="1"/>
  <c r="AV1855" i="5"/>
  <c r="AV1856" i="5"/>
  <c r="AW1856" i="5" s="1"/>
  <c r="AV1857" i="5"/>
  <c r="AV1858" i="5"/>
  <c r="AV1859" i="5"/>
  <c r="AV1860" i="5"/>
  <c r="AV1861" i="5"/>
  <c r="AV1862" i="5"/>
  <c r="AW1862" i="5" s="1"/>
  <c r="AW11" i="5"/>
  <c r="AW12" i="5"/>
  <c r="AW13" i="5"/>
  <c r="AW15" i="5"/>
  <c r="AW18" i="5"/>
  <c r="AW19" i="5"/>
  <c r="AW20" i="5"/>
  <c r="AW21" i="5"/>
  <c r="AW23" i="5"/>
  <c r="AW25" i="5"/>
  <c r="AW26" i="5"/>
  <c r="AW27" i="5"/>
  <c r="AW28" i="5"/>
  <c r="AW29" i="5"/>
  <c r="AW30" i="5"/>
  <c r="AW31" i="5"/>
  <c r="AW34" i="5"/>
  <c r="AW35" i="5"/>
  <c r="AW36" i="5"/>
  <c r="AW37" i="5"/>
  <c r="AW39" i="5"/>
  <c r="AW41" i="5"/>
  <c r="AW42" i="5"/>
  <c r="AW43" i="5"/>
  <c r="AW44" i="5"/>
  <c r="AW45" i="5"/>
  <c r="AW47" i="5"/>
  <c r="AW49" i="5"/>
  <c r="AW50" i="5"/>
  <c r="AW51" i="5"/>
  <c r="AW52" i="5"/>
  <c r="AW53" i="5"/>
  <c r="AW55" i="5"/>
  <c r="AW57" i="5"/>
  <c r="AW58" i="5"/>
  <c r="AW59" i="5"/>
  <c r="AW60" i="5"/>
  <c r="AW61" i="5"/>
  <c r="AW63" i="5"/>
  <c r="AW65" i="5"/>
  <c r="AW66" i="5"/>
  <c r="AW67" i="5"/>
  <c r="AW68" i="5"/>
  <c r="AW69" i="5"/>
  <c r="AW71" i="5"/>
  <c r="AW74" i="5"/>
  <c r="AW75" i="5"/>
  <c r="AW76" i="5"/>
  <c r="AW77" i="5"/>
  <c r="AW79" i="5"/>
  <c r="AW82" i="5"/>
  <c r="AW83" i="5"/>
  <c r="AW84" i="5"/>
  <c r="AW85" i="5"/>
  <c r="AW87" i="5"/>
  <c r="AW89" i="5"/>
  <c r="AW90" i="5"/>
  <c r="AW91" i="5"/>
  <c r="AW92" i="5"/>
  <c r="AW93" i="5"/>
  <c r="AW94" i="5"/>
  <c r="AW95" i="5"/>
  <c r="AW98" i="5"/>
  <c r="AW99" i="5"/>
  <c r="AW100" i="5"/>
  <c r="AW101" i="5"/>
  <c r="AW103" i="5"/>
  <c r="AW105" i="5"/>
  <c r="AW106" i="5"/>
  <c r="AW107" i="5"/>
  <c r="AW108" i="5"/>
  <c r="AW109" i="5"/>
  <c r="AW111" i="5"/>
  <c r="AW113" i="5"/>
  <c r="AW114" i="5"/>
  <c r="AW115" i="5"/>
  <c r="AW116" i="5"/>
  <c r="AW117" i="5"/>
  <c r="AW119" i="5"/>
  <c r="AW121" i="5"/>
  <c r="AW122" i="5"/>
  <c r="AW123" i="5"/>
  <c r="AW124" i="5"/>
  <c r="AW125" i="5"/>
  <c r="AW127" i="5"/>
  <c r="AW129" i="5"/>
  <c r="AW130" i="5"/>
  <c r="AW131" i="5"/>
  <c r="AW132" i="5"/>
  <c r="AW133" i="5"/>
  <c r="AW135" i="5"/>
  <c r="AW138" i="5"/>
  <c r="AW139" i="5"/>
  <c r="AW140" i="5"/>
  <c r="AW141" i="5"/>
  <c r="AW143" i="5"/>
  <c r="AW146" i="5"/>
  <c r="AW147" i="5"/>
  <c r="AW148" i="5"/>
  <c r="AW149" i="5"/>
  <c r="AW151" i="5"/>
  <c r="AW153" i="5"/>
  <c r="AW154" i="5"/>
  <c r="AW155" i="5"/>
  <c r="AW156" i="5"/>
  <c r="AW157" i="5"/>
  <c r="AW158" i="5"/>
  <c r="AW159" i="5"/>
  <c r="AW162" i="5"/>
  <c r="AW163" i="5"/>
  <c r="AW164" i="5"/>
  <c r="AW165" i="5"/>
  <c r="AW167" i="5"/>
  <c r="AW169" i="5"/>
  <c r="AW170" i="5"/>
  <c r="AW171" i="5"/>
  <c r="AW172" i="5"/>
  <c r="AW173" i="5"/>
  <c r="AW175" i="5"/>
  <c r="AW177" i="5"/>
  <c r="AW178" i="5"/>
  <c r="AW179" i="5"/>
  <c r="AW180" i="5"/>
  <c r="AW181" i="5"/>
  <c r="AW183" i="5"/>
  <c r="AW185" i="5"/>
  <c r="AW186" i="5"/>
  <c r="AW187" i="5"/>
  <c r="AW188" i="5"/>
  <c r="AW189" i="5"/>
  <c r="AW191" i="5"/>
  <c r="AW193" i="5"/>
  <c r="AW194" i="5"/>
  <c r="AW195" i="5"/>
  <c r="AW196" i="5"/>
  <c r="AW197" i="5"/>
  <c r="AW199" i="5"/>
  <c r="AW201" i="5"/>
  <c r="AW202" i="5"/>
  <c r="AW203" i="5"/>
  <c r="AW204" i="5"/>
  <c r="AW205" i="5"/>
  <c r="AW207" i="5"/>
  <c r="AW210" i="5"/>
  <c r="AW211" i="5"/>
  <c r="AW212" i="5"/>
  <c r="AW213" i="5"/>
  <c r="AW214" i="5"/>
  <c r="AW215" i="5"/>
  <c r="AW217" i="5"/>
  <c r="AW218" i="5"/>
  <c r="AW219" i="5"/>
  <c r="AW220" i="5"/>
  <c r="AW221" i="5"/>
  <c r="AW223" i="5"/>
  <c r="AW226" i="5"/>
  <c r="AW227" i="5"/>
  <c r="AW228" i="5"/>
  <c r="AW229" i="5"/>
  <c r="AW231" i="5"/>
  <c r="AW233" i="5"/>
  <c r="AW234" i="5"/>
  <c r="AW235" i="5"/>
  <c r="AW236" i="5"/>
  <c r="AW237" i="5"/>
  <c r="AW239" i="5"/>
  <c r="AW241" i="5"/>
  <c r="AW242" i="5"/>
  <c r="AW243" i="5"/>
  <c r="AW244" i="5"/>
  <c r="AW245" i="5"/>
  <c r="AW247" i="5"/>
  <c r="AW249" i="5"/>
  <c r="AW250" i="5"/>
  <c r="AW251" i="5"/>
  <c r="AW252" i="5"/>
  <c r="AW253" i="5"/>
  <c r="AW255" i="5"/>
  <c r="AW257" i="5"/>
  <c r="AW258" i="5"/>
  <c r="AW259" i="5"/>
  <c r="AW260" i="5"/>
  <c r="AW261" i="5"/>
  <c r="AW263" i="5"/>
  <c r="AW265" i="5"/>
  <c r="AW266" i="5"/>
  <c r="AW267" i="5"/>
  <c r="AW268" i="5"/>
  <c r="AW269" i="5"/>
  <c r="AW271" i="5"/>
  <c r="AW274" i="5"/>
  <c r="AW275" i="5"/>
  <c r="AW276" i="5"/>
  <c r="AW277" i="5"/>
  <c r="AW278" i="5"/>
  <c r="AW279" i="5"/>
  <c r="AW281" i="5"/>
  <c r="AW282" i="5"/>
  <c r="AW283" i="5"/>
  <c r="AW284" i="5"/>
  <c r="AW285" i="5"/>
  <c r="AW286" i="5"/>
  <c r="AW287" i="5"/>
  <c r="AW290" i="5"/>
  <c r="AW291" i="5"/>
  <c r="AW292" i="5"/>
  <c r="AW293" i="5"/>
  <c r="AW295" i="5"/>
  <c r="AW297" i="5"/>
  <c r="AW298" i="5"/>
  <c r="AW299" i="5"/>
  <c r="AW300" i="5"/>
  <c r="AW301" i="5"/>
  <c r="AW303" i="5"/>
  <c r="AW305" i="5"/>
  <c r="AW306" i="5"/>
  <c r="AW307" i="5"/>
  <c r="AW308" i="5"/>
  <c r="AW309" i="5"/>
  <c r="AW311" i="5"/>
  <c r="AW313" i="5"/>
  <c r="AW314" i="5"/>
  <c r="AW315" i="5"/>
  <c r="AW316" i="5"/>
  <c r="AW317" i="5"/>
  <c r="AW319" i="5"/>
  <c r="AW321" i="5"/>
  <c r="AW322" i="5"/>
  <c r="AW323" i="5"/>
  <c r="AW324" i="5"/>
  <c r="AW325" i="5"/>
  <c r="AW327" i="5"/>
  <c r="AW329" i="5"/>
  <c r="AW330" i="5"/>
  <c r="AW331" i="5"/>
  <c r="AW332" i="5"/>
  <c r="AW333" i="5"/>
  <c r="AW335" i="5"/>
  <c r="AW338" i="5"/>
  <c r="AW339" i="5"/>
  <c r="AW340" i="5"/>
  <c r="AW341" i="5"/>
  <c r="AW343" i="5"/>
  <c r="AW345" i="5"/>
  <c r="AW346" i="5"/>
  <c r="AW347" i="5"/>
  <c r="AW348" i="5"/>
  <c r="AW349" i="5"/>
  <c r="AW350" i="5"/>
  <c r="AW351" i="5"/>
  <c r="AW354" i="5"/>
  <c r="AW355" i="5"/>
  <c r="AW356" i="5"/>
  <c r="AW357" i="5"/>
  <c r="AW359" i="5"/>
  <c r="AW361" i="5"/>
  <c r="AW362" i="5"/>
  <c r="AW363" i="5"/>
  <c r="AW364" i="5"/>
  <c r="AW365" i="5"/>
  <c r="AW367" i="5"/>
  <c r="AW369" i="5"/>
  <c r="AW370" i="5"/>
  <c r="AW371" i="5"/>
  <c r="AW372" i="5"/>
  <c r="AW373" i="5"/>
  <c r="AW375" i="5"/>
  <c r="AW377" i="5"/>
  <c r="AW378" i="5"/>
  <c r="AW379" i="5"/>
  <c r="AW380" i="5"/>
  <c r="AW381" i="5"/>
  <c r="AW383" i="5"/>
  <c r="AW385" i="5"/>
  <c r="AW386" i="5"/>
  <c r="AW387" i="5"/>
  <c r="AW388" i="5"/>
  <c r="AW389" i="5"/>
  <c r="AW391" i="5"/>
  <c r="AW393" i="5"/>
  <c r="AW394" i="5"/>
  <c r="AW395" i="5"/>
  <c r="AW396" i="5"/>
  <c r="AW397" i="5"/>
  <c r="AW399" i="5"/>
  <c r="AW402" i="5"/>
  <c r="AW403" i="5"/>
  <c r="AW404" i="5"/>
  <c r="AW405" i="5"/>
  <c r="AW407" i="5"/>
  <c r="AW409" i="5"/>
  <c r="AW410" i="5"/>
  <c r="AW411" i="5"/>
  <c r="AW412" i="5"/>
  <c r="AW413" i="5"/>
  <c r="AW415" i="5"/>
  <c r="AW418" i="5"/>
  <c r="AW419" i="5"/>
  <c r="AW420" i="5"/>
  <c r="AW421" i="5"/>
  <c r="AW423" i="5"/>
  <c r="AW425" i="5"/>
  <c r="AW426" i="5"/>
  <c r="AW427" i="5"/>
  <c r="AW428" i="5"/>
  <c r="AW429" i="5"/>
  <c r="AW430" i="5"/>
  <c r="AW431" i="5"/>
  <c r="AW433" i="5"/>
  <c r="AW434" i="5"/>
  <c r="AW435" i="5"/>
  <c r="AW436" i="5"/>
  <c r="AW437" i="5"/>
  <c r="AW439" i="5"/>
  <c r="AW441" i="5"/>
  <c r="AW442" i="5"/>
  <c r="AW443" i="5"/>
  <c r="AW444" i="5"/>
  <c r="AW445" i="5"/>
  <c r="AW447" i="5"/>
  <c r="AW449" i="5"/>
  <c r="AW450" i="5"/>
  <c r="AW451" i="5"/>
  <c r="AW452" i="5"/>
  <c r="AW453" i="5"/>
  <c r="AW455" i="5"/>
  <c r="AW457" i="5"/>
  <c r="AW458" i="5"/>
  <c r="AW459" i="5"/>
  <c r="AW460" i="5"/>
  <c r="AW461" i="5"/>
  <c r="AW463" i="5"/>
  <c r="AW466" i="5"/>
  <c r="AW467" i="5"/>
  <c r="AW468" i="5"/>
  <c r="AW469" i="5"/>
  <c r="AW471" i="5"/>
  <c r="AW473" i="5"/>
  <c r="AW474" i="5"/>
  <c r="AW475" i="5"/>
  <c r="AW476" i="5"/>
  <c r="AW477" i="5"/>
  <c r="AW479" i="5"/>
  <c r="AW482" i="5"/>
  <c r="AW483" i="5"/>
  <c r="AW484" i="5"/>
  <c r="AW485" i="5"/>
  <c r="AW487" i="5"/>
  <c r="AW489" i="5"/>
  <c r="AW490" i="5"/>
  <c r="AW491" i="5"/>
  <c r="AW492" i="5"/>
  <c r="AW493" i="5"/>
  <c r="AW495" i="5"/>
  <c r="AW497" i="5"/>
  <c r="AW498" i="5"/>
  <c r="AW499" i="5"/>
  <c r="AW500" i="5"/>
  <c r="AW501" i="5"/>
  <c r="AW503" i="5"/>
  <c r="AW505" i="5"/>
  <c r="AW506" i="5"/>
  <c r="AW507" i="5"/>
  <c r="AW508" i="5"/>
  <c r="AW509" i="5"/>
  <c r="AW511" i="5"/>
  <c r="AW513" i="5"/>
  <c r="AW514" i="5"/>
  <c r="AW515" i="5"/>
  <c r="AW516" i="5"/>
  <c r="AW517" i="5"/>
  <c r="AW519" i="5"/>
  <c r="AW521" i="5"/>
  <c r="AW522" i="5"/>
  <c r="AW523" i="5"/>
  <c r="AW524" i="5"/>
  <c r="AW525" i="5"/>
  <c r="AW527" i="5"/>
  <c r="AW530" i="5"/>
  <c r="AW531" i="5"/>
  <c r="AW532" i="5"/>
  <c r="AW533" i="5"/>
  <c r="AW535" i="5"/>
  <c r="AW537" i="5"/>
  <c r="AW538" i="5"/>
  <c r="AW539" i="5"/>
  <c r="AW540" i="5"/>
  <c r="AW541" i="5"/>
  <c r="AW543" i="5"/>
  <c r="AW546" i="5"/>
  <c r="AW547" i="5"/>
  <c r="AW548" i="5"/>
  <c r="AW549" i="5"/>
  <c r="AW551" i="5"/>
  <c r="AW553" i="5"/>
  <c r="AW554" i="5"/>
  <c r="AW555" i="5"/>
  <c r="AW556" i="5"/>
  <c r="AW557" i="5"/>
  <c r="AW558" i="5"/>
  <c r="AW559" i="5"/>
  <c r="AW561" i="5"/>
  <c r="AW562" i="5"/>
  <c r="AW563" i="5"/>
  <c r="AW564" i="5"/>
  <c r="AW565" i="5"/>
  <c r="AW567" i="5"/>
  <c r="AW569" i="5"/>
  <c r="AW570" i="5"/>
  <c r="AW571" i="5"/>
  <c r="AW572" i="5"/>
  <c r="AW573" i="5"/>
  <c r="AW575" i="5"/>
  <c r="AW577" i="5"/>
  <c r="AW578" i="5"/>
  <c r="AW579" i="5"/>
  <c r="AW580" i="5"/>
  <c r="AW581" i="5"/>
  <c r="AW583" i="5"/>
  <c r="AW585" i="5"/>
  <c r="AW586" i="5"/>
  <c r="AW587" i="5"/>
  <c r="AW588" i="5"/>
  <c r="AW589" i="5"/>
  <c r="AW591" i="5"/>
  <c r="AW594" i="5"/>
  <c r="AW595" i="5"/>
  <c r="AW596" i="5"/>
  <c r="AW597" i="5"/>
  <c r="AW598" i="5"/>
  <c r="AW599" i="5"/>
  <c r="AW601" i="5"/>
  <c r="AW602" i="5"/>
  <c r="AW603" i="5"/>
  <c r="AW604" i="5"/>
  <c r="AW605" i="5"/>
  <c r="AW607" i="5"/>
  <c r="AW610" i="5"/>
  <c r="AW611" i="5"/>
  <c r="AW612" i="5"/>
  <c r="AW613" i="5"/>
  <c r="AW615" i="5"/>
  <c r="AW617" i="5"/>
  <c r="AW618" i="5"/>
  <c r="AW619" i="5"/>
  <c r="AW620" i="5"/>
  <c r="AW621" i="5"/>
  <c r="AW622" i="5"/>
  <c r="AW623" i="5"/>
  <c r="AW625" i="5"/>
  <c r="AW626" i="5"/>
  <c r="AW627" i="5"/>
  <c r="AW628" i="5"/>
  <c r="AW629" i="5"/>
  <c r="AW631" i="5"/>
  <c r="AW633" i="5"/>
  <c r="AW634" i="5"/>
  <c r="AW635" i="5"/>
  <c r="AW636" i="5"/>
  <c r="AW637" i="5"/>
  <c r="AW639" i="5"/>
  <c r="AW641" i="5"/>
  <c r="AW642" i="5"/>
  <c r="AW643" i="5"/>
  <c r="AW644" i="5"/>
  <c r="AW645" i="5"/>
  <c r="AW647" i="5"/>
  <c r="AW649" i="5"/>
  <c r="AW650" i="5"/>
  <c r="AW651" i="5"/>
  <c r="AW652" i="5"/>
  <c r="AW653" i="5"/>
  <c r="AW655" i="5"/>
  <c r="AW658" i="5"/>
  <c r="AW659" i="5"/>
  <c r="AW660" i="5"/>
  <c r="AW661" i="5"/>
  <c r="AW663" i="5"/>
  <c r="AW665" i="5"/>
  <c r="AW666" i="5"/>
  <c r="AW667" i="5"/>
  <c r="AW668" i="5"/>
  <c r="AW669" i="5"/>
  <c r="AW670" i="5"/>
  <c r="AW671" i="5"/>
  <c r="AW674" i="5"/>
  <c r="AW675" i="5"/>
  <c r="AW676" i="5"/>
  <c r="AW677" i="5"/>
  <c r="AW679" i="5"/>
  <c r="AW681" i="5"/>
  <c r="AW682" i="5"/>
  <c r="AW683" i="5"/>
  <c r="AW684" i="5"/>
  <c r="AW685" i="5"/>
  <c r="AW687" i="5"/>
  <c r="AW689" i="5"/>
  <c r="AW690" i="5"/>
  <c r="AW691" i="5"/>
  <c r="AW692" i="5"/>
  <c r="AW693" i="5"/>
  <c r="AW695" i="5"/>
  <c r="AW697" i="5"/>
  <c r="AW698" i="5"/>
  <c r="AW699" i="5"/>
  <c r="AW700" i="5"/>
  <c r="AW701" i="5"/>
  <c r="AW703" i="5"/>
  <c r="AW705" i="5"/>
  <c r="AW706" i="5"/>
  <c r="AW707" i="5"/>
  <c r="AW708" i="5"/>
  <c r="AW709" i="5"/>
  <c r="AW711" i="5"/>
  <c r="AW713" i="5"/>
  <c r="AW714" i="5"/>
  <c r="AW715" i="5"/>
  <c r="AW716" i="5"/>
  <c r="AW717" i="5"/>
  <c r="AW719" i="5"/>
  <c r="AW721" i="5"/>
  <c r="AW722" i="5"/>
  <c r="AW723" i="5"/>
  <c r="AW724" i="5"/>
  <c r="AW725" i="5"/>
  <c r="AW727" i="5"/>
  <c r="AW729" i="5"/>
  <c r="AW730" i="5"/>
  <c r="AW731" i="5"/>
  <c r="AW732" i="5"/>
  <c r="AW733" i="5"/>
  <c r="AW735" i="5"/>
  <c r="AW737" i="5"/>
  <c r="AW738" i="5"/>
  <c r="AW739" i="5"/>
  <c r="AW740" i="5"/>
  <c r="AW741" i="5"/>
  <c r="AW743" i="5"/>
  <c r="AW745" i="5"/>
  <c r="AW746" i="5"/>
  <c r="AW747" i="5"/>
  <c r="AW748" i="5"/>
  <c r="AW749" i="5"/>
  <c r="AW751" i="5"/>
  <c r="AW753" i="5"/>
  <c r="AW754" i="5"/>
  <c r="AW755" i="5"/>
  <c r="AW756" i="5"/>
  <c r="AW757" i="5"/>
  <c r="AW759" i="5"/>
  <c r="AW761" i="5"/>
  <c r="AW762" i="5"/>
  <c r="AW763" i="5"/>
  <c r="AW764" i="5"/>
  <c r="AW765" i="5"/>
  <c r="AW767" i="5"/>
  <c r="AW769" i="5"/>
  <c r="AW770" i="5"/>
  <c r="AW771" i="5"/>
  <c r="AW772" i="5"/>
  <c r="AW773" i="5"/>
  <c r="AW775" i="5"/>
  <c r="AW777" i="5"/>
  <c r="AW778" i="5"/>
  <c r="AW779" i="5"/>
  <c r="AW780" i="5"/>
  <c r="AW781" i="5"/>
  <c r="AW783" i="5"/>
  <c r="AW785" i="5"/>
  <c r="AW786" i="5"/>
  <c r="AW787" i="5"/>
  <c r="AW788" i="5"/>
  <c r="AW789" i="5"/>
  <c r="AW791" i="5"/>
  <c r="AW793" i="5"/>
  <c r="AW794" i="5"/>
  <c r="AW795" i="5"/>
  <c r="AW796" i="5"/>
  <c r="AW797" i="5"/>
  <c r="AW799" i="5"/>
  <c r="AW801" i="5"/>
  <c r="AW802" i="5"/>
  <c r="AW803" i="5"/>
  <c r="AW804" i="5"/>
  <c r="AW805" i="5"/>
  <c r="AW807" i="5"/>
  <c r="AW809" i="5"/>
  <c r="AW810" i="5"/>
  <c r="AW811" i="5"/>
  <c r="AW812" i="5"/>
  <c r="AW813" i="5"/>
  <c r="AW815" i="5"/>
  <c r="AW817" i="5"/>
  <c r="AW818" i="5"/>
  <c r="AW819" i="5"/>
  <c r="AW820" i="5"/>
  <c r="AW821" i="5"/>
  <c r="AW823" i="5"/>
  <c r="AW825" i="5"/>
  <c r="AW826" i="5"/>
  <c r="AW827" i="5"/>
  <c r="AW828" i="5"/>
  <c r="AW829" i="5"/>
  <c r="AW831" i="5"/>
  <c r="AW833" i="5"/>
  <c r="AW834" i="5"/>
  <c r="AW835" i="5"/>
  <c r="AW836" i="5"/>
  <c r="AW837" i="5"/>
  <c r="AW839" i="5"/>
  <c r="AW841" i="5"/>
  <c r="AW842" i="5"/>
  <c r="AW843" i="5"/>
  <c r="AW844" i="5"/>
  <c r="AW845" i="5"/>
  <c r="AW847" i="5"/>
  <c r="AW849" i="5"/>
  <c r="AW850" i="5"/>
  <c r="AW851" i="5"/>
  <c r="AW852" i="5"/>
  <c r="AW853" i="5"/>
  <c r="AW855" i="5"/>
  <c r="AW857" i="5"/>
  <c r="AW858" i="5"/>
  <c r="AW859" i="5"/>
  <c r="AW860" i="5"/>
  <c r="AW861" i="5"/>
  <c r="AW863" i="5"/>
  <c r="AW865" i="5"/>
  <c r="AW866" i="5"/>
  <c r="AW867" i="5"/>
  <c r="AW868" i="5"/>
  <c r="AW869" i="5"/>
  <c r="AW871" i="5"/>
  <c r="AW873" i="5"/>
  <c r="AW874" i="5"/>
  <c r="AW875" i="5"/>
  <c r="AW876" i="5"/>
  <c r="AW877" i="5"/>
  <c r="AW879" i="5"/>
  <c r="AW881" i="5"/>
  <c r="AW882" i="5"/>
  <c r="AW883" i="5"/>
  <c r="AW884" i="5"/>
  <c r="AW885" i="5"/>
  <c r="AW887" i="5"/>
  <c r="AW889" i="5"/>
  <c r="AW890" i="5"/>
  <c r="AW891" i="5"/>
  <c r="AW892" i="5"/>
  <c r="AW893" i="5"/>
  <c r="AW895" i="5"/>
  <c r="AW897" i="5"/>
  <c r="AW898" i="5"/>
  <c r="AW899" i="5"/>
  <c r="AW900" i="5"/>
  <c r="AW901" i="5"/>
  <c r="AW903" i="5"/>
  <c r="AW905" i="5"/>
  <c r="AW906" i="5"/>
  <c r="AW907" i="5"/>
  <c r="AW908" i="5"/>
  <c r="AW909" i="5"/>
  <c r="AW911" i="5"/>
  <c r="AW913" i="5"/>
  <c r="AW914" i="5"/>
  <c r="AW915" i="5"/>
  <c r="AW916" i="5"/>
  <c r="AW917" i="5"/>
  <c r="AW919" i="5"/>
  <c r="AW921" i="5"/>
  <c r="AW922" i="5"/>
  <c r="AW923" i="5"/>
  <c r="AW924" i="5"/>
  <c r="AW925" i="5"/>
  <c r="AW927" i="5"/>
  <c r="AW929" i="5"/>
  <c r="AW930" i="5"/>
  <c r="AW931" i="5"/>
  <c r="AW932" i="5"/>
  <c r="AW933" i="5"/>
  <c r="AW935" i="5"/>
  <c r="AW937" i="5"/>
  <c r="AW938" i="5"/>
  <c r="AW939" i="5"/>
  <c r="AW940" i="5"/>
  <c r="AW941" i="5"/>
  <c r="AW943" i="5"/>
  <c r="AW945" i="5"/>
  <c r="AW946" i="5"/>
  <c r="AW947" i="5"/>
  <c r="AW948" i="5"/>
  <c r="AW949" i="5"/>
  <c r="AW951" i="5"/>
  <c r="AW953" i="5"/>
  <c r="AW954" i="5"/>
  <c r="AW955" i="5"/>
  <c r="AW956" i="5"/>
  <c r="AW957" i="5"/>
  <c r="AW959" i="5"/>
  <c r="AW961" i="5"/>
  <c r="AW962" i="5"/>
  <c r="AW963" i="5"/>
  <c r="AW964" i="5"/>
  <c r="AW965" i="5"/>
  <c r="AW967" i="5"/>
  <c r="AW969" i="5"/>
  <c r="AW970" i="5"/>
  <c r="AW971" i="5"/>
  <c r="AW972" i="5"/>
  <c r="AW973" i="5"/>
  <c r="AW975" i="5"/>
  <c r="AW977" i="5"/>
  <c r="AW978" i="5"/>
  <c r="AW979" i="5"/>
  <c r="AW980" i="5"/>
  <c r="AW981" i="5"/>
  <c r="AW983" i="5"/>
  <c r="AW985" i="5"/>
  <c r="AW986" i="5"/>
  <c r="AW987" i="5"/>
  <c r="AW988" i="5"/>
  <c r="AW989" i="5"/>
  <c r="AW991" i="5"/>
  <c r="AW993" i="5"/>
  <c r="AW994" i="5"/>
  <c r="AW995" i="5"/>
  <c r="AW996" i="5"/>
  <c r="AW997" i="5"/>
  <c r="AW999" i="5"/>
  <c r="AW1001" i="5"/>
  <c r="AW1002" i="5"/>
  <c r="AW1003" i="5"/>
  <c r="AW1004" i="5"/>
  <c r="AW1005" i="5"/>
  <c r="AW1007" i="5"/>
  <c r="AW1009" i="5"/>
  <c r="AW1010" i="5"/>
  <c r="AW1011" i="5"/>
  <c r="AW1012" i="5"/>
  <c r="AW1013" i="5"/>
  <c r="AW1015" i="5"/>
  <c r="AW1017" i="5"/>
  <c r="AW1018" i="5"/>
  <c r="AW1019" i="5"/>
  <c r="AW1020" i="5"/>
  <c r="AW1021" i="5"/>
  <c r="AW1023" i="5"/>
  <c r="AW1025" i="5"/>
  <c r="AW1026" i="5"/>
  <c r="AW1027" i="5"/>
  <c r="AW1028" i="5"/>
  <c r="AW1029" i="5"/>
  <c r="AW1031" i="5"/>
  <c r="AW1033" i="5"/>
  <c r="AW1034" i="5"/>
  <c r="AW1035" i="5"/>
  <c r="AW1036" i="5"/>
  <c r="AW1037" i="5"/>
  <c r="AW1039" i="5"/>
  <c r="AW1041" i="5"/>
  <c r="AW1042" i="5"/>
  <c r="AW1043" i="5"/>
  <c r="AW1044" i="5"/>
  <c r="AW1045" i="5"/>
  <c r="AW1047" i="5"/>
  <c r="AW1049" i="5"/>
  <c r="AW1050" i="5"/>
  <c r="AW1051" i="5"/>
  <c r="AW1052" i="5"/>
  <c r="AW1053" i="5"/>
  <c r="AW1055" i="5"/>
  <c r="AW1057" i="5"/>
  <c r="AW1058" i="5"/>
  <c r="AW1059" i="5"/>
  <c r="AW1060" i="5"/>
  <c r="AW1061" i="5"/>
  <c r="AW1063" i="5"/>
  <c r="AW1065" i="5"/>
  <c r="AW1066" i="5"/>
  <c r="AW1067" i="5"/>
  <c r="AW1068" i="5"/>
  <c r="AW1069" i="5"/>
  <c r="AW1071" i="5"/>
  <c r="AW1072" i="5"/>
  <c r="AW1073" i="5"/>
  <c r="AW1074" i="5"/>
  <c r="AW1075" i="5"/>
  <c r="AW1076" i="5"/>
  <c r="AW1077" i="5"/>
  <c r="AW1079" i="5"/>
  <c r="AW1081" i="5"/>
  <c r="AW1082" i="5"/>
  <c r="AW1083" i="5"/>
  <c r="AW1084" i="5"/>
  <c r="AW1085" i="5"/>
  <c r="AW1087" i="5"/>
  <c r="AW1088" i="5"/>
  <c r="AW1089" i="5"/>
  <c r="AW1090" i="5"/>
  <c r="AW1091" i="5"/>
  <c r="AW1092" i="5"/>
  <c r="AW1093" i="5"/>
  <c r="AW1095" i="5"/>
  <c r="AW1097" i="5"/>
  <c r="AW1098" i="5"/>
  <c r="AW1099" i="5"/>
  <c r="AW1100" i="5"/>
  <c r="AW1101" i="5"/>
  <c r="AW1103" i="5"/>
  <c r="AW1105" i="5"/>
  <c r="AW1106" i="5"/>
  <c r="AW1107" i="5"/>
  <c r="AW1108" i="5"/>
  <c r="AW1109" i="5"/>
  <c r="AW1111" i="5"/>
  <c r="AW1113" i="5"/>
  <c r="AW1114" i="5"/>
  <c r="AW1115" i="5"/>
  <c r="AW1116" i="5"/>
  <c r="AW1117" i="5"/>
  <c r="AW1119" i="5"/>
  <c r="AW1121" i="5"/>
  <c r="AW1122" i="5"/>
  <c r="AW1123" i="5"/>
  <c r="AW1124" i="5"/>
  <c r="AW1125" i="5"/>
  <c r="AW1127" i="5"/>
  <c r="AW1129" i="5"/>
  <c r="AW1130" i="5"/>
  <c r="AW1131" i="5"/>
  <c r="AW1132" i="5"/>
  <c r="AW1133" i="5"/>
  <c r="AW1135" i="5"/>
  <c r="AW1136" i="5"/>
  <c r="AW1137" i="5"/>
  <c r="AW1138" i="5"/>
  <c r="AW1139" i="5"/>
  <c r="AW1140" i="5"/>
  <c r="AW1141" i="5"/>
  <c r="AW1143" i="5"/>
  <c r="AW1145" i="5"/>
  <c r="AW1146" i="5"/>
  <c r="AW1147" i="5"/>
  <c r="AW1148" i="5"/>
  <c r="AW1149" i="5"/>
  <c r="AW1151" i="5"/>
  <c r="AW1152" i="5"/>
  <c r="AW1153" i="5"/>
  <c r="AW1154" i="5"/>
  <c r="AW1155" i="5"/>
  <c r="AW1156" i="5"/>
  <c r="AW1157" i="5"/>
  <c r="AW1159" i="5"/>
  <c r="AW1161" i="5"/>
  <c r="AW1162" i="5"/>
  <c r="AW1163" i="5"/>
  <c r="AW1164" i="5"/>
  <c r="AW1165" i="5"/>
  <c r="AW1167" i="5"/>
  <c r="AW1169" i="5"/>
  <c r="AW1170" i="5"/>
  <c r="AW1171" i="5"/>
  <c r="AW1172" i="5"/>
  <c r="AW1173" i="5"/>
  <c r="AW1175" i="5"/>
  <c r="AW1177" i="5"/>
  <c r="AW1178" i="5"/>
  <c r="AW1179" i="5"/>
  <c r="AW1180" i="5"/>
  <c r="AW1181" i="5"/>
  <c r="AW1183" i="5"/>
  <c r="AW1185" i="5"/>
  <c r="AW1186" i="5"/>
  <c r="AW1187" i="5"/>
  <c r="AW1188" i="5"/>
  <c r="AW1189" i="5"/>
  <c r="AW1191" i="5"/>
  <c r="AW1193" i="5"/>
  <c r="AW1194" i="5"/>
  <c r="AW1195" i="5"/>
  <c r="AW1196" i="5"/>
  <c r="AW1197" i="5"/>
  <c r="AW1199" i="5"/>
  <c r="AW1200" i="5"/>
  <c r="AW1201" i="5"/>
  <c r="AW1202" i="5"/>
  <c r="AW1203" i="5"/>
  <c r="AW1204" i="5"/>
  <c r="AW1205" i="5"/>
  <c r="AW1207" i="5"/>
  <c r="AW1209" i="5"/>
  <c r="AW1210" i="5"/>
  <c r="AW1211" i="5"/>
  <c r="AW1212" i="5"/>
  <c r="AW1213" i="5"/>
  <c r="AW1215" i="5"/>
  <c r="AW1216" i="5"/>
  <c r="AW1217" i="5"/>
  <c r="AW1218" i="5"/>
  <c r="AW1219" i="5"/>
  <c r="AW1220" i="5"/>
  <c r="AW1221" i="5"/>
  <c r="AW1223" i="5"/>
  <c r="AW1225" i="5"/>
  <c r="AW1226" i="5"/>
  <c r="AW1227" i="5"/>
  <c r="AW1228" i="5"/>
  <c r="AW1229" i="5"/>
  <c r="AW1231" i="5"/>
  <c r="AW1233" i="5"/>
  <c r="AW1234" i="5"/>
  <c r="AW1235" i="5"/>
  <c r="AW1236" i="5"/>
  <c r="AW1237" i="5"/>
  <c r="AW1239" i="5"/>
  <c r="AW1241" i="5"/>
  <c r="AW1242" i="5"/>
  <c r="AW1243" i="5"/>
  <c r="AW1244" i="5"/>
  <c r="AW1245" i="5"/>
  <c r="AW1247" i="5"/>
  <c r="AW1249" i="5"/>
  <c r="AW1250" i="5"/>
  <c r="AW1251" i="5"/>
  <c r="AW1252" i="5"/>
  <c r="AW1253" i="5"/>
  <c r="AW1255" i="5"/>
  <c r="AW1257" i="5"/>
  <c r="AW1258" i="5"/>
  <c r="AW1259" i="5"/>
  <c r="AW1260" i="5"/>
  <c r="AW1261" i="5"/>
  <c r="AW1263" i="5"/>
  <c r="AW1264" i="5"/>
  <c r="AW1265" i="5"/>
  <c r="AW1266" i="5"/>
  <c r="AW1267" i="5"/>
  <c r="AW1268" i="5"/>
  <c r="AW1269" i="5"/>
  <c r="AW1271" i="5"/>
  <c r="AW1273" i="5"/>
  <c r="AW1274" i="5"/>
  <c r="AW1275" i="5"/>
  <c r="AW1276" i="5"/>
  <c r="AW1277" i="5"/>
  <c r="AW1279" i="5"/>
  <c r="AW1281" i="5"/>
  <c r="AW1282" i="5"/>
  <c r="AW1283" i="5"/>
  <c r="AW1284" i="5"/>
  <c r="AW1285" i="5"/>
  <c r="AW1287" i="5"/>
  <c r="AW1289" i="5"/>
  <c r="AW1290" i="5"/>
  <c r="AW1291" i="5"/>
  <c r="AW1292" i="5"/>
  <c r="AW1293" i="5"/>
  <c r="AW1295" i="5"/>
  <c r="AW1297" i="5"/>
  <c r="AW1298" i="5"/>
  <c r="AW1299" i="5"/>
  <c r="AW1300" i="5"/>
  <c r="AW1301" i="5"/>
  <c r="AW1303" i="5"/>
  <c r="AW1305" i="5"/>
  <c r="AW1306" i="5"/>
  <c r="AW1307" i="5"/>
  <c r="AW1308" i="5"/>
  <c r="AW1309" i="5"/>
  <c r="AW1311" i="5"/>
  <c r="AW1313" i="5"/>
  <c r="AW1314" i="5"/>
  <c r="AW1315" i="5"/>
  <c r="AW1316" i="5"/>
  <c r="AW1317" i="5"/>
  <c r="AW1319" i="5"/>
  <c r="AW1321" i="5"/>
  <c r="AW1322" i="5"/>
  <c r="AW1323" i="5"/>
  <c r="AW1324" i="5"/>
  <c r="AW1325" i="5"/>
  <c r="AW1327" i="5"/>
  <c r="AW1329" i="5"/>
  <c r="AW1330" i="5"/>
  <c r="AW1331" i="5"/>
  <c r="AW1332" i="5"/>
  <c r="AW1333" i="5"/>
  <c r="AW1335" i="5"/>
  <c r="AW1337" i="5"/>
  <c r="AW1338" i="5"/>
  <c r="AW1339" i="5"/>
  <c r="AW1340" i="5"/>
  <c r="AW1341" i="5"/>
  <c r="AW1343" i="5"/>
  <c r="AW1345" i="5"/>
  <c r="AW1346" i="5"/>
  <c r="AW1347" i="5"/>
  <c r="AW1348" i="5"/>
  <c r="AW1349" i="5"/>
  <c r="AW1351" i="5"/>
  <c r="AW1353" i="5"/>
  <c r="AW1354" i="5"/>
  <c r="AW1355" i="5"/>
  <c r="AW1356" i="5"/>
  <c r="AW1357" i="5"/>
  <c r="AW1359" i="5"/>
  <c r="AW1361" i="5"/>
  <c r="AW1362" i="5"/>
  <c r="AW1363" i="5"/>
  <c r="AW1364" i="5"/>
  <c r="AW1365" i="5"/>
  <c r="AW1367" i="5"/>
  <c r="AW1369" i="5"/>
  <c r="AW1370" i="5"/>
  <c r="AW1371" i="5"/>
  <c r="AW1372" i="5"/>
  <c r="AW1373" i="5"/>
  <c r="AW1375" i="5"/>
  <c r="AW1377" i="5"/>
  <c r="AW1378" i="5"/>
  <c r="AW1379" i="5"/>
  <c r="AW1380" i="5"/>
  <c r="AW1381" i="5"/>
  <c r="AW1383" i="5"/>
  <c r="AW1385" i="5"/>
  <c r="AW1386" i="5"/>
  <c r="AW1387" i="5"/>
  <c r="AW1388" i="5"/>
  <c r="AW1389" i="5"/>
  <c r="AW1391" i="5"/>
  <c r="AW1393" i="5"/>
  <c r="AW1394" i="5"/>
  <c r="AW1395" i="5"/>
  <c r="AW1396" i="5"/>
  <c r="AW1397" i="5"/>
  <c r="AW1399" i="5"/>
  <c r="AW1401" i="5"/>
  <c r="AW1402" i="5"/>
  <c r="AW1403" i="5"/>
  <c r="AW1404" i="5"/>
  <c r="AW1405" i="5"/>
  <c r="AW1407" i="5"/>
  <c r="AW1409" i="5"/>
  <c r="AW1410" i="5"/>
  <c r="AW1411" i="5"/>
  <c r="AW1412" i="5"/>
  <c r="AW1413" i="5"/>
  <c r="AW1415" i="5"/>
  <c r="AW1417" i="5"/>
  <c r="AW1418" i="5"/>
  <c r="AW1419" i="5"/>
  <c r="AW1420" i="5"/>
  <c r="AW1421" i="5"/>
  <c r="AW1423" i="5"/>
  <c r="AW1425" i="5"/>
  <c r="AW1426" i="5"/>
  <c r="AW1427" i="5"/>
  <c r="AW1428" i="5"/>
  <c r="AW1429" i="5"/>
  <c r="AW1431" i="5"/>
  <c r="AW1433" i="5"/>
  <c r="AW1434" i="5"/>
  <c r="AW1435" i="5"/>
  <c r="AW1436" i="5"/>
  <c r="AW1437" i="5"/>
  <c r="AW1439" i="5"/>
  <c r="AW1441" i="5"/>
  <c r="AW1442" i="5"/>
  <c r="AW1443" i="5"/>
  <c r="AW1444" i="5"/>
  <c r="AW1445" i="5"/>
  <c r="AW1447" i="5"/>
  <c r="AW1449" i="5"/>
  <c r="AW1450" i="5"/>
  <c r="AW1451" i="5"/>
  <c r="AW1452" i="5"/>
  <c r="AW1453" i="5"/>
  <c r="AW1455" i="5"/>
  <c r="AW1457" i="5"/>
  <c r="AW1458" i="5"/>
  <c r="AW1459" i="5"/>
  <c r="AW1460" i="5"/>
  <c r="AW1461" i="5"/>
  <c r="AW1463" i="5"/>
  <c r="AW1465" i="5"/>
  <c r="AW1466" i="5"/>
  <c r="AW1467" i="5"/>
  <c r="AW1468" i="5"/>
  <c r="AW1469" i="5"/>
  <c r="AW1471" i="5"/>
  <c r="AW1473" i="5"/>
  <c r="AW1474" i="5"/>
  <c r="AW1475" i="5"/>
  <c r="AW1476" i="5"/>
  <c r="AW1477" i="5"/>
  <c r="AW1479" i="5"/>
  <c r="AW1481" i="5"/>
  <c r="AW1482" i="5"/>
  <c r="AW1483" i="5"/>
  <c r="AW1484" i="5"/>
  <c r="AW1485" i="5"/>
  <c r="AW1487" i="5"/>
  <c r="AW1489" i="5"/>
  <c r="AW1490" i="5"/>
  <c r="AW1491" i="5"/>
  <c r="AW1492" i="5"/>
  <c r="AW1493" i="5"/>
  <c r="AW1495" i="5"/>
  <c r="AW1497" i="5"/>
  <c r="AW1498" i="5"/>
  <c r="AW1499" i="5"/>
  <c r="AW1500" i="5"/>
  <c r="AW1501" i="5"/>
  <c r="AW1503" i="5"/>
  <c r="AW1505" i="5"/>
  <c r="AW1506" i="5"/>
  <c r="AW1507" i="5"/>
  <c r="AW1508" i="5"/>
  <c r="AW1509" i="5"/>
  <c r="AW1511" i="5"/>
  <c r="AW1513" i="5"/>
  <c r="AW1514" i="5"/>
  <c r="AW1515" i="5"/>
  <c r="AW1516" i="5"/>
  <c r="AW1517" i="5"/>
  <c r="AW1519" i="5"/>
  <c r="AW1521" i="5"/>
  <c r="AW1522" i="5"/>
  <c r="AW1523" i="5"/>
  <c r="AW1524" i="5"/>
  <c r="AW1525" i="5"/>
  <c r="AW1527" i="5"/>
  <c r="AW1529" i="5"/>
  <c r="AW1530" i="5"/>
  <c r="AW1531" i="5"/>
  <c r="AW1532" i="5"/>
  <c r="AW1533" i="5"/>
  <c r="AW1535" i="5"/>
  <c r="AW1537" i="5"/>
  <c r="AW1538" i="5"/>
  <c r="AW1539" i="5"/>
  <c r="AW1540" i="5"/>
  <c r="AW1541" i="5"/>
  <c r="AW1543" i="5"/>
  <c r="AW1545" i="5"/>
  <c r="AW1546" i="5"/>
  <c r="AW1547" i="5"/>
  <c r="AW1548" i="5"/>
  <c r="AW1549" i="5"/>
  <c r="AW1551" i="5"/>
  <c r="AW1553" i="5"/>
  <c r="AW1554" i="5"/>
  <c r="AW1555" i="5"/>
  <c r="AW1556" i="5"/>
  <c r="AW1557" i="5"/>
  <c r="AW1559" i="5"/>
  <c r="AW1561" i="5"/>
  <c r="AW1562" i="5"/>
  <c r="AW1563" i="5"/>
  <c r="AW1564" i="5"/>
  <c r="AW1565" i="5"/>
  <c r="AW1567" i="5"/>
  <c r="AW1569" i="5"/>
  <c r="AW1570" i="5"/>
  <c r="AW1571" i="5"/>
  <c r="AW1572" i="5"/>
  <c r="AW1573" i="5"/>
  <c r="AW1575" i="5"/>
  <c r="AW1577" i="5"/>
  <c r="AW1578" i="5"/>
  <c r="AW1579" i="5"/>
  <c r="AW1580" i="5"/>
  <c r="AW1581" i="5"/>
  <c r="AW1583" i="5"/>
  <c r="AW1585" i="5"/>
  <c r="AW1586" i="5"/>
  <c r="AW1587" i="5"/>
  <c r="AW1588" i="5"/>
  <c r="AW1589" i="5"/>
  <c r="AW1591" i="5"/>
  <c r="AW1593" i="5"/>
  <c r="AW1594" i="5"/>
  <c r="AW1595" i="5"/>
  <c r="AW1596" i="5"/>
  <c r="AW1597" i="5"/>
  <c r="AW1599" i="5"/>
  <c r="AW1601" i="5"/>
  <c r="AW1602" i="5"/>
  <c r="AW1603" i="5"/>
  <c r="AW1604" i="5"/>
  <c r="AW1605" i="5"/>
  <c r="AW1607" i="5"/>
  <c r="AW1609" i="5"/>
  <c r="AW1610" i="5"/>
  <c r="AW1611" i="5"/>
  <c r="AW1612" i="5"/>
  <c r="AW1613" i="5"/>
  <c r="AW1615" i="5"/>
  <c r="AW1617" i="5"/>
  <c r="AW1618" i="5"/>
  <c r="AW1619" i="5"/>
  <c r="AW1620" i="5"/>
  <c r="AW1621" i="5"/>
  <c r="AW1623" i="5"/>
  <c r="AW1625" i="5"/>
  <c r="AW1626" i="5"/>
  <c r="AW1627" i="5"/>
  <c r="AW1628" i="5"/>
  <c r="AW1629" i="5"/>
  <c r="AW1631" i="5"/>
  <c r="AW1633" i="5"/>
  <c r="AW1634" i="5"/>
  <c r="AW1635" i="5"/>
  <c r="AW1636" i="5"/>
  <c r="AW1637" i="5"/>
  <c r="AW1639" i="5"/>
  <c r="AW1641" i="5"/>
  <c r="AW1642" i="5"/>
  <c r="AW1643" i="5"/>
  <c r="AW1644" i="5"/>
  <c r="AW1645" i="5"/>
  <c r="AW1647" i="5"/>
  <c r="AW1649" i="5"/>
  <c r="AW1650" i="5"/>
  <c r="AW1651" i="5"/>
  <c r="AW1652" i="5"/>
  <c r="AW1653" i="5"/>
  <c r="AW1655" i="5"/>
  <c r="AW1657" i="5"/>
  <c r="AW1658" i="5"/>
  <c r="AW1659" i="5"/>
  <c r="AW1660" i="5"/>
  <c r="AW1661" i="5"/>
  <c r="AW1663" i="5"/>
  <c r="AW1665" i="5"/>
  <c r="AW1666" i="5"/>
  <c r="AW1667" i="5"/>
  <c r="AW1668" i="5"/>
  <c r="AW1669" i="5"/>
  <c r="AW1671" i="5"/>
  <c r="AW1673" i="5"/>
  <c r="AW1674" i="5"/>
  <c r="AW1675" i="5"/>
  <c r="AW1676" i="5"/>
  <c r="AW1677" i="5"/>
  <c r="AW1679" i="5"/>
  <c r="AW1681" i="5"/>
  <c r="AW1682" i="5"/>
  <c r="AW1683" i="5"/>
  <c r="AW1684" i="5"/>
  <c r="AW1685" i="5"/>
  <c r="AW1687" i="5"/>
  <c r="AW1689" i="5"/>
  <c r="AW1690" i="5"/>
  <c r="AW1691" i="5"/>
  <c r="AW1692" i="5"/>
  <c r="AW1693" i="5"/>
  <c r="AW1695" i="5"/>
  <c r="AW1697" i="5"/>
  <c r="AW1698" i="5"/>
  <c r="AW1699" i="5"/>
  <c r="AW1700" i="5"/>
  <c r="AW1701" i="5"/>
  <c r="AW1703" i="5"/>
  <c r="AW1705" i="5"/>
  <c r="AW1706" i="5"/>
  <c r="AW1707" i="5"/>
  <c r="AW1708" i="5"/>
  <c r="AW1709" i="5"/>
  <c r="AW1711" i="5"/>
  <c r="AW1713" i="5"/>
  <c r="AW1714" i="5"/>
  <c r="AW1715" i="5"/>
  <c r="AW1716" i="5"/>
  <c r="AW1717" i="5"/>
  <c r="AW1719" i="5"/>
  <c r="AW1721" i="5"/>
  <c r="AW1722" i="5"/>
  <c r="AW1723" i="5"/>
  <c r="AW1724" i="5"/>
  <c r="AW1725" i="5"/>
  <c r="AW1727" i="5"/>
  <c r="AW1729" i="5"/>
  <c r="AW1730" i="5"/>
  <c r="AW1731" i="5"/>
  <c r="AW1732" i="5"/>
  <c r="AW1733" i="5"/>
  <c r="AW1735" i="5"/>
  <c r="AW1737" i="5"/>
  <c r="AW1738" i="5"/>
  <c r="AW1739" i="5"/>
  <c r="AW1740" i="5"/>
  <c r="AW1741" i="5"/>
  <c r="AW1743" i="5"/>
  <c r="AW1745" i="5"/>
  <c r="AW1746" i="5"/>
  <c r="AW1747" i="5"/>
  <c r="AW1748" i="5"/>
  <c r="AW1749" i="5"/>
  <c r="AW1751" i="5"/>
  <c r="AW1753" i="5"/>
  <c r="AW1754" i="5"/>
  <c r="AW1755" i="5"/>
  <c r="AW1756" i="5"/>
  <c r="AW1757" i="5"/>
  <c r="AW1759" i="5"/>
  <c r="AW1761" i="5"/>
  <c r="AW1762" i="5"/>
  <c r="AW1763" i="5"/>
  <c r="AW1764" i="5"/>
  <c r="AW1765" i="5"/>
  <c r="AW1767" i="5"/>
  <c r="AW1769" i="5"/>
  <c r="AW1770" i="5"/>
  <c r="AW1771" i="5"/>
  <c r="AW1772" i="5"/>
  <c r="AW1773" i="5"/>
  <c r="AW1775" i="5"/>
  <c r="AW1777" i="5"/>
  <c r="AW1778" i="5"/>
  <c r="AW1779" i="5"/>
  <c r="AW1780" i="5"/>
  <c r="AW1781" i="5"/>
  <c r="AW1783" i="5"/>
  <c r="AW1785" i="5"/>
  <c r="AW1786" i="5"/>
  <c r="AW1787" i="5"/>
  <c r="AW1788" i="5"/>
  <c r="AW1789" i="5"/>
  <c r="AW1791" i="5"/>
  <c r="AW1793" i="5"/>
  <c r="AW1794" i="5"/>
  <c r="AW1795" i="5"/>
  <c r="AW1796" i="5"/>
  <c r="AW1797" i="5"/>
  <c r="AW1799" i="5"/>
  <c r="AW1801" i="5"/>
  <c r="AW1802" i="5"/>
  <c r="AW1803" i="5"/>
  <c r="AW1804" i="5"/>
  <c r="AW1805" i="5"/>
  <c r="AW1807" i="5"/>
  <c r="AW1809" i="5"/>
  <c r="AW1810" i="5"/>
  <c r="AW1811" i="5"/>
  <c r="AW1812" i="5"/>
  <c r="AW1813" i="5"/>
  <c r="AW1815" i="5"/>
  <c r="AW1817" i="5"/>
  <c r="AW1818" i="5"/>
  <c r="AW1819" i="5"/>
  <c r="AW1820" i="5"/>
  <c r="AW1821" i="5"/>
  <c r="AW1823" i="5"/>
  <c r="AW1825" i="5"/>
  <c r="AW1826" i="5"/>
  <c r="AW1827" i="5"/>
  <c r="AW1828" i="5"/>
  <c r="AW1829" i="5"/>
  <c r="AW1831" i="5"/>
  <c r="AW1833" i="5"/>
  <c r="AW1834" i="5"/>
  <c r="AW1835" i="5"/>
  <c r="AW1836" i="5"/>
  <c r="AW1837" i="5"/>
  <c r="AW1839" i="5"/>
  <c r="AW1841" i="5"/>
  <c r="AW1842" i="5"/>
  <c r="AW1843" i="5"/>
  <c r="AW1844" i="5"/>
  <c r="AW1845" i="5"/>
  <c r="AW1847" i="5"/>
  <c r="AW1849" i="5"/>
  <c r="AW1850" i="5"/>
  <c r="AW1851" i="5"/>
  <c r="AW1852" i="5"/>
  <c r="AW1853" i="5"/>
  <c r="AW1855" i="5"/>
  <c r="AW1857" i="5"/>
  <c r="AW1858" i="5"/>
  <c r="AW1859" i="5"/>
  <c r="AW1860" i="5"/>
  <c r="AW1861" i="5"/>
  <c r="AX11" i="5"/>
  <c r="AX12" i="5"/>
  <c r="AX13" i="5"/>
  <c r="AX14" i="5"/>
  <c r="AX15" i="5"/>
  <c r="AX16" i="5"/>
  <c r="AX17" i="5"/>
  <c r="AX18" i="5"/>
  <c r="AX19" i="5"/>
  <c r="AX20" i="5"/>
  <c r="AX21" i="5"/>
  <c r="AX22" i="5"/>
  <c r="AX23" i="5"/>
  <c r="AX24" i="5"/>
  <c r="AX25" i="5"/>
  <c r="AX26" i="5"/>
  <c r="AX27" i="5"/>
  <c r="AX28" i="5"/>
  <c r="AX29" i="5"/>
  <c r="AX30" i="5"/>
  <c r="AX31" i="5"/>
  <c r="AX32" i="5"/>
  <c r="AX33" i="5"/>
  <c r="AX34" i="5"/>
  <c r="AX35" i="5"/>
  <c r="AX36" i="5"/>
  <c r="AX37" i="5"/>
  <c r="AX38" i="5"/>
  <c r="AX39" i="5"/>
  <c r="AX40" i="5"/>
  <c r="AX41" i="5"/>
  <c r="AX42" i="5"/>
  <c r="AX43" i="5"/>
  <c r="AX44" i="5"/>
  <c r="AX45" i="5"/>
  <c r="AX46" i="5"/>
  <c r="AX47" i="5"/>
  <c r="AX48" i="5"/>
  <c r="AX49" i="5"/>
  <c r="AX50" i="5"/>
  <c r="AX51" i="5"/>
  <c r="AX52" i="5"/>
  <c r="AX53" i="5"/>
  <c r="AX54" i="5"/>
  <c r="AX55" i="5"/>
  <c r="AX56" i="5"/>
  <c r="AX57" i="5"/>
  <c r="AX58" i="5"/>
  <c r="AX59" i="5"/>
  <c r="AX60" i="5"/>
  <c r="AX61" i="5"/>
  <c r="AX62" i="5"/>
  <c r="AX63" i="5"/>
  <c r="AX64" i="5"/>
  <c r="AX65" i="5"/>
  <c r="AX66" i="5"/>
  <c r="AX67" i="5"/>
  <c r="AX68" i="5"/>
  <c r="AX69" i="5"/>
  <c r="AX70" i="5"/>
  <c r="AX71" i="5"/>
  <c r="AX72" i="5"/>
  <c r="AX73" i="5"/>
  <c r="AX74" i="5"/>
  <c r="AX75" i="5"/>
  <c r="AX76" i="5"/>
  <c r="AX77" i="5"/>
  <c r="AX78" i="5"/>
  <c r="AX79" i="5"/>
  <c r="AX80" i="5"/>
  <c r="AX81" i="5"/>
  <c r="AX82" i="5"/>
  <c r="AX83" i="5"/>
  <c r="AX84" i="5"/>
  <c r="AX85" i="5"/>
  <c r="AX86" i="5"/>
  <c r="AX87" i="5"/>
  <c r="AX88" i="5"/>
  <c r="AX89" i="5"/>
  <c r="AX90" i="5"/>
  <c r="AX91" i="5"/>
  <c r="AX92" i="5"/>
  <c r="AX93" i="5"/>
  <c r="AX94" i="5"/>
  <c r="AX95" i="5"/>
  <c r="AX96" i="5"/>
  <c r="AX97" i="5"/>
  <c r="AX98" i="5"/>
  <c r="AX99" i="5"/>
  <c r="AX100" i="5"/>
  <c r="AX101" i="5"/>
  <c r="AX102" i="5"/>
  <c r="AX103" i="5"/>
  <c r="AX104" i="5"/>
  <c r="AX105" i="5"/>
  <c r="AX106" i="5"/>
  <c r="AX107" i="5"/>
  <c r="AX108" i="5"/>
  <c r="AX109" i="5"/>
  <c r="AX110" i="5"/>
  <c r="AX111" i="5"/>
  <c r="AX112" i="5"/>
  <c r="AX113" i="5"/>
  <c r="AX114" i="5"/>
  <c r="AX115" i="5"/>
  <c r="AX116" i="5"/>
  <c r="AX117" i="5"/>
  <c r="AX118" i="5"/>
  <c r="AX119" i="5"/>
  <c r="AX120" i="5"/>
  <c r="AX121" i="5"/>
  <c r="AX122" i="5"/>
  <c r="AX123" i="5"/>
  <c r="AX124" i="5"/>
  <c r="AX125" i="5"/>
  <c r="AX126" i="5"/>
  <c r="AX127" i="5"/>
  <c r="AX128" i="5"/>
  <c r="AX129" i="5"/>
  <c r="AX130" i="5"/>
  <c r="AX131" i="5"/>
  <c r="AX132" i="5"/>
  <c r="AX133" i="5"/>
  <c r="AX134" i="5"/>
  <c r="AX135" i="5"/>
  <c r="AX136" i="5"/>
  <c r="AX137" i="5"/>
  <c r="AX138" i="5"/>
  <c r="AX139" i="5"/>
  <c r="AX140" i="5"/>
  <c r="AX141" i="5"/>
  <c r="AX142" i="5"/>
  <c r="AX143" i="5"/>
  <c r="AX144" i="5"/>
  <c r="AX145" i="5"/>
  <c r="AX146" i="5"/>
  <c r="AX147" i="5"/>
  <c r="AX148" i="5"/>
  <c r="AX149" i="5"/>
  <c r="AX150" i="5"/>
  <c r="AX151" i="5"/>
  <c r="AX152" i="5"/>
  <c r="AX153" i="5"/>
  <c r="AX154" i="5"/>
  <c r="AX155" i="5"/>
  <c r="AX156" i="5"/>
  <c r="AX157" i="5"/>
  <c r="AX158" i="5"/>
  <c r="AX159" i="5"/>
  <c r="AX160" i="5"/>
  <c r="AX161" i="5"/>
  <c r="AX162" i="5"/>
  <c r="AX163" i="5"/>
  <c r="AX164" i="5"/>
  <c r="AX165" i="5"/>
  <c r="AX166" i="5"/>
  <c r="AX167" i="5"/>
  <c r="AX168" i="5"/>
  <c r="AX169" i="5"/>
  <c r="AX170" i="5"/>
  <c r="AX171" i="5"/>
  <c r="AX172" i="5"/>
  <c r="AX173" i="5"/>
  <c r="AX174" i="5"/>
  <c r="AX175" i="5"/>
  <c r="AX176" i="5"/>
  <c r="AX177" i="5"/>
  <c r="AX178" i="5"/>
  <c r="AX179" i="5"/>
  <c r="AX180" i="5"/>
  <c r="AX181" i="5"/>
  <c r="AX182" i="5"/>
  <c r="AX183" i="5"/>
  <c r="AX184" i="5"/>
  <c r="AX185" i="5"/>
  <c r="AX186" i="5"/>
  <c r="AX187" i="5"/>
  <c r="AX188" i="5"/>
  <c r="AX189" i="5"/>
  <c r="AX190" i="5"/>
  <c r="AX191" i="5"/>
  <c r="AX192" i="5"/>
  <c r="AX193" i="5"/>
  <c r="AX194" i="5"/>
  <c r="AX195" i="5"/>
  <c r="AX196" i="5"/>
  <c r="AX197" i="5"/>
  <c r="AX198" i="5"/>
  <c r="AX199" i="5"/>
  <c r="AX200" i="5"/>
  <c r="AX201" i="5"/>
  <c r="AX202" i="5"/>
  <c r="AX203" i="5"/>
  <c r="AX204" i="5"/>
  <c r="AX205" i="5"/>
  <c r="AX206" i="5"/>
  <c r="AX207" i="5"/>
  <c r="AX208" i="5"/>
  <c r="AX209" i="5"/>
  <c r="AX210" i="5"/>
  <c r="AX211" i="5"/>
  <c r="AX212" i="5"/>
  <c r="AX213" i="5"/>
  <c r="AX214" i="5"/>
  <c r="AX215" i="5"/>
  <c r="AX216" i="5"/>
  <c r="AX217" i="5"/>
  <c r="AX218" i="5"/>
  <c r="AX219" i="5"/>
  <c r="AX220" i="5"/>
  <c r="AX221" i="5"/>
  <c r="AX222" i="5"/>
  <c r="AX223" i="5"/>
  <c r="AX224" i="5"/>
  <c r="AX225" i="5"/>
  <c r="AX226" i="5"/>
  <c r="AX227" i="5"/>
  <c r="AX228" i="5"/>
  <c r="AX229" i="5"/>
  <c r="AX230" i="5"/>
  <c r="AX231" i="5"/>
  <c r="AX232" i="5"/>
  <c r="AX233" i="5"/>
  <c r="AX234" i="5"/>
  <c r="AX235" i="5"/>
  <c r="AX236" i="5"/>
  <c r="AX237" i="5"/>
  <c r="AX238" i="5"/>
  <c r="AX239" i="5"/>
  <c r="AX240" i="5"/>
  <c r="AX241" i="5"/>
  <c r="AX242" i="5"/>
  <c r="AX243" i="5"/>
  <c r="AX244" i="5"/>
  <c r="AX245" i="5"/>
  <c r="AX246" i="5"/>
  <c r="AX247" i="5"/>
  <c r="AX248" i="5"/>
  <c r="AX249" i="5"/>
  <c r="AX250" i="5"/>
  <c r="AX251" i="5"/>
  <c r="AX252" i="5"/>
  <c r="AX253" i="5"/>
  <c r="AX254" i="5"/>
  <c r="AX255" i="5"/>
  <c r="AX256" i="5"/>
  <c r="AX257" i="5"/>
  <c r="AX258" i="5"/>
  <c r="AX259" i="5"/>
  <c r="AX260" i="5"/>
  <c r="AX261" i="5"/>
  <c r="AX262" i="5"/>
  <c r="AX263" i="5"/>
  <c r="AX264" i="5"/>
  <c r="AX265" i="5"/>
  <c r="AX266" i="5"/>
  <c r="AX267" i="5"/>
  <c r="AX268" i="5"/>
  <c r="AX269" i="5"/>
  <c r="AX270" i="5"/>
  <c r="AX271" i="5"/>
  <c r="AX272" i="5"/>
  <c r="AX273" i="5"/>
  <c r="AX274" i="5"/>
  <c r="AX275" i="5"/>
  <c r="AX276" i="5"/>
  <c r="AX277" i="5"/>
  <c r="AX278" i="5"/>
  <c r="AX279" i="5"/>
  <c r="AX280" i="5"/>
  <c r="AX281" i="5"/>
  <c r="AX282" i="5"/>
  <c r="AX283" i="5"/>
  <c r="AX284" i="5"/>
  <c r="AX285" i="5"/>
  <c r="AX286" i="5"/>
  <c r="AX287" i="5"/>
  <c r="AX288" i="5"/>
  <c r="AX289" i="5"/>
  <c r="AX290" i="5"/>
  <c r="AX291" i="5"/>
  <c r="AX292" i="5"/>
  <c r="AX293" i="5"/>
  <c r="AX294" i="5"/>
  <c r="AX295" i="5"/>
  <c r="AX296" i="5"/>
  <c r="AX297" i="5"/>
  <c r="AX298" i="5"/>
  <c r="AX299" i="5"/>
  <c r="AX300" i="5"/>
  <c r="AX301" i="5"/>
  <c r="AX302" i="5"/>
  <c r="AX303" i="5"/>
  <c r="AX304" i="5"/>
  <c r="AX305" i="5"/>
  <c r="AX306" i="5"/>
  <c r="AX307" i="5"/>
  <c r="AX308" i="5"/>
  <c r="AX309" i="5"/>
  <c r="AX310" i="5"/>
  <c r="AX311" i="5"/>
  <c r="AX312" i="5"/>
  <c r="AX313" i="5"/>
  <c r="AX314" i="5"/>
  <c r="AX315" i="5"/>
  <c r="AX316" i="5"/>
  <c r="AX317" i="5"/>
  <c r="AX318" i="5"/>
  <c r="AX319" i="5"/>
  <c r="AX320" i="5"/>
  <c r="AX321" i="5"/>
  <c r="AX322" i="5"/>
  <c r="AX323" i="5"/>
  <c r="AX324" i="5"/>
  <c r="AX325" i="5"/>
  <c r="AX326" i="5"/>
  <c r="AX327" i="5"/>
  <c r="AX328" i="5"/>
  <c r="AX329" i="5"/>
  <c r="AX330" i="5"/>
  <c r="AX331" i="5"/>
  <c r="AX332" i="5"/>
  <c r="AX333" i="5"/>
  <c r="AX334" i="5"/>
  <c r="AX335" i="5"/>
  <c r="AX336" i="5"/>
  <c r="AX337" i="5"/>
  <c r="AX338" i="5"/>
  <c r="AX339" i="5"/>
  <c r="AX340" i="5"/>
  <c r="AX341" i="5"/>
  <c r="AX342" i="5"/>
  <c r="AX343" i="5"/>
  <c r="AX344" i="5"/>
  <c r="AX345" i="5"/>
  <c r="AX346" i="5"/>
  <c r="AX347" i="5"/>
  <c r="AX348" i="5"/>
  <c r="AX349" i="5"/>
  <c r="AX350" i="5"/>
  <c r="AX351" i="5"/>
  <c r="AX352" i="5"/>
  <c r="AX353" i="5"/>
  <c r="AX354" i="5"/>
  <c r="AX355" i="5"/>
  <c r="AX356" i="5"/>
  <c r="AX357" i="5"/>
  <c r="AX358" i="5"/>
  <c r="AX359" i="5"/>
  <c r="AX360" i="5"/>
  <c r="AX361" i="5"/>
  <c r="AX362" i="5"/>
  <c r="AX363" i="5"/>
  <c r="AX364" i="5"/>
  <c r="AX365" i="5"/>
  <c r="AX366" i="5"/>
  <c r="AX367" i="5"/>
  <c r="AX368" i="5"/>
  <c r="AX369" i="5"/>
  <c r="AX370" i="5"/>
  <c r="AX371" i="5"/>
  <c r="AX372" i="5"/>
  <c r="AX373" i="5"/>
  <c r="AX374" i="5"/>
  <c r="AX375" i="5"/>
  <c r="AX376" i="5"/>
  <c r="AX377" i="5"/>
  <c r="AX378" i="5"/>
  <c r="AX379" i="5"/>
  <c r="AX380" i="5"/>
  <c r="AX381" i="5"/>
  <c r="AX382" i="5"/>
  <c r="AX383" i="5"/>
  <c r="AX384" i="5"/>
  <c r="AX385" i="5"/>
  <c r="AX386" i="5"/>
  <c r="AX387" i="5"/>
  <c r="AX388" i="5"/>
  <c r="AX389" i="5"/>
  <c r="AX390" i="5"/>
  <c r="AX391" i="5"/>
  <c r="AX392" i="5"/>
  <c r="AX393" i="5"/>
  <c r="AX394" i="5"/>
  <c r="AX395" i="5"/>
  <c r="AX396" i="5"/>
  <c r="AX397" i="5"/>
  <c r="AX398" i="5"/>
  <c r="AX399" i="5"/>
  <c r="AX400" i="5"/>
  <c r="AX401" i="5"/>
  <c r="AX402" i="5"/>
  <c r="AX403" i="5"/>
  <c r="AX404" i="5"/>
  <c r="AX405" i="5"/>
  <c r="AX406" i="5"/>
  <c r="AX407" i="5"/>
  <c r="AX408" i="5"/>
  <c r="AX409" i="5"/>
  <c r="AX410" i="5"/>
  <c r="AX411" i="5"/>
  <c r="AX412" i="5"/>
  <c r="AX413" i="5"/>
  <c r="AX414" i="5"/>
  <c r="AX415" i="5"/>
  <c r="AX416" i="5"/>
  <c r="AX417" i="5"/>
  <c r="AX418" i="5"/>
  <c r="AX419" i="5"/>
  <c r="AX420" i="5"/>
  <c r="AX421" i="5"/>
  <c r="AX422" i="5"/>
  <c r="AX423" i="5"/>
  <c r="AX424" i="5"/>
  <c r="AX425" i="5"/>
  <c r="AX426" i="5"/>
  <c r="AX427" i="5"/>
  <c r="AX428" i="5"/>
  <c r="AX429" i="5"/>
  <c r="AX430" i="5"/>
  <c r="AX431" i="5"/>
  <c r="AX432" i="5"/>
  <c r="AX433" i="5"/>
  <c r="AX434" i="5"/>
  <c r="AX435" i="5"/>
  <c r="AX436" i="5"/>
  <c r="AX437" i="5"/>
  <c r="AX438" i="5"/>
  <c r="AX439" i="5"/>
  <c r="AX440" i="5"/>
  <c r="AX441" i="5"/>
  <c r="AX442" i="5"/>
  <c r="AX443" i="5"/>
  <c r="AX444" i="5"/>
  <c r="AX445" i="5"/>
  <c r="AX446" i="5"/>
  <c r="AX447" i="5"/>
  <c r="AX448" i="5"/>
  <c r="AX449" i="5"/>
  <c r="AX450" i="5"/>
  <c r="AX451" i="5"/>
  <c r="AX452" i="5"/>
  <c r="AX453" i="5"/>
  <c r="AX454" i="5"/>
  <c r="AX455" i="5"/>
  <c r="AX456" i="5"/>
  <c r="AX457" i="5"/>
  <c r="AX458" i="5"/>
  <c r="AX459" i="5"/>
  <c r="AX460" i="5"/>
  <c r="AX461" i="5"/>
  <c r="AX462" i="5"/>
  <c r="AX463" i="5"/>
  <c r="AX464" i="5"/>
  <c r="AX465" i="5"/>
  <c r="AX466" i="5"/>
  <c r="AX467" i="5"/>
  <c r="AX468" i="5"/>
  <c r="AX469" i="5"/>
  <c r="AX470" i="5"/>
  <c r="AX471" i="5"/>
  <c r="AX472" i="5"/>
  <c r="AX473" i="5"/>
  <c r="AX474" i="5"/>
  <c r="AX475" i="5"/>
  <c r="AX476" i="5"/>
  <c r="AX477" i="5"/>
  <c r="AX478" i="5"/>
  <c r="AX479" i="5"/>
  <c r="AX480" i="5"/>
  <c r="AX481" i="5"/>
  <c r="AX482" i="5"/>
  <c r="AX483" i="5"/>
  <c r="AX484" i="5"/>
  <c r="AX485" i="5"/>
  <c r="AX486" i="5"/>
  <c r="AX487" i="5"/>
  <c r="AX488" i="5"/>
  <c r="AX489" i="5"/>
  <c r="AX490" i="5"/>
  <c r="AX491" i="5"/>
  <c r="AX492" i="5"/>
  <c r="AX493" i="5"/>
  <c r="AX494" i="5"/>
  <c r="AX495" i="5"/>
  <c r="AX496" i="5"/>
  <c r="AX497" i="5"/>
  <c r="AX498" i="5"/>
  <c r="AX499" i="5"/>
  <c r="AX500" i="5"/>
  <c r="AX501" i="5"/>
  <c r="AX502" i="5"/>
  <c r="AX503" i="5"/>
  <c r="AX504" i="5"/>
  <c r="AX505" i="5"/>
  <c r="AX506" i="5"/>
  <c r="AX507" i="5"/>
  <c r="AX508" i="5"/>
  <c r="AX509" i="5"/>
  <c r="AX510" i="5"/>
  <c r="AX511" i="5"/>
  <c r="AX512" i="5"/>
  <c r="AX513" i="5"/>
  <c r="AX514" i="5"/>
  <c r="AX515" i="5"/>
  <c r="AX516" i="5"/>
  <c r="AX517" i="5"/>
  <c r="AX518" i="5"/>
  <c r="AX519" i="5"/>
  <c r="AX520" i="5"/>
  <c r="AX521" i="5"/>
  <c r="AX522" i="5"/>
  <c r="AX523" i="5"/>
  <c r="AX524" i="5"/>
  <c r="AX525" i="5"/>
  <c r="AX526" i="5"/>
  <c r="AX527" i="5"/>
  <c r="AX528" i="5"/>
  <c r="AX529" i="5"/>
  <c r="AX530" i="5"/>
  <c r="AX531" i="5"/>
  <c r="AX532" i="5"/>
  <c r="AX533" i="5"/>
  <c r="AX534" i="5"/>
  <c r="AX535" i="5"/>
  <c r="AX536" i="5"/>
  <c r="AX537" i="5"/>
  <c r="AX538" i="5"/>
  <c r="AX539" i="5"/>
  <c r="AX540" i="5"/>
  <c r="AX541" i="5"/>
  <c r="AX542" i="5"/>
  <c r="AX543" i="5"/>
  <c r="AX544" i="5"/>
  <c r="AX545" i="5"/>
  <c r="AX546" i="5"/>
  <c r="AX547" i="5"/>
  <c r="AX548" i="5"/>
  <c r="AX549" i="5"/>
  <c r="AX550" i="5"/>
  <c r="AX551" i="5"/>
  <c r="AX552" i="5"/>
  <c r="AX553" i="5"/>
  <c r="AX554" i="5"/>
  <c r="AX555" i="5"/>
  <c r="AX556" i="5"/>
  <c r="AX557" i="5"/>
  <c r="AX558" i="5"/>
  <c r="AX559" i="5"/>
  <c r="AX560" i="5"/>
  <c r="AX561" i="5"/>
  <c r="AX562" i="5"/>
  <c r="AX563" i="5"/>
  <c r="AX564" i="5"/>
  <c r="AX565" i="5"/>
  <c r="AX566" i="5"/>
  <c r="AX567" i="5"/>
  <c r="AX568" i="5"/>
  <c r="AX569" i="5"/>
  <c r="AX570" i="5"/>
  <c r="AX571" i="5"/>
  <c r="AX572" i="5"/>
  <c r="AX573" i="5"/>
  <c r="AX574" i="5"/>
  <c r="AX575" i="5"/>
  <c r="AX576" i="5"/>
  <c r="AX577" i="5"/>
  <c r="AX578" i="5"/>
  <c r="AX579" i="5"/>
  <c r="AX580" i="5"/>
  <c r="AX581" i="5"/>
  <c r="AX582" i="5"/>
  <c r="AX583" i="5"/>
  <c r="AX584" i="5"/>
  <c r="AX585" i="5"/>
  <c r="AX586" i="5"/>
  <c r="AX587" i="5"/>
  <c r="AX588" i="5"/>
  <c r="AX589" i="5"/>
  <c r="AX590" i="5"/>
  <c r="AX591" i="5"/>
  <c r="AX592" i="5"/>
  <c r="AX593" i="5"/>
  <c r="AX594" i="5"/>
  <c r="AX595" i="5"/>
  <c r="AX596" i="5"/>
  <c r="AX597" i="5"/>
  <c r="AX598" i="5"/>
  <c r="AX599" i="5"/>
  <c r="AX600" i="5"/>
  <c r="AX601" i="5"/>
  <c r="AX602" i="5"/>
  <c r="AX603" i="5"/>
  <c r="AX604" i="5"/>
  <c r="AX605" i="5"/>
  <c r="AX606" i="5"/>
  <c r="AX607" i="5"/>
  <c r="AX608" i="5"/>
  <c r="AX609" i="5"/>
  <c r="AX610" i="5"/>
  <c r="AX611" i="5"/>
  <c r="AX612" i="5"/>
  <c r="AX613" i="5"/>
  <c r="AX614" i="5"/>
  <c r="AX615" i="5"/>
  <c r="AX616" i="5"/>
  <c r="AX617" i="5"/>
  <c r="AX618" i="5"/>
  <c r="AX619" i="5"/>
  <c r="AX620" i="5"/>
  <c r="AX621" i="5"/>
  <c r="AX622" i="5"/>
  <c r="AX623" i="5"/>
  <c r="AX624" i="5"/>
  <c r="AX625" i="5"/>
  <c r="AX626" i="5"/>
  <c r="AX627" i="5"/>
  <c r="AX628" i="5"/>
  <c r="AX629" i="5"/>
  <c r="AX630" i="5"/>
  <c r="AX631" i="5"/>
  <c r="AX632" i="5"/>
  <c r="AX633" i="5"/>
  <c r="AX634" i="5"/>
  <c r="AX635" i="5"/>
  <c r="AX636" i="5"/>
  <c r="AX637" i="5"/>
  <c r="AX638" i="5"/>
  <c r="AX639" i="5"/>
  <c r="AX640" i="5"/>
  <c r="AX641" i="5"/>
  <c r="AX642" i="5"/>
  <c r="AX643" i="5"/>
  <c r="AX644" i="5"/>
  <c r="AX645" i="5"/>
  <c r="AX646" i="5"/>
  <c r="AX647" i="5"/>
  <c r="AX648" i="5"/>
  <c r="AX649" i="5"/>
  <c r="AX650" i="5"/>
  <c r="AX651" i="5"/>
  <c r="AX652" i="5"/>
  <c r="AX653" i="5"/>
  <c r="AX654" i="5"/>
  <c r="AX655" i="5"/>
  <c r="AX656" i="5"/>
  <c r="AX657" i="5"/>
  <c r="AX658" i="5"/>
  <c r="AX659" i="5"/>
  <c r="AX660" i="5"/>
  <c r="AX661" i="5"/>
  <c r="AX662" i="5"/>
  <c r="AX663" i="5"/>
  <c r="AX664" i="5"/>
  <c r="AX665" i="5"/>
  <c r="AX666" i="5"/>
  <c r="AX667" i="5"/>
  <c r="AX668" i="5"/>
  <c r="AX669" i="5"/>
  <c r="AX670" i="5"/>
  <c r="AX671" i="5"/>
  <c r="AX672" i="5"/>
  <c r="AX673" i="5"/>
  <c r="AX674" i="5"/>
  <c r="AX675" i="5"/>
  <c r="AX676" i="5"/>
  <c r="AX677" i="5"/>
  <c r="AX678" i="5"/>
  <c r="AX679" i="5"/>
  <c r="AX680" i="5"/>
  <c r="AX681" i="5"/>
  <c r="AX682" i="5"/>
  <c r="AX683" i="5"/>
  <c r="AX684" i="5"/>
  <c r="AX685" i="5"/>
  <c r="AX686" i="5"/>
  <c r="AX687" i="5"/>
  <c r="AX688" i="5"/>
  <c r="AX689" i="5"/>
  <c r="AX690" i="5"/>
  <c r="AX691" i="5"/>
  <c r="AX692" i="5"/>
  <c r="AX693" i="5"/>
  <c r="AX694" i="5"/>
  <c r="AX695" i="5"/>
  <c r="AX696" i="5"/>
  <c r="AX697" i="5"/>
  <c r="AX698" i="5"/>
  <c r="AX699" i="5"/>
  <c r="AX700" i="5"/>
  <c r="AX701" i="5"/>
  <c r="AX702" i="5"/>
  <c r="AX703" i="5"/>
  <c r="AX704" i="5"/>
  <c r="AX705" i="5"/>
  <c r="AX706" i="5"/>
  <c r="AX707" i="5"/>
  <c r="AX708" i="5"/>
  <c r="AX709" i="5"/>
  <c r="AX710" i="5"/>
  <c r="AX711" i="5"/>
  <c r="AX712" i="5"/>
  <c r="AX713" i="5"/>
  <c r="AX714" i="5"/>
  <c r="AX715" i="5"/>
  <c r="AX716" i="5"/>
  <c r="AX717" i="5"/>
  <c r="AX718" i="5"/>
  <c r="AX719" i="5"/>
  <c r="AX720" i="5"/>
  <c r="AX721" i="5"/>
  <c r="AX722" i="5"/>
  <c r="AX723" i="5"/>
  <c r="AX724" i="5"/>
  <c r="AX725" i="5"/>
  <c r="AX726" i="5"/>
  <c r="AX727" i="5"/>
  <c r="AX728" i="5"/>
  <c r="AX729" i="5"/>
  <c r="AX730" i="5"/>
  <c r="AX731" i="5"/>
  <c r="AX732" i="5"/>
  <c r="AX733" i="5"/>
  <c r="AX734" i="5"/>
  <c r="AX735" i="5"/>
  <c r="AX736" i="5"/>
  <c r="AX737" i="5"/>
  <c r="AX738" i="5"/>
  <c r="AX739" i="5"/>
  <c r="AX740" i="5"/>
  <c r="AX741" i="5"/>
  <c r="AX742" i="5"/>
  <c r="AX743" i="5"/>
  <c r="AX744" i="5"/>
  <c r="AX745" i="5"/>
  <c r="AX746" i="5"/>
  <c r="AX747" i="5"/>
  <c r="AX748" i="5"/>
  <c r="AX749" i="5"/>
  <c r="AX750" i="5"/>
  <c r="AX751" i="5"/>
  <c r="AX752" i="5"/>
  <c r="AX753" i="5"/>
  <c r="AX754" i="5"/>
  <c r="AX755" i="5"/>
  <c r="AX756" i="5"/>
  <c r="AX757" i="5"/>
  <c r="AX758" i="5"/>
  <c r="AX759" i="5"/>
  <c r="AX760" i="5"/>
  <c r="AX761" i="5"/>
  <c r="AX762" i="5"/>
  <c r="AX763" i="5"/>
  <c r="AX764" i="5"/>
  <c r="AX765" i="5"/>
  <c r="AX766" i="5"/>
  <c r="AX767" i="5"/>
  <c r="AX768" i="5"/>
  <c r="AX769" i="5"/>
  <c r="AX770" i="5"/>
  <c r="AX771" i="5"/>
  <c r="AX772" i="5"/>
  <c r="AX773" i="5"/>
  <c r="AX774" i="5"/>
  <c r="AX775" i="5"/>
  <c r="AX776" i="5"/>
  <c r="AX777" i="5"/>
  <c r="AX778" i="5"/>
  <c r="AX779" i="5"/>
  <c r="AX780" i="5"/>
  <c r="AX781" i="5"/>
  <c r="AX782" i="5"/>
  <c r="AX783" i="5"/>
  <c r="AX784" i="5"/>
  <c r="AX785" i="5"/>
  <c r="AX786" i="5"/>
  <c r="AX787" i="5"/>
  <c r="AX788" i="5"/>
  <c r="AX789" i="5"/>
  <c r="AX790" i="5"/>
  <c r="AX791" i="5"/>
  <c r="AX792" i="5"/>
  <c r="AX793" i="5"/>
  <c r="AX794" i="5"/>
  <c r="AX795" i="5"/>
  <c r="AX796" i="5"/>
  <c r="AX797" i="5"/>
  <c r="AX798" i="5"/>
  <c r="AX799" i="5"/>
  <c r="AX800" i="5"/>
  <c r="AX801" i="5"/>
  <c r="AX802" i="5"/>
  <c r="AX803" i="5"/>
  <c r="AX804" i="5"/>
  <c r="AX805" i="5"/>
  <c r="AX806" i="5"/>
  <c r="AX807" i="5"/>
  <c r="AX808" i="5"/>
  <c r="AX809" i="5"/>
  <c r="AX810" i="5"/>
  <c r="AX811" i="5"/>
  <c r="AX812" i="5"/>
  <c r="AX813" i="5"/>
  <c r="AX814" i="5"/>
  <c r="AX815" i="5"/>
  <c r="AX816" i="5"/>
  <c r="AX817" i="5"/>
  <c r="AX818" i="5"/>
  <c r="AX819" i="5"/>
  <c r="AX820" i="5"/>
  <c r="AX821" i="5"/>
  <c r="AX822" i="5"/>
  <c r="AX823" i="5"/>
  <c r="AX824" i="5"/>
  <c r="AX825" i="5"/>
  <c r="AX826" i="5"/>
  <c r="AX827" i="5"/>
  <c r="AX828" i="5"/>
  <c r="AX829" i="5"/>
  <c r="AX830" i="5"/>
  <c r="AX831" i="5"/>
  <c r="AX832" i="5"/>
  <c r="AX833" i="5"/>
  <c r="AX834" i="5"/>
  <c r="AX835" i="5"/>
  <c r="AX836" i="5"/>
  <c r="AX837" i="5"/>
  <c r="AX838" i="5"/>
  <c r="AX839" i="5"/>
  <c r="AX840" i="5"/>
  <c r="AX841" i="5"/>
  <c r="AX842" i="5"/>
  <c r="AX843" i="5"/>
  <c r="AX844" i="5"/>
  <c r="AX845" i="5"/>
  <c r="AX846" i="5"/>
  <c r="AX847" i="5"/>
  <c r="AX848" i="5"/>
  <c r="AX849" i="5"/>
  <c r="AX850" i="5"/>
  <c r="AX851" i="5"/>
  <c r="AX852" i="5"/>
  <c r="AX853" i="5"/>
  <c r="AX854" i="5"/>
  <c r="AX855" i="5"/>
  <c r="AX856" i="5"/>
  <c r="AX857" i="5"/>
  <c r="AX858" i="5"/>
  <c r="AX859" i="5"/>
  <c r="AX860" i="5"/>
  <c r="AX861" i="5"/>
  <c r="AX862" i="5"/>
  <c r="AX863" i="5"/>
  <c r="AX864" i="5"/>
  <c r="AX865" i="5"/>
  <c r="AX866" i="5"/>
  <c r="AX867" i="5"/>
  <c r="AX868" i="5"/>
  <c r="AX869" i="5"/>
  <c r="AX870" i="5"/>
  <c r="AX871" i="5"/>
  <c r="AX872" i="5"/>
  <c r="AX873" i="5"/>
  <c r="AX874" i="5"/>
  <c r="AX875" i="5"/>
  <c r="AX876" i="5"/>
  <c r="AX877" i="5"/>
  <c r="AX878" i="5"/>
  <c r="AX879" i="5"/>
  <c r="AX880" i="5"/>
  <c r="AX881" i="5"/>
  <c r="AX882" i="5"/>
  <c r="AX883" i="5"/>
  <c r="AX884" i="5"/>
  <c r="AX885" i="5"/>
  <c r="AX886" i="5"/>
  <c r="AX887" i="5"/>
  <c r="AX888" i="5"/>
  <c r="AX889" i="5"/>
  <c r="AX890" i="5"/>
  <c r="AX891" i="5"/>
  <c r="AX892" i="5"/>
  <c r="AX893" i="5"/>
  <c r="AX894" i="5"/>
  <c r="AX895" i="5"/>
  <c r="AX896" i="5"/>
  <c r="AX897" i="5"/>
  <c r="AX898" i="5"/>
  <c r="AX899" i="5"/>
  <c r="AX900" i="5"/>
  <c r="AX901" i="5"/>
  <c r="AX902" i="5"/>
  <c r="AX903" i="5"/>
  <c r="AX904" i="5"/>
  <c r="AX905" i="5"/>
  <c r="AX906" i="5"/>
  <c r="AX907" i="5"/>
  <c r="AX908" i="5"/>
  <c r="AX909" i="5"/>
  <c r="AX910" i="5"/>
  <c r="AX911" i="5"/>
  <c r="AX912" i="5"/>
  <c r="AX913" i="5"/>
  <c r="AX914" i="5"/>
  <c r="AX915" i="5"/>
  <c r="AX916" i="5"/>
  <c r="AX917" i="5"/>
  <c r="AX918" i="5"/>
  <c r="AX919" i="5"/>
  <c r="AX920" i="5"/>
  <c r="AX921" i="5"/>
  <c r="AX922" i="5"/>
  <c r="AX923" i="5"/>
  <c r="AX924" i="5"/>
  <c r="AX925" i="5"/>
  <c r="AX926" i="5"/>
  <c r="AX927" i="5"/>
  <c r="AX928" i="5"/>
  <c r="AX929" i="5"/>
  <c r="AX930" i="5"/>
  <c r="AX931" i="5"/>
  <c r="AX932" i="5"/>
  <c r="AX933" i="5"/>
  <c r="AX934" i="5"/>
  <c r="AX935" i="5"/>
  <c r="AX936" i="5"/>
  <c r="AX937" i="5"/>
  <c r="AX938" i="5"/>
  <c r="AX939" i="5"/>
  <c r="AX940" i="5"/>
  <c r="AX941" i="5"/>
  <c r="AX942" i="5"/>
  <c r="AX943" i="5"/>
  <c r="AX944" i="5"/>
  <c r="AX945" i="5"/>
  <c r="AX946" i="5"/>
  <c r="AX947" i="5"/>
  <c r="AX948" i="5"/>
  <c r="AX949" i="5"/>
  <c r="AX950" i="5"/>
  <c r="AX951" i="5"/>
  <c r="AX952" i="5"/>
  <c r="AX953" i="5"/>
  <c r="AX954" i="5"/>
  <c r="AX955" i="5"/>
  <c r="AX956" i="5"/>
  <c r="AX957" i="5"/>
  <c r="AX958" i="5"/>
  <c r="AX959" i="5"/>
  <c r="AX960" i="5"/>
  <c r="AX961" i="5"/>
  <c r="AX962" i="5"/>
  <c r="AX963" i="5"/>
  <c r="AX964" i="5"/>
  <c r="AX965" i="5"/>
  <c r="AX966" i="5"/>
  <c r="AX967" i="5"/>
  <c r="AX968" i="5"/>
  <c r="AX969" i="5"/>
  <c r="AX970" i="5"/>
  <c r="AX971" i="5"/>
  <c r="AX972" i="5"/>
  <c r="AX973" i="5"/>
  <c r="AX974" i="5"/>
  <c r="AX975" i="5"/>
  <c r="AX976" i="5"/>
  <c r="AX977" i="5"/>
  <c r="AX978" i="5"/>
  <c r="AX979" i="5"/>
  <c r="AX980" i="5"/>
  <c r="AX981" i="5"/>
  <c r="AX982" i="5"/>
  <c r="AX983" i="5"/>
  <c r="AX984" i="5"/>
  <c r="AX985" i="5"/>
  <c r="AX986" i="5"/>
  <c r="AX987" i="5"/>
  <c r="AX988" i="5"/>
  <c r="AX989" i="5"/>
  <c r="AX990" i="5"/>
  <c r="AX991" i="5"/>
  <c r="AX992" i="5"/>
  <c r="AX993" i="5"/>
  <c r="AX994" i="5"/>
  <c r="AX995" i="5"/>
  <c r="AX996" i="5"/>
  <c r="AX997" i="5"/>
  <c r="AX998" i="5"/>
  <c r="AX999" i="5"/>
  <c r="AX1000" i="5"/>
  <c r="AX1001" i="5"/>
  <c r="AX1002" i="5"/>
  <c r="AX1003" i="5"/>
  <c r="AX1004" i="5"/>
  <c r="AX1005" i="5"/>
  <c r="AX1006" i="5"/>
  <c r="AX1007" i="5"/>
  <c r="AX1008" i="5"/>
  <c r="AX1009" i="5"/>
  <c r="AX1010" i="5"/>
  <c r="AX1011" i="5"/>
  <c r="AX1012" i="5"/>
  <c r="AX1013" i="5"/>
  <c r="AX1014" i="5"/>
  <c r="AX1015" i="5"/>
  <c r="AX1016" i="5"/>
  <c r="AX1017" i="5"/>
  <c r="AX1018" i="5"/>
  <c r="AX1019" i="5"/>
  <c r="AX1020" i="5"/>
  <c r="AX1021" i="5"/>
  <c r="AX1022" i="5"/>
  <c r="AX1023" i="5"/>
  <c r="AX1024" i="5"/>
  <c r="AX1025" i="5"/>
  <c r="AX1026" i="5"/>
  <c r="AX1027" i="5"/>
  <c r="AX1028" i="5"/>
  <c r="AX1029" i="5"/>
  <c r="AX1030" i="5"/>
  <c r="AX1031" i="5"/>
  <c r="AX1032" i="5"/>
  <c r="AX1033" i="5"/>
  <c r="AX1034" i="5"/>
  <c r="AX1035" i="5"/>
  <c r="AX1036" i="5"/>
  <c r="AX1037" i="5"/>
  <c r="AX1038" i="5"/>
  <c r="AX1039" i="5"/>
  <c r="AX1040" i="5"/>
  <c r="AX1041" i="5"/>
  <c r="AX1042" i="5"/>
  <c r="AX1043" i="5"/>
  <c r="AX1044" i="5"/>
  <c r="AX1045" i="5"/>
  <c r="AX1046" i="5"/>
  <c r="AX1047" i="5"/>
  <c r="AX1048" i="5"/>
  <c r="AX1049" i="5"/>
  <c r="AX1050" i="5"/>
  <c r="AX1051" i="5"/>
  <c r="AX1052" i="5"/>
  <c r="AX1053" i="5"/>
  <c r="AX1054" i="5"/>
  <c r="AX1055" i="5"/>
  <c r="AX1056" i="5"/>
  <c r="AX1057" i="5"/>
  <c r="AX1058" i="5"/>
  <c r="AX1059" i="5"/>
  <c r="AX1060" i="5"/>
  <c r="AX1061" i="5"/>
  <c r="AX1062" i="5"/>
  <c r="AX1063" i="5"/>
  <c r="AX1064" i="5"/>
  <c r="AX1065" i="5"/>
  <c r="AX1066" i="5"/>
  <c r="AX1067" i="5"/>
  <c r="AX1068" i="5"/>
  <c r="AX1069" i="5"/>
  <c r="AX1070" i="5"/>
  <c r="AX1071" i="5"/>
  <c r="AX1072" i="5"/>
  <c r="AX1073" i="5"/>
  <c r="AX1074" i="5"/>
  <c r="AX1075" i="5"/>
  <c r="AX1076" i="5"/>
  <c r="AX1077" i="5"/>
  <c r="AX1078" i="5"/>
  <c r="AX1079" i="5"/>
  <c r="AX1080" i="5"/>
  <c r="AX1081" i="5"/>
  <c r="AX1082" i="5"/>
  <c r="AX1083" i="5"/>
  <c r="AX1084" i="5"/>
  <c r="AX1085" i="5"/>
  <c r="AX1086" i="5"/>
  <c r="AX1087" i="5"/>
  <c r="AX1088" i="5"/>
  <c r="AX1089" i="5"/>
  <c r="AX1090" i="5"/>
  <c r="AX1091" i="5"/>
  <c r="AX1092" i="5"/>
  <c r="AX1093" i="5"/>
  <c r="AX1094" i="5"/>
  <c r="AX1095" i="5"/>
  <c r="AX1096" i="5"/>
  <c r="AX1097" i="5"/>
  <c r="AX1098" i="5"/>
  <c r="AX1099" i="5"/>
  <c r="AX1100" i="5"/>
  <c r="AX1101" i="5"/>
  <c r="AX1102" i="5"/>
  <c r="AX1103" i="5"/>
  <c r="AX1104" i="5"/>
  <c r="AX1105" i="5"/>
  <c r="AX1106" i="5"/>
  <c r="AX1107" i="5"/>
  <c r="AX1108" i="5"/>
  <c r="AX1109" i="5"/>
  <c r="AX1110" i="5"/>
  <c r="AX1111" i="5"/>
  <c r="AX1112" i="5"/>
  <c r="AX1113" i="5"/>
  <c r="AX1114" i="5"/>
  <c r="AX1115" i="5"/>
  <c r="AX1116" i="5"/>
  <c r="AX1117" i="5"/>
  <c r="AX1118" i="5"/>
  <c r="AX1119" i="5"/>
  <c r="AX1120" i="5"/>
  <c r="AX1121" i="5"/>
  <c r="AX1122" i="5"/>
  <c r="AX1123" i="5"/>
  <c r="AX1124" i="5"/>
  <c r="AX1125" i="5"/>
  <c r="AX1126" i="5"/>
  <c r="AX1127" i="5"/>
  <c r="AX1128" i="5"/>
  <c r="AX1129" i="5"/>
  <c r="AX1130" i="5"/>
  <c r="AX1131" i="5"/>
  <c r="AX1132" i="5"/>
  <c r="AX1133" i="5"/>
  <c r="AX1134" i="5"/>
  <c r="AX1135" i="5"/>
  <c r="AX1136" i="5"/>
  <c r="AX1137" i="5"/>
  <c r="AX1138" i="5"/>
  <c r="AX1139" i="5"/>
  <c r="AX1140" i="5"/>
  <c r="AX1141" i="5"/>
  <c r="AX1142" i="5"/>
  <c r="AX1143" i="5"/>
  <c r="AX1144" i="5"/>
  <c r="AX1145" i="5"/>
  <c r="AX1146" i="5"/>
  <c r="AX1147" i="5"/>
  <c r="AX1148" i="5"/>
  <c r="AX1149" i="5"/>
  <c r="AX1150" i="5"/>
  <c r="AX1151" i="5"/>
  <c r="AX1152" i="5"/>
  <c r="AX1153" i="5"/>
  <c r="AX1154" i="5"/>
  <c r="AX1155" i="5"/>
  <c r="AX1156" i="5"/>
  <c r="AX1157" i="5"/>
  <c r="AX1158" i="5"/>
  <c r="AX1159" i="5"/>
  <c r="AX1160" i="5"/>
  <c r="AX1161" i="5"/>
  <c r="AX1162" i="5"/>
  <c r="AX1163" i="5"/>
  <c r="AX1164" i="5"/>
  <c r="AX1165" i="5"/>
  <c r="AX1166" i="5"/>
  <c r="AX1167" i="5"/>
  <c r="AX1168" i="5"/>
  <c r="AX1169" i="5"/>
  <c r="AX1170" i="5"/>
  <c r="AX1171" i="5"/>
  <c r="AX1172" i="5"/>
  <c r="AX1173" i="5"/>
  <c r="AX1174" i="5"/>
  <c r="AX1175" i="5"/>
  <c r="AX1176" i="5"/>
  <c r="AX1177" i="5"/>
  <c r="AX1178" i="5"/>
  <c r="AX1179" i="5"/>
  <c r="AX1180" i="5"/>
  <c r="AX1181" i="5"/>
  <c r="AX1182" i="5"/>
  <c r="AX1183" i="5"/>
  <c r="AX1184" i="5"/>
  <c r="AX1185" i="5"/>
  <c r="AX1186" i="5"/>
  <c r="AX1187" i="5"/>
  <c r="AX1188" i="5"/>
  <c r="AX1189" i="5"/>
  <c r="AX1190" i="5"/>
  <c r="AX1191" i="5"/>
  <c r="AX1192" i="5"/>
  <c r="AX1193" i="5"/>
  <c r="AX1194" i="5"/>
  <c r="AX1195" i="5"/>
  <c r="AX1196" i="5"/>
  <c r="AX1197" i="5"/>
  <c r="AX1198" i="5"/>
  <c r="AX1199" i="5"/>
  <c r="AX1200" i="5"/>
  <c r="AX1201" i="5"/>
  <c r="AX1202" i="5"/>
  <c r="AX1203" i="5"/>
  <c r="AX1204" i="5"/>
  <c r="AX1205" i="5"/>
  <c r="AX1206" i="5"/>
  <c r="AX1207" i="5"/>
  <c r="AX1208" i="5"/>
  <c r="AX1209" i="5"/>
  <c r="AX1210" i="5"/>
  <c r="AX1211" i="5"/>
  <c r="AX1212" i="5"/>
  <c r="AX1213" i="5"/>
  <c r="AX1214" i="5"/>
  <c r="AX1215" i="5"/>
  <c r="AX1216" i="5"/>
  <c r="AX1217" i="5"/>
  <c r="AX1218" i="5"/>
  <c r="AX1219" i="5"/>
  <c r="AX1220" i="5"/>
  <c r="AX1221" i="5"/>
  <c r="AX1222" i="5"/>
  <c r="AX1223" i="5"/>
  <c r="AX1224" i="5"/>
  <c r="AX1225" i="5"/>
  <c r="AX1226" i="5"/>
  <c r="AX1227" i="5"/>
  <c r="AX1228" i="5"/>
  <c r="AX1229" i="5"/>
  <c r="AX1230" i="5"/>
  <c r="AX1231" i="5"/>
  <c r="AX1232" i="5"/>
  <c r="AX1233" i="5"/>
  <c r="AX1234" i="5"/>
  <c r="AX1235" i="5"/>
  <c r="AX1236" i="5"/>
  <c r="AX1237" i="5"/>
  <c r="AX1238" i="5"/>
  <c r="AX1239" i="5"/>
  <c r="AX1240" i="5"/>
  <c r="AX1241" i="5"/>
  <c r="AX1242" i="5"/>
  <c r="AX1243" i="5"/>
  <c r="AX1244" i="5"/>
  <c r="AX1245" i="5"/>
  <c r="AX1246" i="5"/>
  <c r="AX1247" i="5"/>
  <c r="AX1248" i="5"/>
  <c r="AX1249" i="5"/>
  <c r="AX1250" i="5"/>
  <c r="AX1251" i="5"/>
  <c r="AX1252" i="5"/>
  <c r="AX1253" i="5"/>
  <c r="AX1254" i="5"/>
  <c r="AX1255" i="5"/>
  <c r="AX1256" i="5"/>
  <c r="AX1257" i="5"/>
  <c r="AX1258" i="5"/>
  <c r="AX1259" i="5"/>
  <c r="AX1260" i="5"/>
  <c r="AX1261" i="5"/>
  <c r="AX1262" i="5"/>
  <c r="AX1263" i="5"/>
  <c r="AX1264" i="5"/>
  <c r="AX1265" i="5"/>
  <c r="AX1266" i="5"/>
  <c r="AX1267" i="5"/>
  <c r="AX1268" i="5"/>
  <c r="AX1269" i="5"/>
  <c r="AX1270" i="5"/>
  <c r="AX1271" i="5"/>
  <c r="AX1272" i="5"/>
  <c r="AX1273" i="5"/>
  <c r="AX1274" i="5"/>
  <c r="AX1275" i="5"/>
  <c r="AX1276" i="5"/>
  <c r="AX1277" i="5"/>
  <c r="AX1278" i="5"/>
  <c r="AX1279" i="5"/>
  <c r="AX1280" i="5"/>
  <c r="AX1281" i="5"/>
  <c r="AX1282" i="5"/>
  <c r="AX1283" i="5"/>
  <c r="AX1284" i="5"/>
  <c r="AX1285" i="5"/>
  <c r="AX1286" i="5"/>
  <c r="AX1287" i="5"/>
  <c r="AX1288" i="5"/>
  <c r="AX1289" i="5"/>
  <c r="AX1290" i="5"/>
  <c r="AX1291" i="5"/>
  <c r="AX1292" i="5"/>
  <c r="AX1293" i="5"/>
  <c r="AX1294" i="5"/>
  <c r="AX1295" i="5"/>
  <c r="AX1296" i="5"/>
  <c r="AX1297" i="5"/>
  <c r="AX1298" i="5"/>
  <c r="AX1299" i="5"/>
  <c r="AX1300" i="5"/>
  <c r="AX1301" i="5"/>
  <c r="AX1302" i="5"/>
  <c r="AX1303" i="5"/>
  <c r="AX1304" i="5"/>
  <c r="AX1305" i="5"/>
  <c r="AX1306" i="5"/>
  <c r="AX1307" i="5"/>
  <c r="AX1308" i="5"/>
  <c r="AX1309" i="5"/>
  <c r="AX1310" i="5"/>
  <c r="AX1311" i="5"/>
  <c r="AX1312" i="5"/>
  <c r="AX1313" i="5"/>
  <c r="AX1314" i="5"/>
  <c r="AX1315" i="5"/>
  <c r="AX1316" i="5"/>
  <c r="AX1317" i="5"/>
  <c r="AX1318" i="5"/>
  <c r="AX1319" i="5"/>
  <c r="AX1320" i="5"/>
  <c r="AX1321" i="5"/>
  <c r="AX1322" i="5"/>
  <c r="AX1323" i="5"/>
  <c r="AX1324" i="5"/>
  <c r="AX1325" i="5"/>
  <c r="AX1326" i="5"/>
  <c r="AX1327" i="5"/>
  <c r="AX1328" i="5"/>
  <c r="AX1329" i="5"/>
  <c r="AX1330" i="5"/>
  <c r="AX1331" i="5"/>
  <c r="AX1332" i="5"/>
  <c r="AX1333" i="5"/>
  <c r="AX1334" i="5"/>
  <c r="AX1335" i="5"/>
  <c r="AX1336" i="5"/>
  <c r="AX1337" i="5"/>
  <c r="AX1338" i="5"/>
  <c r="AX1339" i="5"/>
  <c r="AX1340" i="5"/>
  <c r="AX1341" i="5"/>
  <c r="AX1342" i="5"/>
  <c r="AX1343" i="5"/>
  <c r="AX1344" i="5"/>
  <c r="AX1345" i="5"/>
  <c r="AX1346" i="5"/>
  <c r="AX1347" i="5"/>
  <c r="AX1348" i="5"/>
  <c r="AX1349" i="5"/>
  <c r="AX1350" i="5"/>
  <c r="AX1351" i="5"/>
  <c r="AX1352" i="5"/>
  <c r="AX1353" i="5"/>
  <c r="AX1354" i="5"/>
  <c r="AX1355" i="5"/>
  <c r="AX1356" i="5"/>
  <c r="AX1357" i="5"/>
  <c r="AX1358" i="5"/>
  <c r="AX1359" i="5"/>
  <c r="AX1360" i="5"/>
  <c r="AX1361" i="5"/>
  <c r="AX1362" i="5"/>
  <c r="AX1363" i="5"/>
  <c r="AX1364" i="5"/>
  <c r="AX1365" i="5"/>
  <c r="AX1366" i="5"/>
  <c r="AX1367" i="5"/>
  <c r="AX1368" i="5"/>
  <c r="AX1369" i="5"/>
  <c r="AX1370" i="5"/>
  <c r="AX1371" i="5"/>
  <c r="AX1372" i="5"/>
  <c r="AX1373" i="5"/>
  <c r="AX1374" i="5"/>
  <c r="AX1375" i="5"/>
  <c r="AX1376" i="5"/>
  <c r="AX1377" i="5"/>
  <c r="AX1378" i="5"/>
  <c r="AX1379" i="5"/>
  <c r="AX1380" i="5"/>
  <c r="AX1381" i="5"/>
  <c r="AX1382" i="5"/>
  <c r="AX1383" i="5"/>
  <c r="AX1384" i="5"/>
  <c r="AX1385" i="5"/>
  <c r="AX1386" i="5"/>
  <c r="AX1387" i="5"/>
  <c r="AX1388" i="5"/>
  <c r="AX1389" i="5"/>
  <c r="AX1390" i="5"/>
  <c r="AX1391" i="5"/>
  <c r="AX1392" i="5"/>
  <c r="AX1393" i="5"/>
  <c r="AX1394" i="5"/>
  <c r="AX1395" i="5"/>
  <c r="AX1396" i="5"/>
  <c r="AX1397" i="5"/>
  <c r="AX1398" i="5"/>
  <c r="AX1399" i="5"/>
  <c r="AX1400" i="5"/>
  <c r="AX1401" i="5"/>
  <c r="AX1402" i="5"/>
  <c r="AX1403" i="5"/>
  <c r="AX1404" i="5"/>
  <c r="AX1405" i="5"/>
  <c r="AX1406" i="5"/>
  <c r="AX1407" i="5"/>
  <c r="AX1408" i="5"/>
  <c r="AX1409" i="5"/>
  <c r="AX1410" i="5"/>
  <c r="AX1411" i="5"/>
  <c r="AX1412" i="5"/>
  <c r="AX1413" i="5"/>
  <c r="AX1414" i="5"/>
  <c r="AX1415" i="5"/>
  <c r="AX1416" i="5"/>
  <c r="AX1417" i="5"/>
  <c r="AX1418" i="5"/>
  <c r="AX1419" i="5"/>
  <c r="AX1420" i="5"/>
  <c r="AX1421" i="5"/>
  <c r="AX1422" i="5"/>
  <c r="AX1423" i="5"/>
  <c r="AX1424" i="5"/>
  <c r="AX1425" i="5"/>
  <c r="AX1426" i="5"/>
  <c r="AX1427" i="5"/>
  <c r="AX1428" i="5"/>
  <c r="AX1429" i="5"/>
  <c r="AX1430" i="5"/>
  <c r="AX1431" i="5"/>
  <c r="AX1432" i="5"/>
  <c r="AX1433" i="5"/>
  <c r="AX1434" i="5"/>
  <c r="AX1435" i="5"/>
  <c r="AX1436" i="5"/>
  <c r="AX1437" i="5"/>
  <c r="AX1438" i="5"/>
  <c r="AX1439" i="5"/>
  <c r="AX1440" i="5"/>
  <c r="AX1441" i="5"/>
  <c r="AX1442" i="5"/>
  <c r="AX1443" i="5"/>
  <c r="AX1444" i="5"/>
  <c r="AX1445" i="5"/>
  <c r="AX1446" i="5"/>
  <c r="AX1447" i="5"/>
  <c r="AX1448" i="5"/>
  <c r="AX1449" i="5"/>
  <c r="AX1450" i="5"/>
  <c r="AX1451" i="5"/>
  <c r="AX1452" i="5"/>
  <c r="AX1453" i="5"/>
  <c r="AX1454" i="5"/>
  <c r="AX1455" i="5"/>
  <c r="AX1456" i="5"/>
  <c r="AX1457" i="5"/>
  <c r="AX1458" i="5"/>
  <c r="AX1459" i="5"/>
  <c r="AX1460" i="5"/>
  <c r="AX1461" i="5"/>
  <c r="AX1462" i="5"/>
  <c r="AX1463" i="5"/>
  <c r="AX1464" i="5"/>
  <c r="AX1465" i="5"/>
  <c r="AX1466" i="5"/>
  <c r="AX1467" i="5"/>
  <c r="AX1468" i="5"/>
  <c r="AX1469" i="5"/>
  <c r="AX1470" i="5"/>
  <c r="AX1471" i="5"/>
  <c r="AX1472" i="5"/>
  <c r="AX1473" i="5"/>
  <c r="AX1474" i="5"/>
  <c r="AX1475" i="5"/>
  <c r="AX1476" i="5"/>
  <c r="AX1477" i="5"/>
  <c r="AX1478" i="5"/>
  <c r="AX1479" i="5"/>
  <c r="AX1480" i="5"/>
  <c r="AX1481" i="5"/>
  <c r="AX1482" i="5"/>
  <c r="AX1483" i="5"/>
  <c r="AX1484" i="5"/>
  <c r="AX1485" i="5"/>
  <c r="AX1486" i="5"/>
  <c r="AX1487" i="5"/>
  <c r="AX1488" i="5"/>
  <c r="AX1489" i="5"/>
  <c r="AX1490" i="5"/>
  <c r="AX1491" i="5"/>
  <c r="AX1492" i="5"/>
  <c r="AX1493" i="5"/>
  <c r="AX1494" i="5"/>
  <c r="AX1495" i="5"/>
  <c r="AX1496" i="5"/>
  <c r="AX1497" i="5"/>
  <c r="AX1498" i="5"/>
  <c r="AX1499" i="5"/>
  <c r="AX1500" i="5"/>
  <c r="AX1501" i="5"/>
  <c r="AX1502" i="5"/>
  <c r="AX1503" i="5"/>
  <c r="AX1504" i="5"/>
  <c r="AX1505" i="5"/>
  <c r="AX1506" i="5"/>
  <c r="AX1507" i="5"/>
  <c r="AX1508" i="5"/>
  <c r="AX1509" i="5"/>
  <c r="AX1510" i="5"/>
  <c r="AX1511" i="5"/>
  <c r="AX1512" i="5"/>
  <c r="AX1513" i="5"/>
  <c r="AX1514" i="5"/>
  <c r="AX1515" i="5"/>
  <c r="AX1516" i="5"/>
  <c r="AX1517" i="5"/>
  <c r="AX1518" i="5"/>
  <c r="AX1519" i="5"/>
  <c r="AX1520" i="5"/>
  <c r="AX1521" i="5"/>
  <c r="AX1522" i="5"/>
  <c r="AX1523" i="5"/>
  <c r="AX1524" i="5"/>
  <c r="AX1525" i="5"/>
  <c r="AX1526" i="5"/>
  <c r="AX1527" i="5"/>
  <c r="AX1528" i="5"/>
  <c r="AX1529" i="5"/>
  <c r="AX1530" i="5"/>
  <c r="AX1531" i="5"/>
  <c r="AX1532" i="5"/>
  <c r="AX1533" i="5"/>
  <c r="AX1534" i="5"/>
  <c r="AX1535" i="5"/>
  <c r="AX1536" i="5"/>
  <c r="AX1537" i="5"/>
  <c r="AX1538" i="5"/>
  <c r="AX1539" i="5"/>
  <c r="AX1540" i="5"/>
  <c r="AX1541" i="5"/>
  <c r="AX1542" i="5"/>
  <c r="AX1543" i="5"/>
  <c r="AX1544" i="5"/>
  <c r="AX1545" i="5"/>
  <c r="AX1546" i="5"/>
  <c r="AX1547" i="5"/>
  <c r="AX1548" i="5"/>
  <c r="AX1549" i="5"/>
  <c r="AX1550" i="5"/>
  <c r="AX1551" i="5"/>
  <c r="AX1552" i="5"/>
  <c r="AX1553" i="5"/>
  <c r="AX1554" i="5"/>
  <c r="AX1555" i="5"/>
  <c r="AX1556" i="5"/>
  <c r="AX1557" i="5"/>
  <c r="AX1558" i="5"/>
  <c r="AX1559" i="5"/>
  <c r="AX1560" i="5"/>
  <c r="AX1561" i="5"/>
  <c r="AX1562" i="5"/>
  <c r="AX1563" i="5"/>
  <c r="AX1564" i="5"/>
  <c r="AX1565" i="5"/>
  <c r="AX1566" i="5"/>
  <c r="AX1567" i="5"/>
  <c r="AX1568" i="5"/>
  <c r="AX1569" i="5"/>
  <c r="AX1570" i="5"/>
  <c r="AX1571" i="5"/>
  <c r="AX1572" i="5"/>
  <c r="AX1573" i="5"/>
  <c r="AX1574" i="5"/>
  <c r="AX1575" i="5"/>
  <c r="AX1576" i="5"/>
  <c r="AX1577" i="5"/>
  <c r="AX1578" i="5"/>
  <c r="AX1579" i="5"/>
  <c r="AX1580" i="5"/>
  <c r="AX1581" i="5"/>
  <c r="AX1582" i="5"/>
  <c r="AX1583" i="5"/>
  <c r="AX1584" i="5"/>
  <c r="AX1585" i="5"/>
  <c r="AX1586" i="5"/>
  <c r="AX1587" i="5"/>
  <c r="AX1588" i="5"/>
  <c r="AX1589" i="5"/>
  <c r="AX1590" i="5"/>
  <c r="AX1591" i="5"/>
  <c r="AX1592" i="5"/>
  <c r="AX1593" i="5"/>
  <c r="AX1594" i="5"/>
  <c r="AX1595" i="5"/>
  <c r="AX1596" i="5"/>
  <c r="AX1597" i="5"/>
  <c r="AX1598" i="5"/>
  <c r="AX1599" i="5"/>
  <c r="AX1600" i="5"/>
  <c r="AX1601" i="5"/>
  <c r="AX1602" i="5"/>
  <c r="AX1603" i="5"/>
  <c r="AX1604" i="5"/>
  <c r="AX1605" i="5"/>
  <c r="AX1606" i="5"/>
  <c r="AX1607" i="5"/>
  <c r="AX1608" i="5"/>
  <c r="AX1609" i="5"/>
  <c r="AX1610" i="5"/>
  <c r="AX1611" i="5"/>
  <c r="AX1612" i="5"/>
  <c r="AX1613" i="5"/>
  <c r="AX1614" i="5"/>
  <c r="AX1615" i="5"/>
  <c r="AX1616" i="5"/>
  <c r="AX1617" i="5"/>
  <c r="AX1618" i="5"/>
  <c r="AX1619" i="5"/>
  <c r="AX1620" i="5"/>
  <c r="AX1621" i="5"/>
  <c r="AX1622" i="5"/>
  <c r="AX1623" i="5"/>
  <c r="AX1624" i="5"/>
  <c r="AX1625" i="5"/>
  <c r="AX1626" i="5"/>
  <c r="AX1627" i="5"/>
  <c r="AX1628" i="5"/>
  <c r="AX1629" i="5"/>
  <c r="AX1630" i="5"/>
  <c r="AX1631" i="5"/>
  <c r="AX1632" i="5"/>
  <c r="AX1633" i="5"/>
  <c r="AX1634" i="5"/>
  <c r="AX1635" i="5"/>
  <c r="AX1636" i="5"/>
  <c r="AX1637" i="5"/>
  <c r="AX1638" i="5"/>
  <c r="AX1639" i="5"/>
  <c r="AX1640" i="5"/>
  <c r="AX1641" i="5"/>
  <c r="AX1642" i="5"/>
  <c r="AX1643" i="5"/>
  <c r="AX1644" i="5"/>
  <c r="AX1645" i="5"/>
  <c r="AX1646" i="5"/>
  <c r="AX1647" i="5"/>
  <c r="AX1648" i="5"/>
  <c r="AX1649" i="5"/>
  <c r="AX1650" i="5"/>
  <c r="AX1651" i="5"/>
  <c r="AX1652" i="5"/>
  <c r="AX1653" i="5"/>
  <c r="AX1654" i="5"/>
  <c r="AX1655" i="5"/>
  <c r="AX1656" i="5"/>
  <c r="AX1657" i="5"/>
  <c r="AX1658" i="5"/>
  <c r="AX1659" i="5"/>
  <c r="AX1660" i="5"/>
  <c r="AX1661" i="5"/>
  <c r="AX1662" i="5"/>
  <c r="AX1663" i="5"/>
  <c r="AX1664" i="5"/>
  <c r="AX1665" i="5"/>
  <c r="AX1666" i="5"/>
  <c r="AX1667" i="5"/>
  <c r="AX1668" i="5"/>
  <c r="AX1669" i="5"/>
  <c r="AX1670" i="5"/>
  <c r="AX1671" i="5"/>
  <c r="AX1672" i="5"/>
  <c r="AX1673" i="5"/>
  <c r="AX1674" i="5"/>
  <c r="AX1675" i="5"/>
  <c r="AX1676" i="5"/>
  <c r="AX1677" i="5"/>
  <c r="AX1678" i="5"/>
  <c r="AX1679" i="5"/>
  <c r="AX1680" i="5"/>
  <c r="AX1681" i="5"/>
  <c r="AX1682" i="5"/>
  <c r="AX1683" i="5"/>
  <c r="AX1684" i="5"/>
  <c r="AX1685" i="5"/>
  <c r="AX1686" i="5"/>
  <c r="AX1687" i="5"/>
  <c r="AX1688" i="5"/>
  <c r="AX1689" i="5"/>
  <c r="AX1690" i="5"/>
  <c r="AX1691" i="5"/>
  <c r="AX1692" i="5"/>
  <c r="AX1693" i="5"/>
  <c r="AX1694" i="5"/>
  <c r="AX1695" i="5"/>
  <c r="AX1696" i="5"/>
  <c r="AX1697" i="5"/>
  <c r="AX1698" i="5"/>
  <c r="AX1699" i="5"/>
  <c r="AX1700" i="5"/>
  <c r="AX1701" i="5"/>
  <c r="AX1702" i="5"/>
  <c r="AX1703" i="5"/>
  <c r="AX1704" i="5"/>
  <c r="AX1705" i="5"/>
  <c r="AX1706" i="5"/>
  <c r="AX1707" i="5"/>
  <c r="AX1708" i="5"/>
  <c r="AX1709" i="5"/>
  <c r="AX1710" i="5"/>
  <c r="AX1711" i="5"/>
  <c r="AX1712" i="5"/>
  <c r="AX1713" i="5"/>
  <c r="AX1714" i="5"/>
  <c r="AX1715" i="5"/>
  <c r="AX1716" i="5"/>
  <c r="AX1717" i="5"/>
  <c r="AX1718" i="5"/>
  <c r="AX1719" i="5"/>
  <c r="AX1720" i="5"/>
  <c r="AX1721" i="5"/>
  <c r="AX1722" i="5"/>
  <c r="AX1723" i="5"/>
  <c r="AX1724" i="5"/>
  <c r="AX1725" i="5"/>
  <c r="AX1726" i="5"/>
  <c r="AX1727" i="5"/>
  <c r="AX1728" i="5"/>
  <c r="AX1729" i="5"/>
  <c r="AX1730" i="5"/>
  <c r="AX1731" i="5"/>
  <c r="AX1732" i="5"/>
  <c r="AX1733" i="5"/>
  <c r="AX1734" i="5"/>
  <c r="AX1735" i="5"/>
  <c r="AX1736" i="5"/>
  <c r="AX1737" i="5"/>
  <c r="AX1738" i="5"/>
  <c r="AX1739" i="5"/>
  <c r="AX1740" i="5"/>
  <c r="AX1741" i="5"/>
  <c r="AX1742" i="5"/>
  <c r="AX1743" i="5"/>
  <c r="AX1744" i="5"/>
  <c r="AX1745" i="5"/>
  <c r="AX1746" i="5"/>
  <c r="AX1747" i="5"/>
  <c r="AX1748" i="5"/>
  <c r="AX1749" i="5"/>
  <c r="AX1750" i="5"/>
  <c r="AX1751" i="5"/>
  <c r="AX1752" i="5"/>
  <c r="AX1753" i="5"/>
  <c r="AX1754" i="5"/>
  <c r="AX1755" i="5"/>
  <c r="AX1756" i="5"/>
  <c r="AX1757" i="5"/>
  <c r="AX1758" i="5"/>
  <c r="AX1759" i="5"/>
  <c r="AX1760" i="5"/>
  <c r="AX1761" i="5"/>
  <c r="AX1762" i="5"/>
  <c r="AX1763" i="5"/>
  <c r="AX1764" i="5"/>
  <c r="AX1765" i="5"/>
  <c r="AX1766" i="5"/>
  <c r="AX1767" i="5"/>
  <c r="AX1768" i="5"/>
  <c r="AX1769" i="5"/>
  <c r="AX1770" i="5"/>
  <c r="AX1771" i="5"/>
  <c r="AX1772" i="5"/>
  <c r="AX1773" i="5"/>
  <c r="AX1774" i="5"/>
  <c r="AX1775" i="5"/>
  <c r="AX1776" i="5"/>
  <c r="AX1777" i="5"/>
  <c r="AX1778" i="5"/>
  <c r="AX1779" i="5"/>
  <c r="AX1780" i="5"/>
  <c r="AX1781" i="5"/>
  <c r="AX1782" i="5"/>
  <c r="AX1783" i="5"/>
  <c r="AX1784" i="5"/>
  <c r="AX1785" i="5"/>
  <c r="AX1786" i="5"/>
  <c r="AX1787" i="5"/>
  <c r="AX1788" i="5"/>
  <c r="AX1789" i="5"/>
  <c r="AX1790" i="5"/>
  <c r="AX1791" i="5"/>
  <c r="AX1792" i="5"/>
  <c r="AX1793" i="5"/>
  <c r="AX1794" i="5"/>
  <c r="AX1795" i="5"/>
  <c r="AX1796" i="5"/>
  <c r="AX1797" i="5"/>
  <c r="AX1798" i="5"/>
  <c r="AX1799" i="5"/>
  <c r="AX1800" i="5"/>
  <c r="AX1801" i="5"/>
  <c r="AX1802" i="5"/>
  <c r="AX1803" i="5"/>
  <c r="AX1804" i="5"/>
  <c r="AX1805" i="5"/>
  <c r="AX1806" i="5"/>
  <c r="AX1807" i="5"/>
  <c r="AX1808" i="5"/>
  <c r="AX1809" i="5"/>
  <c r="AX1810" i="5"/>
  <c r="AX1811" i="5"/>
  <c r="AX1812" i="5"/>
  <c r="AX1813" i="5"/>
  <c r="AX1814" i="5"/>
  <c r="AX1815" i="5"/>
  <c r="AX1816" i="5"/>
  <c r="AX1817" i="5"/>
  <c r="AX1818" i="5"/>
  <c r="AX1819" i="5"/>
  <c r="AX1820" i="5"/>
  <c r="AX1821" i="5"/>
  <c r="AX1822" i="5"/>
  <c r="AX1823" i="5"/>
  <c r="AX1824" i="5"/>
  <c r="AX1825" i="5"/>
  <c r="AX1826" i="5"/>
  <c r="AX1827" i="5"/>
  <c r="AX1828" i="5"/>
  <c r="AX1829" i="5"/>
  <c r="AX1830" i="5"/>
  <c r="AX1831" i="5"/>
  <c r="AX1832" i="5"/>
  <c r="AX1833" i="5"/>
  <c r="AX1834" i="5"/>
  <c r="AX1835" i="5"/>
  <c r="AX1836" i="5"/>
  <c r="AX1837" i="5"/>
  <c r="AX1838" i="5"/>
  <c r="AX1839" i="5"/>
  <c r="AX1840" i="5"/>
  <c r="AX1841" i="5"/>
  <c r="AX1842" i="5"/>
  <c r="AX1843" i="5"/>
  <c r="AX1844" i="5"/>
  <c r="AX1845" i="5"/>
  <c r="AX1846" i="5"/>
  <c r="AX1847" i="5"/>
  <c r="AX1848" i="5"/>
  <c r="AX1849" i="5"/>
  <c r="AX1850" i="5"/>
  <c r="AX1851" i="5"/>
  <c r="AX1852" i="5"/>
  <c r="AX1853" i="5"/>
  <c r="AX1854" i="5"/>
  <c r="AX1855" i="5"/>
  <c r="AX1856" i="5"/>
  <c r="AX1857" i="5"/>
  <c r="AX1858" i="5"/>
  <c r="AX1859" i="5"/>
  <c r="AX1860" i="5"/>
  <c r="AX1861" i="5"/>
  <c r="AX1862" i="5"/>
  <c r="C3" i="5" l="1"/>
  <c r="C4" i="5"/>
  <c r="C5" i="5"/>
  <c r="C6" i="5"/>
  <c r="C7" i="5"/>
  <c r="C8" i="5"/>
  <c r="C9" i="5"/>
  <c r="C10" i="5"/>
  <c r="J3" i="5"/>
  <c r="J4" i="5"/>
  <c r="J5" i="5"/>
  <c r="J6" i="5"/>
  <c r="J7" i="5"/>
  <c r="J8" i="5"/>
  <c r="J9" i="5"/>
  <c r="J10" i="5"/>
  <c r="H3" i="5"/>
  <c r="H4" i="5"/>
  <c r="H5" i="5"/>
  <c r="H6" i="5"/>
  <c r="H7" i="5"/>
  <c r="H8" i="5"/>
  <c r="H9" i="5"/>
  <c r="H10" i="5"/>
  <c r="E3" i="5"/>
  <c r="E4" i="5"/>
  <c r="E5" i="5"/>
  <c r="E6" i="5"/>
  <c r="E7" i="5"/>
  <c r="E8" i="5"/>
  <c r="E9" i="5"/>
  <c r="E10" i="5"/>
  <c r="D3" i="5"/>
  <c r="D4" i="5"/>
  <c r="D5" i="5"/>
  <c r="D6" i="5"/>
  <c r="D7" i="5"/>
  <c r="D8" i="5"/>
  <c r="D9" i="5"/>
  <c r="D10" i="5"/>
  <c r="F3" i="5"/>
  <c r="F4" i="5"/>
  <c r="F5" i="5"/>
  <c r="F6" i="5"/>
  <c r="F7" i="5"/>
  <c r="F8" i="5"/>
  <c r="F9" i="5"/>
  <c r="F10" i="5"/>
  <c r="G3" i="5"/>
  <c r="G4" i="5"/>
  <c r="G5" i="5"/>
  <c r="G6" i="5"/>
  <c r="G7" i="5"/>
  <c r="G8" i="5"/>
  <c r="G9" i="5"/>
  <c r="G10" i="5"/>
  <c r="DX7" i="22"/>
  <c r="GA7" i="22" l="1"/>
  <c r="DV7" i="22" l="1"/>
  <c r="GC7" i="22"/>
  <c r="EN7" i="22"/>
  <c r="BU7" i="22"/>
  <c r="BT7" i="22"/>
  <c r="BS7" i="22"/>
  <c r="BR7" i="22"/>
  <c r="BQ7" i="22"/>
  <c r="BP7" i="22"/>
  <c r="BO7" i="22"/>
  <c r="BN7" i="22"/>
  <c r="BM7" i="22"/>
  <c r="BL7" i="22"/>
  <c r="BK7" i="22"/>
  <c r="BJ7" i="22"/>
  <c r="BI7" i="22"/>
  <c r="AQ7" i="22" l="1"/>
  <c r="DD7" i="22" s="1"/>
  <c r="AJ7" i="22"/>
  <c r="CW7" i="22" s="1"/>
  <c r="AR7" i="22"/>
  <c r="DE7" i="22" s="1"/>
  <c r="AK7" i="22"/>
  <c r="CX7" i="22" s="1"/>
  <c r="AL7" i="22"/>
  <c r="CY7" i="22" s="1"/>
  <c r="AT7" i="22"/>
  <c r="DG7" i="22" s="1"/>
  <c r="AM7" i="22"/>
  <c r="CZ7" i="22" s="1"/>
  <c r="AU7" i="22"/>
  <c r="DH7" i="22" s="1"/>
  <c r="AN7" i="22"/>
  <c r="DA7" i="22" s="1"/>
  <c r="AO7" i="22"/>
  <c r="DB7" i="22" s="1"/>
  <c r="AS7" i="22"/>
  <c r="DF7" i="22" s="1"/>
  <c r="AP7" i="22"/>
  <c r="DC7" i="22" s="1"/>
  <c r="GP7" i="22" l="1"/>
  <c r="FA7" i="22"/>
  <c r="AX4" i="5"/>
  <c r="AX5" i="5"/>
  <c r="AX6" i="5"/>
  <c r="AX7" i="5"/>
  <c r="AX8" i="5"/>
  <c r="AX9" i="5"/>
  <c r="AX10" i="5"/>
  <c r="AX3" i="5"/>
  <c r="P7" i="22" l="1"/>
  <c r="AI7" i="22"/>
  <c r="CV7" i="22" s="1"/>
  <c r="F2" i="12"/>
  <c r="F3" i="12"/>
  <c r="F4" i="12"/>
  <c r="F5" i="12"/>
  <c r="F6" i="12"/>
  <c r="F7" i="12"/>
  <c r="F8" i="12"/>
  <c r="F9" i="12"/>
  <c r="F10" i="12"/>
  <c r="F11" i="12"/>
  <c r="F12" i="12"/>
  <c r="F13" i="12"/>
  <c r="F14" i="12"/>
  <c r="F15" i="12"/>
  <c r="F16" i="12"/>
  <c r="F17" i="12"/>
  <c r="F18" i="12"/>
  <c r="F19" i="12"/>
  <c r="F20" i="12"/>
  <c r="F21" i="12"/>
  <c r="F22" i="12"/>
  <c r="F23" i="12"/>
  <c r="F24" i="12"/>
  <c r="F25" i="12"/>
  <c r="F26" i="12"/>
  <c r="F27" i="12"/>
  <c r="F28" i="12"/>
  <c r="F29" i="12"/>
  <c r="F30" i="12"/>
  <c r="F31" i="12"/>
  <c r="F32" i="12"/>
  <c r="F33" i="12"/>
  <c r="F34" i="12"/>
  <c r="F35" i="12"/>
  <c r="F36" i="12"/>
  <c r="F37" i="12"/>
  <c r="F38" i="12"/>
  <c r="F39" i="12"/>
  <c r="F40" i="12"/>
  <c r="F41" i="12"/>
  <c r="F42" i="12"/>
  <c r="F43" i="12"/>
  <c r="F44" i="12"/>
  <c r="F45" i="12"/>
  <c r="F46" i="12"/>
  <c r="F47" i="12"/>
  <c r="F48" i="12"/>
  <c r="F49" i="12"/>
  <c r="F50" i="12"/>
  <c r="F51" i="12"/>
  <c r="F52" i="12"/>
  <c r="F53" i="12"/>
  <c r="F54" i="12"/>
  <c r="F55" i="12"/>
  <c r="F56" i="12"/>
  <c r="F57" i="12"/>
  <c r="F58" i="12"/>
  <c r="F59" i="12"/>
  <c r="F60" i="12"/>
  <c r="F61" i="12"/>
  <c r="F62" i="12"/>
  <c r="F63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85" i="12"/>
  <c r="F86" i="12"/>
  <c r="F87" i="12"/>
  <c r="F88" i="12"/>
  <c r="F89" i="12"/>
  <c r="F90" i="12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112" i="12"/>
  <c r="F113" i="12"/>
  <c r="F114" i="12"/>
  <c r="F115" i="12"/>
  <c r="F116" i="12"/>
  <c r="F117" i="12"/>
  <c r="F118" i="12"/>
  <c r="F119" i="12"/>
  <c r="F120" i="12"/>
  <c r="F121" i="12"/>
  <c r="F122" i="12"/>
  <c r="F123" i="12"/>
  <c r="F124" i="12"/>
  <c r="F125" i="12"/>
  <c r="F126" i="12"/>
  <c r="F127" i="12"/>
  <c r="F128" i="12"/>
  <c r="F129" i="12"/>
  <c r="F130" i="12"/>
  <c r="F131" i="12"/>
  <c r="F132" i="12"/>
  <c r="F133" i="12"/>
  <c r="F134" i="12"/>
  <c r="F135" i="12"/>
  <c r="F136" i="12"/>
  <c r="F137" i="12"/>
  <c r="F138" i="12"/>
  <c r="F139" i="12"/>
  <c r="F140" i="12"/>
  <c r="F141" i="12"/>
  <c r="F142" i="12"/>
  <c r="F143" i="12"/>
  <c r="F144" i="12"/>
  <c r="F145" i="12"/>
  <c r="F146" i="12"/>
  <c r="F147" i="12"/>
  <c r="F148" i="12"/>
  <c r="F149" i="12"/>
  <c r="F150" i="12"/>
  <c r="F151" i="12"/>
  <c r="F152" i="12"/>
  <c r="F153" i="12"/>
  <c r="F154" i="12"/>
  <c r="F155" i="12"/>
  <c r="F156" i="12"/>
  <c r="F157" i="12"/>
  <c r="F158" i="12"/>
  <c r="F159" i="12"/>
  <c r="F160" i="12"/>
  <c r="F161" i="12"/>
  <c r="F162" i="12"/>
  <c r="F163" i="12"/>
  <c r="F164" i="12"/>
  <c r="F165" i="12"/>
  <c r="F166" i="12"/>
  <c r="F167" i="12"/>
  <c r="F168" i="12"/>
  <c r="F169" i="12"/>
  <c r="F170" i="12"/>
  <c r="F171" i="12"/>
  <c r="F172" i="12"/>
  <c r="F173" i="12"/>
  <c r="F174" i="12"/>
  <c r="F175" i="12"/>
  <c r="F176" i="12"/>
  <c r="F177" i="12"/>
  <c r="F178" i="12"/>
  <c r="F179" i="12"/>
  <c r="F180" i="12"/>
  <c r="F181" i="12"/>
  <c r="F182" i="12"/>
  <c r="F183" i="12"/>
  <c r="F184" i="12"/>
  <c r="F185" i="12"/>
  <c r="F186" i="12"/>
  <c r="F187" i="12"/>
  <c r="F188" i="12"/>
  <c r="F189" i="12"/>
  <c r="F190" i="12"/>
  <c r="F191" i="12"/>
  <c r="F192" i="12"/>
  <c r="F193" i="12"/>
  <c r="F194" i="12"/>
  <c r="F195" i="12"/>
  <c r="F196" i="12"/>
  <c r="F197" i="12"/>
  <c r="F198" i="12"/>
  <c r="F199" i="12"/>
  <c r="F200" i="12"/>
  <c r="F201" i="12"/>
  <c r="F202" i="12"/>
  <c r="F203" i="12"/>
  <c r="F204" i="12"/>
  <c r="F205" i="12"/>
  <c r="F206" i="12"/>
  <c r="F207" i="12"/>
  <c r="F208" i="12"/>
  <c r="F209" i="12"/>
  <c r="F210" i="12"/>
  <c r="F211" i="12"/>
  <c r="F212" i="12"/>
  <c r="F213" i="12"/>
  <c r="F214" i="12"/>
  <c r="F215" i="12"/>
  <c r="F216" i="12"/>
  <c r="F217" i="12"/>
  <c r="F218" i="12"/>
  <c r="F219" i="12"/>
  <c r="F220" i="12"/>
  <c r="F221" i="12"/>
  <c r="F222" i="12"/>
  <c r="F223" i="12"/>
  <c r="F224" i="12"/>
  <c r="F225" i="12"/>
  <c r="F226" i="12"/>
  <c r="F227" i="12"/>
  <c r="F228" i="12"/>
  <c r="F229" i="12"/>
  <c r="F230" i="12"/>
  <c r="F231" i="12"/>
  <c r="F232" i="12"/>
  <c r="F233" i="12"/>
  <c r="F234" i="12"/>
  <c r="F235" i="12"/>
  <c r="F236" i="12"/>
  <c r="F237" i="12"/>
  <c r="F238" i="12"/>
  <c r="F239" i="12"/>
  <c r="F240" i="12"/>
  <c r="F241" i="12"/>
  <c r="F242" i="12"/>
  <c r="F243" i="12"/>
  <c r="F244" i="12"/>
  <c r="F245" i="12"/>
  <c r="F246" i="12"/>
  <c r="F247" i="12"/>
  <c r="F248" i="12"/>
  <c r="F249" i="12"/>
  <c r="F250" i="12"/>
  <c r="F251" i="12"/>
  <c r="F252" i="12"/>
  <c r="F253" i="12"/>
  <c r="F254" i="12"/>
  <c r="F255" i="12"/>
  <c r="F256" i="12"/>
  <c r="F257" i="12"/>
  <c r="F258" i="12"/>
  <c r="F259" i="12"/>
  <c r="F260" i="12"/>
  <c r="F261" i="12"/>
  <c r="F262" i="12"/>
  <c r="F263" i="12"/>
  <c r="F264" i="12"/>
  <c r="F265" i="12"/>
  <c r="F266" i="12"/>
  <c r="F267" i="12"/>
  <c r="F268" i="12"/>
  <c r="F269" i="12"/>
  <c r="F270" i="12"/>
  <c r="F271" i="12"/>
  <c r="F272" i="12"/>
  <c r="F273" i="12"/>
  <c r="F274" i="12"/>
  <c r="F275" i="12"/>
  <c r="F276" i="12"/>
  <c r="F277" i="12"/>
  <c r="F278" i="12"/>
  <c r="F279" i="12"/>
  <c r="F280" i="12"/>
  <c r="F281" i="12"/>
  <c r="F282" i="12"/>
  <c r="F283" i="12"/>
  <c r="F284" i="12"/>
  <c r="F285" i="12"/>
  <c r="F286" i="12"/>
  <c r="F287" i="12"/>
  <c r="F288" i="12"/>
  <c r="F289" i="12"/>
  <c r="F290" i="12"/>
  <c r="F291" i="12"/>
  <c r="F292" i="12"/>
  <c r="F293" i="12"/>
  <c r="F294" i="12"/>
  <c r="F295" i="12"/>
  <c r="F296" i="12"/>
  <c r="F297" i="12"/>
  <c r="F298" i="12"/>
  <c r="F299" i="12"/>
  <c r="F300" i="12"/>
  <c r="F301" i="12"/>
  <c r="F302" i="12"/>
  <c r="F303" i="12"/>
  <c r="F304" i="12"/>
  <c r="F305" i="12"/>
  <c r="F306" i="12"/>
  <c r="F307" i="12"/>
  <c r="F308" i="12"/>
  <c r="F309" i="12"/>
  <c r="F310" i="12"/>
  <c r="F311" i="12"/>
  <c r="F312" i="12"/>
  <c r="F313" i="12"/>
  <c r="F314" i="12"/>
  <c r="F315" i="12"/>
  <c r="F316" i="12"/>
  <c r="F317" i="12"/>
  <c r="F318" i="12"/>
  <c r="F319" i="12"/>
  <c r="F320" i="12"/>
  <c r="F321" i="12"/>
  <c r="F322" i="12"/>
  <c r="F323" i="12"/>
  <c r="F324" i="12"/>
  <c r="F325" i="12"/>
  <c r="F326" i="12"/>
  <c r="F327" i="12"/>
  <c r="F328" i="12"/>
  <c r="F329" i="12"/>
  <c r="F330" i="12"/>
  <c r="F331" i="12"/>
  <c r="F332" i="12"/>
  <c r="F333" i="12"/>
  <c r="F334" i="12"/>
  <c r="F335" i="12"/>
  <c r="F336" i="12"/>
  <c r="F337" i="12"/>
  <c r="F338" i="12"/>
  <c r="F339" i="12"/>
  <c r="F340" i="12"/>
  <c r="F341" i="12"/>
  <c r="F342" i="12"/>
  <c r="F343" i="12"/>
  <c r="F344" i="12"/>
  <c r="F345" i="12"/>
  <c r="F346" i="12"/>
  <c r="F347" i="12"/>
  <c r="F348" i="12"/>
  <c r="F349" i="12"/>
  <c r="F350" i="12"/>
  <c r="F351" i="12"/>
  <c r="F352" i="12"/>
  <c r="F353" i="12"/>
  <c r="F354" i="12"/>
  <c r="F355" i="12"/>
  <c r="F356" i="12"/>
  <c r="F357" i="12"/>
  <c r="F358" i="12"/>
  <c r="F359" i="12"/>
  <c r="F360" i="12"/>
  <c r="F361" i="12"/>
  <c r="F362" i="12"/>
  <c r="F363" i="12"/>
  <c r="F364" i="12"/>
  <c r="F365" i="12"/>
  <c r="F366" i="12"/>
  <c r="F367" i="12"/>
  <c r="F368" i="12"/>
  <c r="F369" i="12"/>
  <c r="F370" i="12"/>
  <c r="F371" i="12"/>
  <c r="F372" i="12"/>
  <c r="F373" i="12"/>
  <c r="F374" i="12"/>
  <c r="F375" i="12"/>
  <c r="F376" i="12"/>
  <c r="F377" i="12"/>
  <c r="F378" i="12"/>
  <c r="F379" i="12"/>
  <c r="F380" i="12"/>
  <c r="F381" i="12"/>
  <c r="F382" i="12"/>
  <c r="F383" i="12"/>
  <c r="F384" i="12"/>
  <c r="F385" i="12"/>
  <c r="F386" i="12"/>
  <c r="F387" i="12"/>
  <c r="F388" i="12"/>
  <c r="F389" i="12"/>
  <c r="F390" i="12"/>
  <c r="F391" i="12"/>
  <c r="F392" i="12"/>
  <c r="F393" i="12"/>
  <c r="F394" i="12"/>
  <c r="F395" i="12"/>
  <c r="F396" i="12"/>
  <c r="F397" i="12"/>
  <c r="F398" i="12"/>
  <c r="F399" i="12"/>
  <c r="F400" i="12"/>
  <c r="F401" i="12"/>
  <c r="F402" i="12"/>
  <c r="F403" i="12"/>
  <c r="F404" i="12"/>
  <c r="F405" i="12"/>
  <c r="F406" i="12"/>
  <c r="F407" i="12"/>
  <c r="F408" i="12"/>
  <c r="F409" i="12"/>
  <c r="F410" i="12"/>
  <c r="F411" i="12"/>
  <c r="F412" i="12"/>
  <c r="F413" i="12"/>
  <c r="F414" i="12"/>
  <c r="F415" i="12"/>
  <c r="F416" i="12"/>
  <c r="F417" i="12"/>
  <c r="F418" i="12"/>
  <c r="F419" i="12"/>
  <c r="F420" i="12"/>
  <c r="F421" i="12"/>
  <c r="F422" i="12"/>
  <c r="F423" i="12"/>
  <c r="F424" i="12"/>
  <c r="F425" i="12"/>
  <c r="F426" i="12"/>
  <c r="F427" i="12"/>
  <c r="F428" i="12"/>
  <c r="F429" i="12"/>
  <c r="F430" i="12"/>
  <c r="F431" i="12"/>
  <c r="F432" i="12"/>
  <c r="F433" i="12"/>
  <c r="F434" i="12"/>
  <c r="F435" i="12"/>
  <c r="F436" i="12"/>
  <c r="F437" i="12"/>
  <c r="F438" i="12"/>
  <c r="F439" i="12"/>
  <c r="F440" i="12"/>
  <c r="L7" i="22" l="1"/>
  <c r="N7" i="22" l="1"/>
  <c r="AV10" i="5"/>
  <c r="AW10" i="5" s="1"/>
  <c r="AV3" i="5"/>
  <c r="AW3" i="5" s="1"/>
  <c r="AV4" i="5"/>
  <c r="AW4" i="5" s="1"/>
  <c r="AV5" i="5"/>
  <c r="AW5" i="5" s="1"/>
  <c r="AV6" i="5"/>
  <c r="AW6" i="5" s="1"/>
  <c r="AV7" i="5"/>
  <c r="AW7" i="5" s="1"/>
  <c r="AV8" i="5"/>
  <c r="AW8" i="5" s="1"/>
  <c r="AV9" i="5"/>
  <c r="AW9" i="5" s="1"/>
  <c r="BA7" i="22" l="1"/>
  <c r="DN7" i="22" s="1"/>
  <c r="AZ7" i="22"/>
  <c r="DM7" i="22" s="1"/>
  <c r="BH7" i="22"/>
  <c r="DU7" i="22" s="1"/>
  <c r="BC7" i="22"/>
  <c r="DP7" i="22" s="1"/>
  <c r="BB7" i="22"/>
  <c r="DO7" i="22" s="1"/>
  <c r="BE7" i="22"/>
  <c r="DR7" i="22" s="1"/>
  <c r="BD7" i="22"/>
  <c r="DQ7" i="22" s="1"/>
  <c r="AY7" i="22"/>
  <c r="DL7" i="22" s="1"/>
  <c r="BG7" i="22"/>
  <c r="DT7" i="22" s="1"/>
  <c r="AW7" i="22"/>
  <c r="DJ7" i="22" s="1"/>
  <c r="AX7" i="22"/>
  <c r="DK7" i="22" s="1"/>
  <c r="BF7" i="22"/>
  <c r="DS7" i="22" s="1"/>
  <c r="CM7" i="22" l="1"/>
  <c r="CO7" i="22"/>
  <c r="CB7" i="22"/>
  <c r="CG7" i="22"/>
  <c r="CH7" i="22"/>
  <c r="CR7" i="22"/>
  <c r="CC7" i="22"/>
  <c r="CU7" i="22"/>
  <c r="CA7" i="22"/>
  <c r="CK7" i="22"/>
  <c r="BX7" i="22"/>
  <c r="CE7" i="22"/>
  <c r="CQ7" i="22"/>
  <c r="FN7" i="22"/>
  <c r="AV7" i="22" s="1"/>
  <c r="DI7" i="22" s="1"/>
  <c r="HC7" i="22"/>
  <c r="CD7" i="22"/>
  <c r="CP7" i="22"/>
  <c r="CS7" i="22"/>
  <c r="CF7" i="22"/>
  <c r="CL7" i="22"/>
  <c r="CT7" i="22"/>
  <c r="BY7" i="22"/>
  <c r="BZ7" i="22"/>
  <c r="CN7" i="22"/>
  <c r="BW7" i="22"/>
  <c r="CJ7" i="22"/>
  <c r="BV7" i="22" l="1"/>
  <c r="Q7" i="22"/>
  <c r="CI7" i="22"/>
</calcChain>
</file>

<file path=xl/sharedStrings.xml><?xml version="1.0" encoding="utf-8"?>
<sst xmlns="http://schemas.openxmlformats.org/spreadsheetml/2006/main" count="34093" uniqueCount="8104">
  <si>
    <t>№</t>
  </si>
  <si>
    <t>Суперкатегория (ENG)</t>
  </si>
  <si>
    <t>Суперкатегория (RUS)</t>
  </si>
  <si>
    <t>Продукт группа</t>
  </si>
  <si>
    <t>Название продукт группы (ENG)</t>
  </si>
  <si>
    <t>Название продукт группы (RUS)</t>
  </si>
  <si>
    <t>WMO_C</t>
  </si>
  <si>
    <t>Watering Mobile OGS</t>
  </si>
  <si>
    <t>Статус</t>
  </si>
  <si>
    <t>Активный</t>
  </si>
  <si>
    <t>Новинка текущего года</t>
  </si>
  <si>
    <t>Новинка следующего года</t>
  </si>
  <si>
    <t>SubGroup</t>
  </si>
  <si>
    <t>Generic Name (long)</t>
  </si>
  <si>
    <t>Model</t>
  </si>
  <si>
    <t>PNS</t>
  </si>
  <si>
    <t>Артикул</t>
  </si>
  <si>
    <t>Артикул предшественника (если есть)</t>
  </si>
  <si>
    <t>Название артикула (ENG)</t>
  </si>
  <si>
    <t>Название артикула (RUS)</t>
  </si>
  <si>
    <t>Используемый календарь</t>
  </si>
  <si>
    <t>Эксклюзив клиента или канала продажи</t>
  </si>
  <si>
    <t>Локальный сертификат</t>
  </si>
  <si>
    <t>Название</t>
  </si>
  <si>
    <t>Путь к файлу</t>
  </si>
  <si>
    <t>STK 2.5, Eur</t>
  </si>
  <si>
    <t>STK 2.5, руб.</t>
  </si>
  <si>
    <t>Дата принятия</t>
  </si>
  <si>
    <t>IRP, Eur</t>
  </si>
  <si>
    <t>РРЦ, руб. с НДС</t>
  </si>
  <si>
    <t>DIY price list, руб. без НДС</t>
  </si>
  <si>
    <t>Процент от РРЦ, без НДС</t>
  </si>
  <si>
    <t>Эксклюзивность</t>
  </si>
  <si>
    <t>ЛЕРУА МЕРЛЕН</t>
  </si>
  <si>
    <t>ОБИ</t>
  </si>
  <si>
    <t>DIY канал</t>
  </si>
  <si>
    <t>All channels</t>
  </si>
  <si>
    <t>GardenaChannel</t>
  </si>
  <si>
    <t>Customer</t>
  </si>
  <si>
    <t>Channel type</t>
  </si>
  <si>
    <t>Customer status</t>
  </si>
  <si>
    <t>Sales manager</t>
  </si>
  <si>
    <t>Маг</t>
  </si>
  <si>
    <t>CustomerBudget</t>
  </si>
  <si>
    <t>Код</t>
  </si>
  <si>
    <t>GardenChannel</t>
  </si>
  <si>
    <t>ДСЮ</t>
  </si>
  <si>
    <t>Из справочника клиентов</t>
  </si>
  <si>
    <t>Период</t>
  </si>
  <si>
    <t>Оборудование для полива</t>
  </si>
  <si>
    <t>Электрика (Готовая продукция)</t>
  </si>
  <si>
    <t>=[Pricelist MT]</t>
  </si>
  <si>
    <t>Газонокосилки-роботы</t>
  </si>
  <si>
    <t>=[DIY Price list]</t>
  </si>
  <si>
    <t>Насосное оборудование</t>
  </si>
  <si>
    <t>=[DIY Price list]*(1-20%)</t>
  </si>
  <si>
    <t>Ручные и режущие инструменты</t>
  </si>
  <si>
    <t>Зимние инструменты ClassicLine</t>
  </si>
  <si>
    <t>Максимальный годовой бонус</t>
  </si>
  <si>
    <t>Идентификатор записи</t>
  </si>
  <si>
    <t>Дата прогноза</t>
  </si>
  <si>
    <t>Данные справочника товаров</t>
  </si>
  <si>
    <t>РРЦ, руб.с НДС</t>
  </si>
  <si>
    <t>Индекс IRP</t>
  </si>
  <si>
    <t>2 net цена, руб.</t>
  </si>
  <si>
    <t>3 net цена, руб.</t>
  </si>
  <si>
    <t>Transfer цена, руб.</t>
  </si>
  <si>
    <t>12 столбцов</t>
  </si>
  <si>
    <t>Price-list январь</t>
  </si>
  <si>
    <t>Price-list февраль</t>
  </si>
  <si>
    <t>Price-list март</t>
  </si>
  <si>
    <t>Price-list апрель</t>
  </si>
  <si>
    <t>Price-list май</t>
  </si>
  <si>
    <t>Price-list июнь</t>
  </si>
  <si>
    <t>Price-list июль</t>
  </si>
  <si>
    <t>Price-list август</t>
  </si>
  <si>
    <t>Price-list сентябрь</t>
  </si>
  <si>
    <t>Price-list октябрь</t>
  </si>
  <si>
    <t>Price-list ноябрь</t>
  </si>
  <si>
    <t>Price-list декабрь</t>
  </si>
  <si>
    <t>Объем продаж февраль</t>
  </si>
  <si>
    <t>Объем продаж март</t>
  </si>
  <si>
    <t>Объем продаж апрель</t>
  </si>
  <si>
    <t>Объем продаж май</t>
  </si>
  <si>
    <t>Объем продаж июнь</t>
  </si>
  <si>
    <t>Объем продаж июль</t>
  </si>
  <si>
    <t>Объем продаж август</t>
  </si>
  <si>
    <t>Объем продаж сентябрь</t>
  </si>
  <si>
    <t>Объем продаж октябрь</t>
  </si>
  <si>
    <t>Объем продаж ноябрь</t>
  </si>
  <si>
    <t>Объем продаж декабрь</t>
  </si>
  <si>
    <t>Объем продаж январь</t>
  </si>
  <si>
    <t>GP Value февраль</t>
  </si>
  <si>
    <t>GP Value март</t>
  </si>
  <si>
    <t>GP Value апрель</t>
  </si>
  <si>
    <t>GP Value май</t>
  </si>
  <si>
    <t>GP Value июнь</t>
  </si>
  <si>
    <t>GP Value июль</t>
  </si>
  <si>
    <t>GP Value август</t>
  </si>
  <si>
    <t>GP Value сентябрь</t>
  </si>
  <si>
    <t>GP Value октябрь</t>
  </si>
  <si>
    <t>GP Value ноябрь</t>
  </si>
  <si>
    <t>GP Value декабрь</t>
  </si>
  <si>
    <t>Promo NS февраль</t>
  </si>
  <si>
    <t>Promo NS март</t>
  </si>
  <si>
    <t>Promo NS апрель</t>
  </si>
  <si>
    <t>Promo NS май</t>
  </si>
  <si>
    <t>Promo NS июнь</t>
  </si>
  <si>
    <t>Promo NS июль</t>
  </si>
  <si>
    <t>Promo NS август</t>
  </si>
  <si>
    <t>Promo NS сентябрь</t>
  </si>
  <si>
    <t>Promo NS октябрь</t>
  </si>
  <si>
    <t>Promo NS ноябрь</t>
  </si>
  <si>
    <t>Promo NS декабрь</t>
  </si>
  <si>
    <t>Promo GS февраль</t>
  </si>
  <si>
    <t>Promo GS март</t>
  </si>
  <si>
    <t>Promo GS апрель</t>
  </si>
  <si>
    <t>Promo GS май</t>
  </si>
  <si>
    <t>Promo GS июнь</t>
  </si>
  <si>
    <t>Promo GS июль</t>
  </si>
  <si>
    <t>Promo GS август</t>
  </si>
  <si>
    <t>Promo GS сентябрь</t>
  </si>
  <si>
    <t>Promo GS октябрь</t>
  </si>
  <si>
    <t>Promo GS ноябрь</t>
  </si>
  <si>
    <t>Promo GS декабрь</t>
  </si>
  <si>
    <t>Promo Объем май</t>
  </si>
  <si>
    <t>Promo Price-list февраль</t>
  </si>
  <si>
    <t>Promo Price-list март</t>
  </si>
  <si>
    <t>Promo Price-list апрель</t>
  </si>
  <si>
    <t>Promo Price-list май</t>
  </si>
  <si>
    <t>Promo Price-list июнь</t>
  </si>
  <si>
    <t>Promo Price-list июль</t>
  </si>
  <si>
    <t>Promo Price-list август</t>
  </si>
  <si>
    <t>Promo Price-list сентябрь</t>
  </si>
  <si>
    <t>Promo Price-list октябрь</t>
  </si>
  <si>
    <t>Promo Price-list ноябрь</t>
  </si>
  <si>
    <t>Promo Price-list декабрь</t>
  </si>
  <si>
    <t>NS Январь</t>
  </si>
  <si>
    <t>NS февраль</t>
  </si>
  <si>
    <t>NS март</t>
  </si>
  <si>
    <t>NS апрель</t>
  </si>
  <si>
    <t>NS май</t>
  </si>
  <si>
    <t>NS июнь</t>
  </si>
  <si>
    <t>NS июль</t>
  </si>
  <si>
    <t>NS август</t>
  </si>
  <si>
    <t>NS сентябрь</t>
  </si>
  <si>
    <t>NS октябрь</t>
  </si>
  <si>
    <t>NS ноябрь</t>
  </si>
  <si>
    <t>NS декабрь</t>
  </si>
  <si>
    <t>GS февраль</t>
  </si>
  <si>
    <t>GS март</t>
  </si>
  <si>
    <t>GS апрель</t>
  </si>
  <si>
    <t>GS май</t>
  </si>
  <si>
    <t>GS июнь</t>
  </si>
  <si>
    <t>GS июль</t>
  </si>
  <si>
    <t>GS август</t>
  </si>
  <si>
    <t>GS сентябрь</t>
  </si>
  <si>
    <t>GS октябрь</t>
  </si>
  <si>
    <t>GS ноябрь</t>
  </si>
  <si>
    <t>GS декабрь</t>
  </si>
  <si>
    <t>GS январь</t>
  </si>
  <si>
    <t>Promo Price-list январь</t>
  </si>
  <si>
    <t>Promo Объем продаж январь</t>
  </si>
  <si>
    <t>Promo GS январь</t>
  </si>
  <si>
    <t>Promo NS январь</t>
  </si>
  <si>
    <t>GP Value январь</t>
  </si>
  <si>
    <t>to be sold in</t>
  </si>
  <si>
    <t>Sales Start Date</t>
  </si>
  <si>
    <t>Preliminary Elimination Date</t>
  </si>
  <si>
    <t>Current Producing Factory Entity Reference</t>
  </si>
  <si>
    <t>Unit of measure</t>
  </si>
  <si>
    <t>Article gross weight, preliminary</t>
  </si>
  <si>
    <t>Article net weight</t>
  </si>
  <si>
    <t>Packaging length</t>
  </si>
  <si>
    <t>Packaging height</t>
  </si>
  <si>
    <t>Packaging volume</t>
  </si>
  <si>
    <t>Product size width</t>
  </si>
  <si>
    <t>Units Per Pallet</t>
  </si>
  <si>
    <t>Product size height</t>
  </si>
  <si>
    <t>Product size length</t>
  </si>
  <si>
    <t>Packaging width</t>
  </si>
  <si>
    <t>Article net weight, preliminary</t>
  </si>
  <si>
    <t>Article gross weight</t>
  </si>
  <si>
    <t>Quantity in Master pack</t>
  </si>
  <si>
    <t>GTIN-13/EAN</t>
  </si>
  <si>
    <t>Elimination Date</t>
  </si>
  <si>
    <t>AMA_C</t>
  </si>
  <si>
    <t>WMT_C</t>
  </si>
  <si>
    <t>Country of Origin</t>
  </si>
  <si>
    <t>AET_P</t>
  </si>
  <si>
    <t>AMC_C</t>
  </si>
  <si>
    <t>AMT_C</t>
  </si>
  <si>
    <t>EEO_C</t>
  </si>
  <si>
    <t>HEB_C</t>
  </si>
  <si>
    <t>HEB_P</t>
  </si>
  <si>
    <t>HEC_C</t>
  </si>
  <si>
    <t>HEC_P</t>
  </si>
  <si>
    <t>HEH_C</t>
  </si>
  <si>
    <t>HEH_P</t>
  </si>
  <si>
    <t>HET_C</t>
  </si>
  <si>
    <t>HET_P</t>
  </si>
  <si>
    <t>HSP_C</t>
  </si>
  <si>
    <t>LBL_P</t>
  </si>
  <si>
    <t>LEL_C</t>
  </si>
  <si>
    <t>LEP_C</t>
  </si>
  <si>
    <t>LML_C</t>
  </si>
  <si>
    <t>LRL_C</t>
  </si>
  <si>
    <t>LRL_P</t>
  </si>
  <si>
    <t>LSP_C</t>
  </si>
  <si>
    <t>OBR_C</t>
  </si>
  <si>
    <t>WMA_C</t>
  </si>
  <si>
    <t>WMH_C</t>
  </si>
  <si>
    <t>WMS_C</t>
  </si>
  <si>
    <t>WPO_C</t>
  </si>
  <si>
    <t>WPU_C</t>
  </si>
  <si>
    <t>WPU_P</t>
  </si>
  <si>
    <t>WSC_C</t>
  </si>
  <si>
    <t>WSS_C</t>
  </si>
  <si>
    <t>TAP CONNECTOR</t>
  </si>
  <si>
    <t>02900-29.000.00</t>
  </si>
  <si>
    <t>18200-29.000.00</t>
  </si>
  <si>
    <t>18240-20.000.00</t>
  </si>
  <si>
    <t>02901-29.000.00</t>
  </si>
  <si>
    <t>18201-29.000.00</t>
  </si>
  <si>
    <t>18241-20.000.00</t>
  </si>
  <si>
    <t>02902-29.000.00</t>
  </si>
  <si>
    <t>18202-29.000.00</t>
  </si>
  <si>
    <t>new</t>
  </si>
  <si>
    <t xml:space="preserve">Штуцер резьбовой 1/2" </t>
  </si>
  <si>
    <t>Штуцер резьбовой Premium 21 мм (G 1/2")</t>
  </si>
  <si>
    <t xml:space="preserve">Штуцер резьбовой 3/4" </t>
  </si>
  <si>
    <t>Штуцер резьбовой Premium 26.5 мм (G3/4")</t>
  </si>
  <si>
    <t xml:space="preserve">Штуцер резьбовой 1" </t>
  </si>
  <si>
    <t>Выведено из ассортимента текущего года</t>
  </si>
  <si>
    <t>Dealer</t>
  </si>
  <si>
    <t>Regional</t>
  </si>
  <si>
    <t>Online</t>
  </si>
  <si>
    <t>Процент повышения РРЦ</t>
  </si>
  <si>
    <t>РРЦ финальная, руб.</t>
  </si>
  <si>
    <t>РРЦ расчетная, руб.</t>
  </si>
  <si>
    <t>РРЦ, евро</t>
  </si>
  <si>
    <t>Бюджетный курс</t>
  </si>
  <si>
    <t>Дата повышения</t>
  </si>
  <si>
    <t>Скидка DIY</t>
  </si>
  <si>
    <t>МРЛ</t>
  </si>
  <si>
    <t>2555 ООО "Леруа Мерлен Восток"</t>
  </si>
  <si>
    <t>DIY</t>
  </si>
  <si>
    <t>ТАРХОВА ТАТЬЯНА</t>
  </si>
  <si>
    <t>ЛЕРУ</t>
  </si>
  <si>
    <t>5550 ООО «Строй Парк-Логистик»</t>
  </si>
  <si>
    <t>СПЛ</t>
  </si>
  <si>
    <t>СТРО</t>
  </si>
  <si>
    <t>5570 ООО "К-РАУТА РУС"</t>
  </si>
  <si>
    <t>К-РАУТА</t>
  </si>
  <si>
    <t>К-РА</t>
  </si>
  <si>
    <t>ДСС</t>
  </si>
  <si>
    <t>1078 ООО "АРХЛЕС-СЕРВИС"</t>
  </si>
  <si>
    <t>DEALERS&amp;REGIONAL DISTR</t>
  </si>
  <si>
    <t>STANDARD</t>
  </si>
  <si>
    <t>АЛЕКСАНДРОВ ИГОРЬ</t>
  </si>
  <si>
    <t>1507 ООО "АРЕАЛ ПЛЮС"</t>
  </si>
  <si>
    <t>1515 ООО "СМД"</t>
  </si>
  <si>
    <t>1538 ООО "РОТА"</t>
  </si>
  <si>
    <t>1577 ИП Суптеля Сергей Александрович</t>
  </si>
  <si>
    <t>1656 ООО "ОСИПОВ, АГЕЕВ И КО"</t>
  </si>
  <si>
    <t>1679 ИП Люкин Станислав</t>
  </si>
  <si>
    <t>1691 ИП Богданов Андрей Олегович</t>
  </si>
  <si>
    <t>1732 ИП Соловьев Сергей</t>
  </si>
  <si>
    <t>1736 ИП Леничев Юрий Геннадьевич</t>
  </si>
  <si>
    <t>1750 ООО "ОЛЬХА"</t>
  </si>
  <si>
    <t>1762 ООО "БЕНЗОЛЮКС"</t>
  </si>
  <si>
    <t>PREMIUM</t>
  </si>
  <si>
    <t>1766 ООО "Партнер АСЦ"</t>
  </si>
  <si>
    <t>1780 ООО "НАДЕЖДА"</t>
  </si>
  <si>
    <t>1781 ООО "МУРМАН-ИНСТРУМЕНТ"</t>
  </si>
  <si>
    <t>1792 ООО "ПОДКОВА"</t>
  </si>
  <si>
    <t>1803 ООО "ЛЕС-СЕРВИС П"</t>
  </si>
  <si>
    <t>1804 ООО"ПО ДИНОС-ПАРК"</t>
  </si>
  <si>
    <t>1825 ООО "МАСТЕРЛАЙН"</t>
  </si>
  <si>
    <t>1852 ООО "МАСТЕР БЕНЗО-СЕРВИС"</t>
  </si>
  <si>
    <t>1859 ООО "ТС "МАСТЕР"</t>
  </si>
  <si>
    <t>1873 ООО "СЦ ЛЕС-СЕРВИС"</t>
  </si>
  <si>
    <t>1884 ИП Исупов Николай Александрович</t>
  </si>
  <si>
    <t>1885 ИП Керро Владимир</t>
  </si>
  <si>
    <t>2858 ИП Деришев Илья Анатольевич</t>
  </si>
  <si>
    <t>3772 ИП Татаринов Константин Bалентинови</t>
  </si>
  <si>
    <t>4309 ООО "АРХАНГЕЛЬСК-ВОСТОК-СЕРВИС"</t>
  </si>
  <si>
    <t>4639 ИП Колесов Александр Викторович</t>
  </si>
  <si>
    <t>4768 ООО "ПЛАНЕТА-СЕРВИС"</t>
  </si>
  <si>
    <t>5019 ООО "ТЕХНОЛОГИЯ"</t>
  </si>
  <si>
    <t>5033 ООО "НЕВА-ТРЕЙД СПБ"</t>
  </si>
  <si>
    <t>5040 ООО "СЕВЕРНЫЕ СТРЕЛЫ"</t>
  </si>
  <si>
    <t>5048 ООО "ВЕРКМАН"</t>
  </si>
  <si>
    <t>5054 ООО "ВТК"</t>
  </si>
  <si>
    <t>5056 ООО "СФЕРА"</t>
  </si>
  <si>
    <t>PLATINUM</t>
  </si>
  <si>
    <t>5057 ИП Исупов Анатолий Александрович</t>
  </si>
  <si>
    <t>5060 ООО "СЕРВИСНЫЙ ЦЕНТР "МАСТЕР"</t>
  </si>
  <si>
    <t>5062 ООО «САДОВЫЕ МАШИНЫ»</t>
  </si>
  <si>
    <t>5083 ООО "БЛ"</t>
  </si>
  <si>
    <t>5171 ООО "БАЗИС"</t>
  </si>
  <si>
    <t>5174 ООО «ЕВРОТЕК.СПБ.РУ»</t>
  </si>
  <si>
    <t>5178 ООО "ПРЯМЫЕ РУКИ"</t>
  </si>
  <si>
    <t>5180 ООО «САДПАРК»</t>
  </si>
  <si>
    <t>5194 ООО "ЭБС"</t>
  </si>
  <si>
    <t>5721 ООО "СЕРВИС И"</t>
  </si>
  <si>
    <t>5725 ООО «ГИДРОСИЛА»</t>
  </si>
  <si>
    <t>5727 ООО "БОБЁР"</t>
  </si>
  <si>
    <t>5750 ООО «МотоТехЦентр»</t>
  </si>
  <si>
    <t>5762 ООО "ШТУРМАН18"</t>
  </si>
  <si>
    <t>5771 ООО "ИНСТРУМЕНТ"</t>
  </si>
  <si>
    <t>6042 ООО "ТПО "ЕВРОТЕК"</t>
  </si>
  <si>
    <t>МРМ</t>
  </si>
  <si>
    <t>5070 ООО СТД "ПЕТРОВИЧ"</t>
  </si>
  <si>
    <t>СТД ПЕТРОВИЧ</t>
  </si>
  <si>
    <t>ЧУДИН АЛЕКСЕЙ</t>
  </si>
  <si>
    <t>5307 Красногорский филиал "Крокус Сити"</t>
  </si>
  <si>
    <t>КРОКУС</t>
  </si>
  <si>
    <t>КРОК</t>
  </si>
  <si>
    <t>5310 АО "Кротекс"</t>
  </si>
  <si>
    <t>5412 ООО "Бауцентр Рус"</t>
  </si>
  <si>
    <t>БАУЦЕНТР</t>
  </si>
  <si>
    <t>БАУЦ</t>
  </si>
  <si>
    <t>5414 Воронежский ф-л ЗАО "КРОКУС"</t>
  </si>
  <si>
    <t>5466 Мытищинский филиал "Твой Дом" АО</t>
  </si>
  <si>
    <t>5467 Красногорский филиал "Твой Дом"</t>
  </si>
  <si>
    <t>5536 «ТВОЙ ДОМ КУНЦЕВО» АО «КРОКУС»</t>
  </si>
  <si>
    <t>5824 ООО МЕТРО Кэш энд Керри</t>
  </si>
  <si>
    <t>МЕТРО</t>
  </si>
  <si>
    <t>МЕТР</t>
  </si>
  <si>
    <t>МРО</t>
  </si>
  <si>
    <t>5302 ООО "Сделай Своими Руками - Казань"</t>
  </si>
  <si>
    <t>НЕБОВ АЛЕКСАНДР</t>
  </si>
  <si>
    <t xml:space="preserve">ОБИ </t>
  </si>
  <si>
    <t>5303 ООО "Сделай Своими Руками"</t>
  </si>
  <si>
    <t>5388 ООО "ОБИ Франчайзинговый Центр"</t>
  </si>
  <si>
    <t>5389 ООО"СделайСвоимиРукамиСеверо-Запад"</t>
  </si>
  <si>
    <t>5408 ООО "Гарден Центр Групп"</t>
  </si>
  <si>
    <t>ДАРВИН</t>
  </si>
  <si>
    <t>ДАРВ</t>
  </si>
  <si>
    <t>ДСВ</t>
  </si>
  <si>
    <t>1374 ООО "ТЕХНОСТИЛЬ"</t>
  </si>
  <si>
    <t>ШКИДИН РОМАН</t>
  </si>
  <si>
    <t>1408 ООО "АРДЕНА"</t>
  </si>
  <si>
    <t>1630 ИП Клочкова Ольга Алексеевна</t>
  </si>
  <si>
    <t>1909 ООО "АВА-ТРАК"</t>
  </si>
  <si>
    <t>1972 ООО "БРИГАДА"</t>
  </si>
  <si>
    <t>2148 ИП Поливахин Александр Иванович</t>
  </si>
  <si>
    <t>2162 ИП Паздникова Людмила Игоревна</t>
  </si>
  <si>
    <t>2164 ООО "ТЦ ЭСТОМ"</t>
  </si>
  <si>
    <t>2167 ИП Боброва Наталья Геннадьевна</t>
  </si>
  <si>
    <t>2196 ИП Красильников А.В.</t>
  </si>
  <si>
    <t>2199 ООО "ЮЖНО СИБИРСКИЙ МОТОЦЕНТР"</t>
  </si>
  <si>
    <t>2262 ИП Антохова Ирина Геннадьевна</t>
  </si>
  <si>
    <t>2270 ОБЩЕСТВО С ОГРАНИЧЕННОЙ ОТВЕТСТВЕН</t>
  </si>
  <si>
    <t>2271 ИП Манаев Николай Николаевич</t>
  </si>
  <si>
    <t>2323 ЗАО "АКЛЕС"</t>
  </si>
  <si>
    <t>2448 ООО ТОРГОВЫЙ ДОМ "БЕНЗОЭЛЕКТРОМАСТЕ</t>
  </si>
  <si>
    <t>2478 ИП Шестаков Сергей Валерьевич</t>
  </si>
  <si>
    <t>2486 ООО "ТК ИНСТРУМЕНТ МАРКЕТ"</t>
  </si>
  <si>
    <t>2488 ООО "БОГУЧАНЫ-ЧТЗ-СЕРВИС"</t>
  </si>
  <si>
    <t>2954 ООО "МЕХАНИК"</t>
  </si>
  <si>
    <t>2955 ИП Кириллова Наталья Николаевна</t>
  </si>
  <si>
    <t>2980 ИП Анкут Юлия Сергеевна</t>
  </si>
  <si>
    <t>2983 ООО "ЮГУС"</t>
  </si>
  <si>
    <t>3704 ООО "ЭНЕРГИЯ"</t>
  </si>
  <si>
    <t>3710 АО "ИНТЕРГРУПП"</t>
  </si>
  <si>
    <t>3726 ООО "ПРОФПАРК"</t>
  </si>
  <si>
    <t>3744 ООО "СОЗВЕЗДИЕ ТЕХНО"</t>
  </si>
  <si>
    <t>3800 ООО "МАСТЕР"</t>
  </si>
  <si>
    <t>3910 ООО "ВВТ-РЕГИОН"</t>
  </si>
  <si>
    <t>3911 АО "РОСИНСТРУМЕНТ"</t>
  </si>
  <si>
    <t>3912 ООО "КОМПАНИЯ БЕНЗОИНСТРУМЕНТ"</t>
  </si>
  <si>
    <t>3914 ИП Еньшин Николай Егорович</t>
  </si>
  <si>
    <t>3953 ООО СЦ "БЕНЗОТЕХНИКА"</t>
  </si>
  <si>
    <t>4294 ООО "ЮГУС-НОВОСИБИРСК"</t>
  </si>
  <si>
    <t>4577 ИП Голубчиков Геннадий Юрьевич</t>
  </si>
  <si>
    <t>4649 ООО "ЭБИСУ"</t>
  </si>
  <si>
    <t>4682 ООО "МИРАЖ"</t>
  </si>
  <si>
    <t>4699 ООО "СЕВЕРСКИНСТРУМЕНТСНАБ"</t>
  </si>
  <si>
    <t>4840 ООО "ПАРКОВАЯ ТЕХНИКА"</t>
  </si>
  <si>
    <t>4884 ООО "СТАНДАРТ"</t>
  </si>
  <si>
    <t>4926 ООО "ТЕХНО-М"</t>
  </si>
  <si>
    <t>4933 ООО "ЭЛЕКТРОСЕРВИС"</t>
  </si>
  <si>
    <t>4942 ООО "ЛЕГО"</t>
  </si>
  <si>
    <t>4984 ООО "НОРД ИНТЕХ"</t>
  </si>
  <si>
    <t>4989 ООО "ДЕЛЬТА-ПЛЮС"</t>
  </si>
  <si>
    <t>5066 ИП Сальков Кирилл Алексеевич</t>
  </si>
  <si>
    <t>5074 ООО "ТД СИБИРСКИЙ ИНСТРУМЕНТ"</t>
  </si>
  <si>
    <t>5085 ООО "ЛИДЕР"</t>
  </si>
  <si>
    <t>5088 ООО "ТЕХСЕРВИС-ХАБАРОВСК"</t>
  </si>
  <si>
    <t>5098 ООО "КОМПАНИЯ МОТОТЕХНИКА"</t>
  </si>
  <si>
    <t>5161 ООО "БЕНЗОИНСТРУМЕНТ"</t>
  </si>
  <si>
    <t>5168 ИП Саломатов Юрий Николаевич</t>
  </si>
  <si>
    <t>5185 ООО "ПРОФИНСТРУМЕНТ"</t>
  </si>
  <si>
    <t>5267 ИП Муратов Ефим Игоревич</t>
  </si>
  <si>
    <t>5500 ООО "Техносистема"</t>
  </si>
  <si>
    <t>5708 ООО "АНКОР-АМУР"</t>
  </si>
  <si>
    <t>5716 ООО "ПРОФИНСТРУМЕНТ"</t>
  </si>
  <si>
    <t>5720 ООО "БАЙКАЛОПТИНСТРУМЕНТ"</t>
  </si>
  <si>
    <t>5724 ИП Золотухин Денис Николаевич</t>
  </si>
  <si>
    <t>5730 ИП Чирков Юрий Михайлович</t>
  </si>
  <si>
    <t>5746 ООО "СИНТЕХ"</t>
  </si>
  <si>
    <t>5748 ООО "ОРИЕНТИНСТРУМЕНТ"</t>
  </si>
  <si>
    <t>5767 ИП Голубчикова Татьяна Васильевна</t>
  </si>
  <si>
    <t>5788 ООО "ПРИМЛЕСТЕХНИКА"</t>
  </si>
  <si>
    <t>6027 ООО "ДИЛЕРСКИЙ ЦЕНТР "СОЗВЕЗДИЕ ТЕХ</t>
  </si>
  <si>
    <t>6048 ООО"РЕМИНСЕРВИС"</t>
  </si>
  <si>
    <t>6061 ООО "БЕНЗОИНСТРУМЕНТ НСК"</t>
  </si>
  <si>
    <t>6076 ООО "САДОВЫЕ МАШИНЫ"</t>
  </si>
  <si>
    <t>6139 ИП Пилипенко Павел Николаевич</t>
  </si>
  <si>
    <t>6142 ООО "МЕХАНИК"</t>
  </si>
  <si>
    <t>МФДИ</t>
  </si>
  <si>
    <t>5525 ООО «РуМета»</t>
  </si>
  <si>
    <t>РУМЕТА</t>
  </si>
  <si>
    <t>МОНАСТЫРСКИЙ МИХАИЛ</t>
  </si>
  <si>
    <t>ЭНТИ</t>
  </si>
  <si>
    <t>5560 ООО "ЭнТи Сервис"</t>
  </si>
  <si>
    <t>ДДЮ</t>
  </si>
  <si>
    <t>2708 ИП Обухова Марина Сергеевна</t>
  </si>
  <si>
    <t>ПОЛУНОВ ДМИТРИЙ</t>
  </si>
  <si>
    <t>5540 ООО "ТПК "РОСТИ"</t>
  </si>
  <si>
    <t>REGIONAL DISTR BASIC</t>
  </si>
  <si>
    <t>РОСТ</t>
  </si>
  <si>
    <t>ДЭЦВ</t>
  </si>
  <si>
    <t>1589 ООО "220 Вольт Сервис"</t>
  </si>
  <si>
    <t>ONLINE</t>
  </si>
  <si>
    <t>ВЕЛИКОПОЛЬСКИЙ ВЛАДИСЛАВ</t>
  </si>
  <si>
    <t>1663 ООО "ТДСЗ"</t>
  </si>
  <si>
    <t>3898 ООО "ВСЕИНСТРУМЕНТЫ.РУ"</t>
  </si>
  <si>
    <t>5195 ООО "БКР"</t>
  </si>
  <si>
    <t>5571 ООО "ХАСКЕЛ"</t>
  </si>
  <si>
    <t>ХАСКЕЛ</t>
  </si>
  <si>
    <t>5699 ООО «Интернет решения»</t>
  </si>
  <si>
    <t>ДДС</t>
  </si>
  <si>
    <t>5593 ООО "АЛИДИ-НОРД"</t>
  </si>
  <si>
    <t>АЛИДИ НОРД</t>
  </si>
  <si>
    <t>ДДВ</t>
  </si>
  <si>
    <t>5594 ООО "САНГ"</t>
  </si>
  <si>
    <t>ДДУ</t>
  </si>
  <si>
    <t>5596 ООО "ТАЙДИ-СИТИ"</t>
  </si>
  <si>
    <t>ЖУРАВЛЕВ ПАВЕЛ</t>
  </si>
  <si>
    <t>5666 ООО "СОЮЗ-ТНП"</t>
  </si>
  <si>
    <t>МППР</t>
  </si>
  <si>
    <t>5793 ООО ПРЕДПРИЯТИЕ "АЛИДИ"</t>
  </si>
  <si>
    <t>АЛИДИ (ФУД СЕТИ)</t>
  </si>
  <si>
    <t>БИЛОУС ЕКАТЕРИНА</t>
  </si>
  <si>
    <t>ДСУ</t>
  </si>
  <si>
    <t>1019 ООО "УРАЛСЕРВИСЛЕС"</t>
  </si>
  <si>
    <t>1100 ООО "ТОМИК"</t>
  </si>
  <si>
    <t>1182 ООО"ИНСТРУМЕНТ-ЦЕНТР"</t>
  </si>
  <si>
    <t>1931 ИП Кокорин Сергей Александрович</t>
  </si>
  <si>
    <t>2903 ООО"ЛЕССНАБ"</t>
  </si>
  <si>
    <t>2988 ИП Чекалкин Алексей Валентинович</t>
  </si>
  <si>
    <t>2993 ООО "МЕГАМАСТЕР"</t>
  </si>
  <si>
    <t>2996 ООО"ИНИГС"</t>
  </si>
  <si>
    <t>3572 ИП Кербс Владимир Андреевич</t>
  </si>
  <si>
    <t>3755 ООО ТД "ИНСТРУМЕНТ СЕРВИС"</t>
  </si>
  <si>
    <t>3825 ИП Кузнецов Вадим Борисович</t>
  </si>
  <si>
    <t>4074 ИП Охапкина Ольга Анатольевна</t>
  </si>
  <si>
    <t>4605 ООО "ЛЕКАР - ИНСТРУМЕНТ"</t>
  </si>
  <si>
    <t>4621 ИП Мингалев Александр Викторович</t>
  </si>
  <si>
    <t>4626 ООО "УДТ - ЧЕЛЯБИНСК"</t>
  </si>
  <si>
    <t>4663 ИП Андреев Дмитрий Михайлович</t>
  </si>
  <si>
    <t>4668 ИП Апалькова Дарья Петровна</t>
  </si>
  <si>
    <t>4684 ИП Евграфов Сергей Петрович</t>
  </si>
  <si>
    <t>4793 ИП Долматов Рафаиль Фаильевич</t>
  </si>
  <si>
    <t>4831 ИП Князева Елена Алексеевна</t>
  </si>
  <si>
    <t>4846 ИП Выползов Владимир Григорьевич</t>
  </si>
  <si>
    <t>4953 ООО "ЗАПСИБИНЦЕНТР"</t>
  </si>
  <si>
    <t>5072 ООО «ЛИДЕРСТРОЙИНСТРУМЕНТ-ТТ»</t>
  </si>
  <si>
    <t>5183 ООО "ПРОМСНАБ"</t>
  </si>
  <si>
    <t>5288 ООО "ФОРМУЛА ИНСТРУМЕНТА"</t>
  </si>
  <si>
    <t>5717 ООО "АДЛИБ"</t>
  </si>
  <si>
    <t>5756 ИП Попов Михаил Иванович</t>
  </si>
  <si>
    <t>5764 ИП Луконина Анна Леонидовна</t>
  </si>
  <si>
    <t>5781 ИП Кабиров Фаукат Гимаевич</t>
  </si>
  <si>
    <t>6025 ООО "ЛИДЕР"</t>
  </si>
  <si>
    <t>6031 ИП Кокорин Иван Сергеевич</t>
  </si>
  <si>
    <t>ДСЦО</t>
  </si>
  <si>
    <t>1023 ООО "АГРОЭКСПО"</t>
  </si>
  <si>
    <t>ОРЛОВ КИРИЛЛ</t>
  </si>
  <si>
    <t>1219 ИП Голиков Николай Дмитриевич</t>
  </si>
  <si>
    <t>1397 ООО "ОРИОН-СЕРВИС"</t>
  </si>
  <si>
    <t>1434 ИП Ушакова Ирина Геннадьевна</t>
  </si>
  <si>
    <t>1465 ИП Голикова Елена Николаевна</t>
  </si>
  <si>
    <t>1492 ИП Ковалева Галина Юрьевна</t>
  </si>
  <si>
    <t>1647 ООО "ЗВОХ"</t>
  </si>
  <si>
    <t>1954 ООО "СИЕРРА"</t>
  </si>
  <si>
    <t>1957 ИП Рябов Игорь Владимирович</t>
  </si>
  <si>
    <t>1967 ООО "УДАРНИК"</t>
  </si>
  <si>
    <t>2111 ООО НТЦ "ПИК"</t>
  </si>
  <si>
    <t>2255 ООО "КОМИНТЕК-К"</t>
  </si>
  <si>
    <t>2340 ИП Никитин Юрий Николаевич</t>
  </si>
  <si>
    <t>2520 ИП Литвинов Игорь Евгеньевич</t>
  </si>
  <si>
    <t>2581 ООО "ОРГТЕХПРОМ"</t>
  </si>
  <si>
    <t>2588 ООО"АСТАРИ"</t>
  </si>
  <si>
    <t>2647 ИП Алексеев Вячеслав Александрович</t>
  </si>
  <si>
    <t>2652 ИП Бекренев Григорий Александрович</t>
  </si>
  <si>
    <t>2653 ИП Бекренева Алла Игоревна</t>
  </si>
  <si>
    <t>2676 ИП Лихачев Николай Николаевич</t>
  </si>
  <si>
    <t>2742 ООО "САДОВЫЕ МЕХАНИЗМЫ"</t>
  </si>
  <si>
    <t>2743 ИП Эйхельберг Виктор Викторович</t>
  </si>
  <si>
    <t>2792 ИП Баева Галина Егоровна</t>
  </si>
  <si>
    <t>2799 ООО "БАКАЛ-СЕРВИС"</t>
  </si>
  <si>
    <t>3713 ООО"ТЭМПО"</t>
  </si>
  <si>
    <t>3801 ИП Алексеев Александр Вячеславович</t>
  </si>
  <si>
    <t>3817 ООО "КОМПАНИЯ ИЛЛЕОН-СТРОЙ"</t>
  </si>
  <si>
    <t>3883 ИП Брынский Андрей Вячеславович</t>
  </si>
  <si>
    <t>3888 ООО "БАКАЛ"</t>
  </si>
  <si>
    <t>3984 ИП Красножёнов Сергей Владимирович</t>
  </si>
  <si>
    <t>4270 ООО "СЕРВИС-ТЕХНИКА-ОБОРУДОВАНИЕ"</t>
  </si>
  <si>
    <t>4272 ИП Машников Юрий Николаевич</t>
  </si>
  <si>
    <t>4636 ООО "БИГАМ-ИНВЕСТ"</t>
  </si>
  <si>
    <t>4672 ИП Бахчагулян Вардан Борисович</t>
  </si>
  <si>
    <t>4767 ИП Синицын Александр Александрович</t>
  </si>
  <si>
    <t>4772 ООО "КРЕАТИВ"</t>
  </si>
  <si>
    <t>4797 ООО"МОТОТЕХНИКА"</t>
  </si>
  <si>
    <t>4799 ООО  "ТУЛСО"</t>
  </si>
  <si>
    <t>4843 ИП Амиров Марат Магомедович</t>
  </si>
  <si>
    <t>4878 ООО "КОМПАНИЯ ТРАСКОМ"</t>
  </si>
  <si>
    <t>4897 ИП Баев Вячеслав Владимирович</t>
  </si>
  <si>
    <t>4900 ООО "ЮНИТЕХКОНТРАКТ"</t>
  </si>
  <si>
    <t>4912 ИП Давыдов Алексей Николаевич</t>
  </si>
  <si>
    <t>4922 ООО "МАЛЕНЬКИЕ МОТОРЫ"</t>
  </si>
  <si>
    <t>4934 ООО "ИМПЕРИЯ ИНСТРУМЕНТА"</t>
  </si>
  <si>
    <t>4935 ООО "МК-ЭНЕРГОСЕТ"</t>
  </si>
  <si>
    <t>4955 ООО "АГРОТЕХНИКА"</t>
  </si>
  <si>
    <t>4970 ИП Чистяков Иван Александрович</t>
  </si>
  <si>
    <t>4985 ИП Шаршонь Валерий Юльевич</t>
  </si>
  <si>
    <t>4991 ООО "АГРОСЕРВИС"</t>
  </si>
  <si>
    <t>5082 ИП Токарчук Екатерина Евгеньевна</t>
  </si>
  <si>
    <t>5170 ООО "ТЕХНОПРО"</t>
  </si>
  <si>
    <t>5176 ООО "ИНЖЕНЕРНЫЕ РЕШЕНИЯ"</t>
  </si>
  <si>
    <t>5192 ИП Милюшкин Анатолий Алексеевич</t>
  </si>
  <si>
    <t>5292 ООО "ТД ВЕКПРОМ"</t>
  </si>
  <si>
    <t>5707 ООО "КУПИ НА ДАЧУ"</t>
  </si>
  <si>
    <t>5712 ИП Кириленко Юрий Николаевич</t>
  </si>
  <si>
    <t>5722 ООО "ГК ИМПЕРИЯ ИНСТРУМЕНТА"</t>
  </si>
  <si>
    <t>5733 ООО "ОТК"</t>
  </si>
  <si>
    <t>5747 ИП Крылов Леонид Борисович</t>
  </si>
  <si>
    <t>5782 ИП Ковба Игорь Юрьевич</t>
  </si>
  <si>
    <t>5795 ИП Фельдман Елена Анатольевна</t>
  </si>
  <si>
    <t>5919 ООО "ПРОФПОСТАВКА"</t>
  </si>
  <si>
    <t>6024 ООО "ИНСТОРГ"</t>
  </si>
  <si>
    <t>6028 ИП Татаринова Антонина Кирилловна</t>
  </si>
  <si>
    <t>6029 ИП Квартальнов Александр Викторович</t>
  </si>
  <si>
    <t>6032 ООО «ИНКОМ»</t>
  </si>
  <si>
    <t>6034 ИП Ахметова Ксения Анатольевна</t>
  </si>
  <si>
    <t>6038 ООО "ДИЛЕКСИ"</t>
  </si>
  <si>
    <t>6052 ИП Дыдыкина Инна Александровна</t>
  </si>
  <si>
    <t>6129 ООО "БЕНЗОМАРКЕТ"</t>
  </si>
  <si>
    <t>6218 ООО "РЕГИОН СБЫТ"</t>
  </si>
  <si>
    <t>ДСЦК</t>
  </si>
  <si>
    <t>1036 ИП Шейко Надежда Васильевна</t>
  </si>
  <si>
    <t>КАШКИН ВЛАДИМИР</t>
  </si>
  <si>
    <t>1258 ИП Шуралева Надежда Ивановна</t>
  </si>
  <si>
    <t>1292 ИП Чирков Игорь Викторович</t>
  </si>
  <si>
    <t>1312 ИП Гусаров Александр Николаевич</t>
  </si>
  <si>
    <t>1379 ИП Петушков Леонид Анатольевич</t>
  </si>
  <si>
    <t>1425 ИП Грушина Марина Евгеньевна</t>
  </si>
  <si>
    <t>1497 ООО "ВЛАДИНТЕРЛЕС-ЦЕНТР"</t>
  </si>
  <si>
    <t>1929 ИП Скоков Максим Владимирович</t>
  </si>
  <si>
    <t>1995 ООО "СОФТЛЕС"</t>
  </si>
  <si>
    <t>2156 ИП Панфилов Сергей Евгеньевич</t>
  </si>
  <si>
    <t>2252 ИП Мотрук Вячеслав Петрович</t>
  </si>
  <si>
    <t>2593 ООО"ЗАКАТ-2"</t>
  </si>
  <si>
    <t>2745 ООО"ИНТЕР"</t>
  </si>
  <si>
    <t>2829 ООО "ИНСТРУМЕНТАЛЬНЫЙ МИР"</t>
  </si>
  <si>
    <t>2839 ООО "ИМКОМ-СЕРВИС"</t>
  </si>
  <si>
    <t>2899 ИП Бурчик Валерия Валентиновна</t>
  </si>
  <si>
    <t>3875 ООО "МАСТЕР-САД"</t>
  </si>
  <si>
    <t>3877 ООО"100 ПИЛ"</t>
  </si>
  <si>
    <t>3897 ООО"ВИРА"</t>
  </si>
  <si>
    <t>4266 ООО "АПЕЛЬСИНКА"</t>
  </si>
  <si>
    <t>4298 ООО "ВАШ ИНСТРУМЕНТ"</t>
  </si>
  <si>
    <t>4555 ООО ФИРМА "ВЛАДИМИР-ИНСТРУМЕНТ"</t>
  </si>
  <si>
    <t>4634 ООО"МАСТАК-СЕРВИС"</t>
  </si>
  <si>
    <t>4665 ИП Ивашкин Игорь Геннадьевич</t>
  </si>
  <si>
    <t>4673 ИП Чайковская Анна Михайловна</t>
  </si>
  <si>
    <t>4784 ООО "СЕЛЛЕР"</t>
  </si>
  <si>
    <t>4788 ООО"ЭЛБИ"</t>
  </si>
  <si>
    <t>4844 ООО "АВГУР"</t>
  </si>
  <si>
    <t>4879 ООО "РЕМСАД"</t>
  </si>
  <si>
    <t>4911 ООО "МАСТЕР-СЕРВИС"</t>
  </si>
  <si>
    <t>4917 ООО "РЕГИОН ТРЕЙД"</t>
  </si>
  <si>
    <t>4929 ООО "ТРЕЙД ЭКСПЕРТ"</t>
  </si>
  <si>
    <t>4959 ИП Шнайдер Илья Михайлович</t>
  </si>
  <si>
    <t>4962 ИП Кузнецова Наталья Павловна</t>
  </si>
  <si>
    <t>4973 ИП Батров Николай Александрович</t>
  </si>
  <si>
    <t>5068 ООО "ДЯДЬКО"</t>
  </si>
  <si>
    <t>5086 ИП Бабушкин Евгений Владимирович</t>
  </si>
  <si>
    <t>5087 ИП Новинская Дарья Игоревна</t>
  </si>
  <si>
    <t>5094 ИП Даньшин Александр Иванович</t>
  </si>
  <si>
    <t>5154 ООО "ТЕХНОЛОГИСТИКС"</t>
  </si>
  <si>
    <t>5225 ООО "ТЕРЦИЯ"</t>
  </si>
  <si>
    <t>5270 ООО "ПРОФ-ИНСТРУМЕНТЫ"</t>
  </si>
  <si>
    <t>5277 ООО "СИСТЕМНЫЙ СПЕЦИАЛИСТ"</t>
  </si>
  <si>
    <t>5735 ИП Бирюков Сергей Викторович</t>
  </si>
  <si>
    <t>5737 ООО "СНАБЖЕНИЕ 24"</t>
  </si>
  <si>
    <t>5916 ИП Федотов Алексей Сергеевич</t>
  </si>
  <si>
    <t>6079 ООО "ПРАЙМ"</t>
  </si>
  <si>
    <t>ДСП</t>
  </si>
  <si>
    <t>1117 ООО НПП "ЛЕСПРОМСЕРВИС"</t>
  </si>
  <si>
    <t>КОРНИЛИН ИЛЬЯ</t>
  </si>
  <si>
    <t>1307 ООО "АЛЬТУС"</t>
  </si>
  <si>
    <t>1329 ИП Тихонов Алексей Валерьевич</t>
  </si>
  <si>
    <t>2137 ООО "ИЖЛЕССЕРВИС"</t>
  </si>
  <si>
    <t>2382 ООО "СОДРУЖЕСТВО - 1"</t>
  </si>
  <si>
    <t>2631 ИП Бидненко Александр Станиславович</t>
  </si>
  <si>
    <t>2632 ИП Бидненко Людмила Андреевна</t>
  </si>
  <si>
    <t>2635 ООО "ПРОФПАРКСЕРВИС"</t>
  </si>
  <si>
    <t>2643 ООО "АРСЕНАЛ"</t>
  </si>
  <si>
    <t>2663 ИП Ащепкова Лидия Васильевна</t>
  </si>
  <si>
    <t>2664 ИП Ушкалов Дмитрий Славиевич</t>
  </si>
  <si>
    <t>2703 ИП Евдокимов Александр Сергеевич</t>
  </si>
  <si>
    <t>2706 ИП Кротов Анатолий Владимирович</t>
  </si>
  <si>
    <t>2709 ИП Тимошкин Сергей Николаевич</t>
  </si>
  <si>
    <t>2724 ООО "СПЕЦИАЛИСТ"</t>
  </si>
  <si>
    <t>2731 ООО "АГРОТОРГСЕРВИС"</t>
  </si>
  <si>
    <t>2840 ООО "ТМК ОПТТОРГ"</t>
  </si>
  <si>
    <t>2859 ИП Шихарев Андриан Олегович</t>
  </si>
  <si>
    <t>2862 ИП Ведехин Михаил Анатольевич</t>
  </si>
  <si>
    <t>2863 ИП Котков Сергей Юрьевич</t>
  </si>
  <si>
    <t>2871 ИП Федосеев Евгений Иванович</t>
  </si>
  <si>
    <t>2888 ООО ТК "ИНСТРУМЕНТ"</t>
  </si>
  <si>
    <t>2891 ИП Загребина Ольга Геннадьевна</t>
  </si>
  <si>
    <t>2962 ООО"ЭНТУЗИАСТ-С"</t>
  </si>
  <si>
    <t>3716 ИП Смирнов Олег Петрович</t>
  </si>
  <si>
    <t>3734 ИП Бустеряков Сергей Иванович</t>
  </si>
  <si>
    <t>3736 ИП Галиуллин Айрат Ренатович</t>
  </si>
  <si>
    <t>3738 ООО "ПРОФТУЛЗ"</t>
  </si>
  <si>
    <t>3752 ООО "ПРИЗМА"</t>
  </si>
  <si>
    <t>3776 ИП Касимов Руслан Нурисламович</t>
  </si>
  <si>
    <t>3822 ООО "АГРОТОРГ"</t>
  </si>
  <si>
    <t>3823 ООО "БЕНЗОИНСТРУМЕНТ"</t>
  </si>
  <si>
    <t>3829 ИП Захаров Игорь Анатольевич</t>
  </si>
  <si>
    <t>3830 ООО "ДРОВОСЕК"</t>
  </si>
  <si>
    <t>3866 ИП Рыгалов Сергей Викторович</t>
  </si>
  <si>
    <t>3873 ООО "ПРОФИНСТРУМЕНТ"</t>
  </si>
  <si>
    <t>3878 ИП Долгих Александр Павлович</t>
  </si>
  <si>
    <t>4327 ИП Хавронин Михаил Евгеньевич</t>
  </si>
  <si>
    <t>4330 ООО "СВОЙ ДОМ-НН"</t>
  </si>
  <si>
    <t>4517 ООО "СЕРВИС-ЛЕС"</t>
  </si>
  <si>
    <t>4556 ИП Стройло Николай Максимович</t>
  </si>
  <si>
    <t>4595 ООО "НАСОС-СЕРВИС"</t>
  </si>
  <si>
    <t>4632 ООО "ПРОГРЕСС-М"</t>
  </si>
  <si>
    <t>4659 ООО "СТРОЙ-ИНСТРУМЕНТ"</t>
  </si>
  <si>
    <t>4674 ИП Годунов Алексей Александрович</t>
  </si>
  <si>
    <t>4779 ИП Сибрин Олег Вячеславович</t>
  </si>
  <si>
    <t>4833 ООО "ТАНДЕМ СЕРВИС"</t>
  </si>
  <si>
    <t>4849 ООО "ТИТАН-СТРОЙ"</t>
  </si>
  <si>
    <t>4859 ИП Матюков Виталий Владимирович</t>
  </si>
  <si>
    <t>4860 ООО "БЕЛПТС"</t>
  </si>
  <si>
    <t>4880 ООО "ТЕХСНАБКОМПЛЕКТ"</t>
  </si>
  <si>
    <t>4920 ИП Васильев Сергей Анатольевич</t>
  </si>
  <si>
    <t>4964 ИП Шевелев Сергей Яковлевич</t>
  </si>
  <si>
    <t>4966 ИП Голубов Виталий Григорьевич</t>
  </si>
  <si>
    <t>4979 ООО «СТРОЙЛОН»</t>
  </si>
  <si>
    <t>4980 ИП Гордеев Александр Константинович</t>
  </si>
  <si>
    <t>4993 ООО "МЕГАФОРС"</t>
  </si>
  <si>
    <t>4994 ООО "ЛЕС ПАРК САД"</t>
  </si>
  <si>
    <t>5081 ООО "ТОРГОВО-СЕРВИСНЫЙ ЦЕНТР"</t>
  </si>
  <si>
    <t>5091 ИП Мурадян Станислав Сергеевич</t>
  </si>
  <si>
    <t>5166 ИП Поляков Сергей Петрович</t>
  </si>
  <si>
    <t>5272 ИП Никитина Наталья Владимировна</t>
  </si>
  <si>
    <t>5710 ООО "ТЕХНИКА БЕЛОГОРЬЯ"</t>
  </si>
  <si>
    <t>5719 ООО "ИНСТРУМЕНТ СЕРВИС"</t>
  </si>
  <si>
    <t>5729 ООО "РЕВАНШ"</t>
  </si>
  <si>
    <t>5739 ИП Спицин Владимир Викторович</t>
  </si>
  <si>
    <t>6037 ООО "ТД Арсенал"</t>
  </si>
  <si>
    <t>6146 ИП Матвеенко Вера Викторовна</t>
  </si>
  <si>
    <t>1175 ООО "ВОКА И К"</t>
  </si>
  <si>
    <t>1192 ИП Альбаева Гульсария Муталиповна</t>
  </si>
  <si>
    <t>1196 ООО "ЭКОЛАНД"</t>
  </si>
  <si>
    <t>1269 ИП Муромцев Алексей Александрович</t>
  </si>
  <si>
    <t>1365 ООО "КОМПАНИЯ "ИНСТРУМЕНТАЛ"</t>
  </si>
  <si>
    <t>1471 АО"ИНТЕРИНСТРУМЕНТ-КОМПЛЕКТСЕРВИС"</t>
  </si>
  <si>
    <t>1982 ИП Гаген Владимир Павлович</t>
  </si>
  <si>
    <t>1984 ИП Тельнов Владимир Александрович</t>
  </si>
  <si>
    <t>2172 ИП Стоценко Олег Леонидович</t>
  </si>
  <si>
    <t>2229 ООО "РОТОР"</t>
  </si>
  <si>
    <t>2354 ООО "ИК ЭНКОР"</t>
  </si>
  <si>
    <t>2577 ИП Шипилов Александр Юрьевич</t>
  </si>
  <si>
    <t>2609 ИП Сычев Сергей Иванович</t>
  </si>
  <si>
    <t>2732 ООО "АРСЕНАЛ"</t>
  </si>
  <si>
    <t>2785 ИП Проничкин Геннадий Владимирович</t>
  </si>
  <si>
    <t>2892 ООО "ДОМ И САД"</t>
  </si>
  <si>
    <t>2911 ИП Осипян Виктор Навасартович</t>
  </si>
  <si>
    <t>2912 ИП Лавриненко Татьяна Ивановна</t>
  </si>
  <si>
    <t>2927 ИП Сименихин Александр Владимирович</t>
  </si>
  <si>
    <t>2971 ИП Иванов Владислав Анатольевич</t>
  </si>
  <si>
    <t>2972 ООО "КАВИНТЕХСТРОЙ"</t>
  </si>
  <si>
    <t>3587 ООО "ЭТК"</t>
  </si>
  <si>
    <t>3641 ООО "ТВИНС"</t>
  </si>
  <si>
    <t>3684 ИП Мищенко Софья Валерьевна</t>
  </si>
  <si>
    <t>3687 ООО "ТЕХНИКА"</t>
  </si>
  <si>
    <t>3753 ИП Иушина Людмила Викторовна</t>
  </si>
  <si>
    <t>3765 ООО "ТЕХНОПАРК"</t>
  </si>
  <si>
    <t>3809 ИП Харченко Евгений Вадимович</t>
  </si>
  <si>
    <t>3838 ООО "ТД ПРОМКОМПЛЕКТ"</t>
  </si>
  <si>
    <t>3840 ООО "ДУМЕКО ВЕРКЦОЙГЕ"</t>
  </si>
  <si>
    <t>4301 ИП Сивцев Ростислав Николаевич</t>
  </si>
  <si>
    <t>4306 ООО "ТД "БАКАУТ"</t>
  </si>
  <si>
    <t>4586 ЗАО КПК "СТАВРОПОЛЬСТРОЙОПТОРГ"</t>
  </si>
  <si>
    <t>4587 ИП Курочкин Александр Викторович</t>
  </si>
  <si>
    <t>4588 ИП Губарьков Владимир Валентинович</t>
  </si>
  <si>
    <t>4593 ООО "КРОВЕЛЬНЫЕ СИСТЕМЫ"</t>
  </si>
  <si>
    <t>4661 ООО "ТЕХНО-ЮНИОН"</t>
  </si>
  <si>
    <t>4780 ООО "К-МТ"</t>
  </si>
  <si>
    <t>4782 ИП Чиркин Сергей Вячеславович</t>
  </si>
  <si>
    <t>4817 ООО "КАРАВАЙ"</t>
  </si>
  <si>
    <t>4865 ООО "ВОРК"</t>
  </si>
  <si>
    <t>4871 ИП Перхун Александр Викторович</t>
  </si>
  <si>
    <t>4876 ИП Голощук Александр Анатольевич</t>
  </si>
  <si>
    <t>4889 ООО "СК СЛАВЯНЕ"</t>
  </si>
  <si>
    <t>4898 ИП Сычев Дмитрий Александрович</t>
  </si>
  <si>
    <t>4899 ИП Самарченко Дмитрий Александрович</t>
  </si>
  <si>
    <t>4904 ООО "ТЕХНО СЕРВИС"</t>
  </si>
  <si>
    <t>4906 ИП Мизев Сергей Семенович</t>
  </si>
  <si>
    <t>4908 ООО "ЭВЕРЕСТ-СЕРВИС"</t>
  </si>
  <si>
    <t>4951 ООО "СТРОЙ-ОПТ"</t>
  </si>
  <si>
    <t>4981 ИП Стоценко Светлана Михайловна</t>
  </si>
  <si>
    <t>4986 ИП Сафонкин Владимир Петрович</t>
  </si>
  <si>
    <t>4998 ООО "Авгит-Инструмент"</t>
  </si>
  <si>
    <t>4999 ИП Голощук Дмитрий Александрович</t>
  </si>
  <si>
    <t>5071 ООО "ЭГОПЛАСТ"</t>
  </si>
  <si>
    <t>5079 ООО "ПРОФИТРЕЙДИНГ"</t>
  </si>
  <si>
    <t>5084 ООО "ВЕРСТАК"</t>
  </si>
  <si>
    <t>5099 ООО "ПОДНЕБЕСЬЕ-ЮГ"</t>
  </si>
  <si>
    <t>5186 ООО "КПД+"</t>
  </si>
  <si>
    <t>5610 ИП Камашина Евгения Михайловна</t>
  </si>
  <si>
    <t>5703 ИП Семенов Алексей Юрьевич</t>
  </si>
  <si>
    <t>5711 ООО "БАКАУТ-Н"</t>
  </si>
  <si>
    <t>5726 ООО "ЮГ-ТЕХНО"</t>
  </si>
  <si>
    <t>5757 ООО "БАКАУТ"</t>
  </si>
  <si>
    <t>5763 ООО "Д СЕРВИС"</t>
  </si>
  <si>
    <t>5791 ИП Павлов Евгений Александрович</t>
  </si>
  <si>
    <t>5920 ООО «ХОПЕР ИНСТРУМЕНТ»</t>
  </si>
  <si>
    <t>6039 ИП Баранов Виталий Сергеевич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</si>
  <si>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</si>
  <si>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</si>
  <si>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</si>
  <si>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</si>
  <si>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</si>
  <si>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</si>
  <si>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</si>
  <si>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</si>
  <si>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</si>
  <si>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</si>
  <si>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</si>
  <si>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</si>
  <si>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</si>
  <si>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</si>
  <si>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</si>
  <si>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</si>
  <si>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</si>
  <si>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</si>
  <si>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</si>
  <si>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</si>
  <si>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</si>
  <si>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</si>
  <si>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</si>
  <si>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</si>
  <si>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</si>
  <si>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</si>
  <si>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</si>
  <si>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</si>
  <si>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</si>
  <si>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</si>
  <si>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</si>
  <si>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</si>
  <si>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</si>
  <si>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</si>
  <si>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</si>
  <si>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</si>
  <si>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</si>
  <si>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</si>
  <si>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</si>
  <si>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</si>
  <si>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</si>
  <si>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</si>
  <si>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</si>
  <si>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</si>
  <si>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</si>
  <si>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</si>
  <si>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</si>
  <si>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</si>
  <si>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</si>
  <si>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</si>
  <si>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</si>
  <si>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</si>
  <si>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</si>
  <si>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</si>
  <si>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</si>
  <si>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</si>
  <si>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</si>
  <si>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</si>
  <si>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</si>
  <si>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</si>
  <si>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</si>
  <si>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</si>
  <si>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</si>
  <si>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</si>
  <si>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</si>
  <si>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</si>
  <si>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</si>
  <si>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</si>
  <si>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</si>
  <si>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</si>
  <si>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</si>
  <si>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</si>
  <si>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</si>
  <si>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</si>
  <si>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</si>
  <si>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</si>
  <si>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</si>
  <si>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</si>
  <si>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</si>
  <si>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</si>
  <si>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</si>
  <si>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</si>
  <si>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</si>
  <si>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</si>
  <si>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</si>
  <si>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</si>
  <si>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</si>
  <si>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</si>
  <si>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</si>
  <si>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</si>
  <si>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</si>
  <si>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</si>
  <si>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</si>
  <si>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</si>
  <si>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</si>
  <si>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</si>
  <si>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</si>
  <si>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</si>
  <si>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</si>
  <si>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</si>
  <si>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</si>
  <si>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</si>
  <si>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</si>
  <si>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</si>
  <si>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</si>
  <si>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</si>
  <si>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</si>
  <si>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</si>
  <si>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</si>
  <si>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</si>
  <si>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</si>
  <si>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</si>
  <si>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</si>
  <si>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</si>
  <si>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</si>
  <si>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</si>
  <si>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</si>
  <si>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</si>
  <si>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</si>
  <si>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</si>
  <si>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</si>
  <si>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</si>
  <si>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</si>
  <si>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</si>
  <si>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</si>
  <si>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</si>
  <si>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</si>
  <si>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</si>
  <si>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</si>
  <si>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</si>
  <si>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</si>
  <si>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</si>
  <si>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</si>
  <si>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</si>
  <si>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</si>
  <si>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</si>
  <si>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</si>
  <si>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</si>
  <si>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</si>
  <si>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</si>
  <si>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</si>
  <si>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</si>
  <si>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</si>
  <si>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</si>
  <si>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</si>
  <si>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</si>
  <si>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</si>
  <si>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</si>
  <si>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</si>
  <si>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</si>
  <si>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</si>
  <si>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</si>
  <si>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</si>
  <si>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</si>
  <si>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</si>
  <si>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</si>
  <si>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</si>
  <si>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</si>
  <si>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</si>
  <si>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</si>
  <si>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</si>
  <si>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</si>
  <si>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</si>
  <si>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</si>
  <si>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</si>
  <si>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</si>
  <si>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</si>
  <si>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</si>
  <si>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</si>
  <si>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</si>
  <si>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</si>
  <si>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</si>
  <si>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</si>
  <si>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</si>
  <si>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</si>
  <si>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</si>
  <si>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</si>
  <si>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</si>
  <si>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</si>
  <si>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</si>
  <si>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</si>
  <si>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</si>
  <si>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</si>
  <si>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</si>
  <si>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</si>
  <si>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</si>
  <si>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</si>
  <si>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</si>
  <si>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</si>
  <si>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</si>
  <si>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</si>
  <si>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</si>
  <si>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193</t>
  </si>
  <si>
    <t>194</t>
  </si>
  <si>
    <t>195</t>
  </si>
  <si>
    <t>196</t>
  </si>
  <si>
    <t>197</t>
  </si>
  <si>
    <t>198</t>
  </si>
  <si>
    <t>199</t>
  </si>
  <si>
    <t>200</t>
  </si>
  <si>
    <t>201</t>
  </si>
  <si>
    <t>202</t>
  </si>
  <si>
    <t>203</t>
  </si>
  <si>
    <t>204</t>
  </si>
  <si>
    <t>205</t>
  </si>
  <si>
    <t>206</t>
  </si>
  <si>
    <t>207</t>
  </si>
  <si>
    <t>208</t>
  </si>
  <si>
    <t>209</t>
  </si>
  <si>
    <t>210</t>
  </si>
  <si>
    <t>211</t>
  </si>
  <si>
    <t>212</t>
  </si>
  <si>
    <t>213</t>
  </si>
  <si>
    <t>214</t>
  </si>
  <si>
    <t>215</t>
  </si>
  <si>
    <t>216</t>
  </si>
  <si>
    <t>217</t>
  </si>
  <si>
    <t>218</t>
  </si>
  <si>
    <t>219</t>
  </si>
  <si>
    <t>220</t>
  </si>
  <si>
    <t>221</t>
  </si>
  <si>
    <t>222</t>
  </si>
  <si>
    <t>223</t>
  </si>
  <si>
    <t>224</t>
  </si>
  <si>
    <t>225</t>
  </si>
  <si>
    <t>226</t>
  </si>
  <si>
    <t>227</t>
  </si>
  <si>
    <t>228</t>
  </si>
  <si>
    <t>229</t>
  </si>
  <si>
    <t>230</t>
  </si>
  <si>
    <t>231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</si>
  <si>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</si>
  <si>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</si>
  <si>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</si>
  <si>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</si>
  <si>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</si>
  <si>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</si>
  <si>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</si>
  <si>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</si>
  <si>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</si>
  <si>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241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</si>
  <si>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</si>
  <si>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</si>
  <si>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</si>
  <si>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</si>
  <si>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</si>
  <si>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</si>
  <si>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</si>
  <si>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</si>
  <si>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</si>
  <si>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251</t>
  </si>
  <si>
    <t>252</t>
  </si>
  <si>
    <t>253</t>
  </si>
  <si>
    <t>254</t>
  </si>
  <si>
    <t>255</t>
  </si>
  <si>
    <t>256</t>
  </si>
  <si>
    <t>257</t>
  </si>
  <si>
    <t>258</t>
  </si>
  <si>
    <t>259</t>
  </si>
  <si>
    <t>260</t>
  </si>
  <si>
    <t>261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</si>
  <si>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</si>
  <si>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</si>
  <si>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</si>
  <si>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</si>
  <si>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</si>
  <si>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</si>
  <si>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</si>
  <si>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</si>
  <si>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</si>
  <si>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271</t>
  </si>
  <si>
    <t>272</t>
  </si>
  <si>
    <t>273</t>
  </si>
  <si>
    <t>274</t>
  </si>
  <si>
    <t>275</t>
  </si>
  <si>
    <t>276</t>
  </si>
  <si>
    <t>277</t>
  </si>
  <si>
    <t>278</t>
  </si>
  <si>
    <t>279</t>
  </si>
  <si>
    <t>280</t>
  </si>
  <si>
    <t>281</t>
  </si>
  <si>
    <t>282</t>
  </si>
  <si>
    <t>283</t>
  </si>
  <si>
    <t>284</t>
  </si>
  <si>
    <t>285</t>
  </si>
  <si>
    <t>286</t>
  </si>
  <si>
    <t>287</t>
  </si>
  <si>
    <t>288</t>
  </si>
  <si>
    <t>289</t>
  </si>
  <si>
    <t>290</t>
  </si>
  <si>
    <t>291</t>
  </si>
  <si>
    <t>292</t>
  </si>
  <si>
    <t>293</t>
  </si>
  <si>
    <t>294</t>
  </si>
  <si>
    <t>295</t>
  </si>
  <si>
    <t>296</t>
  </si>
  <si>
    <t>297</t>
  </si>
  <si>
    <t>298</t>
  </si>
  <si>
    <t>299</t>
  </si>
  <si>
    <t>300</t>
  </si>
  <si>
    <t>301</t>
  </si>
  <si>
    <t>302</t>
  </si>
  <si>
    <t>303</t>
  </si>
  <si>
    <t>304</t>
  </si>
  <si>
    <t>305</t>
  </si>
  <si>
    <t>306</t>
  </si>
  <si>
    <t>307</t>
  </si>
  <si>
    <t>308</t>
  </si>
  <si>
    <t>309</t>
  </si>
  <si>
    <t>310</t>
  </si>
  <si>
    <t>311</t>
  </si>
  <si>
    <t>312</t>
  </si>
  <si>
    <t>313</t>
  </si>
  <si>
    <t>314</t>
  </si>
  <si>
    <t>315</t>
  </si>
  <si>
    <t>316</t>
  </si>
  <si>
    <t>317</t>
  </si>
  <si>
    <t>318</t>
  </si>
  <si>
    <t>319</t>
  </si>
  <si>
    <t>320</t>
  </si>
  <si>
    <t>321</t>
  </si>
  <si>
    <t>322</t>
  </si>
  <si>
    <t>323</t>
  </si>
  <si>
    <t>324</t>
  </si>
  <si>
    <t>325</t>
  </si>
  <si>
    <t>326</t>
  </si>
  <si>
    <t>327</t>
  </si>
  <si>
    <t>328</t>
  </si>
  <si>
    <t>329</t>
  </si>
  <si>
    <t>330</t>
  </si>
  <si>
    <t>331</t>
  </si>
  <si>
    <t>332</t>
  </si>
  <si>
    <t>333</t>
  </si>
  <si>
    <t>334</t>
  </si>
  <si>
    <t>335</t>
  </si>
  <si>
    <t>336</t>
  </si>
  <si>
    <t>337</t>
  </si>
  <si>
    <t>338</t>
  </si>
  <si>
    <t>339</t>
  </si>
  <si>
    <t>340</t>
  </si>
  <si>
    <t>341</t>
  </si>
  <si>
    <t>342</t>
  </si>
  <si>
    <t>343</t>
  </si>
  <si>
    <t>344</t>
  </si>
  <si>
    <t>345</t>
  </si>
  <si>
    <t>346</t>
  </si>
  <si>
    <t>347</t>
  </si>
  <si>
    <t>348</t>
  </si>
  <si>
    <t>349</t>
  </si>
  <si>
    <t>350</t>
  </si>
  <si>
    <t>351</t>
  </si>
  <si>
    <t>352</t>
  </si>
  <si>
    <t>353</t>
  </si>
  <si>
    <t>354</t>
  </si>
  <si>
    <t>355</t>
  </si>
  <si>
    <t>356</t>
  </si>
  <si>
    <t>357</t>
  </si>
  <si>
    <t>358</t>
  </si>
  <si>
    <t>359</t>
  </si>
  <si>
    <t>360</t>
  </si>
  <si>
    <t>361</t>
  </si>
  <si>
    <t>362</t>
  </si>
  <si>
    <t>363</t>
  </si>
  <si>
    <t>364</t>
  </si>
  <si>
    <t>365</t>
  </si>
  <si>
    <t>366</t>
  </si>
  <si>
    <t>367</t>
  </si>
  <si>
    <t>368</t>
  </si>
  <si>
    <t>369</t>
  </si>
  <si>
    <t>370</t>
  </si>
  <si>
    <t>371</t>
  </si>
  <si>
    <t>372</t>
  </si>
  <si>
    <t>373</t>
  </si>
  <si>
    <t>374</t>
  </si>
  <si>
    <t>375</t>
  </si>
  <si>
    <t>376</t>
  </si>
  <si>
    <t>377</t>
  </si>
  <si>
    <t>378</t>
  </si>
  <si>
    <t>379</t>
  </si>
  <si>
    <t>380</t>
  </si>
  <si>
    <t>381</t>
  </si>
  <si>
    <t>382</t>
  </si>
  <si>
    <t>383</t>
  </si>
  <si>
    <t>384</t>
  </si>
  <si>
    <t>385</t>
  </si>
  <si>
    <t>386</t>
  </si>
  <si>
    <t>387</t>
  </si>
  <si>
    <t>388</t>
  </si>
  <si>
    <t>389</t>
  </si>
  <si>
    <t>390</t>
  </si>
  <si>
    <t>391</t>
  </si>
  <si>
    <t>392</t>
  </si>
  <si>
    <t>393</t>
  </si>
  <si>
    <t>394</t>
  </si>
  <si>
    <t>395</t>
  </si>
  <si>
    <t>396</t>
  </si>
  <si>
    <t>397</t>
  </si>
  <si>
    <t>398</t>
  </si>
  <si>
    <t>399</t>
  </si>
  <si>
    <t>400</t>
  </si>
  <si>
    <t>401</t>
  </si>
  <si>
    <t>402</t>
  </si>
  <si>
    <t>403</t>
  </si>
  <si>
    <t>404</t>
  </si>
  <si>
    <t>405</t>
  </si>
  <si>
    <t>406</t>
  </si>
  <si>
    <t>407</t>
  </si>
  <si>
    <t>408</t>
  </si>
  <si>
    <t>409</t>
  </si>
  <si>
    <t>410</t>
  </si>
  <si>
    <t>411</t>
  </si>
  <si>
    <t>412</t>
  </si>
  <si>
    <t>413</t>
  </si>
  <si>
    <t>414</t>
  </si>
  <si>
    <t>415</t>
  </si>
  <si>
    <t>416</t>
  </si>
  <si>
    <t>417</t>
  </si>
  <si>
    <t>418</t>
  </si>
  <si>
    <t>419</t>
  </si>
  <si>
    <t>420</t>
  </si>
  <si>
    <t>421</t>
  </si>
  <si>
    <t>422</t>
  </si>
  <si>
    <t>423</t>
  </si>
  <si>
    <t>424</t>
  </si>
  <si>
    <t>425</t>
  </si>
  <si>
    <t>426</t>
  </si>
  <si>
    <t>427</t>
  </si>
  <si>
    <t>428</t>
  </si>
  <si>
    <t>429</t>
  </si>
  <si>
    <t>430</t>
  </si>
  <si>
    <t>431</t>
  </si>
  <si>
    <t>432</t>
  </si>
  <si>
    <t>433</t>
  </si>
  <si>
    <t>434</t>
  </si>
  <si>
    <t>435</t>
  </si>
  <si>
    <t>436</t>
  </si>
  <si>
    <t>437</t>
  </si>
  <si>
    <t>438</t>
  </si>
  <si>
    <t>439</t>
  </si>
  <si>
    <t>ДДП</t>
  </si>
  <si>
    <t>ДДЦК</t>
  </si>
  <si>
    <t>ДДЦО</t>
  </si>
  <si>
    <t>СДК</t>
  </si>
  <si>
    <t>ПЕЛЕВИН ИЛЬЯ</t>
  </si>
  <si>
    <t>СДБ</t>
  </si>
  <si>
    <t>Доставка товара до склада покупателя по территории РФ бесплатно</t>
  </si>
  <si>
    <t xml:space="preserve">Дата обновления: </t>
  </si>
  <si>
    <t>Срок действия: до дополнительного уведомления</t>
  </si>
  <si>
    <t>141400, Московская область, г.Химки, ул. Ленинградская, владение 39, строение 6, помещение №ОВ02_04.Химки-Бизнес Парк".</t>
  </si>
  <si>
    <t>тел.: (495)797-2654, 797-2670, 797-2671, 797-2673;  факс: (495) 797-26-72</t>
  </si>
  <si>
    <t>Телефон «горячей линии»  8-800-200-1962,  www.GARDENA.ru</t>
  </si>
  <si>
    <r>
      <rPr>
        <b/>
        <sz val="12"/>
        <color rgb="FFFF0000"/>
        <rFont val="Calibri"/>
        <family val="2"/>
        <charset val="204"/>
        <scheme val="minor"/>
      </rPr>
      <t>* Товар в ограниченном кол-ве отмечен колонке X и выделен красным шрифтом</t>
    </r>
    <r>
      <rPr>
        <sz val="12"/>
        <rFont val="Calibri"/>
        <family val="2"/>
        <scheme val="minor"/>
      </rPr>
      <t xml:space="preserve">
</t>
    </r>
    <r>
      <rPr>
        <b/>
        <sz val="12"/>
        <color rgb="FF7030A0"/>
        <rFont val="Calibri"/>
        <family val="2"/>
        <charset val="204"/>
        <scheme val="minor"/>
      </rPr>
      <t>*Новые продукты 2020 г. имеют статус "Новинка" в колонке X и отмечены фиолетовым шрифтом</t>
    </r>
  </si>
  <si>
    <t>КАТЕГОРИЯ</t>
  </si>
  <si>
    <t>Фото продукта</t>
  </si>
  <si>
    <t>Продукт группа - название</t>
  </si>
  <si>
    <t>Артикул GARDENA</t>
  </si>
  <si>
    <t>Артикул предшествующего продукта (если есть)</t>
  </si>
  <si>
    <t>Описание</t>
  </si>
  <si>
    <t>РРЦ 2020, руб. с НДС</t>
  </si>
  <si>
    <t>EAN штуки</t>
  </si>
  <si>
    <t>страна производства</t>
  </si>
  <si>
    <t>единица измерения</t>
  </si>
  <si>
    <t>кол-во в мастер-паке</t>
  </si>
  <si>
    <t>Вес гросс штуки, финальный</t>
  </si>
  <si>
    <t>Вес нетто штуки, финальный</t>
  </si>
  <si>
    <t>Длина упаковки</t>
  </si>
  <si>
    <t>Ширина упаковки</t>
  </si>
  <si>
    <t>Высота упаковки</t>
  </si>
  <si>
    <t>Объем упаковки</t>
  </si>
  <si>
    <t>Кол-во штук на паллете</t>
  </si>
  <si>
    <t>Сертификация</t>
  </si>
  <si>
    <t>Гарантия</t>
  </si>
  <si>
    <t>РРЦ текущий</t>
  </si>
  <si>
    <t>DIY текущий</t>
  </si>
  <si>
    <t>=[РРЦ]</t>
  </si>
  <si>
    <t>Id</t>
  </si>
  <si>
    <t>Name</t>
  </si>
  <si>
    <t>выбрать значение</t>
  </si>
  <si>
    <t>Планирование бюджета/Обновление бюджета</t>
  </si>
  <si>
    <t>Планирование бюджета</t>
  </si>
  <si>
    <t>Campaign = 0</t>
  </si>
  <si>
    <t>Новый год</t>
  </si>
  <si>
    <t>Campaign != 0</t>
  </si>
  <si>
    <t>Бюджет 2020</t>
  </si>
  <si>
    <t>максмальный годовой бонус, %</t>
  </si>
  <si>
    <t>Decision, за выбранный год. По выбранному клиенту.
Там где Campaign = 0</t>
  </si>
  <si>
    <t>Если месяц закончился то decision</t>
  </si>
  <si>
    <t>Если не закончился, то бюджет</t>
  </si>
  <si>
    <t>Price</t>
  </si>
  <si>
    <t>Количество</t>
  </si>
  <si>
    <t>Годовой бонус</t>
  </si>
  <si>
    <t>Decision, за выбранный год. По выбранному клиенту.
Там где Campaign != 0</t>
  </si>
  <si>
    <t>справочник товаров</t>
  </si>
  <si>
    <t>формула</t>
  </si>
  <si>
    <t>формула, шт. умножить на STK руб</t>
  </si>
  <si>
    <t>формула
= GP% * NS</t>
  </si>
  <si>
    <t>формула = 1 - LC/NS</t>
  </si>
  <si>
    <t>формула
GS/Qty</t>
  </si>
  <si>
    <t>формула
= NS/Qty</t>
  </si>
  <si>
    <t>Справочник цен</t>
  </si>
  <si>
    <t>Формула</t>
  </si>
  <si>
    <t>сумма по  Quantity</t>
  </si>
  <si>
    <t>сумма по  Quantity в decision и qty в бюджете</t>
  </si>
  <si>
    <t>Заполнить вручную</t>
  </si>
  <si>
    <t>Процент изменения</t>
  </si>
  <si>
    <t>STK 2.5,  Eur</t>
  </si>
  <si>
    <t>Delta, %</t>
  </si>
  <si>
    <t>QTY Act, шт.</t>
  </si>
  <si>
    <t>GS, руб.</t>
  </si>
  <si>
    <t>NS, руб.</t>
  </si>
  <si>
    <t>LC, руб.</t>
  </si>
  <si>
    <t>GP value, руб.</t>
  </si>
  <si>
    <t>GP, %</t>
  </si>
  <si>
    <t xml:space="preserve">ИТОГО Прогноз за год, шт. </t>
  </si>
  <si>
    <t>ИТОГО Прогноз январь, шт.</t>
  </si>
  <si>
    <t>ИТОГО Прогноз февраль, шт.</t>
  </si>
  <si>
    <t>ИТОГО Прогноз март, шт.</t>
  </si>
  <si>
    <t>ИТОГО Прогноз апрель, шт.</t>
  </si>
  <si>
    <t>ИТОГО Прогноз май, шт.</t>
  </si>
  <si>
    <t>ИТОГО Прогноз июнь, шт.</t>
  </si>
  <si>
    <t>ИТОГО Прогноз июль, шт.</t>
  </si>
  <si>
    <t>ИТОГО Прогноз август, шт.</t>
  </si>
  <si>
    <t>ИТОГО Прогноз октябрь, шт.</t>
  </si>
  <si>
    <t>ИТОГО Прогноз ноябрь, шт.</t>
  </si>
  <si>
    <t>ИТОГО Прогноз декабрь, шт.</t>
  </si>
  <si>
    <t>ИТОГО GS за год, руб.</t>
  </si>
  <si>
    <t>ИТОГО GS январь, шт.</t>
  </si>
  <si>
    <t>ИТОГО GS февраль, шт.</t>
  </si>
  <si>
    <t>ИТОГО GS март, шт.</t>
  </si>
  <si>
    <t>ИТОГО GS апрель, шт.</t>
  </si>
  <si>
    <t>ИТОГО GS май, шт.</t>
  </si>
  <si>
    <t>ИТОГО GS июнь, шт.</t>
  </si>
  <si>
    <t>ИТОГО GS июль, шт.</t>
  </si>
  <si>
    <t>ИТОГО GS август, шт.</t>
  </si>
  <si>
    <t>ИТОГО GS октябрь, шт.</t>
  </si>
  <si>
    <t>ИТОГО GS ноябрь, шт.</t>
  </si>
  <si>
    <t>ИТОГО NS за год, руб.</t>
  </si>
  <si>
    <t>ИТОГО NS январь, шт.</t>
  </si>
  <si>
    <t>ИТОГО NS февраль, шт.</t>
  </si>
  <si>
    <t>ИТОГО NS март, шт.</t>
  </si>
  <si>
    <t>ИТОГО NS апрель, шт.</t>
  </si>
  <si>
    <t>ИТОГО NS май, шт.</t>
  </si>
  <si>
    <t>ИТОГО NS июнь, шт.</t>
  </si>
  <si>
    <t>ИТОГО NS июль, шт.</t>
  </si>
  <si>
    <t>ИТОГО NS август, шт.</t>
  </si>
  <si>
    <t>ИТОГО NS октябрь, шт.</t>
  </si>
  <si>
    <t>ИТОГО NS ноябрь, шт.</t>
  </si>
  <si>
    <t>ИТОГО LC за год, руб.</t>
  </si>
  <si>
    <t>ИТОГО LC январь, руб.</t>
  </si>
  <si>
    <t>ИТОГО LC февраль, руб.</t>
  </si>
  <si>
    <t>ИТОГО LC март, руб.</t>
  </si>
  <si>
    <t>ИТОГО LC апрель, руб.</t>
  </si>
  <si>
    <t>ИТОГО LC май, руб.</t>
  </si>
  <si>
    <t>ИТОГО LC июнь, руб.</t>
  </si>
  <si>
    <t>ИТОГО LC июль, руб.</t>
  </si>
  <si>
    <t>ИТОГО LC август, руб.</t>
  </si>
  <si>
    <t>ИТОГО LC октябрь, руб.</t>
  </si>
  <si>
    <t>ИТОГО LC ноябрь, руб.</t>
  </si>
  <si>
    <t>ИТОГО GP value за год, руб.</t>
  </si>
  <si>
    <t>ИТОГО GP value январь, руб.</t>
  </si>
  <si>
    <t>ИТОГО GP value февраль, руб.</t>
  </si>
  <si>
    <t>ИТОГО GP value март, руб.</t>
  </si>
  <si>
    <t>ИТОГО GP value апрель, руб.</t>
  </si>
  <si>
    <t>ИТОГО GP value май, руб.</t>
  </si>
  <si>
    <t>ИТОГО GP value июнь, руб.</t>
  </si>
  <si>
    <t>ИТОГО GP value июль, руб.</t>
  </si>
  <si>
    <t>ИТОГО GP value август, руб.</t>
  </si>
  <si>
    <t>ИТОГО GP value октябрь, руб.</t>
  </si>
  <si>
    <t>ИТОГО GP value ноябрь, руб.</t>
  </si>
  <si>
    <t>ИТОГО GP % за год</t>
  </si>
  <si>
    <t>ИТОГО GP % январь</t>
  </si>
  <si>
    <t>ИТОГО GP % февраль</t>
  </si>
  <si>
    <t>ИТОГО GP % март</t>
  </si>
  <si>
    <t>ИТОГО GP % апрель</t>
  </si>
  <si>
    <t>ИТОГО GP % май</t>
  </si>
  <si>
    <t>ИТОГО GP % июнь</t>
  </si>
  <si>
    <t>ИТОГО GP % июль</t>
  </si>
  <si>
    <t>ИТОГО GP % август</t>
  </si>
  <si>
    <t>ИТОГО GP % октябрь</t>
  </si>
  <si>
    <t>ИТОГО GP % ноябрь</t>
  </si>
  <si>
    <t>ИТОГО 2 net цена за год</t>
  </si>
  <si>
    <t>ИТОГО 2 net цена январь</t>
  </si>
  <si>
    <t>ИТОГО 2 net цена февраль</t>
  </si>
  <si>
    <t>ИТОГО 2 net цена март</t>
  </si>
  <si>
    <t>ИТОГО 2 net цена апрель</t>
  </si>
  <si>
    <t>ИТОГО 2 net цена май</t>
  </si>
  <si>
    <t>ИТОГО 2 net цена июнь</t>
  </si>
  <si>
    <t>ИТОГО 2 net цена июль</t>
  </si>
  <si>
    <t>ИТОГО 2 net цена август</t>
  </si>
  <si>
    <t>ИТОГО 2 net цена октябрь</t>
  </si>
  <si>
    <t>ИТОГО 2 net цена ноябрь</t>
  </si>
  <si>
    <t>ИТОГО 3 net цена за год</t>
  </si>
  <si>
    <t>ИТОГО 3 net цена январь</t>
  </si>
  <si>
    <t>ИТОГО 3 net цена февраль</t>
  </si>
  <si>
    <t>ИТОГО 3 net цена март</t>
  </si>
  <si>
    <t>ИТОГО 3 net цена апрель</t>
  </si>
  <si>
    <t>ИТОГО 3 net цена май</t>
  </si>
  <si>
    <t>ИТОГО 3 net цена июнь</t>
  </si>
  <si>
    <t>ИТОГО 3 net цена июль</t>
  </si>
  <si>
    <t>ИТОГО 3 net цена август</t>
  </si>
  <si>
    <t>ИТОГО 3 net цена октябрь</t>
  </si>
  <si>
    <t>ИТОГО 3 net цена ноябрь</t>
  </si>
  <si>
    <t>Price list цена, руб.</t>
  </si>
  <si>
    <t>Скидка от РРЦ, %</t>
  </si>
  <si>
    <t xml:space="preserve">Прогноз за год, шт. </t>
  </si>
  <si>
    <t>Прогноз январь, шт.</t>
  </si>
  <si>
    <t>Прогноз февраль, шт.</t>
  </si>
  <si>
    <t>Прогноз март, шт.</t>
  </si>
  <si>
    <t>Прогноз апрель, шт.</t>
  </si>
  <si>
    <t>Прогноз май, шт.</t>
  </si>
  <si>
    <t>Прогноз июнь, шт.</t>
  </si>
  <si>
    <t>Прогноз июль, шт.</t>
  </si>
  <si>
    <t>Прогноз август, шт.</t>
  </si>
  <si>
    <t>Прогноз октябрь, шт.</t>
  </si>
  <si>
    <t>Прогноз ноябрь, шт.</t>
  </si>
  <si>
    <t>Прогноз декабрь, шт.</t>
  </si>
  <si>
    <t>Отличие</t>
  </si>
  <si>
    <t>GS за год, руб.</t>
  </si>
  <si>
    <t>GS январь, руб.</t>
  </si>
  <si>
    <t>GS февраль, руб.</t>
  </si>
  <si>
    <t>GS март, руб.</t>
  </si>
  <si>
    <t>GS апрель, руб.</t>
  </si>
  <si>
    <t>GS май, руб.</t>
  </si>
  <si>
    <t>GS июнь, руб.</t>
  </si>
  <si>
    <t>GS июль, руб.</t>
  </si>
  <si>
    <t>GS август, руб.</t>
  </si>
  <si>
    <t>GS октябрь, руб.</t>
  </si>
  <si>
    <t>GS ноябрь, руб.</t>
  </si>
  <si>
    <t>NS за год, руб.</t>
  </si>
  <si>
    <t>NS январь, руб.</t>
  </si>
  <si>
    <t>NS февраль, руб.</t>
  </si>
  <si>
    <t>NS март, руб.</t>
  </si>
  <si>
    <t>NS апрель, руб.</t>
  </si>
  <si>
    <t>NS май, руб.</t>
  </si>
  <si>
    <t>NS июнь, руб.</t>
  </si>
  <si>
    <t>NS июль, руб.</t>
  </si>
  <si>
    <t>NS август, руб.</t>
  </si>
  <si>
    <t>NS октябрь, руб.</t>
  </si>
  <si>
    <t>NS ноябрь, руб.</t>
  </si>
  <si>
    <t>NS декабрь, шт.</t>
  </si>
  <si>
    <t>Промо цена, руб.</t>
  </si>
  <si>
    <t>скидка от Price list цены, %</t>
  </si>
  <si>
    <t xml:space="preserve">Промо прогноз за год, шт. </t>
  </si>
  <si>
    <t>Промо прогноз январь, шт.</t>
  </si>
  <si>
    <t>Промо прогноз февраль, шт.</t>
  </si>
  <si>
    <t>Промо прогноз март, шт.</t>
  </si>
  <si>
    <t>Промо прогноз апрель, шт.</t>
  </si>
  <si>
    <t>Промо прогноз май, шт.</t>
  </si>
  <si>
    <t>Промо прогноз июнь, шт.</t>
  </si>
  <si>
    <t>Промо прогноз июль, шт.</t>
  </si>
  <si>
    <t>Промо прогноз август, шт.</t>
  </si>
  <si>
    <t>Промо прогноз октябрь, шт.</t>
  </si>
  <si>
    <t>Промо прогноз ноябрь, шт.</t>
  </si>
  <si>
    <t>Промо прогноз декабрь, шт.</t>
  </si>
  <si>
    <t>Промо GS за год, руб.</t>
  </si>
  <si>
    <t>Промо GS январь, руб.</t>
  </si>
  <si>
    <t>Промо GS февраль, руб.</t>
  </si>
  <si>
    <t>Промо GS март, руб.</t>
  </si>
  <si>
    <t>Промо GS апрель, руб.</t>
  </si>
  <si>
    <t>Промо GS май, руб.</t>
  </si>
  <si>
    <t>Промо GS июнь, руб.</t>
  </si>
  <si>
    <t>Промо GS июль, руб.</t>
  </si>
  <si>
    <t>Промо GS август, руб.</t>
  </si>
  <si>
    <t>Промо GS октябрь, руб.</t>
  </si>
  <si>
    <t>Промо GS ноябрь, руб.</t>
  </si>
  <si>
    <t>Промо NS за год, руб.</t>
  </si>
  <si>
    <t>Промо NS январь, руб.</t>
  </si>
  <si>
    <t>Промо NS февраль, руб.</t>
  </si>
  <si>
    <t>Промо NS март, руб.</t>
  </si>
  <si>
    <t>Промо NS апрель, руб.</t>
  </si>
  <si>
    <t>Промо NS май, руб.</t>
  </si>
  <si>
    <t>Промо NS июнь, руб.</t>
  </si>
  <si>
    <t>Промо NS июль, руб.</t>
  </si>
  <si>
    <t>Промо NS август, руб.</t>
  </si>
  <si>
    <t>Промо NS октябрь, руб.</t>
  </si>
  <si>
    <t>Промо NS ноябрь, руб.</t>
  </si>
  <si>
    <t>РРЦ, руб.с НДС2</t>
  </si>
  <si>
    <t>Скидка от РРЦ, %6</t>
  </si>
  <si>
    <t>Промо GS декабрь, руб.</t>
  </si>
  <si>
    <t>Промо NS декабрь, руб.</t>
  </si>
  <si>
    <t>Прогноз декабрь, шт.2</t>
  </si>
  <si>
    <t>GS декабрь, руб.</t>
  </si>
  <si>
    <t>Прогноз ноябрь, шт.2</t>
  </si>
  <si>
    <t>Прогноз октябрь, шт.2</t>
  </si>
  <si>
    <t>Прогноз август, шт.2</t>
  </si>
  <si>
    <t>Прогноз июль, шт.2</t>
  </si>
  <si>
    <t>Прогноз июнь, шт.2</t>
  </si>
  <si>
    <t>Прогноз май, шт.2</t>
  </si>
  <si>
    <t>Прогноз апрель, шт.2</t>
  </si>
  <si>
    <t>Прогноз март, шт.2</t>
  </si>
  <si>
    <t>Прогноз февраль, шт.2</t>
  </si>
  <si>
    <t>Прогноз январь, шт.2</t>
  </si>
  <si>
    <t>Прогноз за год, шт.</t>
  </si>
  <si>
    <t>Price list цена, руб.2</t>
  </si>
  <si>
    <t>Delta, %2</t>
  </si>
  <si>
    <r>
      <rPr>
        <sz val="11"/>
        <color rgb="FFFF0000"/>
        <rFont val="Calibri"/>
        <family val="2"/>
        <charset val="204"/>
        <scheme val="minor"/>
      </rPr>
      <t>PricelistPriceTotal</t>
    </r>
    <r>
      <rPr>
        <sz val="11"/>
        <color theme="1"/>
        <rFont val="Calibri"/>
        <family val="2"/>
        <charset val="204"/>
        <scheme val="minor"/>
      </rPr>
      <t xml:space="preserve"> умножить на количество минус </t>
    </r>
    <r>
      <rPr>
        <sz val="11"/>
        <color rgb="FFFF0000"/>
        <rFont val="Calibri"/>
        <family val="2"/>
        <charset val="204"/>
        <scheme val="minor"/>
      </rPr>
      <t>Bonus</t>
    </r>
  </si>
  <si>
    <r>
      <t xml:space="preserve">берем </t>
    </r>
    <r>
      <rPr>
        <sz val="11"/>
        <color rgb="FFFF0000"/>
        <rFont val="Calibri"/>
        <family val="2"/>
        <charset val="204"/>
        <scheme val="minor"/>
      </rPr>
      <t>GS - процент годового бонуса</t>
    </r>
    <r>
      <rPr>
        <sz val="11"/>
        <color theme="1"/>
        <rFont val="Calibri"/>
        <family val="2"/>
        <charset val="204"/>
        <scheme val="minor"/>
      </rPr>
      <t xml:space="preserve"> (столбец С)</t>
    </r>
  </si>
  <si>
    <r>
      <rPr>
        <sz val="11"/>
        <color rgb="FFFF0000"/>
        <rFont val="Calibri"/>
        <family val="2"/>
        <charset val="204"/>
        <scheme val="minor"/>
      </rPr>
      <t>PricelistPriceTotal</t>
    </r>
    <r>
      <rPr>
        <sz val="11"/>
        <color theme="1"/>
        <rFont val="Calibri"/>
        <family val="2"/>
        <charset val="204"/>
        <scheme val="minor"/>
      </rPr>
      <t xml:space="preserve"> умножить на количество</t>
    </r>
  </si>
  <si>
    <r>
      <t xml:space="preserve">штуки умножить на промо </t>
    </r>
    <r>
      <rPr>
        <sz val="11"/>
        <color rgb="FFFF0000"/>
        <rFont val="Calibri"/>
        <family val="2"/>
        <charset val="204"/>
        <scheme val="minor"/>
      </rPr>
      <t>price list</t>
    </r>
    <r>
      <rPr>
        <sz val="11"/>
        <color theme="1"/>
        <rFont val="Calibri"/>
        <family val="2"/>
        <charset val="204"/>
        <scheme val="minor"/>
      </rPr>
      <t xml:space="preserve"> столбец EK</t>
    </r>
  </si>
  <si>
    <r>
      <rPr>
        <sz val="11"/>
        <color rgb="FFFF0000"/>
        <rFont val="Calibri"/>
        <family val="2"/>
        <charset val="204"/>
        <scheme val="minor"/>
      </rPr>
      <t xml:space="preserve">PricelistPriceTotal </t>
    </r>
    <r>
      <rPr>
        <sz val="11"/>
        <color theme="1"/>
        <rFont val="Calibri"/>
        <family val="2"/>
        <charset val="204"/>
        <scheme val="minor"/>
      </rPr>
      <t xml:space="preserve">умножить на количество минус </t>
    </r>
    <r>
      <rPr>
        <sz val="11"/>
        <color rgb="FFFF0000"/>
        <rFont val="Calibri"/>
        <family val="2"/>
        <charset val="204"/>
        <scheme val="minor"/>
      </rPr>
      <t>Bonus</t>
    </r>
  </si>
  <si>
    <r>
      <t xml:space="preserve">штуки умножить на </t>
    </r>
    <r>
      <rPr>
        <sz val="11"/>
        <color rgb="FFFF0000"/>
        <rFont val="Calibri"/>
        <family val="2"/>
        <charset val="204"/>
        <scheme val="minor"/>
      </rPr>
      <t>price list</t>
    </r>
  </si>
  <si>
    <t>ИТОГО 3 net цена декабрь</t>
  </si>
  <si>
    <t>ИТОГО 2 net цена декабрь</t>
  </si>
  <si>
    <t>ИТОГО GS декабрь, шт.2</t>
  </si>
  <si>
    <t>ИТОГО NS декабрь, шт.</t>
  </si>
  <si>
    <t>ИТОГО LC декабрь, руб.</t>
  </si>
  <si>
    <t>ИТОГО GP value декабрь, руб.</t>
  </si>
  <si>
    <t>ИТОГО GP % декабрь</t>
  </si>
  <si>
    <t>Promo Объем продаж февраль</t>
  </si>
  <si>
    <t>Promo Объем продаж март</t>
  </si>
  <si>
    <t>Promo Объем продаж апрель</t>
  </si>
  <si>
    <t>Promo Объем продаж июнь</t>
  </si>
  <si>
    <t>Promo Объем продаж июль</t>
  </si>
  <si>
    <t>Promo Объем продаж август</t>
  </si>
  <si>
    <t>Promo Объем продаж сентябрь</t>
  </si>
  <si>
    <t>Promo Объем продаж октябрь</t>
  </si>
  <si>
    <t>Promo Объем продаж ноябрь</t>
  </si>
  <si>
    <t>Promo Объем продаж декабрь</t>
  </si>
  <si>
    <t>Добавлено</t>
  </si>
  <si>
    <t>ИТОГО Прогноз сентябрь, шт.</t>
  </si>
  <si>
    <t>ИТОГО GS сентябрь, шт.</t>
  </si>
  <si>
    <t>ИТОГО NS сентябрь, шт.</t>
  </si>
  <si>
    <t>ИТОГО LC сентябрь, руб.</t>
  </si>
  <si>
    <t>ИТОГО GP value сентябрь, руб.</t>
  </si>
  <si>
    <t>ИТОГО GP % сентябрь</t>
  </si>
  <si>
    <t>ИТОГО 2 net цена сентябрь</t>
  </si>
  <si>
    <t>ИТОГО 3 net цена сентябрь</t>
  </si>
  <si>
    <t>Прогноз сентябрь, шт.</t>
  </si>
  <si>
    <t>Прогноз сентябрь, шт.2</t>
  </si>
  <si>
    <t>GS сентябрь, руб.</t>
  </si>
  <si>
    <t>NS сентябрь, руб.</t>
  </si>
  <si>
    <t>Промо прогноз сентябрь, шт.</t>
  </si>
  <si>
    <t>Промо GS сентябрь, руб.</t>
  </si>
  <si>
    <t>Промо NS сентябрь, руб.</t>
  </si>
  <si>
    <t>old</t>
  </si>
  <si>
    <t>SuperCategory</t>
  </si>
  <si>
    <t>SuperCategory Name ENG</t>
  </si>
  <si>
    <t>SuperCategory Name RUS</t>
  </si>
  <si>
    <t>Product group</t>
  </si>
  <si>
    <t>Product group name ENG</t>
  </si>
  <si>
    <t>Product group name RUS</t>
  </si>
  <si>
    <t>Subgroup</t>
  </si>
  <si>
    <t>W</t>
  </si>
  <si>
    <t>A</t>
  </si>
  <si>
    <t>Hand&amp;Cutting tools, Accessories</t>
  </si>
  <si>
    <t>Ручные и режущие инструменты, Аксессуары</t>
  </si>
  <si>
    <t>ALA_C</t>
  </si>
  <si>
    <t>Accessories, Wheeled Accessories</t>
  </si>
  <si>
    <t>Садовые аксессуары колесные</t>
  </si>
  <si>
    <t>Accessories, Manual, Accessories</t>
  </si>
  <si>
    <t>Садовые аксессуары ручные</t>
  </si>
  <si>
    <t>GLOVES</t>
  </si>
  <si>
    <t>Перчатки садовые</t>
  </si>
  <si>
    <t>SPREADER</t>
  </si>
  <si>
    <t>Разбрасыватели-сеялки</t>
  </si>
  <si>
    <t>BED EDGING</t>
  </si>
  <si>
    <t>Бордюры для клумб</t>
  </si>
  <si>
    <t>SPRAYER, MANUAL, PUMP</t>
  </si>
  <si>
    <t>Опрыскиватели ручные, помповые</t>
  </si>
  <si>
    <t>SPRING</t>
  </si>
  <si>
    <t>Пружины</t>
  </si>
  <si>
    <t>HANDLE</t>
  </si>
  <si>
    <t>Рукоятки</t>
  </si>
  <si>
    <t>Accessories, Manual, Cutting</t>
  </si>
  <si>
    <t>Режущие инструменты</t>
  </si>
  <si>
    <t>PRUNER, ANVIL</t>
  </si>
  <si>
    <t>Сучкорезы</t>
  </si>
  <si>
    <t>SECATEUR, ANVIL</t>
  </si>
  <si>
    <t>Секаторы</t>
  </si>
  <si>
    <t>HAND SAW</t>
  </si>
  <si>
    <t>Пилы ручные</t>
  </si>
  <si>
    <t>CHOPPER</t>
  </si>
  <si>
    <t>Топоры, колуны</t>
  </si>
  <si>
    <t>SHEAR, MANUAL</t>
  </si>
  <si>
    <t>Ножницы для травы механические</t>
  </si>
  <si>
    <t>HEDGE CLIPPER</t>
  </si>
  <si>
    <t>Ножницы для живой изгороди механические</t>
  </si>
  <si>
    <t>Accessories, Manual, Tools</t>
  </si>
  <si>
    <t>Ручные инструменты</t>
  </si>
  <si>
    <t>GARDEN TOOL SET</t>
  </si>
  <si>
    <t>Комплекты - насадки для комбисистемы и короткая рукоятка</t>
  </si>
  <si>
    <t>Насадки и длинные рукоятки для комбисистемы</t>
  </si>
  <si>
    <t>Насадки для ухода за газономи для комбисистемы</t>
  </si>
  <si>
    <t>PLANTER</t>
  </si>
  <si>
    <t>Ручные инструменты для высадки растений</t>
  </si>
  <si>
    <t>Ручные инструменты для уборки</t>
  </si>
  <si>
    <t>SNOW SHOVEL</t>
  </si>
  <si>
    <t>Зимние ручные инструменты</t>
  </si>
  <si>
    <t>Разбрасыватели-сеялки для зимы</t>
  </si>
  <si>
    <t>WEEDER</t>
  </si>
  <si>
    <t>Удалители сорняков</t>
  </si>
  <si>
    <t>SPADE</t>
  </si>
  <si>
    <t>Лопаты садовые</t>
  </si>
  <si>
    <t>ASP_C</t>
  </si>
  <si>
    <t>Accessories, Spare parts</t>
  </si>
  <si>
    <t>Зап.части для садовых аксессуаров (колесных, ручных, режущих)</t>
  </si>
  <si>
    <t>Lawn (Walk behind), Manual, Lawn mowers</t>
  </si>
  <si>
    <t>Барабанные газонокосилки механические</t>
  </si>
  <si>
    <t>LAWN MOWER, CYLINDER, MANUAL</t>
  </si>
  <si>
    <t>E</t>
  </si>
  <si>
    <t>H</t>
  </si>
  <si>
    <t>HandHeld (electric, battery) + spare parts</t>
  </si>
  <si>
    <t>Электрическая и аккумуляторная техника переносная + зап.части</t>
  </si>
  <si>
    <t>Grass&amp;Shrub shears, Battery</t>
  </si>
  <si>
    <t>Ножницы для травы и кустарников аккумуляторные</t>
  </si>
  <si>
    <t>SHEAR, BATTERY</t>
  </si>
  <si>
    <t>Electric, Batteries/Chargers</t>
  </si>
  <si>
    <t>Аккумуляторные батареи, зарядные устройства для аккумуляторных батарей</t>
  </si>
  <si>
    <t>CHARGER</t>
  </si>
  <si>
    <t>EEO_P</t>
  </si>
  <si>
    <t>Handheld, Electric, Blowers</t>
  </si>
  <si>
    <t>Воздуходувы электрические</t>
  </si>
  <si>
    <t>BLOWER, CORDED</t>
  </si>
  <si>
    <t>Handheld, Battery, Blowers</t>
  </si>
  <si>
    <t>Воздуходувы аккумуляторные</t>
  </si>
  <si>
    <t>BLOWER, BATTERY</t>
  </si>
  <si>
    <t>Handheld, Electric, Chainsaws</t>
  </si>
  <si>
    <t>Пилы электрические</t>
  </si>
  <si>
    <t>CHAINSAW, CORDED</t>
  </si>
  <si>
    <t>Handheld, Battery, Chainsaws</t>
  </si>
  <si>
    <t>Пилы аккумуляторные</t>
  </si>
  <si>
    <t>CHAINSAW, BATTERY</t>
  </si>
  <si>
    <t>Handheld, Electric, Hedgetrimmer</t>
  </si>
  <si>
    <t>Ножницы для живой изгороди электрические</t>
  </si>
  <si>
    <t>HEDGE TRIMMER, CORDED</t>
  </si>
  <si>
    <t>Handheld, Battery, Hedgetrimmer</t>
  </si>
  <si>
    <t>Ножницы для живой изгороди аккумуляторные</t>
  </si>
  <si>
    <t>HEDGE TRIMMER, BATTERY</t>
  </si>
  <si>
    <t>Handheld, Electric, Trimmer/ Brushcutter</t>
  </si>
  <si>
    <t>Триммеры электрические</t>
  </si>
  <si>
    <t>TRIMMER, CORDED</t>
  </si>
  <si>
    <t>Handheld, Battery, Trimmer/ Brushcutter</t>
  </si>
  <si>
    <t>Триммеры аккумуляторные</t>
  </si>
  <si>
    <t>TRIMMER, BATTERY</t>
  </si>
  <si>
    <t>AET_C</t>
  </si>
  <si>
    <t>Электрическая и аккумуляторная переносная техника + зап.части</t>
  </si>
  <si>
    <t>Handheld, Spare Parts</t>
  </si>
  <si>
    <t>Зап.части для электрической и аккумуляторной переносной техники</t>
  </si>
  <si>
    <t>BLADE-SET</t>
  </si>
  <si>
    <t>Сменные ножи и лезвия</t>
  </si>
  <si>
    <t>SPOOL &amp; LINE</t>
  </si>
  <si>
    <t>Сменные катушки с леской</t>
  </si>
  <si>
    <t>BAR &amp; CHAIN KIT</t>
  </si>
  <si>
    <t>Сменные цепи</t>
  </si>
  <si>
    <t>ACCESSORY BAG</t>
  </si>
  <si>
    <t>Сумки для хранения аксессуаров для садовой техники</t>
  </si>
  <si>
    <t>KIT</t>
  </si>
  <si>
    <t>Наборы аксессуаров</t>
  </si>
  <si>
    <t>SOCKET</t>
  </si>
  <si>
    <t>Муфты</t>
  </si>
  <si>
    <t>L</t>
  </si>
  <si>
    <t>Walk Behind (electric, battery) + spare parts</t>
  </si>
  <si>
    <t>Электрическая и аккумуляторная самоходная техника + зап.части</t>
  </si>
  <si>
    <t>Lawn, Battery, Lawn Mowers</t>
  </si>
  <si>
    <t>Газонокосилки аккумуляторные</t>
  </si>
  <si>
    <t>LAWN MOWER, BATTERY</t>
  </si>
  <si>
    <t>Lawn, Electric, Lawn mowers</t>
  </si>
  <si>
    <t>Газонокосилки электрические</t>
  </si>
  <si>
    <t>LAWN MOWER</t>
  </si>
  <si>
    <t>Lawn, Electric, Other Products</t>
  </si>
  <si>
    <t>Скарификаторы электрические, аккумуляторные</t>
  </si>
  <si>
    <t>SCARIFIER, TINE</t>
  </si>
  <si>
    <t>LOA_C</t>
  </si>
  <si>
    <t>Lawn, other accessories</t>
  </si>
  <si>
    <t>Аксессуары для газонокосилок и скарификаторов электрических, аккумуляторных</t>
  </si>
  <si>
    <t>Lawn (Walk behind), Spare Parts</t>
  </si>
  <si>
    <t>Зап.части для газонокосилок и скарификаторов электрических, аккумуляторных</t>
  </si>
  <si>
    <t>WWM_C</t>
  </si>
  <si>
    <t>O</t>
  </si>
  <si>
    <t>Pumps (electric, battery) + spare parts</t>
  </si>
  <si>
    <t>Насосы (электрические, аккумуляторные) + зап.части</t>
  </si>
  <si>
    <t>Other Brands</t>
  </si>
  <si>
    <t>Аксессуары для насосов</t>
  </si>
  <si>
    <t>HOSE CONNECTOR</t>
  </si>
  <si>
    <t>Коннекторы для шлангов</t>
  </si>
  <si>
    <t>OTH_C</t>
  </si>
  <si>
    <t>Other Sales Consumer</t>
  </si>
  <si>
    <t>OTH_P</t>
  </si>
  <si>
    <t>Other Sales Professional</t>
  </si>
  <si>
    <t>Watering, Battery, Pumps</t>
  </si>
  <si>
    <t>Насосное оборудование, аккумуляторное</t>
  </si>
  <si>
    <t>PUMP</t>
  </si>
  <si>
    <t>Насосы аккумуляторные</t>
  </si>
  <si>
    <t>Watering, Pumps</t>
  </si>
  <si>
    <t>PUMP, CORDED</t>
  </si>
  <si>
    <t>Насосы погружные электрические</t>
  </si>
  <si>
    <t>Насосы садовые электрические</t>
  </si>
  <si>
    <t>Станции бытового водоснабжения автоматические электрические</t>
  </si>
  <si>
    <t>Насосы напорные автоматические</t>
  </si>
  <si>
    <t>Насосы дренажные электрические</t>
  </si>
  <si>
    <t>SUCTION HOSE</t>
  </si>
  <si>
    <t>Шланги всасывающие</t>
  </si>
  <si>
    <t>TECHNICAL HOSE</t>
  </si>
  <si>
    <t>Шланги технические</t>
  </si>
  <si>
    <t>R</t>
  </si>
  <si>
    <t>Robotic&amp;Accsessories + spare parts for robotic</t>
  </si>
  <si>
    <t>Газонокосилки-роботы + зап.части</t>
  </si>
  <si>
    <t>Lawn, Robotic, Lawn mowers</t>
  </si>
  <si>
    <t>LAWN MOWER, ROBOTIC</t>
  </si>
  <si>
    <t>Robotic, Spare Parts</t>
  </si>
  <si>
    <t>Аксессуары для газонокосилок-роботов</t>
  </si>
  <si>
    <t>HOUSING</t>
  </si>
  <si>
    <t>Зап.части для газонокосилок-роботов</t>
  </si>
  <si>
    <t>MOWER BLADE</t>
  </si>
  <si>
    <t>Watering (mobile, sprinkler system&amp;MDS, Ponds)</t>
  </si>
  <si>
    <t>Оборудование для полива (мобильный, подземный и микропальные полив, пруды)</t>
  </si>
  <si>
    <t>Watering Mobile Attachments</t>
  </si>
  <si>
    <t>Наконечники для полива</t>
  </si>
  <si>
    <t>GARDEN SHOWER</t>
  </si>
  <si>
    <t>BRUSH</t>
  </si>
  <si>
    <t>Watering Mobile Hoses</t>
  </si>
  <si>
    <t>Садовые шланги</t>
  </si>
  <si>
    <t>GARDEN HOSE</t>
  </si>
  <si>
    <t>Базовая система полива (фитинги)</t>
  </si>
  <si>
    <t>Фитинги для шлангов</t>
  </si>
  <si>
    <t>PROMOTION SET</t>
  </si>
  <si>
    <t>Комплекты фитингов</t>
  </si>
  <si>
    <t>Система "Профи"</t>
  </si>
  <si>
    <t>Watering Mobile Sprinklers</t>
  </si>
  <si>
    <t>Дождеватели</t>
  </si>
  <si>
    <t>WATERING SET</t>
  </si>
  <si>
    <t>Watering Mobile Trolleys/ hose reels</t>
  </si>
  <si>
    <t>Тележки и катушки для шлангов</t>
  </si>
  <si>
    <t>WALL HOSE BRACKET</t>
  </si>
  <si>
    <t>Watering, Pond</t>
  </si>
  <si>
    <t>Оборудования для прудов</t>
  </si>
  <si>
    <t>POND HOSE</t>
  </si>
  <si>
    <t>WWS_C</t>
  </si>
  <si>
    <t>Watering Systems Controls</t>
  </si>
  <si>
    <t>Таймеры подачи воды</t>
  </si>
  <si>
    <t>TIMER</t>
  </si>
  <si>
    <t>WSP_C</t>
  </si>
  <si>
    <t>Watering Spare Parts</t>
  </si>
  <si>
    <t>Зап.части для оборудования для полива</t>
  </si>
  <si>
    <t>Watering Systems Sprinklersystem, MDS, SP</t>
  </si>
  <si>
    <t>Системы подземного и микрокапельного полива</t>
  </si>
  <si>
    <t>O-RING</t>
  </si>
  <si>
    <t>Комплекты аксессуаров для подземного и микрокапельного полива</t>
  </si>
  <si>
    <t>Система микрокапельного полива</t>
  </si>
  <si>
    <t>Система подземного полива</t>
  </si>
  <si>
    <t>old2</t>
  </si>
  <si>
    <t>Generic Name (long)3</t>
  </si>
  <si>
    <t>Суперкатегория</t>
  </si>
  <si>
    <t>Категория для прайс-листа дилеров</t>
  </si>
  <si>
    <t>Курс рубля к евро (RUB/EUR)</t>
  </si>
  <si>
    <t>Курс рубля к шведцским кронам (RUB/SEK)</t>
  </si>
  <si>
    <t>Курс евро к шведским кронам (EUR/SEK)</t>
  </si>
  <si>
    <t>00058-07.610.01</t>
  </si>
  <si>
    <t>00058-07.611.01</t>
  </si>
  <si>
    <t>00058-07.612.01</t>
  </si>
  <si>
    <t>00058-07.613.01</t>
  </si>
  <si>
    <t>00058-07.614.01</t>
  </si>
  <si>
    <t>00096-72.236.01</t>
  </si>
  <si>
    <t>00096-72.364.01</t>
  </si>
  <si>
    <t>00096-72.365.01</t>
  </si>
  <si>
    <t>08899-20.000.00</t>
  </si>
  <si>
    <t>04015-20.000.00</t>
  </si>
  <si>
    <t>04079-20.000.00</t>
  </si>
  <si>
    <t>05378-20.000.00</t>
  </si>
  <si>
    <t>08786-20.000.00</t>
  </si>
  <si>
    <t>09850-20.000.00</t>
  </si>
  <si>
    <t>09850-30.000.00</t>
  </si>
  <si>
    <t>09852-32.000.00</t>
  </si>
  <si>
    <t>09852-33.000.00</t>
  </si>
  <si>
    <t>09853-20.000.00</t>
  </si>
  <si>
    <t>09854-20.000.00</t>
  </si>
  <si>
    <t>09855-20.000.00</t>
  </si>
  <si>
    <t>09856-20.000.00</t>
  </si>
  <si>
    <t>09857-20.000.00</t>
  </si>
  <si>
    <t>09858-20.000.00</t>
  </si>
  <si>
    <t>09858-40.000.00</t>
  </si>
  <si>
    <t>08885-20.000.00</t>
  </si>
  <si>
    <t>08887-20.000.00</t>
  </si>
  <si>
    <t>08890-20.000.00</t>
  </si>
  <si>
    <t>08893-20.000.00</t>
  </si>
  <si>
    <t>08895-20.000.00</t>
  </si>
  <si>
    <t>08897-20.000.00</t>
  </si>
  <si>
    <t>08898-20.000.00</t>
  </si>
  <si>
    <t>08890-46.000.00</t>
  </si>
  <si>
    <t>08894-40.000.00</t>
  </si>
  <si>
    <t>09850-26.000.00</t>
  </si>
  <si>
    <t>09851-20.000.00</t>
  </si>
  <si>
    <t>09851-26.000.00</t>
  </si>
  <si>
    <t>09851-30.000.00</t>
  </si>
  <si>
    <t>09852-29.000.00</t>
  </si>
  <si>
    <t>00203-32.000.00</t>
  </si>
  <si>
    <t>00205-32.000.00</t>
  </si>
  <si>
    <t>00206-32.000.00</t>
  </si>
  <si>
    <t>00215-32.000.00</t>
  </si>
  <si>
    <t>00216-32.000.00</t>
  </si>
  <si>
    <t>00232-20.000.00</t>
  </si>
  <si>
    <t>03567-20.000.00</t>
  </si>
  <si>
    <t>03067-20.000.00</t>
  </si>
  <si>
    <t>03517-20.000.00</t>
  </si>
  <si>
    <t>00201-20.000.00</t>
  </si>
  <si>
    <t>00202-20.000.00</t>
  </si>
  <si>
    <t>00203-20.000.00</t>
  </si>
  <si>
    <t>00205-20.000.00</t>
  </si>
  <si>
    <t>00206-20.000.00</t>
  </si>
  <si>
    <t>00207-20.000.00</t>
  </si>
  <si>
    <t>00208-20.000.00</t>
  </si>
  <si>
    <t>00216-20.000.00</t>
  </si>
  <si>
    <t>00218-20.000.00</t>
  </si>
  <si>
    <t>00213-20.000.00</t>
  </si>
  <si>
    <t>00214-20.000.00</t>
  </si>
  <si>
    <t>00215-20.000.00</t>
  </si>
  <si>
    <t>00209-20.000.00</t>
  </si>
  <si>
    <t>00210-20.000.00</t>
  </si>
  <si>
    <t>00505-20.000.00</t>
  </si>
  <si>
    <t>00506-20.000.00</t>
  </si>
  <si>
    <t>00507-20.000.00</t>
  </si>
  <si>
    <t>00508-20.000.00</t>
  </si>
  <si>
    <t>05362-20.000.00</t>
  </si>
  <si>
    <t>05363-20.000.00</t>
  </si>
  <si>
    <t>05359-20.000.00</t>
  </si>
  <si>
    <t>05376-20.000.00</t>
  </si>
  <si>
    <t>05384-20.000.00</t>
  </si>
  <si>
    <t>05385-20.000.00</t>
  </si>
  <si>
    <t>05386-20.000.00</t>
  </si>
  <si>
    <t>05352-20.000.00</t>
  </si>
  <si>
    <t>05353-20.000.00</t>
  </si>
  <si>
    <t>05379-20.000.00</t>
  </si>
  <si>
    <t>00420-20.000.00</t>
  </si>
  <si>
    <t>00431-20.000.00</t>
  </si>
  <si>
    <t>00431-30.000.00</t>
  </si>
  <si>
    <t>00431-34.000.00</t>
  </si>
  <si>
    <t>00432-20.000.00</t>
  </si>
  <si>
    <t>00432-30.000.00</t>
  </si>
  <si>
    <t>00436-20.000.00</t>
  </si>
  <si>
    <t>00530-20.000.00</t>
  </si>
  <si>
    <t>00532-20.000.00</t>
  </si>
  <si>
    <t>00534-20.000.00</t>
  </si>
  <si>
    <t>00536-20.000.00</t>
  </si>
  <si>
    <t>00538-20.000.00</t>
  </si>
  <si>
    <t>00540-20.000.00</t>
  </si>
  <si>
    <t>00884-20.000.00</t>
  </si>
  <si>
    <t>00885-20.000.00</t>
  </si>
  <si>
    <t>00894-20.000.00</t>
  </si>
  <si>
    <t>00897-20.000.00</t>
  </si>
  <si>
    <t>00899-20.000.00</t>
  </si>
  <si>
    <t>00867-20.000.00</t>
  </si>
  <si>
    <t>00869-20.000.00</t>
  </si>
  <si>
    <t>00822-20.000.00</t>
  </si>
  <si>
    <t>00823-20.000.00</t>
  </si>
  <si>
    <t>00823-27.000.00</t>
  </si>
  <si>
    <t>00824-20.000.00</t>
  </si>
  <si>
    <t>00824-27.000.00</t>
  </si>
  <si>
    <t>00814-20.000.00</t>
  </si>
  <si>
    <t>00814-30.000.00</t>
  </si>
  <si>
    <t>00828-20.000.00</t>
  </si>
  <si>
    <t>00810-20.000.00</t>
  </si>
  <si>
    <t>00804-20.000.00</t>
  </si>
  <si>
    <t>00805-20.000.00</t>
  </si>
  <si>
    <t>00806-20.000.00</t>
  </si>
  <si>
    <t>00432-24.000.00</t>
  </si>
  <si>
    <t>00432-26.000.00</t>
  </si>
  <si>
    <t>03565-20.000.00</t>
  </si>
  <si>
    <t>11102-20.000.00</t>
  </si>
  <si>
    <t>11110-20.000.00</t>
  </si>
  <si>
    <t>11110-30.000.00</t>
  </si>
  <si>
    <t>11112-20.000.00</t>
  </si>
  <si>
    <t>11114-20.000.00</t>
  </si>
  <si>
    <t>11120-20.000.00</t>
  </si>
  <si>
    <t>11120-30.000.00</t>
  </si>
  <si>
    <t>11130-20.000.00</t>
  </si>
  <si>
    <t>11130-30.000.00</t>
  </si>
  <si>
    <t>11132-30.000.00</t>
  </si>
  <si>
    <t>11134-30.000.00</t>
  </si>
  <si>
    <t>11136-20.000.00</t>
  </si>
  <si>
    <t>11138-20.000.00</t>
  </si>
  <si>
    <t>11140-20.000.00</t>
  </si>
  <si>
    <t>11150-20.000.00</t>
  </si>
  <si>
    <t>11152-20.000.00</t>
  </si>
  <si>
    <t>11154-20.000.00</t>
  </si>
  <si>
    <t>11156-20.000.00</t>
  </si>
  <si>
    <t>11300-20.000.00</t>
  </si>
  <si>
    <t>11320-20.000.00</t>
  </si>
  <si>
    <t>11340-20.000.00</t>
  </si>
  <si>
    <t>11360-20.000.00</t>
  </si>
  <si>
    <t>11370-20.000.00</t>
  </si>
  <si>
    <t>11380-20.000.00</t>
  </si>
  <si>
    <t>11500-20.000.00</t>
  </si>
  <si>
    <t>11501-20.000.00</t>
  </si>
  <si>
    <t>11502-20.000.00</t>
  </si>
  <si>
    <t>11510-20.000.00</t>
  </si>
  <si>
    <t>11511-20.000.00</t>
  </si>
  <si>
    <t>11512-20.000.00</t>
  </si>
  <si>
    <t>11513-20.000.00</t>
  </si>
  <si>
    <t>11520-20.000.00</t>
  </si>
  <si>
    <t>11521-20.000.00</t>
  </si>
  <si>
    <t>11522-20.000.00</t>
  </si>
  <si>
    <t>11530-20.000.00</t>
  </si>
  <si>
    <t>11531-20.000.00</t>
  </si>
  <si>
    <t>11540-20.000.00</t>
  </si>
  <si>
    <t>11541-20.000.00</t>
  </si>
  <si>
    <t>00430-20.000.00</t>
  </si>
  <si>
    <t>00430-29.000.00</t>
  </si>
  <si>
    <t>00430-30.000.00</t>
  </si>
  <si>
    <t>00433-20.000.00</t>
  </si>
  <si>
    <t>00435-20.000.00</t>
  </si>
  <si>
    <t>00824-26.000.00</t>
  </si>
  <si>
    <t>05358-20.000.00</t>
  </si>
  <si>
    <t>05377-20.000.00</t>
  </si>
  <si>
    <t>11142-20.000.00</t>
  </si>
  <si>
    <t>00359-20.000.00</t>
  </si>
  <si>
    <t>08754-30.000.00</t>
  </si>
  <si>
    <t>08754-20.000.00</t>
  </si>
  <si>
    <t>08754-24.000.00</t>
  </si>
  <si>
    <t>08854-20.000.00</t>
  </si>
  <si>
    <t>08855-20.000.00</t>
  </si>
  <si>
    <t>08857-20.000.00</t>
  </si>
  <si>
    <t>08853-20.000.00</t>
  </si>
  <si>
    <t>08853-26.000.00</t>
  </si>
  <si>
    <t>08853-30.000.00</t>
  </si>
  <si>
    <t>08853-34.000.00</t>
  </si>
  <si>
    <t>08707-20.000.00</t>
  </si>
  <si>
    <t>08798-20.000.00</t>
  </si>
  <si>
    <t>08902-20.000.00</t>
  </si>
  <si>
    <t>08902-26.000.00</t>
  </si>
  <si>
    <t>08902-30.000.00</t>
  </si>
  <si>
    <t>08903-20.000.00</t>
  </si>
  <si>
    <t>08904-20.000.00</t>
  </si>
  <si>
    <t>08905-20.000.00</t>
  </si>
  <si>
    <t>08906-20.000.00</t>
  </si>
  <si>
    <t>12200-20.000.00</t>
  </si>
  <si>
    <t>08702-20.000.00</t>
  </si>
  <si>
    <t>08704-20.000.00</t>
  </si>
  <si>
    <t>08704-30.000.00</t>
  </si>
  <si>
    <t>08705-20.000.00</t>
  </si>
  <si>
    <t>00297-20.000.00</t>
  </si>
  <si>
    <t>00298-20.000.00</t>
  </si>
  <si>
    <t>00298-30.000.00</t>
  </si>
  <si>
    <t>08770-20.000.00</t>
  </si>
  <si>
    <t>08771-20.000.00</t>
  </si>
  <si>
    <t>08773-20.000.00</t>
  </si>
  <si>
    <t>12000-20.000.00</t>
  </si>
  <si>
    <t>12001-20.000.00</t>
  </si>
  <si>
    <t>08710-20.000.00</t>
  </si>
  <si>
    <t>12002-20.000.00</t>
  </si>
  <si>
    <t>12003-20.000.00</t>
  </si>
  <si>
    <t>12003-30.000.00</t>
  </si>
  <si>
    <t>12004-20.000.00</t>
  </si>
  <si>
    <t>12005-20.000.00</t>
  </si>
  <si>
    <t>12005-30.000.00</t>
  </si>
  <si>
    <t>12009-20.000.00</t>
  </si>
  <si>
    <t>12009-30.000.00</t>
  </si>
  <si>
    <t>12006-20.000.00</t>
  </si>
  <si>
    <t>12007-20.000.00</t>
  </si>
  <si>
    <t>12008-20.000.00</t>
  </si>
  <si>
    <t>12010-20.000.00</t>
  </si>
  <si>
    <t>12010-30.000.00</t>
  </si>
  <si>
    <t>00391-29.000.00</t>
  </si>
  <si>
    <t>00391-20.000.00</t>
  </si>
  <si>
    <t>00391-30.000.00</t>
  </si>
  <si>
    <t>00397-20.000.00</t>
  </si>
  <si>
    <t>00379-27.000.00</t>
  </si>
  <si>
    <t>00398-20.000.00</t>
  </si>
  <si>
    <t>00399-20.000.00</t>
  </si>
  <si>
    <t>00392-20.000.00</t>
  </si>
  <si>
    <t>00393-20.000.00</t>
  </si>
  <si>
    <t>00394-20.000.00</t>
  </si>
  <si>
    <t>00394-30.000.00</t>
  </si>
  <si>
    <t>00319-20.000.00</t>
  </si>
  <si>
    <t>00395-20.000.00</t>
  </si>
  <si>
    <t>08747-20.000.00</t>
  </si>
  <si>
    <t>08748-20.000.00</t>
  </si>
  <si>
    <t>00691-20.000.00</t>
  </si>
  <si>
    <t>08737-20.000.00</t>
  </si>
  <si>
    <t>08738-20.000.00</t>
  </si>
  <si>
    <t>08739-20.000.00</t>
  </si>
  <si>
    <t>08737-32.000.00</t>
  </si>
  <si>
    <t>08742-20.000.00</t>
  </si>
  <si>
    <t>08743-20.000.00</t>
  </si>
  <si>
    <t>08745-20.000.00</t>
  </si>
  <si>
    <t>08713-48.000.00</t>
  </si>
  <si>
    <t>08718-48.000.00</t>
  </si>
  <si>
    <t>08718-30.000.00</t>
  </si>
  <si>
    <t>08719-48.000.00</t>
  </si>
  <si>
    <t>08714-48.000.00</t>
  </si>
  <si>
    <t>08716-48.000.00</t>
  </si>
  <si>
    <t>08730-20.000.00</t>
  </si>
  <si>
    <t>08730-26.000.00</t>
  </si>
  <si>
    <t>08730-30.000.00</t>
  </si>
  <si>
    <t>08730-34.000.00</t>
  </si>
  <si>
    <t>08731-26.000.00</t>
  </si>
  <si>
    <t>08731-20.000.00</t>
  </si>
  <si>
    <t>08731-30.000.00</t>
  </si>
  <si>
    <t>08731-34.000.00</t>
  </si>
  <si>
    <t>08733-20.000.00</t>
  </si>
  <si>
    <t>08733-29.000.00</t>
  </si>
  <si>
    <t>08733-30.000.00</t>
  </si>
  <si>
    <t>08734-20.000.00</t>
  </si>
  <si>
    <t>08734-30.000.00</t>
  </si>
  <si>
    <t>08735-20.000.00</t>
  </si>
  <si>
    <t>08735-29.000.00</t>
  </si>
  <si>
    <t>08735-30.000.00</t>
  </si>
  <si>
    <t>12100-20.000.00</t>
  </si>
  <si>
    <t>12100-30.000.00</t>
  </si>
  <si>
    <t>08712-20.000.00</t>
  </si>
  <si>
    <t>08904-35.000.00</t>
  </si>
  <si>
    <t>12201-20.000.00</t>
  </si>
  <si>
    <t>12300-20.000.00</t>
  </si>
  <si>
    <t>12300-30.000.00</t>
  </si>
  <si>
    <t>12301-20.000.00</t>
  </si>
  <si>
    <t>12302-20.000.00</t>
  </si>
  <si>
    <t>12302-30.000.00</t>
  </si>
  <si>
    <t>12303-20.000.00</t>
  </si>
  <si>
    <t>12303-30.000.00</t>
  </si>
  <si>
    <t>12304-20.000.00</t>
  </si>
  <si>
    <t>12304-30.000.00</t>
  </si>
  <si>
    <t>12203-20.000.00</t>
  </si>
  <si>
    <t>12203-30.000.00</t>
  </si>
  <si>
    <t>12203-34.000.00</t>
  </si>
  <si>
    <t>00299-26.000.00</t>
  </si>
  <si>
    <t>00302-20.000.00</t>
  </si>
  <si>
    <t>00303-20.000.00</t>
  </si>
  <si>
    <t>00304-20.000.00</t>
  </si>
  <si>
    <t>00383-20.000.00</t>
  </si>
  <si>
    <t>08700-20.000.00</t>
  </si>
  <si>
    <t>08701-20.000.00</t>
  </si>
  <si>
    <t>08711-20.000.00</t>
  </si>
  <si>
    <t>08713-20.000.00</t>
  </si>
  <si>
    <t>08714-20.000.00</t>
  </si>
  <si>
    <t>08716-20.000.00</t>
  </si>
  <si>
    <t>08718-20.000.00</t>
  </si>
  <si>
    <t>08719-20.000.00</t>
  </si>
  <si>
    <t>08722-26.000.00</t>
  </si>
  <si>
    <t>08737-30.000.00</t>
  </si>
  <si>
    <t>08740-20.000.00</t>
  </si>
  <si>
    <t>08741-20.000.00</t>
  </si>
  <si>
    <t>08754-26.000.00</t>
  </si>
  <si>
    <t>08755-20.000.00</t>
  </si>
  <si>
    <t>08755-30.000.00</t>
  </si>
  <si>
    <t>08757-20.000.00</t>
  </si>
  <si>
    <t>08757-30.000.00</t>
  </si>
  <si>
    <t>08757-37.000.00</t>
  </si>
  <si>
    <t>08759-20.000.00</t>
  </si>
  <si>
    <t>08761-20.000.00</t>
  </si>
  <si>
    <t>08766-29.000.00</t>
  </si>
  <si>
    <t>08774-20.000.00</t>
  </si>
  <si>
    <t>08775-20.000.00</t>
  </si>
  <si>
    <t>08775-30.000.00</t>
  </si>
  <si>
    <t>08776-20.000.00</t>
  </si>
  <si>
    <t>08777-20.000.00</t>
  </si>
  <si>
    <t>08778-20.000.00</t>
  </si>
  <si>
    <t>08779-20.000.00</t>
  </si>
  <si>
    <t>08780-20.000.00</t>
  </si>
  <si>
    <t>08782-20.000.00</t>
  </si>
  <si>
    <t>08784-20.000.00</t>
  </si>
  <si>
    <t>08785-20.000.00</t>
  </si>
  <si>
    <t>08785-26.000.00</t>
  </si>
  <si>
    <t>08785-37.000.00</t>
  </si>
  <si>
    <t>08786-30.000.00</t>
  </si>
  <si>
    <t>08787-20.000.00</t>
  </si>
  <si>
    <t>08787-26.000.00</t>
  </si>
  <si>
    <t>08788-20.000.00</t>
  </si>
  <si>
    <t>08788-37.000.00</t>
  </si>
  <si>
    <t>08789-20.000.00</t>
  </si>
  <si>
    <t>08790-20.000.00</t>
  </si>
  <si>
    <t>08790-26.000.00</t>
  </si>
  <si>
    <t>08791-26.000.00</t>
  </si>
  <si>
    <t>08792-20.000.00</t>
  </si>
  <si>
    <t>08792-37.000.00</t>
  </si>
  <si>
    <t>08793-20.000.00</t>
  </si>
  <si>
    <t>08799-20.000.00</t>
  </si>
  <si>
    <t>08784-26.000.00</t>
  </si>
  <si>
    <t>08790-29.000.00</t>
  </si>
  <si>
    <t>08790-48.000.00</t>
  </si>
  <si>
    <t>08775-26.000.00</t>
  </si>
  <si>
    <t>08779-26.000.00</t>
  </si>
  <si>
    <t>08782-26.000.00</t>
  </si>
  <si>
    <t>08904-26.000.00</t>
  </si>
  <si>
    <t>08786-34.000.00</t>
  </si>
  <si>
    <t>012100-20.000.00</t>
  </si>
  <si>
    <t>012100-30.000.00</t>
  </si>
  <si>
    <t>03118-20.000.00</t>
  </si>
  <si>
    <t>03132-20.000.00</t>
  </si>
  <si>
    <t>03135-20.000.00</t>
  </si>
  <si>
    <t>03166-20.000.00</t>
  </si>
  <si>
    <t>03195-20.000.00</t>
  </si>
  <si>
    <t>03196-20.000.00</t>
  </si>
  <si>
    <t>03019-20.000.00</t>
  </si>
  <si>
    <t>03086-20.000.00</t>
  </si>
  <si>
    <t>03087-20.000.00</t>
  </si>
  <si>
    <t>03108-20.000.00</t>
  </si>
  <si>
    <t>03108-30.000.00</t>
  </si>
  <si>
    <t>03115-20.000.00</t>
  </si>
  <si>
    <t>03115-30.000.00</t>
  </si>
  <si>
    <t>03113-20.000.00</t>
  </si>
  <si>
    <t>03112-20.000.00</t>
  </si>
  <si>
    <t>03187-20.000.00</t>
  </si>
  <si>
    <t>03180-20.000.00</t>
  </si>
  <si>
    <t>03189-20.000.00</t>
  </si>
  <si>
    <t>03190-20.000.00</t>
  </si>
  <si>
    <t>03193-20.000.00</t>
  </si>
  <si>
    <t>03192-20.000.00</t>
  </si>
  <si>
    <t>03215-20.000.00</t>
  </si>
  <si>
    <t>03218-20.000.00</t>
  </si>
  <si>
    <t>03219-20.000.00</t>
  </si>
  <si>
    <t>03168-20.000.00</t>
  </si>
  <si>
    <t>03178-20.000.00</t>
  </si>
  <si>
    <t>03176-20.000.00</t>
  </si>
  <si>
    <t>03177-20.000.00</t>
  </si>
  <si>
    <t>03179-20.000.00</t>
  </si>
  <si>
    <t>03185-20.000.00</t>
  </si>
  <si>
    <t>03184-20.000.00</t>
  </si>
  <si>
    <t>03024-20.000.00</t>
  </si>
  <si>
    <t>03004-20.000.00</t>
  </si>
  <si>
    <t>03022-20.000.00</t>
  </si>
  <si>
    <t>03100-20.000.00</t>
  </si>
  <si>
    <t>03102-20.000.00</t>
  </si>
  <si>
    <t>03103-20.000.00</t>
  </si>
  <si>
    <t>03101-20.000.00</t>
  </si>
  <si>
    <t>03105-20.000.00</t>
  </si>
  <si>
    <t>03381-20.000.00</t>
  </si>
  <si>
    <t>03382-20.000.00</t>
  </si>
  <si>
    <t>03149-20.000.00</t>
  </si>
  <si>
    <t>03395-20.000.00</t>
  </si>
  <si>
    <t>03391-20.000.00</t>
  </si>
  <si>
    <t>03392-20.000.00</t>
  </si>
  <si>
    <t>03107-20.000.00</t>
  </si>
  <si>
    <t>03020-23.000.00</t>
  </si>
  <si>
    <t>03107-30.000.00</t>
  </si>
  <si>
    <t>03081-20.000.00</t>
  </si>
  <si>
    <t>03099-20.000.00</t>
  </si>
  <si>
    <t>03015-20.000.00</t>
  </si>
  <si>
    <t>03099-30.000.00</t>
  </si>
  <si>
    <t>03642-20.000.00</t>
  </si>
  <si>
    <t>03605-20.000.00</t>
  </si>
  <si>
    <t>03606-20.000.00</t>
  </si>
  <si>
    <t>03630-20.000.00</t>
  </si>
  <si>
    <t>03639-20.000.00</t>
  </si>
  <si>
    <t>03605-30.000.00</t>
  </si>
  <si>
    <t>03622-20.000.00</t>
  </si>
  <si>
    <t>03622-30.000.00</t>
  </si>
  <si>
    <t>03634-20.000.00</t>
  </si>
  <si>
    <t>03651-20.000.00</t>
  </si>
  <si>
    <t>03651-30.000.00</t>
  </si>
  <si>
    <t>03609-20.000.00</t>
  </si>
  <si>
    <t>03240-20.000.00</t>
  </si>
  <si>
    <t>03241-20.000.00</t>
  </si>
  <si>
    <t>03242-20.000.00</t>
  </si>
  <si>
    <t>03243-20.000.00</t>
  </si>
  <si>
    <t>03250-20.000.00</t>
  </si>
  <si>
    <t>03251-20.000.00</t>
  </si>
  <si>
    <t>03255-30.000.00</t>
  </si>
  <si>
    <t>03255-20.000.00</t>
  </si>
  <si>
    <t>03260-20.000.00</t>
  </si>
  <si>
    <t>03260-30.000.00</t>
  </si>
  <si>
    <t>17550-30.000.00</t>
  </si>
  <si>
    <t>17560-30.000.00</t>
  </si>
  <si>
    <t>08900-20.000.00</t>
  </si>
  <si>
    <t>03001-20.000.00</t>
  </si>
  <si>
    <t>08911-20.000.00</t>
  </si>
  <si>
    <t>08913-20.000.00</t>
  </si>
  <si>
    <t>08915-20.000.00</t>
  </si>
  <si>
    <t>08917-20.000.00</t>
  </si>
  <si>
    <t>08919-20.000.00</t>
  </si>
  <si>
    <t>08921-20.000.00</t>
  </si>
  <si>
    <t>08923-20.000.00</t>
  </si>
  <si>
    <t>08925-20.000.00</t>
  </si>
  <si>
    <t>08927-20.000.00</t>
  </si>
  <si>
    <t>08929-20.000.00</t>
  </si>
  <si>
    <t>03412-20.000.00</t>
  </si>
  <si>
    <t>03039-20.000.00</t>
  </si>
  <si>
    <t>03487-20.000.00</t>
  </si>
  <si>
    <t>08935-20.000.00</t>
  </si>
  <si>
    <t>08950-20.000.00</t>
  </si>
  <si>
    <t>08950-26.000.00</t>
  </si>
  <si>
    <t>08951-20.000.00</t>
  </si>
  <si>
    <t>08952-20.000.00</t>
  </si>
  <si>
    <t>08953-20.000.00</t>
  </si>
  <si>
    <t>08955-20.000.00</t>
  </si>
  <si>
    <t>08956-20.000.00</t>
  </si>
  <si>
    <t>08957-20.000.00</t>
  </si>
  <si>
    <t>08958-20.000.00</t>
  </si>
  <si>
    <t>08959-20.000.00</t>
  </si>
  <si>
    <t>08959-30.000.00</t>
  </si>
  <si>
    <t>08960-20.000.00</t>
  </si>
  <si>
    <t>08965-30.000.00</t>
  </si>
  <si>
    <t>08966-30.000.00</t>
  </si>
  <si>
    <t>08966-20.000.00</t>
  </si>
  <si>
    <t>08966-32.000.00</t>
  </si>
  <si>
    <t>08970-20.000.00</t>
  </si>
  <si>
    <t>08970-30.000.00</t>
  </si>
  <si>
    <t>08970-26.000.00</t>
  </si>
  <si>
    <t>08974-20.000.00</t>
  </si>
  <si>
    <t>08967-20.000.00</t>
  </si>
  <si>
    <t>08967-30.000.00</t>
  </si>
  <si>
    <t>08967-32.000.00</t>
  </si>
  <si>
    <t>17000-20.000.00</t>
  </si>
  <si>
    <t>17000-30.000.00</t>
  </si>
  <si>
    <t>17001-20.000.00</t>
  </si>
  <si>
    <t>17002-20.000.00</t>
  </si>
  <si>
    <t>17010-20.000.00</t>
  </si>
  <si>
    <t>17010-30.000.00</t>
  </si>
  <si>
    <t>17011-20.000.00</t>
  </si>
  <si>
    <t>17012-20.000.00</t>
  </si>
  <si>
    <t>17013-20.000.00</t>
  </si>
  <si>
    <t>17020-20.000.00</t>
  </si>
  <si>
    <t>17020-30.000.00</t>
  </si>
  <si>
    <t>17050-20.000.00</t>
  </si>
  <si>
    <t>17051-20.000.00</t>
  </si>
  <si>
    <t>03745-20.000.00</t>
  </si>
  <si>
    <t>03734-20.000.00</t>
  </si>
  <si>
    <t>03713-20.000.00</t>
  </si>
  <si>
    <t>03715-20.000.00</t>
  </si>
  <si>
    <t>03723-20.000.00</t>
  </si>
  <si>
    <t>03725-20.000.00</t>
  </si>
  <si>
    <t>03728-20.000.00</t>
  </si>
  <si>
    <t>03720-20.000.00</t>
  </si>
  <si>
    <t>03721-20.000.00</t>
  </si>
  <si>
    <t>03719-20.000.00</t>
  </si>
  <si>
    <t>03500-20.000.00</t>
  </si>
  <si>
    <t>03501-20.000.00</t>
  </si>
  <si>
    <t>03503-20.000.00</t>
  </si>
  <si>
    <t>17105-20.000.00</t>
  </si>
  <si>
    <t>17105-30.000.00</t>
  </si>
  <si>
    <t>17106-20.000.00</t>
  </si>
  <si>
    <t>17106-30.000.00</t>
  </si>
  <si>
    <t>17107-20.000.00</t>
  </si>
  <si>
    <t>17108-20.000.00</t>
  </si>
  <si>
    <t>17109-20.000.00</t>
  </si>
  <si>
    <t>17110-20.000.00</t>
  </si>
  <si>
    <t>17111-20.000.00</t>
  </si>
  <si>
    <t>17111-30.000.00</t>
  </si>
  <si>
    <t>17112-20.000.00</t>
  </si>
  <si>
    <t>17100-20.000.00</t>
  </si>
  <si>
    <t>17150-20.000.00</t>
  </si>
  <si>
    <t>17151-20.000.00</t>
  </si>
  <si>
    <t>17152-20.000.00</t>
  </si>
  <si>
    <t>17153-20.000.00</t>
  </si>
  <si>
    <t>17154-20.000.00</t>
  </si>
  <si>
    <t>17200-20.000.00</t>
  </si>
  <si>
    <t>17201-20.000.00</t>
  </si>
  <si>
    <t>17202-20.000.00</t>
  </si>
  <si>
    <t>17203-20.000.00</t>
  </si>
  <si>
    <t>17204-20.000.00</t>
  </si>
  <si>
    <t>17205-20.000.00</t>
  </si>
  <si>
    <t>03120-20.000.00</t>
  </si>
  <si>
    <t>03120-30.000.00</t>
  </si>
  <si>
    <t>08909-20.000.00</t>
  </si>
  <si>
    <t>08944-30.000.00</t>
  </si>
  <si>
    <t>08950-35.000.00</t>
  </si>
  <si>
    <t>08964-30.000.00</t>
  </si>
  <si>
    <t>08964-60.000.00</t>
  </si>
  <si>
    <t>03165-20.000.00</t>
  </si>
  <si>
    <t>03518-20.000.00</t>
  </si>
  <si>
    <t>03607-20.000.00</t>
  </si>
  <si>
    <t>03607-30.000.00</t>
  </si>
  <si>
    <t>03608-20.000.00</t>
  </si>
  <si>
    <t>03017-27.000.00</t>
  </si>
  <si>
    <t>03059-20.000.00</t>
  </si>
  <si>
    <t>03068-20.000.00</t>
  </si>
  <si>
    <t>03085-20.000.00</t>
  </si>
  <si>
    <t>03104-20.000.00</t>
  </si>
  <si>
    <t>03110-20.000.00</t>
  </si>
  <si>
    <t>03110-30.000.00</t>
  </si>
  <si>
    <t>03478-20.000.00</t>
  </si>
  <si>
    <t>03516-20.000.00</t>
  </si>
  <si>
    <t>03610-20.000.00</t>
  </si>
  <si>
    <t>03621-20.000.00</t>
  </si>
  <si>
    <t>03621-30.000.00</t>
  </si>
  <si>
    <t>03633-20.000.00</t>
  </si>
  <si>
    <t>03650-20.000.00</t>
  </si>
  <si>
    <t>03711-20.000.00</t>
  </si>
  <si>
    <t>03712-20.000.00</t>
  </si>
  <si>
    <t>03771-20.000.00</t>
  </si>
  <si>
    <t>03771-24.000.00</t>
  </si>
  <si>
    <t>03772-20.000.00</t>
  </si>
  <si>
    <t>03772-24.000.00</t>
  </si>
  <si>
    <t>03773-20.000.00</t>
  </si>
  <si>
    <t>03773-24.000.00</t>
  </si>
  <si>
    <t>03781-20.000.00</t>
  </si>
  <si>
    <t>03781-24.000.00</t>
  </si>
  <si>
    <t>03786-20.000.00</t>
  </si>
  <si>
    <t>05671-20.000.00</t>
  </si>
  <si>
    <t>08910-20.000.00</t>
  </si>
  <si>
    <t>08912-20.000.00</t>
  </si>
  <si>
    <t>08914-20.000.00</t>
  </si>
  <si>
    <t>08916-20.000.00</t>
  </si>
  <si>
    <t>08918-20.000.00</t>
  </si>
  <si>
    <t>08920-20.000.00</t>
  </si>
  <si>
    <t>08922-20.000.00</t>
  </si>
  <si>
    <t>08924-20.000.00</t>
  </si>
  <si>
    <t>08926-20.000.00</t>
  </si>
  <si>
    <t>08928-20.000.00</t>
  </si>
  <si>
    <t>08930-20.000.00</t>
  </si>
  <si>
    <t>08931-20.000.00</t>
  </si>
  <si>
    <t>08932-20.000.00</t>
  </si>
  <si>
    <t>08936-20.000.00</t>
  </si>
  <si>
    <t>08937-20.000.00</t>
  </si>
  <si>
    <t>08938-20.000.00</t>
  </si>
  <si>
    <t>08939-20.000.00</t>
  </si>
  <si>
    <t>08940-20.000.00</t>
  </si>
  <si>
    <t>08941-20.000.00</t>
  </si>
  <si>
    <t>08942-20.000.00</t>
  </si>
  <si>
    <t>08943-20.000.00</t>
  </si>
  <si>
    <t>03085-46.000.00</t>
  </si>
  <si>
    <t>03242-40.000.00</t>
  </si>
  <si>
    <t>03230-20.000.00</t>
  </si>
  <si>
    <t>09839-20.000.00</t>
  </si>
  <si>
    <t>08832-20.000.00</t>
  </si>
  <si>
    <t>08833-20.000.00</t>
  </si>
  <si>
    <t>09845-20.000.00</t>
  </si>
  <si>
    <t>08836-20.000.00</t>
  </si>
  <si>
    <t>08837-20.000.00</t>
  </si>
  <si>
    <t>08834-20.000.00</t>
  </si>
  <si>
    <t>09840-20.000.00</t>
  </si>
  <si>
    <t>08831-20.000.00</t>
  </si>
  <si>
    <t>09842-20.000.00</t>
  </si>
  <si>
    <t>09843-20.000.00</t>
  </si>
  <si>
    <t>09332-20.000.00</t>
  </si>
  <si>
    <t>09334-20.000.00</t>
  </si>
  <si>
    <t>09341-20.000.00</t>
  </si>
  <si>
    <t>09341-55.000.00</t>
  </si>
  <si>
    <t>09335-20.000.00</t>
  </si>
  <si>
    <t>09335-55.000.00</t>
  </si>
  <si>
    <t>09339-20.000.00</t>
  </si>
  <si>
    <t>09340-20.000.00</t>
  </si>
  <si>
    <t>09360-20.000.00</t>
  </si>
  <si>
    <t>09360-55.000.00</t>
  </si>
  <si>
    <t>14800-20.000.00</t>
  </si>
  <si>
    <t>14800-31.000.00</t>
  </si>
  <si>
    <t>14800-34.000.00</t>
  </si>
  <si>
    <t>14800-55.000.00</t>
  </si>
  <si>
    <t>09338-20.000.00</t>
  </si>
  <si>
    <t>09338-55.000.00</t>
  </si>
  <si>
    <t>08868-20.000.00</t>
  </si>
  <si>
    <t>08866-20.000.00</t>
  </si>
  <si>
    <t>08866-55.000.00</t>
  </si>
  <si>
    <t>08867-20.000.00</t>
  </si>
  <si>
    <t>09830-20.000.00</t>
  </si>
  <si>
    <t>09831-20.000.00</t>
  </si>
  <si>
    <t>09831-33.000.00</t>
  </si>
  <si>
    <t>09831-34.000.00</t>
  </si>
  <si>
    <t>09832-20.000.00</t>
  </si>
  <si>
    <t>09835-20.000.00</t>
  </si>
  <si>
    <t>08883-20.000.00</t>
  </si>
  <si>
    <t>09833-20.000.00</t>
  </si>
  <si>
    <t>09834-20.000.00</t>
  </si>
  <si>
    <t>08870-20.000.00</t>
  </si>
  <si>
    <t>08871-20.000.00</t>
  </si>
  <si>
    <t>08880-20.000.00</t>
  </si>
  <si>
    <t>08874-20.000.00</t>
  </si>
  <si>
    <t>09837-20.000.00</t>
  </si>
  <si>
    <t>09838-20.000.00</t>
  </si>
  <si>
    <t>09837-55.000.00</t>
  </si>
  <si>
    <t>09838-55.000.00</t>
  </si>
  <si>
    <t>09860-20.000.00</t>
  </si>
  <si>
    <t>09860-55.000.00</t>
  </si>
  <si>
    <t>09836-20.000.00</t>
  </si>
  <si>
    <t>08881-20.000.00</t>
  </si>
  <si>
    <t>08881-55.000.00</t>
  </si>
  <si>
    <t>08872-20.000.00</t>
  </si>
  <si>
    <t>08877-20.000.00</t>
  </si>
  <si>
    <t>08877-55.000.00</t>
  </si>
  <si>
    <t>09805-29.000.00</t>
  </si>
  <si>
    <t>09805-20.000.00</t>
  </si>
  <si>
    <t>09806-20.000.00</t>
  </si>
  <si>
    <t>09806-42.000.00</t>
  </si>
  <si>
    <t>09870-20.000.00</t>
  </si>
  <si>
    <t>09872-20.000.00</t>
  </si>
  <si>
    <t>09874-20.000.00</t>
  </si>
  <si>
    <t>09824-20.000.00</t>
  </si>
  <si>
    <t>08845-29.000.00</t>
  </si>
  <si>
    <t>09807-20.000.00</t>
  </si>
  <si>
    <t>09808-20.000.00</t>
  </si>
  <si>
    <t>09808-40.000.00</t>
  </si>
  <si>
    <t>09809-20.000.00</t>
  </si>
  <si>
    <t>09811-20.000.00</t>
  </si>
  <si>
    <t>08851-20.000.00</t>
  </si>
  <si>
    <t>08851-22.000.00</t>
  </si>
  <si>
    <t>09872-42.000.00</t>
  </si>
  <si>
    <t>09823-55.000.00</t>
  </si>
  <si>
    <t>09825-55.000.00</t>
  </si>
  <si>
    <t>09822-42.000.00</t>
  </si>
  <si>
    <t>09822-20.000.00</t>
  </si>
  <si>
    <t>09876-20.000.00</t>
  </si>
  <si>
    <t>09876-42.000.00</t>
  </si>
  <si>
    <t>09876-55.000.00</t>
  </si>
  <si>
    <t>09878-20.000.00</t>
  </si>
  <si>
    <t>09878-55.000.00</t>
  </si>
  <si>
    <t>08844-20.000.00</t>
  </si>
  <si>
    <t>09823-20.000.00</t>
  </si>
  <si>
    <t>09825-20.000.00</t>
  </si>
  <si>
    <t>09825-40.000.00</t>
  </si>
  <si>
    <t>09827-20.000.00</t>
  </si>
  <si>
    <t>09827-55.000.00</t>
  </si>
  <si>
    <t>09343-20.000.00</t>
  </si>
  <si>
    <t>09344-20.000.00</t>
  </si>
  <si>
    <t>09342-20.000.00</t>
  </si>
  <si>
    <t>09345-20.000.00</t>
  </si>
  <si>
    <t>04048-20.000.00</t>
  </si>
  <si>
    <t>04049-20.000.00</t>
  </si>
  <si>
    <t>06001-20.000.00</t>
  </si>
  <si>
    <t>06002-20.000.00</t>
  </si>
  <si>
    <t>06006-20.000.00</t>
  </si>
  <si>
    <t>05368-20.000.00</t>
  </si>
  <si>
    <t>05306-20.000.00</t>
  </si>
  <si>
    <t>05307-20.000.00</t>
  </si>
  <si>
    <t>05308-20.000.00</t>
  </si>
  <si>
    <t>05364-20.000.00</t>
  </si>
  <si>
    <t>05365-20.000.00</t>
  </si>
  <si>
    <t>05366-20.000.00</t>
  </si>
  <si>
    <t>05367-20.000.00</t>
  </si>
  <si>
    <t>05369-20.000.00</t>
  </si>
  <si>
    <t>05370-20.000.00</t>
  </si>
  <si>
    <t>05371-20.000.00</t>
  </si>
  <si>
    <t>05372-20.000.00</t>
  </si>
  <si>
    <t>02406-20.000.00</t>
  </si>
  <si>
    <t>05309-20.000.00</t>
  </si>
  <si>
    <t>02344-20.000.00</t>
  </si>
  <si>
    <t>02345-20.000.00</t>
  </si>
  <si>
    <t>02346-20.000.00</t>
  </si>
  <si>
    <t>02340-20.000.00</t>
  </si>
  <si>
    <t>02342-20.000.00</t>
  </si>
  <si>
    <t>02343-20.000.00</t>
  </si>
  <si>
    <t>09859-20.000.00</t>
  </si>
  <si>
    <t>09861-20.000.00</t>
  </si>
  <si>
    <t>09862-20.000.00</t>
  </si>
  <si>
    <t>09863-20.000.00</t>
  </si>
  <si>
    <t>02366-20.000.00</t>
  </si>
  <si>
    <t>09880-20.000.00</t>
  </si>
  <si>
    <t>06007-20.000.00</t>
  </si>
  <si>
    <t>06008-20.000.00</t>
  </si>
  <si>
    <t>06009-20.000.00</t>
  </si>
  <si>
    <t>06010-20.000.00</t>
  </si>
  <si>
    <t>06011-20.000.00</t>
  </si>
  <si>
    <t>09850-33.000.00</t>
  </si>
  <si>
    <t>05041-55.000.00</t>
  </si>
  <si>
    <t>05033-55.000.00</t>
  </si>
  <si>
    <t>05038-20.000.00</t>
  </si>
  <si>
    <t>05039-20.000.00</t>
  </si>
  <si>
    <t>05039-55.000.00</t>
  </si>
  <si>
    <t>05038-55.000.00</t>
  </si>
  <si>
    <t>05023-20.000.00</t>
  </si>
  <si>
    <t>05023-55.000.00</t>
  </si>
  <si>
    <t>05033-20.000.00</t>
  </si>
  <si>
    <t>05041-20.000.00</t>
  </si>
  <si>
    <t>05032-20.000.00</t>
  </si>
  <si>
    <t>05032-49.000.00</t>
  </si>
  <si>
    <t>05034-20.000.00</t>
  </si>
  <si>
    <t>05031-20.000.00</t>
  </si>
  <si>
    <t>05037-20.000.00</t>
  </si>
  <si>
    <t>05037-42.000.00</t>
  </si>
  <si>
    <t>05037-49.000.00</t>
  </si>
  <si>
    <t>05042-20.000.00</t>
  </si>
  <si>
    <t>04073-20.000.00</t>
  </si>
  <si>
    <t>04074-20.000.00</t>
  </si>
  <si>
    <t>04075-20.000.00</t>
  </si>
  <si>
    <t>04076-20.000.00</t>
  </si>
  <si>
    <t>04033-20.000.00</t>
  </si>
  <si>
    <t>04037-48.000.00</t>
  </si>
  <si>
    <t>04043-48.000.00</t>
  </si>
  <si>
    <t>04075-40.000.00</t>
  </si>
  <si>
    <t>04076-40.000.00</t>
  </si>
  <si>
    <t>04068-20.000.00</t>
  </si>
  <si>
    <t>04068-48.000.00</t>
  </si>
  <si>
    <t>04066-20.000.00</t>
  </si>
  <si>
    <t>04029-20.000.00</t>
  </si>
  <si>
    <t>04025-20.000.00</t>
  </si>
  <si>
    <t>04025-25.000.00</t>
  </si>
  <si>
    <t>04018-20.000.00</t>
  </si>
  <si>
    <t>04022-40.000.00</t>
  </si>
  <si>
    <t>04022-20.000.00</t>
  </si>
  <si>
    <t>04027-20.000.00</t>
  </si>
  <si>
    <t>61096-49.140.55</t>
  </si>
  <si>
    <t>61296-49.140.70</t>
  </si>
  <si>
    <t>61296-49.340.28</t>
  </si>
  <si>
    <t>61296-49.440.17</t>
  </si>
  <si>
    <t>61696-49.140.52</t>
  </si>
  <si>
    <t>61696-49.440.01</t>
  </si>
  <si>
    <t>61696-49.540.03</t>
  </si>
  <si>
    <t>61796-49.440.15</t>
  </si>
  <si>
    <t>61996-49.010.30</t>
  </si>
  <si>
    <t>61996-49.340.51</t>
  </si>
  <si>
    <t>04018-48.000.00</t>
  </si>
  <si>
    <t>04022-48.000.00</t>
  </si>
  <si>
    <t>19064-73.000.00</t>
  </si>
  <si>
    <t>15001-33.000.00</t>
  </si>
  <si>
    <t>15004-33.000.00</t>
  </si>
  <si>
    <t>15002-33.000.00</t>
  </si>
  <si>
    <t>15002-39.000.00</t>
  </si>
  <si>
    <t>19066-32.000.00</t>
  </si>
  <si>
    <t>19066-33.000.00</t>
  </si>
  <si>
    <t>19066-39.000.00</t>
  </si>
  <si>
    <t>15005-32.000.00</t>
  </si>
  <si>
    <t>15005-33.000.00</t>
  </si>
  <si>
    <t>15007-32.000.00</t>
  </si>
  <si>
    <t>15007-33.000.00</t>
  </si>
  <si>
    <t>19067-32.000.00</t>
  </si>
  <si>
    <t>19067-33.000.00</t>
  </si>
  <si>
    <t>19200-32.000.00</t>
  </si>
  <si>
    <t>19200-33.000.00</t>
  </si>
  <si>
    <t>15101-32.000.00</t>
  </si>
  <si>
    <t>15101-33.000.00</t>
  </si>
  <si>
    <t>15102-33.000.00</t>
  </si>
  <si>
    <t>15102-32.000.00</t>
  </si>
  <si>
    <t>15103-32.000.00</t>
  </si>
  <si>
    <t>15103-33.000.00</t>
  </si>
  <si>
    <t>15103-39.000.00</t>
  </si>
  <si>
    <t>19113-32.000.00</t>
  </si>
  <si>
    <t>19113-33.000.00</t>
  </si>
  <si>
    <t>19114-32.000.00</t>
  </si>
  <si>
    <t>19114-33.000.00</t>
  </si>
  <si>
    <t>19115-32.000.00</t>
  </si>
  <si>
    <t>19115-33.000.00</t>
  </si>
  <si>
    <t>19115-39.000.00</t>
  </si>
  <si>
    <t>15104-32.000.00</t>
  </si>
  <si>
    <t>19117-32.000.00</t>
  </si>
  <si>
    <t>15001-32.000.00</t>
  </si>
  <si>
    <t>15002-32.000.00</t>
  </si>
  <si>
    <t>15004-32.000.00</t>
  </si>
  <si>
    <t>15201-32.000.00</t>
  </si>
  <si>
    <t>15202-32.000.00</t>
  </si>
  <si>
    <t>04077-32.000.00</t>
  </si>
  <si>
    <t>04069-74.000.00</t>
  </si>
  <si>
    <t>04077-72.000.00</t>
  </si>
  <si>
    <t>04087-20.000.00</t>
  </si>
  <si>
    <t>04088-20.000.00</t>
  </si>
  <si>
    <t>04089-20.000.00</t>
  </si>
  <si>
    <t>04090-20.000.00</t>
  </si>
  <si>
    <t>04007-60.000.00</t>
  </si>
  <si>
    <t>04011-20.000.00</t>
  </si>
  <si>
    <t>15020-20.000.00</t>
  </si>
  <si>
    <t>04067-20.000.00</t>
  </si>
  <si>
    <t>04059-20.000.00</t>
  </si>
  <si>
    <t>04057-20.000.00</t>
  </si>
  <si>
    <t>04056-20.000.00</t>
  </si>
  <si>
    <t>04042-20.000.00</t>
  </si>
  <si>
    <t>04058-20.000.00</t>
  </si>
  <si>
    <t>04030-20.000.00</t>
  </si>
  <si>
    <t>04045-20.000.00</t>
  </si>
  <si>
    <t>04058-60.000.00</t>
  </si>
  <si>
    <t>04059-60.000.00</t>
  </si>
  <si>
    <t>04088-60.000.00</t>
  </si>
  <si>
    <t>04045-60.000.00</t>
  </si>
  <si>
    <t>04007-20.000.00</t>
  </si>
  <si>
    <t>04065-20.000.00</t>
  </si>
  <si>
    <t>04080-20.000.00</t>
  </si>
  <si>
    <t>04081-20.000.00</t>
  </si>
  <si>
    <t>04082-20.000.00</t>
  </si>
  <si>
    <t>04016-20.000.00</t>
  </si>
  <si>
    <t>04017-20.000.00</t>
  </si>
  <si>
    <t>04102-20.000.00</t>
  </si>
  <si>
    <t>04100-20.000.00</t>
  </si>
  <si>
    <t>04101-20.000.00</t>
  </si>
  <si>
    <t>04104-20.000.00</t>
  </si>
  <si>
    <t>04103-20.000.00</t>
  </si>
  <si>
    <t>04105-20.000.00</t>
  </si>
  <si>
    <t>02671-29.000.00</t>
  </si>
  <si>
    <t>02682-20.000.00</t>
  </si>
  <si>
    <t>02687-20.000.00</t>
  </si>
  <si>
    <t>02692-20.000.00</t>
  </si>
  <si>
    <t>02692-29.000.00</t>
  </si>
  <si>
    <t>08000-20.000.00</t>
  </si>
  <si>
    <t>08001-20.000.00</t>
  </si>
  <si>
    <t>08001-27.000.00</t>
  </si>
  <si>
    <t>08003-20.000.00</t>
  </si>
  <si>
    <t>08004-20.000.00</t>
  </si>
  <si>
    <t>08004-28.000.00</t>
  </si>
  <si>
    <t>08006-20.000.00</t>
  </si>
  <si>
    <t>08006-27.000.00</t>
  </si>
  <si>
    <t>08011-20.000.00</t>
  </si>
  <si>
    <t>08100-20.000.00</t>
  </si>
  <si>
    <t>08101-20.000.00</t>
  </si>
  <si>
    <t>08104-20.000.00</t>
  </si>
  <si>
    <t>08106-20.000.00</t>
  </si>
  <si>
    <t>08107-20.000.00</t>
  </si>
  <si>
    <t>08142-20.000.00</t>
  </si>
  <si>
    <t>08142-27.000.00</t>
  </si>
  <si>
    <t>08153-20.000.00</t>
  </si>
  <si>
    <t>08154-20.000.00</t>
  </si>
  <si>
    <t>08155-20.000.00</t>
  </si>
  <si>
    <t>08157-20.000.00</t>
  </si>
  <si>
    <t>08158-20.000.00</t>
  </si>
  <si>
    <t>08166-20.000.00</t>
  </si>
  <si>
    <t>08166-30.000.00</t>
  </si>
  <si>
    <t>08166-50.000.00</t>
  </si>
  <si>
    <t>08167-20.000.00</t>
  </si>
  <si>
    <t>08167-30.000.00</t>
  </si>
  <si>
    <t>08167-50.000.00</t>
  </si>
  <si>
    <t>08168-20.000.00</t>
  </si>
  <si>
    <t>08168-30.000.00</t>
  </si>
  <si>
    <t>08168-50.000.00</t>
  </si>
  <si>
    <t>08169-20.000.00</t>
  </si>
  <si>
    <t>08169-30.000.00</t>
  </si>
  <si>
    <t>08185-50.000.00</t>
  </si>
  <si>
    <t>08191-20.000.00</t>
  </si>
  <si>
    <t>08192-20.000.00</t>
  </si>
  <si>
    <t>18037-20.000.00</t>
  </si>
  <si>
    <t>18050-26.000.00</t>
  </si>
  <si>
    <t>18079-22.000.00</t>
  </si>
  <si>
    <t>01973-29.000.00</t>
  </si>
  <si>
    <t>01975-29.000.00</t>
  </si>
  <si>
    <t>01977-29.000.00</t>
  </si>
  <si>
    <t>02081-29.000.00</t>
  </si>
  <si>
    <t>02082-29.000.00</t>
  </si>
  <si>
    <t>02083-29.000.00</t>
  </si>
  <si>
    <t>02084-29.000.00</t>
  </si>
  <si>
    <t>02681-20.000.00</t>
  </si>
  <si>
    <t>02921-29.000.00</t>
  </si>
  <si>
    <t>02934-29.000.00</t>
  </si>
  <si>
    <t>02942-29.000.00</t>
  </si>
  <si>
    <t>02943-29.000.00</t>
  </si>
  <si>
    <t>02976-29.000.00</t>
  </si>
  <si>
    <t>02977-29.000.00</t>
  </si>
  <si>
    <t>08100-29.000.00</t>
  </si>
  <si>
    <t>08106-29.000.00</t>
  </si>
  <si>
    <t>08116-20.000.00</t>
  </si>
  <si>
    <t>08122-22.000.00</t>
  </si>
  <si>
    <t>08169-50.000.00</t>
  </si>
  <si>
    <t>08183-20.000.00</t>
  </si>
  <si>
    <t>08184-20.000.00</t>
  </si>
  <si>
    <t>08185-24.000.00</t>
  </si>
  <si>
    <t>08188-24.000.00</t>
  </si>
  <si>
    <t>02680-32.000.00</t>
  </si>
  <si>
    <t>02681-40.000.00</t>
  </si>
  <si>
    <t>08001-48.000.00</t>
  </si>
  <si>
    <t>08004-32.000.00</t>
  </si>
  <si>
    <t>18039-40.000.00</t>
  </si>
  <si>
    <t>18055-40.000.00</t>
  </si>
  <si>
    <t>18297-20.000.00</t>
  </si>
  <si>
    <t>18303-32.000.00</t>
  </si>
  <si>
    <t>18305-32.000.00</t>
  </si>
  <si>
    <t>18305-33.000.00</t>
  </si>
  <si>
    <t>18293-34.000.00</t>
  </si>
  <si>
    <t>18295-34.000.00</t>
  </si>
  <si>
    <t>8024-32.000.00</t>
  </si>
  <si>
    <t>8026-20.000.00</t>
  </si>
  <si>
    <t>8026-32.000.00</t>
  </si>
  <si>
    <t>18502-26.000.00</t>
  </si>
  <si>
    <t>18502-28.000.00</t>
  </si>
  <si>
    <t>18345-46.000.00</t>
  </si>
  <si>
    <t>18341-20.000.00</t>
  </si>
  <si>
    <t>18343-20.000.00</t>
  </si>
  <si>
    <t>18345-20.000.00</t>
  </si>
  <si>
    <t>05552-20.000.00</t>
  </si>
  <si>
    <t>05556-20.000.00</t>
  </si>
  <si>
    <t>05550-20.000.00</t>
  </si>
  <si>
    <t>05554-20.000.00</t>
  </si>
  <si>
    <t>00990-20.000.00</t>
  </si>
  <si>
    <t>00984-20.000.00</t>
  </si>
  <si>
    <t>00988-20.000.00</t>
  </si>
  <si>
    <t>05572-20.000.00</t>
  </si>
  <si>
    <t>05574-20.000.00</t>
  </si>
  <si>
    <t>00987-20.000.00</t>
  </si>
  <si>
    <t>05560-20.000.00</t>
  </si>
  <si>
    <t>05562-20.000.00</t>
  </si>
  <si>
    <t>05564-20.000.00</t>
  </si>
  <si>
    <t>05565-20.000.00</t>
  </si>
  <si>
    <t>05568-20.000.00</t>
  </si>
  <si>
    <t>05570-20.000.00</t>
  </si>
  <si>
    <t>01034-20.000.00</t>
  </si>
  <si>
    <t>05580-20.000.00</t>
  </si>
  <si>
    <t>05586-20.000.00</t>
  </si>
  <si>
    <t>06086-20.000.00</t>
  </si>
  <si>
    <t>01680-20.000.00</t>
  </si>
  <si>
    <t>00989-30.000.00</t>
  </si>
  <si>
    <t>00989-20.000.00</t>
  </si>
  <si>
    <t>18300-20.000.00</t>
  </si>
  <si>
    <t>18300-26.000.00</t>
  </si>
  <si>
    <t>18300-50.000.00</t>
  </si>
  <si>
    <t>18301-20.000.00</t>
  </si>
  <si>
    <t>18301-26.000.00</t>
  </si>
  <si>
    <t>18301-50.000.00</t>
  </si>
  <si>
    <t>18301-32.000.00</t>
  </si>
  <si>
    <t>18301-34.000.00</t>
  </si>
  <si>
    <t>18310-20.000.00</t>
  </si>
  <si>
    <t>18310-26.000.00</t>
  </si>
  <si>
    <t>18310-50.000.00</t>
  </si>
  <si>
    <t>18311-20.000.00</t>
  </si>
  <si>
    <t>18311-50.000.00</t>
  </si>
  <si>
    <t>18311-32.000.00</t>
  </si>
  <si>
    <t>18313-20.000.00</t>
  </si>
  <si>
    <t>18313-26.000.00</t>
  </si>
  <si>
    <t>18313-33.000.00</t>
  </si>
  <si>
    <t>18313-34.000.00</t>
  </si>
  <si>
    <t>18312-32.000.00</t>
  </si>
  <si>
    <t>18312-33.000.00</t>
  </si>
  <si>
    <t>18312-34.000.00</t>
  </si>
  <si>
    <t>18332-20.000.00</t>
  </si>
  <si>
    <t>18330-20.000.00</t>
  </si>
  <si>
    <t>18330-32.000.00</t>
  </si>
  <si>
    <t>18330-34.000.00</t>
  </si>
  <si>
    <t>00961-20.000.00</t>
  </si>
  <si>
    <t>00959-20.000.00</t>
  </si>
  <si>
    <t>00960-20.000.00</t>
  </si>
  <si>
    <t>00958-30.000.00</t>
  </si>
  <si>
    <t>18321-20.000.00</t>
  </si>
  <si>
    <t>18319-20.000.00</t>
  </si>
  <si>
    <t>18319-32.000.00</t>
  </si>
  <si>
    <t>18334-20.000.00</t>
  </si>
  <si>
    <t>18335-20.000.00</t>
  </si>
  <si>
    <t>18303-20.000.00</t>
  </si>
  <si>
    <t>18303-34.000.00</t>
  </si>
  <si>
    <t>18305-20.000.00</t>
  </si>
  <si>
    <t>18315-20.000.00</t>
  </si>
  <si>
    <t>18315-32.000.00</t>
  </si>
  <si>
    <t>18315-34.000.00</t>
  </si>
  <si>
    <t>18317-20.000.00</t>
  </si>
  <si>
    <t>18336-20.000.00</t>
  </si>
  <si>
    <t>18323-20.000.00</t>
  </si>
  <si>
    <t>18306-20.000.00</t>
  </si>
  <si>
    <t>18306-32.000.00</t>
  </si>
  <si>
    <t>18341-32.000.00</t>
  </si>
  <si>
    <t>18345-32.000.00</t>
  </si>
  <si>
    <t>18345-33.000.00</t>
  </si>
  <si>
    <t>18343-32.000.00</t>
  </si>
  <si>
    <t>18304-20.000.00</t>
  </si>
  <si>
    <t>18304-34.000.00</t>
  </si>
  <si>
    <t>18405-20.000.00</t>
  </si>
  <si>
    <t>18134-29.000.00</t>
  </si>
  <si>
    <t>18143-29.000.00</t>
  </si>
  <si>
    <t>18123-29.000.00</t>
  </si>
  <si>
    <t>18133-29.000.00</t>
  </si>
  <si>
    <t>18125-29.000.00</t>
  </si>
  <si>
    <t>18019-26.000.00</t>
  </si>
  <si>
    <t>18000-20.000.00</t>
  </si>
  <si>
    <t>18001-20.000.00</t>
  </si>
  <si>
    <t>18002-20.000.00</t>
  </si>
  <si>
    <t>18003-20.000.00</t>
  </si>
  <si>
    <t>18004-20.000.00</t>
  </si>
  <si>
    <t>18009-20.000.00</t>
  </si>
  <si>
    <t>18010-20.000.00</t>
  </si>
  <si>
    <t>18013-26.000.00</t>
  </si>
  <si>
    <t>18014-26.000.00</t>
  </si>
  <si>
    <t>18022-20.000.00</t>
  </si>
  <si>
    <t>18025-22.000.00</t>
  </si>
  <si>
    <t>18025-20.000.00</t>
  </si>
  <si>
    <t>18008-20.000.00</t>
  </si>
  <si>
    <t>18030-20.000.00</t>
  </si>
  <si>
    <t>18031-20.000.00</t>
  </si>
  <si>
    <t>18033-20.000.00</t>
  </si>
  <si>
    <t>18034-20.000.00</t>
  </si>
  <si>
    <t>18036-20.000.00</t>
  </si>
  <si>
    <t>18039-20.000.00</t>
  </si>
  <si>
    <t>18039-22.000.00</t>
  </si>
  <si>
    <t>18041-26.000.00</t>
  </si>
  <si>
    <t>18042-26.000.00</t>
  </si>
  <si>
    <t>18043-26.000.00</t>
  </si>
  <si>
    <t>18044-26.000.00</t>
  </si>
  <si>
    <t>18045-26.000.00</t>
  </si>
  <si>
    <t>18046-26.000.00</t>
  </si>
  <si>
    <t>18047-26.000.00</t>
  </si>
  <si>
    <t>18048-26.000.00</t>
  </si>
  <si>
    <t>18049-22.000.00</t>
  </si>
  <si>
    <t>18049-26.000.00</t>
  </si>
  <si>
    <t>18053-20.000.00</t>
  </si>
  <si>
    <t>18055-20.000.00</t>
  </si>
  <si>
    <t>18055-22.000.00</t>
  </si>
  <si>
    <t>18057-22.000.00</t>
  </si>
  <si>
    <t>18058-22.000.00</t>
  </si>
  <si>
    <t>18061-20.000.00</t>
  </si>
  <si>
    <t>18063-20.000.00</t>
  </si>
  <si>
    <t>18064-20.000.00</t>
  </si>
  <si>
    <t>18066-20.000.00</t>
  </si>
  <si>
    <t>18069-20.000.00</t>
  </si>
  <si>
    <t>18069-22.000.00</t>
  </si>
  <si>
    <t>18074-26.000.00</t>
  </si>
  <si>
    <t>18075-26.000.00</t>
  </si>
  <si>
    <t>18079-26.000.00</t>
  </si>
  <si>
    <t>18083-20.000.00</t>
  </si>
  <si>
    <t>18085-20.000.00</t>
  </si>
  <si>
    <t>18085-22.000.00</t>
  </si>
  <si>
    <t>04424-22.000.00</t>
  </si>
  <si>
    <t>04434-22.000.00</t>
  </si>
  <si>
    <t>18093-20.000.00</t>
  </si>
  <si>
    <t>18096-20.000.00</t>
  </si>
  <si>
    <t>18099-20.000.00</t>
  </si>
  <si>
    <t>18105-26.000.00</t>
  </si>
  <si>
    <t>18113-20.000.00</t>
  </si>
  <si>
    <t>04646-20.000.00</t>
  </si>
  <si>
    <t>04647-20.000.00</t>
  </si>
  <si>
    <t>18424-20.000.00</t>
  </si>
  <si>
    <t>18430-20.000.00</t>
  </si>
  <si>
    <t>18431-20.000.00</t>
  </si>
  <si>
    <t>18434-20.000.00</t>
  </si>
  <si>
    <t>18435-20.000.00</t>
  </si>
  <si>
    <t>18438-20.000.00</t>
  </si>
  <si>
    <t>18429-20.000.00</t>
  </si>
  <si>
    <t>18425-20.000.00</t>
  </si>
  <si>
    <t>00756-20.000.00</t>
  </si>
  <si>
    <t>00757-20.000.00</t>
  </si>
  <si>
    <t>18005-20.000.00</t>
  </si>
  <si>
    <t>18040-20.000.00</t>
  </si>
  <si>
    <t>18011-20.000.00</t>
  </si>
  <si>
    <t>04649-20.000.00</t>
  </si>
  <si>
    <t>18005-50.000.00</t>
  </si>
  <si>
    <t>18007-42.000.00</t>
  </si>
  <si>
    <t>18026-29.000.00</t>
  </si>
  <si>
    <t>18144-29.000.00</t>
  </si>
  <si>
    <t>18145-29.000.00</t>
  </si>
  <si>
    <t>18427-20.000.00</t>
  </si>
  <si>
    <t>18062-20.000.00</t>
  </si>
  <si>
    <t>18427-32.000.00</t>
  </si>
  <si>
    <t>18428-32.000.00</t>
  </si>
  <si>
    <t>02681-37.000.00</t>
  </si>
  <si>
    <t>02908-20.000.00</t>
  </si>
  <si>
    <t>00940-20.000.00</t>
  </si>
  <si>
    <t>08193-24.000.00</t>
  </si>
  <si>
    <t>08193-20.000.00</t>
  </si>
  <si>
    <t>08194-24.000.00</t>
  </si>
  <si>
    <t>08194-20.000.00</t>
  </si>
  <si>
    <t>02905-26.000.00</t>
  </si>
  <si>
    <t>02906-20.000.00</t>
  </si>
  <si>
    <t>02917-20.000.00</t>
  </si>
  <si>
    <t>00998-50.000.00</t>
  </si>
  <si>
    <t>02998-20.000.00</t>
  </si>
  <si>
    <t>02907-20.000.00</t>
  </si>
  <si>
    <t>00938-20.000.00</t>
  </si>
  <si>
    <t>02910-20.000.00</t>
  </si>
  <si>
    <t>02915-29.000.00</t>
  </si>
  <si>
    <t>02916-29.000.00</t>
  </si>
  <si>
    <t>00917-50.000.00</t>
  </si>
  <si>
    <t>02999-20.000.00</t>
  </si>
  <si>
    <t>08187-20.000.00</t>
  </si>
  <si>
    <t>08188-20.000.00</t>
  </si>
  <si>
    <t>18200-26.000.00</t>
  </si>
  <si>
    <t>18200-50.000.00</t>
  </si>
  <si>
    <t>18201-26.000.00</t>
  </si>
  <si>
    <t>18201-50.000.00</t>
  </si>
  <si>
    <t>18202-26.000.00</t>
  </si>
  <si>
    <t>18202-50.000.00</t>
  </si>
  <si>
    <t>18215-26.000.00</t>
  </si>
  <si>
    <t>18215-29.000.00</t>
  </si>
  <si>
    <t>18215-50.000.00</t>
  </si>
  <si>
    <t>18216-26.000.00</t>
  </si>
  <si>
    <t>18216-29.000.00</t>
  </si>
  <si>
    <t>18216-50.000.00</t>
  </si>
  <si>
    <t>18206-20.000.00</t>
  </si>
  <si>
    <t>18240-50.000.00</t>
  </si>
  <si>
    <t>18241-50.000.00</t>
  </si>
  <si>
    <t>18242-20.000.00</t>
  </si>
  <si>
    <t>18242-50.000.00</t>
  </si>
  <si>
    <t>18255-20.000.00</t>
  </si>
  <si>
    <t>18255-50.000.00</t>
  </si>
  <si>
    <t>18256-20.000.00</t>
  </si>
  <si>
    <t>18256-50.000.00</t>
  </si>
  <si>
    <t>18232-26.000.00</t>
  </si>
  <si>
    <t>18232-29.000.00</t>
  </si>
  <si>
    <t>18232-50.000.00</t>
  </si>
  <si>
    <t>18233-26.000.00</t>
  </si>
  <si>
    <t>18233-29.000.00</t>
  </si>
  <si>
    <t>18233-50.000.00</t>
  </si>
  <si>
    <t>00931-21.000.00</t>
  </si>
  <si>
    <t>00931-50.000.00</t>
  </si>
  <si>
    <t>02934-20.000.00</t>
  </si>
  <si>
    <t>02976-20.000.00</t>
  </si>
  <si>
    <t>02977-20.000.00</t>
  </si>
  <si>
    <t>02931-20.000.00</t>
  </si>
  <si>
    <t>02931-29.000.00</t>
  </si>
  <si>
    <t>02932-29.000.00</t>
  </si>
  <si>
    <t>02933-29.000.00</t>
  </si>
  <si>
    <t>00934-21.000.00</t>
  </si>
  <si>
    <t>00934-50.000.00</t>
  </si>
  <si>
    <t>00976-50.000.00</t>
  </si>
  <si>
    <t>00977-25.000.00</t>
  </si>
  <si>
    <t>00977-50.000.00</t>
  </si>
  <si>
    <t>02942-20.000.00</t>
  </si>
  <si>
    <t>02921-20.000.00</t>
  </si>
  <si>
    <t>02920-26.000.00</t>
  </si>
  <si>
    <t>02913-29.000.00</t>
  </si>
  <si>
    <t>02914-29.000.00</t>
  </si>
  <si>
    <t>00943-50.000.00</t>
  </si>
  <si>
    <t>02943-20.000.00</t>
  </si>
  <si>
    <t>00921-50.000.00</t>
  </si>
  <si>
    <t>02922-26.000.00</t>
  </si>
  <si>
    <t>00942-50.000.00</t>
  </si>
  <si>
    <t>18213-26.000.00</t>
  </si>
  <si>
    <t>18213-29.000.00</t>
  </si>
  <si>
    <t>18213-50.000.00</t>
  </si>
  <si>
    <t>18214-26.000.00</t>
  </si>
  <si>
    <t>18214-29.000.00</t>
  </si>
  <si>
    <t>18214-50.000.00</t>
  </si>
  <si>
    <t>18253-20.000.00</t>
  </si>
  <si>
    <t>18253-50.000.00</t>
  </si>
  <si>
    <t>18254-20.000.00</t>
  </si>
  <si>
    <t>18254-50.000.00</t>
  </si>
  <si>
    <t>18300-99.600.16</t>
  </si>
  <si>
    <t>18280-20.000.00</t>
  </si>
  <si>
    <t>18281-20.000.00</t>
  </si>
  <si>
    <t>18282-26.000.00</t>
  </si>
  <si>
    <t>18283-20.000.00</t>
  </si>
  <si>
    <t>18284-26.000.00</t>
  </si>
  <si>
    <t>18285-20.000.00</t>
  </si>
  <si>
    <t>18286-20.000.00</t>
  </si>
  <si>
    <t>18287-20.000.00</t>
  </si>
  <si>
    <t>18288-20.000.00</t>
  </si>
  <si>
    <t>18290-26.000.00</t>
  </si>
  <si>
    <t>18291-20.000.00</t>
  </si>
  <si>
    <t>18291-32.000.00</t>
  </si>
  <si>
    <t>18296-20.000.00</t>
  </si>
  <si>
    <t>18295-20.000.00</t>
  </si>
  <si>
    <t>18299-34.000.00</t>
  </si>
  <si>
    <t>18298-20.000.00</t>
  </si>
  <si>
    <t>02801-21.000.00</t>
  </si>
  <si>
    <t>02801-20.000.00</t>
  </si>
  <si>
    <t>02817-21.000.00</t>
  </si>
  <si>
    <t>02817-20.000.00</t>
  </si>
  <si>
    <t>02802-20.000.00</t>
  </si>
  <si>
    <t>02802-21.000.00</t>
  </si>
  <si>
    <t>02821-20.000.00</t>
  </si>
  <si>
    <t>02821-21.000.00</t>
  </si>
  <si>
    <t>02830-21.000.00</t>
  </si>
  <si>
    <t>02830-20.000.00</t>
  </si>
  <si>
    <t>02831-21.000.00</t>
  </si>
  <si>
    <t>02831-20.000.00</t>
  </si>
  <si>
    <t>02834-20.000.00</t>
  </si>
  <si>
    <t>02835-20.000.00</t>
  </si>
  <si>
    <t>02833-20.000.00</t>
  </si>
  <si>
    <t>02814-20.000.00</t>
  </si>
  <si>
    <t>02819-20.000.00</t>
  </si>
  <si>
    <t>02818-20.000.00</t>
  </si>
  <si>
    <t>02847-20.000.00</t>
  </si>
  <si>
    <t>02849-20.000.00</t>
  </si>
  <si>
    <t>08193-34.000.00</t>
  </si>
  <si>
    <t>18209-20.000.00</t>
  </si>
  <si>
    <t>18210-20.000.00</t>
  </si>
  <si>
    <t>18210-34.000.00</t>
  </si>
  <si>
    <t>18277-34.000.00</t>
  </si>
  <si>
    <t>18279-34.000.00</t>
  </si>
  <si>
    <t>00944-20.000.00</t>
  </si>
  <si>
    <t>01936-20.000.00</t>
  </si>
  <si>
    <t>02692-33.000.00</t>
  </si>
  <si>
    <t>05566-20.000.00</t>
  </si>
  <si>
    <t>05566-24.000.00</t>
  </si>
  <si>
    <t>06077-26.000.00</t>
  </si>
  <si>
    <t>08102-20.000.00</t>
  </si>
  <si>
    <t>08103-20.000.00</t>
  </si>
  <si>
    <t>08108-20.000.00</t>
  </si>
  <si>
    <t>08109-20.000.00</t>
  </si>
  <si>
    <t>18200-29 .000.00</t>
  </si>
  <si>
    <t>18200-50 .000.00</t>
  </si>
  <si>
    <t>18201-29 .000.00</t>
  </si>
  <si>
    <t>18201-50 .000.00</t>
  </si>
  <si>
    <t>18202-29 .000.00</t>
  </si>
  <si>
    <t>18202-50 .000.00</t>
  </si>
  <si>
    <t>18213-29 .000.00</t>
  </si>
  <si>
    <t>18213-50 .000.00</t>
  </si>
  <si>
    <t>18214-29 .000.00</t>
  </si>
  <si>
    <t>18214-50 .000.00</t>
  </si>
  <si>
    <t>18215-29 .000.00</t>
  </si>
  <si>
    <t>18215-50 .000.00</t>
  </si>
  <si>
    <t>18216-29 .000.00</t>
  </si>
  <si>
    <t>18216-50 .000.00</t>
  </si>
  <si>
    <t>18232-29 .000.00</t>
  </si>
  <si>
    <t>18232-50 .000.00</t>
  </si>
  <si>
    <t>18233-29 .000.00</t>
  </si>
  <si>
    <t>18233-50 .000.00</t>
  </si>
  <si>
    <t>18300-20 .000.00</t>
  </si>
  <si>
    <t>18300-50 .000.00</t>
  </si>
  <si>
    <t>18301-20 .000.00</t>
  </si>
  <si>
    <t>18301-50 .000.00</t>
  </si>
  <si>
    <t>18310-20 .000.00</t>
  </si>
  <si>
    <t>18310-50 .000.00</t>
  </si>
  <si>
    <t>18311-20 .000.00</t>
  </si>
  <si>
    <t>18311-50 .000.00</t>
  </si>
  <si>
    <t>18312-20.000.00</t>
  </si>
  <si>
    <t>18313-20 .000.00</t>
  </si>
  <si>
    <t>18313-32.000.00</t>
  </si>
  <si>
    <t>18330-20 .000.00</t>
  </si>
  <si>
    <t>18332-20 .000.00</t>
  </si>
  <si>
    <t>02067-46.000.00</t>
  </si>
  <si>
    <t>02060-20.000.00</t>
  </si>
  <si>
    <t>02062-20.000.00</t>
  </si>
  <si>
    <t>02065-20.000.00</t>
  </si>
  <si>
    <t>02068-20.000.00</t>
  </si>
  <si>
    <t>02068-34.000.00</t>
  </si>
  <si>
    <t>02073-20.000.00</t>
  </si>
  <si>
    <t>02075-20.000.00</t>
  </si>
  <si>
    <t>01948-20.000.00</t>
  </si>
  <si>
    <t>01949-20.000.00</t>
  </si>
  <si>
    <t>01949-21.000.00</t>
  </si>
  <si>
    <t>01951-20.000.00</t>
  </si>
  <si>
    <t>01953-20.000.00</t>
  </si>
  <si>
    <t>02074-25.000.00</t>
  </si>
  <si>
    <t>00972-20.000.00</t>
  </si>
  <si>
    <t>00971-32.000.00</t>
  </si>
  <si>
    <t>08133-20.000.00</t>
  </si>
  <si>
    <t>08128-20.000.00</t>
  </si>
  <si>
    <t>08128-34.000.00</t>
  </si>
  <si>
    <t>08151-20.000.00</t>
  </si>
  <si>
    <t>01977-20.000.00</t>
  </si>
  <si>
    <t>01971-20.000.00</t>
  </si>
  <si>
    <t>01973-20.000.00</t>
  </si>
  <si>
    <t>01975-20.000.00</t>
  </si>
  <si>
    <t>01021-20.000.00</t>
  </si>
  <si>
    <t>01021-34.000.00</t>
  </si>
  <si>
    <t>02080-20.000.00</t>
  </si>
  <si>
    <t>02080-34.000.00</t>
  </si>
  <si>
    <t>02084-20.000.00</t>
  </si>
  <si>
    <t>02084-21.000.00</t>
  </si>
  <si>
    <t>02083-20.000.00</t>
  </si>
  <si>
    <t>02083-21.000.00</t>
  </si>
  <si>
    <t>02082-20.000.00</t>
  </si>
  <si>
    <t>02082-21.000.00</t>
  </si>
  <si>
    <t>02081-20.000.00</t>
  </si>
  <si>
    <t>02081-34.000.00</t>
  </si>
  <si>
    <t>08127-20.000.00</t>
  </si>
  <si>
    <t>02079-32.000.00</t>
  </si>
  <si>
    <t>01968-20.000.00</t>
  </si>
  <si>
    <t>01987-22.000.00</t>
  </si>
  <si>
    <t>01989-20.000.00</t>
  </si>
  <si>
    <t>01969-20.000.00</t>
  </si>
  <si>
    <t>00995-20.000.00</t>
  </si>
  <si>
    <t>00997-22.000.00</t>
  </si>
  <si>
    <t>05316-20.000.00</t>
  </si>
  <si>
    <t>01998-20.000.00</t>
  </si>
  <si>
    <t>01999-20.000.00</t>
  </si>
  <si>
    <t>00996-20.000.00</t>
  </si>
  <si>
    <t>01995-20.000.00</t>
  </si>
  <si>
    <t>08135-20.000.00</t>
  </si>
  <si>
    <t>08136-20.000.00</t>
  </si>
  <si>
    <t>08137-20.000.00</t>
  </si>
  <si>
    <t>08138-20.000.00</t>
  </si>
  <si>
    <t>08141-21.000.00</t>
  </si>
  <si>
    <t>08141-20.000.00</t>
  </si>
  <si>
    <t>08144-21.000.00</t>
  </si>
  <si>
    <t>08144-20.000.00</t>
  </si>
  <si>
    <t>08143-21.000.00</t>
  </si>
  <si>
    <t>08143-20.000.00</t>
  </si>
  <si>
    <t>18700-20.000.00</t>
  </si>
  <si>
    <t>18700-34.000.00</t>
  </si>
  <si>
    <t>18700-36.000.00</t>
  </si>
  <si>
    <t>18701-34.000.00</t>
  </si>
  <si>
    <t>18702-20.000.00</t>
  </si>
  <si>
    <t>18704-20.000.00</t>
  </si>
  <si>
    <t>18708-20.000.00</t>
  </si>
  <si>
    <t>18708-34.000.00</t>
  </si>
  <si>
    <t>18710-20.000.00</t>
  </si>
  <si>
    <t>18710-34.000.00</t>
  </si>
  <si>
    <t>18712-20.000.00</t>
  </si>
  <si>
    <t>18712-34.000.00</t>
  </si>
  <si>
    <t>18714-20.000.00</t>
  </si>
  <si>
    <t>18720-34.000.00</t>
  </si>
  <si>
    <t>02691-20.000.00</t>
  </si>
  <si>
    <t>08007-20.000.00</t>
  </si>
  <si>
    <t>08010-20.000.00</t>
  </si>
  <si>
    <t>02662-20.000.00</t>
  </si>
  <si>
    <t>18400-20.000.00</t>
  </si>
  <si>
    <t>18401-20.000.00</t>
  </si>
  <si>
    <t>18411-20.000.00</t>
  </si>
  <si>
    <t>02674-20.000.00</t>
  </si>
  <si>
    <t>18500-20.000.00</t>
  </si>
  <si>
    <t>18502-20.000.00</t>
  </si>
  <si>
    <t>18502-50.000.00</t>
  </si>
  <si>
    <t>18502-35.000.00</t>
  </si>
  <si>
    <t>18502-32.000.00</t>
  </si>
  <si>
    <t>18510-20.000.00</t>
  </si>
  <si>
    <t>18511-20.000.00</t>
  </si>
  <si>
    <t>18512-20.000.00</t>
  </si>
  <si>
    <t>18512-28.000.00</t>
  </si>
  <si>
    <t>18512-50.000.00</t>
  </si>
  <si>
    <t>18513-20.000.00</t>
  </si>
  <si>
    <t>18515-20.000.00</t>
  </si>
  <si>
    <t>18520-20.000.00</t>
  </si>
  <si>
    <t>18522-20.000.00</t>
  </si>
  <si>
    <t>18522-26.000.00</t>
  </si>
  <si>
    <t>18522-32.000.00</t>
  </si>
  <si>
    <t>18517-20.000.00</t>
  </si>
  <si>
    <t>18517-28.000.00</t>
  </si>
  <si>
    <t>18540-20.000.00</t>
  </si>
  <si>
    <t>18541-20.000.00</t>
  </si>
  <si>
    <t>18542-20.000.00</t>
  </si>
  <si>
    <t>18542-29.000.00</t>
  </si>
  <si>
    <t>18547-20.000.00</t>
  </si>
  <si>
    <t>18550-20.000.00</t>
  </si>
  <si>
    <t>18544-20.000.00</t>
  </si>
  <si>
    <t>18552-26.000.00</t>
  </si>
  <si>
    <t>18547-40.000.00</t>
  </si>
  <si>
    <t>00238-20.000.00</t>
  </si>
  <si>
    <t>02650-20.000.00</t>
  </si>
  <si>
    <t>08009-20.000.00</t>
  </si>
  <si>
    <t>08009-35.000.00</t>
  </si>
  <si>
    <t>08022-20.000.00</t>
  </si>
  <si>
    <t>08023-20.000.00</t>
  </si>
  <si>
    <t>08024-20.000.00</t>
  </si>
  <si>
    <t>08024-32.000.00</t>
  </si>
  <si>
    <t>08025-20.000.00</t>
  </si>
  <si>
    <t>00241-20.000.00</t>
  </si>
  <si>
    <t>18402-20.000.00</t>
  </si>
  <si>
    <t>18402-25.000.00</t>
  </si>
  <si>
    <t>08026-20.000.00</t>
  </si>
  <si>
    <t>08026-32.000.00</t>
  </si>
  <si>
    <t>02687-28.000.00</t>
  </si>
  <si>
    <t>08023-42.000.00</t>
  </si>
  <si>
    <t>18503-48.000.00</t>
  </si>
  <si>
    <t>18517-36.000.00</t>
  </si>
  <si>
    <t>18600-20.000.00</t>
  </si>
  <si>
    <t>18602-20.000.00</t>
  </si>
  <si>
    <t>18604-20.000.00</t>
  </si>
  <si>
    <t>18606-20.000.00</t>
  </si>
  <si>
    <t>18610-20.000.00</t>
  </si>
  <si>
    <t>18612-20.000.00</t>
  </si>
  <si>
    <t>18614-20.000.00</t>
  </si>
  <si>
    <t>18616-20.000.00</t>
  </si>
  <si>
    <t>18620-20.000.00</t>
  </si>
  <si>
    <t>18622-20.000.00</t>
  </si>
  <si>
    <t>18625-20.000.00</t>
  </si>
  <si>
    <t>18627-20.000.00</t>
  </si>
  <si>
    <t>18630-20.000.00</t>
  </si>
  <si>
    <t>18632-20.000.00</t>
  </si>
  <si>
    <t>07830-20.000.00</t>
  </si>
  <si>
    <t>07831-20.000.00</t>
  </si>
  <si>
    <t>07832-20.000.00</t>
  </si>
  <si>
    <t>07833-20.000.00</t>
  </si>
  <si>
    <t>19080-20.000.00</t>
  </si>
  <si>
    <t>19106-20.000.00</t>
  </si>
  <si>
    <t>01718-26.000.00</t>
  </si>
  <si>
    <t>01751-29.000.00</t>
  </si>
  <si>
    <t>01411-20.000.00</t>
  </si>
  <si>
    <t>01720-22.000.00</t>
  </si>
  <si>
    <t>01721-22.000.00</t>
  </si>
  <si>
    <t>07118-20.000.00</t>
  </si>
  <si>
    <t>07119-20.000.00</t>
  </si>
  <si>
    <t>07100-20.000.00</t>
  </si>
  <si>
    <t>07102-20.000.00</t>
  </si>
  <si>
    <t>07103-20.000.00</t>
  </si>
  <si>
    <t>07104-20.000.00</t>
  </si>
  <si>
    <t>07106-20.000.00</t>
  </si>
  <si>
    <t>07108-20.000.00</t>
  </si>
  <si>
    <t>07109-20.000.00</t>
  </si>
  <si>
    <t>07110-20.000.00</t>
  </si>
  <si>
    <t>07112-20.000.00</t>
  </si>
  <si>
    <t>07114-20.000.00</t>
  </si>
  <si>
    <t>07115-20.000.00</t>
  </si>
  <si>
    <t>07116-20.000.00</t>
  </si>
  <si>
    <t>07120-20.000.00</t>
  </si>
  <si>
    <t>07121-20.000.00</t>
  </si>
  <si>
    <t>07122-20.000.00</t>
  </si>
  <si>
    <t>07130-20.000.00</t>
  </si>
  <si>
    <t>07131-20.000.00</t>
  </si>
  <si>
    <t>07132-20.000.00</t>
  </si>
  <si>
    <t>07149-20.000.00</t>
  </si>
  <si>
    <t>07155-20.000.00</t>
  </si>
  <si>
    <t>07160-20.000.00</t>
  </si>
  <si>
    <t>07286-20.000.00</t>
  </si>
  <si>
    <t>07140-20.000.00</t>
  </si>
  <si>
    <t>07141-20.000.00</t>
  </si>
  <si>
    <t>07142-20.000.00</t>
  </si>
  <si>
    <t>07143-20.000.00</t>
  </si>
  <si>
    <t>07144-20.000.00</t>
  </si>
  <si>
    <t>07146-20.000.00</t>
  </si>
  <si>
    <t>07147-20.000.00</t>
  </si>
  <si>
    <t>07148-20.000.00</t>
  </si>
  <si>
    <t>07151-20.000.00</t>
  </si>
  <si>
    <t>07152-20.000.00</t>
  </si>
  <si>
    <t>07165-20.000.00</t>
  </si>
  <si>
    <t>07166-20.000.00</t>
  </si>
  <si>
    <t>07180-20.000.00</t>
  </si>
  <si>
    <t>07181-20.000.00</t>
  </si>
  <si>
    <t>07182-20.000.00</t>
  </si>
  <si>
    <t>07183-20.000.00</t>
  </si>
  <si>
    <t>07220-20.000.00</t>
  </si>
  <si>
    <t>07222-20.000.00</t>
  </si>
  <si>
    <t>07221-20.000.00</t>
  </si>
  <si>
    <t>07230-20.000.00</t>
  </si>
  <si>
    <t>07232-20.000.00</t>
  </si>
  <si>
    <t>07231-20.000.00</t>
  </si>
  <si>
    <t>07240-20.000.00</t>
  </si>
  <si>
    <t>07241-20.000.00</t>
  </si>
  <si>
    <t>07242-20.000.00</t>
  </si>
  <si>
    <t>07250-20.000.00</t>
  </si>
  <si>
    <t>07251-20.000.00</t>
  </si>
  <si>
    <t>07252-20.000.00</t>
  </si>
  <si>
    <t>07260-20.000.00</t>
  </si>
  <si>
    <t>07261-20.000.00</t>
  </si>
  <si>
    <t>07262-20.000.00</t>
  </si>
  <si>
    <t>07263-20.000.00</t>
  </si>
  <si>
    <t>07264-20.000.00</t>
  </si>
  <si>
    <t>07265-20.000.00</t>
  </si>
  <si>
    <t>07266-20.000.00</t>
  </si>
  <si>
    <t>07270-20.000.00</t>
  </si>
  <si>
    <t>07271-20.000.00</t>
  </si>
  <si>
    <t>07272-20.000.00</t>
  </si>
  <si>
    <t>07273-20.000.00</t>
  </si>
  <si>
    <t>07280-20.000.00</t>
  </si>
  <si>
    <t>07281-20.000.00</t>
  </si>
  <si>
    <t>07282-20.000.00</t>
  </si>
  <si>
    <t>07283-20.000.00</t>
  </si>
  <si>
    <t>07284-20.000.00</t>
  </si>
  <si>
    <t>07285-20.000.00</t>
  </si>
  <si>
    <t>07190-20.000.00</t>
  </si>
  <si>
    <t>07191-20.000.00</t>
  </si>
  <si>
    <t>07192-20.000.00</t>
  </si>
  <si>
    <t>07196-20.000.00</t>
  </si>
  <si>
    <t>07193-20.000.00</t>
  </si>
  <si>
    <t>07194-20.000.00</t>
  </si>
  <si>
    <t>07195-20.000.00</t>
  </si>
  <si>
    <t>07197-20.000.00</t>
  </si>
  <si>
    <t>07210-20.000.00</t>
  </si>
  <si>
    <t>07211-20.000.00</t>
  </si>
  <si>
    <t>07212-20.000.00</t>
  </si>
  <si>
    <t>07294-20.000.00</t>
  </si>
  <si>
    <t>07340-20.000.00</t>
  </si>
  <si>
    <t>07341-20.000.00</t>
  </si>
  <si>
    <t>07342-20.000.00</t>
  </si>
  <si>
    <t>07330-20.000.00</t>
  </si>
  <si>
    <t>07331-20.000.00</t>
  </si>
  <si>
    <t>07335-20.000.00</t>
  </si>
  <si>
    <t>07336-20.000.00</t>
  </si>
  <si>
    <t>07337-20.000.00</t>
  </si>
  <si>
    <t>07332-20.000.00</t>
  </si>
  <si>
    <t>07333-20.000.00</t>
  </si>
  <si>
    <t>04951-20.000.00</t>
  </si>
  <si>
    <t>04953-20.000.00</t>
  </si>
  <si>
    <t>04955-20.000.00</t>
  </si>
  <si>
    <t>04962-20.000.00</t>
  </si>
  <si>
    <t>04956-20.000.00</t>
  </si>
  <si>
    <t>04958-20.000.00</t>
  </si>
  <si>
    <t>04960-20.000.00</t>
  </si>
  <si>
    <t>04964-20.000.00</t>
  </si>
  <si>
    <t>04966-20.000.00</t>
  </si>
  <si>
    <t>04968-20.000.00</t>
  </si>
  <si>
    <t>04971-20.000.00</t>
  </si>
  <si>
    <t>04973-20.000.00</t>
  </si>
  <si>
    <t>04975-20.000.00</t>
  </si>
  <si>
    <t>04976-20.000.00</t>
  </si>
  <si>
    <t>04978-20.000.00</t>
  </si>
  <si>
    <t>04982-20.000.00</t>
  </si>
  <si>
    <t>04985-20.000.00</t>
  </si>
  <si>
    <t>04986-20.000.00</t>
  </si>
  <si>
    <t>04988-20.000.00</t>
  </si>
  <si>
    <t>01412-20.000.00</t>
  </si>
  <si>
    <t>01417-20.000.00</t>
  </si>
  <si>
    <t>01418-20.000.00</t>
  </si>
  <si>
    <t>01476-20.000.00</t>
  </si>
  <si>
    <t>01489-20.000.00</t>
  </si>
  <si>
    <t>01490-20.000.00</t>
  </si>
  <si>
    <t>01492-20.000.00</t>
  </si>
  <si>
    <t>01499-20.000.00</t>
  </si>
  <si>
    <t>01661-26.000.00</t>
  </si>
  <si>
    <t>01665-20.000.00</t>
  </si>
  <si>
    <t>01665-26.000.00</t>
  </si>
  <si>
    <t>01707-20.000.00</t>
  </si>
  <si>
    <t>01709-20.000.00</t>
  </si>
  <si>
    <t>01709-42.000.00</t>
  </si>
  <si>
    <t>01717-20.000.00</t>
  </si>
  <si>
    <t>01719-20.000.00</t>
  </si>
  <si>
    <t>01722-22.000.00</t>
  </si>
  <si>
    <t>01723-20.000.00</t>
  </si>
  <si>
    <t>01724-20.000.00</t>
  </si>
  <si>
    <t>01726-20.000.00</t>
  </si>
  <si>
    <t>01727-20.000.00</t>
  </si>
  <si>
    <t>01728-20.000.00</t>
  </si>
  <si>
    <t>01729-20.000.00</t>
  </si>
  <si>
    <t>01730-20.000.00</t>
  </si>
  <si>
    <t>01731-20.000.00</t>
  </si>
  <si>
    <t>01732-20.000.00</t>
  </si>
  <si>
    <t>01734-20.000.00</t>
  </si>
  <si>
    <t>01736-20.000.00</t>
  </si>
  <si>
    <t>01739-20.000.00</t>
  </si>
  <si>
    <t>01743-20.000.00</t>
  </si>
  <si>
    <t>01744-20.000.00</t>
  </si>
  <si>
    <t>01745-20.000.00</t>
  </si>
  <si>
    <t>01750-20.000.00</t>
  </si>
  <si>
    <t>01752-20.000.00</t>
  </si>
  <si>
    <t>01753-20.000.00</t>
  </si>
  <si>
    <t>01754-20.000.00</t>
  </si>
  <si>
    <t>01755-20.000.00</t>
  </si>
  <si>
    <t>01756-20.000.00</t>
  </si>
  <si>
    <t>01758-20.000.00</t>
  </si>
  <si>
    <t>01758-32.000.00</t>
  </si>
  <si>
    <t>01759-20.000.00</t>
  </si>
  <si>
    <t>01760-20.000.00</t>
  </si>
  <si>
    <t>01762-20.000.00</t>
  </si>
  <si>
    <t>01764-20.000.00</t>
  </si>
  <si>
    <t>01766-20.000.00</t>
  </si>
  <si>
    <t>01768-20.000.00</t>
  </si>
  <si>
    <t>01771-20.000.00</t>
  </si>
  <si>
    <t>01773-20.000.00</t>
  </si>
  <si>
    <t>01780-20.000.00</t>
  </si>
  <si>
    <t>01783-20.000.00</t>
  </si>
  <si>
    <t>01783-49.000.00</t>
  </si>
  <si>
    <t>01785-20.000.00</t>
  </si>
  <si>
    <t>01787-20.000.00</t>
  </si>
  <si>
    <t>01795-20.000.00</t>
  </si>
  <si>
    <t>01797-20.000.00</t>
  </si>
  <si>
    <t>01799-20.000.00</t>
  </si>
  <si>
    <t>01802-20.000.00</t>
  </si>
  <si>
    <t>09000-29.000.00</t>
  </si>
  <si>
    <t>09001-29.000.00</t>
  </si>
  <si>
    <t>09005-29.000.00</t>
  </si>
  <si>
    <t>09006-29.000.00</t>
  </si>
  <si>
    <t>09010-29.000.00</t>
  </si>
  <si>
    <t>09011-29.000.00</t>
  </si>
  <si>
    <t>09013-29.000.00</t>
  </si>
  <si>
    <t>09020-29.000.00</t>
  </si>
  <si>
    <t>09022-29.000.00</t>
  </si>
  <si>
    <t>09025-29.000.00</t>
  </si>
  <si>
    <t>05001-20.000.00</t>
  </si>
  <si>
    <t>05002-20.000.00</t>
  </si>
  <si>
    <t>05003-20.000.00</t>
  </si>
  <si>
    <t>05004-20.000.00</t>
  </si>
  <si>
    <t>05005-20.000.00</t>
  </si>
  <si>
    <t>09023-20.000.00</t>
  </si>
  <si>
    <t>09030-20.000.00</t>
  </si>
  <si>
    <t>09032-20.000.00</t>
  </si>
  <si>
    <t>09034-20.000.00</t>
  </si>
  <si>
    <t>09036-20.000.00</t>
  </si>
  <si>
    <t>09040-20.000.00</t>
  </si>
  <si>
    <t>09042-20.000.00</t>
  </si>
  <si>
    <t>09044-20.000.00</t>
  </si>
  <si>
    <t>09046-20.000.00</t>
  </si>
  <si>
    <t>09048-20.000.00</t>
  </si>
  <si>
    <t>09049-20.000.00</t>
  </si>
  <si>
    <t>01411-29.000.00</t>
  </si>
  <si>
    <t>01412-29.000.00</t>
  </si>
  <si>
    <t>01418-29.000.00</t>
  </si>
  <si>
    <t>01436-20.000.00</t>
  </si>
  <si>
    <t>01461-20.000.00</t>
  </si>
  <si>
    <t>01468-20.000.00</t>
  </si>
  <si>
    <t>01490-29.000.00</t>
  </si>
  <si>
    <t>01740-20.000.00</t>
  </si>
  <si>
    <t>01741-20.000.00</t>
  </si>
  <si>
    <t>01742-20.000.00</t>
  </si>
  <si>
    <t>01757-20.000.00</t>
  </si>
  <si>
    <t>01777-20.000.00</t>
  </si>
  <si>
    <t>01790-20.000.00</t>
  </si>
  <si>
    <t>01476-49.000.00</t>
  </si>
  <si>
    <t>01732-33.000.00</t>
  </si>
  <si>
    <t>01732-49.000.00</t>
  </si>
  <si>
    <t>01742-49.000.00</t>
  </si>
  <si>
    <t>01757-33.000.00</t>
  </si>
  <si>
    <t>01757-49.000.00</t>
  </si>
  <si>
    <t>01758-49.000.00</t>
  </si>
  <si>
    <t>01790-49.000.00</t>
  </si>
  <si>
    <t>01661-20.000.00</t>
  </si>
  <si>
    <t>01661-34.000.00</t>
  </si>
  <si>
    <t>01665-34.000.00</t>
  </si>
  <si>
    <t>01748-20.000.00</t>
  </si>
  <si>
    <t>01749-20.000.00</t>
  </si>
  <si>
    <t>967035601</t>
  </si>
  <si>
    <t>01186-20.000.00</t>
  </si>
  <si>
    <t>01188-20.000.00</t>
  </si>
  <si>
    <t>01197-29.000.00</t>
  </si>
  <si>
    <t>01250-29.000.00</t>
  </si>
  <si>
    <t>01251-29.000.00</t>
  </si>
  <si>
    <t>01254-29.000.00</t>
  </si>
  <si>
    <t>01255-29.000.00</t>
  </si>
  <si>
    <t>01255-20.000.00</t>
  </si>
  <si>
    <t>01278-27.000.00</t>
  </si>
  <si>
    <t>01280-20.000.00</t>
  </si>
  <si>
    <t>01282-20.000.00</t>
  </si>
  <si>
    <t>01283-29.000.00</t>
  </si>
  <si>
    <t>01169-20.000.00</t>
  </si>
  <si>
    <t>01874-29.000.00</t>
  </si>
  <si>
    <t>01890-29.000.00</t>
  </si>
  <si>
    <t>01890-34.000.00</t>
  </si>
  <si>
    <t>01891-29.000.00</t>
  </si>
  <si>
    <t>01892-29.000.00</t>
  </si>
  <si>
    <t>01284-29.000.00</t>
  </si>
  <si>
    <t>01285-29.000.00</t>
  </si>
  <si>
    <t>01286-20.000.00</t>
  </si>
  <si>
    <t>01290-20.000.00</t>
  </si>
  <si>
    <t>01292-20.000.00</t>
  </si>
  <si>
    <t>01867-20.000.00</t>
  </si>
  <si>
    <t>01868-20.000.00</t>
  </si>
  <si>
    <t>01869-20.000.00</t>
  </si>
  <si>
    <t>01869-34.000.00</t>
  </si>
  <si>
    <t>01889-29.000.00</t>
  </si>
  <si>
    <t>01189-20.000.00</t>
  </si>
  <si>
    <t>01242-27.000.00</t>
  </si>
  <si>
    <t>01273-20.000.00</t>
  </si>
  <si>
    <t>01276-27.000.00</t>
  </si>
  <si>
    <t>01277-27.000.00</t>
  </si>
  <si>
    <t>01327-29.000.00</t>
  </si>
  <si>
    <t>01346-29.000.00</t>
  </si>
  <si>
    <t>01347-29.000.00</t>
  </si>
  <si>
    <t>01348-29.000.00</t>
  </si>
  <si>
    <t>01361-37.000.00</t>
  </si>
  <si>
    <t>01377-29.000.00</t>
  </si>
  <si>
    <t>01385-29.000.00</t>
  </si>
  <si>
    <t>01389-37.000.00</t>
  </si>
  <si>
    <t>01398-20.000.00</t>
  </si>
  <si>
    <t>01399-20.000.00</t>
  </si>
  <si>
    <t>01401-20.000.00</t>
  </si>
  <si>
    <t>01402-20.000.00</t>
  </si>
  <si>
    <t>01403-20.000.00</t>
  </si>
  <si>
    <t>01830-28.000.00</t>
  </si>
  <si>
    <t>01862-28.000.00</t>
  </si>
  <si>
    <t>01864-28.000.00</t>
  </si>
  <si>
    <t>01866-28.000.00</t>
  </si>
  <si>
    <t>01881-29.000.00</t>
  </si>
  <si>
    <t>01883-29.000.00</t>
  </si>
  <si>
    <t>01885-29.000.00</t>
  </si>
  <si>
    <t>02704-20.000.00</t>
  </si>
  <si>
    <t>02705-20.000.00</t>
  </si>
  <si>
    <t>02728-20.000.00</t>
  </si>
  <si>
    <t>02729-20.000.00</t>
  </si>
  <si>
    <t>02765-20.000.00</t>
  </si>
  <si>
    <t>02789-20.000.00</t>
  </si>
  <si>
    <t>02798-20.000.00</t>
  </si>
  <si>
    <t>08202-29.000.00</t>
  </si>
  <si>
    <t>08204-29.000.00</t>
  </si>
  <si>
    <t>08206-29.000.00</t>
  </si>
  <si>
    <t>08312-29.000.00</t>
  </si>
  <si>
    <t>08313-29.000.00</t>
  </si>
  <si>
    <t>08327-29.000.00</t>
  </si>
  <si>
    <t>08328-29.000.00</t>
  </si>
  <si>
    <t>08333-29.000.00</t>
  </si>
  <si>
    <t>08349-29.000.00</t>
  </si>
  <si>
    <t>01328-50.000.00</t>
  </si>
  <si>
    <t>08303-20.000.00</t>
  </si>
  <si>
    <t>01373-20.000.00</t>
  </si>
  <si>
    <t>02750-20.000.00</t>
  </si>
  <si>
    <t>02751-20.000.00</t>
  </si>
  <si>
    <t>02755-20.000.00</t>
  </si>
  <si>
    <t>02752-20.000.00</t>
  </si>
  <si>
    <t>02753-20.000.00</t>
  </si>
  <si>
    <t>02754-20.000.00</t>
  </si>
  <si>
    <t>02756-20.000.00</t>
  </si>
  <si>
    <t>02700-20.000.00</t>
  </si>
  <si>
    <t>02701-20.000.00</t>
  </si>
  <si>
    <t>02792-20.000.00</t>
  </si>
  <si>
    <t>02793-20.000.00</t>
  </si>
  <si>
    <t>02799-20.000.00</t>
  </si>
  <si>
    <t>02771-20.000.00</t>
  </si>
  <si>
    <t>02773-20.000.00</t>
  </si>
  <si>
    <t>02775-20.000.00</t>
  </si>
  <si>
    <t>02778-20.000.00</t>
  </si>
  <si>
    <t>02772-20.000.00</t>
  </si>
  <si>
    <t>02774-20.000.00</t>
  </si>
  <si>
    <t>02776-20.000.00</t>
  </si>
  <si>
    <t>02777-20.000.00</t>
  </si>
  <si>
    <t>02779-20.000.00</t>
  </si>
  <si>
    <t>08250-20.000.00</t>
  </si>
  <si>
    <t>08254-20.000.00</t>
  </si>
  <si>
    <t>08253-20.000.00</t>
  </si>
  <si>
    <t>01559-27.000.00</t>
  </si>
  <si>
    <t>08201-29.000.00</t>
  </si>
  <si>
    <t>08203-29.000.00</t>
  </si>
  <si>
    <t>08205-29.000.00</t>
  </si>
  <si>
    <t>01566-29.000.00</t>
  </si>
  <si>
    <t>01569-26.000.00</t>
  </si>
  <si>
    <t>01569-27.000.00</t>
  </si>
  <si>
    <t>01569-29.000.00</t>
  </si>
  <si>
    <t>01552-29.000.00</t>
  </si>
  <si>
    <t>01553-29.000.00</t>
  </si>
  <si>
    <t>01554-29.000.00</t>
  </si>
  <si>
    <t>01555-29.000.00</t>
  </si>
  <si>
    <t>08220-29.000.00</t>
  </si>
  <si>
    <t>02708-20.000.00</t>
  </si>
  <si>
    <t>08255-20.000.00</t>
  </si>
  <si>
    <t>08221-20.000.00</t>
  </si>
  <si>
    <t>08222-20.000.00</t>
  </si>
  <si>
    <t>02780-20.000.00</t>
  </si>
  <si>
    <t>02781-20.000.00</t>
  </si>
  <si>
    <t>02782-20.000.00</t>
  </si>
  <si>
    <t>02783-20.000.00</t>
  </si>
  <si>
    <t>02786-20.000.00</t>
  </si>
  <si>
    <t>02787-20.000.00</t>
  </si>
  <si>
    <t>02790-20.000.00</t>
  </si>
  <si>
    <t>02761-20.000.00</t>
  </si>
  <si>
    <t>02762-20.000.00</t>
  </si>
  <si>
    <t>02763-20.000.00</t>
  </si>
  <si>
    <t>02791-20.000.00</t>
  </si>
  <si>
    <t>02784-20.000.00</t>
  </si>
  <si>
    <t>02785-20.000.00</t>
  </si>
  <si>
    <t>02764-20.000.00</t>
  </si>
  <si>
    <t>02739-20.000.00</t>
  </si>
  <si>
    <t>02740-20.000.00</t>
  </si>
  <si>
    <t>02742-20.000.00</t>
  </si>
  <si>
    <t>02743-20.000.00</t>
  </si>
  <si>
    <t>02767-20.000.00</t>
  </si>
  <si>
    <t>02768-20.000.00</t>
  </si>
  <si>
    <t>02769-20.000.00</t>
  </si>
  <si>
    <t>02760-37.000.00</t>
  </si>
  <si>
    <t>02760-20.000.00</t>
  </si>
  <si>
    <t>02722-20.000.00</t>
  </si>
  <si>
    <t>01510-20.000.00</t>
  </si>
  <si>
    <t>01513-27.000.00</t>
  </si>
  <si>
    <t>01513-20.000.00</t>
  </si>
  <si>
    <t>02724-20.000.00</t>
  </si>
  <si>
    <t>01505-23.000.00</t>
  </si>
  <si>
    <t>01505-27.000.00</t>
  </si>
  <si>
    <t>02713-20.000.00</t>
  </si>
  <si>
    <t>08322-29.000.00</t>
  </si>
  <si>
    <t>08313-20.000.00</t>
  </si>
  <si>
    <t>01354-20.000.00</t>
  </si>
  <si>
    <t>01355-20.000.00</t>
  </si>
  <si>
    <t>01374-20.000.00</t>
  </si>
  <si>
    <t>01374-29.000.00</t>
  </si>
  <si>
    <t>01377-20.000.00</t>
  </si>
  <si>
    <t>08331-29.000.00</t>
  </si>
  <si>
    <t>08331-20.000.00</t>
  </si>
  <si>
    <t>08333-20.000.00</t>
  </si>
  <si>
    <t>08334-29.000.00</t>
  </si>
  <si>
    <t>08337-29.000.00</t>
  </si>
  <si>
    <t>08337-20.000.00</t>
  </si>
  <si>
    <t>08339-29.000.00</t>
  </si>
  <si>
    <t>08329-29.000.00</t>
  </si>
  <si>
    <t>08330-29.000.00</t>
  </si>
  <si>
    <t>08382-29.000.00</t>
  </si>
  <si>
    <t>08381-29.000.00</t>
  </si>
  <si>
    <t>08381-20.000.00</t>
  </si>
  <si>
    <t>08356-29.000.00</t>
  </si>
  <si>
    <t>08356-20.000.00</t>
  </si>
  <si>
    <t>08324-29.000.00</t>
  </si>
  <si>
    <t>01323-29.000.00</t>
  </si>
  <si>
    <t>01323-20.000.00</t>
  </si>
  <si>
    <t>08357-29.000.00</t>
  </si>
  <si>
    <t>08358-29.000.00</t>
  </si>
  <si>
    <t>08332-29.000.00</t>
  </si>
  <si>
    <t>08363-20.000.00</t>
  </si>
  <si>
    <t>13125-26.000.00</t>
  </si>
  <si>
    <t>13128-26.000.00</t>
  </si>
  <si>
    <t>08310-20.000.00</t>
  </si>
  <si>
    <t>08310-29.000.00</t>
  </si>
  <si>
    <t>08316-29.000.00</t>
  </si>
  <si>
    <t>01391-29.000.00</t>
  </si>
  <si>
    <t>01340-29.000.00</t>
  </si>
  <si>
    <t>01340-20.000.00</t>
  </si>
  <si>
    <t>01341-29.000.00</t>
  </si>
  <si>
    <t>01341-20.000.00</t>
  </si>
  <si>
    <t>08311-20.000.00</t>
  </si>
  <si>
    <t>08311-29.000.00</t>
  </si>
  <si>
    <t>08317-29.000.00</t>
  </si>
  <si>
    <t>08392-29.000.00</t>
  </si>
  <si>
    <t>08343-29.000.00</t>
  </si>
  <si>
    <t>08344-29.000.00</t>
  </si>
  <si>
    <t>08344-20.000.00</t>
  </si>
  <si>
    <t>01347-20.000.00</t>
  </si>
  <si>
    <t>01348-20.000.00</t>
  </si>
  <si>
    <t>01346-20.000.00</t>
  </si>
  <si>
    <t>01350-29.000.00</t>
  </si>
  <si>
    <t>01350-20.000.00</t>
  </si>
  <si>
    <t>08380-20.000.00</t>
  </si>
  <si>
    <t>08380-29.000.00</t>
  </si>
  <si>
    <t>01327-20.000.00</t>
  </si>
  <si>
    <t>08328-20.000.00</t>
  </si>
  <si>
    <t>08327-20.000.00</t>
  </si>
  <si>
    <t>01328-20.000.00</t>
  </si>
  <si>
    <t>08320-29.000.00</t>
  </si>
  <si>
    <t>01365-29.000.00</t>
  </si>
  <si>
    <t>01369-29.000.00</t>
  </si>
  <si>
    <t>01370-20.000.00</t>
  </si>
  <si>
    <t>01370-29.000.00</t>
  </si>
  <si>
    <t>01371-29.000.00</t>
  </si>
  <si>
    <t>01372-20.000.00</t>
  </si>
  <si>
    <t>01372-29.000.00</t>
  </si>
  <si>
    <t>01396-29.000.00</t>
  </si>
  <si>
    <t>08321-29.000.00</t>
  </si>
  <si>
    <t>01367-29.000.00</t>
  </si>
  <si>
    <t>01368-29.000.00</t>
  </si>
  <si>
    <t>08361-20.000.00</t>
  </si>
  <si>
    <t>13136-20.000.00</t>
  </si>
  <si>
    <t>01362-20.000.00</t>
  </si>
  <si>
    <t>01389-20.000.00</t>
  </si>
  <si>
    <t>01395-20.000.00</t>
  </si>
  <si>
    <t>01265-20.000.00</t>
  </si>
  <si>
    <t>01266-20.000.00</t>
  </si>
  <si>
    <t>01407-20.000.00</t>
  </si>
  <si>
    <t>13000-32.000.00</t>
  </si>
  <si>
    <t>13000-20.000.00</t>
  </si>
  <si>
    <t>13000-34.000.00</t>
  </si>
  <si>
    <t>13001-20.000.00</t>
  </si>
  <si>
    <t>13002-20.000.00</t>
  </si>
  <si>
    <t>13005-20.000.00</t>
  </si>
  <si>
    <t>13006-20.000.00</t>
  </si>
  <si>
    <t>13010-20.000.00</t>
  </si>
  <si>
    <t>13010-32.000.00</t>
  </si>
  <si>
    <t>13011-20.000.00</t>
  </si>
  <si>
    <t>13012-20.000.00</t>
  </si>
  <si>
    <t>13013-20.000.00</t>
  </si>
  <si>
    <t>13015-20.000.00</t>
  </si>
  <si>
    <t>13131-20.000.00</t>
  </si>
  <si>
    <t>13135-20.000.00</t>
  </si>
  <si>
    <t>13135-34.000.00</t>
  </si>
  <si>
    <t>13137-20.000.00</t>
  </si>
  <si>
    <t>13137-34.000.00</t>
  </si>
  <si>
    <t>13150-20.000.00</t>
  </si>
  <si>
    <t>13153-20.000.00</t>
  </si>
  <si>
    <t>13156-20.000.00</t>
  </si>
  <si>
    <t>13157-20.000.00</t>
  </si>
  <si>
    <t>13158-20.000.00</t>
  </si>
  <si>
    <t>13162-20.000.00</t>
  </si>
  <si>
    <t>13163-20.000.00</t>
  </si>
  <si>
    <t>13164-20.000.00</t>
  </si>
  <si>
    <t>13166-20.000.00</t>
  </si>
  <si>
    <t>13151-20.000.00</t>
  </si>
  <si>
    <t>05304-20.000.00</t>
  </si>
  <si>
    <t>01124-20.000.00</t>
  </si>
  <si>
    <t>01125-20.000.00</t>
  </si>
  <si>
    <t>05300-20.000.00</t>
  </si>
  <si>
    <t>05337-20.000.00</t>
  </si>
  <si>
    <t>05301-20.000.00</t>
  </si>
  <si>
    <t>05302-20.000.00</t>
  </si>
  <si>
    <t>05305-20.000.00</t>
  </si>
  <si>
    <t>05797-20.000.00</t>
  </si>
  <si>
    <t>05311-20.000.00</t>
  </si>
  <si>
    <t>08223-20.000.00</t>
  </si>
  <si>
    <t>08364-20.000.00</t>
  </si>
  <si>
    <t>13300-20.000.00</t>
  </si>
  <si>
    <t>13300-34.000.00</t>
  </si>
  <si>
    <t>08379-20.000.00</t>
  </si>
  <si>
    <t>01343-26.000.00</t>
  </si>
  <si>
    <t>ProdCal 2015 GARDENA_for uploading.xlsx</t>
  </si>
  <si>
    <t>Russia</t>
  </si>
  <si>
    <t>CZA</t>
  </si>
  <si>
    <t>Шт.</t>
  </si>
  <si>
    <t>DEF</t>
  </si>
  <si>
    <t>ProdCal 2018 GARDENA_for uploading.xlsx</t>
  </si>
  <si>
    <t>Bruntal, Czech</t>
  </si>
  <si>
    <t>EXT</t>
  </si>
  <si>
    <t>FBL</t>
  </si>
  <si>
    <t>FNI</t>
  </si>
  <si>
    <t>ProdCal 2021 GARDENA 04.06.2020.xlsx</t>
  </si>
  <si>
    <t>DED</t>
  </si>
  <si>
    <t>Китай</t>
  </si>
  <si>
    <t>1 g</t>
  </si>
  <si>
    <t>1025 g</t>
  </si>
  <si>
    <t>900 g</t>
  </si>
  <si>
    <t>330 mm</t>
  </si>
  <si>
    <t>125 mm</t>
  </si>
  <si>
    <t>100 mm</t>
  </si>
  <si>
    <t>4.125 dm³</t>
  </si>
  <si>
    <t>304 mm</t>
  </si>
  <si>
    <t>120 mm</t>
  </si>
  <si>
    <t>72 mm</t>
  </si>
  <si>
    <t>144 pcs</t>
  </si>
  <si>
    <t>1350 g</t>
  </si>
  <si>
    <t>752 g</t>
  </si>
  <si>
    <t>121 mm</t>
  </si>
  <si>
    <t>110 mm</t>
  </si>
  <si>
    <t>387 mm</t>
  </si>
  <si>
    <t>5.151 dm³</t>
  </si>
  <si>
    <t>56 pcs</t>
  </si>
  <si>
    <t>Set AccuCut Li Grass&amp;Shrubshear</t>
  </si>
  <si>
    <t>Комплект: Ножницы для газонов аккумуляторные AccuCut Li с 2 ножами (для травы - 8 см, для кустарников - 12 см) (Дисплей)</t>
  </si>
  <si>
    <t>1357 g</t>
  </si>
  <si>
    <t>1300 g</t>
  </si>
  <si>
    <t>320 mm</t>
  </si>
  <si>
    <t>123 mm</t>
  </si>
  <si>
    <t>105 mm</t>
  </si>
  <si>
    <t>4.133 dm³</t>
  </si>
  <si>
    <t>112 pcs</t>
  </si>
  <si>
    <t>Германия</t>
  </si>
  <si>
    <t>325 mm</t>
  </si>
  <si>
    <t>4.266 dm³</t>
  </si>
  <si>
    <t>Battery grass shears ClassicCut Li</t>
  </si>
  <si>
    <t>Ножницы для газонов аккумуляторные ClassicCut Li</t>
  </si>
  <si>
    <t>1121 g</t>
  </si>
  <si>
    <t>575 g</t>
  </si>
  <si>
    <t>950 g</t>
  </si>
  <si>
    <t>127 mm</t>
  </si>
  <si>
    <t>116 mm</t>
  </si>
  <si>
    <t>3.844 dm³</t>
  </si>
  <si>
    <t>300 mm</t>
  </si>
  <si>
    <t>122 mm</t>
  </si>
  <si>
    <t>93 mm</t>
  </si>
  <si>
    <t>120 pcs</t>
  </si>
  <si>
    <t>Set ClassicCut Li incl. shrub blade</t>
  </si>
  <si>
    <t>Ножницы для газонов и кустарников аккумуляторные ClassicCut Li</t>
  </si>
  <si>
    <t>1020 g</t>
  </si>
  <si>
    <t>859 g</t>
  </si>
  <si>
    <t>1200 g</t>
  </si>
  <si>
    <t>117 mm</t>
  </si>
  <si>
    <t>4.755 dm³</t>
  </si>
  <si>
    <t>387.4 mm</t>
  </si>
  <si>
    <t>121.7 mm</t>
  </si>
  <si>
    <t>84.7 mm</t>
  </si>
  <si>
    <t>108 pcs</t>
  </si>
  <si>
    <t>Set ClassicCut Li+handle/wheels</t>
  </si>
  <si>
    <t>Ножницы для газонов аккумуляторные ClassicCut Li с телескопической рукояткой</t>
  </si>
  <si>
    <t>1320 g</t>
  </si>
  <si>
    <t>1124 g</t>
  </si>
  <si>
    <t>1120 g</t>
  </si>
  <si>
    <t>350 mm</t>
  </si>
  <si>
    <t>145 mm</t>
  </si>
  <si>
    <t>1150 mm</t>
  </si>
  <si>
    <t>46.542 dm³</t>
  </si>
  <si>
    <t>917.5 mm</t>
  </si>
  <si>
    <t>758 mm</t>
  </si>
  <si>
    <t>102 mm</t>
  </si>
  <si>
    <t>12 pcs</t>
  </si>
  <si>
    <t>Battery grass shears ComfortCut Li</t>
  </si>
  <si>
    <t>Ножницы для газонов аккумуляторные ComfortCut Li</t>
  </si>
  <si>
    <t>864 g</t>
  </si>
  <si>
    <t>635 g</t>
  </si>
  <si>
    <t>700 g</t>
  </si>
  <si>
    <t>355 mm</t>
  </si>
  <si>
    <t>114 mm</t>
  </si>
  <si>
    <t>97 mm</t>
  </si>
  <si>
    <t>3.926 dm³</t>
  </si>
  <si>
    <t>341.3 mm</t>
  </si>
  <si>
    <t>130.8 mm</t>
  </si>
  <si>
    <t>92.8 mm</t>
  </si>
  <si>
    <t>129 pcs</t>
  </si>
  <si>
    <t>Set ComfortCut Li incl. shrub blade</t>
  </si>
  <si>
    <t>Ножницы для газонов и кустарников аккумуляторные ComfortCut Li</t>
  </si>
  <si>
    <t>1070 g</t>
  </si>
  <si>
    <t>1500 g</t>
  </si>
  <si>
    <t>919 g</t>
  </si>
  <si>
    <t>1400 g</t>
  </si>
  <si>
    <t>4.860 dm³</t>
  </si>
  <si>
    <t>429 mm</t>
  </si>
  <si>
    <t>Set ComfortCut Li+Handle/wheels</t>
  </si>
  <si>
    <t>Ножницы для газонов аккумуляторные ComfortCut Li с телескопической рукояткой</t>
  </si>
  <si>
    <t>1370 g</t>
  </si>
  <si>
    <t>1184 g</t>
  </si>
  <si>
    <t>1170 g</t>
  </si>
  <si>
    <t>958.5 mm</t>
  </si>
  <si>
    <t>767 mm</t>
  </si>
  <si>
    <t xml:space="preserve">Ножницы для газонов аккумуляторные ClassicCut </t>
  </si>
  <si>
    <t>Y, China</t>
  </si>
  <si>
    <t>23,45</t>
  </si>
  <si>
    <t>Ножницы аккумуляторные ClassicCut, комплект</t>
  </si>
  <si>
    <t>Planting and Maintenance glove Size 8/M</t>
  </si>
  <si>
    <t>Перчатки садовые, размер 8</t>
  </si>
  <si>
    <t>ProdCal 2020 GARDENA 10.02.2020.xlsx</t>
  </si>
  <si>
    <t>60 g</t>
  </si>
  <si>
    <t>68 g</t>
  </si>
  <si>
    <t>280 mm</t>
  </si>
  <si>
    <t>10 mm</t>
  </si>
  <si>
    <t>0.308 dm³</t>
  </si>
  <si>
    <t>0 pcs</t>
  </si>
  <si>
    <t>Gardening and Soil Glove Size 7/S</t>
  </si>
  <si>
    <t>Перчатки садовые для работы с почвой, размер 7</t>
  </si>
  <si>
    <t>65 g</t>
  </si>
  <si>
    <t>290 mm</t>
  </si>
  <si>
    <t>15 mm</t>
  </si>
  <si>
    <t>0.479 dm³</t>
  </si>
  <si>
    <t>Gardening and Soil Glove Size 8/M</t>
  </si>
  <si>
    <t>Перчатки садовые для работы с почвой, размер 8</t>
  </si>
  <si>
    <t>67 g</t>
  </si>
  <si>
    <t>Tool Glove Size 10/XL</t>
  </si>
  <si>
    <t>Перчатки рабочие, размер 10</t>
  </si>
  <si>
    <t>100 g</t>
  </si>
  <si>
    <t>105 g</t>
  </si>
  <si>
    <t>30 mm</t>
  </si>
  <si>
    <t>0.924 dm³</t>
  </si>
  <si>
    <t>Bush Care Glove 7/S</t>
  </si>
  <si>
    <t>Перчатки для ухода за кустарниками, размер 7</t>
  </si>
  <si>
    <t>95 g</t>
  </si>
  <si>
    <t>107 g</t>
  </si>
  <si>
    <t>20 mm</t>
  </si>
  <si>
    <t>0.726 dm³</t>
  </si>
  <si>
    <t>2935 g</t>
  </si>
  <si>
    <t>2835 g</t>
  </si>
  <si>
    <t>512 mm</t>
  </si>
  <si>
    <t>159 mm</t>
  </si>
  <si>
    <t>385 mm</t>
  </si>
  <si>
    <t>31.342 dm³</t>
  </si>
  <si>
    <t>490 mm</t>
  </si>
  <si>
    <t>900 mm</t>
  </si>
  <si>
    <t>520 mm</t>
  </si>
  <si>
    <t>23 pcs</t>
  </si>
  <si>
    <t>315 g</t>
  </si>
  <si>
    <t>300 g</t>
  </si>
  <si>
    <t>958 mm</t>
  </si>
  <si>
    <t>130 mm</t>
  </si>
  <si>
    <t>3.736 dm³</t>
  </si>
  <si>
    <t>524 g</t>
  </si>
  <si>
    <t>514 g</t>
  </si>
  <si>
    <t>956 mm</t>
  </si>
  <si>
    <t>135 mm</t>
  </si>
  <si>
    <t>34 mm</t>
  </si>
  <si>
    <t>4.388 dm³</t>
  </si>
  <si>
    <t>Weeding trowel</t>
  </si>
  <si>
    <t>Извлекатель сорняков</t>
  </si>
  <si>
    <t>CZS</t>
  </si>
  <si>
    <t>Чехия</t>
  </si>
  <si>
    <t>960 g</t>
  </si>
  <si>
    <t>1080 mm</t>
  </si>
  <si>
    <t>90 mm</t>
  </si>
  <si>
    <t>150 mm</t>
  </si>
  <si>
    <t>14.58 dm³</t>
  </si>
  <si>
    <t>1088 mm</t>
  </si>
  <si>
    <t>60 mm</t>
  </si>
  <si>
    <t>249 mm</t>
  </si>
  <si>
    <t>ProdCal 2019 GARDENA_for uploading.xlsx</t>
  </si>
  <si>
    <t>59 g</t>
  </si>
  <si>
    <t>53 g</t>
  </si>
  <si>
    <t>1152 pcs</t>
  </si>
  <si>
    <t>55 g</t>
  </si>
  <si>
    <t>0.478 dm³</t>
  </si>
  <si>
    <t>70 g</t>
  </si>
  <si>
    <t>110 g</t>
  </si>
  <si>
    <t>118 g</t>
  </si>
  <si>
    <t>380 mm</t>
  </si>
  <si>
    <t>1.254 dm³</t>
  </si>
  <si>
    <t>576 pcs</t>
  </si>
  <si>
    <t>113 g</t>
  </si>
  <si>
    <t>103 g</t>
  </si>
  <si>
    <t>80 g</t>
  </si>
  <si>
    <t>150 g</t>
  </si>
  <si>
    <t>75 g</t>
  </si>
  <si>
    <t>145 g</t>
  </si>
  <si>
    <t>335 mm</t>
  </si>
  <si>
    <t>0.603 dm³</t>
  </si>
  <si>
    <t>143 g</t>
  </si>
  <si>
    <t>170 g</t>
  </si>
  <si>
    <t>131 g</t>
  </si>
  <si>
    <t>0.91 dm³</t>
  </si>
  <si>
    <t>720 pcs</t>
  </si>
  <si>
    <t>planting mat S</t>
  </si>
  <si>
    <t>Ковер для посадки растений, размер S</t>
  </si>
  <si>
    <t>168 g</t>
  </si>
  <si>
    <t>156 g</t>
  </si>
  <si>
    <t>400 mm</t>
  </si>
  <si>
    <t>230 mm</t>
  </si>
  <si>
    <t>1.840 dm³</t>
  </si>
  <si>
    <t>800 mm</t>
  </si>
  <si>
    <t>1 mm</t>
  </si>
  <si>
    <t>240 pcs</t>
  </si>
  <si>
    <t>planting mat M</t>
  </si>
  <si>
    <t>Ковер для посадки растений, размер M</t>
  </si>
  <si>
    <t>330 g</t>
  </si>
  <si>
    <t>305 g</t>
  </si>
  <si>
    <t>425 mm</t>
  </si>
  <si>
    <t>225 mm</t>
  </si>
  <si>
    <t>55 mm</t>
  </si>
  <si>
    <t>5.259 dm³</t>
  </si>
  <si>
    <t>1000 mm</t>
  </si>
  <si>
    <t>1200 mm</t>
  </si>
  <si>
    <t>104 pcs</t>
  </si>
  <si>
    <t>planting mat L</t>
  </si>
  <si>
    <t>Ковер для посадки растений, размер L</t>
  </si>
  <si>
    <t>780 g</t>
  </si>
  <si>
    <t>456 g</t>
  </si>
  <si>
    <t>446 mm</t>
  </si>
  <si>
    <t>236 mm</t>
  </si>
  <si>
    <t>147 mm</t>
  </si>
  <si>
    <t>15.473 dm³</t>
  </si>
  <si>
    <t>1800 mm</t>
  </si>
  <si>
    <t>52 pcs</t>
  </si>
  <si>
    <t>Topiary Trimming Mat</t>
  </si>
  <si>
    <t>Коврик для обрезки растений контурный</t>
  </si>
  <si>
    <t>502 g</t>
  </si>
  <si>
    <t>430 mm</t>
  </si>
  <si>
    <t>4.025 dm³</t>
  </si>
  <si>
    <t>1500 mm</t>
  </si>
  <si>
    <t>43 g</t>
  </si>
  <si>
    <t>40 g</t>
  </si>
  <si>
    <t>2 mm</t>
  </si>
  <si>
    <t>0.027 dm³</t>
  </si>
  <si>
    <t>42 g</t>
  </si>
  <si>
    <t>25 g</t>
  </si>
  <si>
    <t>5 mm</t>
  </si>
  <si>
    <t>0.068 dm³</t>
  </si>
  <si>
    <t>16 g</t>
  </si>
  <si>
    <t>15 g</t>
  </si>
  <si>
    <t>16 mm</t>
  </si>
  <si>
    <t>0.218 dm³</t>
  </si>
  <si>
    <t>Тайвань, провинция Китая</t>
  </si>
  <si>
    <t>76 g</t>
  </si>
  <si>
    <t>49 g</t>
  </si>
  <si>
    <t>558 mm</t>
  </si>
  <si>
    <t>48 mm</t>
  </si>
  <si>
    <t>6 mm</t>
  </si>
  <si>
    <t>0.161 dm³</t>
  </si>
  <si>
    <t>17 g</t>
  </si>
  <si>
    <t>13 g</t>
  </si>
  <si>
    <t>0.137 dm³</t>
  </si>
  <si>
    <t>18 g</t>
  </si>
  <si>
    <t>0.273 dm³</t>
  </si>
  <si>
    <t>14 g</t>
  </si>
  <si>
    <t>80 mm</t>
  </si>
  <si>
    <t>26 mm</t>
  </si>
  <si>
    <t>0.27 dm³</t>
  </si>
  <si>
    <t>20 g</t>
  </si>
  <si>
    <t>18 mm</t>
  </si>
  <si>
    <t>0.246 dm³</t>
  </si>
  <si>
    <t>175 g</t>
  </si>
  <si>
    <t>12 g</t>
  </si>
  <si>
    <t>12 mm</t>
  </si>
  <si>
    <t>0.164 dm³</t>
  </si>
  <si>
    <t>1560 pcs</t>
  </si>
  <si>
    <t>10 g</t>
  </si>
  <si>
    <t>5 g</t>
  </si>
  <si>
    <t>CS Spreader 420</t>
  </si>
  <si>
    <t>Разбрасыватель-сеялка 3 л (насадка для комбисистемы)</t>
  </si>
  <si>
    <t>940 g</t>
  </si>
  <si>
    <t>935 g</t>
  </si>
  <si>
    <t>503 mm</t>
  </si>
  <si>
    <t>175 mm</t>
  </si>
  <si>
    <t>265 mm</t>
  </si>
  <si>
    <t>23.327 dm³</t>
  </si>
  <si>
    <t>Handspreader M</t>
  </si>
  <si>
    <t>Разбрасыватель-сеялка ручная M</t>
  </si>
  <si>
    <t>756 g</t>
  </si>
  <si>
    <t>611 g</t>
  </si>
  <si>
    <t>220 mm</t>
  </si>
  <si>
    <t>195 mm</t>
  </si>
  <si>
    <t>12.441 dm³</t>
  </si>
  <si>
    <t>198 mm</t>
  </si>
  <si>
    <t>196 mm</t>
  </si>
  <si>
    <t>72 pcs</t>
  </si>
  <si>
    <t>Spreader L</t>
  </si>
  <si>
    <t xml:space="preserve">Разбрасыватель-сеялка L </t>
  </si>
  <si>
    <t>3115 g</t>
  </si>
  <si>
    <t>2535 g</t>
  </si>
  <si>
    <t>588 mm</t>
  </si>
  <si>
    <t>264 mm</t>
  </si>
  <si>
    <t>237 mm</t>
  </si>
  <si>
    <t>36.79 dm³</t>
  </si>
  <si>
    <t>574 mm</t>
  </si>
  <si>
    <t>1097 mm</t>
  </si>
  <si>
    <t>284 mm</t>
  </si>
  <si>
    <t>24 pcs</t>
  </si>
  <si>
    <t>Spreader L, Promotion</t>
  </si>
  <si>
    <t>Разбрасыватель-сеялка L  (Дисплей 1/2 паллеты)</t>
  </si>
  <si>
    <t>3076 g</t>
  </si>
  <si>
    <t>2545 g</t>
  </si>
  <si>
    <t>16 pcs</t>
  </si>
  <si>
    <t>Spreader XL</t>
  </si>
  <si>
    <t>Разбрасыватель-сеялка XL</t>
  </si>
  <si>
    <t>4185 g</t>
  </si>
  <si>
    <t>3255 g</t>
  </si>
  <si>
    <t>435 mm</t>
  </si>
  <si>
    <t>399 mm</t>
  </si>
  <si>
    <t>580 mm</t>
  </si>
  <si>
    <t>100.668 dm³</t>
  </si>
  <si>
    <t>1095 mm</t>
  </si>
  <si>
    <t>395 mm</t>
  </si>
  <si>
    <t>8 pcs</t>
  </si>
  <si>
    <t>Bed Edging 9 cm high</t>
  </si>
  <si>
    <t>Бордюр черный 9 см, длина 9 м</t>
  </si>
  <si>
    <t>600 g</t>
  </si>
  <si>
    <t>530 g</t>
  </si>
  <si>
    <t>570 g</t>
  </si>
  <si>
    <t>500 g</t>
  </si>
  <si>
    <t>170 mm</t>
  </si>
  <si>
    <t>91 mm</t>
  </si>
  <si>
    <t>2.63 dm³</t>
  </si>
  <si>
    <t>192 pcs</t>
  </si>
  <si>
    <t>Bed Edging 15 cm high</t>
  </si>
  <si>
    <t>Бордюр черный 15 см, длина 9 м</t>
  </si>
  <si>
    <t>1075 g</t>
  </si>
  <si>
    <t>4.594 dm³</t>
  </si>
  <si>
    <t>Bed Edging 20 cm high</t>
  </si>
  <si>
    <t>Бордюр черный 20 см , длина 9 м</t>
  </si>
  <si>
    <t>1197 g</t>
  </si>
  <si>
    <t>1150 g</t>
  </si>
  <si>
    <t>205 mm</t>
  </si>
  <si>
    <t>165 mm</t>
  </si>
  <si>
    <t>5.581 dm³</t>
  </si>
  <si>
    <t>Lawn Edging 9 cm high</t>
  </si>
  <si>
    <t xml:space="preserve">Бордюр зеленый 9 см, длина 9 м </t>
  </si>
  <si>
    <t>612 g</t>
  </si>
  <si>
    <t>584 g</t>
  </si>
  <si>
    <t>590 g</t>
  </si>
  <si>
    <t>562 g</t>
  </si>
  <si>
    <t>95 mm</t>
  </si>
  <si>
    <t>2.746 dm³</t>
  </si>
  <si>
    <t>Lawn Edging 15 cm high</t>
  </si>
  <si>
    <t xml:space="preserve">Бордюр зеленый 15 см, длина 9 м </t>
  </si>
  <si>
    <t>929 g</t>
  </si>
  <si>
    <t>1095 g</t>
  </si>
  <si>
    <t>1050 g</t>
  </si>
  <si>
    <t>174 mm</t>
  </si>
  <si>
    <t>151 mm</t>
  </si>
  <si>
    <t>4.572 dm³</t>
  </si>
  <si>
    <t>Lawn Edging 20 cm high</t>
  </si>
  <si>
    <t xml:space="preserve">Бордюр зеленый 20 см, длина 9 м </t>
  </si>
  <si>
    <t>1182 g</t>
  </si>
  <si>
    <t>1280 g</t>
  </si>
  <si>
    <t>1140 g</t>
  </si>
  <si>
    <t>1100 g</t>
  </si>
  <si>
    <t>197 mm</t>
  </si>
  <si>
    <t>178 mm</t>
  </si>
  <si>
    <t>6.242 dm³</t>
  </si>
  <si>
    <t>Backpack Sprayer 12 L</t>
  </si>
  <si>
    <t>Опрыскиватель ранцевый Comfort 12 л</t>
  </si>
  <si>
    <t>Италия</t>
  </si>
  <si>
    <t>3650 g</t>
  </si>
  <si>
    <t>3735 g</t>
  </si>
  <si>
    <t>432 mm</t>
  </si>
  <si>
    <t>140 mm</t>
  </si>
  <si>
    <t>565 mm</t>
  </si>
  <si>
    <t>34.171 dm³</t>
  </si>
  <si>
    <t>3890 g</t>
  </si>
  <si>
    <t>Weedkiller Cone</t>
  </si>
  <si>
    <t xml:space="preserve">Раструб </t>
  </si>
  <si>
    <t>108 g</t>
  </si>
  <si>
    <t>324 mm</t>
  </si>
  <si>
    <t>7.324 dm³</t>
  </si>
  <si>
    <t>190 mm</t>
  </si>
  <si>
    <t>Extension Lance</t>
  </si>
  <si>
    <t>Удлинительная труба</t>
  </si>
  <si>
    <t>505 mm</t>
  </si>
  <si>
    <t>21 mm</t>
  </si>
  <si>
    <t>0.223 dm³</t>
  </si>
  <si>
    <t>Telescopic Lance</t>
  </si>
  <si>
    <t>Штанга телескопическая</t>
  </si>
  <si>
    <t>200 g</t>
  </si>
  <si>
    <t>215 g</t>
  </si>
  <si>
    <t>620 mm</t>
  </si>
  <si>
    <t>40 mm</t>
  </si>
  <si>
    <t>25 mm</t>
  </si>
  <si>
    <t>0.62 dm³</t>
  </si>
  <si>
    <t>Pressure Sprayer 3 l</t>
  </si>
  <si>
    <t>Опрыскиватель Comfort 3 л</t>
  </si>
  <si>
    <t>FHE</t>
  </si>
  <si>
    <t>1446 g</t>
  </si>
  <si>
    <t>187 mm</t>
  </si>
  <si>
    <t>188 mm</t>
  </si>
  <si>
    <t>413 mm</t>
  </si>
  <si>
    <t>14.519 dm³</t>
  </si>
  <si>
    <t>240 mm</t>
  </si>
  <si>
    <t>404 mm</t>
  </si>
  <si>
    <t>183 mm</t>
  </si>
  <si>
    <t>Pressure Sprayer 5 l</t>
  </si>
  <si>
    <t>Опрыскиватель Comfort 5 л</t>
  </si>
  <si>
    <t>1650 g</t>
  </si>
  <si>
    <t>1720 g</t>
  </si>
  <si>
    <t>552 mm</t>
  </si>
  <si>
    <t>18.932 dm³</t>
  </si>
  <si>
    <t>Pressure Sprayer 5 L</t>
  </si>
  <si>
    <t xml:space="preserve">Опрыскиватель 5 л </t>
  </si>
  <si>
    <t>1480 g</t>
  </si>
  <si>
    <t>1568 g</t>
  </si>
  <si>
    <t>200 mm</t>
  </si>
  <si>
    <t>17.15 dm³</t>
  </si>
  <si>
    <t>199 mm</t>
  </si>
  <si>
    <t>492 mm</t>
  </si>
  <si>
    <t>172 mm</t>
  </si>
  <si>
    <t>Offer Pressure Sprayer</t>
  </si>
  <si>
    <t>Опрыскиватель 5 л (Дисплей)</t>
  </si>
  <si>
    <t>1450 g</t>
  </si>
  <si>
    <t>462 mm</t>
  </si>
  <si>
    <t>21.344 dm³</t>
  </si>
  <si>
    <t>1750 mm</t>
  </si>
  <si>
    <t>1583 g</t>
  </si>
  <si>
    <t>1582 g</t>
  </si>
  <si>
    <t>180 mm</t>
  </si>
  <si>
    <t>17.199 dm³</t>
  </si>
  <si>
    <t>1800 g</t>
  </si>
  <si>
    <t>1580 g</t>
  </si>
  <si>
    <t>1630 g</t>
  </si>
  <si>
    <t>Comfort Pressure Sprayer 1,25 L</t>
  </si>
  <si>
    <t>Опрыскиватель 1.25</t>
  </si>
  <si>
    <t>275 mm</t>
  </si>
  <si>
    <t>7.865 dm³</t>
  </si>
  <si>
    <t>224 mm</t>
  </si>
  <si>
    <t>132 mm</t>
  </si>
  <si>
    <t>Offer Pressure sprayer 1,25 L</t>
  </si>
  <si>
    <t>Опрыскиватель 1.25 (Дисплей)</t>
  </si>
  <si>
    <t>96 pcs</t>
  </si>
  <si>
    <t>1700 g</t>
  </si>
  <si>
    <t>1900 g</t>
  </si>
  <si>
    <t>191 mm</t>
  </si>
  <si>
    <t>509 mm</t>
  </si>
  <si>
    <t>18.569 dm³</t>
  </si>
  <si>
    <t>235 mm</t>
  </si>
  <si>
    <t>498 mm</t>
  </si>
  <si>
    <t>185 mm</t>
  </si>
  <si>
    <t>185 g</t>
  </si>
  <si>
    <t>212 g</t>
  </si>
  <si>
    <t>3.63 dm³</t>
  </si>
  <si>
    <t>Comfort Pump Sprayer 0,5 L</t>
  </si>
  <si>
    <t xml:space="preserve">Опрыскиватель 0.5 л </t>
  </si>
  <si>
    <t>128 g</t>
  </si>
  <si>
    <t>130 g</t>
  </si>
  <si>
    <t>245 mm</t>
  </si>
  <si>
    <t>2.646 dm³</t>
  </si>
  <si>
    <t>92 mm</t>
  </si>
  <si>
    <t>Comfort Pump Sprayer 1 L</t>
  </si>
  <si>
    <t xml:space="preserve">Опрыскиватель 1 л </t>
  </si>
  <si>
    <t>180 g</t>
  </si>
  <si>
    <t>124 mm</t>
  </si>
  <si>
    <t>Premium Pump Sprayer 1 L</t>
  </si>
  <si>
    <t>Домашнее садоводство: Опрыскиватель Premium 1 л</t>
  </si>
  <si>
    <t>190 g</t>
  </si>
  <si>
    <t>290 g</t>
  </si>
  <si>
    <t>Leaf and Lawn Collector</t>
  </si>
  <si>
    <t>Механический собиратель листьев</t>
  </si>
  <si>
    <t>10150 g</t>
  </si>
  <si>
    <t>8000 g</t>
  </si>
  <si>
    <t>9000 g</t>
  </si>
  <si>
    <t>730 mm</t>
  </si>
  <si>
    <t>450 mm</t>
  </si>
  <si>
    <t>131.400 dm³</t>
  </si>
  <si>
    <t>1580 mm</t>
  </si>
  <si>
    <t>760 mm</t>
  </si>
  <si>
    <t>660 mm</t>
  </si>
  <si>
    <t>6 pcs</t>
  </si>
  <si>
    <t>Softsprayer</t>
  </si>
  <si>
    <t>Опрыскиватель ручной 0,45 л</t>
  </si>
  <si>
    <t>Pumpsprayer 0,75L</t>
  </si>
  <si>
    <t>Опрыскиватель ручной 0,75 л</t>
  </si>
  <si>
    <t>Pumpsprayer 0,75L offer</t>
  </si>
  <si>
    <t>Опрыскиватель ручной 0,75 л (Дисплей 45 шт.)</t>
  </si>
  <si>
    <t>Pumpsprayer 1 L</t>
  </si>
  <si>
    <t>Опрыскиватель ручной 1 л</t>
  </si>
  <si>
    <t>Pumpsprayer 1L EasyPump</t>
  </si>
  <si>
    <t>Опрыскиватель ручной аккумуляторный EasyPump 1 л</t>
  </si>
  <si>
    <t>Pressuresprayer 1,25 L</t>
  </si>
  <si>
    <t>Опрыскиватель помповый 1,25 л</t>
  </si>
  <si>
    <t>Pressuresprayer 1,25 L offer</t>
  </si>
  <si>
    <t>Опрыскиватель помповый 1,25 л (Дисплей)</t>
  </si>
  <si>
    <t>Pressuresprayer 5 L</t>
  </si>
  <si>
    <t>Опрыскиватель помповый 5 л</t>
  </si>
  <si>
    <t>Pressuresprayer 5 L offer</t>
  </si>
  <si>
    <t>Опрыскиватель помповый 5 л (Дисплей)</t>
  </si>
  <si>
    <t>Pressuresprayer + Cone Set</t>
  </si>
  <si>
    <t>Комплект: Опрыскиватель помповый 5 л + Раструб (Дисплей)</t>
  </si>
  <si>
    <t>Pump 5L+Pressure Sprayer0,75L Set</t>
  </si>
  <si>
    <t>Комплект: Опрыскиватель помповый 5 л + опрыскиватель ручной (Дисплей)</t>
  </si>
  <si>
    <t>Pressuresprayer 5L EasyPump</t>
  </si>
  <si>
    <t>Опрыскиватель помповый аккумуляторный EasyPump 5 л</t>
  </si>
  <si>
    <t>Pressuresprayer 5L Plus</t>
  </si>
  <si>
    <t>Опрыскиватель помповый Plus 5 л</t>
  </si>
  <si>
    <t>Backpacksprayer 12 L</t>
  </si>
  <si>
    <t>Опрыскиватель ранцевый 12 л</t>
  </si>
  <si>
    <t>Рнаструб для опрыскивателя</t>
  </si>
  <si>
    <t>Extenslonpipe</t>
  </si>
  <si>
    <t>Удлинительная труба для опрыскивателя</t>
  </si>
  <si>
    <t>Telescopic Pipe</t>
  </si>
  <si>
    <t>Штанга телескопическая для опрыскивателя</t>
  </si>
  <si>
    <t>Фильтр для опрыскивателя</t>
  </si>
  <si>
    <t>Garden and Maintenance glove S</t>
  </si>
  <si>
    <t>Перчатки садовые, размер S</t>
  </si>
  <si>
    <t>Garden and Maintenance glove M</t>
  </si>
  <si>
    <t>Перчатки садовые, размер M</t>
  </si>
  <si>
    <t>Garden and Maintenance glove L</t>
  </si>
  <si>
    <t>Перчатки садовые, размер L</t>
  </si>
  <si>
    <t>Planting and soil glove S</t>
  </si>
  <si>
    <t>Перчатки садовые для работы с почвой, размер S</t>
  </si>
  <si>
    <t>Planting and soil glove M</t>
  </si>
  <si>
    <t>Перчатки садовые для работы с почвой, размер M</t>
  </si>
  <si>
    <t>Planting and soil glove L</t>
  </si>
  <si>
    <t>Перчатки садовые для работы с почвой, размер L</t>
  </si>
  <si>
    <t>Planting and soil glove XL</t>
  </si>
  <si>
    <t>Перчатки садовые для работы с почвой, размер XL</t>
  </si>
  <si>
    <t>Tool and wood glove M</t>
  </si>
  <si>
    <t>Перчатки рабочие, размер M</t>
  </si>
  <si>
    <t>Tool and wood glove L</t>
  </si>
  <si>
    <t>Перчатки рабочие, размер L</t>
  </si>
  <si>
    <t>Tool and wood glove XL</t>
  </si>
  <si>
    <t>Перчатки рабочие, размер XL</t>
  </si>
  <si>
    <t>Shrubcare glove M</t>
  </si>
  <si>
    <t>Перчатки для ухода за кустарниками, размер M</t>
  </si>
  <si>
    <t>0.000 dm³</t>
  </si>
  <si>
    <t>Shrubcare glove L</t>
  </si>
  <si>
    <t>Перчатки для ухода за кустарниками, размер L</t>
  </si>
  <si>
    <t>Cutting and rose glove</t>
  </si>
  <si>
    <t>Перчатки для ухода за розами, размер M</t>
  </si>
  <si>
    <t>Cutting and rose glove L</t>
  </si>
  <si>
    <t>Перчатки для ухода за розами, размер L</t>
  </si>
  <si>
    <t>Пакистан</t>
  </si>
  <si>
    <t>Offer Pressure Sprayer + Cone</t>
  </si>
  <si>
    <t>Комплект: Опрыскиватель 5 л + Раструб (Дисплей)</t>
  </si>
  <si>
    <t>Backpacksprayer 12L Plus with mano</t>
  </si>
  <si>
    <t>Опрыскиватель ранцевый с манометром Plus 12 л</t>
  </si>
  <si>
    <t>Flower Gatherer</t>
  </si>
  <si>
    <t xml:space="preserve">Ножницы для роз </t>
  </si>
  <si>
    <t>90 g</t>
  </si>
  <si>
    <t>87 g</t>
  </si>
  <si>
    <t>0.666 dm³</t>
  </si>
  <si>
    <t>Secateurs offer</t>
  </si>
  <si>
    <t>Секатор Classic (Дисплей)</t>
  </si>
  <si>
    <t>140 g</t>
  </si>
  <si>
    <t>0.188 dm³</t>
  </si>
  <si>
    <t>61 mm</t>
  </si>
  <si>
    <t>Classic Secateur</t>
  </si>
  <si>
    <t xml:space="preserve">Секатор Classic </t>
  </si>
  <si>
    <t>160 g</t>
  </si>
  <si>
    <t>120 g</t>
  </si>
  <si>
    <t>255 mm</t>
  </si>
  <si>
    <t>0.551 dm³</t>
  </si>
  <si>
    <t>Secateurs B/S</t>
  </si>
  <si>
    <t>Секатор B/S</t>
  </si>
  <si>
    <t>183 g</t>
  </si>
  <si>
    <t>157 g</t>
  </si>
  <si>
    <t>246 mm</t>
  </si>
  <si>
    <t>0.677 dm³</t>
  </si>
  <si>
    <t>184 mm</t>
  </si>
  <si>
    <t>22 mm</t>
  </si>
  <si>
    <t>840 pcs</t>
  </si>
  <si>
    <t>Secateurs A/S</t>
  </si>
  <si>
    <t>Секатор с наковаленкой A/S</t>
  </si>
  <si>
    <t>147 g</t>
  </si>
  <si>
    <t>194 g</t>
  </si>
  <si>
    <t>177 mm</t>
  </si>
  <si>
    <t>Secateurs B/S-M</t>
  </si>
  <si>
    <t>Секатор B/S-M</t>
  </si>
  <si>
    <t>155 g</t>
  </si>
  <si>
    <t>192 g</t>
  </si>
  <si>
    <t>161 g</t>
  </si>
  <si>
    <t>8720 g</t>
  </si>
  <si>
    <t>8950 g</t>
  </si>
  <si>
    <t>793 mm</t>
  </si>
  <si>
    <t>86.952 dm³</t>
  </si>
  <si>
    <t>Promotion Secateur B/S-M</t>
  </si>
  <si>
    <t>Секатор B/S-M (Дисплей)</t>
  </si>
  <si>
    <t>336 pcs</t>
  </si>
  <si>
    <t>Balcony secateur</t>
  </si>
  <si>
    <t>Секатор балконный</t>
  </si>
  <si>
    <t>205 g</t>
  </si>
  <si>
    <t>64 mm</t>
  </si>
  <si>
    <t>Ratchet Secateurs SmartCut</t>
  </si>
  <si>
    <t>Секатор с храповым механизмом SmartCut</t>
  </si>
  <si>
    <t>320 g</t>
  </si>
  <si>
    <t>268 mm</t>
  </si>
  <si>
    <t>0.777 dm³</t>
  </si>
  <si>
    <t>73 mm</t>
  </si>
  <si>
    <t>265 g</t>
  </si>
  <si>
    <t>235 g</t>
  </si>
  <si>
    <t>0.737 dm³</t>
  </si>
  <si>
    <t>8500 g</t>
  </si>
  <si>
    <t>10800 g</t>
  </si>
  <si>
    <t>790 mm</t>
  </si>
  <si>
    <t>86.624 dm³</t>
  </si>
  <si>
    <t>250 g</t>
  </si>
  <si>
    <t>Secateurs A/M</t>
  </si>
  <si>
    <t>Секатор c наковаленкой A/M</t>
  </si>
  <si>
    <t>238 g</t>
  </si>
  <si>
    <t>262 g</t>
  </si>
  <si>
    <t>230 g</t>
  </si>
  <si>
    <t>71 mm</t>
  </si>
  <si>
    <t>700 pcs</t>
  </si>
  <si>
    <t>Secateurs B/M</t>
  </si>
  <si>
    <t>Секатор B/M</t>
  </si>
  <si>
    <t>254 g</t>
  </si>
  <si>
    <t>266 g</t>
  </si>
  <si>
    <t>240 g</t>
  </si>
  <si>
    <t>215 mm</t>
  </si>
  <si>
    <t>63 mm</t>
  </si>
  <si>
    <t>Secateurs B/S-XL</t>
  </si>
  <si>
    <t>Секатор B/S-XL</t>
  </si>
  <si>
    <t>269 g</t>
  </si>
  <si>
    <t>253 g</t>
  </si>
  <si>
    <t>Alu-Secateurs B/L</t>
  </si>
  <si>
    <t>Секатор B/L</t>
  </si>
  <si>
    <t>323 g</t>
  </si>
  <si>
    <t>329 g</t>
  </si>
  <si>
    <t>310 g</t>
  </si>
  <si>
    <t>211 mm</t>
  </si>
  <si>
    <t>398 g</t>
  </si>
  <si>
    <t>368 g</t>
  </si>
  <si>
    <t>295 mm</t>
  </si>
  <si>
    <t>0.664 dm³</t>
  </si>
  <si>
    <t>480 pcs</t>
  </si>
  <si>
    <t>Alu-Secateurs B+/L</t>
  </si>
  <si>
    <t>Секатор B+/L</t>
  </si>
  <si>
    <t>280 g</t>
  </si>
  <si>
    <t>270 g</t>
  </si>
  <si>
    <t>50 mm</t>
  </si>
  <si>
    <t>0.237 dm³</t>
  </si>
  <si>
    <t>218 mm</t>
  </si>
  <si>
    <t>62 mm</t>
  </si>
  <si>
    <t>SchnippSchnapp</t>
  </si>
  <si>
    <t>Ножницы бытовые Шнип-Шнап</t>
  </si>
  <si>
    <t>127 g</t>
  </si>
  <si>
    <t>254 mm</t>
  </si>
  <si>
    <t>8 mm</t>
  </si>
  <si>
    <t>0.244 dm³</t>
  </si>
  <si>
    <t>11 mm</t>
  </si>
  <si>
    <t>89 mm</t>
  </si>
  <si>
    <t>2000 pcs</t>
  </si>
  <si>
    <t>146 g</t>
  </si>
  <si>
    <t>277 mm</t>
  </si>
  <si>
    <t>222 mm</t>
  </si>
  <si>
    <t>5.965 dm³</t>
  </si>
  <si>
    <t>129 g</t>
  </si>
  <si>
    <t>109 g</t>
  </si>
  <si>
    <t>207 mm</t>
  </si>
  <si>
    <t>1125 g</t>
  </si>
  <si>
    <t>390 mm</t>
  </si>
  <si>
    <t>260 mm</t>
  </si>
  <si>
    <t>10.647 dm³</t>
  </si>
  <si>
    <t>204 mm</t>
  </si>
  <si>
    <t>376 mm</t>
  </si>
  <si>
    <t>51 mm</t>
  </si>
  <si>
    <t>cs Bypass Branch Pruner</t>
  </si>
  <si>
    <t>Сучкорез BL (насадка для комбисистемы)</t>
  </si>
  <si>
    <t>351 mm</t>
  </si>
  <si>
    <t>2500 g</t>
  </si>
  <si>
    <t>2150 g</t>
  </si>
  <si>
    <t>15 dm³</t>
  </si>
  <si>
    <t>48 pcs</t>
  </si>
  <si>
    <t>763 g</t>
  </si>
  <si>
    <t>620 g</t>
  </si>
  <si>
    <t>510 mm</t>
  </si>
  <si>
    <t>37 mm</t>
  </si>
  <si>
    <t>3.868 dm³</t>
  </si>
  <si>
    <t>176 mm</t>
  </si>
  <si>
    <t>33 mm</t>
  </si>
  <si>
    <t>813 g</t>
  </si>
  <si>
    <t>500 mm</t>
  </si>
  <si>
    <t>4 dm³</t>
  </si>
  <si>
    <t>504 mm</t>
  </si>
  <si>
    <t>201 mm</t>
  </si>
  <si>
    <t>Comfort Ratchet Lopper SmartCut</t>
  </si>
  <si>
    <t>Сучкорез Comfort с храповым механизмом SmartCut</t>
  </si>
  <si>
    <t>1295 g</t>
  </si>
  <si>
    <t>630 mm</t>
  </si>
  <si>
    <t>35 mm</t>
  </si>
  <si>
    <t>5.072 dm³</t>
  </si>
  <si>
    <t>593 mm</t>
  </si>
  <si>
    <t>28 mm</t>
  </si>
  <si>
    <t>StarCut 160 plus</t>
  </si>
  <si>
    <t>Высоторез StarCut 160 plus</t>
  </si>
  <si>
    <t>1250 g</t>
  </si>
  <si>
    <t>1592 mm</t>
  </si>
  <si>
    <t>52 mm</t>
  </si>
  <si>
    <t>12.418 dm³</t>
  </si>
  <si>
    <t>1600 mm</t>
  </si>
  <si>
    <t>118 mm</t>
  </si>
  <si>
    <t>StarCut 410 plus</t>
  </si>
  <si>
    <t>Высоторез телескопический StarCut 410 plus</t>
  </si>
  <si>
    <t>2373 g</t>
  </si>
  <si>
    <t>2100 g</t>
  </si>
  <si>
    <t>2416 mm</t>
  </si>
  <si>
    <t>67 mm</t>
  </si>
  <si>
    <t>24.281 dm³</t>
  </si>
  <si>
    <t>4100 mm</t>
  </si>
  <si>
    <t>88 pcs</t>
  </si>
  <si>
    <t>premium pruning lopper 700 B</t>
  </si>
  <si>
    <t>Сучкорез Premium 700 B</t>
  </si>
  <si>
    <t>1439 g</t>
  </si>
  <si>
    <t>1253 g</t>
  </si>
  <si>
    <t>715 mm</t>
  </si>
  <si>
    <t>210 mm</t>
  </si>
  <si>
    <t>4.955 dm³</t>
  </si>
  <si>
    <t>700 mm</t>
  </si>
  <si>
    <t>32 mm</t>
  </si>
  <si>
    <t>192 mm</t>
  </si>
  <si>
    <t>Lopper EasyCut 500 B</t>
  </si>
  <si>
    <t>Сучкорез EasyCut 500B</t>
  </si>
  <si>
    <t>970 g</t>
  </si>
  <si>
    <t>1000 g</t>
  </si>
  <si>
    <t>560 mm</t>
  </si>
  <si>
    <t>2.940 dm³</t>
  </si>
  <si>
    <t>224 pcs</t>
  </si>
  <si>
    <t>Lopper EasyCut 680 B</t>
  </si>
  <si>
    <t>Сучкорез EasyCut 680B</t>
  </si>
  <si>
    <t>690 mm</t>
  </si>
  <si>
    <t>98 mm</t>
  </si>
  <si>
    <t>4.995 dm³</t>
  </si>
  <si>
    <t>140 pcs</t>
  </si>
  <si>
    <t>Lopper EasyCut Promo 680 B</t>
  </si>
  <si>
    <t>Сучкорез EasyCut 680B (Дисплей)</t>
  </si>
  <si>
    <t>1218 g</t>
  </si>
  <si>
    <t>1118 g</t>
  </si>
  <si>
    <t>14.876 dm³</t>
  </si>
  <si>
    <t>Lopper EasyCut 680 A</t>
  </si>
  <si>
    <t>Сучкорез EasyCut 680A</t>
  </si>
  <si>
    <t>1105 g</t>
  </si>
  <si>
    <t>710 mm</t>
  </si>
  <si>
    <t>3.905 dm³</t>
  </si>
  <si>
    <t>Lopper TeleCut 520-670 B</t>
  </si>
  <si>
    <t>Сучкорез TeleCut 520-670 B</t>
  </si>
  <si>
    <t>570 mm</t>
  </si>
  <si>
    <t>2.138 dm³</t>
  </si>
  <si>
    <t>Promotion TeleCut 520-670 B</t>
  </si>
  <si>
    <t>Сучкорез TeleCut 520-670 B (Дисплей)</t>
  </si>
  <si>
    <t>Lopper TeleCut long 650-900 B</t>
  </si>
  <si>
    <t>Сучкорез TeleCut 650-900 B</t>
  </si>
  <si>
    <t>670 mm</t>
  </si>
  <si>
    <t>3.819 dm³</t>
  </si>
  <si>
    <t>130 pcs</t>
  </si>
  <si>
    <t>Promotion TeleCut long 650-900 B</t>
  </si>
  <si>
    <t>Сучкорез TeleCut 650-900 B (Дисплей)</t>
  </si>
  <si>
    <t>Lopper EnergyCut 600 B</t>
  </si>
  <si>
    <t>Сучкорез EnergyCut 600B</t>
  </si>
  <si>
    <t>1230 g</t>
  </si>
  <si>
    <t>3.623 dm³</t>
  </si>
  <si>
    <t>150 pcs</t>
  </si>
  <si>
    <t>Lopper EnergyCut 750 B</t>
  </si>
  <si>
    <t>Сучкорез EnergyCut 750B</t>
  </si>
  <si>
    <t>5.451 dm³</t>
  </si>
  <si>
    <t>90 pcs</t>
  </si>
  <si>
    <t>Lopper EnergyCut 750 A</t>
  </si>
  <si>
    <t>Сучкорез EnergyCut 750A</t>
  </si>
  <si>
    <t>250 mm</t>
  </si>
  <si>
    <t>5.925 dm³</t>
  </si>
  <si>
    <t>SlimCut</t>
  </si>
  <si>
    <t>Сучкорез SlimCut</t>
  </si>
  <si>
    <t>1215 g</t>
  </si>
  <si>
    <t>1170 mm</t>
  </si>
  <si>
    <t>136 mm</t>
  </si>
  <si>
    <t>21.165 dm³</t>
  </si>
  <si>
    <t>Promotion SlimCut</t>
  </si>
  <si>
    <t>Сучкорез SlimCut (Дисплей)</t>
  </si>
  <si>
    <t>2000 g</t>
  </si>
  <si>
    <t>16.708 dm³</t>
  </si>
  <si>
    <t>32 pcs</t>
  </si>
  <si>
    <t>1048 g</t>
  </si>
  <si>
    <t>550 mm</t>
  </si>
  <si>
    <t>65 mm</t>
  </si>
  <si>
    <t>6.435 dm³</t>
  </si>
  <si>
    <t>540 mm</t>
  </si>
  <si>
    <t>Ножницы для живой изгороди механические Classic 540 FSC®</t>
  </si>
  <si>
    <t>946 g</t>
  </si>
  <si>
    <t>Комплект: Ножницы для живой изгороди механические Classic 540 FSC® + секатор Classic</t>
  </si>
  <si>
    <t>1062 g</t>
  </si>
  <si>
    <t>983 g</t>
  </si>
  <si>
    <t>6.084 dm³</t>
  </si>
  <si>
    <t>1078 g</t>
  </si>
  <si>
    <t>530 mm</t>
  </si>
  <si>
    <t>70 mm</t>
  </si>
  <si>
    <t>7.049 dm³</t>
  </si>
  <si>
    <t>1092 g</t>
  </si>
  <si>
    <t>Ножницы для живой изгороди механические Boxwood Comfort</t>
  </si>
  <si>
    <t>661 g</t>
  </si>
  <si>
    <t>613 g</t>
  </si>
  <si>
    <t>410 mm</t>
  </si>
  <si>
    <t>5.166 dm³</t>
  </si>
  <si>
    <t>403 mm</t>
  </si>
  <si>
    <t>849 g</t>
  </si>
  <si>
    <t>3.393 dm³</t>
  </si>
  <si>
    <t>69 mm</t>
  </si>
  <si>
    <t>Ножницы для живой изгороди механические 600 Comfort</t>
  </si>
  <si>
    <t>932 g</t>
  </si>
  <si>
    <t>870 g</t>
  </si>
  <si>
    <t>610 mm</t>
  </si>
  <si>
    <t>45 mm</t>
  </si>
  <si>
    <t>4.941 dm³</t>
  </si>
  <si>
    <t>602 mm</t>
  </si>
  <si>
    <t>182 mm</t>
  </si>
  <si>
    <t>Ножницы для живой изгороди механические 700 T Comfort</t>
  </si>
  <si>
    <t>1633 g</t>
  </si>
  <si>
    <t>1465 g</t>
  </si>
  <si>
    <t>720 mm</t>
  </si>
  <si>
    <t>8.28 dm³</t>
  </si>
  <si>
    <t>647 mm</t>
  </si>
  <si>
    <t>88 mm</t>
  </si>
  <si>
    <t>Комплект: Ножницы для живой изгороди механические телескопические Comfort 700 T + секатор Classic</t>
  </si>
  <si>
    <t>Ножницы для живой изгороди механические 650 Premium</t>
  </si>
  <si>
    <t>650 mm</t>
  </si>
  <si>
    <t>5.265 dm³</t>
  </si>
  <si>
    <t>652 mm</t>
  </si>
  <si>
    <t>770 g</t>
  </si>
  <si>
    <t>675 mm</t>
  </si>
  <si>
    <t>5.076 dm³</t>
  </si>
  <si>
    <t>1104 g</t>
  </si>
  <si>
    <t>980 g</t>
  </si>
  <si>
    <t>905 mm</t>
  </si>
  <si>
    <t>6.806 dm³</t>
  </si>
  <si>
    <t>930 g</t>
  </si>
  <si>
    <t>578 mm</t>
  </si>
  <si>
    <t>3.107 dm³</t>
  </si>
  <si>
    <t>CS-Garden saw 300 PP</t>
  </si>
  <si>
    <t>Пила садовая 300 PP</t>
  </si>
  <si>
    <t>365 g</t>
  </si>
  <si>
    <t>514 mm</t>
  </si>
  <si>
    <t>84 mm</t>
  </si>
  <si>
    <t>2.202 dm³</t>
  </si>
  <si>
    <t>508 mm</t>
  </si>
  <si>
    <t>134 mm</t>
  </si>
  <si>
    <t>324 pcs</t>
  </si>
  <si>
    <t>CS-Garden saw 300 PP curved</t>
  </si>
  <si>
    <t>Пила садовая изогнутая 300 PP</t>
  </si>
  <si>
    <t>405 g</t>
  </si>
  <si>
    <t>380 g</t>
  </si>
  <si>
    <t>556 mm</t>
  </si>
  <si>
    <t>115 mm</t>
  </si>
  <si>
    <t>3.261 dm³</t>
  </si>
  <si>
    <t>548 mm</t>
  </si>
  <si>
    <t>194 mm</t>
  </si>
  <si>
    <t>1620 mm</t>
  </si>
  <si>
    <t>6.48 dm³</t>
  </si>
  <si>
    <t>60 pcs</t>
  </si>
  <si>
    <t>Garden Saw 135 P</t>
  </si>
  <si>
    <t>Пила садовая складная 135 P</t>
  </si>
  <si>
    <t>220 g</t>
  </si>
  <si>
    <t>203 mm</t>
  </si>
  <si>
    <t>59 mm</t>
  </si>
  <si>
    <t>0.335 dm³</t>
  </si>
  <si>
    <t>317 mm</t>
  </si>
  <si>
    <t>81 mm</t>
  </si>
  <si>
    <t>29 mm</t>
  </si>
  <si>
    <t>672 pcs</t>
  </si>
  <si>
    <t>Garden Saw 200 P</t>
  </si>
  <si>
    <t>Пила садовая складная 200 P</t>
  </si>
  <si>
    <t>375 g</t>
  </si>
  <si>
    <t>291 mm</t>
  </si>
  <si>
    <t>0.521 dm³</t>
  </si>
  <si>
    <t>485 mm</t>
  </si>
  <si>
    <t>320 pcs</t>
  </si>
  <si>
    <t>Garden Saw 300 P</t>
  </si>
  <si>
    <t>Пила садовая 300 P</t>
  </si>
  <si>
    <t>340 g</t>
  </si>
  <si>
    <t>313 g</t>
  </si>
  <si>
    <t>285 g</t>
  </si>
  <si>
    <t>495 mm</t>
  </si>
  <si>
    <t>31 mm</t>
  </si>
  <si>
    <t>1.350 dm³</t>
  </si>
  <si>
    <t>456 pcs</t>
  </si>
  <si>
    <t>Universal hatchet 900B</t>
  </si>
  <si>
    <t>Топор походный 900 B</t>
  </si>
  <si>
    <t>845 g</t>
  </si>
  <si>
    <t>375 mm</t>
  </si>
  <si>
    <t>158 mm</t>
  </si>
  <si>
    <t>2.666 dm³</t>
  </si>
  <si>
    <t>343 mm</t>
  </si>
  <si>
    <t>157 mm</t>
  </si>
  <si>
    <t>44 mm</t>
  </si>
  <si>
    <t>288 pcs</t>
  </si>
  <si>
    <t>Chopper 1600 S</t>
  </si>
  <si>
    <t>Топор-колун малый 1600 S</t>
  </si>
  <si>
    <t>1705 g</t>
  </si>
  <si>
    <t>625 mm</t>
  </si>
  <si>
    <t>5.203 dm³</t>
  </si>
  <si>
    <t>600 mm</t>
  </si>
  <si>
    <t>171 mm</t>
  </si>
  <si>
    <t>Chopper 1600 S Promo</t>
  </si>
  <si>
    <t>Комплект: Топор-колун малый 1600 A + Заточной комплект (Дисплей)</t>
  </si>
  <si>
    <t>2250 g</t>
  </si>
  <si>
    <t>628 mm</t>
  </si>
  <si>
    <t>4.622 dm³</t>
  </si>
  <si>
    <t>Chopper 2800 S</t>
  </si>
  <si>
    <t>Топор-колун большой 2800 S</t>
  </si>
  <si>
    <t>2960 g</t>
  </si>
  <si>
    <t>2800 g</t>
  </si>
  <si>
    <t>723 mm</t>
  </si>
  <si>
    <t>226 mm</t>
  </si>
  <si>
    <t>8.333 dm³</t>
  </si>
  <si>
    <t>80 pcs</t>
  </si>
  <si>
    <t>Universal axe 1000 A</t>
  </si>
  <si>
    <t>Топор плотницкий 1000 A</t>
  </si>
  <si>
    <t>1040 g</t>
  </si>
  <si>
    <t>470 mm</t>
  </si>
  <si>
    <t>160 mm</t>
  </si>
  <si>
    <t>3.008 dm³</t>
  </si>
  <si>
    <t>Universal axe 1400 A</t>
  </si>
  <si>
    <t>Топор универсальный 1400 A</t>
  </si>
  <si>
    <t>1790 g</t>
  </si>
  <si>
    <t>47 mm</t>
  </si>
  <si>
    <t>5.434 dm³</t>
  </si>
  <si>
    <t>classic grass shear</t>
  </si>
  <si>
    <t>Ножницы для травы Classic</t>
  </si>
  <si>
    <t>373 mm</t>
  </si>
  <si>
    <t>42 mm</t>
  </si>
  <si>
    <t>2.099 dm³</t>
  </si>
  <si>
    <t>369 mm</t>
  </si>
  <si>
    <t>113 mm</t>
  </si>
  <si>
    <t>41 mm</t>
  </si>
  <si>
    <t>298 g</t>
  </si>
  <si>
    <t>2.025 dm³</t>
  </si>
  <si>
    <t>244 g</t>
  </si>
  <si>
    <t>1.716 dm³</t>
  </si>
  <si>
    <t>466 g</t>
  </si>
  <si>
    <t>180 pcs</t>
  </si>
  <si>
    <t>431 g</t>
  </si>
  <si>
    <t>264 g</t>
  </si>
  <si>
    <t>1.8 dm³</t>
  </si>
  <si>
    <t>comfort grass shear</t>
  </si>
  <si>
    <t xml:space="preserve">Ножницы для травы Comfort </t>
  </si>
  <si>
    <t>336 g</t>
  </si>
  <si>
    <t>296 g</t>
  </si>
  <si>
    <t>154 mm</t>
  </si>
  <si>
    <t>2.413 dm³</t>
  </si>
  <si>
    <t>Comfort Grass Shears, ZEU</t>
  </si>
  <si>
    <t>358 g</t>
  </si>
  <si>
    <t>366 mm</t>
  </si>
  <si>
    <t>1.801 dm³</t>
  </si>
  <si>
    <t>comfort grass shear, swivelling</t>
  </si>
  <si>
    <t>Ножницы для травы поворотные Comfort</t>
  </si>
  <si>
    <t>comfort plus grass shear, swivell.</t>
  </si>
  <si>
    <t>Ножницы для травы поворотные Comfort Plus</t>
  </si>
  <si>
    <t>460 g</t>
  </si>
  <si>
    <t>360 g</t>
  </si>
  <si>
    <t>321 mm</t>
  </si>
  <si>
    <t>128 mm</t>
  </si>
  <si>
    <t>comfort plus grass shear,swivelling</t>
  </si>
  <si>
    <t>439 g</t>
  </si>
  <si>
    <t>350 g</t>
  </si>
  <si>
    <t>402 g</t>
  </si>
  <si>
    <t>372 mm</t>
  </si>
  <si>
    <t>155 mm</t>
  </si>
  <si>
    <t>2.306 dm³</t>
  </si>
  <si>
    <t>Comfort long-handle Grass Shears</t>
  </si>
  <si>
    <t>Ножницы для травы поворотные Comfort с телескопической рукояткой</t>
  </si>
  <si>
    <t>982 g</t>
  </si>
  <si>
    <t>360 mm</t>
  </si>
  <si>
    <t>33.696 dm³</t>
  </si>
  <si>
    <t>1316 mm</t>
  </si>
  <si>
    <t>30 pcs</t>
  </si>
  <si>
    <t>40 pcs</t>
  </si>
  <si>
    <t>Sharpener</t>
  </si>
  <si>
    <t>Точилка для режущих инструментов</t>
  </si>
  <si>
    <t>195 g</t>
  </si>
  <si>
    <t>3.049 dm³</t>
  </si>
  <si>
    <t>450 g</t>
  </si>
  <si>
    <t>3.060 dm³</t>
  </si>
  <si>
    <t>Classic Hedge Clipper FSC 100%</t>
  </si>
  <si>
    <t>Ножницы для живой изгороди механические NatureCut</t>
  </si>
  <si>
    <t>852 g</t>
  </si>
  <si>
    <t>895 g</t>
  </si>
  <si>
    <t>832 g</t>
  </si>
  <si>
    <t>840 g</t>
  </si>
  <si>
    <t>14.616 dm³</t>
  </si>
  <si>
    <t>457 mm</t>
  </si>
  <si>
    <t>1270 g</t>
  </si>
  <si>
    <t>1060 g</t>
  </si>
  <si>
    <t>EasyCut Hedge Clipper</t>
  </si>
  <si>
    <t>Ножницы для живой изгороди механические EasyCut</t>
  </si>
  <si>
    <t>890 g</t>
  </si>
  <si>
    <t>640 mm</t>
  </si>
  <si>
    <t>5.760 dm³</t>
  </si>
  <si>
    <t>PrecisionCut Boxwood</t>
  </si>
  <si>
    <t>Ножницы для живой изгороди механические PrecisionCut</t>
  </si>
  <si>
    <t>670 g</t>
  </si>
  <si>
    <t>630 g</t>
  </si>
  <si>
    <t>475 mm</t>
  </si>
  <si>
    <t>6.175 dm³</t>
  </si>
  <si>
    <t>585 g</t>
  </si>
  <si>
    <t>2in 1 EnergyCut Hedge Clipper</t>
  </si>
  <si>
    <t>Ножницы для живой изгороди механические 2в1 EnergyCut</t>
  </si>
  <si>
    <t>1130 g</t>
  </si>
  <si>
    <t>66 mm</t>
  </si>
  <si>
    <t>8.276 dm³</t>
  </si>
  <si>
    <t>605 mm</t>
  </si>
  <si>
    <t>85 mm</t>
  </si>
  <si>
    <t>1082 g</t>
  </si>
  <si>
    <t>10.028 dm³</t>
  </si>
  <si>
    <t>TeleCut Hedge Clipper</t>
  </si>
  <si>
    <t>Ножницы для живой изгороди механические TeleCut</t>
  </si>
  <si>
    <t>1325 g</t>
  </si>
  <si>
    <t>1326 g</t>
  </si>
  <si>
    <t>1305 g</t>
  </si>
  <si>
    <t>750 mm</t>
  </si>
  <si>
    <t>8.250 dm³</t>
  </si>
  <si>
    <t>705 mm</t>
  </si>
  <si>
    <t>74 mm</t>
  </si>
  <si>
    <t>11.217 dm³</t>
  </si>
  <si>
    <t>Pro secateur</t>
  </si>
  <si>
    <t>Секатор ExpertCut</t>
  </si>
  <si>
    <t>ProdCal 2016 GARDENA_for uploading.xlsx</t>
  </si>
  <si>
    <t>ProdCal 2017 GARDENA_for uploading.xlsx</t>
  </si>
  <si>
    <t>673 g</t>
  </si>
  <si>
    <t>262 mm</t>
  </si>
  <si>
    <t>241 mm</t>
  </si>
  <si>
    <t>101 mm</t>
  </si>
  <si>
    <t>6.377 dm³</t>
  </si>
  <si>
    <t>CS Cultivator</t>
  </si>
  <si>
    <t>Культиватор 3,6 см (насадка для комбисистемы)</t>
  </si>
  <si>
    <t>258 g</t>
  </si>
  <si>
    <t>214 mm</t>
  </si>
  <si>
    <t>1.029 dm³</t>
  </si>
  <si>
    <t>400 g</t>
  </si>
  <si>
    <t>4.226 dm³</t>
  </si>
  <si>
    <t>CS Grubber</t>
  </si>
  <si>
    <t>Рыхлитель 9 см (насадка для комбисистемы)</t>
  </si>
  <si>
    <t>3.325 dm³</t>
  </si>
  <si>
    <t>1363 g</t>
  </si>
  <si>
    <t>440 mm</t>
  </si>
  <si>
    <t>9.984 dm³</t>
  </si>
  <si>
    <t>cs Star Tiller</t>
  </si>
  <si>
    <t>Культиватор звездочный (насадка для комбисистемы)</t>
  </si>
  <si>
    <t>1030 g</t>
  </si>
  <si>
    <t>865 g</t>
  </si>
  <si>
    <t>148 mm</t>
  </si>
  <si>
    <t>141 mm</t>
  </si>
  <si>
    <t>6.782 dm³</t>
  </si>
  <si>
    <t>1300 mm</t>
  </si>
  <si>
    <t>13.572 dm³</t>
  </si>
  <si>
    <t>tbd</t>
  </si>
  <si>
    <t>1100 mm</t>
  </si>
  <si>
    <t>41.58 dm³</t>
  </si>
  <si>
    <t>1340 g</t>
  </si>
  <si>
    <t>9.865 dm³</t>
  </si>
  <si>
    <t>combisystem Fruit Collector</t>
  </si>
  <si>
    <t>Плодосборник (насадка для комбисистемы)</t>
  </si>
  <si>
    <t>835 g</t>
  </si>
  <si>
    <t>371 mm</t>
  </si>
  <si>
    <t>331 mm</t>
  </si>
  <si>
    <t>217 mm</t>
  </si>
  <si>
    <t>26.648 dm³</t>
  </si>
  <si>
    <t>378 mm</t>
  </si>
  <si>
    <t>1600 g</t>
  </si>
  <si>
    <t>1195 mm</t>
  </si>
  <si>
    <t>102.531 dm³</t>
  </si>
  <si>
    <t>20 pcs</t>
  </si>
  <si>
    <t>combisystem Fruit Picker</t>
  </si>
  <si>
    <t>Плодосъемник (насадка для комбисистемы)</t>
  </si>
  <si>
    <t>248 g</t>
  </si>
  <si>
    <t>6.26 dm³</t>
  </si>
  <si>
    <t>428 mm</t>
  </si>
  <si>
    <t>302 mm</t>
  </si>
  <si>
    <t>100 pcs</t>
  </si>
  <si>
    <t>combisystem Fruit Picker Assortment</t>
  </si>
  <si>
    <t>Комплект: Плодосъемник (насадка для комбисистемы) с телескопической рукояткой 210-390 см</t>
  </si>
  <si>
    <t>2110 mm</t>
  </si>
  <si>
    <t>23.97 dm³</t>
  </si>
  <si>
    <t>119 mm</t>
  </si>
  <si>
    <t>3.37 dm³</t>
  </si>
  <si>
    <t>CS Hoe, 14 cm wide</t>
  </si>
  <si>
    <t>Мотыга 14 см (насадка для комбисистемы)</t>
  </si>
  <si>
    <t>370 g</t>
  </si>
  <si>
    <t>3.063 dm³</t>
  </si>
  <si>
    <t>306 g</t>
  </si>
  <si>
    <t>0.987 dm³</t>
  </si>
  <si>
    <t>143 mm</t>
  </si>
  <si>
    <t xml:space="preserve">cs root-crop hoe </t>
  </si>
  <si>
    <t>Мотыга для корнеплодных 8 см (насадка для комбисистемы)</t>
  </si>
  <si>
    <t>82 mm</t>
  </si>
  <si>
    <t>103 mm</t>
  </si>
  <si>
    <t>2.069 dm³</t>
  </si>
  <si>
    <t>540 pcs</t>
  </si>
  <si>
    <t>CS Root-crop Hoe</t>
  </si>
  <si>
    <t>Мотыга для корнеплодных 16 см (насадка для комбисистемы)</t>
  </si>
  <si>
    <t>385 g</t>
  </si>
  <si>
    <t>3.955 dm³</t>
  </si>
  <si>
    <t>166 mm</t>
  </si>
  <si>
    <t>247 mm</t>
  </si>
  <si>
    <t>104 mm</t>
  </si>
  <si>
    <t>4.752 dm³</t>
  </si>
  <si>
    <t>186 mm</t>
  </si>
  <si>
    <t>243 mm</t>
  </si>
  <si>
    <t>96 mm</t>
  </si>
  <si>
    <t>3.872 dm³</t>
  </si>
  <si>
    <t>248 mm</t>
  </si>
  <si>
    <t>CS Draw Hoe</t>
  </si>
  <si>
    <t>Мотыга-волокуша 12 см (насадка для комбисистемы)</t>
  </si>
  <si>
    <t>4.42 dm³</t>
  </si>
  <si>
    <t>126 mm</t>
  </si>
  <si>
    <t>CS Garden Hoe</t>
  </si>
  <si>
    <t>Тяпка садовая 7 см (насадка для комбисистемы)</t>
  </si>
  <si>
    <t>322 g</t>
  </si>
  <si>
    <t>138 mm</t>
  </si>
  <si>
    <t>2.096 dm³</t>
  </si>
  <si>
    <t>213 mm</t>
  </si>
  <si>
    <t>75 mm</t>
  </si>
  <si>
    <t>1.997 dm³</t>
  </si>
  <si>
    <t>cs-Garden Hoe 3 teeth</t>
  </si>
  <si>
    <t>Тяпка садовая 9 см (насадка для комбисистемы)</t>
  </si>
  <si>
    <t>505 g</t>
  </si>
  <si>
    <t>490 g</t>
  </si>
  <si>
    <t>0.39 dm³</t>
  </si>
  <si>
    <t>239 mm</t>
  </si>
  <si>
    <t>CS Bow Rake, 36 cm wide</t>
  </si>
  <si>
    <t>Грабли изогнутые 36 см (насадка для комбисистемы)</t>
  </si>
  <si>
    <t>790 g</t>
  </si>
  <si>
    <t>715 g</t>
  </si>
  <si>
    <t>362 mm</t>
  </si>
  <si>
    <t>6.95 dm³</t>
  </si>
  <si>
    <t>540 g</t>
  </si>
  <si>
    <t>361 mm</t>
  </si>
  <si>
    <t>5.496 dm³</t>
  </si>
  <si>
    <t>CS Rake, 25 cm wide</t>
  </si>
  <si>
    <t>Грабли 25 см (насадка для комбисистемы)</t>
  </si>
  <si>
    <t>425 g</t>
  </si>
  <si>
    <t>252 mm</t>
  </si>
  <si>
    <t>144 mm</t>
  </si>
  <si>
    <t>107 mm</t>
  </si>
  <si>
    <t>3.883 dm³</t>
  </si>
  <si>
    <t>510 g</t>
  </si>
  <si>
    <t>485 g</t>
  </si>
  <si>
    <t>3.432 dm³</t>
  </si>
  <si>
    <t>CS Rake, 41 cm wide</t>
  </si>
  <si>
    <t>Грабли 41 см (насадка для комбисистемы)</t>
  </si>
  <si>
    <t>415 mm</t>
  </si>
  <si>
    <t>146 mm</t>
  </si>
  <si>
    <t>6.12 dm³</t>
  </si>
  <si>
    <t>1.796 dm³</t>
  </si>
  <si>
    <t>1.349 dm³</t>
  </si>
  <si>
    <t>cs-Rake Assortment FSC 100%</t>
  </si>
  <si>
    <t>Комплект: Грабли 30 см (насадка для комбисистемы) + Рукоятка деревянная 130 см (Дисплей)</t>
  </si>
  <si>
    <t>1362 g</t>
  </si>
  <si>
    <t>14.872 dm³</t>
  </si>
  <si>
    <t>cs-Offer 3166/3177/handle FSC 100%</t>
  </si>
  <si>
    <t>Комплект: Рыхлитель 9 см (насадка для комбисистемы) + Грабли 30 см (насадка для комбисистемы) + Ручка алюминиевая эргономичная 130 см (для комбисистемы)</t>
  </si>
  <si>
    <t>1435 g</t>
  </si>
  <si>
    <t>16.731 dm³</t>
  </si>
  <si>
    <t>cs-Fan Rake Assortment FSC 100%</t>
  </si>
  <si>
    <t>Комплект: Грабли веерные (насадка для комбисистемы) + Рукоятка деревянная 130 см (Дисплей)</t>
  </si>
  <si>
    <t>455 mm</t>
  </si>
  <si>
    <t>50.278 dm³</t>
  </si>
  <si>
    <t>CS Spring-Wire Rake</t>
  </si>
  <si>
    <t>Грабли проволочные пружинящие (насадка для комбисистемы)</t>
  </si>
  <si>
    <t>830 g</t>
  </si>
  <si>
    <t>800 g</t>
  </si>
  <si>
    <t>20.649 dm³</t>
  </si>
  <si>
    <t>640 g</t>
  </si>
  <si>
    <t>18.177 dm³</t>
  </si>
  <si>
    <t>CS Adjustable Rake</t>
  </si>
  <si>
    <t>Грабли стальные веерные регулируемые (насадка для комбисистемы)</t>
  </si>
  <si>
    <t>694 g</t>
  </si>
  <si>
    <t>650 g</t>
  </si>
  <si>
    <t>10.351 dm³</t>
  </si>
  <si>
    <t>CS Lawn Rake</t>
  </si>
  <si>
    <t>Грабли для газонов (насадка для комбисистемы)</t>
  </si>
  <si>
    <t>176 g</t>
  </si>
  <si>
    <t>56 mm</t>
  </si>
  <si>
    <t>7.064 dm³</t>
  </si>
  <si>
    <t>139 g</t>
  </si>
  <si>
    <t>271 mm</t>
  </si>
  <si>
    <t>3.232 dm³</t>
  </si>
  <si>
    <t>CS Gather Rake, 60 cm</t>
  </si>
  <si>
    <t>Грабли для очистки газонов 60 см (насадка для комбисистемы)</t>
  </si>
  <si>
    <t>585 mm</t>
  </si>
  <si>
    <t>167 mm</t>
  </si>
  <si>
    <t>111 mm</t>
  </si>
  <si>
    <t>10.844 dm³</t>
  </si>
  <si>
    <t>590 mm</t>
  </si>
  <si>
    <t>1290 g</t>
  </si>
  <si>
    <t>725 mm</t>
  </si>
  <si>
    <t>13.159 dm³</t>
  </si>
  <si>
    <t>306 mm</t>
  </si>
  <si>
    <t>229 mm</t>
  </si>
  <si>
    <t>1.752 dm³</t>
  </si>
  <si>
    <t>CS Vertical Cutter S</t>
  </si>
  <si>
    <t>Прореживатель на колесах (насадка для комбисистемы)</t>
  </si>
  <si>
    <t>2026 g</t>
  </si>
  <si>
    <t>460 mm</t>
  </si>
  <si>
    <t>263 mm</t>
  </si>
  <si>
    <t>18.752 dm³</t>
  </si>
  <si>
    <t>CS Aerator Rake</t>
  </si>
  <si>
    <t>Прореживатель (насадка для комбисистемы)</t>
  </si>
  <si>
    <t>692 g</t>
  </si>
  <si>
    <t>365 mm</t>
  </si>
  <si>
    <t>7.108 dm³</t>
  </si>
  <si>
    <t>9.345 dm³</t>
  </si>
  <si>
    <t>cs Plastic Fan Rake XXL, foldable</t>
  </si>
  <si>
    <t>Грабли пластиковые веерные XXL складные (насадка для комбисистемы)</t>
  </si>
  <si>
    <t>735 g</t>
  </si>
  <si>
    <t>680 g</t>
  </si>
  <si>
    <t>18.009 dm³</t>
  </si>
  <si>
    <t>526 mm</t>
  </si>
  <si>
    <t>762 mm</t>
  </si>
  <si>
    <t>925 g</t>
  </si>
  <si>
    <t>21.112 dm³</t>
  </si>
  <si>
    <t>1427 g</t>
  </si>
  <si>
    <t>1136 g</t>
  </si>
  <si>
    <t>53.593 dm³</t>
  </si>
  <si>
    <t>Combisystem Plastic adj. Rake</t>
  </si>
  <si>
    <t>Грабли пластиковые веерные регулируемые (насадка для комбисистемы)</t>
  </si>
  <si>
    <t>520 g</t>
  </si>
  <si>
    <t>420 g</t>
  </si>
  <si>
    <t>13.125 dm³</t>
  </si>
  <si>
    <t>539 mm</t>
  </si>
  <si>
    <t>382 mm</t>
  </si>
  <si>
    <t>63.96 dm³</t>
  </si>
  <si>
    <t>csPlastic adj. Rake Promo FSC 100%</t>
  </si>
  <si>
    <t>Комплект: Грабли пластиковые регулируемые (насадка для комбисистемы) + Ручка алюминиевая эргономичная 130 см (для комбисистемы)</t>
  </si>
  <si>
    <t>1210 g</t>
  </si>
  <si>
    <t>31.369 dm³</t>
  </si>
  <si>
    <t>434 mm</t>
  </si>
  <si>
    <t>38 mm</t>
  </si>
  <si>
    <t>3.711 dm³</t>
  </si>
  <si>
    <t>cs Joint Brush metal</t>
  </si>
  <si>
    <t>Щетка щелевая</t>
  </si>
  <si>
    <t>0.735 dm³</t>
  </si>
  <si>
    <t>36 mm</t>
  </si>
  <si>
    <t>0.756 dm³</t>
  </si>
  <si>
    <t>6.144 dm³</t>
  </si>
  <si>
    <t>325 g</t>
  </si>
  <si>
    <t>4.95 dm³</t>
  </si>
  <si>
    <t>288 mm</t>
  </si>
  <si>
    <t>685 g</t>
  </si>
  <si>
    <t>5.635 dm³</t>
  </si>
  <si>
    <t>combisystem Road Boom</t>
  </si>
  <si>
    <t xml:space="preserve">Щетка для дорожек </t>
  </si>
  <si>
    <t>475 g</t>
  </si>
  <si>
    <t>470 g</t>
  </si>
  <si>
    <t>7.74 dm³</t>
  </si>
  <si>
    <t>131 mm</t>
  </si>
  <si>
    <t>181 mm</t>
  </si>
  <si>
    <t>cs Road Broom Promo FSC 100%</t>
  </si>
  <si>
    <t>Комплект: Щетка для дорожек (насадка для комбисистемы) + Рукоятка деревянная 130 см (Дисплей)</t>
  </si>
  <si>
    <t>20.124 dm³</t>
  </si>
  <si>
    <t>combisystem Angle Broom</t>
  </si>
  <si>
    <t>Щетка щелевая треугольная (насадка для комбисистемы)</t>
  </si>
  <si>
    <t>452 g</t>
  </si>
  <si>
    <t>390 g</t>
  </si>
  <si>
    <t>57 mm</t>
  </si>
  <si>
    <t>6.633 dm³</t>
  </si>
  <si>
    <t>409 mm</t>
  </si>
  <si>
    <t>227 mm</t>
  </si>
  <si>
    <t>combisystem Gutter Cleaner</t>
  </si>
  <si>
    <t>Очиститель для желобов (насадка для комбисистемы)</t>
  </si>
  <si>
    <t>528 mm</t>
  </si>
  <si>
    <t>9.694 dm³</t>
  </si>
  <si>
    <t>449 mm</t>
  </si>
  <si>
    <t>112 mm</t>
  </si>
  <si>
    <t>combisystem Gutter Cleaner Assort.</t>
  </si>
  <si>
    <t>Комплект: Очиститель для желобов (насадка для комбисистемы) с телескопической рукояткой 210-390 см (Дисплей)</t>
  </si>
  <si>
    <t>2083 g</t>
  </si>
  <si>
    <t>1786 g</t>
  </si>
  <si>
    <t>41.778 dm³</t>
  </si>
  <si>
    <t>combisystem Terrace Broom</t>
  </si>
  <si>
    <t>Щетка для террас (насадка для комбисистемы)</t>
  </si>
  <si>
    <t>245 g</t>
  </si>
  <si>
    <t>2.219 dm³</t>
  </si>
  <si>
    <t>329 mm</t>
  </si>
  <si>
    <t>300 pcs</t>
  </si>
  <si>
    <t>cs Snow Shovel KST 40</t>
  </si>
  <si>
    <t>Лопата для уборки снега 40 см c пластиковой кромкой</t>
  </si>
  <si>
    <t>1012 g</t>
  </si>
  <si>
    <t>19.314 dm³</t>
  </si>
  <si>
    <t>cs Snow Shovel KST 50</t>
  </si>
  <si>
    <t>Лопата для уборки снега 50 см c пластиковой кромкой</t>
  </si>
  <si>
    <t>1220 g</t>
  </si>
  <si>
    <t>24.143 dm³</t>
  </si>
  <si>
    <t>cs Snow Shovel ES 40</t>
  </si>
  <si>
    <t>Лопата для уборки снега 40 см с кромкой из нержавеющей стали</t>
  </si>
  <si>
    <t>1093 g</t>
  </si>
  <si>
    <t>927 g</t>
  </si>
  <si>
    <t>427 mm</t>
  </si>
  <si>
    <t>402 mm</t>
  </si>
  <si>
    <t>cs Snow Shovel ES 50</t>
  </si>
  <si>
    <t>Лопата для уборки снега 50 см с кромкой из нержавеющей стали</t>
  </si>
  <si>
    <t>1015 g</t>
  </si>
  <si>
    <t>502 mm</t>
  </si>
  <si>
    <t>cs Scraper Steel 15</t>
  </si>
  <si>
    <t>Скребок для льда и снега 15 см</t>
  </si>
  <si>
    <t>561 g</t>
  </si>
  <si>
    <t>253 mm</t>
  </si>
  <si>
    <t>1.101 dm³</t>
  </si>
  <si>
    <t>888 g</t>
  </si>
  <si>
    <t>2.201 dm³</t>
  </si>
  <si>
    <t>422 g</t>
  </si>
  <si>
    <t>109 mm</t>
  </si>
  <si>
    <t>4.646 dm³</t>
  </si>
  <si>
    <t>Small Caster</t>
  </si>
  <si>
    <t>Разбрасыватель-сеялка ручная S</t>
  </si>
  <si>
    <t>430 g</t>
  </si>
  <si>
    <t>295 g</t>
  </si>
  <si>
    <t>Snow Scoop</t>
  </si>
  <si>
    <t>Скрепер для уборки снега</t>
  </si>
  <si>
    <t>6120 g</t>
  </si>
  <si>
    <t>5000 g</t>
  </si>
  <si>
    <t>945 mm</t>
  </si>
  <si>
    <t>133.937 dm³</t>
  </si>
  <si>
    <t>718 mm</t>
  </si>
  <si>
    <t>5140 g</t>
  </si>
  <si>
    <t>930 mm</t>
  </si>
  <si>
    <t>181.35 dm³</t>
  </si>
  <si>
    <t>14 pcs</t>
  </si>
  <si>
    <t>ClassicLine Snow Shovel 40 cm</t>
  </si>
  <si>
    <t>Лопата для уборки снега 40 см ClassicLine</t>
  </si>
  <si>
    <t>Польша</t>
  </si>
  <si>
    <t>1920 g</t>
  </si>
  <si>
    <t>1160 g</t>
  </si>
  <si>
    <t>1320 mm</t>
  </si>
  <si>
    <t>44.880 dm³</t>
  </si>
  <si>
    <t>1310 mm</t>
  </si>
  <si>
    <t>45 pcs</t>
  </si>
  <si>
    <t>ClassicLine Snow Scoop</t>
  </si>
  <si>
    <t>Скрепер для уборки снега 80 см ClassicLine</t>
  </si>
  <si>
    <t>3200 g</t>
  </si>
  <si>
    <t>3150 g</t>
  </si>
  <si>
    <t>1340 mm</t>
  </si>
  <si>
    <t>217.987 dm³</t>
  </si>
  <si>
    <t>206 g</t>
  </si>
  <si>
    <t>785 mm</t>
  </si>
  <si>
    <t>1.06 dm³</t>
  </si>
  <si>
    <t>810 pcs</t>
  </si>
  <si>
    <t>816 g</t>
  </si>
  <si>
    <t>5.85 dm³</t>
  </si>
  <si>
    <t>cs Hand Hoe Heart-shaped Blade</t>
  </si>
  <si>
    <t>Мотыжка ручная 6 см с 2 зубцами (ручной садовый инструмент / насадка для комбисистемы)</t>
  </si>
  <si>
    <t>284 g</t>
  </si>
  <si>
    <t>279 g</t>
  </si>
  <si>
    <t>370 mm</t>
  </si>
  <si>
    <t>3.663 dm³</t>
  </si>
  <si>
    <t>168 mm</t>
  </si>
  <si>
    <t>390 pcs</t>
  </si>
  <si>
    <t>289 g</t>
  </si>
  <si>
    <t>3.197 dm³</t>
  </si>
  <si>
    <t>cs Hand Hoe Straight Blade, 3 teeth</t>
  </si>
  <si>
    <t>Мотыжка ручная 6.5 см с 3 зубцами (ручной садовый инструмент-насадка для комбисистемы)</t>
  </si>
  <si>
    <t>338 g</t>
  </si>
  <si>
    <t>333 g</t>
  </si>
  <si>
    <t>173 mm</t>
  </si>
  <si>
    <t>5.065 dm³</t>
  </si>
  <si>
    <t>280 pcs</t>
  </si>
  <si>
    <t>232 g</t>
  </si>
  <si>
    <t>227 g</t>
  </si>
  <si>
    <t>447 mm</t>
  </si>
  <si>
    <t>1.869 dm³</t>
  </si>
  <si>
    <t>451 mm</t>
  </si>
  <si>
    <t>83 mm</t>
  </si>
  <si>
    <t>455 pcs</t>
  </si>
  <si>
    <t>combisystem Hand Rake</t>
  </si>
  <si>
    <t>Грабли ручные 12 см  (ручной садовый инструмент / насадка для комбисистемы)</t>
  </si>
  <si>
    <t>445 mm</t>
  </si>
  <si>
    <t>3.115 dm³</t>
  </si>
  <si>
    <t>443 mm</t>
  </si>
  <si>
    <t>450 pcs</t>
  </si>
  <si>
    <t>combisystem Hand Grubber</t>
  </si>
  <si>
    <t>Рыхлитель ручной 7 см  (ручной садовый инструмент / насадка для комбисистемы)</t>
  </si>
  <si>
    <t>255 g</t>
  </si>
  <si>
    <t>407 mm</t>
  </si>
  <si>
    <t>2.403 dm³</t>
  </si>
  <si>
    <t>414 mm</t>
  </si>
  <si>
    <t>94 mm</t>
  </si>
  <si>
    <t>520 pcs</t>
  </si>
  <si>
    <t>combisystem Hand Weeder</t>
  </si>
  <si>
    <t>Пропалыватель ручной 7 см  (ручной садовый инструмент / насадка для комбисистемы)</t>
  </si>
  <si>
    <t>217 g</t>
  </si>
  <si>
    <t>1.505 dm³</t>
  </si>
  <si>
    <t>332 mm</t>
  </si>
  <si>
    <t>640 pcs</t>
  </si>
  <si>
    <t>77 mm</t>
  </si>
  <si>
    <t>3.388 dm³</t>
  </si>
  <si>
    <t>combisystem Patio Weeder</t>
  </si>
  <si>
    <t>Очиститель щелевой  (ручной садовый инструмент / насадка для комбисистемы)</t>
  </si>
  <si>
    <t>1.729 dm³</t>
  </si>
  <si>
    <t>345 mm</t>
  </si>
  <si>
    <t>combisystem Hand Trowel</t>
  </si>
  <si>
    <t>Совок цветочный 8.5 см  (ручной садовый инструмент / насадка для комбисистемы)</t>
  </si>
  <si>
    <t>275 g</t>
  </si>
  <si>
    <t>2.255 dm³</t>
  </si>
  <si>
    <t>383 mm</t>
  </si>
  <si>
    <t>58 mm</t>
  </si>
  <si>
    <t>87 mm</t>
  </si>
  <si>
    <t>Bulb Planter</t>
  </si>
  <si>
    <t>Сажалка для луковичных растений (ручной инструмент)</t>
  </si>
  <si>
    <t>529 g</t>
  </si>
  <si>
    <t>2.372 dm³</t>
  </si>
  <si>
    <t>CS Bulb Planter Assortment</t>
  </si>
  <si>
    <t>Сажалка для луковичных растений (ручной инструмент) (Дисплей)</t>
  </si>
  <si>
    <t>580 g</t>
  </si>
  <si>
    <t>251 mm</t>
  </si>
  <si>
    <t>2.61 dm³</t>
  </si>
  <si>
    <t>CS Planter</t>
  </si>
  <si>
    <t>Сажалка-лункообразователь (ручной инструмент)</t>
  </si>
  <si>
    <t>191 g</t>
  </si>
  <si>
    <t>39 mm</t>
  </si>
  <si>
    <t>1.597 dm³</t>
  </si>
  <si>
    <t>Weeding Trowel short</t>
  </si>
  <si>
    <t>Совок для прополки 14.5 см (ручной инструмент)</t>
  </si>
  <si>
    <t>950 pcs</t>
  </si>
  <si>
    <t>Classic Hand Trowel large</t>
  </si>
  <si>
    <t>Совок цветочный 8 см (ручной инструмент)</t>
  </si>
  <si>
    <t>1.206 dm³</t>
  </si>
  <si>
    <t>339 mm</t>
  </si>
  <si>
    <t>960 pcs</t>
  </si>
  <si>
    <t>15750 g</t>
  </si>
  <si>
    <t>14500 g</t>
  </si>
  <si>
    <t>708 mm</t>
  </si>
  <si>
    <t>458 mm</t>
  </si>
  <si>
    <t>346 mm</t>
  </si>
  <si>
    <t>112.195 dm³</t>
  </si>
  <si>
    <t>4 pcs</t>
  </si>
  <si>
    <t>Classic Narrow Hand Trowel small</t>
  </si>
  <si>
    <t>Совок цветочный 6 см (ручной инструмент)</t>
  </si>
  <si>
    <t>0.693 dm³</t>
  </si>
  <si>
    <t>Classic Flower Fork</t>
  </si>
  <si>
    <t>Вилка садовая (ручной инструмент)</t>
  </si>
  <si>
    <t>0.792 dm³</t>
  </si>
  <si>
    <t>299 mm</t>
  </si>
  <si>
    <t>78 mm</t>
  </si>
  <si>
    <t>Hand Trowel large</t>
  </si>
  <si>
    <t>Совок садовый большой (ручной инструмент)</t>
  </si>
  <si>
    <t>3.581 dm³</t>
  </si>
  <si>
    <t>392 mm</t>
  </si>
  <si>
    <t>Comf.Hand Hoe,Heart-Shaped,2teeth</t>
  </si>
  <si>
    <t>Мотыжка ручная 6 см (ручной инструмент)</t>
  </si>
  <si>
    <t>225 g</t>
  </si>
  <si>
    <t>3.264 dm³</t>
  </si>
  <si>
    <t>169 mm</t>
  </si>
  <si>
    <t>Comfort Hand Rake</t>
  </si>
  <si>
    <t>Грабли ручные 12 см (ручной инструмент)</t>
  </si>
  <si>
    <t>420 mm</t>
  </si>
  <si>
    <t>1.848 dm³</t>
  </si>
  <si>
    <t>Comfort Hand Grubber</t>
  </si>
  <si>
    <t>Рыхлитель ручной 7 см Comfort (ручной инструмент)</t>
  </si>
  <si>
    <t>3.124 dm³</t>
  </si>
  <si>
    <t>342 mm</t>
  </si>
  <si>
    <t>650 pcs</t>
  </si>
  <si>
    <t>Comfort Flower Rake</t>
  </si>
  <si>
    <t>Грабли цветочные 8.5 см Comfort (ручной инструмент)</t>
  </si>
  <si>
    <t>2.358 dm³</t>
  </si>
  <si>
    <t>301 mm</t>
  </si>
  <si>
    <t>76 mm</t>
  </si>
  <si>
    <t>600 pcs</t>
  </si>
  <si>
    <t>0.858 dm³</t>
  </si>
  <si>
    <t>79 mm</t>
  </si>
  <si>
    <t>174 g</t>
  </si>
  <si>
    <t>0.71 dm³</t>
  </si>
  <si>
    <t>500 pcs</t>
  </si>
  <si>
    <t>406 mm</t>
  </si>
  <si>
    <t>Basic Set Handtools</t>
  </si>
  <si>
    <t>Комплект садовых инструментов базовый "Домашнее садоводство" (секатор, лопатка, совок для прополки, перчатки садовые) (Дисплей)</t>
  </si>
  <si>
    <t>755 g</t>
  </si>
  <si>
    <t>593 g</t>
  </si>
  <si>
    <t>7.48 dm³</t>
  </si>
  <si>
    <t>Handtools Assortment</t>
  </si>
  <si>
    <t>Комплект садовых инструментов  "Домашнее садоводство" (секатор, лопатка, перчатки садовые, многофункциональный кувшин с заостренным краем) (Дисплей)</t>
  </si>
  <si>
    <t>655 g</t>
  </si>
  <si>
    <t>7.28 dm³</t>
  </si>
  <si>
    <t>714 g</t>
  </si>
  <si>
    <t>84 pcs</t>
  </si>
  <si>
    <t>Balcony Basics Promotion</t>
  </si>
  <si>
    <t>Комплект инструментов для балкона (секатор, лопатка, многофункциональный кувшин с заостренным краем), (Дисплей)</t>
  </si>
  <si>
    <t>581 g</t>
  </si>
  <si>
    <t>604 g</t>
  </si>
  <si>
    <t xml:space="preserve">citygardening Balcony Box         </t>
  </si>
  <si>
    <t>Комплект садовых инструментов для балкона "Домашнее садоводство" (секатор, лопатка цветочная, мотыжка, щетка и совок, ящик для хранения)</t>
  </si>
  <si>
    <t>270 mm</t>
  </si>
  <si>
    <t>9.072 dm³</t>
  </si>
  <si>
    <t>278 mm</t>
  </si>
  <si>
    <t>78 pcs</t>
  </si>
  <si>
    <t xml:space="preserve">citygardening Balcony Box offer   </t>
  </si>
  <si>
    <t>Комплект садовых инструментов для балкона "Домашнее садоводство" (секатор, лопатка цветочная, мотыжка, щетка и совок, ящик для хранения) (Дисплей)</t>
  </si>
  <si>
    <t>1309 g</t>
  </si>
  <si>
    <t>7.288 dm³</t>
  </si>
  <si>
    <t>19000 g</t>
  </si>
  <si>
    <t>15708 g</t>
  </si>
  <si>
    <t>935 mm</t>
  </si>
  <si>
    <t>217.902 dm³</t>
  </si>
  <si>
    <t>Balcony Tools Set</t>
  </si>
  <si>
    <t>Садовые инструменты для балкона "Домашнее садоводство" (лопатка цветочная, мотыжка)</t>
  </si>
  <si>
    <t>310 mm</t>
  </si>
  <si>
    <t>1.984 dm³</t>
  </si>
  <si>
    <t>340 pcs</t>
  </si>
  <si>
    <t>434 g</t>
  </si>
  <si>
    <t>2.475 dm³</t>
  </si>
  <si>
    <t>176 pcs</t>
  </si>
  <si>
    <t>340 mm</t>
  </si>
  <si>
    <t>2.55 dm³</t>
  </si>
  <si>
    <t>NatureLine Spade</t>
  </si>
  <si>
    <t>Лопата садовая NatureLine</t>
  </si>
  <si>
    <t>1995 g</t>
  </si>
  <si>
    <t>1950 g</t>
  </si>
  <si>
    <t>1980 g</t>
  </si>
  <si>
    <t>1145 mm</t>
  </si>
  <si>
    <t>13.19 dm³</t>
  </si>
  <si>
    <t>1155 mm</t>
  </si>
  <si>
    <t>2200 g</t>
  </si>
  <si>
    <t>13.190 dm³</t>
  </si>
  <si>
    <t>NatureLine Pointed Spade</t>
  </si>
  <si>
    <t>Лопата штыковая NatureLine</t>
  </si>
  <si>
    <t>1896 g</t>
  </si>
  <si>
    <t>1971 g</t>
  </si>
  <si>
    <t>1881 g</t>
  </si>
  <si>
    <t>1153 mm</t>
  </si>
  <si>
    <t>13.283 dm³</t>
  </si>
  <si>
    <t>NatureLine Fork</t>
  </si>
  <si>
    <t>Вилы садовые NatureLine</t>
  </si>
  <si>
    <t>2185 g</t>
  </si>
  <si>
    <t>2170 g</t>
  </si>
  <si>
    <t>22.829 dm³</t>
  </si>
  <si>
    <t>1140 mm</t>
  </si>
  <si>
    <t>ErgoLine Spade</t>
  </si>
  <si>
    <t>Лопата садовая ErgoLine</t>
  </si>
  <si>
    <t>2190 g</t>
  </si>
  <si>
    <t>2366 g</t>
  </si>
  <si>
    <t>2060 g</t>
  </si>
  <si>
    <t>1171 mm</t>
  </si>
  <si>
    <t>17.987 dm³</t>
  </si>
  <si>
    <t>2175 g</t>
  </si>
  <si>
    <t>28.104 dm³</t>
  </si>
  <si>
    <t>ErgoLine Small Spade</t>
  </si>
  <si>
    <t>Лопата садовая малая ErgoLine</t>
  </si>
  <si>
    <t>2012 g</t>
  </si>
  <si>
    <t>1136 mm</t>
  </si>
  <si>
    <t>164 mm</t>
  </si>
  <si>
    <t>23.288 dm³</t>
  </si>
  <si>
    <t>1130 mm</t>
  </si>
  <si>
    <t>ErgoLine Pointed Spade</t>
  </si>
  <si>
    <t>Лопата штыковая ErgoLine</t>
  </si>
  <si>
    <t>2065 g</t>
  </si>
  <si>
    <t>2220 g</t>
  </si>
  <si>
    <t>2050 g</t>
  </si>
  <si>
    <t>ErgoLine Fork</t>
  </si>
  <si>
    <t>Вилы садовые ErgoLine</t>
  </si>
  <si>
    <t>2235 g</t>
  </si>
  <si>
    <t>2165 g</t>
  </si>
  <si>
    <t>2300 g</t>
  </si>
  <si>
    <t>1186 mm</t>
  </si>
  <si>
    <t>23.595 dm³</t>
  </si>
  <si>
    <t>ErgoLine Telescopic Spade</t>
  </si>
  <si>
    <t>Лопата садовая телескопическая ErgoLine</t>
  </si>
  <si>
    <t>1050 mm</t>
  </si>
  <si>
    <t>20.475 dm³</t>
  </si>
  <si>
    <t>1059 mm</t>
  </si>
  <si>
    <t>25.416 dm³</t>
  </si>
  <si>
    <t xml:space="preserve">ClassicLine Spade </t>
  </si>
  <si>
    <t xml:space="preserve">Лопата универсальная ClassicLine </t>
  </si>
  <si>
    <t>193 mm</t>
  </si>
  <si>
    <t>41.040 dm³</t>
  </si>
  <si>
    <t>ClassicLine Spade Pointed</t>
  </si>
  <si>
    <t>Лопата штыковая ClassicLine</t>
  </si>
  <si>
    <t>18.528 dm³</t>
  </si>
  <si>
    <t>860 g</t>
  </si>
  <si>
    <t>8.16 dm³</t>
  </si>
  <si>
    <t>242 mm</t>
  </si>
  <si>
    <t>cs-Ergoline Alu Handle 130</t>
  </si>
  <si>
    <t>Рукоятка алюминиевая эргономичная 130 см (для комбисистемы)</t>
  </si>
  <si>
    <t>807 g</t>
  </si>
  <si>
    <t>690 g</t>
  </si>
  <si>
    <t>8.125 dm³</t>
  </si>
  <si>
    <t>CS Aluminium Handle 130 cm</t>
  </si>
  <si>
    <t>Рукоятка алюминиевая 130 см (для комбисистемы)</t>
  </si>
  <si>
    <t>410 g</t>
  </si>
  <si>
    <t>43 mm</t>
  </si>
  <si>
    <t>27 mm</t>
  </si>
  <si>
    <t>0.151 dm³</t>
  </si>
  <si>
    <t>CS Aluminium Handle 150 cm</t>
  </si>
  <si>
    <t>Рукоятка алюминиевая 150 см (для комбисистемы)</t>
  </si>
  <si>
    <t>453 g</t>
  </si>
  <si>
    <t>440 g</t>
  </si>
  <si>
    <t>0.174 dm³</t>
  </si>
  <si>
    <t>cs Wooden Handle 130cm FSC 100%</t>
  </si>
  <si>
    <t>Рукоятка деревянная FSC® 130 см (для комбисистемы)</t>
  </si>
  <si>
    <t>565 g</t>
  </si>
  <si>
    <t>2.028 dm³</t>
  </si>
  <si>
    <t>cs Wooden Handle 150 cm FSC 100%</t>
  </si>
  <si>
    <t>Рукоятка деревянная FSC® 150 см (для комбисистемы)</t>
  </si>
  <si>
    <t>642 g</t>
  </si>
  <si>
    <t>1550 mm</t>
  </si>
  <si>
    <t>2.418 dm³</t>
  </si>
  <si>
    <t>cs Wooden Handle 180 cm FSC 100%</t>
  </si>
  <si>
    <t>Рукоятка деревянная FSC® 180 см (для комбисистемы)</t>
  </si>
  <si>
    <t>765 g</t>
  </si>
  <si>
    <t>2.97 dm³</t>
  </si>
  <si>
    <t>cs Telescopic Handle 160 - 290</t>
  </si>
  <si>
    <t>Рукоятка телескопическая 160-290 см (для комбисистемы)</t>
  </si>
  <si>
    <t>46 mm</t>
  </si>
  <si>
    <t>2.944 dm³</t>
  </si>
  <si>
    <t>200 pcs</t>
  </si>
  <si>
    <t>cs Telescopic Handle 210 - 390</t>
  </si>
  <si>
    <t>Рукоятка телескопическая 210-390 см (для комбисистемы)</t>
  </si>
  <si>
    <t>1550 g</t>
  </si>
  <si>
    <t>1330 g</t>
  </si>
  <si>
    <t>2100 mm</t>
  </si>
  <si>
    <t>4.914 dm³</t>
  </si>
  <si>
    <t>cs telescopic handle 90-145</t>
  </si>
  <si>
    <t>Рукоятка телескопическая 90-145 см (для комбисистемы)</t>
  </si>
  <si>
    <t>467 g</t>
  </si>
  <si>
    <t>573 g</t>
  </si>
  <si>
    <t>480 g</t>
  </si>
  <si>
    <t>895 mm</t>
  </si>
  <si>
    <t>3.645 dm³</t>
  </si>
  <si>
    <t>445 g</t>
  </si>
  <si>
    <t>595 mm</t>
  </si>
  <si>
    <t>2.127 dm³</t>
  </si>
  <si>
    <t>Equipment Holder</t>
  </si>
  <si>
    <t>Кронштейн для садовых инструментов (система хранения комбисистемы)</t>
  </si>
  <si>
    <t>1029 g</t>
  </si>
  <si>
    <t>737 mm</t>
  </si>
  <si>
    <t>5.575 dm³</t>
  </si>
  <si>
    <t>783 mm</t>
  </si>
  <si>
    <t>Tool Holder</t>
  </si>
  <si>
    <t>Держатель к кронштейну для садовых инструментов (система хранения комбисистемы)</t>
  </si>
  <si>
    <t>0.946 dm³</t>
  </si>
  <si>
    <t>NatureLine Lawn Rake  FSC 100 %</t>
  </si>
  <si>
    <t>Грабли для газонов NatureLine</t>
  </si>
  <si>
    <t>703 g</t>
  </si>
  <si>
    <t>720 g</t>
  </si>
  <si>
    <t>1610 mm</t>
  </si>
  <si>
    <t>41.538 dm³</t>
  </si>
  <si>
    <t>988 g</t>
  </si>
  <si>
    <t>NatureLine Lawn Rake36 cm,FSC 100%</t>
  </si>
  <si>
    <t>Грабли 36 см NatureLine</t>
  </si>
  <si>
    <t>1460 mm</t>
  </si>
  <si>
    <t>42.048 dm³</t>
  </si>
  <si>
    <t>1333 g</t>
  </si>
  <si>
    <t>NatureLine Adjust.Rake Met FSC100%</t>
  </si>
  <si>
    <t>Грабли веерные регулируемые металлические NatureLine</t>
  </si>
  <si>
    <t>1190 g</t>
  </si>
  <si>
    <t>1780 mm</t>
  </si>
  <si>
    <t>27.59 dm³</t>
  </si>
  <si>
    <t>1775 mm</t>
  </si>
  <si>
    <t>NatureLine Grubber  FSC 100 %</t>
  </si>
  <si>
    <t>Рыхлитель NatureLine</t>
  </si>
  <si>
    <t>837 g</t>
  </si>
  <si>
    <t>850 g</t>
  </si>
  <si>
    <t>18.135 dm³</t>
  </si>
  <si>
    <t>1560 mm</t>
  </si>
  <si>
    <t>168 pcs</t>
  </si>
  <si>
    <t>natureline hoe fsc 100 %</t>
  </si>
  <si>
    <t>Мотыга NatureLine</t>
  </si>
  <si>
    <t>825 g</t>
  </si>
  <si>
    <t>1490 mm</t>
  </si>
  <si>
    <t>33.376 dm³</t>
  </si>
  <si>
    <t>1485 mm</t>
  </si>
  <si>
    <t>NatureLine GardenHoe FSC 100 %</t>
  </si>
  <si>
    <t>Тяпка садовая NatureLine</t>
  </si>
  <si>
    <t>868 g</t>
  </si>
  <si>
    <t>1450 mm</t>
  </si>
  <si>
    <t>21.315 dm³</t>
  </si>
  <si>
    <t>188 pcs</t>
  </si>
  <si>
    <t>NatureLine Road Broom  FSC 100 %</t>
  </si>
  <si>
    <t>Щетка для дорожек NatureLine</t>
  </si>
  <si>
    <t>1027 g</t>
  </si>
  <si>
    <t>83.7 dm³</t>
  </si>
  <si>
    <t>1535 mm</t>
  </si>
  <si>
    <t>1381 g</t>
  </si>
  <si>
    <t>83.700 dm³</t>
  </si>
  <si>
    <t>NatureLine Push-Pull Hoe FSC 100 %</t>
  </si>
  <si>
    <t>Мотыга для корнеплодных NatureLine</t>
  </si>
  <si>
    <t>887 g</t>
  </si>
  <si>
    <t>810 g</t>
  </si>
  <si>
    <t>1510 mm</t>
  </si>
  <si>
    <t>10.57 dm³</t>
  </si>
  <si>
    <t>1520 mm</t>
  </si>
  <si>
    <t>428 pcs</t>
  </si>
  <si>
    <t>NatureLine Handle 140cm  FSC 100 %</t>
  </si>
  <si>
    <t>Рукоятка деревянная 140 см NatureLine</t>
  </si>
  <si>
    <t>550 g</t>
  </si>
  <si>
    <t>1400 mm</t>
  </si>
  <si>
    <t>2.24 dm³</t>
  </si>
  <si>
    <t>792 pcs</t>
  </si>
  <si>
    <t>44421 g</t>
  </si>
  <si>
    <t>54999 g</t>
  </si>
  <si>
    <t>1839 mm</t>
  </si>
  <si>
    <t>954 mm</t>
  </si>
  <si>
    <t>1268.436 dm³</t>
  </si>
  <si>
    <t>2 pcs</t>
  </si>
  <si>
    <t>49819 g</t>
  </si>
  <si>
    <t>59090 g</t>
  </si>
  <si>
    <t>27058 g</t>
  </si>
  <si>
    <t>31336 g</t>
  </si>
  <si>
    <t>603 mm</t>
  </si>
  <si>
    <t>1047.927 dm³</t>
  </si>
  <si>
    <t>26643 g</t>
  </si>
  <si>
    <t>31245 g</t>
  </si>
  <si>
    <t>1057.907 dm³</t>
  </si>
  <si>
    <t>28984 g</t>
  </si>
  <si>
    <t>33672 g</t>
  </si>
  <si>
    <t>511 g</t>
  </si>
  <si>
    <t>1660 mm</t>
  </si>
  <si>
    <t>7.387 dm³</t>
  </si>
  <si>
    <t>160 pcs</t>
  </si>
  <si>
    <t>ClassicLine Rake</t>
  </si>
  <si>
    <t>Грабли для газонов ClassicLine</t>
  </si>
  <si>
    <t>1540 mm</t>
  </si>
  <si>
    <t>46.200 dm³</t>
  </si>
  <si>
    <t>ClassicLine Fan Rake</t>
  </si>
  <si>
    <t>Грабли веерные металлические ClassicLine</t>
  </si>
  <si>
    <t>990 g</t>
  </si>
  <si>
    <t>57.600 dm³</t>
  </si>
  <si>
    <t>1880 mm</t>
  </si>
  <si>
    <t>ClassicLine Gardenhoe</t>
  </si>
  <si>
    <t>Тяпка ClassicLine</t>
  </si>
  <si>
    <t>812 g</t>
  </si>
  <si>
    <t>54.250 dm³</t>
  </si>
  <si>
    <t>1530 mm</t>
  </si>
  <si>
    <t>ClassicLine Road Broom</t>
  </si>
  <si>
    <t>Щетка для дорожек ClassicLine</t>
  </si>
  <si>
    <t>1590 mm</t>
  </si>
  <si>
    <t>71.550 dm³</t>
  </si>
  <si>
    <t>ClassicLine Terrace broom</t>
  </si>
  <si>
    <t>Щетка для террасы ClassicLine</t>
  </si>
  <si>
    <t>37.184 dm³</t>
  </si>
  <si>
    <t>combisystem Shovel Rake</t>
  </si>
  <si>
    <t>Грабли для сбора листвы (насадка для комбиистемы)</t>
  </si>
  <si>
    <t>601 g</t>
  </si>
  <si>
    <t>31.635 dm³</t>
  </si>
  <si>
    <t>69 pcs</t>
  </si>
  <si>
    <t>0.920 dm³</t>
  </si>
  <si>
    <t>54 mm</t>
  </si>
  <si>
    <t>1008 pcs</t>
  </si>
  <si>
    <t>504 g</t>
  </si>
  <si>
    <t>285 mm</t>
  </si>
  <si>
    <t>8.778 dm³</t>
  </si>
  <si>
    <t>8.951 dm³</t>
  </si>
  <si>
    <t>7.851 dm³</t>
  </si>
  <si>
    <t>102 pcs</t>
  </si>
  <si>
    <t>combisystem Grubber-Rake</t>
  </si>
  <si>
    <t>Культиватор-грабли (насадка для комбисистемы)</t>
  </si>
  <si>
    <t>weeding Trowel</t>
  </si>
  <si>
    <t>combisystem 2in1 Patio Weeder</t>
  </si>
  <si>
    <t>Очиститель щелевой 2-в-1 (насадка для комбисистемы)</t>
  </si>
  <si>
    <t>combisystem 2in1 Patio Weeder Promo</t>
  </si>
  <si>
    <t>Комплект: Очиститель щелевой 2-в-1 с рукояткой (насадка для комбисистемы) (Дисплей)</t>
  </si>
  <si>
    <t>combisystem 3in1 Patio Weeder</t>
  </si>
  <si>
    <t>Щетка щелевая 3-в-1 (насадка для комбисистемы)</t>
  </si>
  <si>
    <t>Accu BLi-18</t>
  </si>
  <si>
    <t>Аккумулятор литий-ионный BLi-18</t>
  </si>
  <si>
    <t>0.949 dm³</t>
  </si>
  <si>
    <t>307 g</t>
  </si>
  <si>
    <t>1.36 dm³</t>
  </si>
  <si>
    <t>360 pcs</t>
  </si>
  <si>
    <t>Charger 18V</t>
  </si>
  <si>
    <t>Зарядное устройство для литий-ионных аккумуляторов BLi-18 (для арт. 9839)</t>
  </si>
  <si>
    <t>0.57 dm³</t>
  </si>
  <si>
    <t>415,15</t>
  </si>
  <si>
    <t>648 pcs</t>
  </si>
  <si>
    <t>Quick charger QC40</t>
  </si>
  <si>
    <t>Зарядное устройство QC40 для литий-ионных аккумуляторов BLi-40 (для арт. 9842, 9843)</t>
  </si>
  <si>
    <t>645 g</t>
  </si>
  <si>
    <t>202 mm</t>
  </si>
  <si>
    <t>1.208 dm³</t>
  </si>
  <si>
    <t>264 pcs</t>
  </si>
  <si>
    <t>BMZ</t>
  </si>
  <si>
    <t>K, China</t>
  </si>
  <si>
    <t>0,779</t>
  </si>
  <si>
    <t>S, Taiwan</t>
  </si>
  <si>
    <t>B, Germany</t>
  </si>
  <si>
    <t>Replacement Battery BLi-40/100</t>
  </si>
  <si>
    <t>Аккумулятор литий-ионный BLi-40/100</t>
  </si>
  <si>
    <t>920 g</t>
  </si>
  <si>
    <t>1.863 dm³</t>
  </si>
  <si>
    <t>Replacement Battery BLi-40/160</t>
  </si>
  <si>
    <t>Аккумулятор литий-ионный BLi-40/160</t>
  </si>
  <si>
    <t>1360 g</t>
  </si>
  <si>
    <t>137 mm</t>
  </si>
  <si>
    <t>1.873 dm³</t>
  </si>
  <si>
    <t>342 pcs</t>
  </si>
  <si>
    <t>Blower ErgoJet 3000</t>
  </si>
  <si>
    <t>Воздуходув-пылесос ErgoJet 3000 (регулируемая скорость, с мешком для сбора мусора 45л. в к-те (310км/ч, изм. 16:1)</t>
  </si>
  <si>
    <t>6575 g</t>
  </si>
  <si>
    <t>6455 g</t>
  </si>
  <si>
    <t>4500 g</t>
  </si>
  <si>
    <t>57.348 dm³</t>
  </si>
  <si>
    <t>1175 mm</t>
  </si>
  <si>
    <t>221 mm</t>
  </si>
  <si>
    <t>469 mm</t>
  </si>
  <si>
    <t>Cleaner Set AquaClean Li 40/60</t>
  </si>
  <si>
    <t>Мойка высокого давления аккумуляторная AquaClean Li-40/60</t>
  </si>
  <si>
    <t>11200 g</t>
  </si>
  <si>
    <t>11260 g</t>
  </si>
  <si>
    <t>10700 g</t>
  </si>
  <si>
    <t>9535 g</t>
  </si>
  <si>
    <t>318 mm</t>
  </si>
  <si>
    <t>85.571 dm³</t>
  </si>
  <si>
    <t>910 mm</t>
  </si>
  <si>
    <t>Cleaner AquaClean Li-40/60 w/o bat.</t>
  </si>
  <si>
    <t>Мойка высокого давления аккумуляторная AquaClean Li-40/60 без аккумулятора в комплекте</t>
  </si>
  <si>
    <t>9900 g</t>
  </si>
  <si>
    <t>9470 g</t>
  </si>
  <si>
    <t>9360 g</t>
  </si>
  <si>
    <t>7805 g</t>
  </si>
  <si>
    <t>98.624 dm³</t>
  </si>
  <si>
    <t>Accu Blower AccuJet Li-18</t>
  </si>
  <si>
    <t>Воздуходув аккумуляторный AccuJet 18-Li</t>
  </si>
  <si>
    <t>3000 g</t>
  </si>
  <si>
    <t>2505 g</t>
  </si>
  <si>
    <t>465 mm</t>
  </si>
  <si>
    <t>20.734 dm³</t>
  </si>
  <si>
    <t>817 mm</t>
  </si>
  <si>
    <t>219 mm</t>
  </si>
  <si>
    <t>27 pcs</t>
  </si>
  <si>
    <t>Blower AccuJet Li-18 w/o battery</t>
  </si>
  <si>
    <t>Воздуходув аккумуляторный AccuJet 18-Li без аккумулятора</t>
  </si>
  <si>
    <t>2395 g</t>
  </si>
  <si>
    <t>20.088 dm³</t>
  </si>
  <si>
    <t>Vacuum Cleaner EasyClean Li</t>
  </si>
  <si>
    <t>Пылесос аккумуляторный EasyClean Li с интегрированной батарей</t>
  </si>
  <si>
    <t>1662 g</t>
  </si>
  <si>
    <t>484 mm</t>
  </si>
  <si>
    <t>142 mm</t>
  </si>
  <si>
    <t>13.333 dm³</t>
  </si>
  <si>
    <t>4720 mm</t>
  </si>
  <si>
    <t>1810 mm</t>
  </si>
  <si>
    <t>1270 mm</t>
  </si>
  <si>
    <t>Vac EasyClean Li+charging station</t>
  </si>
  <si>
    <t>Пылесос аккумуляторный EasyClean Li с интегрированной батареей и кронштейном для крепления</t>
  </si>
  <si>
    <t>2690 g</t>
  </si>
  <si>
    <t>2006 g</t>
  </si>
  <si>
    <t>1910 g</t>
  </si>
  <si>
    <t>513 mm</t>
  </si>
  <si>
    <t>19.606 dm³</t>
  </si>
  <si>
    <t>2000 mm</t>
  </si>
  <si>
    <t>5030 mm</t>
  </si>
  <si>
    <t>1900 mm</t>
  </si>
  <si>
    <t>Blower PowerJet Li-18 Set</t>
  </si>
  <si>
    <t>Воздуходув аккумуляторный PowerJet Li-18</t>
  </si>
  <si>
    <t>2900 g</t>
  </si>
  <si>
    <t>33.713 dm³</t>
  </si>
  <si>
    <t>21 pcs</t>
  </si>
  <si>
    <t>Blower PowerJet Li-18 w/o battery</t>
  </si>
  <si>
    <t>Воздуходув аккумуляторный PowerJet Li-18 без аккумулятора</t>
  </si>
  <si>
    <t>915 mm</t>
  </si>
  <si>
    <t>Cleaner AquaClean 18V RtU Set</t>
  </si>
  <si>
    <t>Мойка высокого давления аккумуляторная AquaClean Li-18 с аккумулятором</t>
  </si>
  <si>
    <t>Cleaner AquaClean 18V RtU Set Prem</t>
  </si>
  <si>
    <t xml:space="preserve">Мойка высокого давления аккумуляторная AquaClean Li-18 Premium Set </t>
  </si>
  <si>
    <t>AquaClean 24/18V P4A Ready-To-Use Set Display INT</t>
  </si>
  <si>
    <t>Мойка высокого давления аккумуляторная AquaClean 24/18V P4A Premium без аккумулятора</t>
  </si>
  <si>
    <t>Cleaner AquaClean 18V w/o battery</t>
  </si>
  <si>
    <t>Мойка высокого давления аккумуляторная AquaClean Li-18  без аккумулятора</t>
  </si>
  <si>
    <t>Blower/Vac PowerJet Li-40 Set</t>
  </si>
  <si>
    <t>Воздуходув-пылесос аккумуляторный PowerJet Li-40</t>
  </si>
  <si>
    <t>8485 g</t>
  </si>
  <si>
    <t>6500 g</t>
  </si>
  <si>
    <t>83.363 dm³</t>
  </si>
  <si>
    <t>Blower/Vac PowerJet Li-40 w/o batt</t>
  </si>
  <si>
    <t>Воздуходув-пылесос аккумуляторный PowerJet Li-40 без аккумулятора в комплекте</t>
  </si>
  <si>
    <t>6165 g</t>
  </si>
  <si>
    <t>6605 g</t>
  </si>
  <si>
    <t>4700 g</t>
  </si>
  <si>
    <t>82.992 dm³</t>
  </si>
  <si>
    <t>5180 g</t>
  </si>
  <si>
    <t>3875 g</t>
  </si>
  <si>
    <t>1124 mm</t>
  </si>
  <si>
    <t>24.132 dm³</t>
  </si>
  <si>
    <t>2461 mm</t>
  </si>
  <si>
    <t>5505 g</t>
  </si>
  <si>
    <t>5225 g</t>
  </si>
  <si>
    <t>4200 g</t>
  </si>
  <si>
    <t>31.951 dm³</t>
  </si>
  <si>
    <t>2356 mm</t>
  </si>
  <si>
    <t>4590 g</t>
  </si>
  <si>
    <t>3500 g</t>
  </si>
  <si>
    <t>Accu-SET TCS Li-18/20_THS Li-18/42</t>
  </si>
  <si>
    <t>Комплект: высоторез телескопическиий аккумуляторный TCS Li 18/20 + штанговые ножницы для живой изгороди THS Li 18/42</t>
  </si>
  <si>
    <t>7860 g</t>
  </si>
  <si>
    <t>7500 g</t>
  </si>
  <si>
    <t>1070 mm</t>
  </si>
  <si>
    <t>38.948 dm³</t>
  </si>
  <si>
    <t>18 pcs</t>
  </si>
  <si>
    <t>El. Hedge Trimmer EasyCut 420/45</t>
  </si>
  <si>
    <t>Ножницы для живой изгороди электрические EasyCut 420/45</t>
  </si>
  <si>
    <t>3800 g</t>
  </si>
  <si>
    <t>3445 g</t>
  </si>
  <si>
    <t>2600 g</t>
  </si>
  <si>
    <t>890 mm</t>
  </si>
  <si>
    <t>23.429 dm³</t>
  </si>
  <si>
    <t>869 mm</t>
  </si>
  <si>
    <t>36 pcs</t>
  </si>
  <si>
    <t>El. Hedge Trimmer EasyCut 450/50</t>
  </si>
  <si>
    <t>Ножницы для живой изгороди электрические EasyCut 450/50</t>
  </si>
  <si>
    <t>3900 g</t>
  </si>
  <si>
    <t>3730 g</t>
  </si>
  <si>
    <t>2700 g</t>
  </si>
  <si>
    <t>950 mm</t>
  </si>
  <si>
    <t>25.009 dm³</t>
  </si>
  <si>
    <t>25.515 dm³</t>
  </si>
  <si>
    <t>HedgeTrimmer EasyCut 450/50 Promo</t>
  </si>
  <si>
    <t>Ножницы для живой изгороди электрические EasyCut 450/55 (Дисплей)</t>
  </si>
  <si>
    <t>El. Hedge Trimmer EasyCut 500/55</t>
  </si>
  <si>
    <t>Ножницы для живой изгороди электрические EasyCut 500/55</t>
  </si>
  <si>
    <t>3695 g</t>
  </si>
  <si>
    <t>980 mm</t>
  </si>
  <si>
    <t>25.799 dm³</t>
  </si>
  <si>
    <t>5710 g</t>
  </si>
  <si>
    <t>1152 mm</t>
  </si>
  <si>
    <t>37.177 dm³</t>
  </si>
  <si>
    <t>1102 mm</t>
  </si>
  <si>
    <t>5565 g</t>
  </si>
  <si>
    <t>4435 g</t>
  </si>
  <si>
    <t>1013 mm</t>
  </si>
  <si>
    <t>163 mm</t>
  </si>
  <si>
    <t>31.373 dm³</t>
  </si>
  <si>
    <t>2442 mm</t>
  </si>
  <si>
    <t>El. Hedge Trimmer ComfortCut 550/50</t>
  </si>
  <si>
    <t>Ножницы для живой изгороди электрические ComfortCut 550/50</t>
  </si>
  <si>
    <t>4480 g</t>
  </si>
  <si>
    <t>1008 mm</t>
  </si>
  <si>
    <t>28.505 dm³</t>
  </si>
  <si>
    <t>22 pcs</t>
  </si>
  <si>
    <t>El. Hedge Trimmer ComfortCut 600/55</t>
  </si>
  <si>
    <t>Ножницы для живой изгороди электрические ComfortCut 600/55</t>
  </si>
  <si>
    <t>1033 mm</t>
  </si>
  <si>
    <t>29.474 dm³</t>
  </si>
  <si>
    <t>988 mm</t>
  </si>
  <si>
    <t>HedgetrimmerComfortCutLI-18/50Set</t>
  </si>
  <si>
    <t>Ножницы для живой изгороди аккумуляторные ComfortCut Li-18/50 с аккумулятором</t>
  </si>
  <si>
    <t>4250 g</t>
  </si>
  <si>
    <t>3700 g</t>
  </si>
  <si>
    <t>30.441 dm³</t>
  </si>
  <si>
    <t>HedgetrimmerComfortCut LI-18/60 Set</t>
  </si>
  <si>
    <t>Ножницы для живой изгороди аккумуляторные ComfortCut Li-18/60 с аккумулятором</t>
  </si>
  <si>
    <t>4539 g</t>
  </si>
  <si>
    <t>2658 g</t>
  </si>
  <si>
    <t>HedgetrimmerComfortCutLi-18/50oAcc</t>
  </si>
  <si>
    <t>Ножницы для живой изгороди аккумуляторные ComfortCut Li-18/50 без аккумулятора</t>
  </si>
  <si>
    <t>3985 g</t>
  </si>
  <si>
    <t>995 mm</t>
  </si>
  <si>
    <t>27.808 dm³</t>
  </si>
  <si>
    <t>967 mm</t>
  </si>
  <si>
    <t>HedgetrimmerComfortCutLI-18/60oAcc</t>
  </si>
  <si>
    <t>Ножницы для живой изгороди аккумуляторные ComfortCut Li-18/60 без аккумулятора</t>
  </si>
  <si>
    <t>4190 g</t>
  </si>
  <si>
    <t>1062 mm</t>
  </si>
  <si>
    <t>HedgTrim.PowerCut Li-40/60 Set</t>
  </si>
  <si>
    <t>Ножницы для живой изгороди аккумуляторные PowerCut Li-40/60 с аккумулятором</t>
  </si>
  <si>
    <t>6265 g</t>
  </si>
  <si>
    <t>4800 g</t>
  </si>
  <si>
    <t>35.372 dm³</t>
  </si>
  <si>
    <t>1165 mm</t>
  </si>
  <si>
    <t>25 pcs</t>
  </si>
  <si>
    <t>HedgTrim.PowerCut Li-40/60 w/o batt</t>
  </si>
  <si>
    <t>Ножницы для живой изгороди аккумуляторные PowerCut Li-40/60 без аккумулятора</t>
  </si>
  <si>
    <t>4845 g</t>
  </si>
  <si>
    <t>3600 g</t>
  </si>
  <si>
    <t>153 mm</t>
  </si>
  <si>
    <t>33.966 dm³</t>
  </si>
  <si>
    <t>Hedge Trimmer EasyCut Li</t>
  </si>
  <si>
    <t>Ножницы для живой изгороди аккумуляторные EasyCut Li с интегрированной батареей</t>
  </si>
  <si>
    <t>2560 g</t>
  </si>
  <si>
    <t>3190 g</t>
  </si>
  <si>
    <t>866 mm</t>
  </si>
  <si>
    <t>21.217 dm³</t>
  </si>
  <si>
    <t>Gardena Hedge Trimmer THS Li-18/42</t>
  </si>
  <si>
    <t>Телескопические ножницы для живой изгороди аккумуляторные THS Li-18/42</t>
  </si>
  <si>
    <t>4900 g</t>
  </si>
  <si>
    <t>Tel.HedgeTrimmerTHSLi-18/42 w/o bat</t>
  </si>
  <si>
    <t>Телескопические ножницы для живой изгороди аккумуляторные THS Li-18/42 без аккумулятора</t>
  </si>
  <si>
    <t>4440 g</t>
  </si>
  <si>
    <t>52937,5</t>
  </si>
  <si>
    <t>1725 g</t>
  </si>
  <si>
    <t>665 mm</t>
  </si>
  <si>
    <t>149 mm</t>
  </si>
  <si>
    <t>22.79 dm³</t>
  </si>
  <si>
    <t>722 mm</t>
  </si>
  <si>
    <t>840 mm</t>
  </si>
  <si>
    <t>232 mm</t>
  </si>
  <si>
    <t>Trimmer SmallCut 300/23</t>
  </si>
  <si>
    <t>Триммер электрический SmallCut 300/23</t>
  </si>
  <si>
    <t>2315 g</t>
  </si>
  <si>
    <t>2645 g</t>
  </si>
  <si>
    <t>1670 g</t>
  </si>
  <si>
    <t>Trimmer SmallCut Plus 350/23</t>
  </si>
  <si>
    <t>Триммер электрический Small Cut Plus 350/23</t>
  </si>
  <si>
    <t>2880 g</t>
  </si>
  <si>
    <t>1860 g</t>
  </si>
  <si>
    <t>26.811 dm³</t>
  </si>
  <si>
    <t>943 mm</t>
  </si>
  <si>
    <t>2820 g</t>
  </si>
  <si>
    <t>Trimmer EasyCut 450/25</t>
  </si>
  <si>
    <t>Триммер электрический EasyCut 450/25</t>
  </si>
  <si>
    <t>1045 mm</t>
  </si>
  <si>
    <t>156 mm</t>
  </si>
  <si>
    <t>30.159 dm³</t>
  </si>
  <si>
    <t>1230 mm</t>
  </si>
  <si>
    <t>Trimmer ComfortCut 550/28</t>
  </si>
  <si>
    <t>Триммер электрический ComfortCut 550/28</t>
  </si>
  <si>
    <t>Trimmer PowerCut 650/28</t>
  </si>
  <si>
    <t>Триммер электрический PowerCut 650/28</t>
  </si>
  <si>
    <t>4000 g</t>
  </si>
  <si>
    <t xml:space="preserve">Vrbno, Czech </t>
  </si>
  <si>
    <t>Триммер электрический EasyCut 400/25 (400Вт, D кошения 250мм, корд 1.6мм)</t>
  </si>
  <si>
    <t>4225 g</t>
  </si>
  <si>
    <t>940 mm</t>
  </si>
  <si>
    <t>34.517 dm³</t>
  </si>
  <si>
    <t>Триммер электрический ComfortCut 450/25 (450Вт, D кошения 250мм, корд 1.6мм, колесо)</t>
  </si>
  <si>
    <t>4715 g</t>
  </si>
  <si>
    <t>3565 g</t>
  </si>
  <si>
    <t>40.326 dm³</t>
  </si>
  <si>
    <t>Триммер аккумуляторный EasyCut Li-18/23R без аккумулятора</t>
  </si>
  <si>
    <t>3660 g</t>
  </si>
  <si>
    <t>2400 g</t>
  </si>
  <si>
    <t>233 mm</t>
  </si>
  <si>
    <t>32.853 dm³</t>
  </si>
  <si>
    <t>891 mm</t>
  </si>
  <si>
    <t>38.224 dm³</t>
  </si>
  <si>
    <t>Battery Trimmer SmallCut Li-23R</t>
  </si>
  <si>
    <t>Триммер аккумуляторный SmallCut Li-23R с интегрированной батареей</t>
  </si>
  <si>
    <t>2950 g</t>
  </si>
  <si>
    <t>1156 mm</t>
  </si>
  <si>
    <t>32.368 dm³</t>
  </si>
  <si>
    <t>1160 mm</t>
  </si>
  <si>
    <t>Trimmer EasyCut Li-18/23</t>
  </si>
  <si>
    <t>Триммер аккумуляторный EasyCut Li-18/23</t>
  </si>
  <si>
    <t>Trimmer EasyCut Li-18/23 w/o batt.</t>
  </si>
  <si>
    <t>Триммер аккумуляторный EasyCut Li-18/23 без аккумулятора</t>
  </si>
  <si>
    <t>Trimmer ComfortCut Li-18/23</t>
  </si>
  <si>
    <t>Триммер аккумуляторный ComfortCut Li-18/23</t>
  </si>
  <si>
    <t>Trimmer Comf.CutLi18/23 w/o batt.</t>
  </si>
  <si>
    <t>Триммер аккумуляторный ComfortCut Li-18/23 без аккумулятора</t>
  </si>
  <si>
    <t>3100 g</t>
  </si>
  <si>
    <t>Триммер аккумуляторный EasyCut Li-18/23R (Аккумулятор Li-Ion, 18B/2.0Aч, D кошения 230мм, пласт. ножи)</t>
  </si>
  <si>
    <t>Trimmer PowerCut Li-40/30 Set</t>
  </si>
  <si>
    <t>Триммер аккумуляторный PowerCut Li-40/30</t>
  </si>
  <si>
    <t>5930 g</t>
  </si>
  <si>
    <t>990 mm</t>
  </si>
  <si>
    <t>34.155 dm³</t>
  </si>
  <si>
    <t>1585 mm</t>
  </si>
  <si>
    <t>312 mm</t>
  </si>
  <si>
    <t>Trimmer PowerCut Li-40/30 w/o batt</t>
  </si>
  <si>
    <t>Триммер аккумуляторный PowerCut Li-40/30 без аккумулятора</t>
  </si>
  <si>
    <t>4360 g</t>
  </si>
  <si>
    <t>3300 g</t>
  </si>
  <si>
    <t>Accessory Kit EasyClean Li</t>
  </si>
  <si>
    <t>Комплект насадок для пылесоса EasyClean Li</t>
  </si>
  <si>
    <t>2.426 dm³</t>
  </si>
  <si>
    <t>Filter Easy Clean Li</t>
  </si>
  <si>
    <t>Фильтр сменный для аккумуляторного пылесоса EasyClean Li</t>
  </si>
  <si>
    <t>31 g</t>
  </si>
  <si>
    <t>45 g</t>
  </si>
  <si>
    <t>0.557 dm³</t>
  </si>
  <si>
    <t>768 pcs</t>
  </si>
  <si>
    <t>Surface Cleaner AquaClean Li</t>
  </si>
  <si>
    <t>Насадка для чистки плоских поверхностей AquaClean</t>
  </si>
  <si>
    <t>750 g</t>
  </si>
  <si>
    <t>15.683 dm³</t>
  </si>
  <si>
    <t>645 mm</t>
  </si>
  <si>
    <t>Dirt Blaster AquaClean Li</t>
  </si>
  <si>
    <t>Насадка-распылитель для удаления грязи AquaClean</t>
  </si>
  <si>
    <t>106 mm</t>
  </si>
  <si>
    <t>0.187 dm³</t>
  </si>
  <si>
    <t>2280 pcs</t>
  </si>
  <si>
    <t>США</t>
  </si>
  <si>
    <t>0.469 dm³</t>
  </si>
  <si>
    <t>880 g</t>
  </si>
  <si>
    <t>545 mm</t>
  </si>
  <si>
    <t>14.276 dm³</t>
  </si>
  <si>
    <t>354 mm</t>
  </si>
  <si>
    <t>Швеция</t>
  </si>
  <si>
    <t>1001 g</t>
  </si>
  <si>
    <t>258 mm</t>
  </si>
  <si>
    <t>1.651 dm³</t>
  </si>
  <si>
    <t>Spare blades f 9823/25, 8840/41,...</t>
  </si>
  <si>
    <t>Ножи запасные RotorCut (для триммера для AccuCut (8844), для EasyCut (09823))</t>
  </si>
  <si>
    <t>48 g</t>
  </si>
  <si>
    <t>35 g</t>
  </si>
  <si>
    <t>0.601 dm³</t>
  </si>
  <si>
    <t>Filament cass. for 8844/45, 9824</t>
  </si>
  <si>
    <t>Лезвия запасные для триммера для AccuCut (8844)</t>
  </si>
  <si>
    <t>50 g</t>
  </si>
  <si>
    <t>0.382 dm³</t>
  </si>
  <si>
    <t>Filament for 9807/08/09, 8846/47/48</t>
  </si>
  <si>
    <t>Кассета сменная (для арт.8846, 8847, 8848)</t>
  </si>
  <si>
    <t>0.573 dm³</t>
  </si>
  <si>
    <t>Replacem.Filament Cass.f.8851/8852</t>
  </si>
  <si>
    <t>Кассета сменная (для арт. 8851, 8852)</t>
  </si>
  <si>
    <t>85 g</t>
  </si>
  <si>
    <t>108 mm</t>
  </si>
  <si>
    <t>0.605 dm³</t>
  </si>
  <si>
    <t>0.655 dm³</t>
  </si>
  <si>
    <t>64 g</t>
  </si>
  <si>
    <t>66 g</t>
  </si>
  <si>
    <t>36 g</t>
  </si>
  <si>
    <t>30 g</t>
  </si>
  <si>
    <t>0.094 dm³</t>
  </si>
  <si>
    <t>82 g</t>
  </si>
  <si>
    <t>0.241 dm³</t>
  </si>
  <si>
    <t>56 g</t>
  </si>
  <si>
    <t>0.172 dm³</t>
  </si>
  <si>
    <t>74 g</t>
  </si>
  <si>
    <t>0.357 dm³</t>
  </si>
  <si>
    <t>0.556 dm³</t>
  </si>
  <si>
    <t>1080 pcs</t>
  </si>
  <si>
    <t>208 g</t>
  </si>
  <si>
    <t>0.173 dm³</t>
  </si>
  <si>
    <t>Grass Blade Set  Accu Standard</t>
  </si>
  <si>
    <t>Нож запасной 8 см для ножниц для газона</t>
  </si>
  <si>
    <t>Grass Blade Set  Accu Safe 16, V12</t>
  </si>
  <si>
    <t>Нож запасной 10 см</t>
  </si>
  <si>
    <t>216 g</t>
  </si>
  <si>
    <t>0.109 dm³</t>
  </si>
  <si>
    <t xml:space="preserve">grass blade set 8 cm  </t>
  </si>
  <si>
    <t>Нож для травы 8 см</t>
  </si>
  <si>
    <t>99 mm</t>
  </si>
  <si>
    <t>0.82 dm³</t>
  </si>
  <si>
    <t xml:space="preserve">Shrub Shears Blade Set  12,5 cm  </t>
  </si>
  <si>
    <t>Нож для кустарников 12,5 см</t>
  </si>
  <si>
    <t>1.134 dm³</t>
  </si>
  <si>
    <t xml:space="preserve">Shrub Shears Blade Set  18 cm </t>
  </si>
  <si>
    <t>Нож для кустарников 18 см</t>
  </si>
  <si>
    <t>333 mm</t>
  </si>
  <si>
    <t>1.363 dm³</t>
  </si>
  <si>
    <t>Telescopie handle and wheels</t>
  </si>
  <si>
    <t>Рукоятка телескопическая для аккумуляторный ножниц для травы и кустарников</t>
  </si>
  <si>
    <t>549 g</t>
  </si>
  <si>
    <t>1020 mm</t>
  </si>
  <si>
    <t>68 mm</t>
  </si>
  <si>
    <t>11.901 dm³</t>
  </si>
  <si>
    <t>40.5 mm</t>
  </si>
  <si>
    <t>693 mm</t>
  </si>
  <si>
    <t>752.5 mm</t>
  </si>
  <si>
    <t>Wheels battery grass shears</t>
  </si>
  <si>
    <t>Колеса опорные для аккумуляторных ножниц для травы и кустарников</t>
  </si>
  <si>
    <t>0.564 dm³</t>
  </si>
  <si>
    <t>61.4 mm</t>
  </si>
  <si>
    <t>77.2 mm</t>
  </si>
  <si>
    <t>725 pcs</t>
  </si>
  <si>
    <t>Grass- and Boxwood blade</t>
  </si>
  <si>
    <t>Нож для травы (для ClassicCut Li, ComforCut Li)</t>
  </si>
  <si>
    <t>197 g</t>
  </si>
  <si>
    <t>0.826 dm³</t>
  </si>
  <si>
    <t>41.3 mm</t>
  </si>
  <si>
    <t>Shrub blade</t>
  </si>
  <si>
    <t>Нож для кустарников (для ClassicCut Li, ComforCut Li)</t>
  </si>
  <si>
    <t>1.068 dm³</t>
  </si>
  <si>
    <t>77.5 mm</t>
  </si>
  <si>
    <t>448 pcs</t>
  </si>
  <si>
    <t>0.441 dm³</t>
  </si>
  <si>
    <t>1.259 dm³</t>
  </si>
  <si>
    <t>250 pcs</t>
  </si>
  <si>
    <t>4001,25</t>
  </si>
  <si>
    <t>21250 g</t>
  </si>
  <si>
    <t>18000 g</t>
  </si>
  <si>
    <t>178.698 dm³</t>
  </si>
  <si>
    <t>10600 g</t>
  </si>
  <si>
    <t>10000 g</t>
  </si>
  <si>
    <t>86.45 dm³</t>
  </si>
  <si>
    <t>Battery Lawnmower PowerMax Li-40/37</t>
  </si>
  <si>
    <t>Газонокосилка аккумуляторная PowerMax™ Li-40/37</t>
  </si>
  <si>
    <t>16900 g</t>
  </si>
  <si>
    <t>795 mm</t>
  </si>
  <si>
    <t>183.438 dm³</t>
  </si>
  <si>
    <t>1311 mm</t>
  </si>
  <si>
    <t>1105 mm</t>
  </si>
  <si>
    <t>Set Lawnmower PowerMax Li-18/32</t>
  </si>
  <si>
    <t>Газонокосилка аккумуляторная PowerMax™ Li-18/32</t>
  </si>
  <si>
    <t>11150 g</t>
  </si>
  <si>
    <t>9300 g</t>
  </si>
  <si>
    <t>655 mm</t>
  </si>
  <si>
    <t>81.957 dm³</t>
  </si>
  <si>
    <t>Lawnmower PowerMax Li-18/32 wo Accu</t>
  </si>
  <si>
    <t>Газонокосилка аккумуляторная PowerMax™ Li-18/32 без аккумулятора</t>
  </si>
  <si>
    <t>10495 g</t>
  </si>
  <si>
    <t>963 mm</t>
  </si>
  <si>
    <t>349 mm</t>
  </si>
  <si>
    <t>18720 g</t>
  </si>
  <si>
    <t>16200 g</t>
  </si>
  <si>
    <t>HandyMower Li-18/22</t>
  </si>
  <si>
    <t>Ручная газонокосилка аккумуляторная Li-18/22</t>
  </si>
  <si>
    <t>6720 g</t>
  </si>
  <si>
    <t>6000 g</t>
  </si>
  <si>
    <t>79.772 dm³</t>
  </si>
  <si>
    <t>1250 mm</t>
  </si>
  <si>
    <t>HandyMower Li-18/22 w/o battery</t>
  </si>
  <si>
    <t>Ручная газонокосилка аккумуляторная Li-18/22 без аккумулятора</t>
  </si>
  <si>
    <t>6220 g</t>
  </si>
  <si>
    <t>PowerMax Li-40/32</t>
  </si>
  <si>
    <t>Газонокосилка аккумуляторная PowerMax™ Li-40/32</t>
  </si>
  <si>
    <t>10435 g</t>
  </si>
  <si>
    <t>8900 g</t>
  </si>
  <si>
    <t>1167 mm</t>
  </si>
  <si>
    <t>968 mm</t>
  </si>
  <si>
    <t>PowerMax Li-40/41</t>
  </si>
  <si>
    <t>Газонокосилка аккумуляторная PowerMax™ Li-40/41</t>
  </si>
  <si>
    <t>23800 g</t>
  </si>
  <si>
    <t>21800 g</t>
  </si>
  <si>
    <t>178.88 dm³</t>
  </si>
  <si>
    <t>1365 mm</t>
  </si>
  <si>
    <t>1125 mm</t>
  </si>
  <si>
    <t>473 mm</t>
  </si>
  <si>
    <t>PowerMax 1200/32</t>
  </si>
  <si>
    <t>Газонокосилка электрическая PowerMax™ 1200/32</t>
  </si>
  <si>
    <t>9815 g</t>
  </si>
  <si>
    <t>8300 g</t>
  </si>
  <si>
    <t>81.51 dm³</t>
  </si>
  <si>
    <t>1176 mm</t>
  </si>
  <si>
    <t>971 mm</t>
  </si>
  <si>
    <t>10064 g</t>
  </si>
  <si>
    <t>81.510 dm³</t>
  </si>
  <si>
    <t>PowerMax 1400/34</t>
  </si>
  <si>
    <t>Газонокосилка электрическая PowerMax™ 1400/34</t>
  </si>
  <si>
    <t>12500 g</t>
  </si>
  <si>
    <t>740 mm</t>
  </si>
  <si>
    <t>110.741 dm³</t>
  </si>
  <si>
    <t>1129 mm</t>
  </si>
  <si>
    <t>1060 mm</t>
  </si>
  <si>
    <t>PowerMax 1100/32</t>
  </si>
  <si>
    <t>Газонокосилка электрическая PowerMax™ 1100/32</t>
  </si>
  <si>
    <t>8700 g</t>
  </si>
  <si>
    <t>9045 g</t>
  </si>
  <si>
    <t>688 mm</t>
  </si>
  <si>
    <t>73.822 dm³</t>
  </si>
  <si>
    <t>916 mm</t>
  </si>
  <si>
    <t>9 pcs</t>
  </si>
  <si>
    <t>Electr. Lawnmower PowerMax 1600/37</t>
  </si>
  <si>
    <t>Газонокосилка электрическая PowerMax™ 1600/37</t>
  </si>
  <si>
    <t>19335 g</t>
  </si>
  <si>
    <t>13700 g</t>
  </si>
  <si>
    <t>1117 mm</t>
  </si>
  <si>
    <t>19510 g</t>
  </si>
  <si>
    <t>17500 g</t>
  </si>
  <si>
    <t>Electr. Lawnmower PowerMax 1800/42</t>
  </si>
  <si>
    <t>Газонокосилка электрическая PowerMax™ 1800/42</t>
  </si>
  <si>
    <t>19290 g</t>
  </si>
  <si>
    <t>15000 g</t>
  </si>
  <si>
    <t>KIC,China</t>
  </si>
  <si>
    <t>FLM, UK</t>
  </si>
  <si>
    <t>Aycliffe, UK</t>
  </si>
  <si>
    <t>electric vertical cutter evc 1000</t>
  </si>
  <si>
    <t>Скарификатор-аэратор газонный электрический EVC 1000 (1000Вт, 30см, рабочие элементы - металлические ножи)</t>
  </si>
  <si>
    <t>11640 g</t>
  </si>
  <si>
    <t>11660 g</t>
  </si>
  <si>
    <t>9732 g</t>
  </si>
  <si>
    <t>107.445 dm³</t>
  </si>
  <si>
    <t>electric aerator es 500</t>
  </si>
  <si>
    <t>Скарификатор-аэратор газонный электрический ES 500 (500Вт, 30см, рабочие элементы - пружины)</t>
  </si>
  <si>
    <t>10100 g</t>
  </si>
  <si>
    <t>9500 g</t>
  </si>
  <si>
    <t>Grass Catcher for Cylinder Mowers</t>
  </si>
  <si>
    <t>Травосборник. Подходит ко всем типам барабанных газонокосилок GARDENA</t>
  </si>
  <si>
    <t>1288 g</t>
  </si>
  <si>
    <t>18.708 dm³</t>
  </si>
  <si>
    <t>397 mm</t>
  </si>
  <si>
    <t>591 mm</t>
  </si>
  <si>
    <t>13600 g</t>
  </si>
  <si>
    <t>91.502 dm³</t>
  </si>
  <si>
    <t>14000 g</t>
  </si>
  <si>
    <t>15400 g</t>
  </si>
  <si>
    <t>90.344 dm³</t>
  </si>
  <si>
    <t>Hand Cylinder Lawnmower 400</t>
  </si>
  <si>
    <t>Газонокосилка барабанная механическая 400 Classic (ширина 40см, 12-42мм)</t>
  </si>
  <si>
    <t>10085 g</t>
  </si>
  <si>
    <t>575 mm</t>
  </si>
  <si>
    <t>393 mm</t>
  </si>
  <si>
    <t>64.403 dm³</t>
  </si>
  <si>
    <t>357 mm</t>
  </si>
  <si>
    <t>1207 mm</t>
  </si>
  <si>
    <t>566 mm</t>
  </si>
  <si>
    <t>Hand Cylinder Lawnmower 400 C,OBI</t>
  </si>
  <si>
    <t>Газонокосилка барабанная механическая 400C Comfort for OBI</t>
  </si>
  <si>
    <t>11735 g</t>
  </si>
  <si>
    <t>10900 g</t>
  </si>
  <si>
    <t>70.122 dm³</t>
  </si>
  <si>
    <t>Hand Cylinder Lawnmower 400 C</t>
  </si>
  <si>
    <t>Газонокосилка барабанная механическая 400C Comfort (ширина 40см, 12-42мм, рукоятки эрго)</t>
  </si>
  <si>
    <t>9400 g</t>
  </si>
  <si>
    <t>68.913 dm³</t>
  </si>
  <si>
    <t>Classic Cylinder Lawnmower 330</t>
  </si>
  <si>
    <t>Газонокосилка барабанная механическая 330 Classic</t>
  </si>
  <si>
    <t>9795 g</t>
  </si>
  <si>
    <t>8200 g</t>
  </si>
  <si>
    <t>363 mm</t>
  </si>
  <si>
    <t>1075 mm</t>
  </si>
  <si>
    <t>FLM</t>
  </si>
  <si>
    <t>13360 g</t>
  </si>
  <si>
    <t>151.368 dm³</t>
  </si>
  <si>
    <t>Газонокосилка-робот GARDENA Sileno city 250</t>
  </si>
  <si>
    <t>14565 g</t>
  </si>
  <si>
    <t>11900 g</t>
  </si>
  <si>
    <t>11805 g</t>
  </si>
  <si>
    <t>100.139 dm³</t>
  </si>
  <si>
    <t>11800 g</t>
  </si>
  <si>
    <t>Газонокосилка-робот GARDENA Sileno city 500</t>
  </si>
  <si>
    <t>10030 g</t>
  </si>
  <si>
    <t>7530 g</t>
  </si>
  <si>
    <t>15760 g</t>
  </si>
  <si>
    <t>12240 g</t>
  </si>
  <si>
    <t>10110 g</t>
  </si>
  <si>
    <t>7375 g</t>
  </si>
  <si>
    <t>16000 g</t>
  </si>
  <si>
    <t>0 g</t>
  </si>
  <si>
    <t>11000 g</t>
  </si>
  <si>
    <t>0 mm</t>
  </si>
  <si>
    <t>0 dm³</t>
  </si>
  <si>
    <t>SILENO life 750m²</t>
  </si>
  <si>
    <t>Газонокосилка-робот SILENO life 750</t>
  </si>
  <si>
    <t>Великобритания</t>
  </si>
  <si>
    <t>16310 g</t>
  </si>
  <si>
    <t>13160 g</t>
  </si>
  <si>
    <t>154.229 dm³</t>
  </si>
  <si>
    <t>102 dm³</t>
  </si>
  <si>
    <t>Газонокосилка-робот SILENO life 1000</t>
  </si>
  <si>
    <t>SILENO life 1000m²</t>
  </si>
  <si>
    <t>SILENO life 1250m²</t>
  </si>
  <si>
    <t>Газонокосилка-робот SILENO life 1250</t>
  </si>
  <si>
    <t>11067 g</t>
  </si>
  <si>
    <t>robotic mower sileno city 250 m²</t>
  </si>
  <si>
    <t>15475 g</t>
  </si>
  <si>
    <t>robotic mower sileno city 500 m²</t>
  </si>
  <si>
    <t>102.000 dm³</t>
  </si>
  <si>
    <t>Robotic Mower SILENO minimo 250</t>
  </si>
  <si>
    <t>Газонокосилка-робот GARDENA SILENO minimo 250</t>
  </si>
  <si>
    <t>Robotic Mower SILENO minimo 500</t>
  </si>
  <si>
    <t>Газонокосилка-робот GARDENA SILENO minimo 500</t>
  </si>
  <si>
    <t>4078500 02611 6</t>
  </si>
  <si>
    <t>Spare Blades Robotic</t>
  </si>
  <si>
    <t>Набор режущих ножей (9шт)</t>
  </si>
  <si>
    <t>0.437 dm³</t>
  </si>
  <si>
    <t>Ограничительный провод для R50Li (150 м)</t>
  </si>
  <si>
    <t>1590 g</t>
  </si>
  <si>
    <t>1570 g</t>
  </si>
  <si>
    <t>3.592 dm³</t>
  </si>
  <si>
    <t>Connectors Robotic</t>
  </si>
  <si>
    <t>Соединители ограничительного провода ( 6 муфт и 2 клеммы)</t>
  </si>
  <si>
    <t>34 g</t>
  </si>
  <si>
    <t>1470 pcs</t>
  </si>
  <si>
    <t>Staples Robotic</t>
  </si>
  <si>
    <t>Фиксаторы ограничительного провода (100 шт)</t>
  </si>
  <si>
    <t>2.448 dm³</t>
  </si>
  <si>
    <t>4315 g</t>
  </si>
  <si>
    <t>109.761 dm³</t>
  </si>
  <si>
    <t>Robotic Housing R100/130</t>
  </si>
  <si>
    <t>Зарядная станция для автоматической газонокосилки R100/130</t>
  </si>
  <si>
    <t>7180 g</t>
  </si>
  <si>
    <t>4810 g</t>
  </si>
  <si>
    <t>172.457 dm³</t>
  </si>
  <si>
    <t>House for SILENO city / life</t>
  </si>
  <si>
    <t>Навес зарядной станции для газонокосилки-робота SILENO city и SILENO life</t>
  </si>
  <si>
    <t>105.911 dm³</t>
  </si>
  <si>
    <t>334 mm</t>
  </si>
  <si>
    <t>532 mm</t>
  </si>
  <si>
    <t>1390 g</t>
  </si>
  <si>
    <t>286 mm</t>
  </si>
  <si>
    <t>10.049 dm³</t>
  </si>
  <si>
    <t>75 pcs</t>
  </si>
  <si>
    <t>Набор для ремонта ограничительного провода для R50Li (ограничительный провод 5 м, клеммы - 6 шт., фиксаторы - 10 шт.)</t>
  </si>
  <si>
    <t>115 g</t>
  </si>
  <si>
    <t>0.9 dm³</t>
  </si>
  <si>
    <t>400 pcs</t>
  </si>
  <si>
    <t>Storage Bag</t>
  </si>
  <si>
    <t>Чехол для хранения газонокосилки-робота</t>
  </si>
  <si>
    <t>12.296 dm³</t>
  </si>
  <si>
    <t>209 mm</t>
  </si>
  <si>
    <t>139 mm</t>
  </si>
  <si>
    <t>1.511 dm³</t>
  </si>
  <si>
    <t>208 mm</t>
  </si>
  <si>
    <t>1515 g</t>
  </si>
  <si>
    <t>1275 g</t>
  </si>
  <si>
    <t>13.584 dm³</t>
  </si>
  <si>
    <t>495 g</t>
  </si>
  <si>
    <t>49 mm</t>
  </si>
  <si>
    <t>1.583 dm³</t>
  </si>
  <si>
    <t>0.484 dm³</t>
  </si>
  <si>
    <t>1100 pcs</t>
  </si>
  <si>
    <t>4.565 dm³</t>
  </si>
  <si>
    <t>146 pcs</t>
  </si>
  <si>
    <t>0.900 dm³</t>
  </si>
  <si>
    <t>Boundary Wire 150m</t>
  </si>
  <si>
    <t>Ограничительный провод для газонокосилки-робота GARDENA (150 м)</t>
  </si>
  <si>
    <t>152,57</t>
  </si>
  <si>
    <t>CATCHER F. EVC 1000/30</t>
  </si>
  <si>
    <t>Травосборник. Подходит ко всем скарификаторам-аэраторам GARDENA</t>
  </si>
  <si>
    <t>1780 g</t>
  </si>
  <si>
    <t>13.104 dm³</t>
  </si>
  <si>
    <t xml:space="preserve">Spare Blade 32 E </t>
  </si>
  <si>
    <t>Нож запасной для газонокосилки электрической PowerMax 32 E</t>
  </si>
  <si>
    <t>249 g</t>
  </si>
  <si>
    <t>0.595 dm³</t>
  </si>
  <si>
    <t>Spare Blade 36 E</t>
  </si>
  <si>
    <t>Нож запасной для газонокосилки электрической PowerMax 36 E</t>
  </si>
  <si>
    <t>0.663 dm³</t>
  </si>
  <si>
    <t>Spare Blade 42 E</t>
  </si>
  <si>
    <t>Нож запасной для газонокосилки электрической PowerMax 42 E</t>
  </si>
  <si>
    <t>Blade for PowerMax 37E 4075</t>
  </si>
  <si>
    <t>Нож запасной для газонокосилки электрической PowerMax 37 E</t>
  </si>
  <si>
    <t>386 g</t>
  </si>
  <si>
    <t>23 mm</t>
  </si>
  <si>
    <t>0.716 dm³</t>
  </si>
  <si>
    <t>432 pcs</t>
  </si>
  <si>
    <t>Blade for PowerMax 42E 4076</t>
  </si>
  <si>
    <t>335 g</t>
  </si>
  <si>
    <t>435 g</t>
  </si>
  <si>
    <t>Spare Blade PowerMax 1100/32</t>
  </si>
  <si>
    <t>Нож запасной для газонокосилки электрической PowerMax 1100/32</t>
  </si>
  <si>
    <t>0.725 dm³</t>
  </si>
  <si>
    <t>574 pcs</t>
  </si>
  <si>
    <t>Spare Blade PowerMax Li-40/32</t>
  </si>
  <si>
    <t>Нож запасной для газонокосилки аккумуляторной PowerMax Li-40</t>
  </si>
  <si>
    <t>0.904 dm³</t>
  </si>
  <si>
    <t>759 pcs</t>
  </si>
  <si>
    <t>Spare Blade PowerMax 1400/34</t>
  </si>
  <si>
    <t>Нож запасной для газонокосилки электрической PowerMax 1400/34</t>
  </si>
  <si>
    <t>356 mm</t>
  </si>
  <si>
    <t>0.79 dm³</t>
  </si>
  <si>
    <t>Spare Blade PowerMax Li-40/41</t>
  </si>
  <si>
    <t>Нож запасной для газонокосилки аккумуляторной PowerMax Li-40/41</t>
  </si>
  <si>
    <t>0.32 dm³</t>
  </si>
  <si>
    <t>420 pcs</t>
  </si>
  <si>
    <t>Spare blade PowerMax Li-40/37</t>
  </si>
  <si>
    <t>Нож запасной для газонокосилки аккумуляторной PowerMax Li-40/37</t>
  </si>
  <si>
    <t>0.734 dm³</t>
  </si>
  <si>
    <t>63,38</t>
  </si>
  <si>
    <t>Пистолет-наконечник для полива многофункциональный Premium</t>
  </si>
  <si>
    <t xml:space="preserve">Коннектор Premium 1/2"  </t>
  </si>
  <si>
    <t xml:space="preserve">Коннектор с автостопом Premium  13 мм (1/2") </t>
  </si>
  <si>
    <t xml:space="preserve">Коннектор с автостопом Premium 19 мм (3/4") </t>
  </si>
  <si>
    <t>Role</t>
  </si>
  <si>
    <t>Метр</t>
  </si>
  <si>
    <t>Ulm</t>
  </si>
  <si>
    <t>Базовый комплект для полива (арт. 18202/5305, 18215, 18213, 18300) - 50 лет базовой системе полива GARDENA, (Дисплей 1/4 паллеты с постером)</t>
  </si>
  <si>
    <t>Cleaning Gun</t>
  </si>
  <si>
    <t>Пистолет-наконечник для полива Classic</t>
  </si>
  <si>
    <t>1.443 dm³</t>
  </si>
  <si>
    <t>Multi Spray gun</t>
  </si>
  <si>
    <t>Пистолет для полива многофункциональный Classic</t>
  </si>
  <si>
    <t>3.037 dm³</t>
  </si>
  <si>
    <t>Water Spray Gun</t>
  </si>
  <si>
    <t>Пистолет-распылитель для полива Classic</t>
  </si>
  <si>
    <t>665 g</t>
  </si>
  <si>
    <t>975 mm</t>
  </si>
  <si>
    <t>8.58 dm³</t>
  </si>
  <si>
    <t>436 g</t>
  </si>
  <si>
    <t>6.188 dm³</t>
  </si>
  <si>
    <t>536 mm</t>
  </si>
  <si>
    <t>664 g</t>
  </si>
  <si>
    <t>1575 mm</t>
  </si>
  <si>
    <t>13.86 dm³</t>
  </si>
  <si>
    <t>1260 g</t>
  </si>
  <si>
    <t>1209 g</t>
  </si>
  <si>
    <t>1640 mm</t>
  </si>
  <si>
    <t>14.432 dm³</t>
  </si>
  <si>
    <t>1557 mm</t>
  </si>
  <si>
    <t>305 mm</t>
  </si>
  <si>
    <t>1.62 dm³</t>
  </si>
  <si>
    <t>324 g</t>
  </si>
  <si>
    <t>323 mm</t>
  </si>
  <si>
    <t>2.051 dm³</t>
  </si>
  <si>
    <t>164 g</t>
  </si>
  <si>
    <t>294 mm</t>
  </si>
  <si>
    <t>86 mm</t>
  </si>
  <si>
    <t>1.77 dm³</t>
  </si>
  <si>
    <t>408 g</t>
  </si>
  <si>
    <t>3.244 dm³</t>
  </si>
  <si>
    <t>308 mm</t>
  </si>
  <si>
    <t>418 g</t>
  </si>
  <si>
    <t>274 g</t>
  </si>
  <si>
    <t>224 g</t>
  </si>
  <si>
    <t>1.56 dm³</t>
  </si>
  <si>
    <t>415 g</t>
  </si>
  <si>
    <t>3.898 dm³</t>
  </si>
  <si>
    <t>287 mm</t>
  </si>
  <si>
    <t>3.527 dm³</t>
  </si>
  <si>
    <t>315 mm</t>
  </si>
  <si>
    <t>6.143 dm³</t>
  </si>
  <si>
    <t>96 g</t>
  </si>
  <si>
    <t>1.382 dm³</t>
  </si>
  <si>
    <t>493 g</t>
  </si>
  <si>
    <t>395 g</t>
  </si>
  <si>
    <t>5.775 dm³</t>
  </si>
  <si>
    <t>553 g</t>
  </si>
  <si>
    <t>455 g</t>
  </si>
  <si>
    <t>6.016 dm³</t>
  </si>
  <si>
    <t>7.200 dm³</t>
  </si>
  <si>
    <t>136 pcs</t>
  </si>
  <si>
    <t>31.482 dm³</t>
  </si>
  <si>
    <t>1289 g</t>
  </si>
  <si>
    <t>740 g</t>
  </si>
  <si>
    <t>1665 mm</t>
  </si>
  <si>
    <t>46.62 dm³</t>
  </si>
  <si>
    <t>5.236 dm³</t>
  </si>
  <si>
    <t>149 g</t>
  </si>
  <si>
    <t>17 mm</t>
  </si>
  <si>
    <t>0.455 dm³</t>
  </si>
  <si>
    <t>2080 pcs</t>
  </si>
  <si>
    <t>72 g</t>
  </si>
  <si>
    <t>13 mm</t>
  </si>
  <si>
    <t>0.3 dm³</t>
  </si>
  <si>
    <t>52 g</t>
  </si>
  <si>
    <t>14 mm</t>
  </si>
  <si>
    <t>0.095 dm³</t>
  </si>
  <si>
    <t>Cleaning Nozzle</t>
  </si>
  <si>
    <t>Наконечник для полива Classic</t>
  </si>
  <si>
    <t>1.058 dm³</t>
  </si>
  <si>
    <t>0.168 dm³</t>
  </si>
  <si>
    <t>2160 pcs</t>
  </si>
  <si>
    <t>2940 pcs</t>
  </si>
  <si>
    <t>Classic Cleaning Nozzle</t>
  </si>
  <si>
    <t>199 g</t>
  </si>
  <si>
    <t>440 pcs</t>
  </si>
  <si>
    <t>187 g</t>
  </si>
  <si>
    <t>259 g</t>
  </si>
  <si>
    <t>1.197 dm³</t>
  </si>
  <si>
    <t>260 g</t>
  </si>
  <si>
    <t>341 g</t>
  </si>
  <si>
    <t>Water Sprayer</t>
  </si>
  <si>
    <t>Наконечник-распылитель для полива Classic</t>
  </si>
  <si>
    <t>1.399 dm³</t>
  </si>
  <si>
    <t>630 pcs</t>
  </si>
  <si>
    <t>91 g</t>
  </si>
  <si>
    <t>77 g</t>
  </si>
  <si>
    <t>0.487 dm³</t>
  </si>
  <si>
    <t>78 g</t>
  </si>
  <si>
    <t>1400 pcs</t>
  </si>
  <si>
    <t>Classic Water Sprayer</t>
  </si>
  <si>
    <t>241 g</t>
  </si>
  <si>
    <t>169 g</t>
  </si>
  <si>
    <t>2.494 dm³</t>
  </si>
  <si>
    <t>165 g</t>
  </si>
  <si>
    <t>1.798 dm³</t>
  </si>
  <si>
    <t>Classic Multi Sprayer</t>
  </si>
  <si>
    <t>Пистолет-распылитель Classic</t>
  </si>
  <si>
    <t>277 g</t>
  </si>
  <si>
    <t>3.968 dm³</t>
  </si>
  <si>
    <t>363 g</t>
  </si>
  <si>
    <t>347 g</t>
  </si>
  <si>
    <t>Classic Sprayer Set</t>
  </si>
  <si>
    <t>Комплект: Пистолет-распылитель для полива Classic + Коннектор с автостопом (Дисплей)</t>
  </si>
  <si>
    <t>1.931 dm³</t>
  </si>
  <si>
    <t>216 pcs</t>
  </si>
  <si>
    <t>Classic Fine Spray Gun-Offer</t>
  </si>
  <si>
    <t>Пистолет-распылитель для полива Classic (Дисплей)</t>
  </si>
  <si>
    <t>835 mm</t>
  </si>
  <si>
    <t>8.717 dm³</t>
  </si>
  <si>
    <t>766 mm</t>
  </si>
  <si>
    <t>Spray Lance</t>
  </si>
  <si>
    <t>Штанга-распылитель для полива Classic</t>
  </si>
  <si>
    <t>343 g</t>
  </si>
  <si>
    <t>318 g</t>
  </si>
  <si>
    <t>319 g</t>
  </si>
  <si>
    <t>Spray Lance Offer</t>
  </si>
  <si>
    <t>Штанга-распылитель для полива Classic (Дисплей)</t>
  </si>
  <si>
    <t>Garden Shower Basic Model</t>
  </si>
  <si>
    <t xml:space="preserve">Душ садовый Solo </t>
  </si>
  <si>
    <t>15.048 dm³</t>
  </si>
  <si>
    <t>875 g</t>
  </si>
  <si>
    <t>2027 g</t>
  </si>
  <si>
    <t>1740 g</t>
  </si>
  <si>
    <t>1147 mm</t>
  </si>
  <si>
    <t>14.452 dm³</t>
  </si>
  <si>
    <t>38 pcs</t>
  </si>
  <si>
    <t>1180 mm</t>
  </si>
  <si>
    <t>23.789 dm³</t>
  </si>
  <si>
    <t>2070 mm</t>
  </si>
  <si>
    <t>Comfort Sensitive Plant Sprayer</t>
  </si>
  <si>
    <t>Пистолет-распылитель для полива многофункциональный Comfort</t>
  </si>
  <si>
    <t>4.365 dm³</t>
  </si>
  <si>
    <t>281 mm</t>
  </si>
  <si>
    <t>4.55 dm³</t>
  </si>
  <si>
    <t>4.451 dm³</t>
  </si>
  <si>
    <t>Comfort Spray Lance</t>
  </si>
  <si>
    <t>Штанга-распылитель для полива многофункциональная Comfort</t>
  </si>
  <si>
    <t>11.844 dm³</t>
  </si>
  <si>
    <t>904 mm</t>
  </si>
  <si>
    <t>10.94 dm³</t>
  </si>
  <si>
    <t>Comfort Cleaning Nozzle</t>
  </si>
  <si>
    <t>Пистолет-наконечник для полива Comfort</t>
  </si>
  <si>
    <t>163 g</t>
  </si>
  <si>
    <t>Пистолет-наконечник для полива Comfort (Дисплей)</t>
  </si>
  <si>
    <t>Premium Cleaning Nozzle</t>
  </si>
  <si>
    <t>Пистолет-наконечник для полива Premium</t>
  </si>
  <si>
    <t>231 g</t>
  </si>
  <si>
    <t>Comfort Multi Sprayer</t>
  </si>
  <si>
    <t>Comfort Multi Sprayer Offer</t>
  </si>
  <si>
    <t>Пистолет-распылитель для полива многофункциональный Comfort (Дисплей)</t>
  </si>
  <si>
    <t>1.764 dm³</t>
  </si>
  <si>
    <t>Premium Multi Sprayer</t>
  </si>
  <si>
    <t>Пистолет-распылитель для полива многофункциональный Premium</t>
  </si>
  <si>
    <t>Premium Spray Lance</t>
  </si>
  <si>
    <t>Штанга-распылитель для полива Premium</t>
  </si>
  <si>
    <t>12.348 dm³</t>
  </si>
  <si>
    <t>741 mm</t>
  </si>
  <si>
    <t>Comfort Cleaning Sprayer</t>
  </si>
  <si>
    <t>4.466 dm³</t>
  </si>
  <si>
    <t>Premium Cleaning Nozzle Set</t>
  </si>
  <si>
    <t>Комплект: Пистолет-наконечник для полива Premium + Коннектор с автостопом Premium</t>
  </si>
  <si>
    <t>353 g</t>
  </si>
  <si>
    <t>2.103 dm³</t>
  </si>
  <si>
    <t>Cleaning Gun Offer</t>
  </si>
  <si>
    <t>Комплект: Пистолет-наконечник для полива Classic + Коннектор стандартный 1/2" (Дисплей)</t>
  </si>
  <si>
    <t>Water Spray Gun Offer</t>
  </si>
  <si>
    <t>Комплект: Пистолет-распылитель для полива + Коннектор с автостопом 1/2 (Дисплей)</t>
  </si>
  <si>
    <t>Multi Spray Gun Offer</t>
  </si>
  <si>
    <t>Комплект: Пистолет для полива многофункциональный Classic + Коннектор стандартный 1/2"</t>
  </si>
  <si>
    <t>Comfort Cleaning Nozzle ecoPulse</t>
  </si>
  <si>
    <t>Пистолет-наконечник для полива Comfort ecoPulse</t>
  </si>
  <si>
    <t>2.541 dm³</t>
  </si>
  <si>
    <t>Пистолет-наконечник для полива Comfort ecoPulse (Дисплей)</t>
  </si>
  <si>
    <t>190 г</t>
  </si>
  <si>
    <t>210 g</t>
  </si>
  <si>
    <t>city gardening Balcony Sprayer</t>
  </si>
  <si>
    <t>Пистолет-наконечник балконный "Домашнее садоводство"</t>
  </si>
  <si>
    <t>120 г</t>
  </si>
  <si>
    <t>182 g</t>
  </si>
  <si>
    <t>1.613 dm³</t>
  </si>
  <si>
    <t>Basic Hose 3/4" 15m with fitt</t>
  </si>
  <si>
    <t>Комплект для подключения к вибрационному насосу</t>
  </si>
  <si>
    <t>3720 g</t>
  </si>
  <si>
    <t>12.312 dm³</t>
  </si>
  <si>
    <t>Basic 19mm (3/4") 25m w/o fittings</t>
  </si>
  <si>
    <t>Шланг Basic, 19 мм (3/4"), 25 м</t>
  </si>
  <si>
    <t>5170 g</t>
  </si>
  <si>
    <t>5150 g</t>
  </si>
  <si>
    <t>30.42 dm³</t>
  </si>
  <si>
    <t>Basic 13mm (1/2") 20m w/o fittings</t>
  </si>
  <si>
    <t>Шланг Basic, 13 мм (1/2"), 20 м</t>
  </si>
  <si>
    <t>2760 g</t>
  </si>
  <si>
    <t>2740 g</t>
  </si>
  <si>
    <t>11.637 dm³</t>
  </si>
  <si>
    <t>66 pcs</t>
  </si>
  <si>
    <t>3460 g</t>
  </si>
  <si>
    <t>3400 g</t>
  </si>
  <si>
    <t>10.952 dm³</t>
  </si>
  <si>
    <t>Basic 13mm (1/2") 25m w/o f.</t>
  </si>
  <si>
    <t>Шланг Basic, 19 мм (1/2"), 25 м</t>
  </si>
  <si>
    <t>3000 г</t>
  </si>
  <si>
    <t>7950 g</t>
  </si>
  <si>
    <t>7900 g</t>
  </si>
  <si>
    <t>Дания</t>
  </si>
  <si>
    <t>Roll</t>
  </si>
  <si>
    <t>2010 g</t>
  </si>
  <si>
    <t>1850 g</t>
  </si>
  <si>
    <t>8.670 dm³</t>
  </si>
  <si>
    <t>Classic Hose (1/2"), 18m w/o</t>
  </si>
  <si>
    <t xml:space="preserve">Шланг Classic 13 мм (1/2"), 18 м </t>
  </si>
  <si>
    <t>2450 g</t>
  </si>
  <si>
    <t>9.72 dm³</t>
  </si>
  <si>
    <t>2425 g</t>
  </si>
  <si>
    <t>10.412 dm³</t>
  </si>
  <si>
    <t>42 pcs</t>
  </si>
  <si>
    <t>Classic Hose (1/2"), 20m w/o</t>
  </si>
  <si>
    <t xml:space="preserve">Шланг Classic 13 мм (1/2"), 20 м </t>
  </si>
  <si>
    <t>2750 g</t>
  </si>
  <si>
    <t>11.016 dm³</t>
  </si>
  <si>
    <t>Classic Hose (1/2"), 20m w/f</t>
  </si>
  <si>
    <t>Шланг Classic 13 мм (1/2"), 20 м: комплект</t>
  </si>
  <si>
    <t>2830 g</t>
  </si>
  <si>
    <t>4100 g</t>
  </si>
  <si>
    <t>4050 g</t>
  </si>
  <si>
    <t>15.552 dm³</t>
  </si>
  <si>
    <t>Classic Hose (1/2"),50m w/o</t>
  </si>
  <si>
    <t xml:space="preserve">Шланг Classic 13 мм (1/2"), 50 м </t>
  </si>
  <si>
    <t>6800 g</t>
  </si>
  <si>
    <t>6750 g</t>
  </si>
  <si>
    <t>6350 g</t>
  </si>
  <si>
    <t>26.011 dm³</t>
  </si>
  <si>
    <t>3315 g</t>
  </si>
  <si>
    <t>3310 g</t>
  </si>
  <si>
    <t>14.493 dm³</t>
  </si>
  <si>
    <t>3360 g</t>
  </si>
  <si>
    <t>3340 g</t>
  </si>
  <si>
    <t>15.059 dm³</t>
  </si>
  <si>
    <t>Classic Hose (3/4"), 20m w/o</t>
  </si>
  <si>
    <t xml:space="preserve">Шланг Classic 19 мм (3/4"), 20 м </t>
  </si>
  <si>
    <t>4150 g</t>
  </si>
  <si>
    <t>19.773 dm³</t>
  </si>
  <si>
    <t>204 g</t>
  </si>
  <si>
    <t>0.729 dm³</t>
  </si>
  <si>
    <t>1500 pcs</t>
  </si>
  <si>
    <t>Classic Hose (3/4"), 50m w/o</t>
  </si>
  <si>
    <t xml:space="preserve">Шланг Classic 19 мм (3/4"), 50 м </t>
  </si>
  <si>
    <t>10310 g</t>
  </si>
  <si>
    <t>10200 g</t>
  </si>
  <si>
    <t>42.341 dm³</t>
  </si>
  <si>
    <t xml:space="preserve">Шланг Classic 1/2 х 20 м с фитингами </t>
  </si>
  <si>
    <t>2870 g</t>
  </si>
  <si>
    <t>Flex Hose (1/2") 10m w/o</t>
  </si>
  <si>
    <t xml:space="preserve">Шланг Flex 13 мм(1/2) 10 м </t>
  </si>
  <si>
    <t>1420 g</t>
  </si>
  <si>
    <t>6.727 dm³</t>
  </si>
  <si>
    <t>2210 g</t>
  </si>
  <si>
    <t>2215 g</t>
  </si>
  <si>
    <t>9.248 dm³</t>
  </si>
  <si>
    <t>68 pcs</t>
  </si>
  <si>
    <t>Flex Hose  (1/2") 20m w/o</t>
  </si>
  <si>
    <t>Шланг FLEX 13 мм (1/2"), 20 м</t>
  </si>
  <si>
    <t>3250 g</t>
  </si>
  <si>
    <t>2775 g</t>
  </si>
  <si>
    <t>12.996 dm³</t>
  </si>
  <si>
    <t>Flex Hose  (1/2") 20m w/f</t>
  </si>
  <si>
    <t>Шланг FLEX 13 мм (1/2"), 20 м, с фитингами</t>
  </si>
  <si>
    <t>Flex Hose  (1/2") 30m w/o</t>
  </si>
  <si>
    <t xml:space="preserve">Шланг Flex 9x9 1/2" х 30 м: комплект </t>
  </si>
  <si>
    <t>4745 g</t>
  </si>
  <si>
    <t>4202 g</t>
  </si>
  <si>
    <t>4140 g</t>
  </si>
  <si>
    <t>Flex Hose  (1/2") 50m w/o</t>
  </si>
  <si>
    <t>Шланг FLEX 13 мм (1/2"), 50 м</t>
  </si>
  <si>
    <t>7040 g</t>
  </si>
  <si>
    <t>6900 g</t>
  </si>
  <si>
    <t>26.719 dm³</t>
  </si>
  <si>
    <t>Шланг FLEX 13 мм (1/2"), 50 м в бухте</t>
  </si>
  <si>
    <t>154 g</t>
  </si>
  <si>
    <t>2620 g</t>
  </si>
  <si>
    <t>12.053 dm³</t>
  </si>
  <si>
    <t>3495 g</t>
  </si>
  <si>
    <t>3450 g</t>
  </si>
  <si>
    <t>3860 g</t>
  </si>
  <si>
    <t>Flex Hose  (5/8") 25m w/o</t>
  </si>
  <si>
    <t xml:space="preserve">Шланг Highflex 5/8" х 25 м </t>
  </si>
  <si>
    <t>4300 g</t>
  </si>
  <si>
    <t>16.172 dm³</t>
  </si>
  <si>
    <t>4825 g</t>
  </si>
  <si>
    <t>1960 g</t>
  </si>
  <si>
    <t>9.583 dm³</t>
  </si>
  <si>
    <t>1890 g</t>
  </si>
  <si>
    <t>1820 g</t>
  </si>
  <si>
    <t>Flex Hose  (5/8") 50m w/o</t>
  </si>
  <si>
    <t xml:space="preserve">Шланг Highflex 5/8" х 1 метр </t>
  </si>
  <si>
    <t>0.4 dm³</t>
  </si>
  <si>
    <t>1000 pcs</t>
  </si>
  <si>
    <t xml:space="preserve">Шланг Highflex 5/8" х 50 м </t>
  </si>
  <si>
    <t>8945 g</t>
  </si>
  <si>
    <t>8935 g</t>
  </si>
  <si>
    <t>31.205 dm³</t>
  </si>
  <si>
    <t>Flex Hose  (3/4") 25m w/o</t>
  </si>
  <si>
    <t>Шланг FLEX 19 мм (3/4"), 25 м</t>
  </si>
  <si>
    <t>5880 g</t>
  </si>
  <si>
    <t>5780 g</t>
  </si>
  <si>
    <t>27.436 dm³</t>
  </si>
  <si>
    <t>Flex Hose  (3/4") 50m w/o</t>
  </si>
  <si>
    <t>Шланг FLEX 19 мм (3/4"), 50 м</t>
  </si>
  <si>
    <t>11630 g</t>
  </si>
  <si>
    <t>11530 g</t>
  </si>
  <si>
    <t>44.104 dm³</t>
  </si>
  <si>
    <t>Шланг FLEX 19 мм (3/4"), 50 м в бухте</t>
  </si>
  <si>
    <t>237 g</t>
  </si>
  <si>
    <t>Flex Hose  (1") 25m w/o</t>
  </si>
  <si>
    <t>Шланг FLEX 25 мм (1"), 25 м в бухте</t>
  </si>
  <si>
    <t>Flex Hose  (5/4") 25m w/o</t>
  </si>
  <si>
    <t>Шланг FLEX 32 мм (5/4"), 25 м в бухте</t>
  </si>
  <si>
    <t>662 g</t>
  </si>
  <si>
    <t>660 g</t>
  </si>
  <si>
    <t>375 pcs</t>
  </si>
  <si>
    <t>2180 g</t>
  </si>
  <si>
    <t>2070 g</t>
  </si>
  <si>
    <t>Highflex Hose  (1/2") 20m w/o</t>
  </si>
  <si>
    <t>Шланг HighFLEX 13 мм (1/2"), 20 м</t>
  </si>
  <si>
    <t>2980 g</t>
  </si>
  <si>
    <t>3095 g</t>
  </si>
  <si>
    <t>Highflex Hose  (1/2") 30m w/o</t>
  </si>
  <si>
    <t xml:space="preserve">Шланг HighFLEX 13 мм (1/2"), 30 м </t>
  </si>
  <si>
    <t>4450 g</t>
  </si>
  <si>
    <t>4350 g</t>
  </si>
  <si>
    <t>17.113 dm³</t>
  </si>
  <si>
    <t>Highflex Hose  (1/2") 50m w/o</t>
  </si>
  <si>
    <t>Шланг HighFLEX 13 мм (1/2"), 50 м</t>
  </si>
  <si>
    <t>6690 g</t>
  </si>
  <si>
    <t>6650 g</t>
  </si>
  <si>
    <t>25.313 dm³</t>
  </si>
  <si>
    <t>Highflex Hose (1/2") 50m w/o</t>
  </si>
  <si>
    <t>Шланг HighFLEX 13 мм (1/2"), 50 м в бухте</t>
  </si>
  <si>
    <t>3870 g</t>
  </si>
  <si>
    <t>15.971 dm³</t>
  </si>
  <si>
    <t>19.85 dm³</t>
  </si>
  <si>
    <t>9010 g</t>
  </si>
  <si>
    <t>33.462 dm³</t>
  </si>
  <si>
    <t>Highflex Hose  (3/4") 25m w/o</t>
  </si>
  <si>
    <t>Шланг HighFLEX 19 мм (3/4"), 25 м</t>
  </si>
  <si>
    <t>5875 g</t>
  </si>
  <si>
    <t>5775 g</t>
  </si>
  <si>
    <t>26.016 dm³</t>
  </si>
  <si>
    <t>Highflex Hose  (3/4") 50m w/o</t>
  </si>
  <si>
    <t>Шланг HighFLEX 19 мм (3/4"), 50 м</t>
  </si>
  <si>
    <t>11955 g</t>
  </si>
  <si>
    <t>11855 g</t>
  </si>
  <si>
    <t>44.105 dm³</t>
  </si>
  <si>
    <t>Highflex Hose (3/4") 50m w/o</t>
  </si>
  <si>
    <t>Шланг HighFLEX 19 мм (3/4"), 50 м в бухте</t>
  </si>
  <si>
    <t>243 g</t>
  </si>
  <si>
    <t>233 g</t>
  </si>
  <si>
    <t>Premium-Rubber-Hose(1/2“),50m,w/o</t>
  </si>
  <si>
    <t>Шланг резиновый Premium 13 мм  (1/2"), 50 м в бухте</t>
  </si>
  <si>
    <t>171 g</t>
  </si>
  <si>
    <t>0.1 dm³</t>
  </si>
  <si>
    <t>Premium-Rubber-Hose(3/4“),50m,w/o</t>
  </si>
  <si>
    <t>Шланг резиновый Premium 19 мм (3/4"), 50 м в бухте</t>
  </si>
  <si>
    <t>Superflex Hose (1/2"), 20m w/o</t>
  </si>
  <si>
    <t>Шланг SuperFLEX 13 мм (1/2"), 20 м</t>
  </si>
  <si>
    <t>3065 g</t>
  </si>
  <si>
    <t>2780 g</t>
  </si>
  <si>
    <t>2965 g</t>
  </si>
  <si>
    <t>2680 g</t>
  </si>
  <si>
    <t>4405 g</t>
  </si>
  <si>
    <t>4345 g</t>
  </si>
  <si>
    <t>15.744 dm³</t>
  </si>
  <si>
    <t>Superflex Hose (1/2"), 50m w/o</t>
  </si>
  <si>
    <t>Шланг SuperFLEX 13 мм (1/2"), 50 м</t>
  </si>
  <si>
    <t>6730 g</t>
  </si>
  <si>
    <t>6600 g</t>
  </si>
  <si>
    <t>4795 g</t>
  </si>
  <si>
    <t>4695 g</t>
  </si>
  <si>
    <t>Superflex Hose (3/4"),25m w/o</t>
  </si>
  <si>
    <t>Шланг SuperFLEX 19 мм (3/4"), 25 м</t>
  </si>
  <si>
    <t>5985 g</t>
  </si>
  <si>
    <t>5885 g</t>
  </si>
  <si>
    <t>25.992 dm³</t>
  </si>
  <si>
    <t>18.726 dm³</t>
  </si>
  <si>
    <t>1065 g</t>
  </si>
  <si>
    <t>7.805 dm³</t>
  </si>
  <si>
    <t>Spiral Hose Set 10 m</t>
  </si>
  <si>
    <t>Шланг спиральный 10 м для террас с фитингами для подключения и наконечником для полива "Домашнее садоводство"</t>
  </si>
  <si>
    <t>Textile hose Liano™15m, Set</t>
  </si>
  <si>
    <t>Шланг текстильный Liano 13 мм (1/2"), 15 м с комплектом для полива (коннектор стандартный и с автостопом, наконечник-распылитель для полива Classic арт. 18310, штуцеры резьбовые арт. 18310 и 18200)</t>
  </si>
  <si>
    <t>1870 g</t>
  </si>
  <si>
    <t>1620 g</t>
  </si>
  <si>
    <t>1835 g</t>
  </si>
  <si>
    <t>8.129 dm³</t>
  </si>
  <si>
    <t>Textile Hose Liano™ Set 15m Offer</t>
  </si>
  <si>
    <t>Шланг текстильный Liano 13 мм (1/2"), 15 м с комплектом для полива (коннектор стандартный и с автостопом, наконечник для полива Classic арт. 18300, штуцеры резьбовые арт. 18310 и 18200), (Дисплей)</t>
  </si>
  <si>
    <t>2291 g</t>
  </si>
  <si>
    <t>1760 g</t>
  </si>
  <si>
    <t>7.452 dm³</t>
  </si>
  <si>
    <t>Textile hose Liano™ 20m, Set</t>
  </si>
  <si>
    <t>Шланг текстильный Liano 13 мм (1/2"), 20 м с комплектом для полива (коннектор стандартный и с автостопом, наконечник для полива Classic арт. 18300, штуцеры резьбовые арт. 18310 и 18200)</t>
  </si>
  <si>
    <t>2470 g</t>
  </si>
  <si>
    <t>2526 g</t>
  </si>
  <si>
    <t>2140 g</t>
  </si>
  <si>
    <t>2360 g</t>
  </si>
  <si>
    <t>276 mm</t>
  </si>
  <si>
    <t>Textile Hose Liano™ Set 20m Offer</t>
  </si>
  <si>
    <t>Шланг текстильный Liano 13 мм (1/2"), 20 м с комплектом для полива (коннектор стандартный и с автостопом, наконечник для полива Classic арт. 18300, штуцеры резьбовые арт. 18310 и 18200), (Дисплей)</t>
  </si>
  <si>
    <t>2670 g</t>
  </si>
  <si>
    <t>2370 g</t>
  </si>
  <si>
    <t>Textile hose Liano™ 30m Set</t>
  </si>
  <si>
    <t>Шланг текстильный Liano 13 мм (1/2"), 30 м с комплектом для полива (коннектор стандартный и с автостопом, наконечник для полива Classic арт. 18300, штуцеры резьбовые арт. 18310 и 18200)</t>
  </si>
  <si>
    <t>3470 g</t>
  </si>
  <si>
    <t>3845 g</t>
  </si>
  <si>
    <t>3180 g</t>
  </si>
  <si>
    <t>13.248 dm³</t>
  </si>
  <si>
    <t>Шланг текстильный Liano 13 мм (1/2"), 10 м с комплектом для полива и сумкой для хранения (коннектор стандартный и с автостопом, наконечник для полива</t>
  </si>
  <si>
    <t>1374 g</t>
  </si>
  <si>
    <t>1440 g</t>
  </si>
  <si>
    <t>Textile Hose Liano™ Set 10m</t>
  </si>
  <si>
    <t>Шланг текстильный Liano 13 мм (1/2"), 10 м с комплектом для полива и штуцером с наружней резьбой (распылитель для полива 18310-20, 3 адаптера, новый штуцер с наружней резьбой) (Дисплей 6 шт.)</t>
  </si>
  <si>
    <t>1285 g</t>
  </si>
  <si>
    <t>1445 g</t>
  </si>
  <si>
    <t>7.801 dm³</t>
  </si>
  <si>
    <t>1505 g</t>
  </si>
  <si>
    <t>7.489 dm³</t>
  </si>
  <si>
    <t>Wall Hose Bracket + 20m Classic</t>
  </si>
  <si>
    <t>Кронштейн настенный со шлангом Classic</t>
  </si>
  <si>
    <t>18.72 dm³</t>
  </si>
  <si>
    <t>Connection Set Flex 1/2"</t>
  </si>
  <si>
    <t>Комплект соединительный Comfort FLEX 13 мм (1/2″), 1.5 м</t>
  </si>
  <si>
    <t>2.033 dm³</t>
  </si>
  <si>
    <t>Connection Set Classic 1/2"</t>
  </si>
  <si>
    <t>Комплект соединительный Classic 13 мм (1/2"), 1.5 м</t>
  </si>
  <si>
    <t>3070 g</t>
  </si>
  <si>
    <t>10.413 dm³</t>
  </si>
  <si>
    <t>Classic Hose 3/4" 25m w/o</t>
  </si>
  <si>
    <t xml:space="preserve">Шланг Classic 19 мм (3/4"), 25 м </t>
  </si>
  <si>
    <t>4980 g</t>
  </si>
  <si>
    <t>4950 g</t>
  </si>
  <si>
    <t>26.714 dm³</t>
  </si>
  <si>
    <t>Basic Hose 3/4" 50m w/o</t>
  </si>
  <si>
    <t>Шланг Basic, 19 мм (3/4"), 50 м</t>
  </si>
  <si>
    <t>10024 g</t>
  </si>
  <si>
    <t>Basic Hose 3/4" 20m w/o</t>
  </si>
  <si>
    <t>Шланг Basic, 19 мм (3/4"), 20 м</t>
  </si>
  <si>
    <t>4030 g</t>
  </si>
  <si>
    <t>25.270 dm³</t>
  </si>
  <si>
    <t>1361 g</t>
  </si>
  <si>
    <t>1317 g</t>
  </si>
  <si>
    <t>8.043 dm³</t>
  </si>
  <si>
    <t>SB Tap Connector G 1/2</t>
  </si>
  <si>
    <t>22 g</t>
  </si>
  <si>
    <t>0.312 dm³</t>
  </si>
  <si>
    <t>2304 pcs</t>
  </si>
  <si>
    <t>Tap Connector 21 mm (G 1/2")</t>
  </si>
  <si>
    <t>0.364 dm³</t>
  </si>
  <si>
    <t>Premium Tap Connector 21mm(G 1/2")</t>
  </si>
  <si>
    <t>63 g</t>
  </si>
  <si>
    <t>62 g</t>
  </si>
  <si>
    <t>0.224 dm³</t>
  </si>
  <si>
    <t>1728 pcs</t>
  </si>
  <si>
    <t>SB Tap Connector G 3/4</t>
  </si>
  <si>
    <t>Tap Connector 26,5 mm (G 3/4")</t>
  </si>
  <si>
    <t>Premium Tap Connector 26,5mm(G3/4")</t>
  </si>
  <si>
    <t>61 g</t>
  </si>
  <si>
    <t>0.072 dm³</t>
  </si>
  <si>
    <t>SB Tap Connector G 1</t>
  </si>
  <si>
    <t>23 g</t>
  </si>
  <si>
    <t>0.416 dm³</t>
  </si>
  <si>
    <t>Tap Connector 33,3 mm (G 1")</t>
  </si>
  <si>
    <t>54 g</t>
  </si>
  <si>
    <t>Twin-Tap Connector</t>
  </si>
  <si>
    <t>Распределитель 2-х канальный 1"</t>
  </si>
  <si>
    <t>1.377 dm³</t>
  </si>
  <si>
    <t>332 g</t>
  </si>
  <si>
    <t>273 g</t>
  </si>
  <si>
    <t>2.938 dm³</t>
  </si>
  <si>
    <t>Распределитель 2-х канальный</t>
  </si>
  <si>
    <t>484 g</t>
  </si>
  <si>
    <t>Four Channel Water Distributor</t>
  </si>
  <si>
    <t>Распределитель 4-х канальный</t>
  </si>
  <si>
    <t>582 g</t>
  </si>
  <si>
    <t>37 g</t>
  </si>
  <si>
    <t>32 g</t>
  </si>
  <si>
    <t>Словакия</t>
  </si>
  <si>
    <t>0.16 dm³</t>
  </si>
  <si>
    <t>Elbow Joint 1" - 1/2"</t>
  </si>
  <si>
    <t xml:space="preserve">Штуцер шарнирный 1/2"-1" </t>
  </si>
  <si>
    <t>99 g</t>
  </si>
  <si>
    <t>SB-Universal Tap Connector</t>
  </si>
  <si>
    <t xml:space="preserve">Штуцер без резьбы 3/4" </t>
  </si>
  <si>
    <t>116 g</t>
  </si>
  <si>
    <t>1.294 dm³</t>
  </si>
  <si>
    <t>Распределитель 2-х канальный 3/4"</t>
  </si>
  <si>
    <t>1.485 dm³</t>
  </si>
  <si>
    <t>0.281 dm³</t>
  </si>
  <si>
    <t>SB-Push-Pull Hose Co. G 1/2</t>
  </si>
  <si>
    <t>Коннектор стандартный 1/2"</t>
  </si>
  <si>
    <t>0.374 dm³</t>
  </si>
  <si>
    <t>SB-Push-Pull Hose Co. G 3/4</t>
  </si>
  <si>
    <t>Коннектор стандартный 3/4"</t>
  </si>
  <si>
    <t>1584 pcs</t>
  </si>
  <si>
    <t>19 g</t>
  </si>
  <si>
    <t>0.045 dm³</t>
  </si>
  <si>
    <t>Elbow Joint 1" - 3/4"</t>
  </si>
  <si>
    <t xml:space="preserve">Штуцер шарнирный 3/4"-1" </t>
  </si>
  <si>
    <t>Штуцер без резьбы с аэратором</t>
  </si>
  <si>
    <t>84 g</t>
  </si>
  <si>
    <t>1.271 dm³</t>
  </si>
  <si>
    <t>Water Smart Flow Meter</t>
  </si>
  <si>
    <t>Счетчик воды</t>
  </si>
  <si>
    <t>2.851 dm³</t>
  </si>
  <si>
    <t>133 mm</t>
  </si>
  <si>
    <t>53 mm</t>
  </si>
  <si>
    <t>9 g</t>
  </si>
  <si>
    <t>0.083 dm³</t>
  </si>
  <si>
    <t>3600 pcs</t>
  </si>
  <si>
    <t>11 g</t>
  </si>
  <si>
    <t>0.032 dm³</t>
  </si>
  <si>
    <t>7920 pcs</t>
  </si>
  <si>
    <t>0.041 dm³</t>
  </si>
  <si>
    <t>10000 pcs</t>
  </si>
  <si>
    <t>0.058 dm³</t>
  </si>
  <si>
    <t>10500 pcs</t>
  </si>
  <si>
    <t>27 g</t>
  </si>
  <si>
    <t>0.075 dm³</t>
  </si>
  <si>
    <t>Hose Connector 1/2" - 5/8"</t>
  </si>
  <si>
    <t>28 g</t>
  </si>
  <si>
    <t>29 g</t>
  </si>
  <si>
    <t>5600 pcs</t>
  </si>
  <si>
    <t>38 g</t>
  </si>
  <si>
    <t>33 g</t>
  </si>
  <si>
    <t>0.115 dm³</t>
  </si>
  <si>
    <t>2880 pcs</t>
  </si>
  <si>
    <t>Hose Connector 19mm (3/4")</t>
  </si>
  <si>
    <t>0.447 dm³</t>
  </si>
  <si>
    <t>3430 pcs</t>
  </si>
  <si>
    <t>10 г</t>
  </si>
  <si>
    <t>47 g</t>
  </si>
  <si>
    <t>4080 pcs</t>
  </si>
  <si>
    <t>Premium Tap Connector 33,3mm(G 1")</t>
  </si>
  <si>
    <t>Штуцер резьбовой Premium 33.3 мм (G 1")</t>
  </si>
  <si>
    <t>58 g</t>
  </si>
  <si>
    <t>3840 pcs</t>
  </si>
  <si>
    <t>Premium Hose Connector 1/2"-5/8"</t>
  </si>
  <si>
    <t>Коннектор Premium 1/2" - 5/8"</t>
  </si>
  <si>
    <t>0.462 dm³</t>
  </si>
  <si>
    <t>1248 pcs</t>
  </si>
  <si>
    <t>0.426 dm³</t>
  </si>
  <si>
    <t>Premium Hose Connector 3/4"</t>
  </si>
  <si>
    <t>Коннектор Premium 3/4"</t>
  </si>
  <si>
    <t>125 g</t>
  </si>
  <si>
    <t>0.594 dm³</t>
  </si>
  <si>
    <t>119 g</t>
  </si>
  <si>
    <t>2640 pcs</t>
  </si>
  <si>
    <t>0.061 dm³</t>
  </si>
  <si>
    <t>Hose Repairer 1/2" - 5/8"</t>
  </si>
  <si>
    <t xml:space="preserve">Муфта ремонтная 1/2" </t>
  </si>
  <si>
    <t>5760 pcs</t>
  </si>
  <si>
    <t>0.107 dm³</t>
  </si>
  <si>
    <t>Hose Repairer 19 mm (3/4")</t>
  </si>
  <si>
    <t xml:space="preserve">Муфта ремонтная 3/4" </t>
  </si>
  <si>
    <t>0.468 dm³</t>
  </si>
  <si>
    <t>24 mm</t>
  </si>
  <si>
    <t>0.029 dm³</t>
  </si>
  <si>
    <t>8 g</t>
  </si>
  <si>
    <t>Y-Coupling</t>
  </si>
  <si>
    <t>Тройник</t>
  </si>
  <si>
    <t>24 g</t>
  </si>
  <si>
    <t>Coupling W/Reg. Valve</t>
  </si>
  <si>
    <t xml:space="preserve">Клапан регулирующий 1/2" </t>
  </si>
  <si>
    <t>1.109 dm³</t>
  </si>
  <si>
    <t>Regulator Valve</t>
  </si>
  <si>
    <t xml:space="preserve">Клапан регулирующий </t>
  </si>
  <si>
    <t>1.132 dm³</t>
  </si>
  <si>
    <t>0.333 dm³</t>
  </si>
  <si>
    <t>SB-Coupling</t>
  </si>
  <si>
    <t>Переходник</t>
  </si>
  <si>
    <t>SB-Repairer G 1/2</t>
  </si>
  <si>
    <t>0.354 dm³</t>
  </si>
  <si>
    <t>SB-Repairer G 3/4</t>
  </si>
  <si>
    <t>46 g</t>
  </si>
  <si>
    <t>0.458 dm³</t>
  </si>
  <si>
    <t>21 g</t>
  </si>
  <si>
    <t>19 mm</t>
  </si>
  <si>
    <t>0.197 dm³</t>
  </si>
  <si>
    <t>0.233 dm³</t>
  </si>
  <si>
    <t>Hose Conn. w/Reg. Valve 13 mm1/2"</t>
  </si>
  <si>
    <t>Коннектор с регулятором 1/2"</t>
  </si>
  <si>
    <t>Accessory Adapter G3/4</t>
  </si>
  <si>
    <t xml:space="preserve">Адаптер 3/4" </t>
  </si>
  <si>
    <t>0.208 dm³</t>
  </si>
  <si>
    <t>SB-Water Stop G 1/2</t>
  </si>
  <si>
    <t>Коннектор с автостопом 1/2"</t>
  </si>
  <si>
    <t>SB-Water Stop G 3/4</t>
  </si>
  <si>
    <t>Коннектор с автостопом 3/4"</t>
  </si>
  <si>
    <t>57 g</t>
  </si>
  <si>
    <t>0.195 dm³</t>
  </si>
  <si>
    <t>Hose Conn. w/Reg. Valve 19 mm(3/4")</t>
  </si>
  <si>
    <t>Коннектор с регулятором 3/4"</t>
  </si>
  <si>
    <t>1.04 dm³</t>
  </si>
  <si>
    <t>0.023 dm³</t>
  </si>
  <si>
    <t>0.212 dm³</t>
  </si>
  <si>
    <t>Water Stop 13mm (1/2")-15mm (5/8")</t>
  </si>
  <si>
    <t>0.116 dm³</t>
  </si>
  <si>
    <t>Water Stop 19mm (3/4")</t>
  </si>
  <si>
    <t>41 g</t>
  </si>
  <si>
    <t xml:space="preserve">Коннектор с автостопом 3/4" </t>
  </si>
  <si>
    <t>Premium Water Stop 1/2"-5/8"</t>
  </si>
  <si>
    <t>Коннектор с автостопом Premium 1/2" - 5/8"</t>
  </si>
  <si>
    <t>83 g</t>
  </si>
  <si>
    <t>73 g</t>
  </si>
  <si>
    <t>Premium Water Stop 3/4"</t>
  </si>
  <si>
    <t>Коннектор с автостопом Premium 3/4"</t>
  </si>
  <si>
    <t>126 g</t>
  </si>
  <si>
    <t>0.001 dm³</t>
  </si>
  <si>
    <t>480000 pcs</t>
  </si>
  <si>
    <t>0.546 dm³</t>
  </si>
  <si>
    <t>936 pcs</t>
  </si>
  <si>
    <t>864 pcs</t>
  </si>
  <si>
    <t>Coupling Set 13mm (1/2")</t>
  </si>
  <si>
    <t>Комплект коннекторов</t>
  </si>
  <si>
    <t>223 mm</t>
  </si>
  <si>
    <t>0.866 dm³</t>
  </si>
  <si>
    <t>850 pcs</t>
  </si>
  <si>
    <t>92 g</t>
  </si>
  <si>
    <t>1.054 dm³</t>
  </si>
  <si>
    <t>900 pcs</t>
  </si>
  <si>
    <t>1.618 dm³</t>
  </si>
  <si>
    <t>0.816 dm³</t>
  </si>
  <si>
    <t>1120 pcs</t>
  </si>
  <si>
    <t>1.064 dm³</t>
  </si>
  <si>
    <t>Basic Set</t>
  </si>
  <si>
    <t>Комплект базовый</t>
  </si>
  <si>
    <t>132 g</t>
  </si>
  <si>
    <t>1.786 dm³</t>
  </si>
  <si>
    <t>1.75 dm³</t>
  </si>
  <si>
    <t>152 g</t>
  </si>
  <si>
    <t>1.793 dm³</t>
  </si>
  <si>
    <t>Watering Set Offer</t>
  </si>
  <si>
    <t>Комплект для полива (арт. 18202/5305, 18215, 18213, 18311) - 50 лет базовой системе полива GARDENA, (Дисплей 1/4 паллеты с постером)</t>
  </si>
  <si>
    <t>Premium Basic Set</t>
  </si>
  <si>
    <t>Комплект для полива Premium базовый (арт. 18305 + новый коннектор Premium + новый коннектор с автостопом Premium + новый штуцер Preium 1”+ адаптер ¾”)</t>
  </si>
  <si>
    <t>487 g</t>
  </si>
  <si>
    <t>2.052 dm³</t>
  </si>
  <si>
    <t>0.049 dm³</t>
  </si>
  <si>
    <t>PS Threaded Tap Connector G 3/4 "</t>
  </si>
  <si>
    <t xml:space="preserve">Штуцер «Профи» 3/4" </t>
  </si>
  <si>
    <t>1320 pcs</t>
  </si>
  <si>
    <t>0.194 dm³</t>
  </si>
  <si>
    <t>Profi MF Hose Cconnector</t>
  </si>
  <si>
    <t xml:space="preserve">Коннектор «Профи» </t>
  </si>
  <si>
    <t>PS Threaded Tap Connector G1</t>
  </si>
  <si>
    <t xml:space="preserve">Штуцер «Профи» 1" </t>
  </si>
  <si>
    <t>0.08 dm³</t>
  </si>
  <si>
    <t>PS Universal Adapter G3/4</t>
  </si>
  <si>
    <t>Адаптер универсальный «Профи» 3/4"</t>
  </si>
  <si>
    <t>0.067 dm³</t>
  </si>
  <si>
    <t>PS Reducing Coupling</t>
  </si>
  <si>
    <t>Переходник понижающий «Профи»</t>
  </si>
  <si>
    <t>0.232 dm³</t>
  </si>
  <si>
    <t>0.054 dm³</t>
  </si>
  <si>
    <t>Profi Maxi-Flow System Coupling</t>
  </si>
  <si>
    <t xml:space="preserve">Переходник «Профи» </t>
  </si>
  <si>
    <t>0.41 dm³</t>
  </si>
  <si>
    <t>Profi MF Syst.Y-Coupling</t>
  </si>
  <si>
    <t xml:space="preserve">Тройник «Профи» </t>
  </si>
  <si>
    <t>39 g</t>
  </si>
  <si>
    <t>Profi MF System T-Coupl.</t>
  </si>
  <si>
    <t>Переходник Т-образный «Профи»</t>
  </si>
  <si>
    <t>0.647 dm³</t>
  </si>
  <si>
    <t>3-way Y-Coupling</t>
  </si>
  <si>
    <t>Тройник «Профи» 3/4"</t>
  </si>
  <si>
    <t>Profi MF Sys. Waterstop Connect.</t>
  </si>
  <si>
    <t>Коннектор с автостопом «Профи»</t>
  </si>
  <si>
    <t>Profi Hose Connect. w. Contr. Valve</t>
  </si>
  <si>
    <t>Коннектор с регулятором «Профи»</t>
  </si>
  <si>
    <t>1.386 dm³</t>
  </si>
  <si>
    <t>Profi MF Adj. Spray Nozzle</t>
  </si>
  <si>
    <t xml:space="preserve">Наконечник «Профи» </t>
  </si>
  <si>
    <t>94 g</t>
  </si>
  <si>
    <t>88 g</t>
  </si>
  <si>
    <t>0.97 dm³</t>
  </si>
  <si>
    <t>3.591 dm³</t>
  </si>
  <si>
    <t>18.525 dm³</t>
  </si>
  <si>
    <t>920 mm</t>
  </si>
  <si>
    <t>Bubble-jet threaded adapter</t>
  </si>
  <si>
    <t xml:space="preserve">Переходник  </t>
  </si>
  <si>
    <t>35 г</t>
  </si>
  <si>
    <t>Tap Connector for Indoor Taps</t>
  </si>
  <si>
    <t>Штуцер без резьбы для бытовых кранов</t>
  </si>
  <si>
    <t>72 г</t>
  </si>
  <si>
    <t>0.932 dm³</t>
  </si>
  <si>
    <t>800 pcs</t>
  </si>
  <si>
    <t>Basic Cleaning Set</t>
  </si>
  <si>
    <t>Комплект для полива базовый (Дисплей)</t>
  </si>
  <si>
    <t>Hose Connection Set</t>
  </si>
  <si>
    <t>9,9</t>
  </si>
  <si>
    <t>8,9</t>
  </si>
  <si>
    <t>72,5</t>
  </si>
  <si>
    <t>59,5</t>
  </si>
  <si>
    <t>104,2</t>
  </si>
  <si>
    <t>77,2</t>
  </si>
  <si>
    <t>346,9</t>
  </si>
  <si>
    <t>343,5</t>
  </si>
  <si>
    <t>318,5</t>
  </si>
  <si>
    <t>2.588 dm³</t>
  </si>
  <si>
    <t>381 g</t>
  </si>
  <si>
    <t>257 mm</t>
  </si>
  <si>
    <t>5.802 dm³</t>
  </si>
  <si>
    <t>Circular Sprinkler Mambo</t>
  </si>
  <si>
    <t>Дождеватель круговой Мambo Comfort</t>
  </si>
  <si>
    <t>4.628 dm³</t>
  </si>
  <si>
    <t>Full/Part Sprinkler Tango</t>
  </si>
  <si>
    <t>Дождеватель круговой секторный Tango Comfort</t>
  </si>
  <si>
    <t>427 g</t>
  </si>
  <si>
    <t>6.594 dm³</t>
  </si>
  <si>
    <t>2.553 dm³</t>
  </si>
  <si>
    <t>6 Pattern Sprinkler Boogie</t>
  </si>
  <si>
    <t>Дождеватель круговой шестипозиционный Boogie Classic</t>
  </si>
  <si>
    <t>4.852 dm³</t>
  </si>
  <si>
    <t>5.84 dm³</t>
  </si>
  <si>
    <t>588 g</t>
  </si>
  <si>
    <t>4.932 dm³</t>
  </si>
  <si>
    <t>Circular Sprinkler Vario w.Spike</t>
  </si>
  <si>
    <t>Дождеватель круговой Vario Comfort</t>
  </si>
  <si>
    <t>336 mm</t>
  </si>
  <si>
    <t>2.218 dm³</t>
  </si>
  <si>
    <t>337 mm</t>
  </si>
  <si>
    <t>2.848 dm³</t>
  </si>
  <si>
    <t>4.658 dm³</t>
  </si>
  <si>
    <t>Rose Sprinkler Foxtrot</t>
  </si>
  <si>
    <t>Дождеватель круговой Foxtrott Classic</t>
  </si>
  <si>
    <t>138 g</t>
  </si>
  <si>
    <t>2.535 dm³</t>
  </si>
  <si>
    <t>256 mm</t>
  </si>
  <si>
    <t>3.383 dm³</t>
  </si>
  <si>
    <t>0.494 dm³</t>
  </si>
  <si>
    <t>Pyramid Sprinkler</t>
  </si>
  <si>
    <t>Дождеватель круговой Pyramid</t>
  </si>
  <si>
    <t>2.249 dm³</t>
  </si>
  <si>
    <t>Large-Area Irrig.AquaContour autom.</t>
  </si>
  <si>
    <t>Дождеватель многоконтурный автоматический AquaContour automatic Comfort</t>
  </si>
  <si>
    <t>328 mm</t>
  </si>
  <si>
    <t>21.174 dm³</t>
  </si>
  <si>
    <t>303 mm</t>
  </si>
  <si>
    <t>267 mm</t>
  </si>
  <si>
    <t>5.695 dm³</t>
  </si>
  <si>
    <t>64 pcs</t>
  </si>
  <si>
    <t>4.954 dm³</t>
  </si>
  <si>
    <t>Дождеватель осциллирующий Aquazoom Comfort 350/3</t>
  </si>
  <si>
    <t>1110 g</t>
  </si>
  <si>
    <t>598 mm</t>
  </si>
  <si>
    <t>10.226 dm³</t>
  </si>
  <si>
    <t>Дождеватель осциллирующий Aquazoom Comfort 250/1</t>
  </si>
  <si>
    <t>676 g</t>
  </si>
  <si>
    <t>615 g</t>
  </si>
  <si>
    <t>7.011 dm³</t>
  </si>
  <si>
    <t>Дождеватель осциллирующий Aquazoom Comfort 250/2</t>
  </si>
  <si>
    <t>8.904 dm³</t>
  </si>
  <si>
    <t>Дождеватель осциллирующий Aquazoom Comfort 350/2</t>
  </si>
  <si>
    <t>544 mm</t>
  </si>
  <si>
    <t>8.903 dm³</t>
  </si>
  <si>
    <t>537 mm</t>
  </si>
  <si>
    <t>729 g</t>
  </si>
  <si>
    <t>6.080 dm³</t>
  </si>
  <si>
    <t>346 g</t>
  </si>
  <si>
    <t>394 mm</t>
  </si>
  <si>
    <t>3.782 dm³</t>
  </si>
  <si>
    <t>5.012 dm³</t>
  </si>
  <si>
    <t>472 g</t>
  </si>
  <si>
    <t xml:space="preserve">Дождеватель осциллирующий Polo Classic 250 </t>
  </si>
  <si>
    <t>428 g</t>
  </si>
  <si>
    <t>3.974 dm³</t>
  </si>
  <si>
    <t xml:space="preserve">Дождеватель осциллирующий Polo Classic 220 </t>
  </si>
  <si>
    <t>3.666 dm³</t>
  </si>
  <si>
    <t>355 g</t>
  </si>
  <si>
    <t>Дождеватель осциллирующий ZoomMaxx</t>
  </si>
  <si>
    <t>Дождеватель осциллирующий Polo Classic Canadian (Дисплей)</t>
  </si>
  <si>
    <t>4.212 dm³</t>
  </si>
  <si>
    <t>Soaker Hose 7,5 m</t>
  </si>
  <si>
    <t xml:space="preserve">Шланг сочащийся 7,5 м </t>
  </si>
  <si>
    <t>5.387 dm³</t>
  </si>
  <si>
    <t>Soaker Hose 100 m</t>
  </si>
  <si>
    <t>Шланг сочащийся (в бухте 100 м)</t>
  </si>
  <si>
    <t>111 g</t>
  </si>
  <si>
    <t>Soaker Hose Connector-Set</t>
  </si>
  <si>
    <t>Комплект фиттингов для сочащегося шланга</t>
  </si>
  <si>
    <t>69 g</t>
  </si>
  <si>
    <t>Soaker Hose 15 m</t>
  </si>
  <si>
    <t xml:space="preserve">Шланг сочащийся 15 м </t>
  </si>
  <si>
    <t>1624 g</t>
  </si>
  <si>
    <t>9.216 dm³</t>
  </si>
  <si>
    <t>179 mm</t>
  </si>
  <si>
    <t>1.711 dm³</t>
  </si>
  <si>
    <t>Sprinkler/Hose Conn. Set</t>
  </si>
  <si>
    <t>Комплект фиттингов для шланга-дождевателя</t>
  </si>
  <si>
    <t>0.901 dm³</t>
  </si>
  <si>
    <t>Sprinkler Hose 15 m green</t>
  </si>
  <si>
    <t>Шланг-дождеватель зеленый 15м</t>
  </si>
  <si>
    <t>3.696 dm³</t>
  </si>
  <si>
    <t>1520 g</t>
  </si>
  <si>
    <t>1240 g</t>
  </si>
  <si>
    <t>1490 g</t>
  </si>
  <si>
    <t>4.288 dm³</t>
  </si>
  <si>
    <t>1128 g</t>
  </si>
  <si>
    <t>4.349 dm³</t>
  </si>
  <si>
    <t>Sprinkler Hose 7,5 m green</t>
  </si>
  <si>
    <t>Шланг-дождеватель зеленый 7,5м</t>
  </si>
  <si>
    <t>775 g</t>
  </si>
  <si>
    <t>322 mm</t>
  </si>
  <si>
    <t>298 mm</t>
  </si>
  <si>
    <t>3.358 dm³</t>
  </si>
  <si>
    <t>Full or Part Circle Pulse Sprinkler</t>
  </si>
  <si>
    <t>Дождеватель импульсный на подставке Premium</t>
  </si>
  <si>
    <t>Дождеватель импульсный на колышке Premium</t>
  </si>
  <si>
    <t>252 g</t>
  </si>
  <si>
    <t>6.699 dm³</t>
  </si>
  <si>
    <t>319 mm</t>
  </si>
  <si>
    <t>3.758 dm³</t>
  </si>
  <si>
    <t>2610 g</t>
  </si>
  <si>
    <t>2458 g</t>
  </si>
  <si>
    <t>635 mm</t>
  </si>
  <si>
    <t>152 mm</t>
  </si>
  <si>
    <t>13.03 dm³</t>
  </si>
  <si>
    <t>Дождеватель импульсный Comfort</t>
  </si>
  <si>
    <t>5.005 dm³</t>
  </si>
  <si>
    <t>0.56 dm³</t>
  </si>
  <si>
    <t>Turbo-Drive Sprinkler</t>
  </si>
  <si>
    <t>Турбодождеватель Comfort</t>
  </si>
  <si>
    <t>226 g</t>
  </si>
  <si>
    <t>4.081 dm³</t>
  </si>
  <si>
    <t>4.823 dm³</t>
  </si>
  <si>
    <t>Oscillating Sprinkler Aqua S</t>
  </si>
  <si>
    <t>Дождеватель осциллирующий Aqua S (Упаковка 10 шт.)</t>
  </si>
  <si>
    <t>349 г</t>
  </si>
  <si>
    <t>349 g</t>
  </si>
  <si>
    <t>78.5 mm</t>
  </si>
  <si>
    <t>116.15 mm</t>
  </si>
  <si>
    <t>Oscillating Sprinkler Aqua S Offer</t>
  </si>
  <si>
    <t>Дождеватель осциллирующий Aqua S (Упаковка 30 шт.)</t>
  </si>
  <si>
    <t>Set Aqua S + Water Timer Offer</t>
  </si>
  <si>
    <t>Комплект: Дождеватель осциллирующий Aqua S + Таймер подачи воды 1169-20  Promo Display (Дисплей 1/4 паллеты 16 шт.)</t>
  </si>
  <si>
    <t>531 g</t>
  </si>
  <si>
    <t>6.873 dm³</t>
  </si>
  <si>
    <t>Oscillating Sprinkler Aqua M</t>
  </si>
  <si>
    <t>Дождеватель осциллирующий Aqua M (упаковка 5 шт.)</t>
  </si>
  <si>
    <t>310 г</t>
  </si>
  <si>
    <t>230 pcs</t>
  </si>
  <si>
    <t>Oscillating Sprinkler Aqua L</t>
  </si>
  <si>
    <t>Дождеватель осциллирующий Aqua L (упаковка 5 шт.)</t>
  </si>
  <si>
    <t>360 г</t>
  </si>
  <si>
    <t>506 mm</t>
  </si>
  <si>
    <t>Osc. Sprinkler AquaZoom compact</t>
  </si>
  <si>
    <t>Дождеватель осциллирующий AquaZoom compact (упаковка 5 шт.)</t>
  </si>
  <si>
    <t>599 г</t>
  </si>
  <si>
    <t>599 g</t>
  </si>
  <si>
    <t>AquaZoom compact Offer</t>
  </si>
  <si>
    <t>Дождеватель осциллирующий AquaZoom compact (Дисплей 16 шт.)</t>
  </si>
  <si>
    <t>Oscillating Sprinkler AquaZoom S</t>
  </si>
  <si>
    <t>Дождеватель осциллирующий AquaZoom S</t>
  </si>
  <si>
    <t>560 г</t>
  </si>
  <si>
    <t>560 g</t>
  </si>
  <si>
    <t>8.955 dm³</t>
  </si>
  <si>
    <t>Osc. Sprinkler AquaZoom S Offer</t>
  </si>
  <si>
    <t>Дождеватель осциллирующий AquaZoom S (Дисплей)</t>
  </si>
  <si>
    <t>480 mm</t>
  </si>
  <si>
    <t>162 mm</t>
  </si>
  <si>
    <t>8.320 dm³</t>
  </si>
  <si>
    <t>Oscillating Sprinkler AquaZoom M</t>
  </si>
  <si>
    <t>Дождеватель осциллирующий AquaZoom M (упаковка 4 шт.)</t>
  </si>
  <si>
    <t>630 г</t>
  </si>
  <si>
    <t>10.051 dm³</t>
  </si>
  <si>
    <t>Osc. Sprinkler AquaZoom M Offer</t>
  </si>
  <si>
    <t>Дождеватель осциллирующий AquaZoom M (Дисплей 16 шт.)</t>
  </si>
  <si>
    <t>Oscillating Sprinkler AquaZoom L</t>
  </si>
  <si>
    <t>Дождеватель осциллирующий AquaZoom L (упаковка 4 шт.)</t>
  </si>
  <si>
    <t>700 г</t>
  </si>
  <si>
    <t>10.600 dm³</t>
  </si>
  <si>
    <t>Hose Reel incl. Hose and Fittings</t>
  </si>
  <si>
    <t>Катушка Classic 50 со шлангом и комплектом фитингов для подключения</t>
  </si>
  <si>
    <t>4755 g</t>
  </si>
  <si>
    <t>61.318 dm³</t>
  </si>
  <si>
    <t>Hose Reel 50</t>
  </si>
  <si>
    <t>Катушка для шланга Classic 50</t>
  </si>
  <si>
    <t>2225 g</t>
  </si>
  <si>
    <t>398 mm</t>
  </si>
  <si>
    <t>386 mm</t>
  </si>
  <si>
    <t>21.815 dm³</t>
  </si>
  <si>
    <t>Hose Reel 10 Set</t>
  </si>
  <si>
    <t>Катушка Classic 10 со шлангом и комплектом фитингов для подключения</t>
  </si>
  <si>
    <t>3540 g</t>
  </si>
  <si>
    <t>2928 g</t>
  </si>
  <si>
    <t>316 mm</t>
  </si>
  <si>
    <t>37.162 dm³</t>
  </si>
  <si>
    <t>5227 g</t>
  </si>
  <si>
    <t>31.531 dm³</t>
  </si>
  <si>
    <t>1115 g</t>
  </si>
  <si>
    <t>20.613 dm³</t>
  </si>
  <si>
    <t>1145 g</t>
  </si>
  <si>
    <t>820 g</t>
  </si>
  <si>
    <t>Metal Hose Trolley 100</t>
  </si>
  <si>
    <t>Тележка для шланга металлическая 100</t>
  </si>
  <si>
    <t>9450 g</t>
  </si>
  <si>
    <t>9080 g</t>
  </si>
  <si>
    <t>9100 g</t>
  </si>
  <si>
    <t>8800 g</t>
  </si>
  <si>
    <t>638 mm</t>
  </si>
  <si>
    <t>474 mm</t>
  </si>
  <si>
    <t>143.646 dm³</t>
  </si>
  <si>
    <t>Hose Trolley AquaRoll S</t>
  </si>
  <si>
    <t>Тележка для шланга AquaRoll S</t>
  </si>
  <si>
    <t>21.206 dm³</t>
  </si>
  <si>
    <t>752 mm</t>
  </si>
  <si>
    <t>352 mm</t>
  </si>
  <si>
    <t>438 mm</t>
  </si>
  <si>
    <t>Hose Trolley AquaRoll S Set</t>
  </si>
  <si>
    <t>Тележка для шланга AquaRoll S со шлангом Classic, 20 м  (13 мм (1/2") и комплектом для полива (1x 18202/0924, 1x 18200, 3x 18215, 1x 18213, 1x 18300)</t>
  </si>
  <si>
    <t>5540 g</t>
  </si>
  <si>
    <t>68.816 dm³</t>
  </si>
  <si>
    <t>Тележка для шланга AquaRoll S с комплектом для полива (1x 18202/0924, 1x 18215, 1x 18213, 1x 18311)</t>
  </si>
  <si>
    <t>4985 g</t>
  </si>
  <si>
    <t>36.633 dm³</t>
  </si>
  <si>
    <t>4680 g</t>
  </si>
  <si>
    <t>Hose Trolley AquaRoll M</t>
  </si>
  <si>
    <t>Тележка для шланга AquaRoll M</t>
  </si>
  <si>
    <t>729 mm</t>
  </si>
  <si>
    <t>43.784 dm³</t>
  </si>
  <si>
    <t>902 mm</t>
  </si>
  <si>
    <t>19 pcs</t>
  </si>
  <si>
    <t>3940 g</t>
  </si>
  <si>
    <t>Hose Trolley AquaRoll M Set</t>
  </si>
  <si>
    <t>Тележка для шланга AquaRoll M со шлангом Classic, 20 м (13 мм (1/2") и комплектом для полива (1x 18202/0924, 1x 18200, 3x 18215, 1x 18213, 1x 18300)</t>
  </si>
  <si>
    <t>6320 g</t>
  </si>
  <si>
    <t>6200 g</t>
  </si>
  <si>
    <t>123.975 dm³</t>
  </si>
  <si>
    <t>6770 g</t>
  </si>
  <si>
    <t>472 mm</t>
  </si>
  <si>
    <t>742 mm</t>
  </si>
  <si>
    <t>53.934 dm³</t>
  </si>
  <si>
    <t>7000 g</t>
  </si>
  <si>
    <t>119.282 dm³</t>
  </si>
  <si>
    <t>Hose Trolley AquaRoll M Easy</t>
  </si>
  <si>
    <t>Тележка для шланга AquaRoll M Easy</t>
  </si>
  <si>
    <t>4455 g</t>
  </si>
  <si>
    <t>3805 g</t>
  </si>
  <si>
    <t>Hose Trolley AquaRoll L Easy</t>
  </si>
  <si>
    <t>Тележка для шланга AquaRoll L ErgoPlus с рукояткой из мягкого пластика и направляющей для шланга</t>
  </si>
  <si>
    <t>4395 g</t>
  </si>
  <si>
    <t>53.654 dm³</t>
  </si>
  <si>
    <t>572 mm</t>
  </si>
  <si>
    <t>11880 g</t>
  </si>
  <si>
    <t>137.826 dm³</t>
  </si>
  <si>
    <t>12195 g</t>
  </si>
  <si>
    <t>8630 g</t>
  </si>
  <si>
    <t>6990 g</t>
  </si>
  <si>
    <t>6700 g</t>
  </si>
  <si>
    <t>9905 g</t>
  </si>
  <si>
    <t>Hose Trolley AquaRoll M Metal</t>
  </si>
  <si>
    <t>Тележка для шлангов металлическая AquaRoll M</t>
  </si>
  <si>
    <t>3970 g</t>
  </si>
  <si>
    <t>3915 g</t>
  </si>
  <si>
    <t>780 mm</t>
  </si>
  <si>
    <t>Тележка для шлангов металлическая AquaRoll M (металлическая рукоятка)</t>
  </si>
  <si>
    <t>4385 g</t>
  </si>
  <si>
    <t>Hose Trolley AquaRoll M Metal Set</t>
  </si>
  <si>
    <t>Тележка для шлангов металлическая AquaRoll M с комплектом для полива</t>
  </si>
  <si>
    <t>6920 g</t>
  </si>
  <si>
    <t>6850 g</t>
  </si>
  <si>
    <t>9270 g</t>
  </si>
  <si>
    <t>9170 g</t>
  </si>
  <si>
    <t>Trolley AquaRoll M Easy Metal Set</t>
  </si>
  <si>
    <t>Тележка для шлангов металлическая AquaRoll M Easy с комплектом для полива</t>
  </si>
  <si>
    <t>9250 g</t>
  </si>
  <si>
    <t>8410 g</t>
  </si>
  <si>
    <t>Hose Trolley AquaRoll L Easy Metal</t>
  </si>
  <si>
    <t>Тележка для шлангов металлическая AquaRoll L Easy с комплектом для полива</t>
  </si>
  <si>
    <t>7100 g</t>
  </si>
  <si>
    <t>5420 g</t>
  </si>
  <si>
    <t>8350 g</t>
  </si>
  <si>
    <t>7550 g</t>
  </si>
  <si>
    <t>13100 g</t>
  </si>
  <si>
    <t>11425 g</t>
  </si>
  <si>
    <t>8860 g</t>
  </si>
  <si>
    <t>8.064 dm³</t>
  </si>
  <si>
    <t>35.426 dm³</t>
  </si>
  <si>
    <t>5040 g</t>
  </si>
  <si>
    <t>4410 g</t>
  </si>
  <si>
    <t>71.772 dm³</t>
  </si>
  <si>
    <t>7615 g</t>
  </si>
  <si>
    <t>8295 g</t>
  </si>
  <si>
    <t>48.557 dm³</t>
  </si>
  <si>
    <t>477 mm</t>
  </si>
  <si>
    <t>212 mm</t>
  </si>
  <si>
    <t>Wall Hose Box 25 roll-up autom.</t>
  </si>
  <si>
    <t>Катушка со шлангом настенная автоматическая Comfort 25</t>
  </si>
  <si>
    <t>Словения</t>
  </si>
  <si>
    <t>11500 g</t>
  </si>
  <si>
    <t>685 mm</t>
  </si>
  <si>
    <t>109.326 dm³</t>
  </si>
  <si>
    <t>542 mm</t>
  </si>
  <si>
    <t>Wall Hose Box 35 roll-up autom.</t>
  </si>
  <si>
    <t>Катушка со шлангом настенная автоматическая GARDENA Comfort 35</t>
  </si>
  <si>
    <t>17300 g</t>
  </si>
  <si>
    <t>Wall Hose Bracket</t>
  </si>
  <si>
    <t>Кронштейн настенный</t>
  </si>
  <si>
    <t>198 g</t>
  </si>
  <si>
    <t>4.358 dm³</t>
  </si>
  <si>
    <t>Wall Hose Box 15 roll-up autom.</t>
  </si>
  <si>
    <t>Катушка со шлангом настенная автоматическая "Домашнее садоводство", 15 м</t>
  </si>
  <si>
    <t>8193 g</t>
  </si>
  <si>
    <t>50.789 dm³</t>
  </si>
  <si>
    <t>8175 g</t>
  </si>
  <si>
    <t>Wall Hose Box 30 roll-up autom.</t>
  </si>
  <si>
    <t>Катушка со шлангом настенная автоматическая, 30 м (голубая) с комплектом для полива (1x 18200, 1x 18201, 1x 18202, 1x 18215, 1x 18213, 1x 18300)</t>
  </si>
  <si>
    <t>13500 g</t>
  </si>
  <si>
    <t>14800 g</t>
  </si>
  <si>
    <t>Катушка со шлангом настенная автоматическая, 30 м(голубая) с комплектом для полива (1x 18200, 1x 18201, 1x 18202, 1x 18215, 1x 18213, 1x 18300)</t>
  </si>
  <si>
    <t>11650 g</t>
  </si>
  <si>
    <t>4120 g</t>
  </si>
  <si>
    <t>56.316 dm³</t>
  </si>
  <si>
    <t>Wall-Mounted Hose Box RollUp S</t>
  </si>
  <si>
    <t>Катушка со шлангом настенная автоматическая GARDENA RollUp S (голубой цвет)</t>
  </si>
  <si>
    <t>Катушка со шлангом настенная автоматическая GARDENA RollUp S (белый цвет)</t>
  </si>
  <si>
    <t>Garden Hose Box RollUp S</t>
  </si>
  <si>
    <t>Катушка со шлангом напольная автоматическая GARDENA RollUp S (голубой цвет)</t>
  </si>
  <si>
    <t>Катушка со шлангом напольная автоматическая GARDENA RollUp S (белый цвет)</t>
  </si>
  <si>
    <t>Wall-Mounted Hose Box RollUp M</t>
  </si>
  <si>
    <t>Катушка со шлангом настенная автоматическая GARDENA RollUp M (голубой цвет)</t>
  </si>
  <si>
    <t>Катушка со шлангом настенная автоматическая GARDENA RollUp M (белый цвет)</t>
  </si>
  <si>
    <t>Garden Hose Box RollUp M</t>
  </si>
  <si>
    <t>Катушка со шлангом напольная автоматическая GARDENA RollUp M (голубой цвет)</t>
  </si>
  <si>
    <t>Катушка со шлангом напольная автоматическая GARDENA RollUp M (белый цвет)</t>
  </si>
  <si>
    <t>Wall-Mounted Hose Box RollUp M/L</t>
  </si>
  <si>
    <t>Катушка со шлангом настенная автоматическая GARDENA RollUp M/L (голубой цвет)</t>
  </si>
  <si>
    <t>wall-mounted hose box rollup m/l</t>
  </si>
  <si>
    <t>Катушка со шлангом настенная автоматическая GARDENA RollUp M/L (белый цвет)</t>
  </si>
  <si>
    <t>Wall-Mounted Hose Box RollUp L</t>
  </si>
  <si>
    <t>Катушка со шлангом настенная автоматическая GARDENA RollUp L (голубой цвет)</t>
  </si>
  <si>
    <t>Катушка со шлангом настенная автоматическая GARDENA RollUp L (белый цвет)</t>
  </si>
  <si>
    <t>Wall-Mounted Hose Box RollUp XL</t>
  </si>
  <si>
    <t>Катушка со шлангом настенная автоматическая GARDENA RollUp XL (голубой цвет)</t>
  </si>
  <si>
    <t>wall-mounted hose box rollup xl</t>
  </si>
  <si>
    <t>Катушка со шлангом настенная автоматическая GARDENA RollUp XL (белый цвет)</t>
  </si>
  <si>
    <t>Испания</t>
  </si>
  <si>
    <t>2025 pcs</t>
  </si>
  <si>
    <t>1275 pcs</t>
  </si>
  <si>
    <t>256 g</t>
  </si>
  <si>
    <t>1.444 dm³</t>
  </si>
  <si>
    <t>283 g</t>
  </si>
  <si>
    <t>1.936 dm³</t>
  </si>
  <si>
    <t>L, China</t>
  </si>
  <si>
    <t>10115 g</t>
  </si>
  <si>
    <t>10680 g</t>
  </si>
  <si>
    <t>9585 g</t>
  </si>
  <si>
    <t>396 mm</t>
  </si>
  <si>
    <t>61.317 dm³</t>
  </si>
  <si>
    <t>Станция бытового водоснабжения автоматическая 3000/4 Classic</t>
  </si>
  <si>
    <t>14130 g</t>
  </si>
  <si>
    <t>11410 g</t>
  </si>
  <si>
    <t>98.399 dm³</t>
  </si>
  <si>
    <t>Suction Unit</t>
  </si>
  <si>
    <t>Шланг заборный с фильтром 25 мм (1"), 3.5 м</t>
  </si>
  <si>
    <t>10.83 dm³</t>
  </si>
  <si>
    <t>Suction Hose 3/4"</t>
  </si>
  <si>
    <t>Шланг заборный 19 мм (3/4"), 50 м в бухте</t>
  </si>
  <si>
    <t>6.4 dm³</t>
  </si>
  <si>
    <t>Suction Hose 1"</t>
  </si>
  <si>
    <t>Шланг заборный 25 мм (1"), 45 м в бухте</t>
  </si>
  <si>
    <t>0.676 dm³</t>
  </si>
  <si>
    <t>270 pcs</t>
  </si>
  <si>
    <t>0.081 dm³</t>
  </si>
  <si>
    <t>3240 pcs</t>
  </si>
  <si>
    <t>0.705 dm³</t>
  </si>
  <si>
    <t>0.133 dm³</t>
  </si>
  <si>
    <t>81 g</t>
  </si>
  <si>
    <t>0.154 dm³</t>
  </si>
  <si>
    <t>0.158 dm³</t>
  </si>
  <si>
    <t>1680 pcs</t>
  </si>
  <si>
    <t>0.186 dm³</t>
  </si>
  <si>
    <t>0.087 dm³</t>
  </si>
  <si>
    <t>3360 pcs</t>
  </si>
  <si>
    <t>0.092 dm³</t>
  </si>
  <si>
    <t>0.089 dm³</t>
  </si>
  <si>
    <t>79 g</t>
  </si>
  <si>
    <t>0.111 dm³</t>
  </si>
  <si>
    <t>218 g</t>
  </si>
  <si>
    <t>236 g</t>
  </si>
  <si>
    <t>0.217 dm³</t>
  </si>
  <si>
    <t>1800 pcs</t>
  </si>
  <si>
    <t>0.24 dm³</t>
  </si>
  <si>
    <t>0.263 dm³</t>
  </si>
  <si>
    <t>0.291 dm³</t>
  </si>
  <si>
    <t>0.311 dm³</t>
  </si>
  <si>
    <t>0.14 dm³</t>
  </si>
  <si>
    <t>0.102 dm³</t>
  </si>
  <si>
    <t>134 g</t>
  </si>
  <si>
    <t>0.086 dm³</t>
  </si>
  <si>
    <t>0.042 dm³</t>
  </si>
  <si>
    <t>6480 pcs</t>
  </si>
  <si>
    <t>0.073 dm³</t>
  </si>
  <si>
    <t>0.076 dm³</t>
  </si>
  <si>
    <t>44 g</t>
  </si>
  <si>
    <t>0.026 dm³</t>
  </si>
  <si>
    <t>0.021 dm³</t>
  </si>
  <si>
    <t>0.037 dm³</t>
  </si>
  <si>
    <t>0.125 dm³</t>
  </si>
  <si>
    <t>114 g</t>
  </si>
  <si>
    <t>0.088 dm³</t>
  </si>
  <si>
    <t>26 g</t>
  </si>
  <si>
    <t>0.008 dm³</t>
  </si>
  <si>
    <t>0.022 dm³</t>
  </si>
  <si>
    <t>0.034 dm³</t>
  </si>
  <si>
    <t>0.065 dm³</t>
  </si>
  <si>
    <t>124 g</t>
  </si>
  <si>
    <t>0.134 dm³</t>
  </si>
  <si>
    <t>0.385 dm³</t>
  </si>
  <si>
    <t>162 g</t>
  </si>
  <si>
    <t>0.203 dm³</t>
  </si>
  <si>
    <t>0.242 dm³</t>
  </si>
  <si>
    <t>0.127 dm³</t>
  </si>
  <si>
    <t>0.062 dm³</t>
  </si>
  <si>
    <t>0.175 dm³</t>
  </si>
  <si>
    <t>0.097 dm³</t>
  </si>
  <si>
    <t>1944 pcs</t>
  </si>
  <si>
    <t>0.028 dm³</t>
  </si>
  <si>
    <t>0.05 dm³</t>
  </si>
  <si>
    <t>0.038 dm³</t>
  </si>
  <si>
    <t>0.04 dm³</t>
  </si>
  <si>
    <t>104 g</t>
  </si>
  <si>
    <t>0.053 dm³</t>
  </si>
  <si>
    <t>98 g</t>
  </si>
  <si>
    <t>0.07 dm³</t>
  </si>
  <si>
    <t>0.055 dm³</t>
  </si>
  <si>
    <t>159 g</t>
  </si>
  <si>
    <t>0.098 dm³</t>
  </si>
  <si>
    <t>0.144 dm³</t>
  </si>
  <si>
    <t>392 g</t>
  </si>
  <si>
    <t>0.02 dm³</t>
  </si>
  <si>
    <t>10560 pcs</t>
  </si>
  <si>
    <t>0.018 dm³</t>
  </si>
  <si>
    <t>0.002 dm³</t>
  </si>
  <si>
    <t>1440 pcs</t>
  </si>
  <si>
    <t>0.006 dm³</t>
  </si>
  <si>
    <t>158 g</t>
  </si>
  <si>
    <t>0.052 dm³</t>
  </si>
  <si>
    <t>0.202 dm³</t>
  </si>
  <si>
    <t>0.47 dm³</t>
  </si>
  <si>
    <t>0.651 dm³</t>
  </si>
  <si>
    <t>0.198 dm³</t>
  </si>
  <si>
    <t>0.284 dm³</t>
  </si>
  <si>
    <t>384 g</t>
  </si>
  <si>
    <t>0.476 dm³</t>
  </si>
  <si>
    <t>211 g</t>
  </si>
  <si>
    <t>0.100 dm³</t>
  </si>
  <si>
    <t>8800 pcs</t>
  </si>
  <si>
    <t>9 mm</t>
  </si>
  <si>
    <t>0.036 dm³</t>
  </si>
  <si>
    <t>4400 pcs</t>
  </si>
  <si>
    <t>0.064 dm³</t>
  </si>
  <si>
    <t>3520 pcs</t>
  </si>
  <si>
    <t>193 g</t>
  </si>
  <si>
    <t>750 pcs</t>
  </si>
  <si>
    <t>0.169 dm³</t>
  </si>
  <si>
    <t>0.361 dm³</t>
  </si>
  <si>
    <t>1.225 dm³</t>
  </si>
  <si>
    <t>225 pcs</t>
  </si>
  <si>
    <t>Transp.Hose Reinf.  6 x 3mm</t>
  </si>
  <si>
    <t>Шланг армированный прозрачный 6х3 мм x 1 м (в бухте 50 м)</t>
  </si>
  <si>
    <t>2200 pcs</t>
  </si>
  <si>
    <t>Transp.Hose Reinf.  8 x 3mm</t>
  </si>
  <si>
    <t>Шланг армированный прозрачный 8х3 мм x 1 м (в бухте 50 м)</t>
  </si>
  <si>
    <t>Transp.Hose Reinf.  9 x 3mm</t>
  </si>
  <si>
    <t>Шланг армированный прозрачный 9х3 мм x 1 м (в бухте 40 м)</t>
  </si>
  <si>
    <t>1760 pcs</t>
  </si>
  <si>
    <t>Transp.Hose Reinf.  10 x 3mm</t>
  </si>
  <si>
    <t>Шланг армированный прозрачный 10х3 мм x 1 м (в бухте 50 м)</t>
  </si>
  <si>
    <t>151 g</t>
  </si>
  <si>
    <t>Transp.Hose Reinf.  13 x 3,5mm</t>
  </si>
  <si>
    <t>Шланг армированный прозрачный 13х3,5 мм x 1 м (в бухте 50 м)</t>
  </si>
  <si>
    <t>207 g</t>
  </si>
  <si>
    <t>Transp.Hose,green 4 x 1mm</t>
  </si>
  <si>
    <t>Шланг прозрачный зеленый 4х1 мм x 1 м (в бухте 200 м)</t>
  </si>
  <si>
    <t>Transp.Hose,green 6 x 1,5mm</t>
  </si>
  <si>
    <t>Шланг прозрачный зеленый 6х1,5 мм x 1 м (в бухте 100 м)</t>
  </si>
  <si>
    <t>0.225 dm³</t>
  </si>
  <si>
    <t>Transp.Hose,green 8 x 1,5mm</t>
  </si>
  <si>
    <t>Шланг прозрачный зеленый  8х1,5 мм x 1 м (в бухте 80 м)</t>
  </si>
  <si>
    <t>Transp.Hose,green 10 x 2mm</t>
  </si>
  <si>
    <t>Шланг прозрачный зеленый 10х2 мм x 1 м (в бухте 50 м)</t>
  </si>
  <si>
    <t>0.196 dm³</t>
  </si>
  <si>
    <t>Floating Suction Filter (1")</t>
  </si>
  <si>
    <t>Поплавковый всасывающий фильтр предварительной очистки</t>
  </si>
  <si>
    <t>6.000 dm³</t>
  </si>
  <si>
    <t>Suction unit 7m</t>
  </si>
  <si>
    <t>Шланг заборный с фильтром 25 мм (1"), 7 м</t>
  </si>
  <si>
    <t>18.144 dm³</t>
  </si>
  <si>
    <t>Submersible Pressure Pump 6000/5</t>
  </si>
  <si>
    <t>Насос погружной высокого давления 6000/5 автоматический</t>
  </si>
  <si>
    <t>10570 g</t>
  </si>
  <si>
    <t>9740 g</t>
  </si>
  <si>
    <t>24.558 dm³</t>
  </si>
  <si>
    <t>28 pcs</t>
  </si>
  <si>
    <t>Deep Well Pump 5500/5 inox</t>
  </si>
  <si>
    <t>Насос для скважин 5500/5 inox</t>
  </si>
  <si>
    <t>12120 g</t>
  </si>
  <si>
    <t>22.464 dm³</t>
  </si>
  <si>
    <t>2.792 dm³</t>
  </si>
  <si>
    <t>350 pcs</t>
  </si>
  <si>
    <t>Deep Well Pump 6000/5 inox</t>
  </si>
  <si>
    <t>Насос для скважин 6000/5 inox</t>
  </si>
  <si>
    <t>13172 g</t>
  </si>
  <si>
    <t>12800 g</t>
  </si>
  <si>
    <t>23.712 dm³</t>
  </si>
  <si>
    <t>13755 g</t>
  </si>
  <si>
    <t>27.768 dm³</t>
  </si>
  <si>
    <t>850 mm</t>
  </si>
  <si>
    <t>45600 g</t>
  </si>
  <si>
    <t>60000 g</t>
  </si>
  <si>
    <t>845 mm</t>
  </si>
  <si>
    <t>269.724 dm³</t>
  </si>
  <si>
    <t>Dirty Water Submersible Pump 7000/D</t>
  </si>
  <si>
    <t>Насос дренажный для грязной воды 7000/D</t>
  </si>
  <si>
    <t>4750 g</t>
  </si>
  <si>
    <t>18.9 dm³</t>
  </si>
  <si>
    <t>37 pcs</t>
  </si>
  <si>
    <t>52000 g</t>
  </si>
  <si>
    <t>755 mm</t>
  </si>
  <si>
    <t>489.24 dm³</t>
  </si>
  <si>
    <t>Garden Pump 3000/4</t>
  </si>
  <si>
    <t>Насос садовый 3000/4 Classic</t>
  </si>
  <si>
    <t>7555 g</t>
  </si>
  <si>
    <t>26.122 dm³</t>
  </si>
  <si>
    <t>Garden Pump 3500/4</t>
  </si>
  <si>
    <t>Насос садовый 3500/4 Classic</t>
  </si>
  <si>
    <t>Combined offer Garden Pump 3000/4</t>
  </si>
  <si>
    <t>Насос садовый 3000/4 Classic с комплектом для подключения</t>
  </si>
  <si>
    <t>12630 g</t>
  </si>
  <si>
    <t>12230 g</t>
  </si>
  <si>
    <t>12000 g</t>
  </si>
  <si>
    <t>476 g</t>
  </si>
  <si>
    <t>2.5 dm³</t>
  </si>
  <si>
    <t>Suct. Hose Fitting 19 mm  3/4"</t>
  </si>
  <si>
    <t>Коннектор для заборного шланга 19 мм (3/4")</t>
  </si>
  <si>
    <t>0.162 dm³</t>
  </si>
  <si>
    <t>Suct. Hose Fitting 25 mm  (1")</t>
  </si>
  <si>
    <t>Коннектор для заборного шланга 25 мм (1")</t>
  </si>
  <si>
    <t>Suction Filter w Backflow Preventer</t>
  </si>
  <si>
    <t>Фильтр с клапаном противотока 19 мм (3/4")</t>
  </si>
  <si>
    <t>106 g</t>
  </si>
  <si>
    <t>0.368 dm³</t>
  </si>
  <si>
    <t>Фильтр с клапаном противотока 25 мм (1")</t>
  </si>
  <si>
    <t>133 g</t>
  </si>
  <si>
    <t>0.377 dm³</t>
  </si>
  <si>
    <t>384 pcs</t>
  </si>
  <si>
    <t>Bore Hole Suction Hose</t>
  </si>
  <si>
    <t>Подводка 33.3 мм (1")</t>
  </si>
  <si>
    <t>3.422 dm³</t>
  </si>
  <si>
    <t>Pump Prelim. Filter 6000</t>
  </si>
  <si>
    <t>Фильтр предварительной очистки до 6000 л/ч</t>
  </si>
  <si>
    <t>1335 g</t>
  </si>
  <si>
    <t>5.047 dm³</t>
  </si>
  <si>
    <t>Pump Prelim. Filter 3000</t>
  </si>
  <si>
    <t>Фильтр предварительной очистки до 3000 л/ч</t>
  </si>
  <si>
    <t>910 g</t>
  </si>
  <si>
    <t>3.047 dm³</t>
  </si>
  <si>
    <t>202 pcs</t>
  </si>
  <si>
    <t>Garden Pump 4000/5</t>
  </si>
  <si>
    <t>Насос садовый 4000/5</t>
  </si>
  <si>
    <t>14080 g</t>
  </si>
  <si>
    <t>47.142 dm³</t>
  </si>
  <si>
    <t>Garden Pump 5000/5</t>
  </si>
  <si>
    <t>Насос садовый 5000/5</t>
  </si>
  <si>
    <t>14590 g</t>
  </si>
  <si>
    <t>13800 g</t>
  </si>
  <si>
    <t>Garden Pump 6000/6 inox</t>
  </si>
  <si>
    <t>Насос садовый 6000/6 inox</t>
  </si>
  <si>
    <t>16585 g</t>
  </si>
  <si>
    <t>48.114 dm³</t>
  </si>
  <si>
    <t>El.Manometric Switch w Dry-Runn</t>
  </si>
  <si>
    <t>Выключатель манометрический электронный</t>
  </si>
  <si>
    <t>1660 g</t>
  </si>
  <si>
    <t>6.91 dm³</t>
  </si>
  <si>
    <t>Pump-Fitting G1"</t>
  </si>
  <si>
    <t>Фитинг к погружному насосу 1" х 1"</t>
  </si>
  <si>
    <t>Pump-Fitting G5/4"/G1"</t>
  </si>
  <si>
    <t>Фитинг к погружному насосу 5/4" х 1"</t>
  </si>
  <si>
    <t>Pump Fitting 33,3 mm (G1")</t>
  </si>
  <si>
    <t xml:space="preserve">Фитинг к насосу </t>
  </si>
  <si>
    <t>1296 pcs</t>
  </si>
  <si>
    <t>0.332 dm³</t>
  </si>
  <si>
    <t>Pump Connection Set 19 mm (3/4")</t>
  </si>
  <si>
    <t>Комплект для подсоединения шланга 3/4”</t>
  </si>
  <si>
    <t>0.296 dm³</t>
  </si>
  <si>
    <t>756 pcs</t>
  </si>
  <si>
    <t>Pressure Tank unit 3000/4 Eco</t>
  </si>
  <si>
    <t>Станция бытового водоснабжения автоматическая 3000/4 Eco</t>
  </si>
  <si>
    <t>16250 g</t>
  </si>
  <si>
    <t>16245 g</t>
  </si>
  <si>
    <t>13995 g</t>
  </si>
  <si>
    <t>478 mm</t>
  </si>
  <si>
    <t>95.696 dm³</t>
  </si>
  <si>
    <t>5 pcs</t>
  </si>
  <si>
    <t>Pressure Tank unit 4000/5 Eco</t>
  </si>
  <si>
    <t>Станция бытового водоснабжения автоматическая 4000/5 Eco</t>
  </si>
  <si>
    <t>17220 g</t>
  </si>
  <si>
    <t>17555 g</t>
  </si>
  <si>
    <t>15335 g</t>
  </si>
  <si>
    <t>Pressure Tank unit 5000/5 Eco</t>
  </si>
  <si>
    <t>Станция бытового водоснабжения автоматическая 5000/5 Eco</t>
  </si>
  <si>
    <t>19250 g</t>
  </si>
  <si>
    <t>19700 g</t>
  </si>
  <si>
    <t>17000 g</t>
  </si>
  <si>
    <t>17450 g</t>
  </si>
  <si>
    <t>Pressure Tank unit 5000/5 eco inox</t>
  </si>
  <si>
    <t>Станция бытового водоснабжения автоматическая 5000/5 Eco inox</t>
  </si>
  <si>
    <t>19560 g</t>
  </si>
  <si>
    <t>17310 g</t>
  </si>
  <si>
    <t>Autom.Home&amp;Garden Pump 4000/5</t>
  </si>
  <si>
    <t>Насос напорный автоматический 4000/5</t>
  </si>
  <si>
    <t>14850 g</t>
  </si>
  <si>
    <t>14400 g</t>
  </si>
  <si>
    <t>13000 g</t>
  </si>
  <si>
    <t>12550 g</t>
  </si>
  <si>
    <t>496 mm</t>
  </si>
  <si>
    <t>269 mm</t>
  </si>
  <si>
    <t>358 mm</t>
  </si>
  <si>
    <t>47.766 dm³</t>
  </si>
  <si>
    <t>13855 g</t>
  </si>
  <si>
    <t>13050 g</t>
  </si>
  <si>
    <t>Autom.Home&amp;Garden Pump 5000/5 LCD</t>
  </si>
  <si>
    <t>Насос напорный автоматический 5000/5 LCD</t>
  </si>
  <si>
    <t>15050 g</t>
  </si>
  <si>
    <t>14410 g</t>
  </si>
  <si>
    <t>Auto.Home&amp;Garden Pump 6000/6LCDinox</t>
  </si>
  <si>
    <t>Насос напорный автоматический 6000/6 LCD inox</t>
  </si>
  <si>
    <t>17380 g</t>
  </si>
  <si>
    <t>15170 g</t>
  </si>
  <si>
    <t>521 mm</t>
  </si>
  <si>
    <t>364 mm</t>
  </si>
  <si>
    <t>51.014 dm³</t>
  </si>
  <si>
    <t>Rain Water Tank Pump 4000/1</t>
  </si>
  <si>
    <t>Насос для резервуаров с дождевой водой 4000/1</t>
  </si>
  <si>
    <t>4660 g</t>
  </si>
  <si>
    <t>5295 g</t>
  </si>
  <si>
    <t>5160 g</t>
  </si>
  <si>
    <t>4860 g</t>
  </si>
  <si>
    <t>12.672 dm³</t>
  </si>
  <si>
    <t>643 mm</t>
  </si>
  <si>
    <t>Rain Water Tank Pump 4700/2 inox</t>
  </si>
  <si>
    <t>Насос для резервуаров с дождевой водой 4700/2 inox</t>
  </si>
  <si>
    <t>6260 g</t>
  </si>
  <si>
    <t>6960 g</t>
  </si>
  <si>
    <t>6760 g</t>
  </si>
  <si>
    <t>16.150 dm³</t>
  </si>
  <si>
    <t>Rainw. Tank Pump 4700/2 inox auto</t>
  </si>
  <si>
    <t>Насос для резервуаров с дождевой водой 4700/2 inox auto</t>
  </si>
  <si>
    <t>7400 g</t>
  </si>
  <si>
    <t>8215 g</t>
  </si>
  <si>
    <t>7600 g</t>
  </si>
  <si>
    <t>16.830 dm³</t>
  </si>
  <si>
    <t>Subm. Pressure Pump 5900/4 inox</t>
  </si>
  <si>
    <t>Насос погружной высокого давления 5900/4 inox</t>
  </si>
  <si>
    <t>9620 g</t>
  </si>
  <si>
    <t>10255 g</t>
  </si>
  <si>
    <t>9820 g</t>
  </si>
  <si>
    <t>27.540 dm³</t>
  </si>
  <si>
    <t>Subm.PressurePump 5900/4 inox auto</t>
  </si>
  <si>
    <t>Насос погружной высокого давления 5900/4 inox auto</t>
  </si>
  <si>
    <t>9480 g</t>
  </si>
  <si>
    <t>10205 g</t>
  </si>
  <si>
    <t>9980 g</t>
  </si>
  <si>
    <t>9680 g</t>
  </si>
  <si>
    <t>Subm.PressurePump 6100/5 inox auto</t>
  </si>
  <si>
    <t>Насос погружной высокого давления 6100/5 inox auto</t>
  </si>
  <si>
    <t>11515 g</t>
  </si>
  <si>
    <t>11400 g</t>
  </si>
  <si>
    <t>37.206 dm³</t>
  </si>
  <si>
    <t>Submersible Pump 7000 SL</t>
  </si>
  <si>
    <t>Насос дренажный для чистой воды 7000 SL</t>
  </si>
  <si>
    <t>296 mm</t>
  </si>
  <si>
    <t>15.392 dm³</t>
  </si>
  <si>
    <t>5680 g</t>
  </si>
  <si>
    <t>17.417 dm³</t>
  </si>
  <si>
    <t>4805 g</t>
  </si>
  <si>
    <t>5786 g</t>
  </si>
  <si>
    <t>Submersible Pump 13000 aquasensor</t>
  </si>
  <si>
    <t>Насос дренажный для чистой воды 13000 Aquasensor</t>
  </si>
  <si>
    <t>7460 g</t>
  </si>
  <si>
    <t>289 mm</t>
  </si>
  <si>
    <t>20.101 dm³</t>
  </si>
  <si>
    <t>Submersible Pump 21000 inox</t>
  </si>
  <si>
    <t>Насос дренажный для чистой воды 21000 inox</t>
  </si>
  <si>
    <t>9150 g</t>
  </si>
  <si>
    <t>367 mm</t>
  </si>
  <si>
    <t>21.194 dm³</t>
  </si>
  <si>
    <t>Dirty Water Pump 7500</t>
  </si>
  <si>
    <t>Насос дренажный для грязной воды 7500</t>
  </si>
  <si>
    <t>5110 g</t>
  </si>
  <si>
    <t>15.293 dm³</t>
  </si>
  <si>
    <t>Dirty Water Pump 8500 aquasensor</t>
  </si>
  <si>
    <t>Насос дренажный для грязной воды 8500 aquasensor</t>
  </si>
  <si>
    <t>5600 g</t>
  </si>
  <si>
    <t>6166 g</t>
  </si>
  <si>
    <t>22.445 dm³</t>
  </si>
  <si>
    <t>Dirty Water Pump 13000 aquasensor</t>
  </si>
  <si>
    <t>Насос дренажный для грязной воды 13000 aquasensor</t>
  </si>
  <si>
    <t>7910 g</t>
  </si>
  <si>
    <t>24.911 dm³</t>
  </si>
  <si>
    <t>Dirty Water Pump 20000 inox</t>
  </si>
  <si>
    <t>Насос дренажный для грязной воды 20000 inox</t>
  </si>
  <si>
    <t>24.518 dm³</t>
  </si>
  <si>
    <t>Clear Water Submersible Pump 8200</t>
  </si>
  <si>
    <t>Насос дренажный для чистой воды 8200</t>
  </si>
  <si>
    <t>3645 g</t>
  </si>
  <si>
    <t>3370 g</t>
  </si>
  <si>
    <t>10.708 dm³</t>
  </si>
  <si>
    <t>216 mm</t>
  </si>
  <si>
    <t>234 mm</t>
  </si>
  <si>
    <t>Clear Water Submersible Pump 8600</t>
  </si>
  <si>
    <t>Насос дренажный для чистой воды 8600 (переименовать на 8800)?</t>
  </si>
  <si>
    <t>4025 g</t>
  </si>
  <si>
    <t>3755 g</t>
  </si>
  <si>
    <t>Dirty Water Submersible Pump 8800</t>
  </si>
  <si>
    <t>Насос дренажный для грязной воды 8800 (переименовать на 9200) ?</t>
  </si>
  <si>
    <t>3810 g</t>
  </si>
  <si>
    <t>3475 g</t>
  </si>
  <si>
    <t>11.532 dm³</t>
  </si>
  <si>
    <t>Dirty Water Submersible Pump 9300</t>
  </si>
  <si>
    <t>Насос дренажный для грязной воды 9300 (переименовать на 10500) -?</t>
  </si>
  <si>
    <t>4135 g</t>
  </si>
  <si>
    <t>3795 g</t>
  </si>
  <si>
    <t>Garden pump 3000/4</t>
  </si>
  <si>
    <t>Насос садовый 3000/4</t>
  </si>
  <si>
    <t>5300 g</t>
  </si>
  <si>
    <t>6065 g</t>
  </si>
  <si>
    <t>5800 g</t>
  </si>
  <si>
    <t>5280 g</t>
  </si>
  <si>
    <t>22.031 dm³</t>
  </si>
  <si>
    <t>Garden pump 3000/4 Set</t>
  </si>
  <si>
    <t>Насос садовый 3000/4 с комплектом для полива</t>
  </si>
  <si>
    <t>6655 g</t>
  </si>
  <si>
    <t>10475 g</t>
  </si>
  <si>
    <t>42.900 dm³</t>
  </si>
  <si>
    <t>Garden pump 3600/4</t>
  </si>
  <si>
    <t>Насос садовый 3600/4</t>
  </si>
  <si>
    <t>8870 g</t>
  </si>
  <si>
    <t>8085 g</t>
  </si>
  <si>
    <t>238 mm</t>
  </si>
  <si>
    <t>22.610 dm³</t>
  </si>
  <si>
    <t>206 mm</t>
  </si>
  <si>
    <t>Pressure Tank Unit 3000/4</t>
  </si>
  <si>
    <t>Станция бытового водоснабжения автоматическая 3000/4</t>
  </si>
  <si>
    <t>10500 g</t>
  </si>
  <si>
    <t>12270 g</t>
  </si>
  <si>
    <t>11340 g</t>
  </si>
  <si>
    <t>10090 g</t>
  </si>
  <si>
    <t>93.042 dm³</t>
  </si>
  <si>
    <t>453 mm</t>
  </si>
  <si>
    <t>Pressure Tank Unit 3600/4</t>
  </si>
  <si>
    <t>Станция бытового водоснабжения автоматическая 3600/4</t>
  </si>
  <si>
    <t>15130 g</t>
  </si>
  <si>
    <t>14840 g</t>
  </si>
  <si>
    <t>12950 g</t>
  </si>
  <si>
    <t>501 mm</t>
  </si>
  <si>
    <t>Subm. Pressure Pump 4700/2</t>
  </si>
  <si>
    <t>Насос погружной высокого давления 4700/2</t>
  </si>
  <si>
    <t>5900 g</t>
  </si>
  <si>
    <t>6550 g</t>
  </si>
  <si>
    <t>6400 g</t>
  </si>
  <si>
    <t>15.096 dm³</t>
  </si>
  <si>
    <t>44 pcs</t>
  </si>
  <si>
    <t>Lay flat hose 25mm 1 ", 50 m</t>
  </si>
  <si>
    <t>Шланг заборный плоский 25 мм (1"), 50 м в бухте</t>
  </si>
  <si>
    <t>Lay flat hose 32mm 1 1/4 ", 50 m</t>
  </si>
  <si>
    <t>Шланг заборный плоский 32 мм (1 1/4"), 50 м в бухте</t>
  </si>
  <si>
    <t>Lay flat hose 38mm 1 1/2", 50 m</t>
  </si>
  <si>
    <t>Шланг заборный плоский 38 мм (1 1/2"), 50 м в бухте</t>
  </si>
  <si>
    <t>Lay flat hose 50mm 2 ", 50 m</t>
  </si>
  <si>
    <t>Шланг заборный плоский 50 мм (2"), 50 м в бухте</t>
  </si>
  <si>
    <t>Lay flat hose kit 32mm 1 1/4 ", 10m</t>
  </si>
  <si>
    <t>Шланг заборный плоский 32 мм (1 1/4"), 10 м с комплектом фитингов для подключения</t>
  </si>
  <si>
    <t>10300 g</t>
  </si>
  <si>
    <t>Clear Water Pump 8000</t>
  </si>
  <si>
    <t>Насос дренажный для чистой воды 8000</t>
  </si>
  <si>
    <t>283 mm</t>
  </si>
  <si>
    <t>Clear Water Pump 11000</t>
  </si>
  <si>
    <t>Насос дренажный для чистой воды 11000</t>
  </si>
  <si>
    <t>4600 g</t>
  </si>
  <si>
    <t>353 mm</t>
  </si>
  <si>
    <t>39 pcs</t>
  </si>
  <si>
    <t>Clear Water Pump 11000 Aquasensor</t>
  </si>
  <si>
    <t>Насос дренажный для чистой воды 11000 Aquasensor</t>
  </si>
  <si>
    <t>5100 g</t>
  </si>
  <si>
    <t>273 mm</t>
  </si>
  <si>
    <t>259 mm</t>
  </si>
  <si>
    <t>Clear Water Pump 17000 Aquasensor</t>
  </si>
  <si>
    <t>Насос дренажный для чистой воды 17000 Aquasensor</t>
  </si>
  <si>
    <t>6100 g</t>
  </si>
  <si>
    <t>Dirty Water Pump 8500</t>
  </si>
  <si>
    <t>Насос дренажный для грязной воды 8500</t>
  </si>
  <si>
    <t>4400 g</t>
  </si>
  <si>
    <t>Dirty Water Pump 12000</t>
  </si>
  <si>
    <t>Насос дренажный для грязной воды 12000</t>
  </si>
  <si>
    <t>Dirty Water Pump 18000 Aquasensor</t>
  </si>
  <si>
    <t>Насос дренажный для грязной воды 18000 Aquasensor</t>
  </si>
  <si>
    <t>412 mm</t>
  </si>
  <si>
    <t>379 mm</t>
  </si>
  <si>
    <t>26 pcs</t>
  </si>
  <si>
    <t>Dirty Water Pump 25000</t>
  </si>
  <si>
    <t>Насос дренажный для грязной воды 25000</t>
  </si>
  <si>
    <t>282 mm</t>
  </si>
  <si>
    <t>408 mm</t>
  </si>
  <si>
    <t>Clear/Dirty Water Pump 13500</t>
  </si>
  <si>
    <t>Насос дренажный для грязной и чистой воды 13500</t>
  </si>
  <si>
    <t>272 mm</t>
  </si>
  <si>
    <t>388 mm</t>
  </si>
  <si>
    <t>Clear/DirtyWaterPump19000Aquasens</t>
  </si>
  <si>
    <t>Насос дренажный для грязной и чистой воды 19000 Aquasensor</t>
  </si>
  <si>
    <t>Насос погружной высокого давления 5500/3 Classic</t>
  </si>
  <si>
    <t>10746 g</t>
  </si>
  <si>
    <t>9110 g</t>
  </si>
  <si>
    <t>21.209 dm³</t>
  </si>
  <si>
    <t>22.772 dm³</t>
  </si>
  <si>
    <t>Насос для резервуаров с дождевой водой 4000/2 Classic</t>
  </si>
  <si>
    <t>5960 g</t>
  </si>
  <si>
    <t>464 mm</t>
  </si>
  <si>
    <t>22.942 dm³</t>
  </si>
  <si>
    <t>Защита от работы всухую</t>
  </si>
  <si>
    <t>2.211 dm³</t>
  </si>
  <si>
    <t>Насос для резервуаров с дождевой водой 4000/2 Comfort автоматический</t>
  </si>
  <si>
    <t>6925 g</t>
  </si>
  <si>
    <t>5925 g</t>
  </si>
  <si>
    <t>466 mm</t>
  </si>
  <si>
    <t>23.463 dm³</t>
  </si>
  <si>
    <t>Autom.Home&amp;Garden Pump 3500/4</t>
  </si>
  <si>
    <t>Насос напорный автоматический 3500/4</t>
  </si>
  <si>
    <t>9550 g</t>
  </si>
  <si>
    <t>9305 g</t>
  </si>
  <si>
    <t>8255 g</t>
  </si>
  <si>
    <t>33.762 dm³</t>
  </si>
  <si>
    <t xml:space="preserve">Насос дренажный для чистой воды 6000 Classic </t>
  </si>
  <si>
    <t>D, China</t>
  </si>
  <si>
    <t xml:space="preserve">Насос дренажный для грязной воды 6000 Classic </t>
  </si>
  <si>
    <t>10660 g</t>
  </si>
  <si>
    <t>9830 g</t>
  </si>
  <si>
    <t>14186 g</t>
  </si>
  <si>
    <t>13590 g</t>
  </si>
  <si>
    <t>7188 g</t>
  </si>
  <si>
    <t>6188 g</t>
  </si>
  <si>
    <t>9411 g</t>
  </si>
  <si>
    <t>8345 g</t>
  </si>
  <si>
    <t>14506 g</t>
  </si>
  <si>
    <t>12640 g</t>
  </si>
  <si>
    <t>Clear Water Submersible Pump 7000/C</t>
  </si>
  <si>
    <t>Насос дренажный для чистой воды 7000/C</t>
  </si>
  <si>
    <t>4645 g</t>
  </si>
  <si>
    <t>16.979 dm³</t>
  </si>
  <si>
    <t>41 pcs</t>
  </si>
  <si>
    <t>M, China</t>
  </si>
  <si>
    <t>Subm. Pump 2000/2 Li-18 Set</t>
  </si>
  <si>
    <t>Насос дренажный для чистой воды аккумуляторный 2000/2 Li-18</t>
  </si>
  <si>
    <t>266 mm</t>
  </si>
  <si>
    <t>15.739 dm³</t>
  </si>
  <si>
    <t>RainWaterTankPump 2000/2 Li-18 Set</t>
  </si>
  <si>
    <t>Насос для резервуаров с дождевой водой аккумуляторный 2000/2 Li-18</t>
  </si>
  <si>
    <t>3625 g</t>
  </si>
  <si>
    <t>22.190 dm³</t>
  </si>
  <si>
    <t>Extension Cable</t>
  </si>
  <si>
    <t>Кабель дополнительный 10 м (для удлинения датчика дождя или датчика влажности почвы)</t>
  </si>
  <si>
    <t>0.34 dm³</t>
  </si>
  <si>
    <t>Soil Moisture Sensor</t>
  </si>
  <si>
    <t xml:space="preserve">Датчик влажности почвы </t>
  </si>
  <si>
    <t>525 g</t>
  </si>
  <si>
    <t>535 g</t>
  </si>
  <si>
    <t>2.085 dm³</t>
  </si>
  <si>
    <t>Automatic Water Distributor</t>
  </si>
  <si>
    <t>Распределитель воды aвтоматический</t>
  </si>
  <si>
    <t>1712 g</t>
  </si>
  <si>
    <t>7.072 dm³</t>
  </si>
  <si>
    <t>controller 9 v</t>
  </si>
  <si>
    <t xml:space="preserve">Регулятор </t>
  </si>
  <si>
    <t>Малазия</t>
  </si>
  <si>
    <t>0.348 dm³</t>
  </si>
  <si>
    <t>Watering Valve 1"</t>
  </si>
  <si>
    <t>Клапан для полива 9 В</t>
  </si>
  <si>
    <t>1.628 dm³</t>
  </si>
  <si>
    <t>Valve Box V1</t>
  </si>
  <si>
    <t>Коробка для клапана для полива V1</t>
  </si>
  <si>
    <t>9.958 dm³</t>
  </si>
  <si>
    <t>Valve Box V3</t>
  </si>
  <si>
    <t>Коробка для клапана для полива V3</t>
  </si>
  <si>
    <t>2015 g</t>
  </si>
  <si>
    <t>19.992 dm³</t>
  </si>
  <si>
    <t>Watering Valve 24 V 1"</t>
  </si>
  <si>
    <t>Клапан для полива 24 В</t>
  </si>
  <si>
    <t>1.78 dm³</t>
  </si>
  <si>
    <t>Connection Cable 15 m</t>
  </si>
  <si>
    <t>Соединительный кабель 24 В</t>
  </si>
  <si>
    <t>1068 g</t>
  </si>
  <si>
    <t>1.672 dm³</t>
  </si>
  <si>
    <t>Cable Clip (6)</t>
  </si>
  <si>
    <t>Концевая муфта для кабеля 24 В</t>
  </si>
  <si>
    <t>0.287 dm³</t>
  </si>
  <si>
    <t>Classic Irrig. Control System 4030</t>
  </si>
  <si>
    <t>Блок управление клапанами для полива 4030</t>
  </si>
  <si>
    <t>1255 g</t>
  </si>
  <si>
    <t>3.136 dm³</t>
  </si>
  <si>
    <t>Water Timer</t>
  </si>
  <si>
    <t xml:space="preserve">Таймер подачи воды </t>
  </si>
  <si>
    <t>2.105 dm³</t>
  </si>
  <si>
    <t>Water Computer MultiControl duo</t>
  </si>
  <si>
    <t>Таймер подачи воды MultiControl duo</t>
  </si>
  <si>
    <t>6.736 dm³</t>
  </si>
  <si>
    <t>Water Control Flex</t>
  </si>
  <si>
    <t>Таймер подачи воды Flex</t>
  </si>
  <si>
    <t>3.613 dm³</t>
  </si>
  <si>
    <t>204 pcs</t>
  </si>
  <si>
    <t>710 g</t>
  </si>
  <si>
    <t>1.756 dm³</t>
  </si>
  <si>
    <t>Water Control Select</t>
  </si>
  <si>
    <t>Таймер подачи воды Select</t>
  </si>
  <si>
    <t>2.839 dm³</t>
  </si>
  <si>
    <t>Water Control Master</t>
  </si>
  <si>
    <t>Таймер подачи воды Master</t>
  </si>
  <si>
    <t>4.134 dm³</t>
  </si>
  <si>
    <t>Irrigation Valve I"9V Bluetooth</t>
  </si>
  <si>
    <t xml:space="preserve">Клапан для полива 9 В Bluetooth </t>
  </si>
  <si>
    <t>Valve Box-9V Bluetooth Promo Kit</t>
  </si>
  <si>
    <t>Комплект: Коробка для клапана для полива V3 Set + клапан для полива 9 В Bluetooth</t>
  </si>
  <si>
    <t>3.042 dm³</t>
  </si>
  <si>
    <t>57.35 dm³</t>
  </si>
  <si>
    <t>Датчик влажности почвы</t>
  </si>
  <si>
    <t>extension cable</t>
  </si>
  <si>
    <t>Удлинитель для датчика влажности почвы</t>
  </si>
  <si>
    <t>Water Control Bluetooth</t>
  </si>
  <si>
    <t xml:space="preserve">Таймер подачи воды Bluetooth </t>
  </si>
  <si>
    <t>Programming Unit</t>
  </si>
  <si>
    <t>Блок управления клапанами для полива</t>
  </si>
  <si>
    <t>388 g</t>
  </si>
  <si>
    <t>1.23 dm³</t>
  </si>
  <si>
    <t>Блок управления насосом 24 В</t>
  </si>
  <si>
    <t xml:space="preserve">Блок управления клапанами для полива 4040 </t>
  </si>
  <si>
    <t xml:space="preserve">Дополнительный модуль  </t>
  </si>
  <si>
    <t>MDS Starter Set for Greenhouses</t>
  </si>
  <si>
    <t>Комплект для микрокапельного полива в теплице базовый</t>
  </si>
  <si>
    <t>12.242 dm³</t>
  </si>
  <si>
    <t>Valve-4-Way-Coupling</t>
  </si>
  <si>
    <t>Крестовина PRO</t>
  </si>
  <si>
    <t>0.428 dm³</t>
  </si>
  <si>
    <t>Valve-T-Joint 1"X1"Fem X1</t>
  </si>
  <si>
    <t>Соединитель Т-образный PRO</t>
  </si>
  <si>
    <t>117 g</t>
  </si>
  <si>
    <t>Valve-T-Joint 1"FemX1"Mal</t>
  </si>
  <si>
    <t>0.363 dm³</t>
  </si>
  <si>
    <t>Valve-L-Joint 1"Fem X1" Ma</t>
  </si>
  <si>
    <t>Соединитель L-образный PRO</t>
  </si>
  <si>
    <t>Valve-Conn.1"Male Thread</t>
  </si>
  <si>
    <t>Соединитель 2 х 1"</t>
  </si>
  <si>
    <t>Valve-Conn.1"X3/4"Male Th</t>
  </si>
  <si>
    <t>Соединитель 1"/3/4"</t>
  </si>
  <si>
    <t>End Cap 1" Female Thread</t>
  </si>
  <si>
    <t>Заглушка PRO</t>
  </si>
  <si>
    <t>3750 g</t>
  </si>
  <si>
    <t>3590 g</t>
  </si>
  <si>
    <t>58.32 dm³</t>
  </si>
  <si>
    <t>90 dm³</t>
  </si>
  <si>
    <t>Conn. Pipe 25mm, 25m</t>
  </si>
  <si>
    <t>Шланг подающий 25 мм х 25 м</t>
  </si>
  <si>
    <t>55.404 dm³</t>
  </si>
  <si>
    <t>Conn. Pipe 25mm, 50m</t>
  </si>
  <si>
    <t>Шланг подающий 25 мм х 50 м</t>
  </si>
  <si>
    <t>Conn. Pipe 32mm, 50m</t>
  </si>
  <si>
    <t>Шланг подающий 32 мм х 50 м</t>
  </si>
  <si>
    <t>198.4 dm³</t>
  </si>
  <si>
    <t>T-joint 25 mm</t>
  </si>
  <si>
    <t>Соединитель Т-образный 25 мм</t>
  </si>
  <si>
    <t>0.825 dm³</t>
  </si>
  <si>
    <t>L-joint 25 mm</t>
  </si>
  <si>
    <t>Соединитель L-образный 25 мм</t>
  </si>
  <si>
    <t>121 g</t>
  </si>
  <si>
    <t>Connector 25 mm</t>
  </si>
  <si>
    <t xml:space="preserve">Соединитель 25 мм </t>
  </si>
  <si>
    <t>0.393 dm³</t>
  </si>
  <si>
    <t>1140 pcs</t>
  </si>
  <si>
    <t>End Cap 25 mm</t>
  </si>
  <si>
    <t xml:space="preserve">Заглушка 25 мм </t>
  </si>
  <si>
    <t>0.165 dm³</t>
  </si>
  <si>
    <t>T-joint 32 mm</t>
  </si>
  <si>
    <t>Соединитель Т-образный 32 мм</t>
  </si>
  <si>
    <t>1.139 dm³</t>
  </si>
  <si>
    <t>L-joint 32 mm</t>
  </si>
  <si>
    <t>Соединитель L-образный 32 мм</t>
  </si>
  <si>
    <t>0.864 dm³</t>
  </si>
  <si>
    <t>Connector 32 mm</t>
  </si>
  <si>
    <t>Соединитель 32 мм</t>
  </si>
  <si>
    <t>0.486 dm³</t>
  </si>
  <si>
    <t>Reduction Adapter 32-25 mm</t>
  </si>
  <si>
    <t>Адаптер 32 мм/25 мм</t>
  </si>
  <si>
    <t>0.358 dm³</t>
  </si>
  <si>
    <t>End Cap 32 mm</t>
  </si>
  <si>
    <t>Заглушка 32 мм</t>
  </si>
  <si>
    <t>0.234 dm³</t>
  </si>
  <si>
    <t>Water Connector</t>
  </si>
  <si>
    <t>Водозаборная колонка</t>
  </si>
  <si>
    <t>437 g</t>
  </si>
  <si>
    <t>2.03 dm³</t>
  </si>
  <si>
    <t>326 mm</t>
  </si>
  <si>
    <t>Колонка со спиральным шлангом 10 м</t>
  </si>
  <si>
    <t>2552 g</t>
  </si>
  <si>
    <t>22.314 dm³</t>
  </si>
  <si>
    <t>3203 g</t>
  </si>
  <si>
    <t>2630 g</t>
  </si>
  <si>
    <t>297 mm</t>
  </si>
  <si>
    <t>292 mm</t>
  </si>
  <si>
    <t>18.039 dm³</t>
  </si>
  <si>
    <t>Pop-up sprinkler T 100</t>
  </si>
  <si>
    <t>Турбодождеватель выдвижной T 100</t>
  </si>
  <si>
    <t>135 g</t>
  </si>
  <si>
    <t>0.425 dm³</t>
  </si>
  <si>
    <t>Pop-up sprinkler T 200</t>
  </si>
  <si>
    <t>Турбодождеватель выдвижной T 200</t>
  </si>
  <si>
    <t>Pop-up sprinkler T 380</t>
  </si>
  <si>
    <t>Турбодождеватель выдвижной T 380</t>
  </si>
  <si>
    <t>569 g</t>
  </si>
  <si>
    <t>Pop-up Sprinkler 300</t>
  </si>
  <si>
    <t>Дождеватель выдвижной S 80/300</t>
  </si>
  <si>
    <t>2.76 dm³</t>
  </si>
  <si>
    <t>0.341 dm³</t>
  </si>
  <si>
    <t>Pop-up-Sprinkler with thread</t>
  </si>
  <si>
    <t>Дождеватель выдвижной S 80</t>
  </si>
  <si>
    <t>Pop-up Sprinkler Center Strip</t>
  </si>
  <si>
    <t>Дождеватель выдвижной S-CS полосовой</t>
  </si>
  <si>
    <t>Pop-up Sprinkler End Strip</t>
  </si>
  <si>
    <t>Дождеватель выдвижной S-ES полосовой</t>
  </si>
  <si>
    <t>Pop-up-Sprinkler 100, 10 ft.</t>
  </si>
  <si>
    <t xml:space="preserve">Дождеватель выдвижной S 30 </t>
  </si>
  <si>
    <t>Pop-up-Sprinkler 100, 12 ft.</t>
  </si>
  <si>
    <t>Дождеватель выдвижной S 50</t>
  </si>
  <si>
    <t>Дождеватель выдвижной осциллирующий OS 140</t>
  </si>
  <si>
    <t>7.564 dm³</t>
  </si>
  <si>
    <t>7300 g</t>
  </si>
  <si>
    <t>7655 g</t>
  </si>
  <si>
    <t>7050 g</t>
  </si>
  <si>
    <t>567 mm</t>
  </si>
  <si>
    <t>66.759 dm³</t>
  </si>
  <si>
    <t>7 pcs</t>
  </si>
  <si>
    <t>Starter set for garden pipeline</t>
  </si>
  <si>
    <t>Базовый комплект садового водопровода</t>
  </si>
  <si>
    <t>2262 g</t>
  </si>
  <si>
    <t>11.487 dm³</t>
  </si>
  <si>
    <t>7349 g</t>
  </si>
  <si>
    <t>5840 g</t>
  </si>
  <si>
    <t>4840 g</t>
  </si>
  <si>
    <t>581 mm</t>
  </si>
  <si>
    <t>66.874 dm³</t>
  </si>
  <si>
    <t>5910 g</t>
  </si>
  <si>
    <t>10 pcs</t>
  </si>
  <si>
    <t>L-Joint 25 mm x 1/2" AG</t>
  </si>
  <si>
    <t>Соединитель L-образный 25 мм x 1/2”-наружная резьба</t>
  </si>
  <si>
    <t>0.330 dm³</t>
  </si>
  <si>
    <t>1840 pcs</t>
  </si>
  <si>
    <t>L-Joint 25 mm x 3/4" AG</t>
  </si>
  <si>
    <t>Соединитель L-образный 25 мм x 3/4”-наружная резьба</t>
  </si>
  <si>
    <t>0.413 dm³</t>
  </si>
  <si>
    <t>Angled L-piece 25mm x 1/2" male thr.</t>
  </si>
  <si>
    <t>Соединитель L-образный 25 мм x 1/2"-наружная резьба</t>
  </si>
  <si>
    <t>0.808 dm³</t>
  </si>
  <si>
    <t>Angled L-piece 25mm x 3/4" male thr.</t>
  </si>
  <si>
    <t>Соединитель L-образный 25 мм x 3/4"-наружная резьба</t>
  </si>
  <si>
    <t>0.827 dm³</t>
  </si>
  <si>
    <t>Соединитель T-образный 25 мм x 1/2”-наружная резьба</t>
  </si>
  <si>
    <t>0.593 dm³</t>
  </si>
  <si>
    <t>T-Piece 25mm 3/4" male thread</t>
  </si>
  <si>
    <t>Соединитель Т-образный с наружной резьбой 25 мм x 3/4"</t>
  </si>
  <si>
    <t>T-Piece 25mm 3/4"female thread</t>
  </si>
  <si>
    <t>Соединитель Т-образный с внутренней резьбой 25 мм x 3/4"</t>
  </si>
  <si>
    <t>0.597 dm³</t>
  </si>
  <si>
    <t>Connector 25 mm x 3/4" IG</t>
  </si>
  <si>
    <t>Соединитель 25 мм x 3/4”-внутренняя резьба</t>
  </si>
  <si>
    <t>Connector 25 mm x 1" IG</t>
  </si>
  <si>
    <t>Соединитель 25 мм x 1”-внутренняя резьба</t>
  </si>
  <si>
    <t>0.248 dm³</t>
  </si>
  <si>
    <t>Connector 25 mm x 1" AG</t>
  </si>
  <si>
    <t>Соединитель 25 мм x 1”-наружная резьба</t>
  </si>
  <si>
    <t>0.297 dm³</t>
  </si>
  <si>
    <t>T-Piece 32mm3/4"female thread</t>
  </si>
  <si>
    <t>Соединитель T-образный 32 мм x 3/4”-внутренняя резьба</t>
  </si>
  <si>
    <t>0.744 dm³</t>
  </si>
  <si>
    <t>L-Joint 25 mm x 3/4" IG</t>
  </si>
  <si>
    <t>Соединитель L-образный 25 мм х 3/4”-внутренняя резьба</t>
  </si>
  <si>
    <t>0.42 dm³</t>
  </si>
  <si>
    <t>L-Joint 32 mm x 3/4" IG</t>
  </si>
  <si>
    <t>Соединитель L-образный 32 мм x 3/4”-внутренняя резьба</t>
  </si>
  <si>
    <t>0.396 dm³</t>
  </si>
  <si>
    <t>Angled L-Piece 25mm x 3/4" fem. thr.</t>
  </si>
  <si>
    <t>Cоединитель L-образный 25 мм х 3/4"-внутренняя резьба</t>
  </si>
  <si>
    <t>0.822 dm³</t>
  </si>
  <si>
    <t>Spr.Conn.  3/4"x1/2"Male Th</t>
  </si>
  <si>
    <t>Подводка дождевателя 3/4" х 1/2"</t>
  </si>
  <si>
    <t>Spr.Conn.  3/4"x3/4"Male Th</t>
  </si>
  <si>
    <t>Подводка дождевателя 3/4" х 3/4"</t>
  </si>
  <si>
    <t>2.08 dm³</t>
  </si>
  <si>
    <t>Exten.Pipe 3/4"x1/2" Male</t>
  </si>
  <si>
    <t>Удлинитель дождевателя 3/4" х 1/2"</t>
  </si>
  <si>
    <t>0.106 dm³</t>
  </si>
  <si>
    <t>Exten.Pipe 3/4"x3/4" Male</t>
  </si>
  <si>
    <t>Удлинитель дождевателя 3/4" х 3/4"</t>
  </si>
  <si>
    <t>0.136 dm³</t>
  </si>
  <si>
    <t>Connector 32 mm x 3/4" IG</t>
  </si>
  <si>
    <t>Соединитель 32 мм x 3/4”-внутренняя резьба</t>
  </si>
  <si>
    <t>0.288 dm³</t>
  </si>
  <si>
    <t>Connector 32 mm x 1" IG</t>
  </si>
  <si>
    <t>Соединитель 32 мм x 1”-внутренняя резьба</t>
  </si>
  <si>
    <t>0.306 dm³</t>
  </si>
  <si>
    <t>Connector 32 mm x 1" AG</t>
  </si>
  <si>
    <t>Соединитель 32 мм x 1”-наружная резьба</t>
  </si>
  <si>
    <t>Drain Valve</t>
  </si>
  <si>
    <t xml:space="preserve">Дренажный клапан </t>
  </si>
  <si>
    <t>Connecting Point</t>
  </si>
  <si>
    <t>Колонка входная</t>
  </si>
  <si>
    <t>Central Filter</t>
  </si>
  <si>
    <t xml:space="preserve">Фильтр центральный </t>
  </si>
  <si>
    <t>1.003 dm³</t>
  </si>
  <si>
    <t>Adapter Piece</t>
  </si>
  <si>
    <t xml:space="preserve">Штуцер резьбовой </t>
  </si>
  <si>
    <t>0.614 dm³</t>
  </si>
  <si>
    <t>Regulator and Shut-off  Valve</t>
  </si>
  <si>
    <t>Кран запорный</t>
  </si>
  <si>
    <t>1.302 dm³</t>
  </si>
  <si>
    <t>Комплект соединительных элементов системы "ПРОФИ"</t>
  </si>
  <si>
    <t>1.362 dm³</t>
  </si>
  <si>
    <t>5.766 dm³</t>
  </si>
  <si>
    <t>MDS Installation Tool</t>
  </si>
  <si>
    <t xml:space="preserve">Ключ монтажный </t>
  </si>
  <si>
    <t>MDS Fertilizer Dispenser</t>
  </si>
  <si>
    <t>Дозатор для удобрений</t>
  </si>
  <si>
    <t>441 g</t>
  </si>
  <si>
    <t>MDS Master Unit 2000</t>
  </si>
  <si>
    <t xml:space="preserve">Мастер-блок 2000 </t>
  </si>
  <si>
    <t>1.476 dm³</t>
  </si>
  <si>
    <t>MDS Master Unit 1000</t>
  </si>
  <si>
    <t xml:space="preserve">Мастер-блок 1000 </t>
  </si>
  <si>
    <t>MDS Control Valve</t>
  </si>
  <si>
    <t>Кран запорный (5 шт. в блистере)</t>
  </si>
  <si>
    <t>0.278 dm³</t>
  </si>
  <si>
    <t>MDS Extension Pipe</t>
  </si>
  <si>
    <t>Надставка (5 шт. в блистере)</t>
  </si>
  <si>
    <t>0.445 dm³</t>
  </si>
  <si>
    <t>T-Joint 1/2" with Thread</t>
  </si>
  <si>
    <t>Соединитель T-образный для микронасадок 13 мм (5 шт. в блистере)</t>
  </si>
  <si>
    <t>0.762 dm³</t>
  </si>
  <si>
    <t>T-Joint 1/2" - 3/16"</t>
  </si>
  <si>
    <t>Соединитель-переходник Т-образный (5 шт. в блистере)</t>
  </si>
  <si>
    <t>0.809 dm³</t>
  </si>
  <si>
    <t>4-Way Coupling 4,6 mm 3/16</t>
  </si>
  <si>
    <t>Крестовина 4.6 мм (3/16”) (10 шт. в блистере)</t>
  </si>
  <si>
    <t>0.519 dm³</t>
  </si>
  <si>
    <t>Connector 4,6 mm 3/16"</t>
  </si>
  <si>
    <t>Соединитель 4,6 мм (3/16”) (10 шт. в блистере)</t>
  </si>
  <si>
    <t>4-Way Coupling 13 mm 1/2"</t>
  </si>
  <si>
    <t>Крестовина 13 мм (1/2”) (2 шт. в блистере)</t>
  </si>
  <si>
    <t>0.751 dm³</t>
  </si>
  <si>
    <t>T-Joint 13 mm 1/2"</t>
  </si>
  <si>
    <t>Соединитель Т-образный 13 мм (1/2”) (2 шт. в блистере)</t>
  </si>
  <si>
    <t>T-Joint  3/16"</t>
  </si>
  <si>
    <t>Соединитель Т-образный 4,6 мм (3/16”) (10 шт. в блистере)</t>
  </si>
  <si>
    <t>L-Joint 13 mm 1/2"</t>
  </si>
  <si>
    <t>Соединитель L-образный 13 мм (1/2”) (2 шт. в блистере)</t>
  </si>
  <si>
    <t>L-Joint 4,6 mm 3/16"</t>
  </si>
  <si>
    <t>Соединитель L-образный 4,6 мм (3/16”) (10 шт. в блистере)</t>
  </si>
  <si>
    <t>Connector 13 mm 1/2"</t>
  </si>
  <si>
    <t>Соединитель 13 мм (1/2”) (3 шт. в блистере)</t>
  </si>
  <si>
    <t>Plug 13 mm 1/2"</t>
  </si>
  <si>
    <t>Заглушка 13 мм (1/2”) (5 шт. в блистере)</t>
  </si>
  <si>
    <t>0.491 dm³</t>
  </si>
  <si>
    <t>PLUG 4,6 MM (3/16")</t>
  </si>
  <si>
    <t>Заглушка 4,6 мм (10 шт. в блистере)</t>
  </si>
  <si>
    <t>7 g</t>
  </si>
  <si>
    <t>0.236 dm³</t>
  </si>
  <si>
    <t>0.205 dm³</t>
  </si>
  <si>
    <t>Shut-Off Valve 3/16 "</t>
  </si>
  <si>
    <t>Кран запорный 4,6 мм (3/16”) (2 шт. в блистере)</t>
  </si>
  <si>
    <t>Shut-Off Valve 13 mm 1/2"</t>
  </si>
  <si>
    <t>Кран запорный 13 мм (1/2”)</t>
  </si>
  <si>
    <t>71 g</t>
  </si>
  <si>
    <t>T-Joint 3/16" with Thread</t>
  </si>
  <si>
    <t>Соединитель T-образный для микронасадок 4.6 мм (5 шт. в блистере)</t>
  </si>
  <si>
    <t>MDS Extension Pipe for 8361</t>
  </si>
  <si>
    <t>Надставка к арт. № 8361 (2 шт. в блистере)</t>
  </si>
  <si>
    <t>1.035 dm³</t>
  </si>
  <si>
    <t>0.191 dm³</t>
  </si>
  <si>
    <t>0.505 dm³</t>
  </si>
  <si>
    <t>Endline Drip Head 2 l</t>
  </si>
  <si>
    <t>Капельница концевая, уравнивающая давление (2л/час) (10 шт. в блистере)</t>
  </si>
  <si>
    <t>MDS Adjustable Endline Drip Head</t>
  </si>
  <si>
    <t>Капельница концевая регулируемая, уравнивающая давление (5 шт. в блистере)</t>
  </si>
  <si>
    <t>MDS Adjust.Endline Drip Head</t>
  </si>
  <si>
    <t>Капельница концевая, регулируемая (10 шт. в блистере)</t>
  </si>
  <si>
    <t>0.625 dm³</t>
  </si>
  <si>
    <t>Капельница концевая 2 л/час (25 шт. в блистере)</t>
  </si>
  <si>
    <t>Endline Drip Head 4 l</t>
  </si>
  <si>
    <t>Капельница концевая 4 л/час (25 шт. в блистере)</t>
  </si>
  <si>
    <t>0.642 dm³</t>
  </si>
  <si>
    <t>Капельница внутренняя, уравнивающая давление (2л/час) (10 шт. в блистере)</t>
  </si>
  <si>
    <t>MDS Adjustable Inline Drip Head</t>
  </si>
  <si>
    <t>Капельница внутренняя регулируемая, уравнивающая давление (5 шт. в блистере)</t>
  </si>
  <si>
    <t>0.975 dm³</t>
  </si>
  <si>
    <t>Adj. Inline Drip Head</t>
  </si>
  <si>
    <t>Капельница внутренняя регулируемая (10 шт. в блистере)</t>
  </si>
  <si>
    <t>Inline Drip Head 2 l</t>
  </si>
  <si>
    <t>Капельница внутренняя (2л/час) (10 шт. в блистере)</t>
  </si>
  <si>
    <t>Inline Drip Head 4 l</t>
  </si>
  <si>
    <t>Капельница внутренняя (4л/час) (10 шт. в блистере)</t>
  </si>
  <si>
    <t>24.2 dm³</t>
  </si>
  <si>
    <t>Supply Pipe  4,6 mm(3/16"), 50 m</t>
  </si>
  <si>
    <t>Шланг подающий 4.6 мм (3/16”), 50 м</t>
  </si>
  <si>
    <t>Бельгия</t>
  </si>
  <si>
    <t>657 g</t>
  </si>
  <si>
    <t>572 g</t>
  </si>
  <si>
    <t>4.964 dm³</t>
  </si>
  <si>
    <t>Connecting Pipe 13 mm (1/2"), 15 m</t>
  </si>
  <si>
    <t>Шланг магистральный 13 мм (1/2”), 15 м</t>
  </si>
  <si>
    <t>991 g</t>
  </si>
  <si>
    <t>11.386 dm³</t>
  </si>
  <si>
    <t>Supply Pipe  4,6 mm, 15 m</t>
  </si>
  <si>
    <t>Шланг подающий 4.6 мм (3/16”), 15 м</t>
  </si>
  <si>
    <t>Pipe Clip 1/2"</t>
  </si>
  <si>
    <t>Крепление 13 мм (1/2") (2 шт. в блистере)</t>
  </si>
  <si>
    <t>MDS Pipe Peg 4,6 mm (3/16")</t>
  </si>
  <si>
    <t>Колышки для шлангов (10 шт. в блистере)</t>
  </si>
  <si>
    <t>0.624 dm³</t>
  </si>
  <si>
    <t>Pipe Peg 1/2"</t>
  </si>
  <si>
    <t>Направляющая 13 мм (1/2") (3 шт. в блистере)</t>
  </si>
  <si>
    <t>0.748 dm³</t>
  </si>
  <si>
    <t>Pipe Peg 3/16"</t>
  </si>
  <si>
    <t>Направляющая 4,6 мм (3/16") (3 шт. в блистере)</t>
  </si>
  <si>
    <t>0.863 dm³</t>
  </si>
  <si>
    <t>Small Aera Spray Nozzles</t>
  </si>
  <si>
    <t>Микродождеватель для малых площадей  (10 шт. в блистере)</t>
  </si>
  <si>
    <t>MDS Spray Nozzle  360°</t>
  </si>
  <si>
    <t>Микронасадка 360* (5 шт. в блистере)</t>
  </si>
  <si>
    <t>MDS Micro Rotor Sprinkler 360°</t>
  </si>
  <si>
    <t>Микродождеватель круговой (2 шт. в блистере)</t>
  </si>
  <si>
    <t>0.177 dm³</t>
  </si>
  <si>
    <t>MDS Micro Strip Sprinkler</t>
  </si>
  <si>
    <t>Микронасадка ленточная (5 шт. в блистере)</t>
  </si>
  <si>
    <t>MDS Micro Mist Nozzle</t>
  </si>
  <si>
    <t>Микронасадка распыляющая (5 шт. в блистере)</t>
  </si>
  <si>
    <t>MDS Endline Micro Strip Sprinkler</t>
  </si>
  <si>
    <t>Насадка концевая ленточная (5 шт. в блистере)</t>
  </si>
  <si>
    <t>MDS 6-Pat. Spray Nozzle</t>
  </si>
  <si>
    <t>Микродождеватель шестипозиционный (2 шт. в блистере)</t>
  </si>
  <si>
    <t>Inline-Bubbler</t>
  </si>
  <si>
    <t>Микродождеватель для малых площадей 4,6 мм (3/16") (10 шт. в блистере)</t>
  </si>
  <si>
    <t>MDS Spray Nozzle  180°</t>
  </si>
  <si>
    <t>Микронасадка 180* (5 шт. в блистере)</t>
  </si>
  <si>
    <t>MDS Spray Nozzle  90°</t>
  </si>
  <si>
    <t>Микронасадка 90* (5 шт. в блистере)</t>
  </si>
  <si>
    <t>Дождеватель осциллирующий OS 90</t>
  </si>
  <si>
    <t>5.786 dm³</t>
  </si>
  <si>
    <t>Micro Mist Nozzle</t>
  </si>
  <si>
    <t>Комплект сменных насадок для шланга-распылителя: 3 микронасадки, 1 микронасадка с автостопом</t>
  </si>
  <si>
    <t>1.084 dm³</t>
  </si>
  <si>
    <t>Dripline 4,6mm, 3/16", 15 m</t>
  </si>
  <si>
    <t xml:space="preserve">Шланг сочащийся для наземной прокладки 4.6 мм (3/16”) </t>
  </si>
  <si>
    <t>2.784 dm³</t>
  </si>
  <si>
    <t>15000 mm</t>
  </si>
  <si>
    <t>Израиль</t>
  </si>
  <si>
    <t>2910 g</t>
  </si>
  <si>
    <t>2860 g</t>
  </si>
  <si>
    <t>34.788 dm³</t>
  </si>
  <si>
    <t>Subsurface Drip Line 50 m</t>
  </si>
  <si>
    <t>Шланг сочащийся для подземной прокладки 50 м (комплект для удлинения арт. 1389)</t>
  </si>
  <si>
    <t>2850 g</t>
  </si>
  <si>
    <t>Holiday Watering Set without Tank</t>
  </si>
  <si>
    <t>Комплект для полива в выходные дни</t>
  </si>
  <si>
    <t>2080 g</t>
  </si>
  <si>
    <t>6.41 dm³</t>
  </si>
  <si>
    <t>Holiday Watering Set incl. Tank</t>
  </si>
  <si>
    <t>Комплект для полива в выходные дни с емкостью 9 л</t>
  </si>
  <si>
    <t>2768 g</t>
  </si>
  <si>
    <t>1810 g</t>
  </si>
  <si>
    <t>2640 g</t>
  </si>
  <si>
    <t>1710 g</t>
  </si>
  <si>
    <t>16.238 dm³</t>
  </si>
  <si>
    <t>Flower Box Watering Kit</t>
  </si>
  <si>
    <t>Система микрокапельного полива горшечных растений</t>
  </si>
  <si>
    <t>2240 g</t>
  </si>
  <si>
    <t>625 g</t>
  </si>
  <si>
    <t>5.283 dm³</t>
  </si>
  <si>
    <t>MDS Start Set Flower Pots S</t>
  </si>
  <si>
    <t>Комплект для террас базовый (дисплей)</t>
  </si>
  <si>
    <t>2.244 dm³</t>
  </si>
  <si>
    <t>2.007 dm³</t>
  </si>
  <si>
    <t>Start Set Flower Pots S</t>
  </si>
  <si>
    <t>555 mm</t>
  </si>
  <si>
    <t>4.884 dm³</t>
  </si>
  <si>
    <t>MDS Start Set Flower Pots M</t>
  </si>
  <si>
    <t>Комплект микрокапельного полива базовый</t>
  </si>
  <si>
    <t>1560 g</t>
  </si>
  <si>
    <t>21.054 dm³</t>
  </si>
  <si>
    <t>MDS Start Set Flower Pots M autom.</t>
  </si>
  <si>
    <t>Комплект микрокапельного полива базовый с таймером</t>
  </si>
  <si>
    <t>2497 g</t>
  </si>
  <si>
    <t>2290 g</t>
  </si>
  <si>
    <t>1811 g</t>
  </si>
  <si>
    <t>1930 g</t>
  </si>
  <si>
    <t>2.565 dm³</t>
  </si>
  <si>
    <t>222 g</t>
  </si>
  <si>
    <t>2.15 dm³</t>
  </si>
  <si>
    <t>MDS Start Set Plant Rows S</t>
  </si>
  <si>
    <t>Комплект базовый для наземной прокладки 4.6 мм (3/16”) х 15 м c фитингами и мастер-блоком</t>
  </si>
  <si>
    <t>498 g</t>
  </si>
  <si>
    <t>337 g</t>
  </si>
  <si>
    <t>3.455 dm³</t>
  </si>
  <si>
    <t>152 pcs</t>
  </si>
  <si>
    <t>2196 g</t>
  </si>
  <si>
    <t>1606 g</t>
  </si>
  <si>
    <t>27.5 dm³</t>
  </si>
  <si>
    <t>3028 g</t>
  </si>
  <si>
    <t>2705 g</t>
  </si>
  <si>
    <t>2308 g</t>
  </si>
  <si>
    <t>27.225 dm³</t>
  </si>
  <si>
    <t>MDS Start Set Plant Rows L</t>
  </si>
  <si>
    <t>Шланг сочащийся для наземной прокладки 13 мм (1/2”) х 50 м с фитингами и мастер-блоком</t>
  </si>
  <si>
    <t>33.64 dm³</t>
  </si>
  <si>
    <t>MDS Start Set Beds.</t>
  </si>
  <si>
    <t>Шланг сочащийся 13 мм (1/2”) 40 м с фитингами</t>
  </si>
  <si>
    <t>2270 g</t>
  </si>
  <si>
    <t>2040 g</t>
  </si>
  <si>
    <t>1669 g</t>
  </si>
  <si>
    <t>27.775 dm³</t>
  </si>
  <si>
    <t>1489 g</t>
  </si>
  <si>
    <t>23.04 dm³</t>
  </si>
  <si>
    <t>95 pcs</t>
  </si>
  <si>
    <t>Cooling Mist Set</t>
  </si>
  <si>
    <t>Шланг-распылитель, 10 м (диаметр 3.5 мм) с комплектом для подключения (6 микронасадок, 1 микронасадка с автостопом, 13 зажимов, 1 коннектор)</t>
  </si>
  <si>
    <t>947 g</t>
  </si>
  <si>
    <t>4.543 dm³</t>
  </si>
  <si>
    <t>2325 g</t>
  </si>
  <si>
    <t>2025 g</t>
  </si>
  <si>
    <t>14.963 dm³</t>
  </si>
  <si>
    <t>Basic Set Vertical</t>
  </si>
  <si>
    <t>Базовый модуль для вертикального садоводства горизонтальный (3 емкости, 3 крышки, 1 поддон, 12 клипс)</t>
  </si>
  <si>
    <t>3702 g</t>
  </si>
  <si>
    <t>3169 g</t>
  </si>
  <si>
    <t>663 mm</t>
  </si>
  <si>
    <t>43.305 dm³</t>
  </si>
  <si>
    <t>15 pcs</t>
  </si>
  <si>
    <t>Basic Set Corner</t>
  </si>
  <si>
    <t>Базовый модуль  для вертикального садоводства угловой (3 емкости, 3 крышки, 1 поддон, 6 клипс)</t>
  </si>
  <si>
    <t>8.041 dm³</t>
  </si>
  <si>
    <t>Irrigation set vertical tap</t>
  </si>
  <si>
    <t>Комплект микрокапельного полива для вертикального садоводства для 9 горизонтальных емкостей (шланг сочащийся (3/16″), адаптер для микрокапельной системы, штуцер)</t>
  </si>
  <si>
    <t>276 g</t>
  </si>
  <si>
    <t>Irrigation set corner tap</t>
  </si>
  <si>
    <t>Комплект микрокапельного полива для вертикального садоводства для 12 угловых емкостей (шланг сочащийся (3/16″), адаптер для микрокапельной системы, штуцер)</t>
  </si>
  <si>
    <t>228 mm</t>
  </si>
  <si>
    <t>2.624 dm³</t>
  </si>
  <si>
    <t>162 pcs</t>
  </si>
  <si>
    <t>Wall support vertical</t>
  </si>
  <si>
    <t xml:space="preserve">Кронштейн и держатели для горизонтального модуля для вертикального садоводства </t>
  </si>
  <si>
    <t>2.967 dm³</t>
  </si>
  <si>
    <t>Wall support corner</t>
  </si>
  <si>
    <t xml:space="preserve">Кронштейн и держатели для углового модуля для вертикального садоводства </t>
  </si>
  <si>
    <t>Connection clips</t>
  </si>
  <si>
    <t>Держатели для горизонтальных и угловых модулей для вертикального садоводства (8 шт.)</t>
  </si>
  <si>
    <t>0.587 dm³</t>
  </si>
  <si>
    <t>Fixation</t>
  </si>
  <si>
    <t>Фиксаторы для горизонтальных и угловых модулей вертикального сада (4 шт.)</t>
  </si>
  <si>
    <t>6380 g</t>
  </si>
  <si>
    <t>374 mm</t>
  </si>
  <si>
    <t>63.421 dm³</t>
  </si>
  <si>
    <t>SB Washer Set</t>
  </si>
  <si>
    <t>Комплект прокладок для арт. 901/2901</t>
  </si>
  <si>
    <t>Комплект прокладок для арт. 902/2902</t>
  </si>
  <si>
    <t>0.114 dm³</t>
  </si>
  <si>
    <t>Spray Nozzle 5 - 360°</t>
  </si>
  <si>
    <t>Форсунка 5-360 (2 шт. в комплекте)</t>
  </si>
  <si>
    <t>1920 pcs</t>
  </si>
  <si>
    <t>Water Plug with Stop Valve</t>
  </si>
  <si>
    <t>Коннектор водозаборной колонки</t>
  </si>
  <si>
    <t>Oscillating Pop-Up Sprinkler OS 140</t>
  </si>
  <si>
    <t>2.300 dm³</t>
  </si>
  <si>
    <t>MDS Oscillating Sprinkler OS 90</t>
  </si>
  <si>
    <t xml:space="preserve">aquaBloom Set </t>
  </si>
  <si>
    <t>Таймер подачи воды на солнечной батарее с интегрированным насосом aquaBloom</t>
  </si>
  <si>
    <t>896 g</t>
  </si>
  <si>
    <t>1208 g</t>
  </si>
  <si>
    <t>8.192 dm³</t>
  </si>
  <si>
    <t>aquaBloom promotion nonverbal</t>
  </si>
  <si>
    <t>Таймер подачи воды на солнечной батарее с интегрированным насосом aquaBloom (Дисплей)</t>
  </si>
  <si>
    <t>Pipe Clip 3/16"</t>
  </si>
  <si>
    <t>Крепление 4,6 мм (1/2") (5 шт. в блистере)</t>
  </si>
  <si>
    <t>MDS Inline Drip Head 2 l/H</t>
  </si>
  <si>
    <t xml:space="preserve">Комплект капельниц 10 шт в блистере </t>
  </si>
  <si>
    <t>C:\Users\e.slivka\Desktop\Micro Solution\BUSINESS PLANNING_DATA FOR UPLOADING\PRODUCT CALENDARS\Product Calendar 2015\ProdCal 2015 GARDENA_for uploading.xlsx</t>
  </si>
  <si>
    <t>C:\Users\e.slivka\Desktop\Micro Solution\BUSINESS PLANNING_DATA FOR UPLOADING\PRODUCT CALENDARS\Product Calendar 2016\ProdCal 2016 GARDENA_for uploading.xlsx</t>
  </si>
  <si>
    <t>C:\Users\e.slivka\Desktop\Micro Solution\BUSINESS PLANNING_DATA FOR UPLOADING\PRODUCT CALENDARS\Product Calendar 2017\ProdCal 2017 GARDENA_for uploading.xlsx</t>
  </si>
  <si>
    <t>C:\Users\e.slivka\Desktop\Micro Solution\BUSINESS PLANNING_DATA FOR UPLOADING\PRODUCT CALENDARS\Product Calendar 2018\ProdCal 2018 GARDENA_for uploading.xlsx</t>
  </si>
  <si>
    <t>C:\Users\e.slivka\Desktop\Micro Solution\BUSINESS PLANNING_DATA FOR UPLOADING\PRODUCT CALENDARS\Product Calendar 2019\ProdCal 2019 GARDENA_for uploading.xlsx</t>
  </si>
  <si>
    <t>ProdCal 2020 GARDENA 18.03.2020.xlsx</t>
  </si>
  <si>
    <t>C:\Users\e.slivka\Desktop\Micro Solution\BUSINESS PLANNING_DATA FOR UPLOADING\PRODUCT CALENDARS\Product Calendar 2020\ProdCal 2020 GARDENA 18.03.2020.xlsx</t>
  </si>
  <si>
    <t>C:\Users\e.slivka\Desktop\Micro Solution\BUSINESS PLANNING_DATA FOR UPLOADING\PRODUCT CALENDARS\Product Calendar 2021\ProdCal 2021 GARDENA 04.06.2020.xlsx</t>
  </si>
  <si>
    <t>C:\Users\e.slivka\Desktop\Micro Solution\BUSINESS PLANNING_DATA FOR UPLOADING\PRODUCT CALENDARS\Product Calendar 2020\ProdCal 2020 GARDENA 10.02.2020.xlsx</t>
  </si>
  <si>
    <t>Выведено из глобального ассортимента</t>
  </si>
  <si>
    <t>Не активный</t>
  </si>
  <si>
    <t>не нужен</t>
  </si>
  <si>
    <t>действует</t>
  </si>
  <si>
    <t>нужен, в процессе получения</t>
  </si>
  <si>
    <t>да</t>
  </si>
  <si>
    <t>нет</t>
  </si>
  <si>
    <t>Актуальный статус</t>
  </si>
  <si>
    <t>RRP, Eur</t>
  </si>
  <si>
    <t>IRP index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</si>
</sst>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* #,##0.00\ _₽_-;\-* #,##0.00\ _₽_-;_-* &quot;-&quot;??\ _₽_-;_-@_-"/>
    <numFmt numFmtId="165" formatCode="_-* #,##0\ _₽_-;\-* #,##0\ _₽_-;_-* &quot;-&quot;??\ _₽_-;_-@_-"/>
  </numFmts>
  <fonts count="19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b/>
      <sz val="9"/>
      <color theme="1"/>
      <name val="Calibri"/>
      <family val="2"/>
      <charset val="204"/>
      <scheme val="minor"/>
    </font>
    <font>
      <sz val="12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charset val="204"/>
      <scheme val="minor"/>
    </font>
    <font>
      <b/>
      <sz val="12"/>
      <name val="Calibri"/>
      <family val="2"/>
      <scheme val="minor"/>
    </font>
    <font>
      <b/>
      <sz val="12"/>
      <color rgb="FF0070C0"/>
      <name val="Calibri"/>
      <family val="2"/>
      <charset val="204"/>
      <scheme val="minor"/>
    </font>
    <font>
      <sz val="12"/>
      <name val="Calibri"/>
      <family val="2"/>
      <charset val="204"/>
      <scheme val="minor"/>
    </font>
    <font>
      <b/>
      <sz val="12"/>
      <color rgb="FFFF0000"/>
      <name val="Calibri"/>
      <family val="2"/>
      <charset val="204"/>
      <scheme val="minor"/>
    </font>
    <font>
      <b/>
      <sz val="12"/>
      <color rgb="FF7030A0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charset val="204"/>
      <scheme val="minor"/>
    </font>
    <font>
      <sz val="11"/>
      <name val="Calibri"/>
      <family val="2"/>
      <charset val="204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0" fontId="8" fillId="0" borderId="0"/>
    <xf numFmtId="164" fontId="8" fillId="0" borderId="0" applyFont="0" applyFill="0" applyBorder="0" applyAlignment="0" applyProtection="0"/>
    <xf numFmtId="0" fontId="15" fillId="6" borderId="4" applyNumberFormat="0" applyAlignment="0" applyProtection="0"/>
  </cellStyleXfs>
  <cellXfs count="118">
    <xf numFmtId="0" fontId="0" fillId="0" borderId="0" xfId="0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49" fontId="0" fillId="0" borderId="0" xfId="0" applyNumberFormat="1"/>
    <xf numFmtId="2" fontId="0" fillId="0" borderId="0" xfId="0" applyNumberFormat="1"/>
    <xf numFmtId="2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2" fontId="0" fillId="0" borderId="0" xfId="0" applyNumberFormat="1" applyAlignment="1">
      <alignment horizontal="center" vertical="center" wrapText="1"/>
    </xf>
    <xf numFmtId="14" fontId="0" fillId="0" borderId="0" xfId="0" applyNumberFormat="1"/>
    <xf numFmtId="14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2" fontId="2" fillId="2" borderId="2" xfId="0" applyNumberFormat="1" applyFont="1" applyFill="1" applyBorder="1" applyAlignment="1">
      <alignment horizontal="center" vertical="center" wrapText="1"/>
    </xf>
    <xf numFmtId="14" fontId="2" fillId="2" borderId="3" xfId="0" applyNumberFormat="1" applyFont="1" applyFill="1" applyBorder="1" applyAlignment="1">
      <alignment horizontal="center" vertical="center" wrapText="1"/>
    </xf>
    <xf numFmtId="9" fontId="0" fillId="0" borderId="0" xfId="1" applyFont="1" applyAlignment="1">
      <alignment horizontal="center" vertical="center"/>
    </xf>
    <xf numFmtId="9" fontId="0" fillId="0" borderId="0" xfId="1" applyFont="1" applyAlignment="1">
      <alignment horizontal="center" vertical="center" wrapText="1"/>
    </xf>
    <xf numFmtId="2" fontId="2" fillId="2" borderId="1" xfId="0" applyNumberFormat="1" applyFont="1" applyFill="1" applyBorder="1" applyAlignment="1">
      <alignment horizontal="center" vertical="center"/>
    </xf>
    <xf numFmtId="14" fontId="2" fillId="2" borderId="2" xfId="0" applyNumberFormat="1" applyFont="1" applyFill="1" applyBorder="1" applyAlignment="1">
      <alignment horizontal="center" vertical="center"/>
    </xf>
    <xf numFmtId="2" fontId="2" fillId="2" borderId="3" xfId="1" applyNumberFormat="1" applyFont="1" applyFill="1" applyBorder="1" applyAlignment="1">
      <alignment horizontal="center" vertical="center" wrapText="1"/>
    </xf>
    <xf numFmtId="0" fontId="0" fillId="0" borderId="0" xfId="0" applyFill="1" applyBorder="1"/>
    <xf numFmtId="49" fontId="0" fillId="0" borderId="0" xfId="0" applyNumberFormat="1" applyFill="1" applyBorder="1" applyAlignment="1">
      <alignment horizontal="center" vertical="center" wrapText="1"/>
    </xf>
    <xf numFmtId="49" fontId="0" fillId="0" borderId="0" xfId="0" applyNumberFormat="1" applyFill="1" applyBorder="1" applyAlignment="1">
      <alignment horizontal="center"/>
    </xf>
    <xf numFmtId="1" fontId="0" fillId="0" borderId="0" xfId="0" applyNumberFormat="1"/>
    <xf numFmtId="9" fontId="0" fillId="0" borderId="0" xfId="0" applyNumberFormat="1"/>
    <xf numFmtId="49" fontId="0" fillId="0" borderId="0" xfId="0" quotePrefix="1" applyNumberFormat="1"/>
    <xf numFmtId="0" fontId="0" fillId="0" borderId="0" xfId="0" applyFill="1" applyBorder="1" applyAlignment="1">
      <alignment horizontal="center" vertical="center"/>
    </xf>
    <xf numFmtId="49" fontId="0" fillId="0" borderId="0" xfId="0" applyNumberFormat="1" applyFill="1" applyBorder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49" fontId="4" fillId="0" borderId="0" xfId="0" applyNumberFormat="1" applyFont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1" fontId="4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left" vertical="center"/>
    </xf>
    <xf numFmtId="49" fontId="4" fillId="0" borderId="0" xfId="0" applyNumberFormat="1" applyFont="1" applyFill="1" applyAlignment="1">
      <alignment horizontal="left" vertical="center" wrapText="1"/>
    </xf>
    <xf numFmtId="0" fontId="4" fillId="0" borderId="0" xfId="0" applyFont="1" applyFill="1" applyAlignment="1">
      <alignment horizontal="center" vertical="center" wrapText="1"/>
    </xf>
    <xf numFmtId="0" fontId="4" fillId="0" borderId="0" xfId="0" applyFont="1" applyAlignment="1">
      <alignment horizontal="left" vertical="center"/>
    </xf>
    <xf numFmtId="0" fontId="5" fillId="3" borderId="0" xfId="0" applyFont="1" applyFill="1" applyAlignment="1">
      <alignment horizontal="center" vertical="center" wrapText="1"/>
    </xf>
    <xf numFmtId="9" fontId="4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3" fontId="4" fillId="0" borderId="0" xfId="0" applyNumberFormat="1" applyFont="1" applyAlignment="1">
      <alignment horizontal="center" vertical="center"/>
    </xf>
    <xf numFmtId="2" fontId="4" fillId="0" borderId="0" xfId="0" applyNumberFormat="1" applyFont="1" applyAlignment="1">
      <alignment horizontal="center" vertical="center"/>
    </xf>
    <xf numFmtId="4" fontId="4" fillId="0" borderId="0" xfId="0" applyNumberFormat="1" applyFont="1" applyAlignment="1">
      <alignment horizontal="center" vertical="center"/>
    </xf>
    <xf numFmtId="14" fontId="4" fillId="0" borderId="0" xfId="0" applyNumberFormat="1" applyFont="1" applyAlignment="1">
      <alignment horizontal="center" vertical="center"/>
    </xf>
    <xf numFmtId="14" fontId="5" fillId="3" borderId="0" xfId="0" applyNumberFormat="1" applyFont="1" applyFill="1" applyAlignment="1">
      <alignment horizontal="center" vertical="center" wrapText="1"/>
    </xf>
    <xf numFmtId="0" fontId="4" fillId="0" borderId="0" xfId="0" applyFont="1" applyAlignment="1">
      <alignment horizontal="right" vertical="center"/>
    </xf>
    <xf numFmtId="49" fontId="0" fillId="0" borderId="0" xfId="0" applyNumberFormat="1" applyFill="1" applyBorder="1" applyAlignment="1">
      <alignment horizontal="left"/>
    </xf>
    <xf numFmtId="0" fontId="0" fillId="0" borderId="0" xfId="0" applyNumberFormat="1" applyFill="1" applyBorder="1" applyAlignment="1">
      <alignment horizontal="center"/>
    </xf>
    <xf numFmtId="14" fontId="6" fillId="4" borderId="0" xfId="0" applyNumberFormat="1" applyFont="1" applyFill="1" applyAlignment="1">
      <alignment horizontal="center" vertical="center"/>
    </xf>
    <xf numFmtId="0" fontId="7" fillId="0" borderId="0" xfId="2" applyFont="1" applyAlignment="1">
      <alignment vertical="center" wrapText="1"/>
    </xf>
    <xf numFmtId="0" fontId="7" fillId="0" borderId="0" xfId="2" applyFont="1" applyAlignment="1">
      <alignment vertical="center"/>
    </xf>
    <xf numFmtId="0" fontId="7" fillId="0" borderId="0" xfId="2" applyFont="1" applyAlignment="1">
      <alignment horizontal="center" vertical="center"/>
    </xf>
    <xf numFmtId="0" fontId="7" fillId="0" borderId="0" xfId="2" applyFont="1" applyAlignment="1">
      <alignment horizontal="left" vertical="center" wrapText="1"/>
    </xf>
    <xf numFmtId="165" fontId="7" fillId="0" borderId="0" xfId="3" applyNumberFormat="1" applyFont="1" applyAlignment="1">
      <alignment vertical="center"/>
    </xf>
    <xf numFmtId="165" fontId="7" fillId="0" borderId="0" xfId="3" applyNumberFormat="1" applyFont="1" applyAlignment="1">
      <alignment horizontal="center" vertical="center"/>
    </xf>
    <xf numFmtId="0" fontId="7" fillId="0" borderId="0" xfId="2" applyFont="1" applyAlignment="1">
      <alignment horizontal="left" vertical="center"/>
    </xf>
    <xf numFmtId="14" fontId="10" fillId="0" borderId="0" xfId="2" applyNumberFormat="1" applyFont="1" applyAlignment="1">
      <alignment horizontal="center" vertical="center"/>
    </xf>
    <xf numFmtId="14" fontId="10" fillId="0" borderId="0" xfId="2" applyNumberFormat="1" applyFont="1" applyAlignment="1">
      <alignment horizontal="left" vertical="center"/>
    </xf>
    <xf numFmtId="14" fontId="10" fillId="0" borderId="0" xfId="2" applyNumberFormat="1" applyFont="1" applyAlignment="1">
      <alignment horizontal="left" vertical="center" wrapText="1"/>
    </xf>
    <xf numFmtId="14" fontId="11" fillId="0" borderId="0" xfId="2" applyNumberFormat="1" applyFont="1" applyAlignment="1">
      <alignment horizontal="center" vertical="center"/>
    </xf>
    <xf numFmtId="0" fontId="9" fillId="0" borderId="0" xfId="2" applyFont="1" applyAlignment="1">
      <alignment horizontal="left" vertical="center"/>
    </xf>
    <xf numFmtId="0" fontId="8" fillId="0" borderId="0" xfId="2" applyAlignment="1">
      <alignment horizontal="center" vertical="center"/>
    </xf>
    <xf numFmtId="0" fontId="10" fillId="5" borderId="0" xfId="2" applyFont="1" applyFill="1" applyAlignment="1">
      <alignment horizontal="center" vertical="center" wrapText="1"/>
    </xf>
    <xf numFmtId="165" fontId="10" fillId="5" borderId="0" xfId="3" applyNumberFormat="1" applyFont="1" applyFill="1" applyBorder="1" applyAlignment="1">
      <alignment horizontal="center" vertical="center" wrapText="1"/>
    </xf>
    <xf numFmtId="0" fontId="10" fillId="5" borderId="0" xfId="2" applyFont="1" applyFill="1" applyAlignment="1">
      <alignment horizontal="left" vertical="center" wrapText="1"/>
    </xf>
    <xf numFmtId="0" fontId="7" fillId="0" borderId="0" xfId="2" applyFont="1" applyFill="1" applyAlignment="1">
      <alignment vertical="center"/>
    </xf>
    <xf numFmtId="0" fontId="1" fillId="7" borderId="5" xfId="2" applyFont="1" applyFill="1" applyBorder="1" applyAlignment="1">
      <alignment horizontal="center" vertical="top" wrapText="1"/>
    </xf>
    <xf numFmtId="0" fontId="15" fillId="6" borderId="4" xfId="4" applyAlignment="1">
      <alignment horizontal="center" vertical="top" wrapText="1"/>
    </xf>
    <xf numFmtId="0" fontId="1" fillId="7" borderId="0" xfId="2" applyFont="1" applyFill="1" applyAlignment="1">
      <alignment horizontal="center" vertical="top" wrapText="1"/>
    </xf>
    <xf numFmtId="0" fontId="1" fillId="7" borderId="0" xfId="2" applyFont="1" applyFill="1" applyAlignment="1">
      <alignment horizontal="left" vertical="top"/>
    </xf>
    <xf numFmtId="0" fontId="1" fillId="7" borderId="6" xfId="2" applyFont="1" applyFill="1" applyBorder="1" applyAlignment="1">
      <alignment horizontal="center" vertical="top" wrapText="1"/>
    </xf>
    <xf numFmtId="0" fontId="1" fillId="7" borderId="7" xfId="2" applyFont="1" applyFill="1" applyBorder="1" applyAlignment="1">
      <alignment horizontal="center" vertical="top" wrapText="1"/>
    </xf>
    <xf numFmtId="0" fontId="1" fillId="7" borderId="7" xfId="2" applyFont="1" applyFill="1" applyBorder="1" applyAlignment="1">
      <alignment vertical="top" wrapText="1"/>
    </xf>
    <xf numFmtId="0" fontId="1" fillId="7" borderId="0" xfId="2" applyFont="1" applyFill="1" applyAlignment="1">
      <alignment vertical="top" wrapText="1"/>
    </xf>
    <xf numFmtId="14" fontId="1" fillId="7" borderId="7" xfId="2" applyNumberFormat="1" applyFont="1" applyFill="1" applyBorder="1" applyAlignment="1">
      <alignment horizontal="center" vertical="top" wrapText="1"/>
    </xf>
    <xf numFmtId="9" fontId="1" fillId="7" borderId="8" xfId="2" applyNumberFormat="1" applyFont="1" applyFill="1" applyBorder="1" applyAlignment="1">
      <alignment vertical="top" wrapText="1"/>
    </xf>
    <xf numFmtId="9" fontId="1" fillId="7" borderId="9" xfId="2" applyNumberFormat="1" applyFont="1" applyFill="1" applyBorder="1" applyAlignment="1">
      <alignment vertical="top" wrapText="1"/>
    </xf>
    <xf numFmtId="0" fontId="1" fillId="7" borderId="9" xfId="2" applyFont="1" applyFill="1" applyBorder="1" applyAlignment="1">
      <alignment vertical="top" wrapText="1"/>
    </xf>
    <xf numFmtId="9" fontId="1" fillId="7" borderId="0" xfId="2" applyNumberFormat="1" applyFont="1" applyFill="1" applyAlignment="1">
      <alignment horizontal="center" vertical="top" wrapText="1"/>
    </xf>
    <xf numFmtId="0" fontId="1" fillId="7" borderId="0" xfId="2" applyFont="1" applyFill="1" applyAlignment="1">
      <alignment horizontal="center" vertical="top"/>
    </xf>
    <xf numFmtId="0" fontId="1" fillId="7" borderId="7" xfId="2" applyFont="1" applyFill="1" applyBorder="1" applyAlignment="1">
      <alignment horizontal="center" vertical="top"/>
    </xf>
    <xf numFmtId="0" fontId="1" fillId="7" borderId="6" xfId="2" applyFont="1" applyFill="1" applyBorder="1" applyAlignment="1">
      <alignment horizontal="center" vertical="top"/>
    </xf>
    <xf numFmtId="0" fontId="16" fillId="7" borderId="10" xfId="2" applyFont="1" applyFill="1" applyBorder="1" applyAlignment="1">
      <alignment horizontal="center" vertical="top" wrapText="1"/>
    </xf>
    <xf numFmtId="0" fontId="16" fillId="7" borderId="5" xfId="2" applyFont="1" applyFill="1" applyBorder="1" applyAlignment="1">
      <alignment horizontal="center" vertical="top" wrapText="1"/>
    </xf>
    <xf numFmtId="0" fontId="16" fillId="7" borderId="0" xfId="2" applyFont="1" applyFill="1" applyAlignment="1">
      <alignment horizontal="center" vertical="top" wrapText="1"/>
    </xf>
    <xf numFmtId="0" fontId="16" fillId="0" borderId="0" xfId="2" applyFont="1" applyAlignment="1">
      <alignment horizontal="center" vertical="top" wrapText="1"/>
    </xf>
    <xf numFmtId="0" fontId="16" fillId="7" borderId="11" xfId="2" applyFont="1" applyFill="1" applyBorder="1" applyAlignment="1">
      <alignment horizontal="center" vertical="top" wrapText="1"/>
    </xf>
    <xf numFmtId="0" fontId="16" fillId="8" borderId="5" xfId="2" applyFont="1" applyFill="1" applyBorder="1" applyAlignment="1">
      <alignment horizontal="center" vertical="top" wrapText="1"/>
    </xf>
    <xf numFmtId="0" fontId="16" fillId="7" borderId="0" xfId="2" applyFont="1" applyFill="1" applyAlignment="1">
      <alignment horizontal="center" vertical="top"/>
    </xf>
    <xf numFmtId="0" fontId="16" fillId="7" borderId="7" xfId="2" applyFont="1" applyFill="1" applyBorder="1" applyAlignment="1">
      <alignment horizontal="center" vertical="top"/>
    </xf>
    <xf numFmtId="0" fontId="16" fillId="7" borderId="6" xfId="2" applyFont="1" applyFill="1" applyBorder="1" applyAlignment="1">
      <alignment horizontal="center" vertical="top"/>
    </xf>
    <xf numFmtId="0" fontId="1" fillId="7" borderId="0" xfId="2" applyFont="1" applyFill="1" applyBorder="1" applyAlignment="1">
      <alignment horizontal="center" vertical="top" wrapText="1"/>
    </xf>
    <xf numFmtId="0" fontId="1" fillId="7" borderId="5" xfId="2" applyFont="1" applyFill="1" applyBorder="1" applyAlignment="1">
      <alignment horizontal="center" vertical="center" wrapText="1"/>
    </xf>
    <xf numFmtId="0" fontId="15" fillId="6" borderId="4" xfId="4" applyAlignment="1">
      <alignment horizontal="center" vertical="center" wrapText="1"/>
    </xf>
    <xf numFmtId="0" fontId="1" fillId="7" borderId="0" xfId="2" applyFont="1" applyFill="1" applyAlignment="1">
      <alignment horizontal="center" vertical="center" wrapText="1"/>
    </xf>
    <xf numFmtId="0" fontId="16" fillId="7" borderId="7" xfId="2" quotePrefix="1" applyFont="1" applyFill="1" applyBorder="1" applyAlignment="1">
      <alignment horizontal="center" vertical="top"/>
    </xf>
    <xf numFmtId="0" fontId="0" fillId="7" borderId="0" xfId="2" applyFont="1" applyFill="1" applyAlignment="1">
      <alignment horizontal="center" vertical="top" wrapText="1"/>
    </xf>
    <xf numFmtId="0" fontId="16" fillId="7" borderId="12" xfId="2" applyFont="1" applyFill="1" applyBorder="1" applyAlignment="1">
      <alignment horizontal="center" vertical="top" wrapText="1"/>
    </xf>
    <xf numFmtId="0" fontId="16" fillId="7" borderId="13" xfId="2" applyFont="1" applyFill="1" applyBorder="1" applyAlignment="1">
      <alignment horizontal="center" vertical="top" wrapText="1"/>
    </xf>
    <xf numFmtId="0" fontId="16" fillId="7" borderId="14" xfId="2" applyFont="1" applyFill="1" applyBorder="1" applyAlignment="1">
      <alignment horizontal="center" vertical="top" wrapText="1"/>
    </xf>
    <xf numFmtId="0" fontId="16" fillId="8" borderId="11" xfId="2" applyFont="1" applyFill="1" applyBorder="1" applyAlignment="1">
      <alignment horizontal="center" vertical="top" wrapText="1"/>
    </xf>
    <xf numFmtId="0" fontId="16" fillId="7" borderId="0" xfId="2" quotePrefix="1" applyFont="1" applyFill="1" applyAlignment="1">
      <alignment horizontal="center" vertical="top"/>
    </xf>
    <xf numFmtId="0" fontId="16" fillId="7" borderId="0" xfId="2" quotePrefix="1" applyFont="1" applyFill="1" applyBorder="1" applyAlignment="1">
      <alignment horizontal="center" vertical="top"/>
    </xf>
    <xf numFmtId="0" fontId="16" fillId="7" borderId="6" xfId="2" quotePrefix="1" applyFont="1" applyFill="1" applyBorder="1" applyAlignment="1">
      <alignment horizontal="center" vertical="top"/>
    </xf>
    <xf numFmtId="9" fontId="15" fillId="6" borderId="4" xfId="1" applyFont="1" applyFill="1" applyBorder="1" applyAlignment="1">
      <alignment horizontal="center" vertical="top" wrapText="1"/>
    </xf>
    <xf numFmtId="0" fontId="18" fillId="7" borderId="0" xfId="2" applyFont="1" applyFill="1" applyAlignment="1">
      <alignment horizontal="center" vertical="top"/>
    </xf>
    <xf numFmtId="0" fontId="4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left" vertical="center"/>
    </xf>
    <xf numFmtId="10" fontId="4" fillId="0" borderId="0" xfId="0" applyNumberFormat="1" applyFont="1" applyAlignment="1">
      <alignment horizontal="center" vertical="center"/>
    </xf>
    <xf numFmtId="10" fontId="4" fillId="0" borderId="0" xfId="0" applyNumberFormat="1" applyFont="1" applyAlignment="1">
      <alignment horizontal="center" vertical="center" wrapText="1"/>
    </xf>
    <xf numFmtId="0" fontId="7" fillId="0" borderId="0" xfId="2" applyFont="1" applyAlignment="1">
      <alignment horizontal="center" vertical="center"/>
    </xf>
    <xf numFmtId="0" fontId="9" fillId="0" borderId="0" xfId="2" applyFont="1" applyAlignment="1">
      <alignment horizontal="left" vertical="center"/>
    </xf>
    <xf numFmtId="0" fontId="12" fillId="0" borderId="0" xfId="2" applyFont="1" applyAlignment="1">
      <alignment horizontal="left" vertical="center" wrapText="1"/>
    </xf>
    <xf numFmtId="1" fontId="2" fillId="2" borderId="2" xfId="0" applyNumberFormat="1" applyFont="1" applyFill="1" applyBorder="1" applyAlignment="1">
      <alignment horizontal="center" vertical="center" wrapText="1"/>
    </xf>
  </cellXfs>
  <cellStyles count="5">
    <cellStyle name="Вывод" xfId="4" builtinId="21"/>
    <cellStyle name="Обычный" xfId="0" builtinId="0"/>
    <cellStyle name="Обычный 2" xfId="2" xr:uid="{58445EC4-1144-43F9-9A22-802BCAC03EE0}"/>
    <cellStyle name="Процентный" xfId="1" builtinId="5"/>
    <cellStyle name="Финансовый 2" xfId="3" xr:uid="{61CA8B72-821B-4755-A028-E05E6EACF08D}"/>
  </cellStyles>
  <dxfs count="503">
    <dxf>
      <numFmt numFmtId="1" formatCode="0"/>
    </dxf>
    <dxf>
      <numFmt numFmtId="19" formatCode="dd/mm/yyyy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numFmt numFmtId="19" formatCode="dd/mm/yyyy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font>
        <sz val="9"/>
      </font>
      <numFmt numFmtId="30" formatCode="@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lor rgb="FFC00000"/>
      </font>
    </dxf>
    <dxf>
      <font>
        <color rgb="FF7030A0"/>
      </font>
    </dxf>
    <dxf>
      <font>
        <color rgb="FF0070C0"/>
      </font>
    </dxf>
    <dxf>
      <numFmt numFmtId="30" formatCode="@"/>
    </dxf>
    <dxf>
      <numFmt numFmtId="1" formatCode="0"/>
      <alignment horizontal="center" vertical="center" textRotation="0" wrapText="0" indent="0" justifyLastLine="0" shrinkToFit="0" readingOrder="0"/>
    </dxf>
    <dxf>
      <numFmt numFmtId="30" formatCode="@"/>
      <alignment horizontal="left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border outline="0"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5" formatCode="_-* #,##0\ _₽_-;\-* #,##0\ _₽_-;_-* &quot;-&quot;??\ _₽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5" formatCode="_-* #,##0\ _₽_-;\-* #,##0\ _₽_-;_-* &quot;-&quot;??\ _₽_-;_-@_-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9" formatCode="dd/mm/yyyy"/>
    </dxf>
    <dxf>
      <numFmt numFmtId="30" formatCode="@"/>
    </dxf>
    <dxf>
      <numFmt numFmtId="30" formatCode="@"/>
    </dxf>
    <dxf>
      <numFmt numFmtId="1" formatCode="0"/>
    </dxf>
    <dxf>
      <numFmt numFmtId="1" formatCode="0"/>
    </dxf>
    <dxf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2" formatCode="0.00"/>
      <fill>
        <patternFill patternType="solid">
          <fgColor theme="4"/>
          <bgColor theme="4"/>
        </patternFill>
      </fill>
      <alignment horizontal="center" vertical="center" textRotation="0" wrapText="1" indent="0" justifyLastLine="0" shrinkToFit="0" readingOrder="0"/>
    </dxf>
    <dxf>
      <font>
        <color rgb="FFC00000"/>
      </font>
    </dxf>
    <dxf>
      <font>
        <color rgb="FF7030A0"/>
      </font>
    </dxf>
    <dxf>
      <font>
        <color rgb="FF0070C0"/>
      </font>
    </dxf>
    <dxf>
      <numFmt numFmtId="13" formatCode="0%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9" formatCode="dd/mm/yyyy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" formatCode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left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3" formatCode="0%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2" formatCode="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4" formatCode="#,##0.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color theme="0" tint="-0.499984740745262"/>
      </font>
      <fill>
        <patternFill patternType="none">
          <bgColor auto="1"/>
        </patternFill>
      </fill>
    </dxf>
    <dxf>
      <font>
        <color rgb="FFC00000"/>
      </font>
    </dxf>
    <dxf>
      <font>
        <color rgb="FF0070C0"/>
      </font>
    </dxf>
    <dxf>
      <font>
        <color rgb="FF7030A0"/>
      </font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59996337778862885"/>
        </patternFill>
      </fill>
    </dxf>
    <dxf>
      <font>
        <color theme="0" tint="-0.499984740745262"/>
      </font>
    </dxf>
    <dxf>
      <font>
        <color rgb="FFC00000"/>
      </font>
    </dxf>
    <dxf>
      <font>
        <color rgb="FF7030A0"/>
      </font>
    </dxf>
    <dxf>
      <font>
        <color rgb="FF0070C0"/>
      </font>
    </dxf>
    <dxf>
      <fill>
        <patternFill>
          <bgColor rgb="FFFFCCFF"/>
        </patternFill>
      </fill>
    </dxf>
  </dxfs>
  <tableStyles count="0" defaultTableStyle="TableStyleMedium2" defaultPivotStyle="PivotStyleLight16"/>
  <colors>
    <mruColors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1</xdr:row>
          <xdr:rowOff>161925</xdr:rowOff>
        </xdr:from>
        <xdr:to>
          <xdr:col>2</xdr:col>
          <xdr:colOff>1257300</xdr:colOff>
          <xdr:row>1</xdr:row>
          <xdr:rowOff>742950</xdr:rowOff>
        </xdr:to>
        <xdr:sp macro="" textlink="">
          <xdr:nvSpPr>
            <xdr:cNvPr id="2049" name="Object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ardena/Marketing/Market%20research/assessment/Russia%20Market%20Assessment%20Collection%20Sheet%20v%2004%20AR%20(003)%202017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"/>
      <sheetName val="Charts Market+HQV Group"/>
      <sheetName val="Overview Market+HQV Group"/>
      <sheetName val="Input Market Data"/>
      <sheetName val="Calcs HQV Group Data"/>
      <sheetName val="Macroeconomic info"/>
      <sheetName val="Arrays"/>
    </sheetNames>
    <sheetDataSet>
      <sheetData sheetId="0"/>
      <sheetData sheetId="1"/>
      <sheetData sheetId="2"/>
      <sheetData sheetId="3">
        <row r="1">
          <cell r="G1">
            <v>0</v>
          </cell>
          <cell r="H1">
            <v>0</v>
          </cell>
        </row>
        <row r="2">
          <cell r="G2">
            <v>0</v>
          </cell>
          <cell r="H2">
            <v>0</v>
          </cell>
        </row>
        <row r="3">
          <cell r="G3">
            <v>0</v>
          </cell>
          <cell r="H3">
            <v>0</v>
          </cell>
        </row>
        <row r="4">
          <cell r="G4" t="str">
            <v>This is for the entire market for each Sub-category 3. The numbers should be manufacturer value, not retail value.</v>
          </cell>
          <cell r="H4">
            <v>0</v>
          </cell>
          <cell r="J4" t="str">
            <v>This is for the entire market for each Sub-category 3. The numbers should be manufacturer value, not retail value.</v>
          </cell>
          <cell r="M4" t="str">
            <v>1=weak season</v>
          </cell>
          <cell r="O4">
            <v>0</v>
          </cell>
          <cell r="P4">
            <v>0</v>
          </cell>
          <cell r="Q4">
            <v>0</v>
          </cell>
          <cell r="S4">
            <v>0</v>
          </cell>
          <cell r="T4">
            <v>0</v>
          </cell>
          <cell r="V4">
            <v>0</v>
          </cell>
          <cell r="W4">
            <v>0</v>
          </cell>
          <cell r="Y4">
            <v>0</v>
          </cell>
          <cell r="Z4">
            <v>0</v>
          </cell>
        </row>
        <row r="5">
          <cell r="G5">
            <v>0</v>
          </cell>
          <cell r="H5">
            <v>0</v>
          </cell>
          <cell r="J5">
            <v>0</v>
          </cell>
          <cell r="M5" t="str">
            <v>2=medium season</v>
          </cell>
          <cell r="O5" t="str">
            <v>This is for the entire market for each Sub-category 3. This data should be based on market volume.</v>
          </cell>
          <cell r="P5">
            <v>0</v>
          </cell>
          <cell r="Q5">
            <v>0</v>
          </cell>
          <cell r="S5">
            <v>0</v>
          </cell>
          <cell r="T5">
            <v>0</v>
          </cell>
          <cell r="V5">
            <v>0</v>
          </cell>
          <cell r="W5">
            <v>0</v>
          </cell>
          <cell r="Y5">
            <v>0</v>
          </cell>
          <cell r="Z5">
            <v>0</v>
          </cell>
          <cell r="AE5" t="str">
            <v>This is for the entire market for each Sub-category 3. This data should be based on market value.</v>
          </cell>
          <cell r="AF5">
            <v>0</v>
          </cell>
          <cell r="AG5">
            <v>0</v>
          </cell>
          <cell r="AH5">
            <v>0</v>
          </cell>
          <cell r="AI5">
            <v>0</v>
          </cell>
          <cell r="AJ5">
            <v>0</v>
          </cell>
          <cell r="AK5">
            <v>0</v>
          </cell>
        </row>
        <row r="6">
          <cell r="G6">
            <v>0</v>
          </cell>
          <cell r="H6">
            <v>0</v>
          </cell>
          <cell r="J6">
            <v>0</v>
          </cell>
          <cell r="M6" t="str">
            <v>3=strong season</v>
          </cell>
          <cell r="O6">
            <v>0</v>
          </cell>
          <cell r="P6">
            <v>0</v>
          </cell>
          <cell r="Q6">
            <v>0</v>
          </cell>
          <cell r="S6">
            <v>0</v>
          </cell>
          <cell r="T6">
            <v>0</v>
          </cell>
          <cell r="V6">
            <v>0</v>
          </cell>
          <cell r="W6">
            <v>0</v>
          </cell>
          <cell r="Y6">
            <v>0</v>
          </cell>
          <cell r="Z6">
            <v>0</v>
          </cell>
          <cell r="AE6">
            <v>0</v>
          </cell>
          <cell r="AF6">
            <v>0</v>
          </cell>
          <cell r="AG6">
            <v>0</v>
          </cell>
          <cell r="AH6">
            <v>0</v>
          </cell>
          <cell r="AI6">
            <v>0</v>
          </cell>
        </row>
        <row r="7">
          <cell r="G7" t="str">
            <v>Market value</v>
          </cell>
          <cell r="H7">
            <v>0</v>
          </cell>
          <cell r="J7" t="str">
            <v>Market Volume</v>
          </cell>
          <cell r="M7" t="str">
            <v>Season</v>
          </cell>
          <cell r="O7" t="str">
            <v>Channels Split (%)</v>
          </cell>
          <cell r="P7">
            <v>0</v>
          </cell>
          <cell r="Q7">
            <v>0</v>
          </cell>
          <cell r="S7" t="str">
            <v>Intended User Split</v>
          </cell>
          <cell r="T7">
            <v>0</v>
          </cell>
          <cell r="V7" t="str">
            <v>User Split</v>
          </cell>
          <cell r="W7">
            <v>0</v>
          </cell>
          <cell r="Y7" t="str">
            <v>Battery product voltage split</v>
          </cell>
          <cell r="Z7">
            <v>0</v>
          </cell>
          <cell r="AB7" t="str">
            <v>5 largest other players</v>
          </cell>
          <cell r="AC7">
            <v>0</v>
          </cell>
          <cell r="AD7">
            <v>0</v>
          </cell>
          <cell r="AE7">
            <v>0</v>
          </cell>
          <cell r="AF7">
            <v>0</v>
          </cell>
          <cell r="AG7">
            <v>0</v>
          </cell>
          <cell r="AH7">
            <v>0</v>
          </cell>
          <cell r="AI7">
            <v>0</v>
          </cell>
          <cell r="AJ7">
            <v>0</v>
          </cell>
          <cell r="AK7">
            <v>0</v>
          </cell>
          <cell r="AL7">
            <v>0</v>
          </cell>
        </row>
        <row r="8">
          <cell r="G8" t="str">
            <v>Market value in local currency</v>
          </cell>
          <cell r="H8" t="str">
            <v>Expected Market Value CAGR 2017-2021 (%)</v>
          </cell>
          <cell r="J8" t="str">
            <v>Market volume #</v>
          </cell>
          <cell r="M8" t="str">
            <v>Seasonality, (rank 1-3)</v>
          </cell>
          <cell r="O8" t="str">
            <v>% Dealer</v>
          </cell>
          <cell r="P8" t="str">
            <v>% Retailer</v>
          </cell>
          <cell r="Q8" t="str">
            <v>% Online (Pure players and direct sales)</v>
          </cell>
          <cell r="S8" t="str">
            <v>% Professional product</v>
          </cell>
          <cell r="T8" t="str">
            <v>% Mass consumer product</v>
          </cell>
          <cell r="V8" t="str">
            <v>% Professionals</v>
          </cell>
          <cell r="W8" t="str">
            <v>% Consumers</v>
          </cell>
          <cell r="Y8" t="str">
            <v>% of Market volume of battery products &lt;36V</v>
          </cell>
          <cell r="Z8" t="str">
            <v>% of Market volume of battery products ≥36V</v>
          </cell>
          <cell r="AB8" t="str">
            <v>Market share % player 1</v>
          </cell>
          <cell r="AC8" t="str">
            <v>Name player 1</v>
          </cell>
          <cell r="AD8" t="str">
            <v>Market share % player 2</v>
          </cell>
          <cell r="AE8" t="str">
            <v>Name player 2</v>
          </cell>
          <cell r="AF8" t="str">
            <v>Market share % player 3</v>
          </cell>
          <cell r="AG8" t="str">
            <v>Name player 3</v>
          </cell>
          <cell r="AH8" t="str">
            <v>Market share % player 4</v>
          </cell>
          <cell r="AI8" t="str">
            <v>Name player 4</v>
          </cell>
          <cell r="AJ8" t="str">
            <v>Market share % player 5</v>
          </cell>
          <cell r="AK8" t="str">
            <v>Name player 5</v>
          </cell>
          <cell r="AL8" t="str">
            <v>Market share % private label</v>
          </cell>
        </row>
        <row r="9">
          <cell r="G9">
            <v>261738006.35593224</v>
          </cell>
          <cell r="H9">
            <v>0.1</v>
          </cell>
          <cell r="J9">
            <v>20424</v>
          </cell>
          <cell r="M9">
            <v>3</v>
          </cell>
          <cell r="O9">
            <v>0.86241186839012929</v>
          </cell>
          <cell r="P9">
            <v>4.1764590677634154E-2</v>
          </cell>
          <cell r="Q9">
            <v>9.5823540932236509E-2</v>
          </cell>
          <cell r="S9">
            <v>0.2400117508813161</v>
          </cell>
          <cell r="T9">
            <v>0.7599882491186839</v>
          </cell>
          <cell r="V9">
            <v>0.39169604386995693</v>
          </cell>
          <cell r="W9">
            <v>0.60830395613004307</v>
          </cell>
          <cell r="Y9">
            <v>0</v>
          </cell>
          <cell r="Z9">
            <v>0</v>
          </cell>
          <cell r="AB9">
            <v>0.55934457974896756</v>
          </cell>
          <cell r="AC9" t="str">
            <v>Stihl</v>
          </cell>
          <cell r="AD9">
            <v>6.3819883155735876E-2</v>
          </cell>
          <cell r="AE9" t="str">
            <v>Echo</v>
          </cell>
          <cell r="AF9">
            <v>3.1048166380699342E-2</v>
          </cell>
          <cell r="AG9" t="str">
            <v>Oleo-Mac</v>
          </cell>
          <cell r="AH9">
            <v>1.2331583451458718E-2</v>
          </cell>
          <cell r="AI9" t="str">
            <v>MTD</v>
          </cell>
          <cell r="AJ9">
            <v>7.581572202096677E-3</v>
          </cell>
          <cell r="AK9" t="str">
            <v>RYOBI</v>
          </cell>
          <cell r="AL9">
            <v>6.5858296057930255E-2</v>
          </cell>
        </row>
        <row r="10">
          <cell r="G10">
            <v>5194913773.7288141</v>
          </cell>
          <cell r="H10">
            <v>2.8000000000000001E-2</v>
          </cell>
          <cell r="J10">
            <v>793079</v>
          </cell>
          <cell r="M10">
            <v>2</v>
          </cell>
          <cell r="O10">
            <v>0.84425662512813993</v>
          </cell>
          <cell r="P10">
            <v>6.1937083190955755E-2</v>
          </cell>
          <cell r="Q10">
            <v>9.3806291680904333E-2</v>
          </cell>
          <cell r="S10">
            <v>4.7705209695377129E-2</v>
          </cell>
          <cell r="T10">
            <v>0.95229479030462283</v>
          </cell>
          <cell r="V10">
            <v>8.8263590386329735E-2</v>
          </cell>
          <cell r="W10">
            <v>0.91173640961367031</v>
          </cell>
          <cell r="Y10">
            <v>0</v>
          </cell>
          <cell r="Z10">
            <v>0</v>
          </cell>
          <cell r="AB10">
            <v>0.50744617451198482</v>
          </cell>
          <cell r="AC10" t="str">
            <v>Stihl</v>
          </cell>
          <cell r="AD10">
            <v>3.2269585053012244E-2</v>
          </cell>
          <cell r="AE10" t="str">
            <v>Echo</v>
          </cell>
          <cell r="AF10">
            <v>4.0619913697061867E-3</v>
          </cell>
          <cell r="AG10" t="str">
            <v>Oleo-Mac</v>
          </cell>
          <cell r="AH10">
            <v>2.0786543444386851E-3</v>
          </cell>
          <cell r="AI10" t="str">
            <v>Al-ko</v>
          </cell>
          <cell r="AJ10">
            <v>4.4278152912550269E-4</v>
          </cell>
          <cell r="AK10" t="str">
            <v>Makita</v>
          </cell>
          <cell r="AL10">
            <v>0.28387681648241714</v>
          </cell>
        </row>
        <row r="11">
          <cell r="G11">
            <v>28398483.05084746</v>
          </cell>
          <cell r="H11">
            <v>0.1</v>
          </cell>
          <cell r="J11">
            <v>2573</v>
          </cell>
          <cell r="M11">
            <v>2</v>
          </cell>
          <cell r="O11">
            <v>0.86502137582588434</v>
          </cell>
          <cell r="P11">
            <v>3.8865137971239798E-2</v>
          </cell>
          <cell r="Q11">
            <v>9.6113486202875908E-2</v>
          </cell>
          <cell r="S11">
            <v>0.12203653322969296</v>
          </cell>
          <cell r="T11">
            <v>0.87796346677030701</v>
          </cell>
          <cell r="V11">
            <v>0.68013991449669642</v>
          </cell>
          <cell r="W11">
            <v>0.31986008550330353</v>
          </cell>
          <cell r="Y11">
            <v>0</v>
          </cell>
          <cell r="Z11">
            <v>0</v>
          </cell>
          <cell r="AB11">
            <v>0.46078762263799594</v>
          </cell>
          <cell r="AC11" t="str">
            <v>Stihl</v>
          </cell>
          <cell r="AD11">
            <v>2.1821707473632664E-2</v>
          </cell>
          <cell r="AE11" t="str">
            <v>Stiga</v>
          </cell>
          <cell r="AF11">
            <v>1.4177171673946538E-2</v>
          </cell>
          <cell r="AG11" t="str">
            <v>Ryobi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0.13133360329254284</v>
          </cell>
        </row>
        <row r="12">
          <cell r="G12">
            <v>5136424515.8898306</v>
          </cell>
          <cell r="H12">
            <v>4.2000000000000003E-2</v>
          </cell>
          <cell r="J12">
            <v>1012513</v>
          </cell>
          <cell r="M12">
            <v>3</v>
          </cell>
          <cell r="O12">
            <v>0.77433429579724089</v>
          </cell>
          <cell r="P12">
            <v>3.2082130253448832E-2</v>
          </cell>
          <cell r="Q12">
            <v>0.19358357394931025</v>
          </cell>
          <cell r="S12">
            <v>0.1068334937439846</v>
          </cell>
          <cell r="T12">
            <v>0.89316650625601535</v>
          </cell>
          <cell r="V12">
            <v>3.2082130253448832E-2</v>
          </cell>
          <cell r="W12">
            <v>0.96791786974655114</v>
          </cell>
          <cell r="Y12">
            <v>0</v>
          </cell>
          <cell r="Z12">
            <v>0</v>
          </cell>
          <cell r="AB12">
            <v>0.13435059185509404</v>
          </cell>
          <cell r="AC12" t="str">
            <v>Stihl</v>
          </cell>
          <cell r="AD12">
            <v>6.9852554392926564E-2</v>
          </cell>
          <cell r="AE12" t="str">
            <v>Echo</v>
          </cell>
          <cell r="AF12">
            <v>1.2858807166066025E-2</v>
          </cell>
          <cell r="AG12" t="str">
            <v>MARUYAMA</v>
          </cell>
          <cell r="AH12">
            <v>1.0809710634333267E-2</v>
          </cell>
          <cell r="AI12" t="str">
            <v>Al-Ko</v>
          </cell>
          <cell r="AJ12">
            <v>6.6284295351322848E-3</v>
          </cell>
          <cell r="AK12" t="str">
            <v>Hitachi</v>
          </cell>
          <cell r="AL12">
            <v>0.65083556425490463</v>
          </cell>
        </row>
        <row r="13">
          <cell r="G13">
            <v>14513243.008474579</v>
          </cell>
          <cell r="H13">
            <v>0.31</v>
          </cell>
          <cell r="J13">
            <v>3117</v>
          </cell>
          <cell r="M13">
            <v>2</v>
          </cell>
          <cell r="O13">
            <v>0.77433429579724089</v>
          </cell>
          <cell r="P13">
            <v>3.2082130253448832E-2</v>
          </cell>
          <cell r="Q13">
            <v>0.19358357394931025</v>
          </cell>
          <cell r="S13">
            <v>0.1068334937439846</v>
          </cell>
          <cell r="T13">
            <v>0.89316650625601535</v>
          </cell>
          <cell r="V13">
            <v>3.2082130253448832E-2</v>
          </cell>
          <cell r="W13">
            <v>0.96791786974655114</v>
          </cell>
          <cell r="Y13">
            <v>0.4196342637151107</v>
          </cell>
          <cell r="Z13">
            <v>0.5803657362848893</v>
          </cell>
          <cell r="AB13">
            <v>0.43174113321137281</v>
          </cell>
          <cell r="AC13" t="str">
            <v>GREENWORKS</v>
          </cell>
          <cell r="AD13">
            <v>0.19171969866737867</v>
          </cell>
          <cell r="AE13" t="str">
            <v>Stihl</v>
          </cell>
          <cell r="AF13">
            <v>0.15428457238798571</v>
          </cell>
          <cell r="AG13" t="str">
            <v>BOSCH</v>
          </cell>
          <cell r="AH13">
            <v>6.9417897362500897E-2</v>
          </cell>
          <cell r="AI13" t="str">
            <v>KARCHER</v>
          </cell>
          <cell r="AJ13">
            <v>2.255961230732767E-2</v>
          </cell>
          <cell r="AK13" t="str">
            <v>RYOBI</v>
          </cell>
          <cell r="AL13" t="str">
            <v xml:space="preserve"> </v>
          </cell>
        </row>
        <row r="14">
          <cell r="G14">
            <v>29190667.372881349</v>
          </cell>
          <cell r="H14">
            <v>0.25</v>
          </cell>
          <cell r="J14">
            <v>3264</v>
          </cell>
          <cell r="M14">
            <v>2</v>
          </cell>
          <cell r="O14">
            <v>0.7948774509803922</v>
          </cell>
          <cell r="P14">
            <v>3.0637254901960783E-2</v>
          </cell>
          <cell r="Q14">
            <v>0.17448529411764704</v>
          </cell>
          <cell r="S14">
            <v>0.18229166666666666</v>
          </cell>
          <cell r="T14">
            <v>0.81770833333333337</v>
          </cell>
          <cell r="V14">
            <v>3.0637254901960783E-2</v>
          </cell>
          <cell r="W14">
            <v>0.96936274509803921</v>
          </cell>
          <cell r="Y14">
            <v>0.36611519607843135</v>
          </cell>
          <cell r="Z14">
            <v>0.63388480392156865</v>
          </cell>
          <cell r="AB14">
            <v>0.51985219910444169</v>
          </cell>
          <cell r="AC14" t="str">
            <v>GREENWORKS</v>
          </cell>
          <cell r="AD14">
            <v>0.193876104614641</v>
          </cell>
          <cell r="AE14" t="str">
            <v>Stihl</v>
          </cell>
          <cell r="AF14">
            <v>9.7546849160563665E-2</v>
          </cell>
          <cell r="AG14" t="str">
            <v>BOSCH</v>
          </cell>
          <cell r="AH14">
            <v>4.7443260067956204E-2</v>
          </cell>
          <cell r="AI14" t="str">
            <v>KARCHER</v>
          </cell>
          <cell r="AJ14">
            <v>3.7811161928858313E-2</v>
          </cell>
          <cell r="AK14" t="str">
            <v>B&amp;D</v>
          </cell>
          <cell r="AL14">
            <v>4.1802339030983515E-2</v>
          </cell>
        </row>
        <row r="15">
          <cell r="G15">
            <v>98670000</v>
          </cell>
          <cell r="H15">
            <v>9.6744118687875025E-2</v>
          </cell>
          <cell r="J15">
            <v>35643</v>
          </cell>
          <cell r="M15">
            <v>3</v>
          </cell>
          <cell r="O15">
            <v>0.45</v>
          </cell>
          <cell r="P15">
            <v>0.47</v>
          </cell>
          <cell r="Q15">
            <v>0.08</v>
          </cell>
          <cell r="S15">
            <v>0</v>
          </cell>
          <cell r="T15">
            <v>1</v>
          </cell>
          <cell r="V15">
            <v>0</v>
          </cell>
          <cell r="W15">
            <v>1</v>
          </cell>
          <cell r="Y15">
            <v>0</v>
          </cell>
          <cell r="Z15">
            <v>0</v>
          </cell>
          <cell r="AB15">
            <v>0.19</v>
          </cell>
          <cell r="AC15" t="str">
            <v>Bosch</v>
          </cell>
          <cell r="AD15">
            <v>0</v>
          </cell>
          <cell r="AE15">
            <v>0</v>
          </cell>
          <cell r="AF15">
            <v>0</v>
          </cell>
          <cell r="AG15">
            <v>0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4.4999999999999998E-2</v>
          </cell>
        </row>
        <row r="16">
          <cell r="G16">
            <v>14385768.432203392</v>
          </cell>
          <cell r="H16">
            <v>0.21</v>
          </cell>
          <cell r="J16">
            <v>2331</v>
          </cell>
          <cell r="M16">
            <v>3</v>
          </cell>
          <cell r="O16">
            <v>0.73205491205491202</v>
          </cell>
          <cell r="P16">
            <v>0.10725010725010725</v>
          </cell>
          <cell r="Q16">
            <v>0.16069498069498075</v>
          </cell>
          <cell r="S16">
            <v>0.10381810381810382</v>
          </cell>
          <cell r="T16">
            <v>0.89618189618189614</v>
          </cell>
          <cell r="V16">
            <v>2.145002145002145E-2</v>
          </cell>
          <cell r="W16">
            <v>0.97854997854997861</v>
          </cell>
          <cell r="Y16">
            <v>0.58730158730158732</v>
          </cell>
          <cell r="Z16">
            <v>0.41269841269841268</v>
          </cell>
          <cell r="AB16">
            <v>0.41576710103987391</v>
          </cell>
          <cell r="AC16" t="str">
            <v>GREENWORKS</v>
          </cell>
          <cell r="AD16">
            <v>0.13238719463608301</v>
          </cell>
          <cell r="AE16" t="str">
            <v>BOSCH</v>
          </cell>
          <cell r="AF16">
            <v>0.12689138528460042</v>
          </cell>
          <cell r="AG16" t="str">
            <v>Stihl</v>
          </cell>
          <cell r="AH16">
            <v>2.9755307693085976E-2</v>
          </cell>
          <cell r="AI16" t="str">
            <v>RYOBI</v>
          </cell>
          <cell r="AJ16">
            <v>2.2525793389821299E-2</v>
          </cell>
          <cell r="AK16" t="str">
            <v>B&amp;D</v>
          </cell>
          <cell r="AL16">
            <v>8.6619906118256873E-2</v>
          </cell>
        </row>
        <row r="17">
          <cell r="G17">
            <v>33149298.305084746</v>
          </cell>
          <cell r="H17">
            <v>0.28000000000000003</v>
          </cell>
          <cell r="J17">
            <v>6239</v>
          </cell>
          <cell r="M17">
            <v>2</v>
          </cell>
          <cell r="O17">
            <v>0.55850861652439998</v>
          </cell>
          <cell r="P17">
            <v>0.31889193106780478</v>
          </cell>
          <cell r="Q17">
            <v>0.12259945240779517</v>
          </cell>
          <cell r="S17">
            <v>6.9254308262200026E-2</v>
          </cell>
          <cell r="T17">
            <v>0.93074569173779997</v>
          </cell>
          <cell r="V17">
            <v>1.6105653084232566E-2</v>
          </cell>
          <cell r="W17">
            <v>0.98389434691576738</v>
          </cell>
          <cell r="Y17">
            <v>0.72024480592688034</v>
          </cell>
          <cell r="Z17">
            <v>0.27975519407311966</v>
          </cell>
          <cell r="AB17">
            <v>0.29940813226815755</v>
          </cell>
          <cell r="AC17" t="str">
            <v>BOSCH</v>
          </cell>
          <cell r="AD17">
            <v>0.29289369113112601</v>
          </cell>
          <cell r="AE17" t="str">
            <v>GREENWORKS</v>
          </cell>
          <cell r="AF17">
            <v>0.13899251184395039</v>
          </cell>
          <cell r="AG17" t="str">
            <v>Stihl</v>
          </cell>
          <cell r="AH17">
            <v>3.1853001873496205E-2</v>
          </cell>
          <cell r="AI17" t="str">
            <v>RYOBI</v>
          </cell>
          <cell r="AJ17">
            <v>3.3316143512202578E-2</v>
          </cell>
          <cell r="AK17" t="str">
            <v>Al-ko</v>
          </cell>
          <cell r="AL17">
            <v>7.3515660847227049E-2</v>
          </cell>
        </row>
        <row r="18">
          <cell r="G18">
            <v>66706372.881355941</v>
          </cell>
          <cell r="H18">
            <v>0.31</v>
          </cell>
          <cell r="J18">
            <v>4408</v>
          </cell>
          <cell r="M18">
            <v>3</v>
          </cell>
          <cell r="O18">
            <v>0.61537205081669688</v>
          </cell>
          <cell r="P18">
            <v>0.24954627949183303</v>
          </cell>
          <cell r="Q18">
            <v>0.13508166969147006</v>
          </cell>
          <cell r="S18">
            <v>0</v>
          </cell>
          <cell r="T18">
            <v>1</v>
          </cell>
          <cell r="V18">
            <v>2.2686025408348458E-2</v>
          </cell>
          <cell r="W18">
            <v>0.97731397459165159</v>
          </cell>
          <cell r="Y18">
            <v>3.5843920145190562E-2</v>
          </cell>
          <cell r="Z18">
            <v>0.96415607985480944</v>
          </cell>
          <cell r="AB18">
            <v>0.52429049037573217</v>
          </cell>
          <cell r="AC18" t="str">
            <v>GREENWORKS</v>
          </cell>
          <cell r="AD18">
            <v>0.31880673104188451</v>
          </cell>
          <cell r="AE18" t="str">
            <v>BOSCH</v>
          </cell>
          <cell r="AF18">
            <v>6.7930134492778363E-2</v>
          </cell>
          <cell r="AG18" t="str">
            <v>Viking</v>
          </cell>
          <cell r="AH18">
            <v>4.1563063118000565E-2</v>
          </cell>
          <cell r="AI18" t="str">
            <v>RYOBI</v>
          </cell>
          <cell r="AJ18">
            <v>1.0061803868001328E-2</v>
          </cell>
          <cell r="AK18" t="str">
            <v>Al-ko</v>
          </cell>
          <cell r="AL18">
            <v>1.1946756355350363E-2</v>
          </cell>
        </row>
        <row r="19">
          <cell r="G19">
            <v>48381742.73858922</v>
          </cell>
          <cell r="H19">
            <v>7.9230345298890725E-2</v>
          </cell>
          <cell r="J19">
            <v>23754.000000000004</v>
          </cell>
          <cell r="M19">
            <v>2</v>
          </cell>
          <cell r="O19">
            <v>0.45</v>
          </cell>
          <cell r="P19">
            <v>0.47</v>
          </cell>
          <cell r="Q19">
            <v>0.08</v>
          </cell>
          <cell r="S19">
            <v>0</v>
          </cell>
          <cell r="T19">
            <v>1</v>
          </cell>
          <cell r="V19">
            <v>0</v>
          </cell>
          <cell r="W19">
            <v>1</v>
          </cell>
          <cell r="Y19">
            <v>0</v>
          </cell>
          <cell r="Z19">
            <v>0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0</v>
          </cell>
          <cell r="AI19">
            <v>0</v>
          </cell>
          <cell r="AJ19">
            <v>0</v>
          </cell>
          <cell r="AK19">
            <v>0</v>
          </cell>
          <cell r="AL19">
            <v>0</v>
          </cell>
        </row>
        <row r="20">
          <cell r="G20">
            <v>332724592.14678109</v>
          </cell>
          <cell r="H20">
            <v>0.04</v>
          </cell>
          <cell r="J20">
            <v>215143</v>
          </cell>
          <cell r="M20">
            <v>0</v>
          </cell>
          <cell r="O20">
            <v>0.56902571777840782</v>
          </cell>
          <cell r="P20">
            <v>0.30606619783120992</v>
          </cell>
          <cell r="Q20">
            <v>0.12490808439038224</v>
          </cell>
          <cell r="S20">
            <v>0</v>
          </cell>
          <cell r="T20">
            <v>1</v>
          </cell>
          <cell r="V20">
            <v>2.3240356414105965E-2</v>
          </cell>
          <cell r="W20">
            <v>0.97675964358589407</v>
          </cell>
          <cell r="Y20">
            <v>0</v>
          </cell>
          <cell r="Z20">
            <v>0</v>
          </cell>
          <cell r="AB20">
            <v>0.19253937417857461</v>
          </cell>
          <cell r="AC20" t="str">
            <v>BOSCH</v>
          </cell>
          <cell r="AD20">
            <v>9.2337208894791203E-2</v>
          </cell>
          <cell r="AE20" t="str">
            <v>MAKITA</v>
          </cell>
          <cell r="AF20">
            <v>4.094105990102994E-2</v>
          </cell>
          <cell r="AG20" t="str">
            <v>Al-ko</v>
          </cell>
          <cell r="AH20">
            <v>3.8117530623986887E-2</v>
          </cell>
          <cell r="AI20" t="str">
            <v>Stihl</v>
          </cell>
          <cell r="AJ20">
            <v>2.6324909916457993E-2</v>
          </cell>
          <cell r="AK20" t="str">
            <v>GREENWORKS</v>
          </cell>
          <cell r="AL20">
            <v>0.59755298263356971</v>
          </cell>
        </row>
        <row r="21">
          <cell r="G21">
            <v>32489582.949082259</v>
          </cell>
          <cell r="H21">
            <v>5.9517121731213596E-2</v>
          </cell>
          <cell r="J21">
            <v>16995</v>
          </cell>
          <cell r="M21">
            <v>3</v>
          </cell>
          <cell r="O21">
            <v>0.45</v>
          </cell>
          <cell r="P21">
            <v>0.47</v>
          </cell>
          <cell r="Q21">
            <v>0.08</v>
          </cell>
          <cell r="S21">
            <v>0</v>
          </cell>
          <cell r="T21">
            <v>1</v>
          </cell>
          <cell r="V21">
            <v>0</v>
          </cell>
          <cell r="W21">
            <v>1</v>
          </cell>
          <cell r="Y21">
            <v>0</v>
          </cell>
          <cell r="Z21">
            <v>0</v>
          </cell>
          <cell r="AB21">
            <v>0.52</v>
          </cell>
          <cell r="AC21" t="str">
            <v>Bosch</v>
          </cell>
          <cell r="AD21">
            <v>4.2000000000000003E-2</v>
          </cell>
          <cell r="AE21" t="str">
            <v>Stihl</v>
          </cell>
          <cell r="AF21">
            <v>3.7999999999999999E-2</v>
          </cell>
          <cell r="AG21" t="str">
            <v>Ikra</v>
          </cell>
          <cell r="AH21">
            <v>0</v>
          </cell>
          <cell r="AI21">
            <v>0</v>
          </cell>
          <cell r="AJ21">
            <v>0</v>
          </cell>
          <cell r="AK21">
            <v>0</v>
          </cell>
          <cell r="AL21">
            <v>0.02</v>
          </cell>
        </row>
        <row r="22">
          <cell r="G22">
            <v>907746985.27226973</v>
          </cell>
          <cell r="H22">
            <v>5.3638034869112339E-2</v>
          </cell>
          <cell r="J22">
            <v>637500</v>
          </cell>
          <cell r="M22">
            <v>3</v>
          </cell>
          <cell r="O22">
            <v>0.45</v>
          </cell>
          <cell r="P22">
            <v>0.47</v>
          </cell>
          <cell r="Q22">
            <v>0.08</v>
          </cell>
          <cell r="S22">
            <v>0</v>
          </cell>
          <cell r="T22">
            <v>1</v>
          </cell>
          <cell r="V22">
            <v>0</v>
          </cell>
          <cell r="W22">
            <v>1</v>
          </cell>
          <cell r="Y22">
            <v>0</v>
          </cell>
          <cell r="Z22">
            <v>0</v>
          </cell>
          <cell r="AB22">
            <v>0.115</v>
          </cell>
          <cell r="AC22" t="str">
            <v>Bosch</v>
          </cell>
          <cell r="AD22">
            <v>5.1999999999999998E-2</v>
          </cell>
          <cell r="AE22" t="str">
            <v>Lesnik</v>
          </cell>
          <cell r="AF22">
            <v>3.7999999999999999E-2</v>
          </cell>
          <cell r="AG22" t="str">
            <v>ALKO</v>
          </cell>
          <cell r="AH22">
            <v>3.5999999999999997E-2</v>
          </cell>
          <cell r="AI22" t="str">
            <v>Kalibr</v>
          </cell>
          <cell r="AJ22">
            <v>0</v>
          </cell>
          <cell r="AK22">
            <v>0</v>
          </cell>
          <cell r="AL22">
            <v>0.15</v>
          </cell>
        </row>
        <row r="23">
          <cell r="G23">
            <v>773190727.9409883</v>
          </cell>
          <cell r="H23">
            <v>5.5618571473524892E-2</v>
          </cell>
          <cell r="J23">
            <v>247249.99999999997</v>
          </cell>
          <cell r="M23">
            <v>3</v>
          </cell>
          <cell r="O23">
            <v>0.45</v>
          </cell>
          <cell r="P23">
            <v>0.47</v>
          </cell>
          <cell r="Q23">
            <v>0.08</v>
          </cell>
          <cell r="S23">
            <v>0</v>
          </cell>
          <cell r="T23">
            <v>1</v>
          </cell>
          <cell r="V23">
            <v>0</v>
          </cell>
          <cell r="W23">
            <v>1</v>
          </cell>
          <cell r="Y23">
            <v>0</v>
          </cell>
          <cell r="Z23">
            <v>0</v>
          </cell>
          <cell r="AB23">
            <v>0.17</v>
          </cell>
          <cell r="AC23" t="str">
            <v>Bosch</v>
          </cell>
          <cell r="AD23">
            <v>0.09</v>
          </cell>
          <cell r="AE23" t="str">
            <v>ALKO</v>
          </cell>
          <cell r="AF23">
            <v>0.04</v>
          </cell>
          <cell r="AG23" t="str">
            <v>MTD</v>
          </cell>
          <cell r="AH23">
            <v>0.03</v>
          </cell>
          <cell r="AI23" t="str">
            <v>Patriotgarden</v>
          </cell>
          <cell r="AJ23">
            <v>0</v>
          </cell>
          <cell r="AK23">
            <v>0</v>
          </cell>
          <cell r="AL23">
            <v>4.4999999999999998E-2</v>
          </cell>
        </row>
        <row r="24">
          <cell r="G24">
            <v>18103000</v>
          </cell>
          <cell r="H24">
            <v>0.30414912172206976</v>
          </cell>
          <cell r="J24">
            <v>304</v>
          </cell>
          <cell r="M24">
            <v>3</v>
          </cell>
          <cell r="O24">
            <v>0.86</v>
          </cell>
          <cell r="P24">
            <v>0.05</v>
          </cell>
          <cell r="Q24">
            <v>0.09</v>
          </cell>
          <cell r="S24">
            <v>0.05</v>
          </cell>
          <cell r="T24">
            <v>0.95</v>
          </cell>
          <cell r="V24">
            <v>0</v>
          </cell>
          <cell r="W24">
            <v>1</v>
          </cell>
          <cell r="Y24">
            <v>0</v>
          </cell>
          <cell r="Z24">
            <v>0</v>
          </cell>
          <cell r="AB24">
            <v>0.2</v>
          </cell>
          <cell r="AC24" t="str">
            <v>Robomow</v>
          </cell>
          <cell r="AD24">
            <v>0.15</v>
          </cell>
          <cell r="AE24" t="str">
            <v>Bosch</v>
          </cell>
          <cell r="AF24">
            <v>0.15</v>
          </cell>
          <cell r="AG24" t="str">
            <v>Viking</v>
          </cell>
          <cell r="AH24">
            <v>0</v>
          </cell>
          <cell r="AI24">
            <v>0</v>
          </cell>
          <cell r="AJ24">
            <v>0</v>
          </cell>
          <cell r="AK24">
            <v>0</v>
          </cell>
          <cell r="AL24">
            <v>0.11</v>
          </cell>
        </row>
        <row r="25">
          <cell r="G25">
            <v>85619605</v>
          </cell>
          <cell r="H25">
            <v>5.0000000000000044E-2</v>
          </cell>
          <cell r="J25">
            <v>241</v>
          </cell>
          <cell r="M25">
            <v>0</v>
          </cell>
          <cell r="O25">
            <v>0.9</v>
          </cell>
          <cell r="P25">
            <v>0</v>
          </cell>
          <cell r="Q25">
            <v>9.9999999999999978E-2</v>
          </cell>
          <cell r="S25">
            <v>5.3941908713692949E-2</v>
          </cell>
          <cell r="T25">
            <v>0.94605809128630702</v>
          </cell>
          <cell r="V25">
            <v>0.33195020746887965</v>
          </cell>
          <cell r="W25">
            <v>0.66804979253112029</v>
          </cell>
          <cell r="Y25">
            <v>0</v>
          </cell>
          <cell r="Z25">
            <v>0</v>
          </cell>
          <cell r="AB25">
            <v>0.12471646760497591</v>
          </cell>
          <cell r="AC25" t="str">
            <v>MAX HOLDER</v>
          </cell>
          <cell r="AD25">
            <v>9.6506488983062549E-2</v>
          </cell>
          <cell r="AE25" t="str">
            <v>TORO</v>
          </cell>
          <cell r="AF25">
            <v>4.349997877238513E-2</v>
          </cell>
          <cell r="AG25" t="str">
            <v xml:space="preserve">STIGA </v>
          </cell>
          <cell r="AH25">
            <v>2.2755618801714086E-2</v>
          </cell>
          <cell r="AI25" t="str">
            <v>SHIBAURA</v>
          </cell>
          <cell r="AJ25">
            <v>0</v>
          </cell>
          <cell r="AK25">
            <v>0</v>
          </cell>
          <cell r="AL25">
            <v>0.12253360458269669</v>
          </cell>
        </row>
        <row r="26">
          <cell r="G26">
            <v>750322899.38419986</v>
          </cell>
          <cell r="H26">
            <v>7.0000000000000007E-2</v>
          </cell>
          <cell r="J26">
            <v>27493</v>
          </cell>
          <cell r="M26">
            <v>0</v>
          </cell>
          <cell r="O26">
            <v>0.59119048485068926</v>
          </cell>
          <cell r="P26">
            <v>0.26101189393663843</v>
          </cell>
          <cell r="Q26">
            <v>0.14779762121267231</v>
          </cell>
          <cell r="S26">
            <v>3.6372894918706579E-2</v>
          </cell>
          <cell r="T26">
            <v>0.96362710508129346</v>
          </cell>
          <cell r="V26">
            <v>0.43647473902447897</v>
          </cell>
          <cell r="W26">
            <v>0.56352526097552103</v>
          </cell>
          <cell r="Y26">
            <v>0</v>
          </cell>
          <cell r="Z26">
            <v>0</v>
          </cell>
          <cell r="AB26">
            <v>0.10152813950170125</v>
          </cell>
          <cell r="AC26" t="str">
            <v>HONDA</v>
          </cell>
          <cell r="AD26">
            <v>8.6850627980943437E-2</v>
          </cell>
          <cell r="AE26" t="str">
            <v>MTD</v>
          </cell>
          <cell r="AF26">
            <v>9.6439892823993109E-3</v>
          </cell>
          <cell r="AG26" t="str">
            <v>Al-ko</v>
          </cell>
          <cell r="AH26">
            <v>6.1818931606736393E-3</v>
          </cell>
          <cell r="AI26" t="str">
            <v>B&amp;S</v>
          </cell>
          <cell r="AJ26">
            <v>0</v>
          </cell>
          <cell r="AK26">
            <v>0</v>
          </cell>
          <cell r="AL26">
            <v>0.49551624810398154</v>
          </cell>
        </row>
        <row r="27">
          <cell r="G27">
            <v>4211071872.8813562</v>
          </cell>
          <cell r="H27">
            <v>2.0000000000000018E-2</v>
          </cell>
          <cell r="J27">
            <v>248876</v>
          </cell>
          <cell r="M27">
            <v>0</v>
          </cell>
          <cell r="O27">
            <v>0.72031340908725627</v>
          </cell>
          <cell r="P27">
            <v>0.17205355277326861</v>
          </cell>
          <cell r="Q27">
            <v>0.10763303813947507</v>
          </cell>
          <cell r="S27">
            <v>0</v>
          </cell>
          <cell r="T27">
            <v>1</v>
          </cell>
          <cell r="V27">
            <v>0.10045163053086678</v>
          </cell>
          <cell r="W27">
            <v>0.89954836946913319</v>
          </cell>
          <cell r="Y27">
            <v>0</v>
          </cell>
          <cell r="Z27">
            <v>0</v>
          </cell>
          <cell r="AB27">
            <v>2.7376559815890184E-2</v>
          </cell>
          <cell r="AC27" t="str">
            <v>WEIMA</v>
          </cell>
          <cell r="AD27">
            <v>1.2820132647857333E-2</v>
          </cell>
          <cell r="AE27" t="str">
            <v>Pubert</v>
          </cell>
          <cell r="AF27">
            <v>1.1458911722264296E-2</v>
          </cell>
          <cell r="AG27" t="str">
            <v>Texas</v>
          </cell>
          <cell r="AH27">
            <v>9.4887271152335802E-3</v>
          </cell>
          <cell r="AI27" t="str">
            <v>Viking</v>
          </cell>
          <cell r="AJ27">
            <v>2.5856837234529851E-3</v>
          </cell>
          <cell r="AK27" t="str">
            <v>Al-ko</v>
          </cell>
          <cell r="AL27">
            <v>0.92190493441104959</v>
          </cell>
        </row>
        <row r="28">
          <cell r="G28">
            <v>207060898</v>
          </cell>
          <cell r="H28">
            <v>0.08</v>
          </cell>
          <cell r="J28">
            <v>1328</v>
          </cell>
          <cell r="M28">
            <v>0</v>
          </cell>
          <cell r="O28">
            <v>0.73057228915662653</v>
          </cell>
          <cell r="P28">
            <v>0.18825301204819278</v>
          </cell>
          <cell r="Q28">
            <v>8.1174698795180689E-2</v>
          </cell>
          <cell r="S28">
            <v>0</v>
          </cell>
          <cell r="T28">
            <v>1</v>
          </cell>
          <cell r="V28">
            <v>0.22590361445783133</v>
          </cell>
          <cell r="W28">
            <v>0.77409638554216864</v>
          </cell>
          <cell r="Y28">
            <v>0</v>
          </cell>
          <cell r="Z28">
            <v>0</v>
          </cell>
          <cell r="AB28">
            <v>0.26260290342216136</v>
          </cell>
          <cell r="AC28" t="str">
            <v>Viking</v>
          </cell>
          <cell r="AD28">
            <v>7.0577123851057022E-2</v>
          </cell>
          <cell r="AE28" t="str">
            <v>Makita</v>
          </cell>
          <cell r="AF28">
            <v>4.0501498121719583E-2</v>
          </cell>
          <cell r="AG28" t="str">
            <v xml:space="preserve">STIGA </v>
          </cell>
          <cell r="AH28">
            <v>1.4672466344383654E-2</v>
          </cell>
          <cell r="AI28" t="str">
            <v>HONDA</v>
          </cell>
          <cell r="AJ28">
            <v>9.2488387505344303E-3</v>
          </cell>
          <cell r="AK28" t="str">
            <v>OLEO-MAC</v>
          </cell>
          <cell r="AL28">
            <v>9.0043958039912608E-2</v>
          </cell>
        </row>
        <row r="29">
          <cell r="G29">
            <v>1810991897</v>
          </cell>
          <cell r="H29">
            <v>0.06</v>
          </cell>
          <cell r="J29">
            <v>98259</v>
          </cell>
          <cell r="M29">
            <v>0</v>
          </cell>
          <cell r="O29">
            <v>0.56685290914827147</v>
          </cell>
          <cell r="P29">
            <v>0.29143386356466072</v>
          </cell>
          <cell r="Q29">
            <v>0.14171322728706784</v>
          </cell>
          <cell r="S29">
            <v>3.0531554361432539E-2</v>
          </cell>
          <cell r="T29">
            <v>0.96946844563856749</v>
          </cell>
          <cell r="V29">
            <v>0.30531554361432539</v>
          </cell>
          <cell r="W29">
            <v>0.69468445638567455</v>
          </cell>
          <cell r="Y29">
            <v>0</v>
          </cell>
          <cell r="Z29">
            <v>0</v>
          </cell>
          <cell r="AB29">
            <v>0.15911790079091667</v>
          </cell>
          <cell r="AC29" t="str">
            <v>Al-ko</v>
          </cell>
          <cell r="AD29">
            <v>0.11208161026907124</v>
          </cell>
          <cell r="AE29" t="str">
            <v>Viking</v>
          </cell>
          <cell r="AF29">
            <v>7.9060391290088697E-2</v>
          </cell>
          <cell r="AG29" t="str">
            <v>MAKITA</v>
          </cell>
          <cell r="AH29">
            <v>5.3400861793033189E-2</v>
          </cell>
          <cell r="AI29" t="str">
            <v>MTD</v>
          </cell>
          <cell r="AJ29">
            <v>2.2839051940827099E-2</v>
          </cell>
          <cell r="AK29" t="str">
            <v>Oleo-Mac</v>
          </cell>
          <cell r="AL29">
            <v>0.42495782142860683</v>
          </cell>
        </row>
        <row r="30">
          <cell r="G30">
            <v>0</v>
          </cell>
          <cell r="H30">
            <v>0</v>
          </cell>
          <cell r="J30">
            <v>0</v>
          </cell>
          <cell r="M30">
            <v>0</v>
          </cell>
          <cell r="O30">
            <v>0</v>
          </cell>
          <cell r="P30">
            <v>0</v>
          </cell>
          <cell r="Q30">
            <v>0</v>
          </cell>
          <cell r="S30">
            <v>0</v>
          </cell>
          <cell r="T30">
            <v>0</v>
          </cell>
          <cell r="V30">
            <v>0</v>
          </cell>
          <cell r="W30">
            <v>0</v>
          </cell>
          <cell r="Y30">
            <v>0</v>
          </cell>
          <cell r="Z30">
            <v>0</v>
          </cell>
          <cell r="AB30">
            <v>0</v>
          </cell>
          <cell r="AC30">
            <v>0</v>
          </cell>
          <cell r="AD30">
            <v>0</v>
          </cell>
          <cell r="AE30">
            <v>0</v>
          </cell>
          <cell r="AF30">
            <v>0</v>
          </cell>
          <cell r="AG30">
            <v>0</v>
          </cell>
          <cell r="AH30">
            <v>0</v>
          </cell>
          <cell r="AI30">
            <v>0</v>
          </cell>
          <cell r="AJ30">
            <v>0</v>
          </cell>
          <cell r="AK30">
            <v>0</v>
          </cell>
          <cell r="AL30">
            <v>0</v>
          </cell>
        </row>
        <row r="31">
          <cell r="G31">
            <v>2079988643.0213325</v>
          </cell>
          <cell r="H31">
            <v>0.16702272103013516</v>
          </cell>
          <cell r="J31">
            <v>0</v>
          </cell>
          <cell r="M31">
            <v>3</v>
          </cell>
          <cell r="O31">
            <v>0.8</v>
          </cell>
          <cell r="P31">
            <v>0.2</v>
          </cell>
          <cell r="Q31">
            <v>0</v>
          </cell>
          <cell r="S31">
            <v>0.3</v>
          </cell>
          <cell r="T31">
            <v>0.7</v>
          </cell>
          <cell r="V31">
            <v>0.3</v>
          </cell>
          <cell r="W31">
            <v>0.7</v>
          </cell>
          <cell r="Y31">
            <v>0</v>
          </cell>
          <cell r="Z31">
            <v>0</v>
          </cell>
          <cell r="AB31">
            <v>0.6</v>
          </cell>
          <cell r="AC31" t="str">
            <v>Hunter</v>
          </cell>
          <cell r="AD31">
            <v>0.2</v>
          </cell>
          <cell r="AE31" t="str">
            <v>Rainbird</v>
          </cell>
          <cell r="AF31">
            <v>5.1999999999999998E-2</v>
          </cell>
          <cell r="AG31" t="str">
            <v>Irritec</v>
          </cell>
          <cell r="AH31">
            <v>0</v>
          </cell>
          <cell r="AI31">
            <v>0</v>
          </cell>
          <cell r="AJ31">
            <v>0</v>
          </cell>
          <cell r="AK31">
            <v>0</v>
          </cell>
          <cell r="AL31">
            <v>0</v>
          </cell>
        </row>
        <row r="32">
          <cell r="G32">
            <v>2169316898.7236538</v>
          </cell>
          <cell r="H32">
            <v>7.5277014305421996E-2</v>
          </cell>
          <cell r="J32">
            <v>0</v>
          </cell>
          <cell r="M32">
            <v>3</v>
          </cell>
          <cell r="O32">
            <v>0.4</v>
          </cell>
          <cell r="P32">
            <v>0.52</v>
          </cell>
          <cell r="Q32">
            <v>0.08</v>
          </cell>
          <cell r="S32">
            <v>0</v>
          </cell>
          <cell r="T32">
            <v>1</v>
          </cell>
          <cell r="V32">
            <v>0</v>
          </cell>
          <cell r="W32">
            <v>1</v>
          </cell>
          <cell r="Y32">
            <v>0</v>
          </cell>
          <cell r="Z32">
            <v>0</v>
          </cell>
          <cell r="AB32">
            <v>0.09</v>
          </cell>
          <cell r="AC32" t="str">
            <v>Hozelock</v>
          </cell>
          <cell r="AD32">
            <v>8.5000000000000006E-2</v>
          </cell>
          <cell r="AE32" t="str">
            <v>Fitt</v>
          </cell>
          <cell r="AF32">
            <v>0.02</v>
          </cell>
          <cell r="AG32" t="str">
            <v>Karcher</v>
          </cell>
          <cell r="AH32">
            <v>1.4999999999999999E-2</v>
          </cell>
          <cell r="AI32" t="str">
            <v>Rehau</v>
          </cell>
          <cell r="AJ32">
            <v>1.2E-2</v>
          </cell>
          <cell r="AK32" t="str">
            <v>Claber</v>
          </cell>
          <cell r="AL32">
            <v>0.55000000000000004</v>
          </cell>
        </row>
        <row r="33">
          <cell r="G33">
            <v>5595075503.7594833</v>
          </cell>
          <cell r="H33">
            <v>6.7296444973697467E-2</v>
          </cell>
          <cell r="J33">
            <v>1914064.48</v>
          </cell>
          <cell r="M33">
            <v>3</v>
          </cell>
          <cell r="O33">
            <v>0.4</v>
          </cell>
          <cell r="P33">
            <v>0.52</v>
          </cell>
          <cell r="Q33">
            <v>0.08</v>
          </cell>
          <cell r="S33">
            <v>0.3</v>
          </cell>
          <cell r="T33">
            <v>0.7</v>
          </cell>
          <cell r="V33">
            <v>0.3</v>
          </cell>
          <cell r="W33">
            <v>0.7</v>
          </cell>
          <cell r="Y33">
            <v>0</v>
          </cell>
          <cell r="Z33">
            <v>0</v>
          </cell>
          <cell r="AB33">
            <v>0.16</v>
          </cell>
          <cell r="AC33" t="str">
            <v>Grundfos</v>
          </cell>
          <cell r="AD33">
            <v>6.3E-2</v>
          </cell>
          <cell r="AE33" t="str">
            <v>Belamos</v>
          </cell>
          <cell r="AF33">
            <v>3.5000000000000003E-2</v>
          </cell>
          <cell r="AG33" t="str">
            <v>Speroni/Marina</v>
          </cell>
          <cell r="AH33">
            <v>2.3E-2</v>
          </cell>
          <cell r="AI33" t="str">
            <v>ALKO</v>
          </cell>
          <cell r="AJ33">
            <v>0.01</v>
          </cell>
          <cell r="AK33" t="str">
            <v>Karcher</v>
          </cell>
          <cell r="AL33">
            <v>0.153</v>
          </cell>
        </row>
        <row r="34">
          <cell r="G34">
            <v>902728031.69546962</v>
          </cell>
          <cell r="H34">
            <v>4.768139267851379E-2</v>
          </cell>
          <cell r="J34">
            <v>0</v>
          </cell>
          <cell r="M34">
            <v>2</v>
          </cell>
          <cell r="O34">
            <v>0.52</v>
          </cell>
          <cell r="P34">
            <v>0.4</v>
          </cell>
          <cell r="Q34">
            <v>0.08</v>
          </cell>
          <cell r="S34">
            <v>0</v>
          </cell>
          <cell r="T34">
            <v>1</v>
          </cell>
          <cell r="V34">
            <v>0</v>
          </cell>
          <cell r="W34">
            <v>1</v>
          </cell>
          <cell r="Y34">
            <v>0</v>
          </cell>
          <cell r="Z34">
            <v>0</v>
          </cell>
          <cell r="AB34">
            <v>0.02</v>
          </cell>
          <cell r="AC34" t="str">
            <v>Hozelock</v>
          </cell>
          <cell r="AD34">
            <v>0</v>
          </cell>
          <cell r="AE34">
            <v>0</v>
          </cell>
          <cell r="AF34">
            <v>0</v>
          </cell>
          <cell r="AG34">
            <v>0</v>
          </cell>
          <cell r="AH34">
            <v>0</v>
          </cell>
          <cell r="AI34">
            <v>0</v>
          </cell>
          <cell r="AJ34">
            <v>0</v>
          </cell>
          <cell r="AK34">
            <v>0</v>
          </cell>
          <cell r="AL34">
            <v>0.45</v>
          </cell>
        </row>
        <row r="35">
          <cell r="G35">
            <v>1626720457.176419</v>
          </cell>
          <cell r="H35">
            <v>4.5715747696476905E-2</v>
          </cell>
          <cell r="J35">
            <v>2160100.8593999995</v>
          </cell>
          <cell r="M35">
            <v>2</v>
          </cell>
          <cell r="O35">
            <v>0.5</v>
          </cell>
          <cell r="P35">
            <v>0.42</v>
          </cell>
          <cell r="Q35">
            <v>0.08</v>
          </cell>
          <cell r="S35">
            <v>0</v>
          </cell>
          <cell r="T35">
            <v>1</v>
          </cell>
          <cell r="V35">
            <v>0</v>
          </cell>
          <cell r="W35">
            <v>1</v>
          </cell>
          <cell r="Y35">
            <v>0</v>
          </cell>
          <cell r="Z35">
            <v>0</v>
          </cell>
          <cell r="AB35">
            <v>0.09</v>
          </cell>
          <cell r="AC35" t="str">
            <v>Fiskars</v>
          </cell>
          <cell r="AD35">
            <v>0.06</v>
          </cell>
          <cell r="AE35" t="str">
            <v>Instrum-Agro</v>
          </cell>
          <cell r="AF35">
            <v>0.05</v>
          </cell>
          <cell r="AG35" t="str">
            <v>Centroinstrument</v>
          </cell>
          <cell r="AH35">
            <v>0.02</v>
          </cell>
          <cell r="AI35" t="str">
            <v>Wolf-Garten</v>
          </cell>
          <cell r="AJ35">
            <v>0</v>
          </cell>
          <cell r="AK35">
            <v>0</v>
          </cell>
          <cell r="AL35">
            <v>0.22</v>
          </cell>
        </row>
        <row r="36">
          <cell r="G36">
            <v>2113760355.2365065</v>
          </cell>
          <cell r="H36">
            <v>3.9803893401205492E-2</v>
          </cell>
          <cell r="J36">
            <v>8292482.5367999999</v>
          </cell>
          <cell r="M36">
            <v>2</v>
          </cell>
          <cell r="O36">
            <v>0.55000000000000004</v>
          </cell>
          <cell r="P36">
            <v>0.37</v>
          </cell>
          <cell r="Q36">
            <v>0.08</v>
          </cell>
          <cell r="S36">
            <v>0</v>
          </cell>
          <cell r="T36">
            <v>1</v>
          </cell>
          <cell r="V36">
            <v>0</v>
          </cell>
          <cell r="W36">
            <v>1</v>
          </cell>
          <cell r="Y36">
            <v>0</v>
          </cell>
          <cell r="Z36">
            <v>0</v>
          </cell>
          <cell r="AB36">
            <v>0.25</v>
          </cell>
          <cell r="AC36" t="str">
            <v>Fiskars</v>
          </cell>
          <cell r="AD36">
            <v>6.2E-2</v>
          </cell>
          <cell r="AE36" t="str">
            <v>Instrum-Agro</v>
          </cell>
          <cell r="AF36">
            <v>3.5000000000000003E-2</v>
          </cell>
          <cell r="AG36" t="str">
            <v>Centroinstrument</v>
          </cell>
          <cell r="AH36">
            <v>0.03</v>
          </cell>
          <cell r="AI36" t="str">
            <v>Wolf-Garten</v>
          </cell>
          <cell r="AJ36">
            <v>2.1999999999999999E-2</v>
          </cell>
          <cell r="AK36" t="str">
            <v>Bellota</v>
          </cell>
          <cell r="AL36">
            <v>0.06</v>
          </cell>
        </row>
        <row r="37">
          <cell r="G37">
            <v>18111952</v>
          </cell>
          <cell r="H37">
            <v>4.0000000000000036E-2</v>
          </cell>
          <cell r="J37">
            <v>5972</v>
          </cell>
          <cell r="M37">
            <v>0</v>
          </cell>
          <cell r="O37">
            <v>0.45889149363697251</v>
          </cell>
          <cell r="P37">
            <v>0.49012056262558606</v>
          </cell>
          <cell r="Q37">
            <v>5.0987943737441394E-2</v>
          </cell>
          <cell r="S37">
            <v>0</v>
          </cell>
          <cell r="T37">
            <v>1</v>
          </cell>
          <cell r="V37">
            <v>0</v>
          </cell>
          <cell r="W37">
            <v>1</v>
          </cell>
          <cell r="Y37">
            <v>0</v>
          </cell>
          <cell r="Z37">
            <v>0</v>
          </cell>
          <cell r="AB37">
            <v>0.24463343763278525</v>
          </cell>
          <cell r="AC37" t="str">
            <v>BOSCH</v>
          </cell>
          <cell r="AD37">
            <v>0.1765744468992998</v>
          </cell>
          <cell r="AE37" t="str">
            <v>Al-ko</v>
          </cell>
          <cell r="AF37">
            <v>0</v>
          </cell>
          <cell r="AG37">
            <v>0</v>
          </cell>
          <cell r="AH37">
            <v>0</v>
          </cell>
          <cell r="AI37">
            <v>0</v>
          </cell>
          <cell r="AJ37">
            <v>0</v>
          </cell>
          <cell r="AK37">
            <v>0</v>
          </cell>
          <cell r="AL37">
            <v>0.2133720607294749</v>
          </cell>
        </row>
        <row r="38">
          <cell r="G38">
            <v>2311406367.0369329</v>
          </cell>
          <cell r="H38">
            <v>7.598883368675291E-2</v>
          </cell>
          <cell r="J38">
            <v>0</v>
          </cell>
          <cell r="M38">
            <v>2</v>
          </cell>
          <cell r="O38">
            <v>0.87</v>
          </cell>
          <cell r="P38">
            <v>0.06</v>
          </cell>
          <cell r="Q38">
            <v>7.0000000000000007E-2</v>
          </cell>
          <cell r="S38">
            <v>0.5</v>
          </cell>
          <cell r="T38">
            <v>0.5</v>
          </cell>
          <cell r="V38">
            <v>0.65</v>
          </cell>
          <cell r="W38">
            <v>0.35</v>
          </cell>
          <cell r="Y38">
            <v>0</v>
          </cell>
          <cell r="Z38">
            <v>0</v>
          </cell>
          <cell r="AB38">
            <v>0.35</v>
          </cell>
          <cell r="AC38" t="str">
            <v>Stihl</v>
          </cell>
          <cell r="AD38">
            <v>0.32</v>
          </cell>
          <cell r="AE38" t="str">
            <v>Oregon</v>
          </cell>
          <cell r="AF38">
            <v>0</v>
          </cell>
          <cell r="AG38">
            <v>0</v>
          </cell>
          <cell r="AH38">
            <v>0</v>
          </cell>
          <cell r="AI38">
            <v>0</v>
          </cell>
          <cell r="AJ38">
            <v>0</v>
          </cell>
          <cell r="AK38">
            <v>0</v>
          </cell>
          <cell r="AL38">
            <v>0.12</v>
          </cell>
        </row>
        <row r="39">
          <cell r="G39">
            <v>0</v>
          </cell>
          <cell r="H39">
            <v>0</v>
          </cell>
          <cell r="J39">
            <v>0</v>
          </cell>
          <cell r="M39">
            <v>0</v>
          </cell>
          <cell r="O39">
            <v>0</v>
          </cell>
          <cell r="P39">
            <v>0</v>
          </cell>
          <cell r="Q39">
            <v>0</v>
          </cell>
          <cell r="S39">
            <v>0</v>
          </cell>
          <cell r="T39">
            <v>0</v>
          </cell>
          <cell r="V39">
            <v>0</v>
          </cell>
          <cell r="W39">
            <v>0</v>
          </cell>
          <cell r="Y39">
            <v>0</v>
          </cell>
          <cell r="Z39">
            <v>0</v>
          </cell>
          <cell r="AB39">
            <v>0</v>
          </cell>
          <cell r="AC39">
            <v>0</v>
          </cell>
          <cell r="AD39">
            <v>0</v>
          </cell>
          <cell r="AE39">
            <v>0</v>
          </cell>
          <cell r="AF39">
            <v>0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</row>
        <row r="40">
          <cell r="G40">
            <v>128826855.78534031</v>
          </cell>
          <cell r="H40">
            <v>6.5988728804769137E-2</v>
          </cell>
          <cell r="J40">
            <v>0</v>
          </cell>
          <cell r="M40">
            <v>2</v>
          </cell>
          <cell r="O40">
            <v>0.84</v>
          </cell>
          <cell r="P40">
            <v>0.12</v>
          </cell>
          <cell r="Q40">
            <v>0.04</v>
          </cell>
          <cell r="S40">
            <v>0.7</v>
          </cell>
          <cell r="T40">
            <v>0.3</v>
          </cell>
          <cell r="V40">
            <v>0.7</v>
          </cell>
          <cell r="W40">
            <v>0.3</v>
          </cell>
          <cell r="Y40">
            <v>0</v>
          </cell>
          <cell r="Z40">
            <v>0</v>
          </cell>
          <cell r="AB40">
            <v>0.26</v>
          </cell>
          <cell r="AC40" t="str">
            <v>Stihl</v>
          </cell>
          <cell r="AD40">
            <v>0.15</v>
          </cell>
          <cell r="AE40" t="str">
            <v>Oregon</v>
          </cell>
          <cell r="AF40">
            <v>0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0.05</v>
          </cell>
        </row>
        <row r="41">
          <cell r="G41">
            <v>0</v>
          </cell>
          <cell r="H41">
            <v>0</v>
          </cell>
          <cell r="J41">
            <v>0</v>
          </cell>
          <cell r="M41">
            <v>0</v>
          </cell>
          <cell r="O41">
            <v>0</v>
          </cell>
          <cell r="P41">
            <v>0</v>
          </cell>
          <cell r="Q41">
            <v>0</v>
          </cell>
          <cell r="S41">
            <v>0</v>
          </cell>
          <cell r="T41">
            <v>0</v>
          </cell>
          <cell r="V41">
            <v>0</v>
          </cell>
          <cell r="W41">
            <v>0</v>
          </cell>
          <cell r="Y41">
            <v>0</v>
          </cell>
          <cell r="Z41">
            <v>0</v>
          </cell>
          <cell r="AB41">
            <v>0</v>
          </cell>
          <cell r="AC41">
            <v>0</v>
          </cell>
          <cell r="AD41">
            <v>0</v>
          </cell>
          <cell r="AE41">
            <v>0</v>
          </cell>
          <cell r="AF41">
            <v>0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</v>
          </cell>
          <cell r="AL41">
            <v>0</v>
          </cell>
        </row>
        <row r="42">
          <cell r="G42">
            <v>863938353.12190545</v>
          </cell>
          <cell r="H42">
            <v>0.11389913962241316</v>
          </cell>
          <cell r="J42">
            <v>0</v>
          </cell>
          <cell r="M42">
            <v>3</v>
          </cell>
          <cell r="O42">
            <v>0.77</v>
          </cell>
          <cell r="P42">
            <v>0.15</v>
          </cell>
          <cell r="Q42">
            <v>0.08</v>
          </cell>
          <cell r="S42">
            <v>0.15</v>
          </cell>
          <cell r="T42">
            <v>0.85</v>
          </cell>
          <cell r="V42">
            <v>0.2</v>
          </cell>
          <cell r="W42">
            <v>0.8</v>
          </cell>
          <cell r="Y42">
            <v>0</v>
          </cell>
          <cell r="Z42">
            <v>0</v>
          </cell>
          <cell r="AB42">
            <v>0.24</v>
          </cell>
          <cell r="AC42" t="str">
            <v>Stihl</v>
          </cell>
          <cell r="AD42">
            <v>0.15</v>
          </cell>
          <cell r="AE42" t="str">
            <v>Oregon</v>
          </cell>
          <cell r="AF42">
            <v>0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</v>
          </cell>
          <cell r="AL42">
            <v>0.14000000000000001</v>
          </cell>
        </row>
        <row r="43">
          <cell r="G43">
            <v>1166549394.5001435</v>
          </cell>
          <cell r="H43">
            <v>7.9979999999999996E-2</v>
          </cell>
          <cell r="J43">
            <v>0</v>
          </cell>
          <cell r="M43">
            <v>2</v>
          </cell>
          <cell r="O43">
            <v>0.81</v>
          </cell>
          <cell r="P43">
            <v>0.1</v>
          </cell>
          <cell r="Q43">
            <v>0.09</v>
          </cell>
          <cell r="S43">
            <v>0.2</v>
          </cell>
          <cell r="T43">
            <v>0.8</v>
          </cell>
          <cell r="V43">
            <v>0.2</v>
          </cell>
          <cell r="W43">
            <v>0.8</v>
          </cell>
          <cell r="Y43">
            <v>0</v>
          </cell>
          <cell r="Z43">
            <v>0</v>
          </cell>
          <cell r="AB43">
            <v>0.28000000000000003</v>
          </cell>
          <cell r="AC43" t="str">
            <v>Stihl</v>
          </cell>
          <cell r="AD43">
            <v>7.0000000000000007E-2</v>
          </cell>
          <cell r="AE43" t="str">
            <v>Oregon</v>
          </cell>
          <cell r="AF43">
            <v>0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0.02</v>
          </cell>
        </row>
        <row r="44">
          <cell r="G44">
            <v>55046046.164236873</v>
          </cell>
          <cell r="H44">
            <v>8.1940075592403003E-2</v>
          </cell>
          <cell r="J44">
            <v>0</v>
          </cell>
          <cell r="M44">
            <v>2</v>
          </cell>
          <cell r="O44">
            <v>0.78</v>
          </cell>
          <cell r="P44">
            <v>0.14000000000000001</v>
          </cell>
          <cell r="Q44">
            <v>0.08</v>
          </cell>
          <cell r="S44">
            <v>0.6</v>
          </cell>
          <cell r="T44">
            <v>0.4</v>
          </cell>
          <cell r="V44">
            <v>0.7</v>
          </cell>
          <cell r="W44">
            <v>0.3</v>
          </cell>
          <cell r="Y44">
            <v>0</v>
          </cell>
          <cell r="Z44">
            <v>0</v>
          </cell>
          <cell r="AB44">
            <v>0.28000000000000003</v>
          </cell>
          <cell r="AC44" t="str">
            <v>Stihl</v>
          </cell>
          <cell r="AD44">
            <v>0.14000000000000001</v>
          </cell>
          <cell r="AE44" t="str">
            <v>Oregon</v>
          </cell>
          <cell r="AF44">
            <v>0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0.05</v>
          </cell>
        </row>
        <row r="45">
          <cell r="G45">
            <v>81895551.259652317</v>
          </cell>
          <cell r="H45">
            <v>7.3895370252892834E-2</v>
          </cell>
          <cell r="J45">
            <v>0</v>
          </cell>
          <cell r="M45">
            <v>3</v>
          </cell>
          <cell r="O45">
            <v>0.86</v>
          </cell>
          <cell r="P45">
            <v>0.09</v>
          </cell>
          <cell r="Q45">
            <v>0.05</v>
          </cell>
          <cell r="S45">
            <v>0.08</v>
          </cell>
          <cell r="T45">
            <v>0.92</v>
          </cell>
          <cell r="V45">
            <v>0.08</v>
          </cell>
          <cell r="W45">
            <v>0.92</v>
          </cell>
          <cell r="Y45">
            <v>0</v>
          </cell>
          <cell r="Z45">
            <v>0</v>
          </cell>
          <cell r="AB45">
            <v>0.16</v>
          </cell>
          <cell r="AC45" t="str">
            <v>Viking</v>
          </cell>
          <cell r="AD45">
            <v>0.15</v>
          </cell>
          <cell r="AE45" t="str">
            <v>ALKO</v>
          </cell>
          <cell r="AF45">
            <v>0.05</v>
          </cell>
          <cell r="AG45" t="str">
            <v>Makita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0.05</v>
          </cell>
        </row>
        <row r="46">
          <cell r="G46">
            <v>0</v>
          </cell>
          <cell r="H46">
            <v>0</v>
          </cell>
          <cell r="J46">
            <v>0</v>
          </cell>
          <cell r="M46">
            <v>0</v>
          </cell>
          <cell r="O46">
            <v>0</v>
          </cell>
          <cell r="P46">
            <v>0</v>
          </cell>
          <cell r="Q46">
            <v>0</v>
          </cell>
          <cell r="S46">
            <v>0</v>
          </cell>
          <cell r="T46">
            <v>0</v>
          </cell>
          <cell r="V46">
            <v>0</v>
          </cell>
          <cell r="W46">
            <v>0</v>
          </cell>
          <cell r="Y46">
            <v>0</v>
          </cell>
          <cell r="Z46">
            <v>0</v>
          </cell>
          <cell r="AB46">
            <v>0</v>
          </cell>
          <cell r="AC46">
            <v>0</v>
          </cell>
          <cell r="AD46">
            <v>0</v>
          </cell>
          <cell r="AE46">
            <v>0</v>
          </cell>
          <cell r="AF46">
            <v>0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</row>
        <row r="47">
          <cell r="G47">
            <v>0</v>
          </cell>
          <cell r="H47">
            <v>0</v>
          </cell>
          <cell r="J47">
            <v>0</v>
          </cell>
          <cell r="M47">
            <v>0</v>
          </cell>
          <cell r="O47">
            <v>0</v>
          </cell>
          <cell r="P47">
            <v>0</v>
          </cell>
          <cell r="Q47">
            <v>0</v>
          </cell>
          <cell r="S47">
            <v>0</v>
          </cell>
          <cell r="T47">
            <v>0</v>
          </cell>
          <cell r="V47">
            <v>0</v>
          </cell>
          <cell r="W47">
            <v>0</v>
          </cell>
          <cell r="Y47">
            <v>0</v>
          </cell>
          <cell r="Z47">
            <v>0</v>
          </cell>
          <cell r="AB47">
            <v>0</v>
          </cell>
          <cell r="AC47">
            <v>0</v>
          </cell>
          <cell r="AD47">
            <v>0</v>
          </cell>
          <cell r="AE47">
            <v>0</v>
          </cell>
          <cell r="AF47">
            <v>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</v>
          </cell>
          <cell r="AL47">
            <v>0</v>
          </cell>
        </row>
      </sheetData>
      <sheetData sheetId="4">
        <row r="1">
          <cell r="B1" t="str">
            <v>HUSQVARNA GROUP PERSPECTIVE</v>
          </cell>
          <cell r="F1">
            <v>0</v>
          </cell>
          <cell r="G1">
            <v>0</v>
          </cell>
          <cell r="K1">
            <v>0</v>
          </cell>
          <cell r="M1">
            <v>0</v>
          </cell>
          <cell r="N1">
            <v>0</v>
          </cell>
          <cell r="O1">
            <v>0</v>
          </cell>
          <cell r="P1">
            <v>0</v>
          </cell>
          <cell r="X1">
            <v>0</v>
          </cell>
          <cell r="AH1">
            <v>0</v>
          </cell>
          <cell r="AJ1">
            <v>0</v>
          </cell>
        </row>
        <row r="2">
          <cell r="B2">
            <v>0</v>
          </cell>
          <cell r="F2">
            <v>0</v>
          </cell>
          <cell r="G2">
            <v>0</v>
          </cell>
          <cell r="K2">
            <v>0</v>
          </cell>
          <cell r="M2">
            <v>0</v>
          </cell>
          <cell r="N2">
            <v>0</v>
          </cell>
          <cell r="O2">
            <v>0</v>
          </cell>
          <cell r="P2">
            <v>0</v>
          </cell>
          <cell r="X2">
            <v>0</v>
          </cell>
          <cell r="AH2">
            <v>0</v>
          </cell>
          <cell r="AJ2">
            <v>0</v>
          </cell>
        </row>
        <row r="3">
          <cell r="B3">
            <v>0</v>
          </cell>
          <cell r="F3">
            <v>0</v>
          </cell>
          <cell r="G3">
            <v>0</v>
          </cell>
          <cell r="K3">
            <v>0</v>
          </cell>
          <cell r="M3">
            <v>0</v>
          </cell>
          <cell r="N3">
            <v>0</v>
          </cell>
          <cell r="O3">
            <v>0</v>
          </cell>
          <cell r="P3">
            <v>0</v>
          </cell>
          <cell r="X3">
            <v>0</v>
          </cell>
          <cell r="AH3">
            <v>0</v>
          </cell>
          <cell r="AJ3">
            <v>0</v>
          </cell>
        </row>
        <row r="4">
          <cell r="B4">
            <v>0</v>
          </cell>
          <cell r="F4">
            <v>0</v>
          </cell>
          <cell r="G4">
            <v>0</v>
          </cell>
          <cell r="K4">
            <v>0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  <cell r="X4">
            <v>0</v>
          </cell>
          <cell r="AH4">
            <v>0</v>
          </cell>
          <cell r="AJ4">
            <v>0</v>
          </cell>
        </row>
        <row r="5">
          <cell r="B5">
            <v>0</v>
          </cell>
          <cell r="F5">
            <v>0</v>
          </cell>
          <cell r="G5">
            <v>0</v>
          </cell>
          <cell r="K5">
            <v>0</v>
          </cell>
          <cell r="M5">
            <v>0</v>
          </cell>
          <cell r="N5">
            <v>0</v>
          </cell>
          <cell r="O5">
            <v>0</v>
          </cell>
          <cell r="P5">
            <v>0</v>
          </cell>
          <cell r="X5">
            <v>0</v>
          </cell>
          <cell r="AH5">
            <v>0</v>
          </cell>
          <cell r="AJ5">
            <v>0</v>
          </cell>
        </row>
        <row r="6">
          <cell r="B6">
            <v>0</v>
          </cell>
          <cell r="F6">
            <v>0</v>
          </cell>
          <cell r="G6">
            <v>0</v>
          </cell>
          <cell r="K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X6">
            <v>0</v>
          </cell>
          <cell r="AH6">
            <v>0</v>
          </cell>
          <cell r="AJ6">
            <v>0</v>
          </cell>
        </row>
        <row r="7">
          <cell r="B7">
            <v>0</v>
          </cell>
          <cell r="F7">
            <v>0</v>
          </cell>
          <cell r="G7">
            <v>0</v>
          </cell>
          <cell r="K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X7">
            <v>0</v>
          </cell>
          <cell r="AH7">
            <v>0</v>
          </cell>
          <cell r="AJ7">
            <v>0</v>
          </cell>
        </row>
        <row r="8">
          <cell r="B8">
            <v>0</v>
          </cell>
          <cell r="F8">
            <v>0</v>
          </cell>
          <cell r="G8">
            <v>0</v>
          </cell>
          <cell r="K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X8">
            <v>0</v>
          </cell>
          <cell r="AH8">
            <v>0</v>
          </cell>
          <cell r="AJ8">
            <v>0</v>
          </cell>
        </row>
        <row r="9">
          <cell r="B9" t="str">
            <v>Year</v>
          </cell>
          <cell r="F9">
            <v>0</v>
          </cell>
          <cell r="G9">
            <v>0</v>
          </cell>
          <cell r="K9">
            <v>0</v>
          </cell>
          <cell r="M9" t="str">
            <v>Divisions, Group and Market Value (Manufacturer value, not retail) (input in local currency as in column L)</v>
          </cell>
          <cell r="N9">
            <v>0</v>
          </cell>
          <cell r="O9">
            <v>0</v>
          </cell>
          <cell r="P9">
            <v>0</v>
          </cell>
          <cell r="X9">
            <v>0</v>
          </cell>
          <cell r="AH9">
            <v>0</v>
          </cell>
          <cell r="AJ9">
            <v>0</v>
          </cell>
        </row>
        <row r="10">
          <cell r="B10" t="str">
            <v>Year</v>
          </cell>
          <cell r="F10" t="str">
            <v>Super Category</v>
          </cell>
          <cell r="G10" t="str">
            <v>Sub-category 3</v>
          </cell>
          <cell r="K10" t="str">
            <v>Country/sub-region GDW</v>
          </cell>
          <cell r="M10" t="str">
            <v>Husqvarna net sales</v>
          </cell>
          <cell r="N10" t="str">
            <v>Gardena net sales</v>
          </cell>
          <cell r="O10" t="str">
            <v>Consumer Brands net sales</v>
          </cell>
          <cell r="P10" t="str">
            <v>Group net sales Local currency</v>
          </cell>
          <cell r="X10" t="str">
            <v>Market value in local currency (from column O)</v>
          </cell>
          <cell r="AH10" t="str">
            <v>Group volume #</v>
          </cell>
          <cell r="AJ10" t="str">
            <v>Market volume #</v>
          </cell>
        </row>
        <row r="11">
          <cell r="B11">
            <v>2016</v>
          </cell>
          <cell r="F11" t="str">
            <v>Petrol HH</v>
          </cell>
          <cell r="G11" t="str">
            <v>All chainsaws petrol (pro, prosumer, consumer, tree-care)</v>
          </cell>
          <cell r="K11" t="str">
            <v>Russian Federation</v>
          </cell>
          <cell r="M11">
            <v>747355828.11559999</v>
          </cell>
          <cell r="N11">
            <v>0</v>
          </cell>
          <cell r="O11">
            <v>134865191.49930009</v>
          </cell>
          <cell r="P11">
            <v>882221019.61490011</v>
          </cell>
          <cell r="X11">
            <v>5194913773.7288141</v>
          </cell>
          <cell r="AH11">
            <v>80310</v>
          </cell>
          <cell r="AJ11">
            <v>793079</v>
          </cell>
        </row>
        <row r="12">
          <cell r="B12">
            <v>2016</v>
          </cell>
          <cell r="F12" t="str">
            <v>Petrol HH</v>
          </cell>
          <cell r="G12" t="str">
            <v>All trimmers petrol (trimmer, brushcutter, edger/stick edger, multi-tool)</v>
          </cell>
          <cell r="K12" t="str">
            <v>Russian Federation</v>
          </cell>
          <cell r="M12">
            <v>569249739.30992019</v>
          </cell>
          <cell r="N12">
            <v>0</v>
          </cell>
          <cell r="O12">
            <v>19714998.867010005</v>
          </cell>
          <cell r="P12">
            <v>588964738.17693019</v>
          </cell>
          <cell r="X12">
            <v>5136424515.8898306</v>
          </cell>
          <cell r="AH12">
            <v>48457</v>
          </cell>
          <cell r="AJ12">
            <v>1012513</v>
          </cell>
        </row>
        <row r="13">
          <cell r="B13">
            <v>2016</v>
          </cell>
          <cell r="F13" t="str">
            <v>Petrol HH</v>
          </cell>
          <cell r="G13" t="str">
            <v>All blowers petrol (back pack, handheld)</v>
          </cell>
          <cell r="K13" t="str">
            <v>Russian Federation</v>
          </cell>
          <cell r="M13">
            <v>66408630.68878001</v>
          </cell>
          <cell r="N13">
            <v>0</v>
          </cell>
          <cell r="O13">
            <v>1647417.5719000003</v>
          </cell>
          <cell r="P13">
            <v>68056048.260680005</v>
          </cell>
          <cell r="X13">
            <v>261738006.35593224</v>
          </cell>
          <cell r="AH13">
            <v>3413</v>
          </cell>
          <cell r="AJ13">
            <v>20424</v>
          </cell>
        </row>
        <row r="14">
          <cell r="B14">
            <v>2016</v>
          </cell>
          <cell r="F14" t="str">
            <v>Petrol HH</v>
          </cell>
          <cell r="G14" t="str">
            <v>All hedge trimmers petrol (hedge trimmer, pole hedge trimmer)</v>
          </cell>
          <cell r="K14" t="str">
            <v>Russian Federation</v>
          </cell>
          <cell r="M14">
            <v>10560824.892890001</v>
          </cell>
          <cell r="N14">
            <v>0</v>
          </cell>
          <cell r="O14">
            <v>0</v>
          </cell>
          <cell r="P14">
            <v>10560824.892890001</v>
          </cell>
          <cell r="X14">
            <v>28398483.05084746</v>
          </cell>
          <cell r="AH14">
            <v>661</v>
          </cell>
          <cell r="AJ14">
            <v>2573</v>
          </cell>
        </row>
        <row r="15">
          <cell r="B15">
            <v>2016</v>
          </cell>
          <cell r="F15" t="str">
            <v>Corded</v>
          </cell>
          <cell r="G15" t="str">
            <v>Corded chainsaw</v>
          </cell>
          <cell r="K15" t="str">
            <v>Russian Federation</v>
          </cell>
          <cell r="M15">
            <v>85279.178459999996</v>
          </cell>
          <cell r="N15">
            <v>80262.268009999985</v>
          </cell>
          <cell r="O15">
            <v>3889351.1488199984</v>
          </cell>
          <cell r="P15">
            <v>4054892.5952899982</v>
          </cell>
          <cell r="X15">
            <v>332724592.14678109</v>
          </cell>
          <cell r="AH15">
            <v>758</v>
          </cell>
          <cell r="AJ15">
            <v>215143</v>
          </cell>
        </row>
        <row r="16">
          <cell r="B16">
            <v>2016</v>
          </cell>
          <cell r="F16" t="str">
            <v>Battery</v>
          </cell>
          <cell r="G16" t="str">
            <v>Battery chainsaw</v>
          </cell>
          <cell r="K16" t="str">
            <v>Russian Federation</v>
          </cell>
          <cell r="M16">
            <v>1230528.6481099997</v>
          </cell>
          <cell r="N16">
            <v>569603.94053999998</v>
          </cell>
          <cell r="O16">
            <v>0</v>
          </cell>
          <cell r="P16">
            <v>1800132.5886499998</v>
          </cell>
          <cell r="X16">
            <v>29190667.372881349</v>
          </cell>
          <cell r="AH16">
            <v>123</v>
          </cell>
          <cell r="AJ16">
            <v>3264</v>
          </cell>
        </row>
        <row r="17">
          <cell r="B17">
            <v>2016</v>
          </cell>
          <cell r="F17" t="str">
            <v>Corded</v>
          </cell>
          <cell r="G17" t="str">
            <v>Corded trimmer</v>
          </cell>
          <cell r="K17" t="str">
            <v>Russian Federation</v>
          </cell>
          <cell r="M17">
            <v>0</v>
          </cell>
          <cell r="N17">
            <v>21858269.512680005</v>
          </cell>
          <cell r="O17">
            <v>0</v>
          </cell>
          <cell r="P17">
            <v>21858269.512680005</v>
          </cell>
          <cell r="X17">
            <v>907746985.27226973</v>
          </cell>
          <cell r="AH17">
            <v>10833</v>
          </cell>
          <cell r="AJ17">
            <v>637500</v>
          </cell>
        </row>
        <row r="18">
          <cell r="B18">
            <v>2016</v>
          </cell>
          <cell r="F18" t="str">
            <v>Battery</v>
          </cell>
          <cell r="G18" t="str">
            <v>Battery trimmer</v>
          </cell>
          <cell r="K18" t="str">
            <v>Russian Federation</v>
          </cell>
          <cell r="M18">
            <v>1700188.7786400006</v>
          </cell>
          <cell r="N18">
            <v>2609911.4464499997</v>
          </cell>
          <cell r="O18">
            <v>0</v>
          </cell>
          <cell r="P18">
            <v>4310100.2250900008</v>
          </cell>
          <cell r="X18">
            <v>33149298.305084746</v>
          </cell>
          <cell r="AH18">
            <v>556</v>
          </cell>
          <cell r="AJ18">
            <v>6239</v>
          </cell>
        </row>
        <row r="19">
          <cell r="B19">
            <v>2016</v>
          </cell>
          <cell r="F19" t="str">
            <v>Corded</v>
          </cell>
          <cell r="G19" t="str">
            <v>Corded blower</v>
          </cell>
          <cell r="K19" t="str">
            <v>Russian Federation</v>
          </cell>
          <cell r="M19">
            <v>0</v>
          </cell>
          <cell r="N19">
            <v>0</v>
          </cell>
          <cell r="O19">
            <v>590974.47270999989</v>
          </cell>
          <cell r="P19">
            <v>590974.47270999989</v>
          </cell>
          <cell r="X19">
            <v>48381742.73858922</v>
          </cell>
          <cell r="AH19">
            <v>104</v>
          </cell>
          <cell r="AJ19">
            <v>23754.000000000004</v>
          </cell>
        </row>
        <row r="20">
          <cell r="B20">
            <v>2016</v>
          </cell>
          <cell r="F20" t="str">
            <v>Battery</v>
          </cell>
          <cell r="G20" t="str">
            <v>Battery blower</v>
          </cell>
          <cell r="K20" t="str">
            <v>Russian Federation</v>
          </cell>
          <cell r="M20">
            <v>695377.39930000005</v>
          </cell>
          <cell r="N20">
            <v>324538.31082800002</v>
          </cell>
          <cell r="O20">
            <v>0</v>
          </cell>
          <cell r="P20">
            <v>1019915.710128</v>
          </cell>
          <cell r="X20">
            <v>14513243.008474579</v>
          </cell>
          <cell r="AH20">
            <v>3004</v>
          </cell>
          <cell r="AJ20">
            <v>3117</v>
          </cell>
        </row>
        <row r="21">
          <cell r="B21">
            <v>2016</v>
          </cell>
          <cell r="F21" t="str">
            <v>Corded</v>
          </cell>
          <cell r="G21" t="str">
            <v>Corded hedge trimmer</v>
          </cell>
          <cell r="K21" t="str">
            <v>Russian Federation</v>
          </cell>
          <cell r="M21">
            <v>0</v>
          </cell>
          <cell r="N21">
            <v>4570856.001360002</v>
          </cell>
          <cell r="O21">
            <v>0</v>
          </cell>
          <cell r="P21">
            <v>4570856.001360002</v>
          </cell>
          <cell r="X21">
            <v>32489582.949082259</v>
          </cell>
          <cell r="AH21">
            <v>1099</v>
          </cell>
          <cell r="AJ21">
            <v>16995</v>
          </cell>
        </row>
        <row r="22">
          <cell r="B22">
            <v>2016</v>
          </cell>
          <cell r="F22" t="str">
            <v>Battery</v>
          </cell>
          <cell r="G22" t="str">
            <v>Battery hedge trimmer</v>
          </cell>
          <cell r="K22" t="str">
            <v>Russian Federation</v>
          </cell>
          <cell r="M22">
            <v>815028.61646999978</v>
          </cell>
          <cell r="N22">
            <v>1861491.2436799994</v>
          </cell>
          <cell r="O22">
            <v>0</v>
          </cell>
          <cell r="P22">
            <v>2676519.8601499991</v>
          </cell>
          <cell r="X22">
            <v>14385768.432203392</v>
          </cell>
          <cell r="AH22">
            <v>402</v>
          </cell>
          <cell r="AJ22">
            <v>2331</v>
          </cell>
        </row>
        <row r="23">
          <cell r="B23">
            <v>2016</v>
          </cell>
          <cell r="F23" t="str">
            <v>Corded</v>
          </cell>
          <cell r="G23" t="str">
            <v>Corded walk behind lawn mower</v>
          </cell>
          <cell r="K23" t="str">
            <v>Russian Federation</v>
          </cell>
          <cell r="M23">
            <v>0</v>
          </cell>
          <cell r="N23">
            <v>111869898.37012002</v>
          </cell>
          <cell r="O23">
            <v>39920.868170000002</v>
          </cell>
          <cell r="P23">
            <v>111909819.23829001</v>
          </cell>
          <cell r="X23">
            <v>773190727.9409883</v>
          </cell>
          <cell r="AH23">
            <v>17008</v>
          </cell>
          <cell r="AJ23">
            <v>247249.99999999997</v>
          </cell>
        </row>
        <row r="24">
          <cell r="B24">
            <v>2016</v>
          </cell>
          <cell r="F24" t="str">
            <v>Battery</v>
          </cell>
          <cell r="G24" t="str">
            <v>Battery walk behind lawn mower</v>
          </cell>
          <cell r="K24" t="str">
            <v>Russian Federation</v>
          </cell>
          <cell r="M24">
            <v>1694409.9616000003</v>
          </cell>
          <cell r="N24">
            <v>0</v>
          </cell>
          <cell r="O24">
            <v>0</v>
          </cell>
          <cell r="P24">
            <v>1694409.9616000003</v>
          </cell>
          <cell r="X24">
            <v>66706372.881355941</v>
          </cell>
          <cell r="AH24">
            <v>75</v>
          </cell>
          <cell r="AJ24">
            <v>4408</v>
          </cell>
        </row>
        <row r="25">
          <cell r="B25">
            <v>2016</v>
          </cell>
          <cell r="F25" t="str">
            <v>Robotics</v>
          </cell>
          <cell r="G25" t="str">
            <v>Robotic lawn mower</v>
          </cell>
          <cell r="K25" t="str">
            <v>Russian Federation</v>
          </cell>
          <cell r="M25">
            <v>4707193.7154400013</v>
          </cell>
          <cell r="N25">
            <v>1020642.84202</v>
          </cell>
          <cell r="O25">
            <v>0</v>
          </cell>
          <cell r="P25">
            <v>5727836.5574600017</v>
          </cell>
          <cell r="X25">
            <v>18103000</v>
          </cell>
          <cell r="AH25">
            <v>87</v>
          </cell>
          <cell r="AJ25">
            <v>304</v>
          </cell>
        </row>
        <row r="26">
          <cell r="B26">
            <v>2016</v>
          </cell>
          <cell r="F26" t="str">
            <v>Wheeled</v>
          </cell>
          <cell r="G26" t="str">
            <v>Walk behind lawn mower petrol</v>
          </cell>
          <cell r="K26" t="str">
            <v>Russian Federation</v>
          </cell>
          <cell r="M26">
            <v>191088547.78496</v>
          </cell>
          <cell r="N26">
            <v>0</v>
          </cell>
          <cell r="O26">
            <v>77920467.041060001</v>
          </cell>
          <cell r="P26">
            <v>269009014.82602</v>
          </cell>
          <cell r="X26">
            <v>1810991897</v>
          </cell>
          <cell r="AH26">
            <v>11185</v>
          </cell>
          <cell r="AJ26">
            <v>98259</v>
          </cell>
        </row>
        <row r="27">
          <cell r="B27">
            <v>2016</v>
          </cell>
          <cell r="F27" t="str">
            <v>Wheeled</v>
          </cell>
          <cell r="G27" t="str">
            <v>Tractor</v>
          </cell>
          <cell r="K27" t="str">
            <v>Russian Federation</v>
          </cell>
          <cell r="M27">
            <v>61141206.235019997</v>
          </cell>
          <cell r="N27">
            <v>0</v>
          </cell>
          <cell r="O27">
            <v>44947109.825189993</v>
          </cell>
          <cell r="P27">
            <v>106088316.06020999</v>
          </cell>
          <cell r="X27">
            <v>207060898</v>
          </cell>
          <cell r="AH27">
            <v>783</v>
          </cell>
          <cell r="AJ27">
            <v>1328</v>
          </cell>
        </row>
        <row r="28">
          <cell r="B28">
            <v>2016</v>
          </cell>
          <cell r="F28" t="str">
            <v>Wheeled</v>
          </cell>
          <cell r="G28" t="str">
            <v>Rider/front mower</v>
          </cell>
          <cell r="K28" t="str">
            <v>Russian Federation</v>
          </cell>
          <cell r="M28">
            <v>49062991.028449997</v>
          </cell>
          <cell r="N28">
            <v>0</v>
          </cell>
          <cell r="O28">
            <v>1451534.8946200002</v>
          </cell>
          <cell r="P28">
            <v>50514525.923069999</v>
          </cell>
          <cell r="X28">
            <v>85619605</v>
          </cell>
          <cell r="AH28">
            <v>209</v>
          </cell>
          <cell r="AJ28">
            <v>241</v>
          </cell>
        </row>
        <row r="29">
          <cell r="B29">
            <v>2016</v>
          </cell>
          <cell r="F29" t="str">
            <v>Wheeled</v>
          </cell>
          <cell r="G29" t="str">
            <v>Zero turn mower</v>
          </cell>
          <cell r="K29" t="str">
            <v>Russian Federation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X29">
            <v>0</v>
          </cell>
          <cell r="AH29">
            <v>0</v>
          </cell>
          <cell r="AJ29">
            <v>0</v>
          </cell>
        </row>
        <row r="30">
          <cell r="B30">
            <v>2016</v>
          </cell>
          <cell r="F30" t="str">
            <v>Wheeled</v>
          </cell>
          <cell r="G30" t="str">
            <v>Snow thrower</v>
          </cell>
          <cell r="K30" t="str">
            <v>Russian Federation</v>
          </cell>
          <cell r="M30">
            <v>218814895.87190992</v>
          </cell>
          <cell r="N30">
            <v>0</v>
          </cell>
          <cell r="O30">
            <v>6491390.5429300014</v>
          </cell>
          <cell r="P30">
            <v>225306286.41483992</v>
          </cell>
          <cell r="X30">
            <v>750322899.38419986</v>
          </cell>
          <cell r="AH30">
            <v>2957</v>
          </cell>
          <cell r="AJ30">
            <v>27493</v>
          </cell>
        </row>
        <row r="31">
          <cell r="B31">
            <v>2016</v>
          </cell>
          <cell r="F31" t="str">
            <v>Wheeled</v>
          </cell>
          <cell r="G31" t="str">
            <v>Tiller</v>
          </cell>
          <cell r="K31" t="str">
            <v>Russian Federation</v>
          </cell>
          <cell r="M31">
            <v>60119299.343140014</v>
          </cell>
          <cell r="N31">
            <v>0</v>
          </cell>
          <cell r="O31">
            <v>372961.0405</v>
          </cell>
          <cell r="P31">
            <v>60492260.383640014</v>
          </cell>
          <cell r="X31">
            <v>4211071872.8813562</v>
          </cell>
          <cell r="AH31">
            <v>2180</v>
          </cell>
          <cell r="AJ31">
            <v>248876</v>
          </cell>
        </row>
        <row r="32">
          <cell r="B32">
            <v>2016</v>
          </cell>
          <cell r="F32" t="str">
            <v>Watering</v>
          </cell>
          <cell r="G32" t="str">
            <v>Mobile watering</v>
          </cell>
          <cell r="K32" t="str">
            <v>Russian Federation</v>
          </cell>
          <cell r="M32">
            <v>0</v>
          </cell>
          <cell r="N32">
            <v>379370092.96467006</v>
          </cell>
          <cell r="O32">
            <v>0</v>
          </cell>
          <cell r="P32">
            <v>379370092.96467006</v>
          </cell>
          <cell r="X32">
            <v>2169316898.7236538</v>
          </cell>
          <cell r="AH32">
            <v>750351</v>
          </cell>
          <cell r="AJ32">
            <v>0</v>
          </cell>
        </row>
        <row r="33">
          <cell r="B33">
            <v>2016</v>
          </cell>
          <cell r="F33" t="str">
            <v>Watering</v>
          </cell>
          <cell r="G33" t="str">
            <v>Irrigation systems</v>
          </cell>
          <cell r="K33" t="str">
            <v>Russian Federation</v>
          </cell>
          <cell r="M33">
            <v>0</v>
          </cell>
          <cell r="N33">
            <v>90632490.891430005</v>
          </cell>
          <cell r="O33">
            <v>0</v>
          </cell>
          <cell r="P33">
            <v>90632490.891430005</v>
          </cell>
          <cell r="X33">
            <v>2079988643.0213325</v>
          </cell>
          <cell r="AH33">
            <v>97878</v>
          </cell>
          <cell r="AJ33">
            <v>0</v>
          </cell>
        </row>
        <row r="34">
          <cell r="B34">
            <v>2016</v>
          </cell>
          <cell r="F34" t="str">
            <v>Watering</v>
          </cell>
          <cell r="G34" t="str">
            <v>Pumps</v>
          </cell>
          <cell r="K34" t="str">
            <v>Russian Federation</v>
          </cell>
          <cell r="M34">
            <v>0</v>
          </cell>
          <cell r="N34">
            <v>119577962.25861999</v>
          </cell>
          <cell r="O34">
            <v>0</v>
          </cell>
          <cell r="P34">
            <v>119577962.25861999</v>
          </cell>
          <cell r="X34">
            <v>5595075503.7594833</v>
          </cell>
          <cell r="AH34">
            <v>41202</v>
          </cell>
          <cell r="AJ34">
            <v>1914064.48</v>
          </cell>
        </row>
        <row r="35">
          <cell r="B35">
            <v>2016</v>
          </cell>
          <cell r="F35" t="str">
            <v>Hand tools</v>
          </cell>
          <cell r="G35" t="str">
            <v>Garden tools</v>
          </cell>
          <cell r="K35" t="str">
            <v>Russian Federation</v>
          </cell>
          <cell r="M35">
            <v>0</v>
          </cell>
          <cell r="N35">
            <v>51725705.202550001</v>
          </cell>
          <cell r="O35">
            <v>0</v>
          </cell>
          <cell r="P35">
            <v>51725705.202550001</v>
          </cell>
          <cell r="X35">
            <v>1626720457.176419</v>
          </cell>
          <cell r="AH35">
            <v>68173</v>
          </cell>
          <cell r="AJ35">
            <v>2160100.8593999995</v>
          </cell>
        </row>
        <row r="36">
          <cell r="B36">
            <v>2016</v>
          </cell>
          <cell r="F36" t="str">
            <v>Hand tools</v>
          </cell>
          <cell r="G36" t="str">
            <v>Mechanical cutting</v>
          </cell>
          <cell r="K36" t="str">
            <v>Russian Federation</v>
          </cell>
          <cell r="M36">
            <v>0</v>
          </cell>
          <cell r="N36">
            <v>77829090.804519996</v>
          </cell>
          <cell r="O36">
            <v>0</v>
          </cell>
          <cell r="P36">
            <v>77829090.804519996</v>
          </cell>
          <cell r="X36">
            <v>2113760355.2365065</v>
          </cell>
          <cell r="AH36">
            <v>69465</v>
          </cell>
          <cell r="AJ36">
            <v>8292482.5367999999</v>
          </cell>
        </row>
        <row r="37">
          <cell r="B37">
            <v>2016</v>
          </cell>
          <cell r="F37" t="str">
            <v>Hand tools</v>
          </cell>
          <cell r="G37" t="str">
            <v>Push lawn mower</v>
          </cell>
          <cell r="K37" t="str">
            <v>Russian Federation</v>
          </cell>
          <cell r="M37">
            <v>3335957.5457199989</v>
          </cell>
          <cell r="N37">
            <v>3282512.9455399998</v>
          </cell>
          <cell r="O37">
            <v>0</v>
          </cell>
          <cell r="P37">
            <v>6618470.4912599986</v>
          </cell>
          <cell r="X37">
            <v>18111952</v>
          </cell>
          <cell r="AH37">
            <v>1204</v>
          </cell>
          <cell r="AJ37">
            <v>5972</v>
          </cell>
        </row>
        <row r="38">
          <cell r="B38">
            <v>2016</v>
          </cell>
          <cell r="F38" t="str">
            <v>Hand tools</v>
          </cell>
          <cell r="G38" t="str">
            <v>Garden accessories</v>
          </cell>
          <cell r="K38" t="str">
            <v>Russian Federation</v>
          </cell>
          <cell r="M38">
            <v>0</v>
          </cell>
          <cell r="N38">
            <v>49380940.498470023</v>
          </cell>
          <cell r="O38">
            <v>0</v>
          </cell>
          <cell r="P38">
            <v>49380940.498470023</v>
          </cell>
          <cell r="X38">
            <v>902728031.69546962</v>
          </cell>
          <cell r="AH38">
            <v>55869</v>
          </cell>
          <cell r="AJ38">
            <v>0</v>
          </cell>
        </row>
        <row r="39">
          <cell r="B39">
            <v>2016</v>
          </cell>
          <cell r="F39" t="str">
            <v>Parts and accessories</v>
          </cell>
          <cell r="G39" t="str">
            <v>Forest tools</v>
          </cell>
          <cell r="K39" t="str">
            <v>Russian Federation</v>
          </cell>
          <cell r="M39">
            <v>48748495.385689989</v>
          </cell>
          <cell r="N39">
            <v>0</v>
          </cell>
          <cell r="O39">
            <v>2200627.23881</v>
          </cell>
          <cell r="P39">
            <v>50949122.624499992</v>
          </cell>
          <cell r="X39">
            <v>128826855.78534031</v>
          </cell>
          <cell r="AH39">
            <v>0</v>
          </cell>
          <cell r="AJ39">
            <v>0</v>
          </cell>
        </row>
        <row r="40">
          <cell r="B40">
            <v>2016</v>
          </cell>
          <cell r="F40" t="str">
            <v>Parts and accessories</v>
          </cell>
          <cell r="G40" t="str">
            <v>LME</v>
          </cell>
          <cell r="K40" t="str">
            <v>Russian Federation</v>
          </cell>
          <cell r="M40">
            <v>136877477.00124002</v>
          </cell>
          <cell r="N40">
            <v>1110.7086899999999</v>
          </cell>
          <cell r="O40">
            <v>12787598.611789992</v>
          </cell>
          <cell r="P40">
            <v>149666186.32172</v>
          </cell>
          <cell r="X40">
            <v>863938353.12190545</v>
          </cell>
          <cell r="AH40">
            <v>1</v>
          </cell>
          <cell r="AJ40">
            <v>0</v>
          </cell>
        </row>
        <row r="41">
          <cell r="B41">
            <v>2016</v>
          </cell>
          <cell r="F41" t="str">
            <v>Parts and accessories</v>
          </cell>
          <cell r="G41" t="str">
            <v>Lubricants</v>
          </cell>
          <cell r="K41" t="str">
            <v>Russian Federation</v>
          </cell>
          <cell r="M41">
            <v>175952242.22626004</v>
          </cell>
          <cell r="N41">
            <v>0</v>
          </cell>
          <cell r="O41">
            <v>11607032.956399998</v>
          </cell>
          <cell r="P41">
            <v>187559275.18266004</v>
          </cell>
          <cell r="X41">
            <v>1166549394.5001435</v>
          </cell>
          <cell r="AH41">
            <v>0</v>
          </cell>
          <cell r="AJ41">
            <v>0</v>
          </cell>
        </row>
        <row r="42">
          <cell r="B42">
            <v>2016</v>
          </cell>
          <cell r="F42" t="str">
            <v>Parts and accessories</v>
          </cell>
          <cell r="G42" t="str">
            <v>Personal protection equipment</v>
          </cell>
          <cell r="K42" t="str">
            <v>Russian Federation</v>
          </cell>
          <cell r="M42">
            <v>19086016.285689998</v>
          </cell>
          <cell r="N42">
            <v>0</v>
          </cell>
          <cell r="O42">
            <v>1217421.1702800002</v>
          </cell>
          <cell r="P42">
            <v>20303437.455969997</v>
          </cell>
          <cell r="X42">
            <v>55046046.164236873</v>
          </cell>
          <cell r="AH42">
            <v>0</v>
          </cell>
          <cell r="AJ42">
            <v>0</v>
          </cell>
        </row>
        <row r="43">
          <cell r="B43">
            <v>2016</v>
          </cell>
          <cell r="F43" t="str">
            <v>Parts and accessories</v>
          </cell>
          <cell r="G43" t="str">
            <v>Ride-on/Lawnmowers</v>
          </cell>
          <cell r="K43" t="str">
            <v>Russian Federation</v>
          </cell>
          <cell r="M43">
            <v>38711156.248670004</v>
          </cell>
          <cell r="N43">
            <v>2477.2591400000001</v>
          </cell>
          <cell r="O43">
            <v>384841.05983999989</v>
          </cell>
          <cell r="P43">
            <v>39098474.567650005</v>
          </cell>
          <cell r="X43">
            <v>81895551.259652317</v>
          </cell>
          <cell r="AH43">
            <v>222</v>
          </cell>
          <cell r="AJ43">
            <v>0</v>
          </cell>
        </row>
        <row r="44">
          <cell r="B44">
            <v>2016</v>
          </cell>
          <cell r="F44" t="str">
            <v>Parts and accessories</v>
          </cell>
          <cell r="G44" t="str">
            <v>Chains &amp; bars</v>
          </cell>
          <cell r="K44" t="str">
            <v>Russian Federation</v>
          </cell>
          <cell r="M44">
            <v>185387596.47244999</v>
          </cell>
          <cell r="N44">
            <v>0</v>
          </cell>
          <cell r="O44">
            <v>5255649.7461699983</v>
          </cell>
          <cell r="P44">
            <v>190643246.21861997</v>
          </cell>
          <cell r="X44">
            <v>2311406367.0369329</v>
          </cell>
          <cell r="AH44">
            <v>0</v>
          </cell>
          <cell r="AJ44">
            <v>0</v>
          </cell>
        </row>
        <row r="45">
          <cell r="B45">
            <v>2016</v>
          </cell>
          <cell r="F45" t="str">
            <v>Parts and accessories</v>
          </cell>
          <cell r="G45" t="str">
            <v>HH Spare parts</v>
          </cell>
          <cell r="K45" t="str">
            <v>Russian Federation</v>
          </cell>
          <cell r="M45">
            <v>287475590.11600989</v>
          </cell>
          <cell r="N45">
            <v>31348.080880000009</v>
          </cell>
          <cell r="O45">
            <v>15918742.21359</v>
          </cell>
          <cell r="P45">
            <v>303425680.4104799</v>
          </cell>
          <cell r="X45">
            <v>0</v>
          </cell>
          <cell r="AH45">
            <v>0</v>
          </cell>
          <cell r="AJ45">
            <v>0</v>
          </cell>
        </row>
        <row r="46">
          <cell r="B46">
            <v>2016</v>
          </cell>
          <cell r="F46" t="str">
            <v>Parts and accessories</v>
          </cell>
          <cell r="G46" t="str">
            <v>E Spare parts</v>
          </cell>
          <cell r="K46" t="str">
            <v>Russian Federation</v>
          </cell>
          <cell r="M46">
            <v>2165805.2409999995</v>
          </cell>
          <cell r="N46">
            <v>13382455.539080001</v>
          </cell>
          <cell r="O46">
            <v>2009039.2209699997</v>
          </cell>
          <cell r="P46">
            <v>17557300.001050003</v>
          </cell>
          <cell r="X46">
            <v>0</v>
          </cell>
          <cell r="AH46">
            <v>11126</v>
          </cell>
          <cell r="AJ46">
            <v>0</v>
          </cell>
        </row>
        <row r="47">
          <cell r="B47">
            <v>2016</v>
          </cell>
          <cell r="F47" t="str">
            <v>Parts and accessories</v>
          </cell>
          <cell r="G47" t="str">
            <v>W Spare parts</v>
          </cell>
          <cell r="K47" t="str">
            <v>Russian Federation</v>
          </cell>
          <cell r="M47">
            <v>36653129.128279999</v>
          </cell>
          <cell r="N47">
            <v>136545.42520999996</v>
          </cell>
          <cell r="O47">
            <v>16501748.867759999</v>
          </cell>
          <cell r="P47">
            <v>53291423.421250001</v>
          </cell>
          <cell r="X47">
            <v>0</v>
          </cell>
          <cell r="AH47">
            <v>0</v>
          </cell>
          <cell r="AJ47">
            <v>0</v>
          </cell>
        </row>
        <row r="48">
          <cell r="B48">
            <v>2016</v>
          </cell>
          <cell r="F48" t="str">
            <v>Parts and accessories</v>
          </cell>
          <cell r="G48" t="str">
            <v>WA Spare parts</v>
          </cell>
          <cell r="K48" t="str">
            <v>Russian Federation</v>
          </cell>
          <cell r="M48">
            <v>0</v>
          </cell>
          <cell r="N48">
            <v>1766037.8989300001</v>
          </cell>
          <cell r="O48">
            <v>0</v>
          </cell>
          <cell r="P48">
            <v>1766037.8989300001</v>
          </cell>
          <cell r="X48">
            <v>0</v>
          </cell>
          <cell r="AH48">
            <v>0</v>
          </cell>
          <cell r="AJ48">
            <v>0</v>
          </cell>
        </row>
        <row r="49">
          <cell r="B49">
            <v>2016</v>
          </cell>
          <cell r="F49" t="str">
            <v>Battery</v>
          </cell>
          <cell r="G49" t="str">
            <v>Battery grass &amp; shrub shears</v>
          </cell>
          <cell r="K49" t="str">
            <v>Russian Federation</v>
          </cell>
          <cell r="M49">
            <v>0</v>
          </cell>
          <cell r="N49">
            <v>40985252.736090004</v>
          </cell>
          <cell r="O49">
            <v>0</v>
          </cell>
          <cell r="P49">
            <v>40985252.736090004</v>
          </cell>
          <cell r="X49">
            <v>98670000</v>
          </cell>
          <cell r="AH49">
            <v>9295</v>
          </cell>
          <cell r="AJ49">
            <v>35643</v>
          </cell>
        </row>
        <row r="50">
          <cell r="B50">
            <v>2015</v>
          </cell>
          <cell r="F50" t="str">
            <v>Petrol HH</v>
          </cell>
          <cell r="G50" t="str">
            <v>All chainsaws petrol (pro, prosumer, consumer, tree-care)</v>
          </cell>
          <cell r="K50" t="str">
            <v>Russian Federation</v>
          </cell>
          <cell r="M50">
            <v>625833224.9187001</v>
          </cell>
          <cell r="N50">
            <v>0</v>
          </cell>
          <cell r="O50">
            <v>211754258.86843997</v>
          </cell>
          <cell r="P50">
            <v>837587483.78714013</v>
          </cell>
          <cell r="X50">
            <v>5360428156.3752756</v>
          </cell>
          <cell r="AH50">
            <v>95667</v>
          </cell>
          <cell r="AJ50">
            <v>869980</v>
          </cell>
        </row>
        <row r="51">
          <cell r="B51">
            <v>2015</v>
          </cell>
          <cell r="F51" t="str">
            <v>Petrol HH</v>
          </cell>
          <cell r="G51" t="str">
            <v>All hedge trimmers petrol (hedge trimmer, pole hedge trimmer)</v>
          </cell>
          <cell r="K51" t="str">
            <v>Russian Federation</v>
          </cell>
          <cell r="M51">
            <v>7276823.8227000013</v>
          </cell>
          <cell r="N51">
            <v>0</v>
          </cell>
          <cell r="O51">
            <v>0</v>
          </cell>
          <cell r="P51">
            <v>7276823.8227000013</v>
          </cell>
          <cell r="X51">
            <v>25403027.542372882</v>
          </cell>
          <cell r="AH51">
            <v>561</v>
          </cell>
          <cell r="AJ51">
            <v>3030</v>
          </cell>
        </row>
        <row r="52">
          <cell r="B52">
            <v>2015</v>
          </cell>
          <cell r="F52" t="str">
            <v>Petrol HH</v>
          </cell>
          <cell r="G52" t="str">
            <v>All trimmers petrol (trimmer, brushcutter, edger/stick edger, multi-tool)</v>
          </cell>
          <cell r="K52" t="str">
            <v>Russian Federation</v>
          </cell>
          <cell r="M52">
            <v>477885910.99380004</v>
          </cell>
          <cell r="N52">
            <v>0</v>
          </cell>
          <cell r="O52">
            <v>16741881.271599995</v>
          </cell>
          <cell r="P52">
            <v>494627792.26540005</v>
          </cell>
          <cell r="X52">
            <v>5589385676.3044205</v>
          </cell>
          <cell r="AH52">
            <v>50245</v>
          </cell>
          <cell r="AJ52">
            <v>938321.17647058843</v>
          </cell>
        </row>
        <row r="53">
          <cell r="B53">
            <v>2015</v>
          </cell>
          <cell r="F53" t="str">
            <v>Battery</v>
          </cell>
          <cell r="G53" t="str">
            <v>Battery chainsaw</v>
          </cell>
          <cell r="K53" t="str">
            <v>Russian Federation</v>
          </cell>
          <cell r="M53">
            <v>493099.08169999998</v>
          </cell>
          <cell r="N53">
            <v>118191.33989999999</v>
          </cell>
          <cell r="O53">
            <v>0</v>
          </cell>
          <cell r="P53">
            <v>611290.4216</v>
          </cell>
          <cell r="X53">
            <v>19644102</v>
          </cell>
          <cell r="AH53">
            <v>31</v>
          </cell>
          <cell r="AJ53">
            <v>1486</v>
          </cell>
        </row>
        <row r="54">
          <cell r="B54">
            <v>2015</v>
          </cell>
          <cell r="F54" t="str">
            <v>Battery</v>
          </cell>
          <cell r="G54" t="str">
            <v>Battery grass &amp; shrub shears</v>
          </cell>
          <cell r="K54" t="str">
            <v>Russian Federation</v>
          </cell>
          <cell r="M54">
            <v>0</v>
          </cell>
          <cell r="N54">
            <v>36986355.076069996</v>
          </cell>
          <cell r="O54">
            <v>0</v>
          </cell>
          <cell r="P54">
            <v>36986355.076069996</v>
          </cell>
          <cell r="X54">
            <v>72000000</v>
          </cell>
          <cell r="AH54">
            <v>8781</v>
          </cell>
          <cell r="AJ54">
            <v>18000</v>
          </cell>
        </row>
        <row r="55">
          <cell r="B55">
            <v>2015</v>
          </cell>
          <cell r="F55" t="str">
            <v>Battery</v>
          </cell>
          <cell r="G55" t="str">
            <v>Battery hedge trimmer</v>
          </cell>
          <cell r="K55" t="str">
            <v>Russian Federation</v>
          </cell>
          <cell r="M55">
            <v>88683.789499999999</v>
          </cell>
          <cell r="N55">
            <v>770830.50930000027</v>
          </cell>
          <cell r="O55">
            <v>0</v>
          </cell>
          <cell r="P55">
            <v>859514.29880000022</v>
          </cell>
          <cell r="X55">
            <v>6816811</v>
          </cell>
          <cell r="AH55">
            <v>148</v>
          </cell>
          <cell r="AJ55">
            <v>2586</v>
          </cell>
        </row>
        <row r="56">
          <cell r="B56">
            <v>2015</v>
          </cell>
          <cell r="F56" t="str">
            <v>Battery</v>
          </cell>
          <cell r="G56" t="str">
            <v>Battery trimmer</v>
          </cell>
          <cell r="K56" t="str">
            <v>Russian Federation</v>
          </cell>
          <cell r="M56">
            <v>780572.28679999989</v>
          </cell>
          <cell r="N56">
            <v>1776081.8504999999</v>
          </cell>
          <cell r="O56">
            <v>0</v>
          </cell>
          <cell r="P56">
            <v>2556654.1372999996</v>
          </cell>
          <cell r="X56">
            <v>31382441</v>
          </cell>
          <cell r="AH56">
            <v>378</v>
          </cell>
          <cell r="AJ56">
            <v>5935</v>
          </cell>
        </row>
        <row r="57">
          <cell r="B57">
            <v>2015</v>
          </cell>
          <cell r="F57" t="str">
            <v>Battery</v>
          </cell>
          <cell r="G57" t="str">
            <v>Battery walk behind lawn mower</v>
          </cell>
          <cell r="K57" t="str">
            <v>Russian Federation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X57">
            <v>68122754</v>
          </cell>
          <cell r="AH57">
            <v>0</v>
          </cell>
          <cell r="AJ57">
            <v>6871</v>
          </cell>
        </row>
        <row r="58">
          <cell r="B58">
            <v>2015</v>
          </cell>
          <cell r="F58" t="str">
            <v>Parts and accessories</v>
          </cell>
          <cell r="G58" t="str">
            <v>Chains &amp; bars</v>
          </cell>
          <cell r="K58" t="str">
            <v>Russian Federation</v>
          </cell>
          <cell r="M58">
            <v>173907078.74560016</v>
          </cell>
          <cell r="N58">
            <v>0</v>
          </cell>
          <cell r="O58">
            <v>9518571.9092999995</v>
          </cell>
          <cell r="P58">
            <v>183425650.65490016</v>
          </cell>
          <cell r="X58">
            <v>2101278515.4881208</v>
          </cell>
          <cell r="AH58">
            <v>0</v>
          </cell>
          <cell r="AJ58">
            <v>0</v>
          </cell>
        </row>
        <row r="59">
          <cell r="B59">
            <v>2015</v>
          </cell>
          <cell r="F59" t="str">
            <v>Petrol HH</v>
          </cell>
          <cell r="G59" t="str">
            <v>All blowers petrol (back pack, handheld)</v>
          </cell>
          <cell r="K59" t="str">
            <v>Russian Federation</v>
          </cell>
          <cell r="M59">
            <v>43622213.586099997</v>
          </cell>
          <cell r="N59">
            <v>0</v>
          </cell>
          <cell r="O59">
            <v>3312397.4417999997</v>
          </cell>
          <cell r="P59">
            <v>46934611.027899995</v>
          </cell>
          <cell r="X59">
            <v>168341525.42372882</v>
          </cell>
          <cell r="AH59">
            <v>2860</v>
          </cell>
          <cell r="AJ59">
            <v>13100</v>
          </cell>
        </row>
        <row r="60">
          <cell r="B60">
            <v>2015</v>
          </cell>
          <cell r="F60" t="str">
            <v>Battery</v>
          </cell>
          <cell r="G60" t="str">
            <v>Battery blower</v>
          </cell>
          <cell r="K60" t="str">
            <v>Russian Federation</v>
          </cell>
          <cell r="M60">
            <v>0</v>
          </cell>
          <cell r="N60">
            <v>0</v>
          </cell>
          <cell r="O60">
            <v>376648.09100000001</v>
          </cell>
          <cell r="P60">
            <v>376648.09100000001</v>
          </cell>
          <cell r="X60">
            <v>5639301</v>
          </cell>
          <cell r="AH60">
            <v>55</v>
          </cell>
          <cell r="AJ60">
            <v>1138</v>
          </cell>
        </row>
        <row r="61">
          <cell r="B61">
            <v>2015</v>
          </cell>
          <cell r="F61" t="str">
            <v>Corded</v>
          </cell>
          <cell r="G61" t="str">
            <v>Corded blower</v>
          </cell>
          <cell r="K61" t="str">
            <v>Russian Federation</v>
          </cell>
          <cell r="M61">
            <v>0</v>
          </cell>
          <cell r="N61">
            <v>12246874.078800004</v>
          </cell>
          <cell r="O61">
            <v>0</v>
          </cell>
          <cell r="P61">
            <v>12246874.078800004</v>
          </cell>
          <cell r="X61">
            <v>31712250.750991851</v>
          </cell>
          <cell r="AH61">
            <v>2645</v>
          </cell>
          <cell r="AJ61">
            <v>9533</v>
          </cell>
        </row>
        <row r="62">
          <cell r="B62">
            <v>2015</v>
          </cell>
          <cell r="F62" t="str">
            <v>Corded</v>
          </cell>
          <cell r="G62" t="str">
            <v>Corded chainsaw</v>
          </cell>
          <cell r="K62" t="str">
            <v>Russian Federation</v>
          </cell>
          <cell r="M62">
            <v>1188436.2069999999</v>
          </cell>
          <cell r="N62">
            <v>299574.07469999994</v>
          </cell>
          <cell r="O62">
            <v>4788221.1522000004</v>
          </cell>
          <cell r="P62">
            <v>6276231.4339000005</v>
          </cell>
          <cell r="X62">
            <v>607314103.98937738</v>
          </cell>
          <cell r="AH62">
            <v>1381</v>
          </cell>
          <cell r="AJ62">
            <v>218567</v>
          </cell>
        </row>
        <row r="63">
          <cell r="B63">
            <v>2015</v>
          </cell>
          <cell r="F63" t="str">
            <v>Corded</v>
          </cell>
          <cell r="G63" t="str">
            <v>Corded hedge trimmer</v>
          </cell>
          <cell r="K63" t="str">
            <v>Russian Federation</v>
          </cell>
          <cell r="M63">
            <v>0</v>
          </cell>
          <cell r="N63">
            <v>1998354.4984000006</v>
          </cell>
          <cell r="O63">
            <v>3005.42</v>
          </cell>
          <cell r="P63">
            <v>2001359.9184000005</v>
          </cell>
          <cell r="X63">
            <v>33544250.084449757</v>
          </cell>
          <cell r="AH63">
            <v>571</v>
          </cell>
          <cell r="AJ63">
            <v>12309</v>
          </cell>
        </row>
        <row r="64">
          <cell r="B64">
            <v>2015</v>
          </cell>
          <cell r="F64" t="str">
            <v>Corded</v>
          </cell>
          <cell r="G64" t="str">
            <v>Corded trimmer</v>
          </cell>
          <cell r="K64" t="str">
            <v>Russian Federation</v>
          </cell>
          <cell r="M64">
            <v>0</v>
          </cell>
          <cell r="N64">
            <v>9396925.9538199976</v>
          </cell>
          <cell r="O64">
            <v>59723.240000000005</v>
          </cell>
          <cell r="P64">
            <v>9456649.1938199978</v>
          </cell>
          <cell r="X64">
            <v>609041152.9089154</v>
          </cell>
          <cell r="AH64">
            <v>5661</v>
          </cell>
          <cell r="AJ64">
            <v>469309</v>
          </cell>
        </row>
        <row r="65">
          <cell r="B65">
            <v>2015</v>
          </cell>
          <cell r="F65" t="str">
            <v>Corded</v>
          </cell>
          <cell r="G65" t="str">
            <v>Corded walk behind lawn mower</v>
          </cell>
          <cell r="K65" t="str">
            <v>Russian Federation</v>
          </cell>
          <cell r="M65">
            <v>0</v>
          </cell>
          <cell r="N65">
            <v>85502267.806869999</v>
          </cell>
          <cell r="O65">
            <v>2061292.4572000001</v>
          </cell>
          <cell r="P65">
            <v>87563560.264070004</v>
          </cell>
          <cell r="X65">
            <v>783406026.131639</v>
          </cell>
          <cell r="AH65">
            <v>15101</v>
          </cell>
          <cell r="AJ65">
            <v>201173</v>
          </cell>
        </row>
        <row r="66">
          <cell r="B66">
            <v>2015</v>
          </cell>
          <cell r="F66" t="str">
            <v>Parts and accessories</v>
          </cell>
          <cell r="G66" t="str">
            <v>E Spare parts</v>
          </cell>
          <cell r="K66" t="str">
            <v>Russian Federation</v>
          </cell>
          <cell r="M66">
            <v>2054559.3806999996</v>
          </cell>
          <cell r="N66">
            <v>8456496.1400800012</v>
          </cell>
          <cell r="O66">
            <v>1501713.1265000002</v>
          </cell>
          <cell r="P66">
            <v>12012768.64728</v>
          </cell>
          <cell r="X66">
            <v>245700000</v>
          </cell>
          <cell r="AH66">
            <v>6425</v>
          </cell>
          <cell r="AJ66">
            <v>0</v>
          </cell>
        </row>
        <row r="67">
          <cell r="B67">
            <v>2015</v>
          </cell>
          <cell r="F67" t="str">
            <v>Parts and accessories</v>
          </cell>
          <cell r="G67" t="str">
            <v>Forest tools</v>
          </cell>
          <cell r="K67" t="str">
            <v>Russian Federation</v>
          </cell>
          <cell r="M67">
            <v>41011153.127200022</v>
          </cell>
          <cell r="N67">
            <v>0</v>
          </cell>
          <cell r="O67">
            <v>5030894.7163800001</v>
          </cell>
          <cell r="P67">
            <v>46042047.843580022</v>
          </cell>
          <cell r="X67">
            <v>112023352.85681766</v>
          </cell>
          <cell r="AH67">
            <v>0</v>
          </cell>
          <cell r="AJ67">
            <v>0</v>
          </cell>
        </row>
        <row r="68">
          <cell r="B68">
            <v>2015</v>
          </cell>
          <cell r="F68" t="str">
            <v>Hand tools</v>
          </cell>
          <cell r="G68" t="str">
            <v>Garden accessories</v>
          </cell>
          <cell r="K68" t="str">
            <v>Russian Federation</v>
          </cell>
          <cell r="M68">
            <v>0</v>
          </cell>
          <cell r="N68">
            <v>44491369.249699995</v>
          </cell>
          <cell r="O68">
            <v>0</v>
          </cell>
          <cell r="P68">
            <v>44491369.249699995</v>
          </cell>
          <cell r="X68">
            <v>696549407</v>
          </cell>
          <cell r="AH68">
            <v>63824</v>
          </cell>
          <cell r="AJ68">
            <v>670000.00017037895</v>
          </cell>
        </row>
        <row r="69">
          <cell r="B69">
            <v>2015</v>
          </cell>
          <cell r="F69" t="str">
            <v>Hand tools</v>
          </cell>
          <cell r="G69" t="str">
            <v>Garden tools</v>
          </cell>
          <cell r="K69" t="str">
            <v>Russian Federation</v>
          </cell>
          <cell r="M69">
            <v>0</v>
          </cell>
          <cell r="N69">
            <v>44306383.444829993</v>
          </cell>
          <cell r="O69">
            <v>0</v>
          </cell>
          <cell r="P69">
            <v>44306383.444829993</v>
          </cell>
          <cell r="X69">
            <v>1316868941.5237677</v>
          </cell>
          <cell r="AH69">
            <v>66969</v>
          </cell>
          <cell r="AJ69">
            <v>0</v>
          </cell>
        </row>
        <row r="70">
          <cell r="B70">
            <v>2015</v>
          </cell>
          <cell r="F70" t="str">
            <v>Parts and accessories</v>
          </cell>
          <cell r="G70" t="str">
            <v>HH Spare parts</v>
          </cell>
          <cell r="K70" t="str">
            <v>Russian Federation</v>
          </cell>
          <cell r="M70">
            <v>249785595.73460004</v>
          </cell>
          <cell r="N70">
            <v>8658.3562000000002</v>
          </cell>
          <cell r="O70">
            <v>20665418.627390001</v>
          </cell>
          <cell r="P70">
            <v>270459672.71819007</v>
          </cell>
          <cell r="X70">
            <v>2089100905</v>
          </cell>
          <cell r="AH70">
            <v>0</v>
          </cell>
          <cell r="AJ70">
            <v>0</v>
          </cell>
        </row>
        <row r="71">
          <cell r="B71">
            <v>2015</v>
          </cell>
          <cell r="F71" t="str">
            <v>Watering</v>
          </cell>
          <cell r="G71" t="str">
            <v>Irrigation systems</v>
          </cell>
          <cell r="K71" t="str">
            <v>Russian Federation</v>
          </cell>
          <cell r="M71">
            <v>0</v>
          </cell>
          <cell r="N71">
            <v>87939457.051760033</v>
          </cell>
          <cell r="O71">
            <v>0</v>
          </cell>
          <cell r="P71">
            <v>87939457.051760033</v>
          </cell>
          <cell r="X71">
            <v>1908246461.4874609</v>
          </cell>
          <cell r="AH71">
            <v>109246</v>
          </cell>
          <cell r="AJ71">
            <v>0</v>
          </cell>
        </row>
        <row r="72">
          <cell r="B72">
            <v>2015</v>
          </cell>
          <cell r="F72" t="str">
            <v>Parts and accessories</v>
          </cell>
          <cell r="G72" t="str">
            <v>LME</v>
          </cell>
          <cell r="K72" t="str">
            <v>Russian Federation</v>
          </cell>
          <cell r="M72">
            <v>121646277.63940004</v>
          </cell>
          <cell r="N72">
            <v>2283.06</v>
          </cell>
          <cell r="O72">
            <v>15181307.575259993</v>
          </cell>
          <cell r="P72">
            <v>136829868.27466002</v>
          </cell>
          <cell r="X72">
            <v>772847406.38836432</v>
          </cell>
          <cell r="AH72">
            <v>10</v>
          </cell>
          <cell r="AJ72">
            <v>0</v>
          </cell>
        </row>
        <row r="73">
          <cell r="B73">
            <v>2015</v>
          </cell>
          <cell r="F73" t="str">
            <v>Parts and accessories</v>
          </cell>
          <cell r="G73" t="str">
            <v>Lubricants</v>
          </cell>
          <cell r="K73" t="str">
            <v>Russian Federation</v>
          </cell>
          <cell r="M73">
            <v>137011157.75659993</v>
          </cell>
          <cell r="N73">
            <v>0</v>
          </cell>
          <cell r="O73">
            <v>16168675.881420003</v>
          </cell>
          <cell r="P73">
            <v>153179833.63801995</v>
          </cell>
          <cell r="X73">
            <v>1050945400.4505796</v>
          </cell>
          <cell r="AH73">
            <v>0</v>
          </cell>
          <cell r="AJ73">
            <v>0</v>
          </cell>
        </row>
        <row r="74">
          <cell r="B74">
            <v>2015</v>
          </cell>
          <cell r="F74" t="str">
            <v>Hand tools</v>
          </cell>
          <cell r="G74" t="str">
            <v>Mechanical cutting</v>
          </cell>
          <cell r="K74" t="str">
            <v>Russian Federation</v>
          </cell>
          <cell r="M74">
            <v>0</v>
          </cell>
          <cell r="N74">
            <v>58114294.545349993</v>
          </cell>
          <cell r="O74">
            <v>0</v>
          </cell>
          <cell r="P74">
            <v>58114294.545349993</v>
          </cell>
          <cell r="X74">
            <v>1554235555.3209605</v>
          </cell>
          <cell r="AH74">
            <v>55736</v>
          </cell>
          <cell r="AJ74">
            <v>3315702.5180180492</v>
          </cell>
        </row>
        <row r="75">
          <cell r="B75">
            <v>2015</v>
          </cell>
          <cell r="F75" t="str">
            <v>Watering</v>
          </cell>
          <cell r="G75" t="str">
            <v>Mobile watering</v>
          </cell>
          <cell r="K75" t="str">
            <v>Russian Federation</v>
          </cell>
          <cell r="M75">
            <v>0</v>
          </cell>
          <cell r="N75">
            <v>364659060.25677001</v>
          </cell>
          <cell r="O75">
            <v>0</v>
          </cell>
          <cell r="P75">
            <v>364659060.25677001</v>
          </cell>
          <cell r="X75">
            <v>2126781273.2584841</v>
          </cell>
          <cell r="AH75">
            <v>754337</v>
          </cell>
          <cell r="AJ75">
            <v>0</v>
          </cell>
        </row>
        <row r="76">
          <cell r="B76">
            <v>2015</v>
          </cell>
          <cell r="F76" t="str">
            <v>Parts and accessories</v>
          </cell>
          <cell r="G76" t="str">
            <v>Personal protection equipment</v>
          </cell>
          <cell r="K76" t="str">
            <v>Russian Federation</v>
          </cell>
          <cell r="M76">
            <v>11628109.628000002</v>
          </cell>
          <cell r="N76">
            <v>0</v>
          </cell>
          <cell r="O76">
            <v>1687130.5780599997</v>
          </cell>
          <cell r="P76">
            <v>13315240.206060002</v>
          </cell>
          <cell r="X76">
            <v>55046046.164236873</v>
          </cell>
          <cell r="AH76">
            <v>0</v>
          </cell>
          <cell r="AJ76">
            <v>0</v>
          </cell>
        </row>
        <row r="77">
          <cell r="B77">
            <v>2015</v>
          </cell>
          <cell r="F77" t="str">
            <v>Watering</v>
          </cell>
          <cell r="G77" t="str">
            <v>Pumps</v>
          </cell>
          <cell r="K77" t="str">
            <v>Russian Federation</v>
          </cell>
          <cell r="M77">
            <v>0</v>
          </cell>
          <cell r="N77">
            <v>98735348.600079998</v>
          </cell>
          <cell r="O77">
            <v>0</v>
          </cell>
          <cell r="P77">
            <v>98735348.600079998</v>
          </cell>
          <cell r="X77">
            <v>4865283046.7473774</v>
          </cell>
          <cell r="AH77">
            <v>39874</v>
          </cell>
          <cell r="AJ77">
            <v>2004256</v>
          </cell>
        </row>
        <row r="78">
          <cell r="B78">
            <v>2015</v>
          </cell>
          <cell r="F78" t="str">
            <v>Hand tools</v>
          </cell>
          <cell r="G78" t="str">
            <v>Push lawn mower</v>
          </cell>
          <cell r="K78" t="str">
            <v>Russian Federation</v>
          </cell>
          <cell r="M78">
            <v>2709385.9286000021</v>
          </cell>
          <cell r="N78">
            <v>1697395.0735000009</v>
          </cell>
          <cell r="O78">
            <v>0</v>
          </cell>
          <cell r="P78">
            <v>4406781.002100003</v>
          </cell>
          <cell r="X78">
            <v>0</v>
          </cell>
          <cell r="AH78">
            <v>815</v>
          </cell>
          <cell r="AJ78">
            <v>0</v>
          </cell>
        </row>
        <row r="79">
          <cell r="B79">
            <v>2015</v>
          </cell>
          <cell r="F79" t="str">
            <v>Parts and accessories</v>
          </cell>
          <cell r="G79" t="str">
            <v>Ride-on/Lawnmowers</v>
          </cell>
          <cell r="K79" t="str">
            <v>Russian Federation</v>
          </cell>
          <cell r="M79">
            <v>9357856.4959999975</v>
          </cell>
          <cell r="N79">
            <v>14128.2605</v>
          </cell>
          <cell r="O79">
            <v>400184.61553999985</v>
          </cell>
          <cell r="P79">
            <v>9772169.372039998</v>
          </cell>
          <cell r="X79">
            <v>73121027.910403848</v>
          </cell>
          <cell r="AH79">
            <v>77</v>
          </cell>
          <cell r="AJ79">
            <v>0</v>
          </cell>
        </row>
        <row r="80">
          <cell r="B80">
            <v>2015</v>
          </cell>
          <cell r="F80" t="str">
            <v>Wheeled</v>
          </cell>
          <cell r="G80" t="str">
            <v>Rider/front mower</v>
          </cell>
          <cell r="K80" t="str">
            <v>Russian Federation</v>
          </cell>
          <cell r="M80">
            <v>31288405.004099999</v>
          </cell>
          <cell r="N80">
            <v>0</v>
          </cell>
          <cell r="O80">
            <v>677724.75929999992</v>
          </cell>
          <cell r="P80">
            <v>31966129.7634</v>
          </cell>
          <cell r="X80">
            <v>58037288.135593228</v>
          </cell>
          <cell r="AH80">
            <v>150</v>
          </cell>
          <cell r="AJ80">
            <v>200</v>
          </cell>
        </row>
        <row r="81">
          <cell r="B81">
            <v>2015</v>
          </cell>
          <cell r="F81" t="str">
            <v>Robotics</v>
          </cell>
          <cell r="G81" t="str">
            <v>Robotic lawn mower</v>
          </cell>
          <cell r="K81" t="str">
            <v>Russian Federation</v>
          </cell>
          <cell r="M81">
            <v>2992058.7766</v>
          </cell>
          <cell r="N81">
            <v>0</v>
          </cell>
          <cell r="O81">
            <v>0</v>
          </cell>
          <cell r="P81">
            <v>2992058.7766</v>
          </cell>
          <cell r="X81">
            <v>9581101.6949152537</v>
          </cell>
          <cell r="AH81">
            <v>38</v>
          </cell>
          <cell r="AJ81">
            <v>153</v>
          </cell>
        </row>
        <row r="82">
          <cell r="B82">
            <v>2015</v>
          </cell>
          <cell r="F82" t="str">
            <v>Wheeled</v>
          </cell>
          <cell r="G82" t="str">
            <v>Snow thrower</v>
          </cell>
          <cell r="K82" t="str">
            <v>Russian Federation</v>
          </cell>
          <cell r="M82">
            <v>147259864.06099993</v>
          </cell>
          <cell r="N82">
            <v>0</v>
          </cell>
          <cell r="O82">
            <v>5468789.6881000018</v>
          </cell>
          <cell r="P82">
            <v>152728653.74909994</v>
          </cell>
          <cell r="X82">
            <v>1863996115.7394741</v>
          </cell>
          <cell r="AH82">
            <v>2401</v>
          </cell>
          <cell r="AJ82">
            <v>53683</v>
          </cell>
        </row>
        <row r="83">
          <cell r="B83">
            <v>2015</v>
          </cell>
          <cell r="F83" t="str">
            <v>Wheeled</v>
          </cell>
          <cell r="G83" t="str">
            <v>Tractor</v>
          </cell>
          <cell r="K83" t="str">
            <v>Russian Federation</v>
          </cell>
          <cell r="M83">
            <v>39787694.724499993</v>
          </cell>
          <cell r="N83">
            <v>0</v>
          </cell>
          <cell r="O83">
            <v>32282941.623499997</v>
          </cell>
          <cell r="P83">
            <v>72070636.34799999</v>
          </cell>
          <cell r="X83">
            <v>134751864.40677965</v>
          </cell>
          <cell r="AH83">
            <v>695</v>
          </cell>
          <cell r="AJ83">
            <v>1144</v>
          </cell>
        </row>
        <row r="84">
          <cell r="B84">
            <v>2015</v>
          </cell>
          <cell r="F84" t="str">
            <v>Parts and accessories</v>
          </cell>
          <cell r="G84" t="str">
            <v>W Spare parts</v>
          </cell>
          <cell r="K84" t="str">
            <v>Russian Federation</v>
          </cell>
          <cell r="M84">
            <v>30534460.414800011</v>
          </cell>
          <cell r="N84">
            <v>75712.854100000011</v>
          </cell>
          <cell r="O84">
            <v>10237054.1293</v>
          </cell>
          <cell r="P84">
            <v>40847227.398200013</v>
          </cell>
          <cell r="X84">
            <v>675950000</v>
          </cell>
          <cell r="AH84">
            <v>0</v>
          </cell>
          <cell r="AJ84">
            <v>0</v>
          </cell>
        </row>
        <row r="85">
          <cell r="B85">
            <v>2015</v>
          </cell>
          <cell r="F85" t="str">
            <v>Parts and accessories</v>
          </cell>
          <cell r="G85" t="str">
            <v>WA Spare parts</v>
          </cell>
          <cell r="K85" t="str">
            <v>Russian Federation</v>
          </cell>
          <cell r="M85">
            <v>0</v>
          </cell>
          <cell r="N85">
            <v>1355604.9328000001</v>
          </cell>
          <cell r="O85">
            <v>0</v>
          </cell>
          <cell r="P85">
            <v>1355604.9328000001</v>
          </cell>
          <cell r="X85">
            <v>48450000</v>
          </cell>
          <cell r="AH85">
            <v>0</v>
          </cell>
          <cell r="AJ85">
            <v>0</v>
          </cell>
        </row>
        <row r="86">
          <cell r="B86">
            <v>2015</v>
          </cell>
          <cell r="F86" t="str">
            <v>Wheeled</v>
          </cell>
          <cell r="G86" t="str">
            <v>Tiller</v>
          </cell>
          <cell r="K86" t="str">
            <v>Russian Federation</v>
          </cell>
          <cell r="M86">
            <v>52611105.333199985</v>
          </cell>
          <cell r="N86">
            <v>0</v>
          </cell>
          <cell r="O86">
            <v>1657803.8229000003</v>
          </cell>
          <cell r="P86">
            <v>54268909.156099983</v>
          </cell>
          <cell r="X86">
            <v>4645511873.4508181</v>
          </cell>
          <cell r="AH86">
            <v>2283</v>
          </cell>
          <cell r="AJ86">
            <v>260709</v>
          </cell>
        </row>
        <row r="87">
          <cell r="B87">
            <v>2015</v>
          </cell>
          <cell r="F87" t="str">
            <v>Wheeled</v>
          </cell>
          <cell r="G87" t="str">
            <v>Walk behind lawn mower petrol</v>
          </cell>
          <cell r="K87" t="str">
            <v>Russian Federation</v>
          </cell>
          <cell r="M87">
            <v>123303444.36660002</v>
          </cell>
          <cell r="N87">
            <v>20838.98</v>
          </cell>
          <cell r="O87">
            <v>68139605.558789983</v>
          </cell>
          <cell r="P87">
            <v>191463888.90539002</v>
          </cell>
          <cell r="X87">
            <v>819976334.81357288</v>
          </cell>
          <cell r="AH87">
            <v>10145</v>
          </cell>
          <cell r="AJ87">
            <v>61536</v>
          </cell>
        </row>
        <row r="88">
          <cell r="B88">
            <v>2015</v>
          </cell>
          <cell r="F88" t="str">
            <v>Wheeled</v>
          </cell>
          <cell r="G88" t="str">
            <v>Zero turn mower</v>
          </cell>
          <cell r="K88" t="str">
            <v>Russian Federation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X88">
            <v>0</v>
          </cell>
          <cell r="AH88">
            <v>0</v>
          </cell>
          <cell r="AJ88">
            <v>0</v>
          </cell>
        </row>
        <row r="89">
          <cell r="B89">
            <v>2014</v>
          </cell>
          <cell r="F89" t="str">
            <v>Petrol HH</v>
          </cell>
          <cell r="G89" t="str">
            <v>All blowers petrol (back pack, handheld)</v>
          </cell>
          <cell r="K89" t="str">
            <v>Russian Federation</v>
          </cell>
          <cell r="M89">
            <v>51713460.935000002</v>
          </cell>
          <cell r="N89" t="str">
            <v xml:space="preserve"> -      </v>
          </cell>
          <cell r="O89">
            <v>17892.942999999999</v>
          </cell>
          <cell r="P89">
            <v>51731353.878000006</v>
          </cell>
          <cell r="X89">
            <v>177239440.67796612</v>
          </cell>
          <cell r="AH89">
            <v>3937</v>
          </cell>
          <cell r="AJ89">
            <v>19000</v>
          </cell>
        </row>
        <row r="90">
          <cell r="B90">
            <v>2014</v>
          </cell>
          <cell r="F90" t="str">
            <v>Petrol HH</v>
          </cell>
          <cell r="G90" t="str">
            <v>All chainsaws petrol (pro, prosumer, consumer, tree-care)</v>
          </cell>
          <cell r="K90" t="str">
            <v>Russian Federation</v>
          </cell>
          <cell r="M90">
            <v>974476948.74600005</v>
          </cell>
          <cell r="N90" t="str">
            <v xml:space="preserve"> -      </v>
          </cell>
          <cell r="O90">
            <v>370524335.53500003</v>
          </cell>
          <cell r="P90">
            <v>1345001284.2810001</v>
          </cell>
          <cell r="X90">
            <v>7042076631.3559322</v>
          </cell>
          <cell r="AH90">
            <v>241772</v>
          </cell>
          <cell r="AJ90">
            <v>1438657</v>
          </cell>
        </row>
        <row r="91">
          <cell r="B91">
            <v>2014</v>
          </cell>
          <cell r="F91" t="str">
            <v>Petrol HH</v>
          </cell>
          <cell r="G91" t="str">
            <v>All hedge trimmers petrol (hedge trimmer, pole hedge trimmer)</v>
          </cell>
          <cell r="K91" t="str">
            <v>Russian Federation</v>
          </cell>
          <cell r="M91">
            <v>9731940.8430000003</v>
          </cell>
          <cell r="N91" t="str">
            <v xml:space="preserve"> -      </v>
          </cell>
          <cell r="O91" t="str">
            <v xml:space="preserve"> -      </v>
          </cell>
          <cell r="P91">
            <v>9731940.8430000003</v>
          </cell>
          <cell r="X91">
            <v>34951067.796610169</v>
          </cell>
          <cell r="AH91">
            <v>836</v>
          </cell>
          <cell r="AJ91">
            <v>5050</v>
          </cell>
        </row>
        <row r="92">
          <cell r="B92">
            <v>2014</v>
          </cell>
          <cell r="F92" t="str">
            <v>Petrol HH</v>
          </cell>
          <cell r="G92" t="str">
            <v>All trimmers petrol (trimmer, brushcutter, edger/stick edger, multi-tool)</v>
          </cell>
          <cell r="K92" t="str">
            <v>Russian Federation</v>
          </cell>
          <cell r="M92">
            <v>677990076.954</v>
          </cell>
          <cell r="N92" t="str">
            <v xml:space="preserve"> -      </v>
          </cell>
          <cell r="O92">
            <v>41324097.123999998</v>
          </cell>
          <cell r="P92">
            <v>719314174.07799995</v>
          </cell>
          <cell r="X92">
            <v>6985886182.5690451</v>
          </cell>
          <cell r="AH92">
            <v>105010</v>
          </cell>
          <cell r="AJ92">
            <v>1717385</v>
          </cell>
        </row>
        <row r="93">
          <cell r="B93">
            <v>2014</v>
          </cell>
          <cell r="F93" t="str">
            <v>Battery</v>
          </cell>
          <cell r="G93" t="str">
            <v>Battery blower</v>
          </cell>
          <cell r="K93" t="str">
            <v>Russian Federation</v>
          </cell>
          <cell r="M93" t="str">
            <v xml:space="preserve"> -      </v>
          </cell>
          <cell r="N93">
            <v>0</v>
          </cell>
          <cell r="O93">
            <v>815155.61499999999</v>
          </cell>
          <cell r="P93">
            <v>815155.61499999999</v>
          </cell>
          <cell r="X93">
            <v>4104342</v>
          </cell>
          <cell r="AH93">
            <v>42</v>
          </cell>
          <cell r="AJ93">
            <v>922</v>
          </cell>
        </row>
        <row r="94">
          <cell r="B94">
            <v>2014</v>
          </cell>
          <cell r="F94" t="str">
            <v>Battery</v>
          </cell>
          <cell r="G94" t="str">
            <v>Battery chainsaw</v>
          </cell>
          <cell r="K94" t="str">
            <v>Russian Federation</v>
          </cell>
          <cell r="M94">
            <v>754281.38100000005</v>
          </cell>
          <cell r="N94">
            <v>338097.29</v>
          </cell>
          <cell r="O94" t="str">
            <v xml:space="preserve"> -      </v>
          </cell>
          <cell r="P94">
            <v>1092378.6710000001</v>
          </cell>
          <cell r="X94">
            <v>40560413</v>
          </cell>
          <cell r="AH94">
            <v>85</v>
          </cell>
          <cell r="AJ94">
            <v>4117</v>
          </cell>
        </row>
        <row r="95">
          <cell r="B95">
            <v>2014</v>
          </cell>
          <cell r="F95" t="str">
            <v>Battery</v>
          </cell>
          <cell r="G95" t="str">
            <v>Battery grass &amp; shrub shears</v>
          </cell>
          <cell r="K95" t="str">
            <v>Russian Federation</v>
          </cell>
          <cell r="M95">
            <v>0</v>
          </cell>
          <cell r="N95">
            <v>41274475.282999985</v>
          </cell>
          <cell r="O95">
            <v>0</v>
          </cell>
          <cell r="P95">
            <v>41274475.282999985</v>
          </cell>
          <cell r="X95">
            <v>80141438</v>
          </cell>
          <cell r="AH95">
            <v>13925</v>
          </cell>
          <cell r="AJ95">
            <v>30001</v>
          </cell>
        </row>
        <row r="96">
          <cell r="B96">
            <v>2014</v>
          </cell>
          <cell r="F96" t="str">
            <v>Battery</v>
          </cell>
          <cell r="G96" t="str">
            <v>Battery hedge trimmer</v>
          </cell>
          <cell r="K96" t="str">
            <v>Russian Federation</v>
          </cell>
          <cell r="M96" t="str">
            <v xml:space="preserve"> -      </v>
          </cell>
          <cell r="N96">
            <v>774126.48499999999</v>
          </cell>
          <cell r="O96" t="str">
            <v xml:space="preserve"> -      </v>
          </cell>
          <cell r="P96">
            <v>774126.48499999999</v>
          </cell>
          <cell r="X96">
            <v>7354954</v>
          </cell>
          <cell r="AH96">
            <v>210</v>
          </cell>
          <cell r="AJ96">
            <v>3435</v>
          </cell>
        </row>
        <row r="97">
          <cell r="B97">
            <v>2014</v>
          </cell>
          <cell r="F97" t="str">
            <v>Battery</v>
          </cell>
          <cell r="G97" t="str">
            <v>Battery trimmer</v>
          </cell>
          <cell r="K97" t="str">
            <v>Russian Federation</v>
          </cell>
          <cell r="M97">
            <v>979986.64599999995</v>
          </cell>
          <cell r="N97">
            <v>2093320.949</v>
          </cell>
          <cell r="O97" t="str">
            <v xml:space="preserve"> -      </v>
          </cell>
          <cell r="P97">
            <v>3073307.5949999997</v>
          </cell>
          <cell r="X97">
            <v>71830233</v>
          </cell>
          <cell r="AH97">
            <v>624</v>
          </cell>
          <cell r="AJ97">
            <v>16145</v>
          </cell>
        </row>
        <row r="98">
          <cell r="B98">
            <v>2014</v>
          </cell>
          <cell r="F98" t="str">
            <v>Battery</v>
          </cell>
          <cell r="G98" t="str">
            <v>Battery walk behind lawn mower</v>
          </cell>
          <cell r="K98" t="str">
            <v>Russian Federation</v>
          </cell>
          <cell r="M98" t="str">
            <v xml:space="preserve"> -      </v>
          </cell>
          <cell r="N98" t="str">
            <v xml:space="preserve"> -      </v>
          </cell>
          <cell r="O98" t="str">
            <v xml:space="preserve"> -      </v>
          </cell>
          <cell r="P98">
            <v>0</v>
          </cell>
          <cell r="X98">
            <v>120042992</v>
          </cell>
          <cell r="AH98">
            <v>0</v>
          </cell>
          <cell r="AJ98">
            <v>12107</v>
          </cell>
        </row>
        <row r="99">
          <cell r="B99">
            <v>2014</v>
          </cell>
          <cell r="F99" t="str">
            <v>Parts and accessories</v>
          </cell>
          <cell r="G99" t="str">
            <v>Chains &amp; bars</v>
          </cell>
          <cell r="K99" t="str">
            <v>Russian Federation</v>
          </cell>
          <cell r="M99">
            <v>227547945</v>
          </cell>
          <cell r="N99" t="str">
            <v xml:space="preserve"> -      </v>
          </cell>
          <cell r="O99">
            <v>17273885</v>
          </cell>
          <cell r="P99">
            <v>244821830</v>
          </cell>
          <cell r="X99">
            <v>2816830652.5423732</v>
          </cell>
          <cell r="AH99">
            <v>0</v>
          </cell>
          <cell r="AJ99">
            <v>0</v>
          </cell>
        </row>
        <row r="100">
          <cell r="B100">
            <v>2014</v>
          </cell>
          <cell r="F100" t="str">
            <v>Corded</v>
          </cell>
          <cell r="G100" t="str">
            <v>Corded blower</v>
          </cell>
          <cell r="K100" t="str">
            <v>Russian Federation</v>
          </cell>
          <cell r="M100" t="str">
            <v xml:space="preserve"> -      </v>
          </cell>
          <cell r="N100">
            <v>8137440.9069999997</v>
          </cell>
          <cell r="O100">
            <v>0</v>
          </cell>
          <cell r="P100">
            <v>8137440.9069999997</v>
          </cell>
          <cell r="X100">
            <v>29614299.152542375</v>
          </cell>
          <cell r="AH100">
            <v>2780</v>
          </cell>
          <cell r="AJ100">
            <v>12278</v>
          </cell>
        </row>
        <row r="101">
          <cell r="B101">
            <v>2014</v>
          </cell>
          <cell r="F101" t="str">
            <v>Corded</v>
          </cell>
          <cell r="G101" t="str">
            <v>Corded chainsaw</v>
          </cell>
          <cell r="K101" t="str">
            <v>Russian Federation</v>
          </cell>
          <cell r="M101">
            <v>3221497.523</v>
          </cell>
          <cell r="N101">
            <v>1478997.7709999999</v>
          </cell>
          <cell r="O101">
            <v>591075.27899999998</v>
          </cell>
          <cell r="P101">
            <v>5291570.5729999999</v>
          </cell>
          <cell r="X101">
            <v>806892527.50075245</v>
          </cell>
          <cell r="AH101">
            <v>940</v>
          </cell>
          <cell r="AJ101">
            <v>360000</v>
          </cell>
        </row>
        <row r="102">
          <cell r="B102">
            <v>2014</v>
          </cell>
          <cell r="F102" t="str">
            <v>Corded</v>
          </cell>
          <cell r="G102" t="str">
            <v>Corded hedge trimmer</v>
          </cell>
          <cell r="K102" t="str">
            <v>Russian Federation</v>
          </cell>
          <cell r="M102" t="str">
            <v xml:space="preserve"> -      </v>
          </cell>
          <cell r="N102">
            <v>2359177.4759999998</v>
          </cell>
          <cell r="O102" t="str">
            <v xml:space="preserve"> -      </v>
          </cell>
          <cell r="P102">
            <v>2359177.4759999998</v>
          </cell>
          <cell r="X102">
            <v>39337500</v>
          </cell>
          <cell r="AH102">
            <v>935</v>
          </cell>
          <cell r="AJ102">
            <v>14601</v>
          </cell>
        </row>
        <row r="103">
          <cell r="B103">
            <v>2014</v>
          </cell>
          <cell r="F103" t="str">
            <v>Corded</v>
          </cell>
          <cell r="G103" t="str">
            <v>Corded trimmer</v>
          </cell>
          <cell r="K103" t="str">
            <v>Russian Federation</v>
          </cell>
          <cell r="M103" t="str">
            <v xml:space="preserve"> -      </v>
          </cell>
          <cell r="N103">
            <v>17059695.004999999</v>
          </cell>
          <cell r="O103">
            <v>873.73</v>
          </cell>
          <cell r="P103">
            <v>17060568.734999999</v>
          </cell>
          <cell r="X103">
            <v>968372343.30508494</v>
          </cell>
          <cell r="AH103">
            <v>9375</v>
          </cell>
          <cell r="AJ103">
            <v>676572</v>
          </cell>
        </row>
        <row r="104">
          <cell r="B104">
            <v>2014</v>
          </cell>
          <cell r="F104" t="str">
            <v>Corded</v>
          </cell>
          <cell r="G104" t="str">
            <v>Corded walk behind lawn mower</v>
          </cell>
          <cell r="K104" t="str">
            <v>Russian Federation</v>
          </cell>
          <cell r="M104" t="str">
            <v xml:space="preserve"> -      </v>
          </cell>
          <cell r="N104">
            <v>87887162.378999993</v>
          </cell>
          <cell r="O104">
            <v>1130720.851</v>
          </cell>
          <cell r="P104">
            <v>89017883.229999989</v>
          </cell>
          <cell r="X104">
            <v>789307106.5796051</v>
          </cell>
          <cell r="AH104">
            <v>20919</v>
          </cell>
          <cell r="AJ104">
            <v>234670</v>
          </cell>
        </row>
        <row r="105">
          <cell r="B105">
            <v>2014</v>
          </cell>
          <cell r="F105" t="str">
            <v>Parts and accessories</v>
          </cell>
          <cell r="G105" t="str">
            <v>E Spare parts</v>
          </cell>
          <cell r="K105" t="str">
            <v>Russian Federation</v>
          </cell>
          <cell r="M105">
            <v>1820811.0341999992</v>
          </cell>
          <cell r="N105">
            <v>7082724.6265600007</v>
          </cell>
          <cell r="O105">
            <v>918141.97700000007</v>
          </cell>
          <cell r="P105">
            <v>9821677.6377600003</v>
          </cell>
          <cell r="X105">
            <v>163800000</v>
          </cell>
          <cell r="AH105">
            <v>343</v>
          </cell>
          <cell r="AJ105">
            <v>0</v>
          </cell>
        </row>
        <row r="106">
          <cell r="B106">
            <v>2014</v>
          </cell>
          <cell r="F106" t="str">
            <v>Parts and accessories</v>
          </cell>
          <cell r="G106" t="str">
            <v>Forest tools</v>
          </cell>
          <cell r="K106" t="str">
            <v>Russian Federation</v>
          </cell>
          <cell r="M106">
            <v>46308789</v>
          </cell>
          <cell r="N106" t="str">
            <v xml:space="preserve"> -      </v>
          </cell>
          <cell r="O106">
            <v>7666464</v>
          </cell>
          <cell r="P106">
            <v>53975253</v>
          </cell>
          <cell r="X106">
            <v>160033361.22402525</v>
          </cell>
          <cell r="AH106">
            <v>0</v>
          </cell>
          <cell r="AJ106">
            <v>0</v>
          </cell>
        </row>
        <row r="107">
          <cell r="B107">
            <v>2014</v>
          </cell>
          <cell r="F107" t="str">
            <v>Hand tools</v>
          </cell>
          <cell r="G107" t="str">
            <v>Garden accessories</v>
          </cell>
          <cell r="K107" t="str">
            <v>Russian Federation</v>
          </cell>
          <cell r="M107" t="str">
            <v xml:space="preserve"> -      </v>
          </cell>
          <cell r="N107">
            <v>63083361.821999997</v>
          </cell>
          <cell r="O107" t="str">
            <v xml:space="preserve"> -      </v>
          </cell>
          <cell r="P107">
            <v>63083361.821999997</v>
          </cell>
          <cell r="X107">
            <v>819469890.79109442</v>
          </cell>
          <cell r="AH107">
            <v>127787</v>
          </cell>
          <cell r="AJ107">
            <v>0</v>
          </cell>
        </row>
        <row r="108">
          <cell r="B108">
            <v>2014</v>
          </cell>
          <cell r="F108" t="str">
            <v>Hand tools</v>
          </cell>
          <cell r="G108" t="str">
            <v>Garden tools</v>
          </cell>
          <cell r="K108" t="str">
            <v>Russian Federation</v>
          </cell>
          <cell r="M108" t="str">
            <v xml:space="preserve"> -      </v>
          </cell>
          <cell r="N108">
            <v>52463139.714000002</v>
          </cell>
          <cell r="O108" t="str">
            <v xml:space="preserve"> -      </v>
          </cell>
          <cell r="P108">
            <v>52463139.714000002</v>
          </cell>
          <cell r="X108">
            <v>1549257578.2632561</v>
          </cell>
          <cell r="AH108">
            <v>110417</v>
          </cell>
          <cell r="AJ108">
            <v>0</v>
          </cell>
        </row>
        <row r="109">
          <cell r="B109">
            <v>2014</v>
          </cell>
          <cell r="F109" t="str">
            <v>Parts and accessories</v>
          </cell>
          <cell r="G109" t="str">
            <v>HH Spare parts</v>
          </cell>
          <cell r="K109" t="str">
            <v>Russian Federation</v>
          </cell>
          <cell r="M109">
            <v>210726477</v>
          </cell>
          <cell r="N109">
            <v>488.98</v>
          </cell>
          <cell r="O109">
            <v>17313421</v>
          </cell>
          <cell r="P109">
            <v>228040386.97999999</v>
          </cell>
          <cell r="X109">
            <v>1392733936.6560299</v>
          </cell>
          <cell r="AH109">
            <v>0</v>
          </cell>
          <cell r="AJ109">
            <v>0</v>
          </cell>
        </row>
        <row r="110">
          <cell r="B110">
            <v>2014</v>
          </cell>
          <cell r="F110" t="str">
            <v>Watering</v>
          </cell>
          <cell r="G110" t="str">
            <v>Irrigation systems</v>
          </cell>
          <cell r="K110" t="str">
            <v>Russian Federation</v>
          </cell>
          <cell r="M110" t="str">
            <v xml:space="preserve"> -      </v>
          </cell>
          <cell r="N110">
            <v>87176900.062000006</v>
          </cell>
          <cell r="O110" t="str">
            <v xml:space="preserve"> -      </v>
          </cell>
          <cell r="P110">
            <v>87176900.062000006</v>
          </cell>
          <cell r="X110">
            <v>1817377582.3690102</v>
          </cell>
          <cell r="AH110">
            <v>158394</v>
          </cell>
          <cell r="AJ110">
            <v>0</v>
          </cell>
        </row>
        <row r="111">
          <cell r="B111">
            <v>2014</v>
          </cell>
          <cell r="F111" t="str">
            <v>Parts and accessories</v>
          </cell>
          <cell r="G111" t="str">
            <v>LME</v>
          </cell>
          <cell r="K111" t="str">
            <v>Russian Federation</v>
          </cell>
          <cell r="M111">
            <v>119240281.186</v>
          </cell>
          <cell r="N111" t="str">
            <v xml:space="preserve"> -      </v>
          </cell>
          <cell r="O111">
            <v>16501668.547</v>
          </cell>
          <cell r="P111">
            <v>135741949.73300001</v>
          </cell>
          <cell r="X111">
            <v>750337287.75569344</v>
          </cell>
          <cell r="AH111">
            <v>0</v>
          </cell>
          <cell r="AJ111">
            <v>0</v>
          </cell>
        </row>
        <row r="112">
          <cell r="B112">
            <v>2014</v>
          </cell>
          <cell r="F112" t="str">
            <v>Parts and accessories</v>
          </cell>
          <cell r="G112" t="str">
            <v>Lubricants</v>
          </cell>
          <cell r="K112" t="str">
            <v>Russian Federation</v>
          </cell>
          <cell r="M112">
            <v>180135761.87099999</v>
          </cell>
          <cell r="N112" t="str">
            <v xml:space="preserve"> -      </v>
          </cell>
          <cell r="O112">
            <v>17491793.27</v>
          </cell>
          <cell r="P112">
            <v>197627555.141</v>
          </cell>
          <cell r="X112">
            <v>1167717111.6117551</v>
          </cell>
          <cell r="AH112">
            <v>0</v>
          </cell>
          <cell r="AJ112">
            <v>0</v>
          </cell>
        </row>
        <row r="113">
          <cell r="B113">
            <v>2014</v>
          </cell>
          <cell r="F113" t="str">
            <v>Hand tools</v>
          </cell>
          <cell r="G113" t="str">
            <v>Mechanical cutting</v>
          </cell>
          <cell r="K113" t="str">
            <v>Russian Federation</v>
          </cell>
          <cell r="M113" t="str">
            <v xml:space="preserve"> -      </v>
          </cell>
          <cell r="N113">
            <v>77932373.568000004</v>
          </cell>
          <cell r="O113" t="str">
            <v xml:space="preserve"> -      </v>
          </cell>
          <cell r="P113">
            <v>77932373.568000004</v>
          </cell>
          <cell r="X113">
            <v>2072314073.7612808</v>
          </cell>
          <cell r="AH113">
            <v>101710</v>
          </cell>
          <cell r="AJ113">
            <v>0</v>
          </cell>
        </row>
        <row r="114">
          <cell r="B114">
            <v>2014</v>
          </cell>
          <cell r="F114" t="str">
            <v>Watering</v>
          </cell>
          <cell r="G114" t="str">
            <v>Mobile watering</v>
          </cell>
          <cell r="K114" t="str">
            <v>Russian Federation</v>
          </cell>
          <cell r="M114" t="str">
            <v xml:space="preserve"> -      </v>
          </cell>
          <cell r="N114">
            <v>417502897.71100003</v>
          </cell>
          <cell r="O114" t="str">
            <v xml:space="preserve"> -      </v>
          </cell>
          <cell r="P114">
            <v>417502897.71100003</v>
          </cell>
          <cell r="X114">
            <v>2238717129.7457728</v>
          </cell>
          <cell r="AH114">
            <v>1024751</v>
          </cell>
          <cell r="AJ114">
            <v>0</v>
          </cell>
        </row>
        <row r="115">
          <cell r="B115">
            <v>2014</v>
          </cell>
          <cell r="F115" t="str">
            <v>Parts and accessories</v>
          </cell>
          <cell r="G115" t="str">
            <v>Personal protection equipment</v>
          </cell>
          <cell r="K115" t="str">
            <v>Russian Federation</v>
          </cell>
          <cell r="M115">
            <v>17942425.77</v>
          </cell>
          <cell r="N115">
            <v>63557.807000000001</v>
          </cell>
          <cell r="O115">
            <v>1805492.5</v>
          </cell>
          <cell r="P115">
            <v>19811476.077</v>
          </cell>
          <cell r="X115">
            <v>73394728.218982503</v>
          </cell>
          <cell r="AH115">
            <v>0</v>
          </cell>
          <cell r="AJ115">
            <v>0</v>
          </cell>
        </row>
        <row r="116">
          <cell r="B116">
            <v>2014</v>
          </cell>
          <cell r="F116" t="str">
            <v>Watering</v>
          </cell>
          <cell r="G116" t="str">
            <v>Pumps</v>
          </cell>
          <cell r="K116" t="str">
            <v>Russian Federation</v>
          </cell>
          <cell r="M116" t="str">
            <v xml:space="preserve"> -      </v>
          </cell>
          <cell r="N116">
            <v>126605963.19</v>
          </cell>
          <cell r="O116" t="str">
            <v xml:space="preserve"> -      </v>
          </cell>
          <cell r="P116">
            <v>126605963.19</v>
          </cell>
          <cell r="X116">
            <v>5723862407.9380913</v>
          </cell>
          <cell r="AH116">
            <v>87305</v>
          </cell>
          <cell r="AJ116">
            <v>2505320</v>
          </cell>
        </row>
        <row r="117">
          <cell r="B117">
            <v>2014</v>
          </cell>
          <cell r="F117" t="str">
            <v>Hand tools</v>
          </cell>
          <cell r="G117" t="str">
            <v>Push lawn mower</v>
          </cell>
          <cell r="K117" t="str">
            <v>Russian Federation</v>
          </cell>
          <cell r="M117">
            <v>4206494.8459999999</v>
          </cell>
          <cell r="N117">
            <v>2550185.9070000001</v>
          </cell>
          <cell r="O117" t="str">
            <v xml:space="preserve"> -      </v>
          </cell>
          <cell r="P117">
            <v>6756680.7530000005</v>
          </cell>
          <cell r="X117">
            <v>0</v>
          </cell>
          <cell r="AH117">
            <v>1955</v>
          </cell>
          <cell r="AJ117">
            <v>0</v>
          </cell>
        </row>
        <row r="118">
          <cell r="B118">
            <v>2014</v>
          </cell>
          <cell r="F118" t="str">
            <v>Parts and accessories</v>
          </cell>
          <cell r="G118" t="str">
            <v>Ride-on/Lawnmowers</v>
          </cell>
          <cell r="K118" t="str">
            <v>Russian Federation</v>
          </cell>
          <cell r="M118">
            <v>11402213</v>
          </cell>
          <cell r="N118">
            <v>6070</v>
          </cell>
          <cell r="O118">
            <v>1167854</v>
          </cell>
          <cell r="P118">
            <v>12576137</v>
          </cell>
          <cell r="X118">
            <v>97494703.880538464</v>
          </cell>
          <cell r="AH118">
            <v>0</v>
          </cell>
          <cell r="AJ118">
            <v>0</v>
          </cell>
        </row>
        <row r="119">
          <cell r="B119">
            <v>2014</v>
          </cell>
          <cell r="F119" t="str">
            <v>Wheeled</v>
          </cell>
          <cell r="G119" t="str">
            <v>Rider/front mower</v>
          </cell>
          <cell r="K119" t="str">
            <v>Russian Federation</v>
          </cell>
          <cell r="M119">
            <v>51925756.604000002</v>
          </cell>
          <cell r="N119" t="str">
            <v xml:space="preserve"> -      </v>
          </cell>
          <cell r="O119">
            <v>2166157.6940000001</v>
          </cell>
          <cell r="P119">
            <v>54091914.298</v>
          </cell>
          <cell r="X119">
            <v>94542864.406779662</v>
          </cell>
          <cell r="AH119">
            <v>376</v>
          </cell>
          <cell r="AJ119">
            <v>420</v>
          </cell>
        </row>
        <row r="120">
          <cell r="B120">
            <v>2014</v>
          </cell>
          <cell r="F120" t="str">
            <v>Robotics</v>
          </cell>
          <cell r="G120" t="str">
            <v>Robotic lawn mower</v>
          </cell>
          <cell r="K120" t="str">
            <v>Russian Federation</v>
          </cell>
          <cell r="M120">
            <v>4546425.6239999998</v>
          </cell>
          <cell r="N120" t="str">
            <v xml:space="preserve"> -      </v>
          </cell>
          <cell r="O120" t="str">
            <v xml:space="preserve"> -      </v>
          </cell>
          <cell r="P120">
            <v>4546425.6239999998</v>
          </cell>
          <cell r="X120">
            <v>83543131.355932206</v>
          </cell>
          <cell r="AH120">
            <v>102</v>
          </cell>
          <cell r="AJ120">
            <v>1808</v>
          </cell>
        </row>
        <row r="121">
          <cell r="B121">
            <v>2014</v>
          </cell>
          <cell r="F121" t="str">
            <v>Wheeled</v>
          </cell>
          <cell r="G121" t="str">
            <v>Snow thrower</v>
          </cell>
          <cell r="K121" t="str">
            <v>Russian Federation</v>
          </cell>
          <cell r="M121">
            <v>212444929.15000001</v>
          </cell>
          <cell r="N121" t="str">
            <v xml:space="preserve"> -      </v>
          </cell>
          <cell r="O121">
            <v>20060846.068</v>
          </cell>
          <cell r="P121">
            <v>232505775.21799999</v>
          </cell>
          <cell r="X121">
            <v>3121979230.5084748</v>
          </cell>
          <cell r="AH121">
            <v>4691</v>
          </cell>
          <cell r="AJ121">
            <v>128370</v>
          </cell>
        </row>
        <row r="122">
          <cell r="B122">
            <v>2014</v>
          </cell>
          <cell r="F122" t="str">
            <v>Wheeled</v>
          </cell>
          <cell r="G122" t="str">
            <v>Tiller</v>
          </cell>
          <cell r="K122" t="str">
            <v>Russian Federation</v>
          </cell>
          <cell r="M122">
            <v>99125090.868000001</v>
          </cell>
          <cell r="N122">
            <v>45674.353000000003</v>
          </cell>
          <cell r="O122">
            <v>12954883.457</v>
          </cell>
          <cell r="P122">
            <v>112125648.678</v>
          </cell>
          <cell r="X122">
            <v>6699165084.7457638</v>
          </cell>
          <cell r="AH122">
            <v>5876</v>
          </cell>
          <cell r="AJ122">
            <v>406495</v>
          </cell>
        </row>
        <row r="123">
          <cell r="B123">
            <v>2014</v>
          </cell>
          <cell r="F123" t="str">
            <v>Wheeled</v>
          </cell>
          <cell r="G123" t="str">
            <v>Tractor</v>
          </cell>
          <cell r="K123" t="str">
            <v>Russian Federation</v>
          </cell>
          <cell r="M123">
            <v>63641900.869000003</v>
          </cell>
          <cell r="N123" t="str">
            <v xml:space="preserve"> -      </v>
          </cell>
          <cell r="O123">
            <v>29816279.561999999</v>
          </cell>
          <cell r="P123">
            <v>93458180.430999994</v>
          </cell>
          <cell r="X123">
            <v>207753046.39830506</v>
          </cell>
          <cell r="AH123">
            <v>1189</v>
          </cell>
          <cell r="AJ123">
            <v>2288</v>
          </cell>
        </row>
        <row r="124">
          <cell r="B124">
            <v>2014</v>
          </cell>
          <cell r="F124" t="str">
            <v>Parts and accessories</v>
          </cell>
          <cell r="G124" t="str">
            <v>W Spare parts</v>
          </cell>
          <cell r="K124" t="str">
            <v>Russian Federation</v>
          </cell>
          <cell r="M124">
            <v>23463479.943</v>
          </cell>
          <cell r="N124">
            <v>64499.087</v>
          </cell>
          <cell r="O124">
            <v>6315830.5180000002</v>
          </cell>
          <cell r="P124">
            <v>29843809.548</v>
          </cell>
          <cell r="X124">
            <v>450630000</v>
          </cell>
          <cell r="AH124">
            <v>0</v>
          </cell>
          <cell r="AJ124">
            <v>0</v>
          </cell>
        </row>
        <row r="125">
          <cell r="B125">
            <v>2014</v>
          </cell>
          <cell r="F125" t="str">
            <v>Parts and accessories</v>
          </cell>
          <cell r="G125" t="str">
            <v>WA Spare parts</v>
          </cell>
          <cell r="K125" t="str">
            <v>Russian Federation</v>
          </cell>
          <cell r="M125" t="str">
            <v xml:space="preserve"> -      </v>
          </cell>
          <cell r="N125">
            <v>851386.75899999996</v>
          </cell>
          <cell r="O125" t="str">
            <v xml:space="preserve"> -      </v>
          </cell>
          <cell r="P125">
            <v>851386.75899999996</v>
          </cell>
          <cell r="X125">
            <v>32300000</v>
          </cell>
          <cell r="AH125">
            <v>0</v>
          </cell>
          <cell r="AJ125">
            <v>0</v>
          </cell>
        </row>
        <row r="126">
          <cell r="B126">
            <v>2014</v>
          </cell>
          <cell r="F126" t="str">
            <v>Wheeled</v>
          </cell>
          <cell r="G126" t="str">
            <v>Walk behind lawn mower petrol</v>
          </cell>
          <cell r="K126" t="str">
            <v>Russian Federation</v>
          </cell>
          <cell r="M126">
            <v>191933608.206</v>
          </cell>
          <cell r="N126">
            <v>1967781.189</v>
          </cell>
          <cell r="O126">
            <v>57898469.450000003</v>
          </cell>
          <cell r="P126">
            <v>251799858.84500003</v>
          </cell>
          <cell r="X126">
            <v>1163256272.5423729</v>
          </cell>
          <cell r="AH126">
            <v>17415</v>
          </cell>
          <cell r="AJ126">
            <v>105054</v>
          </cell>
        </row>
        <row r="127">
          <cell r="B127">
            <v>2014</v>
          </cell>
          <cell r="F127" t="str">
            <v>Wheeled</v>
          </cell>
          <cell r="G127" t="str">
            <v>Zero turn mower</v>
          </cell>
          <cell r="K127" t="str">
            <v>Russian Federation</v>
          </cell>
          <cell r="M127">
            <v>527777.98300000001</v>
          </cell>
          <cell r="N127" t="str">
            <v xml:space="preserve"> -      </v>
          </cell>
          <cell r="O127" t="str">
            <v xml:space="preserve"> -      </v>
          </cell>
          <cell r="P127">
            <v>527777.98300000001</v>
          </cell>
          <cell r="X127">
            <v>1268008.4745762714</v>
          </cell>
          <cell r="AH127">
            <v>4</v>
          </cell>
          <cell r="AJ127">
            <v>7</v>
          </cell>
        </row>
        <row r="128">
          <cell r="B128">
            <v>2013</v>
          </cell>
          <cell r="F128" t="str">
            <v>Petrol HH</v>
          </cell>
          <cell r="G128" t="str">
            <v>All blowers petrol (back pack, handheld)</v>
          </cell>
          <cell r="K128" t="str">
            <v>Russian Federation</v>
          </cell>
          <cell r="M128">
            <v>36077956.219999999</v>
          </cell>
          <cell r="N128">
            <v>0</v>
          </cell>
          <cell r="O128">
            <v>1372052.138</v>
          </cell>
          <cell r="P128">
            <v>37450008.357999995</v>
          </cell>
          <cell r="X128">
            <v>152143845.08990318</v>
          </cell>
          <cell r="AH128">
            <v>3259</v>
          </cell>
          <cell r="AJ128">
            <v>20000</v>
          </cell>
        </row>
        <row r="129">
          <cell r="B129">
            <v>2013</v>
          </cell>
          <cell r="F129" t="str">
            <v>Petrol HH</v>
          </cell>
          <cell r="G129" t="str">
            <v>All chainsaws petrol (pro, prosumer, consumer, tree-care)</v>
          </cell>
          <cell r="K129" t="str">
            <v>Russian Federation</v>
          </cell>
          <cell r="M129">
            <v>1110251911.5869999</v>
          </cell>
          <cell r="N129">
            <v>0</v>
          </cell>
          <cell r="O129">
            <v>396424638.884</v>
          </cell>
          <cell r="P129">
            <v>1506676550.471</v>
          </cell>
          <cell r="X129">
            <v>7390502535.730751</v>
          </cell>
          <cell r="AH129">
            <v>294005</v>
          </cell>
          <cell r="AJ129">
            <v>1720000</v>
          </cell>
        </row>
        <row r="130">
          <cell r="B130">
            <v>2013</v>
          </cell>
          <cell r="F130" t="str">
            <v>Petrol HH</v>
          </cell>
          <cell r="G130" t="str">
            <v>All hedge trimmers petrol (hedge trimmer, pole hedge trimmer)</v>
          </cell>
          <cell r="K130" t="str">
            <v>Russian Federation</v>
          </cell>
          <cell r="M130">
            <v>8204834.432</v>
          </cell>
          <cell r="N130">
            <v>0</v>
          </cell>
          <cell r="O130">
            <v>0</v>
          </cell>
          <cell r="P130">
            <v>8204834.432</v>
          </cell>
          <cell r="X130">
            <v>37845274.762645096</v>
          </cell>
          <cell r="AH130">
            <v>726</v>
          </cell>
          <cell r="AJ130">
            <v>4000</v>
          </cell>
        </row>
        <row r="131">
          <cell r="B131">
            <v>2013</v>
          </cell>
          <cell r="F131" t="str">
            <v>Petrol HH</v>
          </cell>
          <cell r="G131" t="str">
            <v>All trimmers petrol (trimmer, brushcutter, edger/stick edger, multi-tool)</v>
          </cell>
          <cell r="K131" t="str">
            <v>Russian Federation</v>
          </cell>
          <cell r="M131">
            <v>670195185.28400004</v>
          </cell>
          <cell r="N131">
            <v>0</v>
          </cell>
          <cell r="O131">
            <v>71078232.231999993</v>
          </cell>
          <cell r="P131">
            <v>741273417.51600003</v>
          </cell>
          <cell r="X131">
            <v>6454587367.4504375</v>
          </cell>
          <cell r="AH131">
            <v>119351</v>
          </cell>
          <cell r="AJ131">
            <v>1715000</v>
          </cell>
        </row>
        <row r="132">
          <cell r="B132">
            <v>2013</v>
          </cell>
          <cell r="F132" t="str">
            <v>Battery</v>
          </cell>
          <cell r="G132" t="str">
            <v>Battery blower</v>
          </cell>
          <cell r="K132" t="str">
            <v>Russian Federation</v>
          </cell>
          <cell r="M132">
            <v>0</v>
          </cell>
          <cell r="N132">
            <v>0</v>
          </cell>
          <cell r="O132">
            <v>0</v>
          </cell>
          <cell r="P132">
            <v>0</v>
          </cell>
          <cell r="X132">
            <v>2602754</v>
          </cell>
          <cell r="AH132">
            <v>0</v>
          </cell>
          <cell r="AJ132">
            <v>910</v>
          </cell>
        </row>
        <row r="133">
          <cell r="B133">
            <v>2013</v>
          </cell>
          <cell r="F133" t="str">
            <v>Battery</v>
          </cell>
          <cell r="G133" t="str">
            <v>Battery chainsaw</v>
          </cell>
          <cell r="K133" t="str">
            <v>Russian Federation</v>
          </cell>
          <cell r="M133">
            <v>944301.02099999995</v>
          </cell>
          <cell r="N133">
            <v>496971.58899999998</v>
          </cell>
          <cell r="O133">
            <v>0</v>
          </cell>
          <cell r="P133">
            <v>1441272.6099999999</v>
          </cell>
          <cell r="X133">
            <v>31019047</v>
          </cell>
          <cell r="AH133">
            <v>136</v>
          </cell>
          <cell r="AJ133">
            <v>3149</v>
          </cell>
        </row>
        <row r="134">
          <cell r="B134">
            <v>2013</v>
          </cell>
          <cell r="F134" t="str">
            <v>Battery</v>
          </cell>
          <cell r="G134" t="str">
            <v>Battery grass &amp; shrub shears</v>
          </cell>
          <cell r="K134" t="str">
            <v>Russian Federation</v>
          </cell>
          <cell r="M134">
            <v>0</v>
          </cell>
          <cell r="N134">
            <v>37911159.366339967</v>
          </cell>
          <cell r="O134">
            <v>0</v>
          </cell>
          <cell r="P134">
            <v>37911159.366339967</v>
          </cell>
          <cell r="X134">
            <v>74205035</v>
          </cell>
          <cell r="AH134">
            <v>14677</v>
          </cell>
          <cell r="AJ134">
            <v>28303</v>
          </cell>
        </row>
        <row r="135">
          <cell r="B135">
            <v>2013</v>
          </cell>
          <cell r="F135" t="str">
            <v>Battery</v>
          </cell>
          <cell r="G135" t="str">
            <v>Battery hedge trimmer</v>
          </cell>
          <cell r="K135" t="str">
            <v>Russian Federation</v>
          </cell>
          <cell r="M135">
            <v>0</v>
          </cell>
          <cell r="N135">
            <v>445305.25799999997</v>
          </cell>
          <cell r="O135">
            <v>0</v>
          </cell>
          <cell r="P135">
            <v>445305.25799999997</v>
          </cell>
          <cell r="X135">
            <v>7081888</v>
          </cell>
          <cell r="AH135">
            <v>105</v>
          </cell>
          <cell r="AJ135">
            <v>3388</v>
          </cell>
        </row>
        <row r="136">
          <cell r="B136">
            <v>2013</v>
          </cell>
          <cell r="F136" t="str">
            <v>Battery</v>
          </cell>
          <cell r="G136" t="str">
            <v>Battery trimmer</v>
          </cell>
          <cell r="K136" t="str">
            <v>Russian Federation</v>
          </cell>
          <cell r="M136">
            <v>1029336.44</v>
          </cell>
          <cell r="N136">
            <v>1658281.2080000001</v>
          </cell>
          <cell r="O136">
            <v>0</v>
          </cell>
          <cell r="P136">
            <v>2687617.648</v>
          </cell>
          <cell r="X136">
            <v>50243485</v>
          </cell>
          <cell r="AH136">
            <v>590</v>
          </cell>
          <cell r="AJ136">
            <v>12162</v>
          </cell>
        </row>
        <row r="137">
          <cell r="B137">
            <v>2013</v>
          </cell>
          <cell r="F137" t="str">
            <v>Battery</v>
          </cell>
          <cell r="G137" t="str">
            <v>Battery walk behind lawn mower</v>
          </cell>
          <cell r="K137" t="str">
            <v>Russian Federation</v>
          </cell>
          <cell r="M137">
            <v>0</v>
          </cell>
          <cell r="N137">
            <v>1651615.287</v>
          </cell>
          <cell r="O137">
            <v>0</v>
          </cell>
          <cell r="P137">
            <v>1651615.287</v>
          </cell>
          <cell r="X137">
            <v>72584619</v>
          </cell>
          <cell r="AH137">
            <v>122</v>
          </cell>
          <cell r="AJ137">
            <v>6921</v>
          </cell>
        </row>
        <row r="138">
          <cell r="B138">
            <v>2013</v>
          </cell>
          <cell r="F138" t="str">
            <v>Parts and accessories</v>
          </cell>
          <cell r="G138" t="str">
            <v>Chains &amp; bars</v>
          </cell>
          <cell r="K138" t="str">
            <v>Russian Federation</v>
          </cell>
          <cell r="M138">
            <v>230403661.80700001</v>
          </cell>
          <cell r="N138" t="str">
            <v xml:space="preserve"> -      </v>
          </cell>
          <cell r="O138">
            <v>18054789.284000002</v>
          </cell>
          <cell r="P138">
            <v>248458451.09100002</v>
          </cell>
          <cell r="X138">
            <v>0</v>
          </cell>
          <cell r="AH138">
            <v>0</v>
          </cell>
          <cell r="AJ138">
            <v>0</v>
          </cell>
        </row>
        <row r="139">
          <cell r="B139">
            <v>2013</v>
          </cell>
          <cell r="F139" t="str">
            <v>Corded</v>
          </cell>
          <cell r="G139" t="str">
            <v>Corded blower</v>
          </cell>
          <cell r="K139" t="str">
            <v>Russian Federation</v>
          </cell>
          <cell r="M139">
            <v>0</v>
          </cell>
          <cell r="N139">
            <v>4534750.3550000004</v>
          </cell>
          <cell r="O139">
            <v>2242757.3339999998</v>
          </cell>
          <cell r="P139">
            <v>6777507.6890000002</v>
          </cell>
          <cell r="X139">
            <v>41493775.933609955</v>
          </cell>
          <cell r="AH139">
            <v>2462</v>
          </cell>
          <cell r="AJ139">
            <v>20000</v>
          </cell>
        </row>
        <row r="140">
          <cell r="B140">
            <v>2013</v>
          </cell>
          <cell r="F140" t="str">
            <v>Corded</v>
          </cell>
          <cell r="G140" t="str">
            <v>Corded chainsaw</v>
          </cell>
          <cell r="K140" t="str">
            <v>Russian Federation</v>
          </cell>
          <cell r="M140">
            <v>5187945.7570000002</v>
          </cell>
          <cell r="N140">
            <v>3112662.1510000001</v>
          </cell>
          <cell r="O140">
            <v>2163946.2030000002</v>
          </cell>
          <cell r="P140">
            <v>10464554.111</v>
          </cell>
          <cell r="X140">
            <v>700783771.32319033</v>
          </cell>
          <cell r="AH140">
            <v>2254</v>
          </cell>
          <cell r="AJ140">
            <v>320000</v>
          </cell>
        </row>
        <row r="141">
          <cell r="B141">
            <v>2013</v>
          </cell>
          <cell r="F141" t="str">
            <v>Corded</v>
          </cell>
          <cell r="G141" t="str">
            <v>Corded hedge trimmer</v>
          </cell>
          <cell r="K141" t="str">
            <v>Russian Federation</v>
          </cell>
          <cell r="M141">
            <v>0</v>
          </cell>
          <cell r="N141">
            <v>2137370.122</v>
          </cell>
          <cell r="O141">
            <v>0</v>
          </cell>
          <cell r="P141">
            <v>2137370.122</v>
          </cell>
          <cell r="X141">
            <v>31090509.999121781</v>
          </cell>
          <cell r="AH141">
            <v>865</v>
          </cell>
          <cell r="AJ141">
            <v>16500</v>
          </cell>
        </row>
        <row r="142">
          <cell r="B142">
            <v>2013</v>
          </cell>
          <cell r="F142" t="str">
            <v>Corded</v>
          </cell>
          <cell r="G142" t="str">
            <v>Corded trimmer</v>
          </cell>
          <cell r="K142" t="str">
            <v>Russian Federation</v>
          </cell>
          <cell r="M142">
            <v>0</v>
          </cell>
          <cell r="N142">
            <v>21527815.568999998</v>
          </cell>
          <cell r="O142">
            <v>371899.21500000003</v>
          </cell>
          <cell r="P142">
            <v>21899714.783999998</v>
          </cell>
          <cell r="X142">
            <v>864520938.35454261</v>
          </cell>
          <cell r="AH142">
            <v>15292</v>
          </cell>
          <cell r="AJ142">
            <v>625000</v>
          </cell>
        </row>
        <row r="143">
          <cell r="B143">
            <v>2013</v>
          </cell>
          <cell r="F143" t="str">
            <v>Corded</v>
          </cell>
          <cell r="G143" t="str">
            <v>Corded walk behind lawn mower</v>
          </cell>
          <cell r="K143" t="str">
            <v>Russian Federation</v>
          </cell>
          <cell r="M143">
            <v>0</v>
          </cell>
          <cell r="N143">
            <v>91083292.509000003</v>
          </cell>
          <cell r="O143">
            <v>3754186.503</v>
          </cell>
          <cell r="P143">
            <v>94837479.012000009</v>
          </cell>
          <cell r="X143">
            <v>672339763.4269464</v>
          </cell>
          <cell r="AH143">
            <v>24695</v>
          </cell>
          <cell r="AJ143">
            <v>215000</v>
          </cell>
        </row>
        <row r="144">
          <cell r="B144">
            <v>2013</v>
          </cell>
          <cell r="F144" t="str">
            <v>Parts and accessories</v>
          </cell>
          <cell r="G144" t="str">
            <v>E Spare parts</v>
          </cell>
          <cell r="K144" t="str">
            <v>Russian Federation</v>
          </cell>
          <cell r="M144">
            <v>2407221.4890000001</v>
          </cell>
          <cell r="N144">
            <v>3645660.898</v>
          </cell>
          <cell r="O144">
            <v>763053.02599999995</v>
          </cell>
          <cell r="P144">
            <v>6815935.4129999997</v>
          </cell>
          <cell r="X144">
            <v>0</v>
          </cell>
          <cell r="AH144">
            <v>466</v>
          </cell>
          <cell r="AJ144">
            <v>0</v>
          </cell>
        </row>
        <row r="145">
          <cell r="B145">
            <v>2013</v>
          </cell>
          <cell r="F145" t="str">
            <v>Parts and accessories</v>
          </cell>
          <cell r="G145" t="str">
            <v>Forest tools</v>
          </cell>
          <cell r="K145" t="str">
            <v>Russian Federation</v>
          </cell>
          <cell r="M145">
            <v>31987401.495999999</v>
          </cell>
          <cell r="N145" t="str">
            <v xml:space="preserve"> -      </v>
          </cell>
          <cell r="O145">
            <v>9745953.2109999992</v>
          </cell>
          <cell r="P145">
            <v>41733354.707000002</v>
          </cell>
          <cell r="X145">
            <v>0</v>
          </cell>
          <cell r="AH145">
            <v>0</v>
          </cell>
          <cell r="AJ145">
            <v>0</v>
          </cell>
        </row>
        <row r="146">
          <cell r="B146">
            <v>2013</v>
          </cell>
          <cell r="F146" t="str">
            <v>Hand tools</v>
          </cell>
          <cell r="G146" t="str">
            <v>Garden accessories</v>
          </cell>
          <cell r="K146" t="str">
            <v>Russian Federation</v>
          </cell>
          <cell r="M146">
            <v>0</v>
          </cell>
          <cell r="N146">
            <v>57419664.520000003</v>
          </cell>
          <cell r="O146">
            <v>0</v>
          </cell>
          <cell r="P146">
            <v>57419664.520000003</v>
          </cell>
          <cell r="X146">
            <v>712582513.73138654</v>
          </cell>
          <cell r="AH146">
            <v>127058</v>
          </cell>
          <cell r="AJ146">
            <v>0</v>
          </cell>
        </row>
        <row r="147">
          <cell r="B147">
            <v>2013</v>
          </cell>
          <cell r="F147" t="str">
            <v>Hand tools</v>
          </cell>
          <cell r="G147" t="str">
            <v>Garden tools</v>
          </cell>
          <cell r="K147" t="str">
            <v>Russian Federation</v>
          </cell>
          <cell r="M147">
            <v>0</v>
          </cell>
          <cell r="N147">
            <v>56414364.623999998</v>
          </cell>
          <cell r="O147">
            <v>0</v>
          </cell>
          <cell r="P147">
            <v>56414364.623999998</v>
          </cell>
          <cell r="X147">
            <v>1475483407.8697677</v>
          </cell>
          <cell r="AH147">
            <v>142084</v>
          </cell>
          <cell r="AJ147">
            <v>0</v>
          </cell>
        </row>
        <row r="148">
          <cell r="B148">
            <v>2013</v>
          </cell>
          <cell r="F148" t="str">
            <v>Parts and accessories</v>
          </cell>
          <cell r="G148" t="str">
            <v>HH Spare parts</v>
          </cell>
          <cell r="K148" t="str">
            <v>Russian Federation</v>
          </cell>
          <cell r="M148">
            <v>223871065.683</v>
          </cell>
          <cell r="N148" t="str">
            <v xml:space="preserve"> -      </v>
          </cell>
          <cell r="O148">
            <v>14945011.585999999</v>
          </cell>
          <cell r="P148">
            <v>238816077.26899999</v>
          </cell>
          <cell r="X148">
            <v>0</v>
          </cell>
          <cell r="AH148">
            <v>0</v>
          </cell>
          <cell r="AJ148">
            <v>0</v>
          </cell>
        </row>
        <row r="149">
          <cell r="B149">
            <v>2013</v>
          </cell>
          <cell r="F149" t="str">
            <v>Watering</v>
          </cell>
          <cell r="G149" t="str">
            <v>Irrigation systems</v>
          </cell>
          <cell r="K149" t="str">
            <v>Russian Federation</v>
          </cell>
          <cell r="M149">
            <v>0</v>
          </cell>
          <cell r="N149">
            <v>69802076.483999997</v>
          </cell>
          <cell r="O149">
            <v>0</v>
          </cell>
          <cell r="P149">
            <v>69802076.483999997</v>
          </cell>
          <cell r="X149">
            <v>1667318882.9073486</v>
          </cell>
          <cell r="AH149">
            <v>148834</v>
          </cell>
          <cell r="AJ149">
            <v>0</v>
          </cell>
        </row>
        <row r="150">
          <cell r="B150">
            <v>2013</v>
          </cell>
          <cell r="F150" t="str">
            <v>Parts and accessories</v>
          </cell>
          <cell r="G150" t="str">
            <v>LME</v>
          </cell>
          <cell r="K150" t="str">
            <v>Russian Federation</v>
          </cell>
          <cell r="M150">
            <v>100753448.906</v>
          </cell>
          <cell r="N150" t="str">
            <v xml:space="preserve"> -      </v>
          </cell>
          <cell r="O150">
            <v>17508285.046</v>
          </cell>
          <cell r="P150">
            <v>118261733.95200001</v>
          </cell>
          <cell r="X150">
            <v>0</v>
          </cell>
          <cell r="AH150">
            <v>0</v>
          </cell>
          <cell r="AJ150">
            <v>0</v>
          </cell>
        </row>
        <row r="151">
          <cell r="B151">
            <v>2013</v>
          </cell>
          <cell r="F151" t="str">
            <v>Parts and accessories</v>
          </cell>
          <cell r="G151" t="str">
            <v>Lubricants</v>
          </cell>
          <cell r="K151" t="str">
            <v>Russian Federation</v>
          </cell>
          <cell r="M151">
            <v>188988828.41600001</v>
          </cell>
          <cell r="N151" t="str">
            <v xml:space="preserve"> -      </v>
          </cell>
          <cell r="O151">
            <v>19107537.094999999</v>
          </cell>
          <cell r="P151">
            <v>208096365.51100001</v>
          </cell>
          <cell r="X151">
            <v>0</v>
          </cell>
          <cell r="AH151">
            <v>0</v>
          </cell>
          <cell r="AJ151">
            <v>0</v>
          </cell>
        </row>
        <row r="152">
          <cell r="B152">
            <v>2013</v>
          </cell>
          <cell r="F152" t="str">
            <v>Hand tools</v>
          </cell>
          <cell r="G152" t="str">
            <v>Mechanical cutting</v>
          </cell>
          <cell r="K152" t="str">
            <v>Russian Federation</v>
          </cell>
          <cell r="M152">
            <v>0</v>
          </cell>
          <cell r="N152">
            <v>69929602.453999996</v>
          </cell>
          <cell r="O152">
            <v>0</v>
          </cell>
          <cell r="P152">
            <v>69929602.453999996</v>
          </cell>
          <cell r="X152">
            <v>1992609686.3089237</v>
          </cell>
          <cell r="AH152">
            <v>104159</v>
          </cell>
          <cell r="AJ152">
            <v>0</v>
          </cell>
        </row>
        <row r="153">
          <cell r="B153">
            <v>2013</v>
          </cell>
          <cell r="F153" t="str">
            <v>Watering</v>
          </cell>
          <cell r="G153" t="str">
            <v>Mobile watering</v>
          </cell>
          <cell r="K153" t="str">
            <v>Russian Federation</v>
          </cell>
          <cell r="M153">
            <v>0</v>
          </cell>
          <cell r="N153">
            <v>333238714.90600002</v>
          </cell>
          <cell r="O153">
            <v>0</v>
          </cell>
          <cell r="P153">
            <v>333238714.90600002</v>
          </cell>
          <cell r="X153">
            <v>2072886231.2460859</v>
          </cell>
          <cell r="AH153">
            <v>909841</v>
          </cell>
          <cell r="AJ153">
            <v>0</v>
          </cell>
        </row>
        <row r="154">
          <cell r="B154">
            <v>2013</v>
          </cell>
          <cell r="F154" t="str">
            <v>Parts and accessories</v>
          </cell>
          <cell r="G154" t="str">
            <v>Personal protection equipment</v>
          </cell>
          <cell r="K154" t="str">
            <v>Russian Federation</v>
          </cell>
          <cell r="M154">
            <v>13052516.907</v>
          </cell>
          <cell r="N154">
            <v>53315.023999999998</v>
          </cell>
          <cell r="O154">
            <v>2063341.267</v>
          </cell>
          <cell r="P154">
            <v>15169173.197999999</v>
          </cell>
          <cell r="X154">
            <v>0</v>
          </cell>
          <cell r="AH154">
            <v>3</v>
          </cell>
          <cell r="AJ154">
            <v>0</v>
          </cell>
        </row>
        <row r="155">
          <cell r="B155">
            <v>2013</v>
          </cell>
          <cell r="F155" t="str">
            <v>Watering</v>
          </cell>
          <cell r="G155" t="str">
            <v>Pumps</v>
          </cell>
          <cell r="K155" t="str">
            <v>Russian Federation</v>
          </cell>
          <cell r="M155">
            <v>0</v>
          </cell>
          <cell r="N155">
            <v>118358691.28399999</v>
          </cell>
          <cell r="O155">
            <v>0</v>
          </cell>
          <cell r="P155">
            <v>118358691.28399999</v>
          </cell>
          <cell r="X155">
            <v>5376538049.9136686</v>
          </cell>
          <cell r="AH155">
            <v>142037</v>
          </cell>
          <cell r="AJ155">
            <v>0</v>
          </cell>
        </row>
        <row r="156">
          <cell r="B156">
            <v>2013</v>
          </cell>
          <cell r="F156" t="str">
            <v>Hand tools</v>
          </cell>
          <cell r="G156" t="str">
            <v>Push lawn mower</v>
          </cell>
          <cell r="K156" t="str">
            <v>Russian Federation</v>
          </cell>
          <cell r="M156">
            <v>3345269.4879999999</v>
          </cell>
          <cell r="N156">
            <v>2508517.7940000002</v>
          </cell>
          <cell r="O156">
            <v>0</v>
          </cell>
          <cell r="P156">
            <v>5853787.2819999997</v>
          </cell>
          <cell r="X156">
            <v>0</v>
          </cell>
          <cell r="AH156">
            <v>1849</v>
          </cell>
          <cell r="AJ156">
            <v>0</v>
          </cell>
        </row>
        <row r="157">
          <cell r="B157">
            <v>2013</v>
          </cell>
          <cell r="F157" t="str">
            <v>Parts and accessories</v>
          </cell>
          <cell r="G157" t="str">
            <v>Ride-on/Lawnmowers</v>
          </cell>
          <cell r="K157" t="str">
            <v>Russian Federation</v>
          </cell>
          <cell r="M157">
            <v>21979716.077</v>
          </cell>
          <cell r="N157">
            <v>605869.58400000003</v>
          </cell>
          <cell r="O157">
            <v>1321606.73</v>
          </cell>
          <cell r="P157">
            <v>23907192.390999999</v>
          </cell>
          <cell r="X157">
            <v>0</v>
          </cell>
          <cell r="AH157">
            <v>0</v>
          </cell>
          <cell r="AJ157">
            <v>0</v>
          </cell>
        </row>
        <row r="158">
          <cell r="B158">
            <v>2013</v>
          </cell>
          <cell r="F158" t="str">
            <v>Wheeled</v>
          </cell>
          <cell r="G158" t="str">
            <v>Rider/front mower</v>
          </cell>
          <cell r="K158" t="str">
            <v>Russian Federation</v>
          </cell>
          <cell r="M158">
            <v>42077566.597000003</v>
          </cell>
          <cell r="N158">
            <v>0</v>
          </cell>
          <cell r="O158">
            <v>1137821.2819999999</v>
          </cell>
          <cell r="P158">
            <v>43215387.879000001</v>
          </cell>
          <cell r="X158">
            <v>72047691.361814499</v>
          </cell>
          <cell r="AH158">
            <v>328</v>
          </cell>
          <cell r="AJ158">
            <v>490</v>
          </cell>
        </row>
        <row r="159">
          <cell r="B159">
            <v>2013</v>
          </cell>
          <cell r="F159" t="str">
            <v>Robotics</v>
          </cell>
          <cell r="G159" t="str">
            <v>Robotic lawn mower</v>
          </cell>
          <cell r="K159" t="str">
            <v>Russian Federation</v>
          </cell>
          <cell r="M159">
            <v>2230340.5699999998</v>
          </cell>
          <cell r="N159">
            <v>0</v>
          </cell>
          <cell r="O159">
            <v>0</v>
          </cell>
          <cell r="P159">
            <v>2230340.5699999998</v>
          </cell>
          <cell r="X159">
            <v>7243255.7464424158</v>
          </cell>
          <cell r="AH159">
            <v>44</v>
          </cell>
          <cell r="AJ159">
            <v>136</v>
          </cell>
        </row>
        <row r="160">
          <cell r="B160">
            <v>2013</v>
          </cell>
          <cell r="F160" t="str">
            <v>Wheeled</v>
          </cell>
          <cell r="G160" t="str">
            <v>Snow thrower</v>
          </cell>
          <cell r="K160" t="str">
            <v>Russian Federation</v>
          </cell>
          <cell r="M160">
            <v>423245146.65799999</v>
          </cell>
          <cell r="N160">
            <v>0</v>
          </cell>
          <cell r="O160">
            <v>49092359.770999998</v>
          </cell>
          <cell r="P160">
            <v>472337506.42900002</v>
          </cell>
          <cell r="X160">
            <v>3166194044.5797629</v>
          </cell>
          <cell r="AH160">
            <v>10572</v>
          </cell>
          <cell r="AJ160">
            <v>125000</v>
          </cell>
        </row>
        <row r="161">
          <cell r="B161">
            <v>2013</v>
          </cell>
          <cell r="F161" t="str">
            <v>Wheeled</v>
          </cell>
          <cell r="G161" t="str">
            <v>Tiller</v>
          </cell>
          <cell r="K161" t="str">
            <v>Russian Federation</v>
          </cell>
          <cell r="M161">
            <v>96152375.325000003</v>
          </cell>
          <cell r="N161">
            <v>6705828.8760000002</v>
          </cell>
          <cell r="O161">
            <v>11058689.448999999</v>
          </cell>
          <cell r="P161">
            <v>113916893.65000001</v>
          </cell>
          <cell r="X161">
            <v>5665745904.9112263</v>
          </cell>
          <cell r="AH161">
            <v>7066</v>
          </cell>
          <cell r="AJ161">
            <v>430000</v>
          </cell>
        </row>
        <row r="162">
          <cell r="B162">
            <v>2013</v>
          </cell>
          <cell r="F162" t="str">
            <v>Wheeled</v>
          </cell>
          <cell r="G162" t="str">
            <v>Tractor</v>
          </cell>
          <cell r="K162" t="str">
            <v>Russian Federation</v>
          </cell>
          <cell r="M162">
            <v>63810180.859999999</v>
          </cell>
          <cell r="N162">
            <v>0</v>
          </cell>
          <cell r="O162">
            <v>11460326.571</v>
          </cell>
          <cell r="P162">
            <v>75270507.430999994</v>
          </cell>
          <cell r="X162">
            <v>183168748.86462125</v>
          </cell>
          <cell r="AH162">
            <v>915</v>
          </cell>
          <cell r="AJ162">
            <v>2120</v>
          </cell>
        </row>
        <row r="163">
          <cell r="B163">
            <v>2013</v>
          </cell>
          <cell r="F163" t="str">
            <v>Parts and accessories</v>
          </cell>
          <cell r="G163" t="str">
            <v>W Spare parts</v>
          </cell>
          <cell r="K163" t="str">
            <v>Russian Federation</v>
          </cell>
          <cell r="M163">
            <v>29163150.693</v>
          </cell>
          <cell r="N163">
            <v>80435.78</v>
          </cell>
          <cell r="O163">
            <v>6192707.057</v>
          </cell>
          <cell r="P163">
            <v>35436293.530000001</v>
          </cell>
          <cell r="X163">
            <v>0</v>
          </cell>
          <cell r="AH163">
            <v>0</v>
          </cell>
          <cell r="AJ163">
            <v>0</v>
          </cell>
        </row>
        <row r="164">
          <cell r="B164">
            <v>2013</v>
          </cell>
          <cell r="F164" t="str">
            <v>Parts and accessories</v>
          </cell>
          <cell r="G164" t="str">
            <v>WA Spare parts</v>
          </cell>
          <cell r="K164" t="str">
            <v>Russian Federation</v>
          </cell>
          <cell r="M164" t="str">
            <v xml:space="preserve"> -      </v>
          </cell>
          <cell r="N164">
            <v>723168.60900000005</v>
          </cell>
          <cell r="O164" t="str">
            <v xml:space="preserve"> -      </v>
          </cell>
          <cell r="P164">
            <v>723168.60900000005</v>
          </cell>
          <cell r="X164">
            <v>0</v>
          </cell>
          <cell r="AH164">
            <v>0</v>
          </cell>
          <cell r="AJ164">
            <v>0</v>
          </cell>
        </row>
        <row r="165">
          <cell r="B165">
            <v>2013</v>
          </cell>
          <cell r="F165" t="str">
            <v>Wheeled</v>
          </cell>
          <cell r="G165" t="str">
            <v>Walk behind lawn mower petrol</v>
          </cell>
          <cell r="K165" t="str">
            <v>Russian Federation</v>
          </cell>
          <cell r="M165">
            <v>188142008.91800001</v>
          </cell>
          <cell r="N165">
            <v>8613956.2449999992</v>
          </cell>
          <cell r="O165">
            <v>45149991.502999999</v>
          </cell>
          <cell r="P165">
            <v>241905956.66600001</v>
          </cell>
          <cell r="X165">
            <v>922882438.23408282</v>
          </cell>
          <cell r="AH165">
            <v>19577</v>
          </cell>
          <cell r="AJ165">
            <v>91000</v>
          </cell>
        </row>
        <row r="166">
          <cell r="B166">
            <v>2013</v>
          </cell>
          <cell r="F166" t="str">
            <v>Wheeled</v>
          </cell>
          <cell r="G166" t="str">
            <v>Zero turn mower</v>
          </cell>
          <cell r="K166" t="str">
            <v>Russian Federation</v>
          </cell>
          <cell r="M166">
            <v>2765692.4389999998</v>
          </cell>
          <cell r="N166">
            <v>0</v>
          </cell>
          <cell r="O166">
            <v>0</v>
          </cell>
          <cell r="P166">
            <v>2765692.4389999998</v>
          </cell>
          <cell r="X166">
            <v>2383691.4921969757</v>
          </cell>
          <cell r="AH166">
            <v>14</v>
          </cell>
          <cell r="AJ166">
            <v>15</v>
          </cell>
        </row>
        <row r="167">
          <cell r="B167">
            <v>2012</v>
          </cell>
          <cell r="F167" t="str">
            <v>Petrol HH</v>
          </cell>
          <cell r="G167" t="str">
            <v>All blowers petrol (back pack, handheld)</v>
          </cell>
          <cell r="K167" t="str">
            <v>Russian Federation</v>
          </cell>
          <cell r="M167">
            <v>32846667.676051732</v>
          </cell>
          <cell r="N167">
            <v>0</v>
          </cell>
          <cell r="O167">
            <v>0</v>
          </cell>
          <cell r="P167">
            <v>32846667.676051732</v>
          </cell>
          <cell r="X167">
            <v>94819348.899732918</v>
          </cell>
          <cell r="AH167">
            <v>2838</v>
          </cell>
          <cell r="AJ167">
            <v>12352</v>
          </cell>
        </row>
        <row r="168">
          <cell r="B168">
            <v>2012</v>
          </cell>
          <cell r="F168" t="str">
            <v>Petrol HH</v>
          </cell>
          <cell r="G168" t="str">
            <v>All chainsaws petrol (pro, prosumer, consumer, tree-care)</v>
          </cell>
          <cell r="K168" t="str">
            <v>Russian Federation</v>
          </cell>
          <cell r="M168">
            <v>1552979278.6531496</v>
          </cell>
          <cell r="N168">
            <v>0</v>
          </cell>
          <cell r="O168">
            <v>0</v>
          </cell>
          <cell r="P168">
            <v>1552979278.6531496</v>
          </cell>
          <cell r="X168">
            <v>7073547078.3773527</v>
          </cell>
          <cell r="AH168">
            <v>297383</v>
          </cell>
          <cell r="AJ168">
            <v>1646344.9999999998</v>
          </cell>
        </row>
        <row r="169">
          <cell r="B169">
            <v>2012</v>
          </cell>
          <cell r="F169" t="str">
            <v>Petrol HH</v>
          </cell>
          <cell r="G169" t="str">
            <v>All hedge trimmers petrol (hedge trimmer, pole hedge trimmer)</v>
          </cell>
          <cell r="K169" t="str">
            <v>Russian Federation</v>
          </cell>
          <cell r="M169">
            <v>7512674.9300000034</v>
          </cell>
          <cell r="N169">
            <v>0</v>
          </cell>
          <cell r="O169">
            <v>0</v>
          </cell>
          <cell r="P169">
            <v>7512674.9300000034</v>
          </cell>
          <cell r="X169">
            <v>32632088.164090723</v>
          </cell>
          <cell r="AH169">
            <v>616</v>
          </cell>
          <cell r="AJ169">
            <v>3449</v>
          </cell>
        </row>
        <row r="170">
          <cell r="B170">
            <v>2012</v>
          </cell>
          <cell r="F170" t="str">
            <v>Petrol HH</v>
          </cell>
          <cell r="G170" t="str">
            <v>All trimmers petrol (trimmer, brushcutter, edger/stick edger, multi-tool)</v>
          </cell>
          <cell r="K170" t="str">
            <v>Russian Federation</v>
          </cell>
          <cell r="M170">
            <v>710115998.78050125</v>
          </cell>
          <cell r="N170">
            <v>0</v>
          </cell>
          <cell r="O170">
            <v>0</v>
          </cell>
          <cell r="P170">
            <v>710115998.78050125</v>
          </cell>
          <cell r="X170">
            <v>5392981093.1438828</v>
          </cell>
          <cell r="AH170">
            <v>110819</v>
          </cell>
          <cell r="AJ170">
            <v>1433333.6</v>
          </cell>
        </row>
        <row r="171">
          <cell r="B171">
            <v>2012</v>
          </cell>
          <cell r="F171" t="str">
            <v>Battery</v>
          </cell>
          <cell r="G171" t="str">
            <v>Battery blower</v>
          </cell>
          <cell r="K171" t="str">
            <v>Russian Federation</v>
          </cell>
          <cell r="M171">
            <v>0</v>
          </cell>
          <cell r="N171">
            <v>0</v>
          </cell>
          <cell r="O171">
            <v>0</v>
          </cell>
          <cell r="P171">
            <v>0</v>
          </cell>
          <cell r="X171">
            <v>1809534</v>
          </cell>
          <cell r="AH171">
            <v>0</v>
          </cell>
          <cell r="AJ171">
            <v>650</v>
          </cell>
        </row>
        <row r="172">
          <cell r="B172">
            <v>2012</v>
          </cell>
          <cell r="F172" t="str">
            <v>Battery</v>
          </cell>
          <cell r="G172" t="str">
            <v>Battery chainsaw</v>
          </cell>
          <cell r="K172" t="str">
            <v>Russian Federation</v>
          </cell>
          <cell r="M172">
            <v>0</v>
          </cell>
          <cell r="N172">
            <v>0</v>
          </cell>
          <cell r="O172">
            <v>0</v>
          </cell>
          <cell r="P172">
            <v>0</v>
          </cell>
          <cell r="X172">
            <v>8965042</v>
          </cell>
          <cell r="AH172">
            <v>0</v>
          </cell>
          <cell r="AJ172">
            <v>910</v>
          </cell>
        </row>
        <row r="173">
          <cell r="B173">
            <v>2012</v>
          </cell>
          <cell r="F173" t="str">
            <v>Battery</v>
          </cell>
          <cell r="G173" t="str">
            <v>Battery grass &amp; shrub shears</v>
          </cell>
          <cell r="K173" t="str">
            <v>Russian Federation</v>
          </cell>
          <cell r="M173">
            <v>0</v>
          </cell>
          <cell r="N173">
            <v>30773481.800000004</v>
          </cell>
          <cell r="O173">
            <v>0</v>
          </cell>
          <cell r="P173">
            <v>30773481.800000004</v>
          </cell>
          <cell r="X173">
            <v>69350500</v>
          </cell>
          <cell r="AH173">
            <v>12162</v>
          </cell>
          <cell r="AJ173">
            <v>26955</v>
          </cell>
        </row>
        <row r="174">
          <cell r="B174">
            <v>2012</v>
          </cell>
          <cell r="F174" t="str">
            <v>Battery</v>
          </cell>
          <cell r="G174" t="str">
            <v>Battery hedge trimmer</v>
          </cell>
          <cell r="K174" t="str">
            <v>Russian Federation</v>
          </cell>
          <cell r="M174">
            <v>0</v>
          </cell>
          <cell r="N174">
            <v>0</v>
          </cell>
          <cell r="O174">
            <v>0</v>
          </cell>
          <cell r="P174">
            <v>0</v>
          </cell>
          <cell r="X174">
            <v>1838453</v>
          </cell>
          <cell r="AH174">
            <v>0</v>
          </cell>
          <cell r="AJ174">
            <v>910</v>
          </cell>
        </row>
        <row r="175">
          <cell r="B175">
            <v>2012</v>
          </cell>
          <cell r="F175" t="str">
            <v>Battery</v>
          </cell>
          <cell r="G175" t="str">
            <v>Battery trimmer</v>
          </cell>
          <cell r="K175" t="str">
            <v>Russian Federation</v>
          </cell>
          <cell r="M175">
            <v>103198.66</v>
          </cell>
          <cell r="N175">
            <v>0</v>
          </cell>
          <cell r="O175">
            <v>0</v>
          </cell>
          <cell r="P175">
            <v>103198.66</v>
          </cell>
          <cell r="X175">
            <v>9890466</v>
          </cell>
          <cell r="AH175">
            <v>8</v>
          </cell>
          <cell r="AJ175">
            <v>3705</v>
          </cell>
        </row>
        <row r="176">
          <cell r="B176">
            <v>2012</v>
          </cell>
          <cell r="F176" t="str">
            <v>Battery</v>
          </cell>
          <cell r="G176" t="str">
            <v>Battery walk behind lawn mower</v>
          </cell>
          <cell r="K176" t="str">
            <v>Russian Federation</v>
          </cell>
          <cell r="M176">
            <v>0</v>
          </cell>
          <cell r="N176">
            <v>0</v>
          </cell>
          <cell r="O176">
            <v>0</v>
          </cell>
          <cell r="P176">
            <v>0</v>
          </cell>
          <cell r="X176">
            <v>64690837</v>
          </cell>
          <cell r="AH176">
            <v>0</v>
          </cell>
          <cell r="AJ176">
            <v>6169</v>
          </cell>
        </row>
        <row r="177">
          <cell r="B177">
            <v>2012</v>
          </cell>
          <cell r="F177" t="str">
            <v>Corded</v>
          </cell>
          <cell r="G177" t="str">
            <v>Corded blower</v>
          </cell>
          <cell r="K177" t="str">
            <v>Russian Federation</v>
          </cell>
          <cell r="M177">
            <v>1831833.1118092842</v>
          </cell>
          <cell r="N177">
            <v>0</v>
          </cell>
          <cell r="O177">
            <v>0</v>
          </cell>
          <cell r="P177">
            <v>1831833.1118092842</v>
          </cell>
          <cell r="X177">
            <v>0</v>
          </cell>
          <cell r="AH177">
            <v>657</v>
          </cell>
          <cell r="AJ177">
            <v>0</v>
          </cell>
        </row>
        <row r="178">
          <cell r="B178">
            <v>2012</v>
          </cell>
          <cell r="F178" t="str">
            <v>Corded</v>
          </cell>
          <cell r="G178" t="str">
            <v>Corded chainsaw</v>
          </cell>
          <cell r="K178" t="str">
            <v>Russian Federation</v>
          </cell>
          <cell r="M178">
            <v>12308032.186776515</v>
          </cell>
          <cell r="N178">
            <v>0</v>
          </cell>
          <cell r="O178">
            <v>0</v>
          </cell>
          <cell r="P178">
            <v>12308032.186776515</v>
          </cell>
          <cell r="X178">
            <v>898184361.21754873</v>
          </cell>
          <cell r="AH178">
            <v>2912</v>
          </cell>
          <cell r="AJ178">
            <v>426086</v>
          </cell>
        </row>
        <row r="179">
          <cell r="B179">
            <v>2012</v>
          </cell>
          <cell r="F179" t="str">
            <v>Corded</v>
          </cell>
          <cell r="G179" t="str">
            <v>Corded hedge trimmer</v>
          </cell>
          <cell r="K179" t="str">
            <v>Russian Federation</v>
          </cell>
          <cell r="M179">
            <v>80094.987047382951</v>
          </cell>
          <cell r="N179">
            <v>0</v>
          </cell>
          <cell r="O179">
            <v>0</v>
          </cell>
          <cell r="P179">
            <v>80094.987047382951</v>
          </cell>
          <cell r="X179">
            <v>26636087.839247607</v>
          </cell>
          <cell r="AH179">
            <v>39</v>
          </cell>
          <cell r="AJ179">
            <v>14136</v>
          </cell>
        </row>
        <row r="180">
          <cell r="B180">
            <v>2012</v>
          </cell>
          <cell r="F180" t="str">
            <v>Corded</v>
          </cell>
          <cell r="G180" t="str">
            <v>Corded trimmer</v>
          </cell>
          <cell r="K180" t="str">
            <v>Russian Federation</v>
          </cell>
          <cell r="M180">
            <v>6228410.5878335088</v>
          </cell>
          <cell r="N180">
            <v>0</v>
          </cell>
          <cell r="O180">
            <v>0</v>
          </cell>
          <cell r="P180">
            <v>6228410.5878335088</v>
          </cell>
          <cell r="X180">
            <v>886760566.58952582</v>
          </cell>
          <cell r="AH180">
            <v>6441</v>
          </cell>
          <cell r="AJ180">
            <v>641078</v>
          </cell>
        </row>
        <row r="181">
          <cell r="B181">
            <v>2012</v>
          </cell>
          <cell r="F181" t="str">
            <v>Corded</v>
          </cell>
          <cell r="G181" t="str">
            <v>Corded walk behind lawn mower</v>
          </cell>
          <cell r="K181" t="str">
            <v>Russian Federation</v>
          </cell>
          <cell r="M181">
            <v>2726291.5011216239</v>
          </cell>
          <cell r="N181">
            <v>0</v>
          </cell>
          <cell r="O181">
            <v>0</v>
          </cell>
          <cell r="P181">
            <v>2726291.5011216239</v>
          </cell>
          <cell r="X181">
            <v>562701474.56299865</v>
          </cell>
          <cell r="AH181">
            <v>1112</v>
          </cell>
          <cell r="AJ181">
            <v>179940</v>
          </cell>
        </row>
        <row r="182">
          <cell r="B182">
            <v>2012</v>
          </cell>
          <cell r="F182" t="str">
            <v>Hand tools</v>
          </cell>
          <cell r="G182" t="str">
            <v>Garden accessories</v>
          </cell>
          <cell r="K182" t="str">
            <v>Russian Federation</v>
          </cell>
          <cell r="M182">
            <v>0</v>
          </cell>
          <cell r="N182">
            <v>0</v>
          </cell>
          <cell r="O182">
            <v>0</v>
          </cell>
          <cell r="P182">
            <v>0</v>
          </cell>
          <cell r="X182">
            <v>619636968.46207559</v>
          </cell>
          <cell r="AH182">
            <v>0</v>
          </cell>
          <cell r="AJ182">
            <v>0</v>
          </cell>
        </row>
        <row r="183">
          <cell r="B183">
            <v>2012</v>
          </cell>
          <cell r="F183" t="str">
            <v>Hand tools</v>
          </cell>
          <cell r="G183" t="str">
            <v>Garden tools</v>
          </cell>
          <cell r="K183" t="str">
            <v>Russian Federation</v>
          </cell>
          <cell r="M183">
            <v>0</v>
          </cell>
          <cell r="N183">
            <v>0</v>
          </cell>
          <cell r="O183">
            <v>0</v>
          </cell>
          <cell r="P183">
            <v>0</v>
          </cell>
          <cell r="X183">
            <v>1294283691.113831</v>
          </cell>
          <cell r="AH183">
            <v>0</v>
          </cell>
          <cell r="AJ183">
            <v>0</v>
          </cell>
        </row>
        <row r="184">
          <cell r="B184">
            <v>2012</v>
          </cell>
          <cell r="F184" t="str">
            <v>Watering</v>
          </cell>
          <cell r="G184" t="str">
            <v>Irrigation systems</v>
          </cell>
          <cell r="K184" t="str">
            <v>Russian Federation</v>
          </cell>
          <cell r="M184">
            <v>0</v>
          </cell>
          <cell r="N184">
            <v>0</v>
          </cell>
          <cell r="O184">
            <v>0</v>
          </cell>
          <cell r="P184">
            <v>0</v>
          </cell>
          <cell r="X184">
            <v>1425058874.2797854</v>
          </cell>
          <cell r="AH184">
            <v>0</v>
          </cell>
          <cell r="AJ184">
            <v>0</v>
          </cell>
        </row>
        <row r="185">
          <cell r="B185">
            <v>2012</v>
          </cell>
          <cell r="F185" t="str">
            <v>Hand tools</v>
          </cell>
          <cell r="G185" t="str">
            <v>Mechanical cutting</v>
          </cell>
          <cell r="K185" t="str">
            <v>Russian Federation</v>
          </cell>
          <cell r="M185">
            <v>0</v>
          </cell>
          <cell r="N185">
            <v>0</v>
          </cell>
          <cell r="O185">
            <v>0</v>
          </cell>
          <cell r="P185">
            <v>0</v>
          </cell>
          <cell r="X185">
            <v>1747903233.6043189</v>
          </cell>
          <cell r="AH185">
            <v>0</v>
          </cell>
          <cell r="AJ185">
            <v>0</v>
          </cell>
        </row>
        <row r="186">
          <cell r="B186">
            <v>2012</v>
          </cell>
          <cell r="F186" t="str">
            <v>Watering</v>
          </cell>
          <cell r="G186" t="str">
            <v>Mobile watering</v>
          </cell>
          <cell r="K186" t="str">
            <v>Russian Federation</v>
          </cell>
          <cell r="M186">
            <v>0</v>
          </cell>
          <cell r="N186">
            <v>0</v>
          </cell>
          <cell r="O186">
            <v>0</v>
          </cell>
          <cell r="P186">
            <v>0</v>
          </cell>
          <cell r="X186">
            <v>2000768414.5413749</v>
          </cell>
          <cell r="AH186">
            <v>0</v>
          </cell>
          <cell r="AJ186">
            <v>0</v>
          </cell>
        </row>
        <row r="187">
          <cell r="B187">
            <v>2012</v>
          </cell>
          <cell r="F187" t="str">
            <v>Watering</v>
          </cell>
          <cell r="G187" t="str">
            <v>Pumps</v>
          </cell>
          <cell r="K187" t="str">
            <v>Russian Federation</v>
          </cell>
          <cell r="M187">
            <v>0</v>
          </cell>
          <cell r="N187">
            <v>0</v>
          </cell>
          <cell r="O187">
            <v>0</v>
          </cell>
          <cell r="P187">
            <v>0</v>
          </cell>
          <cell r="X187">
            <v>5916983470.0093842</v>
          </cell>
          <cell r="AH187">
            <v>0</v>
          </cell>
          <cell r="AJ187">
            <v>0</v>
          </cell>
        </row>
        <row r="188">
          <cell r="B188">
            <v>2012</v>
          </cell>
          <cell r="F188" t="str">
            <v>Hand tools</v>
          </cell>
          <cell r="G188" t="str">
            <v>Push lawn mower</v>
          </cell>
          <cell r="K188" t="str">
            <v>Russian Federation</v>
          </cell>
          <cell r="M188">
            <v>2814175.5800000005</v>
          </cell>
          <cell r="N188">
            <v>0</v>
          </cell>
          <cell r="O188">
            <v>0</v>
          </cell>
          <cell r="P188">
            <v>2814175.5800000005</v>
          </cell>
          <cell r="X188">
            <v>0</v>
          </cell>
          <cell r="AH188">
            <v>749</v>
          </cell>
          <cell r="AJ188">
            <v>0</v>
          </cell>
        </row>
        <row r="189">
          <cell r="B189">
            <v>2012</v>
          </cell>
          <cell r="F189" t="str">
            <v>Wheeled</v>
          </cell>
          <cell r="G189" t="str">
            <v>Rider/front mower</v>
          </cell>
          <cell r="K189" t="str">
            <v>Russian Federation</v>
          </cell>
          <cell r="M189">
            <v>29634532.600000013</v>
          </cell>
          <cell r="N189">
            <v>0</v>
          </cell>
          <cell r="O189">
            <v>0</v>
          </cell>
          <cell r="P189">
            <v>29634532.600000013</v>
          </cell>
          <cell r="X189">
            <v>62786561.034681268</v>
          </cell>
          <cell r="AH189">
            <v>235</v>
          </cell>
          <cell r="AJ189">
            <v>418.00000000000006</v>
          </cell>
        </row>
        <row r="190">
          <cell r="B190">
            <v>2012</v>
          </cell>
          <cell r="F190" t="str">
            <v>Robotics</v>
          </cell>
          <cell r="G190" t="str">
            <v>Robotic lawn mower</v>
          </cell>
          <cell r="K190" t="str">
            <v>Russian Federation</v>
          </cell>
          <cell r="M190">
            <v>3759929.7199999988</v>
          </cell>
          <cell r="N190">
            <v>0</v>
          </cell>
          <cell r="O190">
            <v>0</v>
          </cell>
          <cell r="P190">
            <v>3759929.7199999988</v>
          </cell>
          <cell r="X190">
            <v>7164071.083010925</v>
          </cell>
          <cell r="AH190">
            <v>54</v>
          </cell>
          <cell r="AJ190">
            <v>113</v>
          </cell>
        </row>
        <row r="191">
          <cell r="B191">
            <v>2012</v>
          </cell>
          <cell r="F191" t="str">
            <v>Wheeled</v>
          </cell>
          <cell r="G191" t="str">
            <v>Snow thrower</v>
          </cell>
          <cell r="K191" t="str">
            <v>Russian Federation</v>
          </cell>
          <cell r="M191">
            <v>328793579.72643775</v>
          </cell>
          <cell r="N191">
            <v>0</v>
          </cell>
          <cell r="O191">
            <v>0</v>
          </cell>
          <cell r="P191">
            <v>328793579.72643775</v>
          </cell>
          <cell r="X191">
            <v>3063356062.0118127</v>
          </cell>
          <cell r="AH191">
            <v>7941</v>
          </cell>
          <cell r="AJ191">
            <v>114893</v>
          </cell>
        </row>
        <row r="192">
          <cell r="B192">
            <v>2012</v>
          </cell>
          <cell r="F192" t="str">
            <v>Wheeled</v>
          </cell>
          <cell r="G192" t="str">
            <v>Tiller</v>
          </cell>
          <cell r="K192" t="str">
            <v>Russian Federation</v>
          </cell>
          <cell r="M192">
            <v>83890678.797478691</v>
          </cell>
          <cell r="N192">
            <v>0</v>
          </cell>
          <cell r="O192">
            <v>0</v>
          </cell>
          <cell r="P192">
            <v>83890678.797478691</v>
          </cell>
          <cell r="X192">
            <v>5963943057.8013115</v>
          </cell>
          <cell r="AH192">
            <v>5026</v>
          </cell>
          <cell r="AJ192">
            <v>430000</v>
          </cell>
        </row>
        <row r="193">
          <cell r="B193">
            <v>2012</v>
          </cell>
          <cell r="F193" t="str">
            <v>Wheeled</v>
          </cell>
          <cell r="G193" t="str">
            <v>Tractor</v>
          </cell>
          <cell r="K193" t="str">
            <v>Russian Federation</v>
          </cell>
          <cell r="M193">
            <v>63141994.367205627</v>
          </cell>
          <cell r="N193">
            <v>0</v>
          </cell>
          <cell r="O193">
            <v>0</v>
          </cell>
          <cell r="P193">
            <v>63141994.367205627</v>
          </cell>
          <cell r="X193">
            <v>183168748.86462125</v>
          </cell>
          <cell r="AH193">
            <v>699</v>
          </cell>
          <cell r="AJ193">
            <v>2120</v>
          </cell>
        </row>
        <row r="194">
          <cell r="B194">
            <v>2012</v>
          </cell>
          <cell r="F194" t="str">
            <v>Wheeled</v>
          </cell>
          <cell r="G194" t="str">
            <v>Walk behind lawn mower petrol</v>
          </cell>
          <cell r="K194" t="str">
            <v>Russian Federation</v>
          </cell>
          <cell r="M194">
            <v>210691631.20665318</v>
          </cell>
          <cell r="N194">
            <v>0</v>
          </cell>
          <cell r="O194">
            <v>0</v>
          </cell>
          <cell r="P194">
            <v>210691631.20665318</v>
          </cell>
          <cell r="X194">
            <v>691147672.15003002</v>
          </cell>
          <cell r="AH194">
            <v>16909</v>
          </cell>
          <cell r="AJ194">
            <v>68150</v>
          </cell>
        </row>
        <row r="195">
          <cell r="B195">
            <v>2012</v>
          </cell>
          <cell r="F195" t="str">
            <v>Wheeled</v>
          </cell>
          <cell r="G195" t="str">
            <v>Zero turn mower</v>
          </cell>
          <cell r="K195" t="str">
            <v>Russian Federation</v>
          </cell>
          <cell r="M195">
            <v>1347722.4200000002</v>
          </cell>
          <cell r="N195">
            <v>0</v>
          </cell>
          <cell r="O195">
            <v>0</v>
          </cell>
          <cell r="P195">
            <v>1347722.4200000002</v>
          </cell>
          <cell r="X195">
            <v>2383691.4921969757</v>
          </cell>
          <cell r="AH195">
            <v>7</v>
          </cell>
          <cell r="AJ195">
            <v>15</v>
          </cell>
        </row>
        <row r="196">
          <cell r="B196">
            <v>2011</v>
          </cell>
          <cell r="F196" t="str">
            <v>Petrol HH</v>
          </cell>
          <cell r="G196" t="str">
            <v>All blowers petrol (back pack, handheld)</v>
          </cell>
          <cell r="K196" t="str">
            <v>Russian Federation</v>
          </cell>
          <cell r="M196">
            <v>29443992.480895571</v>
          </cell>
          <cell r="N196">
            <v>0</v>
          </cell>
          <cell r="O196">
            <v>0</v>
          </cell>
          <cell r="P196">
            <v>29443992.480895571</v>
          </cell>
          <cell r="X196">
            <v>97349850.361806631</v>
          </cell>
          <cell r="AH196">
            <v>2746</v>
          </cell>
          <cell r="AJ196">
            <v>13116</v>
          </cell>
        </row>
        <row r="197">
          <cell r="B197">
            <v>2011</v>
          </cell>
          <cell r="F197" t="str">
            <v>Petrol HH</v>
          </cell>
          <cell r="G197" t="str">
            <v>All chainsaws petrol (pro, prosumer, consumer, tree-care)</v>
          </cell>
          <cell r="K197" t="str">
            <v>Russian Federation</v>
          </cell>
          <cell r="M197">
            <v>1658964013.6381314</v>
          </cell>
          <cell r="N197">
            <v>0</v>
          </cell>
          <cell r="O197">
            <v>0</v>
          </cell>
          <cell r="P197">
            <v>1658964013.6381314</v>
          </cell>
          <cell r="X197">
            <v>8619821246.9538136</v>
          </cell>
          <cell r="AH197">
            <v>289099</v>
          </cell>
          <cell r="AJ197">
            <v>2053556</v>
          </cell>
        </row>
        <row r="198">
          <cell r="B198">
            <v>2011</v>
          </cell>
          <cell r="F198" t="str">
            <v>Petrol HH</v>
          </cell>
          <cell r="G198" t="str">
            <v>All hedge trimmers petrol (hedge trimmer, pole hedge trimmer)</v>
          </cell>
          <cell r="K198" t="str">
            <v>Russian Federation</v>
          </cell>
          <cell r="M198">
            <v>5330335.4960939046</v>
          </cell>
          <cell r="N198">
            <v>0</v>
          </cell>
          <cell r="O198">
            <v>0</v>
          </cell>
          <cell r="P198">
            <v>5330335.4960939046</v>
          </cell>
          <cell r="X198">
            <v>29828714.413011581</v>
          </cell>
          <cell r="AH198">
            <v>383</v>
          </cell>
          <cell r="AJ198">
            <v>3227</v>
          </cell>
        </row>
        <row r="199">
          <cell r="B199">
            <v>2011</v>
          </cell>
          <cell r="F199" t="str">
            <v>Petrol HH</v>
          </cell>
          <cell r="G199" t="str">
            <v>All trimmers petrol (trimmer, brushcutter, edger/stick edger, multi-tool)</v>
          </cell>
          <cell r="K199" t="str">
            <v>Russian Federation</v>
          </cell>
          <cell r="M199">
            <v>694832960.48958457</v>
          </cell>
          <cell r="N199">
            <v>0</v>
          </cell>
          <cell r="O199">
            <v>0</v>
          </cell>
          <cell r="P199">
            <v>694832960.48958457</v>
          </cell>
          <cell r="X199">
            <v>4576974305.5092583</v>
          </cell>
          <cell r="AH199">
            <v>106888</v>
          </cell>
          <cell r="AJ199">
            <v>1183270</v>
          </cell>
        </row>
        <row r="200">
          <cell r="B200">
            <v>2011</v>
          </cell>
          <cell r="F200" t="str">
            <v>Battery</v>
          </cell>
          <cell r="G200" t="str">
            <v>Battery blower</v>
          </cell>
          <cell r="K200" t="str">
            <v>Russian Federation</v>
          </cell>
          <cell r="M200">
            <v>0</v>
          </cell>
          <cell r="N200">
            <v>0</v>
          </cell>
          <cell r="O200">
            <v>0</v>
          </cell>
          <cell r="P200">
            <v>0</v>
          </cell>
          <cell r="X200">
            <v>1457510</v>
          </cell>
          <cell r="AH200">
            <v>0</v>
          </cell>
          <cell r="AJ200">
            <v>494</v>
          </cell>
        </row>
        <row r="201">
          <cell r="B201">
            <v>2011</v>
          </cell>
          <cell r="F201" t="str">
            <v>Battery</v>
          </cell>
          <cell r="G201" t="str">
            <v>Battery chainsaw</v>
          </cell>
          <cell r="K201" t="str">
            <v>Russian Federation</v>
          </cell>
          <cell r="M201">
            <v>0</v>
          </cell>
          <cell r="N201">
            <v>0</v>
          </cell>
          <cell r="O201">
            <v>0</v>
          </cell>
          <cell r="P201">
            <v>0</v>
          </cell>
          <cell r="X201">
            <v>6404184</v>
          </cell>
          <cell r="AH201">
            <v>0</v>
          </cell>
          <cell r="AJ201">
            <v>650</v>
          </cell>
        </row>
        <row r="202">
          <cell r="B202">
            <v>2011</v>
          </cell>
          <cell r="F202" t="str">
            <v>Battery</v>
          </cell>
          <cell r="G202" t="str">
            <v>Battery grass &amp; shrub shears</v>
          </cell>
          <cell r="K202" t="str">
            <v>Russian Federation</v>
          </cell>
          <cell r="M202">
            <v>0</v>
          </cell>
          <cell r="N202">
            <v>38911393.709999993</v>
          </cell>
          <cell r="O202">
            <v>0</v>
          </cell>
          <cell r="P202">
            <v>38911393.709999993</v>
          </cell>
          <cell r="X202">
            <v>65425000</v>
          </cell>
          <cell r="AH202">
            <v>15258</v>
          </cell>
          <cell r="AJ202">
            <v>26170</v>
          </cell>
        </row>
        <row r="203">
          <cell r="B203">
            <v>2011</v>
          </cell>
          <cell r="F203" t="str">
            <v>Battery</v>
          </cell>
          <cell r="G203" t="str">
            <v>Battery hedge trimmer</v>
          </cell>
          <cell r="K203" t="str">
            <v>Russian Federation</v>
          </cell>
          <cell r="M203">
            <v>0</v>
          </cell>
          <cell r="N203">
            <v>0</v>
          </cell>
          <cell r="O203">
            <v>0</v>
          </cell>
          <cell r="P203">
            <v>0</v>
          </cell>
          <cell r="X203">
            <v>1224425</v>
          </cell>
          <cell r="AH203">
            <v>0</v>
          </cell>
          <cell r="AJ203">
            <v>265</v>
          </cell>
        </row>
        <row r="204">
          <cell r="B204">
            <v>2011</v>
          </cell>
          <cell r="F204" t="str">
            <v>Battery</v>
          </cell>
          <cell r="G204" t="str">
            <v>Battery trimmer</v>
          </cell>
          <cell r="K204" t="str">
            <v>Russian Federation</v>
          </cell>
          <cell r="M204">
            <v>0</v>
          </cell>
          <cell r="N204">
            <v>0</v>
          </cell>
          <cell r="O204">
            <v>0</v>
          </cell>
          <cell r="P204">
            <v>0</v>
          </cell>
          <cell r="X204">
            <v>7982506</v>
          </cell>
          <cell r="AH204">
            <v>0</v>
          </cell>
          <cell r="AJ204">
            <v>2990</v>
          </cell>
        </row>
        <row r="205">
          <cell r="B205">
            <v>2011</v>
          </cell>
          <cell r="F205" t="str">
            <v>Battery</v>
          </cell>
          <cell r="G205" t="str">
            <v>Battery walk behind lawn mower</v>
          </cell>
          <cell r="K205" t="str">
            <v>Russian Federation</v>
          </cell>
          <cell r="M205">
            <v>0</v>
          </cell>
          <cell r="N205">
            <v>0</v>
          </cell>
          <cell r="O205">
            <v>0</v>
          </cell>
          <cell r="P205">
            <v>0</v>
          </cell>
          <cell r="X205">
            <v>29778218</v>
          </cell>
          <cell r="AH205">
            <v>0</v>
          </cell>
          <cell r="AJ205">
            <v>3042</v>
          </cell>
        </row>
        <row r="206">
          <cell r="B206">
            <v>2011</v>
          </cell>
          <cell r="F206" t="str">
            <v>Corded</v>
          </cell>
          <cell r="G206" t="str">
            <v>Corded blower</v>
          </cell>
          <cell r="K206" t="str">
            <v>Russian Federation</v>
          </cell>
          <cell r="M206">
            <v>3253586.301209054</v>
          </cell>
          <cell r="N206">
            <v>0</v>
          </cell>
          <cell r="O206">
            <v>0</v>
          </cell>
          <cell r="P206">
            <v>3253586.301209054</v>
          </cell>
          <cell r="X206">
            <v>0</v>
          </cell>
          <cell r="AH206">
            <v>1344</v>
          </cell>
          <cell r="AJ206">
            <v>0</v>
          </cell>
        </row>
        <row r="207">
          <cell r="B207">
            <v>2011</v>
          </cell>
          <cell r="F207" t="str">
            <v>Corded</v>
          </cell>
          <cell r="G207" t="str">
            <v>Corded chainsaw</v>
          </cell>
          <cell r="K207" t="str">
            <v>Russian Federation</v>
          </cell>
          <cell r="M207">
            <v>9643382.7972346358</v>
          </cell>
          <cell r="N207">
            <v>0</v>
          </cell>
          <cell r="O207">
            <v>0</v>
          </cell>
          <cell r="P207">
            <v>9643382.7972346358</v>
          </cell>
          <cell r="X207">
            <v>818959831.78537047</v>
          </cell>
          <cell r="AH207">
            <v>2838</v>
          </cell>
          <cell r="AJ207">
            <v>388503</v>
          </cell>
        </row>
        <row r="208">
          <cell r="B208">
            <v>2011</v>
          </cell>
          <cell r="F208" t="str">
            <v>Corded</v>
          </cell>
          <cell r="G208" t="str">
            <v>Corded hedge trimmer</v>
          </cell>
          <cell r="K208" t="str">
            <v>Russian Federation</v>
          </cell>
          <cell r="M208">
            <v>396327.11999999976</v>
          </cell>
          <cell r="N208">
            <v>0</v>
          </cell>
          <cell r="O208">
            <v>0</v>
          </cell>
          <cell r="P208">
            <v>396327.11999999976</v>
          </cell>
          <cell r="X208">
            <v>23553416.66600135</v>
          </cell>
          <cell r="AH208">
            <v>199</v>
          </cell>
          <cell r="AJ208">
            <v>12500</v>
          </cell>
        </row>
        <row r="209">
          <cell r="B209">
            <v>2011</v>
          </cell>
          <cell r="F209" t="str">
            <v>Corded</v>
          </cell>
          <cell r="G209" t="str">
            <v>Corded trimmer</v>
          </cell>
          <cell r="K209" t="str">
            <v>Russian Federation</v>
          </cell>
          <cell r="M209">
            <v>8835836.7031835299</v>
          </cell>
          <cell r="N209">
            <v>0</v>
          </cell>
          <cell r="O209">
            <v>0</v>
          </cell>
          <cell r="P209">
            <v>8835836.7031835299</v>
          </cell>
          <cell r="X209">
            <v>995731701.82723916</v>
          </cell>
          <cell r="AH209">
            <v>5812</v>
          </cell>
          <cell r="AJ209">
            <v>719858</v>
          </cell>
        </row>
        <row r="210">
          <cell r="B210">
            <v>2011</v>
          </cell>
          <cell r="F210" t="str">
            <v>Corded</v>
          </cell>
          <cell r="G210" t="str">
            <v>Corded walk behind lawn mower</v>
          </cell>
          <cell r="K210" t="str">
            <v>Russian Federation</v>
          </cell>
          <cell r="M210">
            <v>4973935.2579643494</v>
          </cell>
          <cell r="N210">
            <v>0</v>
          </cell>
          <cell r="O210">
            <v>0</v>
          </cell>
          <cell r="P210">
            <v>4973935.2579643494</v>
          </cell>
          <cell r="X210">
            <v>568089574.15548551</v>
          </cell>
          <cell r="AH210">
            <v>1948</v>
          </cell>
          <cell r="AJ210">
            <v>181663</v>
          </cell>
        </row>
        <row r="211">
          <cell r="B211">
            <v>2011</v>
          </cell>
          <cell r="F211" t="str">
            <v>Hand tools</v>
          </cell>
          <cell r="G211" t="str">
            <v>Garden accessories</v>
          </cell>
          <cell r="K211" t="str">
            <v>Russian Federation</v>
          </cell>
          <cell r="M211">
            <v>0</v>
          </cell>
          <cell r="N211">
            <v>0</v>
          </cell>
          <cell r="O211">
            <v>0</v>
          </cell>
          <cell r="P211">
            <v>0</v>
          </cell>
          <cell r="X211">
            <v>538814755.18441355</v>
          </cell>
          <cell r="AH211">
            <v>0</v>
          </cell>
          <cell r="AJ211">
            <v>0</v>
          </cell>
        </row>
        <row r="212">
          <cell r="B212">
            <v>2011</v>
          </cell>
          <cell r="F212" t="str">
            <v>Hand tools</v>
          </cell>
          <cell r="G212" t="str">
            <v>Garden tools</v>
          </cell>
          <cell r="K212" t="str">
            <v>Russian Federation</v>
          </cell>
          <cell r="M212">
            <v>0</v>
          </cell>
          <cell r="N212">
            <v>0</v>
          </cell>
          <cell r="O212">
            <v>0</v>
          </cell>
          <cell r="P212">
            <v>0</v>
          </cell>
          <cell r="X212">
            <v>1035426952.8910648</v>
          </cell>
          <cell r="AH212">
            <v>0</v>
          </cell>
          <cell r="AJ212">
            <v>0</v>
          </cell>
        </row>
        <row r="213">
          <cell r="B213">
            <v>2011</v>
          </cell>
          <cell r="F213" t="str">
            <v>Watering</v>
          </cell>
          <cell r="G213" t="str">
            <v>Irrigation systems</v>
          </cell>
          <cell r="K213" t="str">
            <v>Russian Federation</v>
          </cell>
          <cell r="M213">
            <v>0</v>
          </cell>
          <cell r="N213">
            <v>0</v>
          </cell>
          <cell r="O213">
            <v>0</v>
          </cell>
          <cell r="P213">
            <v>0</v>
          </cell>
          <cell r="X213">
            <v>1158584450.6339717</v>
          </cell>
          <cell r="AH213">
            <v>0</v>
          </cell>
          <cell r="AJ213">
            <v>0</v>
          </cell>
        </row>
        <row r="214">
          <cell r="B214">
            <v>2011</v>
          </cell>
          <cell r="F214" t="str">
            <v>Hand tools</v>
          </cell>
          <cell r="G214" t="str">
            <v>Mechanical cutting</v>
          </cell>
          <cell r="K214" t="str">
            <v>Russian Federation</v>
          </cell>
          <cell r="M214">
            <v>0</v>
          </cell>
          <cell r="N214">
            <v>0</v>
          </cell>
          <cell r="O214">
            <v>0</v>
          </cell>
          <cell r="P214">
            <v>0</v>
          </cell>
          <cell r="X214">
            <v>1456586028.0035994</v>
          </cell>
          <cell r="AH214">
            <v>0</v>
          </cell>
          <cell r="AJ214">
            <v>0</v>
          </cell>
        </row>
        <row r="215">
          <cell r="B215">
            <v>2011</v>
          </cell>
          <cell r="F215" t="str">
            <v>Watering</v>
          </cell>
          <cell r="G215" t="str">
            <v>Mobile watering</v>
          </cell>
          <cell r="K215" t="str">
            <v>Russian Federation</v>
          </cell>
          <cell r="M215">
            <v>0</v>
          </cell>
          <cell r="N215">
            <v>0</v>
          </cell>
          <cell r="O215">
            <v>0</v>
          </cell>
          <cell r="P215">
            <v>0</v>
          </cell>
          <cell r="X215">
            <v>1691682448.0312891</v>
          </cell>
          <cell r="AH215">
            <v>0</v>
          </cell>
          <cell r="AJ215">
            <v>0</v>
          </cell>
        </row>
        <row r="216">
          <cell r="B216">
            <v>2011</v>
          </cell>
          <cell r="F216" t="str">
            <v>Watering</v>
          </cell>
          <cell r="G216" t="str">
            <v>Pumps</v>
          </cell>
          <cell r="K216" t="str">
            <v>Russian Federation</v>
          </cell>
          <cell r="M216">
            <v>0</v>
          </cell>
          <cell r="N216">
            <v>0</v>
          </cell>
          <cell r="O216">
            <v>0</v>
          </cell>
          <cell r="P216">
            <v>0</v>
          </cell>
          <cell r="X216">
            <v>5190336377.2012138</v>
          </cell>
          <cell r="AH216">
            <v>0</v>
          </cell>
          <cell r="AJ216">
            <v>0</v>
          </cell>
        </row>
        <row r="217">
          <cell r="B217">
            <v>2011</v>
          </cell>
          <cell r="F217" t="str">
            <v>Hand tools</v>
          </cell>
          <cell r="G217" t="str">
            <v>Push lawn mower</v>
          </cell>
          <cell r="K217" t="str">
            <v>Russian Federation</v>
          </cell>
          <cell r="M217">
            <v>2129302.5999999996</v>
          </cell>
          <cell r="N217">
            <v>0</v>
          </cell>
          <cell r="O217">
            <v>0</v>
          </cell>
          <cell r="P217">
            <v>2129302.5999999996</v>
          </cell>
          <cell r="X217">
            <v>0</v>
          </cell>
          <cell r="AH217">
            <v>589</v>
          </cell>
          <cell r="AJ217">
            <v>0</v>
          </cell>
        </row>
        <row r="218">
          <cell r="B218">
            <v>2011</v>
          </cell>
          <cell r="F218" t="str">
            <v>Wheeled</v>
          </cell>
          <cell r="G218" t="str">
            <v>Rider/front mower</v>
          </cell>
          <cell r="K218" t="str">
            <v>Russian Federation</v>
          </cell>
          <cell r="M218">
            <v>30287349.559999999</v>
          </cell>
          <cell r="N218">
            <v>0</v>
          </cell>
          <cell r="O218">
            <v>0</v>
          </cell>
          <cell r="P218">
            <v>30287349.559999999</v>
          </cell>
          <cell r="X218">
            <v>56107139.648013055</v>
          </cell>
          <cell r="AH218">
            <v>215</v>
          </cell>
          <cell r="AJ218">
            <v>374</v>
          </cell>
        </row>
        <row r="219">
          <cell r="B219">
            <v>2011</v>
          </cell>
          <cell r="F219" t="str">
            <v>Robotics</v>
          </cell>
          <cell r="G219" t="str">
            <v>Robotic lawn mower</v>
          </cell>
          <cell r="K219" t="str">
            <v>Russian Federation</v>
          </cell>
          <cell r="M219">
            <v>4114543.948713257</v>
          </cell>
          <cell r="N219">
            <v>0</v>
          </cell>
          <cell r="O219">
            <v>0</v>
          </cell>
          <cell r="P219">
            <v>4114543.948713257</v>
          </cell>
          <cell r="X219">
            <v>5351334.429060163</v>
          </cell>
          <cell r="AH219">
            <v>63</v>
          </cell>
          <cell r="AJ219">
            <v>80</v>
          </cell>
        </row>
        <row r="220">
          <cell r="B220">
            <v>2011</v>
          </cell>
          <cell r="F220" t="str">
            <v>Wheeled</v>
          </cell>
          <cell r="G220" t="str">
            <v>Snow thrower</v>
          </cell>
          <cell r="K220" t="str">
            <v>Russian Federation</v>
          </cell>
          <cell r="M220">
            <v>289651994.69868714</v>
          </cell>
          <cell r="N220">
            <v>0</v>
          </cell>
          <cell r="O220">
            <v>0</v>
          </cell>
          <cell r="P220">
            <v>289651994.69868714</v>
          </cell>
          <cell r="X220">
            <v>2798354853.6815152</v>
          </cell>
          <cell r="AH220">
            <v>7224</v>
          </cell>
          <cell r="AJ220">
            <v>101300</v>
          </cell>
        </row>
        <row r="221">
          <cell r="B221">
            <v>2011</v>
          </cell>
          <cell r="F221" t="str">
            <v>Wheeled</v>
          </cell>
          <cell r="G221" t="str">
            <v>Tiller</v>
          </cell>
          <cell r="K221" t="str">
            <v>Russian Federation</v>
          </cell>
          <cell r="M221">
            <v>69739922.817499846</v>
          </cell>
          <cell r="N221">
            <v>0</v>
          </cell>
          <cell r="O221">
            <v>0</v>
          </cell>
          <cell r="P221">
            <v>69739922.817499846</v>
          </cell>
          <cell r="X221">
            <v>5427562662.7446833</v>
          </cell>
          <cell r="AH221">
            <v>4563</v>
          </cell>
          <cell r="AJ221">
            <v>391327</v>
          </cell>
        </row>
        <row r="222">
          <cell r="B222">
            <v>2011</v>
          </cell>
          <cell r="F222" t="str">
            <v>Wheeled</v>
          </cell>
          <cell r="G222" t="str">
            <v>Tractor</v>
          </cell>
          <cell r="K222" t="str">
            <v>Russian Federation</v>
          </cell>
          <cell r="M222">
            <v>64580087.470387489</v>
          </cell>
          <cell r="N222">
            <v>0</v>
          </cell>
          <cell r="O222">
            <v>0</v>
          </cell>
          <cell r="P222">
            <v>64580087.470387489</v>
          </cell>
          <cell r="X222">
            <v>183513335.30673322</v>
          </cell>
          <cell r="AH222">
            <v>772</v>
          </cell>
          <cell r="AJ222">
            <v>2120</v>
          </cell>
        </row>
        <row r="223">
          <cell r="B223">
            <v>2011</v>
          </cell>
          <cell r="F223" t="str">
            <v>Wheeled</v>
          </cell>
          <cell r="G223" t="str">
            <v>Walk behind lawn mower petrol</v>
          </cell>
          <cell r="K223" t="str">
            <v>Russian Federation</v>
          </cell>
          <cell r="M223">
            <v>204057311.55122623</v>
          </cell>
          <cell r="N223">
            <v>0</v>
          </cell>
          <cell r="O223">
            <v>0</v>
          </cell>
          <cell r="P223">
            <v>204057311.55122623</v>
          </cell>
          <cell r="X223">
            <v>1043709046.6859605</v>
          </cell>
          <cell r="AH223">
            <v>18170</v>
          </cell>
          <cell r="AJ223">
            <v>102915</v>
          </cell>
        </row>
        <row r="224">
          <cell r="B224">
            <v>2011</v>
          </cell>
          <cell r="F224" t="str">
            <v>Wheeled</v>
          </cell>
          <cell r="G224" t="str">
            <v>Zero turn mower</v>
          </cell>
          <cell r="K224" t="str">
            <v>Russian Federation</v>
          </cell>
          <cell r="M224">
            <v>0</v>
          </cell>
          <cell r="N224">
            <v>0</v>
          </cell>
          <cell r="O224">
            <v>0</v>
          </cell>
          <cell r="P224">
            <v>0</v>
          </cell>
          <cell r="X224">
            <v>1906953.1937575806</v>
          </cell>
          <cell r="AH224">
            <v>0</v>
          </cell>
          <cell r="AJ224">
            <v>12</v>
          </cell>
        </row>
      </sheetData>
      <sheetData sheetId="5"/>
      <sheetData sheetId="6">
        <row r="3">
          <cell r="D3" t="str">
            <v>Battery blower</v>
          </cell>
        </row>
        <row r="4">
          <cell r="D4" t="str">
            <v>Battery chainsaw</v>
          </cell>
        </row>
        <row r="5">
          <cell r="D5" t="str">
            <v>Battery grass &amp; shrub shears</v>
          </cell>
        </row>
        <row r="6">
          <cell r="D6" t="str">
            <v>Battery hedge trimmer</v>
          </cell>
        </row>
        <row r="7">
          <cell r="D7" t="str">
            <v>Battery trimmer</v>
          </cell>
        </row>
        <row r="8">
          <cell r="D8" t="str">
            <v>Battery walk behind lawn mower</v>
          </cell>
        </row>
        <row r="10">
          <cell r="D10" t="str">
            <v>Corded blower</v>
          </cell>
        </row>
        <row r="11">
          <cell r="D11" t="str">
            <v>Corded chainsaw</v>
          </cell>
        </row>
        <row r="12">
          <cell r="D12" t="str">
            <v>Corded hedge trimmer</v>
          </cell>
        </row>
        <row r="13">
          <cell r="D13" t="str">
            <v>Corded trimmer</v>
          </cell>
        </row>
        <row r="14">
          <cell r="D14" t="str">
            <v>Corded walk behind lawn mower</v>
          </cell>
        </row>
        <row r="16">
          <cell r="D16" t="str">
            <v>Garden accessories</v>
          </cell>
        </row>
        <row r="17">
          <cell r="D17" t="str">
            <v>Garden tools</v>
          </cell>
        </row>
        <row r="18">
          <cell r="D18" t="str">
            <v>Mechanical cutting</v>
          </cell>
        </row>
        <row r="19">
          <cell r="D19" t="str">
            <v>Push lawn mower</v>
          </cell>
        </row>
        <row r="21">
          <cell r="D21" t="str">
            <v>Chains &amp; bars</v>
          </cell>
        </row>
        <row r="22">
          <cell r="D22" t="str">
            <v>E Spare parts</v>
          </cell>
        </row>
        <row r="23">
          <cell r="D23" t="str">
            <v>Forest tools</v>
          </cell>
        </row>
        <row r="24">
          <cell r="D24" t="str">
            <v>HH Spare parts</v>
          </cell>
        </row>
        <row r="25">
          <cell r="D25" t="str">
            <v>LME</v>
          </cell>
        </row>
        <row r="26">
          <cell r="D26" t="str">
            <v>Lubricants</v>
          </cell>
        </row>
        <row r="27">
          <cell r="D27" t="str">
            <v>Personal protection equipment</v>
          </cell>
        </row>
        <row r="28">
          <cell r="D28" t="str">
            <v>Ride-on/Lawnmowers</v>
          </cell>
        </row>
        <row r="29">
          <cell r="D29" t="str">
            <v>W Spare parts</v>
          </cell>
        </row>
        <row r="30">
          <cell r="D30" t="str">
            <v>WA Spare parts</v>
          </cell>
        </row>
        <row r="32">
          <cell r="D32" t="str">
            <v>All blowers petrol (back pack, handheld)</v>
          </cell>
        </row>
        <row r="33">
          <cell r="D33" t="str">
            <v>All chainsaws petrol (pro, prosumer, consumer, tree-care)</v>
          </cell>
        </row>
        <row r="34">
          <cell r="D34" t="str">
            <v>All hedge trimmers petrol (hedge trimmer, pole hedge trimmer)</v>
          </cell>
        </row>
        <row r="35">
          <cell r="D35" t="str">
            <v>All trimmers petrol (trimmer, brushcutter, edger/stick edger, multi-tool)</v>
          </cell>
        </row>
        <row r="37">
          <cell r="D37" t="str">
            <v>Robotic lawn mower</v>
          </cell>
        </row>
        <row r="38">
          <cell r="D38">
            <v>0</v>
          </cell>
        </row>
        <row r="40">
          <cell r="D40" t="str">
            <v>Irrigation systems</v>
          </cell>
        </row>
        <row r="41">
          <cell r="D41" t="str">
            <v>Mobile watering</v>
          </cell>
        </row>
        <row r="42">
          <cell r="D42" t="str">
            <v>Pumps</v>
          </cell>
        </row>
        <row r="44">
          <cell r="D44" t="str">
            <v>Rider/front mower</v>
          </cell>
        </row>
        <row r="45">
          <cell r="D45" t="str">
            <v>Snow thrower</v>
          </cell>
        </row>
        <row r="46">
          <cell r="D46" t="str">
            <v>Tiller</v>
          </cell>
        </row>
        <row r="47">
          <cell r="D47" t="str">
            <v>Tractor</v>
          </cell>
        </row>
        <row r="48">
          <cell r="D48" t="str">
            <v>Walk behind lawn mower petrol</v>
          </cell>
        </row>
        <row r="49">
          <cell r="D49" t="str">
            <v>Zero turn mower</v>
          </cell>
        </row>
      </sheetData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Товары" displayName="Товары" ref="A2:AY1862" totalsRowShown="0" headerRowDxfId="489" dataDxfId="488">
  <autoFilter ref="A2:AY1862" xr:uid="{6B7FED29-D1EF-44AD-8CEA-6B36EA57CFDF}"/>
  <tableColumns count="51">
    <tableColumn id="20" xr3:uid="{F0834113-79EB-4DC4-BB50-96E4D3BC9E62}" name="№" dataDxfId="487"/>
    <tableColumn id="1" xr3:uid="{44335108-828B-4B3A-895B-7E65E05994E7}" name="Категория для прайс-листа дилеров" dataDxfId="486"/>
    <tableColumn id="51" xr3:uid="{B6F4BDB1-0B40-402E-8F7C-9BED5A1F482A}" name="Суперкатегория" dataDxfId="485">
      <calculatedColumnFormula>IFERROR(INDEX(Структура_ассортимента[SuperCategory],MATCH(Товары[[#This Row],[SubGroup]],Структура_ассортимента[Subgroup],0)),"")</calculatedColumnFormula>
    </tableColumn>
    <tableColumn id="2" xr3:uid="{00000000-0010-0000-0300-000002000000}" name="Суперкатегория (ENG)" dataDxfId="484">
      <calculatedColumnFormula>IFERROR(INDEX(Структура_ассортимента[SuperCategory Name ENG],MATCH(Товары[[#This Row],[SubGroup]],Структура_ассортимента[Subgroup],0)),"")</calculatedColumnFormula>
    </tableColumn>
    <tableColumn id="3" xr3:uid="{00000000-0010-0000-0300-000003000000}" name="Суперкатегория (RUS)" dataDxfId="483">
      <calculatedColumnFormula>IFERROR(INDEX(Структура_ассортимента[SuperCategory Name RUS],MATCH(Товары[[#This Row],[SubGroup]],Структура_ассортимента[Subgroup],0)),"")</calculatedColumnFormula>
    </tableColumn>
    <tableColumn id="4" xr3:uid="{00000000-0010-0000-0300-000004000000}" name="Продукт группа" dataDxfId="482">
      <calculatedColumnFormula>IFERROR(INDEX(Структура_ассортимента[Product group],MATCH(Товары[[#This Row],[SubGroup]],Структура_ассортимента[Subgroup],0)),"")</calculatedColumnFormula>
    </tableColumn>
    <tableColumn id="5" xr3:uid="{00000000-0010-0000-0300-000005000000}" name="Название продукт группы (ENG)" dataDxfId="481">
      <calculatedColumnFormula>IFERROR(INDEX(Структура_ассортимента[Product group name ENG],MATCH(Товары[[#This Row],[SubGroup]],Структура_ассортимента[Subgroup],0)),"")</calculatedColumnFormula>
    </tableColumn>
    <tableColumn id="6" xr3:uid="{00000000-0010-0000-0300-000006000000}" name="Название продукт группы (RUS)" dataDxfId="480">
      <calculatedColumnFormula>IFERROR(INDEX(Структура_ассортимента[Generic Name (long)3],MATCH(Товары[[#This Row],[SubGroup]],Структура_ассортимента[Subgroup],0)),"")</calculatedColumnFormula>
    </tableColumn>
    <tableColumn id="7" xr3:uid="{00000000-0010-0000-0300-000007000000}" name="SubGroup" dataDxfId="479"/>
    <tableColumn id="50" xr3:uid="{AC4F29A4-006B-4674-A4BB-4326DB08BE6F}" name="Generic Name (long)" dataDxfId="478">
      <calculatedColumnFormula>IFERROR(INDEX(Структура_ассортимента[Generic Name (long)],MATCH(Товары[[#This Row],[SubGroup]],Структура_ассортимента[Subgroup],0)),"")</calculatedColumnFormula>
    </tableColumn>
    <tableColumn id="9" xr3:uid="{00000000-0010-0000-0300-000009000000}" name="Model" dataDxfId="477"/>
    <tableColumn id="10" xr3:uid="{00000000-0010-0000-0300-00000A000000}" name="PNS" dataDxfId="476"/>
    <tableColumn id="11" xr3:uid="{00000000-0010-0000-0300-00000B000000}" name="Артикул" dataDxfId="475"/>
    <tableColumn id="12" xr3:uid="{00000000-0010-0000-0300-00000C000000}" name="Артикул предшественника (если есть)" dataDxfId="474"/>
    <tableColumn id="13" xr3:uid="{00000000-0010-0000-0300-00000D000000}" name="Название артикула (ENG)" dataDxfId="473"/>
    <tableColumn id="14" xr3:uid="{00000000-0010-0000-0300-00000E000000}" name="Название артикула (RUS)" dataDxfId="472"/>
    <tableColumn id="15" xr3:uid="{00000000-0010-0000-0300-00000F000000}" name="Используемый календарь" dataDxfId="471"/>
    <tableColumn id="21" xr3:uid="{22E1A367-1EE8-43BC-814E-457CB0799CE2}" name="to be sold in" dataDxfId="470"/>
    <tableColumn id="22" xr3:uid="{96D0E354-E4F0-4C0D-A215-B5053EDC93D3}" name="Sales Start Date" dataDxfId="469"/>
    <tableColumn id="23" xr3:uid="{8E8FA46F-C4EA-4B11-9002-6C2FB1732F50}" name="Preliminary Elimination Date" dataDxfId="468"/>
    <tableColumn id="24" xr3:uid="{1CD4DFA3-524A-4B3F-B75B-153436EC8505}" name="Elimination Date" dataDxfId="467"/>
    <tableColumn id="25" xr3:uid="{9E91402A-0829-46E3-BCAD-2B3FBD67E8B4}" name="GTIN-13/EAN" dataDxfId="466"/>
    <tableColumn id="26" xr3:uid="{6D670FEE-0EE3-4984-AE03-EE53C5B4F796}" name="Current Producing Factory Entity Reference" dataDxfId="465"/>
    <tableColumn id="27" xr3:uid="{5EE7ABD6-FDA4-4488-802E-A3E44391980C}" name="Country of Origin" dataDxfId="464"/>
    <tableColumn id="28" xr3:uid="{9B515A88-1ED3-4508-B5E0-8006888F9EC2}" name="Unit of measure" dataDxfId="463"/>
    <tableColumn id="29" xr3:uid="{87BE889F-2ABE-4DA6-8E30-3420049514D6}" name="Quantity in Master pack" dataDxfId="462"/>
    <tableColumn id="30" xr3:uid="{47EEE49F-81B7-4FCC-B374-69DEC03ECE66}" name="Article gross weight, preliminary" dataDxfId="461"/>
    <tableColumn id="31" xr3:uid="{EFEF2C58-568B-4F24-9FA2-6034A66D278C}" name="Article gross weight" dataDxfId="460"/>
    <tableColumn id="32" xr3:uid="{D9BFC098-81CC-44FD-9FDE-FE6F58BB8BD6}" name="Article net weight, preliminary" dataDxfId="459"/>
    <tableColumn id="33" xr3:uid="{C47E9D47-775F-4F97-AD61-45CFFC8D6D30}" name="Article net weight" dataDxfId="458"/>
    <tableColumn id="34" xr3:uid="{8FDF5358-549B-4DBC-B8D0-CFC371276F4D}" name="Packaging length" dataDxfId="457"/>
    <tableColumn id="35" xr3:uid="{6E69E3B5-4350-4ABB-89BF-8A6BD2DC4947}" name="Packaging width" dataDxfId="456"/>
    <tableColumn id="36" xr3:uid="{96879B4C-6D27-4389-8B5A-11E1CBC022EA}" name="Packaging height" dataDxfId="455"/>
    <tableColumn id="37" xr3:uid="{170F61C0-2069-494A-A33C-F39311F5A9C7}" name="Packaging volume" dataDxfId="454"/>
    <tableColumn id="38" xr3:uid="{5E3DED34-6BEE-4E8A-AFB4-2CACE6CD1835}" name="Product size length" dataDxfId="453"/>
    <tableColumn id="39" xr3:uid="{FF80A301-50E2-4D81-BB7D-1EE251460E5A}" name="Product size height" dataDxfId="452"/>
    <tableColumn id="40" xr3:uid="{37BA004B-7442-4871-93EF-B13A77E1A917}" name="Product size width" dataDxfId="451"/>
    <tableColumn id="41" xr3:uid="{9C4077D9-3E18-4C57-A4FE-24EC817418FB}" name="Units Per Pallet" dataDxfId="450"/>
    <tableColumn id="16" xr3:uid="{00000000-0010-0000-0300-000010000000}" name="Актуальный статус" dataDxfId="449"/>
    <tableColumn id="17" xr3:uid="{00000000-0010-0000-0300-000011000000}" name="Эксклюзив клиента или канала продажи" dataDxfId="448"/>
    <tableColumn id="18" xr3:uid="{00000000-0010-0000-0300-000012000000}" name="Локальный сертификат" dataDxfId="447"/>
    <tableColumn id="43" xr3:uid="{F395E6EB-A30D-4A38-AB3A-7536C9D93B73}" name="IRP, Eur" dataDxfId="446"/>
    <tableColumn id="42" xr3:uid="{05ED5D32-E5CB-4A2F-932D-7E4E79D8C3DB}" name="РРЦ текущий" dataDxfId="445"/>
    <tableColumn id="19" xr3:uid="{942DBC0D-E4D1-4CAE-964C-D4023A4F222C}" name="DIY текущий" dataDxfId="444"/>
    <tableColumn id="44" xr3:uid="{B34018FA-361B-4D7A-BB24-F38CB52B40FF}" name="Процент повышения РРЦ" dataDxfId="443"/>
    <tableColumn id="45" xr3:uid="{74423DE5-1814-4A91-B002-871E2E69DACF}" name="РРЦ расчетная, руб." dataDxfId="442"/>
    <tableColumn id="46" xr3:uid="{254B632A-097C-44FA-9C17-E9B47A344E90}" name="РРЦ финальная, руб." dataDxfId="441"/>
    <tableColumn id="49" xr3:uid="{9DFD32D8-20F7-44F2-9EFD-A1D48FECC173}" name="РРЦ, евро" dataDxfId="440">
      <calculatedColumnFormula>ROUND(Товары[[#This Row],[РРЦ финальная, руб.]]/$AU$1,2)</calculatedColumnFormula>
    </tableColumn>
    <tableColumn id="47" xr3:uid="{274477BF-6DA6-42C0-8813-165D8A99D45E}" name="Индекс IRP" dataDxfId="439">
      <calculatedColumnFormula>IFERROR(Товары[[#This Row],[РРЦ, евро]]/Товары[[#This Row],[IRP, Eur]],"-")</calculatedColumnFormula>
    </tableColumn>
    <tableColumn id="52" xr3:uid="{B1004C8A-9509-4329-A6ED-C7613F8F56E1}" name="Скидка DIY" dataDxfId="438">
      <calculatedColumnFormula>IFERROR(VLOOKUP(Товары[[#This Row],[SubGroup]],'Структура цен DIY'!$B:$C,2,FALSE),0)</calculatedColumnFormula>
    </tableColumn>
    <tableColumn id="48" xr3:uid="{B9D88E75-7832-4F53-8C3F-6C92D997E7AF}" name="DIY price list, руб. без НДС" dataDxfId="437"/>
  </tableColumns>
  <tableStyleInfo name="TableStyleMedium2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A000000}" name="Клиенты" displayName="Клиенты" ref="A1:H440" totalsRowShown="0" headerRowDxfId="436" dataDxfId="435">
  <autoFilter ref="A1:H440" xr:uid="{00000000-0009-0000-0100-00000D000000}"/>
  <tableColumns count="8">
    <tableColumn id="8" xr3:uid="{E2D1A163-1F1A-4C5F-BF19-12C204A54D1C}" name="№" dataDxfId="434"/>
    <tableColumn id="1" xr3:uid="{00000000-0010-0000-0A00-000001000000}" name="GardenaChannel" dataDxfId="433"/>
    <tableColumn id="2" xr3:uid="{00000000-0010-0000-0A00-000002000000}" name="Customer" dataDxfId="432"/>
    <tableColumn id="3" xr3:uid="{00000000-0010-0000-0A00-000003000000}" name="Channel type" dataDxfId="431"/>
    <tableColumn id="4" xr3:uid="{00000000-0010-0000-0A00-000004000000}" name="Customer status" dataDxfId="430"/>
    <tableColumn id="5" xr3:uid="{00000000-0010-0000-0A00-000005000000}" name="Sales manager" dataDxfId="429">
      <calculatedColumnFormula>VLOOKUP(Клиенты[[#This Row],[GardenaChannel]],GardenChannel[[GardenChannel]:[Sales manager]],2,0)</calculatedColumnFormula>
    </tableColumn>
    <tableColumn id="6" xr3:uid="{00000000-0010-0000-0A00-000006000000}" name="Маг" dataDxfId="428"/>
    <tableColumn id="7" xr3:uid="{00000000-0010-0000-0A00-000007000000}" name="CustomerBudget" dataDxfId="42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5786D841-C4E6-4F15-9514-F13D6C17E8D2}" name="Структура_ассортимента" displayName="Структура_ассортимента" ref="A1:K75" totalsRowShown="0">
  <autoFilter ref="A1:K75" xr:uid="{62BFA13E-5256-4F9B-90B6-85DE15909BFF}"/>
  <tableColumns count="11">
    <tableColumn id="9" xr3:uid="{48C4571C-0CEF-46CE-BFF0-BC47BBCCC4FA}" name="Subgroup" dataDxfId="426"/>
    <tableColumn id="1" xr3:uid="{D64D7478-3ED4-4F03-B85F-84684358F03D}" name="old"/>
    <tableColumn id="2" xr3:uid="{B7606142-B29F-4BC7-8D3E-875F1D4EF518}" name="old2"/>
    <tableColumn id="3" xr3:uid="{DA38142C-B871-4264-8846-8AE5DD5A0A7D}" name="SuperCategory"/>
    <tableColumn id="4" xr3:uid="{274397CC-D5E9-4FA2-B1F0-2B67A9D49D47}" name="SuperCategory Name ENG"/>
    <tableColumn id="5" xr3:uid="{85B38A30-5C7B-468D-A586-F7ABC0B323A3}" name="SuperCategory Name RUS"/>
    <tableColumn id="6" xr3:uid="{5403D083-F604-49EC-96C8-346C18F087E3}" name="Product group"/>
    <tableColumn id="7" xr3:uid="{504DBAC9-C2BB-4309-8D16-5677D703A249}" name="Product group name ENG"/>
    <tableColumn id="8" xr3:uid="{7B220CBD-C587-4192-9301-A3DDBA278ABD}" name="Product group name RUS"/>
    <tableColumn id="10" xr3:uid="{023ED0AA-500D-4C13-8D6C-2440993E2CA2}" name="Generic Name (long)"/>
    <tableColumn id="11" xr3:uid="{0ABF294B-FC21-4E36-9072-6748B6735EDF}" name="Generic Name (long)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C000000}" name="Скидки" displayName="Скидки" ref="A1:K4" totalsRowShown="0" headerRowDxfId="425">
  <autoFilter ref="A1:K4" xr:uid="{00000000-0009-0000-0100-00000F000000}"/>
  <tableColumns count="11">
    <tableColumn id="11" xr3:uid="{F724774D-6E5F-421B-8A8A-7AD1541FFA21}" name="№" dataDxfId="424"/>
    <tableColumn id="1" xr3:uid="{00000000-0010-0000-0C00-000001000000}" name="Channel type" dataDxfId="423"/>
    <tableColumn id="2" xr3:uid="{00000000-0010-0000-0C00-000002000000}" name="Customer status" dataDxfId="422"/>
    <tableColumn id="3" xr3:uid="{00000000-0010-0000-0C00-000003000000}" name="Период" dataDxfId="421"/>
    <tableColumn id="4" xr3:uid="{00000000-0010-0000-0C00-000004000000}" name="Оборудование для полива" dataDxfId="420"/>
    <tableColumn id="5" xr3:uid="{00000000-0010-0000-0C00-000005000000}" name="Электрика (Готовая продукция)" dataDxfId="419"/>
    <tableColumn id="6" xr3:uid="{00000000-0010-0000-0C00-000006000000}" name="Газонокосилки-роботы" dataDxfId="418"/>
    <tableColumn id="7" xr3:uid="{00000000-0010-0000-0C00-000007000000}" name="Насосное оборудование" dataDxfId="417"/>
    <tableColumn id="8" xr3:uid="{00000000-0010-0000-0C00-000008000000}" name="Ручные и режущие инструменты" dataDxfId="416"/>
    <tableColumn id="9" xr3:uid="{00000000-0010-0000-0C00-000009000000}" name="Зимние инструменты ClassicLine" dataDxfId="415"/>
    <tableColumn id="10" xr3:uid="{00000000-0010-0000-0C00-00000A000000}" name="Максимальный годовой бонус" dataDxfId="414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6000000}" name="РРЦ" displayName="РРЦ" ref="A1:H746" totalsRowShown="0" headerRowDxfId="410" headerRowBorderDxfId="409" tableBorderDxfId="408">
  <autoFilter ref="A1:H746" xr:uid="{00000000-0009-0000-0100-000009000000}"/>
  <tableColumns count="8">
    <tableColumn id="6" xr3:uid="{2D081CBD-B861-4BD3-904F-4492D5DB2851}" name="№"/>
    <tableColumn id="1" xr3:uid="{00000000-0010-0000-0600-000001000000}" name="Артикул" dataDxfId="6"/>
    <tableColumn id="2" xr3:uid="{00000000-0010-0000-0600-000002000000}" name="IRP, Eur" dataDxfId="5"/>
    <tableColumn id="7" xr3:uid="{11D04D17-838D-4CC8-AC1C-1913385B662D}" name="RRP, Eur" dataDxfId="4"/>
    <tableColumn id="8" xr3:uid="{46EF54C3-C337-4CB8-BC99-D103FB9E5B21}" name="IRP index" dataDxfId="3"/>
    <tableColumn id="3" xr3:uid="{00000000-0010-0000-0600-000003000000}" name="РРЦ, руб. с НДС" dataDxfId="2"/>
    <tableColumn id="4" xr3:uid="{00000000-0010-0000-0600-000004000000}" name="DIY price list, руб. без НДС" dataDxfId="0"/>
    <tableColumn id="5" xr3:uid="{00000000-0010-0000-0600-000005000000}" name="Дата принятия" dataDxfId="1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7000000}" name="DIY" displayName="DIY" ref="A1:C58" totalsRowShown="0">
  <autoFilter ref="A1:C58" xr:uid="{00000000-0009-0000-0100-00000A000000}"/>
  <tableColumns count="3">
    <tableColumn id="1" xr3:uid="{00000000-0010-0000-0700-000001000000}" name="№" dataDxfId="407"/>
    <tableColumn id="2" xr3:uid="{00000000-0010-0000-0700-000002000000}" name="SubGroup" dataDxfId="406"/>
    <tableColumn id="3" xr3:uid="{00000000-0010-0000-0700-000003000000}" name="Процент от РРЦ, без НДС" dataDxfId="405" dataCellStyle="Процентный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D000000}" name="Планирование" displayName="Планирование" ref="A1:DR2" totalsRowShown="0" headerRowDxfId="404">
  <tableColumns count="122">
    <tableColumn id="1" xr3:uid="{00000000-0010-0000-0D00-000001000000}" name="№" dataDxfId="403"/>
    <tableColumn id="122" xr3:uid="{156887A3-65E5-416F-AD69-59CE1C8980E7}" name="Артикул" dataDxfId="402"/>
    <tableColumn id="2" xr3:uid="{00000000-0010-0000-0D00-000002000000}" name="Channel type" dataDxfId="401"/>
    <tableColumn id="3" xr3:uid="{00000000-0010-0000-0D00-000003000000}" name="Customer status" dataDxfId="400"/>
    <tableColumn id="4" xr3:uid="{00000000-0010-0000-0D00-000004000000}" name="Дата прогноза" dataDxfId="399"/>
    <tableColumn id="5" xr3:uid="{00000000-0010-0000-0D00-000005000000}" name="Данные справочника товаров"/>
    <tableColumn id="6" xr3:uid="{00000000-0010-0000-0D00-000006000000}" name="STK 2.5, руб." dataDxfId="398"/>
    <tableColumn id="7" xr3:uid="{00000000-0010-0000-0D00-000007000000}" name="IRP, Eur" dataDxfId="397"/>
    <tableColumn id="8" xr3:uid="{00000000-0010-0000-0D00-000008000000}" name="РРЦ, руб.с НДС" dataDxfId="396"/>
    <tableColumn id="9" xr3:uid="{00000000-0010-0000-0D00-000009000000}" name="Индекс IRP" dataDxfId="395"/>
    <tableColumn id="10" xr3:uid="{00000000-0010-0000-0D00-00000A000000}" name="DIY price list, руб. без НДС" dataDxfId="394"/>
    <tableColumn id="11" xr3:uid="{00000000-0010-0000-0D00-00000B000000}" name="2 net цена, руб." dataDxfId="393"/>
    <tableColumn id="12" xr3:uid="{00000000-0010-0000-0D00-00000C000000}" name="3 net цена, руб." dataDxfId="392"/>
    <tableColumn id="13" xr3:uid="{00000000-0010-0000-0D00-00000D000000}" name="Transfer цена, руб." dataDxfId="391"/>
    <tableColumn id="14" xr3:uid="{00000000-0010-0000-0D00-00000E000000}" name="Price-list январь" dataDxfId="390"/>
    <tableColumn id="15" xr3:uid="{00000000-0010-0000-0D00-00000F000000}" name="Price-list февраль" dataDxfId="389"/>
    <tableColumn id="16" xr3:uid="{00000000-0010-0000-0D00-000010000000}" name="Price-list март" dataDxfId="388"/>
    <tableColumn id="17" xr3:uid="{00000000-0010-0000-0D00-000011000000}" name="Price-list апрель" dataDxfId="387"/>
    <tableColumn id="18" xr3:uid="{00000000-0010-0000-0D00-000012000000}" name="Price-list май" dataDxfId="386"/>
    <tableColumn id="19" xr3:uid="{00000000-0010-0000-0D00-000013000000}" name="Price-list июнь" dataDxfId="385"/>
    <tableColumn id="20" xr3:uid="{00000000-0010-0000-0D00-000014000000}" name="Price-list июль" dataDxfId="384"/>
    <tableColumn id="21" xr3:uid="{00000000-0010-0000-0D00-000015000000}" name="Price-list август" dataDxfId="383"/>
    <tableColumn id="22" xr3:uid="{00000000-0010-0000-0D00-000016000000}" name="Price-list сентябрь" dataDxfId="382"/>
    <tableColumn id="23" xr3:uid="{00000000-0010-0000-0D00-000017000000}" name="Price-list октябрь" dataDxfId="381"/>
    <tableColumn id="24" xr3:uid="{00000000-0010-0000-0D00-000018000000}" name="Price-list ноябрь" dataDxfId="380"/>
    <tableColumn id="25" xr3:uid="{00000000-0010-0000-0D00-000019000000}" name="Price-list декабрь" dataDxfId="379"/>
    <tableColumn id="26" xr3:uid="{00000000-0010-0000-0D00-00001A000000}" name="Объем продаж январь" dataDxfId="378"/>
    <tableColumn id="27" xr3:uid="{00000000-0010-0000-0D00-00001B000000}" name="Объем продаж февраль" dataDxfId="377"/>
    <tableColumn id="28" xr3:uid="{00000000-0010-0000-0D00-00001C000000}" name="Объем продаж март" dataDxfId="376"/>
    <tableColumn id="29" xr3:uid="{00000000-0010-0000-0D00-00001D000000}" name="Объем продаж апрель" dataDxfId="375"/>
    <tableColumn id="30" xr3:uid="{00000000-0010-0000-0D00-00001E000000}" name="Объем продаж май" dataDxfId="374"/>
    <tableColumn id="31" xr3:uid="{00000000-0010-0000-0D00-00001F000000}" name="Объем продаж июнь" dataDxfId="373"/>
    <tableColumn id="32" xr3:uid="{00000000-0010-0000-0D00-000020000000}" name="Объем продаж июль" dataDxfId="372"/>
    <tableColumn id="33" xr3:uid="{00000000-0010-0000-0D00-000021000000}" name="Объем продаж август" dataDxfId="371"/>
    <tableColumn id="34" xr3:uid="{00000000-0010-0000-0D00-000022000000}" name="Объем продаж сентябрь" dataDxfId="370"/>
    <tableColumn id="35" xr3:uid="{00000000-0010-0000-0D00-000023000000}" name="Объем продаж октябрь" dataDxfId="369"/>
    <tableColumn id="36" xr3:uid="{00000000-0010-0000-0D00-000024000000}" name="Объем продаж ноябрь" dataDxfId="368"/>
    <tableColumn id="37" xr3:uid="{00000000-0010-0000-0D00-000025000000}" name="Объем продаж декабрь" dataDxfId="367"/>
    <tableColumn id="38" xr3:uid="{00000000-0010-0000-0D00-000026000000}" name="GS январь" dataDxfId="366"/>
    <tableColumn id="39" xr3:uid="{00000000-0010-0000-0D00-000027000000}" name="GS февраль" dataDxfId="365"/>
    <tableColumn id="40" xr3:uid="{00000000-0010-0000-0D00-000028000000}" name="GS март" dataDxfId="364"/>
    <tableColumn id="41" xr3:uid="{00000000-0010-0000-0D00-000029000000}" name="GS апрель" dataDxfId="363"/>
    <tableColumn id="42" xr3:uid="{00000000-0010-0000-0D00-00002A000000}" name="GS май" dataDxfId="362"/>
    <tableColumn id="43" xr3:uid="{00000000-0010-0000-0D00-00002B000000}" name="GS июнь" dataDxfId="361"/>
    <tableColumn id="44" xr3:uid="{00000000-0010-0000-0D00-00002C000000}" name="GS июль" dataDxfId="360"/>
    <tableColumn id="45" xr3:uid="{00000000-0010-0000-0D00-00002D000000}" name="GS август" dataDxfId="359"/>
    <tableColumn id="46" xr3:uid="{00000000-0010-0000-0D00-00002E000000}" name="GS сентябрь" dataDxfId="358"/>
    <tableColumn id="47" xr3:uid="{00000000-0010-0000-0D00-00002F000000}" name="GS октябрь" dataDxfId="357"/>
    <tableColumn id="48" xr3:uid="{00000000-0010-0000-0D00-000030000000}" name="GS ноябрь" dataDxfId="356"/>
    <tableColumn id="49" xr3:uid="{00000000-0010-0000-0D00-000031000000}" name="GS декабрь" dataDxfId="355"/>
    <tableColumn id="50" xr3:uid="{00000000-0010-0000-0D00-000032000000}" name="NS Январь" dataDxfId="354"/>
    <tableColumn id="51" xr3:uid="{00000000-0010-0000-0D00-000033000000}" name="NS февраль" dataDxfId="353"/>
    <tableColumn id="52" xr3:uid="{00000000-0010-0000-0D00-000034000000}" name="NS март" dataDxfId="352"/>
    <tableColumn id="53" xr3:uid="{00000000-0010-0000-0D00-000035000000}" name="NS апрель" dataDxfId="351"/>
    <tableColumn id="54" xr3:uid="{00000000-0010-0000-0D00-000036000000}" name="NS май" dataDxfId="350"/>
    <tableColumn id="55" xr3:uid="{00000000-0010-0000-0D00-000037000000}" name="NS июнь" dataDxfId="349"/>
    <tableColumn id="56" xr3:uid="{00000000-0010-0000-0D00-000038000000}" name="NS июль" dataDxfId="348"/>
    <tableColumn id="57" xr3:uid="{00000000-0010-0000-0D00-000039000000}" name="NS август" dataDxfId="347"/>
    <tableColumn id="58" xr3:uid="{00000000-0010-0000-0D00-00003A000000}" name="NS сентябрь" dataDxfId="346"/>
    <tableColumn id="59" xr3:uid="{00000000-0010-0000-0D00-00003B000000}" name="NS октябрь" dataDxfId="345"/>
    <tableColumn id="60" xr3:uid="{00000000-0010-0000-0D00-00003C000000}" name="NS ноябрь" dataDxfId="344"/>
    <tableColumn id="61" xr3:uid="{00000000-0010-0000-0D00-00003D000000}" name="NS декабрь" dataDxfId="343"/>
    <tableColumn id="62" xr3:uid="{00000000-0010-0000-0D00-00003E000000}" name="Promo Price-list январь" dataDxfId="342"/>
    <tableColumn id="63" xr3:uid="{00000000-0010-0000-0D00-00003F000000}" name="Promo Price-list февраль" dataDxfId="341"/>
    <tableColumn id="64" xr3:uid="{00000000-0010-0000-0D00-000040000000}" name="Promo Price-list март" dataDxfId="340"/>
    <tableColumn id="65" xr3:uid="{00000000-0010-0000-0D00-000041000000}" name="Promo Price-list апрель" dataDxfId="339"/>
    <tableColumn id="66" xr3:uid="{00000000-0010-0000-0D00-000042000000}" name="Promo Price-list май" dataDxfId="338"/>
    <tableColumn id="67" xr3:uid="{00000000-0010-0000-0D00-000043000000}" name="Promo Price-list июнь" dataDxfId="337"/>
    <tableColumn id="68" xr3:uid="{00000000-0010-0000-0D00-000044000000}" name="Promo Price-list июль" dataDxfId="336"/>
    <tableColumn id="69" xr3:uid="{00000000-0010-0000-0D00-000045000000}" name="Promo Price-list август" dataDxfId="335"/>
    <tableColumn id="70" xr3:uid="{00000000-0010-0000-0D00-000046000000}" name="Promo Price-list сентябрь" dataDxfId="334"/>
    <tableColumn id="71" xr3:uid="{00000000-0010-0000-0D00-000047000000}" name="Promo Price-list октябрь" dataDxfId="333"/>
    <tableColumn id="72" xr3:uid="{00000000-0010-0000-0D00-000048000000}" name="Promo Price-list ноябрь" dataDxfId="332"/>
    <tableColumn id="73" xr3:uid="{00000000-0010-0000-0D00-000049000000}" name="Promo Price-list декабрь" dataDxfId="331"/>
    <tableColumn id="74" xr3:uid="{00000000-0010-0000-0D00-00004A000000}" name="Promo Объем продаж январь" dataDxfId="330"/>
    <tableColumn id="75" xr3:uid="{00000000-0010-0000-0D00-00004B000000}" name="Promo Объем продаж февраль" dataDxfId="329"/>
    <tableColumn id="76" xr3:uid="{00000000-0010-0000-0D00-00004C000000}" name="Promo Объем продаж март" dataDxfId="328"/>
    <tableColumn id="77" xr3:uid="{00000000-0010-0000-0D00-00004D000000}" name="Promo Объем продаж апрель" dataDxfId="327"/>
    <tableColumn id="78" xr3:uid="{00000000-0010-0000-0D00-00004E000000}" name="Promo Объем май" dataDxfId="326"/>
    <tableColumn id="79" xr3:uid="{00000000-0010-0000-0D00-00004F000000}" name="Promo Объем продаж июнь" dataDxfId="325"/>
    <tableColumn id="80" xr3:uid="{00000000-0010-0000-0D00-000050000000}" name="Promo Объем продаж июль" dataDxfId="324"/>
    <tableColumn id="81" xr3:uid="{00000000-0010-0000-0D00-000051000000}" name="Promo Объем продаж август" dataDxfId="323"/>
    <tableColumn id="82" xr3:uid="{00000000-0010-0000-0D00-000052000000}" name="Promo Объем продаж сентябрь" dataDxfId="322"/>
    <tableColumn id="83" xr3:uid="{00000000-0010-0000-0D00-000053000000}" name="Promo Объем продаж октябрь" dataDxfId="321"/>
    <tableColumn id="84" xr3:uid="{00000000-0010-0000-0D00-000054000000}" name="Promo Объем продаж ноябрь" dataDxfId="320"/>
    <tableColumn id="85" xr3:uid="{00000000-0010-0000-0D00-000055000000}" name="Promo Объем продаж декабрь" dataDxfId="319"/>
    <tableColumn id="86" xr3:uid="{00000000-0010-0000-0D00-000056000000}" name="Promo GS январь" dataDxfId="318"/>
    <tableColumn id="87" xr3:uid="{00000000-0010-0000-0D00-000057000000}" name="Promo GS февраль" dataDxfId="317"/>
    <tableColumn id="88" xr3:uid="{00000000-0010-0000-0D00-000058000000}" name="Promo GS март" dataDxfId="316"/>
    <tableColumn id="89" xr3:uid="{00000000-0010-0000-0D00-000059000000}" name="Promo GS апрель" dataDxfId="315"/>
    <tableColumn id="90" xr3:uid="{00000000-0010-0000-0D00-00005A000000}" name="Promo GS май" dataDxfId="314"/>
    <tableColumn id="91" xr3:uid="{00000000-0010-0000-0D00-00005B000000}" name="Promo GS июнь" dataDxfId="313"/>
    <tableColumn id="92" xr3:uid="{00000000-0010-0000-0D00-00005C000000}" name="Promo GS июль" dataDxfId="312"/>
    <tableColumn id="93" xr3:uid="{00000000-0010-0000-0D00-00005D000000}" name="Promo GS август" dataDxfId="311"/>
    <tableColumn id="94" xr3:uid="{00000000-0010-0000-0D00-00005E000000}" name="Promo GS сентябрь" dataDxfId="310"/>
    <tableColumn id="95" xr3:uid="{00000000-0010-0000-0D00-00005F000000}" name="Promo GS октябрь" dataDxfId="309"/>
    <tableColumn id="96" xr3:uid="{00000000-0010-0000-0D00-000060000000}" name="Promo GS ноябрь" dataDxfId="308"/>
    <tableColumn id="97" xr3:uid="{00000000-0010-0000-0D00-000061000000}" name="Promo GS декабрь" dataDxfId="307"/>
    <tableColumn id="98" xr3:uid="{00000000-0010-0000-0D00-000062000000}" name="Promo NS январь" dataDxfId="306"/>
    <tableColumn id="99" xr3:uid="{00000000-0010-0000-0D00-000063000000}" name="Promo NS февраль" dataDxfId="305"/>
    <tableColumn id="100" xr3:uid="{00000000-0010-0000-0D00-000064000000}" name="Promo NS март" dataDxfId="304"/>
    <tableColumn id="101" xr3:uid="{00000000-0010-0000-0D00-000065000000}" name="Promo NS апрель" dataDxfId="303"/>
    <tableColumn id="102" xr3:uid="{00000000-0010-0000-0D00-000066000000}" name="Promo NS май" dataDxfId="302"/>
    <tableColumn id="103" xr3:uid="{00000000-0010-0000-0D00-000067000000}" name="Promo NS июнь" dataDxfId="301"/>
    <tableColumn id="104" xr3:uid="{00000000-0010-0000-0D00-000068000000}" name="Promo NS июль" dataDxfId="300"/>
    <tableColumn id="105" xr3:uid="{00000000-0010-0000-0D00-000069000000}" name="Promo NS август" dataDxfId="299"/>
    <tableColumn id="106" xr3:uid="{00000000-0010-0000-0D00-00006A000000}" name="Promo NS сентябрь" dataDxfId="298"/>
    <tableColumn id="107" xr3:uid="{00000000-0010-0000-0D00-00006B000000}" name="Promo NS октябрь" dataDxfId="297"/>
    <tableColumn id="108" xr3:uid="{00000000-0010-0000-0D00-00006C000000}" name="Promo NS ноябрь" dataDxfId="296"/>
    <tableColumn id="109" xr3:uid="{00000000-0010-0000-0D00-00006D000000}" name="Promo NS декабрь" dataDxfId="295"/>
    <tableColumn id="110" xr3:uid="{00000000-0010-0000-0D00-00006E000000}" name="GP Value январь" dataDxfId="294"/>
    <tableColumn id="111" xr3:uid="{00000000-0010-0000-0D00-00006F000000}" name="GP Value февраль" dataDxfId="293"/>
    <tableColumn id="112" xr3:uid="{00000000-0010-0000-0D00-000070000000}" name="GP Value март" dataDxfId="292"/>
    <tableColumn id="113" xr3:uid="{00000000-0010-0000-0D00-000071000000}" name="GP Value апрель" dataDxfId="291"/>
    <tableColumn id="114" xr3:uid="{00000000-0010-0000-0D00-000072000000}" name="GP Value май" dataDxfId="290"/>
    <tableColumn id="115" xr3:uid="{00000000-0010-0000-0D00-000073000000}" name="GP Value июнь" dataDxfId="289"/>
    <tableColumn id="116" xr3:uid="{00000000-0010-0000-0D00-000074000000}" name="GP Value июль" dataDxfId="288"/>
    <tableColumn id="117" xr3:uid="{00000000-0010-0000-0D00-000075000000}" name="GP Value август" dataDxfId="287"/>
    <tableColumn id="118" xr3:uid="{00000000-0010-0000-0D00-000076000000}" name="GP Value сентябрь" dataDxfId="286"/>
    <tableColumn id="119" xr3:uid="{00000000-0010-0000-0D00-000077000000}" name="GP Value октябрь" dataDxfId="285"/>
    <tableColumn id="120" xr3:uid="{00000000-0010-0000-0D00-000078000000}" name="GP Value ноябрь" dataDxfId="284"/>
    <tableColumn id="121" xr3:uid="{00000000-0010-0000-0D00-000079000000}" name="GP Value декабрь" dataDxfId="283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56FE95B9-AD3E-441C-A4E0-0B543D7CD432}" name="Прайс_лист" displayName="Прайс_лист" ref="A13:V14" totalsRowShown="0" headerRowDxfId="282" dataDxfId="281" headerRowCellStyle="Обычный 2" dataCellStyle="Обычный 2">
  <autoFilter ref="A13:V14" xr:uid="{ADF718DD-67AC-4401-B168-AFEE638B048C}"/>
  <tableColumns count="22">
    <tableColumn id="22" xr3:uid="{361E8588-935C-493B-A7CF-935B5D4480B5}" name="Id" dataDxfId="280" dataCellStyle="Обычный 2"/>
    <tableColumn id="1" xr3:uid="{AC1F4D41-C0A8-443D-9E3C-D9C4FF50F830}" name="КАТЕГОРИЯ" dataDxfId="279" dataCellStyle="Обычный 2"/>
    <tableColumn id="2" xr3:uid="{20B689EB-7652-4723-BFAB-8C7C64C8FD7A}" name="Фото продукта" dataDxfId="278" dataCellStyle="Обычный 2"/>
    <tableColumn id="3" xr3:uid="{8821E9F1-B085-4717-B559-CDD126769DA7}" name="Продукт группа - название" dataDxfId="277" dataCellStyle="Обычный 2"/>
    <tableColumn id="4" xr3:uid="{A99D0144-C997-463C-9A1D-9B08CF9140E1}" name="Артикул GARDENA" dataDxfId="276" dataCellStyle="Обычный 2"/>
    <tableColumn id="5" xr3:uid="{ED79FFB3-1BA8-4E97-9A5F-C09EAECD5CB1}" name="Артикул предшествующего продукта (если есть)" dataDxfId="275" dataCellStyle="Обычный 2"/>
    <tableColumn id="6" xr3:uid="{71EF79FE-B1E9-4844-9BB4-A63692EDA3AE}" name="Название" dataDxfId="274" dataCellStyle="Обычный 2"/>
    <tableColumn id="7" xr3:uid="{5A0F710D-9900-48D2-A5A0-EE9A1926CA9F}" name="Описание" dataDxfId="273" dataCellStyle="Обычный 2"/>
    <tableColumn id="8" xr3:uid="{0709C17B-24E7-4283-B7CD-103780E925FD}" name="РРЦ 2020, руб. с НДС" dataDxfId="272" dataCellStyle="Обычный 2"/>
    <tableColumn id="9" xr3:uid="{7346265F-E87E-4F08-A3D6-0027CF43A157}" name="EAN штуки" dataDxfId="271" dataCellStyle="Обычный 2"/>
    <tableColumn id="10" xr3:uid="{2C8CCB7E-EDD1-482F-A1E4-EC04C692D1EA}" name="страна производства" dataDxfId="270" dataCellStyle="Обычный 2"/>
    <tableColumn id="11" xr3:uid="{6995D219-9DF9-4115-8CDC-849E890401E6}" name="единица измерения" dataDxfId="269" dataCellStyle="Обычный 2"/>
    <tableColumn id="12" xr3:uid="{1A1113D4-0FC3-4FC9-8993-94D48C5B7E0B}" name="кол-во в мастер-паке" dataDxfId="268" dataCellStyle="Финансовый 2"/>
    <tableColumn id="13" xr3:uid="{085F48D9-0BB4-48CA-BB0A-E910E6B6C9E8}" name="Вес гросс штуки, финальный" dataDxfId="267" dataCellStyle="Обычный 2"/>
    <tableColumn id="14" xr3:uid="{2834A4E1-0E95-43BB-97C8-392563130CF3}" name="Вес нетто штуки, финальный" dataDxfId="266" dataCellStyle="Обычный 2"/>
    <tableColumn id="15" xr3:uid="{5BEC7C38-B443-4DCB-BE49-1848A79C42F9}" name="Длина упаковки" dataDxfId="265" dataCellStyle="Обычный 2"/>
    <tableColumn id="16" xr3:uid="{7C9AB8E1-B1C6-47E3-9BE8-5A1D1C646B25}" name="Ширина упаковки" dataDxfId="264" dataCellStyle="Обычный 2"/>
    <tableColumn id="17" xr3:uid="{10918133-09A5-4117-B3B1-E785EFE65B4A}" name="Высота упаковки" dataDxfId="263" dataCellStyle="Обычный 2"/>
    <tableColumn id="18" xr3:uid="{DE26A25B-99E8-4A9D-8AFE-A2E1D13A4931}" name="Объем упаковки" dataDxfId="262" dataCellStyle="Обычный 2"/>
    <tableColumn id="19" xr3:uid="{9AF542A1-08A7-49E6-9900-1EB99D7350D1}" name="Кол-во штук на паллете" dataDxfId="261" dataCellStyle="Финансовый 2"/>
    <tableColumn id="20" xr3:uid="{9B215DDF-BCA2-477C-8AFA-BC848C8FF031}" name="Сертификация" dataDxfId="260" dataCellStyle="Обычный 2"/>
    <tableColumn id="21" xr3:uid="{76E684EA-EAE5-44EF-8156-B78DA5E17975}" name="Гарантия" dataDxfId="259" dataCellStyle="Обычный 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1CFE148B-717D-4FE5-BB65-0B7F9E4A812B}" name="Планирование_новый_год" displayName="Планирование_новый_год" ref="A6:HO7" totalsRowShown="0" headerRowDxfId="258" dataDxfId="257" tableBorderDxfId="256" headerRowCellStyle="Обычный 2" dataCellStyle="Обычный 2">
  <autoFilter ref="A6:HO7" xr:uid="{42BACFC5-5E64-476B-A3DB-892D30BB8DF2}"/>
  <tableColumns count="223">
    <tableColumn id="214" xr3:uid="{ED363292-9191-4905-92F7-B2A0D9D6DDCB}" name="№" dataDxfId="255" dataCellStyle="Обычный 2"/>
    <tableColumn id="1" xr3:uid="{4545771D-2DE7-4A36-9A9B-05CA9607D752}" name="Артикул" dataDxfId="254" dataCellStyle="Обычный 2"/>
    <tableColumn id="2" xr3:uid="{559CB638-BDA2-4A52-AA4F-7160E63546D4}" name="РРЦ, руб.с НДС" dataDxfId="253" dataCellStyle="Обычный 2"/>
    <tableColumn id="3" xr3:uid="{7D569CF0-F34D-4426-8591-FDEBCF14DE3C}" name="Процент изменения" dataDxfId="252" dataCellStyle="Обычный 2"/>
    <tableColumn id="4" xr3:uid="{1DC3AA0D-D670-4794-8AF1-C04A0A387315}" name="STK 2.5,  Eur" dataDxfId="251" dataCellStyle="Обычный 2"/>
    <tableColumn id="5" xr3:uid="{EE57BC20-AFCE-4EE3-8EDF-7461A2CA0BC6}" name="STK 2.5, руб." dataDxfId="250" dataCellStyle="Обычный 2"/>
    <tableColumn id="6" xr3:uid="{9E61B737-3111-4868-AAD1-89F1AF64D19E}" name="IRP, Eur" dataDxfId="249" dataCellStyle="Обычный 2"/>
    <tableColumn id="7" xr3:uid="{1E5FE8BF-50B0-4274-8735-FDD3DE2A74AB}" name="РРЦ, руб.с НДС2" dataDxfId="248" dataCellStyle="Обычный 2"/>
    <tableColumn id="8" xr3:uid="{68D166DE-1C85-4A99-B4EB-F67E16BF5C59}" name="Индекс IRP" dataDxfId="247" dataCellStyle="Обычный 2"/>
    <tableColumn id="9" xr3:uid="{F6A2BBA5-3D1B-42BB-A99D-100FB259FFF1}" name="DIY price list, руб. без НДС" dataDxfId="246" dataCellStyle="Обычный 2"/>
    <tableColumn id="10" xr3:uid="{A3D06AC1-53DF-47CA-BFF2-88C03E561EC8}" name="Delta, %" dataDxfId="245" dataCellStyle="Обычный 2"/>
    <tableColumn id="11" xr3:uid="{97C7AA4C-785B-49E1-94F1-B25CC649E1D7}" name="2 net цена, руб." dataDxfId="244" dataCellStyle="Обычный 2">
      <calculatedColumnFormula>IFERROR(Планирование_новый_год[[#This Row],[GS, руб.]]/Планирование_новый_год[[#This Row],[Прогноз за год, шт. ]],"")</calculatedColumnFormula>
    </tableColumn>
    <tableColumn id="12" xr3:uid="{1FC200C6-88CD-4B76-8226-5F199536C4C6}" name="Delta, %2" dataDxfId="243" dataCellStyle="Обычный 2"/>
    <tableColumn id="13" xr3:uid="{70706C25-4209-4C19-981D-B25AB77BD90C}" name="3 net цена, руб." dataDxfId="242" dataCellStyle="Обычный 2">
      <calculatedColumnFormula>IFERROR(Планирование_новый_год[[#This Row],[2 net цена, руб.]]-Планирование_новый_год[[#This Row],[2 net цена, руб.]]*$V$2,"")</calculatedColumnFormula>
    </tableColumn>
    <tableColumn id="14" xr3:uid="{CA5F5A69-F19C-46A7-A29D-BB2DDEEEB1B0}" name="QTY Act, шт." dataDxfId="241" dataCellStyle="Обычный 2"/>
    <tableColumn id="15" xr3:uid="{2813B571-CE41-4B60-B0C6-90F21E18F8CB}" name="GS, руб." dataDxfId="240" dataCellStyle="Обычный 2">
      <calculatedColumnFormula>IFERROR(Планирование_новый_год[[#This Row],[Промо GS за год, руб.]]+Планирование_новый_год[[#This Row],[GS за год, руб.]],"")</calculatedColumnFormula>
    </tableColumn>
    <tableColumn id="16" xr3:uid="{CD8492E8-7393-4EAD-905A-433B8CAD3DCD}" name="NS, руб." dataDxfId="239" dataCellStyle="Обычный 2">
      <calculatedColumnFormula>IFERROR(Планирование_новый_год[[#This Row],[NS за год, руб.]]+Планирование_новый_год[[#This Row],[Промо NS за год, руб.]],"")</calculatedColumnFormula>
    </tableColumn>
    <tableColumn id="17" xr3:uid="{8F92CE82-C8A5-455D-813F-9D80FA79594E}" name="LC, руб." dataDxfId="238" dataCellStyle="Обычный 2"/>
    <tableColumn id="18" xr3:uid="{3C62EFF9-B5FA-4914-96F9-EFAAD5645B9F}" name="GP value, руб." dataDxfId="237" dataCellStyle="Обычный 2"/>
    <tableColumn id="19" xr3:uid="{A42219DF-ACAC-4333-93B1-C63C5CF7817B}" name="GP, %" dataDxfId="236" dataCellStyle="Обычный 2"/>
    <tableColumn id="20" xr3:uid="{4470B48C-0BEC-4B12-989F-23716295C070}" name="Transfer цена, руб." dataDxfId="235" dataCellStyle="Обычный 2"/>
    <tableColumn id="21" xr3:uid="{40BBCB9C-8908-41FB-B7AE-3FE5EA62DDE2}" name="ИТОГО Прогноз за год, шт. " dataDxfId="234" dataCellStyle="Обычный 2"/>
    <tableColumn id="22" xr3:uid="{93363778-B12D-444A-A3EE-AD48320856EE}" name="ИТОГО Прогноз январь, шт." dataDxfId="233" dataCellStyle="Обычный 2"/>
    <tableColumn id="23" xr3:uid="{908E10D2-A767-4E2C-AF95-059979DCC14F}" name="ИТОГО Прогноз февраль, шт." dataDxfId="232" dataCellStyle="Обычный 2"/>
    <tableColumn id="24" xr3:uid="{46961975-0E16-49DF-9A93-F9935DD2FBD3}" name="ИТОГО Прогноз март, шт." dataDxfId="231" dataCellStyle="Обычный 2"/>
    <tableColumn id="25" xr3:uid="{BA8488E0-733B-405A-A6AD-229D98321F57}" name="ИТОГО Прогноз апрель, шт." dataDxfId="230" dataCellStyle="Обычный 2"/>
    <tableColumn id="26" xr3:uid="{18260B4F-B440-459B-A635-92661BD0DA3A}" name="ИТОГО Прогноз май, шт." dataDxfId="229" dataCellStyle="Обычный 2"/>
    <tableColumn id="27" xr3:uid="{49D181C0-3DCE-4EA3-B4FD-4BC1814A2E37}" name="ИТОГО Прогноз июнь, шт." dataDxfId="228" dataCellStyle="Обычный 2"/>
    <tableColumn id="28" xr3:uid="{2E7D2C3C-48DF-4C94-B570-077067A3F9A6}" name="ИТОГО Прогноз июль, шт." dataDxfId="227" dataCellStyle="Обычный 2"/>
    <tableColumn id="29" xr3:uid="{2847D38F-2B96-4DAD-B1E0-0399B72CA62E}" name="ИТОГО Прогноз август, шт." dataDxfId="226" dataCellStyle="Обычный 2"/>
    <tableColumn id="30" xr3:uid="{27D0291D-228A-4CA3-AB32-8089F9AAAC19}" name="ИТОГО Прогноз сентябрь, шт." dataDxfId="225" dataCellStyle="Обычный 2"/>
    <tableColumn id="31" xr3:uid="{5A8E85B3-CAE9-4B35-B9EA-737FCC96156C}" name="ИТОГО Прогноз октябрь, шт." dataDxfId="224" dataCellStyle="Обычный 2"/>
    <tableColumn id="32" xr3:uid="{DF850F56-F718-4791-AB77-F6AB637240EE}" name="ИТОГО Прогноз ноябрь, шт." dataDxfId="223" dataCellStyle="Обычный 2"/>
    <tableColumn id="33" xr3:uid="{DEFEFE78-A0FA-4457-8E8E-F1BD5D7517F1}" name="ИТОГО Прогноз декабрь, шт." dataDxfId="222" dataCellStyle="Обычный 2"/>
    <tableColumn id="34" xr3:uid="{03678C77-B1BD-4416-8928-6B0DDFD94F86}" name="ИТОГО GS за год, руб." dataDxfId="221" dataCellStyle="Обычный 2">
      <calculatedColumnFormula>IFERROR(Планирование_новый_год[[#This Row],[GS за год, руб.]],"")</calculatedColumnFormula>
    </tableColumn>
    <tableColumn id="35" xr3:uid="{10CD29AB-0473-422C-B6EA-B32DE7BF00F4}" name="ИТОГО GS январь, шт." dataDxfId="220" dataCellStyle="Обычный 2">
      <calculatedColumnFormula>IFERROR(Планирование_новый_год[[#This Row],[GS январь, руб.]],"")</calculatedColumnFormula>
    </tableColumn>
    <tableColumn id="36" xr3:uid="{4E1AECCE-B5C0-4195-AAD9-BB88D02D42F9}" name="ИТОГО GS февраль, шт." dataDxfId="219" dataCellStyle="Обычный 2">
      <calculatedColumnFormula>IFERROR(Планирование_новый_год[[#This Row],[GS февраль, руб.]],"")</calculatedColumnFormula>
    </tableColumn>
    <tableColumn id="37" xr3:uid="{91E0E416-43D5-4F69-9F7B-40F993491451}" name="ИТОГО GS март, шт." dataDxfId="218" dataCellStyle="Обычный 2">
      <calculatedColumnFormula>IFERROR(Планирование_новый_год[[#This Row],[GS март, руб.]],"")</calculatedColumnFormula>
    </tableColumn>
    <tableColumn id="38" xr3:uid="{F7EE1E43-7183-4188-9579-174647E424F1}" name="ИТОГО GS апрель, шт." dataDxfId="217" dataCellStyle="Обычный 2">
      <calculatedColumnFormula>IFERROR(Планирование_новый_год[[#This Row],[GS апрель, руб.]],"")</calculatedColumnFormula>
    </tableColumn>
    <tableColumn id="39" xr3:uid="{2417955D-B2F4-4518-B1FB-FEB1F96D8FBB}" name="ИТОГО GS май, шт." dataDxfId="216" dataCellStyle="Обычный 2">
      <calculatedColumnFormula>IFERROR(Планирование_новый_год[[#This Row],[GS май, руб.]],"")</calculatedColumnFormula>
    </tableColumn>
    <tableColumn id="40" xr3:uid="{003CFC27-05FE-487B-B1A9-959BF645EFBA}" name="ИТОГО GS июнь, шт." dataDxfId="215" dataCellStyle="Обычный 2">
      <calculatedColumnFormula>IFERROR(Планирование_новый_год[[#This Row],[GS июнь, руб.]],"")</calculatedColumnFormula>
    </tableColumn>
    <tableColumn id="41" xr3:uid="{0C9D1DE7-148F-4C2B-8B0D-F920CBD87E3D}" name="ИТОГО GS июль, шт." dataDxfId="214" dataCellStyle="Обычный 2">
      <calculatedColumnFormula>IFERROR(Планирование_новый_год[[#This Row],[GS июль, руб.]],"")</calculatedColumnFormula>
    </tableColumn>
    <tableColumn id="42" xr3:uid="{FA318691-3B3D-4BEA-8A7E-85A020F10E2D}" name="ИТОГО GS август, шт." dataDxfId="213" dataCellStyle="Обычный 2">
      <calculatedColumnFormula>IFERROR(Планирование_новый_год[[#This Row],[GS август, руб.]],"")</calculatedColumnFormula>
    </tableColumn>
    <tableColumn id="43" xr3:uid="{EFB241B9-9212-42F9-ABD7-E6F792A0E06C}" name="ИТОГО GS сентябрь, шт." dataDxfId="212" dataCellStyle="Обычный 2">
      <calculatedColumnFormula>IFERROR(Планирование_новый_год[[#This Row],[GS сентябрь, руб.]],"")</calculatedColumnFormula>
    </tableColumn>
    <tableColumn id="44" xr3:uid="{50F7DDF4-277A-4D3C-B1B5-D855ADC9B928}" name="ИТОГО GS октябрь, шт." dataDxfId="211" dataCellStyle="Обычный 2">
      <calculatedColumnFormula>IFERROR(Планирование_новый_год[[#This Row],[GS октябрь, руб.]],"")</calculatedColumnFormula>
    </tableColumn>
    <tableColumn id="220" xr3:uid="{010BA39C-CE51-46A6-A4B4-2F1F9E029514}" name="ИТОГО GS ноябрь, шт." dataDxfId="210" dataCellStyle="Обычный 2">
      <calculatedColumnFormula>IFERROR(Планирование_новый_год[[#This Row],[GS ноябрь, руб.]],"")</calculatedColumnFormula>
    </tableColumn>
    <tableColumn id="45" xr3:uid="{D4F36679-C2E6-4F2D-AEE5-4F223F25DA9F}" name="ИТОГО GS декабрь, шт.2" dataDxfId="209" dataCellStyle="Обычный 2">
      <calculatedColumnFormula>IFERROR(Планирование_новый_год[[#This Row],[GS декабрь, руб.]],"")</calculatedColumnFormula>
    </tableColumn>
    <tableColumn id="46" xr3:uid="{851A1C42-2721-41C2-BAB3-F7D7B0C97CE7}" name="ИТОГО NS за год, руб." dataDxfId="208" dataCellStyle="Обычный 2">
      <calculatedColumnFormula>IFERROR(Планирование_новый_год[[#This Row],[NS за год, руб.]],"")</calculatedColumnFormula>
    </tableColumn>
    <tableColumn id="47" xr3:uid="{AF4D59E8-07C4-4AF8-BBFC-7F663C6213E2}" name="ИТОГО NS январь, шт." dataDxfId="207" dataCellStyle="Обычный 2">
      <calculatedColumnFormula>IFERROR(Планирование_новый_год[[#This Row],[NS январь, руб.]],"")</calculatedColumnFormula>
    </tableColumn>
    <tableColumn id="48" xr3:uid="{508B265F-A776-4BFB-9D4E-B79EFABCE7A9}" name="ИТОГО NS февраль, шт." dataDxfId="206" dataCellStyle="Обычный 2">
      <calculatedColumnFormula>IFERROR(Планирование_новый_год[[#This Row],[NS февраль, руб.]],"")</calculatedColumnFormula>
    </tableColumn>
    <tableColumn id="49" xr3:uid="{C35EFBB7-F755-4F3D-90A9-7D1EEF92DC3F}" name="ИТОГО NS март, шт." dataDxfId="205" dataCellStyle="Обычный 2">
      <calculatedColumnFormula>IFERROR(Планирование_новый_год[[#This Row],[NS март, руб.]],"")</calculatedColumnFormula>
    </tableColumn>
    <tableColumn id="50" xr3:uid="{C8CBB70F-D6D7-4BEE-A418-6CD94EB6DFB4}" name="ИТОГО NS апрель, шт." dataDxfId="204" dataCellStyle="Обычный 2">
      <calculatedColumnFormula>IFERROR(Планирование_новый_год[[#This Row],[NS апрель, руб.]],"")</calculatedColumnFormula>
    </tableColumn>
    <tableColumn id="51" xr3:uid="{6EACDA44-BC0A-4568-95BF-A6C470C1C2C7}" name="ИТОГО NS май, шт." dataDxfId="203" dataCellStyle="Обычный 2">
      <calculatedColumnFormula>IFERROR(Планирование_новый_год[[#This Row],[NS май, руб.]],"")</calculatedColumnFormula>
    </tableColumn>
    <tableColumn id="52" xr3:uid="{B361BD8D-B32A-42A8-A829-A43753DF9290}" name="ИТОГО NS июнь, шт." dataDxfId="202" dataCellStyle="Обычный 2">
      <calculatedColumnFormula>IFERROR(Планирование_новый_год[[#This Row],[NS июнь, руб.]],"")</calculatedColumnFormula>
    </tableColumn>
    <tableColumn id="53" xr3:uid="{03F94018-F135-4F8F-BD0E-AA07A8BDB5B5}" name="ИТОГО NS июль, шт." dataDxfId="201" dataCellStyle="Обычный 2">
      <calculatedColumnFormula>IFERROR(Планирование_новый_год[[#This Row],[NS июль, руб.]],"")</calculatedColumnFormula>
    </tableColumn>
    <tableColumn id="54" xr3:uid="{BDDACBCA-E192-4F9E-827D-591A95D4295A}" name="ИТОГО NS август, шт." dataDxfId="200" dataCellStyle="Обычный 2">
      <calculatedColumnFormula>IFERROR(Планирование_новый_год[[#This Row],[NS август, руб.]],"")</calculatedColumnFormula>
    </tableColumn>
    <tableColumn id="55" xr3:uid="{C8EDC1D7-9D98-4249-9603-83EEA44806CA}" name="ИТОГО NS сентябрь, шт." dataDxfId="199" dataCellStyle="Обычный 2">
      <calculatedColumnFormula>IFERROR(Планирование_новый_год[[#This Row],[NS сентябрь, руб.]],"")</calculatedColumnFormula>
    </tableColumn>
    <tableColumn id="56" xr3:uid="{A619A9F2-29C1-4568-B8B5-7AF0757568B5}" name="ИТОГО NS октябрь, шт." dataDxfId="198" dataCellStyle="Обычный 2">
      <calculatedColumnFormula>IFERROR(Планирование_новый_год[[#This Row],[NS октябрь, руб.]],"")</calculatedColumnFormula>
    </tableColumn>
    <tableColumn id="221" xr3:uid="{B581BAEA-98D8-4BE4-A3D7-6759F93A0891}" name="ИТОГО NS ноябрь, шт." dataDxfId="197" dataCellStyle="Обычный 2">
      <calculatedColumnFormula>IFERROR(Планирование_новый_год[[#This Row],[NS ноябрь, руб.]],"")</calculatedColumnFormula>
    </tableColumn>
    <tableColumn id="57" xr3:uid="{3C92EE0F-B597-479D-89EB-DEC5859439DB}" name="ИТОГО NS декабрь, шт." dataDxfId="196" dataCellStyle="Обычный 2">
      <calculatedColumnFormula>IFERROR(Планирование_новый_год[[#This Row],[NS декабрь, шт.]],"")</calculatedColumnFormula>
    </tableColumn>
    <tableColumn id="58" xr3:uid="{0A86A7CF-86B8-40E9-AD12-BC8B45425852}" name="ИТОГО LC за год, руб." dataDxfId="195" dataCellStyle="Обычный 2">
      <calculatedColumnFormula>IFERROR(Планирование_новый_год[[#This Row],[ИТОГО Прогноз за год, шт. ]]*Планирование_новый_год[[#This Row],[STK 2.5, руб.]],"")</calculatedColumnFormula>
    </tableColumn>
    <tableColumn id="59" xr3:uid="{1BA37E80-B27D-4777-8183-4619485E395B}" name="ИТОГО LC январь, руб." dataDxfId="194" dataCellStyle="Обычный 2">
      <calculatedColumnFormula>IFERROR(Планирование_новый_год[[#This Row],[ИТОГО Прогноз январь, шт.]]*Планирование_новый_год[[#This Row],[STK 2.5, руб.]],"")</calculatedColumnFormula>
    </tableColumn>
    <tableColumn id="60" xr3:uid="{D3439D8F-2C1C-4FF2-BFED-E4DBA6EDAE04}" name="ИТОГО LC февраль, руб." dataDxfId="193" dataCellStyle="Обычный 2">
      <calculatedColumnFormula>IFERROR(Планирование_новый_год[[#This Row],[ИТОГО Прогноз февраль, шт.]]*Планирование_новый_год[[#This Row],[STK 2.5, руб.]],"")</calculatedColumnFormula>
    </tableColumn>
    <tableColumn id="61" xr3:uid="{73395AB3-E1E6-4DA4-A5B6-BD6754334103}" name="ИТОГО LC март, руб." dataDxfId="192" dataCellStyle="Обычный 2">
      <calculatedColumnFormula>IFERROR(Планирование_новый_год[[#This Row],[ИТОГО Прогноз март, шт.]]*Планирование_новый_год[[#This Row],[STK 2.5, руб.]],"")</calculatedColumnFormula>
    </tableColumn>
    <tableColumn id="62" xr3:uid="{E99989B5-4EB7-4C95-8123-66077D0F148B}" name="ИТОГО LC апрель, руб." dataDxfId="191" dataCellStyle="Обычный 2">
      <calculatedColumnFormula>IFERROR(Планирование_новый_год[[#This Row],[ИТОГО Прогноз апрель, шт.]]*Планирование_новый_год[[#This Row],[STK 2.5, руб.]],"")</calculatedColumnFormula>
    </tableColumn>
    <tableColumn id="63" xr3:uid="{B2E119E3-F212-4906-93FD-983A37DD9B92}" name="ИТОГО LC май, руб." dataDxfId="190" dataCellStyle="Обычный 2">
      <calculatedColumnFormula>IFERROR(Планирование_новый_год[[#This Row],[ИТОГО Прогноз май, шт.]]*Планирование_новый_год[[#This Row],[STK 2.5, руб.]],"")</calculatedColumnFormula>
    </tableColumn>
    <tableColumn id="64" xr3:uid="{5EAC5B35-095E-48E8-AF7B-7AEE1B301586}" name="ИТОГО LC июнь, руб." dataDxfId="189" dataCellStyle="Обычный 2">
      <calculatedColumnFormula>IFERROR(Планирование_новый_год[[#This Row],[ИТОГО Прогноз июнь, шт.]]*Планирование_новый_год[[#This Row],[STK 2.5, руб.]],"")</calculatedColumnFormula>
    </tableColumn>
    <tableColumn id="65" xr3:uid="{BF8B343D-9D8D-435A-AC57-DC2B573A58DA}" name="ИТОГО LC июль, руб." dataDxfId="188" dataCellStyle="Обычный 2">
      <calculatedColumnFormula>IFERROR(Планирование_новый_год[[#This Row],[ИТОГО Прогноз июль, шт.]]*Планирование_новый_год[[#This Row],[STK 2.5, руб.]],"")</calculatedColumnFormula>
    </tableColumn>
    <tableColumn id="66" xr3:uid="{125D3BBB-2721-4209-B7BC-9E9237697B6A}" name="ИТОГО LC август, руб." dataDxfId="187" dataCellStyle="Обычный 2">
      <calculatedColumnFormula>IFERROR(Планирование_новый_год[[#This Row],[ИТОГО Прогноз август, шт.]]*Планирование_новый_год[[#This Row],[STK 2.5, руб.]],"")</calculatedColumnFormula>
    </tableColumn>
    <tableColumn id="67" xr3:uid="{AB036659-4542-4FDD-BE5B-E72582166894}" name="ИТОГО LC сентябрь, руб." dataDxfId="186" dataCellStyle="Обычный 2">
      <calculatedColumnFormula>IFERROR(Планирование_новый_год[[#This Row],[ИТОГО Прогноз сентябрь, шт.]]*Планирование_новый_год[[#This Row],[STK 2.5, руб.]],"")</calculatedColumnFormula>
    </tableColumn>
    <tableColumn id="68" xr3:uid="{6C7314D7-062A-4B94-A7AF-1DD87D0CB235}" name="ИТОГО LC октябрь, руб." dataDxfId="185" dataCellStyle="Обычный 2">
      <calculatedColumnFormula>IFERROR(Планирование_новый_год[[#This Row],[ИТОГО Прогноз октябрь, шт.]]*Планирование_новый_год[[#This Row],[STK 2.5, руб.]],"")</calculatedColumnFormula>
    </tableColumn>
    <tableColumn id="69" xr3:uid="{07C9F95B-A681-4302-AD49-1346B1F54050}" name="ИТОГО LC ноябрь, руб." dataDxfId="184" dataCellStyle="Обычный 2">
      <calculatedColumnFormula>IFERROR(Планирование_новый_год[[#This Row],[ИТОГО Прогноз ноябрь, шт.]]*Планирование_новый_год[[#This Row],[STK 2.5, руб.]],"")</calculatedColumnFormula>
    </tableColumn>
    <tableColumn id="70" xr3:uid="{5C6A1586-CA9D-42F0-82A5-C8717DA6FC4B}" name="ИТОГО LC декабрь, руб." dataDxfId="183" dataCellStyle="Обычный 2">
      <calculatedColumnFormula>IFERROR(Планирование_новый_год[[#This Row],[ИТОГО Прогноз декабрь, шт.]]*Планирование_новый_год[[#This Row],[STK 2.5, руб.]],"")</calculatedColumnFormula>
    </tableColumn>
    <tableColumn id="71" xr3:uid="{95B22689-4246-4688-830B-C37BED45A7F1}" name="ИТОГО GP value за год, руб." dataDxfId="182" dataCellStyle="Обычный 2">
      <calculatedColumnFormula>IFERROR(Планирование_новый_год[[#This Row],[GP, %]]/Планирование_новый_год[[#This Row],[ИТОГО NS за год, руб.]],"")</calculatedColumnFormula>
    </tableColumn>
    <tableColumn id="72" xr3:uid="{121D065F-0534-48C6-8C69-8994A402B4AA}" name="ИТОГО GP value январь, руб." dataDxfId="181" dataCellStyle="Обычный 2">
      <calculatedColumnFormula>IFERROR(Планирование_новый_год[[#This Row],[GP, %]]/Планирование_новый_год[[#This Row],[ИТОГО NS январь, шт.]],"")</calculatedColumnFormula>
    </tableColumn>
    <tableColumn id="73" xr3:uid="{087CD607-5E13-4F38-A781-64BE987C874D}" name="ИТОГО GP value февраль, руб." dataDxfId="180" dataCellStyle="Обычный 2">
      <calculatedColumnFormula>IFERROR(Планирование_новый_год[[#This Row],[GP, %]]/Планирование_новый_год[[#This Row],[ИТОГО NS февраль, шт.]],"")</calculatedColumnFormula>
    </tableColumn>
    <tableColumn id="74" xr3:uid="{07EDE99C-38A3-4D58-A12A-CC6F6E189668}" name="ИТОГО GP value март, руб." dataDxfId="179" dataCellStyle="Обычный 2">
      <calculatedColumnFormula>IFERROR(Планирование_новый_год[[#This Row],[GP, %]]/Планирование_новый_год[[#This Row],[ИТОГО NS март, шт.]],"")</calculatedColumnFormula>
    </tableColumn>
    <tableColumn id="75" xr3:uid="{57D65BA5-50BA-4CF2-B113-92B159EF66AF}" name="ИТОГО GP value апрель, руб." dataDxfId="178" dataCellStyle="Обычный 2">
      <calculatedColumnFormula>IFERROR(Планирование_новый_год[[#This Row],[GP, %]]/Планирование_новый_год[[#This Row],[ИТОГО NS апрель, шт.]],"")</calculatedColumnFormula>
    </tableColumn>
    <tableColumn id="76" xr3:uid="{B4BC1755-0599-45DC-9B96-D7C13262EF74}" name="ИТОГО GP value май, руб." dataDxfId="177" dataCellStyle="Обычный 2">
      <calculatedColumnFormula>IFERROR(Планирование_новый_год[[#This Row],[GP, %]]/Планирование_новый_год[[#This Row],[ИТОГО NS май, шт.]],"")</calculatedColumnFormula>
    </tableColumn>
    <tableColumn id="77" xr3:uid="{8938E468-46CA-4877-99C3-6750DC8369EC}" name="ИТОГО GP value июнь, руб." dataDxfId="176" dataCellStyle="Обычный 2">
      <calculatedColumnFormula>IFERROR(Планирование_новый_год[[#This Row],[GP, %]]/Планирование_новый_год[[#This Row],[ИТОГО NS июнь, шт.]],"")</calculatedColumnFormula>
    </tableColumn>
    <tableColumn id="78" xr3:uid="{9904CB30-8FAF-4959-8630-221EE3774474}" name="ИТОГО GP value июль, руб." dataDxfId="175" dataCellStyle="Обычный 2">
      <calculatedColumnFormula>IFERROR(Планирование_новый_год[[#This Row],[GP, %]]/Планирование_новый_год[[#This Row],[ИТОГО NS июль, шт.]],"")</calculatedColumnFormula>
    </tableColumn>
    <tableColumn id="79" xr3:uid="{8E4337B6-2E24-44AF-9121-2435038457D7}" name="ИТОГО GP value август, руб." dataDxfId="174" dataCellStyle="Обычный 2">
      <calculatedColumnFormula>IFERROR(Планирование_новый_год[[#This Row],[GP, %]]/Планирование_новый_год[[#This Row],[ИТОГО NS август, шт.]],"")</calculatedColumnFormula>
    </tableColumn>
    <tableColumn id="80" xr3:uid="{F5FA4690-DC4A-4E72-897A-5DC0586EAA9E}" name="ИТОГО GP value сентябрь, руб." dataDxfId="173" dataCellStyle="Обычный 2">
      <calculatedColumnFormula>IFERROR(Планирование_новый_год[[#This Row],[GP, %]]/Планирование_новый_год[[#This Row],[ИТОГО NS сентябрь, шт.]],"")</calculatedColumnFormula>
    </tableColumn>
    <tableColumn id="81" xr3:uid="{7A1CD32C-E00F-46B3-AB1C-6E87C8996EB1}" name="ИТОГО GP value октябрь, руб." dataDxfId="172" dataCellStyle="Обычный 2">
      <calculatedColumnFormula>IFERROR(Планирование_новый_год[[#This Row],[GP, %]]/Планирование_новый_год[[#This Row],[ИТОГО NS октябрь, шт.]],"")</calculatedColumnFormula>
    </tableColumn>
    <tableColumn id="222" xr3:uid="{96B4656A-0236-4043-AA7B-CD65570700C5}" name="ИТОГО GP value ноябрь, руб." dataDxfId="171" dataCellStyle="Обычный 2">
      <calculatedColumnFormula>IFERROR(Планирование_новый_год[[#This Row],[GP, %]]/Планирование_новый_год[[#This Row],[ИТОГО NS ноябрь, шт.]],"")</calculatedColumnFormula>
    </tableColumn>
    <tableColumn id="82" xr3:uid="{B9B948F7-DD69-4CE8-96E3-E4DFC8CBEE92}" name="ИТОГО GP value декабрь, руб." dataDxfId="170" dataCellStyle="Обычный 2">
      <calculatedColumnFormula>IFERROR(Планирование_новый_год[[#This Row],[GP, %]]/Планирование_новый_год[[#This Row],[ИТОГО NS декабрь, шт.]],"")</calculatedColumnFormula>
    </tableColumn>
    <tableColumn id="83" xr3:uid="{F7ECC1A1-8DBC-4E61-8DE0-874A56C25260}" name="ИТОГО GP % за год" dataDxfId="169" dataCellStyle="Обычный 2">
      <calculatedColumnFormula>IFERROR(1-Планирование_новый_год[[#This Row],[LC, руб.]]/Планирование_новый_год[[#This Row],[ИТОГО NS за год, руб.]],"")</calculatedColumnFormula>
    </tableColumn>
    <tableColumn id="84" xr3:uid="{E6BBFEE1-76EB-4FCB-98C3-EED744024269}" name="ИТОГО GP % январь" dataDxfId="168" dataCellStyle="Обычный 2">
      <calculatedColumnFormula>IFERROR(1-Планирование_новый_год[[#This Row],[LC, руб.]]/Планирование_новый_год[[#This Row],[ИТОГО NS январь, шт.]],"")</calculatedColumnFormula>
    </tableColumn>
    <tableColumn id="85" xr3:uid="{1172D779-B5B8-4EBF-976F-0F852822C22F}" name="ИТОГО GP % февраль" dataDxfId="167" dataCellStyle="Обычный 2">
      <calculatedColumnFormula>IFERROR(1-Планирование_новый_год[[#This Row],[LC, руб.]]/Планирование_новый_год[[#This Row],[ИТОГО NS февраль, шт.]],"")</calculatedColumnFormula>
    </tableColumn>
    <tableColumn id="86" xr3:uid="{120BDBE6-FE55-4285-AEA5-888F9C19D3A3}" name="ИТОГО GP % март" dataDxfId="166" dataCellStyle="Обычный 2">
      <calculatedColumnFormula>IFERROR(1-Планирование_новый_год[[#This Row],[LC, руб.]]/Планирование_новый_год[[#This Row],[ИТОГО NS март, шт.]],"")</calculatedColumnFormula>
    </tableColumn>
    <tableColumn id="87" xr3:uid="{9BCE9A1E-20E9-40E5-99B8-1F7D45A6E05A}" name="ИТОГО GP % апрель" dataDxfId="165" dataCellStyle="Обычный 2">
      <calculatedColumnFormula>IFERROR(1-Планирование_новый_год[[#This Row],[LC, руб.]]/Планирование_новый_год[[#This Row],[ИТОГО NS апрель, шт.]],"")</calculatedColumnFormula>
    </tableColumn>
    <tableColumn id="88" xr3:uid="{D50E0A67-2587-450D-9A4B-2C3C7F162FF7}" name="ИТОГО GP % май" dataDxfId="164" dataCellStyle="Обычный 2">
      <calculatedColumnFormula>IFERROR(1-Планирование_новый_год[[#This Row],[LC, руб.]]/Планирование_новый_год[[#This Row],[ИТОГО NS май, шт.]],"")</calculatedColumnFormula>
    </tableColumn>
    <tableColumn id="89" xr3:uid="{21AEB5EA-1518-4F7F-9474-44E95763FCD0}" name="ИТОГО GP % июнь" dataDxfId="163" dataCellStyle="Обычный 2">
      <calculatedColumnFormula>IFERROR(1-Планирование_новый_год[[#This Row],[LC, руб.]]/Планирование_новый_год[[#This Row],[ИТОГО NS июнь, шт.]],"")</calculatedColumnFormula>
    </tableColumn>
    <tableColumn id="90" xr3:uid="{8114B713-DD84-43D1-9C9F-C53812451822}" name="ИТОГО GP % июль" dataDxfId="162" dataCellStyle="Обычный 2">
      <calculatedColumnFormula>IFERROR(1-Планирование_новый_год[[#This Row],[LC, руб.]]/Планирование_новый_год[[#This Row],[ИТОГО NS июль, шт.]],"")</calculatedColumnFormula>
    </tableColumn>
    <tableColumn id="91" xr3:uid="{BA9D428E-9727-4D01-9ECB-F0396F8706F9}" name="ИТОГО GP % август" dataDxfId="161" dataCellStyle="Обычный 2">
      <calculatedColumnFormula>IFERROR(1-Планирование_новый_год[[#This Row],[LC, руб.]]/Планирование_новый_год[[#This Row],[ИТОГО NS август, шт.]],"")</calculatedColumnFormula>
    </tableColumn>
    <tableColumn id="92" xr3:uid="{37B4D5B4-4B29-4FE0-B1AA-7FECF7849C4C}" name="ИТОГО GP % сентябрь" dataDxfId="160" dataCellStyle="Обычный 2">
      <calculatedColumnFormula>IFERROR(1-Планирование_новый_год[[#This Row],[LC, руб.]]/Планирование_новый_год[[#This Row],[ИТОГО NS сентябрь, шт.]],"")</calculatedColumnFormula>
    </tableColumn>
    <tableColumn id="93" xr3:uid="{269D5AA7-C0CA-43DF-A58F-6398B2F52C53}" name="ИТОГО GP % октябрь" dataDxfId="159" dataCellStyle="Обычный 2">
      <calculatedColumnFormula>IFERROR(1-Планирование_новый_год[[#This Row],[LC, руб.]]/Планирование_новый_год[[#This Row],[ИТОГО NS октябрь, шт.]],"")</calculatedColumnFormula>
    </tableColumn>
    <tableColumn id="223" xr3:uid="{529BC0DA-B3D4-49B6-8C56-47EE08BB0BBA}" name="ИТОГО GP % ноябрь" dataDxfId="158" dataCellStyle="Обычный 2">
      <calculatedColumnFormula>IFERROR(1-Планирование_новый_год[[#This Row],[LC, руб.]]/Планирование_новый_год[[#This Row],[ИТОГО NS ноябрь, шт.]],"")</calculatedColumnFormula>
    </tableColumn>
    <tableColumn id="94" xr3:uid="{80CD0364-9424-403E-AD97-C8CDE2096526}" name="ИТОГО GP % декабрь" dataDxfId="157" dataCellStyle="Обычный 2">
      <calculatedColumnFormula>IFERROR(1-Планирование_новый_год[[#This Row],[LC, руб.]]/Планирование_новый_год[[#This Row],[ИТОГО NS декабрь, шт.]],"")</calculatedColumnFormula>
    </tableColumn>
    <tableColumn id="95" xr3:uid="{F2987B63-17E8-4C76-AF79-563FE97654CD}" name="ИТОГО 2 net цена за год" dataDxfId="156" dataCellStyle="Обычный 2">
      <calculatedColumnFormula>IFERROR(Планирование_новый_год[[#This Row],[ИТОГО GS за год, руб.]]/Планирование_новый_год[[#This Row],[ИТОГО Прогноз за год, шт. ]],"")</calculatedColumnFormula>
    </tableColumn>
    <tableColumn id="96" xr3:uid="{ED770198-6AB5-4ADC-A3D2-099886B9B23D}" name="ИТОГО 2 net цена январь" dataDxfId="155" dataCellStyle="Обычный 2">
      <calculatedColumnFormula>IFERROR(Планирование_новый_год[[#This Row],[ИТОГО GS январь, шт.]]/Планирование_новый_год[[#This Row],[ИТОГО Прогноз январь, шт.]],"")</calculatedColumnFormula>
    </tableColumn>
    <tableColumn id="97" xr3:uid="{3F0B3900-849B-4873-946B-D87A7523809A}" name="ИТОГО 2 net цена февраль" dataDxfId="154" dataCellStyle="Обычный 2">
      <calculatedColumnFormula>IFERROR(Планирование_новый_год[[#This Row],[ИТОГО GS февраль, шт.]]/Планирование_новый_год[[#This Row],[ИТОГО Прогноз февраль, шт.]],"")</calculatedColumnFormula>
    </tableColumn>
    <tableColumn id="98" xr3:uid="{2535E1AC-A279-4BA3-A8CD-917C7E268AA7}" name="ИТОГО 2 net цена март" dataDxfId="153" dataCellStyle="Обычный 2">
      <calculatedColumnFormula>IFERROR(Планирование_новый_год[[#This Row],[ИТОГО GS март, шт.]]/Планирование_новый_год[[#This Row],[ИТОГО Прогноз март, шт.]],"")</calculatedColumnFormula>
    </tableColumn>
    <tableColumn id="99" xr3:uid="{1C382845-D38E-4D7A-A47E-8EA527DE15F7}" name="ИТОГО 2 net цена апрель" dataDxfId="152" dataCellStyle="Обычный 2">
      <calculatedColumnFormula>IFERROR(Планирование_новый_год[[#This Row],[ИТОГО GS апрель, шт.]]/Планирование_новый_год[[#This Row],[ИТОГО Прогноз апрель, шт.]],"")</calculatedColumnFormula>
    </tableColumn>
    <tableColumn id="100" xr3:uid="{CB884BC9-4404-4CFC-BBA0-FEEFC009C6C0}" name="ИТОГО 2 net цена май" dataDxfId="151" dataCellStyle="Обычный 2">
      <calculatedColumnFormula>IFERROR(Планирование_новый_год[[#This Row],[ИТОГО GS май, шт.]]/Планирование_новый_год[[#This Row],[ИТОГО Прогноз май, шт.]],"")</calculatedColumnFormula>
    </tableColumn>
    <tableColumn id="101" xr3:uid="{66A3A3B7-9052-4CD5-87C1-F6E39E04F9BD}" name="ИТОГО 2 net цена июнь" dataDxfId="150" dataCellStyle="Обычный 2">
      <calculatedColumnFormula>IFERROR(Планирование_новый_год[[#This Row],[ИТОГО GS июнь, шт.]]/Планирование_новый_год[[#This Row],[ИТОГО Прогноз июнь, шт.]],"")</calculatedColumnFormula>
    </tableColumn>
    <tableColumn id="102" xr3:uid="{DE7C5C58-071A-4638-8D13-233EB51DA03A}" name="ИТОГО 2 net цена июль" dataDxfId="149" dataCellStyle="Обычный 2">
      <calculatedColumnFormula>IFERROR(Планирование_новый_год[[#This Row],[ИТОГО GS июль, шт.]]/Планирование_новый_год[[#This Row],[ИТОГО Прогноз июль, шт.]],"")</calculatedColumnFormula>
    </tableColumn>
    <tableColumn id="103" xr3:uid="{7DE0DE0E-3B70-4C57-BDAE-8B26B4AF2161}" name="ИТОГО 2 net цена август" dataDxfId="148" dataCellStyle="Обычный 2">
      <calculatedColumnFormula>IFERROR(Планирование_новый_год[[#This Row],[ИТОГО GS август, шт.]]/Планирование_новый_год[[#This Row],[ИТОГО Прогноз август, шт.]],"")</calculatedColumnFormula>
    </tableColumn>
    <tableColumn id="104" xr3:uid="{CF54A508-942E-4A06-B8DD-1CD27FD837AA}" name="ИТОГО 2 net цена сентябрь" dataDxfId="147" dataCellStyle="Обычный 2">
      <calculatedColumnFormula>IFERROR(Планирование_новый_год[[#This Row],[ИТОГО GS сентябрь, шт.]]/Планирование_новый_год[[#This Row],[ИТОГО Прогноз сентябрь, шт.]],"")</calculatedColumnFormula>
    </tableColumn>
    <tableColumn id="105" xr3:uid="{5FA2E3B0-BC4D-4654-83AC-CE8C95E2B453}" name="ИТОГО 2 net цена октябрь" dataDxfId="146" dataCellStyle="Обычный 2">
      <calculatedColumnFormula>IFERROR(Планирование_новый_год[[#This Row],[ИТОГО GS октябрь, шт.]]/Планирование_новый_год[[#This Row],[ИТОГО Прогноз октябрь, шт.]],"")</calculatedColumnFormula>
    </tableColumn>
    <tableColumn id="219" xr3:uid="{9BF3D181-7DCA-49F9-99BB-E36C1E943006}" name="ИТОГО 2 net цена ноябрь" dataDxfId="145" dataCellStyle="Обычный 2">
      <calculatedColumnFormula>IFERROR(Планирование_новый_год[[#This Row],[ИТОГО GS ноябрь, шт.]]/Планирование_новый_год[[#This Row],[ИТОГО Прогноз ноябрь, шт.]],"")</calculatedColumnFormula>
    </tableColumn>
    <tableColumn id="106" xr3:uid="{C8A35B51-1847-41BF-A58C-EB69C240B4F6}" name="ИТОГО 2 net цена декабрь" dataDxfId="144" dataCellStyle="Обычный 2">
      <calculatedColumnFormula>IFERROR(Планирование_новый_год[[#This Row],[ИТОГО GS декабрь, шт.2]]/Планирование_новый_год[[#This Row],[ИТОГО Прогноз декабрь, шт.]],"")</calculatedColumnFormula>
    </tableColumn>
    <tableColumn id="107" xr3:uid="{5B886BD7-74FD-405C-A199-2753EB4109E9}" name="ИТОГО 3 net цена за год" dataDxfId="143" dataCellStyle="Обычный 2">
      <calculatedColumnFormula>IFERROR(Планирование_новый_год[[#This Row],[ИТОГО NS за год, руб.]]/Планирование_новый_год[[#This Row],[ИТОГО Прогноз за год, шт. ]],"")</calculatedColumnFormula>
    </tableColumn>
    <tableColumn id="108" xr3:uid="{2C200703-C8CB-4A5A-90CD-9DAAB8546E46}" name="ИТОГО 3 net цена январь" dataDxfId="142" dataCellStyle="Обычный 2">
      <calculatedColumnFormula>IFERROR(Планирование_новый_год[[#This Row],[ИТОГО NS январь, шт.]]/Планирование_новый_год[[#This Row],[ИТОГО Прогноз январь, шт.]],"")</calculatedColumnFormula>
    </tableColumn>
    <tableColumn id="109" xr3:uid="{959B69D1-0E8C-46C4-80C8-7312756584AD}" name="ИТОГО 3 net цена февраль" dataDxfId="141" dataCellStyle="Обычный 2">
      <calculatedColumnFormula>IFERROR(Планирование_новый_год[[#This Row],[ИТОГО NS февраль, шт.]]/Планирование_новый_год[[#This Row],[ИТОГО Прогноз февраль, шт.]],"")</calculatedColumnFormula>
    </tableColumn>
    <tableColumn id="110" xr3:uid="{60A20D32-1A9B-4AB9-AD8A-04EAAA14FF74}" name="ИТОГО 3 net цена март" dataDxfId="140" dataCellStyle="Обычный 2">
      <calculatedColumnFormula>IFERROR(Планирование_новый_год[[#This Row],[ИТОГО NS март, шт.]]/Планирование_новый_год[[#This Row],[ИТОГО Прогноз март, шт.]],"")</calculatedColumnFormula>
    </tableColumn>
    <tableColumn id="111" xr3:uid="{E8BBEB91-05D3-4A53-8C3B-380736A70953}" name="ИТОГО 3 net цена апрель" dataDxfId="139" dataCellStyle="Обычный 2">
      <calculatedColumnFormula>IFERROR(Планирование_новый_год[[#This Row],[ИТОГО NS апрель, шт.]]/Планирование_новый_год[[#This Row],[ИТОГО Прогноз апрель, шт.]],"")</calculatedColumnFormula>
    </tableColumn>
    <tableColumn id="112" xr3:uid="{BD7B886A-291D-4531-8539-9C8ACC901F00}" name="ИТОГО 3 net цена май" dataDxfId="138" dataCellStyle="Обычный 2">
      <calculatedColumnFormula>IFERROR(Планирование_новый_год[[#This Row],[ИТОГО NS май, шт.]]/Планирование_новый_год[[#This Row],[ИТОГО Прогноз май, шт.]],"")</calculatedColumnFormula>
    </tableColumn>
    <tableColumn id="113" xr3:uid="{FBF9B28B-9CE9-4E6E-8FEA-8D17F488CBC0}" name="ИТОГО 3 net цена июнь" dataDxfId="137" dataCellStyle="Обычный 2">
      <calculatedColumnFormula>IFERROR(Планирование_новый_год[[#This Row],[ИТОГО NS июнь, шт.]]/Планирование_новый_год[[#This Row],[ИТОГО Прогноз июнь, шт.]],"")</calculatedColumnFormula>
    </tableColumn>
    <tableColumn id="114" xr3:uid="{9DA657E0-E133-4903-AF39-A56756A1CDF3}" name="ИТОГО 3 net цена июль" dataDxfId="136" dataCellStyle="Обычный 2">
      <calculatedColumnFormula>IFERROR(Планирование_новый_год[[#This Row],[ИТОГО NS июль, шт.]]/Планирование_новый_год[[#This Row],[ИТОГО Прогноз июль, шт.]],"")</calculatedColumnFormula>
    </tableColumn>
    <tableColumn id="115" xr3:uid="{11666157-554C-4D5B-BDB4-A9DF979CCAF3}" name="ИТОГО 3 net цена август" dataDxfId="135" dataCellStyle="Обычный 2">
      <calculatedColumnFormula>IFERROR(Планирование_новый_год[[#This Row],[ИТОГО NS август, шт.]]/Планирование_новый_год[[#This Row],[ИТОГО Прогноз август, шт.]],"")</calculatedColumnFormula>
    </tableColumn>
    <tableColumn id="116" xr3:uid="{E614B108-5B0D-4BEA-BB2A-2F63F1761885}" name="ИТОГО 3 net цена сентябрь" dataDxfId="134" dataCellStyle="Обычный 2">
      <calculatedColumnFormula>IFERROR(Планирование_новый_год[[#This Row],[ИТОГО NS сентябрь, шт.]]/Планирование_новый_год[[#This Row],[ИТОГО Прогноз сентябрь, шт.]],"")</calculatedColumnFormula>
    </tableColumn>
    <tableColumn id="117" xr3:uid="{4D6F8372-E0B1-4F55-9C50-EFA57FA4E71F}" name="ИТОГО 3 net цена октябрь" dataDxfId="133" dataCellStyle="Обычный 2">
      <calculatedColumnFormula>IFERROR(Планирование_новый_год[[#This Row],[ИТОГО NS октябрь, шт.]]/Планирование_новый_год[[#This Row],[ИТОГО Прогноз октябрь, шт.]],"")</calculatedColumnFormula>
    </tableColumn>
    <tableColumn id="218" xr3:uid="{11CA1289-B45E-4C96-BDF8-15C8882CA189}" name="ИТОГО 3 net цена ноябрь" dataDxfId="132" dataCellStyle="Обычный 2">
      <calculatedColumnFormula>IFERROR(Планирование_новый_год[[#This Row],[ИТОГО NS ноябрь, шт.]]/Планирование_новый_год[[#This Row],[ИТОГО Прогноз ноябрь, шт.]],"")</calculatedColumnFormula>
    </tableColumn>
    <tableColumn id="118" xr3:uid="{AFBB524C-133A-4695-A792-095B7A5BDBEC}" name="ИТОГО 3 net цена декабрь" dataDxfId="131" dataCellStyle="Обычный 2">
      <calculatedColumnFormula>IFERROR(Планирование_новый_год[[#This Row],[ИТОГО NS декабрь, шт.]]/Планирование_новый_год[[#This Row],[ИТОГО Прогноз декабрь, шт.]],"")</calculatedColumnFormula>
    </tableColumn>
    <tableColumn id="119" xr3:uid="{02B78577-78AE-47EB-BD9C-72282496995F}" name="Price list цена, руб." dataDxfId="130" dataCellStyle="Обычный 2">
      <calculatedColumnFormula>IFERROR(INDEX(РРЦ[DIY price list, руб. без НДС],MATCH(Планирование_новый_год[[#This Row],[Артикул]],РРЦ[Артикул],0)),"")</calculatedColumnFormula>
    </tableColumn>
    <tableColumn id="120" xr3:uid="{5A3F53BC-119D-40B4-9980-0D0E51F968F3}" name="Скидка от РРЦ, %" dataDxfId="129" dataCellStyle="Обычный 2"/>
    <tableColumn id="121" xr3:uid="{AEBFF562-F492-4939-AD61-FC704C42BB1A}" name="Прогноз за год, шт. " dataDxfId="128" dataCellStyle="Обычный 2">
      <calculatedColumnFormula>IFERROR(SUM(Планирование_новый_год[[#This Row],[Прогноз январь, шт.]:[Прогноз декабрь, шт.]]),"")</calculatedColumnFormula>
    </tableColumn>
    <tableColumn id="122" xr3:uid="{0535E32F-BA3B-45A3-B644-EA3E5C01A430}" name="Прогноз январь, шт." dataDxfId="127" dataCellStyle="Обычный 2"/>
    <tableColumn id="123" xr3:uid="{2839AD92-79C7-4E71-86D9-300214B21A9F}" name="Прогноз февраль, шт." dataDxfId="126" dataCellStyle="Обычный 2"/>
    <tableColumn id="124" xr3:uid="{D42301EC-9C8F-4BAE-9D6D-E85D88213C3D}" name="Прогноз март, шт." dataDxfId="125" dataCellStyle="Обычный 2"/>
    <tableColumn id="125" xr3:uid="{70D21021-AF36-448A-9C16-802308CF3A04}" name="Прогноз апрель, шт." dataDxfId="124" dataCellStyle="Обычный 2"/>
    <tableColumn id="126" xr3:uid="{287963E4-1476-42B8-9811-E72429AC5302}" name="Прогноз май, шт." dataDxfId="123" dataCellStyle="Обычный 2"/>
    <tableColumn id="127" xr3:uid="{E05A0901-8206-4D05-A43B-AC909AB7A0DA}" name="Прогноз июнь, шт." dataDxfId="122" dataCellStyle="Обычный 2"/>
    <tableColumn id="128" xr3:uid="{B898803E-8C15-43CB-81B5-B5D48EAEA11C}" name="Прогноз июль, шт." dataDxfId="121" dataCellStyle="Обычный 2"/>
    <tableColumn id="129" xr3:uid="{91354A95-A1CB-444F-97FC-F4DD6D08B671}" name="Прогноз август, шт." dataDxfId="120" dataCellStyle="Обычный 2"/>
    <tableColumn id="130" xr3:uid="{2F35C430-D3FE-496C-A9F9-8092F794A4A3}" name="Прогноз сентябрь, шт." dataDxfId="119" dataCellStyle="Обычный 2"/>
    <tableColumn id="131" xr3:uid="{5642E94C-9632-4B78-B204-7E2258E25461}" name="Прогноз октябрь, шт." dataDxfId="118" dataCellStyle="Обычный 2"/>
    <tableColumn id="132" xr3:uid="{0FD7506A-FCE6-457F-B536-83CFBA0D544B}" name="Прогноз ноябрь, шт." dataDxfId="117" dataCellStyle="Обычный 2"/>
    <tableColumn id="133" xr3:uid="{B9005289-3DFC-4152-9FAE-1A46A1FD427B}" name="Прогноз декабрь, шт." dataDxfId="116" dataCellStyle="Обычный 2"/>
    <tableColumn id="134" xr3:uid="{34CCD620-1AE3-43AA-B1CA-928C73F0C342}" name="Price list цена, руб.2" dataDxfId="115" dataCellStyle="Обычный 2"/>
    <tableColumn id="135" xr3:uid="{18DE723F-7EAE-46E1-BD94-23DDFE848850}" name="Отличие" dataDxfId="114" dataCellStyle="Обычный 2"/>
    <tableColumn id="136" xr3:uid="{07ED3DCB-598E-4755-9D06-B55F6E64C6A8}" name="Скидка от РРЦ, %6" dataDxfId="113" dataCellStyle="Обычный 2"/>
    <tableColumn id="137" xr3:uid="{7745B9F0-FDA3-438D-9CB3-26704906639D}" name="Прогноз за год, шт." dataDxfId="112" dataCellStyle="Обычный 2">
      <calculatedColumnFormula>IFERROR(SUM(Планирование_новый_год[[#This Row],[Прогноз январь, шт.2]:[Прогноз декабрь, шт.2]]),"")</calculatedColumnFormula>
    </tableColumn>
    <tableColumn id="138" xr3:uid="{1D7C1074-7336-4F23-ABD2-B2A96D467814}" name="Прогноз январь, шт.2" dataDxfId="111" dataCellStyle="Обычный 2"/>
    <tableColumn id="139" xr3:uid="{8F918225-74A1-40BA-9D1A-68D1E9052381}" name="Прогноз февраль, шт.2" dataDxfId="110" dataCellStyle="Обычный 2"/>
    <tableColumn id="140" xr3:uid="{FB441A4E-5B99-442C-9DF0-5BF7A912AA26}" name="Прогноз март, шт.2" dataDxfId="109" dataCellStyle="Обычный 2"/>
    <tableColumn id="141" xr3:uid="{1D70896F-B896-424A-908E-EB7EE2ED4E4C}" name="Прогноз апрель, шт.2" dataDxfId="108" dataCellStyle="Обычный 2"/>
    <tableColumn id="142" xr3:uid="{1F5F06C9-4AD9-4A32-8F58-B3CC863077A3}" name="Прогноз май, шт.2" dataDxfId="107" dataCellStyle="Обычный 2"/>
    <tableColumn id="143" xr3:uid="{D57F2ED5-3913-4AF3-BE27-B6219DBA160C}" name="Прогноз июнь, шт.2" dataDxfId="106" dataCellStyle="Обычный 2"/>
    <tableColumn id="144" xr3:uid="{C8D040E0-B2C3-41D6-80D8-01EA4F15331B}" name="Прогноз июль, шт.2" dataDxfId="105" dataCellStyle="Обычный 2"/>
    <tableColumn id="145" xr3:uid="{E09D2FAF-B4FE-466A-8EE0-9177DE92B8B0}" name="Прогноз август, шт.2" dataDxfId="104" dataCellStyle="Обычный 2"/>
    <tableColumn id="146" xr3:uid="{B8CAD14D-F7C2-46BE-9BD0-D48769055988}" name="Прогноз сентябрь, шт.2" dataDxfId="103" dataCellStyle="Обычный 2"/>
    <tableColumn id="147" xr3:uid="{3A858A45-F298-49DA-93A0-FA8D96C940A3}" name="Прогноз октябрь, шт.2" dataDxfId="102" dataCellStyle="Обычный 2"/>
    <tableColumn id="148" xr3:uid="{A9A047C5-3BA3-4C24-BAA6-CF870EB4EB1D}" name="Прогноз ноябрь, шт.2" dataDxfId="101" dataCellStyle="Обычный 2"/>
    <tableColumn id="149" xr3:uid="{C0C91EAC-DC10-4FB4-AF3C-C5CB3C52F470}" name="Прогноз декабрь, шт.2" dataDxfId="100" dataCellStyle="Обычный 2"/>
    <tableColumn id="150" xr3:uid="{95720B67-BEFB-46F9-9D7A-EACBE0C27803}" name="GS за год, руб." dataDxfId="99" dataCellStyle="Обычный 2">
      <calculatedColumnFormula>IFERROR(SUM(Планирование_новый_год[[#This Row],[GS январь, руб.]:[GS декабрь, руб.]]),"")</calculatedColumnFormula>
    </tableColumn>
    <tableColumn id="151" xr3:uid="{604D8077-0334-4CD9-8A97-E84A5A9C1252}" name="GS январь, руб." dataDxfId="98" dataCellStyle="Обычный 2"/>
    <tableColumn id="152" xr3:uid="{B154345C-3FA0-4C0F-9F21-B63FAA764159}" name="GS февраль, руб." dataDxfId="97" dataCellStyle="Обычный 2"/>
    <tableColumn id="153" xr3:uid="{047FCAB3-68C1-4141-BEB6-1F17D576B519}" name="GS март, руб." dataDxfId="96" dataCellStyle="Обычный 2"/>
    <tableColumn id="154" xr3:uid="{144321B0-B9C9-4251-BC6E-05C88CBA678E}" name="GS апрель, руб." dataDxfId="95" dataCellStyle="Обычный 2"/>
    <tableColumn id="155" xr3:uid="{282D38BD-530D-413E-B5BC-88C70FA35407}" name="GS май, руб." dataDxfId="94" dataCellStyle="Обычный 2"/>
    <tableColumn id="156" xr3:uid="{39A60F2C-3CE1-4BD0-8204-F53CE0263C23}" name="GS июнь, руб." dataDxfId="93" dataCellStyle="Обычный 2"/>
    <tableColumn id="157" xr3:uid="{A6D6278E-A5A9-44B9-865B-87A7FDE62A61}" name="GS июль, руб." dataDxfId="92" dataCellStyle="Обычный 2"/>
    <tableColumn id="158" xr3:uid="{7539F5C4-7C22-4F45-BCFF-6302D7BD2189}" name="GS август, руб." dataDxfId="91" dataCellStyle="Обычный 2"/>
    <tableColumn id="159" xr3:uid="{8D652B08-AEFA-48ED-A4F8-C6C181C8746E}" name="GS сентябрь, руб." dataDxfId="90" dataCellStyle="Обычный 2"/>
    <tableColumn id="160" xr3:uid="{5F7F7B9E-B71C-4899-A7D9-61B47EB77DCC}" name="GS октябрь, руб." dataDxfId="89" dataCellStyle="Обычный 2"/>
    <tableColumn id="217" xr3:uid="{D3A908E8-1569-49F8-B631-15C0F5978FCF}" name="GS ноябрь, руб." dataDxfId="88" dataCellStyle="Обычный 2"/>
    <tableColumn id="161" xr3:uid="{206E31E0-1F5E-42FE-A4FE-47A5CBD7A439}" name="GS декабрь, руб." dataDxfId="87" dataCellStyle="Обычный 2"/>
    <tableColumn id="162" xr3:uid="{AFB09ECD-C050-4EA7-BD09-6BB5C6A3140F}" name="NS за год, руб." dataDxfId="86" dataCellStyle="Обычный 2">
      <calculatedColumnFormula>IFERROR(SUM(Планирование_новый_год[[#This Row],[NS январь, руб.]:[NS декабрь, шт.]]),"")</calculatedColumnFormula>
    </tableColumn>
    <tableColumn id="163" xr3:uid="{D44EB185-EA89-4925-B2B1-42D2BA9E3145}" name="NS январь, руб." dataDxfId="85" dataCellStyle="Обычный 2"/>
    <tableColumn id="164" xr3:uid="{D54B5704-8F04-4DF2-8F35-91A35DFB62AF}" name="NS февраль, руб." dataDxfId="84" dataCellStyle="Обычный 2"/>
    <tableColumn id="165" xr3:uid="{1347DE14-4422-4B27-862F-D4B866C3E2A9}" name="NS март, руб." dataDxfId="83" dataCellStyle="Обычный 2"/>
    <tableColumn id="166" xr3:uid="{A52CB30A-6520-493C-9C46-DFCACC9E4CFF}" name="NS апрель, руб." dataDxfId="82" dataCellStyle="Обычный 2"/>
    <tableColumn id="167" xr3:uid="{4FACDA9F-2874-40F2-8773-8D83A50FB1F6}" name="NS май, руб." dataDxfId="81" dataCellStyle="Обычный 2"/>
    <tableColumn id="168" xr3:uid="{4B4794F3-CE7B-49BF-B94B-C7017A225C3D}" name="NS июнь, руб." dataDxfId="80" dataCellStyle="Обычный 2"/>
    <tableColumn id="169" xr3:uid="{DC7EED99-8803-4798-B203-076E3BD5E593}" name="NS июль, руб." dataDxfId="79" dataCellStyle="Обычный 2"/>
    <tableColumn id="170" xr3:uid="{C1514E80-3555-441E-8C30-9AF8AFAE9A8A}" name="NS август, руб." dataDxfId="78" dataCellStyle="Обычный 2"/>
    <tableColumn id="171" xr3:uid="{7544C462-E994-4D9D-BA94-942FF60B7050}" name="NS сентябрь, руб." dataDxfId="77" dataCellStyle="Обычный 2"/>
    <tableColumn id="172" xr3:uid="{3B004F10-4B0A-42A5-B230-BF575CDE7DDC}" name="NS октябрь, руб." dataDxfId="76" dataCellStyle="Обычный 2"/>
    <tableColumn id="173" xr3:uid="{1F873C73-8E9D-44B4-98C1-6F3B641C65A8}" name="NS ноябрь, руб." dataDxfId="75" dataCellStyle="Обычный 2"/>
    <tableColumn id="174" xr3:uid="{7975EF04-71E5-4B54-99CD-904D7CBBDB3C}" name="NS декабрь, шт." dataDxfId="74" dataCellStyle="Обычный 2"/>
    <tableColumn id="175" xr3:uid="{F1CF01AA-9991-48AF-A677-74B1846236D2}" name="Промо цена, руб." dataDxfId="73" dataCellStyle="Обычный 2">
      <calculatedColumnFormula>IFERROR(Планирование_новый_год[[#This Row],[DIY price list, руб. без НДС]]*Планирование_новый_год[[#This Row],[скидка от Price list цены, %]],"")</calculatedColumnFormula>
    </tableColumn>
    <tableColumn id="176" xr3:uid="{F393FC86-2E44-430C-B72A-D1895626302A}" name="скидка от Price list цены, %" dataDxfId="72" dataCellStyle="Обычный 2"/>
    <tableColumn id="177" xr3:uid="{D39B0F7F-FD54-4EAC-A3A5-894EB33CADE4}" name="Промо прогноз за год, шт. " dataDxfId="71" dataCellStyle="Обычный 2">
      <calculatedColumnFormula>IFERROR(SUM(Планирование_новый_год[[#This Row],[Промо прогноз январь, шт.]:[Промо прогноз декабрь, шт.]]),"")</calculatedColumnFormula>
    </tableColumn>
    <tableColumn id="178" xr3:uid="{C5AFDD53-B266-4796-AB47-F0428796BAAC}" name="Промо прогноз январь, шт." dataDxfId="70" dataCellStyle="Обычный 2"/>
    <tableColumn id="179" xr3:uid="{0F88930D-A57D-47EF-AE42-9DFAF94D17BE}" name="Промо прогноз февраль, шт." dataDxfId="69" dataCellStyle="Обычный 2"/>
    <tableColumn id="180" xr3:uid="{C945DC34-6A08-4C5D-A199-143506BF490B}" name="Промо прогноз март, шт." dataDxfId="68" dataCellStyle="Обычный 2"/>
    <tableColumn id="181" xr3:uid="{6661CDAD-6FDA-493A-867A-C46B8CA9B709}" name="Промо прогноз апрель, шт." dataDxfId="67" dataCellStyle="Обычный 2"/>
    <tableColumn id="182" xr3:uid="{F8340B39-63B5-4596-A24E-DA8929E9C81D}" name="Промо прогноз май, шт." dataDxfId="66" dataCellStyle="Обычный 2"/>
    <tableColumn id="183" xr3:uid="{66F0D4F8-0ABB-42EE-8CB1-FEF1BE84D9F0}" name="Промо прогноз июнь, шт." dataDxfId="65" dataCellStyle="Обычный 2"/>
    <tableColumn id="184" xr3:uid="{6E84C991-4323-493F-B846-129CAE7AE021}" name="Промо прогноз июль, шт." dataDxfId="64" dataCellStyle="Обычный 2"/>
    <tableColumn id="185" xr3:uid="{E503C206-2D69-4EA7-B94D-4F8146B5B91F}" name="Промо прогноз август, шт." dataDxfId="63" dataCellStyle="Обычный 2"/>
    <tableColumn id="186" xr3:uid="{7CBFEC54-C246-420A-8A2E-8F940D85414B}" name="Промо прогноз сентябрь, шт." dataDxfId="62" dataCellStyle="Обычный 2"/>
    <tableColumn id="187" xr3:uid="{DA64A246-B583-47DF-87C4-DD4C3D934623}" name="Промо прогноз октябрь, шт." dataDxfId="61" dataCellStyle="Обычный 2"/>
    <tableColumn id="188" xr3:uid="{EFA6D77C-0A52-48C3-9325-6A0345C55136}" name="Промо прогноз ноябрь, шт." dataDxfId="60" dataCellStyle="Обычный 2"/>
    <tableColumn id="189" xr3:uid="{9ECDA3F6-5006-4D02-921F-BBF7A4430342}" name="Промо прогноз декабрь, шт." dataDxfId="59" dataCellStyle="Обычный 2"/>
    <tableColumn id="190" xr3:uid="{2E9B801B-4FA2-4A70-B686-F55613792C7E}" name="Промо GS за год, руб." dataDxfId="58" dataCellStyle="Обычный 2">
      <calculatedColumnFormula>IFERROR(SUM(Планирование_новый_год[[#This Row],[Промо GS январь, руб.]:[Промо GS декабрь, руб.]]),"")</calculatedColumnFormula>
    </tableColumn>
    <tableColumn id="191" xr3:uid="{63A2EA70-C098-415C-9777-D3E883D08DD2}" name="Промо GS январь, руб." dataDxfId="57" dataCellStyle="Обычный 2"/>
    <tableColumn id="192" xr3:uid="{27E1950D-DEDD-42CB-8B11-530BFB23DA7B}" name="Промо GS февраль, руб." dataDxfId="56" dataCellStyle="Обычный 2"/>
    <tableColumn id="193" xr3:uid="{157C481E-E786-42F1-A5E3-C518C3878114}" name="Промо GS март, руб." dataDxfId="55" dataCellStyle="Обычный 2"/>
    <tableColumn id="194" xr3:uid="{2D7AB503-6E7C-47A0-A13C-95E44A53E45F}" name="Промо GS апрель, руб." dataDxfId="54" dataCellStyle="Обычный 2"/>
    <tableColumn id="195" xr3:uid="{5EEBE0D8-485D-44E6-AB1A-21BC6D54C67C}" name="Промо GS май, руб." dataDxfId="53" dataCellStyle="Обычный 2"/>
    <tableColumn id="196" xr3:uid="{ECA30F18-8263-4C20-9898-F58F3B4C0C61}" name="Промо GS июнь, руб." dataDxfId="52" dataCellStyle="Обычный 2"/>
    <tableColumn id="197" xr3:uid="{C0DA0FC5-FBEB-45F6-A4CD-BCDA7E3200B0}" name="Промо GS июль, руб." dataDxfId="51" dataCellStyle="Обычный 2"/>
    <tableColumn id="198" xr3:uid="{B3915587-754B-4135-B1E8-8145147CE2C7}" name="Промо GS август, руб." dataDxfId="50" dataCellStyle="Обычный 2"/>
    <tableColumn id="199" xr3:uid="{D17DE2C7-DC0C-4950-A166-9025469D6D65}" name="Промо GS сентябрь, руб." dataDxfId="49" dataCellStyle="Обычный 2"/>
    <tableColumn id="200" xr3:uid="{2B2AE1C2-7433-48B7-BA08-11D2F0620A1D}" name="Промо GS октябрь, руб." dataDxfId="48" dataCellStyle="Обычный 2"/>
    <tableColumn id="216" xr3:uid="{354BFC04-1A0F-4B87-8627-44410ED6D43E}" name="Промо GS ноябрь, руб." dataDxfId="47" dataCellStyle="Обычный 2"/>
    <tableColumn id="201" xr3:uid="{9AC442F2-2998-4CAB-AAE7-2B1A21693F5A}" name="Промо GS декабрь, руб." dataDxfId="46" dataCellStyle="Обычный 2"/>
    <tableColumn id="202" xr3:uid="{DAFF80EF-3813-4B72-B3F7-2CAA028854D6}" name="Промо NS за год, руб." dataDxfId="45" dataCellStyle="Обычный 2">
      <calculatedColumnFormula>IFERROR(SUM(Планирование_новый_год[[#This Row],[Промо NS январь, руб.]:[Промо NS декабрь, руб.]]),"")</calculatedColumnFormula>
    </tableColumn>
    <tableColumn id="203" xr3:uid="{37346D21-6958-4C12-A599-0D8196471B5E}" name="Промо NS январь, руб." dataDxfId="44" dataCellStyle="Обычный 2"/>
    <tableColumn id="204" xr3:uid="{35E3D396-28F4-413D-B2B2-0E2BB0585244}" name="Промо NS февраль, руб." dataDxfId="43" dataCellStyle="Обычный 2"/>
    <tableColumn id="205" xr3:uid="{4F318F4D-E885-4D9C-9D9F-CF0A3C2C6BA2}" name="Промо NS март, руб." dataDxfId="42" dataCellStyle="Обычный 2"/>
    <tableColumn id="206" xr3:uid="{99B1517D-168F-4186-89B6-63BF7A239C96}" name="Промо NS апрель, руб." dataDxfId="41" dataCellStyle="Обычный 2"/>
    <tableColumn id="207" xr3:uid="{DBBF432E-D647-43CC-A714-38C9901F1894}" name="Промо NS май, руб." dataDxfId="40" dataCellStyle="Обычный 2"/>
    <tableColumn id="208" xr3:uid="{93A08434-326F-4361-BE56-4A70696F5830}" name="Промо NS июнь, руб." dataDxfId="39" dataCellStyle="Обычный 2"/>
    <tableColumn id="209" xr3:uid="{593FE06D-D4C0-47A8-92DD-754488C80C51}" name="Промо NS июль, руб." dataDxfId="38" dataCellStyle="Обычный 2"/>
    <tableColumn id="210" xr3:uid="{D178C12F-4DB2-4EAA-8EEE-7D7C4BB872E4}" name="Промо NS август, руб." dataDxfId="37" dataCellStyle="Обычный 2"/>
    <tableColumn id="211" xr3:uid="{B41DFE96-B74A-4542-BD55-0B04CFAE9EF2}" name="Промо NS сентябрь, руб." dataDxfId="36" dataCellStyle="Обычный 2"/>
    <tableColumn id="212" xr3:uid="{3163229D-ADBC-40C9-AA76-04B56B188315}" name="Промо NS октябрь, руб." dataDxfId="35" dataCellStyle="Обычный 2"/>
    <tableColumn id="215" xr3:uid="{2F796790-7D20-4A03-8014-43D2CB92CD70}" name="Промо NS ноябрь, руб." dataDxfId="34" dataCellStyle="Обычный 2"/>
    <tableColumn id="213" xr3:uid="{F14CE16E-EA38-415A-819F-EB069FF96078}" name="Промо NS декабрь, руб." dataDxfId="33" dataCellStyle="Обычный 2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B575C23A-0703-463C-92B5-B2ECE97DAE48}" name="Exclusives" displayName="Exclusives" ref="A1:B3" totalsRowShown="0">
  <autoFilter ref="A1:B3" xr:uid="{A6B4CA69-3587-47D1-A6CA-9DEFC3BA7092}"/>
  <tableColumns count="2">
    <tableColumn id="2" xr3:uid="{89957866-C697-4710-9847-236345A50E9E}" name="№"/>
    <tableColumn id="1" xr3:uid="{3AC2B92B-2109-4726-83A4-381C54D47091}" name="Nam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70D1321-7685-414C-80CA-45C73E1EED7F}" name="ChannelTypes" displayName="ChannelTypes" ref="A1:B4" totalsRowShown="0">
  <autoFilter ref="A1:B4" xr:uid="{6B89032F-16D0-40A1-8E27-FA9C3023321C}"/>
  <tableColumns count="2">
    <tableColumn id="1" xr3:uid="{6D26CCA9-E43F-4DB5-BBDE-AE9B88E25B27}" name="№"/>
    <tableColumn id="2" xr3:uid="{D22B5D0B-6C8C-4034-A27A-17BC4356CBB6}" name="Channel typ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20C3C87-C3B5-4A92-A138-7EA2966CFDB4}" name="Сертификация" displayName="Сертификация" ref="A1:B6" totalsRowShown="0">
  <autoFilter ref="A1:B6" xr:uid="{2C86986F-B6BB-4266-9320-01849F5AF9A3}"/>
  <tableColumns count="2">
    <tableColumn id="2" xr3:uid="{8DA5CE29-E5FD-4E72-8097-8B3FA2194539}" name="№"/>
    <tableColumn id="1" xr3:uid="{7D641CB8-A13E-4FC4-96B1-24ECFB73B36D}" name="Статус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A9719D2-C3A2-43BA-9F01-52A328D008EB}" name="CustomerStatuses" displayName="CustomerStatuses" ref="A1:B19" totalsRowShown="0">
  <autoFilter ref="A1:B19" xr:uid="{7F9375A0-1AC9-43FA-A2A3-BE5D42CBEB81}"/>
  <tableColumns count="2">
    <tableColumn id="1" xr3:uid="{AF224552-D2E7-4B28-B797-9972F6836C8C}" name="№"/>
    <tableColumn id="2" xr3:uid="{FCDDBAAC-71DF-4521-BDA6-9E78AA0218EE}" name="Customer status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Продуктовые_календари" displayName="Продуктовые_календари" ref="A1:C15" totalsRowShown="0">
  <autoFilter ref="A1:C15" xr:uid="{00000000-0009-0000-0100-000005000000}"/>
  <tableColumns count="3">
    <tableColumn id="1" xr3:uid="{00000000-0010-0000-0400-000001000000}" name="№" dataDxfId="32"/>
    <tableColumn id="2" xr3:uid="{00000000-0010-0000-0400-000002000000}" name="Название" dataDxfId="31"/>
    <tableColumn id="3" xr3:uid="{00000000-0010-0000-0400-000003000000}" name="Путь к файлу" dataDxfId="30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Статусы_товаров" displayName="Статусы_товаров" ref="A1:B7" totalsRowShown="0">
  <autoFilter ref="A1:B7" xr:uid="{00000000-0009-0000-0100-000003000000}"/>
  <tableColumns count="2">
    <tableColumn id="1" xr3:uid="{00000000-0010-0000-0200-000001000000}" name="№" dataDxfId="29"/>
    <tableColumn id="2" xr3:uid="{00000000-0010-0000-0200-000002000000}" name="Статус" dataDxfId="28"/>
  </tableColumns>
  <tableStyleInfo name="TableStyleLight10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5000000}" name="STK" displayName="STK" ref="A1:E9" totalsRowShown="0" headerRowDxfId="24" dataDxfId="23">
  <autoFilter ref="A1:E9" xr:uid="{00000000-0009-0000-0100-000008000000}"/>
  <tableColumns count="5">
    <tableColumn id="5" xr3:uid="{D948CA53-CDCE-46C5-BE95-D1E2925C758E}" name="№" dataDxfId="22"/>
    <tableColumn id="1" xr3:uid="{00000000-0010-0000-0500-000001000000}" name="Артикул" dataDxfId="21"/>
    <tableColumn id="2" xr3:uid="{00000000-0010-0000-0500-000002000000}" name="STK 2.5, Eur" dataDxfId="20"/>
    <tableColumn id="3" xr3:uid="{00000000-0010-0000-0500-000003000000}" name="STK 2.5, руб." dataDxfId="19"/>
    <tableColumn id="4" xr3:uid="{00000000-0010-0000-0500-000004000000}" name="Дата принятия" dataDxfId="18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EBD492-4D60-40D3-AE90-ADE835643893}" name="Бюджетные_курсы" displayName="Бюджетные_курсы" ref="A1:E4" totalsRowShown="0" headerRowBorderDxfId="17" tableBorderDxfId="16">
  <autoFilter ref="A1:E4" xr:uid="{DC3035BC-C236-433B-901D-B186AA655CF5}"/>
  <tableColumns count="5">
    <tableColumn id="1" xr3:uid="{F6B612F6-B5C5-40EB-8141-8228791959AE}" name="№" dataDxfId="15"/>
    <tableColumn id="2" xr3:uid="{C27650E5-0AD3-4BAB-B2B2-9092D1FE4D79}" name="Дата принятия" dataDxfId="14"/>
    <tableColumn id="3" xr3:uid="{F42351AE-2B5F-47CC-9B75-F7EF9AEC356F}" name="Курс рубля к евро (RUB/EUR)" dataDxfId="13"/>
    <tableColumn id="4" xr3:uid="{B1A4A865-3D91-4354-B4FE-086B94AE8FE5}" name="Курс рубля к шведцским кронам (RUB/SEK)"/>
    <tableColumn id="5" xr3:uid="{84B27CCA-7D49-47CA-AE33-A0F1D6BC9ED4}" name="Курс евро к шведским кронам (EUR/SEK)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9000000}" name="Эксклюзивность" displayName="Эксклюзивность" ref="A1:B8" totalsRowShown="0">
  <autoFilter ref="A1:B8" xr:uid="{00000000-0009-0000-0100-00000C000000}"/>
  <tableColumns count="2">
    <tableColumn id="1" xr3:uid="{00000000-0010-0000-0900-000001000000}" name="№" dataDxfId="12"/>
    <tableColumn id="2" xr3:uid="{00000000-0010-0000-0900-000002000000}" name="Эксклюзивность" dataDxfId="11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B000000}" name="GardenChannel" displayName="GardenChannel" ref="A1:C23" totalsRowShown="0" dataDxfId="10">
  <autoFilter ref="A1:C23" xr:uid="{00000000-0009-0000-0100-00000E000000}"/>
  <tableColumns count="3">
    <tableColumn id="1" xr3:uid="{00000000-0010-0000-0B00-000001000000}" name="Код" dataDxfId="9"/>
    <tableColumn id="2" xr3:uid="{00000000-0010-0000-0B00-000002000000}" name="GardenChannel" dataDxfId="8"/>
    <tableColumn id="3" xr3:uid="{00000000-0010-0000-0B00-000003000000}" name="Sales manager" dataDxfId="7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8.xml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1">
    <tabColor theme="4" tint="-0.249977111117893"/>
    <outlinePr summaryBelow="0" summaryRight="0"/>
  </sheetPr>
  <dimension ref="A1:AY1862"/>
  <sheetViews>
    <sheetView showGridLines="0" topLeftCell="AM1" zoomScaleNormal="100" workbookViewId="0">
      <pane ySplit="2" topLeftCell="A45" activePane="bottomLeft" state="frozen"/>
      <selection pane="bottomLeft" activeCell="AT1" sqref="AT1"/>
    </sheetView>
  </sheetViews>
  <sheetFormatPr defaultColWidth="24.7109375" defaultRowHeight="12" outlineLevelCol="1" x14ac:dyDescent="0.25"/>
  <cols>
    <col min="1" max="1" width="7.42578125" style="34" bestFit="1" customWidth="1"/>
    <col min="2" max="2" width="21.140625" style="34" bestFit="1" customWidth="1"/>
    <col min="3" max="3" width="10.42578125" style="34" customWidth="1" collapsed="1"/>
    <col min="4" max="4" width="40.140625" style="34" hidden="1" customWidth="1" outlineLevel="1"/>
    <col min="5" max="5" width="66.140625" style="34" hidden="1" customWidth="1" outlineLevel="1"/>
    <col min="6" max="6" width="11.85546875" style="34" bestFit="1" customWidth="1" collapsed="1"/>
    <col min="7" max="7" width="19.42578125" style="34" hidden="1" customWidth="1" outlineLevel="1"/>
    <col min="8" max="8" width="30.140625" style="34" hidden="1" customWidth="1" outlineLevel="1"/>
    <col min="9" max="9" width="12.42578125" style="36" bestFit="1" customWidth="1"/>
    <col min="10" max="10" width="12.42578125" style="36" customWidth="1"/>
    <col min="11" max="11" width="10" style="35" customWidth="1" outlineLevel="1"/>
    <col min="12" max="12" width="8.7109375" style="36" bestFit="1" customWidth="1"/>
    <col min="13" max="13" width="12.7109375" style="35" bestFit="1" customWidth="1"/>
    <col min="14" max="14" width="18.42578125" style="35" customWidth="1" outlineLevel="1"/>
    <col min="15" max="15" width="17.140625" style="35" customWidth="1" outlineLevel="1"/>
    <col min="16" max="16" width="35.5703125" style="37" bestFit="1" customWidth="1"/>
    <col min="17" max="17" width="16.85546875" style="34" bestFit="1" customWidth="1" collapsed="1"/>
    <col min="18" max="18" width="12" style="34" hidden="1" customWidth="1" outlineLevel="1"/>
    <col min="19" max="19" width="12.28515625" style="47" hidden="1" customWidth="1" outlineLevel="1"/>
    <col min="20" max="20" width="13.28515625" style="47" hidden="1" customWidth="1" outlineLevel="1"/>
    <col min="21" max="21" width="13.140625" style="47" hidden="1" customWidth="1" outlineLevel="1"/>
    <col min="22" max="22" width="10.7109375" style="34" hidden="1" customWidth="1" outlineLevel="1"/>
    <col min="23" max="23" width="17.85546875" style="34" hidden="1" customWidth="1" outlineLevel="1"/>
    <col min="24" max="24" width="12.42578125" style="34" hidden="1" customWidth="1" outlineLevel="1"/>
    <col min="25" max="25" width="11.28515625" style="34" hidden="1" customWidth="1" outlineLevel="1"/>
    <col min="26" max="26" width="13" style="34" hidden="1" customWidth="1" outlineLevel="1"/>
    <col min="27" max="27" width="13.7109375" style="34" hidden="1" customWidth="1" outlineLevel="1"/>
    <col min="28" max="28" width="10.140625" style="34" hidden="1" customWidth="1" outlineLevel="1"/>
    <col min="29" max="29" width="13.28515625" style="34" hidden="1" customWidth="1" outlineLevel="1"/>
    <col min="30" max="30" width="12.7109375" style="34" hidden="1" customWidth="1" outlineLevel="1"/>
    <col min="31" max="34" width="12" style="34" hidden="1" customWidth="1" outlineLevel="1"/>
    <col min="35" max="36" width="12.5703125" style="34" hidden="1" customWidth="1" outlineLevel="1"/>
    <col min="37" max="37" width="12.140625" style="34" hidden="1" customWidth="1" outlineLevel="1"/>
    <col min="38" max="38" width="11.5703125" style="34" hidden="1" customWidth="1" outlineLevel="1"/>
    <col min="39" max="39" width="34.42578125" style="40" bestFit="1" customWidth="1"/>
    <col min="40" max="40" width="21.42578125" style="37" bestFit="1" customWidth="1"/>
    <col min="41" max="41" width="14.28515625" style="40" bestFit="1" customWidth="1"/>
    <col min="42" max="42" width="14.140625" style="34" bestFit="1" customWidth="1"/>
    <col min="43" max="44" width="12.140625" style="34" bestFit="1" customWidth="1"/>
    <col min="45" max="45" width="14.42578125" style="112" bestFit="1" customWidth="1"/>
    <col min="46" max="46" width="16.85546875" style="34" bestFit="1" customWidth="1"/>
    <col min="47" max="47" width="14.42578125" style="34" bestFit="1" customWidth="1"/>
    <col min="48" max="48" width="12.7109375" style="34" bestFit="1" customWidth="1"/>
    <col min="49" max="49" width="11.140625" style="34" bestFit="1" customWidth="1"/>
    <col min="50" max="50" width="11" style="34" bestFit="1" customWidth="1"/>
    <col min="51" max="51" width="15" style="34" bestFit="1" customWidth="1"/>
    <col min="52" max="16384" width="24.7109375" style="34"/>
  </cols>
  <sheetData>
    <row r="1" spans="1:51" x14ac:dyDescent="0.25">
      <c r="AP1" s="49" t="s">
        <v>242</v>
      </c>
      <c r="AQ1" s="52">
        <v>44032</v>
      </c>
      <c r="AR1" s="49"/>
      <c r="AT1" s="34" t="s">
        <v>241</v>
      </c>
      <c r="AU1" s="43">
        <v>77.454604098733725</v>
      </c>
    </row>
    <row r="2" spans="1:51" s="31" customFormat="1" ht="36" x14ac:dyDescent="0.25">
      <c r="A2" s="31" t="s">
        <v>0</v>
      </c>
      <c r="B2" s="31" t="s">
        <v>1683</v>
      </c>
      <c r="C2" s="31" t="s">
        <v>1682</v>
      </c>
      <c r="D2" s="31" t="s">
        <v>1</v>
      </c>
      <c r="E2" s="31" t="s">
        <v>2</v>
      </c>
      <c r="F2" s="31" t="s">
        <v>3</v>
      </c>
      <c r="G2" s="31" t="s">
        <v>4</v>
      </c>
      <c r="H2" s="31" t="s">
        <v>5</v>
      </c>
      <c r="I2" s="33" t="s">
        <v>12</v>
      </c>
      <c r="J2" s="33" t="s">
        <v>13</v>
      </c>
      <c r="K2" s="32" t="s">
        <v>14</v>
      </c>
      <c r="L2" s="33" t="s">
        <v>15</v>
      </c>
      <c r="M2" s="32" t="s">
        <v>16</v>
      </c>
      <c r="N2" s="32" t="s">
        <v>17</v>
      </c>
      <c r="O2" s="32" t="s">
        <v>18</v>
      </c>
      <c r="P2" s="38" t="s">
        <v>19</v>
      </c>
      <c r="Q2" s="39" t="s">
        <v>20</v>
      </c>
      <c r="R2" s="41" t="s">
        <v>166</v>
      </c>
      <c r="S2" s="48" t="s">
        <v>167</v>
      </c>
      <c r="T2" s="48" t="s">
        <v>168</v>
      </c>
      <c r="U2" s="48" t="s">
        <v>185</v>
      </c>
      <c r="V2" s="41" t="s">
        <v>184</v>
      </c>
      <c r="W2" s="41" t="s">
        <v>169</v>
      </c>
      <c r="X2" s="41" t="s">
        <v>188</v>
      </c>
      <c r="Y2" s="41" t="s">
        <v>170</v>
      </c>
      <c r="Z2" s="41" t="s">
        <v>183</v>
      </c>
      <c r="AA2" s="41" t="s">
        <v>171</v>
      </c>
      <c r="AB2" s="41" t="s">
        <v>182</v>
      </c>
      <c r="AC2" s="41" t="s">
        <v>181</v>
      </c>
      <c r="AD2" s="41" t="s">
        <v>172</v>
      </c>
      <c r="AE2" s="41" t="s">
        <v>173</v>
      </c>
      <c r="AF2" s="41" t="s">
        <v>180</v>
      </c>
      <c r="AG2" s="41" t="s">
        <v>174</v>
      </c>
      <c r="AH2" s="41" t="s">
        <v>175</v>
      </c>
      <c r="AI2" s="41" t="s">
        <v>179</v>
      </c>
      <c r="AJ2" s="41" t="s">
        <v>178</v>
      </c>
      <c r="AK2" s="41" t="s">
        <v>176</v>
      </c>
      <c r="AL2" s="41" t="s">
        <v>177</v>
      </c>
      <c r="AM2" s="31" t="s">
        <v>8101</v>
      </c>
      <c r="AN2" s="32" t="s">
        <v>21</v>
      </c>
      <c r="AO2" s="31" t="s">
        <v>22</v>
      </c>
      <c r="AP2" s="31" t="s">
        <v>28</v>
      </c>
      <c r="AQ2" s="31" t="s">
        <v>1212</v>
      </c>
      <c r="AR2" s="31" t="s">
        <v>1213</v>
      </c>
      <c r="AS2" s="113" t="s">
        <v>237</v>
      </c>
      <c r="AT2" s="31" t="s">
        <v>239</v>
      </c>
      <c r="AU2" s="31" t="s">
        <v>238</v>
      </c>
      <c r="AV2" s="31" t="s">
        <v>240</v>
      </c>
      <c r="AW2" s="31" t="s">
        <v>63</v>
      </c>
      <c r="AX2" s="31" t="s">
        <v>243</v>
      </c>
      <c r="AY2" s="31" t="s">
        <v>30</v>
      </c>
    </row>
    <row r="3" spans="1:51" x14ac:dyDescent="0.25">
      <c r="A3" s="34">
        <v>1</v>
      </c>
      <c r="B3" s="34" t="s">
        <v>56</v>
      </c>
      <c r="C3" s="34" t="str">
        <f>IFERROR(INDEX(Структура_ассортимента[SuperCategory],MATCH(Товары[[#This Row],[SubGroup]],Структура_ассортимента[Subgroup],0)),"")</f>
        <v/>
      </c>
      <c r="D3" s="34" t="str">
        <f>IFERROR(INDEX(Структура_ассортимента[SuperCategory Name ENG],MATCH(Товары[[#This Row],[SubGroup]],Структура_ассортимента[Subgroup],0)),"")</f>
        <v/>
      </c>
      <c r="E3" s="34" t="str">
        <f>IFERROR(INDEX(Структура_ассортимента[SuperCategory Name RUS],MATCH(Товары[[#This Row],[SubGroup]],Структура_ассортимента[Subgroup],0)),"")</f>
        <v/>
      </c>
      <c r="F3" s="34" t="str">
        <f>IFERROR(INDEX(Структура_ассортимента[Product group],MATCH(Товары[[#This Row],[SubGroup]],Структура_ассортимента[Subgroup],0)),"")</f>
        <v/>
      </c>
      <c r="G3" s="34" t="str">
        <f>IFERROR(INDEX(Структура_ассортимента[Product group name ENG],MATCH(Товары[[#This Row],[SubGroup]],Структура_ассортимента[Subgroup],0)),"")</f>
        <v/>
      </c>
      <c r="H3" s="34" t="str">
        <f>IFERROR(INDEX(Структура_ассортимента[Generic Name (long)3],MATCH(Товары[[#This Row],[SubGroup]],Структура_ассортимента[Subgroup],0)),"")</f>
        <v/>
      </c>
      <c r="I3" s="36">
        <v>2340</v>
      </c>
      <c r="J3" s="36" t="str">
        <f>IFERROR(INDEX(Структура_ассортимента[Generic Name (long)],MATCH(Товары[[#This Row],[SubGroup]],Структура_ассортимента[Subgroup],0)),"")</f>
        <v/>
      </c>
      <c r="K3" s="35">
        <v>2900</v>
      </c>
      <c r="L3" s="36">
        <v>580761001</v>
      </c>
      <c r="M3" s="35" t="s">
        <v>1687</v>
      </c>
      <c r="Q3" s="34" t="s">
        <v>3539</v>
      </c>
      <c r="R3" s="34" t="s">
        <v>3540</v>
      </c>
      <c r="S3" s="47">
        <v>41365</v>
      </c>
      <c r="T3" s="47">
        <v>0</v>
      </c>
      <c r="U3" s="47">
        <v>0</v>
      </c>
      <c r="V3" s="34">
        <v>7393080392107</v>
      </c>
      <c r="W3" s="34" t="s">
        <v>3541</v>
      </c>
      <c r="Y3" s="34" t="s">
        <v>3542</v>
      </c>
      <c r="Z3" s="34">
        <v>4</v>
      </c>
      <c r="AA3" s="34">
        <v>960</v>
      </c>
      <c r="AB3" s="34">
        <v>960</v>
      </c>
      <c r="AC3" s="34">
        <v>900</v>
      </c>
      <c r="AD3" s="34">
        <v>900</v>
      </c>
      <c r="AE3" s="34">
        <v>365</v>
      </c>
      <c r="AF3" s="34">
        <v>165</v>
      </c>
      <c r="AG3" s="34">
        <v>45</v>
      </c>
      <c r="AH3" s="34">
        <v>2.8079999999999998</v>
      </c>
      <c r="AM3" s="40" t="s">
        <v>8094</v>
      </c>
      <c r="AT3" s="44">
        <v>0</v>
      </c>
      <c r="AU3" s="44"/>
      <c r="AV3" s="46">
        <f>ROUND(Товары[[#This Row],[РРЦ финальная, руб.]]/$AU$1,2)</f>
        <v>0</v>
      </c>
      <c r="AW3" s="45" t="str">
        <f>IFERROR(Товары[[#This Row],[РРЦ, евро]]/Товары[[#This Row],[IRP, Eur]],"-")</f>
        <v>-</v>
      </c>
      <c r="AX3" s="42">
        <f>IFERROR(VLOOKUP(Товары[[#This Row],[SubGroup]],'Структура цен DIY'!$B:$C,2,FALSE),0)</f>
        <v>0</v>
      </c>
      <c r="AY3" s="44">
        <v>0</v>
      </c>
    </row>
    <row r="4" spans="1:51" x14ac:dyDescent="0.25">
      <c r="A4" s="34">
        <v>2</v>
      </c>
      <c r="B4" s="34" t="s">
        <v>56</v>
      </c>
      <c r="C4" s="34" t="str">
        <f>IFERROR(INDEX(Структура_ассортимента[SuperCategory],MATCH(Товары[[#This Row],[SubGroup]],Структура_ассортимента[Subgroup],0)),"")</f>
        <v/>
      </c>
      <c r="D4" s="34" t="str">
        <f>IFERROR(INDEX(Структура_ассортимента[SuperCategory Name ENG],MATCH(Товары[[#This Row],[SubGroup]],Структура_ассортимента[Subgroup],0)),"")</f>
        <v/>
      </c>
      <c r="E4" s="34" t="str">
        <f>IFERROR(INDEX(Структура_ассортимента[SuperCategory Name RUS],MATCH(Товары[[#This Row],[SubGroup]],Структура_ассортимента[Subgroup],0)),"")</f>
        <v/>
      </c>
      <c r="F4" s="34" t="str">
        <f>IFERROR(INDEX(Структура_ассортимента[Product group],MATCH(Товары[[#This Row],[SubGroup]],Структура_ассортимента[Subgroup],0)),"")</f>
        <v/>
      </c>
      <c r="G4" s="34" t="str">
        <f>IFERROR(INDEX(Структура_ассортимента[Product group name ENG],MATCH(Товары[[#This Row],[SubGroup]],Структура_ассортимента[Subgroup],0)),"")</f>
        <v/>
      </c>
      <c r="H4" s="34" t="str">
        <f>IFERROR(INDEX(Структура_ассортимента[Generic Name (long)3],MATCH(Товары[[#This Row],[SubGroup]],Структура_ассортимента[Subgroup],0)),"")</f>
        <v/>
      </c>
      <c r="I4" s="36">
        <v>2340</v>
      </c>
      <c r="J4" s="36" t="str">
        <f>IFERROR(INDEX(Структура_ассортимента[Generic Name (long)],MATCH(Товары[[#This Row],[SubGroup]],Структура_ассортимента[Subgroup],0)),"")</f>
        <v/>
      </c>
      <c r="K4" s="35">
        <v>18200</v>
      </c>
      <c r="L4" s="36">
        <v>580761101</v>
      </c>
      <c r="M4" s="35" t="s">
        <v>1688</v>
      </c>
      <c r="Q4" s="34" t="s">
        <v>3539</v>
      </c>
      <c r="R4" s="34" t="s">
        <v>3540</v>
      </c>
      <c r="S4" s="47">
        <v>41365</v>
      </c>
      <c r="T4" s="47">
        <v>0</v>
      </c>
      <c r="U4" s="47">
        <v>0</v>
      </c>
      <c r="V4" s="34">
        <v>7393080392114</v>
      </c>
      <c r="W4" s="34" t="s">
        <v>3541</v>
      </c>
      <c r="Y4" s="34" t="s">
        <v>3542</v>
      </c>
      <c r="Z4" s="34">
        <v>2</v>
      </c>
      <c r="AA4" s="34">
        <v>1815</v>
      </c>
      <c r="AB4" s="34">
        <v>1815</v>
      </c>
      <c r="AC4" s="34">
        <v>1600</v>
      </c>
      <c r="AD4" s="34">
        <v>1600</v>
      </c>
      <c r="AE4" s="34">
        <v>628</v>
      </c>
      <c r="AF4" s="34">
        <v>184</v>
      </c>
      <c r="AG4" s="34">
        <v>40</v>
      </c>
      <c r="AH4" s="34">
        <v>2.5659999999999998</v>
      </c>
      <c r="AM4" s="40" t="s">
        <v>8094</v>
      </c>
      <c r="AT4" s="44">
        <v>0</v>
      </c>
      <c r="AU4" s="44"/>
      <c r="AV4" s="46">
        <f>ROUND(Товары[[#This Row],[РРЦ финальная, руб.]]/$AU$1,2)</f>
        <v>0</v>
      </c>
      <c r="AW4" s="45" t="str">
        <f>IFERROR(Товары[[#This Row],[РРЦ, евро]]/Товары[[#This Row],[IRP, Eur]],"-")</f>
        <v>-</v>
      </c>
      <c r="AX4" s="42">
        <f>IFERROR(VLOOKUP(Товары[[#This Row],[SubGroup]],'Структура цен DIY'!$B:$C,2,FALSE),0)</f>
        <v>0</v>
      </c>
      <c r="AY4" s="44">
        <v>0</v>
      </c>
    </row>
    <row r="5" spans="1:51" x14ac:dyDescent="0.25">
      <c r="A5" s="34">
        <v>3</v>
      </c>
      <c r="B5" s="34" t="s">
        <v>56</v>
      </c>
      <c r="C5" s="34" t="str">
        <f>IFERROR(INDEX(Структура_ассортимента[SuperCategory],MATCH(Товары[[#This Row],[SubGroup]],Структура_ассортимента[Subgroup],0)),"")</f>
        <v/>
      </c>
      <c r="D5" s="34" t="str">
        <f>IFERROR(INDEX(Структура_ассортимента[SuperCategory Name ENG],MATCH(Товары[[#This Row],[SubGroup]],Структура_ассортимента[Subgroup],0)),"")</f>
        <v/>
      </c>
      <c r="E5" s="34" t="str">
        <f>IFERROR(INDEX(Структура_ассортимента[SuperCategory Name RUS],MATCH(Товары[[#This Row],[SubGroup]],Структура_ассортимента[Subgroup],0)),"")</f>
        <v/>
      </c>
      <c r="F5" s="34" t="str">
        <f>IFERROR(INDEX(Структура_ассортимента[Product group],MATCH(Товары[[#This Row],[SubGroup]],Структура_ассортимента[Subgroup],0)),"")</f>
        <v/>
      </c>
      <c r="G5" s="34" t="str">
        <f>IFERROR(INDEX(Структура_ассортимента[Product group name ENG],MATCH(Товары[[#This Row],[SubGroup]],Структура_ассортимента[Subgroup],0)),"")</f>
        <v/>
      </c>
      <c r="H5" s="34" t="str">
        <f>IFERROR(INDEX(Структура_ассортимента[Generic Name (long)3],MATCH(Товары[[#This Row],[SubGroup]],Структура_ассортимента[Subgroup],0)),"")</f>
        <v/>
      </c>
      <c r="I5" s="36">
        <v>2340</v>
      </c>
      <c r="J5" s="36" t="str">
        <f>IFERROR(INDEX(Структура_ассортимента[Generic Name (long)],MATCH(Товары[[#This Row],[SubGroup]],Структура_ассортимента[Subgroup],0)),"")</f>
        <v/>
      </c>
      <c r="K5" s="35">
        <v>18240</v>
      </c>
      <c r="L5" s="36">
        <v>580761201</v>
      </c>
      <c r="M5" s="35" t="s">
        <v>1689</v>
      </c>
      <c r="Q5" s="34" t="s">
        <v>3539</v>
      </c>
      <c r="R5" s="34" t="s">
        <v>3540</v>
      </c>
      <c r="S5" s="47">
        <v>41365</v>
      </c>
      <c r="T5" s="47">
        <v>0</v>
      </c>
      <c r="U5" s="47">
        <v>0</v>
      </c>
      <c r="V5" s="34">
        <v>7393080392121</v>
      </c>
      <c r="W5" s="34" t="s">
        <v>3541</v>
      </c>
      <c r="Y5" s="34" t="s">
        <v>3542</v>
      </c>
      <c r="Z5" s="34">
        <v>2</v>
      </c>
      <c r="AA5" s="34">
        <v>2525</v>
      </c>
      <c r="AB5" s="34">
        <v>2525</v>
      </c>
      <c r="AC5" s="34">
        <v>2400</v>
      </c>
      <c r="AD5" s="34">
        <v>2400</v>
      </c>
      <c r="AE5" s="34">
        <v>725</v>
      </c>
      <c r="AF5" s="34">
        <v>220</v>
      </c>
      <c r="AG5" s="34">
        <v>50</v>
      </c>
      <c r="AH5" s="34">
        <v>4.6219999999999999</v>
      </c>
      <c r="AM5" s="40" t="s">
        <v>8094</v>
      </c>
      <c r="AT5" s="44">
        <v>0</v>
      </c>
      <c r="AU5" s="44"/>
      <c r="AV5" s="46">
        <f>ROUND(Товары[[#This Row],[РРЦ финальная, руб.]]/$AU$1,2)</f>
        <v>0</v>
      </c>
      <c r="AW5" s="45" t="str">
        <f>IFERROR(Товары[[#This Row],[РРЦ, евро]]/Товары[[#This Row],[IRP, Eur]],"-")</f>
        <v>-</v>
      </c>
      <c r="AX5" s="42">
        <f>IFERROR(VLOOKUP(Товары[[#This Row],[SubGroup]],'Структура цен DIY'!$B:$C,2,FALSE),0)</f>
        <v>0</v>
      </c>
      <c r="AY5" s="44">
        <v>0</v>
      </c>
    </row>
    <row r="6" spans="1:51" x14ac:dyDescent="0.25">
      <c r="A6" s="34">
        <v>4</v>
      </c>
      <c r="B6" s="34" t="s">
        <v>56</v>
      </c>
      <c r="C6" s="34" t="str">
        <f>IFERROR(INDEX(Структура_ассортимента[SuperCategory],MATCH(Товары[[#This Row],[SubGroup]],Структура_ассортимента[Subgroup],0)),"")</f>
        <v/>
      </c>
      <c r="D6" s="34" t="str">
        <f>IFERROR(INDEX(Структура_ассортимента[SuperCategory Name ENG],MATCH(Товары[[#This Row],[SubGroup]],Структура_ассортимента[Subgroup],0)),"")</f>
        <v/>
      </c>
      <c r="E6" s="34" t="str">
        <f>IFERROR(INDEX(Структура_ассортимента[SuperCategory Name RUS],MATCH(Товары[[#This Row],[SubGroup]],Структура_ассортимента[Subgroup],0)),"")</f>
        <v/>
      </c>
      <c r="F6" s="34" t="str">
        <f>IFERROR(INDEX(Структура_ассортимента[Product group],MATCH(Товары[[#This Row],[SubGroup]],Структура_ассортимента[Subgroup],0)),"")</f>
        <v/>
      </c>
      <c r="G6" s="34" t="str">
        <f>IFERROR(INDEX(Структура_ассортимента[Product group name ENG],MATCH(Товары[[#This Row],[SubGroup]],Структура_ассортимента[Subgroup],0)),"")</f>
        <v/>
      </c>
      <c r="H6" s="34" t="str">
        <f>IFERROR(INDEX(Структура_ассортимента[Generic Name (long)3],MATCH(Товары[[#This Row],[SubGroup]],Структура_ассортимента[Subgroup],0)),"")</f>
        <v/>
      </c>
      <c r="I6" s="36">
        <v>2340</v>
      </c>
      <c r="J6" s="36" t="str">
        <f>IFERROR(INDEX(Структура_ассортимента[Generic Name (long)],MATCH(Товары[[#This Row],[SubGroup]],Структура_ассортимента[Subgroup],0)),"")</f>
        <v/>
      </c>
      <c r="K6" s="35">
        <v>2901</v>
      </c>
      <c r="L6" s="36">
        <v>580761301</v>
      </c>
      <c r="M6" s="35" t="s">
        <v>1690</v>
      </c>
      <c r="Q6" s="34" t="s">
        <v>3539</v>
      </c>
      <c r="R6" s="34" t="s">
        <v>3540</v>
      </c>
      <c r="S6" s="47">
        <v>41365</v>
      </c>
      <c r="T6" s="47">
        <v>0</v>
      </c>
      <c r="U6" s="47">
        <v>0</v>
      </c>
      <c r="V6" s="34">
        <v>7393080392138</v>
      </c>
      <c r="W6" s="34" t="s">
        <v>3541</v>
      </c>
      <c r="Y6" s="34" t="s">
        <v>3542</v>
      </c>
      <c r="Z6" s="34">
        <v>2</v>
      </c>
      <c r="AA6" s="34">
        <v>2015</v>
      </c>
      <c r="AB6" s="34">
        <v>2015</v>
      </c>
      <c r="AC6" s="34">
        <v>1800</v>
      </c>
      <c r="AD6" s="34">
        <v>1800</v>
      </c>
      <c r="AE6" s="34">
        <v>628</v>
      </c>
      <c r="AF6" s="34">
        <v>184</v>
      </c>
      <c r="AG6" s="34">
        <v>40</v>
      </c>
      <c r="AH6" s="34">
        <v>4.6219999999999999</v>
      </c>
      <c r="AM6" s="40" t="s">
        <v>8094</v>
      </c>
      <c r="AT6" s="44">
        <v>0</v>
      </c>
      <c r="AU6" s="44"/>
      <c r="AV6" s="46">
        <f>ROUND(Товары[[#This Row],[РРЦ финальная, руб.]]/$AU$1,2)</f>
        <v>0</v>
      </c>
      <c r="AW6" s="45" t="str">
        <f>IFERROR(Товары[[#This Row],[РРЦ, евро]]/Товары[[#This Row],[IRP, Eur]],"-")</f>
        <v>-</v>
      </c>
      <c r="AX6" s="42">
        <f>IFERROR(VLOOKUP(Товары[[#This Row],[SubGroup]],'Структура цен DIY'!$B:$C,2,FALSE),0)</f>
        <v>0</v>
      </c>
      <c r="AY6" s="44">
        <v>0</v>
      </c>
    </row>
    <row r="7" spans="1:51" x14ac:dyDescent="0.25">
      <c r="A7" s="34">
        <v>5</v>
      </c>
      <c r="B7" s="34" t="s">
        <v>56</v>
      </c>
      <c r="C7" s="34" t="str">
        <f>IFERROR(INDEX(Структура_ассортимента[SuperCategory],MATCH(Товары[[#This Row],[SubGroup]],Структура_ассортимента[Subgroup],0)),"")</f>
        <v/>
      </c>
      <c r="D7" s="34" t="str">
        <f>IFERROR(INDEX(Структура_ассортимента[SuperCategory Name ENG],MATCH(Товары[[#This Row],[SubGroup]],Структура_ассортимента[Subgroup],0)),"")</f>
        <v/>
      </c>
      <c r="E7" s="34" t="str">
        <f>IFERROR(INDEX(Структура_ассортимента[SuperCategory Name RUS],MATCH(Товары[[#This Row],[SubGroup]],Структура_ассортимента[Subgroup],0)),"")</f>
        <v/>
      </c>
      <c r="F7" s="34" t="str">
        <f>IFERROR(INDEX(Структура_ассортимента[Product group],MATCH(Товары[[#This Row],[SubGroup]],Структура_ассортимента[Subgroup],0)),"")</f>
        <v/>
      </c>
      <c r="G7" s="34" t="str">
        <f>IFERROR(INDEX(Структура_ассортимента[Product group name ENG],MATCH(Товары[[#This Row],[SubGroup]],Структура_ассортимента[Subgroup],0)),"")</f>
        <v/>
      </c>
      <c r="H7" s="34" t="str">
        <f>IFERROR(INDEX(Структура_ассортимента[Generic Name (long)3],MATCH(Товары[[#This Row],[SubGroup]],Структура_ассортимента[Subgroup],0)),"")</f>
        <v/>
      </c>
      <c r="I7" s="36">
        <v>2340</v>
      </c>
      <c r="J7" s="36" t="str">
        <f>IFERROR(INDEX(Структура_ассортимента[Generic Name (long)],MATCH(Товары[[#This Row],[SubGroup]],Структура_ассортимента[Subgroup],0)),"")</f>
        <v/>
      </c>
      <c r="K7" s="35">
        <v>18201</v>
      </c>
      <c r="L7" s="36">
        <v>580761401</v>
      </c>
      <c r="M7" s="35" t="s">
        <v>1691</v>
      </c>
      <c r="Q7" s="34" t="s">
        <v>3539</v>
      </c>
      <c r="R7" s="34" t="s">
        <v>3540</v>
      </c>
      <c r="S7" s="47">
        <v>41365</v>
      </c>
      <c r="T7" s="47">
        <v>0</v>
      </c>
      <c r="U7" s="47">
        <v>0</v>
      </c>
      <c r="V7" s="34">
        <v>7393080392145</v>
      </c>
      <c r="W7" s="34" t="s">
        <v>3541</v>
      </c>
      <c r="Y7" s="34" t="s">
        <v>3542</v>
      </c>
      <c r="Z7" s="34">
        <v>2</v>
      </c>
      <c r="AA7" s="34">
        <v>3244</v>
      </c>
      <c r="AB7" s="34">
        <v>3244</v>
      </c>
      <c r="AC7" s="34">
        <v>3000</v>
      </c>
      <c r="AD7" s="34">
        <v>3000</v>
      </c>
      <c r="AE7" s="34">
        <v>723</v>
      </c>
      <c r="AF7" s="34">
        <v>225</v>
      </c>
      <c r="AG7" s="34">
        <v>40</v>
      </c>
      <c r="AH7" s="34">
        <v>6.5069999999999997</v>
      </c>
      <c r="AM7" s="40" t="s">
        <v>8094</v>
      </c>
      <c r="AT7" s="44">
        <v>0</v>
      </c>
      <c r="AU7" s="44"/>
      <c r="AV7" s="46">
        <f>ROUND(Товары[[#This Row],[РРЦ финальная, руб.]]/$AU$1,2)</f>
        <v>0</v>
      </c>
      <c r="AW7" s="45" t="str">
        <f>IFERROR(Товары[[#This Row],[РРЦ, евро]]/Товары[[#This Row],[IRP, Eur]],"-")</f>
        <v>-</v>
      </c>
      <c r="AX7" s="42">
        <f>IFERROR(VLOOKUP(Товары[[#This Row],[SubGroup]],'Структура цен DIY'!$B:$C,2,FALSE),0)</f>
        <v>0</v>
      </c>
      <c r="AY7" s="44">
        <v>0</v>
      </c>
    </row>
    <row r="8" spans="1:51" x14ac:dyDescent="0.25">
      <c r="A8" s="34">
        <v>6</v>
      </c>
      <c r="B8" s="34" t="s">
        <v>56</v>
      </c>
      <c r="C8" s="34" t="str">
        <f>IFERROR(INDEX(Структура_ассортимента[SuperCategory],MATCH(Товары[[#This Row],[SubGroup]],Структура_ассортимента[Subgroup],0)),"")</f>
        <v/>
      </c>
      <c r="D8" s="34" t="str">
        <f>IFERROR(INDEX(Структура_ассортимента[SuperCategory Name ENG],MATCH(Товары[[#This Row],[SubGroup]],Структура_ассортимента[Subgroup],0)),"")</f>
        <v/>
      </c>
      <c r="E8" s="34" t="str">
        <f>IFERROR(INDEX(Структура_ассортимента[SuperCategory Name RUS],MATCH(Товары[[#This Row],[SubGroup]],Структура_ассортимента[Subgroup],0)),"")</f>
        <v/>
      </c>
      <c r="F8" s="34" t="str">
        <f>IFERROR(INDEX(Структура_ассортимента[Product group],MATCH(Товары[[#This Row],[SubGroup]],Структура_ассортимента[Subgroup],0)),"")</f>
        <v/>
      </c>
      <c r="G8" s="34" t="str">
        <f>IFERROR(INDEX(Структура_ассортимента[Product group name ENG],MATCH(Товары[[#This Row],[SubGroup]],Структура_ассортимента[Subgroup],0)),"")</f>
        <v/>
      </c>
      <c r="H8" s="34" t="str">
        <f>IFERROR(INDEX(Структура_ассортимента[Generic Name (long)3],MATCH(Товары[[#This Row],[SubGroup]],Структура_ассортимента[Subgroup],0)),"")</f>
        <v/>
      </c>
      <c r="I8" s="36">
        <v>2341</v>
      </c>
      <c r="J8" s="36" t="str">
        <f>IFERROR(INDEX(Структура_ассортимента[Generic Name (long)],MATCH(Товары[[#This Row],[SubGroup]],Структура_ассортимента[Subgroup],0)),"")</f>
        <v/>
      </c>
      <c r="K8" s="35">
        <v>18241</v>
      </c>
      <c r="L8" s="36">
        <v>967236601</v>
      </c>
      <c r="M8" s="35" t="s">
        <v>1692</v>
      </c>
      <c r="Q8" s="34" t="s">
        <v>3539</v>
      </c>
      <c r="R8" s="34" t="s">
        <v>3540</v>
      </c>
      <c r="S8" s="47">
        <v>0</v>
      </c>
      <c r="T8" s="47">
        <v>0</v>
      </c>
      <c r="U8" s="47">
        <v>0</v>
      </c>
      <c r="V8" s="34">
        <v>7393080650207</v>
      </c>
      <c r="W8" s="34" t="s">
        <v>3543</v>
      </c>
      <c r="Y8" s="34" t="s">
        <v>3542</v>
      </c>
      <c r="Z8" s="34">
        <v>1</v>
      </c>
      <c r="AA8" s="34">
        <v>1</v>
      </c>
      <c r="AC8" s="34">
        <v>1</v>
      </c>
      <c r="AM8" s="40" t="s">
        <v>8094</v>
      </c>
      <c r="AT8" s="44">
        <v>0</v>
      </c>
      <c r="AU8" s="44"/>
      <c r="AV8" s="46">
        <f>ROUND(Товары[[#This Row],[РРЦ финальная, руб.]]/$AU$1,2)</f>
        <v>0</v>
      </c>
      <c r="AW8" s="45" t="str">
        <f>IFERROR(Товары[[#This Row],[РРЦ, евро]]/Товары[[#This Row],[IRP, Eur]],"-")</f>
        <v>-</v>
      </c>
      <c r="AX8" s="42">
        <f>IFERROR(VLOOKUP(Товары[[#This Row],[SubGroup]],'Структура цен DIY'!$B:$C,2,FALSE),0)</f>
        <v>0</v>
      </c>
      <c r="AY8" s="44">
        <v>0</v>
      </c>
    </row>
    <row r="9" spans="1:51" x14ac:dyDescent="0.25">
      <c r="A9" s="34">
        <v>7</v>
      </c>
      <c r="B9" s="34" t="s">
        <v>56</v>
      </c>
      <c r="C9" s="34" t="str">
        <f>IFERROR(INDEX(Структура_ассортимента[SuperCategory],MATCH(Товары[[#This Row],[SubGroup]],Структура_ассортимента[Subgroup],0)),"")</f>
        <v/>
      </c>
      <c r="D9" s="34" t="str">
        <f>IFERROR(INDEX(Структура_ассортимента[SuperCategory Name ENG],MATCH(Товары[[#This Row],[SubGroup]],Структура_ассортимента[Subgroup],0)),"")</f>
        <v/>
      </c>
      <c r="E9" s="34" t="str">
        <f>IFERROR(INDEX(Структура_ассортимента[SuperCategory Name RUS],MATCH(Товары[[#This Row],[SubGroup]],Структура_ассортимента[Subgroup],0)),"")</f>
        <v/>
      </c>
      <c r="F9" s="34" t="str">
        <f>IFERROR(INDEX(Структура_ассортимента[Product group],MATCH(Товары[[#This Row],[SubGroup]],Структура_ассортимента[Subgroup],0)),"")</f>
        <v/>
      </c>
      <c r="G9" s="34" t="str">
        <f>IFERROR(INDEX(Структура_ассортимента[Product group name ENG],MATCH(Товары[[#This Row],[SubGroup]],Структура_ассортимента[Subgroup],0)),"")</f>
        <v/>
      </c>
      <c r="H9" s="34" t="str">
        <f>IFERROR(INDEX(Структура_ассортимента[Generic Name (long)3],MATCH(Товары[[#This Row],[SubGroup]],Структура_ассортимента[Subgroup],0)),"")</f>
        <v/>
      </c>
      <c r="I9" s="36">
        <v>2341</v>
      </c>
      <c r="J9" s="36" t="str">
        <f>IFERROR(INDEX(Структура_ассортимента[Generic Name (long)],MATCH(Товары[[#This Row],[SubGroup]],Структура_ассортимента[Subgroup],0)),"")</f>
        <v/>
      </c>
      <c r="K9" s="35">
        <v>2902</v>
      </c>
      <c r="L9" s="36">
        <v>967236401</v>
      </c>
      <c r="M9" s="35" t="s">
        <v>1693</v>
      </c>
      <c r="Q9" s="34" t="s">
        <v>3539</v>
      </c>
      <c r="R9" s="34" t="s">
        <v>3540</v>
      </c>
      <c r="S9" s="47">
        <v>0</v>
      </c>
      <c r="T9" s="47">
        <v>0</v>
      </c>
      <c r="U9" s="47">
        <v>0</v>
      </c>
      <c r="V9" s="34">
        <v>7393080650221</v>
      </c>
      <c r="W9" s="34" t="s">
        <v>3543</v>
      </c>
      <c r="Y9" s="34" t="s">
        <v>3542</v>
      </c>
      <c r="Z9" s="34">
        <v>1</v>
      </c>
      <c r="AA9" s="34">
        <v>1</v>
      </c>
      <c r="AC9" s="34">
        <v>1</v>
      </c>
      <c r="AM9" s="40" t="s">
        <v>8094</v>
      </c>
      <c r="AT9" s="44">
        <v>0</v>
      </c>
      <c r="AU9" s="44"/>
      <c r="AV9" s="46">
        <f>ROUND(Товары[[#This Row],[РРЦ финальная, руб.]]/$AU$1,2)</f>
        <v>0</v>
      </c>
      <c r="AW9" s="45" t="str">
        <f>IFERROR(Товары[[#This Row],[РРЦ, евро]]/Товары[[#This Row],[IRP, Eur]],"-")</f>
        <v>-</v>
      </c>
      <c r="AX9" s="42">
        <f>IFERROR(VLOOKUP(Товары[[#This Row],[SubGroup]],'Структура цен DIY'!$B:$C,2,FALSE),0)</f>
        <v>0</v>
      </c>
      <c r="AY9" s="44">
        <v>0</v>
      </c>
    </row>
    <row r="10" spans="1:51" x14ac:dyDescent="0.25">
      <c r="A10" s="34">
        <v>8</v>
      </c>
      <c r="B10" s="34" t="s">
        <v>56</v>
      </c>
      <c r="C10" s="34" t="str">
        <f>IFERROR(INDEX(Структура_ассортимента[SuperCategory],MATCH(Товары[[#This Row],[SubGroup]],Структура_ассортимента[Subgroup],0)),"")</f>
        <v/>
      </c>
      <c r="D10" s="34" t="str">
        <f>IFERROR(INDEX(Структура_ассортимента[SuperCategory Name ENG],MATCH(Товары[[#This Row],[SubGroup]],Структура_ассортимента[Subgroup],0)),"")</f>
        <v/>
      </c>
      <c r="E10" s="34" t="str">
        <f>IFERROR(INDEX(Структура_ассортимента[SuperCategory Name RUS],MATCH(Товары[[#This Row],[SubGroup]],Структура_ассортимента[Subgroup],0)),"")</f>
        <v/>
      </c>
      <c r="F10" s="34" t="str">
        <f>IFERROR(INDEX(Структура_ассортимента[Product group],MATCH(Товары[[#This Row],[SubGroup]],Структура_ассортимента[Subgroup],0)),"")</f>
        <v/>
      </c>
      <c r="G10" s="34" t="str">
        <f>IFERROR(INDEX(Структура_ассортимента[Product group name ENG],MATCH(Товары[[#This Row],[SubGroup]],Структура_ассортимента[Subgroup],0)),"")</f>
        <v/>
      </c>
      <c r="H10" s="34" t="str">
        <f>IFERROR(INDEX(Структура_ассортимента[Generic Name (long)3],MATCH(Товары[[#This Row],[SubGroup]],Структура_ассортимента[Subgroup],0)),"")</f>
        <v/>
      </c>
      <c r="I10" s="36">
        <v>2341</v>
      </c>
      <c r="J10" s="36" t="str">
        <f>IFERROR(INDEX(Структура_ассортимента[Generic Name (long)],MATCH(Товары[[#This Row],[SubGroup]],Структура_ассортимента[Subgroup],0)),"")</f>
        <v/>
      </c>
      <c r="K10" s="35">
        <v>18202</v>
      </c>
      <c r="L10" s="36">
        <v>967236501</v>
      </c>
      <c r="M10" s="35" t="s">
        <v>1694</v>
      </c>
      <c r="Q10" s="34" t="s">
        <v>3539</v>
      </c>
      <c r="R10" s="34" t="s">
        <v>3540</v>
      </c>
      <c r="S10" s="47">
        <v>0</v>
      </c>
      <c r="T10" s="47">
        <v>0</v>
      </c>
      <c r="U10" s="47">
        <v>0</v>
      </c>
      <c r="V10" s="34">
        <v>7393080650214</v>
      </c>
      <c r="W10" s="34" t="s">
        <v>3543</v>
      </c>
      <c r="Y10" s="34" t="s">
        <v>3542</v>
      </c>
      <c r="Z10" s="34">
        <v>1</v>
      </c>
      <c r="AA10" s="34">
        <v>1</v>
      </c>
      <c r="AC10" s="34">
        <v>1</v>
      </c>
      <c r="AM10" s="40" t="s">
        <v>8094</v>
      </c>
      <c r="AT10" s="44">
        <v>0</v>
      </c>
      <c r="AU10" s="44"/>
      <c r="AV10" s="46">
        <f>ROUND(Товары[[#This Row],[РРЦ финальная, руб.]]/$AU$1,2)</f>
        <v>0</v>
      </c>
      <c r="AW10" s="45" t="str">
        <f>IFERROR(Товары[[#This Row],[РРЦ, евро]]/Товары[[#This Row],[IRP, Eur]],"-")</f>
        <v>-</v>
      </c>
      <c r="AX10" s="42">
        <f>IFERROR(VLOOKUP(Товары[[#This Row],[SubGroup]],'Структура цен DIY'!$B:$C,2,FALSE),0)</f>
        <v>0</v>
      </c>
      <c r="AY10" s="44">
        <v>0</v>
      </c>
    </row>
    <row r="11" spans="1:51" x14ac:dyDescent="0.25">
      <c r="A11" s="34">
        <v>9</v>
      </c>
      <c r="B11" s="34" t="s">
        <v>56</v>
      </c>
      <c r="C11" s="110" t="str">
        <f>IFERROR(INDEX(Структура_ассортимента[SuperCategory],MATCH(Товары[[#This Row],[SubGroup]],Структура_ассортимента[Subgroup],0)),"")</f>
        <v>H</v>
      </c>
      <c r="D11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11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11" s="34" t="str">
        <f>IFERROR(INDEX(Структура_ассортимента[Product group],MATCH(Товары[[#This Row],[SubGroup]],Структура_ассортимента[Subgroup],0)),"")</f>
        <v>HSP_C</v>
      </c>
      <c r="G11" s="110" t="str">
        <f>IFERROR(INDEX(Структура_ассортимента[Product group name ENG],MATCH(Товары[[#This Row],[SubGroup]],Структура_ассортимента[Subgroup],0)),"")</f>
        <v>Handheld, Spare Parts</v>
      </c>
      <c r="H11" s="110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11" s="36">
        <v>2604</v>
      </c>
      <c r="J11" s="36" t="str">
        <f>IFERROR(INDEX(Структура_ассортимента[Generic Name (long)],MATCH(Товары[[#This Row],[SubGroup]],Структура_ассортимента[Subgroup],0)),"")</f>
        <v>BLADE-SET</v>
      </c>
      <c r="L11" s="36">
        <v>966647001</v>
      </c>
      <c r="M11" s="35" t="s">
        <v>1695</v>
      </c>
      <c r="Q11" s="34" t="s">
        <v>3544</v>
      </c>
      <c r="R11" s="34" t="s">
        <v>3540</v>
      </c>
      <c r="S11" s="47">
        <v>0</v>
      </c>
      <c r="T11" s="47">
        <v>0</v>
      </c>
      <c r="U11" s="47">
        <v>0</v>
      </c>
      <c r="V11" s="34">
        <v>4078500889902</v>
      </c>
      <c r="W11" s="34" t="s">
        <v>3545</v>
      </c>
      <c r="Y11" s="34" t="s">
        <v>3542</v>
      </c>
      <c r="Z11" s="34">
        <v>1</v>
      </c>
      <c r="AA11" s="34">
        <v>720</v>
      </c>
      <c r="AB11" s="34">
        <v>720</v>
      </c>
      <c r="AC11" s="34">
        <v>697</v>
      </c>
      <c r="AD11" s="34">
        <v>697</v>
      </c>
      <c r="AE11" s="34">
        <v>905</v>
      </c>
      <c r="AF11" s="34">
        <v>155</v>
      </c>
      <c r="AG11" s="34">
        <v>50</v>
      </c>
      <c r="AH11" s="34">
        <v>7014</v>
      </c>
      <c r="AM11" s="40" t="s">
        <v>8094</v>
      </c>
      <c r="AT11" s="44">
        <v>0</v>
      </c>
      <c r="AU11" s="44"/>
      <c r="AV11" s="46">
        <f>ROUND(Товары[[#This Row],[РРЦ финальная, руб.]]/$AU$1,2)</f>
        <v>0</v>
      </c>
      <c r="AW11" s="45" t="str">
        <f>IFERROR(Товары[[#This Row],[РРЦ, евро]]/Товары[[#This Row],[IRP, Eur]],"-")</f>
        <v>-</v>
      </c>
      <c r="AX11" s="42">
        <f>IFERROR(VLOOKUP(Товары[[#This Row],[SubGroup]],'Структура цен DIY'!$B:$C,2,FALSE),0)</f>
        <v>0.25</v>
      </c>
      <c r="AY11" s="44">
        <v>0</v>
      </c>
    </row>
    <row r="12" spans="1:51" x14ac:dyDescent="0.25">
      <c r="A12" s="34">
        <v>10</v>
      </c>
      <c r="B12" s="34" t="s">
        <v>50</v>
      </c>
      <c r="C12" s="110" t="str">
        <f>IFERROR(INDEX(Структура_ассортимента[SuperCategory],MATCH(Товары[[#This Row],[SubGroup]],Структура_ассортимента[Subgroup],0)),"")</f>
        <v>R</v>
      </c>
      <c r="D12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12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12" s="34" t="str">
        <f>IFERROR(INDEX(Структура_ассортимента[Product group],MATCH(Товары[[#This Row],[SubGroup]],Структура_ассортимента[Subgroup],0)),"")</f>
        <v>LSP_C</v>
      </c>
      <c r="G12" s="110">
        <f>IFERROR(INDEX(Структура_ассортимента[Product group name ENG],MATCH(Товары[[#This Row],[SubGroup]],Структура_ассортимента[Subgroup],0)),"")</f>
        <v>0</v>
      </c>
      <c r="H12" s="110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12" s="36">
        <v>7898</v>
      </c>
      <c r="J12" s="36" t="str">
        <f>IFERROR(INDEX(Структура_ассортимента[Generic Name (long)],MATCH(Товары[[#This Row],[SubGroup]],Структура_ассортимента[Subgroup],0)),"")</f>
        <v>MOWER BLADE</v>
      </c>
      <c r="L12" s="36">
        <v>585207101</v>
      </c>
      <c r="M12" s="35" t="s">
        <v>1696</v>
      </c>
      <c r="Q12" s="34" t="s">
        <v>3544</v>
      </c>
      <c r="R12" s="34" t="s">
        <v>3540</v>
      </c>
      <c r="S12" s="47">
        <v>0</v>
      </c>
      <c r="T12" s="47">
        <v>0</v>
      </c>
      <c r="U12" s="47">
        <v>0</v>
      </c>
      <c r="V12" s="34">
        <v>4078500002561</v>
      </c>
      <c r="Y12" s="34" t="s">
        <v>3542</v>
      </c>
      <c r="Z12" s="34">
        <v>3</v>
      </c>
      <c r="AA12" s="34">
        <v>236</v>
      </c>
      <c r="AB12" s="34">
        <v>0</v>
      </c>
      <c r="AC12" s="34">
        <v>236</v>
      </c>
      <c r="AD12" s="34">
        <v>0</v>
      </c>
      <c r="AE12" s="34">
        <v>22</v>
      </c>
      <c r="AF12" s="34">
        <v>65</v>
      </c>
      <c r="AG12" s="34">
        <v>390</v>
      </c>
      <c r="AH12" s="34">
        <v>0.55800000000000005</v>
      </c>
      <c r="AM12" s="40" t="s">
        <v>8094</v>
      </c>
      <c r="AT12" s="44">
        <v>0</v>
      </c>
      <c r="AU12" s="44"/>
      <c r="AV12" s="46">
        <f>ROUND(Товары[[#This Row],[РРЦ финальная, руб.]]/$AU$1,2)</f>
        <v>0</v>
      </c>
      <c r="AW12" s="45" t="str">
        <f>IFERROR(Товары[[#This Row],[РРЦ, евро]]/Товары[[#This Row],[IRP, Eur]],"-")</f>
        <v>-</v>
      </c>
      <c r="AX12" s="42">
        <f>IFERROR(VLOOKUP(Товары[[#This Row],[SubGroup]],'Структура цен DIY'!$B:$C,2,FALSE),0)</f>
        <v>0.28999999999999998</v>
      </c>
      <c r="AY12" s="44">
        <v>0</v>
      </c>
    </row>
    <row r="13" spans="1:51" x14ac:dyDescent="0.25">
      <c r="A13" s="34">
        <v>11</v>
      </c>
      <c r="B13" s="34" t="s">
        <v>50</v>
      </c>
      <c r="C13" s="110" t="str">
        <f>IFERROR(INDEX(Структура_ассортимента[SuperCategory],MATCH(Товары[[#This Row],[SubGroup]],Структура_ассортимента[Subgroup],0)),"")</f>
        <v>R</v>
      </c>
      <c r="D13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13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13" s="34" t="str">
        <f>IFERROR(INDEX(Структура_ассортимента[Product group],MATCH(Товары[[#This Row],[SubGroup]],Структура_ассортимента[Subgroup],0)),"")</f>
        <v>LSP_C</v>
      </c>
      <c r="G13" s="110">
        <f>IFERROR(INDEX(Структура_ассортимента[Product group name ENG],MATCH(Товары[[#This Row],[SubGroup]],Структура_ассортимента[Subgroup],0)),"")</f>
        <v>0</v>
      </c>
      <c r="H13" s="110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13" s="36">
        <v>7898</v>
      </c>
      <c r="J13" s="36" t="str">
        <f>IFERROR(INDEX(Структура_ассортимента[Generic Name (long)],MATCH(Товары[[#This Row],[SubGroup]],Структура_ассортимента[Subgroup],0)),"")</f>
        <v>MOWER BLADE</v>
      </c>
      <c r="L13" s="36">
        <v>579101601</v>
      </c>
      <c r="M13" s="35" t="s">
        <v>1697</v>
      </c>
      <c r="Q13" s="34" t="s">
        <v>3544</v>
      </c>
      <c r="R13" s="34" t="s">
        <v>3540</v>
      </c>
      <c r="S13" s="47">
        <v>0</v>
      </c>
      <c r="T13" s="47">
        <v>0</v>
      </c>
      <c r="U13" s="47">
        <v>0</v>
      </c>
      <c r="V13" s="34">
        <v>4078500407908</v>
      </c>
      <c r="W13" s="34" t="s">
        <v>3546</v>
      </c>
      <c r="Z13" s="34">
        <v>3</v>
      </c>
      <c r="AA13" s="34">
        <v>276</v>
      </c>
      <c r="AB13" s="34">
        <v>276</v>
      </c>
      <c r="AC13" s="34">
        <v>236</v>
      </c>
      <c r="AD13" s="34">
        <v>236</v>
      </c>
      <c r="AE13" s="34">
        <v>413</v>
      </c>
      <c r="AF13" s="34">
        <v>73</v>
      </c>
      <c r="AG13" s="34">
        <v>22</v>
      </c>
      <c r="AH13" s="34">
        <v>0.66300000000000003</v>
      </c>
      <c r="AM13" s="40" t="s">
        <v>8094</v>
      </c>
      <c r="AT13" s="44">
        <v>0</v>
      </c>
      <c r="AU13" s="44"/>
      <c r="AV13" s="46">
        <f>ROUND(Товары[[#This Row],[РРЦ финальная, руб.]]/$AU$1,2)</f>
        <v>0</v>
      </c>
      <c r="AW13" s="45" t="str">
        <f>IFERROR(Товары[[#This Row],[РРЦ, евро]]/Товары[[#This Row],[IRP, Eur]],"-")</f>
        <v>-</v>
      </c>
      <c r="AX13" s="42">
        <f>IFERROR(VLOOKUP(Товары[[#This Row],[SubGroup]],'Структура цен DIY'!$B:$C,2,FALSE),0)</f>
        <v>0.28999999999999998</v>
      </c>
      <c r="AY13" s="44">
        <v>0</v>
      </c>
    </row>
    <row r="14" spans="1:51" x14ac:dyDescent="0.25">
      <c r="A14" s="34">
        <v>12</v>
      </c>
      <c r="B14" s="34" t="s">
        <v>50</v>
      </c>
      <c r="C14" s="110" t="str">
        <f>IFERROR(INDEX(Структура_ассортимента[SuperCategory],MATCH(Товары[[#This Row],[SubGroup]],Структура_ассортимента[Subgroup],0)),"")</f>
        <v>H</v>
      </c>
      <c r="D14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14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14" s="34" t="str">
        <f>IFERROR(INDEX(Структура_ассортимента[Product group],MATCH(Товары[[#This Row],[SubGroup]],Структура_ассортимента[Subgroup],0)),"")</f>
        <v>HSP_C</v>
      </c>
      <c r="G14" s="110" t="str">
        <f>IFERROR(INDEX(Структура_ассортимента[Product group name ENG],MATCH(Товары[[#This Row],[SubGroup]],Структура_ассортимента[Subgroup],0)),"")</f>
        <v>Handheld, Spare Parts</v>
      </c>
      <c r="H14" s="110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14" s="36">
        <v>2604</v>
      </c>
      <c r="J14" s="36" t="str">
        <f>IFERROR(INDEX(Структура_ассортимента[Generic Name (long)],MATCH(Товары[[#This Row],[SubGroup]],Структура_ассортимента[Subgroup],0)),"")</f>
        <v>BLADE-SET</v>
      </c>
      <c r="L14" s="36">
        <v>901088201</v>
      </c>
      <c r="M14" s="35" t="s">
        <v>1698</v>
      </c>
      <c r="Q14" s="34" t="s">
        <v>3544</v>
      </c>
      <c r="R14" s="34" t="s">
        <v>3540</v>
      </c>
      <c r="S14" s="47">
        <v>37895</v>
      </c>
      <c r="T14" s="47">
        <v>0</v>
      </c>
      <c r="U14" s="47">
        <v>0</v>
      </c>
      <c r="V14" s="34">
        <v>4078500537803</v>
      </c>
      <c r="W14" s="34" t="s">
        <v>3547</v>
      </c>
      <c r="Y14" s="34" t="s">
        <v>3542</v>
      </c>
      <c r="Z14" s="34">
        <v>5</v>
      </c>
      <c r="AA14" s="34">
        <v>400</v>
      </c>
      <c r="AB14" s="34">
        <v>410</v>
      </c>
      <c r="AC14" s="34">
        <v>400</v>
      </c>
      <c r="AD14" s="34">
        <v>400</v>
      </c>
      <c r="AE14" s="34">
        <v>340</v>
      </c>
      <c r="AF14" s="34">
        <v>15</v>
      </c>
      <c r="AG14" s="34">
        <v>117</v>
      </c>
      <c r="AH14" s="34">
        <v>0.59699999999999998</v>
      </c>
      <c r="AM14" s="40" t="s">
        <v>8094</v>
      </c>
      <c r="AT14" s="44">
        <v>0</v>
      </c>
      <c r="AU14" s="44"/>
      <c r="AV14" s="46">
        <f>ROUND(Товары[[#This Row],[РРЦ финальная, руб.]]/$AU$1,2)</f>
        <v>0</v>
      </c>
      <c r="AW14" s="45" t="str">
        <f>IFERROR(Товары[[#This Row],[РРЦ, евро]]/Товары[[#This Row],[IRP, Eur]],"-")</f>
        <v>-</v>
      </c>
      <c r="AX14" s="42">
        <f>IFERROR(VLOOKUP(Товары[[#This Row],[SubGroup]],'Структура цен DIY'!$B:$C,2,FALSE),0)</f>
        <v>0.25</v>
      </c>
      <c r="AY14" s="44">
        <v>0</v>
      </c>
    </row>
    <row r="15" spans="1:51" x14ac:dyDescent="0.25">
      <c r="A15" s="34">
        <v>13</v>
      </c>
      <c r="B15" s="34" t="s">
        <v>56</v>
      </c>
      <c r="C15" s="110" t="str">
        <f>IFERROR(INDEX(Структура_ассортимента[SuperCategory],MATCH(Товары[[#This Row],[SubGroup]],Структура_ассортимента[Subgroup],0)),"")</f>
        <v/>
      </c>
      <c r="D15" s="110" t="str">
        <f>IFERROR(INDEX(Структура_ассортимента[SuperCategory Name ENG],MATCH(Товары[[#This Row],[SubGroup]],Структура_ассортимента[Subgroup],0)),"")</f>
        <v/>
      </c>
      <c r="E15" s="110" t="str">
        <f>IFERROR(INDEX(Структура_ассортимента[SuperCategory Name RUS],MATCH(Товары[[#This Row],[SubGroup]],Структура_ассортимента[Subgroup],0)),"")</f>
        <v/>
      </c>
      <c r="F15" s="34" t="str">
        <f>IFERROR(INDEX(Структура_ассортимента[Product group],MATCH(Товары[[#This Row],[SubGroup]],Структура_ассортимента[Subgroup],0)),"")</f>
        <v/>
      </c>
      <c r="G15" s="110" t="str">
        <f>IFERROR(INDEX(Структура_ассортимента[Product group name ENG],MATCH(Товары[[#This Row],[SubGroup]],Структура_ассортимента[Subgroup],0)),"")</f>
        <v/>
      </c>
      <c r="H15" s="110" t="str">
        <f>IFERROR(INDEX(Структура_ассортимента[Generic Name (long)3],MATCH(Товары[[#This Row],[SubGroup]],Структура_ассортимента[Subgroup],0)),"")</f>
        <v/>
      </c>
      <c r="J15" s="36" t="str">
        <f>IFERROR(INDEX(Структура_ассортимента[Generic Name (long)],MATCH(Товары[[#This Row],[SubGroup]],Структура_ассортимента[Subgroup],0)),"")</f>
        <v/>
      </c>
      <c r="L15" s="36">
        <v>967303301</v>
      </c>
      <c r="M15" s="35" t="s">
        <v>1699</v>
      </c>
      <c r="Q15" s="34" t="s">
        <v>3544</v>
      </c>
      <c r="R15" s="34" t="s">
        <v>3540</v>
      </c>
      <c r="S15" s="47">
        <v>0</v>
      </c>
      <c r="T15" s="47">
        <v>0</v>
      </c>
      <c r="U15" s="47">
        <v>0</v>
      </c>
      <c r="V15" s="34">
        <v>4078500010047</v>
      </c>
      <c r="W15" s="34" t="s">
        <v>3548</v>
      </c>
      <c r="Y15" s="34" t="s">
        <v>3542</v>
      </c>
      <c r="Z15" s="34">
        <v>4</v>
      </c>
      <c r="AM15" s="40" t="s">
        <v>8094</v>
      </c>
      <c r="AT15" s="44">
        <v>0</v>
      </c>
      <c r="AU15" s="44"/>
      <c r="AV15" s="46">
        <f>ROUND(Товары[[#This Row],[РРЦ финальная, руб.]]/$AU$1,2)</f>
        <v>0</v>
      </c>
      <c r="AW15" s="45" t="str">
        <f>IFERROR(Товары[[#This Row],[РРЦ, евро]]/Товары[[#This Row],[IRP, Eur]],"-")</f>
        <v>-</v>
      </c>
      <c r="AX15" s="42">
        <f>IFERROR(VLOOKUP(Товары[[#This Row],[SubGroup]],'Структура цен DIY'!$B:$C,2,FALSE),0)</f>
        <v>0</v>
      </c>
      <c r="AY15" s="44">
        <v>0</v>
      </c>
    </row>
    <row r="16" spans="1:51" x14ac:dyDescent="0.25">
      <c r="A16" s="34">
        <v>14</v>
      </c>
      <c r="B16" s="34" t="s">
        <v>50</v>
      </c>
      <c r="C16" s="110" t="str">
        <f>IFERROR(INDEX(Структура_ассортимента[SuperCategory],MATCH(Товары[[#This Row],[SubGroup]],Структура_ассортимента[Subgroup],0)),"")</f>
        <v>H</v>
      </c>
      <c r="D16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16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16" s="34" t="str">
        <f>IFERROR(INDEX(Структура_ассортимента[Product group],MATCH(Товары[[#This Row],[SubGroup]],Структура_ассортимента[Subgroup],0)),"")</f>
        <v>AET_P</v>
      </c>
      <c r="G16" s="110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16" s="110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16" s="36">
        <v>9323</v>
      </c>
      <c r="J16" s="36" t="str">
        <f>IFERROR(INDEX(Структура_ассортимента[Generic Name (long)],MATCH(Товары[[#This Row],[SubGroup]],Структура_ассортимента[Subgroup],0)),"")</f>
        <v>SHEAR, BATTERY</v>
      </c>
      <c r="L16" s="36">
        <v>967624001</v>
      </c>
      <c r="M16" s="35" t="s">
        <v>1700</v>
      </c>
      <c r="Q16" s="34" t="s">
        <v>3549</v>
      </c>
      <c r="R16" s="34" t="s">
        <v>3540</v>
      </c>
      <c r="S16" s="47">
        <v>42370</v>
      </c>
      <c r="T16" s="47">
        <v>0</v>
      </c>
      <c r="U16" s="47">
        <v>0</v>
      </c>
      <c r="V16" s="34">
        <v>4078500016520</v>
      </c>
      <c r="W16" s="34" t="s">
        <v>3550</v>
      </c>
      <c r="X16" s="34" t="s">
        <v>3551</v>
      </c>
      <c r="Y16" s="34" t="s">
        <v>3542</v>
      </c>
      <c r="Z16" s="34">
        <v>4</v>
      </c>
      <c r="AA16" s="34" t="s">
        <v>3552</v>
      </c>
      <c r="AB16" s="34" t="s">
        <v>3553</v>
      </c>
      <c r="AC16" s="34" t="s">
        <v>3552</v>
      </c>
      <c r="AD16" s="34" t="s">
        <v>3554</v>
      </c>
      <c r="AE16" s="34" t="s">
        <v>3555</v>
      </c>
      <c r="AF16" s="34" t="s">
        <v>3556</v>
      </c>
      <c r="AG16" s="34" t="s">
        <v>3557</v>
      </c>
      <c r="AH16" s="34" t="s">
        <v>3558</v>
      </c>
      <c r="AI16" s="34" t="s">
        <v>3559</v>
      </c>
      <c r="AJ16" s="34" t="s">
        <v>3560</v>
      </c>
      <c r="AK16" s="34" t="s">
        <v>3561</v>
      </c>
      <c r="AL16" s="34" t="s">
        <v>3562</v>
      </c>
      <c r="AM16" s="40" t="s">
        <v>8095</v>
      </c>
      <c r="AT16" s="44">
        <v>0</v>
      </c>
      <c r="AU16" s="44"/>
      <c r="AV16" s="46">
        <f>ROUND(Товары[[#This Row],[РРЦ финальная, руб.]]/$AU$1,2)</f>
        <v>0</v>
      </c>
      <c r="AW16" s="45" t="str">
        <f>IFERROR(Товары[[#This Row],[РРЦ, евро]]/Товары[[#This Row],[IRP, Eur]],"-")</f>
        <v>-</v>
      </c>
      <c r="AX16" s="42">
        <f>IFERROR(VLOOKUP(Товары[[#This Row],[SubGroup]],'Структура цен DIY'!$B:$C,2,FALSE),0)</f>
        <v>0.17999999999999994</v>
      </c>
      <c r="AY16" s="44">
        <v>0</v>
      </c>
    </row>
    <row r="17" spans="1:51" x14ac:dyDescent="0.25">
      <c r="A17" s="34">
        <v>15</v>
      </c>
      <c r="B17" s="34" t="s">
        <v>50</v>
      </c>
      <c r="C17" s="110" t="str">
        <f>IFERROR(INDEX(Структура_ассортимента[SuperCategory],MATCH(Товары[[#This Row],[SubGroup]],Структура_ассортимента[Subgroup],0)),"")</f>
        <v>H</v>
      </c>
      <c r="D17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17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17" s="34" t="str">
        <f>IFERROR(INDEX(Структура_ассортимента[Product group],MATCH(Товары[[#This Row],[SubGroup]],Структура_ассортимента[Subgroup],0)),"")</f>
        <v>AET_P</v>
      </c>
      <c r="G17" s="110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17" s="110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17" s="36">
        <v>9323</v>
      </c>
      <c r="J17" s="36" t="str">
        <f>IFERROR(INDEX(Структура_ассортимента[Generic Name (long)],MATCH(Товары[[#This Row],[SubGroup]],Структура_ассортимента[Subgroup],0)),"")</f>
        <v>SHEAR, BATTERY</v>
      </c>
      <c r="L17" s="36">
        <v>967054701</v>
      </c>
      <c r="M17" s="35" t="s">
        <v>1701</v>
      </c>
      <c r="Q17" s="34" t="s">
        <v>3549</v>
      </c>
      <c r="R17" s="34" t="s">
        <v>3540</v>
      </c>
      <c r="S17" s="47">
        <v>42415</v>
      </c>
      <c r="T17" s="47">
        <v>0</v>
      </c>
      <c r="U17" s="47">
        <v>0</v>
      </c>
      <c r="V17" s="34">
        <v>4078500021548</v>
      </c>
      <c r="W17" s="34" t="s">
        <v>3543</v>
      </c>
      <c r="X17" s="34" t="s">
        <v>3551</v>
      </c>
      <c r="Y17" s="34" t="s">
        <v>3542</v>
      </c>
      <c r="Z17" s="34">
        <v>14</v>
      </c>
      <c r="AA17" s="34">
        <v>0</v>
      </c>
      <c r="AB17" s="34" t="s">
        <v>3563</v>
      </c>
      <c r="AC17" s="34">
        <v>0</v>
      </c>
      <c r="AD17" s="34" t="s">
        <v>3564</v>
      </c>
      <c r="AE17" s="34" t="s">
        <v>3565</v>
      </c>
      <c r="AF17" s="34" t="s">
        <v>3566</v>
      </c>
      <c r="AG17" s="34" t="s">
        <v>3567</v>
      </c>
      <c r="AH17" s="34" t="s">
        <v>3568</v>
      </c>
      <c r="AL17" s="34" t="s">
        <v>3569</v>
      </c>
      <c r="AM17" s="40" t="s">
        <v>8095</v>
      </c>
      <c r="AT17" s="44">
        <v>0</v>
      </c>
      <c r="AU17" s="44"/>
      <c r="AV17" s="46">
        <f>ROUND(Товары[[#This Row],[РРЦ финальная, руб.]]/$AU$1,2)</f>
        <v>0</v>
      </c>
      <c r="AW17" s="45" t="str">
        <f>IFERROR(Товары[[#This Row],[РРЦ, евро]]/Товары[[#This Row],[IRP, Eur]],"-")</f>
        <v>-</v>
      </c>
      <c r="AX17" s="42">
        <f>IFERROR(VLOOKUP(Товары[[#This Row],[SubGroup]],'Структура цен DIY'!$B:$C,2,FALSE),0)</f>
        <v>0.17999999999999994</v>
      </c>
      <c r="AY17" s="44">
        <v>0</v>
      </c>
    </row>
    <row r="18" spans="1:51" x14ac:dyDescent="0.25">
      <c r="A18" s="34">
        <v>16</v>
      </c>
      <c r="B18" s="34" t="s">
        <v>50</v>
      </c>
      <c r="C18" s="110" t="str">
        <f>IFERROR(INDEX(Структура_ассортимента[SuperCategory],MATCH(Товары[[#This Row],[SubGroup]],Структура_ассортимента[Subgroup],0)),"")</f>
        <v>H</v>
      </c>
      <c r="D18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18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18" s="34" t="str">
        <f>IFERROR(INDEX(Структура_ассортимента[Product group],MATCH(Товары[[#This Row],[SubGroup]],Структура_ассортимента[Subgroup],0)),"")</f>
        <v>AET_P</v>
      </c>
      <c r="G18" s="110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18" s="110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18" s="36">
        <v>9323</v>
      </c>
      <c r="J18" s="36" t="str">
        <f>IFERROR(INDEX(Структура_ассортимента[Generic Name (long)],MATCH(Товары[[#This Row],[SubGroup]],Структура_ассортимента[Subgroup],0)),"")</f>
        <v>SHEAR, BATTERY</v>
      </c>
      <c r="L18" s="36">
        <v>967691401</v>
      </c>
      <c r="M18" s="35" t="s">
        <v>1702</v>
      </c>
      <c r="O18" s="35" t="s">
        <v>3570</v>
      </c>
      <c r="P18" s="37" t="s">
        <v>3571</v>
      </c>
      <c r="Q18" s="34" t="s">
        <v>3549</v>
      </c>
      <c r="R18" s="34" t="s">
        <v>3540</v>
      </c>
      <c r="S18" s="47">
        <v>43101</v>
      </c>
      <c r="T18" s="47">
        <v>0</v>
      </c>
      <c r="U18" s="47">
        <v>0</v>
      </c>
      <c r="V18" s="34">
        <v>4078500034791</v>
      </c>
      <c r="W18" s="34" t="s">
        <v>3543</v>
      </c>
      <c r="X18" s="34" t="s">
        <v>3551</v>
      </c>
      <c r="Y18" s="34" t="s">
        <v>3542</v>
      </c>
      <c r="Z18" s="34">
        <v>28</v>
      </c>
      <c r="AB18" s="34" t="s">
        <v>3572</v>
      </c>
      <c r="AD18" s="34" t="s">
        <v>3573</v>
      </c>
      <c r="AE18" s="34" t="s">
        <v>3574</v>
      </c>
      <c r="AF18" s="34" t="s">
        <v>3575</v>
      </c>
      <c r="AG18" s="34" t="s">
        <v>3576</v>
      </c>
      <c r="AH18" s="34" t="s">
        <v>3577</v>
      </c>
      <c r="AL18" s="34" t="s">
        <v>3578</v>
      </c>
      <c r="AM18" s="40" t="s">
        <v>9</v>
      </c>
      <c r="AP18" s="34">
        <v>200</v>
      </c>
      <c r="AQ18" s="34">
        <v>4490</v>
      </c>
      <c r="AR18" s="34">
        <v>3413</v>
      </c>
      <c r="AS18" s="112">
        <v>0.1</v>
      </c>
      <c r="AT18" s="44">
        <v>382580.00000000006</v>
      </c>
      <c r="AU18" s="44">
        <v>4590</v>
      </c>
      <c r="AV18" s="46">
        <f>ROUND(Товары[[#This Row],[РРЦ финальная, руб.]]/$AU$1,2)</f>
        <v>59.26</v>
      </c>
      <c r="AW18" s="45">
        <f>IFERROR(Товары[[#This Row],[РРЦ, евро]]/Товары[[#This Row],[IRP, Eur]],"-")</f>
        <v>0.29630000000000001</v>
      </c>
      <c r="AX18" s="42">
        <f>IFERROR(VLOOKUP(Товары[[#This Row],[SubGroup]],'Структура цен DIY'!$B:$C,2,FALSE),0)</f>
        <v>0.17999999999999994</v>
      </c>
      <c r="AY18" s="44">
        <v>4176.8999999999996</v>
      </c>
    </row>
    <row r="19" spans="1:51" x14ac:dyDescent="0.25">
      <c r="A19" s="34">
        <v>17</v>
      </c>
      <c r="B19" s="34" t="s">
        <v>50</v>
      </c>
      <c r="C19" s="110" t="str">
        <f>IFERROR(INDEX(Структура_ассортимента[SuperCategory],MATCH(Товары[[#This Row],[SubGroup]],Структура_ассортимента[Subgroup],0)),"")</f>
        <v>H</v>
      </c>
      <c r="D19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19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19" s="34" t="str">
        <f>IFERROR(INDEX(Структура_ассортимента[Product group],MATCH(Товары[[#This Row],[SubGroup]],Структура_ассортимента[Subgroup],0)),"")</f>
        <v>AET_P</v>
      </c>
      <c r="G19" s="110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19" s="110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19" s="36">
        <v>9323</v>
      </c>
      <c r="J19" s="36" t="str">
        <f>IFERROR(INDEX(Структура_ассортимента[Generic Name (long)],MATCH(Товары[[#This Row],[SubGroup]],Структура_ассортимента[Subgroup],0)),"")</f>
        <v>SHEAR, BATTERY</v>
      </c>
      <c r="L19" s="36">
        <v>967645201</v>
      </c>
      <c r="M19" s="35" t="s">
        <v>1703</v>
      </c>
      <c r="Q19" s="34" t="s">
        <v>3549</v>
      </c>
      <c r="R19" s="34" t="s">
        <v>3540</v>
      </c>
      <c r="S19" s="47">
        <v>42736</v>
      </c>
      <c r="T19" s="47">
        <v>0</v>
      </c>
      <c r="U19" s="47">
        <v>0</v>
      </c>
      <c r="V19" s="34">
        <v>4078500029506</v>
      </c>
      <c r="W19" s="34" t="s">
        <v>3543</v>
      </c>
      <c r="X19" s="34" t="s">
        <v>3579</v>
      </c>
      <c r="Y19" s="34" t="s">
        <v>3542</v>
      </c>
      <c r="Z19" s="34">
        <v>28</v>
      </c>
      <c r="AB19" s="34" t="s">
        <v>3572</v>
      </c>
      <c r="AD19" s="34" t="s">
        <v>3573</v>
      </c>
      <c r="AE19" s="34" t="s">
        <v>3576</v>
      </c>
      <c r="AF19" s="34" t="s">
        <v>3556</v>
      </c>
      <c r="AG19" s="34" t="s">
        <v>3580</v>
      </c>
      <c r="AH19" s="34" t="s">
        <v>3581</v>
      </c>
      <c r="AL19" s="34" t="s">
        <v>3578</v>
      </c>
      <c r="AM19" s="40" t="s">
        <v>8095</v>
      </c>
      <c r="AT19" s="44">
        <v>0</v>
      </c>
      <c r="AU19" s="44"/>
      <c r="AV19" s="46">
        <f>ROUND(Товары[[#This Row],[РРЦ финальная, руб.]]/$AU$1,2)</f>
        <v>0</v>
      </c>
      <c r="AW19" s="45" t="str">
        <f>IFERROR(Товары[[#This Row],[РРЦ, евро]]/Товары[[#This Row],[IRP, Eur]],"-")</f>
        <v>-</v>
      </c>
      <c r="AX19" s="42">
        <f>IFERROR(VLOOKUP(Товары[[#This Row],[SubGroup]],'Структура цен DIY'!$B:$C,2,FALSE),0)</f>
        <v>0.17999999999999994</v>
      </c>
      <c r="AY19" s="44">
        <v>0</v>
      </c>
    </row>
    <row r="20" spans="1:51" x14ac:dyDescent="0.25">
      <c r="A20" s="34">
        <v>18</v>
      </c>
      <c r="B20" s="34" t="s">
        <v>50</v>
      </c>
      <c r="C20" s="110" t="str">
        <f>IFERROR(INDEX(Структура_ассортимента[SuperCategory],MATCH(Товары[[#This Row],[SubGroup]],Структура_ассортимента[Subgroup],0)),"")</f>
        <v>H</v>
      </c>
      <c r="D20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20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20" s="110" t="str">
        <f>IFERROR(INDEX(Структура_ассортимента[Product group],MATCH(Товары[[#This Row],[SubGroup]],Структура_ассортимента[Subgroup],0)),"")</f>
        <v>AET_P</v>
      </c>
      <c r="G20" s="110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20" s="110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20" s="36">
        <v>9323</v>
      </c>
      <c r="J20" s="36" t="str">
        <f>IFERROR(INDEX(Структура_ассортимента[Generic Name (long)],MATCH(Товары[[#This Row],[SubGroup]],Структура_ассортимента[Subgroup],0)),"")</f>
        <v>SHEAR, BATTERY</v>
      </c>
      <c r="L20" s="36">
        <v>967854301</v>
      </c>
      <c r="M20" s="35" t="s">
        <v>1704</v>
      </c>
      <c r="O20" s="35" t="s">
        <v>3582</v>
      </c>
      <c r="P20" s="37" t="s">
        <v>3583</v>
      </c>
      <c r="Q20" s="34" t="s">
        <v>3549</v>
      </c>
      <c r="R20" s="34" t="s">
        <v>3540</v>
      </c>
      <c r="S20" s="47">
        <v>43466</v>
      </c>
      <c r="T20" s="47">
        <v>0</v>
      </c>
      <c r="U20" s="47">
        <v>0</v>
      </c>
      <c r="V20" s="34">
        <v>4078500042482</v>
      </c>
      <c r="W20" s="34" t="s">
        <v>3546</v>
      </c>
      <c r="X20" s="34" t="s">
        <v>3551</v>
      </c>
      <c r="Y20" s="34" t="s">
        <v>3542</v>
      </c>
      <c r="Z20" s="34">
        <v>3</v>
      </c>
      <c r="AA20" s="34" t="s">
        <v>3584</v>
      </c>
      <c r="AB20" s="34" t="s">
        <v>3584</v>
      </c>
      <c r="AC20" s="34" t="s">
        <v>3585</v>
      </c>
      <c r="AD20" s="34" t="s">
        <v>3586</v>
      </c>
      <c r="AE20" s="34" t="s">
        <v>3587</v>
      </c>
      <c r="AF20" s="34" t="s">
        <v>3588</v>
      </c>
      <c r="AG20" s="34" t="s">
        <v>3574</v>
      </c>
      <c r="AH20" s="34" t="s">
        <v>3589</v>
      </c>
      <c r="AI20" s="34" t="s">
        <v>3590</v>
      </c>
      <c r="AJ20" s="34" t="s">
        <v>3591</v>
      </c>
      <c r="AK20" s="34" t="s">
        <v>3592</v>
      </c>
      <c r="AL20" s="34" t="s">
        <v>3593</v>
      </c>
      <c r="AM20" s="40" t="s">
        <v>9</v>
      </c>
      <c r="AP20" s="34">
        <v>0</v>
      </c>
      <c r="AQ20" s="34">
        <v>5090</v>
      </c>
      <c r="AR20" s="34">
        <v>3393</v>
      </c>
      <c r="AT20" s="44">
        <v>394200</v>
      </c>
      <c r="AU20" s="44"/>
      <c r="AV20" s="46">
        <f>ROUND(Товары[[#This Row],[РРЦ финальная, руб.]]/$AU$1,2)</f>
        <v>0</v>
      </c>
      <c r="AW20" s="45" t="str">
        <f>IFERROR(Товары[[#This Row],[РРЦ, евро]]/Товары[[#This Row],[IRP, Eur]],"-")</f>
        <v>-</v>
      </c>
      <c r="AX20" s="42">
        <f>IFERROR(VLOOKUP(Товары[[#This Row],[SubGroup]],'Структура цен DIY'!$B:$C,2,FALSE),0)</f>
        <v>0.17999999999999994</v>
      </c>
      <c r="AY20" s="44">
        <v>0</v>
      </c>
    </row>
    <row r="21" spans="1:51" x14ac:dyDescent="0.25">
      <c r="A21" s="34">
        <v>19</v>
      </c>
      <c r="B21" s="34" t="s">
        <v>50</v>
      </c>
      <c r="C21" s="110" t="str">
        <f>IFERROR(INDEX(Структура_ассортимента[SuperCategory],MATCH(Товары[[#This Row],[SubGroup]],Структура_ассортимента[Subgroup],0)),"")</f>
        <v>H</v>
      </c>
      <c r="D21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21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21" s="110" t="str">
        <f>IFERROR(INDEX(Структура_ассортимента[Product group],MATCH(Товары[[#This Row],[SubGroup]],Структура_ассортимента[Subgroup],0)),"")</f>
        <v>AET_P</v>
      </c>
      <c r="G21" s="110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21" s="110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21" s="36">
        <v>9323</v>
      </c>
      <c r="J21" s="36" t="str">
        <f>IFERROR(INDEX(Структура_ассортимента[Generic Name (long)],MATCH(Товары[[#This Row],[SubGroup]],Структура_ассортимента[Subgroup],0)),"")</f>
        <v>SHEAR, BATTERY</v>
      </c>
      <c r="L21" s="36">
        <v>967854401</v>
      </c>
      <c r="M21" s="35" t="s">
        <v>1705</v>
      </c>
      <c r="O21" s="35" t="s">
        <v>3594</v>
      </c>
      <c r="P21" s="37" t="s">
        <v>3595</v>
      </c>
      <c r="Q21" s="34" t="s">
        <v>3549</v>
      </c>
      <c r="R21" s="34" t="s">
        <v>3540</v>
      </c>
      <c r="S21" s="47">
        <v>43466</v>
      </c>
      <c r="T21" s="47">
        <v>0</v>
      </c>
      <c r="U21" s="47">
        <v>0</v>
      </c>
      <c r="V21" s="34">
        <v>4078500042512</v>
      </c>
      <c r="W21" s="34" t="s">
        <v>3546</v>
      </c>
      <c r="X21" s="34" t="s">
        <v>3551</v>
      </c>
      <c r="Y21" s="34" t="s">
        <v>3542</v>
      </c>
      <c r="Z21" s="34">
        <v>3</v>
      </c>
      <c r="AA21" s="34" t="s">
        <v>3596</v>
      </c>
      <c r="AB21" s="34" t="s">
        <v>3573</v>
      </c>
      <c r="AC21" s="34" t="s">
        <v>3597</v>
      </c>
      <c r="AD21" s="34" t="s">
        <v>3598</v>
      </c>
      <c r="AE21" s="34" t="s">
        <v>3574</v>
      </c>
      <c r="AF21" s="34" t="s">
        <v>3587</v>
      </c>
      <c r="AG21" s="34" t="s">
        <v>3599</v>
      </c>
      <c r="AH21" s="34" t="s">
        <v>3600</v>
      </c>
      <c r="AI21" s="34" t="s">
        <v>3601</v>
      </c>
      <c r="AJ21" s="34" t="s">
        <v>3602</v>
      </c>
      <c r="AK21" s="34" t="s">
        <v>3603</v>
      </c>
      <c r="AL21" s="34" t="s">
        <v>3604</v>
      </c>
      <c r="AM21" s="40" t="s">
        <v>9</v>
      </c>
      <c r="AP21" s="34">
        <v>0</v>
      </c>
      <c r="AQ21" s="34">
        <v>6690</v>
      </c>
      <c r="AR21" s="34">
        <v>4460</v>
      </c>
      <c r="AT21" s="44">
        <v>518200</v>
      </c>
      <c r="AU21" s="44"/>
      <c r="AV21" s="46">
        <f>ROUND(Товары[[#This Row],[РРЦ финальная, руб.]]/$AU$1,2)</f>
        <v>0</v>
      </c>
      <c r="AW21" s="45" t="str">
        <f>IFERROR(Товары[[#This Row],[РРЦ, евро]]/Товары[[#This Row],[IRP, Eur]],"-")</f>
        <v>-</v>
      </c>
      <c r="AX21" s="42">
        <f>IFERROR(VLOOKUP(Товары[[#This Row],[SubGroup]],'Структура цен DIY'!$B:$C,2,FALSE),0)</f>
        <v>0.17999999999999994</v>
      </c>
      <c r="AY21" s="44">
        <v>0</v>
      </c>
    </row>
    <row r="22" spans="1:51" x14ac:dyDescent="0.25">
      <c r="A22" s="34">
        <v>20</v>
      </c>
      <c r="B22" s="34" t="s">
        <v>50</v>
      </c>
      <c r="C22" s="110" t="str">
        <f>IFERROR(INDEX(Структура_ассортимента[SuperCategory],MATCH(Товары[[#This Row],[SubGroup]],Структура_ассортимента[Subgroup],0)),"")</f>
        <v>H</v>
      </c>
      <c r="D22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22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22" s="110" t="str">
        <f>IFERROR(INDEX(Структура_ассортимента[Product group],MATCH(Товары[[#This Row],[SubGroup]],Структура_ассортимента[Subgroup],0)),"")</f>
        <v>AET_P</v>
      </c>
      <c r="G22" s="110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22" s="110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22" s="36">
        <v>9323</v>
      </c>
      <c r="J22" s="36" t="str">
        <f>IFERROR(INDEX(Структура_ассортимента[Generic Name (long)],MATCH(Товары[[#This Row],[SubGroup]],Структура_ассортимента[Subgroup],0)),"")</f>
        <v>SHEAR, BATTERY</v>
      </c>
      <c r="L22" s="36">
        <v>967856601</v>
      </c>
      <c r="M22" s="35" t="s">
        <v>1706</v>
      </c>
      <c r="O22" s="35" t="s">
        <v>3605</v>
      </c>
      <c r="P22" s="37" t="s">
        <v>3606</v>
      </c>
      <c r="Q22" s="34" t="s">
        <v>3549</v>
      </c>
      <c r="R22" s="34" t="s">
        <v>3540</v>
      </c>
      <c r="S22" s="47">
        <v>43466</v>
      </c>
      <c r="T22" s="47">
        <v>0</v>
      </c>
      <c r="U22" s="47">
        <v>0</v>
      </c>
      <c r="V22" s="34">
        <v>4078500042536</v>
      </c>
      <c r="W22" s="34" t="s">
        <v>3546</v>
      </c>
      <c r="X22" s="34" t="s">
        <v>3551</v>
      </c>
      <c r="Y22" s="34" t="s">
        <v>3542</v>
      </c>
      <c r="Z22" s="34">
        <v>3</v>
      </c>
      <c r="AA22" s="34" t="s">
        <v>3607</v>
      </c>
      <c r="AB22" s="34" t="s">
        <v>3607</v>
      </c>
      <c r="AC22" s="34" t="s">
        <v>3608</v>
      </c>
      <c r="AD22" s="34" t="s">
        <v>3609</v>
      </c>
      <c r="AE22" s="34" t="s">
        <v>3610</v>
      </c>
      <c r="AF22" s="34" t="s">
        <v>3611</v>
      </c>
      <c r="AG22" s="34" t="s">
        <v>3612</v>
      </c>
      <c r="AH22" s="34" t="s">
        <v>3613</v>
      </c>
      <c r="AI22" s="34" t="s">
        <v>3614</v>
      </c>
      <c r="AJ22" s="34" t="s">
        <v>3615</v>
      </c>
      <c r="AK22" s="34" t="s">
        <v>3616</v>
      </c>
      <c r="AL22" s="34" t="s">
        <v>3617</v>
      </c>
      <c r="AM22" s="40" t="s">
        <v>9</v>
      </c>
      <c r="AP22" s="34">
        <v>0</v>
      </c>
      <c r="AQ22" s="34">
        <v>7390</v>
      </c>
      <c r="AR22" s="34">
        <v>4927</v>
      </c>
      <c r="AT22" s="44">
        <v>572400</v>
      </c>
      <c r="AU22" s="44"/>
      <c r="AV22" s="46">
        <f>ROUND(Товары[[#This Row],[РРЦ финальная, руб.]]/$AU$1,2)</f>
        <v>0</v>
      </c>
      <c r="AW22" s="45" t="str">
        <f>IFERROR(Товары[[#This Row],[РРЦ, евро]]/Товары[[#This Row],[IRP, Eur]],"-")</f>
        <v>-</v>
      </c>
      <c r="AX22" s="42">
        <f>IFERROR(VLOOKUP(Товары[[#This Row],[SubGroup]],'Структура цен DIY'!$B:$C,2,FALSE),0)</f>
        <v>0.17999999999999994</v>
      </c>
      <c r="AY22" s="44">
        <v>0</v>
      </c>
    </row>
    <row r="23" spans="1:51" x14ac:dyDescent="0.25">
      <c r="A23" s="34">
        <v>21</v>
      </c>
      <c r="B23" s="34" t="s">
        <v>50</v>
      </c>
      <c r="C23" s="110" t="str">
        <f>IFERROR(INDEX(Структура_ассортимента[SuperCategory],MATCH(Товары[[#This Row],[SubGroup]],Структура_ассортимента[Subgroup],0)),"")</f>
        <v>H</v>
      </c>
      <c r="D23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23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23" s="110" t="str">
        <f>IFERROR(INDEX(Структура_ассортимента[Product group],MATCH(Товары[[#This Row],[SubGroup]],Структура_ассортимента[Subgroup],0)),"")</f>
        <v>AET_P</v>
      </c>
      <c r="G23" s="110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23" s="110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23" s="36">
        <v>9323</v>
      </c>
      <c r="J23" s="36" t="str">
        <f>IFERROR(INDEX(Структура_ассортимента[Generic Name (long)],MATCH(Товары[[#This Row],[SubGroup]],Структура_ассортимента[Subgroup],0)),"")</f>
        <v>SHEAR, BATTERY</v>
      </c>
      <c r="L23" s="36">
        <v>967856701</v>
      </c>
      <c r="M23" s="35" t="s">
        <v>1707</v>
      </c>
      <c r="O23" s="35" t="s">
        <v>3618</v>
      </c>
      <c r="P23" s="37" t="s">
        <v>3619</v>
      </c>
      <c r="Q23" s="34" t="s">
        <v>3549</v>
      </c>
      <c r="R23" s="34" t="s">
        <v>3540</v>
      </c>
      <c r="S23" s="47">
        <v>43466</v>
      </c>
      <c r="T23" s="47">
        <v>0</v>
      </c>
      <c r="U23" s="47">
        <v>0</v>
      </c>
      <c r="V23" s="34">
        <v>4078500042550</v>
      </c>
      <c r="W23" s="34" t="s">
        <v>3546</v>
      </c>
      <c r="X23" s="34" t="s">
        <v>3551</v>
      </c>
      <c r="Y23" s="34" t="s">
        <v>3542</v>
      </c>
      <c r="Z23" s="34">
        <v>3</v>
      </c>
      <c r="AA23" s="34" t="s">
        <v>3620</v>
      </c>
      <c r="AB23" s="34" t="s">
        <v>3620</v>
      </c>
      <c r="AC23" s="34" t="s">
        <v>3621</v>
      </c>
      <c r="AD23" s="34" t="s">
        <v>3622</v>
      </c>
      <c r="AE23" s="34" t="s">
        <v>3623</v>
      </c>
      <c r="AF23" s="34" t="s">
        <v>3624</v>
      </c>
      <c r="AG23" s="34" t="s">
        <v>3625</v>
      </c>
      <c r="AH23" s="34" t="s">
        <v>3626</v>
      </c>
      <c r="AI23" s="34" t="s">
        <v>3627</v>
      </c>
      <c r="AJ23" s="34" t="s">
        <v>3628</v>
      </c>
      <c r="AK23" s="34" t="s">
        <v>3629</v>
      </c>
      <c r="AL23" s="34" t="s">
        <v>3630</v>
      </c>
      <c r="AM23" s="40" t="s">
        <v>9</v>
      </c>
      <c r="AP23" s="34">
        <v>0</v>
      </c>
      <c r="AQ23" s="34">
        <v>5790</v>
      </c>
      <c r="AR23" s="34">
        <v>3860</v>
      </c>
      <c r="AT23" s="44">
        <v>448500</v>
      </c>
      <c r="AU23" s="44"/>
      <c r="AV23" s="46">
        <f>ROUND(Товары[[#This Row],[РРЦ финальная, руб.]]/$AU$1,2)</f>
        <v>0</v>
      </c>
      <c r="AW23" s="45" t="str">
        <f>IFERROR(Товары[[#This Row],[РРЦ, евро]]/Товары[[#This Row],[IRP, Eur]],"-")</f>
        <v>-</v>
      </c>
      <c r="AX23" s="42">
        <f>IFERROR(VLOOKUP(Товары[[#This Row],[SubGroup]],'Структура цен DIY'!$B:$C,2,FALSE),0)</f>
        <v>0.17999999999999994</v>
      </c>
      <c r="AY23" s="44">
        <v>0</v>
      </c>
    </row>
    <row r="24" spans="1:51" x14ac:dyDescent="0.25">
      <c r="A24" s="34">
        <v>22</v>
      </c>
      <c r="B24" s="34" t="s">
        <v>50</v>
      </c>
      <c r="C24" s="110" t="str">
        <f>IFERROR(INDEX(Структура_ассортимента[SuperCategory],MATCH(Товары[[#This Row],[SubGroup]],Структура_ассортимента[Subgroup],0)),"")</f>
        <v>H</v>
      </c>
      <c r="D24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24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24" s="110" t="str">
        <f>IFERROR(INDEX(Структура_ассортимента[Product group],MATCH(Товары[[#This Row],[SubGroup]],Структура_ассортимента[Subgroup],0)),"")</f>
        <v>AET_P</v>
      </c>
      <c r="G24" s="110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24" s="110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24" s="36">
        <v>9323</v>
      </c>
      <c r="J24" s="36" t="str">
        <f>IFERROR(INDEX(Структура_ассортимента[Generic Name (long)],MATCH(Товары[[#This Row],[SubGroup]],Структура_ассортимента[Subgroup],0)),"")</f>
        <v>SHEAR, BATTERY</v>
      </c>
      <c r="L24" s="36">
        <v>967856801</v>
      </c>
      <c r="M24" s="35" t="s">
        <v>1708</v>
      </c>
      <c r="O24" s="35" t="s">
        <v>3631</v>
      </c>
      <c r="P24" s="37" t="s">
        <v>3632</v>
      </c>
      <c r="Q24" s="34" t="s">
        <v>3549</v>
      </c>
      <c r="R24" s="34" t="s">
        <v>3540</v>
      </c>
      <c r="S24" s="47">
        <v>43466</v>
      </c>
      <c r="T24" s="47">
        <v>0</v>
      </c>
      <c r="U24" s="47">
        <v>0</v>
      </c>
      <c r="V24" s="34">
        <v>4078500042574</v>
      </c>
      <c r="W24" s="34" t="s">
        <v>3546</v>
      </c>
      <c r="X24" s="34" t="s">
        <v>3551</v>
      </c>
      <c r="Y24" s="34" t="s">
        <v>3542</v>
      </c>
      <c r="Z24" s="34">
        <v>3</v>
      </c>
      <c r="AA24" s="34" t="s">
        <v>3633</v>
      </c>
      <c r="AB24" s="34" t="s">
        <v>3634</v>
      </c>
      <c r="AC24" s="34" t="s">
        <v>3635</v>
      </c>
      <c r="AD24" s="34" t="s">
        <v>3636</v>
      </c>
      <c r="AE24" s="34" t="s">
        <v>3623</v>
      </c>
      <c r="AF24" s="34" t="s">
        <v>3599</v>
      </c>
      <c r="AG24" s="34" t="s">
        <v>3599</v>
      </c>
      <c r="AH24" s="34" t="s">
        <v>3637</v>
      </c>
      <c r="AI24" s="34" t="s">
        <v>3638</v>
      </c>
      <c r="AJ24" s="34" t="s">
        <v>3628</v>
      </c>
      <c r="AK24" s="34" t="s">
        <v>3603</v>
      </c>
      <c r="AL24" s="34" t="s">
        <v>3604</v>
      </c>
      <c r="AM24" s="40" t="s">
        <v>9</v>
      </c>
      <c r="AP24" s="34">
        <v>0</v>
      </c>
      <c r="AQ24" s="34">
        <v>7390</v>
      </c>
      <c r="AR24" s="34">
        <v>4927</v>
      </c>
      <c r="AT24" s="44">
        <v>572400</v>
      </c>
      <c r="AU24" s="44"/>
      <c r="AV24" s="46">
        <f>ROUND(Товары[[#This Row],[РРЦ финальная, руб.]]/$AU$1,2)</f>
        <v>0</v>
      </c>
      <c r="AW24" s="45" t="str">
        <f>IFERROR(Товары[[#This Row],[РРЦ, евро]]/Товары[[#This Row],[IRP, Eur]],"-")</f>
        <v>-</v>
      </c>
      <c r="AX24" s="42">
        <f>IFERROR(VLOOKUP(Товары[[#This Row],[SubGroup]],'Структура цен DIY'!$B:$C,2,FALSE),0)</f>
        <v>0.17999999999999994</v>
      </c>
      <c r="AY24" s="44">
        <v>0</v>
      </c>
    </row>
    <row r="25" spans="1:51" x14ac:dyDescent="0.25">
      <c r="A25" s="34">
        <v>23</v>
      </c>
      <c r="B25" s="34" t="s">
        <v>50</v>
      </c>
      <c r="C25" s="110" t="str">
        <f>IFERROR(INDEX(Структура_ассортимента[SuperCategory],MATCH(Товары[[#This Row],[SubGroup]],Структура_ассортимента[Subgroup],0)),"")</f>
        <v>H</v>
      </c>
      <c r="D25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25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25" s="110" t="str">
        <f>IFERROR(INDEX(Структура_ассортимента[Product group],MATCH(Товары[[#This Row],[SubGroup]],Структура_ассортимента[Subgroup],0)),"")</f>
        <v>AET_P</v>
      </c>
      <c r="G25" s="110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25" s="110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25" s="36">
        <v>9323</v>
      </c>
      <c r="J25" s="36" t="str">
        <f>IFERROR(INDEX(Структура_ассортимента[Generic Name (long)],MATCH(Товары[[#This Row],[SubGroup]],Структура_ассортимента[Subgroup],0)),"")</f>
        <v>SHEAR, BATTERY</v>
      </c>
      <c r="L25" s="36">
        <v>967856901</v>
      </c>
      <c r="M25" s="35" t="s">
        <v>1709</v>
      </c>
      <c r="O25" s="35" t="s">
        <v>3639</v>
      </c>
      <c r="P25" s="37" t="s">
        <v>3640</v>
      </c>
      <c r="Q25" s="34" t="s">
        <v>3549</v>
      </c>
      <c r="R25" s="34" t="s">
        <v>3540</v>
      </c>
      <c r="S25" s="47">
        <v>43466</v>
      </c>
      <c r="T25" s="47">
        <v>0</v>
      </c>
      <c r="U25" s="47">
        <v>0</v>
      </c>
      <c r="V25" s="34">
        <v>4078500042598</v>
      </c>
      <c r="W25" s="34" t="s">
        <v>3546</v>
      </c>
      <c r="X25" s="34" t="s">
        <v>3551</v>
      </c>
      <c r="Y25" s="34" t="s">
        <v>3542</v>
      </c>
      <c r="Z25" s="34">
        <v>3</v>
      </c>
      <c r="AA25" s="34" t="s">
        <v>3641</v>
      </c>
      <c r="AB25" s="34" t="s">
        <v>3641</v>
      </c>
      <c r="AC25" s="34" t="s">
        <v>3642</v>
      </c>
      <c r="AD25" s="34" t="s">
        <v>3643</v>
      </c>
      <c r="AE25" s="34" t="s">
        <v>3610</v>
      </c>
      <c r="AF25" s="34" t="s">
        <v>3611</v>
      </c>
      <c r="AG25" s="34" t="s">
        <v>3612</v>
      </c>
      <c r="AH25" s="34" t="s">
        <v>3613</v>
      </c>
      <c r="AI25" s="34" t="s">
        <v>3644</v>
      </c>
      <c r="AJ25" s="34" t="s">
        <v>3645</v>
      </c>
      <c r="AK25" s="34" t="s">
        <v>3616</v>
      </c>
      <c r="AL25" s="34" t="s">
        <v>3617</v>
      </c>
      <c r="AM25" s="40" t="s">
        <v>9</v>
      </c>
      <c r="AP25" s="34">
        <v>0</v>
      </c>
      <c r="AQ25" s="34">
        <v>8290</v>
      </c>
      <c r="AR25" s="34">
        <v>5527</v>
      </c>
      <c r="AT25" s="44">
        <v>642100</v>
      </c>
      <c r="AU25" s="44"/>
      <c r="AV25" s="46">
        <f>ROUND(Товары[[#This Row],[РРЦ финальная, руб.]]/$AU$1,2)</f>
        <v>0</v>
      </c>
      <c r="AW25" s="45" t="str">
        <f>IFERROR(Товары[[#This Row],[РРЦ, евро]]/Товары[[#This Row],[IRP, Eur]],"-")</f>
        <v>-</v>
      </c>
      <c r="AX25" s="42">
        <f>IFERROR(VLOOKUP(Товары[[#This Row],[SubGroup]],'Структура цен DIY'!$B:$C,2,FALSE),0)</f>
        <v>0.17999999999999994</v>
      </c>
      <c r="AY25" s="44">
        <v>0</v>
      </c>
    </row>
    <row r="26" spans="1:51" x14ac:dyDescent="0.25">
      <c r="A26" s="34">
        <v>24</v>
      </c>
      <c r="B26" s="34" t="s">
        <v>50</v>
      </c>
      <c r="C26" s="110" t="str">
        <f>IFERROR(INDEX(Структура_ассортимента[SuperCategory],MATCH(Товары[[#This Row],[SubGroup]],Структура_ассортимента[Subgroup],0)),"")</f>
        <v>H</v>
      </c>
      <c r="D26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26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26" s="110" t="str">
        <f>IFERROR(INDEX(Структура_ассортимента[Product group],MATCH(Товары[[#This Row],[SubGroup]],Структура_ассортимента[Subgroup],0)),"")</f>
        <v>AET_P</v>
      </c>
      <c r="G26" s="110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26" s="110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26" s="36">
        <v>9323</v>
      </c>
      <c r="J26" s="36" t="str">
        <f>IFERROR(INDEX(Структура_ассортимента[Generic Name (long)],MATCH(Товары[[#This Row],[SubGroup]],Структура_ассортимента[Subgroup],0)),"")</f>
        <v>SHEAR, BATTERY</v>
      </c>
      <c r="L26" s="36">
        <v>970466801</v>
      </c>
      <c r="M26" s="35" t="s">
        <v>1710</v>
      </c>
      <c r="Q26" s="34" t="s">
        <v>3549</v>
      </c>
      <c r="R26" s="34" t="s">
        <v>3540</v>
      </c>
      <c r="S26" s="47">
        <v>43891</v>
      </c>
      <c r="T26" s="47">
        <v>0</v>
      </c>
      <c r="U26" s="47">
        <v>0</v>
      </c>
      <c r="V26" s="34">
        <v>4078500051392</v>
      </c>
      <c r="W26" s="34" t="s">
        <v>3546</v>
      </c>
      <c r="X26" s="34" t="s">
        <v>3551</v>
      </c>
      <c r="Y26" s="34" t="s">
        <v>3542</v>
      </c>
      <c r="Z26" s="34">
        <v>3</v>
      </c>
      <c r="AM26" s="40" t="s">
        <v>8095</v>
      </c>
      <c r="AT26" s="44">
        <v>0</v>
      </c>
      <c r="AU26" s="44"/>
      <c r="AV26" s="46">
        <f>ROUND(Товары[[#This Row],[РРЦ финальная, руб.]]/$AU$1,2)</f>
        <v>0</v>
      </c>
      <c r="AW26" s="45" t="str">
        <f>IFERROR(Товары[[#This Row],[РРЦ, евро]]/Товары[[#This Row],[IRP, Eur]],"-")</f>
        <v>-</v>
      </c>
      <c r="AX26" s="42">
        <f>IFERROR(VLOOKUP(Товары[[#This Row],[SubGroup]],'Структура цен DIY'!$B:$C,2,FALSE),0)</f>
        <v>0.17999999999999994</v>
      </c>
      <c r="AY26" s="44">
        <v>0</v>
      </c>
    </row>
    <row r="27" spans="1:51" x14ac:dyDescent="0.25">
      <c r="A27" s="34">
        <v>25</v>
      </c>
      <c r="B27" s="34" t="s">
        <v>50</v>
      </c>
      <c r="C27" s="110" t="str">
        <f>IFERROR(INDEX(Структура_ассортимента[SuperCategory],MATCH(Товары[[#This Row],[SubGroup]],Структура_ассортимента[Subgroup],0)),"")</f>
        <v>H</v>
      </c>
      <c r="D27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27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27" s="110" t="str">
        <f>IFERROR(INDEX(Структура_ассортимента[Product group],MATCH(Товары[[#This Row],[SubGroup]],Структура_ассортимента[Subgroup],0)),"")</f>
        <v>AET_P</v>
      </c>
      <c r="G27" s="110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27" s="110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27" s="36">
        <v>9323</v>
      </c>
      <c r="J27" s="36" t="str">
        <f>IFERROR(INDEX(Структура_ассортимента[Generic Name (long)],MATCH(Товары[[#This Row],[SubGroup]],Структура_ассортимента[Subgroup],0)),"")</f>
        <v>SHEAR, BATTERY</v>
      </c>
      <c r="L27" s="36">
        <v>966646201</v>
      </c>
      <c r="M27" s="35" t="s">
        <v>1711</v>
      </c>
      <c r="P27" s="37" t="s">
        <v>3646</v>
      </c>
      <c r="Q27" s="34" t="s">
        <v>3544</v>
      </c>
      <c r="R27" s="34" t="s">
        <v>3540</v>
      </c>
      <c r="S27" s="47">
        <v>40452</v>
      </c>
      <c r="T27" s="47">
        <v>0</v>
      </c>
      <c r="U27" s="47">
        <v>0</v>
      </c>
      <c r="V27" s="34">
        <v>4078500888509</v>
      </c>
      <c r="W27" s="34" t="s">
        <v>3545</v>
      </c>
      <c r="Y27" s="34" t="s">
        <v>3542</v>
      </c>
      <c r="Z27" s="34">
        <v>1</v>
      </c>
      <c r="AB27" s="34">
        <v>1130</v>
      </c>
      <c r="AC27" s="34">
        <v>740</v>
      </c>
      <c r="AD27" s="34">
        <v>740</v>
      </c>
      <c r="AE27" s="34">
        <v>128</v>
      </c>
      <c r="AF27" s="34">
        <v>100</v>
      </c>
      <c r="AG27" s="34">
        <v>351</v>
      </c>
      <c r="AH27" s="34">
        <v>4493</v>
      </c>
      <c r="AM27" s="40" t="s">
        <v>233</v>
      </c>
      <c r="AT27" s="44">
        <v>0</v>
      </c>
      <c r="AU27" s="44"/>
      <c r="AV27" s="46">
        <f>ROUND(Товары[[#This Row],[РРЦ финальная, руб.]]/$AU$1,2)</f>
        <v>0</v>
      </c>
      <c r="AW27" s="45" t="str">
        <f>IFERROR(Товары[[#This Row],[РРЦ, евро]]/Товары[[#This Row],[IRP, Eur]],"-")</f>
        <v>-</v>
      </c>
      <c r="AX27" s="42">
        <f>IFERROR(VLOOKUP(Товары[[#This Row],[SubGroup]],'Структура цен DIY'!$B:$C,2,FALSE),0)</f>
        <v>0.17999999999999994</v>
      </c>
      <c r="AY27" s="44">
        <v>0</v>
      </c>
    </row>
    <row r="28" spans="1:51" x14ac:dyDescent="0.25">
      <c r="A28" s="34">
        <v>26</v>
      </c>
      <c r="B28" s="34" t="s">
        <v>50</v>
      </c>
      <c r="C28" s="110" t="str">
        <f>IFERROR(INDEX(Структура_ассортимента[SuperCategory],MATCH(Товары[[#This Row],[SubGroup]],Структура_ассортимента[Subgroup],0)),"")</f>
        <v>H</v>
      </c>
      <c r="D28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28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28" s="110" t="str">
        <f>IFERROR(INDEX(Структура_ассортимента[Product group],MATCH(Товары[[#This Row],[SubGroup]],Структура_ассортимента[Subgroup],0)),"")</f>
        <v>AET_P</v>
      </c>
      <c r="G28" s="110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28" s="110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28" s="36">
        <v>9323</v>
      </c>
      <c r="J28" s="36" t="str">
        <f>IFERROR(INDEX(Структура_ассортимента[Generic Name (long)],MATCH(Товары[[#This Row],[SubGroup]],Структура_ассортимента[Subgroup],0)),"")</f>
        <v>SHEAR, BATTERY</v>
      </c>
      <c r="L28" s="36">
        <v>966646301</v>
      </c>
      <c r="M28" s="35" t="s">
        <v>1712</v>
      </c>
      <c r="Q28" s="34" t="s">
        <v>3544</v>
      </c>
      <c r="R28" s="34" t="s">
        <v>3540</v>
      </c>
      <c r="S28" s="47">
        <v>40452</v>
      </c>
      <c r="T28" s="47">
        <v>0</v>
      </c>
      <c r="U28" s="47">
        <v>0</v>
      </c>
      <c r="V28" s="34">
        <v>4078500888707</v>
      </c>
      <c r="W28" s="34" t="s">
        <v>3545</v>
      </c>
      <c r="Y28" s="34" t="s">
        <v>3542</v>
      </c>
      <c r="Z28" s="34">
        <v>1</v>
      </c>
      <c r="AA28" s="34">
        <v>5500</v>
      </c>
      <c r="AB28" s="34">
        <v>1853</v>
      </c>
      <c r="AC28" s="34">
        <v>1695</v>
      </c>
      <c r="AD28" s="34">
        <v>1695</v>
      </c>
      <c r="AE28" s="34">
        <v>161</v>
      </c>
      <c r="AF28" s="34">
        <v>101</v>
      </c>
      <c r="AG28" s="34">
        <v>449</v>
      </c>
      <c r="AH28" s="34">
        <v>7301</v>
      </c>
      <c r="AM28" s="40" t="s">
        <v>8094</v>
      </c>
      <c r="AT28" s="44">
        <v>0</v>
      </c>
      <c r="AU28" s="44"/>
      <c r="AV28" s="46">
        <f>ROUND(Товары[[#This Row],[РРЦ финальная, руб.]]/$AU$1,2)</f>
        <v>0</v>
      </c>
      <c r="AW28" s="45" t="str">
        <f>IFERROR(Товары[[#This Row],[РРЦ, евро]]/Товары[[#This Row],[IRP, Eur]],"-")</f>
        <v>-</v>
      </c>
      <c r="AX28" s="42">
        <f>IFERROR(VLOOKUP(Товары[[#This Row],[SubGroup]],'Структура цен DIY'!$B:$C,2,FALSE),0)</f>
        <v>0.17999999999999994</v>
      </c>
      <c r="AY28" s="44">
        <v>0</v>
      </c>
    </row>
    <row r="29" spans="1:51" x14ac:dyDescent="0.25">
      <c r="A29" s="34">
        <v>27</v>
      </c>
      <c r="B29" s="34" t="s">
        <v>50</v>
      </c>
      <c r="C29" s="110" t="str">
        <f>IFERROR(INDEX(Структура_ассортимента[SuperCategory],MATCH(Товары[[#This Row],[SubGroup]],Структура_ассортимента[Subgroup],0)),"")</f>
        <v>H</v>
      </c>
      <c r="D29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29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29" s="110" t="str">
        <f>IFERROR(INDEX(Структура_ассортимента[Product group],MATCH(Товары[[#This Row],[SubGroup]],Структура_ассортимента[Subgroup],0)),"")</f>
        <v>AET_P</v>
      </c>
      <c r="G29" s="110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29" s="110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29" s="36">
        <v>9323</v>
      </c>
      <c r="J29" s="36" t="str">
        <f>IFERROR(INDEX(Структура_ассортимента[Generic Name (long)],MATCH(Товары[[#This Row],[SubGroup]],Структура_ассортимента[Subgroup],0)),"")</f>
        <v>SHEAR, BATTERY</v>
      </c>
      <c r="L29" s="36">
        <v>966646501</v>
      </c>
      <c r="M29" s="35" t="s">
        <v>1713</v>
      </c>
      <c r="Q29" s="34" t="s">
        <v>3544</v>
      </c>
      <c r="R29" s="34" t="s">
        <v>3540</v>
      </c>
      <c r="S29" s="47">
        <v>40452</v>
      </c>
      <c r="T29" s="47">
        <v>0</v>
      </c>
      <c r="U29" s="47">
        <v>0</v>
      </c>
      <c r="V29" s="34">
        <v>4078500889001</v>
      </c>
      <c r="W29" s="34" t="s">
        <v>3545</v>
      </c>
      <c r="Y29" s="34" t="s">
        <v>3542</v>
      </c>
      <c r="Z29" s="34">
        <v>1</v>
      </c>
      <c r="AA29" s="34">
        <v>6700</v>
      </c>
      <c r="AB29" s="34">
        <v>1750</v>
      </c>
      <c r="AC29" s="34">
        <v>1270</v>
      </c>
      <c r="AD29" s="34">
        <v>1270</v>
      </c>
      <c r="AE29" s="34">
        <v>1150</v>
      </c>
      <c r="AF29" s="34">
        <v>146</v>
      </c>
      <c r="AG29" s="34">
        <v>253</v>
      </c>
      <c r="AH29" s="34">
        <v>42479</v>
      </c>
      <c r="AM29" s="40" t="s">
        <v>8094</v>
      </c>
      <c r="AT29" s="44">
        <v>0</v>
      </c>
      <c r="AU29" s="44"/>
      <c r="AV29" s="46">
        <f>ROUND(Товары[[#This Row],[РРЦ финальная, руб.]]/$AU$1,2)</f>
        <v>0</v>
      </c>
      <c r="AW29" s="45" t="str">
        <f>IFERROR(Товары[[#This Row],[РРЦ, евро]]/Товары[[#This Row],[IRP, Eur]],"-")</f>
        <v>-</v>
      </c>
      <c r="AX29" s="42">
        <f>IFERROR(VLOOKUP(Товары[[#This Row],[SubGroup]],'Структура цен DIY'!$B:$C,2,FALSE),0)</f>
        <v>0.17999999999999994</v>
      </c>
      <c r="AY29" s="44">
        <v>0</v>
      </c>
    </row>
    <row r="30" spans="1:51" x14ac:dyDescent="0.25">
      <c r="A30" s="34">
        <v>28</v>
      </c>
      <c r="B30" s="34" t="s">
        <v>50</v>
      </c>
      <c r="C30" s="110" t="str">
        <f>IFERROR(INDEX(Структура_ассортимента[SuperCategory],MATCH(Товары[[#This Row],[SubGroup]],Структура_ассортимента[Subgroup],0)),"")</f>
        <v>H</v>
      </c>
      <c r="D30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30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30" s="110" t="str">
        <f>IFERROR(INDEX(Структура_ассортимента[Product group],MATCH(Товары[[#This Row],[SubGroup]],Структура_ассортимента[Subgroup],0)),"")</f>
        <v>AET_P</v>
      </c>
      <c r="G30" s="110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30" s="110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30" s="36">
        <v>9323</v>
      </c>
      <c r="J30" s="36" t="str">
        <f>IFERROR(INDEX(Структура_ассортимента[Generic Name (long)],MATCH(Товары[[#This Row],[SubGroup]],Структура_ассортимента[Subgroup],0)),"")</f>
        <v>SHEAR, BATTERY</v>
      </c>
      <c r="L30" s="36">
        <v>966646601</v>
      </c>
      <c r="M30" s="35" t="s">
        <v>1714</v>
      </c>
      <c r="Q30" s="34" t="s">
        <v>3544</v>
      </c>
      <c r="R30" s="34" t="s">
        <v>3540</v>
      </c>
      <c r="S30" s="47">
        <v>40452</v>
      </c>
      <c r="T30" s="47">
        <v>0</v>
      </c>
      <c r="U30" s="47">
        <v>0</v>
      </c>
      <c r="V30" s="34">
        <v>4078500889308</v>
      </c>
      <c r="W30" s="34" t="s">
        <v>3545</v>
      </c>
      <c r="Y30" s="34" t="s">
        <v>3542</v>
      </c>
      <c r="Z30" s="34">
        <v>1</v>
      </c>
      <c r="AA30" s="34">
        <v>1390</v>
      </c>
      <c r="AB30" s="34">
        <v>1390</v>
      </c>
      <c r="AC30" s="34">
        <v>900</v>
      </c>
      <c r="AD30" s="34">
        <v>900</v>
      </c>
      <c r="AE30" s="34">
        <v>121</v>
      </c>
      <c r="AF30" s="34">
        <v>110</v>
      </c>
      <c r="AG30" s="34">
        <v>387</v>
      </c>
      <c r="AH30" s="34">
        <v>5151</v>
      </c>
      <c r="AM30" s="40" t="s">
        <v>8094</v>
      </c>
      <c r="AT30" s="44">
        <v>0</v>
      </c>
      <c r="AU30" s="44"/>
      <c r="AV30" s="46">
        <f>ROUND(Товары[[#This Row],[РРЦ финальная, руб.]]/$AU$1,2)</f>
        <v>0</v>
      </c>
      <c r="AW30" s="45" t="str">
        <f>IFERROR(Товары[[#This Row],[РРЦ, евро]]/Товары[[#This Row],[IRP, Eur]],"-")</f>
        <v>-</v>
      </c>
      <c r="AX30" s="42">
        <f>IFERROR(VLOOKUP(Товары[[#This Row],[SubGroup]],'Структура цен DIY'!$B:$C,2,FALSE),0)</f>
        <v>0.17999999999999994</v>
      </c>
      <c r="AY30" s="44">
        <v>0</v>
      </c>
    </row>
    <row r="31" spans="1:51" x14ac:dyDescent="0.25">
      <c r="A31" s="34">
        <v>29</v>
      </c>
      <c r="B31" s="34" t="s">
        <v>50</v>
      </c>
      <c r="C31" s="110" t="str">
        <f>IFERROR(INDEX(Структура_ассортимента[SuperCategory],MATCH(Товары[[#This Row],[SubGroup]],Структура_ассортимента[Subgroup],0)),"")</f>
        <v>H</v>
      </c>
      <c r="D31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31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31" s="110" t="str">
        <f>IFERROR(INDEX(Структура_ассортимента[Product group],MATCH(Товары[[#This Row],[SubGroup]],Структура_ассортимента[Subgroup],0)),"")</f>
        <v>AET_P</v>
      </c>
      <c r="G31" s="110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31" s="110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31" s="36">
        <v>9323</v>
      </c>
      <c r="J31" s="36" t="str">
        <f>IFERROR(INDEX(Структура_ассортимента[Generic Name (long)],MATCH(Товары[[#This Row],[SubGroup]],Структура_ассортимента[Subgroup],0)),"")</f>
        <v>SHEAR, BATTERY</v>
      </c>
      <c r="L31" s="36">
        <v>966646701</v>
      </c>
      <c r="M31" s="35" t="s">
        <v>1715</v>
      </c>
      <c r="Q31" s="34" t="s">
        <v>3544</v>
      </c>
      <c r="R31" s="34" t="s">
        <v>3540</v>
      </c>
      <c r="S31" s="47">
        <v>40452</v>
      </c>
      <c r="T31" s="47">
        <v>0</v>
      </c>
      <c r="U31" s="47">
        <v>0</v>
      </c>
      <c r="V31" s="34">
        <v>4078500889506</v>
      </c>
      <c r="W31" s="34" t="s">
        <v>3545</v>
      </c>
      <c r="Y31" s="34" t="s">
        <v>3542</v>
      </c>
      <c r="Z31" s="34">
        <v>1</v>
      </c>
      <c r="AA31" s="34">
        <v>1530</v>
      </c>
      <c r="AB31" s="34">
        <v>1530</v>
      </c>
      <c r="AC31" s="34">
        <v>1415</v>
      </c>
      <c r="AD31" s="34">
        <v>1415</v>
      </c>
      <c r="AE31" s="34">
        <v>128</v>
      </c>
      <c r="AF31" s="34">
        <v>88</v>
      </c>
      <c r="AG31" s="34">
        <v>525</v>
      </c>
      <c r="AH31" s="34">
        <v>5914</v>
      </c>
      <c r="AM31" s="40" t="s">
        <v>8094</v>
      </c>
      <c r="AT31" s="44">
        <v>0</v>
      </c>
      <c r="AU31" s="44"/>
      <c r="AV31" s="46">
        <f>ROUND(Товары[[#This Row],[РРЦ финальная, руб.]]/$AU$1,2)</f>
        <v>0</v>
      </c>
      <c r="AW31" s="45" t="str">
        <f>IFERROR(Товары[[#This Row],[РРЦ, евро]]/Товары[[#This Row],[IRP, Eur]],"-")</f>
        <v>-</v>
      </c>
      <c r="AX31" s="42">
        <f>IFERROR(VLOOKUP(Товары[[#This Row],[SubGroup]],'Структура цен DIY'!$B:$C,2,FALSE),0)</f>
        <v>0.17999999999999994</v>
      </c>
      <c r="AY31" s="44">
        <v>0</v>
      </c>
    </row>
    <row r="32" spans="1:51" x14ac:dyDescent="0.25">
      <c r="A32" s="34">
        <v>30</v>
      </c>
      <c r="B32" s="34" t="s">
        <v>50</v>
      </c>
      <c r="C32" s="110" t="str">
        <f>IFERROR(INDEX(Структура_ассортимента[SuperCategory],MATCH(Товары[[#This Row],[SubGroup]],Структура_ассортимента[Subgroup],0)),"")</f>
        <v>H</v>
      </c>
      <c r="D32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32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32" s="110" t="str">
        <f>IFERROR(INDEX(Структура_ассортимента[Product group],MATCH(Товары[[#This Row],[SubGroup]],Структура_ассортимента[Subgroup],0)),"")</f>
        <v>AET_P</v>
      </c>
      <c r="G32" s="110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32" s="110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32" s="36">
        <v>9323</v>
      </c>
      <c r="J32" s="36" t="str">
        <f>IFERROR(INDEX(Структура_ассортимента[Generic Name (long)],MATCH(Товары[[#This Row],[SubGroup]],Структура_ассортимента[Subgroup],0)),"")</f>
        <v>SHEAR, BATTERY</v>
      </c>
      <c r="L32" s="36">
        <v>966646801</v>
      </c>
      <c r="M32" s="35" t="s">
        <v>1716</v>
      </c>
      <c r="Q32" s="34" t="s">
        <v>3544</v>
      </c>
      <c r="R32" s="34" t="s">
        <v>3540</v>
      </c>
      <c r="S32" s="47">
        <v>40452</v>
      </c>
      <c r="T32" s="47">
        <v>0</v>
      </c>
      <c r="U32" s="47">
        <v>0</v>
      </c>
      <c r="V32" s="34">
        <v>4078500889704</v>
      </c>
      <c r="W32" s="34" t="s">
        <v>3545</v>
      </c>
      <c r="Y32" s="34" t="s">
        <v>3542</v>
      </c>
      <c r="Z32" s="34">
        <v>1</v>
      </c>
      <c r="AA32" s="34">
        <v>2225</v>
      </c>
      <c r="AB32" s="34">
        <v>2225</v>
      </c>
      <c r="AC32" s="34">
        <v>2100</v>
      </c>
      <c r="AD32" s="34">
        <v>2100</v>
      </c>
      <c r="AE32" s="34">
        <v>171</v>
      </c>
      <c r="AF32" s="34">
        <v>101</v>
      </c>
      <c r="AG32" s="34">
        <v>531</v>
      </c>
      <c r="AH32" s="34">
        <v>9171</v>
      </c>
      <c r="AM32" s="40" t="s">
        <v>8094</v>
      </c>
      <c r="AT32" s="44">
        <v>0</v>
      </c>
      <c r="AU32" s="44"/>
      <c r="AV32" s="46">
        <f>ROUND(Товары[[#This Row],[РРЦ финальная, руб.]]/$AU$1,2)</f>
        <v>0</v>
      </c>
      <c r="AW32" s="45" t="str">
        <f>IFERROR(Товары[[#This Row],[РРЦ, евро]]/Товары[[#This Row],[IRP, Eur]],"-")</f>
        <v>-</v>
      </c>
      <c r="AX32" s="42">
        <f>IFERROR(VLOOKUP(Товары[[#This Row],[SubGroup]],'Структура цен DIY'!$B:$C,2,FALSE),0)</f>
        <v>0.17999999999999994</v>
      </c>
      <c r="AY32" s="44">
        <v>0</v>
      </c>
    </row>
    <row r="33" spans="1:51" x14ac:dyDescent="0.25">
      <c r="A33" s="34">
        <v>31</v>
      </c>
      <c r="B33" s="34" t="s">
        <v>50</v>
      </c>
      <c r="C33" s="110" t="str">
        <f>IFERROR(INDEX(Структура_ассортимента[SuperCategory],MATCH(Товары[[#This Row],[SubGroup]],Структура_ассортимента[Subgroup],0)),"")</f>
        <v>H</v>
      </c>
      <c r="D33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33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33" s="110" t="str">
        <f>IFERROR(INDEX(Структура_ассортимента[Product group],MATCH(Товары[[#This Row],[SubGroup]],Структура_ассортимента[Subgroup],0)),"")</f>
        <v>AET_P</v>
      </c>
      <c r="G33" s="110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33" s="110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33" s="36">
        <v>9323</v>
      </c>
      <c r="J33" s="36" t="str">
        <f>IFERROR(INDEX(Структура_ассортимента[Generic Name (long)],MATCH(Товары[[#This Row],[SubGroup]],Структура_ассортимента[Subgroup],0)),"")</f>
        <v>SHEAR, BATTERY</v>
      </c>
      <c r="L33" s="36">
        <v>966646901</v>
      </c>
      <c r="M33" s="35" t="s">
        <v>1717</v>
      </c>
      <c r="Q33" s="34" t="s">
        <v>3544</v>
      </c>
      <c r="R33" s="34" t="s">
        <v>3540</v>
      </c>
      <c r="S33" s="47">
        <v>40452</v>
      </c>
      <c r="T33" s="47">
        <v>0</v>
      </c>
      <c r="U33" s="47">
        <v>0</v>
      </c>
      <c r="V33" s="34">
        <v>4078500889803</v>
      </c>
      <c r="W33" s="34" t="s">
        <v>3647</v>
      </c>
      <c r="Y33" s="34" t="s">
        <v>3542</v>
      </c>
      <c r="Z33" s="34">
        <v>1</v>
      </c>
      <c r="AA33" s="34">
        <v>2530</v>
      </c>
      <c r="AB33" s="34">
        <v>2530</v>
      </c>
      <c r="AC33" s="34">
        <v>2015</v>
      </c>
      <c r="AD33" s="34">
        <v>2015</v>
      </c>
      <c r="AE33" s="34">
        <v>200</v>
      </c>
      <c r="AF33" s="34">
        <v>175</v>
      </c>
      <c r="AG33" s="34">
        <v>670</v>
      </c>
      <c r="AH33" s="34" t="s">
        <v>3648</v>
      </c>
      <c r="AM33" s="40" t="s">
        <v>8094</v>
      </c>
      <c r="AT33" s="44">
        <v>0</v>
      </c>
      <c r="AU33" s="44"/>
      <c r="AV33" s="46">
        <f>ROUND(Товары[[#This Row],[РРЦ финальная, руб.]]/$AU$1,2)</f>
        <v>0</v>
      </c>
      <c r="AW33" s="45" t="str">
        <f>IFERROR(Товары[[#This Row],[РРЦ, евро]]/Товары[[#This Row],[IRP, Eur]],"-")</f>
        <v>-</v>
      </c>
      <c r="AX33" s="42">
        <f>IFERROR(VLOOKUP(Товары[[#This Row],[SubGroup]],'Структура цен DIY'!$B:$C,2,FALSE),0)</f>
        <v>0.17999999999999994</v>
      </c>
      <c r="AY33" s="44">
        <v>0</v>
      </c>
    </row>
    <row r="34" spans="1:51" x14ac:dyDescent="0.25">
      <c r="A34" s="34">
        <v>32</v>
      </c>
      <c r="B34" s="34" t="s">
        <v>50</v>
      </c>
      <c r="C34" s="110" t="str">
        <f>IFERROR(INDEX(Структура_ассортимента[SuperCategory],MATCH(Товары[[#This Row],[SubGroup]],Структура_ассортимента[Subgroup],0)),"")</f>
        <v>H</v>
      </c>
      <c r="D34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34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34" s="110" t="str">
        <f>IFERROR(INDEX(Структура_ассортимента[Product group],MATCH(Товары[[#This Row],[SubGroup]],Структура_ассортимента[Subgroup],0)),"")</f>
        <v>AET_P</v>
      </c>
      <c r="G34" s="110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34" s="110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34" s="36">
        <v>9323</v>
      </c>
      <c r="J34" s="36" t="str">
        <f>IFERROR(INDEX(Структура_ассортимента[Generic Name (long)],MATCH(Товары[[#This Row],[SubGroup]],Структура_ассортимента[Subgroup],0)),"")</f>
        <v>SHEAR, BATTERY</v>
      </c>
      <c r="L34" s="36">
        <v>966758701</v>
      </c>
      <c r="M34" s="35" t="s">
        <v>1718</v>
      </c>
      <c r="Q34" s="34" t="s">
        <v>3544</v>
      </c>
      <c r="R34" s="34" t="s">
        <v>3540</v>
      </c>
      <c r="S34" s="47">
        <v>40634</v>
      </c>
      <c r="T34" s="47">
        <v>0</v>
      </c>
      <c r="U34" s="47">
        <v>0</v>
      </c>
      <c r="V34" s="34">
        <v>4078500889063</v>
      </c>
      <c r="W34" s="34" t="s">
        <v>3545</v>
      </c>
      <c r="Y34" s="34" t="s">
        <v>3542</v>
      </c>
      <c r="Z34" s="34">
        <v>1</v>
      </c>
      <c r="AA34" s="34">
        <v>2140</v>
      </c>
      <c r="AB34" s="34">
        <v>2140</v>
      </c>
      <c r="AC34" s="34">
        <v>1480</v>
      </c>
      <c r="AD34" s="34">
        <v>1480</v>
      </c>
      <c r="AE34" s="34">
        <v>1150</v>
      </c>
      <c r="AF34" s="34">
        <v>146</v>
      </c>
      <c r="AG34" s="34">
        <v>253</v>
      </c>
      <c r="AH34" s="34">
        <v>42479</v>
      </c>
      <c r="AM34" s="40" t="s">
        <v>8094</v>
      </c>
      <c r="AT34" s="44">
        <v>0</v>
      </c>
      <c r="AU34" s="44"/>
      <c r="AV34" s="46">
        <f>ROUND(Товары[[#This Row],[РРЦ финальная, руб.]]/$AU$1,2)</f>
        <v>0</v>
      </c>
      <c r="AW34" s="45" t="str">
        <f>IFERROR(Товары[[#This Row],[РРЦ, евро]]/Товары[[#This Row],[IRP, Eur]],"-")</f>
        <v>-</v>
      </c>
      <c r="AX34" s="42">
        <f>IFERROR(VLOOKUP(Товары[[#This Row],[SubGroup]],'Структура цен DIY'!$B:$C,2,FALSE),0)</f>
        <v>0.17999999999999994</v>
      </c>
      <c r="AY34" s="44">
        <v>0</v>
      </c>
    </row>
    <row r="35" spans="1:51" x14ac:dyDescent="0.25">
      <c r="A35" s="34">
        <v>33</v>
      </c>
      <c r="B35" s="34" t="s">
        <v>50</v>
      </c>
      <c r="C35" s="110" t="str">
        <f>IFERROR(INDEX(Структура_ассортимента[SuperCategory],MATCH(Товары[[#This Row],[SubGroup]],Структура_ассортимента[Subgroup],0)),"")</f>
        <v>H</v>
      </c>
      <c r="D35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35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35" s="110" t="str">
        <f>IFERROR(INDEX(Структура_ассортимента[Product group],MATCH(Товары[[#This Row],[SubGroup]],Структура_ассортимента[Subgroup],0)),"")</f>
        <v>AET_P</v>
      </c>
      <c r="G35" s="110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35" s="110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35" s="36">
        <v>9323</v>
      </c>
      <c r="J35" s="36" t="str">
        <f>IFERROR(INDEX(Структура_ассортимента[Generic Name (long)],MATCH(Товары[[#This Row],[SubGroup]],Структура_ассортимента[Subgroup],0)),"")</f>
        <v>SHEAR, BATTERY</v>
      </c>
      <c r="L35" s="36">
        <v>967037301</v>
      </c>
      <c r="M35" s="35" t="s">
        <v>1719</v>
      </c>
      <c r="P35" s="37" t="s">
        <v>3649</v>
      </c>
      <c r="Q35" s="34" t="s">
        <v>3544</v>
      </c>
      <c r="R35" s="34" t="s">
        <v>3540</v>
      </c>
      <c r="S35" s="47">
        <v>40909</v>
      </c>
      <c r="T35" s="47">
        <v>0</v>
      </c>
      <c r="U35" s="47">
        <v>0</v>
      </c>
      <c r="V35" s="34">
        <v>4078500889445</v>
      </c>
      <c r="W35" s="34" t="s">
        <v>3545</v>
      </c>
      <c r="Y35" s="34" t="s">
        <v>3542</v>
      </c>
      <c r="Z35" s="34">
        <v>1</v>
      </c>
      <c r="AB35" s="34">
        <v>2420</v>
      </c>
      <c r="AD35" s="34">
        <v>2200</v>
      </c>
      <c r="AE35" s="34">
        <v>1180</v>
      </c>
      <c r="AF35" s="34">
        <v>145</v>
      </c>
      <c r="AG35" s="34">
        <v>250</v>
      </c>
      <c r="AH35" s="34">
        <v>42775</v>
      </c>
      <c r="AM35" s="40" t="s">
        <v>233</v>
      </c>
      <c r="AT35" s="44">
        <v>0</v>
      </c>
      <c r="AU35" s="44"/>
      <c r="AV35" s="46">
        <f>ROUND(Товары[[#This Row],[РРЦ финальная, руб.]]/$AU$1,2)</f>
        <v>0</v>
      </c>
      <c r="AW35" s="45" t="str">
        <f>IFERROR(Товары[[#This Row],[РРЦ, евро]]/Товары[[#This Row],[IRP, Eur]],"-")</f>
        <v>-</v>
      </c>
      <c r="AX35" s="42">
        <f>IFERROR(VLOOKUP(Товары[[#This Row],[SubGroup]],'Структура цен DIY'!$B:$C,2,FALSE),0)</f>
        <v>0.17999999999999994</v>
      </c>
      <c r="AY35" s="44">
        <v>0</v>
      </c>
    </row>
    <row r="36" spans="1:51" x14ac:dyDescent="0.25">
      <c r="A36" s="34">
        <v>34</v>
      </c>
      <c r="B36" s="34" t="s">
        <v>50</v>
      </c>
      <c r="C36" s="110" t="str">
        <f>IFERROR(INDEX(Структура_ассортимента[SuperCategory],MATCH(Товары[[#This Row],[SubGroup]],Структура_ассортимента[Subgroup],0)),"")</f>
        <v>H</v>
      </c>
      <c r="D36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36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36" s="110" t="str">
        <f>IFERROR(INDEX(Структура_ассортимента[Product group],MATCH(Товары[[#This Row],[SubGroup]],Структура_ассортимента[Subgroup],0)),"")</f>
        <v>AET_P</v>
      </c>
      <c r="G36" s="110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36" s="110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36" s="36">
        <v>9323</v>
      </c>
      <c r="J36" s="36" t="str">
        <f>IFERROR(INDEX(Структура_ассортимента[Generic Name (long)],MATCH(Товары[[#This Row],[SubGroup]],Структура_ассортимента[Subgroup],0)),"")</f>
        <v>SHEAR, BATTERY</v>
      </c>
      <c r="L36" s="36">
        <v>967057001</v>
      </c>
      <c r="M36" s="35" t="s">
        <v>1720</v>
      </c>
      <c r="Q36" s="34" t="s">
        <v>3544</v>
      </c>
      <c r="R36" s="34" t="s">
        <v>3540</v>
      </c>
      <c r="S36" s="47">
        <v>0</v>
      </c>
      <c r="T36" s="47">
        <v>0</v>
      </c>
      <c r="U36" s="47">
        <v>0</v>
      </c>
      <c r="V36" s="34">
        <v>4078500021821</v>
      </c>
      <c r="W36" s="34" t="s">
        <v>3647</v>
      </c>
      <c r="Y36" s="34" t="s">
        <v>3542</v>
      </c>
      <c r="Z36" s="34">
        <v>1</v>
      </c>
      <c r="AA36" s="34">
        <v>0</v>
      </c>
      <c r="AB36" s="34">
        <v>0</v>
      </c>
      <c r="AC36" s="34">
        <v>0</v>
      </c>
      <c r="AD36" s="34">
        <v>0</v>
      </c>
      <c r="AE36" s="34">
        <v>0</v>
      </c>
      <c r="AF36" s="34">
        <v>0</v>
      </c>
      <c r="AG36" s="34">
        <v>0</v>
      </c>
      <c r="AH36" s="34">
        <v>0</v>
      </c>
      <c r="AM36" s="40" t="s">
        <v>8094</v>
      </c>
      <c r="AT36" s="44">
        <v>0</v>
      </c>
      <c r="AU36" s="44"/>
      <c r="AV36" s="46">
        <f>ROUND(Товары[[#This Row],[РРЦ финальная, руб.]]/$AU$1,2)</f>
        <v>0</v>
      </c>
      <c r="AW36" s="45" t="str">
        <f>IFERROR(Товары[[#This Row],[РРЦ, евро]]/Товары[[#This Row],[IRP, Eur]],"-")</f>
        <v>-</v>
      </c>
      <c r="AX36" s="42">
        <f>IFERROR(VLOOKUP(Товары[[#This Row],[SubGroup]],'Структура цен DIY'!$B:$C,2,FALSE),0)</f>
        <v>0.17999999999999994</v>
      </c>
      <c r="AY36" s="44">
        <v>0</v>
      </c>
    </row>
    <row r="37" spans="1:51" x14ac:dyDescent="0.25">
      <c r="A37" s="34">
        <v>35</v>
      </c>
      <c r="B37" s="34" t="s">
        <v>50</v>
      </c>
      <c r="C37" s="110" t="str">
        <f>IFERROR(INDEX(Структура_ассортимента[SuperCategory],MATCH(Товары[[#This Row],[SubGroup]],Структура_ассортимента[Subgroup],0)),"")</f>
        <v>H</v>
      </c>
      <c r="D37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37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37" s="110" t="str">
        <f>IFERROR(INDEX(Структура_ассортимента[Product group],MATCH(Товары[[#This Row],[SubGroup]],Структура_ассортимента[Subgroup],0)),"")</f>
        <v>AET_P</v>
      </c>
      <c r="G37" s="110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37" s="110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37" s="36">
        <v>9323</v>
      </c>
      <c r="J37" s="36" t="str">
        <f>IFERROR(INDEX(Структура_ассортимента[Generic Name (long)],MATCH(Товары[[#This Row],[SubGroup]],Структура_ассортимента[Subgroup],0)),"")</f>
        <v>SHEAR, BATTERY</v>
      </c>
      <c r="L37" s="36">
        <v>967624101</v>
      </c>
      <c r="M37" s="35" t="s">
        <v>1721</v>
      </c>
      <c r="Q37" s="34" t="s">
        <v>3544</v>
      </c>
      <c r="R37" s="34" t="s">
        <v>3540</v>
      </c>
      <c r="S37" s="47">
        <v>0</v>
      </c>
      <c r="T37" s="47">
        <v>0</v>
      </c>
      <c r="U37" s="47">
        <v>0</v>
      </c>
      <c r="V37" s="34">
        <v>4078500016537</v>
      </c>
      <c r="W37" s="34" t="s">
        <v>3647</v>
      </c>
      <c r="Y37" s="34" t="s">
        <v>3542</v>
      </c>
      <c r="Z37" s="34">
        <v>4</v>
      </c>
      <c r="AA37" s="34">
        <v>1</v>
      </c>
      <c r="AB37" s="34">
        <v>848</v>
      </c>
      <c r="AC37" s="34">
        <v>1</v>
      </c>
      <c r="AD37" s="34">
        <v>620</v>
      </c>
      <c r="AE37" s="34">
        <v>405</v>
      </c>
      <c r="AF37" s="34">
        <v>115</v>
      </c>
      <c r="AG37" s="34">
        <v>125</v>
      </c>
      <c r="AH37" s="34">
        <v>5822</v>
      </c>
      <c r="AM37" s="40" t="s">
        <v>8094</v>
      </c>
      <c r="AT37" s="44">
        <v>0</v>
      </c>
      <c r="AU37" s="44"/>
      <c r="AV37" s="46">
        <f>ROUND(Товары[[#This Row],[РРЦ финальная, руб.]]/$AU$1,2)</f>
        <v>0</v>
      </c>
      <c r="AW37" s="45" t="str">
        <f>IFERROR(Товары[[#This Row],[РРЦ, евро]]/Товары[[#This Row],[IRP, Eur]],"-")</f>
        <v>-</v>
      </c>
      <c r="AX37" s="42">
        <f>IFERROR(VLOOKUP(Товары[[#This Row],[SubGroup]],'Структура цен DIY'!$B:$C,2,FALSE),0)</f>
        <v>0.17999999999999994</v>
      </c>
      <c r="AY37" s="44">
        <v>0</v>
      </c>
    </row>
    <row r="38" spans="1:51" x14ac:dyDescent="0.25">
      <c r="A38" s="34">
        <v>36</v>
      </c>
      <c r="B38" s="34" t="s">
        <v>50</v>
      </c>
      <c r="C38" s="110" t="str">
        <f>IFERROR(INDEX(Структура_ассортимента[SuperCategory],MATCH(Товары[[#This Row],[SubGroup]],Структура_ассортимента[Subgroup],0)),"")</f>
        <v>H</v>
      </c>
      <c r="D38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38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38" s="110" t="str">
        <f>IFERROR(INDEX(Структура_ассортимента[Product group],MATCH(Товары[[#This Row],[SubGroup]],Структура_ассортимента[Subgroup],0)),"")</f>
        <v>AET_P</v>
      </c>
      <c r="G38" s="110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38" s="110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38" s="36">
        <v>9323</v>
      </c>
      <c r="J38" s="36" t="str">
        <f>IFERROR(INDEX(Структура_ассортимента[Generic Name (long)],MATCH(Товары[[#This Row],[SubGroup]],Структура_ассортимента[Subgroup],0)),"")</f>
        <v>SHEAR, BATTERY</v>
      </c>
      <c r="L38" s="36">
        <v>967057101</v>
      </c>
      <c r="M38" s="35" t="s">
        <v>1722</v>
      </c>
      <c r="Q38" s="34" t="s">
        <v>3544</v>
      </c>
      <c r="R38" s="34" t="s">
        <v>3540</v>
      </c>
      <c r="S38" s="47">
        <v>0</v>
      </c>
      <c r="T38" s="47">
        <v>0</v>
      </c>
      <c r="U38" s="47">
        <v>0</v>
      </c>
      <c r="V38" s="34">
        <v>4078500021814</v>
      </c>
      <c r="W38" s="34" t="s">
        <v>3647</v>
      </c>
      <c r="Y38" s="34" t="s">
        <v>3542</v>
      </c>
      <c r="Z38" s="34">
        <v>1</v>
      </c>
      <c r="AA38" s="34">
        <v>0</v>
      </c>
      <c r="AB38" s="34">
        <v>0</v>
      </c>
      <c r="AC38" s="34">
        <v>0</v>
      </c>
      <c r="AD38" s="34">
        <v>0</v>
      </c>
      <c r="AE38" s="34">
        <v>0</v>
      </c>
      <c r="AF38" s="34">
        <v>0</v>
      </c>
      <c r="AG38" s="34">
        <v>0</v>
      </c>
      <c r="AH38" s="34">
        <v>0</v>
      </c>
      <c r="AM38" s="40" t="s">
        <v>8094</v>
      </c>
      <c r="AT38" s="44">
        <v>0</v>
      </c>
      <c r="AU38" s="44"/>
      <c r="AV38" s="46">
        <f>ROUND(Товары[[#This Row],[РРЦ финальная, руб.]]/$AU$1,2)</f>
        <v>0</v>
      </c>
      <c r="AW38" s="45" t="str">
        <f>IFERROR(Товары[[#This Row],[РРЦ, евро]]/Товары[[#This Row],[IRP, Eur]],"-")</f>
        <v>-</v>
      </c>
      <c r="AX38" s="42">
        <f>IFERROR(VLOOKUP(Товары[[#This Row],[SubGroup]],'Структура цен DIY'!$B:$C,2,FALSE),0)</f>
        <v>0.17999999999999994</v>
      </c>
      <c r="AY38" s="44">
        <v>0</v>
      </c>
    </row>
    <row r="39" spans="1:51" x14ac:dyDescent="0.25">
      <c r="A39" s="34">
        <v>37</v>
      </c>
      <c r="B39" s="34" t="s">
        <v>50</v>
      </c>
      <c r="C39" s="110" t="str">
        <f>IFERROR(INDEX(Структура_ассортимента[SuperCategory],MATCH(Товары[[#This Row],[SubGroup]],Структура_ассортимента[Subgroup],0)),"")</f>
        <v>H</v>
      </c>
      <c r="D39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39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39" s="110" t="str">
        <f>IFERROR(INDEX(Структура_ассортимента[Product group],MATCH(Товары[[#This Row],[SubGroup]],Структура_ассортимента[Subgroup],0)),"")</f>
        <v>AET_P</v>
      </c>
      <c r="G39" s="110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39" s="110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39" s="36">
        <v>9323</v>
      </c>
      <c r="J39" s="36" t="str">
        <f>IFERROR(INDEX(Структура_ассортимента[Generic Name (long)],MATCH(Товары[[#This Row],[SubGroup]],Структура_ассортимента[Subgroup],0)),"")</f>
        <v>SHEAR, BATTERY</v>
      </c>
      <c r="L39" s="36">
        <v>967054901</v>
      </c>
      <c r="M39" s="35" t="s">
        <v>1723</v>
      </c>
      <c r="Q39" s="34" t="s">
        <v>3544</v>
      </c>
      <c r="R39" s="34" t="s">
        <v>3540</v>
      </c>
      <c r="S39" s="47">
        <v>0</v>
      </c>
      <c r="T39" s="47">
        <v>0</v>
      </c>
      <c r="U39" s="47">
        <v>0</v>
      </c>
      <c r="V39" s="34">
        <v>4078500021524</v>
      </c>
      <c r="W39" s="34" t="s">
        <v>3647</v>
      </c>
      <c r="Y39" s="34" t="s">
        <v>3542</v>
      </c>
      <c r="Z39" s="34">
        <v>14</v>
      </c>
      <c r="AA39" s="34">
        <v>0</v>
      </c>
      <c r="AB39" s="34">
        <v>0</v>
      </c>
      <c r="AC39" s="34">
        <v>0</v>
      </c>
      <c r="AD39" s="34">
        <v>0</v>
      </c>
      <c r="AE39" s="34">
        <v>0</v>
      </c>
      <c r="AF39" s="34">
        <v>0</v>
      </c>
      <c r="AG39" s="34">
        <v>0</v>
      </c>
      <c r="AH39" s="34">
        <v>0</v>
      </c>
      <c r="AM39" s="40" t="s">
        <v>8094</v>
      </c>
      <c r="AT39" s="44">
        <v>0</v>
      </c>
      <c r="AU39" s="44"/>
      <c r="AV39" s="46">
        <f>ROUND(Товары[[#This Row],[РРЦ финальная, руб.]]/$AU$1,2)</f>
        <v>0</v>
      </c>
      <c r="AW39" s="45" t="str">
        <f>IFERROR(Товары[[#This Row],[РРЦ, евро]]/Товары[[#This Row],[IRP, Eur]],"-")</f>
        <v>-</v>
      </c>
      <c r="AX39" s="42">
        <f>IFERROR(VLOOKUP(Товары[[#This Row],[SubGroup]],'Структура цен DIY'!$B:$C,2,FALSE),0)</f>
        <v>0.17999999999999994</v>
      </c>
      <c r="AY39" s="44">
        <v>0</v>
      </c>
    </row>
    <row r="40" spans="1:51" x14ac:dyDescent="0.25">
      <c r="A40" s="34">
        <v>38</v>
      </c>
      <c r="B40" s="34" t="s">
        <v>50</v>
      </c>
      <c r="C40" s="110" t="str">
        <f>IFERROR(INDEX(Структура_ассортимента[SuperCategory],MATCH(Товары[[#This Row],[SubGroup]],Структура_ассортимента[Subgroup],0)),"")</f>
        <v>H</v>
      </c>
      <c r="D40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40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40" s="110" t="str">
        <f>IFERROR(INDEX(Структура_ассортимента[Product group],MATCH(Товары[[#This Row],[SubGroup]],Структура_ассортимента[Subgroup],0)),"")</f>
        <v>AET_P</v>
      </c>
      <c r="G40" s="110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40" s="110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40" s="36">
        <v>9323</v>
      </c>
      <c r="J40" s="36" t="str">
        <f>IFERROR(INDEX(Структура_ассортимента[Generic Name (long)],MATCH(Товары[[#This Row],[SubGroup]],Структура_ассортимента[Subgroup],0)),"")</f>
        <v>SHEAR, BATTERY</v>
      </c>
      <c r="L40" s="36">
        <v>967691301</v>
      </c>
      <c r="M40" s="35" t="s">
        <v>1724</v>
      </c>
      <c r="P40" s="37" t="s">
        <v>3571</v>
      </c>
      <c r="Q40" s="34" t="s">
        <v>3544</v>
      </c>
      <c r="R40" s="34" t="s">
        <v>3540</v>
      </c>
      <c r="S40" s="47">
        <v>0</v>
      </c>
      <c r="T40" s="47">
        <v>0</v>
      </c>
      <c r="U40" s="47">
        <v>0</v>
      </c>
      <c r="V40" s="34">
        <v>4078500034753</v>
      </c>
      <c r="W40" s="34" t="s">
        <v>3647</v>
      </c>
      <c r="AM40" s="40" t="s">
        <v>233</v>
      </c>
      <c r="AT40" s="44">
        <v>0</v>
      </c>
      <c r="AU40" s="44"/>
      <c r="AV40" s="46">
        <f>ROUND(Товары[[#This Row],[РРЦ финальная, руб.]]/$AU$1,2)</f>
        <v>0</v>
      </c>
      <c r="AW40" s="45" t="str">
        <f>IFERROR(Товары[[#This Row],[РРЦ, евро]]/Товары[[#This Row],[IRP, Eur]],"-")</f>
        <v>-</v>
      </c>
      <c r="AX40" s="42">
        <f>IFERROR(VLOOKUP(Товары[[#This Row],[SubGroup]],'Структура цен DIY'!$B:$C,2,FALSE),0)</f>
        <v>0.17999999999999994</v>
      </c>
      <c r="AY40" s="44">
        <v>0</v>
      </c>
    </row>
    <row r="41" spans="1:51" x14ac:dyDescent="0.25">
      <c r="A41" s="34">
        <v>39</v>
      </c>
      <c r="B41" s="34" t="s">
        <v>56</v>
      </c>
      <c r="C41" s="110" t="str">
        <f>IFERROR(INDEX(Структура_ассортимента[SuperCategory],MATCH(Товары[[#This Row],[SubGroup]],Структура_ассортимента[Subgroup],0)),"")</f>
        <v>A</v>
      </c>
      <c r="D4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1" s="110" t="str">
        <f>IFERROR(INDEX(Структура_ассортимента[Product group],MATCH(Товары[[#This Row],[SubGroup]],Структура_ассортимента[Subgroup],0)),"")</f>
        <v>AMA_C</v>
      </c>
      <c r="G41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41" s="110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41" s="36">
        <v>9242</v>
      </c>
      <c r="J41" s="36" t="str">
        <f>IFERROR(INDEX(Структура_ассортимента[Generic Name (long)],MATCH(Товары[[#This Row],[SubGroup]],Структура_ассортимента[Subgroup],0)),"")</f>
        <v>GLOVES</v>
      </c>
      <c r="L41" s="36">
        <v>967865901</v>
      </c>
      <c r="M41" s="35" t="s">
        <v>1725</v>
      </c>
      <c r="O41" s="35" t="s">
        <v>3650</v>
      </c>
      <c r="P41" s="37" t="s">
        <v>3651</v>
      </c>
      <c r="Q41" s="34" t="s">
        <v>3652</v>
      </c>
      <c r="R41" s="34" t="s">
        <v>3540</v>
      </c>
      <c r="S41" s="47">
        <v>43160</v>
      </c>
      <c r="T41" s="47">
        <v>44196</v>
      </c>
      <c r="U41" s="47">
        <v>0</v>
      </c>
      <c r="V41" s="34">
        <v>4078500043229</v>
      </c>
      <c r="W41" s="34" t="s">
        <v>3546</v>
      </c>
      <c r="X41" s="34" t="s">
        <v>3551</v>
      </c>
      <c r="Y41" s="34" t="s">
        <v>3542</v>
      </c>
      <c r="Z41" s="34">
        <v>6</v>
      </c>
      <c r="AA41" s="34">
        <v>65</v>
      </c>
      <c r="AB41" s="34" t="s">
        <v>3653</v>
      </c>
      <c r="AC41" s="34">
        <v>60</v>
      </c>
      <c r="AD41" s="34" t="s">
        <v>3654</v>
      </c>
      <c r="AE41" s="34" t="s">
        <v>3655</v>
      </c>
      <c r="AF41" s="34" t="s">
        <v>3566</v>
      </c>
      <c r="AG41" s="34" t="s">
        <v>3656</v>
      </c>
      <c r="AH41" s="34" t="s">
        <v>3657</v>
      </c>
      <c r="AL41" s="34" t="s">
        <v>3658</v>
      </c>
      <c r="AM41" s="40" t="s">
        <v>9</v>
      </c>
      <c r="AP41" s="34">
        <v>0</v>
      </c>
      <c r="AQ41" s="34">
        <v>653</v>
      </c>
      <c r="AR41" s="34">
        <v>381</v>
      </c>
      <c r="AT41" s="44">
        <v>50600</v>
      </c>
      <c r="AU41" s="44"/>
      <c r="AV41" s="46">
        <f>ROUND(Товары[[#This Row],[РРЦ финальная, руб.]]/$AU$1,2)</f>
        <v>0</v>
      </c>
      <c r="AW41" s="45" t="str">
        <f>IFERROR(Товары[[#This Row],[РРЦ, евро]]/Товары[[#This Row],[IRP, Eur]],"-")</f>
        <v>-</v>
      </c>
      <c r="AX41" s="42">
        <f>IFERROR(VLOOKUP(Товары[[#This Row],[SubGroup]],'Структура цен DIY'!$B:$C,2,FALSE),0)</f>
        <v>0.28999999999999998</v>
      </c>
      <c r="AY41" s="44">
        <v>0</v>
      </c>
    </row>
    <row r="42" spans="1:51" x14ac:dyDescent="0.25">
      <c r="A42" s="34">
        <v>40</v>
      </c>
      <c r="B42" s="34" t="s">
        <v>56</v>
      </c>
      <c r="C42" s="110" t="str">
        <f>IFERROR(INDEX(Структура_ассортимента[SuperCategory],MATCH(Товары[[#This Row],[SubGroup]],Структура_ассортимента[Subgroup],0)),"")</f>
        <v>A</v>
      </c>
      <c r="D4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2" s="110" t="str">
        <f>IFERROR(INDEX(Структура_ассортимента[Product group],MATCH(Товары[[#This Row],[SubGroup]],Структура_ассортимента[Subgroup],0)),"")</f>
        <v>AMA_C</v>
      </c>
      <c r="G42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42" s="110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42" s="36">
        <v>9242</v>
      </c>
      <c r="J42" s="36" t="str">
        <f>IFERROR(INDEX(Структура_ассортимента[Generic Name (long)],MATCH(Товары[[#This Row],[SubGroup]],Структура_ассортимента[Subgroup],0)),"")</f>
        <v>GLOVES</v>
      </c>
      <c r="L42" s="36">
        <v>967866001</v>
      </c>
      <c r="M42" s="35" t="s">
        <v>1726</v>
      </c>
      <c r="O42" s="35" t="s">
        <v>3659</v>
      </c>
      <c r="P42" s="37" t="s">
        <v>3660</v>
      </c>
      <c r="Q42" s="34" t="s">
        <v>3652</v>
      </c>
      <c r="R42" s="34" t="s">
        <v>3540</v>
      </c>
      <c r="S42" s="47">
        <v>43160</v>
      </c>
      <c r="T42" s="47">
        <v>44196</v>
      </c>
      <c r="U42" s="47">
        <v>0</v>
      </c>
      <c r="V42" s="34">
        <v>4078500043243</v>
      </c>
      <c r="W42" s="34" t="s">
        <v>3546</v>
      </c>
      <c r="X42" s="34" t="s">
        <v>3551</v>
      </c>
      <c r="Y42" s="34" t="s">
        <v>3542</v>
      </c>
      <c r="Z42" s="34">
        <v>6</v>
      </c>
      <c r="AA42" s="34">
        <v>65</v>
      </c>
      <c r="AB42" s="34" t="s">
        <v>3653</v>
      </c>
      <c r="AC42" s="34">
        <v>60</v>
      </c>
      <c r="AD42" s="34" t="s">
        <v>3661</v>
      </c>
      <c r="AE42" s="34" t="s">
        <v>3662</v>
      </c>
      <c r="AF42" s="34" t="s">
        <v>3566</v>
      </c>
      <c r="AG42" s="34" t="s">
        <v>3663</v>
      </c>
      <c r="AH42" s="34" t="s">
        <v>3664</v>
      </c>
      <c r="AL42" s="34" t="s">
        <v>3658</v>
      </c>
      <c r="AM42" s="40" t="s">
        <v>9</v>
      </c>
      <c r="AP42" s="34">
        <v>0</v>
      </c>
      <c r="AQ42" s="34">
        <v>867</v>
      </c>
      <c r="AR42" s="34">
        <v>506</v>
      </c>
      <c r="AT42" s="44">
        <v>67200</v>
      </c>
      <c r="AU42" s="44"/>
      <c r="AV42" s="46">
        <f>ROUND(Товары[[#This Row],[РРЦ финальная, руб.]]/$AU$1,2)</f>
        <v>0</v>
      </c>
      <c r="AW42" s="45" t="str">
        <f>IFERROR(Товары[[#This Row],[РРЦ, евро]]/Товары[[#This Row],[IRP, Eur]],"-")</f>
        <v>-</v>
      </c>
      <c r="AX42" s="42">
        <f>IFERROR(VLOOKUP(Товары[[#This Row],[SubGroup]],'Структура цен DIY'!$B:$C,2,FALSE),0)</f>
        <v>0.28999999999999998</v>
      </c>
      <c r="AY42" s="44">
        <v>0</v>
      </c>
    </row>
    <row r="43" spans="1:51" x14ac:dyDescent="0.25">
      <c r="A43" s="34">
        <v>41</v>
      </c>
      <c r="B43" s="34" t="s">
        <v>56</v>
      </c>
      <c r="C43" s="110" t="str">
        <f>IFERROR(INDEX(Структура_ассортимента[SuperCategory],MATCH(Товары[[#This Row],[SubGroup]],Структура_ассортимента[Subgroup],0)),"")</f>
        <v>A</v>
      </c>
      <c r="D4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3" s="110" t="str">
        <f>IFERROR(INDEX(Структура_ассортимента[Product group],MATCH(Товары[[#This Row],[SubGroup]],Структура_ассортимента[Subgroup],0)),"")</f>
        <v>AMA_C</v>
      </c>
      <c r="G43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43" s="110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43" s="36">
        <v>9242</v>
      </c>
      <c r="J43" s="36" t="str">
        <f>IFERROR(INDEX(Структура_ассортимента[Generic Name (long)],MATCH(Товары[[#This Row],[SubGroup]],Структура_ассортимента[Subgroup],0)),"")</f>
        <v>GLOVES</v>
      </c>
      <c r="L43" s="36">
        <v>967866101</v>
      </c>
      <c r="M43" s="35" t="s">
        <v>1727</v>
      </c>
      <c r="O43" s="35" t="s">
        <v>3665</v>
      </c>
      <c r="P43" s="37" t="s">
        <v>3666</v>
      </c>
      <c r="Q43" s="34" t="s">
        <v>3652</v>
      </c>
      <c r="R43" s="34" t="s">
        <v>3540</v>
      </c>
      <c r="S43" s="47">
        <v>43160</v>
      </c>
      <c r="T43" s="47">
        <v>44196</v>
      </c>
      <c r="U43" s="47">
        <v>0</v>
      </c>
      <c r="V43" s="34">
        <v>4078500043267</v>
      </c>
      <c r="W43" s="34" t="s">
        <v>3546</v>
      </c>
      <c r="X43" s="34" t="s">
        <v>3551</v>
      </c>
      <c r="Y43" s="34" t="s">
        <v>3542</v>
      </c>
      <c r="Z43" s="34">
        <v>6</v>
      </c>
      <c r="AA43" s="34">
        <v>65</v>
      </c>
      <c r="AB43" s="34" t="s">
        <v>3653</v>
      </c>
      <c r="AC43" s="34">
        <v>60</v>
      </c>
      <c r="AD43" s="34" t="s">
        <v>3667</v>
      </c>
      <c r="AE43" s="34" t="s">
        <v>3662</v>
      </c>
      <c r="AF43" s="34" t="s">
        <v>3566</v>
      </c>
      <c r="AG43" s="34" t="s">
        <v>3663</v>
      </c>
      <c r="AH43" s="34" t="s">
        <v>3664</v>
      </c>
      <c r="AL43" s="34" t="s">
        <v>3658</v>
      </c>
      <c r="AM43" s="40" t="s">
        <v>9</v>
      </c>
      <c r="AP43" s="34">
        <v>0</v>
      </c>
      <c r="AQ43" s="34">
        <v>867</v>
      </c>
      <c r="AR43" s="34">
        <v>506</v>
      </c>
      <c r="AT43" s="44">
        <v>67200</v>
      </c>
      <c r="AU43" s="44"/>
      <c r="AV43" s="46">
        <f>ROUND(Товары[[#This Row],[РРЦ финальная, руб.]]/$AU$1,2)</f>
        <v>0</v>
      </c>
      <c r="AW43" s="45" t="str">
        <f>IFERROR(Товары[[#This Row],[РРЦ, евро]]/Товары[[#This Row],[IRP, Eur]],"-")</f>
        <v>-</v>
      </c>
      <c r="AX43" s="42">
        <f>IFERROR(VLOOKUP(Товары[[#This Row],[SubGroup]],'Структура цен DIY'!$B:$C,2,FALSE),0)</f>
        <v>0.28999999999999998</v>
      </c>
      <c r="AY43" s="44">
        <v>0</v>
      </c>
    </row>
    <row r="44" spans="1:51" x14ac:dyDescent="0.25">
      <c r="A44" s="34">
        <v>42</v>
      </c>
      <c r="B44" s="34" t="s">
        <v>56</v>
      </c>
      <c r="C44" s="110" t="str">
        <f>IFERROR(INDEX(Структура_ассортимента[SuperCategory],MATCH(Товары[[#This Row],[SubGroup]],Структура_ассортимента[Subgroup],0)),"")</f>
        <v>A</v>
      </c>
      <c r="D4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4" s="110" t="str">
        <f>IFERROR(INDEX(Структура_ассортимента[Product group],MATCH(Товары[[#This Row],[SubGroup]],Структура_ассортимента[Subgroup],0)),"")</f>
        <v>AMA_C</v>
      </c>
      <c r="G44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44" s="110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44" s="36">
        <v>9242</v>
      </c>
      <c r="J44" s="36" t="str">
        <f>IFERROR(INDEX(Структура_ассортимента[Generic Name (long)],MATCH(Товары[[#This Row],[SubGroup]],Структура_ассортимента[Subgroup],0)),"")</f>
        <v>GLOVES</v>
      </c>
      <c r="L44" s="36">
        <v>967866201</v>
      </c>
      <c r="M44" s="35" t="s">
        <v>1728</v>
      </c>
      <c r="O44" s="35" t="s">
        <v>3668</v>
      </c>
      <c r="P44" s="37" t="s">
        <v>3669</v>
      </c>
      <c r="Q44" s="34" t="s">
        <v>3652</v>
      </c>
      <c r="R44" s="34" t="s">
        <v>3540</v>
      </c>
      <c r="S44" s="47">
        <v>43160</v>
      </c>
      <c r="T44" s="47">
        <v>44196</v>
      </c>
      <c r="U44" s="47">
        <v>0</v>
      </c>
      <c r="V44" s="34">
        <v>4078500043281</v>
      </c>
      <c r="W44" s="34" t="s">
        <v>3546</v>
      </c>
      <c r="X44" s="34" t="s">
        <v>3551</v>
      </c>
      <c r="Y44" s="34" t="s">
        <v>3542</v>
      </c>
      <c r="Z44" s="34">
        <v>6</v>
      </c>
      <c r="AA44" s="34">
        <v>105</v>
      </c>
      <c r="AB44" s="34" t="s">
        <v>3670</v>
      </c>
      <c r="AC44" s="34">
        <v>100</v>
      </c>
      <c r="AD44" s="34" t="s">
        <v>3671</v>
      </c>
      <c r="AE44" s="34" t="s">
        <v>3655</v>
      </c>
      <c r="AF44" s="34" t="s">
        <v>3566</v>
      </c>
      <c r="AG44" s="34" t="s">
        <v>3672</v>
      </c>
      <c r="AH44" s="34" t="s">
        <v>3673</v>
      </c>
      <c r="AL44" s="34" t="s">
        <v>3658</v>
      </c>
      <c r="AM44" s="40" t="s">
        <v>9</v>
      </c>
      <c r="AP44" s="34">
        <v>0</v>
      </c>
      <c r="AQ44" s="34">
        <v>1850</v>
      </c>
      <c r="AR44" s="34">
        <v>1079</v>
      </c>
      <c r="AT44" s="44">
        <v>143300</v>
      </c>
      <c r="AU44" s="44"/>
      <c r="AV44" s="46">
        <f>ROUND(Товары[[#This Row],[РРЦ финальная, руб.]]/$AU$1,2)</f>
        <v>0</v>
      </c>
      <c r="AW44" s="45" t="str">
        <f>IFERROR(Товары[[#This Row],[РРЦ, евро]]/Товары[[#This Row],[IRP, Eur]],"-")</f>
        <v>-</v>
      </c>
      <c r="AX44" s="42">
        <f>IFERROR(VLOOKUP(Товары[[#This Row],[SubGroup]],'Структура цен DIY'!$B:$C,2,FALSE),0)</f>
        <v>0.28999999999999998</v>
      </c>
      <c r="AY44" s="44">
        <v>0</v>
      </c>
    </row>
    <row r="45" spans="1:51" x14ac:dyDescent="0.25">
      <c r="A45" s="34">
        <v>43</v>
      </c>
      <c r="B45" s="34" t="s">
        <v>56</v>
      </c>
      <c r="C45" s="110" t="str">
        <f>IFERROR(INDEX(Структура_ассортимента[SuperCategory],MATCH(Товары[[#This Row],[SubGroup]],Структура_ассортимента[Subgroup],0)),"")</f>
        <v>A</v>
      </c>
      <c r="D4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5" s="110" t="str">
        <f>IFERROR(INDEX(Структура_ассортимента[Product group],MATCH(Товары[[#This Row],[SubGroup]],Структура_ассортимента[Subgroup],0)),"")</f>
        <v>AMA_C</v>
      </c>
      <c r="G45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45" s="110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45" s="36">
        <v>9242</v>
      </c>
      <c r="J45" s="36" t="str">
        <f>IFERROR(INDEX(Структура_ассортимента[Generic Name (long)],MATCH(Товары[[#This Row],[SubGroup]],Структура_ассортимента[Subgroup],0)),"")</f>
        <v>GLOVES</v>
      </c>
      <c r="L45" s="36">
        <v>967866301</v>
      </c>
      <c r="M45" s="35" t="s">
        <v>1729</v>
      </c>
      <c r="O45" s="35" t="s">
        <v>3674</v>
      </c>
      <c r="P45" s="37" t="s">
        <v>3675</v>
      </c>
      <c r="Q45" s="34" t="s">
        <v>3652</v>
      </c>
      <c r="R45" s="34" t="s">
        <v>3540</v>
      </c>
      <c r="S45" s="47">
        <v>43160</v>
      </c>
      <c r="T45" s="47">
        <v>44196</v>
      </c>
      <c r="U45" s="47">
        <v>0</v>
      </c>
      <c r="V45" s="34">
        <v>4078500043311</v>
      </c>
      <c r="W45" s="34" t="s">
        <v>3546</v>
      </c>
      <c r="X45" s="34" t="s">
        <v>3551</v>
      </c>
      <c r="Y45" s="34" t="s">
        <v>3542</v>
      </c>
      <c r="Z45" s="34">
        <v>6</v>
      </c>
      <c r="AA45" s="34">
        <v>100</v>
      </c>
      <c r="AB45" s="34" t="s">
        <v>3676</v>
      </c>
      <c r="AC45" s="34">
        <v>95</v>
      </c>
      <c r="AD45" s="34" t="s">
        <v>3677</v>
      </c>
      <c r="AE45" s="34" t="s">
        <v>3555</v>
      </c>
      <c r="AF45" s="34" t="s">
        <v>3566</v>
      </c>
      <c r="AG45" s="34" t="s">
        <v>3678</v>
      </c>
      <c r="AH45" s="34" t="s">
        <v>3679</v>
      </c>
      <c r="AL45" s="34" t="s">
        <v>3658</v>
      </c>
      <c r="AM45" s="40" t="s">
        <v>9</v>
      </c>
      <c r="AP45" s="34">
        <v>0</v>
      </c>
      <c r="AQ45" s="34">
        <v>2118</v>
      </c>
      <c r="AR45" s="34">
        <v>1236</v>
      </c>
      <c r="AT45" s="44">
        <v>164000</v>
      </c>
      <c r="AU45" s="44"/>
      <c r="AV45" s="46">
        <f>ROUND(Товары[[#This Row],[РРЦ финальная, руб.]]/$AU$1,2)</f>
        <v>0</v>
      </c>
      <c r="AW45" s="45" t="str">
        <f>IFERROR(Товары[[#This Row],[РРЦ, евро]]/Товары[[#This Row],[IRP, Eur]],"-")</f>
        <v>-</v>
      </c>
      <c r="AX45" s="42">
        <f>IFERROR(VLOOKUP(Товары[[#This Row],[SubGroup]],'Структура цен DIY'!$B:$C,2,FALSE),0)</f>
        <v>0.28999999999999998</v>
      </c>
      <c r="AY45" s="44">
        <v>0</v>
      </c>
    </row>
    <row r="46" spans="1:51" x14ac:dyDescent="0.25">
      <c r="A46" s="34">
        <v>44</v>
      </c>
      <c r="B46" s="34" t="s">
        <v>56</v>
      </c>
      <c r="C46" s="110" t="str">
        <f>IFERROR(INDEX(Структура_ассортимента[SuperCategory],MATCH(Товары[[#This Row],[SubGroup]],Структура_ассортимента[Subgroup],0)),"")</f>
        <v>A</v>
      </c>
      <c r="D4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6" s="110" t="str">
        <f>IFERROR(INDEX(Структура_ассортимента[Product group],MATCH(Товары[[#This Row],[SubGroup]],Структура_ассортимента[Subgroup],0)),"")</f>
        <v>AMA_C</v>
      </c>
      <c r="G46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46" s="110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46" s="36">
        <v>9242</v>
      </c>
      <c r="J46" s="36" t="str">
        <f>IFERROR(INDEX(Структура_ассортимента[Generic Name (long)],MATCH(Товары[[#This Row],[SubGroup]],Структура_ассортимента[Subgroup],0)),"")</f>
        <v>GLOVES</v>
      </c>
      <c r="L46" s="36">
        <v>900834001</v>
      </c>
      <c r="M46" s="35" t="s">
        <v>1730</v>
      </c>
      <c r="Q46" s="34" t="s">
        <v>3549</v>
      </c>
      <c r="R46" s="34" t="s">
        <v>3540</v>
      </c>
      <c r="S46" s="47">
        <v>36434</v>
      </c>
      <c r="T46" s="47">
        <v>0</v>
      </c>
      <c r="U46" s="47">
        <v>0</v>
      </c>
      <c r="V46" s="34">
        <v>4078500023207</v>
      </c>
      <c r="W46" s="34" t="s">
        <v>3543</v>
      </c>
      <c r="X46" s="34" t="s">
        <v>3579</v>
      </c>
      <c r="Y46" s="34" t="s">
        <v>3542</v>
      </c>
      <c r="Z46" s="34">
        <v>1</v>
      </c>
      <c r="AA46" s="34" t="s">
        <v>3680</v>
      </c>
      <c r="AB46" s="34" t="s">
        <v>3680</v>
      </c>
      <c r="AC46" s="34" t="s">
        <v>3681</v>
      </c>
      <c r="AD46" s="34" t="s">
        <v>3681</v>
      </c>
      <c r="AE46" s="34" t="s">
        <v>3682</v>
      </c>
      <c r="AF46" s="34" t="s">
        <v>3683</v>
      </c>
      <c r="AG46" s="34" t="s">
        <v>3684</v>
      </c>
      <c r="AH46" s="34" t="s">
        <v>3685</v>
      </c>
      <c r="AI46" s="34" t="s">
        <v>3686</v>
      </c>
      <c r="AJ46" s="34" t="s">
        <v>3687</v>
      </c>
      <c r="AK46" s="34" t="s">
        <v>3688</v>
      </c>
      <c r="AL46" s="34" t="s">
        <v>3689</v>
      </c>
      <c r="AM46" s="40" t="s">
        <v>8095</v>
      </c>
      <c r="AT46" s="44">
        <v>0</v>
      </c>
      <c r="AU46" s="44"/>
      <c r="AV46" s="46">
        <f>ROUND(Товары[[#This Row],[РРЦ финальная, руб.]]/$AU$1,2)</f>
        <v>0</v>
      </c>
      <c r="AW46" s="45" t="str">
        <f>IFERROR(Товары[[#This Row],[РРЦ, евро]]/Товары[[#This Row],[IRP, Eur]],"-")</f>
        <v>-</v>
      </c>
      <c r="AX46" s="42">
        <f>IFERROR(VLOOKUP(Товары[[#This Row],[SubGroup]],'Структура цен DIY'!$B:$C,2,FALSE),0)</f>
        <v>0.28999999999999998</v>
      </c>
      <c r="AY46" s="44">
        <v>0</v>
      </c>
    </row>
    <row r="47" spans="1:51" x14ac:dyDescent="0.25">
      <c r="A47" s="34">
        <v>45</v>
      </c>
      <c r="B47" s="34" t="s">
        <v>56</v>
      </c>
      <c r="C47" s="110" t="str">
        <f>IFERROR(INDEX(Структура_ассортимента[SuperCategory],MATCH(Товары[[#This Row],[SubGroup]],Структура_ассортимента[Subgroup],0)),"")</f>
        <v>A</v>
      </c>
      <c r="D4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7" s="110" t="str">
        <f>IFERROR(INDEX(Структура_ассортимента[Product group],MATCH(Товары[[#This Row],[SubGroup]],Структура_ассортимента[Subgroup],0)),"")</f>
        <v>AMA_C</v>
      </c>
      <c r="G47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47" s="110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47" s="36">
        <v>9242</v>
      </c>
      <c r="J47" s="36" t="str">
        <f>IFERROR(INDEX(Структура_ассортимента[Generic Name (long)],MATCH(Товары[[#This Row],[SubGroup]],Структура_ассортимента[Subgroup],0)),"")</f>
        <v>GLOVES</v>
      </c>
      <c r="L47" s="36">
        <v>901048101</v>
      </c>
      <c r="M47" s="35" t="s">
        <v>1731</v>
      </c>
      <c r="Q47" s="34" t="s">
        <v>3549</v>
      </c>
      <c r="R47" s="34" t="s">
        <v>3540</v>
      </c>
      <c r="S47" s="47">
        <v>35431</v>
      </c>
      <c r="T47" s="47">
        <v>0</v>
      </c>
      <c r="U47" s="47">
        <v>0</v>
      </c>
      <c r="V47" s="34">
        <v>4078500356701</v>
      </c>
      <c r="W47" s="34" t="s">
        <v>3543</v>
      </c>
      <c r="X47" s="34" t="s">
        <v>3579</v>
      </c>
      <c r="Y47" s="34" t="s">
        <v>3542</v>
      </c>
      <c r="Z47" s="34">
        <v>5</v>
      </c>
      <c r="AA47" s="34" t="s">
        <v>3690</v>
      </c>
      <c r="AB47" s="34" t="s">
        <v>3690</v>
      </c>
      <c r="AC47" s="34" t="s">
        <v>3691</v>
      </c>
      <c r="AD47" s="34" t="s">
        <v>3691</v>
      </c>
      <c r="AE47" s="34" t="s">
        <v>3692</v>
      </c>
      <c r="AF47" s="34" t="s">
        <v>3693</v>
      </c>
      <c r="AG47" s="34" t="s">
        <v>3672</v>
      </c>
      <c r="AH47" s="34" t="s">
        <v>3694</v>
      </c>
      <c r="AL47" s="34">
        <v>150</v>
      </c>
      <c r="AM47" s="40" t="s">
        <v>8095</v>
      </c>
      <c r="AT47" s="44">
        <v>0</v>
      </c>
      <c r="AU47" s="44"/>
      <c r="AV47" s="46">
        <f>ROUND(Товары[[#This Row],[РРЦ финальная, руб.]]/$AU$1,2)</f>
        <v>0</v>
      </c>
      <c r="AW47" s="45" t="str">
        <f>IFERROR(Товары[[#This Row],[РРЦ, евро]]/Товары[[#This Row],[IRP, Eur]],"-")</f>
        <v>-</v>
      </c>
      <c r="AX47" s="42">
        <f>IFERROR(VLOOKUP(Товары[[#This Row],[SubGroup]],'Структура цен DIY'!$B:$C,2,FALSE),0)</f>
        <v>0.28999999999999998</v>
      </c>
      <c r="AY47" s="44">
        <v>0</v>
      </c>
    </row>
    <row r="48" spans="1:51" x14ac:dyDescent="0.25">
      <c r="A48" s="34">
        <v>46</v>
      </c>
      <c r="B48" s="34" t="s">
        <v>56</v>
      </c>
      <c r="C48" s="110" t="str">
        <f>IFERROR(INDEX(Структура_ассортимента[SuperCategory],MATCH(Товары[[#This Row],[SubGroup]],Структура_ассортимента[Subgroup],0)),"")</f>
        <v>A</v>
      </c>
      <c r="D4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8" s="110" t="str">
        <f>IFERROR(INDEX(Структура_ассортимента[Product group],MATCH(Товары[[#This Row],[SubGroup]],Структура_ассортимента[Subgroup],0)),"")</f>
        <v>AMA_C</v>
      </c>
      <c r="G48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48" s="110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48" s="36">
        <v>9242</v>
      </c>
      <c r="J48" s="36" t="str">
        <f>IFERROR(INDEX(Структура_ассортимента[Generic Name (long)],MATCH(Товары[[#This Row],[SubGroup]],Структура_ассортимента[Subgroup],0)),"")</f>
        <v>GLOVES</v>
      </c>
      <c r="L48" s="36">
        <v>901037201</v>
      </c>
      <c r="M48" s="35" t="s">
        <v>1732</v>
      </c>
      <c r="Q48" s="34" t="s">
        <v>3549</v>
      </c>
      <c r="R48" s="34" t="s">
        <v>3540</v>
      </c>
      <c r="S48" s="47">
        <v>35704</v>
      </c>
      <c r="T48" s="47">
        <v>0</v>
      </c>
      <c r="U48" s="47">
        <v>0</v>
      </c>
      <c r="V48" s="34">
        <v>4078500306706</v>
      </c>
      <c r="W48" s="34" t="s">
        <v>3543</v>
      </c>
      <c r="X48" s="34" t="s">
        <v>3579</v>
      </c>
      <c r="Y48" s="34" t="s">
        <v>3542</v>
      </c>
      <c r="Z48" s="34">
        <v>25</v>
      </c>
      <c r="AA48" s="34" t="s">
        <v>3695</v>
      </c>
      <c r="AB48" s="34" t="s">
        <v>3695</v>
      </c>
      <c r="AC48" s="34" t="s">
        <v>3696</v>
      </c>
      <c r="AD48" s="34" t="s">
        <v>3696</v>
      </c>
      <c r="AE48" s="34" t="s">
        <v>3697</v>
      </c>
      <c r="AF48" s="34" t="s">
        <v>3698</v>
      </c>
      <c r="AG48" s="34" t="s">
        <v>3699</v>
      </c>
      <c r="AH48" s="34" t="s">
        <v>3700</v>
      </c>
      <c r="AL48" s="34">
        <v>250</v>
      </c>
      <c r="AM48" s="40" t="s">
        <v>8095</v>
      </c>
      <c r="AT48" s="44">
        <v>0</v>
      </c>
      <c r="AU48" s="44"/>
      <c r="AV48" s="46">
        <f>ROUND(Товары[[#This Row],[РРЦ финальная, руб.]]/$AU$1,2)</f>
        <v>0</v>
      </c>
      <c r="AW48" s="45" t="str">
        <f>IFERROR(Товары[[#This Row],[РРЦ, евро]]/Товары[[#This Row],[IRP, Eur]],"-")</f>
        <v>-</v>
      </c>
      <c r="AX48" s="42">
        <f>IFERROR(VLOOKUP(Товары[[#This Row],[SubGroup]],'Структура цен DIY'!$B:$C,2,FALSE),0)</f>
        <v>0.28999999999999998</v>
      </c>
      <c r="AY48" s="44">
        <v>0</v>
      </c>
    </row>
    <row r="49" spans="1:51" x14ac:dyDescent="0.25">
      <c r="A49" s="34">
        <v>47</v>
      </c>
      <c r="B49" s="34" t="s">
        <v>56</v>
      </c>
      <c r="C49" s="110" t="str">
        <f>IFERROR(INDEX(Структура_ассортимента[SuperCategory],MATCH(Товары[[#This Row],[SubGroup]],Структура_ассортимента[Subgroup],0)),"")</f>
        <v>A</v>
      </c>
      <c r="D4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9" s="110" t="str">
        <f>IFERROR(INDEX(Структура_ассортимента[Product group],MATCH(Товары[[#This Row],[SubGroup]],Структура_ассортимента[Subgroup],0)),"")</f>
        <v>AMA_C</v>
      </c>
      <c r="G49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49" s="110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49" s="36">
        <v>9242</v>
      </c>
      <c r="J49" s="36" t="str">
        <f>IFERROR(INDEX(Структура_ассортимента[Generic Name (long)],MATCH(Товары[[#This Row],[SubGroup]],Структура_ассортимента[Subgroup],0)),"")</f>
        <v>GLOVES</v>
      </c>
      <c r="L49" s="36">
        <v>966642401</v>
      </c>
      <c r="M49" s="35" t="s">
        <v>1733</v>
      </c>
      <c r="O49" s="35" t="s">
        <v>3701</v>
      </c>
      <c r="P49" s="37" t="s">
        <v>3702</v>
      </c>
      <c r="Q49" s="34" t="s">
        <v>3652</v>
      </c>
      <c r="R49" s="34" t="s">
        <v>3540</v>
      </c>
      <c r="S49" s="47">
        <v>40452</v>
      </c>
      <c r="T49" s="47">
        <v>44196</v>
      </c>
      <c r="U49" s="47">
        <v>0</v>
      </c>
      <c r="V49" s="34">
        <v>4078500351706</v>
      </c>
      <c r="W49" s="34" t="s">
        <v>3703</v>
      </c>
      <c r="X49" s="34" t="s">
        <v>3704</v>
      </c>
      <c r="Y49" s="34" t="s">
        <v>3542</v>
      </c>
      <c r="Z49" s="34">
        <v>4</v>
      </c>
      <c r="AA49" s="34" t="s">
        <v>3586</v>
      </c>
      <c r="AB49" s="34" t="s">
        <v>3586</v>
      </c>
      <c r="AC49" s="34" t="s">
        <v>3705</v>
      </c>
      <c r="AD49" s="34" t="s">
        <v>3705</v>
      </c>
      <c r="AE49" s="34" t="s">
        <v>3706</v>
      </c>
      <c r="AF49" s="34" t="s">
        <v>3707</v>
      </c>
      <c r="AG49" s="34" t="s">
        <v>3708</v>
      </c>
      <c r="AH49" s="34" t="s">
        <v>3709</v>
      </c>
      <c r="AI49" s="34" t="s">
        <v>3710</v>
      </c>
      <c r="AJ49" s="34" t="s">
        <v>3711</v>
      </c>
      <c r="AK49" s="34" t="s">
        <v>3712</v>
      </c>
      <c r="AL49" s="34">
        <v>56</v>
      </c>
      <c r="AM49" s="40" t="s">
        <v>9</v>
      </c>
      <c r="AP49" s="34">
        <v>0</v>
      </c>
      <c r="AQ49" s="34">
        <v>4390</v>
      </c>
      <c r="AR49" s="34">
        <v>2634</v>
      </c>
      <c r="AT49" s="44">
        <v>340000</v>
      </c>
      <c r="AU49" s="44"/>
      <c r="AV49" s="46">
        <f>ROUND(Товары[[#This Row],[РРЦ финальная, руб.]]/$AU$1,2)</f>
        <v>0</v>
      </c>
      <c r="AW49" s="45" t="str">
        <f>IFERROR(Товары[[#This Row],[РРЦ, евро]]/Товары[[#This Row],[IRP, Eur]],"-")</f>
        <v>-</v>
      </c>
      <c r="AX49" s="42">
        <f>IFERROR(VLOOKUP(Товары[[#This Row],[SubGroup]],'Структура цен DIY'!$B:$C,2,FALSE),0)</f>
        <v>0.28999999999999998</v>
      </c>
      <c r="AY49" s="44">
        <v>0</v>
      </c>
    </row>
    <row r="50" spans="1:51" x14ac:dyDescent="0.25">
      <c r="A50" s="34">
        <v>48</v>
      </c>
      <c r="B50" s="34" t="s">
        <v>56</v>
      </c>
      <c r="C50" s="110" t="str">
        <f>IFERROR(INDEX(Структура_ассортимента[SuperCategory],MATCH(Товары[[#This Row],[SubGroup]],Структура_ассортимента[Subgroup],0)),"")</f>
        <v>A</v>
      </c>
      <c r="D5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0" s="110" t="str">
        <f>IFERROR(INDEX(Структура_ассортимента[Product group],MATCH(Товары[[#This Row],[SubGroup]],Структура_ассортимента[Subgroup],0)),"")</f>
        <v>AMA_C</v>
      </c>
      <c r="G50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50" s="110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50" s="36">
        <v>9242</v>
      </c>
      <c r="J50" s="36" t="str">
        <f>IFERROR(INDEX(Структура_ассортимента[Generic Name (long)],MATCH(Товары[[#This Row],[SubGroup]],Структура_ассортимента[Subgroup],0)),"")</f>
        <v>GLOVES</v>
      </c>
      <c r="L50" s="36">
        <v>966806101</v>
      </c>
      <c r="M50" s="35" t="s">
        <v>1734</v>
      </c>
      <c r="Q50" s="34" t="s">
        <v>3713</v>
      </c>
      <c r="R50" s="34" t="s">
        <v>3540</v>
      </c>
      <c r="S50" s="47">
        <v>40817</v>
      </c>
      <c r="T50" s="47">
        <v>0</v>
      </c>
      <c r="U50" s="47">
        <v>0</v>
      </c>
      <c r="V50" s="34">
        <v>4078500020107</v>
      </c>
      <c r="W50" s="34" t="s">
        <v>3550</v>
      </c>
      <c r="Y50" s="34" t="s">
        <v>3542</v>
      </c>
      <c r="Z50" s="34">
        <v>6</v>
      </c>
      <c r="AA50" s="34" t="s">
        <v>3714</v>
      </c>
      <c r="AB50" s="34" t="s">
        <v>3714</v>
      </c>
      <c r="AC50" s="34" t="s">
        <v>3715</v>
      </c>
      <c r="AD50" s="34" t="s">
        <v>3715</v>
      </c>
      <c r="AE50" s="34" t="s">
        <v>3655</v>
      </c>
      <c r="AF50" s="34" t="s">
        <v>3566</v>
      </c>
      <c r="AG50" s="34" t="s">
        <v>3656</v>
      </c>
      <c r="AH50" s="34" t="s">
        <v>3657</v>
      </c>
      <c r="AL50" s="34" t="s">
        <v>3716</v>
      </c>
      <c r="AM50" s="40" t="s">
        <v>8094</v>
      </c>
      <c r="AT50" s="44">
        <v>0</v>
      </c>
      <c r="AU50" s="44"/>
      <c r="AV50" s="46">
        <f>ROUND(Товары[[#This Row],[РРЦ финальная, руб.]]/$AU$1,2)</f>
        <v>0</v>
      </c>
      <c r="AW50" s="45" t="str">
        <f>IFERROR(Товары[[#This Row],[РРЦ, евро]]/Товары[[#This Row],[IRP, Eur]],"-")</f>
        <v>-</v>
      </c>
      <c r="AX50" s="42">
        <f>IFERROR(VLOOKUP(Товары[[#This Row],[SubGroup]],'Структура цен DIY'!$B:$C,2,FALSE),0)</f>
        <v>0.28999999999999998</v>
      </c>
      <c r="AY50" s="44">
        <v>0</v>
      </c>
    </row>
    <row r="51" spans="1:51" x14ac:dyDescent="0.25">
      <c r="A51" s="34">
        <v>49</v>
      </c>
      <c r="B51" s="34" t="s">
        <v>56</v>
      </c>
      <c r="C51" s="110" t="str">
        <f>IFERROR(INDEX(Структура_ассортимента[SuperCategory],MATCH(Товары[[#This Row],[SubGroup]],Структура_ассортимента[Subgroup],0)),"")</f>
        <v>A</v>
      </c>
      <c r="D5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1" s="110" t="str">
        <f>IFERROR(INDEX(Структура_ассортимента[Product group],MATCH(Товары[[#This Row],[SubGroup]],Структура_ассортимента[Subgroup],0)),"")</f>
        <v>AMA_C</v>
      </c>
      <c r="G51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51" s="110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51" s="36">
        <v>9242</v>
      </c>
      <c r="J51" s="36" t="str">
        <f>IFERROR(INDEX(Структура_ассортимента[Generic Name (long)],MATCH(Товары[[#This Row],[SubGroup]],Структура_ассортимента[Subgroup],0)),"")</f>
        <v>GLOVES</v>
      </c>
      <c r="L51" s="36">
        <v>966806201</v>
      </c>
      <c r="M51" s="35" t="s">
        <v>1735</v>
      </c>
      <c r="Q51" s="34" t="s">
        <v>3713</v>
      </c>
      <c r="R51" s="34" t="s">
        <v>3540</v>
      </c>
      <c r="S51" s="47">
        <v>40817</v>
      </c>
      <c r="T51" s="47">
        <v>0</v>
      </c>
      <c r="U51" s="47">
        <v>0</v>
      </c>
      <c r="V51" s="34">
        <v>4078500020206</v>
      </c>
      <c r="W51" s="34" t="s">
        <v>3550</v>
      </c>
      <c r="Y51" s="34" t="s">
        <v>3542</v>
      </c>
      <c r="Z51" s="34">
        <v>6</v>
      </c>
      <c r="AA51" s="34" t="s">
        <v>3717</v>
      </c>
      <c r="AB51" s="34" t="s">
        <v>3654</v>
      </c>
      <c r="AC51" s="34" t="s">
        <v>3715</v>
      </c>
      <c r="AD51" s="34" t="s">
        <v>3661</v>
      </c>
      <c r="AE51" s="34" t="s">
        <v>3655</v>
      </c>
      <c r="AF51" s="34" t="s">
        <v>3566</v>
      </c>
      <c r="AG51" s="34" t="s">
        <v>3656</v>
      </c>
      <c r="AH51" s="34" t="s">
        <v>3657</v>
      </c>
      <c r="AL51" s="34" t="s">
        <v>3716</v>
      </c>
      <c r="AM51" s="40" t="s">
        <v>8094</v>
      </c>
      <c r="AT51" s="44">
        <v>0</v>
      </c>
      <c r="AU51" s="44"/>
      <c r="AV51" s="46">
        <f>ROUND(Товары[[#This Row],[РРЦ финальная, руб.]]/$AU$1,2)</f>
        <v>0</v>
      </c>
      <c r="AW51" s="45" t="str">
        <f>IFERROR(Товары[[#This Row],[РРЦ, евро]]/Товары[[#This Row],[IRP, Eur]],"-")</f>
        <v>-</v>
      </c>
      <c r="AX51" s="42">
        <f>IFERROR(VLOOKUP(Товары[[#This Row],[SubGroup]],'Структура цен DIY'!$B:$C,2,FALSE),0)</f>
        <v>0.28999999999999998</v>
      </c>
      <c r="AY51" s="44">
        <v>0</v>
      </c>
    </row>
    <row r="52" spans="1:51" x14ac:dyDescent="0.25">
      <c r="A52" s="34">
        <v>50</v>
      </c>
      <c r="B52" s="34" t="s">
        <v>56</v>
      </c>
      <c r="C52" s="110" t="str">
        <f>IFERROR(INDEX(Структура_ассортимента[SuperCategory],MATCH(Товары[[#This Row],[SubGroup]],Структура_ассортимента[Subgroup],0)),"")</f>
        <v>A</v>
      </c>
      <c r="D5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2" s="110" t="str">
        <f>IFERROR(INDEX(Структура_ассортимента[Product group],MATCH(Товары[[#This Row],[SubGroup]],Структура_ассортимента[Subgroup],0)),"")</f>
        <v>AMA_C</v>
      </c>
      <c r="G52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52" s="110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52" s="36">
        <v>9242</v>
      </c>
      <c r="J52" s="36" t="str">
        <f>IFERROR(INDEX(Структура_ассортимента[Generic Name (long)],MATCH(Товары[[#This Row],[SubGroup]],Структура_ассортимента[Subgroup],0)),"")</f>
        <v>GLOVES</v>
      </c>
      <c r="L52" s="36">
        <v>966806301</v>
      </c>
      <c r="M52" s="35" t="s">
        <v>1736</v>
      </c>
      <c r="Q52" s="34" t="s">
        <v>3713</v>
      </c>
      <c r="R52" s="34" t="s">
        <v>3540</v>
      </c>
      <c r="S52" s="47">
        <v>40817</v>
      </c>
      <c r="T52" s="47">
        <v>0</v>
      </c>
      <c r="U52" s="47">
        <v>0</v>
      </c>
      <c r="V52" s="34">
        <v>4078500020305</v>
      </c>
      <c r="W52" s="34" t="s">
        <v>3550</v>
      </c>
      <c r="Y52" s="34" t="s">
        <v>3542</v>
      </c>
      <c r="Z52" s="34">
        <v>6</v>
      </c>
      <c r="AA52" s="34" t="s">
        <v>3717</v>
      </c>
      <c r="AB52" s="34" t="s">
        <v>3654</v>
      </c>
      <c r="AC52" s="34" t="s">
        <v>3715</v>
      </c>
      <c r="AD52" s="34" t="s">
        <v>3653</v>
      </c>
      <c r="AE52" s="34" t="s">
        <v>3655</v>
      </c>
      <c r="AF52" s="34" t="s">
        <v>3566</v>
      </c>
      <c r="AG52" s="34" t="s">
        <v>3656</v>
      </c>
      <c r="AH52" s="34" t="s">
        <v>3657</v>
      </c>
      <c r="AL52" s="34" t="s">
        <v>3716</v>
      </c>
      <c r="AM52" s="40" t="s">
        <v>8094</v>
      </c>
      <c r="AT52" s="44">
        <v>0</v>
      </c>
      <c r="AU52" s="44"/>
      <c r="AV52" s="46">
        <f>ROUND(Товары[[#This Row],[РРЦ финальная, руб.]]/$AU$1,2)</f>
        <v>0</v>
      </c>
      <c r="AW52" s="45" t="str">
        <f>IFERROR(Товары[[#This Row],[РРЦ, евро]]/Товары[[#This Row],[IRP, Eur]],"-")</f>
        <v>-</v>
      </c>
      <c r="AX52" s="42">
        <f>IFERROR(VLOOKUP(Товары[[#This Row],[SubGroup]],'Структура цен DIY'!$B:$C,2,FALSE),0)</f>
        <v>0.28999999999999998</v>
      </c>
      <c r="AY52" s="44">
        <v>0</v>
      </c>
    </row>
    <row r="53" spans="1:51" x14ac:dyDescent="0.25">
      <c r="A53" s="34">
        <v>51</v>
      </c>
      <c r="B53" s="34" t="s">
        <v>56</v>
      </c>
      <c r="C53" s="110" t="str">
        <f>IFERROR(INDEX(Структура_ассортимента[SuperCategory],MATCH(Товары[[#This Row],[SubGroup]],Структура_ассортимента[Subgroup],0)),"")</f>
        <v>A</v>
      </c>
      <c r="D5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3" s="110" t="str">
        <f>IFERROR(INDEX(Структура_ассортимента[Product group],MATCH(Товары[[#This Row],[SubGroup]],Структура_ассортимента[Subgroup],0)),"")</f>
        <v>AMA_C</v>
      </c>
      <c r="G53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53" s="110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53" s="36">
        <v>9242</v>
      </c>
      <c r="J53" s="36" t="str">
        <f>IFERROR(INDEX(Структура_ассортимента[Generic Name (long)],MATCH(Товары[[#This Row],[SubGroup]],Структура_ассортимента[Subgroup],0)),"")</f>
        <v>GLOVES</v>
      </c>
      <c r="L53" s="36">
        <v>966806401</v>
      </c>
      <c r="M53" s="35" t="s">
        <v>1737</v>
      </c>
      <c r="Q53" s="34" t="s">
        <v>3713</v>
      </c>
      <c r="R53" s="34" t="s">
        <v>3540</v>
      </c>
      <c r="S53" s="47">
        <v>40817</v>
      </c>
      <c r="T53" s="47">
        <v>0</v>
      </c>
      <c r="U53" s="47">
        <v>0</v>
      </c>
      <c r="V53" s="34">
        <v>4078500020503</v>
      </c>
      <c r="W53" s="34" t="s">
        <v>3550</v>
      </c>
      <c r="Y53" s="34" t="s">
        <v>3542</v>
      </c>
      <c r="Z53" s="34">
        <v>6</v>
      </c>
      <c r="AA53" s="34" t="s">
        <v>3661</v>
      </c>
      <c r="AB53" s="34" t="s">
        <v>3661</v>
      </c>
      <c r="AC53" s="34" t="s">
        <v>3653</v>
      </c>
      <c r="AD53" s="34" t="s">
        <v>3653</v>
      </c>
      <c r="AE53" s="34" t="s">
        <v>3662</v>
      </c>
      <c r="AF53" s="34" t="s">
        <v>3566</v>
      </c>
      <c r="AG53" s="34" t="s">
        <v>3663</v>
      </c>
      <c r="AH53" s="34" t="s">
        <v>3718</v>
      </c>
      <c r="AL53" s="34">
        <v>1152</v>
      </c>
      <c r="AM53" s="40" t="s">
        <v>8094</v>
      </c>
      <c r="AT53" s="44">
        <v>0</v>
      </c>
      <c r="AU53" s="44"/>
      <c r="AV53" s="46">
        <f>ROUND(Товары[[#This Row],[РРЦ финальная, руб.]]/$AU$1,2)</f>
        <v>0</v>
      </c>
      <c r="AW53" s="45" t="str">
        <f>IFERROR(Товары[[#This Row],[РРЦ, евро]]/Товары[[#This Row],[IRP, Eur]],"-")</f>
        <v>-</v>
      </c>
      <c r="AX53" s="42">
        <f>IFERROR(VLOOKUP(Товары[[#This Row],[SubGroup]],'Структура цен DIY'!$B:$C,2,FALSE),0)</f>
        <v>0.28999999999999998</v>
      </c>
      <c r="AY53" s="44">
        <v>0</v>
      </c>
    </row>
    <row r="54" spans="1:51" x14ac:dyDescent="0.25">
      <c r="A54" s="34">
        <v>52</v>
      </c>
      <c r="B54" s="34" t="s">
        <v>56</v>
      </c>
      <c r="C54" s="110" t="str">
        <f>IFERROR(INDEX(Структура_ассортимента[SuperCategory],MATCH(Товары[[#This Row],[SubGroup]],Структура_ассортимента[Subgroup],0)),"")</f>
        <v>A</v>
      </c>
      <c r="D5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4" s="110" t="str">
        <f>IFERROR(INDEX(Структура_ассортимента[Product group],MATCH(Товары[[#This Row],[SubGroup]],Структура_ассортимента[Subgroup],0)),"")</f>
        <v>AMA_C</v>
      </c>
      <c r="G54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54" s="110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54" s="36">
        <v>9242</v>
      </c>
      <c r="J54" s="36" t="str">
        <f>IFERROR(INDEX(Структура_ассортимента[Generic Name (long)],MATCH(Товары[[#This Row],[SubGroup]],Структура_ассортимента[Subgroup],0)),"")</f>
        <v>GLOVES</v>
      </c>
      <c r="L54" s="36">
        <v>966806501</v>
      </c>
      <c r="M54" s="35" t="s">
        <v>1738</v>
      </c>
      <c r="Q54" s="34" t="s">
        <v>3713</v>
      </c>
      <c r="R54" s="34" t="s">
        <v>3540</v>
      </c>
      <c r="S54" s="47">
        <v>40817</v>
      </c>
      <c r="T54" s="47">
        <v>0</v>
      </c>
      <c r="U54" s="47">
        <v>0</v>
      </c>
      <c r="V54" s="34">
        <v>4078500020602</v>
      </c>
      <c r="W54" s="34" t="s">
        <v>3550</v>
      </c>
      <c r="Y54" s="34" t="s">
        <v>3542</v>
      </c>
      <c r="Z54" s="34">
        <v>6</v>
      </c>
      <c r="AA54" s="34" t="s">
        <v>3667</v>
      </c>
      <c r="AB54" s="34" t="s">
        <v>3667</v>
      </c>
      <c r="AC54" s="34" t="s">
        <v>3653</v>
      </c>
      <c r="AD54" s="34" t="s">
        <v>3653</v>
      </c>
      <c r="AE54" s="34" t="s">
        <v>3662</v>
      </c>
      <c r="AF54" s="34" t="s">
        <v>3566</v>
      </c>
      <c r="AG54" s="34" t="s">
        <v>3663</v>
      </c>
      <c r="AH54" s="34" t="s">
        <v>3718</v>
      </c>
      <c r="AL54" s="34" t="s">
        <v>3716</v>
      </c>
      <c r="AM54" s="40" t="s">
        <v>8094</v>
      </c>
      <c r="AT54" s="44">
        <v>0</v>
      </c>
      <c r="AU54" s="44"/>
      <c r="AV54" s="46">
        <f>ROUND(Товары[[#This Row],[РРЦ финальная, руб.]]/$AU$1,2)</f>
        <v>0</v>
      </c>
      <c r="AW54" s="45" t="str">
        <f>IFERROR(Товары[[#This Row],[РРЦ, евро]]/Товары[[#This Row],[IRP, Eur]],"-")</f>
        <v>-</v>
      </c>
      <c r="AX54" s="42">
        <f>IFERROR(VLOOKUP(Товары[[#This Row],[SubGroup]],'Структура цен DIY'!$B:$C,2,FALSE),0)</f>
        <v>0.28999999999999998</v>
      </c>
      <c r="AY54" s="44">
        <v>0</v>
      </c>
    </row>
    <row r="55" spans="1:51" x14ac:dyDescent="0.25">
      <c r="A55" s="34">
        <v>53</v>
      </c>
      <c r="B55" s="34" t="s">
        <v>56</v>
      </c>
      <c r="C55" s="110" t="str">
        <f>IFERROR(INDEX(Структура_ассортимента[SuperCategory],MATCH(Товары[[#This Row],[SubGroup]],Структура_ассортимента[Subgroup],0)),"")</f>
        <v>A</v>
      </c>
      <c r="D5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5" s="110" t="str">
        <f>IFERROR(INDEX(Структура_ассортимента[Product group],MATCH(Товары[[#This Row],[SubGroup]],Структура_ассортимента[Subgroup],0)),"")</f>
        <v>AMA_C</v>
      </c>
      <c r="G55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55" s="110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55" s="36">
        <v>9242</v>
      </c>
      <c r="J55" s="36" t="str">
        <f>IFERROR(INDEX(Структура_ассортимента[Generic Name (long)],MATCH(Товары[[#This Row],[SubGroup]],Структура_ассортимента[Subgroup],0)),"")</f>
        <v>GLOVES</v>
      </c>
      <c r="L55" s="36">
        <v>966806601</v>
      </c>
      <c r="M55" s="35" t="s">
        <v>1739</v>
      </c>
      <c r="Q55" s="34" t="s">
        <v>3713</v>
      </c>
      <c r="R55" s="34" t="s">
        <v>3540</v>
      </c>
      <c r="S55" s="47">
        <v>40817</v>
      </c>
      <c r="T55" s="47">
        <v>0</v>
      </c>
      <c r="U55" s="47">
        <v>0</v>
      </c>
      <c r="V55" s="34">
        <v>4078500020701</v>
      </c>
      <c r="W55" s="34" t="s">
        <v>3550</v>
      </c>
      <c r="Y55" s="34" t="s">
        <v>3542</v>
      </c>
      <c r="Z55" s="34">
        <v>6</v>
      </c>
      <c r="AA55" s="34" t="s">
        <v>3719</v>
      </c>
      <c r="AB55" s="34" t="s">
        <v>3661</v>
      </c>
      <c r="AC55" s="34" t="s">
        <v>3661</v>
      </c>
      <c r="AD55" s="34" t="s">
        <v>3661</v>
      </c>
      <c r="AE55" s="34" t="s">
        <v>3662</v>
      </c>
      <c r="AF55" s="34" t="s">
        <v>3566</v>
      </c>
      <c r="AG55" s="34" t="s">
        <v>3663</v>
      </c>
      <c r="AH55" s="34" t="s">
        <v>3718</v>
      </c>
      <c r="AL55" s="34" t="s">
        <v>3716</v>
      </c>
      <c r="AM55" s="40" t="s">
        <v>8094</v>
      </c>
      <c r="AT55" s="44">
        <v>0</v>
      </c>
      <c r="AU55" s="44"/>
      <c r="AV55" s="46">
        <f>ROUND(Товары[[#This Row],[РРЦ финальная, руб.]]/$AU$1,2)</f>
        <v>0</v>
      </c>
      <c r="AW55" s="45" t="str">
        <f>IFERROR(Товары[[#This Row],[РРЦ, евро]]/Товары[[#This Row],[IRP, Eur]],"-")</f>
        <v>-</v>
      </c>
      <c r="AX55" s="42">
        <f>IFERROR(VLOOKUP(Товары[[#This Row],[SubGroup]],'Структура цен DIY'!$B:$C,2,FALSE),0)</f>
        <v>0.28999999999999998</v>
      </c>
      <c r="AY55" s="44">
        <v>0</v>
      </c>
    </row>
    <row r="56" spans="1:51" x14ac:dyDescent="0.25">
      <c r="A56" s="34">
        <v>54</v>
      </c>
      <c r="B56" s="34" t="s">
        <v>56</v>
      </c>
      <c r="C56" s="110" t="str">
        <f>IFERROR(INDEX(Структура_ассортимента[SuperCategory],MATCH(Товары[[#This Row],[SubGroup]],Структура_ассортимента[Subgroup],0)),"")</f>
        <v>A</v>
      </c>
      <c r="D5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6" s="110" t="str">
        <f>IFERROR(INDEX(Структура_ассортимента[Product group],MATCH(Товары[[#This Row],[SubGroup]],Структура_ассортимента[Subgroup],0)),"")</f>
        <v>AMA_C</v>
      </c>
      <c r="G56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56" s="110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56" s="36">
        <v>9242</v>
      </c>
      <c r="J56" s="36" t="str">
        <f>IFERROR(INDEX(Структура_ассортимента[Generic Name (long)],MATCH(Товары[[#This Row],[SubGroup]],Структура_ассортимента[Subgroup],0)),"")</f>
        <v>GLOVES</v>
      </c>
      <c r="L56" s="36">
        <v>966806701</v>
      </c>
      <c r="M56" s="35" t="s">
        <v>1740</v>
      </c>
      <c r="Q56" s="34" t="s">
        <v>3713</v>
      </c>
      <c r="R56" s="34" t="s">
        <v>3540</v>
      </c>
      <c r="S56" s="47">
        <v>40817</v>
      </c>
      <c r="T56" s="47">
        <v>0</v>
      </c>
      <c r="U56" s="47">
        <v>0</v>
      </c>
      <c r="V56" s="34">
        <v>4078500020800</v>
      </c>
      <c r="W56" s="34" t="s">
        <v>3550</v>
      </c>
      <c r="Y56" s="34" t="s">
        <v>3542</v>
      </c>
      <c r="Z56" s="34">
        <v>6</v>
      </c>
      <c r="AA56" s="34" t="s">
        <v>3719</v>
      </c>
      <c r="AB56" s="34" t="s">
        <v>3719</v>
      </c>
      <c r="AC56" s="34" t="s">
        <v>3661</v>
      </c>
      <c r="AD56" s="34" t="s">
        <v>3661</v>
      </c>
      <c r="AE56" s="34" t="s">
        <v>3662</v>
      </c>
      <c r="AF56" s="34" t="s">
        <v>3566</v>
      </c>
      <c r="AG56" s="34" t="s">
        <v>3663</v>
      </c>
      <c r="AH56" s="34" t="s">
        <v>3718</v>
      </c>
      <c r="AL56" s="34" t="s">
        <v>3716</v>
      </c>
      <c r="AM56" s="40" t="s">
        <v>8094</v>
      </c>
      <c r="AT56" s="44">
        <v>0</v>
      </c>
      <c r="AU56" s="44"/>
      <c r="AV56" s="46">
        <f>ROUND(Товары[[#This Row],[РРЦ финальная, руб.]]/$AU$1,2)</f>
        <v>0</v>
      </c>
      <c r="AW56" s="45" t="str">
        <f>IFERROR(Товары[[#This Row],[РРЦ, евро]]/Товары[[#This Row],[IRP, Eur]],"-")</f>
        <v>-</v>
      </c>
      <c r="AX56" s="42">
        <f>IFERROR(VLOOKUP(Товары[[#This Row],[SubGroup]],'Структура цен DIY'!$B:$C,2,FALSE),0)</f>
        <v>0.28999999999999998</v>
      </c>
      <c r="AY56" s="44">
        <v>0</v>
      </c>
    </row>
    <row r="57" spans="1:51" x14ac:dyDescent="0.25">
      <c r="A57" s="34">
        <v>55</v>
      </c>
      <c r="B57" s="34" t="s">
        <v>56</v>
      </c>
      <c r="C57" s="110" t="str">
        <f>IFERROR(INDEX(Структура_ассортимента[SuperCategory],MATCH(Товары[[#This Row],[SubGroup]],Структура_ассортимента[Subgroup],0)),"")</f>
        <v>A</v>
      </c>
      <c r="D5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7" s="110" t="str">
        <f>IFERROR(INDEX(Структура_ассортимента[Product group],MATCH(Товары[[#This Row],[SubGroup]],Структура_ассортимента[Subgroup],0)),"")</f>
        <v>AMA_C</v>
      </c>
      <c r="G57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57" s="110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57" s="36">
        <v>9242</v>
      </c>
      <c r="J57" s="36" t="str">
        <f>IFERROR(INDEX(Структура_ассортимента[Generic Name (long)],MATCH(Товары[[#This Row],[SubGroup]],Структура_ассортимента[Subgroup],0)),"")</f>
        <v>GLOVES</v>
      </c>
      <c r="L57" s="36">
        <v>966807301</v>
      </c>
      <c r="M57" s="35" t="s">
        <v>1741</v>
      </c>
      <c r="Q57" s="34" t="s">
        <v>3713</v>
      </c>
      <c r="R57" s="34" t="s">
        <v>3540</v>
      </c>
      <c r="S57" s="47">
        <v>40817</v>
      </c>
      <c r="T57" s="47">
        <v>0</v>
      </c>
      <c r="U57" s="47">
        <v>0</v>
      </c>
      <c r="V57" s="34">
        <v>4078500021609</v>
      </c>
      <c r="W57" s="34" t="s">
        <v>3550</v>
      </c>
      <c r="Y57" s="34" t="s">
        <v>3542</v>
      </c>
      <c r="Z57" s="34">
        <v>6</v>
      </c>
      <c r="AA57" s="34" t="s">
        <v>3670</v>
      </c>
      <c r="AB57" s="34" t="s">
        <v>3677</v>
      </c>
      <c r="AC57" s="34" t="s">
        <v>3676</v>
      </c>
      <c r="AD57" s="34" t="s">
        <v>3676</v>
      </c>
      <c r="AE57" s="34" t="s">
        <v>3555</v>
      </c>
      <c r="AF57" s="34" t="s">
        <v>3566</v>
      </c>
      <c r="AG57" s="34" t="s">
        <v>3678</v>
      </c>
      <c r="AH57" s="34" t="s">
        <v>3679</v>
      </c>
      <c r="AL57" s="34">
        <v>576</v>
      </c>
      <c r="AM57" s="40" t="s">
        <v>8094</v>
      </c>
      <c r="AT57" s="44">
        <v>0</v>
      </c>
      <c r="AU57" s="44"/>
      <c r="AV57" s="46">
        <f>ROUND(Товары[[#This Row],[РРЦ финальная, руб.]]/$AU$1,2)</f>
        <v>0</v>
      </c>
      <c r="AW57" s="45" t="str">
        <f>IFERROR(Товары[[#This Row],[РРЦ, евро]]/Товары[[#This Row],[IRP, Eur]],"-")</f>
        <v>-</v>
      </c>
      <c r="AX57" s="42">
        <f>IFERROR(VLOOKUP(Товары[[#This Row],[SubGroup]],'Структура цен DIY'!$B:$C,2,FALSE),0)</f>
        <v>0.28999999999999998</v>
      </c>
      <c r="AY57" s="44">
        <v>0</v>
      </c>
    </row>
    <row r="58" spans="1:51" x14ac:dyDescent="0.25">
      <c r="A58" s="34">
        <v>56</v>
      </c>
      <c r="B58" s="34" t="s">
        <v>56</v>
      </c>
      <c r="C58" s="110" t="str">
        <f>IFERROR(INDEX(Структура_ассортимента[SuperCategory],MATCH(Товары[[#This Row],[SubGroup]],Структура_ассортимента[Subgroup],0)),"")</f>
        <v>A</v>
      </c>
      <c r="D5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8" s="110" t="str">
        <f>IFERROR(INDEX(Структура_ассортимента[Product group],MATCH(Товары[[#This Row],[SubGroup]],Структура_ассортимента[Subgroup],0)),"")</f>
        <v>AMA_C</v>
      </c>
      <c r="G58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58" s="110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58" s="36">
        <v>9242</v>
      </c>
      <c r="J58" s="36" t="str">
        <f>IFERROR(INDEX(Структура_ассортимента[Generic Name (long)],MATCH(Товары[[#This Row],[SubGroup]],Структура_ассортимента[Subgroup],0)),"")</f>
        <v>GLOVES</v>
      </c>
      <c r="L58" s="36">
        <v>967177501</v>
      </c>
      <c r="M58" s="35" t="s">
        <v>1742</v>
      </c>
      <c r="Q58" s="34" t="s">
        <v>3713</v>
      </c>
      <c r="R58" s="34" t="s">
        <v>3540</v>
      </c>
      <c r="S58" s="47">
        <v>41183</v>
      </c>
      <c r="T58" s="47">
        <v>0</v>
      </c>
      <c r="U58" s="47">
        <v>0</v>
      </c>
      <c r="V58" s="34">
        <v>4078500021807</v>
      </c>
      <c r="W58" s="34" t="s">
        <v>3550</v>
      </c>
      <c r="Y58" s="34" t="s">
        <v>3542</v>
      </c>
      <c r="Z58" s="34">
        <v>6</v>
      </c>
      <c r="AA58" s="34" t="s">
        <v>3720</v>
      </c>
      <c r="AB58" s="34" t="s">
        <v>3721</v>
      </c>
      <c r="AC58" s="34" t="s">
        <v>3671</v>
      </c>
      <c r="AD58" s="34" t="s">
        <v>3671</v>
      </c>
      <c r="AE58" s="34" t="s">
        <v>3722</v>
      </c>
      <c r="AF58" s="34" t="s">
        <v>3566</v>
      </c>
      <c r="AG58" s="34" t="s">
        <v>3672</v>
      </c>
      <c r="AH58" s="34" t="s">
        <v>3723</v>
      </c>
      <c r="AL58" s="34" t="s">
        <v>3724</v>
      </c>
      <c r="AM58" s="40" t="s">
        <v>8094</v>
      </c>
      <c r="AT58" s="44">
        <v>0</v>
      </c>
      <c r="AU58" s="44"/>
      <c r="AV58" s="46">
        <f>ROUND(Товары[[#This Row],[РРЦ финальная, руб.]]/$AU$1,2)</f>
        <v>0</v>
      </c>
      <c r="AW58" s="45" t="str">
        <f>IFERROR(Товары[[#This Row],[РРЦ, евро]]/Товары[[#This Row],[IRP, Eur]],"-")</f>
        <v>-</v>
      </c>
      <c r="AX58" s="42">
        <f>IFERROR(VLOOKUP(Товары[[#This Row],[SubGroup]],'Структура цен DIY'!$B:$C,2,FALSE),0)</f>
        <v>0.28999999999999998</v>
      </c>
      <c r="AY58" s="44">
        <v>0</v>
      </c>
    </row>
    <row r="59" spans="1:51" x14ac:dyDescent="0.25">
      <c r="A59" s="34">
        <v>57</v>
      </c>
      <c r="B59" s="34" t="s">
        <v>56</v>
      </c>
      <c r="C59" s="110" t="str">
        <f>IFERROR(INDEX(Структура_ассортимента[SuperCategory],MATCH(Товары[[#This Row],[SubGroup]],Структура_ассортимента[Subgroup],0)),"")</f>
        <v>A</v>
      </c>
      <c r="D5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9" s="110" t="str">
        <f>IFERROR(INDEX(Структура_ассортимента[Product group],MATCH(Товары[[#This Row],[SubGroup]],Структура_ассортимента[Subgroup],0)),"")</f>
        <v>AMA_C</v>
      </c>
      <c r="G59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59" s="110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59" s="36">
        <v>9242</v>
      </c>
      <c r="J59" s="36" t="str">
        <f>IFERROR(INDEX(Структура_ассортимента[Generic Name (long)],MATCH(Товары[[#This Row],[SubGroup]],Структура_ассортимента[Subgroup],0)),"")</f>
        <v>GLOVES</v>
      </c>
      <c r="L59" s="36">
        <v>966807001</v>
      </c>
      <c r="M59" s="35" t="s">
        <v>1743</v>
      </c>
      <c r="Q59" s="34" t="s">
        <v>3713</v>
      </c>
      <c r="R59" s="34" t="s">
        <v>3540</v>
      </c>
      <c r="S59" s="47">
        <v>40817</v>
      </c>
      <c r="T59" s="47">
        <v>0</v>
      </c>
      <c r="U59" s="47">
        <v>0</v>
      </c>
      <c r="V59" s="34">
        <v>4078500021302</v>
      </c>
      <c r="W59" s="34" t="s">
        <v>3550</v>
      </c>
      <c r="Y59" s="34" t="s">
        <v>3542</v>
      </c>
      <c r="Z59" s="34">
        <v>6</v>
      </c>
      <c r="AA59" s="34" t="s">
        <v>3670</v>
      </c>
      <c r="AB59" s="34" t="s">
        <v>3725</v>
      </c>
      <c r="AC59" s="34" t="s">
        <v>3676</v>
      </c>
      <c r="AD59" s="34" t="s">
        <v>3670</v>
      </c>
      <c r="AE59" s="34" t="s">
        <v>3655</v>
      </c>
      <c r="AF59" s="34" t="s">
        <v>3566</v>
      </c>
      <c r="AG59" s="34" t="s">
        <v>3672</v>
      </c>
      <c r="AH59" s="34" t="s">
        <v>3673</v>
      </c>
      <c r="AL59" s="34" t="s">
        <v>3724</v>
      </c>
      <c r="AM59" s="40" t="s">
        <v>8094</v>
      </c>
      <c r="AT59" s="44">
        <v>0</v>
      </c>
      <c r="AU59" s="44"/>
      <c r="AV59" s="46">
        <f>ROUND(Товары[[#This Row],[РРЦ финальная, руб.]]/$AU$1,2)</f>
        <v>0</v>
      </c>
      <c r="AW59" s="45" t="str">
        <f>IFERROR(Товары[[#This Row],[РРЦ, евро]]/Товары[[#This Row],[IRP, Eur]],"-")</f>
        <v>-</v>
      </c>
      <c r="AX59" s="42">
        <f>IFERROR(VLOOKUP(Товары[[#This Row],[SubGroup]],'Структура цен DIY'!$B:$C,2,FALSE),0)</f>
        <v>0.28999999999999998</v>
      </c>
      <c r="AY59" s="44">
        <v>0</v>
      </c>
    </row>
    <row r="60" spans="1:51" x14ac:dyDescent="0.25">
      <c r="A60" s="34">
        <v>58</v>
      </c>
      <c r="B60" s="34" t="s">
        <v>56</v>
      </c>
      <c r="C60" s="110" t="str">
        <f>IFERROR(INDEX(Структура_ассортимента[SuperCategory],MATCH(Товары[[#This Row],[SubGroup]],Структура_ассортимента[Subgroup],0)),"")</f>
        <v>A</v>
      </c>
      <c r="D6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6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60" s="110" t="str">
        <f>IFERROR(INDEX(Структура_ассортимента[Product group],MATCH(Товары[[#This Row],[SubGroup]],Структура_ассортимента[Subgroup],0)),"")</f>
        <v>AMA_C</v>
      </c>
      <c r="G60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60" s="110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60" s="36">
        <v>9242</v>
      </c>
      <c r="J60" s="36" t="str">
        <f>IFERROR(INDEX(Структура_ассортимента[Generic Name (long)],MATCH(Товары[[#This Row],[SubGroup]],Структура_ассортимента[Subgroup],0)),"")</f>
        <v>GLOVES</v>
      </c>
      <c r="L60" s="36">
        <v>966807101</v>
      </c>
      <c r="M60" s="35" t="s">
        <v>1744</v>
      </c>
      <c r="Q60" s="34" t="s">
        <v>3713</v>
      </c>
      <c r="R60" s="34" t="s">
        <v>3540</v>
      </c>
      <c r="S60" s="47">
        <v>40817</v>
      </c>
      <c r="T60" s="47">
        <v>0</v>
      </c>
      <c r="U60" s="47">
        <v>0</v>
      </c>
      <c r="V60" s="34">
        <v>4078500021401</v>
      </c>
      <c r="W60" s="34" t="s">
        <v>3550</v>
      </c>
      <c r="Y60" s="34" t="s">
        <v>3542</v>
      </c>
      <c r="Z60" s="34">
        <v>6</v>
      </c>
      <c r="AA60" s="34" t="s">
        <v>3726</v>
      </c>
      <c r="AB60" s="34" t="s">
        <v>3726</v>
      </c>
      <c r="AC60" s="34" t="s">
        <v>3670</v>
      </c>
      <c r="AD60" s="34" t="s">
        <v>3670</v>
      </c>
      <c r="AE60" s="34" t="s">
        <v>3655</v>
      </c>
      <c r="AF60" s="34" t="s">
        <v>3566</v>
      </c>
      <c r="AG60" s="34" t="s">
        <v>3672</v>
      </c>
      <c r="AH60" s="34" t="s">
        <v>3673</v>
      </c>
      <c r="AL60" s="34" t="s">
        <v>3724</v>
      </c>
      <c r="AM60" s="40" t="s">
        <v>8094</v>
      </c>
      <c r="AT60" s="44">
        <v>0</v>
      </c>
      <c r="AU60" s="44"/>
      <c r="AV60" s="46">
        <f>ROUND(Товары[[#This Row],[РРЦ финальная, руб.]]/$AU$1,2)</f>
        <v>0</v>
      </c>
      <c r="AW60" s="45" t="str">
        <f>IFERROR(Товары[[#This Row],[РРЦ, евро]]/Товары[[#This Row],[IRP, Eur]],"-")</f>
        <v>-</v>
      </c>
      <c r="AX60" s="42">
        <f>IFERROR(VLOOKUP(Товары[[#This Row],[SubGroup]],'Структура цен DIY'!$B:$C,2,FALSE),0)</f>
        <v>0.28999999999999998</v>
      </c>
      <c r="AY60" s="44">
        <v>0</v>
      </c>
    </row>
    <row r="61" spans="1:51" x14ac:dyDescent="0.25">
      <c r="A61" s="34">
        <v>59</v>
      </c>
      <c r="B61" s="34" t="s">
        <v>56</v>
      </c>
      <c r="C61" s="110" t="str">
        <f>IFERROR(INDEX(Структура_ассортимента[SuperCategory],MATCH(Товары[[#This Row],[SubGroup]],Структура_ассортимента[Subgroup],0)),"")</f>
        <v>A</v>
      </c>
      <c r="D6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6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61" s="110" t="str">
        <f>IFERROR(INDEX(Структура_ассортимента[Product group],MATCH(Товары[[#This Row],[SubGroup]],Структура_ассортимента[Subgroup],0)),"")</f>
        <v>AMA_C</v>
      </c>
      <c r="G61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61" s="110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61" s="36">
        <v>9242</v>
      </c>
      <c r="J61" s="36" t="str">
        <f>IFERROR(INDEX(Структура_ассортимента[Generic Name (long)],MATCH(Товары[[#This Row],[SubGroup]],Структура_ассортимента[Subgroup],0)),"")</f>
        <v>GLOVES</v>
      </c>
      <c r="L61" s="36">
        <v>966807201</v>
      </c>
      <c r="M61" s="35" t="s">
        <v>1745</v>
      </c>
      <c r="Q61" s="34" t="s">
        <v>3713</v>
      </c>
      <c r="R61" s="34" t="s">
        <v>3540</v>
      </c>
      <c r="S61" s="47">
        <v>40817</v>
      </c>
      <c r="T61" s="47">
        <v>0</v>
      </c>
      <c r="U61" s="47">
        <v>0</v>
      </c>
      <c r="V61" s="34">
        <v>4078500021500</v>
      </c>
      <c r="W61" s="34" t="s">
        <v>3550</v>
      </c>
      <c r="Y61" s="34" t="s">
        <v>3542</v>
      </c>
      <c r="Z61" s="34">
        <v>6</v>
      </c>
      <c r="AA61" s="34" t="s">
        <v>3671</v>
      </c>
      <c r="AB61" s="34" t="s">
        <v>3671</v>
      </c>
      <c r="AC61" s="34" t="s">
        <v>3670</v>
      </c>
      <c r="AD61" s="34" t="s">
        <v>3670</v>
      </c>
      <c r="AE61" s="34" t="s">
        <v>3655</v>
      </c>
      <c r="AF61" s="34" t="s">
        <v>3566</v>
      </c>
      <c r="AG61" s="34" t="s">
        <v>3672</v>
      </c>
      <c r="AH61" s="34" t="s">
        <v>3673</v>
      </c>
      <c r="AL61" s="34">
        <v>576</v>
      </c>
      <c r="AM61" s="40" t="s">
        <v>8094</v>
      </c>
      <c r="AT61" s="44">
        <v>0</v>
      </c>
      <c r="AU61" s="44"/>
      <c r="AV61" s="46">
        <f>ROUND(Товары[[#This Row],[РРЦ финальная, руб.]]/$AU$1,2)</f>
        <v>0</v>
      </c>
      <c r="AW61" s="45" t="str">
        <f>IFERROR(Товары[[#This Row],[РРЦ, евро]]/Товары[[#This Row],[IRP, Eur]],"-")</f>
        <v>-</v>
      </c>
      <c r="AX61" s="42">
        <f>IFERROR(VLOOKUP(Товары[[#This Row],[SubGroup]],'Структура цен DIY'!$B:$C,2,FALSE),0)</f>
        <v>0.28999999999999998</v>
      </c>
      <c r="AY61" s="44">
        <v>0</v>
      </c>
    </row>
    <row r="62" spans="1:51" x14ac:dyDescent="0.25">
      <c r="A62" s="34">
        <v>60</v>
      </c>
      <c r="B62" s="34" t="s">
        <v>56</v>
      </c>
      <c r="C62" s="110" t="str">
        <f>IFERROR(INDEX(Структура_ассортимента[SuperCategory],MATCH(Товары[[#This Row],[SubGroup]],Структура_ассортимента[Subgroup],0)),"")</f>
        <v>A</v>
      </c>
      <c r="D6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6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62" s="110" t="str">
        <f>IFERROR(INDEX(Структура_ассортимента[Product group],MATCH(Товары[[#This Row],[SubGroup]],Структура_ассортимента[Subgroup],0)),"")</f>
        <v>AMA_C</v>
      </c>
      <c r="G62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62" s="110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62" s="36">
        <v>9242</v>
      </c>
      <c r="J62" s="36" t="str">
        <f>IFERROR(INDEX(Структура_ассортимента[Generic Name (long)],MATCH(Товары[[#This Row],[SubGroup]],Структура_ассортимента[Subgroup],0)),"")</f>
        <v>GLOVES</v>
      </c>
      <c r="L62" s="36">
        <v>966806801</v>
      </c>
      <c r="M62" s="35" t="s">
        <v>1746</v>
      </c>
      <c r="Q62" s="34" t="s">
        <v>3713</v>
      </c>
      <c r="R62" s="34" t="s">
        <v>3540</v>
      </c>
      <c r="S62" s="47">
        <v>40817</v>
      </c>
      <c r="T62" s="47">
        <v>0</v>
      </c>
      <c r="U62" s="47">
        <v>0</v>
      </c>
      <c r="V62" s="34">
        <v>4078500020909</v>
      </c>
      <c r="W62" s="34" t="s">
        <v>3550</v>
      </c>
      <c r="Y62" s="34" t="s">
        <v>3542</v>
      </c>
      <c r="Z62" s="34">
        <v>6</v>
      </c>
      <c r="AA62" s="34" t="s">
        <v>3727</v>
      </c>
      <c r="AB62" s="34" t="s">
        <v>3728</v>
      </c>
      <c r="AC62" s="34" t="s">
        <v>3729</v>
      </c>
      <c r="AD62" s="34" t="s">
        <v>3730</v>
      </c>
      <c r="AE62" s="34" t="s">
        <v>3731</v>
      </c>
      <c r="AF62" s="34" t="s">
        <v>3560</v>
      </c>
      <c r="AG62" s="34" t="s">
        <v>3663</v>
      </c>
      <c r="AH62" s="34" t="s">
        <v>3732</v>
      </c>
      <c r="AL62" s="34">
        <v>720</v>
      </c>
      <c r="AM62" s="40" t="s">
        <v>8094</v>
      </c>
      <c r="AT62" s="44">
        <v>0</v>
      </c>
      <c r="AU62" s="44"/>
      <c r="AV62" s="46">
        <f>ROUND(Товары[[#This Row],[РРЦ финальная, руб.]]/$AU$1,2)</f>
        <v>0</v>
      </c>
      <c r="AW62" s="45" t="str">
        <f>IFERROR(Товары[[#This Row],[РРЦ, евро]]/Товары[[#This Row],[IRP, Eur]],"-")</f>
        <v>-</v>
      </c>
      <c r="AX62" s="42">
        <f>IFERROR(VLOOKUP(Товары[[#This Row],[SubGroup]],'Структура цен DIY'!$B:$C,2,FALSE),0)</f>
        <v>0.28999999999999998</v>
      </c>
      <c r="AY62" s="44">
        <v>0</v>
      </c>
    </row>
    <row r="63" spans="1:51" x14ac:dyDescent="0.25">
      <c r="A63" s="34">
        <v>61</v>
      </c>
      <c r="B63" s="34" t="s">
        <v>56</v>
      </c>
      <c r="C63" s="110" t="str">
        <f>IFERROR(INDEX(Структура_ассортимента[SuperCategory],MATCH(Товары[[#This Row],[SubGroup]],Структура_ассортимента[Subgroup],0)),"")</f>
        <v>A</v>
      </c>
      <c r="D6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6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63" s="110" t="str">
        <f>IFERROR(INDEX(Структура_ассортимента[Product group],MATCH(Товары[[#This Row],[SubGroup]],Структура_ассортимента[Subgroup],0)),"")</f>
        <v>AMA_C</v>
      </c>
      <c r="G63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63" s="110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63" s="36">
        <v>9242</v>
      </c>
      <c r="J63" s="36" t="str">
        <f>IFERROR(INDEX(Структура_ассортимента[Generic Name (long)],MATCH(Товары[[#This Row],[SubGroup]],Структура_ассортимента[Subgroup],0)),"")</f>
        <v>GLOVES</v>
      </c>
      <c r="L63" s="36">
        <v>967177401</v>
      </c>
      <c r="M63" s="35" t="s">
        <v>1747</v>
      </c>
      <c r="Q63" s="34" t="s">
        <v>3713</v>
      </c>
      <c r="R63" s="34" t="s">
        <v>3540</v>
      </c>
      <c r="S63" s="47">
        <v>41183</v>
      </c>
      <c r="T63" s="47">
        <v>0</v>
      </c>
      <c r="U63" s="47">
        <v>0</v>
      </c>
      <c r="V63" s="34">
        <v>4078500021005</v>
      </c>
      <c r="W63" s="34" t="s">
        <v>3550</v>
      </c>
      <c r="Y63" s="34" t="s">
        <v>3542</v>
      </c>
      <c r="Z63" s="34">
        <v>6</v>
      </c>
      <c r="AA63" s="34" t="s">
        <v>3733</v>
      </c>
      <c r="AB63" s="34" t="s">
        <v>3734</v>
      </c>
      <c r="AC63" s="34" t="s">
        <v>3735</v>
      </c>
      <c r="AD63" s="34" t="s">
        <v>3728</v>
      </c>
      <c r="AE63" s="34" t="s">
        <v>3610</v>
      </c>
      <c r="AF63" s="34" t="s">
        <v>3693</v>
      </c>
      <c r="AG63" s="34" t="s">
        <v>3678</v>
      </c>
      <c r="AH63" s="34" t="s">
        <v>3736</v>
      </c>
      <c r="AL63" s="34" t="s">
        <v>3737</v>
      </c>
      <c r="AM63" s="40" t="s">
        <v>8094</v>
      </c>
      <c r="AT63" s="44">
        <v>0</v>
      </c>
      <c r="AU63" s="44"/>
      <c r="AV63" s="46">
        <f>ROUND(Товары[[#This Row],[РРЦ финальная, руб.]]/$AU$1,2)</f>
        <v>0</v>
      </c>
      <c r="AW63" s="45" t="str">
        <f>IFERROR(Товары[[#This Row],[РРЦ, евро]]/Товары[[#This Row],[IRP, Eur]],"-")</f>
        <v>-</v>
      </c>
      <c r="AX63" s="42">
        <f>IFERROR(VLOOKUP(Товары[[#This Row],[SubGroup]],'Структура цен DIY'!$B:$C,2,FALSE),0)</f>
        <v>0.28999999999999998</v>
      </c>
      <c r="AY63" s="44">
        <v>0</v>
      </c>
    </row>
    <row r="64" spans="1:51" x14ac:dyDescent="0.25">
      <c r="A64" s="34">
        <v>62</v>
      </c>
      <c r="B64" s="34" t="s">
        <v>56</v>
      </c>
      <c r="C64" s="110" t="str">
        <f>IFERROR(INDEX(Структура_ассортимента[SuperCategory],MATCH(Товары[[#This Row],[SubGroup]],Структура_ассортимента[Subgroup],0)),"")</f>
        <v>A</v>
      </c>
      <c r="D6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6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64" s="110" t="str">
        <f>IFERROR(INDEX(Структура_ассортимента[Product group],MATCH(Товары[[#This Row],[SubGroup]],Структура_ассортимента[Subgroup],0)),"")</f>
        <v>AMA_C</v>
      </c>
      <c r="G64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64" s="110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64" s="36">
        <v>9242</v>
      </c>
      <c r="J64" s="36" t="str">
        <f>IFERROR(INDEX(Структура_ассортимента[Generic Name (long)],MATCH(Товары[[#This Row],[SubGroup]],Структура_ассортимента[Subgroup],0)),"")</f>
        <v>GLOVES</v>
      </c>
      <c r="L64" s="36">
        <v>967946401</v>
      </c>
      <c r="M64" s="35" t="s">
        <v>1748</v>
      </c>
      <c r="O64" s="35" t="s">
        <v>3738</v>
      </c>
      <c r="P64" s="37" t="s">
        <v>3739</v>
      </c>
      <c r="Q64" s="34" t="s">
        <v>3549</v>
      </c>
      <c r="R64" s="34" t="s">
        <v>3540</v>
      </c>
      <c r="S64" s="47">
        <v>43466</v>
      </c>
      <c r="T64" s="47">
        <v>0</v>
      </c>
      <c r="U64" s="47">
        <v>0</v>
      </c>
      <c r="V64" s="34">
        <v>4078500046213</v>
      </c>
      <c r="W64" s="34" t="s">
        <v>3546</v>
      </c>
      <c r="X64" s="34" t="s">
        <v>3551</v>
      </c>
      <c r="Y64" s="34" t="s">
        <v>3542</v>
      </c>
      <c r="Z64" s="34">
        <v>4</v>
      </c>
      <c r="AB64" s="34" t="s">
        <v>3740</v>
      </c>
      <c r="AD64" s="34" t="s">
        <v>3741</v>
      </c>
      <c r="AE64" s="34" t="s">
        <v>3742</v>
      </c>
      <c r="AF64" s="34" t="s">
        <v>3743</v>
      </c>
      <c r="AG64" s="34" t="s">
        <v>3678</v>
      </c>
      <c r="AH64" s="34" t="s">
        <v>3744</v>
      </c>
      <c r="AI64" s="34" t="s">
        <v>3745</v>
      </c>
      <c r="AJ64" s="34" t="s">
        <v>3746</v>
      </c>
      <c r="AK64" s="34" t="s">
        <v>3745</v>
      </c>
      <c r="AL64" s="34" t="s">
        <v>3747</v>
      </c>
      <c r="AM64" s="40" t="s">
        <v>9</v>
      </c>
      <c r="AP64" s="34">
        <v>0</v>
      </c>
      <c r="AQ64" s="34">
        <v>890</v>
      </c>
      <c r="AR64" s="34">
        <v>519</v>
      </c>
      <c r="AT64" s="44">
        <v>68900</v>
      </c>
      <c r="AU64" s="44"/>
      <c r="AV64" s="46">
        <f>ROUND(Товары[[#This Row],[РРЦ финальная, руб.]]/$AU$1,2)</f>
        <v>0</v>
      </c>
      <c r="AW64" s="45" t="str">
        <f>IFERROR(Товары[[#This Row],[РРЦ, евро]]/Товары[[#This Row],[IRP, Eur]],"-")</f>
        <v>-</v>
      </c>
      <c r="AX64" s="42">
        <f>IFERROR(VLOOKUP(Товары[[#This Row],[SubGroup]],'Структура цен DIY'!$B:$C,2,FALSE),0)</f>
        <v>0.28999999999999998</v>
      </c>
      <c r="AY64" s="44">
        <v>0</v>
      </c>
    </row>
    <row r="65" spans="1:51" x14ac:dyDescent="0.25">
      <c r="A65" s="34">
        <v>63</v>
      </c>
      <c r="B65" s="34" t="s">
        <v>56</v>
      </c>
      <c r="C65" s="110" t="str">
        <f>IFERROR(INDEX(Структура_ассортимента[SuperCategory],MATCH(Товары[[#This Row],[SubGroup]],Структура_ассортимента[Subgroup],0)),"")</f>
        <v>A</v>
      </c>
      <c r="D6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6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65" s="110" t="str">
        <f>IFERROR(INDEX(Структура_ассортимента[Product group],MATCH(Товары[[#This Row],[SubGroup]],Структура_ассортимента[Subgroup],0)),"")</f>
        <v>AMA_C</v>
      </c>
      <c r="G65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65" s="110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65" s="36">
        <v>9242</v>
      </c>
      <c r="J65" s="36" t="str">
        <f>IFERROR(INDEX(Структура_ассортимента[Generic Name (long)],MATCH(Товары[[#This Row],[SubGroup]],Структура_ассортимента[Subgroup],0)),"")</f>
        <v>GLOVES</v>
      </c>
      <c r="L65" s="36">
        <v>967947201</v>
      </c>
      <c r="M65" s="35" t="s">
        <v>1749</v>
      </c>
      <c r="O65" s="35" t="s">
        <v>3748</v>
      </c>
      <c r="P65" s="37" t="s">
        <v>3749</v>
      </c>
      <c r="Q65" s="34" t="s">
        <v>3549</v>
      </c>
      <c r="R65" s="34" t="s">
        <v>3540</v>
      </c>
      <c r="S65" s="47">
        <v>43466</v>
      </c>
      <c r="T65" s="47">
        <v>0</v>
      </c>
      <c r="U65" s="47">
        <v>0</v>
      </c>
      <c r="V65" s="34">
        <v>4078500046237</v>
      </c>
      <c r="W65" s="34" t="s">
        <v>3546</v>
      </c>
      <c r="X65" s="34" t="s">
        <v>3551</v>
      </c>
      <c r="Y65" s="34" t="s">
        <v>3542</v>
      </c>
      <c r="Z65" s="34">
        <v>2</v>
      </c>
      <c r="AB65" s="34" t="s">
        <v>3750</v>
      </c>
      <c r="AD65" s="34" t="s">
        <v>3751</v>
      </c>
      <c r="AE65" s="34" t="s">
        <v>3752</v>
      </c>
      <c r="AF65" s="34" t="s">
        <v>3753</v>
      </c>
      <c r="AG65" s="34" t="s">
        <v>3754</v>
      </c>
      <c r="AH65" s="34" t="s">
        <v>3755</v>
      </c>
      <c r="AI65" s="34" t="s">
        <v>3756</v>
      </c>
      <c r="AJ65" s="34" t="s">
        <v>3746</v>
      </c>
      <c r="AK65" s="34" t="s">
        <v>3757</v>
      </c>
      <c r="AL65" s="34" t="s">
        <v>3758</v>
      </c>
      <c r="AM65" s="40" t="s">
        <v>9</v>
      </c>
      <c r="AP65" s="34">
        <v>0</v>
      </c>
      <c r="AQ65" s="34">
        <v>1719</v>
      </c>
      <c r="AR65" s="34">
        <v>1003</v>
      </c>
      <c r="AT65" s="44">
        <v>133100</v>
      </c>
      <c r="AU65" s="44"/>
      <c r="AV65" s="46">
        <f>ROUND(Товары[[#This Row],[РРЦ финальная, руб.]]/$AU$1,2)</f>
        <v>0</v>
      </c>
      <c r="AW65" s="45" t="str">
        <f>IFERROR(Товары[[#This Row],[РРЦ, евро]]/Товары[[#This Row],[IRP, Eur]],"-")</f>
        <v>-</v>
      </c>
      <c r="AX65" s="42">
        <f>IFERROR(VLOOKUP(Товары[[#This Row],[SubGroup]],'Структура цен DIY'!$B:$C,2,FALSE),0)</f>
        <v>0.28999999999999998</v>
      </c>
      <c r="AY65" s="44">
        <v>0</v>
      </c>
    </row>
    <row r="66" spans="1:51" x14ac:dyDescent="0.25">
      <c r="A66" s="34">
        <v>64</v>
      </c>
      <c r="B66" s="34" t="s">
        <v>56</v>
      </c>
      <c r="C66" s="110" t="str">
        <f>IFERROR(INDEX(Структура_ассортимента[SuperCategory],MATCH(Товары[[#This Row],[SubGroup]],Структура_ассортимента[Subgroup],0)),"")</f>
        <v>A</v>
      </c>
      <c r="D6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6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66" s="110" t="str">
        <f>IFERROR(INDEX(Структура_ассортимента[Product group],MATCH(Товары[[#This Row],[SubGroup]],Структура_ассортимента[Subgroup],0)),"")</f>
        <v>AMA_C</v>
      </c>
      <c r="G66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66" s="110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66" s="36">
        <v>9242</v>
      </c>
      <c r="J66" s="36" t="str">
        <f>IFERROR(INDEX(Структура_ассортимента[Generic Name (long)],MATCH(Товары[[#This Row],[SubGroup]],Структура_ассортимента[Subgroup],0)),"")</f>
        <v>GLOVES</v>
      </c>
      <c r="L66" s="36">
        <v>967947901</v>
      </c>
      <c r="M66" s="35" t="s">
        <v>1750</v>
      </c>
      <c r="O66" s="35" t="s">
        <v>3759</v>
      </c>
      <c r="P66" s="37" t="s">
        <v>3760</v>
      </c>
      <c r="Q66" s="34" t="s">
        <v>3549</v>
      </c>
      <c r="R66" s="34" t="s">
        <v>3540</v>
      </c>
      <c r="S66" s="47">
        <v>43466</v>
      </c>
      <c r="T66" s="47">
        <v>0</v>
      </c>
      <c r="U66" s="47">
        <v>0</v>
      </c>
      <c r="V66" s="34">
        <v>4078500046251</v>
      </c>
      <c r="W66" s="34" t="s">
        <v>3546</v>
      </c>
      <c r="X66" s="34" t="s">
        <v>3551</v>
      </c>
      <c r="Y66" s="34" t="s">
        <v>3542</v>
      </c>
      <c r="Z66" s="34">
        <v>1</v>
      </c>
      <c r="AB66" s="34" t="s">
        <v>3761</v>
      </c>
      <c r="AD66" s="34" t="s">
        <v>3762</v>
      </c>
      <c r="AE66" s="34" t="s">
        <v>3763</v>
      </c>
      <c r="AF66" s="34" t="s">
        <v>3764</v>
      </c>
      <c r="AG66" s="34" t="s">
        <v>3765</v>
      </c>
      <c r="AH66" s="34" t="s">
        <v>3766</v>
      </c>
      <c r="AI66" s="34" t="s">
        <v>3757</v>
      </c>
      <c r="AJ66" s="34" t="s">
        <v>3746</v>
      </c>
      <c r="AK66" s="34" t="s">
        <v>3767</v>
      </c>
      <c r="AL66" s="34" t="s">
        <v>3768</v>
      </c>
      <c r="AM66" s="40" t="s">
        <v>9</v>
      </c>
      <c r="AP66" s="34">
        <v>0</v>
      </c>
      <c r="AQ66" s="34">
        <v>2039</v>
      </c>
      <c r="AR66" s="34">
        <v>1189</v>
      </c>
      <c r="AT66" s="44">
        <v>157900</v>
      </c>
      <c r="AU66" s="44"/>
      <c r="AV66" s="46">
        <f>ROUND(Товары[[#This Row],[РРЦ финальная, руб.]]/$AU$1,2)</f>
        <v>0</v>
      </c>
      <c r="AW66" s="45" t="str">
        <f>IFERROR(Товары[[#This Row],[РРЦ, евро]]/Товары[[#This Row],[IRP, Eur]],"-")</f>
        <v>-</v>
      </c>
      <c r="AX66" s="42">
        <f>IFERROR(VLOOKUP(Товары[[#This Row],[SubGroup]],'Структура цен DIY'!$B:$C,2,FALSE),0)</f>
        <v>0.28999999999999998</v>
      </c>
      <c r="AY66" s="44">
        <v>0</v>
      </c>
    </row>
    <row r="67" spans="1:51" x14ac:dyDescent="0.25">
      <c r="A67" s="34">
        <v>65</v>
      </c>
      <c r="B67" s="34" t="s">
        <v>56</v>
      </c>
      <c r="C67" s="110" t="str">
        <f>IFERROR(INDEX(Структура_ассортимента[SuperCategory],MATCH(Товары[[#This Row],[SubGroup]],Структура_ассортимента[Subgroup],0)),"")</f>
        <v>A</v>
      </c>
      <c r="D6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6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67" s="110" t="str">
        <f>IFERROR(INDEX(Структура_ассортимента[Product group],MATCH(Товары[[#This Row],[SubGroup]],Структура_ассортимента[Subgroup],0)),"")</f>
        <v>AMA_C</v>
      </c>
      <c r="G67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67" s="110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67" s="36">
        <v>9242</v>
      </c>
      <c r="J67" s="36" t="str">
        <f>IFERROR(INDEX(Структура_ассортимента[Generic Name (long)],MATCH(Товары[[#This Row],[SubGroup]],Структура_ассортимента[Subgroup],0)),"")</f>
        <v>GLOVES</v>
      </c>
      <c r="L67" s="36">
        <v>967948001</v>
      </c>
      <c r="M67" s="35" t="s">
        <v>1751</v>
      </c>
      <c r="O67" s="35" t="s">
        <v>3769</v>
      </c>
      <c r="P67" s="37" t="s">
        <v>3770</v>
      </c>
      <c r="Q67" s="34" t="s">
        <v>3549</v>
      </c>
      <c r="R67" s="34" t="s">
        <v>3540</v>
      </c>
      <c r="S67" s="47">
        <v>43466</v>
      </c>
      <c r="T67" s="47">
        <v>0</v>
      </c>
      <c r="U67" s="47">
        <v>0</v>
      </c>
      <c r="V67" s="34">
        <v>4078500046268</v>
      </c>
      <c r="W67" s="34" t="s">
        <v>3546</v>
      </c>
      <c r="X67" s="34" t="s">
        <v>3551</v>
      </c>
      <c r="Y67" s="34" t="s">
        <v>3542</v>
      </c>
      <c r="Z67" s="34">
        <v>2</v>
      </c>
      <c r="AB67" s="34" t="s">
        <v>3696</v>
      </c>
      <c r="AD67" s="34" t="s">
        <v>3771</v>
      </c>
      <c r="AE67" s="34" t="s">
        <v>3772</v>
      </c>
      <c r="AF67" s="34" t="s">
        <v>3743</v>
      </c>
      <c r="AG67" s="34" t="s">
        <v>3754</v>
      </c>
      <c r="AH67" s="34" t="s">
        <v>3773</v>
      </c>
      <c r="AI67" s="34" t="s">
        <v>3774</v>
      </c>
      <c r="AJ67" s="34" t="s">
        <v>3746</v>
      </c>
      <c r="AK67" s="34" t="s">
        <v>3774</v>
      </c>
      <c r="AL67" s="34" t="s">
        <v>3758</v>
      </c>
      <c r="AM67" s="40" t="s">
        <v>9</v>
      </c>
      <c r="AP67" s="34">
        <v>0</v>
      </c>
      <c r="AQ67" s="34">
        <v>1719</v>
      </c>
      <c r="AR67" s="34">
        <v>1003</v>
      </c>
      <c r="AT67" s="44">
        <v>133100</v>
      </c>
      <c r="AU67" s="44"/>
      <c r="AV67" s="46">
        <f>ROUND(Товары[[#This Row],[РРЦ финальная, руб.]]/$AU$1,2)</f>
        <v>0</v>
      </c>
      <c r="AW67" s="45" t="str">
        <f>IFERROR(Товары[[#This Row],[РРЦ, евро]]/Товары[[#This Row],[IRP, Eur]],"-")</f>
        <v>-</v>
      </c>
      <c r="AX67" s="42">
        <f>IFERROR(VLOOKUP(Товары[[#This Row],[SubGroup]],'Структура цен DIY'!$B:$C,2,FALSE),0)</f>
        <v>0.28999999999999998</v>
      </c>
      <c r="AY67" s="44">
        <v>0</v>
      </c>
    </row>
    <row r="68" spans="1:51" x14ac:dyDescent="0.25">
      <c r="A68" s="34">
        <v>66</v>
      </c>
      <c r="B68" s="34" t="s">
        <v>56</v>
      </c>
      <c r="C68" s="110" t="str">
        <f>IFERROR(INDEX(Структура_ассортимента[SuperCategory],MATCH(Товары[[#This Row],[SubGroup]],Структура_ассортимента[Subgroup],0)),"")</f>
        <v>A</v>
      </c>
      <c r="D6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6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68" s="110" t="str">
        <f>IFERROR(INDEX(Структура_ассортимента[Product group],MATCH(Товары[[#This Row],[SubGroup]],Структура_ассортимента[Subgroup],0)),"")</f>
        <v>AMA_C</v>
      </c>
      <c r="G68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68" s="110" t="str">
        <f>IFERROR(INDEX(Структура_ассортимента[Generic Name (long)3],MATCH(Товары[[#This Row],[SubGroup]],Структура_ассортимента[Subgroup],0)),"")</f>
        <v>Пружины</v>
      </c>
      <c r="I68" s="36">
        <v>9291</v>
      </c>
      <c r="J68" s="36" t="str">
        <f>IFERROR(INDEX(Структура_ассортимента[Generic Name (long)],MATCH(Товары[[#This Row],[SubGroup]],Структура_ассортимента[Subgroup],0)),"")</f>
        <v>SPRING</v>
      </c>
      <c r="L68" s="36">
        <v>901085901</v>
      </c>
      <c r="M68" s="35" t="s">
        <v>1752</v>
      </c>
      <c r="Q68" s="34" t="s">
        <v>3549</v>
      </c>
      <c r="R68" s="34" t="s">
        <v>3540</v>
      </c>
      <c r="S68" s="47">
        <v>38108</v>
      </c>
      <c r="T68" s="47">
        <v>0</v>
      </c>
      <c r="U68" s="47">
        <v>0</v>
      </c>
      <c r="V68" s="34">
        <v>4078500536202</v>
      </c>
      <c r="W68" s="34" t="s">
        <v>3543</v>
      </c>
      <c r="X68" s="34" t="s">
        <v>3579</v>
      </c>
      <c r="Y68" s="34" t="s">
        <v>3542</v>
      </c>
      <c r="Z68" s="34">
        <v>10</v>
      </c>
      <c r="AA68" s="34" t="s">
        <v>3775</v>
      </c>
      <c r="AB68" s="34" t="s">
        <v>3775</v>
      </c>
      <c r="AC68" s="34" t="s">
        <v>3776</v>
      </c>
      <c r="AD68" s="34" t="s">
        <v>3776</v>
      </c>
      <c r="AE68" s="34" t="s">
        <v>3576</v>
      </c>
      <c r="AF68" s="34" t="s">
        <v>3693</v>
      </c>
      <c r="AG68" s="34" t="s">
        <v>3777</v>
      </c>
      <c r="AH68" s="34" t="s">
        <v>3778</v>
      </c>
      <c r="AL68" s="34">
        <v>1920</v>
      </c>
      <c r="AM68" s="40" t="s">
        <v>8095</v>
      </c>
      <c r="AT68" s="44">
        <v>0</v>
      </c>
      <c r="AU68" s="44"/>
      <c r="AV68" s="46">
        <f>ROUND(Товары[[#This Row],[РРЦ финальная, руб.]]/$AU$1,2)</f>
        <v>0</v>
      </c>
      <c r="AW68" s="45" t="str">
        <f>IFERROR(Товары[[#This Row],[РРЦ, евро]]/Товары[[#This Row],[IRP, Eur]],"-")</f>
        <v>-</v>
      </c>
      <c r="AX68" s="42">
        <f>IFERROR(VLOOKUP(Товары[[#This Row],[SubGroup]],'Структура цен DIY'!$B:$C,2,FALSE),0)</f>
        <v>0</v>
      </c>
      <c r="AY68" s="44">
        <v>0</v>
      </c>
    </row>
    <row r="69" spans="1:51" x14ac:dyDescent="0.25">
      <c r="A69" s="34">
        <v>67</v>
      </c>
      <c r="B69" s="34" t="s">
        <v>56</v>
      </c>
      <c r="C69" s="110" t="str">
        <f>IFERROR(INDEX(Структура_ассортимента[SuperCategory],MATCH(Товары[[#This Row],[SubGroup]],Структура_ассортимента[Subgroup],0)),"")</f>
        <v>A</v>
      </c>
      <c r="D6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6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69" s="110" t="str">
        <f>IFERROR(INDEX(Структура_ассортимента[Product group],MATCH(Товары[[#This Row],[SubGroup]],Структура_ассортимента[Subgroup],0)),"")</f>
        <v>AMA_C</v>
      </c>
      <c r="G69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69" s="110" t="str">
        <f>IFERROR(INDEX(Структура_ассортимента[Generic Name (long)3],MATCH(Товары[[#This Row],[SubGroup]],Структура_ассортимента[Subgroup],0)),"")</f>
        <v>Пружины</v>
      </c>
      <c r="I69" s="36">
        <v>9291</v>
      </c>
      <c r="J69" s="36" t="str">
        <f>IFERROR(INDEX(Структура_ассортимента[Generic Name (long)],MATCH(Товары[[#This Row],[SubGroup]],Структура_ассортимента[Subgroup],0)),"")</f>
        <v>SPRING</v>
      </c>
      <c r="L69" s="36">
        <v>901086001</v>
      </c>
      <c r="M69" s="35" t="s">
        <v>1753</v>
      </c>
      <c r="Q69" s="34" t="s">
        <v>3549</v>
      </c>
      <c r="R69" s="34" t="s">
        <v>3540</v>
      </c>
      <c r="S69" s="47">
        <v>38108</v>
      </c>
      <c r="T69" s="47">
        <v>0</v>
      </c>
      <c r="U69" s="47">
        <v>0</v>
      </c>
      <c r="V69" s="34">
        <v>4078500536301</v>
      </c>
      <c r="W69" s="34" t="s">
        <v>3543</v>
      </c>
      <c r="X69" s="34" t="s">
        <v>3579</v>
      </c>
      <c r="Y69" s="34" t="s">
        <v>3542</v>
      </c>
      <c r="Z69" s="34">
        <v>10</v>
      </c>
      <c r="AA69" s="34" t="s">
        <v>3779</v>
      </c>
      <c r="AB69" s="34" t="s">
        <v>3779</v>
      </c>
      <c r="AC69" s="34" t="s">
        <v>3780</v>
      </c>
      <c r="AD69" s="34" t="s">
        <v>3780</v>
      </c>
      <c r="AE69" s="34" t="s">
        <v>3693</v>
      </c>
      <c r="AF69" s="34" t="s">
        <v>3576</v>
      </c>
      <c r="AG69" s="34" t="s">
        <v>3781</v>
      </c>
      <c r="AH69" s="34" t="s">
        <v>3782</v>
      </c>
      <c r="AL69" s="34">
        <v>1920</v>
      </c>
      <c r="AM69" s="40" t="s">
        <v>8095</v>
      </c>
      <c r="AT69" s="44">
        <v>0</v>
      </c>
      <c r="AU69" s="44"/>
      <c r="AV69" s="46">
        <f>ROUND(Товары[[#This Row],[РРЦ финальная, руб.]]/$AU$1,2)</f>
        <v>0</v>
      </c>
      <c r="AW69" s="45" t="str">
        <f>IFERROR(Товары[[#This Row],[РРЦ, евро]]/Товары[[#This Row],[IRP, Eur]],"-")</f>
        <v>-</v>
      </c>
      <c r="AX69" s="42">
        <f>IFERROR(VLOOKUP(Товары[[#This Row],[SubGroup]],'Структура цен DIY'!$B:$C,2,FALSE),0)</f>
        <v>0</v>
      </c>
      <c r="AY69" s="44">
        <v>0</v>
      </c>
    </row>
    <row r="70" spans="1:51" x14ac:dyDescent="0.25">
      <c r="A70" s="34">
        <v>68</v>
      </c>
      <c r="B70" s="34" t="s">
        <v>56</v>
      </c>
      <c r="C70" s="110" t="str">
        <f>IFERROR(INDEX(Структура_ассортимента[SuperCategory],MATCH(Товары[[#This Row],[SubGroup]],Структура_ассортимента[Subgroup],0)),"")</f>
        <v>A</v>
      </c>
      <c r="D7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0" s="110" t="str">
        <f>IFERROR(INDEX(Структура_ассортимента[Product group],MATCH(Товары[[#This Row],[SubGroup]],Структура_ассортимента[Subgroup],0)),"")</f>
        <v>AMA_C</v>
      </c>
      <c r="G70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70" s="110" t="str">
        <f>IFERROR(INDEX(Структура_ассортимента[Generic Name (long)3],MATCH(Товары[[#This Row],[SubGroup]],Структура_ассортимента[Subgroup],0)),"")</f>
        <v>Пружины</v>
      </c>
      <c r="I70" s="36">
        <v>9291</v>
      </c>
      <c r="J70" s="36" t="str">
        <f>IFERROR(INDEX(Структура_ассортимента[Generic Name (long)],MATCH(Товары[[#This Row],[SubGroup]],Структура_ассортимента[Subgroup],0)),"")</f>
        <v>SPRING</v>
      </c>
      <c r="L70" s="36">
        <v>901085701</v>
      </c>
      <c r="M70" s="35" t="s">
        <v>1754</v>
      </c>
      <c r="Q70" s="34" t="s">
        <v>3549</v>
      </c>
      <c r="R70" s="34" t="s">
        <v>3540</v>
      </c>
      <c r="S70" s="47">
        <v>37203</v>
      </c>
      <c r="T70" s="47">
        <v>0</v>
      </c>
      <c r="U70" s="47">
        <v>0</v>
      </c>
      <c r="V70" s="34">
        <v>4078500535908</v>
      </c>
      <c r="W70" s="34" t="s">
        <v>3543</v>
      </c>
      <c r="X70" s="34" t="s">
        <v>3579</v>
      </c>
      <c r="Y70" s="34" t="s">
        <v>3542</v>
      </c>
      <c r="Z70" s="34">
        <v>10</v>
      </c>
      <c r="AA70" s="34" t="s">
        <v>3783</v>
      </c>
      <c r="AB70" s="34" t="s">
        <v>3783</v>
      </c>
      <c r="AC70" s="34" t="s">
        <v>3784</v>
      </c>
      <c r="AD70" s="34" t="s">
        <v>3784</v>
      </c>
      <c r="AE70" s="34" t="s">
        <v>3693</v>
      </c>
      <c r="AF70" s="34" t="s">
        <v>3576</v>
      </c>
      <c r="AG70" s="34" t="s">
        <v>3785</v>
      </c>
      <c r="AH70" s="34" t="s">
        <v>3786</v>
      </c>
      <c r="AL70" s="34">
        <v>2880</v>
      </c>
      <c r="AM70" s="40" t="s">
        <v>8095</v>
      </c>
      <c r="AT70" s="44">
        <v>0</v>
      </c>
      <c r="AU70" s="44"/>
      <c r="AV70" s="46">
        <f>ROUND(Товары[[#This Row],[РРЦ финальная, руб.]]/$AU$1,2)</f>
        <v>0</v>
      </c>
      <c r="AW70" s="45" t="str">
        <f>IFERROR(Товары[[#This Row],[РРЦ, евро]]/Товары[[#This Row],[IRP, Eur]],"-")</f>
        <v>-</v>
      </c>
      <c r="AX70" s="42">
        <f>IFERROR(VLOOKUP(Товары[[#This Row],[SubGroup]],'Структура цен DIY'!$B:$C,2,FALSE),0)</f>
        <v>0</v>
      </c>
      <c r="AY70" s="44">
        <v>0</v>
      </c>
    </row>
    <row r="71" spans="1:51" x14ac:dyDescent="0.25">
      <c r="A71" s="34">
        <v>69</v>
      </c>
      <c r="B71" s="34" t="s">
        <v>56</v>
      </c>
      <c r="C71" s="110" t="str">
        <f>IFERROR(INDEX(Структура_ассортимента[SuperCategory],MATCH(Товары[[#This Row],[SubGroup]],Структура_ассортимента[Subgroup],0)),"")</f>
        <v>A</v>
      </c>
      <c r="D7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1" s="110" t="str">
        <f>IFERROR(INDEX(Структура_ассортимента[Product group],MATCH(Товары[[#This Row],[SubGroup]],Структура_ассортимента[Subgroup],0)),"")</f>
        <v>AMA_C</v>
      </c>
      <c r="G71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71" s="110" t="str">
        <f>IFERROR(INDEX(Структура_ассортимента[Generic Name (long)3],MATCH(Товары[[#This Row],[SubGroup]],Структура_ассортимента[Subgroup],0)),"")</f>
        <v>Пружины</v>
      </c>
      <c r="I71" s="36">
        <v>9291</v>
      </c>
      <c r="J71" s="36" t="str">
        <f>IFERROR(INDEX(Структура_ассортимента[Generic Name (long)],MATCH(Товары[[#This Row],[SubGroup]],Структура_ассортимента[Subgroup],0)),"")</f>
        <v>SPRING</v>
      </c>
      <c r="L71" s="36">
        <v>901088001</v>
      </c>
      <c r="M71" s="35" t="s">
        <v>1755</v>
      </c>
      <c r="Q71" s="34" t="s">
        <v>3549</v>
      </c>
      <c r="R71" s="34" t="s">
        <v>3540</v>
      </c>
      <c r="S71" s="47">
        <v>39356</v>
      </c>
      <c r="T71" s="47">
        <v>0</v>
      </c>
      <c r="U71" s="47">
        <v>0</v>
      </c>
      <c r="V71" s="34">
        <v>4078500537605</v>
      </c>
      <c r="W71" s="34" t="s">
        <v>3550</v>
      </c>
      <c r="X71" s="34" t="s">
        <v>3787</v>
      </c>
      <c r="Y71" s="34" t="s">
        <v>3542</v>
      </c>
      <c r="Z71" s="34">
        <v>5</v>
      </c>
      <c r="AA71" s="34" t="s">
        <v>3788</v>
      </c>
      <c r="AB71" s="34" t="s">
        <v>3788</v>
      </c>
      <c r="AC71" s="34" t="s">
        <v>3789</v>
      </c>
      <c r="AD71" s="34" t="s">
        <v>3789</v>
      </c>
      <c r="AE71" s="34" t="s">
        <v>3790</v>
      </c>
      <c r="AF71" s="34" t="s">
        <v>3791</v>
      </c>
      <c r="AG71" s="34" t="s">
        <v>3792</v>
      </c>
      <c r="AH71" s="34" t="s">
        <v>3793</v>
      </c>
      <c r="AL71" s="34">
        <v>2400</v>
      </c>
      <c r="AM71" s="40" t="s">
        <v>8095</v>
      </c>
      <c r="AT71" s="44">
        <v>0</v>
      </c>
      <c r="AU71" s="44"/>
      <c r="AV71" s="46">
        <f>ROUND(Товары[[#This Row],[РРЦ финальная, руб.]]/$AU$1,2)</f>
        <v>0</v>
      </c>
      <c r="AW71" s="45" t="str">
        <f>IFERROR(Товары[[#This Row],[РРЦ, евро]]/Товары[[#This Row],[IRP, Eur]],"-")</f>
        <v>-</v>
      </c>
      <c r="AX71" s="42">
        <f>IFERROR(VLOOKUP(Товары[[#This Row],[SubGroup]],'Структура цен DIY'!$B:$C,2,FALSE),0)</f>
        <v>0</v>
      </c>
      <c r="AY71" s="44">
        <v>0</v>
      </c>
    </row>
    <row r="72" spans="1:51" x14ac:dyDescent="0.25">
      <c r="A72" s="34">
        <v>70</v>
      </c>
      <c r="B72" s="34" t="s">
        <v>56</v>
      </c>
      <c r="C72" s="110" t="str">
        <f>IFERROR(INDEX(Структура_ассортимента[SuperCategory],MATCH(Товары[[#This Row],[SubGroup]],Структура_ассортимента[Subgroup],0)),"")</f>
        <v>A</v>
      </c>
      <c r="D7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2" s="110" t="str">
        <f>IFERROR(INDEX(Структура_ассортимента[Product group],MATCH(Товары[[#This Row],[SubGroup]],Структура_ассортимента[Subgroup],0)),"")</f>
        <v>AMA_C</v>
      </c>
      <c r="G72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72" s="110" t="str">
        <f>IFERROR(INDEX(Структура_ассортимента[Generic Name (long)3],MATCH(Товары[[#This Row],[SubGroup]],Структура_ассортимента[Subgroup],0)),"")</f>
        <v>Пружины</v>
      </c>
      <c r="I72" s="36">
        <v>9291</v>
      </c>
      <c r="J72" s="36" t="str">
        <f>IFERROR(INDEX(Структура_ассортимента[Generic Name (long)],MATCH(Товары[[#This Row],[SubGroup]],Структура_ассортимента[Subgroup],0)),"")</f>
        <v>SPRING</v>
      </c>
      <c r="L72" s="36">
        <v>901088301</v>
      </c>
      <c r="M72" s="35" t="s">
        <v>1756</v>
      </c>
      <c r="Q72" s="34" t="s">
        <v>3549</v>
      </c>
      <c r="R72" s="34" t="s">
        <v>3540</v>
      </c>
      <c r="S72" s="47">
        <v>34973</v>
      </c>
      <c r="T72" s="47">
        <v>0</v>
      </c>
      <c r="U72" s="47">
        <v>0</v>
      </c>
      <c r="V72" s="34">
        <v>4078500538404</v>
      </c>
      <c r="W72" s="34" t="s">
        <v>3543</v>
      </c>
      <c r="X72" s="34" t="s">
        <v>3579</v>
      </c>
      <c r="Y72" s="34" t="s">
        <v>3542</v>
      </c>
      <c r="Z72" s="34">
        <v>10</v>
      </c>
      <c r="AA72" s="34" t="s">
        <v>3794</v>
      </c>
      <c r="AB72" s="34" t="s">
        <v>3794</v>
      </c>
      <c r="AC72" s="34" t="s">
        <v>3795</v>
      </c>
      <c r="AD72" s="34" t="s">
        <v>3795</v>
      </c>
      <c r="AE72" s="34" t="s">
        <v>3693</v>
      </c>
      <c r="AF72" s="34" t="s">
        <v>3576</v>
      </c>
      <c r="AG72" s="34" t="s">
        <v>3656</v>
      </c>
      <c r="AH72" s="34" t="s">
        <v>3796</v>
      </c>
      <c r="AL72" s="34">
        <v>2160</v>
      </c>
      <c r="AM72" s="40" t="s">
        <v>8095</v>
      </c>
      <c r="AT72" s="44">
        <v>0</v>
      </c>
      <c r="AU72" s="44"/>
      <c r="AV72" s="46">
        <f>ROUND(Товары[[#This Row],[РРЦ финальная, руб.]]/$AU$1,2)</f>
        <v>0</v>
      </c>
      <c r="AW72" s="45" t="str">
        <f>IFERROR(Товары[[#This Row],[РРЦ, евро]]/Товары[[#This Row],[IRP, Eur]],"-")</f>
        <v>-</v>
      </c>
      <c r="AX72" s="42">
        <f>IFERROR(VLOOKUP(Товары[[#This Row],[SubGroup]],'Структура цен DIY'!$B:$C,2,FALSE),0)</f>
        <v>0</v>
      </c>
      <c r="AY72" s="44">
        <v>0</v>
      </c>
    </row>
    <row r="73" spans="1:51" x14ac:dyDescent="0.25">
      <c r="A73" s="34">
        <v>71</v>
      </c>
      <c r="B73" s="34" t="s">
        <v>56</v>
      </c>
      <c r="C73" s="110" t="str">
        <f>IFERROR(INDEX(Структура_ассортимента[SuperCategory],MATCH(Товары[[#This Row],[SubGroup]],Структура_ассортимента[Subgroup],0)),"")</f>
        <v>A</v>
      </c>
      <c r="D7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3" s="110" t="str">
        <f>IFERROR(INDEX(Структура_ассортимента[Product group],MATCH(Товары[[#This Row],[SubGroup]],Структура_ассортимента[Subgroup],0)),"")</f>
        <v>AMA_C</v>
      </c>
      <c r="G73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73" s="110" t="str">
        <f>IFERROR(INDEX(Структура_ассортимента[Generic Name (long)3],MATCH(Товары[[#This Row],[SubGroup]],Структура_ассортимента[Subgroup],0)),"")</f>
        <v>Пружины</v>
      </c>
      <c r="I73" s="36">
        <v>9291</v>
      </c>
      <c r="J73" s="36" t="str">
        <f>IFERROR(INDEX(Структура_ассортимента[Generic Name (long)],MATCH(Товары[[#This Row],[SubGroup]],Структура_ассортимента[Subgroup],0)),"")</f>
        <v>SPRING</v>
      </c>
      <c r="L73" s="36">
        <v>901088401</v>
      </c>
      <c r="M73" s="35" t="s">
        <v>1757</v>
      </c>
      <c r="Q73" s="34" t="s">
        <v>3549</v>
      </c>
      <c r="R73" s="34" t="s">
        <v>3540</v>
      </c>
      <c r="S73" s="47">
        <v>34973</v>
      </c>
      <c r="T73" s="47">
        <v>0</v>
      </c>
      <c r="U73" s="47">
        <v>0</v>
      </c>
      <c r="V73" s="34">
        <v>4078500538503</v>
      </c>
      <c r="W73" s="34" t="s">
        <v>3543</v>
      </c>
      <c r="X73" s="34" t="s">
        <v>3579</v>
      </c>
      <c r="Y73" s="34" t="s">
        <v>3542</v>
      </c>
      <c r="Z73" s="34">
        <v>10</v>
      </c>
      <c r="AA73" s="34" t="s">
        <v>3780</v>
      </c>
      <c r="AB73" s="34" t="s">
        <v>3780</v>
      </c>
      <c r="AC73" s="34" t="s">
        <v>3797</v>
      </c>
      <c r="AD73" s="34" t="s">
        <v>3797</v>
      </c>
      <c r="AE73" s="34" t="s">
        <v>3693</v>
      </c>
      <c r="AF73" s="34" t="s">
        <v>3576</v>
      </c>
      <c r="AG73" s="34" t="s">
        <v>3678</v>
      </c>
      <c r="AH73" s="34" t="s">
        <v>3798</v>
      </c>
      <c r="AL73" s="34">
        <v>1560</v>
      </c>
      <c r="AM73" s="40" t="s">
        <v>8095</v>
      </c>
      <c r="AT73" s="44">
        <v>0</v>
      </c>
      <c r="AU73" s="44"/>
      <c r="AV73" s="46">
        <f>ROUND(Товары[[#This Row],[РРЦ финальная, руб.]]/$AU$1,2)</f>
        <v>0</v>
      </c>
      <c r="AW73" s="45" t="str">
        <f>IFERROR(Товары[[#This Row],[РРЦ, евро]]/Товары[[#This Row],[IRP, Eur]],"-")</f>
        <v>-</v>
      </c>
      <c r="AX73" s="42">
        <f>IFERROR(VLOOKUP(Товары[[#This Row],[SubGroup]],'Структура цен DIY'!$B:$C,2,FALSE),0)</f>
        <v>0</v>
      </c>
      <c r="AY73" s="44">
        <v>0</v>
      </c>
    </row>
    <row r="74" spans="1:51" x14ac:dyDescent="0.25">
      <c r="A74" s="34">
        <v>72</v>
      </c>
      <c r="B74" s="34" t="s">
        <v>56</v>
      </c>
      <c r="C74" s="110" t="str">
        <f>IFERROR(INDEX(Структура_ассортимента[SuperCategory],MATCH(Товары[[#This Row],[SubGroup]],Структура_ассортимента[Subgroup],0)),"")</f>
        <v>A</v>
      </c>
      <c r="D7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4" s="110" t="str">
        <f>IFERROR(INDEX(Структура_ассортимента[Product group],MATCH(Товары[[#This Row],[SubGroup]],Структура_ассортимента[Subgroup],0)),"")</f>
        <v>AMA_C</v>
      </c>
      <c r="G74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74" s="110" t="str">
        <f>IFERROR(INDEX(Структура_ассортимента[Generic Name (long)3],MATCH(Товары[[#This Row],[SubGroup]],Структура_ассортимента[Subgroup],0)),"")</f>
        <v>Пружины</v>
      </c>
      <c r="I74" s="36">
        <v>9291</v>
      </c>
      <c r="J74" s="36" t="str">
        <f>IFERROR(INDEX(Структура_ассортимента[Generic Name (long)],MATCH(Товары[[#This Row],[SubGroup]],Структура_ассортимента[Subgroup],0)),"")</f>
        <v>SPRING</v>
      </c>
      <c r="L74" s="36">
        <v>901088501</v>
      </c>
      <c r="M74" s="35" t="s">
        <v>1758</v>
      </c>
      <c r="Q74" s="34" t="s">
        <v>3549</v>
      </c>
      <c r="R74" s="34" t="s">
        <v>3540</v>
      </c>
      <c r="S74" s="47">
        <v>34973</v>
      </c>
      <c r="T74" s="47">
        <v>0</v>
      </c>
      <c r="U74" s="47">
        <v>0</v>
      </c>
      <c r="V74" s="34">
        <v>4078500538602</v>
      </c>
      <c r="W74" s="34" t="s">
        <v>3543</v>
      </c>
      <c r="X74" s="34" t="s">
        <v>3579</v>
      </c>
      <c r="Y74" s="34" t="s">
        <v>3542</v>
      </c>
      <c r="Z74" s="34">
        <v>6</v>
      </c>
      <c r="AA74" s="34" t="s">
        <v>3783</v>
      </c>
      <c r="AB74" s="34" t="s">
        <v>3783</v>
      </c>
      <c r="AC74" s="34" t="s">
        <v>3799</v>
      </c>
      <c r="AD74" s="34" t="s">
        <v>3799</v>
      </c>
      <c r="AE74" s="34" t="s">
        <v>3693</v>
      </c>
      <c r="AF74" s="34" t="s">
        <v>3800</v>
      </c>
      <c r="AG74" s="34" t="s">
        <v>3801</v>
      </c>
      <c r="AH74" s="34" t="s">
        <v>3802</v>
      </c>
      <c r="AL74" s="34">
        <v>1728</v>
      </c>
      <c r="AM74" s="40" t="s">
        <v>8095</v>
      </c>
      <c r="AT74" s="44">
        <v>0</v>
      </c>
      <c r="AU74" s="44"/>
      <c r="AV74" s="46">
        <f>ROUND(Товары[[#This Row],[РРЦ финальная, руб.]]/$AU$1,2)</f>
        <v>0</v>
      </c>
      <c r="AW74" s="45" t="str">
        <f>IFERROR(Товары[[#This Row],[РРЦ, евро]]/Товары[[#This Row],[IRP, Eur]],"-")</f>
        <v>-</v>
      </c>
      <c r="AX74" s="42">
        <f>IFERROR(VLOOKUP(Товары[[#This Row],[SubGroup]],'Структура цен DIY'!$B:$C,2,FALSE),0)</f>
        <v>0</v>
      </c>
      <c r="AY74" s="44">
        <v>0</v>
      </c>
    </row>
    <row r="75" spans="1:51" x14ac:dyDescent="0.25">
      <c r="A75" s="34">
        <v>73</v>
      </c>
      <c r="B75" s="34" t="s">
        <v>56</v>
      </c>
      <c r="C75" s="110" t="str">
        <f>IFERROR(INDEX(Структура_ассортимента[SuperCategory],MATCH(Товары[[#This Row],[SubGroup]],Структура_ассортимента[Subgroup],0)),"")</f>
        <v>A</v>
      </c>
      <c r="D7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5" s="110" t="str">
        <f>IFERROR(INDEX(Структура_ассортимента[Product group],MATCH(Товары[[#This Row],[SubGroup]],Структура_ассортимента[Subgroup],0)),"")</f>
        <v>AMA_C</v>
      </c>
      <c r="G75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75" s="110" t="str">
        <f>IFERROR(INDEX(Структура_ассортимента[Generic Name (long)3],MATCH(Товары[[#This Row],[SubGroup]],Структура_ассортимента[Subgroup],0)),"")</f>
        <v>Пружины</v>
      </c>
      <c r="I75" s="36">
        <v>9291</v>
      </c>
      <c r="J75" s="36" t="str">
        <f>IFERROR(INDEX(Структура_ассортимента[Generic Name (long)],MATCH(Товары[[#This Row],[SubGroup]],Структура_ассортимента[Subgroup],0)),"")</f>
        <v>SPRING</v>
      </c>
      <c r="L75" s="36">
        <v>901085301</v>
      </c>
      <c r="M75" s="35" t="s">
        <v>1759</v>
      </c>
      <c r="Q75" s="34" t="s">
        <v>3549</v>
      </c>
      <c r="R75" s="34" t="s">
        <v>3540</v>
      </c>
      <c r="S75" s="47">
        <v>33147</v>
      </c>
      <c r="T75" s="47">
        <v>0</v>
      </c>
      <c r="U75" s="47">
        <v>0</v>
      </c>
      <c r="V75" s="34">
        <v>4078500535205</v>
      </c>
      <c r="W75" s="34" t="s">
        <v>3543</v>
      </c>
      <c r="X75" s="34" t="s">
        <v>3579</v>
      </c>
      <c r="Y75" s="34" t="s">
        <v>3542</v>
      </c>
      <c r="Z75" s="34">
        <v>10</v>
      </c>
      <c r="AA75" s="34" t="s">
        <v>3803</v>
      </c>
      <c r="AB75" s="34" t="s">
        <v>3803</v>
      </c>
      <c r="AC75" s="34" t="s">
        <v>3783</v>
      </c>
      <c r="AD75" s="34" t="s">
        <v>3783</v>
      </c>
      <c r="AE75" s="34" t="s">
        <v>3693</v>
      </c>
      <c r="AF75" s="34" t="s">
        <v>3576</v>
      </c>
      <c r="AG75" s="34" t="s">
        <v>3804</v>
      </c>
      <c r="AH75" s="34" t="s">
        <v>3805</v>
      </c>
      <c r="AL75" s="34">
        <v>2880</v>
      </c>
      <c r="AM75" s="40" t="s">
        <v>8095</v>
      </c>
      <c r="AT75" s="44">
        <v>0</v>
      </c>
      <c r="AU75" s="44"/>
      <c r="AV75" s="46">
        <f>ROUND(Товары[[#This Row],[РРЦ финальная, руб.]]/$AU$1,2)</f>
        <v>0</v>
      </c>
      <c r="AW75" s="45" t="str">
        <f>IFERROR(Товары[[#This Row],[РРЦ, евро]]/Товары[[#This Row],[IRP, Eur]],"-")</f>
        <v>-</v>
      </c>
      <c r="AX75" s="42">
        <f>IFERROR(VLOOKUP(Товары[[#This Row],[SubGroup]],'Структура цен DIY'!$B:$C,2,FALSE),0)</f>
        <v>0</v>
      </c>
      <c r="AY75" s="44">
        <v>0</v>
      </c>
    </row>
    <row r="76" spans="1:51" x14ac:dyDescent="0.25">
      <c r="A76" s="34">
        <v>74</v>
      </c>
      <c r="B76" s="34" t="s">
        <v>56</v>
      </c>
      <c r="C76" s="110" t="str">
        <f>IFERROR(INDEX(Структура_ассортимента[SuperCategory],MATCH(Товары[[#This Row],[SubGroup]],Структура_ассортимента[Subgroup],0)),"")</f>
        <v>A</v>
      </c>
      <c r="D7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6" s="110" t="str">
        <f>IFERROR(INDEX(Структура_ассортимента[Product group],MATCH(Товары[[#This Row],[SubGroup]],Структура_ассортимента[Subgroup],0)),"")</f>
        <v>AMA_C</v>
      </c>
      <c r="G76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76" s="110" t="str">
        <f>IFERROR(INDEX(Структура_ассортимента[Generic Name (long)3],MATCH(Товары[[#This Row],[SubGroup]],Структура_ассортимента[Subgroup],0)),"")</f>
        <v>Пружины</v>
      </c>
      <c r="I76" s="36">
        <v>9291</v>
      </c>
      <c r="J76" s="36" t="str">
        <f>IFERROR(INDEX(Структура_ассортимента[Generic Name (long)],MATCH(Товары[[#This Row],[SubGroup]],Структура_ассортимента[Subgroup],0)),"")</f>
        <v>SPRING</v>
      </c>
      <c r="L76" s="36">
        <v>901085401</v>
      </c>
      <c r="M76" s="35" t="s">
        <v>1760</v>
      </c>
      <c r="Q76" s="34" t="s">
        <v>3549</v>
      </c>
      <c r="R76" s="34" t="s">
        <v>3540</v>
      </c>
      <c r="S76" s="47">
        <v>34243</v>
      </c>
      <c r="T76" s="47">
        <v>0</v>
      </c>
      <c r="U76" s="47">
        <v>0</v>
      </c>
      <c r="V76" s="34">
        <v>4078500535304</v>
      </c>
      <c r="W76" s="34" t="s">
        <v>3543</v>
      </c>
      <c r="X76" s="34" t="s">
        <v>3579</v>
      </c>
      <c r="Y76" s="34" t="s">
        <v>3542</v>
      </c>
      <c r="Z76" s="34">
        <v>10</v>
      </c>
      <c r="AA76" s="34" t="s">
        <v>3806</v>
      </c>
      <c r="AB76" s="34" t="s">
        <v>3794</v>
      </c>
      <c r="AC76" s="34" t="s">
        <v>3807</v>
      </c>
      <c r="AD76" s="34" t="s">
        <v>3807</v>
      </c>
      <c r="AE76" s="34" t="s">
        <v>3693</v>
      </c>
      <c r="AF76" s="34" t="s">
        <v>3576</v>
      </c>
      <c r="AG76" s="34" t="s">
        <v>3808</v>
      </c>
      <c r="AH76" s="34" t="s">
        <v>3809</v>
      </c>
      <c r="AL76" s="34" t="s">
        <v>3810</v>
      </c>
      <c r="AM76" s="40" t="s">
        <v>8095</v>
      </c>
      <c r="AT76" s="44">
        <v>0</v>
      </c>
      <c r="AU76" s="44"/>
      <c r="AV76" s="46">
        <f>ROUND(Товары[[#This Row],[РРЦ финальная, руб.]]/$AU$1,2)</f>
        <v>0</v>
      </c>
      <c r="AW76" s="45" t="str">
        <f>IFERROR(Товары[[#This Row],[РРЦ, евро]]/Товары[[#This Row],[IRP, Eur]],"-")</f>
        <v>-</v>
      </c>
      <c r="AX76" s="42">
        <f>IFERROR(VLOOKUP(Товары[[#This Row],[SubGroup]],'Структура цен DIY'!$B:$C,2,FALSE),0)</f>
        <v>0</v>
      </c>
      <c r="AY76" s="44">
        <v>0</v>
      </c>
    </row>
    <row r="77" spans="1:51" x14ac:dyDescent="0.25">
      <c r="A77" s="34">
        <v>75</v>
      </c>
      <c r="B77" s="34" t="s">
        <v>56</v>
      </c>
      <c r="C77" s="110" t="str">
        <f>IFERROR(INDEX(Структура_ассортимента[SuperCategory],MATCH(Товары[[#This Row],[SubGroup]],Структура_ассортимента[Subgroup],0)),"")</f>
        <v>A</v>
      </c>
      <c r="D7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7" s="110" t="str">
        <f>IFERROR(INDEX(Структура_ассортимента[Product group],MATCH(Товары[[#This Row],[SubGroup]],Структура_ассортимента[Subgroup],0)),"")</f>
        <v>AMA_C</v>
      </c>
      <c r="G77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77" s="110" t="str">
        <f>IFERROR(INDEX(Структура_ассортимента[Generic Name (long)3],MATCH(Товары[[#This Row],[SubGroup]],Структура_ассортимента[Subgroup],0)),"")</f>
        <v>Пружины</v>
      </c>
      <c r="I77" s="36">
        <v>9291</v>
      </c>
      <c r="J77" s="36" t="str">
        <f>IFERROR(INDEX(Структура_ассортимента[Generic Name (long)],MATCH(Товары[[#This Row],[SubGroup]],Структура_ассортимента[Subgroup],0)),"")</f>
        <v>SPRING</v>
      </c>
      <c r="L77" s="36">
        <v>966661301</v>
      </c>
      <c r="M77" s="35" t="s">
        <v>1761</v>
      </c>
      <c r="Q77" s="34" t="s">
        <v>3549</v>
      </c>
      <c r="R77" s="34" t="s">
        <v>3540</v>
      </c>
      <c r="S77" s="47">
        <v>40452</v>
      </c>
      <c r="T77" s="47">
        <v>0</v>
      </c>
      <c r="U77" s="47">
        <v>0</v>
      </c>
      <c r="V77" s="34">
        <v>4078500537902</v>
      </c>
      <c r="W77" s="34" t="s">
        <v>3543</v>
      </c>
      <c r="X77" s="34" t="s">
        <v>3579</v>
      </c>
      <c r="Y77" s="34" t="s">
        <v>3542</v>
      </c>
      <c r="Z77" s="34">
        <v>10</v>
      </c>
      <c r="AA77" s="34" t="s">
        <v>3811</v>
      </c>
      <c r="AB77" s="34" t="s">
        <v>3811</v>
      </c>
      <c r="AC77" s="34" t="s">
        <v>3812</v>
      </c>
      <c r="AD77" s="34" t="s">
        <v>3812</v>
      </c>
      <c r="AE77" s="34" t="s">
        <v>3693</v>
      </c>
      <c r="AF77" s="34" t="s">
        <v>3576</v>
      </c>
      <c r="AG77" s="34" t="s">
        <v>3678</v>
      </c>
      <c r="AH77" s="34" t="s">
        <v>3798</v>
      </c>
      <c r="AL77" s="34">
        <v>2880</v>
      </c>
      <c r="AM77" s="40" t="s">
        <v>8095</v>
      </c>
      <c r="AT77" s="44">
        <v>0</v>
      </c>
      <c r="AU77" s="44"/>
      <c r="AV77" s="46">
        <f>ROUND(Товары[[#This Row],[РРЦ финальная, руб.]]/$AU$1,2)</f>
        <v>0</v>
      </c>
      <c r="AW77" s="45" t="str">
        <f>IFERROR(Товары[[#This Row],[РРЦ, евро]]/Товары[[#This Row],[IRP, Eur]],"-")</f>
        <v>-</v>
      </c>
      <c r="AX77" s="42">
        <f>IFERROR(VLOOKUP(Товары[[#This Row],[SubGroup]],'Структура цен DIY'!$B:$C,2,FALSE),0)</f>
        <v>0</v>
      </c>
      <c r="AY77" s="44">
        <v>0</v>
      </c>
    </row>
    <row r="78" spans="1:51" x14ac:dyDescent="0.25">
      <c r="A78" s="34">
        <v>76</v>
      </c>
      <c r="B78" s="34" t="s">
        <v>56</v>
      </c>
      <c r="C78" s="110" t="str">
        <f>IFERROR(INDEX(Структура_ассортимента[SuperCategory],MATCH(Товары[[#This Row],[SubGroup]],Структура_ассортимента[Subgroup],0)),"")</f>
        <v>A</v>
      </c>
      <c r="D7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8" s="110" t="str">
        <f>IFERROR(INDEX(Структура_ассортимента[Product group],MATCH(Товары[[#This Row],[SubGroup]],Структура_ассортимента[Subgroup],0)),"")</f>
        <v>AMA_C</v>
      </c>
      <c r="G78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78" s="110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78" s="36">
        <v>9232</v>
      </c>
      <c r="J78" s="36" t="str">
        <f>IFERROR(INDEX(Структура_ассортимента[Generic Name (long)],MATCH(Товары[[#This Row],[SubGroup]],Структура_ассортимента[Subgroup],0)),"")</f>
        <v>SPREADER</v>
      </c>
      <c r="L78" s="36">
        <v>900843801</v>
      </c>
      <c r="M78" s="35" t="s">
        <v>1762</v>
      </c>
      <c r="O78" s="35" t="s">
        <v>3813</v>
      </c>
      <c r="P78" s="37" t="s">
        <v>3814</v>
      </c>
      <c r="Q78" s="34" t="s">
        <v>3549</v>
      </c>
      <c r="R78" s="34" t="s">
        <v>3540</v>
      </c>
      <c r="S78" s="47">
        <v>36434</v>
      </c>
      <c r="T78" s="47">
        <v>0</v>
      </c>
      <c r="U78" s="47">
        <v>0</v>
      </c>
      <c r="V78" s="34">
        <v>4078500042000</v>
      </c>
      <c r="W78" s="34" t="s">
        <v>3547</v>
      </c>
      <c r="X78" s="34" t="s">
        <v>3704</v>
      </c>
      <c r="Y78" s="34" t="s">
        <v>3542</v>
      </c>
      <c r="Z78" s="34">
        <v>2</v>
      </c>
      <c r="AA78" s="34" t="s">
        <v>3815</v>
      </c>
      <c r="AB78" s="34" t="s">
        <v>3815</v>
      </c>
      <c r="AC78" s="34" t="s">
        <v>3816</v>
      </c>
      <c r="AD78" s="34" t="s">
        <v>3816</v>
      </c>
      <c r="AE78" s="34" t="s">
        <v>3817</v>
      </c>
      <c r="AF78" s="34" t="s">
        <v>3818</v>
      </c>
      <c r="AG78" s="34" t="s">
        <v>3819</v>
      </c>
      <c r="AH78" s="34" t="s">
        <v>3820</v>
      </c>
      <c r="AL78" s="34">
        <v>34</v>
      </c>
      <c r="AM78" s="40" t="s">
        <v>9</v>
      </c>
      <c r="AP78" s="34">
        <v>0</v>
      </c>
      <c r="AQ78" s="34">
        <v>3890</v>
      </c>
      <c r="AR78" s="34">
        <v>2496</v>
      </c>
      <c r="AT78" s="44">
        <v>301300</v>
      </c>
      <c r="AU78" s="44"/>
      <c r="AV78" s="46">
        <f>ROUND(Товары[[#This Row],[РРЦ финальная, руб.]]/$AU$1,2)</f>
        <v>0</v>
      </c>
      <c r="AW78" s="45" t="str">
        <f>IFERROR(Товары[[#This Row],[РРЦ, евро]]/Товары[[#This Row],[IRP, Eur]],"-")</f>
        <v>-</v>
      </c>
      <c r="AX78" s="42">
        <f>IFERROR(VLOOKUP(Товары[[#This Row],[SubGroup]],'Структура цен DIY'!$B:$C,2,FALSE),0)</f>
        <v>0.22999999999999998</v>
      </c>
      <c r="AY78" s="44">
        <v>0</v>
      </c>
    </row>
    <row r="79" spans="1:51" x14ac:dyDescent="0.25">
      <c r="A79" s="34">
        <v>77</v>
      </c>
      <c r="B79" s="34" t="s">
        <v>56</v>
      </c>
      <c r="C79" s="110" t="str">
        <f>IFERROR(INDEX(Структура_ассортимента[SuperCategory],MATCH(Товары[[#This Row],[SubGroup]],Структура_ассортимента[Subgroup],0)),"")</f>
        <v>A</v>
      </c>
      <c r="D7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9" s="110" t="str">
        <f>IFERROR(INDEX(Структура_ассортимента[Product group],MATCH(Товары[[#This Row],[SubGroup]],Структура_ассортимента[Subgroup],0)),"")</f>
        <v>AMA_C</v>
      </c>
      <c r="G79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79" s="110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79" s="36">
        <v>9232</v>
      </c>
      <c r="J79" s="36" t="str">
        <f>IFERROR(INDEX(Структура_ассортимента[Generic Name (long)],MATCH(Товары[[#This Row],[SubGroup]],Структура_ассортимента[Subgroup],0)),"")</f>
        <v>SPREADER</v>
      </c>
      <c r="L79" s="36">
        <v>967675901</v>
      </c>
      <c r="M79" s="35" t="s">
        <v>1763</v>
      </c>
      <c r="O79" s="35" t="s">
        <v>3821</v>
      </c>
      <c r="P79" s="37" t="s">
        <v>3822</v>
      </c>
      <c r="Q79" s="34" t="s">
        <v>3549</v>
      </c>
      <c r="R79" s="34" t="s">
        <v>3540</v>
      </c>
      <c r="S79" s="47">
        <v>43101</v>
      </c>
      <c r="T79" s="47">
        <v>0</v>
      </c>
      <c r="U79" s="47">
        <v>0</v>
      </c>
      <c r="V79" s="34">
        <v>4078500033121</v>
      </c>
      <c r="W79" s="34" t="s">
        <v>3546</v>
      </c>
      <c r="X79" s="34" t="s">
        <v>3787</v>
      </c>
      <c r="Y79" s="34" t="s">
        <v>3542</v>
      </c>
      <c r="Z79" s="34">
        <v>4</v>
      </c>
      <c r="AA79" s="34">
        <v>652</v>
      </c>
      <c r="AB79" s="34" t="s">
        <v>3823</v>
      </c>
      <c r="AC79" s="34">
        <v>603</v>
      </c>
      <c r="AD79" s="34" t="s">
        <v>3824</v>
      </c>
      <c r="AE79" s="34" t="s">
        <v>3825</v>
      </c>
      <c r="AF79" s="34" t="s">
        <v>3826</v>
      </c>
      <c r="AG79" s="34" t="s">
        <v>3662</v>
      </c>
      <c r="AH79" s="34" t="s">
        <v>3827</v>
      </c>
      <c r="AI79" s="34" t="s">
        <v>3828</v>
      </c>
      <c r="AJ79" s="34" t="s">
        <v>3590</v>
      </c>
      <c r="AK79" s="34" t="s">
        <v>3829</v>
      </c>
      <c r="AL79" s="34" t="s">
        <v>3830</v>
      </c>
      <c r="AM79" s="40" t="s">
        <v>9</v>
      </c>
      <c r="AP79" s="34">
        <v>0</v>
      </c>
      <c r="AQ79" s="34">
        <v>1990</v>
      </c>
      <c r="AR79" s="34">
        <v>1277</v>
      </c>
      <c r="AT79" s="44">
        <v>154100</v>
      </c>
      <c r="AU79" s="44"/>
      <c r="AV79" s="46">
        <f>ROUND(Товары[[#This Row],[РРЦ финальная, руб.]]/$AU$1,2)</f>
        <v>0</v>
      </c>
      <c r="AW79" s="45" t="str">
        <f>IFERROR(Товары[[#This Row],[РРЦ, евро]]/Товары[[#This Row],[IRP, Eur]],"-")</f>
        <v>-</v>
      </c>
      <c r="AX79" s="42">
        <f>IFERROR(VLOOKUP(Товары[[#This Row],[SubGroup]],'Структура цен DIY'!$B:$C,2,FALSE),0)</f>
        <v>0.22999999999999998</v>
      </c>
      <c r="AY79" s="44">
        <v>0</v>
      </c>
    </row>
    <row r="80" spans="1:51" x14ac:dyDescent="0.25">
      <c r="A80" s="34">
        <v>78</v>
      </c>
      <c r="B80" s="34" t="s">
        <v>56</v>
      </c>
      <c r="C80" s="110" t="str">
        <f>IFERROR(INDEX(Структура_ассортимента[SuperCategory],MATCH(Товары[[#This Row],[SubGroup]],Структура_ассортимента[Subgroup],0)),"")</f>
        <v>A</v>
      </c>
      <c r="D8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8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80" s="110" t="str">
        <f>IFERROR(INDEX(Структура_ассортимента[Product group],MATCH(Товары[[#This Row],[SubGroup]],Структура_ассортимента[Subgroup],0)),"")</f>
        <v>AMA_C</v>
      </c>
      <c r="G80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80" s="110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80" s="36">
        <v>9232</v>
      </c>
      <c r="J80" s="36" t="str">
        <f>IFERROR(INDEX(Структура_ассортимента[Generic Name (long)],MATCH(Товары[[#This Row],[SubGroup]],Структура_ассортимента[Subgroup],0)),"")</f>
        <v>SPREADER</v>
      </c>
      <c r="L80" s="36">
        <v>967676001</v>
      </c>
      <c r="M80" s="35" t="s">
        <v>1764</v>
      </c>
      <c r="Q80" s="34" t="s">
        <v>3549</v>
      </c>
      <c r="R80" s="34" t="s">
        <v>3540</v>
      </c>
      <c r="S80" s="47">
        <v>43101</v>
      </c>
      <c r="T80" s="47">
        <v>0</v>
      </c>
      <c r="U80" s="47">
        <v>0</v>
      </c>
      <c r="V80" s="34">
        <v>4078500033145</v>
      </c>
      <c r="W80" s="34" t="s">
        <v>3543</v>
      </c>
      <c r="X80" s="34" t="s">
        <v>3579</v>
      </c>
      <c r="Y80" s="34" t="s">
        <v>3542</v>
      </c>
      <c r="Z80" s="34">
        <v>18</v>
      </c>
      <c r="AA80" s="34">
        <v>652</v>
      </c>
      <c r="AB80" s="34" t="s">
        <v>3823</v>
      </c>
      <c r="AC80" s="34">
        <v>603</v>
      </c>
      <c r="AD80" s="34" t="s">
        <v>3824</v>
      </c>
      <c r="AE80" s="34" t="s">
        <v>3825</v>
      </c>
      <c r="AF80" s="34" t="s">
        <v>3826</v>
      </c>
      <c r="AG80" s="34" t="s">
        <v>3662</v>
      </c>
      <c r="AH80" s="34" t="s">
        <v>3827</v>
      </c>
      <c r="AI80" s="34" t="s">
        <v>3828</v>
      </c>
      <c r="AJ80" s="34" t="s">
        <v>3590</v>
      </c>
      <c r="AK80" s="34" t="s">
        <v>3829</v>
      </c>
      <c r="AL80" s="34" t="s">
        <v>3830</v>
      </c>
      <c r="AM80" s="40" t="s">
        <v>8095</v>
      </c>
      <c r="AT80" s="44">
        <v>0</v>
      </c>
      <c r="AU80" s="44"/>
      <c r="AV80" s="46">
        <f>ROUND(Товары[[#This Row],[РРЦ финальная, руб.]]/$AU$1,2)</f>
        <v>0</v>
      </c>
      <c r="AW80" s="45" t="str">
        <f>IFERROR(Товары[[#This Row],[РРЦ, евро]]/Товары[[#This Row],[IRP, Eur]],"-")</f>
        <v>-</v>
      </c>
      <c r="AX80" s="42">
        <f>IFERROR(VLOOKUP(Товары[[#This Row],[SubGroup]],'Структура цен DIY'!$B:$C,2,FALSE),0)</f>
        <v>0.22999999999999998</v>
      </c>
      <c r="AY80" s="44">
        <v>0</v>
      </c>
    </row>
    <row r="81" spans="1:51" x14ac:dyDescent="0.25">
      <c r="A81" s="34">
        <v>79</v>
      </c>
      <c r="B81" s="34" t="s">
        <v>56</v>
      </c>
      <c r="C81" s="110" t="str">
        <f>IFERROR(INDEX(Структура_ассортимента[SuperCategory],MATCH(Товары[[#This Row],[SubGroup]],Структура_ассортимента[Subgroup],0)),"")</f>
        <v>A</v>
      </c>
      <c r="D8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8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81" s="110" t="str">
        <f>IFERROR(INDEX(Структура_ассортимента[Product group],MATCH(Товары[[#This Row],[SubGroup]],Структура_ассортимента[Subgroup],0)),"")</f>
        <v>AMA_C</v>
      </c>
      <c r="G81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81" s="110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81" s="36">
        <v>9232</v>
      </c>
      <c r="J81" s="36" t="str">
        <f>IFERROR(INDEX(Структура_ассортимента[Generic Name (long)],MATCH(Товары[[#This Row],[SubGroup]],Структура_ассортимента[Subgroup],0)),"")</f>
        <v>SPREADER</v>
      </c>
      <c r="L81" s="36">
        <v>967814901</v>
      </c>
      <c r="M81" s="35" t="s">
        <v>1765</v>
      </c>
      <c r="Q81" s="34" t="s">
        <v>3549</v>
      </c>
      <c r="R81" s="34" t="s">
        <v>3540</v>
      </c>
      <c r="S81" s="47">
        <v>43101</v>
      </c>
      <c r="T81" s="47">
        <v>0</v>
      </c>
      <c r="U81" s="47">
        <v>0</v>
      </c>
      <c r="V81" s="34">
        <v>4078500039345</v>
      </c>
      <c r="W81" s="34" t="s">
        <v>3543</v>
      </c>
      <c r="X81" s="34" t="s">
        <v>3787</v>
      </c>
      <c r="Y81" s="34" t="s">
        <v>3542</v>
      </c>
      <c r="Z81" s="34">
        <v>18</v>
      </c>
      <c r="AA81" s="34">
        <v>652</v>
      </c>
      <c r="AB81" s="34" t="s">
        <v>3823</v>
      </c>
      <c r="AC81" s="34">
        <v>603</v>
      </c>
      <c r="AD81" s="34" t="s">
        <v>3824</v>
      </c>
      <c r="AE81" s="34" t="s">
        <v>3825</v>
      </c>
      <c r="AF81" s="34" t="s">
        <v>3826</v>
      </c>
      <c r="AG81" s="34" t="s">
        <v>3662</v>
      </c>
      <c r="AH81" s="34" t="s">
        <v>3827</v>
      </c>
      <c r="AI81" s="34" t="s">
        <v>3828</v>
      </c>
      <c r="AJ81" s="34" t="s">
        <v>3590</v>
      </c>
      <c r="AK81" s="34" t="s">
        <v>3829</v>
      </c>
      <c r="AL81" s="34" t="s">
        <v>3830</v>
      </c>
      <c r="AM81" s="40" t="s">
        <v>8095</v>
      </c>
      <c r="AT81" s="44">
        <v>0</v>
      </c>
      <c r="AU81" s="44"/>
      <c r="AV81" s="46">
        <f>ROUND(Товары[[#This Row],[РРЦ финальная, руб.]]/$AU$1,2)</f>
        <v>0</v>
      </c>
      <c r="AW81" s="45" t="str">
        <f>IFERROR(Товары[[#This Row],[РРЦ, евро]]/Товары[[#This Row],[IRP, Eur]],"-")</f>
        <v>-</v>
      </c>
      <c r="AX81" s="42">
        <f>IFERROR(VLOOKUP(Товары[[#This Row],[SubGroup]],'Структура цен DIY'!$B:$C,2,FALSE),0)</f>
        <v>0.22999999999999998</v>
      </c>
      <c r="AY81" s="44">
        <v>0</v>
      </c>
    </row>
    <row r="82" spans="1:51" x14ac:dyDescent="0.25">
      <c r="A82" s="34">
        <v>80</v>
      </c>
      <c r="B82" s="34" t="s">
        <v>56</v>
      </c>
      <c r="C82" s="110" t="str">
        <f>IFERROR(INDEX(Структура_ассортимента[SuperCategory],MATCH(Товары[[#This Row],[SubGroup]],Структура_ассортимента[Subgroup],0)),"")</f>
        <v>A</v>
      </c>
      <c r="D8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8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82" s="110" t="str">
        <f>IFERROR(INDEX(Структура_ассортимента[Product group],MATCH(Товары[[#This Row],[SubGroup]],Структура_ассортимента[Subgroup],0)),"")</f>
        <v>AMA_C</v>
      </c>
      <c r="G82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82" s="110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82" s="36">
        <v>9232</v>
      </c>
      <c r="J82" s="36" t="str">
        <f>IFERROR(INDEX(Структура_ассортимента[Generic Name (long)],MATCH(Товары[[#This Row],[SubGroup]],Структура_ассортимента[Subgroup],0)),"")</f>
        <v>SPREADER</v>
      </c>
      <c r="L82" s="36">
        <v>967676101</v>
      </c>
      <c r="M82" s="35" t="s">
        <v>1766</v>
      </c>
      <c r="O82" s="35" t="s">
        <v>3831</v>
      </c>
      <c r="P82" s="37" t="s">
        <v>3832</v>
      </c>
      <c r="Q82" s="34" t="s">
        <v>3549</v>
      </c>
      <c r="R82" s="34" t="s">
        <v>3540</v>
      </c>
      <c r="S82" s="47">
        <v>43101</v>
      </c>
      <c r="T82" s="47">
        <v>0</v>
      </c>
      <c r="U82" s="47">
        <v>0</v>
      </c>
      <c r="V82" s="34">
        <v>4078500033169</v>
      </c>
      <c r="W82" s="34" t="s">
        <v>3543</v>
      </c>
      <c r="X82" s="34" t="s">
        <v>3579</v>
      </c>
      <c r="Y82" s="34" t="s">
        <v>3542</v>
      </c>
      <c r="Z82" s="34">
        <v>1</v>
      </c>
      <c r="AA82" s="34">
        <v>3076</v>
      </c>
      <c r="AB82" s="34" t="s">
        <v>3833</v>
      </c>
      <c r="AC82" s="34">
        <v>2545</v>
      </c>
      <c r="AD82" s="34" t="s">
        <v>3834</v>
      </c>
      <c r="AE82" s="34" t="s">
        <v>3835</v>
      </c>
      <c r="AF82" s="34" t="s">
        <v>3836</v>
      </c>
      <c r="AG82" s="34" t="s">
        <v>3837</v>
      </c>
      <c r="AH82" s="34" t="s">
        <v>3838</v>
      </c>
      <c r="AI82" s="34" t="s">
        <v>3839</v>
      </c>
      <c r="AJ82" s="34" t="s">
        <v>3840</v>
      </c>
      <c r="AK82" s="34" t="s">
        <v>3841</v>
      </c>
      <c r="AL82" s="34" t="s">
        <v>3842</v>
      </c>
      <c r="AM82" s="40" t="s">
        <v>9</v>
      </c>
      <c r="AP82" s="34">
        <v>0</v>
      </c>
      <c r="AQ82" s="34">
        <v>4190</v>
      </c>
      <c r="AR82" s="34">
        <v>2689</v>
      </c>
      <c r="AT82" s="44">
        <v>324500</v>
      </c>
      <c r="AU82" s="44"/>
      <c r="AV82" s="46">
        <f>ROUND(Товары[[#This Row],[РРЦ финальная, руб.]]/$AU$1,2)</f>
        <v>0</v>
      </c>
      <c r="AW82" s="45" t="str">
        <f>IFERROR(Товары[[#This Row],[РРЦ, евро]]/Товары[[#This Row],[IRP, Eur]],"-")</f>
        <v>-</v>
      </c>
      <c r="AX82" s="42">
        <f>IFERROR(VLOOKUP(Товары[[#This Row],[SubGroup]],'Структура цен DIY'!$B:$C,2,FALSE),0)</f>
        <v>0.22999999999999998</v>
      </c>
      <c r="AY82" s="44">
        <v>0</v>
      </c>
    </row>
    <row r="83" spans="1:51" x14ac:dyDescent="0.25">
      <c r="A83" s="34">
        <v>81</v>
      </c>
      <c r="B83" s="34" t="s">
        <v>56</v>
      </c>
      <c r="C83" s="110" t="str">
        <f>IFERROR(INDEX(Структура_ассортимента[SuperCategory],MATCH(Товары[[#This Row],[SubGroup]],Структура_ассортимента[Subgroup],0)),"")</f>
        <v>A</v>
      </c>
      <c r="D8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8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83" s="110" t="str">
        <f>IFERROR(INDEX(Структура_ассортимента[Product group],MATCH(Товары[[#This Row],[SubGroup]],Структура_ассортимента[Subgroup],0)),"")</f>
        <v>AMA_C</v>
      </c>
      <c r="G83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83" s="110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83" s="36">
        <v>9232</v>
      </c>
      <c r="J83" s="36" t="str">
        <f>IFERROR(INDEX(Структура_ассортимента[Generic Name (long)],MATCH(Товары[[#This Row],[SubGroup]],Структура_ассортимента[Subgroup],0)),"")</f>
        <v>SPREADER</v>
      </c>
      <c r="L83" s="36">
        <v>967691001</v>
      </c>
      <c r="M83" s="35" t="s">
        <v>1767</v>
      </c>
      <c r="O83" s="35" t="s">
        <v>3843</v>
      </c>
      <c r="P83" s="37" t="s">
        <v>3844</v>
      </c>
      <c r="Q83" s="34" t="s">
        <v>3549</v>
      </c>
      <c r="R83" s="34" t="s">
        <v>3540</v>
      </c>
      <c r="S83" s="47">
        <v>43101</v>
      </c>
      <c r="T83" s="47">
        <v>0</v>
      </c>
      <c r="U83" s="47">
        <v>0</v>
      </c>
      <c r="V83" s="34">
        <v>4078500033176</v>
      </c>
      <c r="W83" s="34" t="s">
        <v>3543</v>
      </c>
      <c r="X83" s="34" t="s">
        <v>3579</v>
      </c>
      <c r="Y83" s="34" t="s">
        <v>3542</v>
      </c>
      <c r="Z83" s="34">
        <v>8</v>
      </c>
      <c r="AA83" s="34">
        <v>3076</v>
      </c>
      <c r="AB83" s="34" t="s">
        <v>3845</v>
      </c>
      <c r="AC83" s="34">
        <v>2545</v>
      </c>
      <c r="AD83" s="34" t="s">
        <v>3846</v>
      </c>
      <c r="AE83" s="34" t="s">
        <v>3835</v>
      </c>
      <c r="AF83" s="34" t="s">
        <v>3836</v>
      </c>
      <c r="AG83" s="34" t="s">
        <v>3837</v>
      </c>
      <c r="AH83" s="34" t="s">
        <v>3838</v>
      </c>
      <c r="AI83" s="34" t="s">
        <v>3839</v>
      </c>
      <c r="AJ83" s="34" t="s">
        <v>3840</v>
      </c>
      <c r="AK83" s="34" t="s">
        <v>3841</v>
      </c>
      <c r="AL83" s="34" t="s">
        <v>3847</v>
      </c>
      <c r="AM83" s="40" t="s">
        <v>9</v>
      </c>
      <c r="AP83" s="34">
        <v>0</v>
      </c>
      <c r="AQ83" s="34">
        <v>4190</v>
      </c>
      <c r="AR83" s="34">
        <v>2689</v>
      </c>
      <c r="AT83" s="44">
        <v>324500</v>
      </c>
      <c r="AU83" s="44"/>
      <c r="AV83" s="46">
        <f>ROUND(Товары[[#This Row],[РРЦ финальная, руб.]]/$AU$1,2)</f>
        <v>0</v>
      </c>
      <c r="AW83" s="45" t="str">
        <f>IFERROR(Товары[[#This Row],[РРЦ, евро]]/Товары[[#This Row],[IRP, Eur]],"-")</f>
        <v>-</v>
      </c>
      <c r="AX83" s="42">
        <f>IFERROR(VLOOKUP(Товары[[#This Row],[SubGroup]],'Структура цен DIY'!$B:$C,2,FALSE),0)</f>
        <v>0.22999999999999998</v>
      </c>
      <c r="AY83" s="44">
        <v>0</v>
      </c>
    </row>
    <row r="84" spans="1:51" x14ac:dyDescent="0.25">
      <c r="A84" s="34">
        <v>82</v>
      </c>
      <c r="B84" s="34" t="s">
        <v>56</v>
      </c>
      <c r="C84" s="110" t="str">
        <f>IFERROR(INDEX(Структура_ассортимента[SuperCategory],MATCH(Товары[[#This Row],[SubGroup]],Структура_ассортимента[Subgroup],0)),"")</f>
        <v>A</v>
      </c>
      <c r="D8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8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84" s="110" t="str">
        <f>IFERROR(INDEX(Структура_ассортимента[Product group],MATCH(Товары[[#This Row],[SubGroup]],Структура_ассортимента[Subgroup],0)),"")</f>
        <v>AMA_C</v>
      </c>
      <c r="G84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84" s="110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84" s="36">
        <v>9232</v>
      </c>
      <c r="J84" s="36" t="str">
        <f>IFERROR(INDEX(Структура_ассортимента[Generic Name (long)],MATCH(Товары[[#This Row],[SubGroup]],Структура_ассортимента[Subgroup],0)),"")</f>
        <v>SPREADER</v>
      </c>
      <c r="L84" s="36">
        <v>967676201</v>
      </c>
      <c r="M84" s="35" t="s">
        <v>1768</v>
      </c>
      <c r="O84" s="35" t="s">
        <v>3848</v>
      </c>
      <c r="P84" s="37" t="s">
        <v>3849</v>
      </c>
      <c r="Q84" s="34" t="s">
        <v>3549</v>
      </c>
      <c r="R84" s="34" t="s">
        <v>3540</v>
      </c>
      <c r="S84" s="47">
        <v>43101</v>
      </c>
      <c r="T84" s="47">
        <v>0</v>
      </c>
      <c r="U84" s="47">
        <v>0</v>
      </c>
      <c r="V84" s="34">
        <v>4078500033190</v>
      </c>
      <c r="W84" s="34" t="s">
        <v>3546</v>
      </c>
      <c r="X84" s="34" t="s">
        <v>3787</v>
      </c>
      <c r="Y84" s="34" t="s">
        <v>3542</v>
      </c>
      <c r="Z84" s="34">
        <v>1</v>
      </c>
      <c r="AA84" s="34">
        <v>4220</v>
      </c>
      <c r="AB84" s="34" t="s">
        <v>3850</v>
      </c>
      <c r="AC84" s="34">
        <v>3300</v>
      </c>
      <c r="AD84" s="34" t="s">
        <v>3851</v>
      </c>
      <c r="AE84" s="34" t="s">
        <v>3852</v>
      </c>
      <c r="AF84" s="34" t="s">
        <v>3853</v>
      </c>
      <c r="AG84" s="34" t="s">
        <v>3854</v>
      </c>
      <c r="AH84" s="34" t="s">
        <v>3855</v>
      </c>
      <c r="AI84" s="34" t="s">
        <v>3638</v>
      </c>
      <c r="AJ84" s="34" t="s">
        <v>3856</v>
      </c>
      <c r="AK84" s="34" t="s">
        <v>3857</v>
      </c>
      <c r="AL84" s="34" t="s">
        <v>3858</v>
      </c>
      <c r="AM84" s="40" t="s">
        <v>9</v>
      </c>
      <c r="AP84" s="34">
        <v>0</v>
      </c>
      <c r="AQ84" s="34">
        <v>8190</v>
      </c>
      <c r="AR84" s="34">
        <v>5119</v>
      </c>
      <c r="AT84" s="44">
        <v>634400</v>
      </c>
      <c r="AU84" s="44"/>
      <c r="AV84" s="46">
        <f>ROUND(Товары[[#This Row],[РРЦ финальная, руб.]]/$AU$1,2)</f>
        <v>0</v>
      </c>
      <c r="AW84" s="45" t="str">
        <f>IFERROR(Товары[[#This Row],[РРЦ, евро]]/Товары[[#This Row],[IRP, Eur]],"-")</f>
        <v>-</v>
      </c>
      <c r="AX84" s="42">
        <f>IFERROR(VLOOKUP(Товары[[#This Row],[SubGroup]],'Структура цен DIY'!$B:$C,2,FALSE),0)</f>
        <v>0.22999999999999998</v>
      </c>
      <c r="AY84" s="44">
        <v>0</v>
      </c>
    </row>
    <row r="85" spans="1:51" x14ac:dyDescent="0.25">
      <c r="A85" s="34">
        <v>83</v>
      </c>
      <c r="B85" s="34" t="s">
        <v>56</v>
      </c>
      <c r="C85" s="110" t="str">
        <f>IFERROR(INDEX(Структура_ассортимента[SuperCategory],MATCH(Товары[[#This Row],[SubGroup]],Структура_ассортимента[Subgroup],0)),"")</f>
        <v>A</v>
      </c>
      <c r="D8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8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85" s="110" t="str">
        <f>IFERROR(INDEX(Структура_ассортимента[Product group],MATCH(Товары[[#This Row],[SubGroup]],Структура_ассортимента[Subgroup],0)),"")</f>
        <v>AMA_C</v>
      </c>
      <c r="G85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85" s="110" t="str">
        <f>IFERROR(INDEX(Структура_ассортимента[Generic Name (long)3],MATCH(Товары[[#This Row],[SubGroup]],Структура_ассортимента[Subgroup],0)),"")</f>
        <v>Бордюры для клумб</v>
      </c>
      <c r="I85" s="36">
        <v>9233</v>
      </c>
      <c r="J85" s="36" t="str">
        <f>IFERROR(INDEX(Структура_ассортимента[Generic Name (long)],MATCH(Товары[[#This Row],[SubGroup]],Структура_ассортимента[Subgroup],0)),"")</f>
        <v>BED EDGING</v>
      </c>
      <c r="L85" s="36">
        <v>900846701</v>
      </c>
      <c r="M85" s="35" t="s">
        <v>1769</v>
      </c>
      <c r="O85" s="35" t="s">
        <v>3859</v>
      </c>
      <c r="P85" s="37" t="s">
        <v>3860</v>
      </c>
      <c r="Q85" s="34" t="s">
        <v>3549</v>
      </c>
      <c r="R85" s="34" t="s">
        <v>3540</v>
      </c>
      <c r="S85" s="47">
        <v>34215</v>
      </c>
      <c r="T85" s="47">
        <v>0</v>
      </c>
      <c r="U85" s="47">
        <v>0</v>
      </c>
      <c r="V85" s="34">
        <v>4078500053006</v>
      </c>
      <c r="W85" s="34" t="s">
        <v>3550</v>
      </c>
      <c r="X85" s="34" t="s">
        <v>3579</v>
      </c>
      <c r="Y85" s="34" t="s">
        <v>3542</v>
      </c>
      <c r="Z85" s="34">
        <v>6</v>
      </c>
      <c r="AA85" s="34" t="s">
        <v>3861</v>
      </c>
      <c r="AB85" s="34" t="s">
        <v>3862</v>
      </c>
      <c r="AC85" s="34" t="s">
        <v>3863</v>
      </c>
      <c r="AD85" s="34" t="s">
        <v>3864</v>
      </c>
      <c r="AE85" s="34" t="s">
        <v>3865</v>
      </c>
      <c r="AF85" s="34" t="s">
        <v>3865</v>
      </c>
      <c r="AG85" s="34" t="s">
        <v>3866</v>
      </c>
      <c r="AH85" s="34" t="s">
        <v>3867</v>
      </c>
      <c r="AL85" s="34" t="s">
        <v>3868</v>
      </c>
      <c r="AM85" s="40" t="s">
        <v>9</v>
      </c>
      <c r="AP85" s="34">
        <v>0</v>
      </c>
      <c r="AQ85" s="34">
        <v>1190</v>
      </c>
      <c r="AR85" s="34">
        <v>694</v>
      </c>
      <c r="AT85" s="44">
        <v>92200</v>
      </c>
      <c r="AU85" s="44"/>
      <c r="AV85" s="46">
        <f>ROUND(Товары[[#This Row],[РРЦ финальная, руб.]]/$AU$1,2)</f>
        <v>0</v>
      </c>
      <c r="AW85" s="45" t="str">
        <f>IFERROR(Товары[[#This Row],[РРЦ, евро]]/Товары[[#This Row],[IRP, Eur]],"-")</f>
        <v>-</v>
      </c>
      <c r="AX85" s="42">
        <f>IFERROR(VLOOKUP(Товары[[#This Row],[SubGroup]],'Структура цен DIY'!$B:$C,2,FALSE),0)</f>
        <v>0.29999999999999993</v>
      </c>
      <c r="AY85" s="44">
        <v>0</v>
      </c>
    </row>
    <row r="86" spans="1:51" x14ac:dyDescent="0.25">
      <c r="A86" s="34">
        <v>84</v>
      </c>
      <c r="B86" s="34" t="s">
        <v>56</v>
      </c>
      <c r="C86" s="110" t="str">
        <f>IFERROR(INDEX(Структура_ассортимента[SuperCategory],MATCH(Товары[[#This Row],[SubGroup]],Структура_ассортимента[Subgroup],0)),"")</f>
        <v>A</v>
      </c>
      <c r="D8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8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86" s="110" t="str">
        <f>IFERROR(INDEX(Структура_ассортимента[Product group],MATCH(Товары[[#This Row],[SubGroup]],Структура_ассортимента[Subgroup],0)),"")</f>
        <v>AMA_C</v>
      </c>
      <c r="G86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86" s="110" t="str">
        <f>IFERROR(INDEX(Структура_ассортимента[Generic Name (long)3],MATCH(Товары[[#This Row],[SubGroup]],Структура_ассортимента[Subgroup],0)),"")</f>
        <v>Бордюры для клумб</v>
      </c>
      <c r="I86" s="36">
        <v>9233</v>
      </c>
      <c r="J86" s="36" t="str">
        <f>IFERROR(INDEX(Структура_ассортимента[Generic Name (long)],MATCH(Товары[[#This Row],[SubGroup]],Структура_ассортимента[Subgroup],0)),"")</f>
        <v>BED EDGING</v>
      </c>
      <c r="L86" s="36">
        <v>900846801</v>
      </c>
      <c r="M86" s="35" t="s">
        <v>1770</v>
      </c>
      <c r="O86" s="35" t="s">
        <v>3869</v>
      </c>
      <c r="P86" s="37" t="s">
        <v>3870</v>
      </c>
      <c r="Q86" s="34" t="s">
        <v>3549</v>
      </c>
      <c r="R86" s="34" t="s">
        <v>3540</v>
      </c>
      <c r="S86" s="47">
        <v>34215</v>
      </c>
      <c r="T86" s="47">
        <v>0</v>
      </c>
      <c r="U86" s="47">
        <v>0</v>
      </c>
      <c r="V86" s="34">
        <v>4078500053204</v>
      </c>
      <c r="W86" s="34" t="s">
        <v>3550</v>
      </c>
      <c r="X86" s="34" t="s">
        <v>3579</v>
      </c>
      <c r="Y86" s="34" t="s">
        <v>3542</v>
      </c>
      <c r="Z86" s="34">
        <v>6</v>
      </c>
      <c r="AA86" s="34" t="s">
        <v>3871</v>
      </c>
      <c r="AB86" s="34" t="s">
        <v>3871</v>
      </c>
      <c r="AC86" s="34" t="s">
        <v>3596</v>
      </c>
      <c r="AD86" s="34" t="s">
        <v>3596</v>
      </c>
      <c r="AE86" s="34" t="s">
        <v>3708</v>
      </c>
      <c r="AF86" s="34" t="s">
        <v>3818</v>
      </c>
      <c r="AG86" s="34" t="s">
        <v>3818</v>
      </c>
      <c r="AH86" s="34" t="s">
        <v>3872</v>
      </c>
      <c r="AL86" s="34">
        <v>144</v>
      </c>
      <c r="AM86" s="40" t="s">
        <v>9</v>
      </c>
      <c r="AP86" s="34">
        <v>0</v>
      </c>
      <c r="AQ86" s="34">
        <v>2290</v>
      </c>
      <c r="AR86" s="34">
        <v>1336</v>
      </c>
      <c r="AT86" s="44">
        <v>177400</v>
      </c>
      <c r="AU86" s="44"/>
      <c r="AV86" s="46">
        <f>ROUND(Товары[[#This Row],[РРЦ финальная, руб.]]/$AU$1,2)</f>
        <v>0</v>
      </c>
      <c r="AW86" s="45" t="str">
        <f>IFERROR(Товары[[#This Row],[РРЦ, евро]]/Товары[[#This Row],[IRP, Eur]],"-")</f>
        <v>-</v>
      </c>
      <c r="AX86" s="42">
        <f>IFERROR(VLOOKUP(Товары[[#This Row],[SubGroup]],'Структура цен DIY'!$B:$C,2,FALSE),0)</f>
        <v>0.29999999999999993</v>
      </c>
      <c r="AY86" s="44">
        <v>0</v>
      </c>
    </row>
    <row r="87" spans="1:51" x14ac:dyDescent="0.25">
      <c r="A87" s="34">
        <v>85</v>
      </c>
      <c r="B87" s="34" t="s">
        <v>56</v>
      </c>
      <c r="C87" s="110" t="str">
        <f>IFERROR(INDEX(Структура_ассортимента[SuperCategory],MATCH(Товары[[#This Row],[SubGroup]],Структура_ассортимента[Subgroup],0)),"")</f>
        <v>A</v>
      </c>
      <c r="D8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8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87" s="110" t="str">
        <f>IFERROR(INDEX(Структура_ассортимента[Product group],MATCH(Товары[[#This Row],[SubGroup]],Структура_ассортимента[Subgroup],0)),"")</f>
        <v>AMA_C</v>
      </c>
      <c r="G87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87" s="110" t="str">
        <f>IFERROR(INDEX(Структура_ассортимента[Generic Name (long)3],MATCH(Товары[[#This Row],[SubGroup]],Структура_ассортимента[Subgroup],0)),"")</f>
        <v>Бордюры для клумб</v>
      </c>
      <c r="I87" s="36">
        <v>9233</v>
      </c>
      <c r="J87" s="36" t="str">
        <f>IFERROR(INDEX(Структура_ассортимента[Generic Name (long)],MATCH(Товары[[#This Row],[SubGroup]],Структура_ассортимента[Subgroup],0)),"")</f>
        <v>BED EDGING</v>
      </c>
      <c r="L87" s="36">
        <v>900846901</v>
      </c>
      <c r="M87" s="35" t="s">
        <v>1771</v>
      </c>
      <c r="O87" s="35" t="s">
        <v>3873</v>
      </c>
      <c r="P87" s="37" t="s">
        <v>3874</v>
      </c>
      <c r="Q87" s="34" t="s">
        <v>3549</v>
      </c>
      <c r="R87" s="34" t="s">
        <v>3540</v>
      </c>
      <c r="S87" s="47">
        <v>34215</v>
      </c>
      <c r="T87" s="47">
        <v>0</v>
      </c>
      <c r="U87" s="47">
        <v>0</v>
      </c>
      <c r="V87" s="34">
        <v>4078500053402</v>
      </c>
      <c r="W87" s="34" t="s">
        <v>3550</v>
      </c>
      <c r="X87" s="34" t="s">
        <v>3579</v>
      </c>
      <c r="Y87" s="34" t="s">
        <v>3542</v>
      </c>
      <c r="Z87" s="34">
        <v>6</v>
      </c>
      <c r="AA87" s="34" t="s">
        <v>3875</v>
      </c>
      <c r="AB87" s="34" t="s">
        <v>3875</v>
      </c>
      <c r="AC87" s="34" t="s">
        <v>3876</v>
      </c>
      <c r="AD87" s="34" t="s">
        <v>3876</v>
      </c>
      <c r="AE87" s="34" t="s">
        <v>3877</v>
      </c>
      <c r="AF87" s="34" t="s">
        <v>3878</v>
      </c>
      <c r="AG87" s="34" t="s">
        <v>3878</v>
      </c>
      <c r="AH87" s="34" t="s">
        <v>3879</v>
      </c>
      <c r="AL87" s="34">
        <v>96</v>
      </c>
      <c r="AM87" s="40" t="s">
        <v>9</v>
      </c>
      <c r="AP87" s="34">
        <v>0</v>
      </c>
      <c r="AQ87" s="34">
        <v>3099</v>
      </c>
      <c r="AR87" s="34">
        <v>1808</v>
      </c>
      <c r="AT87" s="44">
        <v>240000</v>
      </c>
      <c r="AU87" s="44"/>
      <c r="AV87" s="46">
        <f>ROUND(Товары[[#This Row],[РРЦ финальная, руб.]]/$AU$1,2)</f>
        <v>0</v>
      </c>
      <c r="AW87" s="45" t="str">
        <f>IFERROR(Товары[[#This Row],[РРЦ, евро]]/Товары[[#This Row],[IRP, Eur]],"-")</f>
        <v>-</v>
      </c>
      <c r="AX87" s="42">
        <f>IFERROR(VLOOKUP(Товары[[#This Row],[SubGroup]],'Структура цен DIY'!$B:$C,2,FALSE),0)</f>
        <v>0.29999999999999993</v>
      </c>
      <c r="AY87" s="44">
        <v>0</v>
      </c>
    </row>
    <row r="88" spans="1:51" x14ac:dyDescent="0.25">
      <c r="A88" s="34">
        <v>86</v>
      </c>
      <c r="B88" s="34" t="s">
        <v>56</v>
      </c>
      <c r="C88" s="110" t="str">
        <f>IFERROR(INDEX(Структура_ассортимента[SuperCategory],MATCH(Товары[[#This Row],[SubGroup]],Структура_ассортимента[Subgroup],0)),"")</f>
        <v>A</v>
      </c>
      <c r="D8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8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88" s="110" t="str">
        <f>IFERROR(INDEX(Структура_ассортимента[Product group],MATCH(Товары[[#This Row],[SubGroup]],Структура_ассортимента[Subgroup],0)),"")</f>
        <v>AMA_C</v>
      </c>
      <c r="G88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88" s="110" t="str">
        <f>IFERROR(INDEX(Структура_ассортимента[Generic Name (long)3],MATCH(Товары[[#This Row],[SubGroup]],Структура_ассортимента[Subgroup],0)),"")</f>
        <v>Бордюры для клумб</v>
      </c>
      <c r="I88" s="36">
        <v>9233</v>
      </c>
      <c r="J88" s="36" t="str">
        <f>IFERROR(INDEX(Структура_ассортимента[Generic Name (long)],MATCH(Товары[[#This Row],[SubGroup]],Структура_ассортимента[Subgroup],0)),"")</f>
        <v>BED EDGING</v>
      </c>
      <c r="L88" s="36">
        <v>900847001</v>
      </c>
      <c r="M88" s="35" t="s">
        <v>1772</v>
      </c>
      <c r="O88" s="35" t="s">
        <v>3880</v>
      </c>
      <c r="P88" s="37" t="s">
        <v>3881</v>
      </c>
      <c r="Q88" s="34" t="s">
        <v>3549</v>
      </c>
      <c r="R88" s="34" t="s">
        <v>3540</v>
      </c>
      <c r="S88" s="47">
        <v>36434</v>
      </c>
      <c r="T88" s="47">
        <v>0</v>
      </c>
      <c r="U88" s="47">
        <v>0</v>
      </c>
      <c r="V88" s="34">
        <v>4078500053600</v>
      </c>
      <c r="W88" s="34" t="s">
        <v>3550</v>
      </c>
      <c r="X88" s="34" t="s">
        <v>3579</v>
      </c>
      <c r="Y88" s="34" t="s">
        <v>3542</v>
      </c>
      <c r="Z88" s="34">
        <v>6</v>
      </c>
      <c r="AA88" s="34" t="s">
        <v>3882</v>
      </c>
      <c r="AB88" s="34" t="s">
        <v>3883</v>
      </c>
      <c r="AC88" s="34" t="s">
        <v>3884</v>
      </c>
      <c r="AD88" s="34" t="s">
        <v>3885</v>
      </c>
      <c r="AE88" s="34" t="s">
        <v>3865</v>
      </c>
      <c r="AF88" s="34" t="s">
        <v>3865</v>
      </c>
      <c r="AG88" s="34" t="s">
        <v>3886</v>
      </c>
      <c r="AH88" s="34" t="s">
        <v>3887</v>
      </c>
      <c r="AL88" s="34" t="s">
        <v>3868</v>
      </c>
      <c r="AM88" s="40" t="s">
        <v>9</v>
      </c>
      <c r="AP88" s="34">
        <v>0</v>
      </c>
      <c r="AQ88" s="34">
        <v>1190</v>
      </c>
      <c r="AR88" s="34">
        <v>694</v>
      </c>
      <c r="AT88" s="44">
        <v>92200</v>
      </c>
      <c r="AU88" s="44"/>
      <c r="AV88" s="46">
        <f>ROUND(Товары[[#This Row],[РРЦ финальная, руб.]]/$AU$1,2)</f>
        <v>0</v>
      </c>
      <c r="AW88" s="45" t="str">
        <f>IFERROR(Товары[[#This Row],[РРЦ, евро]]/Товары[[#This Row],[IRP, Eur]],"-")</f>
        <v>-</v>
      </c>
      <c r="AX88" s="42">
        <f>IFERROR(VLOOKUP(Товары[[#This Row],[SubGroup]],'Структура цен DIY'!$B:$C,2,FALSE),0)</f>
        <v>0.29999999999999993</v>
      </c>
      <c r="AY88" s="44">
        <v>0</v>
      </c>
    </row>
    <row r="89" spans="1:51" x14ac:dyDescent="0.25">
      <c r="A89" s="34">
        <v>87</v>
      </c>
      <c r="B89" s="34" t="s">
        <v>56</v>
      </c>
      <c r="C89" s="110" t="str">
        <f>IFERROR(INDEX(Структура_ассортимента[SuperCategory],MATCH(Товары[[#This Row],[SubGroup]],Структура_ассортимента[Subgroup],0)),"")</f>
        <v>A</v>
      </c>
      <c r="D8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8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89" s="110" t="str">
        <f>IFERROR(INDEX(Структура_ассортимента[Product group],MATCH(Товары[[#This Row],[SubGroup]],Структура_ассортимента[Subgroup],0)),"")</f>
        <v>AMA_C</v>
      </c>
      <c r="G89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89" s="110" t="str">
        <f>IFERROR(INDEX(Структура_ассортимента[Generic Name (long)3],MATCH(Товары[[#This Row],[SubGroup]],Структура_ассортимента[Subgroup],0)),"")</f>
        <v>Бордюры для клумб</v>
      </c>
      <c r="I89" s="36">
        <v>9233</v>
      </c>
      <c r="J89" s="36" t="str">
        <f>IFERROR(INDEX(Структура_ассортимента[Generic Name (long)],MATCH(Товары[[#This Row],[SubGroup]],Структура_ассортимента[Subgroup],0)),"")</f>
        <v>BED EDGING</v>
      </c>
      <c r="L89" s="36">
        <v>900847101</v>
      </c>
      <c r="M89" s="35" t="s">
        <v>1773</v>
      </c>
      <c r="O89" s="35" t="s">
        <v>3888</v>
      </c>
      <c r="P89" s="37" t="s">
        <v>3889</v>
      </c>
      <c r="Q89" s="34" t="s">
        <v>3549</v>
      </c>
      <c r="R89" s="34" t="s">
        <v>3540</v>
      </c>
      <c r="S89" s="47">
        <v>36434</v>
      </c>
      <c r="T89" s="47">
        <v>0</v>
      </c>
      <c r="U89" s="47">
        <v>0</v>
      </c>
      <c r="V89" s="34">
        <v>4078500053808</v>
      </c>
      <c r="W89" s="34" t="s">
        <v>3550</v>
      </c>
      <c r="X89" s="34" t="s">
        <v>3579</v>
      </c>
      <c r="Y89" s="34" t="s">
        <v>3542</v>
      </c>
      <c r="Z89" s="34">
        <v>6</v>
      </c>
      <c r="AA89" s="34" t="s">
        <v>3890</v>
      </c>
      <c r="AB89" s="34" t="s">
        <v>3891</v>
      </c>
      <c r="AC89" s="34" t="s">
        <v>3554</v>
      </c>
      <c r="AD89" s="34" t="s">
        <v>3892</v>
      </c>
      <c r="AE89" s="34" t="s">
        <v>3893</v>
      </c>
      <c r="AF89" s="34" t="s">
        <v>3893</v>
      </c>
      <c r="AG89" s="34" t="s">
        <v>3894</v>
      </c>
      <c r="AH89" s="34" t="s">
        <v>3895</v>
      </c>
      <c r="AL89" s="34">
        <v>144</v>
      </c>
      <c r="AM89" s="40" t="s">
        <v>9</v>
      </c>
      <c r="AP89" s="34">
        <v>0</v>
      </c>
      <c r="AQ89" s="34">
        <v>2290</v>
      </c>
      <c r="AR89" s="34">
        <v>1336</v>
      </c>
      <c r="AT89" s="44">
        <v>177400</v>
      </c>
      <c r="AU89" s="44"/>
      <c r="AV89" s="46">
        <f>ROUND(Товары[[#This Row],[РРЦ финальная, руб.]]/$AU$1,2)</f>
        <v>0</v>
      </c>
      <c r="AW89" s="45" t="str">
        <f>IFERROR(Товары[[#This Row],[РРЦ, евро]]/Товары[[#This Row],[IRP, Eur]],"-")</f>
        <v>-</v>
      </c>
      <c r="AX89" s="42">
        <f>IFERROR(VLOOKUP(Товары[[#This Row],[SubGroup]],'Структура цен DIY'!$B:$C,2,FALSE),0)</f>
        <v>0.29999999999999993</v>
      </c>
      <c r="AY89" s="44">
        <v>0</v>
      </c>
    </row>
    <row r="90" spans="1:51" x14ac:dyDescent="0.25">
      <c r="A90" s="34">
        <v>88</v>
      </c>
      <c r="B90" s="34" t="s">
        <v>56</v>
      </c>
      <c r="C90" s="110" t="str">
        <f>IFERROR(INDEX(Структура_ассортимента[SuperCategory],MATCH(Товары[[#This Row],[SubGroup]],Структура_ассортимента[Subgroup],0)),"")</f>
        <v>A</v>
      </c>
      <c r="D9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9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90" s="110" t="str">
        <f>IFERROR(INDEX(Структура_ассортимента[Product group],MATCH(Товары[[#This Row],[SubGroup]],Структура_ассортимента[Subgroup],0)),"")</f>
        <v>AMA_C</v>
      </c>
      <c r="G90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90" s="110" t="str">
        <f>IFERROR(INDEX(Структура_ассортимента[Generic Name (long)3],MATCH(Товары[[#This Row],[SubGroup]],Структура_ассортимента[Subgroup],0)),"")</f>
        <v>Бордюры для клумб</v>
      </c>
      <c r="I90" s="36">
        <v>9233</v>
      </c>
      <c r="J90" s="36" t="str">
        <f>IFERROR(INDEX(Структура_ассортимента[Generic Name (long)],MATCH(Товары[[#This Row],[SubGroup]],Структура_ассортимента[Subgroup],0)),"")</f>
        <v>BED EDGING</v>
      </c>
      <c r="L90" s="36">
        <v>900847201</v>
      </c>
      <c r="M90" s="35" t="s">
        <v>1774</v>
      </c>
      <c r="O90" s="35" t="s">
        <v>3896</v>
      </c>
      <c r="P90" s="37" t="s">
        <v>3897</v>
      </c>
      <c r="Q90" s="34" t="s">
        <v>3549</v>
      </c>
      <c r="R90" s="34" t="s">
        <v>3540</v>
      </c>
      <c r="S90" s="47">
        <v>36434</v>
      </c>
      <c r="T90" s="47">
        <v>0</v>
      </c>
      <c r="U90" s="47">
        <v>0</v>
      </c>
      <c r="V90" s="34">
        <v>4078500054003</v>
      </c>
      <c r="W90" s="34" t="s">
        <v>3550</v>
      </c>
      <c r="X90" s="34" t="s">
        <v>3579</v>
      </c>
      <c r="Y90" s="34" t="s">
        <v>3542</v>
      </c>
      <c r="Z90" s="34">
        <v>6</v>
      </c>
      <c r="AA90" s="34" t="s">
        <v>3898</v>
      </c>
      <c r="AB90" s="34" t="s">
        <v>3899</v>
      </c>
      <c r="AC90" s="34" t="s">
        <v>3900</v>
      </c>
      <c r="AD90" s="34" t="s">
        <v>3901</v>
      </c>
      <c r="AE90" s="34" t="s">
        <v>3902</v>
      </c>
      <c r="AF90" s="34" t="s">
        <v>3903</v>
      </c>
      <c r="AG90" s="34" t="s">
        <v>3903</v>
      </c>
      <c r="AH90" s="34" t="s">
        <v>3904</v>
      </c>
      <c r="AL90" s="34">
        <v>96</v>
      </c>
      <c r="AM90" s="40" t="s">
        <v>9</v>
      </c>
      <c r="AP90" s="34">
        <v>0</v>
      </c>
      <c r="AQ90" s="34">
        <v>3099</v>
      </c>
      <c r="AR90" s="34">
        <v>1808</v>
      </c>
      <c r="AT90" s="44">
        <v>240000</v>
      </c>
      <c r="AU90" s="44"/>
      <c r="AV90" s="46">
        <f>ROUND(Товары[[#This Row],[РРЦ финальная, руб.]]/$AU$1,2)</f>
        <v>0</v>
      </c>
      <c r="AW90" s="45" t="str">
        <f>IFERROR(Товары[[#This Row],[РРЦ, евро]]/Товары[[#This Row],[IRP, Eur]],"-")</f>
        <v>-</v>
      </c>
      <c r="AX90" s="42">
        <f>IFERROR(VLOOKUP(Товары[[#This Row],[SubGroup]],'Структура цен DIY'!$B:$C,2,FALSE),0)</f>
        <v>0.29999999999999993</v>
      </c>
      <c r="AY90" s="44">
        <v>0</v>
      </c>
    </row>
    <row r="91" spans="1:51" x14ac:dyDescent="0.25">
      <c r="A91" s="34">
        <v>89</v>
      </c>
      <c r="B91" s="34" t="s">
        <v>56</v>
      </c>
      <c r="C91" s="110" t="str">
        <f>IFERROR(INDEX(Структура_ассортимента[SuperCategory],MATCH(Товары[[#This Row],[SubGroup]],Структура_ассортимента[Subgroup],0)),"")</f>
        <v>A</v>
      </c>
      <c r="D9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9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91" s="110" t="str">
        <f>IFERROR(INDEX(Структура_ассортимента[Product group],MATCH(Товары[[#This Row],[SubGroup]],Структура_ассортимента[Subgroup],0)),"")</f>
        <v>AMA_C</v>
      </c>
      <c r="G91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91" s="110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91" s="36">
        <v>9241</v>
      </c>
      <c r="J91" s="36" t="str">
        <f>IFERROR(INDEX(Структура_ассортимента[Generic Name (long)],MATCH(Товары[[#This Row],[SubGroup]],Структура_ассортимента[Subgroup],0)),"")</f>
        <v>SPRAYER, MANUAL, PUMP</v>
      </c>
      <c r="L91" s="36">
        <v>900869801</v>
      </c>
      <c r="M91" s="35" t="s">
        <v>1775</v>
      </c>
      <c r="O91" s="35" t="s">
        <v>3905</v>
      </c>
      <c r="P91" s="37" t="s">
        <v>3906</v>
      </c>
      <c r="Q91" s="34" t="s">
        <v>3652</v>
      </c>
      <c r="R91" s="34" t="s">
        <v>3540</v>
      </c>
      <c r="S91" s="47">
        <v>37530</v>
      </c>
      <c r="T91" s="47">
        <v>44196</v>
      </c>
      <c r="U91" s="47">
        <v>0</v>
      </c>
      <c r="V91" s="34">
        <v>4078500088404</v>
      </c>
      <c r="W91" s="34" t="s">
        <v>3550</v>
      </c>
      <c r="X91" s="34" t="s">
        <v>3907</v>
      </c>
      <c r="Y91" s="34" t="s">
        <v>3542</v>
      </c>
      <c r="Z91" s="34">
        <v>1</v>
      </c>
      <c r="AA91" s="34" t="s">
        <v>3908</v>
      </c>
      <c r="AB91" s="34" t="s">
        <v>3908</v>
      </c>
      <c r="AC91" s="34" t="s">
        <v>3909</v>
      </c>
      <c r="AD91" s="34" t="s">
        <v>3909</v>
      </c>
      <c r="AE91" s="34" t="s">
        <v>3910</v>
      </c>
      <c r="AF91" s="34" t="s">
        <v>3911</v>
      </c>
      <c r="AG91" s="34" t="s">
        <v>3912</v>
      </c>
      <c r="AH91" s="34" t="s">
        <v>3913</v>
      </c>
      <c r="AL91" s="34">
        <v>20</v>
      </c>
      <c r="AM91" s="40" t="s">
        <v>9</v>
      </c>
      <c r="AP91" s="34">
        <v>0</v>
      </c>
      <c r="AQ91" s="34">
        <v>11359</v>
      </c>
      <c r="AR91" s="34">
        <v>6626</v>
      </c>
      <c r="AT91" s="44">
        <v>879800</v>
      </c>
      <c r="AU91" s="44"/>
      <c r="AV91" s="46">
        <f>ROUND(Товары[[#This Row],[РРЦ финальная, руб.]]/$AU$1,2)</f>
        <v>0</v>
      </c>
      <c r="AW91" s="45" t="str">
        <f>IFERROR(Товары[[#This Row],[РРЦ, евро]]/Товары[[#This Row],[IRP, Eur]],"-")</f>
        <v>-</v>
      </c>
      <c r="AX91" s="42">
        <f>IFERROR(VLOOKUP(Товары[[#This Row],[SubGroup]],'Структура цен DIY'!$B:$C,2,FALSE),0)</f>
        <v>0.32</v>
      </c>
      <c r="AY91" s="44">
        <v>0</v>
      </c>
    </row>
    <row r="92" spans="1:51" x14ac:dyDescent="0.25">
      <c r="A92" s="34">
        <v>90</v>
      </c>
      <c r="B92" s="34" t="s">
        <v>56</v>
      </c>
      <c r="C92" s="110" t="str">
        <f>IFERROR(INDEX(Структура_ассортимента[SuperCategory],MATCH(Товары[[#This Row],[SubGroup]],Структура_ассортимента[Subgroup],0)),"")</f>
        <v>A</v>
      </c>
      <c r="D9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9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92" s="110" t="str">
        <f>IFERROR(INDEX(Структура_ассортимента[Product group],MATCH(Товары[[#This Row],[SubGroup]],Структура_ассортимента[Subgroup],0)),"")</f>
        <v>AMA_C</v>
      </c>
      <c r="G92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92" s="110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92" s="36">
        <v>9241</v>
      </c>
      <c r="J92" s="36" t="str">
        <f>IFERROR(INDEX(Структура_ассортимента[Generic Name (long)],MATCH(Товары[[#This Row],[SubGroup]],Структура_ассортимента[Subgroup],0)),"")</f>
        <v>SPRAYER, MANUAL, PUMP</v>
      </c>
      <c r="L92" s="36">
        <v>900869901</v>
      </c>
      <c r="M92" s="35" t="s">
        <v>1776</v>
      </c>
      <c r="Q92" s="34" t="s">
        <v>3652</v>
      </c>
      <c r="R92" s="34" t="s">
        <v>3540</v>
      </c>
      <c r="S92" s="47">
        <v>37606</v>
      </c>
      <c r="T92" s="47">
        <v>44196</v>
      </c>
      <c r="U92" s="47">
        <v>0</v>
      </c>
      <c r="V92" s="34">
        <v>4078500088503</v>
      </c>
      <c r="W92" s="34" t="s">
        <v>3550</v>
      </c>
      <c r="X92" s="34" t="s">
        <v>3907</v>
      </c>
      <c r="Y92" s="34" t="s">
        <v>3542</v>
      </c>
      <c r="Z92" s="34">
        <v>1</v>
      </c>
      <c r="AA92" s="34" t="s">
        <v>3908</v>
      </c>
      <c r="AB92" s="34" t="s">
        <v>3908</v>
      </c>
      <c r="AC92" s="34" t="s">
        <v>3914</v>
      </c>
      <c r="AD92" s="34" t="s">
        <v>3914</v>
      </c>
      <c r="AE92" s="34" t="s">
        <v>3910</v>
      </c>
      <c r="AF92" s="34" t="s">
        <v>3911</v>
      </c>
      <c r="AG92" s="34" t="s">
        <v>3912</v>
      </c>
      <c r="AH92" s="34" t="s">
        <v>3913</v>
      </c>
      <c r="AL92" s="34">
        <v>20</v>
      </c>
      <c r="AM92" s="40" t="s">
        <v>8095</v>
      </c>
      <c r="AT92" s="44">
        <v>0</v>
      </c>
      <c r="AU92" s="44"/>
      <c r="AV92" s="46">
        <f>ROUND(Товары[[#This Row],[РРЦ финальная, руб.]]/$AU$1,2)</f>
        <v>0</v>
      </c>
      <c r="AW92" s="45" t="str">
        <f>IFERROR(Товары[[#This Row],[РРЦ, евро]]/Товары[[#This Row],[IRP, Eur]],"-")</f>
        <v>-</v>
      </c>
      <c r="AX92" s="42">
        <f>IFERROR(VLOOKUP(Товары[[#This Row],[SubGroup]],'Структура цен DIY'!$B:$C,2,FALSE),0)</f>
        <v>0.32</v>
      </c>
      <c r="AY92" s="44">
        <v>0</v>
      </c>
    </row>
    <row r="93" spans="1:51" x14ac:dyDescent="0.25">
      <c r="A93" s="34">
        <v>91</v>
      </c>
      <c r="B93" s="34" t="s">
        <v>56</v>
      </c>
      <c r="C93" s="110" t="str">
        <f>IFERROR(INDEX(Структура_ассортимента[SuperCategory],MATCH(Товары[[#This Row],[SubGroup]],Структура_ассортимента[Subgroup],0)),"")</f>
        <v>A</v>
      </c>
      <c r="D9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9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93" s="110" t="str">
        <f>IFERROR(INDEX(Структура_ассортимента[Product group],MATCH(Товары[[#This Row],[SubGroup]],Структура_ассортимента[Subgroup],0)),"")</f>
        <v>AMA_C</v>
      </c>
      <c r="G93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93" s="110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93" s="36">
        <v>9241</v>
      </c>
      <c r="J93" s="36" t="str">
        <f>IFERROR(INDEX(Структура_ассортимента[Generic Name (long)],MATCH(Товары[[#This Row],[SubGroup]],Структура_ассортимента[Subgroup],0)),"")</f>
        <v>SPRAYER, MANUAL, PUMP</v>
      </c>
      <c r="L93" s="36">
        <v>900870301</v>
      </c>
      <c r="M93" s="35" t="s">
        <v>1777</v>
      </c>
      <c r="O93" s="35" t="s">
        <v>3915</v>
      </c>
      <c r="P93" s="37" t="s">
        <v>3916</v>
      </c>
      <c r="Q93" s="34" t="s">
        <v>3652</v>
      </c>
      <c r="R93" s="34" t="s">
        <v>3540</v>
      </c>
      <c r="S93" s="47">
        <v>34608</v>
      </c>
      <c r="T93" s="47">
        <v>44196</v>
      </c>
      <c r="U93" s="47">
        <v>0</v>
      </c>
      <c r="V93" s="34">
        <v>4078500089401</v>
      </c>
      <c r="W93" s="34" t="s">
        <v>3541</v>
      </c>
      <c r="X93" s="34" t="s">
        <v>3704</v>
      </c>
      <c r="Y93" s="34" t="s">
        <v>3542</v>
      </c>
      <c r="Z93" s="34">
        <v>4</v>
      </c>
      <c r="AA93" s="34" t="s">
        <v>3917</v>
      </c>
      <c r="AB93" s="34" t="s">
        <v>3917</v>
      </c>
      <c r="AC93" s="34" t="s">
        <v>3728</v>
      </c>
      <c r="AD93" s="34" t="s">
        <v>3728</v>
      </c>
      <c r="AE93" s="34" t="s">
        <v>3918</v>
      </c>
      <c r="AF93" s="34" t="s">
        <v>3903</v>
      </c>
      <c r="AG93" s="34" t="s">
        <v>3587</v>
      </c>
      <c r="AH93" s="34" t="s">
        <v>3919</v>
      </c>
      <c r="AI93" s="34" t="s">
        <v>3590</v>
      </c>
      <c r="AJ93" s="34" t="s">
        <v>3920</v>
      </c>
      <c r="AK93" s="34" t="s">
        <v>3560</v>
      </c>
      <c r="AL93" s="34">
        <v>208</v>
      </c>
      <c r="AM93" s="40" t="s">
        <v>9</v>
      </c>
      <c r="AP93" s="34">
        <v>0</v>
      </c>
      <c r="AQ93" s="34">
        <v>1734</v>
      </c>
      <c r="AR93" s="34">
        <v>982</v>
      </c>
      <c r="AT93" s="44">
        <v>134300</v>
      </c>
      <c r="AU93" s="44"/>
      <c r="AV93" s="46">
        <f>ROUND(Товары[[#This Row],[РРЦ финальная, руб.]]/$AU$1,2)</f>
        <v>0</v>
      </c>
      <c r="AW93" s="45" t="str">
        <f>IFERROR(Товары[[#This Row],[РРЦ, евро]]/Товары[[#This Row],[IRP, Eur]],"-")</f>
        <v>-</v>
      </c>
      <c r="AX93" s="42">
        <f>IFERROR(VLOOKUP(Товары[[#This Row],[SubGroup]],'Структура цен DIY'!$B:$C,2,FALSE),0)</f>
        <v>0.32</v>
      </c>
      <c r="AY93" s="44">
        <v>0</v>
      </c>
    </row>
    <row r="94" spans="1:51" x14ac:dyDescent="0.25">
      <c r="A94" s="34">
        <v>92</v>
      </c>
      <c r="B94" s="34" t="s">
        <v>56</v>
      </c>
      <c r="C94" s="110" t="str">
        <f>IFERROR(INDEX(Структура_ассортимента[SuperCategory],MATCH(Товары[[#This Row],[SubGroup]],Структура_ассортимента[Subgroup],0)),"")</f>
        <v>A</v>
      </c>
      <c r="D9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9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94" s="110" t="str">
        <f>IFERROR(INDEX(Структура_ассортимента[Product group],MATCH(Товары[[#This Row],[SubGroup]],Структура_ассортимента[Subgroup],0)),"")</f>
        <v>AMA_C</v>
      </c>
      <c r="G94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94" s="110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94" s="36">
        <v>9241</v>
      </c>
      <c r="J94" s="36" t="str">
        <f>IFERROR(INDEX(Структура_ассортимента[Generic Name (long)],MATCH(Товары[[#This Row],[SubGroup]],Структура_ассортимента[Subgroup],0)),"")</f>
        <v>SPRAYER, MANUAL, PUMP</v>
      </c>
      <c r="L94" s="36">
        <v>900870501</v>
      </c>
      <c r="M94" s="35" t="s">
        <v>1778</v>
      </c>
      <c r="O94" s="35" t="s">
        <v>3921</v>
      </c>
      <c r="P94" s="37" t="s">
        <v>3922</v>
      </c>
      <c r="Q94" s="34" t="s">
        <v>3652</v>
      </c>
      <c r="R94" s="34" t="s">
        <v>3540</v>
      </c>
      <c r="S94" s="47">
        <v>34608</v>
      </c>
      <c r="T94" s="47">
        <v>44196</v>
      </c>
      <c r="U94" s="47">
        <v>0</v>
      </c>
      <c r="V94" s="34">
        <v>4078500089708</v>
      </c>
      <c r="W94" s="34" t="s">
        <v>3547</v>
      </c>
      <c r="X94" s="34" t="s">
        <v>3704</v>
      </c>
      <c r="Y94" s="34" t="s">
        <v>3542</v>
      </c>
      <c r="Z94" s="34">
        <v>4</v>
      </c>
      <c r="AA94" s="34" t="s">
        <v>3779</v>
      </c>
      <c r="AB94" s="34" t="s">
        <v>3779</v>
      </c>
      <c r="AC94" s="34" t="s">
        <v>3717</v>
      </c>
      <c r="AD94" s="34" t="s">
        <v>3717</v>
      </c>
      <c r="AE94" s="34" t="s">
        <v>3923</v>
      </c>
      <c r="AF94" s="34" t="s">
        <v>3924</v>
      </c>
      <c r="AG94" s="34" t="s">
        <v>3924</v>
      </c>
      <c r="AH94" s="34" t="s">
        <v>3925</v>
      </c>
      <c r="AL94" s="34">
        <v>2080</v>
      </c>
      <c r="AM94" s="40" t="s">
        <v>9</v>
      </c>
      <c r="AP94" s="34">
        <v>0</v>
      </c>
      <c r="AQ94" s="34">
        <v>1061</v>
      </c>
      <c r="AR94" s="34">
        <v>601</v>
      </c>
      <c r="AT94" s="44">
        <v>82200</v>
      </c>
      <c r="AU94" s="44"/>
      <c r="AV94" s="46">
        <f>ROUND(Товары[[#This Row],[РРЦ финальная, руб.]]/$AU$1,2)</f>
        <v>0</v>
      </c>
      <c r="AW94" s="45" t="str">
        <f>IFERROR(Товары[[#This Row],[РРЦ, евро]]/Товары[[#This Row],[IRP, Eur]],"-")</f>
        <v>-</v>
      </c>
      <c r="AX94" s="42">
        <f>IFERROR(VLOOKUP(Товары[[#This Row],[SubGroup]],'Структура цен DIY'!$B:$C,2,FALSE),0)</f>
        <v>0.32</v>
      </c>
      <c r="AY94" s="44">
        <v>0</v>
      </c>
    </row>
    <row r="95" spans="1:51" x14ac:dyDescent="0.25">
      <c r="A95" s="34">
        <v>93</v>
      </c>
      <c r="B95" s="34" t="s">
        <v>56</v>
      </c>
      <c r="C95" s="110" t="str">
        <f>IFERROR(INDEX(Структура_ассортимента[SuperCategory],MATCH(Товары[[#This Row],[SubGroup]],Структура_ассортимента[Subgroup],0)),"")</f>
        <v>A</v>
      </c>
      <c r="D9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9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95" s="110" t="str">
        <f>IFERROR(INDEX(Структура_ассортимента[Product group],MATCH(Товары[[#This Row],[SubGroup]],Структура_ассортимента[Subgroup],0)),"")</f>
        <v>AMA_C</v>
      </c>
      <c r="G95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95" s="110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95" s="36">
        <v>9241</v>
      </c>
      <c r="J95" s="36" t="str">
        <f>IFERROR(INDEX(Структура_ассортимента[Generic Name (long)],MATCH(Товары[[#This Row],[SubGroup]],Структура_ассортимента[Subgroup],0)),"")</f>
        <v>SPRAYER, MANUAL, PUMP</v>
      </c>
      <c r="L95" s="36">
        <v>900870601</v>
      </c>
      <c r="M95" s="35" t="s">
        <v>1779</v>
      </c>
      <c r="O95" s="35" t="s">
        <v>3926</v>
      </c>
      <c r="P95" s="37" t="s">
        <v>3927</v>
      </c>
      <c r="Q95" s="34" t="s">
        <v>3652</v>
      </c>
      <c r="R95" s="34" t="s">
        <v>3540</v>
      </c>
      <c r="S95" s="47">
        <v>37895</v>
      </c>
      <c r="T95" s="47">
        <v>44196</v>
      </c>
      <c r="U95" s="47">
        <v>0</v>
      </c>
      <c r="V95" s="34">
        <v>4078500089906</v>
      </c>
      <c r="W95" s="34" t="s">
        <v>3547</v>
      </c>
      <c r="X95" s="34" t="s">
        <v>3704</v>
      </c>
      <c r="Y95" s="34" t="s">
        <v>3542</v>
      </c>
      <c r="Z95" s="34">
        <v>4</v>
      </c>
      <c r="AA95" s="34" t="s">
        <v>3928</v>
      </c>
      <c r="AB95" s="34" t="s">
        <v>3928</v>
      </c>
      <c r="AC95" s="34" t="s">
        <v>3929</v>
      </c>
      <c r="AD95" s="34" t="s">
        <v>3929</v>
      </c>
      <c r="AE95" s="34" t="s">
        <v>3930</v>
      </c>
      <c r="AF95" s="34" t="s">
        <v>3931</v>
      </c>
      <c r="AG95" s="34" t="s">
        <v>3932</v>
      </c>
      <c r="AH95" s="34" t="s">
        <v>3933</v>
      </c>
      <c r="AL95" s="34">
        <v>1200</v>
      </c>
      <c r="AM95" s="40" t="s">
        <v>9</v>
      </c>
      <c r="AP95" s="34">
        <v>0</v>
      </c>
      <c r="AQ95" s="34">
        <v>3080</v>
      </c>
      <c r="AR95" s="34">
        <v>1745</v>
      </c>
      <c r="AT95" s="44">
        <v>238600</v>
      </c>
      <c r="AU95" s="44"/>
      <c r="AV95" s="46">
        <f>ROUND(Товары[[#This Row],[РРЦ финальная, руб.]]/$AU$1,2)</f>
        <v>0</v>
      </c>
      <c r="AW95" s="45" t="str">
        <f>IFERROR(Товары[[#This Row],[РРЦ, евро]]/Товары[[#This Row],[IRP, Eur]],"-")</f>
        <v>-</v>
      </c>
      <c r="AX95" s="42">
        <f>IFERROR(VLOOKUP(Товары[[#This Row],[SubGroup]],'Структура цен DIY'!$B:$C,2,FALSE),0)</f>
        <v>0.32</v>
      </c>
      <c r="AY95" s="44">
        <v>0</v>
      </c>
    </row>
    <row r="96" spans="1:51" x14ac:dyDescent="0.25">
      <c r="A96" s="34">
        <v>94</v>
      </c>
      <c r="B96" s="34" t="s">
        <v>56</v>
      </c>
      <c r="C96" s="110" t="str">
        <f>IFERROR(INDEX(Структура_ассортимента[SuperCategory],MATCH(Товары[[#This Row],[SubGroup]],Структура_ассортимента[Subgroup],0)),"")</f>
        <v>A</v>
      </c>
      <c r="D9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9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96" s="110" t="str">
        <f>IFERROR(INDEX(Структура_ассортимента[Product group],MATCH(Товары[[#This Row],[SubGroup]],Структура_ассортимента[Subgroup],0)),"")</f>
        <v>AMA_C</v>
      </c>
      <c r="G96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96" s="110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96" s="36">
        <v>9241</v>
      </c>
      <c r="J96" s="36" t="str">
        <f>IFERROR(INDEX(Структура_ассортимента[Generic Name (long)],MATCH(Товары[[#This Row],[SubGroup]],Структура_ассортимента[Subgroup],0)),"")</f>
        <v>SPRAYER, MANUAL, PUMP</v>
      </c>
      <c r="L96" s="36">
        <v>900868001</v>
      </c>
      <c r="M96" s="35" t="s">
        <v>1780</v>
      </c>
      <c r="O96" s="35" t="s">
        <v>3934</v>
      </c>
      <c r="P96" s="37" t="s">
        <v>3935</v>
      </c>
      <c r="Q96" s="34" t="s">
        <v>3652</v>
      </c>
      <c r="R96" s="34" t="s">
        <v>3540</v>
      </c>
      <c r="S96" s="47">
        <v>34608</v>
      </c>
      <c r="T96" s="47">
        <v>44196</v>
      </c>
      <c r="U96" s="47">
        <v>0</v>
      </c>
      <c r="V96" s="34">
        <v>4078500086707</v>
      </c>
      <c r="W96" s="34" t="s">
        <v>3936</v>
      </c>
      <c r="X96" s="34" t="s">
        <v>3579</v>
      </c>
      <c r="Y96" s="34" t="s">
        <v>3542</v>
      </c>
      <c r="Z96" s="34">
        <v>1</v>
      </c>
      <c r="AA96" s="34" t="s">
        <v>3636</v>
      </c>
      <c r="AB96" s="34" t="s">
        <v>3636</v>
      </c>
      <c r="AC96" s="34" t="s">
        <v>3937</v>
      </c>
      <c r="AD96" s="34" t="s">
        <v>3937</v>
      </c>
      <c r="AE96" s="34" t="s">
        <v>3938</v>
      </c>
      <c r="AF96" s="34" t="s">
        <v>3939</v>
      </c>
      <c r="AG96" s="34" t="s">
        <v>3940</v>
      </c>
      <c r="AH96" s="34" t="s">
        <v>3941</v>
      </c>
      <c r="AI96" s="34" t="s">
        <v>3942</v>
      </c>
      <c r="AJ96" s="34" t="s">
        <v>3943</v>
      </c>
      <c r="AK96" s="34" t="s">
        <v>3944</v>
      </c>
      <c r="AL96" s="34">
        <v>55</v>
      </c>
      <c r="AM96" s="40" t="s">
        <v>9</v>
      </c>
      <c r="AP96" s="34">
        <v>0</v>
      </c>
      <c r="AQ96" s="34">
        <v>6249</v>
      </c>
      <c r="AR96" s="34">
        <v>3645</v>
      </c>
      <c r="AT96" s="44">
        <v>484000</v>
      </c>
      <c r="AU96" s="44"/>
      <c r="AV96" s="46">
        <f>ROUND(Товары[[#This Row],[РРЦ финальная, руб.]]/$AU$1,2)</f>
        <v>0</v>
      </c>
      <c r="AW96" s="45" t="str">
        <f>IFERROR(Товары[[#This Row],[РРЦ, евро]]/Товары[[#This Row],[IRP, Eur]],"-")</f>
        <v>-</v>
      </c>
      <c r="AX96" s="42">
        <f>IFERROR(VLOOKUP(Товары[[#This Row],[SubGroup]],'Структура цен DIY'!$B:$C,2,FALSE),0)</f>
        <v>0.32</v>
      </c>
      <c r="AY96" s="44">
        <v>0</v>
      </c>
    </row>
    <row r="97" spans="1:51" x14ac:dyDescent="0.25">
      <c r="A97" s="34">
        <v>95</v>
      </c>
      <c r="B97" s="34" t="s">
        <v>56</v>
      </c>
      <c r="C97" s="110" t="str">
        <f>IFERROR(INDEX(Структура_ассортимента[SuperCategory],MATCH(Товары[[#This Row],[SubGroup]],Структура_ассортимента[Subgroup],0)),"")</f>
        <v>A</v>
      </c>
      <c r="D9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9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97" s="110" t="str">
        <f>IFERROR(INDEX(Структура_ассортимента[Product group],MATCH(Товары[[#This Row],[SubGroup]],Структура_ассортимента[Subgroup],0)),"")</f>
        <v>AMA_C</v>
      </c>
      <c r="G97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97" s="110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97" s="36">
        <v>9241</v>
      </c>
      <c r="J97" s="36" t="str">
        <f>IFERROR(INDEX(Структура_ассортимента[Generic Name (long)],MATCH(Товары[[#This Row],[SubGroup]],Структура_ассортимента[Subgroup],0)),"")</f>
        <v>SPRAYER, MANUAL, PUMP</v>
      </c>
      <c r="L97" s="36">
        <v>900868201</v>
      </c>
      <c r="M97" s="35" t="s">
        <v>1781</v>
      </c>
      <c r="O97" s="35" t="s">
        <v>3945</v>
      </c>
      <c r="P97" s="37" t="s">
        <v>3946</v>
      </c>
      <c r="Q97" s="34" t="s">
        <v>3652</v>
      </c>
      <c r="R97" s="34" t="s">
        <v>3540</v>
      </c>
      <c r="S97" s="47">
        <v>34608</v>
      </c>
      <c r="T97" s="47">
        <v>44196</v>
      </c>
      <c r="U97" s="47">
        <v>0</v>
      </c>
      <c r="V97" s="34">
        <v>4078500086905</v>
      </c>
      <c r="W97" s="34" t="s">
        <v>3936</v>
      </c>
      <c r="X97" s="34" t="s">
        <v>3579</v>
      </c>
      <c r="Y97" s="34" t="s">
        <v>3542</v>
      </c>
      <c r="Z97" s="34">
        <v>1</v>
      </c>
      <c r="AA97" s="34" t="s">
        <v>3947</v>
      </c>
      <c r="AB97" s="34" t="s">
        <v>3947</v>
      </c>
      <c r="AC97" s="34" t="s">
        <v>3948</v>
      </c>
      <c r="AD97" s="34" t="s">
        <v>3948</v>
      </c>
      <c r="AE97" s="34" t="s">
        <v>3902</v>
      </c>
      <c r="AF97" s="34" t="s">
        <v>3902</v>
      </c>
      <c r="AG97" s="34" t="s">
        <v>3949</v>
      </c>
      <c r="AH97" s="34" t="s">
        <v>3950</v>
      </c>
      <c r="AI97" s="34" t="s">
        <v>3942</v>
      </c>
      <c r="AJ97" s="34" t="s">
        <v>3688</v>
      </c>
      <c r="AK97" s="34" t="s">
        <v>3944</v>
      </c>
      <c r="AL97" s="34">
        <v>40</v>
      </c>
      <c r="AM97" s="40" t="s">
        <v>9</v>
      </c>
      <c r="AP97" s="34">
        <v>0</v>
      </c>
      <c r="AQ97" s="34">
        <v>7489</v>
      </c>
      <c r="AR97" s="34">
        <v>4369</v>
      </c>
      <c r="AT97" s="44">
        <v>580100</v>
      </c>
      <c r="AU97" s="44"/>
      <c r="AV97" s="46">
        <f>ROUND(Товары[[#This Row],[РРЦ финальная, руб.]]/$AU$1,2)</f>
        <v>0</v>
      </c>
      <c r="AW97" s="45" t="str">
        <f>IFERROR(Товары[[#This Row],[РРЦ, евро]]/Товары[[#This Row],[IRP, Eur]],"-")</f>
        <v>-</v>
      </c>
      <c r="AX97" s="42">
        <f>IFERROR(VLOOKUP(Товары[[#This Row],[SubGroup]],'Структура цен DIY'!$B:$C,2,FALSE),0)</f>
        <v>0.32</v>
      </c>
      <c r="AY97" s="44">
        <v>0</v>
      </c>
    </row>
    <row r="98" spans="1:51" x14ac:dyDescent="0.25">
      <c r="A98" s="34">
        <v>96</v>
      </c>
      <c r="B98" s="34" t="s">
        <v>56</v>
      </c>
      <c r="C98" s="110" t="str">
        <f>IFERROR(INDEX(Структура_ассортимента[SuperCategory],MATCH(Товары[[#This Row],[SubGroup]],Структура_ассортимента[Subgroup],0)),"")</f>
        <v>A</v>
      </c>
      <c r="D9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9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98" s="110" t="str">
        <f>IFERROR(INDEX(Структура_ассортимента[Product group],MATCH(Товары[[#This Row],[SubGroup]],Структура_ассортимента[Subgroup],0)),"")</f>
        <v>AMA_C</v>
      </c>
      <c r="G98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98" s="110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98" s="36">
        <v>9241</v>
      </c>
      <c r="J98" s="36" t="str">
        <f>IFERROR(INDEX(Структура_ассортимента[Generic Name (long)],MATCH(Товары[[#This Row],[SubGroup]],Структура_ассортимента[Subgroup],0)),"")</f>
        <v>SPRAYER, MANUAL, PUMP</v>
      </c>
      <c r="L98" s="36">
        <v>966645301</v>
      </c>
      <c r="M98" s="35" t="s">
        <v>1782</v>
      </c>
      <c r="O98" s="35" t="s">
        <v>3951</v>
      </c>
      <c r="P98" s="37" t="s">
        <v>3952</v>
      </c>
      <c r="Q98" s="34" t="s">
        <v>3652</v>
      </c>
      <c r="R98" s="34" t="s">
        <v>3540</v>
      </c>
      <c r="S98" s="47">
        <v>40452</v>
      </c>
      <c r="T98" s="47">
        <v>44196</v>
      </c>
      <c r="U98" s="47">
        <v>0</v>
      </c>
      <c r="V98" s="34">
        <v>4078500082204</v>
      </c>
      <c r="W98" s="34" t="s">
        <v>3546</v>
      </c>
      <c r="X98" s="34" t="s">
        <v>3704</v>
      </c>
      <c r="Y98" s="34" t="s">
        <v>3542</v>
      </c>
      <c r="Z98" s="34">
        <v>10</v>
      </c>
      <c r="AA98" s="34" t="s">
        <v>3953</v>
      </c>
      <c r="AB98" s="34" t="s">
        <v>3953</v>
      </c>
      <c r="AC98" s="34" t="s">
        <v>3954</v>
      </c>
      <c r="AD98" s="34" t="s">
        <v>3954</v>
      </c>
      <c r="AE98" s="34" t="s">
        <v>3955</v>
      </c>
      <c r="AF98" s="34" t="s">
        <v>3818</v>
      </c>
      <c r="AG98" s="34" t="s">
        <v>3686</v>
      </c>
      <c r="AH98" s="34" t="s">
        <v>3956</v>
      </c>
      <c r="AI98" s="34" t="s">
        <v>3957</v>
      </c>
      <c r="AJ98" s="34" t="s">
        <v>3958</v>
      </c>
      <c r="AK98" s="34" t="s">
        <v>3959</v>
      </c>
      <c r="AL98" s="34">
        <v>40</v>
      </c>
      <c r="AM98" s="40" t="s">
        <v>9</v>
      </c>
      <c r="AP98" s="34">
        <v>0</v>
      </c>
      <c r="AQ98" s="34">
        <v>2469</v>
      </c>
      <c r="AR98" s="34">
        <v>1543</v>
      </c>
      <c r="AT98" s="44">
        <v>191200</v>
      </c>
      <c r="AU98" s="44"/>
      <c r="AV98" s="46">
        <f>ROUND(Товары[[#This Row],[РРЦ финальная, руб.]]/$AU$1,2)</f>
        <v>0</v>
      </c>
      <c r="AW98" s="45" t="str">
        <f>IFERROR(Товары[[#This Row],[РРЦ, евро]]/Товары[[#This Row],[IRP, Eur]],"-")</f>
        <v>-</v>
      </c>
      <c r="AX98" s="42">
        <f>IFERROR(VLOOKUP(Товары[[#This Row],[SubGroup]],'Структура цен DIY'!$B:$C,2,FALSE),0)</f>
        <v>0.32</v>
      </c>
      <c r="AY98" s="44">
        <v>0</v>
      </c>
    </row>
    <row r="99" spans="1:51" x14ac:dyDescent="0.25">
      <c r="A99" s="34">
        <v>97</v>
      </c>
      <c r="B99" s="34" t="s">
        <v>56</v>
      </c>
      <c r="C99" s="110" t="str">
        <f>IFERROR(INDEX(Структура_ассортимента[SuperCategory],MATCH(Товары[[#This Row],[SubGroup]],Структура_ассортимента[Subgroup],0)),"")</f>
        <v>A</v>
      </c>
      <c r="D9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9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99" s="110" t="str">
        <f>IFERROR(INDEX(Структура_ассортимента[Product group],MATCH(Товары[[#This Row],[SubGroup]],Структура_ассортимента[Subgroup],0)),"")</f>
        <v>AMA_C</v>
      </c>
      <c r="G99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99" s="110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99" s="36">
        <v>9241</v>
      </c>
      <c r="J99" s="36" t="str">
        <f>IFERROR(INDEX(Структура_ассортимента[Generic Name (long)],MATCH(Товары[[#This Row],[SubGroup]],Структура_ассортимента[Subgroup],0)),"")</f>
        <v>SPRAYER, MANUAL, PUMP</v>
      </c>
      <c r="L99" s="36">
        <v>966645401</v>
      </c>
      <c r="M99" s="35" t="s">
        <v>1783</v>
      </c>
      <c r="O99" s="35" t="s">
        <v>3960</v>
      </c>
      <c r="P99" s="37" t="s">
        <v>3961</v>
      </c>
      <c r="Q99" s="34" t="s">
        <v>3652</v>
      </c>
      <c r="R99" s="34" t="s">
        <v>3540</v>
      </c>
      <c r="S99" s="47">
        <v>40452</v>
      </c>
      <c r="T99" s="47">
        <v>44196</v>
      </c>
      <c r="U99" s="47">
        <v>0</v>
      </c>
      <c r="V99" s="34">
        <v>4078500082303</v>
      </c>
      <c r="W99" s="34" t="s">
        <v>3546</v>
      </c>
      <c r="X99" s="34" t="s">
        <v>3704</v>
      </c>
      <c r="Y99" s="34" t="s">
        <v>3542</v>
      </c>
      <c r="Z99" s="34">
        <v>46</v>
      </c>
      <c r="AA99" s="34" t="s">
        <v>3962</v>
      </c>
      <c r="AB99" s="34" t="s">
        <v>3962</v>
      </c>
      <c r="AC99" s="34" t="s">
        <v>3953</v>
      </c>
      <c r="AD99" s="34" t="s">
        <v>3953</v>
      </c>
      <c r="AE99" s="34" t="s">
        <v>3963</v>
      </c>
      <c r="AF99" s="34" t="s">
        <v>3655</v>
      </c>
      <c r="AG99" s="34" t="s">
        <v>3878</v>
      </c>
      <c r="AH99" s="34" t="s">
        <v>3964</v>
      </c>
      <c r="AI99" s="34" t="s">
        <v>3965</v>
      </c>
      <c r="AL99" s="34">
        <v>46</v>
      </c>
      <c r="AM99" s="40" t="s">
        <v>9</v>
      </c>
      <c r="AP99" s="34">
        <v>0</v>
      </c>
      <c r="AQ99" s="34">
        <v>2469</v>
      </c>
      <c r="AR99" s="34">
        <v>1543</v>
      </c>
      <c r="AT99" s="44">
        <v>191200</v>
      </c>
      <c r="AU99" s="44"/>
      <c r="AV99" s="46">
        <f>ROUND(Товары[[#This Row],[РРЦ финальная, руб.]]/$AU$1,2)</f>
        <v>0</v>
      </c>
      <c r="AW99" s="45" t="str">
        <f>IFERROR(Товары[[#This Row],[РРЦ, евро]]/Товары[[#This Row],[IRP, Eur]],"-")</f>
        <v>-</v>
      </c>
      <c r="AX99" s="42">
        <f>IFERROR(VLOOKUP(Товары[[#This Row],[SubGroup]],'Структура цен DIY'!$B:$C,2,FALSE),0)</f>
        <v>0.32</v>
      </c>
      <c r="AY99" s="44">
        <v>0</v>
      </c>
    </row>
    <row r="100" spans="1:51" x14ac:dyDescent="0.25">
      <c r="A100" s="34">
        <v>98</v>
      </c>
      <c r="B100" s="34" t="s">
        <v>56</v>
      </c>
      <c r="C100" s="110" t="str">
        <f>IFERROR(INDEX(Структура_ассортимента[SuperCategory],MATCH(Товары[[#This Row],[SubGroup]],Структура_ассортимента[Subgroup],0)),"")</f>
        <v>A</v>
      </c>
      <c r="D10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0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00" s="110" t="str">
        <f>IFERROR(INDEX(Структура_ассортимента[Product group],MATCH(Товары[[#This Row],[SubGroup]],Структура_ассортимента[Subgroup],0)),"")</f>
        <v>AMA_C</v>
      </c>
      <c r="G100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00" s="110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00" s="36">
        <v>9241</v>
      </c>
      <c r="J100" s="36" t="str">
        <f>IFERROR(INDEX(Структура_ассортимента[Generic Name (long)],MATCH(Товары[[#This Row],[SubGroup]],Структура_ассортимента[Subgroup],0)),"")</f>
        <v>SPRAYER, MANUAL, PUMP</v>
      </c>
      <c r="L100" s="36">
        <v>966645501</v>
      </c>
      <c r="M100" s="35" t="s">
        <v>1784</v>
      </c>
      <c r="Q100" s="34" t="s">
        <v>3652</v>
      </c>
      <c r="R100" s="34" t="s">
        <v>3540</v>
      </c>
      <c r="S100" s="47">
        <v>40452</v>
      </c>
      <c r="T100" s="47">
        <v>44196</v>
      </c>
      <c r="U100" s="47">
        <v>0</v>
      </c>
      <c r="V100" s="34">
        <v>4078500082372</v>
      </c>
      <c r="W100" s="34" t="s">
        <v>3546</v>
      </c>
      <c r="X100" s="34" t="s">
        <v>3704</v>
      </c>
      <c r="Y100" s="34" t="s">
        <v>3542</v>
      </c>
      <c r="Z100" s="34">
        <v>24</v>
      </c>
      <c r="AA100" s="34" t="s">
        <v>3634</v>
      </c>
      <c r="AB100" s="34" t="s">
        <v>3634</v>
      </c>
      <c r="AC100" s="34" t="s">
        <v>3966</v>
      </c>
      <c r="AD100" s="34" t="s">
        <v>3967</v>
      </c>
      <c r="AE100" s="34" t="s">
        <v>3826</v>
      </c>
      <c r="AF100" s="34" t="s">
        <v>3968</v>
      </c>
      <c r="AG100" s="34" t="s">
        <v>3686</v>
      </c>
      <c r="AH100" s="34" t="s">
        <v>3969</v>
      </c>
      <c r="AI100" s="34" t="s">
        <v>3965</v>
      </c>
      <c r="AL100" s="34" t="s">
        <v>3830</v>
      </c>
      <c r="AM100" s="40" t="s">
        <v>8095</v>
      </c>
      <c r="AT100" s="44">
        <v>0</v>
      </c>
      <c r="AU100" s="44"/>
      <c r="AV100" s="46">
        <f>ROUND(Товары[[#This Row],[РРЦ финальная, руб.]]/$AU$1,2)</f>
        <v>0</v>
      </c>
      <c r="AW100" s="45" t="str">
        <f>IFERROR(Товары[[#This Row],[РРЦ, евро]]/Товары[[#This Row],[IRP, Eur]],"-")</f>
        <v>-</v>
      </c>
      <c r="AX100" s="42">
        <f>IFERROR(VLOOKUP(Товары[[#This Row],[SubGroup]],'Структура цен DIY'!$B:$C,2,FALSE),0)</f>
        <v>0.32</v>
      </c>
      <c r="AY100" s="44">
        <v>0</v>
      </c>
    </row>
    <row r="101" spans="1:51" x14ac:dyDescent="0.25">
      <c r="A101" s="34">
        <v>99</v>
      </c>
      <c r="B101" s="34" t="s">
        <v>56</v>
      </c>
      <c r="C101" s="110" t="str">
        <f>IFERROR(INDEX(Структура_ассортимента[SuperCategory],MATCH(Товары[[#This Row],[SubGroup]],Структура_ассортимента[Subgroup],0)),"")</f>
        <v>A</v>
      </c>
      <c r="D10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0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01" s="110" t="str">
        <f>IFERROR(INDEX(Структура_ассортимента[Product group],MATCH(Товары[[#This Row],[SubGroup]],Структура_ассортимента[Subgroup],0)),"")</f>
        <v>AMA_C</v>
      </c>
      <c r="G101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01" s="110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01" s="36">
        <v>9241</v>
      </c>
      <c r="J101" s="36" t="str">
        <f>IFERROR(INDEX(Структура_ассортимента[Generic Name (long)],MATCH(Товары[[#This Row],[SubGroup]],Структура_ассортимента[Subgroup],0)),"")</f>
        <v>SPRAYER, MANUAL, PUMP</v>
      </c>
      <c r="L101" s="36">
        <v>966645601</v>
      </c>
      <c r="M101" s="35" t="s">
        <v>1785</v>
      </c>
      <c r="Q101" s="34" t="s">
        <v>3652</v>
      </c>
      <c r="R101" s="34" t="s">
        <v>3540</v>
      </c>
      <c r="S101" s="47">
        <v>40452</v>
      </c>
      <c r="T101" s="47">
        <v>44196</v>
      </c>
      <c r="U101" s="47">
        <v>0</v>
      </c>
      <c r="V101" s="34">
        <v>4078500082402</v>
      </c>
      <c r="W101" s="34" t="s">
        <v>3546</v>
      </c>
      <c r="X101" s="34" t="s">
        <v>3704</v>
      </c>
      <c r="Y101" s="34" t="s">
        <v>3542</v>
      </c>
      <c r="Z101" s="34">
        <v>20</v>
      </c>
      <c r="AA101" s="34" t="s">
        <v>3948</v>
      </c>
      <c r="AB101" s="34" t="s">
        <v>3948</v>
      </c>
      <c r="AC101" s="34" t="s">
        <v>3970</v>
      </c>
      <c r="AD101" s="34" t="s">
        <v>3970</v>
      </c>
      <c r="AE101" s="34" t="s">
        <v>3955</v>
      </c>
      <c r="AF101" s="34" t="s">
        <v>3818</v>
      </c>
      <c r="AG101" s="34" t="s">
        <v>3686</v>
      </c>
      <c r="AH101" s="34" t="s">
        <v>3956</v>
      </c>
      <c r="AL101" s="34">
        <v>40</v>
      </c>
      <c r="AM101" s="40" t="s">
        <v>8095</v>
      </c>
      <c r="AT101" s="44">
        <v>0</v>
      </c>
      <c r="AU101" s="44"/>
      <c r="AV101" s="46">
        <f>ROUND(Товары[[#This Row],[РРЦ финальная, руб.]]/$AU$1,2)</f>
        <v>0</v>
      </c>
      <c r="AW101" s="45" t="str">
        <f>IFERROR(Товары[[#This Row],[РРЦ, евро]]/Товары[[#This Row],[IRP, Eur]],"-")</f>
        <v>-</v>
      </c>
      <c r="AX101" s="42">
        <f>IFERROR(VLOOKUP(Товары[[#This Row],[SubGroup]],'Структура цен DIY'!$B:$C,2,FALSE),0)</f>
        <v>0.32</v>
      </c>
      <c r="AY101" s="44">
        <v>0</v>
      </c>
    </row>
    <row r="102" spans="1:51" x14ac:dyDescent="0.25">
      <c r="A102" s="34">
        <v>100</v>
      </c>
      <c r="B102" s="34" t="s">
        <v>56</v>
      </c>
      <c r="C102" s="110" t="str">
        <f>IFERROR(INDEX(Структура_ассортимента[SuperCategory],MATCH(Товары[[#This Row],[SubGroup]],Структура_ассортимента[Subgroup],0)),"")</f>
        <v>A</v>
      </c>
      <c r="D10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0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02" s="110" t="str">
        <f>IFERROR(INDEX(Структура_ассортимента[Product group],MATCH(Товары[[#This Row],[SubGroup]],Структура_ассортимента[Subgroup],0)),"")</f>
        <v>AMA_C</v>
      </c>
      <c r="G102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02" s="110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02" s="36">
        <v>9241</v>
      </c>
      <c r="J102" s="36" t="str">
        <f>IFERROR(INDEX(Структура_ассортимента[Generic Name (long)],MATCH(Товары[[#This Row],[SubGroup]],Структура_ассортимента[Subgroup],0)),"")</f>
        <v>SPRAYER, MANUAL, PUMP</v>
      </c>
      <c r="L102" s="36">
        <v>966645701</v>
      </c>
      <c r="M102" s="35" t="s">
        <v>1786</v>
      </c>
      <c r="Q102" s="34" t="s">
        <v>3652</v>
      </c>
      <c r="R102" s="34" t="s">
        <v>3540</v>
      </c>
      <c r="S102" s="47">
        <v>40452</v>
      </c>
      <c r="T102" s="47">
        <v>44196</v>
      </c>
      <c r="U102" s="47">
        <v>0</v>
      </c>
      <c r="V102" s="34">
        <v>4078500082471</v>
      </c>
      <c r="W102" s="34" t="s">
        <v>3547</v>
      </c>
      <c r="X102" s="34" t="s">
        <v>3704</v>
      </c>
      <c r="Y102" s="34" t="s">
        <v>3542</v>
      </c>
      <c r="Z102" s="34">
        <v>42</v>
      </c>
      <c r="AA102" s="34" t="s">
        <v>3971</v>
      </c>
      <c r="AB102" s="34" t="s">
        <v>3971</v>
      </c>
      <c r="AC102" s="34" t="s">
        <v>3972</v>
      </c>
      <c r="AD102" s="34" t="s">
        <v>3972</v>
      </c>
      <c r="AE102" s="34" t="s">
        <v>3955</v>
      </c>
      <c r="AF102" s="34" t="s">
        <v>3818</v>
      </c>
      <c r="AG102" s="34" t="s">
        <v>3686</v>
      </c>
      <c r="AH102" s="34" t="s">
        <v>3956</v>
      </c>
      <c r="AL102" s="34">
        <v>42</v>
      </c>
      <c r="AM102" s="40" t="s">
        <v>8095</v>
      </c>
      <c r="AT102" s="44">
        <v>0</v>
      </c>
      <c r="AU102" s="44"/>
      <c r="AV102" s="46">
        <f>ROUND(Товары[[#This Row],[РРЦ финальная, руб.]]/$AU$1,2)</f>
        <v>0</v>
      </c>
      <c r="AW102" s="45" t="str">
        <f>IFERROR(Товары[[#This Row],[РРЦ, евро]]/Товары[[#This Row],[IRP, Eur]],"-")</f>
        <v>-</v>
      </c>
      <c r="AX102" s="42">
        <f>IFERROR(VLOOKUP(Товары[[#This Row],[SubGroup]],'Структура цен DIY'!$B:$C,2,FALSE),0)</f>
        <v>0.32</v>
      </c>
      <c r="AY102" s="44">
        <v>0</v>
      </c>
    </row>
    <row r="103" spans="1:51" x14ac:dyDescent="0.25">
      <c r="A103" s="34">
        <v>101</v>
      </c>
      <c r="B103" s="34" t="s">
        <v>56</v>
      </c>
      <c r="C103" s="110" t="str">
        <f>IFERROR(INDEX(Структура_ассортимента[SuperCategory],MATCH(Товары[[#This Row],[SubGroup]],Структура_ассортимента[Subgroup],0)),"")</f>
        <v>A</v>
      </c>
      <c r="D10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0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03" s="110" t="str">
        <f>IFERROR(INDEX(Структура_ассортимента[Product group],MATCH(Товары[[#This Row],[SubGroup]],Структура_ассортимента[Subgroup],0)),"")</f>
        <v>AMA_C</v>
      </c>
      <c r="G103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03" s="110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03" s="36">
        <v>9241</v>
      </c>
      <c r="J103" s="36" t="str">
        <f>IFERROR(INDEX(Структура_ассортимента[Generic Name (long)],MATCH(Товары[[#This Row],[SubGroup]],Структура_ассортимента[Subgroup],0)),"")</f>
        <v>SPRAYER, MANUAL, PUMP</v>
      </c>
      <c r="L103" s="36">
        <v>966645201</v>
      </c>
      <c r="M103" s="35" t="s">
        <v>1787</v>
      </c>
      <c r="O103" s="35" t="s">
        <v>3973</v>
      </c>
      <c r="P103" s="37" t="s">
        <v>3974</v>
      </c>
      <c r="Q103" s="34" t="s">
        <v>3652</v>
      </c>
      <c r="R103" s="34" t="s">
        <v>3540</v>
      </c>
      <c r="S103" s="47">
        <v>40452</v>
      </c>
      <c r="T103" s="47">
        <v>0</v>
      </c>
      <c r="U103" s="47">
        <v>0</v>
      </c>
      <c r="V103" s="34">
        <v>4078500081405</v>
      </c>
      <c r="W103" s="34" t="s">
        <v>3546</v>
      </c>
      <c r="X103" s="34" t="s">
        <v>3704</v>
      </c>
      <c r="Y103" s="34" t="s">
        <v>3542</v>
      </c>
      <c r="Z103" s="34">
        <v>4</v>
      </c>
      <c r="AA103" s="34" t="s">
        <v>3863</v>
      </c>
      <c r="AB103" s="34" t="s">
        <v>3863</v>
      </c>
      <c r="AC103" s="34" t="s">
        <v>3622</v>
      </c>
      <c r="AD103" s="34" t="s">
        <v>3622</v>
      </c>
      <c r="AE103" s="34" t="s">
        <v>3825</v>
      </c>
      <c r="AF103" s="34" t="s">
        <v>3693</v>
      </c>
      <c r="AG103" s="34" t="s">
        <v>3975</v>
      </c>
      <c r="AH103" s="34" t="s">
        <v>3976</v>
      </c>
      <c r="AI103" s="34" t="s">
        <v>3977</v>
      </c>
      <c r="AJ103" s="34" t="s">
        <v>3655</v>
      </c>
      <c r="AK103" s="34" t="s">
        <v>3978</v>
      </c>
      <c r="AL103" s="34">
        <v>96</v>
      </c>
      <c r="AM103" s="40" t="s">
        <v>9</v>
      </c>
      <c r="AP103" s="34">
        <v>0</v>
      </c>
      <c r="AQ103" s="34">
        <v>1599</v>
      </c>
      <c r="AR103" s="34">
        <v>866</v>
      </c>
      <c r="AT103" s="44">
        <v>123800</v>
      </c>
      <c r="AU103" s="44"/>
      <c r="AV103" s="46">
        <f>ROUND(Товары[[#This Row],[РРЦ финальная, руб.]]/$AU$1,2)</f>
        <v>0</v>
      </c>
      <c r="AW103" s="45" t="str">
        <f>IFERROR(Товары[[#This Row],[РРЦ, евро]]/Товары[[#This Row],[IRP, Eur]],"-")</f>
        <v>-</v>
      </c>
      <c r="AX103" s="42">
        <f>IFERROR(VLOOKUP(Товары[[#This Row],[SubGroup]],'Структура цен DIY'!$B:$C,2,FALSE),0)</f>
        <v>0.32</v>
      </c>
      <c r="AY103" s="44">
        <v>0</v>
      </c>
    </row>
    <row r="104" spans="1:51" x14ac:dyDescent="0.25">
      <c r="A104" s="34">
        <v>102</v>
      </c>
      <c r="B104" s="34" t="s">
        <v>56</v>
      </c>
      <c r="C104" s="110" t="str">
        <f>IFERROR(INDEX(Структура_ассортимента[SuperCategory],MATCH(Товары[[#This Row],[SubGroup]],Структура_ассортимента[Subgroup],0)),"")</f>
        <v>A</v>
      </c>
      <c r="D10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0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04" s="110" t="str">
        <f>IFERROR(INDEX(Структура_ассортимента[Product group],MATCH(Товары[[#This Row],[SubGroup]],Структура_ассортимента[Subgroup],0)),"")</f>
        <v>AMA_C</v>
      </c>
      <c r="G104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04" s="110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04" s="36">
        <v>9241</v>
      </c>
      <c r="J104" s="36" t="str">
        <f>IFERROR(INDEX(Структура_ассортимента[Generic Name (long)],MATCH(Товары[[#This Row],[SubGroup]],Структура_ассортимента[Subgroup],0)),"")</f>
        <v>SPRAYER, MANUAL, PUMP</v>
      </c>
      <c r="L104" s="36">
        <v>967104201</v>
      </c>
      <c r="M104" s="35" t="s">
        <v>1788</v>
      </c>
      <c r="O104" s="35" t="s">
        <v>3979</v>
      </c>
      <c r="P104" s="37" t="s">
        <v>3980</v>
      </c>
      <c r="Q104" s="34" t="s">
        <v>3652</v>
      </c>
      <c r="R104" s="34" t="s">
        <v>3540</v>
      </c>
      <c r="S104" s="47">
        <v>42736</v>
      </c>
      <c r="T104" s="47">
        <v>44196</v>
      </c>
      <c r="U104" s="47">
        <v>0</v>
      </c>
      <c r="V104" s="34">
        <v>4078500025027</v>
      </c>
      <c r="W104" s="34" t="s">
        <v>3547</v>
      </c>
      <c r="X104" s="34" t="s">
        <v>3704</v>
      </c>
      <c r="Y104" s="34" t="s">
        <v>3542</v>
      </c>
      <c r="Z104" s="34">
        <v>24</v>
      </c>
      <c r="AA104" s="34">
        <v>20200</v>
      </c>
      <c r="AB104" s="34" t="s">
        <v>3863</v>
      </c>
      <c r="AC104" s="34">
        <v>13680</v>
      </c>
      <c r="AD104" s="34" t="s">
        <v>3622</v>
      </c>
      <c r="AE104" s="34" t="s">
        <v>3825</v>
      </c>
      <c r="AF104" s="34" t="s">
        <v>3693</v>
      </c>
      <c r="AG104" s="34" t="s">
        <v>3975</v>
      </c>
      <c r="AH104" s="34" t="s">
        <v>3976</v>
      </c>
      <c r="AL104" s="34" t="s">
        <v>3981</v>
      </c>
      <c r="AM104" s="40" t="s">
        <v>9</v>
      </c>
      <c r="AP104" s="34">
        <v>0</v>
      </c>
      <c r="AQ104" s="34">
        <v>1599</v>
      </c>
      <c r="AR104" s="34">
        <v>866</v>
      </c>
      <c r="AT104" s="44">
        <v>123800</v>
      </c>
      <c r="AU104" s="44"/>
      <c r="AV104" s="46">
        <f>ROUND(Товары[[#This Row],[РРЦ финальная, руб.]]/$AU$1,2)</f>
        <v>0</v>
      </c>
      <c r="AW104" s="45" t="str">
        <f>IFERROR(Товары[[#This Row],[РРЦ, евро]]/Товары[[#This Row],[IRP, Eur]],"-")</f>
        <v>-</v>
      </c>
      <c r="AX104" s="42">
        <f>IFERROR(VLOOKUP(Товары[[#This Row],[SubGroup]],'Структура цен DIY'!$B:$C,2,FALSE),0)</f>
        <v>0.32</v>
      </c>
      <c r="AY104" s="44">
        <v>0</v>
      </c>
    </row>
    <row r="105" spans="1:51" x14ac:dyDescent="0.25">
      <c r="A105" s="34">
        <v>103</v>
      </c>
      <c r="B105" s="34" t="s">
        <v>56</v>
      </c>
      <c r="C105" s="110" t="str">
        <f>IFERROR(INDEX(Структура_ассортимента[SuperCategory],MATCH(Товары[[#This Row],[SubGroup]],Структура_ассортимента[Subgroup],0)),"")</f>
        <v>A</v>
      </c>
      <c r="D10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0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05" s="110" t="str">
        <f>IFERROR(INDEX(Структура_ассортимента[Product group],MATCH(Товары[[#This Row],[SubGroup]],Структура_ассортимента[Subgroup],0)),"")</f>
        <v>AMA_C</v>
      </c>
      <c r="G105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05" s="110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05" s="36">
        <v>9241</v>
      </c>
      <c r="J105" s="36" t="str">
        <f>IFERROR(INDEX(Структура_ассортимента[Generic Name (long)],MATCH(Товары[[#This Row],[SubGroup]],Структура_ассортимента[Subgroup],0)),"")</f>
        <v>SPRAYER, MANUAL, PUMP</v>
      </c>
      <c r="L105" s="36">
        <v>966645801</v>
      </c>
      <c r="M105" s="35" t="s">
        <v>1789</v>
      </c>
      <c r="Q105" s="34" t="s">
        <v>3652</v>
      </c>
      <c r="R105" s="34" t="s">
        <v>3540</v>
      </c>
      <c r="S105" s="47">
        <v>40452</v>
      </c>
      <c r="T105" s="47">
        <v>44196</v>
      </c>
      <c r="U105" s="47">
        <v>0</v>
      </c>
      <c r="V105" s="34">
        <v>4078500082808</v>
      </c>
      <c r="W105" s="34" t="s">
        <v>3547</v>
      </c>
      <c r="X105" s="34" t="s">
        <v>3704</v>
      </c>
      <c r="Y105" s="34" t="s">
        <v>3542</v>
      </c>
      <c r="Z105" s="34">
        <v>1</v>
      </c>
      <c r="AA105" s="34" t="s">
        <v>3982</v>
      </c>
      <c r="AB105" s="34" t="s">
        <v>3982</v>
      </c>
      <c r="AC105" s="34" t="s">
        <v>3983</v>
      </c>
      <c r="AD105" s="34" t="s">
        <v>3983</v>
      </c>
      <c r="AE105" s="34" t="s">
        <v>3984</v>
      </c>
      <c r="AF105" s="34" t="s">
        <v>3984</v>
      </c>
      <c r="AG105" s="34" t="s">
        <v>3985</v>
      </c>
      <c r="AH105" s="34" t="s">
        <v>3986</v>
      </c>
      <c r="AI105" s="34" t="s">
        <v>3987</v>
      </c>
      <c r="AJ105" s="34" t="s">
        <v>3988</v>
      </c>
      <c r="AK105" s="34" t="s">
        <v>3989</v>
      </c>
      <c r="AL105" s="34">
        <v>40</v>
      </c>
      <c r="AM105" s="40" t="s">
        <v>8095</v>
      </c>
      <c r="AT105" s="44">
        <v>0</v>
      </c>
      <c r="AU105" s="44"/>
      <c r="AV105" s="46">
        <f>ROUND(Товары[[#This Row],[РРЦ финальная, руб.]]/$AU$1,2)</f>
        <v>0</v>
      </c>
      <c r="AW105" s="45" t="str">
        <f>IFERROR(Товары[[#This Row],[РРЦ, евро]]/Товары[[#This Row],[IRP, Eur]],"-")</f>
        <v>-</v>
      </c>
      <c r="AX105" s="42">
        <f>IFERROR(VLOOKUP(Товары[[#This Row],[SubGroup]],'Структура цен DIY'!$B:$C,2,FALSE),0)</f>
        <v>0.32</v>
      </c>
      <c r="AY105" s="44">
        <v>0</v>
      </c>
    </row>
    <row r="106" spans="1:51" x14ac:dyDescent="0.25">
      <c r="A106" s="34">
        <v>104</v>
      </c>
      <c r="B106" s="34" t="s">
        <v>56</v>
      </c>
      <c r="C106" s="110" t="str">
        <f>IFERROR(INDEX(Структура_ассортимента[SuperCategory],MATCH(Товары[[#This Row],[SubGroup]],Структура_ассортимента[Subgroup],0)),"")</f>
        <v>A</v>
      </c>
      <c r="D10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0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06" s="110" t="str">
        <f>IFERROR(INDEX(Структура_ассортимента[Product group],MATCH(Товары[[#This Row],[SubGroup]],Структура_ассортимента[Subgroup],0)),"")</f>
        <v>AMA_C</v>
      </c>
      <c r="G106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06" s="110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06" s="36">
        <v>9241</v>
      </c>
      <c r="J106" s="36" t="str">
        <f>IFERROR(INDEX(Структура_ассортимента[Generic Name (long)],MATCH(Товары[[#This Row],[SubGroup]],Структура_ассортимента[Subgroup],0)),"")</f>
        <v>SPRAYER, MANUAL, PUMP</v>
      </c>
      <c r="L106" s="36">
        <v>966712101</v>
      </c>
      <c r="M106" s="35" t="s">
        <v>1790</v>
      </c>
      <c r="Q106" s="34" t="s">
        <v>3652</v>
      </c>
      <c r="R106" s="34" t="s">
        <v>3540</v>
      </c>
      <c r="S106" s="47">
        <v>40452</v>
      </c>
      <c r="T106" s="47">
        <v>44196</v>
      </c>
      <c r="U106" s="47">
        <v>0</v>
      </c>
      <c r="V106" s="34">
        <v>4078500081009</v>
      </c>
      <c r="W106" s="34" t="s">
        <v>3547</v>
      </c>
      <c r="X106" s="34" t="s">
        <v>3704</v>
      </c>
      <c r="Y106" s="34" t="s">
        <v>3542</v>
      </c>
      <c r="Z106" s="34">
        <v>30</v>
      </c>
      <c r="AA106" s="34" t="s">
        <v>3990</v>
      </c>
      <c r="AB106" s="34" t="s">
        <v>3990</v>
      </c>
      <c r="AC106" s="34" t="s">
        <v>3991</v>
      </c>
      <c r="AD106" s="34" t="s">
        <v>3990</v>
      </c>
      <c r="AE106" s="34" t="s">
        <v>3975</v>
      </c>
      <c r="AF106" s="34" t="s">
        <v>3560</v>
      </c>
      <c r="AG106" s="34" t="s">
        <v>3566</v>
      </c>
      <c r="AH106" s="34" t="s">
        <v>3992</v>
      </c>
      <c r="AL106" s="34">
        <v>120</v>
      </c>
      <c r="AM106" s="40" t="s">
        <v>8095</v>
      </c>
      <c r="AT106" s="44">
        <v>0</v>
      </c>
      <c r="AU106" s="44"/>
      <c r="AV106" s="46">
        <f>ROUND(Товары[[#This Row],[РРЦ финальная, руб.]]/$AU$1,2)</f>
        <v>0</v>
      </c>
      <c r="AW106" s="45" t="str">
        <f>IFERROR(Товары[[#This Row],[РРЦ, евро]]/Товары[[#This Row],[IRP, Eur]],"-")</f>
        <v>-</v>
      </c>
      <c r="AX106" s="42">
        <f>IFERROR(VLOOKUP(Товары[[#This Row],[SubGroup]],'Структура цен DIY'!$B:$C,2,FALSE),0)</f>
        <v>0.32</v>
      </c>
      <c r="AY106" s="44">
        <v>0</v>
      </c>
    </row>
    <row r="107" spans="1:51" x14ac:dyDescent="0.25">
      <c r="A107" s="34">
        <v>105</v>
      </c>
      <c r="B107" s="34" t="s">
        <v>56</v>
      </c>
      <c r="C107" s="110" t="str">
        <f>IFERROR(INDEX(Структура_ассортимента[SuperCategory],MATCH(Товары[[#This Row],[SubGroup]],Структура_ассортимента[Subgroup],0)),"")</f>
        <v>A</v>
      </c>
      <c r="D10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0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07" s="110" t="str">
        <f>IFERROR(INDEX(Структура_ассортимента[Product group],MATCH(Товары[[#This Row],[SubGroup]],Структура_ассортимента[Subgroup],0)),"")</f>
        <v>AMA_C</v>
      </c>
      <c r="G107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07" s="110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07" s="36">
        <v>9241</v>
      </c>
      <c r="J107" s="36" t="str">
        <f>IFERROR(INDEX(Структура_ассортимента[Generic Name (long)],MATCH(Товары[[#This Row],[SubGroup]],Структура_ассортимента[Subgroup],0)),"")</f>
        <v>SPRAYER, MANUAL, PUMP</v>
      </c>
      <c r="L107" s="36">
        <v>966644901</v>
      </c>
      <c r="M107" s="35" t="s">
        <v>1791</v>
      </c>
      <c r="O107" s="35" t="s">
        <v>3993</v>
      </c>
      <c r="P107" s="37" t="s">
        <v>3994</v>
      </c>
      <c r="Q107" s="34" t="s">
        <v>3652</v>
      </c>
      <c r="R107" s="34" t="s">
        <v>3540</v>
      </c>
      <c r="S107" s="47">
        <v>40452</v>
      </c>
      <c r="T107" s="47">
        <v>0</v>
      </c>
      <c r="U107" s="47">
        <v>0</v>
      </c>
      <c r="V107" s="34">
        <v>4078500080408</v>
      </c>
      <c r="W107" s="34" t="s">
        <v>3547</v>
      </c>
      <c r="X107" s="34" t="s">
        <v>3704</v>
      </c>
      <c r="Y107" s="34" t="s">
        <v>3542</v>
      </c>
      <c r="Z107" s="34">
        <v>8</v>
      </c>
      <c r="AA107" s="34" t="s">
        <v>3995</v>
      </c>
      <c r="AB107" s="34" t="s">
        <v>3730</v>
      </c>
      <c r="AC107" s="34" t="s">
        <v>3996</v>
      </c>
      <c r="AD107" s="34" t="s">
        <v>3806</v>
      </c>
      <c r="AE107" s="34" t="s">
        <v>3997</v>
      </c>
      <c r="AF107" s="34" t="s">
        <v>3560</v>
      </c>
      <c r="AG107" s="34" t="s">
        <v>3707</v>
      </c>
      <c r="AH107" s="34" t="s">
        <v>3998</v>
      </c>
      <c r="AI107" s="34" t="s">
        <v>3599</v>
      </c>
      <c r="AJ107" s="34" t="s">
        <v>3997</v>
      </c>
      <c r="AK107" s="34" t="s">
        <v>3999</v>
      </c>
      <c r="AL107" s="34">
        <v>192</v>
      </c>
      <c r="AM107" s="40" t="s">
        <v>9</v>
      </c>
      <c r="AP107" s="34">
        <v>0</v>
      </c>
      <c r="AQ107" s="34">
        <v>959</v>
      </c>
      <c r="AR107" s="34">
        <v>519</v>
      </c>
      <c r="AT107" s="44">
        <v>74300</v>
      </c>
      <c r="AU107" s="44"/>
      <c r="AV107" s="46">
        <f>ROUND(Товары[[#This Row],[РРЦ финальная, руб.]]/$AU$1,2)</f>
        <v>0</v>
      </c>
      <c r="AW107" s="45" t="str">
        <f>IFERROR(Товары[[#This Row],[РРЦ, евро]]/Товары[[#This Row],[IRP, Eur]],"-")</f>
        <v>-</v>
      </c>
      <c r="AX107" s="42">
        <f>IFERROR(VLOOKUP(Товары[[#This Row],[SubGroup]],'Структура цен DIY'!$B:$C,2,FALSE),0)</f>
        <v>0.32</v>
      </c>
      <c r="AY107" s="44">
        <v>0</v>
      </c>
    </row>
    <row r="108" spans="1:51" x14ac:dyDescent="0.25">
      <c r="A108" s="34">
        <v>106</v>
      </c>
      <c r="B108" s="34" t="s">
        <v>56</v>
      </c>
      <c r="C108" s="110" t="str">
        <f>IFERROR(INDEX(Структура_ассортимента[SuperCategory],MATCH(Товары[[#This Row],[SubGroup]],Структура_ассортимента[Subgroup],0)),"")</f>
        <v>A</v>
      </c>
      <c r="D10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0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08" s="110" t="str">
        <f>IFERROR(INDEX(Структура_ассортимента[Product group],MATCH(Товары[[#This Row],[SubGroup]],Структура_ассортимента[Subgroup],0)),"")</f>
        <v>AMA_C</v>
      </c>
      <c r="G108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08" s="110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08" s="36">
        <v>9241</v>
      </c>
      <c r="J108" s="36" t="str">
        <f>IFERROR(INDEX(Структура_ассортимента[Generic Name (long)],MATCH(Товары[[#This Row],[SubGroup]],Структура_ассортимента[Subgroup],0)),"")</f>
        <v>SPRAYER, MANUAL, PUMP</v>
      </c>
      <c r="L108" s="36">
        <v>966645001</v>
      </c>
      <c r="M108" s="35" t="s">
        <v>1792</v>
      </c>
      <c r="O108" s="35" t="s">
        <v>4000</v>
      </c>
      <c r="P108" s="37" t="s">
        <v>4001</v>
      </c>
      <c r="Q108" s="34" t="s">
        <v>3652</v>
      </c>
      <c r="R108" s="34" t="s">
        <v>3540</v>
      </c>
      <c r="S108" s="47">
        <v>40452</v>
      </c>
      <c r="T108" s="47">
        <v>0</v>
      </c>
      <c r="U108" s="47">
        <v>0</v>
      </c>
      <c r="V108" s="34">
        <v>4078500080507</v>
      </c>
      <c r="W108" s="34" t="s">
        <v>3547</v>
      </c>
      <c r="X108" s="34" t="s">
        <v>3704</v>
      </c>
      <c r="Y108" s="34" t="s">
        <v>3542</v>
      </c>
      <c r="Z108" s="34">
        <v>6</v>
      </c>
      <c r="AA108" s="34" t="s">
        <v>3806</v>
      </c>
      <c r="AB108" s="34" t="s">
        <v>3806</v>
      </c>
      <c r="AC108" s="34" t="s">
        <v>4002</v>
      </c>
      <c r="AD108" s="34" t="s">
        <v>4002</v>
      </c>
      <c r="AE108" s="34" t="s">
        <v>3975</v>
      </c>
      <c r="AF108" s="34" t="s">
        <v>3560</v>
      </c>
      <c r="AG108" s="34" t="s">
        <v>3566</v>
      </c>
      <c r="AH108" s="34" t="s">
        <v>3992</v>
      </c>
      <c r="AI108" s="34" t="s">
        <v>4003</v>
      </c>
      <c r="AJ108" s="34" t="s">
        <v>3975</v>
      </c>
      <c r="AK108" s="34" t="s">
        <v>3624</v>
      </c>
      <c r="AL108" s="34">
        <v>144</v>
      </c>
      <c r="AM108" s="40" t="s">
        <v>9</v>
      </c>
      <c r="AP108" s="34">
        <v>0</v>
      </c>
      <c r="AQ108" s="34">
        <v>959</v>
      </c>
      <c r="AR108" s="34">
        <v>519</v>
      </c>
      <c r="AT108" s="44">
        <v>74300</v>
      </c>
      <c r="AU108" s="44"/>
      <c r="AV108" s="46">
        <f>ROUND(Товары[[#This Row],[РРЦ финальная, руб.]]/$AU$1,2)</f>
        <v>0</v>
      </c>
      <c r="AW108" s="45" t="str">
        <f>IFERROR(Товары[[#This Row],[РРЦ, евро]]/Товары[[#This Row],[IRP, Eur]],"-")</f>
        <v>-</v>
      </c>
      <c r="AX108" s="42">
        <f>IFERROR(VLOOKUP(Товары[[#This Row],[SubGroup]],'Структура цен DIY'!$B:$C,2,FALSE),0)</f>
        <v>0.32</v>
      </c>
      <c r="AY108" s="44">
        <v>0</v>
      </c>
    </row>
    <row r="109" spans="1:51" x14ac:dyDescent="0.25">
      <c r="A109" s="34">
        <v>107</v>
      </c>
      <c r="B109" s="34" t="s">
        <v>56</v>
      </c>
      <c r="C109" s="110" t="str">
        <f>IFERROR(INDEX(Структура_ассортимента[SuperCategory],MATCH(Товары[[#This Row],[SubGroup]],Структура_ассортимента[Subgroup],0)),"")</f>
        <v>A</v>
      </c>
      <c r="D10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0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09" s="110" t="str">
        <f>IFERROR(INDEX(Структура_ассортимента[Product group],MATCH(Товары[[#This Row],[SubGroup]],Структура_ассортимента[Subgroup],0)),"")</f>
        <v>AMA_C</v>
      </c>
      <c r="G109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09" s="110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09" s="36">
        <v>9241</v>
      </c>
      <c r="J109" s="36" t="str">
        <f>IFERROR(INDEX(Структура_ассортимента[Generic Name (long)],MATCH(Товары[[#This Row],[SubGroup]],Структура_ассортимента[Subgroup],0)),"")</f>
        <v>SPRAYER, MANUAL, PUMP</v>
      </c>
      <c r="L109" s="36">
        <v>966645101</v>
      </c>
      <c r="M109" s="35" t="s">
        <v>1793</v>
      </c>
      <c r="O109" s="35" t="s">
        <v>4004</v>
      </c>
      <c r="P109" s="37" t="s">
        <v>4005</v>
      </c>
      <c r="Q109" s="34" t="s">
        <v>3652</v>
      </c>
      <c r="R109" s="34" t="s">
        <v>3540</v>
      </c>
      <c r="S109" s="47">
        <v>40452</v>
      </c>
      <c r="T109" s="47">
        <v>0</v>
      </c>
      <c r="U109" s="47">
        <v>0</v>
      </c>
      <c r="V109" s="34">
        <v>4078500080606</v>
      </c>
      <c r="W109" s="34" t="s">
        <v>3547</v>
      </c>
      <c r="X109" s="34" t="s">
        <v>3704</v>
      </c>
      <c r="Y109" s="34" t="s">
        <v>3542</v>
      </c>
      <c r="Z109" s="34">
        <v>6</v>
      </c>
      <c r="AA109" s="34" t="s">
        <v>4006</v>
      </c>
      <c r="AB109" s="34" t="s">
        <v>4006</v>
      </c>
      <c r="AC109" s="34" t="s">
        <v>4007</v>
      </c>
      <c r="AD109" s="34" t="s">
        <v>4007</v>
      </c>
      <c r="AE109" s="34" t="s">
        <v>3560</v>
      </c>
      <c r="AF109" s="34" t="s">
        <v>3566</v>
      </c>
      <c r="AG109" s="34" t="s">
        <v>3975</v>
      </c>
      <c r="AH109" s="34" t="s">
        <v>3992</v>
      </c>
      <c r="AI109" s="34" t="s">
        <v>4003</v>
      </c>
      <c r="AJ109" s="34" t="s">
        <v>3975</v>
      </c>
      <c r="AK109" s="34" t="s">
        <v>3624</v>
      </c>
      <c r="AL109" s="34">
        <v>144</v>
      </c>
      <c r="AM109" s="40" t="s">
        <v>9</v>
      </c>
      <c r="AP109" s="34">
        <v>0</v>
      </c>
      <c r="AQ109" s="34">
        <v>1599</v>
      </c>
      <c r="AR109" s="34">
        <v>866</v>
      </c>
      <c r="AT109" s="44">
        <v>123800</v>
      </c>
      <c r="AU109" s="44"/>
      <c r="AV109" s="46">
        <f>ROUND(Товары[[#This Row],[РРЦ финальная, руб.]]/$AU$1,2)</f>
        <v>0</v>
      </c>
      <c r="AW109" s="45" t="str">
        <f>IFERROR(Товары[[#This Row],[РРЦ, евро]]/Товары[[#This Row],[IRP, Eur]],"-")</f>
        <v>-</v>
      </c>
      <c r="AX109" s="42">
        <f>IFERROR(VLOOKUP(Товары[[#This Row],[SubGroup]],'Структура цен DIY'!$B:$C,2,FALSE),0)</f>
        <v>0.32</v>
      </c>
      <c r="AY109" s="44">
        <v>0</v>
      </c>
    </row>
    <row r="110" spans="1:51" x14ac:dyDescent="0.25">
      <c r="A110" s="34">
        <v>108</v>
      </c>
      <c r="B110" s="34" t="s">
        <v>56</v>
      </c>
      <c r="C110" s="110" t="str">
        <f>IFERROR(INDEX(Структура_ассортимента[SuperCategory],MATCH(Товары[[#This Row],[SubGroup]],Структура_ассортимента[Subgroup],0)),"")</f>
        <v>A</v>
      </c>
      <c r="D11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1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10" s="110" t="str">
        <f>IFERROR(INDEX(Структура_ассортимента[Product group],MATCH(Товары[[#This Row],[SubGroup]],Структура_ассортимента[Subgroup],0)),"")</f>
        <v>AMA_C</v>
      </c>
      <c r="G110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10" s="110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110" s="36">
        <v>9232</v>
      </c>
      <c r="J110" s="36" t="str">
        <f>IFERROR(INDEX(Структура_ассортимента[Generic Name (long)],MATCH(Товары[[#This Row],[SubGroup]],Структура_ассортимента[Subgroup],0)),"")</f>
        <v>SPREADER</v>
      </c>
      <c r="L110" s="36">
        <v>967815001</v>
      </c>
      <c r="M110" s="35" t="s">
        <v>1794</v>
      </c>
      <c r="Q110" s="34" t="s">
        <v>3549</v>
      </c>
      <c r="R110" s="34" t="s">
        <v>3540</v>
      </c>
      <c r="S110" s="47">
        <v>43101</v>
      </c>
      <c r="T110" s="47">
        <v>0</v>
      </c>
      <c r="U110" s="47">
        <v>0</v>
      </c>
      <c r="V110" s="34">
        <v>4078500039369</v>
      </c>
      <c r="W110" s="34" t="s">
        <v>3543</v>
      </c>
      <c r="X110" s="34" t="s">
        <v>3579</v>
      </c>
      <c r="Y110" s="34" t="s">
        <v>3542</v>
      </c>
      <c r="Z110" s="34">
        <v>8</v>
      </c>
      <c r="AB110" s="34" t="s">
        <v>3833</v>
      </c>
      <c r="AD110" s="34" t="s">
        <v>3834</v>
      </c>
      <c r="AE110" s="34" t="s">
        <v>3835</v>
      </c>
      <c r="AF110" s="34" t="s">
        <v>3836</v>
      </c>
      <c r="AG110" s="34" t="s">
        <v>3837</v>
      </c>
      <c r="AH110" s="34" t="s">
        <v>3838</v>
      </c>
      <c r="AI110" s="34" t="s">
        <v>3839</v>
      </c>
      <c r="AJ110" s="34" t="s">
        <v>3840</v>
      </c>
      <c r="AK110" s="34" t="s">
        <v>3841</v>
      </c>
      <c r="AL110" s="34" t="s">
        <v>3847</v>
      </c>
      <c r="AM110" s="40" t="s">
        <v>8095</v>
      </c>
      <c r="AT110" s="44">
        <v>0</v>
      </c>
      <c r="AU110" s="44"/>
      <c r="AV110" s="46">
        <f>ROUND(Товары[[#This Row],[РРЦ финальная, руб.]]/$AU$1,2)</f>
        <v>0</v>
      </c>
      <c r="AW110" s="45" t="str">
        <f>IFERROR(Товары[[#This Row],[РРЦ, евро]]/Товары[[#This Row],[IRP, Eur]],"-")</f>
        <v>-</v>
      </c>
      <c r="AX110" s="42">
        <f>IFERROR(VLOOKUP(Товары[[#This Row],[SubGroup]],'Структура цен DIY'!$B:$C,2,FALSE),0)</f>
        <v>0.22999999999999998</v>
      </c>
      <c r="AY110" s="44">
        <v>0</v>
      </c>
    </row>
    <row r="111" spans="1:51" x14ac:dyDescent="0.25">
      <c r="A111" s="34">
        <v>109</v>
      </c>
      <c r="B111" s="34" t="s">
        <v>56</v>
      </c>
      <c r="C111" s="110" t="str">
        <f>IFERROR(INDEX(Структура_ассортимента[SuperCategory],MATCH(Товары[[#This Row],[SubGroup]],Структура_ассортимента[Subgroup],0)),"")</f>
        <v>A</v>
      </c>
      <c r="D11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1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11" s="110" t="str">
        <f>IFERROR(INDEX(Структура_ассортимента[Product group],MATCH(Товары[[#This Row],[SubGroup]],Структура_ассортимента[Subgroup],0)),"")</f>
        <v>AMA_C</v>
      </c>
      <c r="G111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11" s="110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111" s="36">
        <v>9232</v>
      </c>
      <c r="J111" s="36" t="str">
        <f>IFERROR(INDEX(Структура_ассортимента[Generic Name (long)],MATCH(Товары[[#This Row],[SubGroup]],Структура_ассортимента[Subgroup],0)),"")</f>
        <v>SPREADER</v>
      </c>
      <c r="L111" s="36">
        <v>967815101</v>
      </c>
      <c r="M111" s="35" t="s">
        <v>1795</v>
      </c>
      <c r="Q111" s="34" t="s">
        <v>3549</v>
      </c>
      <c r="R111" s="34" t="s">
        <v>3540</v>
      </c>
      <c r="S111" s="47">
        <v>43101</v>
      </c>
      <c r="T111" s="47">
        <v>0</v>
      </c>
      <c r="U111" s="47">
        <v>0</v>
      </c>
      <c r="V111" s="34">
        <v>4078500039383</v>
      </c>
      <c r="W111" s="34" t="s">
        <v>3543</v>
      </c>
      <c r="X111" s="34" t="s">
        <v>3579</v>
      </c>
      <c r="Y111" s="34" t="s">
        <v>3542</v>
      </c>
      <c r="Z111" s="34">
        <v>8</v>
      </c>
      <c r="AB111" s="34" t="s">
        <v>3833</v>
      </c>
      <c r="AD111" s="34" t="s">
        <v>3834</v>
      </c>
      <c r="AE111" s="34" t="s">
        <v>3835</v>
      </c>
      <c r="AF111" s="34" t="s">
        <v>3836</v>
      </c>
      <c r="AG111" s="34" t="s">
        <v>3837</v>
      </c>
      <c r="AH111" s="34" t="s">
        <v>3838</v>
      </c>
      <c r="AI111" s="34" t="s">
        <v>3839</v>
      </c>
      <c r="AJ111" s="34" t="s">
        <v>3840</v>
      </c>
      <c r="AK111" s="34" t="s">
        <v>3841</v>
      </c>
      <c r="AL111" s="34" t="s">
        <v>3847</v>
      </c>
      <c r="AM111" s="40" t="s">
        <v>8095</v>
      </c>
      <c r="AT111" s="44">
        <v>0</v>
      </c>
      <c r="AU111" s="44"/>
      <c r="AV111" s="46">
        <f>ROUND(Товары[[#This Row],[РРЦ финальная, руб.]]/$AU$1,2)</f>
        <v>0</v>
      </c>
      <c r="AW111" s="45" t="str">
        <f>IFERROR(Товары[[#This Row],[РРЦ, евро]]/Товары[[#This Row],[IRP, Eur]],"-")</f>
        <v>-</v>
      </c>
      <c r="AX111" s="42">
        <f>IFERROR(VLOOKUP(Товары[[#This Row],[SubGroup]],'Структура цен DIY'!$B:$C,2,FALSE),0)</f>
        <v>0.22999999999999998</v>
      </c>
      <c r="AY111" s="44">
        <v>0</v>
      </c>
    </row>
    <row r="112" spans="1:51" x14ac:dyDescent="0.25">
      <c r="A112" s="34">
        <v>110</v>
      </c>
      <c r="B112" s="34" t="s">
        <v>56</v>
      </c>
      <c r="C112" s="110" t="str">
        <f>IFERROR(INDEX(Структура_ассортимента[SuperCategory],MATCH(Товары[[#This Row],[SubGroup]],Структура_ассортимента[Subgroup],0)),"")</f>
        <v>A</v>
      </c>
      <c r="D11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1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12" s="110" t="str">
        <f>IFERROR(INDEX(Структура_ассортимента[Product group],MATCH(Товары[[#This Row],[SubGroup]],Структура_ассортимента[Subgroup],0)),"")</f>
        <v>AMA_C</v>
      </c>
      <c r="G112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12" s="110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12" s="36">
        <v>9242</v>
      </c>
      <c r="J112" s="36" t="str">
        <f>IFERROR(INDEX(Структура_ассортимента[Generic Name (long)],MATCH(Товары[[#This Row],[SubGroup]],Структура_ассортимента[Subgroup],0)),"")</f>
        <v>GLOVES</v>
      </c>
      <c r="L112" s="36">
        <v>967982701</v>
      </c>
      <c r="M112" s="35" t="s">
        <v>1796</v>
      </c>
      <c r="O112" s="35" t="s">
        <v>4008</v>
      </c>
      <c r="P112" s="37" t="s">
        <v>4009</v>
      </c>
      <c r="Q112" s="34" t="s">
        <v>3549</v>
      </c>
      <c r="R112" s="34" t="s">
        <v>3540</v>
      </c>
      <c r="S112" s="47">
        <v>44013</v>
      </c>
      <c r="T112" s="47">
        <v>0</v>
      </c>
      <c r="U112" s="47">
        <v>0</v>
      </c>
      <c r="V112" s="34">
        <v>4078500048675</v>
      </c>
      <c r="W112" s="34" t="s">
        <v>3546</v>
      </c>
      <c r="X112" s="34" t="s">
        <v>3551</v>
      </c>
      <c r="Y112" s="34" t="s">
        <v>3542</v>
      </c>
      <c r="Z112" s="34">
        <v>1</v>
      </c>
      <c r="AA112" s="34" t="s">
        <v>4010</v>
      </c>
      <c r="AB112" s="34" t="s">
        <v>4010</v>
      </c>
      <c r="AC112" s="34" t="s">
        <v>4011</v>
      </c>
      <c r="AD112" s="34" t="s">
        <v>4012</v>
      </c>
      <c r="AE112" s="34" t="s">
        <v>4013</v>
      </c>
      <c r="AF112" s="34" t="s">
        <v>3742</v>
      </c>
      <c r="AG112" s="34" t="s">
        <v>4014</v>
      </c>
      <c r="AH112" s="34" t="s">
        <v>4015</v>
      </c>
      <c r="AI112" s="34" t="s">
        <v>4016</v>
      </c>
      <c r="AJ112" s="34" t="s">
        <v>4017</v>
      </c>
      <c r="AK112" s="34" t="s">
        <v>4018</v>
      </c>
      <c r="AL112" s="34" t="s">
        <v>4019</v>
      </c>
      <c r="AM112" s="40" t="s">
        <v>10</v>
      </c>
      <c r="AP112" s="34">
        <v>0</v>
      </c>
      <c r="AQ112" s="34">
        <v>12890</v>
      </c>
      <c r="AR112" s="34">
        <v>8056</v>
      </c>
      <c r="AT112" s="44">
        <v>998400</v>
      </c>
      <c r="AU112" s="44"/>
      <c r="AV112" s="46">
        <f>ROUND(Товары[[#This Row],[РРЦ финальная, руб.]]/$AU$1,2)</f>
        <v>0</v>
      </c>
      <c r="AW112" s="45" t="str">
        <f>IFERROR(Товары[[#This Row],[РРЦ, евро]]/Товары[[#This Row],[IRP, Eur]],"-")</f>
        <v>-</v>
      </c>
      <c r="AX112" s="42">
        <f>IFERROR(VLOOKUP(Товары[[#This Row],[SubGroup]],'Структура цен DIY'!$B:$C,2,FALSE),0)</f>
        <v>0.28999999999999998</v>
      </c>
      <c r="AY112" s="44">
        <v>0</v>
      </c>
    </row>
    <row r="113" spans="1:51" x14ac:dyDescent="0.25">
      <c r="A113" s="34">
        <v>111</v>
      </c>
      <c r="B113" s="34" t="s">
        <v>56</v>
      </c>
      <c r="C113" s="110" t="str">
        <f>IFERROR(INDEX(Структура_ассортимента[SuperCategory],MATCH(Товары[[#This Row],[SubGroup]],Структура_ассортимента[Subgroup],0)),"")</f>
        <v>A</v>
      </c>
      <c r="D11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1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13" s="110" t="str">
        <f>IFERROR(INDEX(Структура_ассортимента[Product group],MATCH(Товары[[#This Row],[SubGroup]],Структура_ассортимента[Subgroup],0)),"")</f>
        <v>AMA_C</v>
      </c>
      <c r="G113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13" s="110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13" s="36">
        <v>9241</v>
      </c>
      <c r="J113" s="36" t="str">
        <f>IFERROR(INDEX(Структура_ассортимента[Generic Name (long)],MATCH(Товары[[#This Row],[SubGroup]],Структура_ассортимента[Subgroup],0)),"")</f>
        <v>SPRAYER, MANUAL, PUMP</v>
      </c>
      <c r="L113" s="36">
        <v>970476801</v>
      </c>
      <c r="M113" s="35" t="s">
        <v>1797</v>
      </c>
      <c r="O113" s="35" t="s">
        <v>4020</v>
      </c>
      <c r="P113" s="37" t="s">
        <v>4021</v>
      </c>
      <c r="Q113" s="34" t="s">
        <v>3549</v>
      </c>
      <c r="R113" s="34" t="s">
        <v>3540</v>
      </c>
      <c r="S113" s="47">
        <v>44197</v>
      </c>
      <c r="T113" s="47">
        <v>0</v>
      </c>
      <c r="U113" s="47">
        <v>0</v>
      </c>
      <c r="V113" s="34">
        <v>4078500052290</v>
      </c>
      <c r="W113" s="34" t="s">
        <v>3546</v>
      </c>
      <c r="Y113" s="34" t="s">
        <v>3542</v>
      </c>
      <c r="Z113" s="34">
        <v>12</v>
      </c>
      <c r="AM113" s="40" t="s">
        <v>11</v>
      </c>
      <c r="AT113" s="44">
        <v>0</v>
      </c>
      <c r="AU113" s="44"/>
      <c r="AV113" s="46">
        <f>ROUND(Товары[[#This Row],[РРЦ финальная, руб.]]/$AU$1,2)</f>
        <v>0</v>
      </c>
      <c r="AW113" s="45" t="str">
        <f>IFERROR(Товары[[#This Row],[РРЦ, евро]]/Товары[[#This Row],[IRP, Eur]],"-")</f>
        <v>-</v>
      </c>
      <c r="AX113" s="42">
        <f>IFERROR(VLOOKUP(Товары[[#This Row],[SubGroup]],'Структура цен DIY'!$B:$C,2,FALSE),0)</f>
        <v>0.32</v>
      </c>
      <c r="AY113" s="44">
        <v>0</v>
      </c>
    </row>
    <row r="114" spans="1:51" x14ac:dyDescent="0.25">
      <c r="A114" s="34">
        <v>112</v>
      </c>
      <c r="B114" s="34" t="s">
        <v>56</v>
      </c>
      <c r="C114" s="110" t="str">
        <f>IFERROR(INDEX(Структура_ассортимента[SuperCategory],MATCH(Товары[[#This Row],[SubGroup]],Структура_ассортимента[Subgroup],0)),"")</f>
        <v>A</v>
      </c>
      <c r="D11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1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14" s="110" t="str">
        <f>IFERROR(INDEX(Структура_ассортимента[Product group],MATCH(Товары[[#This Row],[SubGroup]],Структура_ассортимента[Subgroup],0)),"")</f>
        <v>AMA_C</v>
      </c>
      <c r="G114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14" s="110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14" s="36">
        <v>9241</v>
      </c>
      <c r="J114" s="36" t="str">
        <f>IFERROR(INDEX(Структура_ассортимента[Generic Name (long)],MATCH(Товары[[#This Row],[SubGroup]],Структура_ассортимента[Subgroup],0)),"")</f>
        <v>SPRAYER, MANUAL, PUMP</v>
      </c>
      <c r="L114" s="36">
        <v>970476901</v>
      </c>
      <c r="M114" s="35" t="s">
        <v>1798</v>
      </c>
      <c r="O114" s="35" t="s">
        <v>4022</v>
      </c>
      <c r="P114" s="37" t="s">
        <v>4023</v>
      </c>
      <c r="Q114" s="34" t="s">
        <v>3549</v>
      </c>
      <c r="R114" s="34" t="s">
        <v>3540</v>
      </c>
      <c r="S114" s="47">
        <v>44197</v>
      </c>
      <c r="T114" s="47">
        <v>0</v>
      </c>
      <c r="U114" s="47">
        <v>0</v>
      </c>
      <c r="V114" s="34">
        <v>4078500052351</v>
      </c>
      <c r="W114" s="34" t="s">
        <v>3546</v>
      </c>
      <c r="Y114" s="34" t="s">
        <v>3542</v>
      </c>
      <c r="Z114" s="34">
        <v>6</v>
      </c>
      <c r="AM114" s="40" t="s">
        <v>11</v>
      </c>
      <c r="AT114" s="44">
        <v>0</v>
      </c>
      <c r="AU114" s="44"/>
      <c r="AV114" s="46">
        <f>ROUND(Товары[[#This Row],[РРЦ финальная, руб.]]/$AU$1,2)</f>
        <v>0</v>
      </c>
      <c r="AW114" s="45" t="str">
        <f>IFERROR(Товары[[#This Row],[РРЦ, евро]]/Товары[[#This Row],[IRP, Eur]],"-")</f>
        <v>-</v>
      </c>
      <c r="AX114" s="42">
        <f>IFERROR(VLOOKUP(Товары[[#This Row],[SubGroup]],'Структура цен DIY'!$B:$C,2,FALSE),0)</f>
        <v>0.32</v>
      </c>
      <c r="AY114" s="44">
        <v>0</v>
      </c>
    </row>
    <row r="115" spans="1:51" x14ac:dyDescent="0.25">
      <c r="A115" s="34">
        <v>113</v>
      </c>
      <c r="B115" s="34" t="s">
        <v>56</v>
      </c>
      <c r="C115" s="110" t="str">
        <f>IFERROR(INDEX(Структура_ассортимента[SuperCategory],MATCH(Товары[[#This Row],[SubGroup]],Структура_ассортимента[Subgroup],0)),"")</f>
        <v>A</v>
      </c>
      <c r="D11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1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15" s="110" t="str">
        <f>IFERROR(INDEX(Структура_ассортимента[Product group],MATCH(Товары[[#This Row],[SubGroup]],Структура_ассортимента[Subgroup],0)),"")</f>
        <v>AMA_C</v>
      </c>
      <c r="G115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15" s="110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15" s="36">
        <v>9241</v>
      </c>
      <c r="J115" s="36" t="str">
        <f>IFERROR(INDEX(Структура_ассортимента[Generic Name (long)],MATCH(Товары[[#This Row],[SubGroup]],Структура_ассортимента[Subgroup],0)),"")</f>
        <v>SPRAYER, MANUAL, PUMP</v>
      </c>
      <c r="L115" s="36">
        <v>970477601</v>
      </c>
      <c r="M115" s="35" t="s">
        <v>1799</v>
      </c>
      <c r="O115" s="35" t="s">
        <v>4024</v>
      </c>
      <c r="P115" s="37" t="s">
        <v>4025</v>
      </c>
      <c r="Q115" s="34" t="s">
        <v>3549</v>
      </c>
      <c r="R115" s="34" t="s">
        <v>3540</v>
      </c>
      <c r="S115" s="47">
        <v>44197</v>
      </c>
      <c r="T115" s="47">
        <v>0</v>
      </c>
      <c r="U115" s="47">
        <v>0</v>
      </c>
      <c r="V115" s="34">
        <v>4078500052337</v>
      </c>
      <c r="W115" s="34" t="s">
        <v>3546</v>
      </c>
      <c r="Y115" s="34" t="s">
        <v>3542</v>
      </c>
      <c r="Z115" s="34">
        <v>45</v>
      </c>
      <c r="AM115" s="40" t="s">
        <v>11</v>
      </c>
      <c r="AT115" s="44">
        <v>0</v>
      </c>
      <c r="AU115" s="44"/>
      <c r="AV115" s="46">
        <f>ROUND(Товары[[#This Row],[РРЦ финальная, руб.]]/$AU$1,2)</f>
        <v>0</v>
      </c>
      <c r="AW115" s="45" t="str">
        <f>IFERROR(Товары[[#This Row],[РРЦ, евро]]/Товары[[#This Row],[IRP, Eur]],"-")</f>
        <v>-</v>
      </c>
      <c r="AX115" s="42">
        <f>IFERROR(VLOOKUP(Товары[[#This Row],[SubGroup]],'Структура цен DIY'!$B:$C,2,FALSE),0)</f>
        <v>0.32</v>
      </c>
      <c r="AY115" s="44">
        <v>0</v>
      </c>
    </row>
    <row r="116" spans="1:51" x14ac:dyDescent="0.25">
      <c r="A116" s="34">
        <v>114</v>
      </c>
      <c r="B116" s="34" t="s">
        <v>56</v>
      </c>
      <c r="C116" s="110" t="str">
        <f>IFERROR(INDEX(Структура_ассортимента[SuperCategory],MATCH(Товары[[#This Row],[SubGroup]],Структура_ассортимента[Subgroup],0)),"")</f>
        <v>A</v>
      </c>
      <c r="D11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1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16" s="110" t="str">
        <f>IFERROR(INDEX(Структура_ассортимента[Product group],MATCH(Товары[[#This Row],[SubGroup]],Структура_ассортимента[Subgroup],0)),"")</f>
        <v>AMA_C</v>
      </c>
      <c r="G116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16" s="110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16" s="36">
        <v>9241</v>
      </c>
      <c r="J116" s="36" t="str">
        <f>IFERROR(INDEX(Структура_ассортимента[Generic Name (long)],MATCH(Товары[[#This Row],[SubGroup]],Структура_ассортимента[Subgroup],0)),"")</f>
        <v>SPRAYER, MANUAL, PUMP</v>
      </c>
      <c r="L116" s="36">
        <v>970462701</v>
      </c>
      <c r="M116" s="35" t="s">
        <v>1800</v>
      </c>
      <c r="O116" s="35" t="s">
        <v>4026</v>
      </c>
      <c r="P116" s="37" t="s">
        <v>4027</v>
      </c>
      <c r="Q116" s="34" t="s">
        <v>3549</v>
      </c>
      <c r="R116" s="34" t="s">
        <v>3540</v>
      </c>
      <c r="S116" s="47">
        <v>44197</v>
      </c>
      <c r="T116" s="47">
        <v>0</v>
      </c>
      <c r="U116" s="47">
        <v>0</v>
      </c>
      <c r="V116" s="34">
        <v>4078500051118</v>
      </c>
      <c r="W116" s="34" t="s">
        <v>3546</v>
      </c>
      <c r="Y116" s="34" t="s">
        <v>3542</v>
      </c>
      <c r="Z116" s="34">
        <v>6</v>
      </c>
      <c r="AM116" s="40" t="s">
        <v>11</v>
      </c>
      <c r="AT116" s="44">
        <v>0</v>
      </c>
      <c r="AU116" s="44"/>
      <c r="AV116" s="46">
        <f>ROUND(Товары[[#This Row],[РРЦ финальная, руб.]]/$AU$1,2)</f>
        <v>0</v>
      </c>
      <c r="AW116" s="45" t="str">
        <f>IFERROR(Товары[[#This Row],[РРЦ, евро]]/Товары[[#This Row],[IRP, Eur]],"-")</f>
        <v>-</v>
      </c>
      <c r="AX116" s="42">
        <f>IFERROR(VLOOKUP(Товары[[#This Row],[SubGroup]],'Структура цен DIY'!$B:$C,2,FALSE),0)</f>
        <v>0.32</v>
      </c>
      <c r="AY116" s="44">
        <v>0</v>
      </c>
    </row>
    <row r="117" spans="1:51" x14ac:dyDescent="0.25">
      <c r="A117" s="34">
        <v>115</v>
      </c>
      <c r="B117" s="34" t="s">
        <v>56</v>
      </c>
      <c r="C117" s="110" t="str">
        <f>IFERROR(INDEX(Структура_ассортимента[SuperCategory],MATCH(Товары[[#This Row],[SubGroup]],Структура_ассортимента[Subgroup],0)),"")</f>
        <v>A</v>
      </c>
      <c r="D11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1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17" s="110" t="str">
        <f>IFERROR(INDEX(Структура_ассортимента[Product group],MATCH(Товары[[#This Row],[SubGroup]],Структура_ассортимента[Subgroup],0)),"")</f>
        <v>AMA_C</v>
      </c>
      <c r="G117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17" s="110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17" s="36">
        <v>9241</v>
      </c>
      <c r="J117" s="36" t="str">
        <f>IFERROR(INDEX(Структура_ассортимента[Generic Name (long)],MATCH(Товары[[#This Row],[SubGroup]],Структура_ассортимента[Subgroup],0)),"")</f>
        <v>SPRAYER, MANUAL, PUMP</v>
      </c>
      <c r="L117" s="36">
        <v>970477501</v>
      </c>
      <c r="M117" s="35" t="s">
        <v>1801</v>
      </c>
      <c r="O117" s="35" t="s">
        <v>4028</v>
      </c>
      <c r="P117" s="37" t="s">
        <v>4029</v>
      </c>
      <c r="Q117" s="34" t="s">
        <v>3549</v>
      </c>
      <c r="R117" s="34" t="s">
        <v>3540</v>
      </c>
      <c r="S117" s="47">
        <v>44197</v>
      </c>
      <c r="T117" s="47">
        <v>0</v>
      </c>
      <c r="U117" s="47">
        <v>0</v>
      </c>
      <c r="V117" s="34">
        <v>4078500052375</v>
      </c>
      <c r="W117" s="34" t="s">
        <v>3546</v>
      </c>
      <c r="Y117" s="34" t="s">
        <v>3542</v>
      </c>
      <c r="Z117" s="34">
        <v>4</v>
      </c>
      <c r="AM117" s="40" t="s">
        <v>11</v>
      </c>
      <c r="AT117" s="44">
        <v>0</v>
      </c>
      <c r="AU117" s="44"/>
      <c r="AV117" s="46">
        <f>ROUND(Товары[[#This Row],[РРЦ финальная, руб.]]/$AU$1,2)</f>
        <v>0</v>
      </c>
      <c r="AW117" s="45" t="str">
        <f>IFERROR(Товары[[#This Row],[РРЦ, евро]]/Товары[[#This Row],[IRP, Eur]],"-")</f>
        <v>-</v>
      </c>
      <c r="AX117" s="42">
        <f>IFERROR(VLOOKUP(Товары[[#This Row],[SubGroup]],'Структура цен DIY'!$B:$C,2,FALSE),0)</f>
        <v>0.32</v>
      </c>
      <c r="AY117" s="44">
        <v>0</v>
      </c>
    </row>
    <row r="118" spans="1:51" x14ac:dyDescent="0.25">
      <c r="A118" s="34">
        <v>116</v>
      </c>
      <c r="B118" s="34" t="s">
        <v>56</v>
      </c>
      <c r="C118" s="110" t="str">
        <f>IFERROR(INDEX(Структура_ассортимента[SuperCategory],MATCH(Товары[[#This Row],[SubGroup]],Структура_ассортимента[Subgroup],0)),"")</f>
        <v>A</v>
      </c>
      <c r="D11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1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18" s="110" t="str">
        <f>IFERROR(INDEX(Структура_ассортимента[Product group],MATCH(Товары[[#This Row],[SubGroup]],Структура_ассортимента[Subgroup],0)),"")</f>
        <v>AMA_C</v>
      </c>
      <c r="G118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18" s="110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18" s="36">
        <v>9241</v>
      </c>
      <c r="J118" s="36" t="str">
        <f>IFERROR(INDEX(Структура_ассортимента[Generic Name (long)],MATCH(Товары[[#This Row],[SubGroup]],Структура_ассортимента[Subgroup],0)),"")</f>
        <v>SPRAYER, MANUAL, PUMP</v>
      </c>
      <c r="L118" s="36">
        <v>970461301</v>
      </c>
      <c r="M118" s="35" t="s">
        <v>1802</v>
      </c>
      <c r="O118" s="35" t="s">
        <v>4030</v>
      </c>
      <c r="P118" s="37" t="s">
        <v>4031</v>
      </c>
      <c r="Q118" s="34" t="s">
        <v>3549</v>
      </c>
      <c r="R118" s="34" t="s">
        <v>3540</v>
      </c>
      <c r="S118" s="47">
        <v>44197</v>
      </c>
      <c r="T118" s="47">
        <v>0</v>
      </c>
      <c r="U118" s="47">
        <v>0</v>
      </c>
      <c r="V118" s="34">
        <v>4078500051132</v>
      </c>
      <c r="W118" s="34" t="s">
        <v>3546</v>
      </c>
      <c r="Y118" s="34" t="s">
        <v>3542</v>
      </c>
      <c r="Z118" s="34">
        <v>4</v>
      </c>
      <c r="AM118" s="40" t="s">
        <v>11</v>
      </c>
      <c r="AT118" s="44">
        <v>0</v>
      </c>
      <c r="AU118" s="44"/>
      <c r="AV118" s="46">
        <f>ROUND(Товары[[#This Row],[РРЦ финальная, руб.]]/$AU$1,2)</f>
        <v>0</v>
      </c>
      <c r="AW118" s="45" t="str">
        <f>IFERROR(Товары[[#This Row],[РРЦ, евро]]/Товары[[#This Row],[IRP, Eur]],"-")</f>
        <v>-</v>
      </c>
      <c r="AX118" s="42">
        <f>IFERROR(VLOOKUP(Товары[[#This Row],[SubGroup]],'Структура цен DIY'!$B:$C,2,FALSE),0)</f>
        <v>0.32</v>
      </c>
      <c r="AY118" s="44">
        <v>0</v>
      </c>
    </row>
    <row r="119" spans="1:51" x14ac:dyDescent="0.25">
      <c r="A119" s="34">
        <v>117</v>
      </c>
      <c r="B119" s="34" t="s">
        <v>56</v>
      </c>
      <c r="C119" s="110" t="str">
        <f>IFERROR(INDEX(Структура_ассортимента[SuperCategory],MATCH(Товары[[#This Row],[SubGroup]],Структура_ассортимента[Subgroup],0)),"")</f>
        <v>A</v>
      </c>
      <c r="D11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1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19" s="110" t="str">
        <f>IFERROR(INDEX(Структура_ассортимента[Product group],MATCH(Товары[[#This Row],[SubGroup]],Структура_ассортимента[Subgroup],0)),"")</f>
        <v>AMA_C</v>
      </c>
      <c r="G119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19" s="110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19" s="36">
        <v>9241</v>
      </c>
      <c r="J119" s="36" t="str">
        <f>IFERROR(INDEX(Структура_ассортимента[Generic Name (long)],MATCH(Товары[[#This Row],[SubGroup]],Структура_ассортимента[Subgroup],0)),"")</f>
        <v>SPRAYER, MANUAL, PUMP</v>
      </c>
      <c r="L119" s="36">
        <v>970477001</v>
      </c>
      <c r="M119" s="35" t="s">
        <v>1803</v>
      </c>
      <c r="O119" s="35" t="s">
        <v>4032</v>
      </c>
      <c r="P119" s="37" t="s">
        <v>4033</v>
      </c>
      <c r="Q119" s="34" t="s">
        <v>3549</v>
      </c>
      <c r="R119" s="34" t="s">
        <v>3540</v>
      </c>
      <c r="S119" s="47">
        <v>44197</v>
      </c>
      <c r="T119" s="47">
        <v>0</v>
      </c>
      <c r="U119" s="47">
        <v>0</v>
      </c>
      <c r="V119" s="34">
        <v>4078500052429</v>
      </c>
      <c r="W119" s="34" t="s">
        <v>3546</v>
      </c>
      <c r="Y119" s="34" t="s">
        <v>3542</v>
      </c>
      <c r="Z119" s="34">
        <v>4</v>
      </c>
      <c r="AM119" s="40" t="s">
        <v>11</v>
      </c>
      <c r="AT119" s="44">
        <v>0</v>
      </c>
      <c r="AU119" s="44"/>
      <c r="AV119" s="46">
        <f>ROUND(Товары[[#This Row],[РРЦ финальная, руб.]]/$AU$1,2)</f>
        <v>0</v>
      </c>
      <c r="AW119" s="45" t="str">
        <f>IFERROR(Товары[[#This Row],[РРЦ, евро]]/Товары[[#This Row],[IRP, Eur]],"-")</f>
        <v>-</v>
      </c>
      <c r="AX119" s="42">
        <f>IFERROR(VLOOKUP(Товары[[#This Row],[SubGroup]],'Структура цен DIY'!$B:$C,2,FALSE),0)</f>
        <v>0.32</v>
      </c>
      <c r="AY119" s="44">
        <v>0</v>
      </c>
    </row>
    <row r="120" spans="1:51" x14ac:dyDescent="0.25">
      <c r="A120" s="34">
        <v>118</v>
      </c>
      <c r="B120" s="34" t="s">
        <v>56</v>
      </c>
      <c r="C120" s="110" t="str">
        <f>IFERROR(INDEX(Структура_ассортимента[SuperCategory],MATCH(Товары[[#This Row],[SubGroup]],Структура_ассортимента[Subgroup],0)),"")</f>
        <v>A</v>
      </c>
      <c r="D12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2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20" s="110" t="str">
        <f>IFERROR(INDEX(Структура_ассортимента[Product group],MATCH(Товары[[#This Row],[SubGroup]],Структура_ассортимента[Subgroup],0)),"")</f>
        <v>AMA_C</v>
      </c>
      <c r="G120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20" s="110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20" s="36">
        <v>9241</v>
      </c>
      <c r="J120" s="36" t="str">
        <f>IFERROR(INDEX(Структура_ассортимента[Generic Name (long)],MATCH(Товары[[#This Row],[SubGroup]],Структура_ассортимента[Subgroup],0)),"")</f>
        <v>SPRAYER, MANUAL, PUMP</v>
      </c>
      <c r="L120" s="36">
        <v>970461501</v>
      </c>
      <c r="M120" s="35" t="s">
        <v>1804</v>
      </c>
      <c r="O120" s="35" t="s">
        <v>4034</v>
      </c>
      <c r="P120" s="37" t="s">
        <v>4035</v>
      </c>
      <c r="Q120" s="34" t="s">
        <v>3549</v>
      </c>
      <c r="R120" s="34" t="s">
        <v>3540</v>
      </c>
      <c r="S120" s="47">
        <v>44197</v>
      </c>
      <c r="T120" s="47">
        <v>0</v>
      </c>
      <c r="U120" s="47">
        <v>0</v>
      </c>
      <c r="V120" s="34">
        <v>4078500051156</v>
      </c>
      <c r="W120" s="34" t="s">
        <v>3546</v>
      </c>
      <c r="Y120" s="34" t="s">
        <v>3542</v>
      </c>
      <c r="Z120" s="34">
        <v>4</v>
      </c>
      <c r="AM120" s="40" t="s">
        <v>11</v>
      </c>
      <c r="AT120" s="44">
        <v>0</v>
      </c>
      <c r="AU120" s="44"/>
      <c r="AV120" s="46">
        <f>ROUND(Товары[[#This Row],[РРЦ финальная, руб.]]/$AU$1,2)</f>
        <v>0</v>
      </c>
      <c r="AW120" s="45" t="str">
        <f>IFERROR(Товары[[#This Row],[РРЦ, евро]]/Товары[[#This Row],[IRP, Eur]],"-")</f>
        <v>-</v>
      </c>
      <c r="AX120" s="42">
        <f>IFERROR(VLOOKUP(Товары[[#This Row],[SubGroup]],'Структура цен DIY'!$B:$C,2,FALSE),0)</f>
        <v>0.32</v>
      </c>
      <c r="AY120" s="44">
        <v>0</v>
      </c>
    </row>
    <row r="121" spans="1:51" x14ac:dyDescent="0.25">
      <c r="A121" s="34">
        <v>119</v>
      </c>
      <c r="B121" s="34" t="s">
        <v>56</v>
      </c>
      <c r="C121" s="110" t="str">
        <f>IFERROR(INDEX(Структура_ассортимента[SuperCategory],MATCH(Товары[[#This Row],[SubGroup]],Структура_ассортимента[Subgroup],0)),"")</f>
        <v>A</v>
      </c>
      <c r="D12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2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21" s="110" t="str">
        <f>IFERROR(INDEX(Структура_ассортимента[Product group],MATCH(Товары[[#This Row],[SubGroup]],Структура_ассортимента[Subgroup],0)),"")</f>
        <v>AMA_C</v>
      </c>
      <c r="G121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21" s="110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21" s="36">
        <v>9241</v>
      </c>
      <c r="J121" s="36" t="str">
        <f>IFERROR(INDEX(Структура_ассортимента[Generic Name (long)],MATCH(Товары[[#This Row],[SubGroup]],Структура_ассортимента[Subgroup],0)),"")</f>
        <v>SPRAYER, MANUAL, PUMP</v>
      </c>
      <c r="L121" s="36">
        <v>970477101</v>
      </c>
      <c r="M121" s="35" t="s">
        <v>1805</v>
      </c>
      <c r="O121" s="35" t="s">
        <v>4036</v>
      </c>
      <c r="P121" s="37" t="s">
        <v>4037</v>
      </c>
      <c r="Q121" s="34" t="s">
        <v>3549</v>
      </c>
      <c r="R121" s="34" t="s">
        <v>3540</v>
      </c>
      <c r="S121" s="47">
        <v>44197</v>
      </c>
      <c r="T121" s="47">
        <v>0</v>
      </c>
      <c r="U121" s="47">
        <v>0</v>
      </c>
      <c r="V121" s="34">
        <v>4078500052443</v>
      </c>
      <c r="W121" s="34" t="s">
        <v>3546</v>
      </c>
      <c r="Y121" s="34" t="s">
        <v>3542</v>
      </c>
      <c r="Z121" s="34">
        <v>8</v>
      </c>
      <c r="AM121" s="40" t="s">
        <v>11</v>
      </c>
      <c r="AT121" s="44">
        <v>0</v>
      </c>
      <c r="AU121" s="44"/>
      <c r="AV121" s="46">
        <f>ROUND(Товары[[#This Row],[РРЦ финальная, руб.]]/$AU$1,2)</f>
        <v>0</v>
      </c>
      <c r="AW121" s="45" t="str">
        <f>IFERROR(Товары[[#This Row],[РРЦ, евро]]/Товары[[#This Row],[IRP, Eur]],"-")</f>
        <v>-</v>
      </c>
      <c r="AX121" s="42">
        <f>IFERROR(VLOOKUP(Товары[[#This Row],[SubGroup]],'Структура цен DIY'!$B:$C,2,FALSE),0)</f>
        <v>0.32</v>
      </c>
      <c r="AY121" s="44">
        <v>0</v>
      </c>
    </row>
    <row r="122" spans="1:51" x14ac:dyDescent="0.25">
      <c r="A122" s="34">
        <v>120</v>
      </c>
      <c r="B122" s="34" t="s">
        <v>56</v>
      </c>
      <c r="C122" s="110" t="str">
        <f>IFERROR(INDEX(Структура_ассортимента[SuperCategory],MATCH(Товары[[#This Row],[SubGroup]],Структура_ассортимента[Subgroup],0)),"")</f>
        <v>A</v>
      </c>
      <c r="D12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2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22" s="110" t="str">
        <f>IFERROR(INDEX(Структура_ассортимента[Product group],MATCH(Товары[[#This Row],[SubGroup]],Структура_ассортимента[Subgroup],0)),"")</f>
        <v>AMA_C</v>
      </c>
      <c r="G122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22" s="110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22" s="36">
        <v>9241</v>
      </c>
      <c r="J122" s="36" t="str">
        <f>IFERROR(INDEX(Структура_ассортимента[Generic Name (long)],MATCH(Товары[[#This Row],[SubGroup]],Структура_ассортимента[Subgroup],0)),"")</f>
        <v>SPRAYER, MANUAL, PUMP</v>
      </c>
      <c r="L122" s="36">
        <v>970495701</v>
      </c>
      <c r="M122" s="35" t="s">
        <v>1806</v>
      </c>
      <c r="O122" s="35" t="s">
        <v>4038</v>
      </c>
      <c r="P122" s="37" t="s">
        <v>4039</v>
      </c>
      <c r="Q122" s="34" t="s">
        <v>3549</v>
      </c>
      <c r="R122" s="34" t="s">
        <v>3540</v>
      </c>
      <c r="S122" s="47">
        <v>44197</v>
      </c>
      <c r="T122" s="47">
        <v>0</v>
      </c>
      <c r="U122" s="47">
        <v>0</v>
      </c>
      <c r="V122" s="34">
        <v>4078500054041</v>
      </c>
      <c r="W122" s="34" t="s">
        <v>3546</v>
      </c>
      <c r="Y122" s="34" t="s">
        <v>3542</v>
      </c>
      <c r="Z122" s="34">
        <v>5</v>
      </c>
      <c r="AM122" s="40" t="s">
        <v>11</v>
      </c>
      <c r="AT122" s="44">
        <v>0</v>
      </c>
      <c r="AU122" s="44"/>
      <c r="AV122" s="46">
        <f>ROUND(Товары[[#This Row],[РРЦ финальная, руб.]]/$AU$1,2)</f>
        <v>0</v>
      </c>
      <c r="AW122" s="45" t="str">
        <f>IFERROR(Товары[[#This Row],[РРЦ, евро]]/Товары[[#This Row],[IRP, Eur]],"-")</f>
        <v>-</v>
      </c>
      <c r="AX122" s="42">
        <f>IFERROR(VLOOKUP(Товары[[#This Row],[SubGroup]],'Структура цен DIY'!$B:$C,2,FALSE),0)</f>
        <v>0.32</v>
      </c>
      <c r="AY122" s="44">
        <v>0</v>
      </c>
    </row>
    <row r="123" spans="1:51" x14ac:dyDescent="0.25">
      <c r="A123" s="34">
        <v>121</v>
      </c>
      <c r="B123" s="34" t="s">
        <v>56</v>
      </c>
      <c r="C123" s="110" t="str">
        <f>IFERROR(INDEX(Структура_ассортимента[SuperCategory],MATCH(Товары[[#This Row],[SubGroup]],Структура_ассортимента[Subgroup],0)),"")</f>
        <v>A</v>
      </c>
      <c r="D12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2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23" s="110" t="str">
        <f>IFERROR(INDEX(Структура_ассортимента[Product group],MATCH(Товары[[#This Row],[SubGroup]],Структура_ассортимента[Subgroup],0)),"")</f>
        <v>AMA_C</v>
      </c>
      <c r="G123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23" s="110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23" s="36">
        <v>9241</v>
      </c>
      <c r="J123" s="36" t="str">
        <f>IFERROR(INDEX(Структура_ассортимента[Generic Name (long)],MATCH(Товары[[#This Row],[SubGroup]],Структура_ассортимента[Subgroup],0)),"")</f>
        <v>SPRAYER, MANUAL, PUMP</v>
      </c>
      <c r="L123" s="36">
        <v>970495601</v>
      </c>
      <c r="M123" s="35" t="s">
        <v>1807</v>
      </c>
      <c r="O123" s="35" t="s">
        <v>4040</v>
      </c>
      <c r="P123" s="37" t="s">
        <v>4041</v>
      </c>
      <c r="Q123" s="34" t="s">
        <v>3549</v>
      </c>
      <c r="R123" s="34" t="s">
        <v>3540</v>
      </c>
      <c r="S123" s="47">
        <v>44197</v>
      </c>
      <c r="T123" s="47">
        <v>0</v>
      </c>
      <c r="U123" s="47">
        <v>0</v>
      </c>
      <c r="V123" s="34">
        <v>4078500054065</v>
      </c>
      <c r="W123" s="34" t="s">
        <v>3546</v>
      </c>
      <c r="Y123" s="34" t="s">
        <v>3542</v>
      </c>
      <c r="Z123" s="34">
        <v>6</v>
      </c>
      <c r="AM123" s="40" t="s">
        <v>11</v>
      </c>
      <c r="AT123" s="44">
        <v>0</v>
      </c>
      <c r="AU123" s="44"/>
      <c r="AV123" s="46">
        <f>ROUND(Товары[[#This Row],[РРЦ финальная, руб.]]/$AU$1,2)</f>
        <v>0</v>
      </c>
      <c r="AW123" s="45" t="str">
        <f>IFERROR(Товары[[#This Row],[РРЦ, евро]]/Товары[[#This Row],[IRP, Eur]],"-")</f>
        <v>-</v>
      </c>
      <c r="AX123" s="42">
        <f>IFERROR(VLOOKUP(Товары[[#This Row],[SubGroup]],'Структура цен DIY'!$B:$C,2,FALSE),0)</f>
        <v>0.32</v>
      </c>
      <c r="AY123" s="44">
        <v>0</v>
      </c>
    </row>
    <row r="124" spans="1:51" x14ac:dyDescent="0.25">
      <c r="A124" s="34">
        <v>122</v>
      </c>
      <c r="B124" s="34" t="s">
        <v>56</v>
      </c>
      <c r="C124" s="110" t="str">
        <f>IFERROR(INDEX(Структура_ассортимента[SuperCategory],MATCH(Товары[[#This Row],[SubGroup]],Структура_ассортимента[Subgroup],0)),"")</f>
        <v>A</v>
      </c>
      <c r="D12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2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24" s="110" t="str">
        <f>IFERROR(INDEX(Структура_ассортимента[Product group],MATCH(Товары[[#This Row],[SubGroup]],Структура_ассортимента[Subgroup],0)),"")</f>
        <v>AMA_C</v>
      </c>
      <c r="G124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24" s="110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24" s="36">
        <v>9241</v>
      </c>
      <c r="J124" s="36" t="str">
        <f>IFERROR(INDEX(Структура_ассортимента[Generic Name (long)],MATCH(Товары[[#This Row],[SubGroup]],Структура_ассортимента[Subgroup],0)),"")</f>
        <v>SPRAYER, MANUAL, PUMP</v>
      </c>
      <c r="L124" s="36">
        <v>970477201</v>
      </c>
      <c r="M124" s="35" t="s">
        <v>1808</v>
      </c>
      <c r="O124" s="35" t="s">
        <v>4042</v>
      </c>
      <c r="P124" s="37" t="s">
        <v>4043</v>
      </c>
      <c r="Q124" s="34" t="s">
        <v>3549</v>
      </c>
      <c r="R124" s="34" t="s">
        <v>3540</v>
      </c>
      <c r="S124" s="47">
        <v>44197</v>
      </c>
      <c r="T124" s="47">
        <v>0</v>
      </c>
      <c r="U124" s="47">
        <v>0</v>
      </c>
      <c r="V124" s="34">
        <v>4078500052481</v>
      </c>
      <c r="W124" s="34" t="s">
        <v>3546</v>
      </c>
      <c r="Y124" s="34" t="s">
        <v>3542</v>
      </c>
      <c r="Z124" s="34">
        <v>3</v>
      </c>
      <c r="AM124" s="40" t="s">
        <v>11</v>
      </c>
      <c r="AT124" s="44">
        <v>0</v>
      </c>
      <c r="AU124" s="44"/>
      <c r="AV124" s="46">
        <f>ROUND(Товары[[#This Row],[РРЦ финальная, руб.]]/$AU$1,2)</f>
        <v>0</v>
      </c>
      <c r="AW124" s="45" t="str">
        <f>IFERROR(Товары[[#This Row],[РРЦ, евро]]/Товары[[#This Row],[IRP, Eur]],"-")</f>
        <v>-</v>
      </c>
      <c r="AX124" s="42">
        <f>IFERROR(VLOOKUP(Товары[[#This Row],[SubGroup]],'Структура цен DIY'!$B:$C,2,FALSE),0)</f>
        <v>0.32</v>
      </c>
      <c r="AY124" s="44">
        <v>0</v>
      </c>
    </row>
    <row r="125" spans="1:51" x14ac:dyDescent="0.25">
      <c r="A125" s="34">
        <v>123</v>
      </c>
      <c r="B125" s="34" t="s">
        <v>56</v>
      </c>
      <c r="C125" s="110" t="str">
        <f>IFERROR(INDEX(Структура_ассортимента[SuperCategory],MATCH(Товары[[#This Row],[SubGroup]],Структура_ассортимента[Subgroup],0)),"")</f>
        <v>A</v>
      </c>
      <c r="D12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2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25" s="110" t="str">
        <f>IFERROR(INDEX(Структура_ассортимента[Product group],MATCH(Товары[[#This Row],[SubGroup]],Структура_ассортимента[Subgroup],0)),"")</f>
        <v>AMA_C</v>
      </c>
      <c r="G125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25" s="110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25" s="36">
        <v>9241</v>
      </c>
      <c r="J125" s="36" t="str">
        <f>IFERROR(INDEX(Структура_ассортимента[Generic Name (long)],MATCH(Товары[[#This Row],[SubGroup]],Структура_ассортимента[Subgroup],0)),"")</f>
        <v>SPRAYER, MANUAL, PUMP</v>
      </c>
      <c r="L125" s="36">
        <v>970477301</v>
      </c>
      <c r="M125" s="35" t="s">
        <v>1809</v>
      </c>
      <c r="O125" s="35" t="s">
        <v>4044</v>
      </c>
      <c r="P125" s="37" t="s">
        <v>4045</v>
      </c>
      <c r="Q125" s="34" t="s">
        <v>3549</v>
      </c>
      <c r="R125" s="34" t="s">
        <v>3540</v>
      </c>
      <c r="S125" s="47">
        <v>44197</v>
      </c>
      <c r="T125" s="47">
        <v>0</v>
      </c>
      <c r="U125" s="47">
        <v>0</v>
      </c>
      <c r="V125" s="34">
        <v>4078500052467</v>
      </c>
      <c r="W125" s="34" t="s">
        <v>3546</v>
      </c>
      <c r="Y125" s="34" t="s">
        <v>3542</v>
      </c>
      <c r="Z125" s="34">
        <v>3</v>
      </c>
      <c r="AM125" s="40" t="s">
        <v>11</v>
      </c>
      <c r="AT125" s="44">
        <v>0</v>
      </c>
      <c r="AU125" s="44"/>
      <c r="AV125" s="46">
        <f>ROUND(Товары[[#This Row],[РРЦ финальная, руб.]]/$AU$1,2)</f>
        <v>0</v>
      </c>
      <c r="AW125" s="45" t="str">
        <f>IFERROR(Товары[[#This Row],[РРЦ, евро]]/Товары[[#This Row],[IRP, Eur]],"-")</f>
        <v>-</v>
      </c>
      <c r="AX125" s="42">
        <f>IFERROR(VLOOKUP(Товары[[#This Row],[SubGroup]],'Структура цен DIY'!$B:$C,2,FALSE),0)</f>
        <v>0.32</v>
      </c>
      <c r="AY125" s="44">
        <v>0</v>
      </c>
    </row>
    <row r="126" spans="1:51" x14ac:dyDescent="0.25">
      <c r="A126" s="34">
        <v>124</v>
      </c>
      <c r="B126" s="34" t="s">
        <v>56</v>
      </c>
      <c r="C126" s="110" t="str">
        <f>IFERROR(INDEX(Структура_ассортимента[SuperCategory],MATCH(Товары[[#This Row],[SubGroup]],Структура_ассортимента[Subgroup],0)),"")</f>
        <v>A</v>
      </c>
      <c r="D12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2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26" s="110" t="str">
        <f>IFERROR(INDEX(Структура_ассортимента[Product group],MATCH(Товары[[#This Row],[SubGroup]],Структура_ассортимента[Subgroup],0)),"")</f>
        <v>AMA_C</v>
      </c>
      <c r="G126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26" s="110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26" s="36">
        <v>9241</v>
      </c>
      <c r="J126" s="36" t="str">
        <f>IFERROR(INDEX(Структура_ассортимента[Generic Name (long)],MATCH(Товары[[#This Row],[SubGroup]],Структура_ассортимента[Subgroup],0)),"")</f>
        <v>SPRAYER, MANUAL, PUMP</v>
      </c>
      <c r="L126" s="36">
        <v>970477401</v>
      </c>
      <c r="M126" s="35" t="s">
        <v>1810</v>
      </c>
      <c r="O126" s="35" t="s">
        <v>4046</v>
      </c>
      <c r="P126" s="37" t="s">
        <v>4047</v>
      </c>
      <c r="Q126" s="34" t="s">
        <v>3549</v>
      </c>
      <c r="R126" s="34" t="s">
        <v>3540</v>
      </c>
      <c r="S126" s="47">
        <v>44197</v>
      </c>
      <c r="T126" s="47">
        <v>0</v>
      </c>
      <c r="U126" s="47">
        <v>0</v>
      </c>
      <c r="V126" s="34">
        <v>4078500052399</v>
      </c>
      <c r="W126" s="34" t="s">
        <v>3546</v>
      </c>
      <c r="Y126" s="34" t="s">
        <v>3542</v>
      </c>
      <c r="Z126" s="34">
        <v>1</v>
      </c>
      <c r="AM126" s="40" t="s">
        <v>11</v>
      </c>
      <c r="AT126" s="44">
        <v>0</v>
      </c>
      <c r="AU126" s="44"/>
      <c r="AV126" s="46">
        <f>ROUND(Товары[[#This Row],[РРЦ финальная, руб.]]/$AU$1,2)</f>
        <v>0</v>
      </c>
      <c r="AW126" s="45" t="str">
        <f>IFERROR(Товары[[#This Row],[РРЦ, евро]]/Товары[[#This Row],[IRP, Eur]],"-")</f>
        <v>-</v>
      </c>
      <c r="AX126" s="42">
        <f>IFERROR(VLOOKUP(Товары[[#This Row],[SubGroup]],'Структура цен DIY'!$B:$C,2,FALSE),0)</f>
        <v>0.32</v>
      </c>
      <c r="AY126" s="44">
        <v>0</v>
      </c>
    </row>
    <row r="127" spans="1:51" x14ac:dyDescent="0.25">
      <c r="A127" s="34">
        <v>125</v>
      </c>
      <c r="B127" s="34" t="s">
        <v>56</v>
      </c>
      <c r="C127" s="110" t="str">
        <f>IFERROR(INDEX(Структура_ассортимента[SuperCategory],MATCH(Товары[[#This Row],[SubGroup]],Структура_ассортимента[Subgroup],0)),"")</f>
        <v>A</v>
      </c>
      <c r="D12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2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27" s="110" t="str">
        <f>IFERROR(INDEX(Структура_ассортимента[Product group],MATCH(Товары[[#This Row],[SubGroup]],Структура_ассортимента[Subgroup],0)),"")</f>
        <v>AMA_C</v>
      </c>
      <c r="G127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27" s="110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27" s="36">
        <v>9241</v>
      </c>
      <c r="J127" s="36" t="str">
        <f>IFERROR(INDEX(Структура_ассортимента[Generic Name (long)],MATCH(Товары[[#This Row],[SubGroup]],Структура_ассортимента[Subgroup],0)),"")</f>
        <v>SPRAYER, MANUAL, PUMP</v>
      </c>
      <c r="L127" s="36">
        <v>970478101</v>
      </c>
      <c r="M127" s="35" t="s">
        <v>1811</v>
      </c>
      <c r="P127" s="37" t="s">
        <v>4048</v>
      </c>
      <c r="Q127" s="34" t="s">
        <v>3549</v>
      </c>
      <c r="R127" s="34" t="s">
        <v>3540</v>
      </c>
      <c r="S127" s="47">
        <v>44197</v>
      </c>
      <c r="T127" s="47">
        <v>0</v>
      </c>
      <c r="U127" s="47">
        <v>0</v>
      </c>
      <c r="V127" s="34">
        <v>4078500052559</v>
      </c>
      <c r="W127" s="34" t="s">
        <v>3541</v>
      </c>
      <c r="Y127" s="34" t="s">
        <v>3542</v>
      </c>
      <c r="Z127" s="34">
        <v>4</v>
      </c>
      <c r="AM127" s="40" t="s">
        <v>11</v>
      </c>
      <c r="AT127" s="44">
        <v>0</v>
      </c>
      <c r="AU127" s="44"/>
      <c r="AV127" s="46">
        <f>ROUND(Товары[[#This Row],[РРЦ финальная, руб.]]/$AU$1,2)</f>
        <v>0</v>
      </c>
      <c r="AW127" s="45" t="str">
        <f>IFERROR(Товары[[#This Row],[РРЦ, евро]]/Товары[[#This Row],[IRP, Eur]],"-")</f>
        <v>-</v>
      </c>
      <c r="AX127" s="42">
        <f>IFERROR(VLOOKUP(Товары[[#This Row],[SubGroup]],'Структура цен DIY'!$B:$C,2,FALSE),0)</f>
        <v>0.32</v>
      </c>
      <c r="AY127" s="44">
        <v>0</v>
      </c>
    </row>
    <row r="128" spans="1:51" x14ac:dyDescent="0.25">
      <c r="A128" s="34">
        <v>126</v>
      </c>
      <c r="B128" s="34" t="s">
        <v>56</v>
      </c>
      <c r="C128" s="110" t="str">
        <f>IFERROR(INDEX(Структура_ассортимента[SuperCategory],MATCH(Товары[[#This Row],[SubGroup]],Структура_ассортимента[Subgroup],0)),"")</f>
        <v>A</v>
      </c>
      <c r="D12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2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28" s="110" t="str">
        <f>IFERROR(INDEX(Структура_ассортимента[Product group],MATCH(Товары[[#This Row],[SubGroup]],Структура_ассортимента[Subgroup],0)),"")</f>
        <v>AMA_C</v>
      </c>
      <c r="G128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28" s="110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28" s="36">
        <v>9241</v>
      </c>
      <c r="J128" s="36" t="str">
        <f>IFERROR(INDEX(Структура_ассортимента[Generic Name (long)],MATCH(Товары[[#This Row],[SubGroup]],Структура_ассортимента[Subgroup],0)),"")</f>
        <v>SPRAYER, MANUAL, PUMP</v>
      </c>
      <c r="L128" s="36">
        <v>970477801</v>
      </c>
      <c r="M128" s="35" t="s">
        <v>1812</v>
      </c>
      <c r="O128" s="35" t="s">
        <v>4049</v>
      </c>
      <c r="P128" s="37" t="s">
        <v>4050</v>
      </c>
      <c r="Q128" s="34" t="s">
        <v>3549</v>
      </c>
      <c r="R128" s="34" t="s">
        <v>3540</v>
      </c>
      <c r="S128" s="47">
        <v>44197</v>
      </c>
      <c r="T128" s="47">
        <v>0</v>
      </c>
      <c r="U128" s="47">
        <v>0</v>
      </c>
      <c r="V128" s="34">
        <v>4078500052573</v>
      </c>
      <c r="W128" s="34" t="s">
        <v>3546</v>
      </c>
      <c r="Y128" s="34" t="s">
        <v>3542</v>
      </c>
      <c r="Z128" s="34">
        <v>4</v>
      </c>
      <c r="AM128" s="40" t="s">
        <v>11</v>
      </c>
      <c r="AT128" s="44">
        <v>0</v>
      </c>
      <c r="AU128" s="44"/>
      <c r="AV128" s="46">
        <f>ROUND(Товары[[#This Row],[РРЦ финальная, руб.]]/$AU$1,2)</f>
        <v>0</v>
      </c>
      <c r="AW128" s="45" t="str">
        <f>IFERROR(Товары[[#This Row],[РРЦ, евро]]/Товары[[#This Row],[IRP, Eur]],"-")</f>
        <v>-</v>
      </c>
      <c r="AX128" s="42">
        <f>IFERROR(VLOOKUP(Товары[[#This Row],[SubGroup]],'Структура цен DIY'!$B:$C,2,FALSE),0)</f>
        <v>0.32</v>
      </c>
      <c r="AY128" s="44">
        <v>0</v>
      </c>
    </row>
    <row r="129" spans="1:51" x14ac:dyDescent="0.25">
      <c r="A129" s="34">
        <v>127</v>
      </c>
      <c r="B129" s="34" t="s">
        <v>56</v>
      </c>
      <c r="C129" s="110" t="str">
        <f>IFERROR(INDEX(Структура_ассортимента[SuperCategory],MATCH(Товары[[#This Row],[SubGroup]],Структура_ассортимента[Subgroup],0)),"")</f>
        <v>A</v>
      </c>
      <c r="D12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2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29" s="110" t="str">
        <f>IFERROR(INDEX(Структура_ассортимента[Product group],MATCH(Товары[[#This Row],[SubGroup]],Структура_ассортимента[Subgroup],0)),"")</f>
        <v>AMA_C</v>
      </c>
      <c r="G129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29" s="110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29" s="36">
        <v>9241</v>
      </c>
      <c r="J129" s="36" t="str">
        <f>IFERROR(INDEX(Структура_ассортимента[Generic Name (long)],MATCH(Товары[[#This Row],[SubGroup]],Структура_ассортимента[Subgroup],0)),"")</f>
        <v>SPRAYER, MANUAL, PUMP</v>
      </c>
      <c r="L129" s="36">
        <v>970477901</v>
      </c>
      <c r="M129" s="35" t="s">
        <v>1813</v>
      </c>
      <c r="O129" s="35" t="s">
        <v>4051</v>
      </c>
      <c r="P129" s="37" t="s">
        <v>4052</v>
      </c>
      <c r="Q129" s="34" t="s">
        <v>3549</v>
      </c>
      <c r="R129" s="34" t="s">
        <v>3540</v>
      </c>
      <c r="S129" s="47">
        <v>44197</v>
      </c>
      <c r="T129" s="47">
        <v>0</v>
      </c>
      <c r="U129" s="47">
        <v>0</v>
      </c>
      <c r="V129" s="34">
        <v>4078500052535</v>
      </c>
      <c r="W129" s="34" t="s">
        <v>3546</v>
      </c>
      <c r="Y129" s="34" t="s">
        <v>3542</v>
      </c>
      <c r="Z129" s="34">
        <v>4</v>
      </c>
      <c r="AM129" s="40" t="s">
        <v>11</v>
      </c>
      <c r="AT129" s="44">
        <v>0</v>
      </c>
      <c r="AU129" s="44"/>
      <c r="AV129" s="46">
        <f>ROUND(Товары[[#This Row],[РРЦ финальная, руб.]]/$AU$1,2)</f>
        <v>0</v>
      </c>
      <c r="AW129" s="45" t="str">
        <f>IFERROR(Товары[[#This Row],[РРЦ, евро]]/Товары[[#This Row],[IRP, Eur]],"-")</f>
        <v>-</v>
      </c>
      <c r="AX129" s="42">
        <f>IFERROR(VLOOKUP(Товары[[#This Row],[SubGroup]],'Структура цен DIY'!$B:$C,2,FALSE),0)</f>
        <v>0.32</v>
      </c>
      <c r="AY129" s="44">
        <v>0</v>
      </c>
    </row>
    <row r="130" spans="1:51" x14ac:dyDescent="0.25">
      <c r="A130" s="34">
        <v>128</v>
      </c>
      <c r="B130" s="34" t="s">
        <v>56</v>
      </c>
      <c r="C130" s="110" t="str">
        <f>IFERROR(INDEX(Структура_ассортимента[SuperCategory],MATCH(Товары[[#This Row],[SubGroup]],Структура_ассортимента[Subgroup],0)),"")</f>
        <v>A</v>
      </c>
      <c r="D13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3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30" s="110" t="str">
        <f>IFERROR(INDEX(Структура_ассортимента[Product group],MATCH(Товары[[#This Row],[SubGroup]],Структура_ассортимента[Subgroup],0)),"")</f>
        <v>AMA_C</v>
      </c>
      <c r="G130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30" s="110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30" s="36">
        <v>9241</v>
      </c>
      <c r="J130" s="36" t="str">
        <f>IFERROR(INDEX(Структура_ассортимента[Generic Name (long)],MATCH(Товары[[#This Row],[SubGroup]],Структура_ассортимента[Subgroup],0)),"")</f>
        <v>SPRAYER, MANUAL, PUMP</v>
      </c>
      <c r="L130" s="36">
        <v>970478001</v>
      </c>
      <c r="M130" s="35" t="s">
        <v>1814</v>
      </c>
      <c r="P130" s="37" t="s">
        <v>4053</v>
      </c>
      <c r="Q130" s="34" t="s">
        <v>3549</v>
      </c>
      <c r="R130" s="34" t="s">
        <v>3540</v>
      </c>
      <c r="S130" s="47">
        <v>44197</v>
      </c>
      <c r="T130" s="47">
        <v>0</v>
      </c>
      <c r="U130" s="47">
        <v>0</v>
      </c>
      <c r="V130" s="34">
        <v>4078500052627</v>
      </c>
      <c r="W130" s="34" t="s">
        <v>3546</v>
      </c>
      <c r="Y130" s="34" t="s">
        <v>3542</v>
      </c>
      <c r="Z130" s="34">
        <v>4</v>
      </c>
      <c r="AM130" s="40" t="s">
        <v>11</v>
      </c>
      <c r="AT130" s="44">
        <v>0</v>
      </c>
      <c r="AU130" s="44"/>
      <c r="AV130" s="46">
        <f>ROUND(Товары[[#This Row],[РРЦ финальная, руб.]]/$AU$1,2)</f>
        <v>0</v>
      </c>
      <c r="AW130" s="45" t="str">
        <f>IFERROR(Товары[[#This Row],[РРЦ, евро]]/Товары[[#This Row],[IRP, Eur]],"-")</f>
        <v>-</v>
      </c>
      <c r="AX130" s="42">
        <f>IFERROR(VLOOKUP(Товары[[#This Row],[SubGroup]],'Структура цен DIY'!$B:$C,2,FALSE),0)</f>
        <v>0.32</v>
      </c>
      <c r="AY130" s="44">
        <v>0</v>
      </c>
    </row>
    <row r="131" spans="1:51" x14ac:dyDescent="0.25">
      <c r="A131" s="34">
        <v>129</v>
      </c>
      <c r="B131" s="34" t="s">
        <v>56</v>
      </c>
      <c r="C131" s="110" t="str">
        <f>IFERROR(INDEX(Структура_ассортимента[SuperCategory],MATCH(Товары[[#This Row],[SubGroup]],Структура_ассортимента[Subgroup],0)),"")</f>
        <v>A</v>
      </c>
      <c r="D13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3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31" s="110" t="str">
        <f>IFERROR(INDEX(Структура_ассортимента[Product group],MATCH(Товары[[#This Row],[SubGroup]],Структура_ассортимента[Subgroup],0)),"")</f>
        <v>AMA_C</v>
      </c>
      <c r="G131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31" s="110" t="str">
        <f>IFERROR(INDEX(Структура_ассортимента[Generic Name (long)3],MATCH(Товары[[#This Row],[SubGroup]],Структура_ассортимента[Subgroup],0)),"")</f>
        <v>Рукоятки</v>
      </c>
      <c r="I131" s="36">
        <v>8422</v>
      </c>
      <c r="J131" s="36" t="str">
        <f>IFERROR(INDEX(Структура_ассортимента[Generic Name (long)],MATCH(Товары[[#This Row],[SubGroup]],Структура_ассортимента[Subgroup],0)),"")</f>
        <v>HANDLE</v>
      </c>
      <c r="L131" s="36">
        <v>970496801</v>
      </c>
      <c r="M131" s="35" t="s">
        <v>1815</v>
      </c>
      <c r="Q131" s="34" t="s">
        <v>3549</v>
      </c>
      <c r="R131" s="34" t="s">
        <v>3540</v>
      </c>
      <c r="S131" s="47">
        <v>44197</v>
      </c>
      <c r="T131" s="47">
        <v>0</v>
      </c>
      <c r="U131" s="47">
        <v>0</v>
      </c>
      <c r="V131" s="34">
        <v>4078500054478</v>
      </c>
      <c r="W131" s="34" t="s">
        <v>3546</v>
      </c>
      <c r="Y131" s="34" t="s">
        <v>3542</v>
      </c>
      <c r="Z131" s="34">
        <v>5</v>
      </c>
      <c r="AM131" s="40" t="s">
        <v>8095</v>
      </c>
      <c r="AT131" s="44">
        <v>0</v>
      </c>
      <c r="AU131" s="44"/>
      <c r="AV131" s="46">
        <f>ROUND(Товары[[#This Row],[РРЦ финальная, руб.]]/$AU$1,2)</f>
        <v>0</v>
      </c>
      <c r="AW131" s="45" t="str">
        <f>IFERROR(Товары[[#This Row],[РРЦ, евро]]/Товары[[#This Row],[IRP, Eur]],"-")</f>
        <v>-</v>
      </c>
      <c r="AX131" s="42">
        <f>IFERROR(VLOOKUP(Товары[[#This Row],[SubGroup]],'Структура цен DIY'!$B:$C,2,FALSE),0)</f>
        <v>0</v>
      </c>
      <c r="AY131" s="44">
        <v>0</v>
      </c>
    </row>
    <row r="132" spans="1:51" x14ac:dyDescent="0.25">
      <c r="A132" s="34">
        <v>130</v>
      </c>
      <c r="B132" s="34" t="s">
        <v>56</v>
      </c>
      <c r="C132" s="110" t="str">
        <f>IFERROR(INDEX(Структура_ассортимента[SuperCategory],MATCH(Товары[[#This Row],[SubGroup]],Структура_ассортимента[Subgroup],0)),"")</f>
        <v>A</v>
      </c>
      <c r="D13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3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32" s="110" t="str">
        <f>IFERROR(INDEX(Структура_ассортимента[Product group],MATCH(Товары[[#This Row],[SubGroup]],Структура_ассортимента[Subgroup],0)),"")</f>
        <v>AMA_C</v>
      </c>
      <c r="G132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32" s="110" t="str">
        <f>IFERROR(INDEX(Структура_ассортимента[Generic Name (long)3],MATCH(Товары[[#This Row],[SubGroup]],Структура_ассортимента[Subgroup],0)),"")</f>
        <v>Рукоятки</v>
      </c>
      <c r="I132" s="36">
        <v>8422</v>
      </c>
      <c r="J132" s="36" t="str">
        <f>IFERROR(INDEX(Структура_ассортимента[Generic Name (long)],MATCH(Товары[[#This Row],[SubGroup]],Структура_ассортимента[Subgroup],0)),"")</f>
        <v>HANDLE</v>
      </c>
      <c r="L132" s="36">
        <v>970496701</v>
      </c>
      <c r="M132" s="35" t="s">
        <v>1816</v>
      </c>
      <c r="Q132" s="34" t="s">
        <v>3549</v>
      </c>
      <c r="R132" s="34" t="s">
        <v>3540</v>
      </c>
      <c r="S132" s="47">
        <v>44197</v>
      </c>
      <c r="T132" s="47">
        <v>0</v>
      </c>
      <c r="U132" s="47">
        <v>0</v>
      </c>
      <c r="V132" s="34">
        <v>4078500054553</v>
      </c>
      <c r="W132" s="34" t="s">
        <v>3546</v>
      </c>
      <c r="Y132" s="34" t="s">
        <v>3542</v>
      </c>
      <c r="Z132" s="34">
        <v>4</v>
      </c>
      <c r="AM132" s="40" t="s">
        <v>8095</v>
      </c>
      <c r="AT132" s="44">
        <v>0</v>
      </c>
      <c r="AU132" s="44"/>
      <c r="AV132" s="46">
        <f>ROUND(Товары[[#This Row],[РРЦ финальная, руб.]]/$AU$1,2)</f>
        <v>0</v>
      </c>
      <c r="AW132" s="45" t="str">
        <f>IFERROR(Товары[[#This Row],[РРЦ, евро]]/Товары[[#This Row],[IRP, Eur]],"-")</f>
        <v>-</v>
      </c>
      <c r="AX132" s="42">
        <f>IFERROR(VLOOKUP(Товары[[#This Row],[SubGroup]],'Структура цен DIY'!$B:$C,2,FALSE),0)</f>
        <v>0</v>
      </c>
      <c r="AY132" s="44">
        <v>0</v>
      </c>
    </row>
    <row r="133" spans="1:51" x14ac:dyDescent="0.25">
      <c r="A133" s="34">
        <v>131</v>
      </c>
      <c r="B133" s="34" t="s">
        <v>56</v>
      </c>
      <c r="C133" s="110" t="str">
        <f>IFERROR(INDEX(Структура_ассортимента[SuperCategory],MATCH(Товары[[#This Row],[SubGroup]],Структура_ассортимента[Subgroup],0)),"")</f>
        <v>A</v>
      </c>
      <c r="D13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3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33" s="110" t="str">
        <f>IFERROR(INDEX(Структура_ассортимента[Product group],MATCH(Товары[[#This Row],[SubGroup]],Структура_ассортимента[Subgroup],0)),"")</f>
        <v>AMA_C</v>
      </c>
      <c r="G133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33" s="110" t="str">
        <f>IFERROR(INDEX(Структура_ассортимента[Generic Name (long)3],MATCH(Товары[[#This Row],[SubGroup]],Структура_ассортимента[Subgroup],0)),"")</f>
        <v>Рукоятки</v>
      </c>
      <c r="I133" s="36">
        <v>8422</v>
      </c>
      <c r="J133" s="36" t="str">
        <f>IFERROR(INDEX(Структура_ассортимента[Generic Name (long)],MATCH(Товары[[#This Row],[SubGroup]],Структура_ассортимента[Subgroup],0)),"")</f>
        <v>HANDLE</v>
      </c>
      <c r="L133" s="36">
        <v>970496401</v>
      </c>
      <c r="M133" s="35" t="s">
        <v>1817</v>
      </c>
      <c r="Q133" s="34" t="s">
        <v>3549</v>
      </c>
      <c r="R133" s="34" t="s">
        <v>3540</v>
      </c>
      <c r="S133" s="47">
        <v>44197</v>
      </c>
      <c r="T133" s="47">
        <v>0</v>
      </c>
      <c r="U133" s="47">
        <v>0</v>
      </c>
      <c r="V133" s="34">
        <v>4078500054515</v>
      </c>
      <c r="W133" s="34" t="s">
        <v>3546</v>
      </c>
      <c r="Y133" s="34" t="s">
        <v>3542</v>
      </c>
      <c r="Z133" s="34">
        <v>4</v>
      </c>
      <c r="AM133" s="40" t="s">
        <v>8095</v>
      </c>
      <c r="AT133" s="44">
        <v>0</v>
      </c>
      <c r="AU133" s="44"/>
      <c r="AV133" s="46">
        <f>ROUND(Товары[[#This Row],[РРЦ финальная, руб.]]/$AU$1,2)</f>
        <v>0</v>
      </c>
      <c r="AW133" s="45" t="str">
        <f>IFERROR(Товары[[#This Row],[РРЦ, евро]]/Товары[[#This Row],[IRP, Eur]],"-")</f>
        <v>-</v>
      </c>
      <c r="AX133" s="42">
        <f>IFERROR(VLOOKUP(Товары[[#This Row],[SubGroup]],'Структура цен DIY'!$B:$C,2,FALSE),0)</f>
        <v>0</v>
      </c>
      <c r="AY133" s="44">
        <v>0</v>
      </c>
    </row>
    <row r="134" spans="1:51" x14ac:dyDescent="0.25">
      <c r="A134" s="34">
        <v>132</v>
      </c>
      <c r="B134" s="34" t="s">
        <v>56</v>
      </c>
      <c r="C134" s="110" t="str">
        <f>IFERROR(INDEX(Структура_ассортимента[SuperCategory],MATCH(Товары[[#This Row],[SubGroup]],Структура_ассортимента[Subgroup],0)),"")</f>
        <v>A</v>
      </c>
      <c r="D13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3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34" s="110" t="str">
        <f>IFERROR(INDEX(Структура_ассортимента[Product group],MATCH(Товары[[#This Row],[SubGroup]],Структура_ассортимента[Subgroup],0)),"")</f>
        <v>AMA_C</v>
      </c>
      <c r="G134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34" s="110" t="str">
        <f>IFERROR(INDEX(Структура_ассортимента[Generic Name (long)3],MATCH(Товары[[#This Row],[SubGroup]],Структура_ассортимента[Subgroup],0)),"")</f>
        <v>Рукоятки</v>
      </c>
      <c r="I134" s="36">
        <v>8422</v>
      </c>
      <c r="J134" s="36" t="str">
        <f>IFERROR(INDEX(Структура_ассортимента[Generic Name (long)],MATCH(Товары[[#This Row],[SubGroup]],Структура_ассортимента[Subgroup],0)),"")</f>
        <v>HANDLE</v>
      </c>
      <c r="L134" s="36">
        <v>970496501</v>
      </c>
      <c r="M134" s="35" t="s">
        <v>1818</v>
      </c>
      <c r="Q134" s="34" t="s">
        <v>3549</v>
      </c>
      <c r="R134" s="34" t="s">
        <v>3540</v>
      </c>
      <c r="S134" s="47">
        <v>44197</v>
      </c>
      <c r="T134" s="47">
        <v>0</v>
      </c>
      <c r="U134" s="47">
        <v>0</v>
      </c>
      <c r="V134" s="34">
        <v>4078500054577</v>
      </c>
      <c r="W134" s="34" t="s">
        <v>3546</v>
      </c>
      <c r="Y134" s="34" t="s">
        <v>3542</v>
      </c>
      <c r="Z134" s="34">
        <v>4</v>
      </c>
      <c r="AM134" s="40" t="s">
        <v>8095</v>
      </c>
      <c r="AT134" s="44">
        <v>0</v>
      </c>
      <c r="AU134" s="44"/>
      <c r="AV134" s="46">
        <f>ROUND(Товары[[#This Row],[РРЦ финальная, руб.]]/$AU$1,2)</f>
        <v>0</v>
      </c>
      <c r="AW134" s="45" t="str">
        <f>IFERROR(Товары[[#This Row],[РРЦ, евро]]/Товары[[#This Row],[IRP, Eur]],"-")</f>
        <v>-</v>
      </c>
      <c r="AX134" s="42">
        <f>IFERROR(VLOOKUP(Товары[[#This Row],[SubGroup]],'Структура цен DIY'!$B:$C,2,FALSE),0)</f>
        <v>0</v>
      </c>
      <c r="AY134" s="44">
        <v>0</v>
      </c>
    </row>
    <row r="135" spans="1:51" x14ac:dyDescent="0.25">
      <c r="A135" s="34">
        <v>133</v>
      </c>
      <c r="B135" s="34" t="s">
        <v>56</v>
      </c>
      <c r="C135" s="110" t="str">
        <f>IFERROR(INDEX(Структура_ассортимента[SuperCategory],MATCH(Товары[[#This Row],[SubGroup]],Структура_ассортимента[Subgroup],0)),"")</f>
        <v>A</v>
      </c>
      <c r="D13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3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35" s="110" t="str">
        <f>IFERROR(INDEX(Структура_ассортимента[Product group],MATCH(Товары[[#This Row],[SubGroup]],Структура_ассортимента[Subgroup],0)),"")</f>
        <v>AMA_C</v>
      </c>
      <c r="G135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35" s="110" t="str">
        <f>IFERROR(INDEX(Структура_ассортимента[Generic Name (long)3],MATCH(Товары[[#This Row],[SubGroup]],Структура_ассортимента[Subgroup],0)),"")</f>
        <v>Рукоятки</v>
      </c>
      <c r="I135" s="36">
        <v>8422</v>
      </c>
      <c r="J135" s="36" t="str">
        <f>IFERROR(INDEX(Структура_ассортимента[Generic Name (long)],MATCH(Товары[[#This Row],[SubGroup]],Структура_ассортимента[Subgroup],0)),"")</f>
        <v>HANDLE</v>
      </c>
      <c r="L135" s="36">
        <v>970496301</v>
      </c>
      <c r="M135" s="35" t="s">
        <v>1819</v>
      </c>
      <c r="Q135" s="34" t="s">
        <v>3549</v>
      </c>
      <c r="R135" s="34" t="s">
        <v>3540</v>
      </c>
      <c r="S135" s="47">
        <v>44197</v>
      </c>
      <c r="T135" s="47">
        <v>0</v>
      </c>
      <c r="U135" s="47">
        <v>0</v>
      </c>
      <c r="V135" s="34">
        <v>4078500054492</v>
      </c>
      <c r="W135" s="34" t="s">
        <v>3546</v>
      </c>
      <c r="Y135" s="34" t="s">
        <v>3542</v>
      </c>
      <c r="Z135" s="34">
        <v>4</v>
      </c>
      <c r="AM135" s="40" t="s">
        <v>8095</v>
      </c>
      <c r="AT135" s="44">
        <v>0</v>
      </c>
      <c r="AU135" s="44"/>
      <c r="AV135" s="46">
        <f>ROUND(Товары[[#This Row],[РРЦ финальная, руб.]]/$AU$1,2)</f>
        <v>0</v>
      </c>
      <c r="AW135" s="45" t="str">
        <f>IFERROR(Товары[[#This Row],[РРЦ, евро]]/Товары[[#This Row],[IRP, Eur]],"-")</f>
        <v>-</v>
      </c>
      <c r="AX135" s="42">
        <f>IFERROR(VLOOKUP(Товары[[#This Row],[SubGroup]],'Структура цен DIY'!$B:$C,2,FALSE),0)</f>
        <v>0</v>
      </c>
      <c r="AY135" s="44">
        <v>0</v>
      </c>
    </row>
    <row r="136" spans="1:51" x14ac:dyDescent="0.25">
      <c r="A136" s="34">
        <v>134</v>
      </c>
      <c r="B136" s="34" t="s">
        <v>56</v>
      </c>
      <c r="C136" s="110" t="str">
        <f>IFERROR(INDEX(Структура_ассортимента[SuperCategory],MATCH(Товары[[#This Row],[SubGroup]],Структура_ассортимента[Subgroup],0)),"")</f>
        <v>A</v>
      </c>
      <c r="D13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3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36" s="110" t="str">
        <f>IFERROR(INDEX(Структура_ассортимента[Product group],MATCH(Товары[[#This Row],[SubGroup]],Структура_ассортимента[Subgroup],0)),"")</f>
        <v>AMA_C</v>
      </c>
      <c r="G136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36" s="110" t="str">
        <f>IFERROR(INDEX(Структура_ассортимента[Generic Name (long)3],MATCH(Товары[[#This Row],[SubGroup]],Структура_ассортимента[Subgroup],0)),"")</f>
        <v>Рукоятки</v>
      </c>
      <c r="I136" s="36">
        <v>8422</v>
      </c>
      <c r="J136" s="36" t="str">
        <f>IFERROR(INDEX(Структура_ассортимента[Generic Name (long)],MATCH(Товары[[#This Row],[SubGroup]],Структура_ассортимента[Subgroup],0)),"")</f>
        <v>HANDLE</v>
      </c>
      <c r="L136" s="36">
        <v>970496601</v>
      </c>
      <c r="M136" s="35" t="s">
        <v>1820</v>
      </c>
      <c r="Q136" s="34" t="s">
        <v>3549</v>
      </c>
      <c r="R136" s="34" t="s">
        <v>3540</v>
      </c>
      <c r="S136" s="47">
        <v>44197</v>
      </c>
      <c r="T136" s="47">
        <v>0</v>
      </c>
      <c r="U136" s="47">
        <v>0</v>
      </c>
      <c r="V136" s="34">
        <v>4078500054539</v>
      </c>
      <c r="W136" s="34" t="s">
        <v>3546</v>
      </c>
      <c r="Y136" s="34" t="s">
        <v>3542</v>
      </c>
      <c r="Z136" s="34">
        <v>4</v>
      </c>
      <c r="AM136" s="40" t="s">
        <v>8095</v>
      </c>
      <c r="AT136" s="44">
        <v>0</v>
      </c>
      <c r="AU136" s="44"/>
      <c r="AV136" s="46">
        <f>ROUND(Товары[[#This Row],[РРЦ финальная, руб.]]/$AU$1,2)</f>
        <v>0</v>
      </c>
      <c r="AW136" s="45" t="str">
        <f>IFERROR(Товары[[#This Row],[РРЦ, евро]]/Товары[[#This Row],[IRP, Eur]],"-")</f>
        <v>-</v>
      </c>
      <c r="AX136" s="42">
        <f>IFERROR(VLOOKUP(Товары[[#This Row],[SubGroup]],'Структура цен DIY'!$B:$C,2,FALSE),0)</f>
        <v>0</v>
      </c>
      <c r="AY136" s="44">
        <v>0</v>
      </c>
    </row>
    <row r="137" spans="1:51" x14ac:dyDescent="0.25">
      <c r="A137" s="34">
        <v>135</v>
      </c>
      <c r="B137" s="34" t="s">
        <v>56</v>
      </c>
      <c r="C137" s="110" t="str">
        <f>IFERROR(INDEX(Структура_ассортимента[SuperCategory],MATCH(Товары[[#This Row],[SubGroup]],Структура_ассортимента[Subgroup],0)),"")</f>
        <v>A</v>
      </c>
      <c r="D13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3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37" s="110" t="str">
        <f>IFERROR(INDEX(Структура_ассортимента[Product group],MATCH(Товары[[#This Row],[SubGroup]],Структура_ассортимента[Subgroup],0)),"")</f>
        <v>AMA_C</v>
      </c>
      <c r="G137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37" s="110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37" s="36">
        <v>9242</v>
      </c>
      <c r="J137" s="36" t="str">
        <f>IFERROR(INDEX(Структура_ассортимента[Generic Name (long)],MATCH(Товары[[#This Row],[SubGroup]],Структура_ассортимента[Subgroup],0)),"")</f>
        <v>GLOVES</v>
      </c>
      <c r="L137" s="36">
        <v>970470401</v>
      </c>
      <c r="M137" s="35" t="s">
        <v>1821</v>
      </c>
      <c r="O137" s="35" t="s">
        <v>4054</v>
      </c>
      <c r="P137" s="37" t="s">
        <v>4055</v>
      </c>
      <c r="Q137" s="34" t="s">
        <v>3549</v>
      </c>
      <c r="R137" s="34" t="s">
        <v>3540</v>
      </c>
      <c r="S137" s="47">
        <v>44197</v>
      </c>
      <c r="T137" s="47">
        <v>0</v>
      </c>
      <c r="U137" s="47">
        <v>0</v>
      </c>
      <c r="V137" s="34">
        <v>4078500051675</v>
      </c>
      <c r="W137" s="34" t="s">
        <v>3546</v>
      </c>
      <c r="Y137" s="34" t="s">
        <v>3542</v>
      </c>
      <c r="Z137" s="34">
        <v>6</v>
      </c>
      <c r="AM137" s="40" t="s">
        <v>11</v>
      </c>
      <c r="AT137" s="44">
        <v>0</v>
      </c>
      <c r="AU137" s="44"/>
      <c r="AV137" s="46">
        <f>ROUND(Товары[[#This Row],[РРЦ финальная, руб.]]/$AU$1,2)</f>
        <v>0</v>
      </c>
      <c r="AW137" s="45" t="str">
        <f>IFERROR(Товары[[#This Row],[РРЦ, евро]]/Товары[[#This Row],[IRP, Eur]],"-")</f>
        <v>-</v>
      </c>
      <c r="AX137" s="42">
        <f>IFERROR(VLOOKUP(Товары[[#This Row],[SubGroup]],'Структура цен DIY'!$B:$C,2,FALSE),0)</f>
        <v>0.28999999999999998</v>
      </c>
      <c r="AY137" s="44">
        <v>0</v>
      </c>
    </row>
    <row r="138" spans="1:51" x14ac:dyDescent="0.25">
      <c r="A138" s="34">
        <v>136</v>
      </c>
      <c r="B138" s="34" t="s">
        <v>56</v>
      </c>
      <c r="C138" s="110" t="str">
        <f>IFERROR(INDEX(Структура_ассортимента[SuperCategory],MATCH(Товары[[#This Row],[SubGroup]],Структура_ассортимента[Subgroup],0)),"")</f>
        <v>A</v>
      </c>
      <c r="D13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3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38" s="110" t="str">
        <f>IFERROR(INDEX(Структура_ассортимента[Product group],MATCH(Товары[[#This Row],[SubGroup]],Структура_ассортимента[Subgroup],0)),"")</f>
        <v>AMA_C</v>
      </c>
      <c r="G138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38" s="110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38" s="36">
        <v>9242</v>
      </c>
      <c r="J138" s="36" t="str">
        <f>IFERROR(INDEX(Структура_ассортимента[Generic Name (long)],MATCH(Товары[[#This Row],[SubGroup]],Структура_ассортимента[Subgroup],0)),"")</f>
        <v>GLOVES</v>
      </c>
      <c r="L138" s="36">
        <v>970470501</v>
      </c>
      <c r="M138" s="35" t="s">
        <v>1822</v>
      </c>
      <c r="O138" s="35" t="s">
        <v>4056</v>
      </c>
      <c r="P138" s="37" t="s">
        <v>4057</v>
      </c>
      <c r="Q138" s="34" t="s">
        <v>3549</v>
      </c>
      <c r="R138" s="34" t="s">
        <v>3540</v>
      </c>
      <c r="S138" s="47">
        <v>44197</v>
      </c>
      <c r="T138" s="47">
        <v>0</v>
      </c>
      <c r="U138" s="47">
        <v>0</v>
      </c>
      <c r="V138" s="34">
        <v>4078500051699</v>
      </c>
      <c r="W138" s="34" t="s">
        <v>3546</v>
      </c>
      <c r="Y138" s="34" t="s">
        <v>3542</v>
      </c>
      <c r="Z138" s="34">
        <v>6</v>
      </c>
      <c r="AM138" s="40" t="s">
        <v>11</v>
      </c>
      <c r="AT138" s="44">
        <v>0</v>
      </c>
      <c r="AU138" s="44"/>
      <c r="AV138" s="46">
        <f>ROUND(Товары[[#This Row],[РРЦ финальная, руб.]]/$AU$1,2)</f>
        <v>0</v>
      </c>
      <c r="AW138" s="45" t="str">
        <f>IFERROR(Товары[[#This Row],[РРЦ, евро]]/Товары[[#This Row],[IRP, Eur]],"-")</f>
        <v>-</v>
      </c>
      <c r="AX138" s="42">
        <f>IFERROR(VLOOKUP(Товары[[#This Row],[SubGroup]],'Структура цен DIY'!$B:$C,2,FALSE),0)</f>
        <v>0.28999999999999998</v>
      </c>
      <c r="AY138" s="44">
        <v>0</v>
      </c>
    </row>
    <row r="139" spans="1:51" x14ac:dyDescent="0.25">
      <c r="A139" s="34">
        <v>137</v>
      </c>
      <c r="B139" s="34" t="s">
        <v>56</v>
      </c>
      <c r="C139" s="110" t="str">
        <f>IFERROR(INDEX(Структура_ассортимента[SuperCategory],MATCH(Товары[[#This Row],[SubGroup]],Структура_ассортимента[Subgroup],0)),"")</f>
        <v>A</v>
      </c>
      <c r="D13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3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39" s="110" t="str">
        <f>IFERROR(INDEX(Структура_ассортимента[Product group],MATCH(Товары[[#This Row],[SubGroup]],Структура_ассортимента[Subgroup],0)),"")</f>
        <v>AMA_C</v>
      </c>
      <c r="G139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39" s="110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39" s="36">
        <v>9242</v>
      </c>
      <c r="J139" s="36" t="str">
        <f>IFERROR(INDEX(Структура_ассортимента[Generic Name (long)],MATCH(Товары[[#This Row],[SubGroup]],Структура_ассортимента[Subgroup],0)),"")</f>
        <v>GLOVES</v>
      </c>
      <c r="L139" s="36">
        <v>970470601</v>
      </c>
      <c r="M139" s="35" t="s">
        <v>1823</v>
      </c>
      <c r="O139" s="35" t="s">
        <v>4058</v>
      </c>
      <c r="P139" s="37" t="s">
        <v>4059</v>
      </c>
      <c r="Q139" s="34" t="s">
        <v>3549</v>
      </c>
      <c r="R139" s="34" t="s">
        <v>3540</v>
      </c>
      <c r="S139" s="47">
        <v>44197</v>
      </c>
      <c r="T139" s="47">
        <v>0</v>
      </c>
      <c r="U139" s="47">
        <v>0</v>
      </c>
      <c r="V139" s="34">
        <v>4078500051712</v>
      </c>
      <c r="W139" s="34" t="s">
        <v>3546</v>
      </c>
      <c r="Y139" s="34" t="s">
        <v>3542</v>
      </c>
      <c r="Z139" s="34">
        <v>6</v>
      </c>
      <c r="AM139" s="40" t="s">
        <v>11</v>
      </c>
      <c r="AT139" s="44">
        <v>0</v>
      </c>
      <c r="AU139" s="44"/>
      <c r="AV139" s="46">
        <f>ROUND(Товары[[#This Row],[РРЦ финальная, руб.]]/$AU$1,2)</f>
        <v>0</v>
      </c>
      <c r="AW139" s="45" t="str">
        <f>IFERROR(Товары[[#This Row],[РРЦ, евро]]/Товары[[#This Row],[IRP, Eur]],"-")</f>
        <v>-</v>
      </c>
      <c r="AX139" s="42">
        <f>IFERROR(VLOOKUP(Товары[[#This Row],[SubGroup]],'Структура цен DIY'!$B:$C,2,FALSE),0)</f>
        <v>0.28999999999999998</v>
      </c>
      <c r="AY139" s="44">
        <v>0</v>
      </c>
    </row>
    <row r="140" spans="1:51" x14ac:dyDescent="0.25">
      <c r="A140" s="34">
        <v>138</v>
      </c>
      <c r="B140" s="34" t="s">
        <v>56</v>
      </c>
      <c r="C140" s="110" t="str">
        <f>IFERROR(INDEX(Структура_ассортимента[SuperCategory],MATCH(Товары[[#This Row],[SubGroup]],Структура_ассортимента[Subgroup],0)),"")</f>
        <v>A</v>
      </c>
      <c r="D14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4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40" s="110" t="str">
        <f>IFERROR(INDEX(Структура_ассортимента[Product group],MATCH(Товары[[#This Row],[SubGroup]],Структура_ассортимента[Subgroup],0)),"")</f>
        <v>AMA_C</v>
      </c>
      <c r="G140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40" s="110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40" s="36">
        <v>9242</v>
      </c>
      <c r="J140" s="36" t="str">
        <f>IFERROR(INDEX(Структура_ассортимента[Generic Name (long)],MATCH(Товары[[#This Row],[SubGroup]],Структура_ассортимента[Subgroup],0)),"")</f>
        <v>GLOVES</v>
      </c>
      <c r="L140" s="36">
        <v>970470701</v>
      </c>
      <c r="M140" s="35" t="s">
        <v>1824</v>
      </c>
      <c r="O140" s="35" t="s">
        <v>4060</v>
      </c>
      <c r="P140" s="37" t="s">
        <v>4061</v>
      </c>
      <c r="Q140" s="34" t="s">
        <v>3549</v>
      </c>
      <c r="R140" s="34" t="s">
        <v>3540</v>
      </c>
      <c r="S140" s="47">
        <v>44197</v>
      </c>
      <c r="T140" s="47">
        <v>0</v>
      </c>
      <c r="U140" s="47">
        <v>0</v>
      </c>
      <c r="V140" s="34">
        <v>4078500051736</v>
      </c>
      <c r="W140" s="34" t="s">
        <v>3546</v>
      </c>
      <c r="Y140" s="34" t="s">
        <v>3542</v>
      </c>
      <c r="Z140" s="34">
        <v>6</v>
      </c>
      <c r="AM140" s="40" t="s">
        <v>11</v>
      </c>
      <c r="AT140" s="44">
        <v>0</v>
      </c>
      <c r="AU140" s="44"/>
      <c r="AV140" s="46">
        <f>ROUND(Товары[[#This Row],[РРЦ финальная, руб.]]/$AU$1,2)</f>
        <v>0</v>
      </c>
      <c r="AW140" s="45" t="str">
        <f>IFERROR(Товары[[#This Row],[РРЦ, евро]]/Товары[[#This Row],[IRP, Eur]],"-")</f>
        <v>-</v>
      </c>
      <c r="AX140" s="42">
        <f>IFERROR(VLOOKUP(Товары[[#This Row],[SubGroup]],'Структура цен DIY'!$B:$C,2,FALSE),0)</f>
        <v>0.28999999999999998</v>
      </c>
      <c r="AY140" s="44">
        <v>0</v>
      </c>
    </row>
    <row r="141" spans="1:51" x14ac:dyDescent="0.25">
      <c r="A141" s="34">
        <v>139</v>
      </c>
      <c r="B141" s="34" t="s">
        <v>56</v>
      </c>
      <c r="C141" s="110" t="str">
        <f>IFERROR(INDEX(Структура_ассортимента[SuperCategory],MATCH(Товары[[#This Row],[SubGroup]],Структура_ассортимента[Subgroup],0)),"")</f>
        <v>A</v>
      </c>
      <c r="D14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4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41" s="110" t="str">
        <f>IFERROR(INDEX(Структура_ассортимента[Product group],MATCH(Товары[[#This Row],[SubGroup]],Структура_ассортимента[Subgroup],0)),"")</f>
        <v>AMA_C</v>
      </c>
      <c r="G141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41" s="110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41" s="36">
        <v>9242</v>
      </c>
      <c r="J141" s="36" t="str">
        <f>IFERROR(INDEX(Структура_ассортимента[Generic Name (long)],MATCH(Товары[[#This Row],[SubGroup]],Структура_ассортимента[Subgroup],0)),"")</f>
        <v>GLOVES</v>
      </c>
      <c r="L141" s="36">
        <v>970470801</v>
      </c>
      <c r="M141" s="35" t="s">
        <v>1825</v>
      </c>
      <c r="O141" s="35" t="s">
        <v>4062</v>
      </c>
      <c r="P141" s="37" t="s">
        <v>4063</v>
      </c>
      <c r="Q141" s="34" t="s">
        <v>3549</v>
      </c>
      <c r="R141" s="34" t="s">
        <v>3540</v>
      </c>
      <c r="S141" s="47">
        <v>44197</v>
      </c>
      <c r="T141" s="47">
        <v>0</v>
      </c>
      <c r="U141" s="47">
        <v>0</v>
      </c>
      <c r="V141" s="34">
        <v>4078500051750</v>
      </c>
      <c r="W141" s="34" t="s">
        <v>3546</v>
      </c>
      <c r="Y141" s="34" t="s">
        <v>3542</v>
      </c>
      <c r="Z141" s="34">
        <v>6</v>
      </c>
      <c r="AM141" s="40" t="s">
        <v>11</v>
      </c>
      <c r="AT141" s="44">
        <v>0</v>
      </c>
      <c r="AU141" s="44"/>
      <c r="AV141" s="46">
        <f>ROUND(Товары[[#This Row],[РРЦ финальная, руб.]]/$AU$1,2)</f>
        <v>0</v>
      </c>
      <c r="AW141" s="45" t="str">
        <f>IFERROR(Товары[[#This Row],[РРЦ, евро]]/Товары[[#This Row],[IRP, Eur]],"-")</f>
        <v>-</v>
      </c>
      <c r="AX141" s="42">
        <f>IFERROR(VLOOKUP(Товары[[#This Row],[SubGroup]],'Структура цен DIY'!$B:$C,2,FALSE),0)</f>
        <v>0.28999999999999998</v>
      </c>
      <c r="AY141" s="44">
        <v>0</v>
      </c>
    </row>
    <row r="142" spans="1:51" x14ac:dyDescent="0.25">
      <c r="A142" s="34">
        <v>140</v>
      </c>
      <c r="B142" s="34" t="s">
        <v>56</v>
      </c>
      <c r="C142" s="110" t="str">
        <f>IFERROR(INDEX(Структура_ассортимента[SuperCategory],MATCH(Товары[[#This Row],[SubGroup]],Структура_ассортимента[Subgroup],0)),"")</f>
        <v>A</v>
      </c>
      <c r="D14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4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42" s="110" t="str">
        <f>IFERROR(INDEX(Структура_ассортимента[Product group],MATCH(Товары[[#This Row],[SubGroup]],Структура_ассортимента[Subgroup],0)),"")</f>
        <v>AMA_C</v>
      </c>
      <c r="G142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42" s="110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42" s="36">
        <v>9242</v>
      </c>
      <c r="J142" s="36" t="str">
        <f>IFERROR(INDEX(Структура_ассортимента[Generic Name (long)],MATCH(Товары[[#This Row],[SubGroup]],Структура_ассортимента[Subgroup],0)),"")</f>
        <v>GLOVES</v>
      </c>
      <c r="L142" s="36">
        <v>970470901</v>
      </c>
      <c r="M142" s="35" t="s">
        <v>1826</v>
      </c>
      <c r="O142" s="35" t="s">
        <v>4064</v>
      </c>
      <c r="P142" s="37" t="s">
        <v>4065</v>
      </c>
      <c r="Q142" s="34" t="s">
        <v>3549</v>
      </c>
      <c r="R142" s="34" t="s">
        <v>3540</v>
      </c>
      <c r="S142" s="47">
        <v>44197</v>
      </c>
      <c r="T142" s="47">
        <v>0</v>
      </c>
      <c r="U142" s="47">
        <v>0</v>
      </c>
      <c r="V142" s="34">
        <v>4078500051774</v>
      </c>
      <c r="W142" s="34" t="s">
        <v>3546</v>
      </c>
      <c r="Y142" s="34" t="s">
        <v>3542</v>
      </c>
      <c r="Z142" s="34">
        <v>6</v>
      </c>
      <c r="AM142" s="40" t="s">
        <v>11</v>
      </c>
      <c r="AT142" s="44">
        <v>0</v>
      </c>
      <c r="AU142" s="44"/>
      <c r="AV142" s="46">
        <f>ROUND(Товары[[#This Row],[РРЦ финальная, руб.]]/$AU$1,2)</f>
        <v>0</v>
      </c>
      <c r="AW142" s="45" t="str">
        <f>IFERROR(Товары[[#This Row],[РРЦ, евро]]/Товары[[#This Row],[IRP, Eur]],"-")</f>
        <v>-</v>
      </c>
      <c r="AX142" s="42">
        <f>IFERROR(VLOOKUP(Товары[[#This Row],[SubGroup]],'Структура цен DIY'!$B:$C,2,FALSE),0)</f>
        <v>0.28999999999999998</v>
      </c>
      <c r="AY142" s="44">
        <v>0</v>
      </c>
    </row>
    <row r="143" spans="1:51" x14ac:dyDescent="0.25">
      <c r="A143" s="34">
        <v>141</v>
      </c>
      <c r="B143" s="34" t="s">
        <v>56</v>
      </c>
      <c r="C143" s="110" t="str">
        <f>IFERROR(INDEX(Структура_ассортимента[SuperCategory],MATCH(Товары[[#This Row],[SubGroup]],Структура_ассортимента[Subgroup],0)),"")</f>
        <v>A</v>
      </c>
      <c r="D14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4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43" s="110" t="str">
        <f>IFERROR(INDEX(Структура_ассортимента[Product group],MATCH(Товары[[#This Row],[SubGroup]],Структура_ассортимента[Subgroup],0)),"")</f>
        <v>AMA_C</v>
      </c>
      <c r="G143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43" s="110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43" s="36">
        <v>9242</v>
      </c>
      <c r="J143" s="36" t="str">
        <f>IFERROR(INDEX(Структура_ассортимента[Generic Name (long)],MATCH(Товары[[#This Row],[SubGroup]],Структура_ассортимента[Subgroup],0)),"")</f>
        <v>GLOVES</v>
      </c>
      <c r="L143" s="36">
        <v>970471001</v>
      </c>
      <c r="M143" s="35" t="s">
        <v>1827</v>
      </c>
      <c r="O143" s="35" t="s">
        <v>4066</v>
      </c>
      <c r="P143" s="37" t="s">
        <v>4067</v>
      </c>
      <c r="Q143" s="34" t="s">
        <v>3549</v>
      </c>
      <c r="R143" s="34" t="s">
        <v>3540</v>
      </c>
      <c r="S143" s="47">
        <v>44197</v>
      </c>
      <c r="T143" s="47">
        <v>0</v>
      </c>
      <c r="U143" s="47">
        <v>0</v>
      </c>
      <c r="V143" s="34">
        <v>4078500051798</v>
      </c>
      <c r="W143" s="34" t="s">
        <v>3546</v>
      </c>
      <c r="Y143" s="34" t="s">
        <v>3542</v>
      </c>
      <c r="Z143" s="34">
        <v>6</v>
      </c>
      <c r="AM143" s="40" t="s">
        <v>11</v>
      </c>
      <c r="AT143" s="44">
        <v>0</v>
      </c>
      <c r="AU143" s="44"/>
      <c r="AV143" s="46">
        <f>ROUND(Товары[[#This Row],[РРЦ финальная, руб.]]/$AU$1,2)</f>
        <v>0</v>
      </c>
      <c r="AW143" s="45" t="str">
        <f>IFERROR(Товары[[#This Row],[РРЦ, евро]]/Товары[[#This Row],[IRP, Eur]],"-")</f>
        <v>-</v>
      </c>
      <c r="AX143" s="42">
        <f>IFERROR(VLOOKUP(Товары[[#This Row],[SubGroup]],'Структура цен DIY'!$B:$C,2,FALSE),0)</f>
        <v>0.28999999999999998</v>
      </c>
      <c r="AY143" s="44">
        <v>0</v>
      </c>
    </row>
    <row r="144" spans="1:51" x14ac:dyDescent="0.25">
      <c r="A144" s="34">
        <v>142</v>
      </c>
      <c r="B144" s="34" t="s">
        <v>56</v>
      </c>
      <c r="C144" s="110" t="str">
        <f>IFERROR(INDEX(Структура_ассортимента[SuperCategory],MATCH(Товары[[#This Row],[SubGroup]],Структура_ассортимента[Subgroup],0)),"")</f>
        <v>A</v>
      </c>
      <c r="D14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4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44" s="110" t="str">
        <f>IFERROR(INDEX(Структура_ассортимента[Product group],MATCH(Товары[[#This Row],[SubGroup]],Структура_ассортимента[Subgroup],0)),"")</f>
        <v>AMA_C</v>
      </c>
      <c r="G144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44" s="110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44" s="36">
        <v>9242</v>
      </c>
      <c r="J144" s="36" t="str">
        <f>IFERROR(INDEX(Структура_ассортимента[Generic Name (long)],MATCH(Товары[[#This Row],[SubGroup]],Структура_ассортимента[Subgroup],0)),"")</f>
        <v>GLOVES</v>
      </c>
      <c r="L144" s="36">
        <v>970471101</v>
      </c>
      <c r="M144" s="35" t="s">
        <v>1828</v>
      </c>
      <c r="O144" s="35" t="s">
        <v>4068</v>
      </c>
      <c r="P144" s="37" t="s">
        <v>4069</v>
      </c>
      <c r="Q144" s="34" t="s">
        <v>3549</v>
      </c>
      <c r="R144" s="34" t="s">
        <v>3540</v>
      </c>
      <c r="S144" s="47">
        <v>44197</v>
      </c>
      <c r="T144" s="47">
        <v>0</v>
      </c>
      <c r="U144" s="47">
        <v>0</v>
      </c>
      <c r="V144" s="34">
        <v>4078500051811</v>
      </c>
      <c r="W144" s="34" t="s">
        <v>3546</v>
      </c>
      <c r="Y144" s="34" t="s">
        <v>3542</v>
      </c>
      <c r="Z144" s="34">
        <v>6</v>
      </c>
      <c r="AM144" s="40" t="s">
        <v>11</v>
      </c>
      <c r="AT144" s="44">
        <v>0</v>
      </c>
      <c r="AU144" s="44"/>
      <c r="AV144" s="46">
        <f>ROUND(Товары[[#This Row],[РРЦ финальная, руб.]]/$AU$1,2)</f>
        <v>0</v>
      </c>
      <c r="AW144" s="45" t="str">
        <f>IFERROR(Товары[[#This Row],[РРЦ, евро]]/Товары[[#This Row],[IRP, Eur]],"-")</f>
        <v>-</v>
      </c>
      <c r="AX144" s="42">
        <f>IFERROR(VLOOKUP(Товары[[#This Row],[SubGroup]],'Структура цен DIY'!$B:$C,2,FALSE),0)</f>
        <v>0.28999999999999998</v>
      </c>
      <c r="AY144" s="44">
        <v>0</v>
      </c>
    </row>
    <row r="145" spans="1:51" x14ac:dyDescent="0.25">
      <c r="A145" s="34">
        <v>143</v>
      </c>
      <c r="B145" s="34" t="s">
        <v>56</v>
      </c>
      <c r="C145" s="110" t="str">
        <f>IFERROR(INDEX(Структура_ассортимента[SuperCategory],MATCH(Товары[[#This Row],[SubGroup]],Структура_ассортимента[Subgroup],0)),"")</f>
        <v>A</v>
      </c>
      <c r="D14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4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45" s="110" t="str">
        <f>IFERROR(INDEX(Структура_ассортимента[Product group],MATCH(Товары[[#This Row],[SubGroup]],Структура_ассортимента[Subgroup],0)),"")</f>
        <v>AMA_C</v>
      </c>
      <c r="G145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45" s="110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45" s="36">
        <v>9242</v>
      </c>
      <c r="J145" s="36" t="str">
        <f>IFERROR(INDEX(Структура_ассортимента[Generic Name (long)],MATCH(Товары[[#This Row],[SubGroup]],Структура_ассортимента[Subgroup],0)),"")</f>
        <v>GLOVES</v>
      </c>
      <c r="L145" s="36">
        <v>970471201</v>
      </c>
      <c r="M145" s="35" t="s">
        <v>1829</v>
      </c>
      <c r="O145" s="35" t="s">
        <v>4070</v>
      </c>
      <c r="P145" s="37" t="s">
        <v>4071</v>
      </c>
      <c r="Q145" s="34" t="s">
        <v>3549</v>
      </c>
      <c r="R145" s="34" t="s">
        <v>3540</v>
      </c>
      <c r="S145" s="47">
        <v>44197</v>
      </c>
      <c r="T145" s="47">
        <v>0</v>
      </c>
      <c r="U145" s="47">
        <v>0</v>
      </c>
      <c r="V145" s="34">
        <v>4078500051835</v>
      </c>
      <c r="W145" s="34" t="s">
        <v>3546</v>
      </c>
      <c r="Y145" s="34" t="s">
        <v>3542</v>
      </c>
      <c r="Z145" s="34">
        <v>6</v>
      </c>
      <c r="AM145" s="40" t="s">
        <v>11</v>
      </c>
      <c r="AT145" s="44">
        <v>0</v>
      </c>
      <c r="AU145" s="44"/>
      <c r="AV145" s="46">
        <f>ROUND(Товары[[#This Row],[РРЦ финальная, руб.]]/$AU$1,2)</f>
        <v>0</v>
      </c>
      <c r="AW145" s="45" t="str">
        <f>IFERROR(Товары[[#This Row],[РРЦ, евро]]/Товары[[#This Row],[IRP, Eur]],"-")</f>
        <v>-</v>
      </c>
      <c r="AX145" s="42">
        <f>IFERROR(VLOOKUP(Товары[[#This Row],[SubGroup]],'Структура цен DIY'!$B:$C,2,FALSE),0)</f>
        <v>0.28999999999999998</v>
      </c>
      <c r="AY145" s="44">
        <v>0</v>
      </c>
    </row>
    <row r="146" spans="1:51" x14ac:dyDescent="0.25">
      <c r="A146" s="34">
        <v>144</v>
      </c>
      <c r="B146" s="34" t="s">
        <v>56</v>
      </c>
      <c r="C146" s="110" t="str">
        <f>IFERROR(INDEX(Структура_ассортимента[SuperCategory],MATCH(Товары[[#This Row],[SubGroup]],Структура_ассортимента[Subgroup],0)),"")</f>
        <v>A</v>
      </c>
      <c r="D14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4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46" s="110" t="str">
        <f>IFERROR(INDEX(Структура_ассортимента[Product group],MATCH(Товары[[#This Row],[SubGroup]],Структура_ассортимента[Subgroup],0)),"")</f>
        <v>AMA_C</v>
      </c>
      <c r="G146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46" s="110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46" s="36">
        <v>9242</v>
      </c>
      <c r="J146" s="36" t="str">
        <f>IFERROR(INDEX(Структура_ассортимента[Generic Name (long)],MATCH(Товары[[#This Row],[SubGroup]],Структура_ассортимента[Subgroup],0)),"")</f>
        <v>GLOVES</v>
      </c>
      <c r="L146" s="36">
        <v>970471301</v>
      </c>
      <c r="M146" s="35" t="s">
        <v>1830</v>
      </c>
      <c r="O146" s="35" t="s">
        <v>4072</v>
      </c>
      <c r="P146" s="37" t="s">
        <v>4073</v>
      </c>
      <c r="Q146" s="34" t="s">
        <v>3549</v>
      </c>
      <c r="R146" s="34" t="s">
        <v>3540</v>
      </c>
      <c r="S146" s="47">
        <v>44197</v>
      </c>
      <c r="T146" s="47">
        <v>0</v>
      </c>
      <c r="U146" s="47">
        <v>0</v>
      </c>
      <c r="V146" s="34">
        <v>4078500051859</v>
      </c>
      <c r="W146" s="34" t="s">
        <v>3546</v>
      </c>
      <c r="Y146" s="34" t="s">
        <v>3542</v>
      </c>
      <c r="Z146" s="34">
        <v>6</v>
      </c>
      <c r="AM146" s="40" t="s">
        <v>11</v>
      </c>
      <c r="AT146" s="44">
        <v>0</v>
      </c>
      <c r="AU146" s="44"/>
      <c r="AV146" s="46">
        <f>ROUND(Товары[[#This Row],[РРЦ финальная, руб.]]/$AU$1,2)</f>
        <v>0</v>
      </c>
      <c r="AW146" s="45" t="str">
        <f>IFERROR(Товары[[#This Row],[РРЦ, евро]]/Товары[[#This Row],[IRP, Eur]],"-")</f>
        <v>-</v>
      </c>
      <c r="AX146" s="42">
        <f>IFERROR(VLOOKUP(Товары[[#This Row],[SubGroup]],'Структура цен DIY'!$B:$C,2,FALSE),0)</f>
        <v>0.28999999999999998</v>
      </c>
      <c r="AY146" s="44">
        <v>0</v>
      </c>
    </row>
    <row r="147" spans="1:51" x14ac:dyDescent="0.25">
      <c r="A147" s="34">
        <v>145</v>
      </c>
      <c r="B147" s="34" t="s">
        <v>56</v>
      </c>
      <c r="C147" s="110" t="str">
        <f>IFERROR(INDEX(Структура_ассортимента[SuperCategory],MATCH(Товары[[#This Row],[SubGroup]],Структура_ассортимента[Subgroup],0)),"")</f>
        <v>A</v>
      </c>
      <c r="D14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4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47" s="110" t="str">
        <f>IFERROR(INDEX(Структура_ассортимента[Product group],MATCH(Товары[[#This Row],[SubGroup]],Структура_ассортимента[Subgroup],0)),"")</f>
        <v>AMA_C</v>
      </c>
      <c r="G147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47" s="110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47" s="36">
        <v>9242</v>
      </c>
      <c r="J147" s="36" t="str">
        <f>IFERROR(INDEX(Структура_ассортимента[Generic Name (long)],MATCH(Товары[[#This Row],[SubGroup]],Структура_ассортимента[Subgroup],0)),"")</f>
        <v>GLOVES</v>
      </c>
      <c r="L147" s="36">
        <v>970471401</v>
      </c>
      <c r="M147" s="35" t="s">
        <v>1831</v>
      </c>
      <c r="O147" s="35" t="s">
        <v>4074</v>
      </c>
      <c r="P147" s="37" t="s">
        <v>4075</v>
      </c>
      <c r="Q147" s="34" t="s">
        <v>3549</v>
      </c>
      <c r="R147" s="34" t="s">
        <v>3540</v>
      </c>
      <c r="S147" s="47">
        <v>44197</v>
      </c>
      <c r="T147" s="47">
        <v>0</v>
      </c>
      <c r="U147" s="47">
        <v>0</v>
      </c>
      <c r="V147" s="34">
        <v>4078500051873</v>
      </c>
      <c r="W147" s="34" t="s">
        <v>3546</v>
      </c>
      <c r="Y147" s="34" t="s">
        <v>3542</v>
      </c>
      <c r="Z147" s="34">
        <v>1</v>
      </c>
      <c r="AH147" s="34" t="s">
        <v>4076</v>
      </c>
      <c r="AM147" s="40" t="s">
        <v>11</v>
      </c>
      <c r="AT147" s="44">
        <v>0</v>
      </c>
      <c r="AU147" s="44"/>
      <c r="AV147" s="46">
        <f>ROUND(Товары[[#This Row],[РРЦ финальная, руб.]]/$AU$1,2)</f>
        <v>0</v>
      </c>
      <c r="AW147" s="45" t="str">
        <f>IFERROR(Товары[[#This Row],[РРЦ, евро]]/Товары[[#This Row],[IRP, Eur]],"-")</f>
        <v>-</v>
      </c>
      <c r="AX147" s="42">
        <f>IFERROR(VLOOKUP(Товары[[#This Row],[SubGroup]],'Структура цен DIY'!$B:$C,2,FALSE),0)</f>
        <v>0.28999999999999998</v>
      </c>
      <c r="AY147" s="44">
        <v>0</v>
      </c>
    </row>
    <row r="148" spans="1:51" x14ac:dyDescent="0.25">
      <c r="A148" s="34">
        <v>146</v>
      </c>
      <c r="B148" s="34" t="s">
        <v>56</v>
      </c>
      <c r="C148" s="110" t="str">
        <f>IFERROR(INDEX(Структура_ассортимента[SuperCategory],MATCH(Товары[[#This Row],[SubGroup]],Структура_ассортимента[Subgroup],0)),"")</f>
        <v>A</v>
      </c>
      <c r="D14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4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48" s="110" t="str">
        <f>IFERROR(INDEX(Структура_ассортимента[Product group],MATCH(Товары[[#This Row],[SubGroup]],Структура_ассортимента[Subgroup],0)),"")</f>
        <v>AMA_C</v>
      </c>
      <c r="G148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48" s="110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48" s="36">
        <v>9242</v>
      </c>
      <c r="J148" s="36" t="str">
        <f>IFERROR(INDEX(Структура_ассортимента[Generic Name (long)],MATCH(Товары[[#This Row],[SubGroup]],Структура_ассортимента[Subgroup],0)),"")</f>
        <v>GLOVES</v>
      </c>
      <c r="L148" s="36">
        <v>970471501</v>
      </c>
      <c r="M148" s="35" t="s">
        <v>1832</v>
      </c>
      <c r="O148" s="35" t="s">
        <v>4077</v>
      </c>
      <c r="P148" s="37" t="s">
        <v>4078</v>
      </c>
      <c r="Q148" s="34" t="s">
        <v>3549</v>
      </c>
      <c r="R148" s="34" t="s">
        <v>3540</v>
      </c>
      <c r="S148" s="47">
        <v>44197</v>
      </c>
      <c r="T148" s="47">
        <v>0</v>
      </c>
      <c r="U148" s="47">
        <v>0</v>
      </c>
      <c r="V148" s="34">
        <v>4078500051897</v>
      </c>
      <c r="W148" s="34" t="s">
        <v>3546</v>
      </c>
      <c r="Y148" s="34" t="s">
        <v>3542</v>
      </c>
      <c r="Z148" s="34">
        <v>6</v>
      </c>
      <c r="AM148" s="40" t="s">
        <v>11</v>
      </c>
      <c r="AT148" s="44">
        <v>0</v>
      </c>
      <c r="AU148" s="44"/>
      <c r="AV148" s="46">
        <f>ROUND(Товары[[#This Row],[РРЦ финальная, руб.]]/$AU$1,2)</f>
        <v>0</v>
      </c>
      <c r="AW148" s="45" t="str">
        <f>IFERROR(Товары[[#This Row],[РРЦ, евро]]/Товары[[#This Row],[IRP, Eur]],"-")</f>
        <v>-</v>
      </c>
      <c r="AX148" s="42">
        <f>IFERROR(VLOOKUP(Товары[[#This Row],[SubGroup]],'Структура цен DIY'!$B:$C,2,FALSE),0)</f>
        <v>0.28999999999999998</v>
      </c>
      <c r="AY148" s="44">
        <v>0</v>
      </c>
    </row>
    <row r="149" spans="1:51" x14ac:dyDescent="0.25">
      <c r="A149" s="34">
        <v>147</v>
      </c>
      <c r="B149" s="34" t="s">
        <v>56</v>
      </c>
      <c r="C149" s="110" t="str">
        <f>IFERROR(INDEX(Структура_ассортимента[SuperCategory],MATCH(Товары[[#This Row],[SubGroup]],Структура_ассортимента[Subgroup],0)),"")</f>
        <v>A</v>
      </c>
      <c r="D14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4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49" s="110" t="str">
        <f>IFERROR(INDEX(Структура_ассортимента[Product group],MATCH(Товары[[#This Row],[SubGroup]],Структура_ассортимента[Subgroup],0)),"")</f>
        <v>AMA_C</v>
      </c>
      <c r="G149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49" s="110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49" s="36">
        <v>9242</v>
      </c>
      <c r="J149" s="36" t="str">
        <f>IFERROR(INDEX(Структура_ассортимента[Generic Name (long)],MATCH(Товары[[#This Row],[SubGroup]],Структура_ассортимента[Subgroup],0)),"")</f>
        <v>GLOVES</v>
      </c>
      <c r="L149" s="36">
        <v>970471601</v>
      </c>
      <c r="M149" s="35" t="s">
        <v>1833</v>
      </c>
      <c r="O149" s="35" t="s">
        <v>4079</v>
      </c>
      <c r="P149" s="37" t="s">
        <v>4080</v>
      </c>
      <c r="Q149" s="34" t="s">
        <v>3549</v>
      </c>
      <c r="R149" s="34" t="s">
        <v>3540</v>
      </c>
      <c r="S149" s="47">
        <v>44197</v>
      </c>
      <c r="T149" s="47">
        <v>0</v>
      </c>
      <c r="U149" s="47">
        <v>0</v>
      </c>
      <c r="V149" s="34">
        <v>4078500051910</v>
      </c>
      <c r="W149" s="34" t="s">
        <v>3546</v>
      </c>
      <c r="Y149" s="34" t="s">
        <v>3542</v>
      </c>
      <c r="Z149" s="34">
        <v>6</v>
      </c>
      <c r="AM149" s="40" t="s">
        <v>11</v>
      </c>
      <c r="AT149" s="44">
        <v>0</v>
      </c>
      <c r="AU149" s="44"/>
      <c r="AV149" s="46">
        <f>ROUND(Товары[[#This Row],[РРЦ финальная, руб.]]/$AU$1,2)</f>
        <v>0</v>
      </c>
      <c r="AW149" s="45" t="str">
        <f>IFERROR(Товары[[#This Row],[РРЦ, евро]]/Товары[[#This Row],[IRP, Eur]],"-")</f>
        <v>-</v>
      </c>
      <c r="AX149" s="42">
        <f>IFERROR(VLOOKUP(Товары[[#This Row],[SubGroup]],'Структура цен DIY'!$B:$C,2,FALSE),0)</f>
        <v>0.28999999999999998</v>
      </c>
      <c r="AY149" s="44">
        <v>0</v>
      </c>
    </row>
    <row r="150" spans="1:51" x14ac:dyDescent="0.25">
      <c r="A150" s="34">
        <v>148</v>
      </c>
      <c r="B150" s="34" t="s">
        <v>56</v>
      </c>
      <c r="C150" s="110" t="str">
        <f>IFERROR(INDEX(Структура_ассортимента[SuperCategory],MATCH(Товары[[#This Row],[SubGroup]],Структура_ассортимента[Subgroup],0)),"")</f>
        <v>A</v>
      </c>
      <c r="D15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5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50" s="110" t="str">
        <f>IFERROR(INDEX(Структура_ассортимента[Product group],MATCH(Товары[[#This Row],[SubGroup]],Структура_ассортимента[Subgroup],0)),"")</f>
        <v>AMA_C</v>
      </c>
      <c r="G150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50" s="110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50" s="36">
        <v>9242</v>
      </c>
      <c r="J150" s="36" t="str">
        <f>IFERROR(INDEX(Структура_ассортимента[Generic Name (long)],MATCH(Товары[[#This Row],[SubGroup]],Структура_ассортимента[Subgroup],0)),"")</f>
        <v>GLOVES</v>
      </c>
      <c r="L150" s="36">
        <v>970487601</v>
      </c>
      <c r="M150" s="35" t="s">
        <v>1834</v>
      </c>
      <c r="O150" s="35" t="s">
        <v>4081</v>
      </c>
      <c r="P150" s="37" t="s">
        <v>4082</v>
      </c>
      <c r="Q150" s="34" t="s">
        <v>3549</v>
      </c>
      <c r="R150" s="34" t="s">
        <v>3540</v>
      </c>
      <c r="S150" s="47">
        <v>44197</v>
      </c>
      <c r="T150" s="47">
        <v>0</v>
      </c>
      <c r="U150" s="47">
        <v>0</v>
      </c>
      <c r="V150" s="34">
        <v>4078500053235</v>
      </c>
      <c r="W150" s="34" t="s">
        <v>3546</v>
      </c>
      <c r="X150" s="34" t="s">
        <v>4083</v>
      </c>
      <c r="Y150" s="34" t="s">
        <v>3542</v>
      </c>
      <c r="Z150" s="34">
        <v>6</v>
      </c>
      <c r="AM150" s="40" t="s">
        <v>11</v>
      </c>
      <c r="AT150" s="44">
        <v>0</v>
      </c>
      <c r="AU150" s="44"/>
      <c r="AV150" s="46">
        <f>ROUND(Товары[[#This Row],[РРЦ финальная, руб.]]/$AU$1,2)</f>
        <v>0</v>
      </c>
      <c r="AW150" s="45" t="str">
        <f>IFERROR(Товары[[#This Row],[РРЦ, евро]]/Товары[[#This Row],[IRP, Eur]],"-")</f>
        <v>-</v>
      </c>
      <c r="AX150" s="42">
        <f>IFERROR(VLOOKUP(Товары[[#This Row],[SubGroup]],'Структура цен DIY'!$B:$C,2,FALSE),0)</f>
        <v>0.28999999999999998</v>
      </c>
      <c r="AY150" s="44">
        <v>0</v>
      </c>
    </row>
    <row r="151" spans="1:51" x14ac:dyDescent="0.25">
      <c r="A151" s="34">
        <v>149</v>
      </c>
      <c r="B151" s="34" t="s">
        <v>56</v>
      </c>
      <c r="C151" s="110" t="str">
        <f>IFERROR(INDEX(Структура_ассортимента[SuperCategory],MATCH(Товары[[#This Row],[SubGroup]],Структура_ассортимента[Subgroup],0)),"")</f>
        <v>A</v>
      </c>
      <c r="D15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5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51" s="110" t="str">
        <f>IFERROR(INDEX(Структура_ассортимента[Product group],MATCH(Товары[[#This Row],[SubGroup]],Структура_ассортимента[Subgroup],0)),"")</f>
        <v>AMA_C</v>
      </c>
      <c r="G151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51" s="110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151" s="36">
        <v>9232</v>
      </c>
      <c r="J151" s="36" t="str">
        <f>IFERROR(INDEX(Структура_ассортимента[Generic Name (long)],MATCH(Товары[[#This Row],[SubGroup]],Структура_ассортимента[Subgroup],0)),"")</f>
        <v>SPREADER</v>
      </c>
      <c r="L151" s="36">
        <v>900844101</v>
      </c>
      <c r="M151" s="35" t="s">
        <v>1835</v>
      </c>
      <c r="Q151" s="34" t="s">
        <v>3544</v>
      </c>
      <c r="R151" s="34" t="s">
        <v>3540</v>
      </c>
      <c r="S151" s="47">
        <v>38991</v>
      </c>
      <c r="T151" s="47">
        <v>0</v>
      </c>
      <c r="U151" s="47">
        <v>0</v>
      </c>
      <c r="V151" s="34">
        <v>4078500043007</v>
      </c>
      <c r="W151" s="34" t="s">
        <v>3543</v>
      </c>
      <c r="Y151" s="34" t="s">
        <v>3542</v>
      </c>
      <c r="Z151" s="34">
        <v>1</v>
      </c>
      <c r="AA151" s="34">
        <v>2550</v>
      </c>
      <c r="AB151" s="34">
        <v>2550</v>
      </c>
      <c r="AC151" s="34">
        <v>2100</v>
      </c>
      <c r="AD151" s="34">
        <v>2100</v>
      </c>
      <c r="AE151" s="34">
        <v>590</v>
      </c>
      <c r="AF151" s="34">
        <v>195</v>
      </c>
      <c r="AG151" s="34">
        <v>234</v>
      </c>
      <c r="AH151" s="34">
        <v>26.922000000000001</v>
      </c>
      <c r="AM151" s="40" t="s">
        <v>8094</v>
      </c>
      <c r="AT151" s="44">
        <v>0</v>
      </c>
      <c r="AU151" s="44"/>
      <c r="AV151" s="46">
        <f>ROUND(Товары[[#This Row],[РРЦ финальная, руб.]]/$AU$1,2)</f>
        <v>0</v>
      </c>
      <c r="AW151" s="45" t="str">
        <f>IFERROR(Товары[[#This Row],[РРЦ, евро]]/Товары[[#This Row],[IRP, Eur]],"-")</f>
        <v>-</v>
      </c>
      <c r="AX151" s="42">
        <f>IFERROR(VLOOKUP(Товары[[#This Row],[SubGroup]],'Структура цен DIY'!$B:$C,2,FALSE),0)</f>
        <v>0.22999999999999998</v>
      </c>
      <c r="AY151" s="44">
        <v>0</v>
      </c>
    </row>
    <row r="152" spans="1:51" x14ac:dyDescent="0.25">
      <c r="A152" s="34">
        <v>150</v>
      </c>
      <c r="B152" s="34" t="s">
        <v>56</v>
      </c>
      <c r="C152" s="110" t="str">
        <f>IFERROR(INDEX(Структура_ассортимента[SuperCategory],MATCH(Товары[[#This Row],[SubGroup]],Структура_ассортимента[Subgroup],0)),"")</f>
        <v>A</v>
      </c>
      <c r="D15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5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52" s="110" t="str">
        <f>IFERROR(INDEX(Структура_ассортимента[Product group],MATCH(Товары[[#This Row],[SubGroup]],Структура_ассортимента[Subgroup],0)),"")</f>
        <v>AMA_C</v>
      </c>
      <c r="G152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52" s="110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152" s="36">
        <v>9232</v>
      </c>
      <c r="J152" s="36" t="str">
        <f>IFERROR(INDEX(Структура_ассортимента[Generic Name (long)],MATCH(Товары[[#This Row],[SubGroup]],Структура_ассортимента[Subgroup],0)),"")</f>
        <v>SPREADER</v>
      </c>
      <c r="L152" s="36">
        <v>900844201</v>
      </c>
      <c r="M152" s="35" t="s">
        <v>1836</v>
      </c>
      <c r="Q152" s="34" t="s">
        <v>3544</v>
      </c>
      <c r="R152" s="34" t="s">
        <v>3540</v>
      </c>
      <c r="S152" s="47">
        <v>38991</v>
      </c>
      <c r="T152" s="47">
        <v>0</v>
      </c>
      <c r="U152" s="47">
        <v>0</v>
      </c>
      <c r="V152" s="34">
        <v>4078500043090</v>
      </c>
      <c r="W152" s="34" t="s">
        <v>3543</v>
      </c>
      <c r="Y152" s="34" t="s">
        <v>3542</v>
      </c>
      <c r="Z152" s="34">
        <v>1</v>
      </c>
      <c r="AA152" s="34">
        <v>2580</v>
      </c>
      <c r="AB152" s="34">
        <v>2580</v>
      </c>
      <c r="AC152" s="34">
        <v>2100</v>
      </c>
      <c r="AD152" s="34">
        <v>2100</v>
      </c>
      <c r="AE152" s="34">
        <v>590</v>
      </c>
      <c r="AF152" s="34">
        <v>195</v>
      </c>
      <c r="AG152" s="34">
        <v>234</v>
      </c>
      <c r="AH152" s="34">
        <v>26.922000000000001</v>
      </c>
      <c r="AM152" s="40" t="s">
        <v>8094</v>
      </c>
      <c r="AT152" s="44">
        <v>0</v>
      </c>
      <c r="AU152" s="44"/>
      <c r="AV152" s="46">
        <f>ROUND(Товары[[#This Row],[РРЦ финальная, руб.]]/$AU$1,2)</f>
        <v>0</v>
      </c>
      <c r="AW152" s="45" t="str">
        <f>IFERROR(Товары[[#This Row],[РРЦ, евро]]/Товары[[#This Row],[IRP, Eur]],"-")</f>
        <v>-</v>
      </c>
      <c r="AX152" s="42">
        <f>IFERROR(VLOOKUP(Товары[[#This Row],[SubGroup]],'Структура цен DIY'!$B:$C,2,FALSE),0)</f>
        <v>0.22999999999999998</v>
      </c>
      <c r="AY152" s="44">
        <v>0</v>
      </c>
    </row>
    <row r="153" spans="1:51" x14ac:dyDescent="0.25">
      <c r="A153" s="34">
        <v>151</v>
      </c>
      <c r="B153" s="34" t="s">
        <v>56</v>
      </c>
      <c r="C153" s="110" t="str">
        <f>IFERROR(INDEX(Структура_ассортимента[SuperCategory],MATCH(Товары[[#This Row],[SubGroup]],Структура_ассортимента[Subgroup],0)),"")</f>
        <v>A</v>
      </c>
      <c r="D15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5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53" s="110" t="str">
        <f>IFERROR(INDEX(Структура_ассортимента[Product group],MATCH(Товары[[#This Row],[SubGroup]],Структура_ассортимента[Subgroup],0)),"")</f>
        <v>AMA_C</v>
      </c>
      <c r="G153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53" s="110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153" s="36">
        <v>9232</v>
      </c>
      <c r="J153" s="36" t="str">
        <f>IFERROR(INDEX(Структура_ассортимента[Generic Name (long)],MATCH(Товары[[#This Row],[SubGroup]],Структура_ассортимента[Subgroup],0)),"")</f>
        <v>SPREADER</v>
      </c>
      <c r="L153" s="36">
        <v>900844301</v>
      </c>
      <c r="M153" s="35" t="s">
        <v>1837</v>
      </c>
      <c r="Q153" s="34" t="s">
        <v>3544</v>
      </c>
      <c r="R153" s="34" t="s">
        <v>3540</v>
      </c>
      <c r="S153" s="47">
        <v>38991</v>
      </c>
      <c r="T153" s="47">
        <v>0</v>
      </c>
      <c r="U153" s="47">
        <v>0</v>
      </c>
      <c r="V153" s="34">
        <v>4078500043038</v>
      </c>
      <c r="W153" s="34" t="s">
        <v>3543</v>
      </c>
      <c r="Y153" s="34" t="s">
        <v>3542</v>
      </c>
      <c r="Z153" s="34">
        <v>16</v>
      </c>
      <c r="AA153" s="34">
        <v>2500</v>
      </c>
      <c r="AB153" s="34">
        <v>2500</v>
      </c>
      <c r="AC153" s="34">
        <v>2200</v>
      </c>
      <c r="AD153" s="34">
        <v>2200</v>
      </c>
      <c r="AE153" s="34">
        <v>588</v>
      </c>
      <c r="AF153" s="34">
        <v>172</v>
      </c>
      <c r="AG153" s="34">
        <v>261</v>
      </c>
      <c r="AH153" s="34">
        <v>26.396000000000001</v>
      </c>
      <c r="AM153" s="40" t="s">
        <v>8094</v>
      </c>
      <c r="AT153" s="44">
        <v>0</v>
      </c>
      <c r="AU153" s="44"/>
      <c r="AV153" s="46">
        <f>ROUND(Товары[[#This Row],[РРЦ финальная, руб.]]/$AU$1,2)</f>
        <v>0</v>
      </c>
      <c r="AW153" s="45" t="str">
        <f>IFERROR(Товары[[#This Row],[РРЦ, евро]]/Товары[[#This Row],[IRP, Eur]],"-")</f>
        <v>-</v>
      </c>
      <c r="AX153" s="42">
        <f>IFERROR(VLOOKUP(Товары[[#This Row],[SubGroup]],'Структура цен DIY'!$B:$C,2,FALSE),0)</f>
        <v>0.22999999999999998</v>
      </c>
      <c r="AY153" s="44">
        <v>0</v>
      </c>
    </row>
    <row r="154" spans="1:51" x14ac:dyDescent="0.25">
      <c r="A154" s="34">
        <v>152</v>
      </c>
      <c r="B154" s="34" t="s">
        <v>56</v>
      </c>
      <c r="C154" s="110" t="str">
        <f>IFERROR(INDEX(Структура_ассортимента[SuperCategory],MATCH(Товары[[#This Row],[SubGroup]],Структура_ассортимента[Subgroup],0)),"")</f>
        <v>A</v>
      </c>
      <c r="D15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5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54" s="110" t="str">
        <f>IFERROR(INDEX(Структура_ассортимента[Product group],MATCH(Товары[[#This Row],[SubGroup]],Структура_ассортимента[Subgroup],0)),"")</f>
        <v>AMA_C</v>
      </c>
      <c r="G154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54" s="110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154" s="36">
        <v>9232</v>
      </c>
      <c r="J154" s="36" t="str">
        <f>IFERROR(INDEX(Структура_ассортимента[Generic Name (long)],MATCH(Товары[[#This Row],[SubGroup]],Структура_ассортимента[Subgroup],0)),"")</f>
        <v>SPREADER</v>
      </c>
      <c r="L154" s="36">
        <v>900844501</v>
      </c>
      <c r="M154" s="35" t="s">
        <v>1838</v>
      </c>
      <c r="Q154" s="34" t="s">
        <v>3544</v>
      </c>
      <c r="R154" s="34" t="s">
        <v>3540</v>
      </c>
      <c r="S154" s="47">
        <v>38991</v>
      </c>
      <c r="T154" s="47">
        <v>0</v>
      </c>
      <c r="U154" s="47">
        <v>0</v>
      </c>
      <c r="V154" s="34">
        <v>4078500043304</v>
      </c>
      <c r="W154" s="34" t="s">
        <v>3543</v>
      </c>
      <c r="Y154" s="34" t="s">
        <v>3542</v>
      </c>
      <c r="Z154" s="34">
        <v>1</v>
      </c>
      <c r="AA154" s="34">
        <v>2957</v>
      </c>
      <c r="AB154" s="34">
        <v>4220</v>
      </c>
      <c r="AC154" s="34">
        <v>2500</v>
      </c>
      <c r="AD154" s="34">
        <v>3300</v>
      </c>
      <c r="AE154" s="34">
        <v>590</v>
      </c>
      <c r="AF154" s="34">
        <v>229</v>
      </c>
      <c r="AG154" s="34">
        <v>257</v>
      </c>
      <c r="AH154" s="34">
        <v>34.722999999999999</v>
      </c>
      <c r="AM154" s="40" t="s">
        <v>8094</v>
      </c>
      <c r="AT154" s="44">
        <v>0</v>
      </c>
      <c r="AU154" s="44"/>
      <c r="AV154" s="46">
        <f>ROUND(Товары[[#This Row],[РРЦ финальная, руб.]]/$AU$1,2)</f>
        <v>0</v>
      </c>
      <c r="AW154" s="45" t="str">
        <f>IFERROR(Товары[[#This Row],[РРЦ, евро]]/Товары[[#This Row],[IRP, Eur]],"-")</f>
        <v>-</v>
      </c>
      <c r="AX154" s="42">
        <f>IFERROR(VLOOKUP(Товары[[#This Row],[SubGroup]],'Структура цен DIY'!$B:$C,2,FALSE),0)</f>
        <v>0.22999999999999998</v>
      </c>
      <c r="AY154" s="44">
        <v>0</v>
      </c>
    </row>
    <row r="155" spans="1:51" x14ac:dyDescent="0.25">
      <c r="A155" s="34">
        <v>153</v>
      </c>
      <c r="B155" s="34" t="s">
        <v>56</v>
      </c>
      <c r="C155" s="110" t="str">
        <f>IFERROR(INDEX(Структура_ассортимента[SuperCategory],MATCH(Товары[[#This Row],[SubGroup]],Структура_ассортимента[Subgroup],0)),"")</f>
        <v>A</v>
      </c>
      <c r="D15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5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55" s="110" t="str">
        <f>IFERROR(INDEX(Структура_ассортимента[Product group],MATCH(Товары[[#This Row],[SubGroup]],Структура_ассортимента[Subgroup],0)),"")</f>
        <v>AMA_C</v>
      </c>
      <c r="G155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55" s="110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155" s="36">
        <v>9232</v>
      </c>
      <c r="J155" s="36" t="str">
        <f>IFERROR(INDEX(Структура_ассортимента[Generic Name (long)],MATCH(Товары[[#This Row],[SubGroup]],Структура_ассортимента[Subgroup],0)),"")</f>
        <v>SPREADER</v>
      </c>
      <c r="L155" s="36">
        <v>900844601</v>
      </c>
      <c r="M155" s="35" t="s">
        <v>1839</v>
      </c>
      <c r="Q155" s="34" t="s">
        <v>3544</v>
      </c>
      <c r="R155" s="34" t="s">
        <v>3540</v>
      </c>
      <c r="S155" s="47">
        <v>38991</v>
      </c>
      <c r="T155" s="47">
        <v>0</v>
      </c>
      <c r="U155" s="47">
        <v>0</v>
      </c>
      <c r="V155" s="34">
        <v>4078500043502</v>
      </c>
      <c r="W155" s="34" t="s">
        <v>3543</v>
      </c>
      <c r="Y155" s="34" t="s">
        <v>3542</v>
      </c>
      <c r="Z155" s="34">
        <v>1</v>
      </c>
      <c r="AA155" s="34">
        <v>3580</v>
      </c>
      <c r="AB155" s="34">
        <v>3580</v>
      </c>
      <c r="AC155" s="34">
        <v>3410</v>
      </c>
      <c r="AD155" s="34">
        <v>3410</v>
      </c>
      <c r="AE155" s="34">
        <v>590</v>
      </c>
      <c r="AF155" s="34">
        <v>231</v>
      </c>
      <c r="AG155" s="34">
        <v>282</v>
      </c>
      <c r="AH155" s="34">
        <v>38.433999999999997</v>
      </c>
      <c r="AM155" s="40" t="s">
        <v>8094</v>
      </c>
      <c r="AT155" s="44">
        <v>0</v>
      </c>
      <c r="AU155" s="44"/>
      <c r="AV155" s="46">
        <f>ROUND(Товары[[#This Row],[РРЦ финальная, руб.]]/$AU$1,2)</f>
        <v>0</v>
      </c>
      <c r="AW155" s="45" t="str">
        <f>IFERROR(Товары[[#This Row],[РРЦ, евро]]/Товары[[#This Row],[IRP, Eur]],"-")</f>
        <v>-</v>
      </c>
      <c r="AX155" s="42">
        <f>IFERROR(VLOOKUP(Товары[[#This Row],[SubGroup]],'Структура цен DIY'!$B:$C,2,FALSE),0)</f>
        <v>0.22999999999999998</v>
      </c>
      <c r="AY155" s="44">
        <v>0</v>
      </c>
    </row>
    <row r="156" spans="1:51" x14ac:dyDescent="0.25">
      <c r="A156" s="34">
        <v>154</v>
      </c>
      <c r="B156" s="34" t="s">
        <v>56</v>
      </c>
      <c r="C156" s="110" t="str">
        <f>IFERROR(INDEX(Структура_ассортимента[SuperCategory],MATCH(Товары[[#This Row],[SubGroup]],Структура_ассортимента[Subgroup],0)),"")</f>
        <v>A</v>
      </c>
      <c r="D15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5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56" s="110" t="str">
        <f>IFERROR(INDEX(Структура_ассортимента[Product group],MATCH(Товары[[#This Row],[SubGroup]],Структура_ассортимента[Subgroup],0)),"")</f>
        <v>AMA_C</v>
      </c>
      <c r="G156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56" s="110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56" s="36">
        <v>9241</v>
      </c>
      <c r="J156" s="36" t="str">
        <f>IFERROR(INDEX(Структура_ассортимента[Generic Name (long)],MATCH(Товары[[#This Row],[SubGroup]],Структура_ассортимента[Subgroup],0)),"")</f>
        <v>SPRAYER, MANUAL, PUMP</v>
      </c>
      <c r="L156" s="36">
        <v>967791201</v>
      </c>
      <c r="M156" s="35" t="s">
        <v>1840</v>
      </c>
      <c r="O156" s="35" t="s">
        <v>4084</v>
      </c>
      <c r="P156" s="37" t="s">
        <v>4085</v>
      </c>
      <c r="Q156" s="34" t="s">
        <v>3544</v>
      </c>
      <c r="R156" s="34" t="s">
        <v>3540</v>
      </c>
      <c r="S156" s="47">
        <v>0</v>
      </c>
      <c r="T156" s="47">
        <v>0</v>
      </c>
      <c r="U156" s="47">
        <v>0</v>
      </c>
      <c r="W156" s="34" t="s">
        <v>3547</v>
      </c>
      <c r="Y156" s="34" t="s">
        <v>3542</v>
      </c>
      <c r="Z156" s="34">
        <v>14</v>
      </c>
      <c r="AM156" s="40" t="s">
        <v>9</v>
      </c>
      <c r="AP156" s="34">
        <v>0</v>
      </c>
      <c r="AQ156" s="34">
        <v>2698</v>
      </c>
      <c r="AR156" s="34">
        <v>1687</v>
      </c>
      <c r="AT156" s="44">
        <v>209000</v>
      </c>
      <c r="AU156" s="44"/>
      <c r="AV156" s="46">
        <f>ROUND(Товары[[#This Row],[РРЦ финальная, руб.]]/$AU$1,2)</f>
        <v>0</v>
      </c>
      <c r="AW156" s="45" t="str">
        <f>IFERROR(Товары[[#This Row],[РРЦ, евро]]/Товары[[#This Row],[IRP, Eur]],"-")</f>
        <v>-</v>
      </c>
      <c r="AX156" s="42">
        <f>IFERROR(VLOOKUP(Товары[[#This Row],[SubGroup]],'Структура цен DIY'!$B:$C,2,FALSE),0)</f>
        <v>0.32</v>
      </c>
      <c r="AY156" s="44">
        <v>0</v>
      </c>
    </row>
    <row r="157" spans="1:51" x14ac:dyDescent="0.25">
      <c r="A157" s="34">
        <v>155</v>
      </c>
      <c r="B157" s="34" t="s">
        <v>56</v>
      </c>
      <c r="C157" s="110" t="str">
        <f>IFERROR(INDEX(Структура_ассортимента[SuperCategory],MATCH(Товары[[#This Row],[SubGroup]],Структура_ассортимента[Subgroup],0)),"")</f>
        <v>A</v>
      </c>
      <c r="D15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5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57" s="110" t="str">
        <f>IFERROR(INDEX(Структура_ассортимента[Product group],MATCH(Товары[[#This Row],[SubGroup]],Структура_ассортимента[Subgroup],0)),"")</f>
        <v>AMA_C</v>
      </c>
      <c r="G157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57" s="110" t="str">
        <f>IFERROR(INDEX(Структура_ассортимента[Generic Name (long)3],MATCH(Товары[[#This Row],[SubGroup]],Структура_ассортимента[Subgroup],0)),"")</f>
        <v>Пружины</v>
      </c>
      <c r="I157" s="36">
        <v>9291</v>
      </c>
      <c r="J157" s="36" t="str">
        <f>IFERROR(INDEX(Структура_ассортимента[Generic Name (long)],MATCH(Товары[[#This Row],[SubGroup]],Структура_ассортимента[Subgroup],0)),"")</f>
        <v>SPRING</v>
      </c>
      <c r="L157" s="36">
        <v>901085501</v>
      </c>
      <c r="M157" s="35" t="s">
        <v>1841</v>
      </c>
      <c r="Q157" s="34" t="s">
        <v>3544</v>
      </c>
      <c r="R157" s="34" t="s">
        <v>3540</v>
      </c>
      <c r="S157" s="47">
        <v>34973</v>
      </c>
      <c r="T157" s="47">
        <v>0</v>
      </c>
      <c r="U157" s="47">
        <v>0</v>
      </c>
      <c r="V157" s="34">
        <v>4078500535809</v>
      </c>
      <c r="W157" s="34" t="s">
        <v>3550</v>
      </c>
      <c r="Y157" s="34" t="s">
        <v>3542</v>
      </c>
      <c r="Z157" s="34">
        <v>5</v>
      </c>
      <c r="AA157" s="34">
        <v>45</v>
      </c>
      <c r="AB157" s="34">
        <v>45</v>
      </c>
      <c r="AC157" s="34">
        <v>43</v>
      </c>
      <c r="AD157" s="34">
        <v>43</v>
      </c>
      <c r="AE157" s="34">
        <v>377</v>
      </c>
      <c r="AF157" s="34">
        <v>50</v>
      </c>
      <c r="AG157" s="34">
        <v>2</v>
      </c>
      <c r="AH157" s="34">
        <v>3.7999999999999999E-2</v>
      </c>
      <c r="AM157" s="40" t="s">
        <v>8094</v>
      </c>
      <c r="AT157" s="44">
        <v>0</v>
      </c>
      <c r="AU157" s="44"/>
      <c r="AV157" s="46">
        <f>ROUND(Товары[[#This Row],[РРЦ финальная, руб.]]/$AU$1,2)</f>
        <v>0</v>
      </c>
      <c r="AW157" s="45" t="str">
        <f>IFERROR(Товары[[#This Row],[РРЦ, евро]]/Товары[[#This Row],[IRP, Eur]],"-")</f>
        <v>-</v>
      </c>
      <c r="AX157" s="42">
        <f>IFERROR(VLOOKUP(Товары[[#This Row],[SubGroup]],'Структура цен DIY'!$B:$C,2,FALSE),0)</f>
        <v>0</v>
      </c>
      <c r="AY157" s="44">
        <v>0</v>
      </c>
    </row>
    <row r="158" spans="1:51" x14ac:dyDescent="0.25">
      <c r="A158" s="34">
        <v>156</v>
      </c>
      <c r="B158" s="34" t="s">
        <v>56</v>
      </c>
      <c r="C158" s="110" t="str">
        <f>IFERROR(INDEX(Структура_ассортимента[SuperCategory],MATCH(Товары[[#This Row],[SubGroup]],Структура_ассортимента[Subgroup],0)),"")</f>
        <v>A</v>
      </c>
      <c r="D15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5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58" s="110" t="str">
        <f>IFERROR(INDEX(Структура_ассортимента[Product group],MATCH(Товары[[#This Row],[SubGroup]],Структура_ассортимента[Subgroup],0)),"")</f>
        <v>AMA_C</v>
      </c>
      <c r="G158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58" s="110" t="str">
        <f>IFERROR(INDEX(Структура_ассортимента[Generic Name (long)3],MATCH(Товары[[#This Row],[SubGroup]],Структура_ассортимента[Subgroup],0)),"")</f>
        <v>Пружины</v>
      </c>
      <c r="I158" s="36">
        <v>9291</v>
      </c>
      <c r="J158" s="36" t="str">
        <f>IFERROR(INDEX(Структура_ассортимента[Generic Name (long)],MATCH(Товары[[#This Row],[SubGroup]],Структура_ассортимента[Subgroup],0)),"")</f>
        <v>SPRING</v>
      </c>
      <c r="L158" s="36">
        <v>901088101</v>
      </c>
      <c r="M158" s="35" t="s">
        <v>1842</v>
      </c>
      <c r="Q158" s="34" t="s">
        <v>3544</v>
      </c>
      <c r="R158" s="34" t="s">
        <v>3540</v>
      </c>
      <c r="S158" s="47">
        <v>39356</v>
      </c>
      <c r="T158" s="47">
        <v>0</v>
      </c>
      <c r="U158" s="47">
        <v>0</v>
      </c>
      <c r="V158" s="34">
        <v>4078500537704</v>
      </c>
      <c r="W158" s="34" t="s">
        <v>3550</v>
      </c>
      <c r="Y158" s="34" t="s">
        <v>3542</v>
      </c>
      <c r="Z158" s="34">
        <v>5</v>
      </c>
      <c r="AA158" s="34">
        <v>100</v>
      </c>
      <c r="AB158" s="34">
        <v>100</v>
      </c>
      <c r="AC158" s="34">
        <v>99</v>
      </c>
      <c r="AD158" s="34">
        <v>99</v>
      </c>
      <c r="AE158" s="34">
        <v>787</v>
      </c>
      <c r="AF158" s="34">
        <v>48</v>
      </c>
      <c r="AG158" s="34">
        <v>6</v>
      </c>
      <c r="AH158" s="34">
        <v>0.22700000000000001</v>
      </c>
      <c r="AM158" s="40" t="s">
        <v>8094</v>
      </c>
      <c r="AT158" s="44">
        <v>0</v>
      </c>
      <c r="AU158" s="44"/>
      <c r="AV158" s="46">
        <f>ROUND(Товары[[#This Row],[РРЦ финальная, руб.]]/$AU$1,2)</f>
        <v>0</v>
      </c>
      <c r="AW158" s="45" t="str">
        <f>IFERROR(Товары[[#This Row],[РРЦ, евро]]/Товары[[#This Row],[IRP, Eur]],"-")</f>
        <v>-</v>
      </c>
      <c r="AX158" s="42">
        <f>IFERROR(VLOOKUP(Товары[[#This Row],[SubGroup]],'Структура цен DIY'!$B:$C,2,FALSE),0)</f>
        <v>0</v>
      </c>
      <c r="AY158" s="44">
        <v>0</v>
      </c>
    </row>
    <row r="159" spans="1:51" x14ac:dyDescent="0.25">
      <c r="A159" s="34">
        <v>157</v>
      </c>
      <c r="B159" s="34" t="s">
        <v>56</v>
      </c>
      <c r="C159" s="110" t="str">
        <f>IFERROR(INDEX(Структура_ассортимента[SuperCategory],MATCH(Товары[[#This Row],[SubGroup]],Структура_ассортимента[Subgroup],0)),"")</f>
        <v>A</v>
      </c>
      <c r="D15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5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59" s="110" t="str">
        <f>IFERROR(INDEX(Структура_ассортимента[Product group],MATCH(Товары[[#This Row],[SubGroup]],Структура_ассортимента[Subgroup],0)),"")</f>
        <v>AMA_C</v>
      </c>
      <c r="G159" s="110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59" s="110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59" s="36">
        <v>9241</v>
      </c>
      <c r="J159" s="36" t="str">
        <f>IFERROR(INDEX(Структура_ассортимента[Generic Name (long)],MATCH(Товары[[#This Row],[SubGroup]],Структура_ассортимента[Subgroup],0)),"")</f>
        <v>SPRAYER, MANUAL, PUMP</v>
      </c>
      <c r="L159" s="36">
        <v>970477701</v>
      </c>
      <c r="M159" s="35" t="s">
        <v>1843</v>
      </c>
      <c r="O159" s="35" t="s">
        <v>4086</v>
      </c>
      <c r="P159" s="37" t="s">
        <v>4087</v>
      </c>
      <c r="Q159" s="34" t="s">
        <v>3549</v>
      </c>
      <c r="R159" s="34" t="s">
        <v>3540</v>
      </c>
      <c r="S159" s="47">
        <v>44197</v>
      </c>
      <c r="T159" s="47">
        <v>0</v>
      </c>
      <c r="U159" s="47">
        <v>0</v>
      </c>
      <c r="V159" s="34">
        <v>4078500052528</v>
      </c>
      <c r="W159" s="34" t="s">
        <v>3546</v>
      </c>
      <c r="Y159" s="34" t="s">
        <v>3542</v>
      </c>
      <c r="Z159" s="34">
        <v>1</v>
      </c>
      <c r="AM159" s="40" t="s">
        <v>11</v>
      </c>
      <c r="AT159" s="44">
        <v>0</v>
      </c>
      <c r="AU159" s="44"/>
      <c r="AV159" s="46">
        <f>ROUND(Товары[[#This Row],[РРЦ финальная, руб.]]/$AU$1,2)</f>
        <v>0</v>
      </c>
      <c r="AW159" s="45" t="str">
        <f>IFERROR(Товары[[#This Row],[РРЦ, евро]]/Товары[[#This Row],[IRP, Eur]],"-")</f>
        <v>-</v>
      </c>
      <c r="AX159" s="42">
        <f>IFERROR(VLOOKUP(Товары[[#This Row],[SubGroup]],'Структура цен DIY'!$B:$C,2,FALSE),0)</f>
        <v>0.32</v>
      </c>
      <c r="AY159" s="44">
        <v>0</v>
      </c>
    </row>
    <row r="160" spans="1:51" x14ac:dyDescent="0.25">
      <c r="A160" s="34">
        <v>158</v>
      </c>
      <c r="B160" s="34" t="s">
        <v>56</v>
      </c>
      <c r="C160" s="110" t="str">
        <f>IFERROR(INDEX(Структура_ассортимента[SuperCategory],MATCH(Товары[[#This Row],[SubGroup]],Структура_ассортимента[Subgroup],0)),"")</f>
        <v>A</v>
      </c>
      <c r="D16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6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60" s="110" t="str">
        <f>IFERROR(INDEX(Структура_ассортимента[Product group],MATCH(Товары[[#This Row],[SubGroup]],Структура_ассортимента[Subgroup],0)),"")</f>
        <v>AMC_C</v>
      </c>
      <c r="G160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60" s="110" t="str">
        <f>IFERROR(INDEX(Структура_ассортимента[Generic Name (long)3],MATCH(Товары[[#This Row],[SubGroup]],Структура_ассортимента[Subgroup],0)),"")</f>
        <v>Секаторы</v>
      </c>
      <c r="I160" s="36">
        <v>9211</v>
      </c>
      <c r="J160" s="36" t="str">
        <f>IFERROR(INDEX(Структура_ассортимента[Generic Name (long)],MATCH(Товары[[#This Row],[SubGroup]],Структура_ассортимента[Subgroup],0)),"")</f>
        <v>SECATEUR, ANVIL</v>
      </c>
      <c r="L160" s="36">
        <v>900839701</v>
      </c>
      <c r="M160" s="35" t="s">
        <v>1844</v>
      </c>
      <c r="O160" s="35" t="s">
        <v>4088</v>
      </c>
      <c r="P160" s="37" t="s">
        <v>4089</v>
      </c>
      <c r="Q160" s="34" t="s">
        <v>3549</v>
      </c>
      <c r="R160" s="34" t="s">
        <v>3540</v>
      </c>
      <c r="S160" s="47">
        <v>36434</v>
      </c>
      <c r="T160" s="47">
        <v>0</v>
      </c>
      <c r="U160" s="47">
        <v>0</v>
      </c>
      <c r="V160" s="34">
        <v>4078500035903</v>
      </c>
      <c r="W160" s="34" t="s">
        <v>3548</v>
      </c>
      <c r="X160" s="34" t="s">
        <v>3579</v>
      </c>
      <c r="Y160" s="34" t="s">
        <v>3542</v>
      </c>
      <c r="Z160" s="34">
        <v>10</v>
      </c>
      <c r="AA160" s="34" t="s">
        <v>4090</v>
      </c>
      <c r="AB160" s="34" t="s">
        <v>4090</v>
      </c>
      <c r="AC160" s="34" t="s">
        <v>4091</v>
      </c>
      <c r="AD160" s="34" t="s">
        <v>4091</v>
      </c>
      <c r="AE160" s="34" t="s">
        <v>3825</v>
      </c>
      <c r="AF160" s="34" t="s">
        <v>3565</v>
      </c>
      <c r="AG160" s="34" t="s">
        <v>3932</v>
      </c>
      <c r="AH160" s="34" t="s">
        <v>4092</v>
      </c>
      <c r="AL160" s="34">
        <v>1440</v>
      </c>
      <c r="AM160" s="40" t="s">
        <v>9</v>
      </c>
      <c r="AP160" s="34">
        <v>0</v>
      </c>
      <c r="AQ160" s="34">
        <v>990</v>
      </c>
      <c r="AR160" s="34">
        <v>578</v>
      </c>
      <c r="AT160" s="44">
        <v>76700</v>
      </c>
      <c r="AU160" s="44"/>
      <c r="AV160" s="46">
        <f>ROUND(Товары[[#This Row],[РРЦ финальная, руб.]]/$AU$1,2)</f>
        <v>0</v>
      </c>
      <c r="AW160" s="45" t="str">
        <f>IFERROR(Товары[[#This Row],[РРЦ, евро]]/Товары[[#This Row],[IRP, Eur]],"-")</f>
        <v>-</v>
      </c>
      <c r="AX160" s="42">
        <f>IFERROR(VLOOKUP(Товары[[#This Row],[SubGroup]],'Структура цен DIY'!$B:$C,2,FALSE),0)</f>
        <v>0.29999999999999993</v>
      </c>
      <c r="AY160" s="44">
        <v>0</v>
      </c>
    </row>
    <row r="161" spans="1:51" x14ac:dyDescent="0.25">
      <c r="A161" s="34">
        <v>159</v>
      </c>
      <c r="B161" s="34" t="s">
        <v>56</v>
      </c>
      <c r="C161" s="110" t="str">
        <f>IFERROR(INDEX(Структура_ассортимента[SuperCategory],MATCH(Товары[[#This Row],[SubGroup]],Структура_ассортимента[Subgroup],0)),"")</f>
        <v>A</v>
      </c>
      <c r="D16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6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61" s="110" t="str">
        <f>IFERROR(INDEX(Структура_ассортимента[Product group],MATCH(Товары[[#This Row],[SubGroup]],Структура_ассортимента[Subgroup],0)),"")</f>
        <v>AMC_C</v>
      </c>
      <c r="G161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61" s="110" t="str">
        <f>IFERROR(INDEX(Структура_ассортимента[Generic Name (long)3],MATCH(Товары[[#This Row],[SubGroup]],Структура_ассортимента[Subgroup],0)),"")</f>
        <v>Секаторы</v>
      </c>
      <c r="I161" s="36">
        <v>9211</v>
      </c>
      <c r="J161" s="36" t="str">
        <f>IFERROR(INDEX(Структура_ассортимента[Generic Name (long)],MATCH(Товары[[#This Row],[SubGroup]],Структура_ассортимента[Subgroup],0)),"")</f>
        <v>SECATEUR, ANVIL</v>
      </c>
      <c r="L161" s="36">
        <v>901187901</v>
      </c>
      <c r="M161" s="35" t="s">
        <v>1845</v>
      </c>
      <c r="O161" s="35" t="s">
        <v>4093</v>
      </c>
      <c r="P161" s="37" t="s">
        <v>4094</v>
      </c>
      <c r="Q161" s="34" t="s">
        <v>3549</v>
      </c>
      <c r="R161" s="34" t="s">
        <v>3540</v>
      </c>
      <c r="S161" s="47">
        <v>38626</v>
      </c>
      <c r="T161" s="47">
        <v>0</v>
      </c>
      <c r="U161" s="47">
        <v>0</v>
      </c>
      <c r="V161" s="34">
        <v>4078500875431</v>
      </c>
      <c r="W161" s="34" t="s">
        <v>3548</v>
      </c>
      <c r="X161" s="34" t="s">
        <v>3579</v>
      </c>
      <c r="Y161" s="34" t="s">
        <v>3542</v>
      </c>
      <c r="Z161" s="34">
        <v>30</v>
      </c>
      <c r="AA161" s="34" t="s">
        <v>4095</v>
      </c>
      <c r="AB161" s="34" t="s">
        <v>4095</v>
      </c>
      <c r="AC161" s="34" t="s">
        <v>3996</v>
      </c>
      <c r="AD161" s="34" t="s">
        <v>3996</v>
      </c>
      <c r="AE161" s="34" t="s">
        <v>3920</v>
      </c>
      <c r="AF161" s="34" t="s">
        <v>3754</v>
      </c>
      <c r="AG161" s="34" t="s">
        <v>3804</v>
      </c>
      <c r="AH161" s="34" t="s">
        <v>4096</v>
      </c>
      <c r="AI161" s="34" t="s">
        <v>3920</v>
      </c>
      <c r="AJ161" s="34" t="s">
        <v>4097</v>
      </c>
      <c r="AK161" s="34" t="s">
        <v>3804</v>
      </c>
      <c r="AL161" s="34">
        <v>2700</v>
      </c>
      <c r="AM161" s="40" t="s">
        <v>233</v>
      </c>
      <c r="AP161" s="34">
        <v>0</v>
      </c>
      <c r="AQ161" s="34">
        <v>899</v>
      </c>
      <c r="AR161" s="34">
        <v>524</v>
      </c>
      <c r="AT161" s="44">
        <v>69600</v>
      </c>
      <c r="AU161" s="44"/>
      <c r="AV161" s="46">
        <f>ROUND(Товары[[#This Row],[РРЦ финальная, руб.]]/$AU$1,2)</f>
        <v>0</v>
      </c>
      <c r="AW161" s="45" t="str">
        <f>IFERROR(Товары[[#This Row],[РРЦ, евро]]/Товары[[#This Row],[IRP, Eur]],"-")</f>
        <v>-</v>
      </c>
      <c r="AX161" s="42">
        <f>IFERROR(VLOOKUP(Товары[[#This Row],[SubGroup]],'Структура цен DIY'!$B:$C,2,FALSE),0)</f>
        <v>0.29999999999999993</v>
      </c>
      <c r="AY161" s="44">
        <v>0</v>
      </c>
    </row>
    <row r="162" spans="1:51" x14ac:dyDescent="0.25">
      <c r="A162" s="34">
        <v>160</v>
      </c>
      <c r="B162" s="34" t="s">
        <v>56</v>
      </c>
      <c r="C162" s="110" t="str">
        <f>IFERROR(INDEX(Структура_ассортимента[SuperCategory],MATCH(Товары[[#This Row],[SubGroup]],Структура_ассортимента[Subgroup],0)),"")</f>
        <v>A</v>
      </c>
      <c r="D16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6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62" s="110" t="str">
        <f>IFERROR(INDEX(Структура_ассортимента[Product group],MATCH(Товары[[#This Row],[SubGroup]],Структура_ассортимента[Subgroup],0)),"")</f>
        <v>AMC_C</v>
      </c>
      <c r="G162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62" s="110" t="str">
        <f>IFERROR(INDEX(Структура_ассортимента[Generic Name (long)3],MATCH(Товары[[#This Row],[SubGroup]],Структура_ассортимента[Subgroup],0)),"")</f>
        <v>Секаторы</v>
      </c>
      <c r="I162" s="36">
        <v>9211</v>
      </c>
      <c r="J162" s="36" t="str">
        <f>IFERROR(INDEX(Структура_ассортимента[Generic Name (long)],MATCH(Товары[[#This Row],[SubGroup]],Структура_ассортимента[Subgroup],0)),"")</f>
        <v>SECATEUR, ANVIL</v>
      </c>
      <c r="L162" s="36">
        <v>901187601</v>
      </c>
      <c r="M162" s="35" t="s">
        <v>1846</v>
      </c>
      <c r="O162" s="35" t="s">
        <v>4098</v>
      </c>
      <c r="P162" s="37" t="s">
        <v>4099</v>
      </c>
      <c r="Q162" s="34" t="s">
        <v>3549</v>
      </c>
      <c r="R162" s="34" t="s">
        <v>3540</v>
      </c>
      <c r="S162" s="47">
        <v>38261</v>
      </c>
      <c r="T162" s="47">
        <v>0</v>
      </c>
      <c r="U162" s="47">
        <v>0</v>
      </c>
      <c r="V162" s="34">
        <v>4078500875400</v>
      </c>
      <c r="W162" s="34" t="s">
        <v>3548</v>
      </c>
      <c r="X162" s="34" t="s">
        <v>3579</v>
      </c>
      <c r="Y162" s="34" t="s">
        <v>3542</v>
      </c>
      <c r="Z162" s="34">
        <v>10</v>
      </c>
      <c r="AA162" s="34" t="s">
        <v>4100</v>
      </c>
      <c r="AB162" s="34" t="s">
        <v>4100</v>
      </c>
      <c r="AC162" s="34" t="s">
        <v>4101</v>
      </c>
      <c r="AD162" s="34" t="s">
        <v>4101</v>
      </c>
      <c r="AE162" s="34" t="s">
        <v>4102</v>
      </c>
      <c r="AF162" s="34" t="s">
        <v>3560</v>
      </c>
      <c r="AG162" s="34" t="s">
        <v>3804</v>
      </c>
      <c r="AH162" s="34" t="s">
        <v>4103</v>
      </c>
      <c r="AI162" s="34" t="s">
        <v>3920</v>
      </c>
      <c r="AJ162" s="34" t="s">
        <v>4097</v>
      </c>
      <c r="AK162" s="34" t="s">
        <v>3804</v>
      </c>
      <c r="AL162" s="34">
        <v>1540</v>
      </c>
      <c r="AM162" s="40" t="s">
        <v>9</v>
      </c>
      <c r="AP162" s="34">
        <v>0</v>
      </c>
      <c r="AQ162" s="34">
        <v>803</v>
      </c>
      <c r="AR162" s="34">
        <v>468</v>
      </c>
      <c r="AT162" s="44">
        <v>62200</v>
      </c>
      <c r="AU162" s="44"/>
      <c r="AV162" s="46">
        <f>ROUND(Товары[[#This Row],[РРЦ финальная, руб.]]/$AU$1,2)</f>
        <v>0</v>
      </c>
      <c r="AW162" s="45" t="str">
        <f>IFERROR(Товары[[#This Row],[РРЦ, евро]]/Товары[[#This Row],[IRP, Eur]],"-")</f>
        <v>-</v>
      </c>
      <c r="AX162" s="42">
        <f>IFERROR(VLOOKUP(Товары[[#This Row],[SubGroup]],'Структура цен DIY'!$B:$C,2,FALSE),0)</f>
        <v>0.29999999999999993</v>
      </c>
      <c r="AY162" s="44">
        <v>0</v>
      </c>
    </row>
    <row r="163" spans="1:51" x14ac:dyDescent="0.25">
      <c r="A163" s="34">
        <v>161</v>
      </c>
      <c r="B163" s="34" t="s">
        <v>56</v>
      </c>
      <c r="C163" s="110" t="str">
        <f>IFERROR(INDEX(Структура_ассортимента[SuperCategory],MATCH(Товары[[#This Row],[SubGroup]],Структура_ассортимента[Subgroup],0)),"")</f>
        <v>A</v>
      </c>
      <c r="D16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6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63" s="110" t="str">
        <f>IFERROR(INDEX(Структура_ассортимента[Product group],MATCH(Товары[[#This Row],[SubGroup]],Структура_ассортимента[Subgroup],0)),"")</f>
        <v>AMC_C</v>
      </c>
      <c r="G163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63" s="110" t="str">
        <f>IFERROR(INDEX(Структура_ассортимента[Generic Name (long)3],MATCH(Товары[[#This Row],[SubGroup]],Структура_ассортимента[Subgroup],0)),"")</f>
        <v>Секаторы</v>
      </c>
      <c r="I163" s="36">
        <v>9211</v>
      </c>
      <c r="J163" s="36" t="str">
        <f>IFERROR(INDEX(Структура_ассортимента[Generic Name (long)],MATCH(Товары[[#This Row],[SubGroup]],Структура_ассортимента[Subgroup],0)),"")</f>
        <v>SECATEUR, ANVIL</v>
      </c>
      <c r="L163" s="36">
        <v>967086301</v>
      </c>
      <c r="M163" s="35" t="s">
        <v>1847</v>
      </c>
      <c r="Q163" s="34" t="s">
        <v>3549</v>
      </c>
      <c r="R163" s="34" t="s">
        <v>3540</v>
      </c>
      <c r="S163" s="47">
        <v>42583</v>
      </c>
      <c r="T163" s="47">
        <v>0</v>
      </c>
      <c r="U163" s="47">
        <v>0</v>
      </c>
      <c r="V163" s="34">
        <v>4078500022965</v>
      </c>
      <c r="W163" s="34" t="s">
        <v>3548</v>
      </c>
      <c r="X163" s="34" t="s">
        <v>3579</v>
      </c>
      <c r="Y163" s="34" t="s">
        <v>3542</v>
      </c>
      <c r="Z163" s="34">
        <v>60</v>
      </c>
      <c r="AB163" s="34" t="s">
        <v>4095</v>
      </c>
      <c r="AD163" s="34" t="s">
        <v>3996</v>
      </c>
      <c r="AE163" s="34" t="s">
        <v>3920</v>
      </c>
      <c r="AF163" s="34" t="s">
        <v>3754</v>
      </c>
      <c r="AG163" s="34" t="s">
        <v>3804</v>
      </c>
      <c r="AH163" s="34" t="s">
        <v>4096</v>
      </c>
      <c r="AI163" s="34" t="s">
        <v>3920</v>
      </c>
      <c r="AJ163" s="34" t="s">
        <v>4097</v>
      </c>
      <c r="AK163" s="34" t="s">
        <v>3804</v>
      </c>
      <c r="AL163" s="34" t="s">
        <v>3747</v>
      </c>
      <c r="AM163" s="40" t="s">
        <v>8095</v>
      </c>
      <c r="AT163" s="44">
        <v>0</v>
      </c>
      <c r="AU163" s="44"/>
      <c r="AV163" s="46">
        <f>ROUND(Товары[[#This Row],[РРЦ финальная, руб.]]/$AU$1,2)</f>
        <v>0</v>
      </c>
      <c r="AW163" s="45" t="str">
        <f>IFERROR(Товары[[#This Row],[РРЦ, евро]]/Товары[[#This Row],[IRP, Eur]],"-")</f>
        <v>-</v>
      </c>
      <c r="AX163" s="42">
        <f>IFERROR(VLOOKUP(Товары[[#This Row],[SubGroup]],'Структура цен DIY'!$B:$C,2,FALSE),0)</f>
        <v>0.29999999999999993</v>
      </c>
      <c r="AY163" s="44">
        <v>0</v>
      </c>
    </row>
    <row r="164" spans="1:51" x14ac:dyDescent="0.25">
      <c r="A164" s="34">
        <v>162</v>
      </c>
      <c r="B164" s="34" t="s">
        <v>56</v>
      </c>
      <c r="C164" s="110" t="str">
        <f>IFERROR(INDEX(Структура_ассортимента[SuperCategory],MATCH(Товары[[#This Row],[SubGroup]],Структура_ассортимента[Subgroup],0)),"")</f>
        <v>A</v>
      </c>
      <c r="D16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6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64" s="110" t="str">
        <f>IFERROR(INDEX(Структура_ассортимента[Product group],MATCH(Товары[[#This Row],[SubGroup]],Структура_ассортимента[Subgroup],0)),"")</f>
        <v>AMC_C</v>
      </c>
      <c r="G164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64" s="110" t="str">
        <f>IFERROR(INDEX(Структура_ассортимента[Generic Name (long)3],MATCH(Товары[[#This Row],[SubGroup]],Структура_ассортимента[Subgroup],0)),"")</f>
        <v>Секаторы</v>
      </c>
      <c r="I164" s="36">
        <v>9211</v>
      </c>
      <c r="J164" s="36" t="str">
        <f>IFERROR(INDEX(Структура_ассортимента[Generic Name (long)],MATCH(Товары[[#This Row],[SubGroup]],Структура_ассортимента[Subgroup],0)),"")</f>
        <v>SECATEUR, ANVIL</v>
      </c>
      <c r="L164" s="36">
        <v>967047801</v>
      </c>
      <c r="M164" s="35" t="s">
        <v>1848</v>
      </c>
      <c r="O164" s="35" t="s">
        <v>4104</v>
      </c>
      <c r="P164" s="37" t="s">
        <v>4105</v>
      </c>
      <c r="Q164" s="34" t="s">
        <v>3549</v>
      </c>
      <c r="R164" s="34" t="s">
        <v>3540</v>
      </c>
      <c r="S164" s="47">
        <v>42583</v>
      </c>
      <c r="T164" s="47">
        <v>0</v>
      </c>
      <c r="U164" s="47">
        <v>0</v>
      </c>
      <c r="V164" s="34">
        <v>4078500018647</v>
      </c>
      <c r="W164" s="34" t="s">
        <v>3548</v>
      </c>
      <c r="X164" s="34" t="s">
        <v>3579</v>
      </c>
      <c r="Y164" s="34" t="s">
        <v>3542</v>
      </c>
      <c r="Z164" s="34">
        <v>10</v>
      </c>
      <c r="AA164" s="34" t="s">
        <v>4100</v>
      </c>
      <c r="AB164" s="34" t="s">
        <v>4106</v>
      </c>
      <c r="AC164" s="34" t="s">
        <v>4101</v>
      </c>
      <c r="AD164" s="34" t="s">
        <v>4107</v>
      </c>
      <c r="AE164" s="34" t="s">
        <v>4108</v>
      </c>
      <c r="AF164" s="34" t="s">
        <v>3566</v>
      </c>
      <c r="AG164" s="34" t="s">
        <v>3932</v>
      </c>
      <c r="AH164" s="34" t="s">
        <v>4109</v>
      </c>
      <c r="AI164" s="34" t="s">
        <v>4110</v>
      </c>
      <c r="AJ164" s="34" t="s">
        <v>4097</v>
      </c>
      <c r="AK164" s="34" t="s">
        <v>4111</v>
      </c>
      <c r="AL164" s="34" t="s">
        <v>4112</v>
      </c>
      <c r="AM164" s="40" t="s">
        <v>9</v>
      </c>
      <c r="AP164" s="34">
        <v>0</v>
      </c>
      <c r="AQ164" s="34">
        <v>929</v>
      </c>
      <c r="AR164" s="34">
        <v>542</v>
      </c>
      <c r="AT164" s="44">
        <v>72000</v>
      </c>
      <c r="AU164" s="44"/>
      <c r="AV164" s="46">
        <f>ROUND(Товары[[#This Row],[РРЦ финальная, руб.]]/$AU$1,2)</f>
        <v>0</v>
      </c>
      <c r="AW164" s="45" t="str">
        <f>IFERROR(Товары[[#This Row],[РРЦ, евро]]/Товары[[#This Row],[IRP, Eur]],"-")</f>
        <v>-</v>
      </c>
      <c r="AX164" s="42">
        <f>IFERROR(VLOOKUP(Товары[[#This Row],[SubGroup]],'Структура цен DIY'!$B:$C,2,FALSE),0)</f>
        <v>0.29999999999999993</v>
      </c>
      <c r="AY164" s="44">
        <v>0</v>
      </c>
    </row>
    <row r="165" spans="1:51" x14ac:dyDescent="0.25">
      <c r="A165" s="34">
        <v>163</v>
      </c>
      <c r="B165" s="34" t="s">
        <v>56</v>
      </c>
      <c r="C165" s="110" t="str">
        <f>IFERROR(INDEX(Структура_ассортимента[SuperCategory],MATCH(Товары[[#This Row],[SubGroup]],Структура_ассортимента[Subgroup],0)),"")</f>
        <v>A</v>
      </c>
      <c r="D16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6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65" s="110" t="str">
        <f>IFERROR(INDEX(Структура_ассортимента[Product group],MATCH(Товары[[#This Row],[SubGroup]],Структура_ассортимента[Subgroup],0)),"")</f>
        <v>AMC_C</v>
      </c>
      <c r="G165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65" s="110" t="str">
        <f>IFERROR(INDEX(Структура_ассортимента[Generic Name (long)3],MATCH(Товары[[#This Row],[SubGroup]],Структура_ассортимента[Subgroup],0)),"")</f>
        <v>Секаторы</v>
      </c>
      <c r="I165" s="36">
        <v>9211</v>
      </c>
      <c r="J165" s="36" t="str">
        <f>IFERROR(INDEX(Структура_ассортимента[Generic Name (long)],MATCH(Товары[[#This Row],[SubGroup]],Структура_ассортимента[Subgroup],0)),"")</f>
        <v>SECATEUR, ANVIL</v>
      </c>
      <c r="L165" s="36">
        <v>967047901</v>
      </c>
      <c r="M165" s="35" t="s">
        <v>1849</v>
      </c>
      <c r="O165" s="35" t="s">
        <v>4113</v>
      </c>
      <c r="P165" s="37" t="s">
        <v>4114</v>
      </c>
      <c r="Q165" s="34" t="s">
        <v>3549</v>
      </c>
      <c r="R165" s="34" t="s">
        <v>3540</v>
      </c>
      <c r="S165" s="47">
        <v>42583</v>
      </c>
      <c r="T165" s="47">
        <v>0</v>
      </c>
      <c r="U165" s="47">
        <v>0</v>
      </c>
      <c r="V165" s="34">
        <v>4078500018661</v>
      </c>
      <c r="W165" s="34" t="s">
        <v>3548</v>
      </c>
      <c r="X165" s="34" t="s">
        <v>3579</v>
      </c>
      <c r="Y165" s="34" t="s">
        <v>3542</v>
      </c>
      <c r="Z165" s="34">
        <v>10</v>
      </c>
      <c r="AA165" s="34" t="s">
        <v>4115</v>
      </c>
      <c r="AB165" s="34" t="s">
        <v>4116</v>
      </c>
      <c r="AC165" s="34" t="s">
        <v>3670</v>
      </c>
      <c r="AD165" s="34" t="s">
        <v>3806</v>
      </c>
      <c r="AE165" s="34" t="s">
        <v>4108</v>
      </c>
      <c r="AF165" s="34" t="s">
        <v>3566</v>
      </c>
      <c r="AG165" s="34" t="s">
        <v>3932</v>
      </c>
      <c r="AH165" s="34" t="s">
        <v>4109</v>
      </c>
      <c r="AI165" s="34" t="s">
        <v>4117</v>
      </c>
      <c r="AJ165" s="34" t="s">
        <v>4097</v>
      </c>
      <c r="AK165" s="34" t="s">
        <v>4111</v>
      </c>
      <c r="AL165" s="34" t="s">
        <v>4112</v>
      </c>
      <c r="AM165" s="40" t="s">
        <v>9</v>
      </c>
      <c r="AP165" s="34">
        <v>0</v>
      </c>
      <c r="AQ165" s="34">
        <v>929</v>
      </c>
      <c r="AR165" s="34">
        <v>542</v>
      </c>
      <c r="AT165" s="44">
        <v>72000</v>
      </c>
      <c r="AU165" s="44"/>
      <c r="AV165" s="46">
        <f>ROUND(Товары[[#This Row],[РРЦ финальная, руб.]]/$AU$1,2)</f>
        <v>0</v>
      </c>
      <c r="AW165" s="45" t="str">
        <f>IFERROR(Товары[[#This Row],[РРЦ, евро]]/Товары[[#This Row],[IRP, Eur]],"-")</f>
        <v>-</v>
      </c>
      <c r="AX165" s="42">
        <f>IFERROR(VLOOKUP(Товары[[#This Row],[SubGroup]],'Структура цен DIY'!$B:$C,2,FALSE),0)</f>
        <v>0.29999999999999993</v>
      </c>
      <c r="AY165" s="44">
        <v>0</v>
      </c>
    </row>
    <row r="166" spans="1:51" x14ac:dyDescent="0.25">
      <c r="A166" s="34">
        <v>164</v>
      </c>
      <c r="B166" s="34" t="s">
        <v>56</v>
      </c>
      <c r="C166" s="110" t="str">
        <f>IFERROR(INDEX(Структура_ассортимента[SuperCategory],MATCH(Товары[[#This Row],[SubGroup]],Структура_ассортимента[Subgroup],0)),"")</f>
        <v>A</v>
      </c>
      <c r="D16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6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66" s="110" t="str">
        <f>IFERROR(INDEX(Структура_ассортимента[Product group],MATCH(Товары[[#This Row],[SubGroup]],Структура_ассортимента[Subgroup],0)),"")</f>
        <v>AMC_C</v>
      </c>
      <c r="G166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66" s="110" t="str">
        <f>IFERROR(INDEX(Структура_ассортимента[Generic Name (long)3],MATCH(Товары[[#This Row],[SubGroup]],Структура_ассортимента[Subgroup],0)),"")</f>
        <v>Секаторы</v>
      </c>
      <c r="I166" s="36">
        <v>9211</v>
      </c>
      <c r="J166" s="36" t="str">
        <f>IFERROR(INDEX(Структура_ассортимента[Generic Name (long)],MATCH(Товары[[#This Row],[SubGroup]],Структура_ассортимента[Subgroup],0)),"")</f>
        <v>SECATEUR, ANVIL</v>
      </c>
      <c r="L166" s="36">
        <v>967048001</v>
      </c>
      <c r="M166" s="35" t="s">
        <v>1850</v>
      </c>
      <c r="O166" s="35" t="s">
        <v>4118</v>
      </c>
      <c r="P166" s="37" t="s">
        <v>4119</v>
      </c>
      <c r="Q166" s="34" t="s">
        <v>3549</v>
      </c>
      <c r="R166" s="34" t="s">
        <v>3540</v>
      </c>
      <c r="S166" s="47">
        <v>42583</v>
      </c>
      <c r="T166" s="47">
        <v>0</v>
      </c>
      <c r="U166" s="47">
        <v>0</v>
      </c>
      <c r="V166" s="34">
        <v>4078500018685</v>
      </c>
      <c r="W166" s="34" t="s">
        <v>3548</v>
      </c>
      <c r="X166" s="34" t="s">
        <v>3579</v>
      </c>
      <c r="Y166" s="34" t="s">
        <v>3542</v>
      </c>
      <c r="Z166" s="34">
        <v>10</v>
      </c>
      <c r="AA166" s="34" t="s">
        <v>4120</v>
      </c>
      <c r="AB166" s="34" t="s">
        <v>4121</v>
      </c>
      <c r="AC166" s="34" t="s">
        <v>3996</v>
      </c>
      <c r="AD166" s="34" t="s">
        <v>4122</v>
      </c>
      <c r="AE166" s="34" t="s">
        <v>4108</v>
      </c>
      <c r="AF166" s="34" t="s">
        <v>3566</v>
      </c>
      <c r="AG166" s="34" t="s">
        <v>3932</v>
      </c>
      <c r="AH166" s="34" t="s">
        <v>4109</v>
      </c>
      <c r="AI166" s="34" t="s">
        <v>3829</v>
      </c>
      <c r="AJ166" s="34" t="s">
        <v>4097</v>
      </c>
      <c r="AK166" s="34" t="s">
        <v>4111</v>
      </c>
      <c r="AL166" s="34" t="s">
        <v>4112</v>
      </c>
      <c r="AM166" s="40" t="s">
        <v>9</v>
      </c>
      <c r="AP166" s="34">
        <v>0</v>
      </c>
      <c r="AQ166" s="34">
        <v>1269</v>
      </c>
      <c r="AR166" s="34">
        <v>740</v>
      </c>
      <c r="AT166" s="44">
        <v>98300</v>
      </c>
      <c r="AU166" s="44"/>
      <c r="AV166" s="46">
        <f>ROUND(Товары[[#This Row],[РРЦ финальная, руб.]]/$AU$1,2)</f>
        <v>0</v>
      </c>
      <c r="AW166" s="45" t="str">
        <f>IFERROR(Товары[[#This Row],[РРЦ, евро]]/Товары[[#This Row],[IRP, Eur]],"-")</f>
        <v>-</v>
      </c>
      <c r="AX166" s="42">
        <f>IFERROR(VLOOKUP(Товары[[#This Row],[SubGroup]],'Структура цен DIY'!$B:$C,2,FALSE),0)</f>
        <v>0.29999999999999993</v>
      </c>
      <c r="AY166" s="44">
        <v>0</v>
      </c>
    </row>
    <row r="167" spans="1:51" x14ac:dyDescent="0.25">
      <c r="A167" s="34">
        <v>165</v>
      </c>
      <c r="B167" s="34" t="s">
        <v>56</v>
      </c>
      <c r="C167" s="110" t="str">
        <f>IFERROR(INDEX(Структура_ассортимента[SuperCategory],MATCH(Товары[[#This Row],[SubGroup]],Структура_ассортимента[Subgroup],0)),"")</f>
        <v>A</v>
      </c>
      <c r="D16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6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67" s="110" t="str">
        <f>IFERROR(INDEX(Структура_ассортимента[Product group],MATCH(Товары[[#This Row],[SubGroup]],Структура_ассортимента[Subgroup],0)),"")</f>
        <v>AMC_C</v>
      </c>
      <c r="G167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67" s="110" t="str">
        <f>IFERROR(INDEX(Структура_ассортимента[Generic Name (long)3],MATCH(Товары[[#This Row],[SubGroup]],Структура_ассортимента[Subgroup],0)),"")</f>
        <v>Секаторы</v>
      </c>
      <c r="I167" s="36">
        <v>9211</v>
      </c>
      <c r="J167" s="36" t="str">
        <f>IFERROR(INDEX(Структура_ассортимента[Generic Name (long)],MATCH(Товары[[#This Row],[SubGroup]],Структура_ассортимента[Subgroup],0)),"")</f>
        <v>SECATEUR, ANVIL</v>
      </c>
      <c r="L167" s="36">
        <v>967044901</v>
      </c>
      <c r="M167" s="35" t="s">
        <v>1851</v>
      </c>
      <c r="Q167" s="34" t="s">
        <v>3549</v>
      </c>
      <c r="R167" s="34" t="s">
        <v>3540</v>
      </c>
      <c r="S167" s="47">
        <v>42583</v>
      </c>
      <c r="T167" s="47">
        <v>0</v>
      </c>
      <c r="U167" s="47">
        <v>0</v>
      </c>
      <c r="V167" s="34">
        <v>4078500018623</v>
      </c>
      <c r="W167" s="34" t="s">
        <v>3548</v>
      </c>
      <c r="X167" s="34" t="s">
        <v>3579</v>
      </c>
      <c r="Y167" s="34" t="s">
        <v>3542</v>
      </c>
      <c r="Z167" s="34">
        <v>30</v>
      </c>
      <c r="AB167" s="34" t="s">
        <v>4006</v>
      </c>
      <c r="AD167" s="34" t="s">
        <v>3734</v>
      </c>
      <c r="AE167" s="34" t="s">
        <v>4108</v>
      </c>
      <c r="AF167" s="34" t="s">
        <v>3566</v>
      </c>
      <c r="AG167" s="34" t="s">
        <v>3932</v>
      </c>
      <c r="AH167" s="34" t="s">
        <v>4109</v>
      </c>
      <c r="AL167" s="34" t="s">
        <v>3747</v>
      </c>
      <c r="AM167" s="40" t="s">
        <v>8095</v>
      </c>
      <c r="AT167" s="44">
        <v>0</v>
      </c>
      <c r="AU167" s="44"/>
      <c r="AV167" s="46">
        <f>ROUND(Товары[[#This Row],[РРЦ финальная, руб.]]/$AU$1,2)</f>
        <v>0</v>
      </c>
      <c r="AW167" s="45" t="str">
        <f>IFERROR(Товары[[#This Row],[РРЦ, евро]]/Товары[[#This Row],[IRP, Eur]],"-")</f>
        <v>-</v>
      </c>
      <c r="AX167" s="42">
        <f>IFERROR(VLOOKUP(Товары[[#This Row],[SubGroup]],'Структура цен DIY'!$B:$C,2,FALSE),0)</f>
        <v>0.29999999999999993</v>
      </c>
      <c r="AY167" s="44">
        <v>0</v>
      </c>
    </row>
    <row r="168" spans="1:51" x14ac:dyDescent="0.25">
      <c r="A168" s="34">
        <v>166</v>
      </c>
      <c r="B168" s="34" t="s">
        <v>56</v>
      </c>
      <c r="C168" s="110" t="str">
        <f>IFERROR(INDEX(Структура_ассортимента[SuperCategory],MATCH(Товары[[#This Row],[SubGroup]],Структура_ассортимента[Subgroup],0)),"")</f>
        <v>A</v>
      </c>
      <c r="D16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6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68" s="110" t="str">
        <f>IFERROR(INDEX(Структура_ассортимента[Product group],MATCH(Товары[[#This Row],[SubGroup]],Структура_ассортимента[Subgroup],0)),"")</f>
        <v>AMC_C</v>
      </c>
      <c r="G168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68" s="110" t="str">
        <f>IFERROR(INDEX(Структура_ассортимента[Generic Name (long)3],MATCH(Товары[[#This Row],[SubGroup]],Структура_ассортимента[Subgroup],0)),"")</f>
        <v>Секаторы</v>
      </c>
      <c r="I168" s="36">
        <v>9211</v>
      </c>
      <c r="J168" s="36" t="str">
        <f>IFERROR(INDEX(Структура_ассортимента[Generic Name (long)],MATCH(Товары[[#This Row],[SubGroup]],Структура_ассортимента[Subgroup],0)),"")</f>
        <v>SECATEUR, ANVIL</v>
      </c>
      <c r="L168" s="36">
        <v>967078701</v>
      </c>
      <c r="M168" s="35" t="s">
        <v>1852</v>
      </c>
      <c r="Q168" s="34" t="s">
        <v>3652</v>
      </c>
      <c r="R168" s="34" t="s">
        <v>3540</v>
      </c>
      <c r="S168" s="47">
        <v>42583</v>
      </c>
      <c r="T168" s="47">
        <v>0</v>
      </c>
      <c r="U168" s="47">
        <v>43830</v>
      </c>
      <c r="V168" s="34">
        <v>4078500022736</v>
      </c>
      <c r="W168" s="34" t="s">
        <v>3548</v>
      </c>
      <c r="X168" s="34" t="s">
        <v>3579</v>
      </c>
      <c r="Y168" s="34" t="s">
        <v>3542</v>
      </c>
      <c r="Z168" s="34">
        <v>1</v>
      </c>
      <c r="AB168" s="34" t="s">
        <v>4123</v>
      </c>
      <c r="AD168" s="34" t="s">
        <v>4124</v>
      </c>
      <c r="AE168" s="34" t="s">
        <v>4125</v>
      </c>
      <c r="AF168" s="34" t="s">
        <v>3772</v>
      </c>
      <c r="AG168" s="34" t="s">
        <v>4102</v>
      </c>
      <c r="AH168" s="34" t="s">
        <v>4126</v>
      </c>
      <c r="AL168" s="34" t="s">
        <v>3858</v>
      </c>
      <c r="AM168" s="40" t="s">
        <v>8095</v>
      </c>
      <c r="AT168" s="44">
        <v>0</v>
      </c>
      <c r="AU168" s="44"/>
      <c r="AV168" s="46">
        <f>ROUND(Товары[[#This Row],[РРЦ финальная, руб.]]/$AU$1,2)</f>
        <v>0</v>
      </c>
      <c r="AW168" s="45" t="str">
        <f>IFERROR(Товары[[#This Row],[РРЦ, евро]]/Товары[[#This Row],[IRP, Eur]],"-")</f>
        <v>-</v>
      </c>
      <c r="AX168" s="42">
        <f>IFERROR(VLOOKUP(Товары[[#This Row],[SubGroup]],'Структура цен DIY'!$B:$C,2,FALSE),0)</f>
        <v>0.29999999999999993</v>
      </c>
      <c r="AY168" s="44">
        <v>0</v>
      </c>
    </row>
    <row r="169" spans="1:51" x14ac:dyDescent="0.25">
      <c r="A169" s="34">
        <v>167</v>
      </c>
      <c r="B169" s="34" t="s">
        <v>56</v>
      </c>
      <c r="C169" s="110" t="str">
        <f>IFERROR(INDEX(Структура_ассортимента[SuperCategory],MATCH(Товары[[#This Row],[SubGroup]],Структура_ассортимента[Subgroup],0)),"")</f>
        <v>A</v>
      </c>
      <c r="D16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6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69" s="110" t="str">
        <f>IFERROR(INDEX(Структура_ассортимента[Product group],MATCH(Товары[[#This Row],[SubGroup]],Структура_ассортимента[Subgroup],0)),"")</f>
        <v>AMC_C</v>
      </c>
      <c r="G169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69" s="110" t="str">
        <f>IFERROR(INDEX(Структура_ассортимента[Generic Name (long)3],MATCH(Товары[[#This Row],[SubGroup]],Структура_ассортимента[Subgroup],0)),"")</f>
        <v>Секаторы</v>
      </c>
      <c r="I169" s="36">
        <v>9211</v>
      </c>
      <c r="J169" s="36" t="str">
        <f>IFERROR(INDEX(Структура_ассортимента[Generic Name (long)],MATCH(Товары[[#This Row],[SubGroup]],Структура_ассортимента[Subgroup],0)),"")</f>
        <v>SECATEUR, ANVIL</v>
      </c>
      <c r="L169" s="36">
        <v>967078801</v>
      </c>
      <c r="M169" s="35" t="s">
        <v>1853</v>
      </c>
      <c r="O169" s="35" t="s">
        <v>4127</v>
      </c>
      <c r="P169" s="37" t="s">
        <v>4128</v>
      </c>
      <c r="Q169" s="34" t="s">
        <v>3549</v>
      </c>
      <c r="R169" s="34" t="s">
        <v>3540</v>
      </c>
      <c r="S169" s="47">
        <v>42583</v>
      </c>
      <c r="T169" s="47">
        <v>0</v>
      </c>
      <c r="U169" s="47">
        <v>0</v>
      </c>
      <c r="V169" s="34">
        <v>4078500022712</v>
      </c>
      <c r="W169" s="34" t="s">
        <v>3548</v>
      </c>
      <c r="X169" s="34" t="s">
        <v>3579</v>
      </c>
      <c r="Y169" s="34" t="s">
        <v>3542</v>
      </c>
      <c r="Z169" s="34">
        <v>14</v>
      </c>
      <c r="AB169" s="34" t="s">
        <v>4006</v>
      </c>
      <c r="AD169" s="34" t="s">
        <v>3734</v>
      </c>
      <c r="AE169" s="34" t="s">
        <v>4108</v>
      </c>
      <c r="AF169" s="34" t="s">
        <v>3566</v>
      </c>
      <c r="AG169" s="34" t="s">
        <v>3932</v>
      </c>
      <c r="AH169" s="34" t="s">
        <v>4109</v>
      </c>
      <c r="AL169" s="34" t="s">
        <v>4129</v>
      </c>
      <c r="AM169" s="40" t="s">
        <v>9</v>
      </c>
      <c r="AP169" s="34">
        <v>0</v>
      </c>
      <c r="AQ169" s="34">
        <v>1059</v>
      </c>
      <c r="AR169" s="34">
        <v>615</v>
      </c>
      <c r="AT169" s="44">
        <v>82000</v>
      </c>
      <c r="AU169" s="44"/>
      <c r="AV169" s="46">
        <f>ROUND(Товары[[#This Row],[РРЦ финальная, руб.]]/$AU$1,2)</f>
        <v>0</v>
      </c>
      <c r="AW169" s="45" t="str">
        <f>IFERROR(Товары[[#This Row],[РРЦ, евро]]/Товары[[#This Row],[IRP, Eur]],"-")</f>
        <v>-</v>
      </c>
      <c r="AX169" s="42">
        <f>IFERROR(VLOOKUP(Товары[[#This Row],[SubGroup]],'Структура цен DIY'!$B:$C,2,FALSE),0)</f>
        <v>0.29999999999999993</v>
      </c>
      <c r="AY169" s="44">
        <v>0</v>
      </c>
    </row>
    <row r="170" spans="1:51" x14ac:dyDescent="0.25">
      <c r="A170" s="34">
        <v>168</v>
      </c>
      <c r="B170" s="34" t="s">
        <v>56</v>
      </c>
      <c r="C170" s="110" t="str">
        <f>IFERROR(INDEX(Структура_ассортимента[SuperCategory],MATCH(Товары[[#This Row],[SubGroup]],Структура_ассортимента[Subgroup],0)),"")</f>
        <v>A</v>
      </c>
      <c r="D17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7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70" s="110" t="str">
        <f>IFERROR(INDEX(Структура_ассортимента[Product group],MATCH(Товары[[#This Row],[SubGroup]],Структура_ассортимента[Subgroup],0)),"")</f>
        <v>AMC_C</v>
      </c>
      <c r="G170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70" s="110" t="str">
        <f>IFERROR(INDEX(Структура_ассортимента[Generic Name (long)3],MATCH(Товары[[#This Row],[SubGroup]],Структура_ассортимента[Subgroup],0)),"")</f>
        <v>Секаторы</v>
      </c>
      <c r="I170" s="36">
        <v>9211</v>
      </c>
      <c r="J170" s="36" t="str">
        <f>IFERROR(INDEX(Структура_ассортимента[Generic Name (long)],MATCH(Товары[[#This Row],[SubGroup]],Структура_ассортимента[Subgroup],0)),"")</f>
        <v>SECATEUR, ANVIL</v>
      </c>
      <c r="L170" s="36">
        <v>967790801</v>
      </c>
      <c r="M170" s="35" t="s">
        <v>1854</v>
      </c>
      <c r="Q170" s="34" t="s">
        <v>3549</v>
      </c>
      <c r="R170" s="34" t="s">
        <v>3540</v>
      </c>
      <c r="S170" s="47">
        <v>43101</v>
      </c>
      <c r="T170" s="47">
        <v>0</v>
      </c>
      <c r="U170" s="47">
        <v>0</v>
      </c>
      <c r="V170" s="34">
        <v>4078500036559</v>
      </c>
      <c r="W170" s="34" t="s">
        <v>3543</v>
      </c>
      <c r="X170" s="34" t="s">
        <v>3579</v>
      </c>
      <c r="Y170" s="34" t="s">
        <v>3542</v>
      </c>
      <c r="Z170" s="34">
        <v>30</v>
      </c>
      <c r="AB170" s="34" t="s">
        <v>4006</v>
      </c>
      <c r="AD170" s="34" t="s">
        <v>3734</v>
      </c>
      <c r="AE170" s="34" t="s">
        <v>4108</v>
      </c>
      <c r="AF170" s="34" t="s">
        <v>3566</v>
      </c>
      <c r="AG170" s="34" t="s">
        <v>3932</v>
      </c>
      <c r="AH170" s="34" t="s">
        <v>4109</v>
      </c>
      <c r="AL170" s="34" t="s">
        <v>3747</v>
      </c>
      <c r="AM170" s="40" t="s">
        <v>8095</v>
      </c>
      <c r="AT170" s="44">
        <v>0</v>
      </c>
      <c r="AU170" s="44"/>
      <c r="AV170" s="46">
        <f>ROUND(Товары[[#This Row],[РРЦ финальная, руб.]]/$AU$1,2)</f>
        <v>0</v>
      </c>
      <c r="AW170" s="45" t="str">
        <f>IFERROR(Товары[[#This Row],[РРЦ, евро]]/Товары[[#This Row],[IRP, Eur]],"-")</f>
        <v>-</v>
      </c>
      <c r="AX170" s="42">
        <f>IFERROR(VLOOKUP(Товары[[#This Row],[SubGroup]],'Структура цен DIY'!$B:$C,2,FALSE),0)</f>
        <v>0.29999999999999993</v>
      </c>
      <c r="AY170" s="44">
        <v>0</v>
      </c>
    </row>
    <row r="171" spans="1:51" x14ac:dyDescent="0.25">
      <c r="A171" s="34">
        <v>169</v>
      </c>
      <c r="B171" s="34" t="s">
        <v>56</v>
      </c>
      <c r="C171" s="110" t="str">
        <f>IFERROR(INDEX(Структура_ассортимента[SuperCategory],MATCH(Товары[[#This Row],[SubGroup]],Структура_ассортимента[Subgroup],0)),"")</f>
        <v>A</v>
      </c>
      <c r="D17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7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71" s="110" t="str">
        <f>IFERROR(INDEX(Структура_ассортимента[Product group],MATCH(Товары[[#This Row],[SubGroup]],Структура_ассортимента[Subgroup],0)),"")</f>
        <v>AMC_C</v>
      </c>
      <c r="G171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71" s="110" t="str">
        <f>IFERROR(INDEX(Структура_ассортимента[Generic Name (long)3],MATCH(Товары[[#This Row],[SubGroup]],Структура_ассортимента[Subgroup],0)),"")</f>
        <v>Секаторы</v>
      </c>
      <c r="I171" s="36">
        <v>9211</v>
      </c>
      <c r="J171" s="36" t="str">
        <f>IFERROR(INDEX(Структура_ассортимента[Generic Name (long)],MATCH(Товары[[#This Row],[SubGroup]],Структура_ассортимента[Subgroup],0)),"")</f>
        <v>SECATEUR, ANVIL</v>
      </c>
      <c r="L171" s="36">
        <v>967654001</v>
      </c>
      <c r="M171" s="35" t="s">
        <v>1855</v>
      </c>
      <c r="O171" s="35" t="s">
        <v>4130</v>
      </c>
      <c r="P171" s="37" t="s">
        <v>4131</v>
      </c>
      <c r="Q171" s="34" t="s">
        <v>3549</v>
      </c>
      <c r="R171" s="34" t="s">
        <v>3540</v>
      </c>
      <c r="S171" s="47">
        <v>42736</v>
      </c>
      <c r="T171" s="47">
        <v>0</v>
      </c>
      <c r="U171" s="47">
        <v>0</v>
      </c>
      <c r="V171" s="34">
        <v>4078500030380</v>
      </c>
      <c r="W171" s="34" t="s">
        <v>3548</v>
      </c>
      <c r="X171" s="34" t="s">
        <v>3579</v>
      </c>
      <c r="Y171" s="34" t="s">
        <v>3542</v>
      </c>
      <c r="Z171" s="34">
        <v>10</v>
      </c>
      <c r="AB171" s="34" t="s">
        <v>4132</v>
      </c>
      <c r="AD171" s="34" t="s">
        <v>3990</v>
      </c>
      <c r="AE171" s="34" t="s">
        <v>4108</v>
      </c>
      <c r="AF171" s="34" t="s">
        <v>3566</v>
      </c>
      <c r="AG171" s="34" t="s">
        <v>3932</v>
      </c>
      <c r="AH171" s="34" t="s">
        <v>4109</v>
      </c>
      <c r="AI171" s="34" t="s">
        <v>3826</v>
      </c>
      <c r="AJ171" s="34" t="s">
        <v>4111</v>
      </c>
      <c r="AK171" s="34" t="s">
        <v>4133</v>
      </c>
      <c r="AL171" s="34" t="s">
        <v>4112</v>
      </c>
      <c r="AM171" s="40" t="s">
        <v>9</v>
      </c>
      <c r="AP171" s="34">
        <v>0</v>
      </c>
      <c r="AQ171" s="34">
        <v>1379</v>
      </c>
      <c r="AR171" s="34">
        <v>804</v>
      </c>
      <c r="AT171" s="44">
        <v>106800</v>
      </c>
      <c r="AU171" s="44"/>
      <c r="AV171" s="46">
        <f>ROUND(Товары[[#This Row],[РРЦ финальная, руб.]]/$AU$1,2)</f>
        <v>0</v>
      </c>
      <c r="AW171" s="45" t="str">
        <f>IFERROR(Товары[[#This Row],[РРЦ, евро]]/Товары[[#This Row],[IRP, Eur]],"-")</f>
        <v>-</v>
      </c>
      <c r="AX171" s="42">
        <f>IFERROR(VLOOKUP(Товары[[#This Row],[SubGroup]],'Структура цен DIY'!$B:$C,2,FALSE),0)</f>
        <v>0.29999999999999993</v>
      </c>
      <c r="AY171" s="44">
        <v>0</v>
      </c>
    </row>
    <row r="172" spans="1:51" x14ac:dyDescent="0.25">
      <c r="A172" s="34">
        <v>170</v>
      </c>
      <c r="B172" s="34" t="s">
        <v>56</v>
      </c>
      <c r="C172" s="110" t="str">
        <f>IFERROR(INDEX(Структура_ассортимента[SuperCategory],MATCH(Товары[[#This Row],[SubGroup]],Структура_ассортимента[Subgroup],0)),"")</f>
        <v>A</v>
      </c>
      <c r="D17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7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72" s="110" t="str">
        <f>IFERROR(INDEX(Структура_ассортимента[Product group],MATCH(Товары[[#This Row],[SubGroup]],Структура_ассортимента[Subgroup],0)),"")</f>
        <v>AMC_C</v>
      </c>
      <c r="G172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72" s="110" t="str">
        <f>IFERROR(INDEX(Структура_ассортимента[Generic Name (long)3],MATCH(Товары[[#This Row],[SubGroup]],Структура_ассортимента[Subgroup],0)),"")</f>
        <v>Секаторы</v>
      </c>
      <c r="I172" s="36">
        <v>9211</v>
      </c>
      <c r="J172" s="36" t="str">
        <f>IFERROR(INDEX(Структура_ассортимента[Generic Name (long)],MATCH(Товары[[#This Row],[SubGroup]],Структура_ассортимента[Subgroup],0)),"")</f>
        <v>SECATEUR, ANVIL</v>
      </c>
      <c r="L172" s="36">
        <v>966453001</v>
      </c>
      <c r="M172" s="35" t="s">
        <v>1856</v>
      </c>
      <c r="O172" s="35" t="s">
        <v>4134</v>
      </c>
      <c r="P172" s="37" t="s">
        <v>4135</v>
      </c>
      <c r="Q172" s="34" t="s">
        <v>3549</v>
      </c>
      <c r="R172" s="34" t="s">
        <v>3540</v>
      </c>
      <c r="S172" s="47">
        <v>40087</v>
      </c>
      <c r="T172" s="47">
        <v>0</v>
      </c>
      <c r="U172" s="47">
        <v>0</v>
      </c>
      <c r="V172" s="34">
        <v>4078500879804</v>
      </c>
      <c r="W172" s="34" t="s">
        <v>3548</v>
      </c>
      <c r="X172" s="34" t="s">
        <v>3579</v>
      </c>
      <c r="Y172" s="34" t="s">
        <v>3542</v>
      </c>
      <c r="Z172" s="34">
        <v>5</v>
      </c>
      <c r="AA172" s="34" t="s">
        <v>4136</v>
      </c>
      <c r="AB172" s="34" t="s">
        <v>4136</v>
      </c>
      <c r="AC172" s="34" t="s">
        <v>3691</v>
      </c>
      <c r="AD172" s="34" t="s">
        <v>3691</v>
      </c>
      <c r="AE172" s="34" t="s">
        <v>4137</v>
      </c>
      <c r="AF172" s="34" t="s">
        <v>3588</v>
      </c>
      <c r="AG172" s="34" t="s">
        <v>3932</v>
      </c>
      <c r="AH172" s="34" t="s">
        <v>4138</v>
      </c>
      <c r="AI172" s="34" t="s">
        <v>3828</v>
      </c>
      <c r="AJ172" s="34" t="s">
        <v>4139</v>
      </c>
      <c r="AK172" s="34" t="s">
        <v>4111</v>
      </c>
      <c r="AL172" s="34">
        <v>700</v>
      </c>
      <c r="AM172" s="40" t="s">
        <v>9</v>
      </c>
      <c r="AP172" s="34">
        <v>0</v>
      </c>
      <c r="AQ172" s="34">
        <v>4149</v>
      </c>
      <c r="AR172" s="34">
        <v>2524</v>
      </c>
      <c r="AT172" s="44">
        <v>321400</v>
      </c>
      <c r="AU172" s="44"/>
      <c r="AV172" s="46">
        <f>ROUND(Товары[[#This Row],[РРЦ финальная, руб.]]/$AU$1,2)</f>
        <v>0</v>
      </c>
      <c r="AW172" s="45" t="str">
        <f>IFERROR(Товары[[#This Row],[РРЦ, евро]]/Товары[[#This Row],[IRP, Eur]],"-")</f>
        <v>-</v>
      </c>
      <c r="AX172" s="42">
        <f>IFERROR(VLOOKUP(Товары[[#This Row],[SubGroup]],'Структура цен DIY'!$B:$C,2,FALSE),0)</f>
        <v>0.29999999999999993</v>
      </c>
      <c r="AY172" s="44">
        <v>0</v>
      </c>
    </row>
    <row r="173" spans="1:51" x14ac:dyDescent="0.25">
      <c r="A173" s="34">
        <v>171</v>
      </c>
      <c r="B173" s="34" t="s">
        <v>56</v>
      </c>
      <c r="C173" s="110" t="str">
        <f>IFERROR(INDEX(Структура_ассортимента[SuperCategory],MATCH(Товары[[#This Row],[SubGroup]],Структура_ассортимента[Subgroup],0)),"")</f>
        <v>A</v>
      </c>
      <c r="D17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7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73" s="110" t="str">
        <f>IFERROR(INDEX(Структура_ассортимента[Product group],MATCH(Товары[[#This Row],[SubGroup]],Структура_ассортимента[Subgroup],0)),"")</f>
        <v>AMC_C</v>
      </c>
      <c r="G173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73" s="110" t="str">
        <f>IFERROR(INDEX(Структура_ассортимента[Generic Name (long)3],MATCH(Товары[[#This Row],[SubGroup]],Структура_ассортимента[Subgroup],0)),"")</f>
        <v>Секаторы</v>
      </c>
      <c r="I173" s="36">
        <v>9211</v>
      </c>
      <c r="J173" s="36" t="str">
        <f>IFERROR(INDEX(Структура_ассортимента[Generic Name (long)],MATCH(Товары[[#This Row],[SubGroup]],Структура_ассортимента[Subgroup],0)),"")</f>
        <v>SECATEUR, ANVIL</v>
      </c>
      <c r="L173" s="36">
        <v>967048101</v>
      </c>
      <c r="M173" s="35" t="s">
        <v>1857</v>
      </c>
      <c r="Q173" s="34" t="s">
        <v>3549</v>
      </c>
      <c r="R173" s="34" t="s">
        <v>3540</v>
      </c>
      <c r="S173" s="47">
        <v>42401</v>
      </c>
      <c r="T173" s="47">
        <v>0</v>
      </c>
      <c r="U173" s="47">
        <v>0</v>
      </c>
      <c r="V173" s="34">
        <v>4078500018708</v>
      </c>
      <c r="W173" s="34" t="s">
        <v>3548</v>
      </c>
      <c r="X173" s="34" t="s">
        <v>3579</v>
      </c>
      <c r="Y173" s="34" t="s">
        <v>3542</v>
      </c>
      <c r="Z173" s="34">
        <v>30</v>
      </c>
      <c r="AB173" s="34" t="s">
        <v>4140</v>
      </c>
      <c r="AD173" s="34" t="s">
        <v>4141</v>
      </c>
      <c r="AE173" s="34" t="s">
        <v>4137</v>
      </c>
      <c r="AF173" s="34" t="s">
        <v>3566</v>
      </c>
      <c r="AG173" s="34" t="s">
        <v>3932</v>
      </c>
      <c r="AH173" s="34" t="s">
        <v>4142</v>
      </c>
      <c r="AL173" s="34" t="s">
        <v>3747</v>
      </c>
      <c r="AM173" s="40" t="s">
        <v>8095</v>
      </c>
      <c r="AT173" s="44">
        <v>0</v>
      </c>
      <c r="AU173" s="44"/>
      <c r="AV173" s="46">
        <f>ROUND(Товары[[#This Row],[РРЦ финальная, руб.]]/$AU$1,2)</f>
        <v>0</v>
      </c>
      <c r="AW173" s="45" t="str">
        <f>IFERROR(Товары[[#This Row],[РРЦ, евро]]/Товары[[#This Row],[IRP, Eur]],"-")</f>
        <v>-</v>
      </c>
      <c r="AX173" s="42">
        <f>IFERROR(VLOOKUP(Товары[[#This Row],[SubGroup]],'Структура цен DIY'!$B:$C,2,FALSE),0)</f>
        <v>0.29999999999999993</v>
      </c>
      <c r="AY173" s="44">
        <v>0</v>
      </c>
    </row>
    <row r="174" spans="1:51" x14ac:dyDescent="0.25">
      <c r="A174" s="34">
        <v>172</v>
      </c>
      <c r="B174" s="34" t="s">
        <v>56</v>
      </c>
      <c r="C174" s="110" t="str">
        <f>IFERROR(INDEX(Структура_ассортимента[SuperCategory],MATCH(Товары[[#This Row],[SubGroup]],Структура_ассортимента[Subgroup],0)),"")</f>
        <v>A</v>
      </c>
      <c r="D17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7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74" s="110" t="str">
        <f>IFERROR(INDEX(Структура_ассортимента[Product group],MATCH(Товары[[#This Row],[SubGroup]],Структура_ассортимента[Subgroup],0)),"")</f>
        <v>AMC_C</v>
      </c>
      <c r="G174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74" s="110" t="str">
        <f>IFERROR(INDEX(Структура_ассортимента[Generic Name (long)3],MATCH(Товары[[#This Row],[SubGroup]],Структура_ассортимента[Subgroup],0)),"")</f>
        <v>Секаторы</v>
      </c>
      <c r="I174" s="36">
        <v>9211</v>
      </c>
      <c r="J174" s="36" t="str">
        <f>IFERROR(INDEX(Структура_ассортимента[Generic Name (long)],MATCH(Товары[[#This Row],[SubGroup]],Структура_ассортимента[Subgroup],0)),"")</f>
        <v>SECATEUR, ANVIL</v>
      </c>
      <c r="L174" s="36">
        <v>967078901</v>
      </c>
      <c r="M174" s="35" t="s">
        <v>1858</v>
      </c>
      <c r="Q174" s="34" t="s">
        <v>3652</v>
      </c>
      <c r="R174" s="34" t="s">
        <v>3540</v>
      </c>
      <c r="S174" s="47">
        <v>42583</v>
      </c>
      <c r="T174" s="47">
        <v>0</v>
      </c>
      <c r="U174" s="47">
        <v>43830</v>
      </c>
      <c r="V174" s="34">
        <v>4078500022705</v>
      </c>
      <c r="W174" s="34" t="s">
        <v>3548</v>
      </c>
      <c r="X174" s="34" t="s">
        <v>3579</v>
      </c>
      <c r="Y174" s="34" t="s">
        <v>3542</v>
      </c>
      <c r="Z174" s="34">
        <v>1</v>
      </c>
      <c r="AB174" s="34" t="s">
        <v>4143</v>
      </c>
      <c r="AD174" s="34" t="s">
        <v>4144</v>
      </c>
      <c r="AE174" s="34" t="s">
        <v>4145</v>
      </c>
      <c r="AF174" s="34" t="s">
        <v>3772</v>
      </c>
      <c r="AG174" s="34" t="s">
        <v>4102</v>
      </c>
      <c r="AH174" s="34" t="s">
        <v>4146</v>
      </c>
      <c r="AL174" s="34" t="s">
        <v>3858</v>
      </c>
      <c r="AM174" s="40" t="s">
        <v>8095</v>
      </c>
      <c r="AT174" s="44">
        <v>0</v>
      </c>
      <c r="AU174" s="44"/>
      <c r="AV174" s="46">
        <f>ROUND(Товары[[#This Row],[РРЦ финальная, руб.]]/$AU$1,2)</f>
        <v>0</v>
      </c>
      <c r="AW174" s="45" t="str">
        <f>IFERROR(Товары[[#This Row],[РРЦ, евро]]/Товары[[#This Row],[IRP, Eur]],"-")</f>
        <v>-</v>
      </c>
      <c r="AX174" s="42">
        <f>IFERROR(VLOOKUP(Товары[[#This Row],[SubGroup]],'Структура цен DIY'!$B:$C,2,FALSE),0)</f>
        <v>0.29999999999999993</v>
      </c>
      <c r="AY174" s="44">
        <v>0</v>
      </c>
    </row>
    <row r="175" spans="1:51" x14ac:dyDescent="0.25">
      <c r="A175" s="34">
        <v>173</v>
      </c>
      <c r="B175" s="34" t="s">
        <v>56</v>
      </c>
      <c r="C175" s="110" t="str">
        <f>IFERROR(INDEX(Структура_ассортимента[SuperCategory],MATCH(Товары[[#This Row],[SubGroup]],Структура_ассортимента[Subgroup],0)),"")</f>
        <v>A</v>
      </c>
      <c r="D17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7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75" s="110" t="str">
        <f>IFERROR(INDEX(Структура_ассортимента[Product group],MATCH(Товары[[#This Row],[SubGroup]],Структура_ассортимента[Subgroup],0)),"")</f>
        <v>AMC_C</v>
      </c>
      <c r="G175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75" s="110" t="str">
        <f>IFERROR(INDEX(Структура_ассортимента[Generic Name (long)3],MATCH(Товары[[#This Row],[SubGroup]],Структура_ассортимента[Subgroup],0)),"")</f>
        <v>Секаторы</v>
      </c>
      <c r="I175" s="36">
        <v>9211</v>
      </c>
      <c r="J175" s="36" t="str">
        <f>IFERROR(INDEX(Структура_ассортимента[Generic Name (long)],MATCH(Товары[[#This Row],[SubGroup]],Структура_ассортимента[Subgroup],0)),"")</f>
        <v>SECATEUR, ANVIL</v>
      </c>
      <c r="L175" s="36">
        <v>967079101</v>
      </c>
      <c r="M175" s="35" t="s">
        <v>1859</v>
      </c>
      <c r="Q175" s="34" t="s">
        <v>3549</v>
      </c>
      <c r="R175" s="34" t="s">
        <v>3540</v>
      </c>
      <c r="S175" s="47">
        <v>42583</v>
      </c>
      <c r="T175" s="47">
        <v>0</v>
      </c>
      <c r="U175" s="47">
        <v>0</v>
      </c>
      <c r="V175" s="34">
        <v>4078500022743</v>
      </c>
      <c r="W175" s="34" t="s">
        <v>3548</v>
      </c>
      <c r="X175" s="34" t="s">
        <v>3579</v>
      </c>
      <c r="Y175" s="34" t="s">
        <v>3542</v>
      </c>
      <c r="Z175" s="34">
        <v>14</v>
      </c>
      <c r="AB175" s="34" t="s">
        <v>4147</v>
      </c>
      <c r="AD175" s="34" t="s">
        <v>4141</v>
      </c>
      <c r="AE175" s="34" t="s">
        <v>4137</v>
      </c>
      <c r="AF175" s="34" t="s">
        <v>3566</v>
      </c>
      <c r="AG175" s="34" t="s">
        <v>3932</v>
      </c>
      <c r="AH175" s="34" t="s">
        <v>4142</v>
      </c>
      <c r="AL175" s="34" t="s">
        <v>4129</v>
      </c>
      <c r="AM175" s="40" t="s">
        <v>8095</v>
      </c>
      <c r="AT175" s="44">
        <v>0</v>
      </c>
      <c r="AU175" s="44"/>
      <c r="AV175" s="46">
        <f>ROUND(Товары[[#This Row],[РРЦ финальная, руб.]]/$AU$1,2)</f>
        <v>0</v>
      </c>
      <c r="AW175" s="45" t="str">
        <f>IFERROR(Товары[[#This Row],[РРЦ, евро]]/Товары[[#This Row],[IRP, Eur]],"-")</f>
        <v>-</v>
      </c>
      <c r="AX175" s="42">
        <f>IFERROR(VLOOKUP(Товары[[#This Row],[SubGroup]],'Структура цен DIY'!$B:$C,2,FALSE),0)</f>
        <v>0.29999999999999993</v>
      </c>
      <c r="AY175" s="44">
        <v>0</v>
      </c>
    </row>
    <row r="176" spans="1:51" x14ac:dyDescent="0.25">
      <c r="A176" s="34">
        <v>174</v>
      </c>
      <c r="B176" s="34" t="s">
        <v>56</v>
      </c>
      <c r="C176" s="110" t="str">
        <f>IFERROR(INDEX(Структура_ассортимента[SuperCategory],MATCH(Товары[[#This Row],[SubGroup]],Структура_ассортимента[Subgroup],0)),"")</f>
        <v>A</v>
      </c>
      <c r="D17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7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76" s="110" t="str">
        <f>IFERROR(INDEX(Структура_ассортимента[Product group],MATCH(Товары[[#This Row],[SubGroup]],Структура_ассортимента[Subgroup],0)),"")</f>
        <v>AMC_C</v>
      </c>
      <c r="G176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76" s="110" t="str">
        <f>IFERROR(INDEX(Структура_ассортимента[Generic Name (long)3],MATCH(Товары[[#This Row],[SubGroup]],Структура_ассортимента[Subgroup],0)),"")</f>
        <v>Секаторы</v>
      </c>
      <c r="I176" s="36">
        <v>9211</v>
      </c>
      <c r="J176" s="36" t="str">
        <f>IFERROR(INDEX(Структура_ассортимента[Generic Name (long)],MATCH(Товары[[#This Row],[SubGroup]],Структура_ассортимента[Subgroup],0)),"")</f>
        <v>SECATEUR, ANVIL</v>
      </c>
      <c r="L176" s="36">
        <v>967048201</v>
      </c>
      <c r="M176" s="35" t="s">
        <v>1860</v>
      </c>
      <c r="O176" s="35" t="s">
        <v>4148</v>
      </c>
      <c r="P176" s="37" t="s">
        <v>4149</v>
      </c>
      <c r="Q176" s="34" t="s">
        <v>3549</v>
      </c>
      <c r="R176" s="34" t="s">
        <v>3540</v>
      </c>
      <c r="S176" s="47">
        <v>42583</v>
      </c>
      <c r="T176" s="47">
        <v>0</v>
      </c>
      <c r="U176" s="47">
        <v>0</v>
      </c>
      <c r="V176" s="34">
        <v>4078500018722</v>
      </c>
      <c r="W176" s="34" t="s">
        <v>3548</v>
      </c>
      <c r="X176" s="34" t="s">
        <v>3579</v>
      </c>
      <c r="Y176" s="34" t="s">
        <v>3542</v>
      </c>
      <c r="Z176" s="34">
        <v>5</v>
      </c>
      <c r="AA176" s="34" t="s">
        <v>4150</v>
      </c>
      <c r="AB176" s="34" t="s">
        <v>4151</v>
      </c>
      <c r="AC176" s="34" t="s">
        <v>4152</v>
      </c>
      <c r="AD176" s="34" t="s">
        <v>4147</v>
      </c>
      <c r="AE176" s="34" t="s">
        <v>4137</v>
      </c>
      <c r="AF176" s="34" t="s">
        <v>3566</v>
      </c>
      <c r="AG176" s="34" t="s">
        <v>3932</v>
      </c>
      <c r="AH176" s="34" t="s">
        <v>4142</v>
      </c>
      <c r="AI176" s="34" t="s">
        <v>3829</v>
      </c>
      <c r="AJ176" s="34" t="s">
        <v>4153</v>
      </c>
      <c r="AK176" s="34" t="s">
        <v>4111</v>
      </c>
      <c r="AL176" s="34" t="s">
        <v>4154</v>
      </c>
      <c r="AM176" s="40" t="s">
        <v>9</v>
      </c>
      <c r="AP176" s="34">
        <v>0</v>
      </c>
      <c r="AQ176" s="34">
        <v>1869</v>
      </c>
      <c r="AR176" s="34">
        <v>1090</v>
      </c>
      <c r="AT176" s="44">
        <v>144800</v>
      </c>
      <c r="AU176" s="44"/>
      <c r="AV176" s="46">
        <f>ROUND(Товары[[#This Row],[РРЦ финальная, руб.]]/$AU$1,2)</f>
        <v>0</v>
      </c>
      <c r="AW176" s="45" t="str">
        <f>IFERROR(Товары[[#This Row],[РРЦ, евро]]/Товары[[#This Row],[IRP, Eur]],"-")</f>
        <v>-</v>
      </c>
      <c r="AX176" s="42">
        <f>IFERROR(VLOOKUP(Товары[[#This Row],[SubGroup]],'Структура цен DIY'!$B:$C,2,FALSE),0)</f>
        <v>0.29999999999999993</v>
      </c>
      <c r="AY176" s="44">
        <v>0</v>
      </c>
    </row>
    <row r="177" spans="1:51" x14ac:dyDescent="0.25">
      <c r="A177" s="34">
        <v>175</v>
      </c>
      <c r="B177" s="34" t="s">
        <v>56</v>
      </c>
      <c r="C177" s="110" t="str">
        <f>IFERROR(INDEX(Структура_ассортимента[SuperCategory],MATCH(Товары[[#This Row],[SubGroup]],Структура_ассортимента[Subgroup],0)),"")</f>
        <v>A</v>
      </c>
      <c r="D17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7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77" s="110" t="str">
        <f>IFERROR(INDEX(Структура_ассортимента[Product group],MATCH(Товары[[#This Row],[SubGroup]],Структура_ассортимента[Subgroup],0)),"")</f>
        <v>AMC_C</v>
      </c>
      <c r="G177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77" s="110" t="str">
        <f>IFERROR(INDEX(Структура_ассортимента[Generic Name (long)3],MATCH(Товары[[#This Row],[SubGroup]],Структура_ассортимента[Subgroup],0)),"")</f>
        <v>Секаторы</v>
      </c>
      <c r="I177" s="36">
        <v>9211</v>
      </c>
      <c r="J177" s="36" t="str">
        <f>IFERROR(INDEX(Структура_ассортимента[Generic Name (long)],MATCH(Товары[[#This Row],[SubGroup]],Структура_ассортимента[Subgroup],0)),"")</f>
        <v>SECATEUR, ANVIL</v>
      </c>
      <c r="L177" s="36">
        <v>967048301</v>
      </c>
      <c r="M177" s="35" t="s">
        <v>1861</v>
      </c>
      <c r="O177" s="35" t="s">
        <v>4155</v>
      </c>
      <c r="P177" s="37" t="s">
        <v>4156</v>
      </c>
      <c r="Q177" s="34" t="s">
        <v>3549</v>
      </c>
      <c r="R177" s="34" t="s">
        <v>3540</v>
      </c>
      <c r="S177" s="47">
        <v>42583</v>
      </c>
      <c r="T177" s="47">
        <v>0</v>
      </c>
      <c r="U177" s="47">
        <v>0</v>
      </c>
      <c r="V177" s="34">
        <v>4078500018746</v>
      </c>
      <c r="W177" s="34" t="s">
        <v>3548</v>
      </c>
      <c r="X177" s="34" t="s">
        <v>3579</v>
      </c>
      <c r="Y177" s="34" t="s">
        <v>3542</v>
      </c>
      <c r="Z177" s="34">
        <v>5</v>
      </c>
      <c r="AA177" s="34" t="s">
        <v>4157</v>
      </c>
      <c r="AB177" s="34" t="s">
        <v>4158</v>
      </c>
      <c r="AC177" s="34" t="s">
        <v>4159</v>
      </c>
      <c r="AD177" s="34" t="s">
        <v>4147</v>
      </c>
      <c r="AE177" s="34" t="s">
        <v>4137</v>
      </c>
      <c r="AF177" s="34" t="s">
        <v>3566</v>
      </c>
      <c r="AG177" s="34" t="s">
        <v>3932</v>
      </c>
      <c r="AH177" s="34" t="s">
        <v>4142</v>
      </c>
      <c r="AI177" s="34" t="s">
        <v>4160</v>
      </c>
      <c r="AJ177" s="34" t="s">
        <v>4161</v>
      </c>
      <c r="AK177" s="34" t="s">
        <v>4111</v>
      </c>
      <c r="AL177" s="34" t="s">
        <v>4154</v>
      </c>
      <c r="AM177" s="40" t="s">
        <v>9</v>
      </c>
      <c r="AP177" s="34">
        <v>0</v>
      </c>
      <c r="AQ177" s="34">
        <v>1729</v>
      </c>
      <c r="AR177" s="34">
        <v>1009</v>
      </c>
      <c r="AT177" s="44">
        <v>133900</v>
      </c>
      <c r="AU177" s="44"/>
      <c r="AV177" s="46">
        <f>ROUND(Товары[[#This Row],[РРЦ финальная, руб.]]/$AU$1,2)</f>
        <v>0</v>
      </c>
      <c r="AW177" s="45" t="str">
        <f>IFERROR(Товары[[#This Row],[РРЦ, евро]]/Товары[[#This Row],[IRP, Eur]],"-")</f>
        <v>-</v>
      </c>
      <c r="AX177" s="42">
        <f>IFERROR(VLOOKUP(Товары[[#This Row],[SubGroup]],'Структура цен DIY'!$B:$C,2,FALSE),0)</f>
        <v>0.29999999999999993</v>
      </c>
      <c r="AY177" s="44">
        <v>0</v>
      </c>
    </row>
    <row r="178" spans="1:51" x14ac:dyDescent="0.25">
      <c r="A178" s="34">
        <v>176</v>
      </c>
      <c r="B178" s="34" t="s">
        <v>56</v>
      </c>
      <c r="C178" s="110" t="str">
        <f>IFERROR(INDEX(Структура_ассортимента[SuperCategory],MATCH(Товары[[#This Row],[SubGroup]],Структура_ассортимента[Subgroup],0)),"")</f>
        <v>A</v>
      </c>
      <c r="D17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7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78" s="110" t="str">
        <f>IFERROR(INDEX(Структура_ассортимента[Product group],MATCH(Товары[[#This Row],[SubGroup]],Структура_ассортимента[Subgroup],0)),"")</f>
        <v>AMC_C</v>
      </c>
      <c r="G178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78" s="110" t="str">
        <f>IFERROR(INDEX(Структура_ассортимента[Generic Name (long)3],MATCH(Товары[[#This Row],[SubGroup]],Структура_ассортимента[Subgroup],0)),"")</f>
        <v>Секаторы</v>
      </c>
      <c r="I178" s="36">
        <v>9211</v>
      </c>
      <c r="J178" s="36" t="str">
        <f>IFERROR(INDEX(Структура_ассортимента[Generic Name (long)],MATCH(Товары[[#This Row],[SubGroup]],Структура_ассортимента[Subgroup],0)),"")</f>
        <v>SECATEUR, ANVIL</v>
      </c>
      <c r="L178" s="36">
        <v>967048401</v>
      </c>
      <c r="M178" s="35" t="s">
        <v>1862</v>
      </c>
      <c r="O178" s="35" t="s">
        <v>4162</v>
      </c>
      <c r="P178" s="37" t="s">
        <v>4163</v>
      </c>
      <c r="Q178" s="34" t="s">
        <v>3549</v>
      </c>
      <c r="R178" s="34" t="s">
        <v>3540</v>
      </c>
      <c r="S178" s="47">
        <v>42583</v>
      </c>
      <c r="T178" s="47">
        <v>0</v>
      </c>
      <c r="U178" s="47">
        <v>0</v>
      </c>
      <c r="V178" s="34">
        <v>4078500018760</v>
      </c>
      <c r="W178" s="34" t="s">
        <v>3548</v>
      </c>
      <c r="X178" s="34" t="s">
        <v>3579</v>
      </c>
      <c r="Y178" s="34" t="s">
        <v>3542</v>
      </c>
      <c r="Z178" s="34">
        <v>5</v>
      </c>
      <c r="AA178" s="34" t="s">
        <v>4147</v>
      </c>
      <c r="AB178" s="34" t="s">
        <v>4164</v>
      </c>
      <c r="AC178" s="34" t="s">
        <v>4159</v>
      </c>
      <c r="AD178" s="34" t="s">
        <v>4165</v>
      </c>
      <c r="AE178" s="34" t="s">
        <v>4137</v>
      </c>
      <c r="AF178" s="34" t="s">
        <v>3566</v>
      </c>
      <c r="AG178" s="34" t="s">
        <v>3932</v>
      </c>
      <c r="AH178" s="34" t="s">
        <v>4142</v>
      </c>
      <c r="AI178" s="34" t="s">
        <v>4160</v>
      </c>
      <c r="AJ178" s="34" t="s">
        <v>4161</v>
      </c>
      <c r="AK178" s="34" t="s">
        <v>4111</v>
      </c>
      <c r="AL178" s="34" t="s">
        <v>4154</v>
      </c>
      <c r="AM178" s="40" t="s">
        <v>9</v>
      </c>
      <c r="AP178" s="34">
        <v>0</v>
      </c>
      <c r="AQ178" s="34">
        <v>2799</v>
      </c>
      <c r="AR178" s="34">
        <v>1633</v>
      </c>
      <c r="AT178" s="44">
        <v>216800</v>
      </c>
      <c r="AU178" s="44"/>
      <c r="AV178" s="46">
        <f>ROUND(Товары[[#This Row],[РРЦ финальная, руб.]]/$AU$1,2)</f>
        <v>0</v>
      </c>
      <c r="AW178" s="45" t="str">
        <f>IFERROR(Товары[[#This Row],[РРЦ, евро]]/Товары[[#This Row],[IRP, Eur]],"-")</f>
        <v>-</v>
      </c>
      <c r="AX178" s="42">
        <f>IFERROR(VLOOKUP(Товары[[#This Row],[SubGroup]],'Структура цен DIY'!$B:$C,2,FALSE),0)</f>
        <v>0.29999999999999993</v>
      </c>
      <c r="AY178" s="44">
        <v>0</v>
      </c>
    </row>
    <row r="179" spans="1:51" x14ac:dyDescent="0.25">
      <c r="A179" s="34">
        <v>177</v>
      </c>
      <c r="B179" s="34" t="s">
        <v>56</v>
      </c>
      <c r="C179" s="110" t="str">
        <f>IFERROR(INDEX(Структура_ассортимента[SuperCategory],MATCH(Товары[[#This Row],[SubGroup]],Структура_ассортимента[Subgroup],0)),"")</f>
        <v>A</v>
      </c>
      <c r="D17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7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79" s="110" t="str">
        <f>IFERROR(INDEX(Структура_ассортимента[Product group],MATCH(Товары[[#This Row],[SubGroup]],Структура_ассортимента[Subgroup],0)),"")</f>
        <v>AMC_C</v>
      </c>
      <c r="G179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79" s="110" t="str">
        <f>IFERROR(INDEX(Структура_ассортимента[Generic Name (long)3],MATCH(Товары[[#This Row],[SubGroup]],Структура_ассортимента[Subgroup],0)),"")</f>
        <v>Секаторы</v>
      </c>
      <c r="I179" s="36">
        <v>9211</v>
      </c>
      <c r="J179" s="36" t="str">
        <f>IFERROR(INDEX(Структура_ассортимента[Generic Name (long)],MATCH(Товары[[#This Row],[SubGroup]],Структура_ассортимента[Subgroup],0)),"")</f>
        <v>SECATEUR, ANVIL</v>
      </c>
      <c r="L179" s="36">
        <v>967048501</v>
      </c>
      <c r="M179" s="35" t="s">
        <v>1863</v>
      </c>
      <c r="O179" s="35" t="s">
        <v>4166</v>
      </c>
      <c r="P179" s="37" t="s">
        <v>4167</v>
      </c>
      <c r="Q179" s="34" t="s">
        <v>3549</v>
      </c>
      <c r="R179" s="34" t="s">
        <v>3540</v>
      </c>
      <c r="S179" s="47">
        <v>42583</v>
      </c>
      <c r="T179" s="47">
        <v>0</v>
      </c>
      <c r="U179" s="47">
        <v>0</v>
      </c>
      <c r="V179" s="34">
        <v>4078500018784</v>
      </c>
      <c r="W179" s="34" t="s">
        <v>3548</v>
      </c>
      <c r="X179" s="34" t="s">
        <v>3579</v>
      </c>
      <c r="Y179" s="34" t="s">
        <v>3542</v>
      </c>
      <c r="Z179" s="34">
        <v>5</v>
      </c>
      <c r="AA179" s="34" t="s">
        <v>4168</v>
      </c>
      <c r="AB179" s="34" t="s">
        <v>4169</v>
      </c>
      <c r="AC179" s="34" t="s">
        <v>4007</v>
      </c>
      <c r="AD179" s="34" t="s">
        <v>4170</v>
      </c>
      <c r="AE179" s="34" t="s">
        <v>4137</v>
      </c>
      <c r="AF179" s="34" t="s">
        <v>3566</v>
      </c>
      <c r="AG179" s="34" t="s">
        <v>3932</v>
      </c>
      <c r="AH179" s="34" t="s">
        <v>4142</v>
      </c>
      <c r="AI179" s="34" t="s">
        <v>4171</v>
      </c>
      <c r="AJ179" s="34" t="s">
        <v>4161</v>
      </c>
      <c r="AK179" s="34" t="s">
        <v>4111</v>
      </c>
      <c r="AL179" s="34" t="s">
        <v>4154</v>
      </c>
      <c r="AM179" s="40" t="s">
        <v>9</v>
      </c>
      <c r="AP179" s="34">
        <v>0</v>
      </c>
      <c r="AQ179" s="34">
        <v>3999</v>
      </c>
      <c r="AR179" s="34">
        <v>2333</v>
      </c>
      <c r="AT179" s="44">
        <v>309700</v>
      </c>
      <c r="AU179" s="44"/>
      <c r="AV179" s="46">
        <f>ROUND(Товары[[#This Row],[РРЦ финальная, руб.]]/$AU$1,2)</f>
        <v>0</v>
      </c>
      <c r="AW179" s="45" t="str">
        <f>IFERROR(Товары[[#This Row],[РРЦ, евро]]/Товары[[#This Row],[IRP, Eur]],"-")</f>
        <v>-</v>
      </c>
      <c r="AX179" s="42">
        <f>IFERROR(VLOOKUP(Товары[[#This Row],[SubGroup]],'Структура цен DIY'!$B:$C,2,FALSE),0)</f>
        <v>0.29999999999999993</v>
      </c>
      <c r="AY179" s="44">
        <v>0</v>
      </c>
    </row>
    <row r="180" spans="1:51" x14ac:dyDescent="0.25">
      <c r="A180" s="34">
        <v>178</v>
      </c>
      <c r="B180" s="34" t="s">
        <v>56</v>
      </c>
      <c r="C180" s="110" t="str">
        <f>IFERROR(INDEX(Структура_ассортимента[SuperCategory],MATCH(Товары[[#This Row],[SubGroup]],Структура_ассортимента[Subgroup],0)),"")</f>
        <v>A</v>
      </c>
      <c r="D18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8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80" s="110" t="str">
        <f>IFERROR(INDEX(Структура_ассортимента[Product group],MATCH(Товары[[#This Row],[SubGroup]],Структура_ассортимента[Subgroup],0)),"")</f>
        <v>AMC_C</v>
      </c>
      <c r="G180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80" s="110" t="str">
        <f>IFERROR(INDEX(Структура_ассортимента[Generic Name (long)3],MATCH(Товары[[#This Row],[SubGroup]],Структура_ассортимента[Subgroup],0)),"")</f>
        <v>Секаторы</v>
      </c>
      <c r="I180" s="36">
        <v>9211</v>
      </c>
      <c r="J180" s="36" t="str">
        <f>IFERROR(INDEX(Структура_ассортимента[Generic Name (long)],MATCH(Товары[[#This Row],[SubGroup]],Структура_ассортимента[Subgroup],0)),"")</f>
        <v>SECATEUR, ANVIL</v>
      </c>
      <c r="L180" s="36">
        <v>967949701</v>
      </c>
      <c r="M180" s="35" t="s">
        <v>1864</v>
      </c>
      <c r="Q180" s="34" t="s">
        <v>3549</v>
      </c>
      <c r="R180" s="34" t="s">
        <v>3540</v>
      </c>
      <c r="S180" s="47">
        <v>43466</v>
      </c>
      <c r="T180" s="47">
        <v>0</v>
      </c>
      <c r="U180" s="47">
        <v>0</v>
      </c>
      <c r="V180" s="34">
        <v>4078500041225</v>
      </c>
      <c r="W180" s="34" t="s">
        <v>3548</v>
      </c>
      <c r="X180" s="34" t="s">
        <v>3579</v>
      </c>
      <c r="Y180" s="34" t="s">
        <v>3542</v>
      </c>
      <c r="Z180" s="34">
        <v>6</v>
      </c>
      <c r="AB180" s="34" t="s">
        <v>4172</v>
      </c>
      <c r="AD180" s="34" t="s">
        <v>4173</v>
      </c>
      <c r="AE180" s="34" t="s">
        <v>4174</v>
      </c>
      <c r="AF180" s="34" t="s">
        <v>3708</v>
      </c>
      <c r="AG180" s="34" t="s">
        <v>3663</v>
      </c>
      <c r="AH180" s="34" t="s">
        <v>4175</v>
      </c>
      <c r="AL180" s="34" t="s">
        <v>4176</v>
      </c>
      <c r="AM180" s="40" t="s">
        <v>8095</v>
      </c>
      <c r="AT180" s="44">
        <v>0</v>
      </c>
      <c r="AU180" s="44"/>
      <c r="AV180" s="46">
        <f>ROUND(Товары[[#This Row],[РРЦ финальная, руб.]]/$AU$1,2)</f>
        <v>0</v>
      </c>
      <c r="AW180" s="45" t="str">
        <f>IFERROR(Товары[[#This Row],[РРЦ, евро]]/Товары[[#This Row],[IRP, Eur]],"-")</f>
        <v>-</v>
      </c>
      <c r="AX180" s="42">
        <f>IFERROR(VLOOKUP(Товары[[#This Row],[SubGroup]],'Структура цен DIY'!$B:$C,2,FALSE),0)</f>
        <v>0.29999999999999993</v>
      </c>
      <c r="AY180" s="44">
        <v>0</v>
      </c>
    </row>
    <row r="181" spans="1:51" x14ac:dyDescent="0.25">
      <c r="A181" s="34">
        <v>179</v>
      </c>
      <c r="B181" s="34" t="s">
        <v>56</v>
      </c>
      <c r="C181" s="110" t="str">
        <f>IFERROR(INDEX(Структура_ассортимента[SuperCategory],MATCH(Товары[[#This Row],[SubGroup]],Структура_ассортимента[Subgroup],0)),"")</f>
        <v>A</v>
      </c>
      <c r="D18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8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81" s="110" t="str">
        <f>IFERROR(INDEX(Структура_ассортимента[Product group],MATCH(Товары[[#This Row],[SubGroup]],Структура_ассортимента[Subgroup],0)),"")</f>
        <v>AMC_C</v>
      </c>
      <c r="G181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81" s="110" t="str">
        <f>IFERROR(INDEX(Структура_ассортимента[Generic Name (long)3],MATCH(Товары[[#This Row],[SubGroup]],Структура_ассортимента[Subgroup],0)),"")</f>
        <v>Секаторы</v>
      </c>
      <c r="I181" s="36">
        <v>9211</v>
      </c>
      <c r="J181" s="36" t="str">
        <f>IFERROR(INDEX(Структура_ассортимента[Generic Name (long)],MATCH(Товары[[#This Row],[SubGroup]],Структура_ассортимента[Subgroup],0)),"")</f>
        <v>SECATEUR, ANVIL</v>
      </c>
      <c r="L181" s="36">
        <v>901181501</v>
      </c>
      <c r="M181" s="35" t="s">
        <v>1865</v>
      </c>
      <c r="O181" s="35" t="s">
        <v>4177</v>
      </c>
      <c r="P181" s="37" t="s">
        <v>4178</v>
      </c>
      <c r="Q181" s="34" t="s">
        <v>3549</v>
      </c>
      <c r="R181" s="34" t="s">
        <v>3540</v>
      </c>
      <c r="S181" s="47">
        <v>37895</v>
      </c>
      <c r="T181" s="47">
        <v>0</v>
      </c>
      <c r="U181" s="47">
        <v>0</v>
      </c>
      <c r="V181" s="34">
        <v>4078500870207</v>
      </c>
      <c r="W181" s="34" t="s">
        <v>3548</v>
      </c>
      <c r="X181" s="34" t="s">
        <v>3579</v>
      </c>
      <c r="Y181" s="34" t="s">
        <v>3542</v>
      </c>
      <c r="Z181" s="34">
        <v>5</v>
      </c>
      <c r="AA181" s="34" t="s">
        <v>4179</v>
      </c>
      <c r="AB181" s="34" t="s">
        <v>4179</v>
      </c>
      <c r="AC181" s="34" t="s">
        <v>4180</v>
      </c>
      <c r="AD181" s="34" t="s">
        <v>4180</v>
      </c>
      <c r="AE181" s="34" t="s">
        <v>4160</v>
      </c>
      <c r="AF181" s="34" t="s">
        <v>4181</v>
      </c>
      <c r="AG181" s="34" t="s">
        <v>4111</v>
      </c>
      <c r="AH181" s="34" t="s">
        <v>4182</v>
      </c>
      <c r="AI181" s="34" t="s">
        <v>4183</v>
      </c>
      <c r="AJ181" s="34" t="s">
        <v>4184</v>
      </c>
      <c r="AK181" s="34" t="s">
        <v>4111</v>
      </c>
      <c r="AL181" s="34">
        <v>1000</v>
      </c>
      <c r="AM181" s="40" t="s">
        <v>9</v>
      </c>
      <c r="AP181" s="34">
        <v>0</v>
      </c>
      <c r="AQ181" s="34">
        <v>5093</v>
      </c>
      <c r="AR181" s="34">
        <v>2971</v>
      </c>
      <c r="AT181" s="44">
        <v>394500</v>
      </c>
      <c r="AU181" s="44"/>
      <c r="AV181" s="46">
        <f>ROUND(Товары[[#This Row],[РРЦ финальная, руб.]]/$AU$1,2)</f>
        <v>0</v>
      </c>
      <c r="AW181" s="45" t="str">
        <f>IFERROR(Товары[[#This Row],[РРЦ, евро]]/Товары[[#This Row],[IRP, Eur]],"-")</f>
        <v>-</v>
      </c>
      <c r="AX181" s="42">
        <f>IFERROR(VLOOKUP(Товары[[#This Row],[SubGroup]],'Структура цен DIY'!$B:$C,2,FALSE),0)</f>
        <v>0.29999999999999993</v>
      </c>
      <c r="AY181" s="44">
        <v>0</v>
      </c>
    </row>
    <row r="182" spans="1:51" x14ac:dyDescent="0.25">
      <c r="A182" s="34">
        <v>180</v>
      </c>
      <c r="B182" s="34" t="s">
        <v>56</v>
      </c>
      <c r="C182" s="110" t="str">
        <f>IFERROR(INDEX(Структура_ассортимента[SuperCategory],MATCH(Товары[[#This Row],[SubGroup]],Структура_ассортимента[Subgroup],0)),"")</f>
        <v>A</v>
      </c>
      <c r="D18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8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82" s="110" t="str">
        <f>IFERROR(INDEX(Структура_ассортимента[Product group],MATCH(Товары[[#This Row],[SubGroup]],Структура_ассортимента[Subgroup],0)),"")</f>
        <v>AMC_C</v>
      </c>
      <c r="G182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82" s="110" t="str">
        <f>IFERROR(INDEX(Структура_ассортимента[Generic Name (long)3],MATCH(Товары[[#This Row],[SubGroup]],Структура_ассортимента[Subgroup],0)),"")</f>
        <v>Секаторы</v>
      </c>
      <c r="I182" s="36">
        <v>9211</v>
      </c>
      <c r="J182" s="36" t="str">
        <f>IFERROR(INDEX(Структура_ассортимента[Generic Name (long)],MATCH(Товары[[#This Row],[SubGroup]],Структура_ассортимента[Subgroup],0)),"")</f>
        <v>SECATEUR, ANVIL</v>
      </c>
      <c r="L182" s="36">
        <v>966433701</v>
      </c>
      <c r="M182" s="35" t="s">
        <v>1866</v>
      </c>
      <c r="O182" s="35" t="s">
        <v>4185</v>
      </c>
      <c r="P182" s="37" t="s">
        <v>4186</v>
      </c>
      <c r="Q182" s="34" t="s">
        <v>3549</v>
      </c>
      <c r="R182" s="34" t="s">
        <v>3540</v>
      </c>
      <c r="S182" s="47">
        <v>40087</v>
      </c>
      <c r="T182" s="47">
        <v>0</v>
      </c>
      <c r="U182" s="47">
        <v>0</v>
      </c>
      <c r="V182" s="34">
        <v>4078500870405</v>
      </c>
      <c r="W182" s="34" t="s">
        <v>3548</v>
      </c>
      <c r="X182" s="34" t="s">
        <v>3579</v>
      </c>
      <c r="Y182" s="34" t="s">
        <v>3542</v>
      </c>
      <c r="Z182" s="34">
        <v>10</v>
      </c>
      <c r="AA182" s="34" t="s">
        <v>4187</v>
      </c>
      <c r="AB182" s="34" t="s">
        <v>4187</v>
      </c>
      <c r="AC182" s="34" t="s">
        <v>3721</v>
      </c>
      <c r="AD182" s="34" t="s">
        <v>3721</v>
      </c>
      <c r="AE182" s="34" t="s">
        <v>4188</v>
      </c>
      <c r="AF182" s="34" t="s">
        <v>3560</v>
      </c>
      <c r="AG182" s="34" t="s">
        <v>4189</v>
      </c>
      <c r="AH182" s="34" t="s">
        <v>4190</v>
      </c>
      <c r="AI182" s="34" t="s">
        <v>4117</v>
      </c>
      <c r="AJ182" s="34" t="s">
        <v>4191</v>
      </c>
      <c r="AK182" s="34" t="s">
        <v>4192</v>
      </c>
      <c r="AL182" s="34" t="s">
        <v>4193</v>
      </c>
      <c r="AM182" s="40" t="s">
        <v>9</v>
      </c>
      <c r="AP182" s="34">
        <v>0</v>
      </c>
      <c r="AQ182" s="34">
        <v>1490</v>
      </c>
      <c r="AR182" s="34">
        <v>869</v>
      </c>
      <c r="AT182" s="44">
        <v>115400</v>
      </c>
      <c r="AU182" s="44"/>
      <c r="AV182" s="46">
        <f>ROUND(Товары[[#This Row],[РРЦ финальная, руб.]]/$AU$1,2)</f>
        <v>0</v>
      </c>
      <c r="AW182" s="45" t="str">
        <f>IFERROR(Товары[[#This Row],[РРЦ, евро]]/Товары[[#This Row],[IRP, Eur]],"-")</f>
        <v>-</v>
      </c>
      <c r="AX182" s="42">
        <f>IFERROR(VLOOKUP(Товары[[#This Row],[SubGroup]],'Структура цен DIY'!$B:$C,2,FALSE),0)</f>
        <v>0.29999999999999993</v>
      </c>
      <c r="AY182" s="44">
        <v>0</v>
      </c>
    </row>
    <row r="183" spans="1:51" x14ac:dyDescent="0.25">
      <c r="A183" s="34">
        <v>181</v>
      </c>
      <c r="B183" s="34" t="s">
        <v>56</v>
      </c>
      <c r="C183" s="110" t="str">
        <f>IFERROR(INDEX(Структура_ассортимента[SuperCategory],MATCH(Товары[[#This Row],[SubGroup]],Структура_ассортимента[Subgroup],0)),"")</f>
        <v>A</v>
      </c>
      <c r="D18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8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83" s="110" t="str">
        <f>IFERROR(INDEX(Структура_ассортимента[Product group],MATCH(Товары[[#This Row],[SubGroup]],Структура_ассортимента[Subgroup],0)),"")</f>
        <v>AMC_C</v>
      </c>
      <c r="G183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83" s="110" t="str">
        <f>IFERROR(INDEX(Структура_ассортимента[Generic Name (long)3],MATCH(Товары[[#This Row],[SubGroup]],Структура_ассортимента[Subgroup],0)),"")</f>
        <v>Секаторы</v>
      </c>
      <c r="I183" s="36">
        <v>9211</v>
      </c>
      <c r="J183" s="36" t="str">
        <f>IFERROR(INDEX(Структура_ассортимента[Generic Name (long)],MATCH(Товары[[#This Row],[SubGroup]],Структура_ассортимента[Subgroup],0)),"")</f>
        <v>SECATEUR, ANVIL</v>
      </c>
      <c r="L183" s="36">
        <v>966433801</v>
      </c>
      <c r="M183" s="35" t="s">
        <v>1867</v>
      </c>
      <c r="Q183" s="34" t="s">
        <v>3549</v>
      </c>
      <c r="R183" s="34" t="s">
        <v>3540</v>
      </c>
      <c r="S183" s="47">
        <v>40087</v>
      </c>
      <c r="T183" s="47">
        <v>0</v>
      </c>
      <c r="U183" s="47">
        <v>0</v>
      </c>
      <c r="V183" s="34">
        <v>4078500870450</v>
      </c>
      <c r="W183" s="34" t="s">
        <v>3548</v>
      </c>
      <c r="X183" s="34" t="s">
        <v>3579</v>
      </c>
      <c r="Y183" s="34" t="s">
        <v>3542</v>
      </c>
      <c r="Z183" s="34">
        <v>10</v>
      </c>
      <c r="AA183" s="34" t="s">
        <v>4194</v>
      </c>
      <c r="AB183" s="34" t="s">
        <v>4194</v>
      </c>
      <c r="AC183" s="34" t="s">
        <v>3720</v>
      </c>
      <c r="AD183" s="34" t="s">
        <v>3720</v>
      </c>
      <c r="AE183" s="34" t="s">
        <v>4195</v>
      </c>
      <c r="AF183" s="34" t="s">
        <v>4196</v>
      </c>
      <c r="AG183" s="34" t="s">
        <v>3625</v>
      </c>
      <c r="AH183" s="34" t="s">
        <v>4197</v>
      </c>
      <c r="AI183" s="34" t="s">
        <v>4117</v>
      </c>
      <c r="AJ183" s="34" t="s">
        <v>4191</v>
      </c>
      <c r="AK183" s="34" t="s">
        <v>4192</v>
      </c>
      <c r="AL183" s="34">
        <v>840</v>
      </c>
      <c r="AM183" s="40" t="s">
        <v>8095</v>
      </c>
      <c r="AT183" s="44">
        <v>0</v>
      </c>
      <c r="AU183" s="44"/>
      <c r="AV183" s="46">
        <f>ROUND(Товары[[#This Row],[РРЦ финальная, руб.]]/$AU$1,2)</f>
        <v>0</v>
      </c>
      <c r="AW183" s="45" t="str">
        <f>IFERROR(Товары[[#This Row],[РРЦ, евро]]/Товары[[#This Row],[IRP, Eur]],"-")</f>
        <v>-</v>
      </c>
      <c r="AX183" s="42">
        <f>IFERROR(VLOOKUP(Товары[[#This Row],[SubGroup]],'Структура цен DIY'!$B:$C,2,FALSE),0)</f>
        <v>0.29999999999999993</v>
      </c>
      <c r="AY183" s="44">
        <v>0</v>
      </c>
    </row>
    <row r="184" spans="1:51" x14ac:dyDescent="0.25">
      <c r="A184" s="34">
        <v>182</v>
      </c>
      <c r="B184" s="34" t="s">
        <v>56</v>
      </c>
      <c r="C184" s="110" t="str">
        <f>IFERROR(INDEX(Структура_ассортимента[SuperCategory],MATCH(Товары[[#This Row],[SubGroup]],Структура_ассортимента[Subgroup],0)),"")</f>
        <v>A</v>
      </c>
      <c r="D18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8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84" s="110" t="str">
        <f>IFERROR(INDEX(Структура_ассортимента[Product group],MATCH(Товары[[#This Row],[SubGroup]],Структура_ассортимента[Subgroup],0)),"")</f>
        <v>AMC_C</v>
      </c>
      <c r="G184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84" s="110" t="str">
        <f>IFERROR(INDEX(Структура_ассортимента[Generic Name (long)3],MATCH(Товары[[#This Row],[SubGroup]],Структура_ассортимента[Subgroup],0)),"")</f>
        <v>Секаторы</v>
      </c>
      <c r="I184" s="36">
        <v>9211</v>
      </c>
      <c r="J184" s="36" t="str">
        <f>IFERROR(INDEX(Структура_ассортимента[Generic Name (long)],MATCH(Товары[[#This Row],[SubGroup]],Структура_ассортимента[Subgroup],0)),"")</f>
        <v>SECATEUR, ANVIL</v>
      </c>
      <c r="L184" s="36">
        <v>966433901</v>
      </c>
      <c r="M184" s="35" t="s">
        <v>1868</v>
      </c>
      <c r="Q184" s="34" t="s">
        <v>3549</v>
      </c>
      <c r="R184" s="34" t="s">
        <v>3540</v>
      </c>
      <c r="S184" s="47">
        <v>40087</v>
      </c>
      <c r="T184" s="47">
        <v>0</v>
      </c>
      <c r="U184" s="47">
        <v>0</v>
      </c>
      <c r="V184" s="34">
        <v>4078500870504</v>
      </c>
      <c r="W184" s="34" t="s">
        <v>3548</v>
      </c>
      <c r="X184" s="34" t="s">
        <v>3579</v>
      </c>
      <c r="Y184" s="34" t="s">
        <v>3542</v>
      </c>
      <c r="Z184" s="34">
        <v>10</v>
      </c>
      <c r="AA184" s="34" t="s">
        <v>4194</v>
      </c>
      <c r="AB184" s="34" t="s">
        <v>4198</v>
      </c>
      <c r="AC184" s="34" t="s">
        <v>4101</v>
      </c>
      <c r="AD184" s="34" t="s">
        <v>4199</v>
      </c>
      <c r="AE184" s="34" t="s">
        <v>4188</v>
      </c>
      <c r="AF184" s="34" t="s">
        <v>3560</v>
      </c>
      <c r="AG184" s="34" t="s">
        <v>4189</v>
      </c>
      <c r="AH184" s="34" t="s">
        <v>4190</v>
      </c>
      <c r="AI184" s="34" t="s">
        <v>4200</v>
      </c>
      <c r="AJ184" s="34" t="s">
        <v>4191</v>
      </c>
      <c r="AK184" s="34" t="s">
        <v>4192</v>
      </c>
      <c r="AL184" s="34">
        <v>2000</v>
      </c>
      <c r="AM184" s="40" t="s">
        <v>8095</v>
      </c>
      <c r="AT184" s="44">
        <v>0</v>
      </c>
      <c r="AU184" s="44"/>
      <c r="AV184" s="46">
        <f>ROUND(Товары[[#This Row],[РРЦ финальная, руб.]]/$AU$1,2)</f>
        <v>0</v>
      </c>
      <c r="AW184" s="45" t="str">
        <f>IFERROR(Товары[[#This Row],[РРЦ, евро]]/Товары[[#This Row],[IRP, Eur]],"-")</f>
        <v>-</v>
      </c>
      <c r="AX184" s="42">
        <f>IFERROR(VLOOKUP(Товары[[#This Row],[SubGroup]],'Структура цен DIY'!$B:$C,2,FALSE),0)</f>
        <v>0.29999999999999993</v>
      </c>
      <c r="AY184" s="44">
        <v>0</v>
      </c>
    </row>
    <row r="185" spans="1:51" x14ac:dyDescent="0.25">
      <c r="A185" s="34">
        <v>183</v>
      </c>
      <c r="B185" s="34" t="s">
        <v>56</v>
      </c>
      <c r="C185" s="110" t="str">
        <f>IFERROR(INDEX(Структура_ассортимента[SuperCategory],MATCH(Товары[[#This Row],[SubGroup]],Структура_ассортимента[Subgroup],0)),"")</f>
        <v>A</v>
      </c>
      <c r="D18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8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85" s="110" t="str">
        <f>IFERROR(INDEX(Структура_ассортимента[Product group],MATCH(Товары[[#This Row],[SubGroup]],Структура_ассортимента[Subgroup],0)),"")</f>
        <v>AMC_C</v>
      </c>
      <c r="G185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85" s="110" t="str">
        <f>IFERROR(INDEX(Структура_ассортимента[Generic Name (long)3],MATCH(Товары[[#This Row],[SubGroup]],Структура_ассортимента[Subgroup],0)),"")</f>
        <v>Сучкорезы</v>
      </c>
      <c r="I185" s="36">
        <v>9212</v>
      </c>
      <c r="J185" s="36" t="str">
        <f>IFERROR(INDEX(Структура_ассортимента[Generic Name (long)],MATCH(Товары[[#This Row],[SubGroup]],Структура_ассортимента[Subgroup],0)),"")</f>
        <v>PRUNER, ANVIL</v>
      </c>
      <c r="L185" s="36">
        <v>967318901</v>
      </c>
      <c r="M185" s="35" t="s">
        <v>1869</v>
      </c>
      <c r="Q185" s="34" t="s">
        <v>3549</v>
      </c>
      <c r="R185" s="34" t="s">
        <v>3540</v>
      </c>
      <c r="S185" s="47">
        <v>42156</v>
      </c>
      <c r="T185" s="47">
        <v>0</v>
      </c>
      <c r="U185" s="47">
        <v>0</v>
      </c>
      <c r="V185" s="34">
        <v>4078500012591</v>
      </c>
      <c r="W185" s="34" t="s">
        <v>3548</v>
      </c>
      <c r="X185" s="34" t="s">
        <v>3579</v>
      </c>
      <c r="Y185" s="34" t="s">
        <v>3542</v>
      </c>
      <c r="Z185" s="34">
        <v>4</v>
      </c>
      <c r="AA185" s="34" t="s">
        <v>3892</v>
      </c>
      <c r="AB185" s="34" t="s">
        <v>4201</v>
      </c>
      <c r="AC185" s="34" t="s">
        <v>3554</v>
      </c>
      <c r="AD185" s="34" t="s">
        <v>3554</v>
      </c>
      <c r="AE185" s="34" t="s">
        <v>4202</v>
      </c>
      <c r="AF185" s="34" t="s">
        <v>4203</v>
      </c>
      <c r="AG185" s="34" t="s">
        <v>3576</v>
      </c>
      <c r="AH185" s="34" t="s">
        <v>4204</v>
      </c>
      <c r="AI185" s="34" t="s">
        <v>4205</v>
      </c>
      <c r="AJ185" s="34" t="s">
        <v>4206</v>
      </c>
      <c r="AK185" s="34" t="s">
        <v>4207</v>
      </c>
      <c r="AL185" s="34" t="s">
        <v>3981</v>
      </c>
      <c r="AM185" s="40" t="s">
        <v>8095</v>
      </c>
      <c r="AT185" s="44">
        <v>0</v>
      </c>
      <c r="AU185" s="44"/>
      <c r="AV185" s="46">
        <f>ROUND(Товары[[#This Row],[РРЦ финальная, руб.]]/$AU$1,2)</f>
        <v>0</v>
      </c>
      <c r="AW185" s="45" t="str">
        <f>IFERROR(Товары[[#This Row],[РРЦ, евро]]/Товары[[#This Row],[IRP, Eur]],"-")</f>
        <v>-</v>
      </c>
      <c r="AX185" s="42">
        <f>IFERROR(VLOOKUP(Товары[[#This Row],[SubGroup]],'Структура цен DIY'!$B:$C,2,FALSE),0)</f>
        <v>0.21</v>
      </c>
      <c r="AY185" s="44">
        <v>0</v>
      </c>
    </row>
    <row r="186" spans="1:51" x14ac:dyDescent="0.25">
      <c r="A186" s="34">
        <v>184</v>
      </c>
      <c r="B186" s="34" t="s">
        <v>56</v>
      </c>
      <c r="C186" s="110" t="str">
        <f>IFERROR(INDEX(Структура_ассортимента[SuperCategory],MATCH(Товары[[#This Row],[SubGroup]],Структура_ассортимента[Subgroup],0)),"")</f>
        <v>A</v>
      </c>
      <c r="D18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8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86" s="110" t="str">
        <f>IFERROR(INDEX(Структура_ассортимента[Product group],MATCH(Товары[[#This Row],[SubGroup]],Структура_ассортимента[Subgroup],0)),"")</f>
        <v>AMC_C</v>
      </c>
      <c r="G186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86" s="110" t="str">
        <f>IFERROR(INDEX(Структура_ассортимента[Generic Name (long)3],MATCH(Товары[[#This Row],[SubGroup]],Структура_ассортимента[Subgroup],0)),"")</f>
        <v>Сучкорезы</v>
      </c>
      <c r="I186" s="36">
        <v>9212</v>
      </c>
      <c r="J186" s="36" t="str">
        <f>IFERROR(INDEX(Структура_ассортимента[Generic Name (long)],MATCH(Товары[[#This Row],[SubGroup]],Структура_ассортимента[Subgroup],0)),"")</f>
        <v>PRUNER, ANVIL</v>
      </c>
      <c r="L186" s="36">
        <v>967319801</v>
      </c>
      <c r="M186" s="35" t="s">
        <v>1870</v>
      </c>
      <c r="O186" s="35" t="s">
        <v>4208</v>
      </c>
      <c r="P186" s="37" t="s">
        <v>4209</v>
      </c>
      <c r="Q186" s="34" t="s">
        <v>3549</v>
      </c>
      <c r="R186" s="34" t="s">
        <v>3540</v>
      </c>
      <c r="S186" s="47">
        <v>42166</v>
      </c>
      <c r="T186" s="47">
        <v>0</v>
      </c>
      <c r="U186" s="47">
        <v>0</v>
      </c>
      <c r="V186" s="34">
        <v>4078500012614</v>
      </c>
      <c r="W186" s="34" t="s">
        <v>3548</v>
      </c>
      <c r="X186" s="34" t="s">
        <v>3579</v>
      </c>
      <c r="Y186" s="34" t="s">
        <v>3542</v>
      </c>
      <c r="Z186" s="34">
        <v>4</v>
      </c>
      <c r="AA186" s="34" t="s">
        <v>3892</v>
      </c>
      <c r="AB186" s="34" t="s">
        <v>3633</v>
      </c>
      <c r="AC186" s="34" t="s">
        <v>3554</v>
      </c>
      <c r="AD186" s="34" t="s">
        <v>3554</v>
      </c>
      <c r="AE186" s="34" t="s">
        <v>4202</v>
      </c>
      <c r="AF186" s="34" t="s">
        <v>4203</v>
      </c>
      <c r="AG186" s="34" t="s">
        <v>3576</v>
      </c>
      <c r="AH186" s="34" t="s">
        <v>4204</v>
      </c>
      <c r="AI186" s="34" t="s">
        <v>3939</v>
      </c>
      <c r="AJ186" s="34" t="s">
        <v>4210</v>
      </c>
      <c r="AK186" s="34" t="s">
        <v>4207</v>
      </c>
      <c r="AL186" s="34" t="s">
        <v>3981</v>
      </c>
      <c r="AM186" s="40" t="s">
        <v>9</v>
      </c>
      <c r="AP186" s="34">
        <v>0</v>
      </c>
      <c r="AQ186" s="34">
        <v>6390</v>
      </c>
      <c r="AR186" s="34">
        <v>3887</v>
      </c>
      <c r="AT186" s="44">
        <v>494900</v>
      </c>
      <c r="AU186" s="44"/>
      <c r="AV186" s="46">
        <f>ROUND(Товары[[#This Row],[РРЦ финальная, руб.]]/$AU$1,2)</f>
        <v>0</v>
      </c>
      <c r="AW186" s="45" t="str">
        <f>IFERROR(Товары[[#This Row],[РРЦ, евро]]/Товары[[#This Row],[IRP, Eur]],"-")</f>
        <v>-</v>
      </c>
      <c r="AX186" s="42">
        <f>IFERROR(VLOOKUP(Товары[[#This Row],[SubGroup]],'Структура цен DIY'!$B:$C,2,FALSE),0)</f>
        <v>0.21</v>
      </c>
      <c r="AY186" s="44">
        <v>0</v>
      </c>
    </row>
    <row r="187" spans="1:51" x14ac:dyDescent="0.25">
      <c r="A187" s="34">
        <v>185</v>
      </c>
      <c r="B187" s="34" t="s">
        <v>56</v>
      </c>
      <c r="C187" s="110" t="str">
        <f>IFERROR(INDEX(Структура_ассортимента[SuperCategory],MATCH(Товары[[#This Row],[SubGroup]],Структура_ассортимента[Subgroup],0)),"")</f>
        <v>A</v>
      </c>
      <c r="D18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8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87" s="110" t="str">
        <f>IFERROR(INDEX(Структура_ассортимента[Product group],MATCH(Товары[[#This Row],[SubGroup]],Структура_ассортимента[Subgroup],0)),"")</f>
        <v>AMC_C</v>
      </c>
      <c r="G187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87" s="110" t="str">
        <f>IFERROR(INDEX(Структура_ассортимента[Generic Name (long)3],MATCH(Товары[[#This Row],[SubGroup]],Структура_ассортимента[Subgroup],0)),"")</f>
        <v>Сучкорезы</v>
      </c>
      <c r="I187" s="36">
        <v>9212</v>
      </c>
      <c r="J187" s="36" t="str">
        <f>IFERROR(INDEX(Структура_ассортимента[Generic Name (long)],MATCH(Товары[[#This Row],[SubGroup]],Структура_ассортимента[Subgroup],0)),"")</f>
        <v>PRUNER, ANVIL</v>
      </c>
      <c r="L187" s="36">
        <v>967319901</v>
      </c>
      <c r="M187" s="35" t="s">
        <v>1871</v>
      </c>
      <c r="Q187" s="34" t="s">
        <v>3549</v>
      </c>
      <c r="R187" s="34" t="s">
        <v>3540</v>
      </c>
      <c r="S187" s="47">
        <v>42166</v>
      </c>
      <c r="T187" s="47">
        <v>0</v>
      </c>
      <c r="U187" s="47">
        <v>0</v>
      </c>
      <c r="V187" s="34">
        <v>4078500012638</v>
      </c>
      <c r="W187" s="34" t="s">
        <v>3543</v>
      </c>
      <c r="X187" s="34" t="s">
        <v>3579</v>
      </c>
      <c r="Y187" s="34" t="s">
        <v>3542</v>
      </c>
      <c r="Z187" s="34">
        <v>12</v>
      </c>
      <c r="AA187" s="34" t="s">
        <v>4211</v>
      </c>
      <c r="AB187" s="34" t="s">
        <v>4211</v>
      </c>
      <c r="AC187" s="34" t="s">
        <v>4212</v>
      </c>
      <c r="AD187" s="34" t="s">
        <v>4212</v>
      </c>
      <c r="AE187" s="34" t="s">
        <v>3774</v>
      </c>
      <c r="AF187" s="34" t="s">
        <v>3955</v>
      </c>
      <c r="AG187" s="34" t="s">
        <v>4181</v>
      </c>
      <c r="AH187" s="34" t="s">
        <v>4213</v>
      </c>
      <c r="AL187" s="34" t="s">
        <v>4214</v>
      </c>
      <c r="AM187" s="40" t="s">
        <v>8095</v>
      </c>
      <c r="AT187" s="44">
        <v>0</v>
      </c>
      <c r="AU187" s="44"/>
      <c r="AV187" s="46">
        <f>ROUND(Товары[[#This Row],[РРЦ финальная, руб.]]/$AU$1,2)</f>
        <v>0</v>
      </c>
      <c r="AW187" s="45" t="str">
        <f>IFERROR(Товары[[#This Row],[РРЦ, евро]]/Товары[[#This Row],[IRP, Eur]],"-")</f>
        <v>-</v>
      </c>
      <c r="AX187" s="42">
        <f>IFERROR(VLOOKUP(Товары[[#This Row],[SubGroup]],'Структура цен DIY'!$B:$C,2,FALSE),0)</f>
        <v>0.21</v>
      </c>
      <c r="AY187" s="44">
        <v>0</v>
      </c>
    </row>
    <row r="188" spans="1:51" x14ac:dyDescent="0.25">
      <c r="A188" s="34">
        <v>186</v>
      </c>
      <c r="B188" s="34" t="s">
        <v>56</v>
      </c>
      <c r="C188" s="110" t="str">
        <f>IFERROR(INDEX(Структура_ассортимента[SuperCategory],MATCH(Товары[[#This Row],[SubGroup]],Структура_ассортимента[Subgroup],0)),"")</f>
        <v>A</v>
      </c>
      <c r="D18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8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88" s="110" t="str">
        <f>IFERROR(INDEX(Структура_ассортимента[Product group],MATCH(Товары[[#This Row],[SubGroup]],Структура_ассортимента[Subgroup],0)),"")</f>
        <v>AMC_C</v>
      </c>
      <c r="G188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88" s="110" t="str">
        <f>IFERROR(INDEX(Структура_ассортимента[Generic Name (long)3],MATCH(Товары[[#This Row],[SubGroup]],Структура_ассортимента[Subgroup],0)),"")</f>
        <v>Сучкорезы</v>
      </c>
      <c r="I188" s="36">
        <v>9212</v>
      </c>
      <c r="J188" s="36" t="str">
        <f>IFERROR(INDEX(Структура_ассортимента[Generic Name (long)],MATCH(Товары[[#This Row],[SubGroup]],Структура_ассортимента[Subgroup],0)),"")</f>
        <v>PRUNER, ANVIL</v>
      </c>
      <c r="L188" s="36">
        <v>901192101</v>
      </c>
      <c r="M188" s="35" t="s">
        <v>1872</v>
      </c>
      <c r="Q188" s="34" t="s">
        <v>3549</v>
      </c>
      <c r="R188" s="34" t="s">
        <v>3540</v>
      </c>
      <c r="S188" s="47">
        <v>38626</v>
      </c>
      <c r="T188" s="47">
        <v>0</v>
      </c>
      <c r="U188" s="47">
        <v>0</v>
      </c>
      <c r="V188" s="34">
        <v>4078500877008</v>
      </c>
      <c r="W188" s="34" t="s">
        <v>3548</v>
      </c>
      <c r="X188" s="34" t="s">
        <v>3579</v>
      </c>
      <c r="Y188" s="34" t="s">
        <v>3542</v>
      </c>
      <c r="Z188" s="34">
        <v>2</v>
      </c>
      <c r="AA188" s="34" t="s">
        <v>4215</v>
      </c>
      <c r="AB188" s="34" t="s">
        <v>4215</v>
      </c>
      <c r="AC188" s="34" t="s">
        <v>4216</v>
      </c>
      <c r="AD188" s="34" t="s">
        <v>4216</v>
      </c>
      <c r="AE188" s="34" t="s">
        <v>4217</v>
      </c>
      <c r="AF188" s="34" t="s">
        <v>3877</v>
      </c>
      <c r="AG188" s="34" t="s">
        <v>4218</v>
      </c>
      <c r="AH188" s="34" t="s">
        <v>4219</v>
      </c>
      <c r="AI188" s="34" t="s">
        <v>3817</v>
      </c>
      <c r="AJ188" s="34" t="s">
        <v>4220</v>
      </c>
      <c r="AK188" s="34" t="s">
        <v>4221</v>
      </c>
      <c r="AL188" s="34">
        <v>154</v>
      </c>
      <c r="AM188" s="40" t="s">
        <v>8095</v>
      </c>
      <c r="AT188" s="44">
        <v>0</v>
      </c>
      <c r="AU188" s="44"/>
      <c r="AV188" s="46">
        <f>ROUND(Товары[[#This Row],[РРЦ финальная, руб.]]/$AU$1,2)</f>
        <v>0</v>
      </c>
      <c r="AW188" s="45" t="str">
        <f>IFERROR(Товары[[#This Row],[РРЦ, евро]]/Товары[[#This Row],[IRP, Eur]],"-")</f>
        <v>-</v>
      </c>
      <c r="AX188" s="42">
        <f>IFERROR(VLOOKUP(Товары[[#This Row],[SubGroup]],'Структура цен DIY'!$B:$C,2,FALSE),0)</f>
        <v>0.21</v>
      </c>
      <c r="AY188" s="44">
        <v>0</v>
      </c>
    </row>
    <row r="189" spans="1:51" x14ac:dyDescent="0.25">
      <c r="A189" s="34">
        <v>187</v>
      </c>
      <c r="B189" s="34" t="s">
        <v>56</v>
      </c>
      <c r="C189" s="110" t="str">
        <f>IFERROR(INDEX(Структура_ассортимента[SuperCategory],MATCH(Товары[[#This Row],[SubGroup]],Структура_ассортимента[Subgroup],0)),"")</f>
        <v>A</v>
      </c>
      <c r="D18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8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89" s="110" t="str">
        <f>IFERROR(INDEX(Структура_ассортимента[Product group],MATCH(Товары[[#This Row],[SubGroup]],Структура_ассортимента[Subgroup],0)),"")</f>
        <v>AMC_C</v>
      </c>
      <c r="G189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89" s="110" t="str">
        <f>IFERROR(INDEX(Структура_ассортимента[Generic Name (long)3],MATCH(Товары[[#This Row],[SubGroup]],Структура_ассортимента[Subgroup],0)),"")</f>
        <v>Сучкорезы</v>
      </c>
      <c r="I189" s="36">
        <v>9212</v>
      </c>
      <c r="J189" s="36" t="str">
        <f>IFERROR(INDEX(Структура_ассортимента[Generic Name (long)],MATCH(Товары[[#This Row],[SubGroup]],Структура_ассортимента[Subgroup],0)),"")</f>
        <v>PRUNER, ANVIL</v>
      </c>
      <c r="L189" s="36">
        <v>901193201</v>
      </c>
      <c r="M189" s="35" t="s">
        <v>1873</v>
      </c>
      <c r="Q189" s="34" t="s">
        <v>3549</v>
      </c>
      <c r="R189" s="34" t="s">
        <v>3540</v>
      </c>
      <c r="S189" s="47">
        <v>38626</v>
      </c>
      <c r="T189" s="47">
        <v>0</v>
      </c>
      <c r="U189" s="47">
        <v>0</v>
      </c>
      <c r="V189" s="34">
        <v>4078500877107</v>
      </c>
      <c r="W189" s="34" t="s">
        <v>3548</v>
      </c>
      <c r="X189" s="34" t="s">
        <v>3579</v>
      </c>
      <c r="Y189" s="34" t="s">
        <v>3542</v>
      </c>
      <c r="Z189" s="34">
        <v>2</v>
      </c>
      <c r="AA189" s="34" t="s">
        <v>4222</v>
      </c>
      <c r="AB189" s="34" t="s">
        <v>4222</v>
      </c>
      <c r="AC189" s="34" t="s">
        <v>3861</v>
      </c>
      <c r="AD189" s="34" t="s">
        <v>3861</v>
      </c>
      <c r="AE189" s="34" t="s">
        <v>4223</v>
      </c>
      <c r="AF189" s="34" t="s">
        <v>3955</v>
      </c>
      <c r="AG189" s="34" t="s">
        <v>3931</v>
      </c>
      <c r="AH189" s="34" t="s">
        <v>4224</v>
      </c>
      <c r="AI189" s="34" t="s">
        <v>4225</v>
      </c>
      <c r="AJ189" s="34" t="s">
        <v>4226</v>
      </c>
      <c r="AK189" s="34" t="s">
        <v>3699</v>
      </c>
      <c r="AL189" s="34">
        <v>154</v>
      </c>
      <c r="AM189" s="40" t="s">
        <v>8095</v>
      </c>
      <c r="AT189" s="44">
        <v>0</v>
      </c>
      <c r="AU189" s="44"/>
      <c r="AV189" s="46">
        <f>ROUND(Товары[[#This Row],[РРЦ финальная, руб.]]/$AU$1,2)</f>
        <v>0</v>
      </c>
      <c r="AW189" s="45" t="str">
        <f>IFERROR(Товары[[#This Row],[РРЦ, евро]]/Товары[[#This Row],[IRP, Eur]],"-")</f>
        <v>-</v>
      </c>
      <c r="AX189" s="42">
        <f>IFERROR(VLOOKUP(Товары[[#This Row],[SubGroup]],'Структура цен DIY'!$B:$C,2,FALSE),0)</f>
        <v>0.21</v>
      </c>
      <c r="AY189" s="44">
        <v>0</v>
      </c>
    </row>
    <row r="190" spans="1:51" x14ac:dyDescent="0.25">
      <c r="A190" s="34">
        <v>188</v>
      </c>
      <c r="B190" s="34" t="s">
        <v>56</v>
      </c>
      <c r="C190" s="110" t="str">
        <f>IFERROR(INDEX(Структура_ассортимента[SuperCategory],MATCH(Товары[[#This Row],[SubGroup]],Структура_ассортимента[Subgroup],0)),"")</f>
        <v>A</v>
      </c>
      <c r="D19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9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90" s="110" t="str">
        <f>IFERROR(INDEX(Структура_ассортимента[Product group],MATCH(Товары[[#This Row],[SubGroup]],Структура_ассортимента[Subgroup],0)),"")</f>
        <v>AMC_C</v>
      </c>
      <c r="G190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90" s="110" t="str">
        <f>IFERROR(INDEX(Структура_ассортимента[Generic Name (long)3],MATCH(Товары[[#This Row],[SubGroup]],Структура_ассортимента[Subgroup],0)),"")</f>
        <v>Сучкорезы</v>
      </c>
      <c r="I190" s="36">
        <v>9212</v>
      </c>
      <c r="J190" s="36" t="str">
        <f>IFERROR(INDEX(Структура_ассортимента[Generic Name (long)],MATCH(Товары[[#This Row],[SubGroup]],Структура_ассортимента[Subgroup],0)),"")</f>
        <v>PRUNER, ANVIL</v>
      </c>
      <c r="L190" s="36">
        <v>966617201</v>
      </c>
      <c r="M190" s="35" t="s">
        <v>1874</v>
      </c>
      <c r="O190" s="35" t="s">
        <v>4227</v>
      </c>
      <c r="P190" s="37" t="s">
        <v>4228</v>
      </c>
      <c r="Q190" s="34" t="s">
        <v>3549</v>
      </c>
      <c r="R190" s="34" t="s">
        <v>3540</v>
      </c>
      <c r="S190" s="47">
        <v>40452</v>
      </c>
      <c r="T190" s="47">
        <v>0</v>
      </c>
      <c r="U190" s="47">
        <v>0</v>
      </c>
      <c r="V190" s="34">
        <v>4078500877305</v>
      </c>
      <c r="W190" s="34" t="s">
        <v>3548</v>
      </c>
      <c r="X190" s="34" t="s">
        <v>3579</v>
      </c>
      <c r="Y190" s="34" t="s">
        <v>3542</v>
      </c>
      <c r="Z190" s="34">
        <v>2</v>
      </c>
      <c r="AA190" s="34" t="s">
        <v>3607</v>
      </c>
      <c r="AB190" s="34" t="s">
        <v>3607</v>
      </c>
      <c r="AC190" s="34" t="s">
        <v>4229</v>
      </c>
      <c r="AD190" s="34" t="s">
        <v>4229</v>
      </c>
      <c r="AE190" s="34" t="s">
        <v>4230</v>
      </c>
      <c r="AF190" s="34" t="s">
        <v>3743</v>
      </c>
      <c r="AG190" s="34" t="s">
        <v>4231</v>
      </c>
      <c r="AH190" s="34" t="s">
        <v>4232</v>
      </c>
      <c r="AI190" s="34" t="s">
        <v>4233</v>
      </c>
      <c r="AJ190" s="34" t="s">
        <v>4205</v>
      </c>
      <c r="AK190" s="34" t="s">
        <v>4234</v>
      </c>
      <c r="AL190" s="34">
        <v>110</v>
      </c>
      <c r="AM190" s="40" t="s">
        <v>9</v>
      </c>
      <c r="AP190" s="34">
        <v>0</v>
      </c>
      <c r="AQ190" s="34">
        <v>6990</v>
      </c>
      <c r="AR190" s="34">
        <v>3903</v>
      </c>
      <c r="AT190" s="44">
        <v>541400</v>
      </c>
      <c r="AU190" s="44"/>
      <c r="AV190" s="46">
        <f>ROUND(Товары[[#This Row],[РРЦ финальная, руб.]]/$AU$1,2)</f>
        <v>0</v>
      </c>
      <c r="AW190" s="45" t="str">
        <f>IFERROR(Товары[[#This Row],[РРЦ, евро]]/Товары[[#This Row],[IRP, Eur]],"-")</f>
        <v>-</v>
      </c>
      <c r="AX190" s="42">
        <f>IFERROR(VLOOKUP(Товары[[#This Row],[SubGroup]],'Структура цен DIY'!$B:$C,2,FALSE),0)</f>
        <v>0.21</v>
      </c>
      <c r="AY190" s="44">
        <v>0</v>
      </c>
    </row>
    <row r="191" spans="1:51" x14ac:dyDescent="0.25">
      <c r="A191" s="34">
        <v>189</v>
      </c>
      <c r="B191" s="34" t="s">
        <v>56</v>
      </c>
      <c r="C191" s="110" t="str">
        <f>IFERROR(INDEX(Структура_ассортимента[SuperCategory],MATCH(Товары[[#This Row],[SubGroup]],Структура_ассортимента[Subgroup],0)),"")</f>
        <v>A</v>
      </c>
      <c r="D19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9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91" s="110" t="str">
        <f>IFERROR(INDEX(Структура_ассортимента[Product group],MATCH(Товары[[#This Row],[SubGroup]],Структура_ассортимента[Subgroup],0)),"")</f>
        <v>AMC_C</v>
      </c>
      <c r="G191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91" s="110" t="str">
        <f>IFERROR(INDEX(Структура_ассортимента[Generic Name (long)3],MATCH(Товары[[#This Row],[SubGroup]],Структура_ассортимента[Subgroup],0)),"")</f>
        <v>Сучкорезы</v>
      </c>
      <c r="I191" s="36">
        <v>9212</v>
      </c>
      <c r="J191" s="36" t="str">
        <f>IFERROR(INDEX(Структура_ассортимента[Generic Name (long)],MATCH(Товары[[#This Row],[SubGroup]],Структура_ассортимента[Subgroup],0)),"")</f>
        <v>PRUNER, ANVIL</v>
      </c>
      <c r="L191" s="36">
        <v>967638301</v>
      </c>
      <c r="M191" s="35" t="s">
        <v>1875</v>
      </c>
      <c r="O191" s="35" t="s">
        <v>4235</v>
      </c>
      <c r="P191" s="37" t="s">
        <v>4236</v>
      </c>
      <c r="Q191" s="34" t="s">
        <v>3549</v>
      </c>
      <c r="R191" s="34" t="s">
        <v>3540</v>
      </c>
      <c r="S191" s="47">
        <v>42736</v>
      </c>
      <c r="T191" s="47">
        <v>0</v>
      </c>
      <c r="U191" s="47">
        <v>0</v>
      </c>
      <c r="V191" s="34">
        <v>4078500028370</v>
      </c>
      <c r="W191" s="34" t="s">
        <v>3548</v>
      </c>
      <c r="X191" s="34" t="s">
        <v>3579</v>
      </c>
      <c r="Y191" s="34" t="s">
        <v>3542</v>
      </c>
      <c r="Z191" s="34">
        <v>4</v>
      </c>
      <c r="AB191" s="34" t="s">
        <v>4237</v>
      </c>
      <c r="AD191" s="34" t="s">
        <v>3554</v>
      </c>
      <c r="AE191" s="34" t="s">
        <v>4238</v>
      </c>
      <c r="AF191" s="34" t="s">
        <v>3708</v>
      </c>
      <c r="AG191" s="34" t="s">
        <v>4239</v>
      </c>
      <c r="AH191" s="34" t="s">
        <v>4240</v>
      </c>
      <c r="AI191" s="34" t="s">
        <v>4241</v>
      </c>
      <c r="AJ191" s="34" t="s">
        <v>4242</v>
      </c>
      <c r="AK191" s="34" t="s">
        <v>4181</v>
      </c>
      <c r="AL191" s="34" t="s">
        <v>3981</v>
      </c>
      <c r="AM191" s="40" t="s">
        <v>9</v>
      </c>
      <c r="AP191" s="34">
        <v>0</v>
      </c>
      <c r="AQ191" s="34">
        <v>6990</v>
      </c>
      <c r="AR191" s="34">
        <v>4427</v>
      </c>
      <c r="AT191" s="44">
        <v>541400</v>
      </c>
      <c r="AU191" s="44"/>
      <c r="AV191" s="46">
        <f>ROUND(Товары[[#This Row],[РРЦ финальная, руб.]]/$AU$1,2)</f>
        <v>0</v>
      </c>
      <c r="AW191" s="45" t="str">
        <f>IFERROR(Товары[[#This Row],[РРЦ, евро]]/Товары[[#This Row],[IRP, Eur]],"-")</f>
        <v>-</v>
      </c>
      <c r="AX191" s="42">
        <f>IFERROR(VLOOKUP(Товары[[#This Row],[SubGroup]],'Структура цен DIY'!$B:$C,2,FALSE),0)</f>
        <v>0.21</v>
      </c>
      <c r="AY191" s="44">
        <v>0</v>
      </c>
    </row>
    <row r="192" spans="1:51" x14ac:dyDescent="0.25">
      <c r="A192" s="34">
        <v>190</v>
      </c>
      <c r="B192" s="34" t="s">
        <v>56</v>
      </c>
      <c r="C192" s="110" t="str">
        <f>IFERROR(INDEX(Структура_ассортимента[SuperCategory],MATCH(Товары[[#This Row],[SubGroup]],Структура_ассортимента[Subgroup],0)),"")</f>
        <v>A</v>
      </c>
      <c r="D19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9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92" s="110" t="str">
        <f>IFERROR(INDEX(Структура_ассортимента[Product group],MATCH(Товары[[#This Row],[SubGroup]],Структура_ассортимента[Subgroup],0)),"")</f>
        <v>AMC_C</v>
      </c>
      <c r="G192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92" s="110" t="str">
        <f>IFERROR(INDEX(Структура_ассортимента[Generic Name (long)3],MATCH(Товары[[#This Row],[SubGroup]],Структура_ассортимента[Subgroup],0)),"")</f>
        <v>Сучкорезы</v>
      </c>
      <c r="I192" s="36">
        <v>9212</v>
      </c>
      <c r="J192" s="36" t="str">
        <f>IFERROR(INDEX(Структура_ассортимента[Generic Name (long)],MATCH(Товары[[#This Row],[SubGroup]],Структура_ассортимента[Subgroup],0)),"")</f>
        <v>PRUNER, ANVIL</v>
      </c>
      <c r="L192" s="36">
        <v>967637601</v>
      </c>
      <c r="M192" s="35" t="s">
        <v>1876</v>
      </c>
      <c r="O192" s="35" t="s">
        <v>4243</v>
      </c>
      <c r="P192" s="37" t="s">
        <v>4244</v>
      </c>
      <c r="Q192" s="34" t="s">
        <v>3549</v>
      </c>
      <c r="R192" s="34" t="s">
        <v>3540</v>
      </c>
      <c r="S192" s="47">
        <v>42736</v>
      </c>
      <c r="T192" s="47">
        <v>0</v>
      </c>
      <c r="U192" s="47">
        <v>0</v>
      </c>
      <c r="V192" s="34">
        <v>4078500028332</v>
      </c>
      <c r="W192" s="34" t="s">
        <v>3548</v>
      </c>
      <c r="X192" s="34" t="s">
        <v>3579</v>
      </c>
      <c r="Y192" s="34" t="s">
        <v>3542</v>
      </c>
      <c r="Z192" s="34">
        <v>2</v>
      </c>
      <c r="AB192" s="34" t="s">
        <v>4245</v>
      </c>
      <c r="AD192" s="34" t="s">
        <v>4246</v>
      </c>
      <c r="AE192" s="34" t="s">
        <v>4247</v>
      </c>
      <c r="AF192" s="34" t="s">
        <v>3708</v>
      </c>
      <c r="AG192" s="34" t="s">
        <v>4248</v>
      </c>
      <c r="AH192" s="34" t="s">
        <v>4249</v>
      </c>
      <c r="AI192" s="34" t="s">
        <v>4250</v>
      </c>
      <c r="AJ192" s="34" t="s">
        <v>4242</v>
      </c>
      <c r="AK192" s="34" t="s">
        <v>4181</v>
      </c>
      <c r="AL192" s="34" t="s">
        <v>4251</v>
      </c>
      <c r="AM192" s="40" t="s">
        <v>9</v>
      </c>
      <c r="AP192" s="34">
        <v>0</v>
      </c>
      <c r="AQ192" s="34">
        <v>9790</v>
      </c>
      <c r="AR192" s="34">
        <v>6200</v>
      </c>
      <c r="AT192" s="44">
        <v>758300</v>
      </c>
      <c r="AU192" s="44"/>
      <c r="AV192" s="46">
        <f>ROUND(Товары[[#This Row],[РРЦ финальная, руб.]]/$AU$1,2)</f>
        <v>0</v>
      </c>
      <c r="AW192" s="45" t="str">
        <f>IFERROR(Товары[[#This Row],[РРЦ, евро]]/Товары[[#This Row],[IRP, Eur]],"-")</f>
        <v>-</v>
      </c>
      <c r="AX192" s="42">
        <f>IFERROR(VLOOKUP(Товары[[#This Row],[SubGroup]],'Структура цен DIY'!$B:$C,2,FALSE),0)</f>
        <v>0.21</v>
      </c>
      <c r="AY192" s="44">
        <v>0</v>
      </c>
    </row>
    <row r="193" spans="1:51" x14ac:dyDescent="0.25">
      <c r="A193" s="34">
        <v>191</v>
      </c>
      <c r="B193" s="34" t="s">
        <v>56</v>
      </c>
      <c r="C193" s="110" t="str">
        <f>IFERROR(INDEX(Структура_ассортимента[SuperCategory],MATCH(Товары[[#This Row],[SubGroup]],Структура_ассортимента[Subgroup],0)),"")</f>
        <v>A</v>
      </c>
      <c r="D19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9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93" s="110" t="str">
        <f>IFERROR(INDEX(Структура_ассортимента[Product group],MATCH(Товары[[#This Row],[SubGroup]],Структура_ассортимента[Subgroup],0)),"")</f>
        <v>AMC_C</v>
      </c>
      <c r="G193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93" s="110" t="str">
        <f>IFERROR(INDEX(Структура_ассортимента[Generic Name (long)3],MATCH(Товары[[#This Row],[SubGroup]],Структура_ассортимента[Subgroup],0)),"")</f>
        <v>Сучкорезы</v>
      </c>
      <c r="I193" s="36">
        <v>9212</v>
      </c>
      <c r="J193" s="36" t="str">
        <f>IFERROR(INDEX(Структура_ассортимента[Generic Name (long)],MATCH(Товары[[#This Row],[SubGroup]],Структура_ассортимента[Subgroup],0)),"")</f>
        <v>PRUNER, ANVIL</v>
      </c>
      <c r="L193" s="36">
        <v>901182701</v>
      </c>
      <c r="M193" s="35" t="s">
        <v>1877</v>
      </c>
      <c r="O193" s="35" t="s">
        <v>4252</v>
      </c>
      <c r="P193" s="37" t="s">
        <v>4253</v>
      </c>
      <c r="Q193" s="34" t="s">
        <v>3549</v>
      </c>
      <c r="R193" s="34" t="s">
        <v>3540</v>
      </c>
      <c r="S193" s="47">
        <v>37895</v>
      </c>
      <c r="T193" s="47">
        <v>0</v>
      </c>
      <c r="U193" s="47">
        <v>0</v>
      </c>
      <c r="V193" s="34">
        <v>4078500871006</v>
      </c>
      <c r="W193" s="34" t="s">
        <v>3548</v>
      </c>
      <c r="X193" s="34" t="s">
        <v>3579</v>
      </c>
      <c r="Y193" s="34" t="s">
        <v>3542</v>
      </c>
      <c r="Z193" s="34">
        <v>2</v>
      </c>
      <c r="AA193" s="34" t="s">
        <v>4254</v>
      </c>
      <c r="AB193" s="34" t="s">
        <v>4254</v>
      </c>
      <c r="AC193" s="34" t="s">
        <v>4255</v>
      </c>
      <c r="AD193" s="34" t="s">
        <v>4255</v>
      </c>
      <c r="AE193" s="34" t="s">
        <v>4256</v>
      </c>
      <c r="AF193" s="34" t="s">
        <v>4257</v>
      </c>
      <c r="AG193" s="34" t="s">
        <v>4221</v>
      </c>
      <c r="AH193" s="34" t="s">
        <v>4258</v>
      </c>
      <c r="AI193" s="34" t="s">
        <v>4259</v>
      </c>
      <c r="AJ193" s="34" t="s">
        <v>4260</v>
      </c>
      <c r="AK193" s="34" t="s">
        <v>4261</v>
      </c>
      <c r="AL193" s="34">
        <v>110</v>
      </c>
      <c r="AM193" s="40" t="s">
        <v>9</v>
      </c>
      <c r="AP193" s="34">
        <v>0</v>
      </c>
      <c r="AQ193" s="34">
        <v>6990</v>
      </c>
      <c r="AR193" s="34">
        <v>4252</v>
      </c>
      <c r="AT193" s="44">
        <v>541400</v>
      </c>
      <c r="AU193" s="44"/>
      <c r="AV193" s="46">
        <f>ROUND(Товары[[#This Row],[РРЦ финальная, руб.]]/$AU$1,2)</f>
        <v>0</v>
      </c>
      <c r="AW193" s="45" t="str">
        <f>IFERROR(Товары[[#This Row],[РРЦ, евро]]/Товары[[#This Row],[IRP, Eur]],"-")</f>
        <v>-</v>
      </c>
      <c r="AX193" s="42">
        <f>IFERROR(VLOOKUP(Товары[[#This Row],[SubGroup]],'Структура цен DIY'!$B:$C,2,FALSE),0)</f>
        <v>0.21</v>
      </c>
      <c r="AY193" s="44">
        <v>0</v>
      </c>
    </row>
    <row r="194" spans="1:51" x14ac:dyDescent="0.25">
      <c r="A194" s="34">
        <v>192</v>
      </c>
      <c r="B194" s="34" t="s">
        <v>56</v>
      </c>
      <c r="C194" s="110" t="str">
        <f>IFERROR(INDEX(Структура_ассортимента[SuperCategory],MATCH(Товары[[#This Row],[SubGroup]],Структура_ассортимента[Subgroup],0)),"")</f>
        <v>A</v>
      </c>
      <c r="D19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9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94" s="110" t="str">
        <f>IFERROR(INDEX(Структура_ассортимента[Product group],MATCH(Товары[[#This Row],[SubGroup]],Структура_ассортимента[Subgroup],0)),"")</f>
        <v>AMC_C</v>
      </c>
      <c r="G194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94" s="110" t="str">
        <f>IFERROR(INDEX(Структура_ассортимента[Generic Name (long)3],MATCH(Товары[[#This Row],[SubGroup]],Структура_ассортимента[Subgroup],0)),"")</f>
        <v>Сучкорезы</v>
      </c>
      <c r="I194" s="36">
        <v>9212</v>
      </c>
      <c r="J194" s="36" t="str">
        <f>IFERROR(INDEX(Структура_ассортимента[Generic Name (long)],MATCH(Товары[[#This Row],[SubGroup]],Структура_ассортимента[Subgroup],0)),"")</f>
        <v>PRUNER, ANVIL</v>
      </c>
      <c r="L194" s="36">
        <v>967866801</v>
      </c>
      <c r="M194" s="35" t="s">
        <v>1878</v>
      </c>
      <c r="O194" s="35" t="s">
        <v>4262</v>
      </c>
      <c r="P194" s="37" t="s">
        <v>4263</v>
      </c>
      <c r="Q194" s="34" t="s">
        <v>3549</v>
      </c>
      <c r="R194" s="34" t="s">
        <v>3540</v>
      </c>
      <c r="S194" s="47">
        <v>43466</v>
      </c>
      <c r="T194" s="47">
        <v>0</v>
      </c>
      <c r="U194" s="47">
        <v>0</v>
      </c>
      <c r="V194" s="34">
        <v>4078500043342</v>
      </c>
      <c r="W194" s="34" t="s">
        <v>3548</v>
      </c>
      <c r="X194" s="34" t="s">
        <v>3579</v>
      </c>
      <c r="Y194" s="34" t="s">
        <v>3542</v>
      </c>
      <c r="Z194" s="34">
        <v>4</v>
      </c>
      <c r="AA194" s="34" t="s">
        <v>3598</v>
      </c>
      <c r="AB194" s="34" t="s">
        <v>4264</v>
      </c>
      <c r="AC194" s="34" t="s">
        <v>4265</v>
      </c>
      <c r="AD194" s="34" t="s">
        <v>3586</v>
      </c>
      <c r="AE194" s="34" t="s">
        <v>4266</v>
      </c>
      <c r="AF194" s="34" t="s">
        <v>3818</v>
      </c>
      <c r="AG194" s="34" t="s">
        <v>3672</v>
      </c>
      <c r="AH194" s="34" t="s">
        <v>4267</v>
      </c>
      <c r="AI194" s="34" t="s">
        <v>4223</v>
      </c>
      <c r="AJ194" s="34" t="s">
        <v>4260</v>
      </c>
      <c r="AK194" s="34" t="s">
        <v>3708</v>
      </c>
      <c r="AL194" s="34" t="s">
        <v>4268</v>
      </c>
      <c r="AM194" s="40" t="s">
        <v>9</v>
      </c>
      <c r="AP194" s="34">
        <v>0</v>
      </c>
      <c r="AQ194" s="34">
        <v>2390</v>
      </c>
      <c r="AR194" s="34">
        <v>1633</v>
      </c>
      <c r="AT194" s="44">
        <v>185100</v>
      </c>
      <c r="AU194" s="44"/>
      <c r="AV194" s="46">
        <f>ROUND(Товары[[#This Row],[РРЦ финальная, руб.]]/$AU$1,2)</f>
        <v>0</v>
      </c>
      <c r="AW194" s="45" t="str">
        <f>IFERROR(Товары[[#This Row],[РРЦ, евро]]/Товары[[#This Row],[IRP, Eur]],"-")</f>
        <v>-</v>
      </c>
      <c r="AX194" s="42">
        <f>IFERROR(VLOOKUP(Товары[[#This Row],[SubGroup]],'Структура цен DIY'!$B:$C,2,FALSE),0)</f>
        <v>0.21</v>
      </c>
      <c r="AY194" s="44">
        <v>0</v>
      </c>
    </row>
    <row r="195" spans="1:51" x14ac:dyDescent="0.25">
      <c r="A195" s="34">
        <v>193</v>
      </c>
      <c r="B195" s="34" t="s">
        <v>56</v>
      </c>
      <c r="C195" s="110" t="str">
        <f>IFERROR(INDEX(Структура_ассортимента[SuperCategory],MATCH(Товары[[#This Row],[SubGroup]],Структура_ассортимента[Subgroup],0)),"")</f>
        <v>A</v>
      </c>
      <c r="D19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9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95" s="110" t="str">
        <f>IFERROR(INDEX(Структура_ассортимента[Product group],MATCH(Товары[[#This Row],[SubGroup]],Структура_ассортимента[Subgroup],0)),"")</f>
        <v>AMC_C</v>
      </c>
      <c r="G195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95" s="110" t="str">
        <f>IFERROR(INDEX(Структура_ассортимента[Generic Name (long)3],MATCH(Товары[[#This Row],[SubGroup]],Структура_ассортимента[Subgroup],0)),"")</f>
        <v>Сучкорезы</v>
      </c>
      <c r="I195" s="36">
        <v>9212</v>
      </c>
      <c r="J195" s="36" t="str">
        <f>IFERROR(INDEX(Структура_ассортимента[Generic Name (long)],MATCH(Товары[[#This Row],[SubGroup]],Структура_ассортимента[Subgroup],0)),"")</f>
        <v>PRUNER, ANVIL</v>
      </c>
      <c r="L195" s="36">
        <v>967866901</v>
      </c>
      <c r="M195" s="35" t="s">
        <v>1879</v>
      </c>
      <c r="O195" s="35" t="s">
        <v>4269</v>
      </c>
      <c r="P195" s="37" t="s">
        <v>4270</v>
      </c>
      <c r="Q195" s="34" t="s">
        <v>3549</v>
      </c>
      <c r="R195" s="34" t="s">
        <v>3540</v>
      </c>
      <c r="S195" s="47">
        <v>43466</v>
      </c>
      <c r="T195" s="47">
        <v>0</v>
      </c>
      <c r="U195" s="47">
        <v>0</v>
      </c>
      <c r="V195" s="34">
        <v>4078500043366</v>
      </c>
      <c r="W195" s="34" t="s">
        <v>3548</v>
      </c>
      <c r="X195" s="34" t="s">
        <v>3579</v>
      </c>
      <c r="Y195" s="34" t="s">
        <v>3542</v>
      </c>
      <c r="Z195" s="34">
        <v>4</v>
      </c>
      <c r="AA195" s="34" t="s">
        <v>3634</v>
      </c>
      <c r="AB195" s="34" t="s">
        <v>4201</v>
      </c>
      <c r="AC195" s="34" t="s">
        <v>3636</v>
      </c>
      <c r="AD195" s="34" t="s">
        <v>3554</v>
      </c>
      <c r="AE195" s="34" t="s">
        <v>4271</v>
      </c>
      <c r="AF195" s="34" t="s">
        <v>3825</v>
      </c>
      <c r="AG195" s="34" t="s">
        <v>4272</v>
      </c>
      <c r="AH195" s="34" t="s">
        <v>4273</v>
      </c>
      <c r="AI195" s="34" t="s">
        <v>4271</v>
      </c>
      <c r="AJ195" s="34" t="s">
        <v>4272</v>
      </c>
      <c r="AK195" s="34" t="s">
        <v>3825</v>
      </c>
      <c r="AL195" s="34" t="s">
        <v>4274</v>
      </c>
      <c r="AM195" s="40" t="s">
        <v>9</v>
      </c>
      <c r="AP195" s="34">
        <v>0</v>
      </c>
      <c r="AQ195" s="34">
        <v>2990</v>
      </c>
      <c r="AR195" s="34">
        <v>2043</v>
      </c>
      <c r="AT195" s="44">
        <v>231600</v>
      </c>
      <c r="AU195" s="44"/>
      <c r="AV195" s="46">
        <f>ROUND(Товары[[#This Row],[РРЦ финальная, руб.]]/$AU$1,2)</f>
        <v>0</v>
      </c>
      <c r="AW195" s="45" t="str">
        <f>IFERROR(Товары[[#This Row],[РРЦ, евро]]/Товары[[#This Row],[IRP, Eur]],"-")</f>
        <v>-</v>
      </c>
      <c r="AX195" s="42">
        <f>IFERROR(VLOOKUP(Товары[[#This Row],[SubGroup]],'Структура цен DIY'!$B:$C,2,FALSE),0)</f>
        <v>0.21</v>
      </c>
      <c r="AY195" s="44">
        <v>0</v>
      </c>
    </row>
    <row r="196" spans="1:51" x14ac:dyDescent="0.25">
      <c r="A196" s="34">
        <v>194</v>
      </c>
      <c r="B196" s="34" t="s">
        <v>56</v>
      </c>
      <c r="C196" s="110" t="str">
        <f>IFERROR(INDEX(Структура_ассортимента[SuperCategory],MATCH(Товары[[#This Row],[SubGroup]],Структура_ассортимента[Subgroup],0)),"")</f>
        <v>A</v>
      </c>
      <c r="D19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9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96" s="110" t="str">
        <f>IFERROR(INDEX(Структура_ассортимента[Product group],MATCH(Товары[[#This Row],[SubGroup]],Структура_ассортимента[Subgroup],0)),"")</f>
        <v>AMC_C</v>
      </c>
      <c r="G196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96" s="110" t="str">
        <f>IFERROR(INDEX(Структура_ассортимента[Generic Name (long)3],MATCH(Товары[[#This Row],[SubGroup]],Структура_ассортимента[Subgroup],0)),"")</f>
        <v>Сучкорезы</v>
      </c>
      <c r="I196" s="36">
        <v>9212</v>
      </c>
      <c r="J196" s="36" t="str">
        <f>IFERROR(INDEX(Структура_ассортимента[Generic Name (long)],MATCH(Товары[[#This Row],[SubGroup]],Структура_ассортимента[Subgroup],0)),"")</f>
        <v>PRUNER, ANVIL</v>
      </c>
      <c r="L196" s="36">
        <v>967868101</v>
      </c>
      <c r="M196" s="35" t="s">
        <v>1880</v>
      </c>
      <c r="O196" s="35" t="s">
        <v>4275</v>
      </c>
      <c r="P196" s="37" t="s">
        <v>4276</v>
      </c>
      <c r="Q196" s="34" t="s">
        <v>3549</v>
      </c>
      <c r="R196" s="34" t="s">
        <v>3540</v>
      </c>
      <c r="S196" s="47">
        <v>43466</v>
      </c>
      <c r="T196" s="47">
        <v>0</v>
      </c>
      <c r="U196" s="47">
        <v>0</v>
      </c>
      <c r="V196" s="34">
        <v>4078500043380</v>
      </c>
      <c r="W196" s="34" t="s">
        <v>3548</v>
      </c>
      <c r="X196" s="34" t="s">
        <v>3579</v>
      </c>
      <c r="Y196" s="34" t="s">
        <v>3542</v>
      </c>
      <c r="Z196" s="34">
        <v>12</v>
      </c>
      <c r="AA196" s="34" t="s">
        <v>4277</v>
      </c>
      <c r="AB196" s="34" t="s">
        <v>4201</v>
      </c>
      <c r="AC196" s="34" t="s">
        <v>4278</v>
      </c>
      <c r="AD196" s="34" t="s">
        <v>3554</v>
      </c>
      <c r="AE196" s="34" t="s">
        <v>4271</v>
      </c>
      <c r="AF196" s="34" t="s">
        <v>3825</v>
      </c>
      <c r="AG196" s="34" t="s">
        <v>4272</v>
      </c>
      <c r="AH196" s="34" t="s">
        <v>4279</v>
      </c>
      <c r="AI196" s="34" t="s">
        <v>4271</v>
      </c>
      <c r="AJ196" s="34" t="s">
        <v>4242</v>
      </c>
      <c r="AK196" s="34" t="s">
        <v>3825</v>
      </c>
      <c r="AL196" s="34" t="s">
        <v>4214</v>
      </c>
      <c r="AM196" s="40" t="s">
        <v>9</v>
      </c>
      <c r="AP196" s="34">
        <v>0</v>
      </c>
      <c r="AQ196" s="34">
        <v>2990</v>
      </c>
      <c r="AR196" s="34">
        <v>2043</v>
      </c>
      <c r="AT196" s="44">
        <v>231600</v>
      </c>
      <c r="AU196" s="44"/>
      <c r="AV196" s="46">
        <f>ROUND(Товары[[#This Row],[РРЦ финальная, руб.]]/$AU$1,2)</f>
        <v>0</v>
      </c>
      <c r="AW196" s="45" t="str">
        <f>IFERROR(Товары[[#This Row],[РРЦ, евро]]/Товары[[#This Row],[IRP, Eur]],"-")</f>
        <v>-</v>
      </c>
      <c r="AX196" s="42">
        <f>IFERROR(VLOOKUP(Товары[[#This Row],[SubGroup]],'Структура цен DIY'!$B:$C,2,FALSE),0)</f>
        <v>0.21</v>
      </c>
      <c r="AY196" s="44">
        <v>0</v>
      </c>
    </row>
    <row r="197" spans="1:51" x14ac:dyDescent="0.25">
      <c r="A197" s="34">
        <v>195</v>
      </c>
      <c r="B197" s="34" t="s">
        <v>56</v>
      </c>
      <c r="C197" s="110" t="str">
        <f>IFERROR(INDEX(Структура_ассортимента[SuperCategory],MATCH(Товары[[#This Row],[SubGroup]],Структура_ассортимента[Subgroup],0)),"")</f>
        <v>A</v>
      </c>
      <c r="D19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9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97" s="110" t="str">
        <f>IFERROR(INDEX(Структура_ассортимента[Product group],MATCH(Товары[[#This Row],[SubGroup]],Структура_ассортимента[Subgroup],0)),"")</f>
        <v>AMC_C</v>
      </c>
      <c r="G197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97" s="110" t="str">
        <f>IFERROR(INDEX(Структура_ассортимента[Generic Name (long)3],MATCH(Товары[[#This Row],[SubGroup]],Структура_ассортимента[Subgroup],0)),"")</f>
        <v>Сучкорезы</v>
      </c>
      <c r="I197" s="36">
        <v>9212</v>
      </c>
      <c r="J197" s="36" t="str">
        <f>IFERROR(INDEX(Структура_ассортимента[Generic Name (long)],MATCH(Товары[[#This Row],[SubGroup]],Структура_ассортимента[Subgroup],0)),"")</f>
        <v>PRUNER, ANVIL</v>
      </c>
      <c r="L197" s="36">
        <v>967868201</v>
      </c>
      <c r="M197" s="35" t="s">
        <v>1881</v>
      </c>
      <c r="O197" s="35" t="s">
        <v>4280</v>
      </c>
      <c r="P197" s="37" t="s">
        <v>4281</v>
      </c>
      <c r="Q197" s="34" t="s">
        <v>3549</v>
      </c>
      <c r="R197" s="34" t="s">
        <v>3540</v>
      </c>
      <c r="S197" s="47">
        <v>43466</v>
      </c>
      <c r="T197" s="47">
        <v>0</v>
      </c>
      <c r="U197" s="47">
        <v>0</v>
      </c>
      <c r="V197" s="34">
        <v>4078500043403</v>
      </c>
      <c r="W197" s="34" t="s">
        <v>3548</v>
      </c>
      <c r="X197" s="34" t="s">
        <v>3579</v>
      </c>
      <c r="Y197" s="34" t="s">
        <v>3542</v>
      </c>
      <c r="Z197" s="34">
        <v>4</v>
      </c>
      <c r="AA197" s="34" t="s">
        <v>3634</v>
      </c>
      <c r="AB197" s="34" t="s">
        <v>4282</v>
      </c>
      <c r="AC197" s="34" t="s">
        <v>3636</v>
      </c>
      <c r="AD197" s="34" t="s">
        <v>3892</v>
      </c>
      <c r="AE197" s="34" t="s">
        <v>4283</v>
      </c>
      <c r="AF197" s="34" t="s">
        <v>3825</v>
      </c>
      <c r="AG197" s="34" t="s">
        <v>3932</v>
      </c>
      <c r="AH197" s="34" t="s">
        <v>4284</v>
      </c>
      <c r="AI197" s="34" t="s">
        <v>4283</v>
      </c>
      <c r="AJ197" s="34" t="s">
        <v>3932</v>
      </c>
      <c r="AK197" s="34" t="s">
        <v>3825</v>
      </c>
      <c r="AL197" s="34" t="s">
        <v>3578</v>
      </c>
      <c r="AM197" s="40" t="s">
        <v>9</v>
      </c>
      <c r="AP197" s="34">
        <v>0</v>
      </c>
      <c r="AQ197" s="34">
        <v>2990</v>
      </c>
      <c r="AR197" s="34">
        <v>2043</v>
      </c>
      <c r="AT197" s="44">
        <v>231600</v>
      </c>
      <c r="AU197" s="44"/>
      <c r="AV197" s="46">
        <f>ROUND(Товары[[#This Row],[РРЦ финальная, руб.]]/$AU$1,2)</f>
        <v>0</v>
      </c>
      <c r="AW197" s="45" t="str">
        <f>IFERROR(Товары[[#This Row],[РРЦ, евро]]/Товары[[#This Row],[IRP, Eur]],"-")</f>
        <v>-</v>
      </c>
      <c r="AX197" s="42">
        <f>IFERROR(VLOOKUP(Товары[[#This Row],[SubGroup]],'Структура цен DIY'!$B:$C,2,FALSE),0)</f>
        <v>0.21</v>
      </c>
      <c r="AY197" s="44">
        <v>0</v>
      </c>
    </row>
    <row r="198" spans="1:51" x14ac:dyDescent="0.25">
      <c r="A198" s="34">
        <v>196</v>
      </c>
      <c r="B198" s="34" t="s">
        <v>56</v>
      </c>
      <c r="C198" s="110" t="str">
        <f>IFERROR(INDEX(Структура_ассортимента[SuperCategory],MATCH(Товары[[#This Row],[SubGroup]],Структура_ассортимента[Subgroup],0)),"")</f>
        <v>A</v>
      </c>
      <c r="D19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9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98" s="110" t="str">
        <f>IFERROR(INDEX(Структура_ассортимента[Product group],MATCH(Товары[[#This Row],[SubGroup]],Структура_ассортимента[Subgroup],0)),"")</f>
        <v>AMC_C</v>
      </c>
      <c r="G198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98" s="110" t="str">
        <f>IFERROR(INDEX(Структура_ассортимента[Generic Name (long)3],MATCH(Товары[[#This Row],[SubGroup]],Структура_ассортимента[Subgroup],0)),"")</f>
        <v>Сучкорезы</v>
      </c>
      <c r="I198" s="36">
        <v>9212</v>
      </c>
      <c r="J198" s="36" t="str">
        <f>IFERROR(INDEX(Структура_ассортимента[Generic Name (long)],MATCH(Товары[[#This Row],[SubGroup]],Структура_ассортимента[Subgroup],0)),"")</f>
        <v>PRUNER, ANVIL</v>
      </c>
      <c r="L198" s="36">
        <v>967868301</v>
      </c>
      <c r="M198" s="35" t="s">
        <v>1882</v>
      </c>
      <c r="O198" s="35" t="s">
        <v>4285</v>
      </c>
      <c r="P198" s="37" t="s">
        <v>4286</v>
      </c>
      <c r="Q198" s="34" t="s">
        <v>3549</v>
      </c>
      <c r="R198" s="34" t="s">
        <v>3540</v>
      </c>
      <c r="S198" s="47">
        <v>43466</v>
      </c>
      <c r="T198" s="47">
        <v>0</v>
      </c>
      <c r="U198" s="47">
        <v>0</v>
      </c>
      <c r="V198" s="34">
        <v>4078500043427</v>
      </c>
      <c r="W198" s="34" t="s">
        <v>3548</v>
      </c>
      <c r="X198" s="34" t="s">
        <v>3579</v>
      </c>
      <c r="Y198" s="34" t="s">
        <v>3542</v>
      </c>
      <c r="Z198" s="34">
        <v>4</v>
      </c>
      <c r="AA198" s="34" t="s">
        <v>3634</v>
      </c>
      <c r="AB198" s="34" t="s">
        <v>4282</v>
      </c>
      <c r="AC198" s="34" t="s">
        <v>3636</v>
      </c>
      <c r="AD198" s="34" t="s">
        <v>3892</v>
      </c>
      <c r="AE198" s="34" t="s">
        <v>4287</v>
      </c>
      <c r="AF198" s="34" t="s">
        <v>3708</v>
      </c>
      <c r="AG198" s="34" t="s">
        <v>3932</v>
      </c>
      <c r="AH198" s="34" t="s">
        <v>4288</v>
      </c>
      <c r="AI198" s="34" t="s">
        <v>4287</v>
      </c>
      <c r="AJ198" s="34" t="s">
        <v>3932</v>
      </c>
      <c r="AK198" s="34" t="s">
        <v>3708</v>
      </c>
      <c r="AL198" s="34" t="s">
        <v>3868</v>
      </c>
      <c r="AM198" s="40" t="s">
        <v>9</v>
      </c>
      <c r="AP198" s="34">
        <v>0</v>
      </c>
      <c r="AQ198" s="34">
        <v>3890</v>
      </c>
      <c r="AR198" s="34">
        <v>2658</v>
      </c>
      <c r="AT198" s="44">
        <v>301300</v>
      </c>
      <c r="AU198" s="44"/>
      <c r="AV198" s="46">
        <f>ROUND(Товары[[#This Row],[РРЦ финальная, руб.]]/$AU$1,2)</f>
        <v>0</v>
      </c>
      <c r="AW198" s="45" t="str">
        <f>IFERROR(Товары[[#This Row],[РРЦ, евро]]/Товары[[#This Row],[IRP, Eur]],"-")</f>
        <v>-</v>
      </c>
      <c r="AX198" s="42">
        <f>IFERROR(VLOOKUP(Товары[[#This Row],[SubGroup]],'Структура цен DIY'!$B:$C,2,FALSE),0)</f>
        <v>0.21</v>
      </c>
      <c r="AY198" s="44">
        <v>0</v>
      </c>
    </row>
    <row r="199" spans="1:51" x14ac:dyDescent="0.25">
      <c r="A199" s="34">
        <v>197</v>
      </c>
      <c r="B199" s="34" t="s">
        <v>56</v>
      </c>
      <c r="C199" s="110" t="str">
        <f>IFERROR(INDEX(Структура_ассортимента[SuperCategory],MATCH(Товары[[#This Row],[SubGroup]],Структура_ассортимента[Subgroup],0)),"")</f>
        <v>A</v>
      </c>
      <c r="D19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9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99" s="110" t="str">
        <f>IFERROR(INDEX(Структура_ассортимента[Product group],MATCH(Товары[[#This Row],[SubGroup]],Структура_ассортимента[Subgroup],0)),"")</f>
        <v>AMC_C</v>
      </c>
      <c r="G199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99" s="110" t="str">
        <f>IFERROR(INDEX(Структура_ассортимента[Generic Name (long)3],MATCH(Товары[[#This Row],[SubGroup]],Структура_ассортимента[Subgroup],0)),"")</f>
        <v>Сучкорезы</v>
      </c>
      <c r="I199" s="36">
        <v>9212</v>
      </c>
      <c r="J199" s="36" t="str">
        <f>IFERROR(INDEX(Структура_ассортимента[Generic Name (long)],MATCH(Товары[[#This Row],[SubGroup]],Структура_ассортимента[Subgroup],0)),"")</f>
        <v>PRUNER, ANVIL</v>
      </c>
      <c r="L199" s="36">
        <v>967950601</v>
      </c>
      <c r="M199" s="35" t="s">
        <v>1883</v>
      </c>
      <c r="O199" s="35" t="s">
        <v>4289</v>
      </c>
      <c r="P199" s="37" t="s">
        <v>4290</v>
      </c>
      <c r="Q199" s="34" t="s">
        <v>3549</v>
      </c>
      <c r="R199" s="34" t="s">
        <v>3540</v>
      </c>
      <c r="S199" s="47">
        <v>43466</v>
      </c>
      <c r="T199" s="47">
        <v>0</v>
      </c>
      <c r="U199" s="47">
        <v>0</v>
      </c>
      <c r="V199" s="34">
        <v>4078500046527</v>
      </c>
      <c r="W199" s="34" t="s">
        <v>3548</v>
      </c>
      <c r="X199" s="34" t="s">
        <v>3579</v>
      </c>
      <c r="Y199" s="34" t="s">
        <v>3542</v>
      </c>
      <c r="Z199" s="34">
        <v>12</v>
      </c>
      <c r="AA199" s="34" t="s">
        <v>3634</v>
      </c>
      <c r="AB199" s="34" t="s">
        <v>3634</v>
      </c>
      <c r="AC199" s="34" t="s">
        <v>3636</v>
      </c>
      <c r="AD199" s="34" t="s">
        <v>3636</v>
      </c>
      <c r="AE199" s="34" t="s">
        <v>4287</v>
      </c>
      <c r="AF199" s="34" t="s">
        <v>3708</v>
      </c>
      <c r="AG199" s="34" t="s">
        <v>3932</v>
      </c>
      <c r="AH199" s="34" t="s">
        <v>4288</v>
      </c>
      <c r="AI199" s="34" t="s">
        <v>4287</v>
      </c>
      <c r="AJ199" s="34" t="s">
        <v>3932</v>
      </c>
      <c r="AK199" s="34" t="s">
        <v>3708</v>
      </c>
      <c r="AL199" s="34" t="s">
        <v>3658</v>
      </c>
      <c r="AM199" s="40" t="s">
        <v>9</v>
      </c>
      <c r="AP199" s="34">
        <v>0</v>
      </c>
      <c r="AQ199" s="34">
        <v>3890</v>
      </c>
      <c r="AR199" s="34">
        <v>2658</v>
      </c>
      <c r="AT199" s="44">
        <v>301300</v>
      </c>
      <c r="AU199" s="44"/>
      <c r="AV199" s="46">
        <f>ROUND(Товары[[#This Row],[РРЦ финальная, руб.]]/$AU$1,2)</f>
        <v>0</v>
      </c>
      <c r="AW199" s="45" t="str">
        <f>IFERROR(Товары[[#This Row],[РРЦ, евро]]/Товары[[#This Row],[IRP, Eur]],"-")</f>
        <v>-</v>
      </c>
      <c r="AX199" s="42">
        <f>IFERROR(VLOOKUP(Товары[[#This Row],[SubGroup]],'Структура цен DIY'!$B:$C,2,FALSE),0)</f>
        <v>0.21</v>
      </c>
      <c r="AY199" s="44">
        <v>0</v>
      </c>
    </row>
    <row r="200" spans="1:51" x14ac:dyDescent="0.25">
      <c r="A200" s="34">
        <v>198</v>
      </c>
      <c r="B200" s="34" t="s">
        <v>56</v>
      </c>
      <c r="C200" s="110" t="str">
        <f>IFERROR(INDEX(Структура_ассортимента[SuperCategory],MATCH(Товары[[#This Row],[SubGroup]],Структура_ассортимента[Subgroup],0)),"")</f>
        <v>A</v>
      </c>
      <c r="D20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0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00" s="110" t="str">
        <f>IFERROR(INDEX(Структура_ассортимента[Product group],MATCH(Товары[[#This Row],[SubGroup]],Структура_ассортимента[Subgroup],0)),"")</f>
        <v>AMC_C</v>
      </c>
      <c r="G200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00" s="110" t="str">
        <f>IFERROR(INDEX(Структура_ассортимента[Generic Name (long)3],MATCH(Товары[[#This Row],[SubGroup]],Структура_ассортимента[Subgroup],0)),"")</f>
        <v>Сучкорезы</v>
      </c>
      <c r="I200" s="36">
        <v>9212</v>
      </c>
      <c r="J200" s="36" t="str">
        <f>IFERROR(INDEX(Структура_ассортимента[Generic Name (long)],MATCH(Товары[[#This Row],[SubGroup]],Структура_ассортимента[Subgroup],0)),"")</f>
        <v>PRUNER, ANVIL</v>
      </c>
      <c r="L200" s="36">
        <v>967868701</v>
      </c>
      <c r="M200" s="35" t="s">
        <v>1884</v>
      </c>
      <c r="O200" s="35" t="s">
        <v>4291</v>
      </c>
      <c r="P200" s="37" t="s">
        <v>4292</v>
      </c>
      <c r="Q200" s="34" t="s">
        <v>3549</v>
      </c>
      <c r="R200" s="34" t="s">
        <v>3540</v>
      </c>
      <c r="S200" s="47">
        <v>43466</v>
      </c>
      <c r="T200" s="47">
        <v>0</v>
      </c>
      <c r="U200" s="47">
        <v>0</v>
      </c>
      <c r="V200" s="34">
        <v>4078500043519</v>
      </c>
      <c r="W200" s="34" t="s">
        <v>3548</v>
      </c>
      <c r="X200" s="34" t="s">
        <v>3579</v>
      </c>
      <c r="Y200" s="34" t="s">
        <v>3542</v>
      </c>
      <c r="Z200" s="34">
        <v>2</v>
      </c>
      <c r="AA200" s="34" t="s">
        <v>3634</v>
      </c>
      <c r="AB200" s="34" t="s">
        <v>3634</v>
      </c>
      <c r="AC200" s="34" t="s">
        <v>3636</v>
      </c>
      <c r="AD200" s="34" t="s">
        <v>3636</v>
      </c>
      <c r="AE200" s="34" t="s">
        <v>4293</v>
      </c>
      <c r="AF200" s="34" t="s">
        <v>3920</v>
      </c>
      <c r="AG200" s="34" t="s">
        <v>3672</v>
      </c>
      <c r="AH200" s="34" t="s">
        <v>4294</v>
      </c>
      <c r="AI200" s="34" t="s">
        <v>4293</v>
      </c>
      <c r="AJ200" s="34" t="s">
        <v>3672</v>
      </c>
      <c r="AK200" s="34" t="s">
        <v>3920</v>
      </c>
      <c r="AL200" s="34" t="s">
        <v>4295</v>
      </c>
      <c r="AM200" s="40" t="s">
        <v>9</v>
      </c>
      <c r="AP200" s="34">
        <v>0</v>
      </c>
      <c r="AQ200" s="34">
        <v>5190</v>
      </c>
      <c r="AR200" s="34">
        <v>3547</v>
      </c>
      <c r="AT200" s="44">
        <v>402000</v>
      </c>
      <c r="AU200" s="44"/>
      <c r="AV200" s="46">
        <f>ROUND(Товары[[#This Row],[РРЦ финальная, руб.]]/$AU$1,2)</f>
        <v>0</v>
      </c>
      <c r="AW200" s="45" t="str">
        <f>IFERROR(Товары[[#This Row],[РРЦ, евро]]/Товары[[#This Row],[IRP, Eur]],"-")</f>
        <v>-</v>
      </c>
      <c r="AX200" s="42">
        <f>IFERROR(VLOOKUP(Товары[[#This Row],[SubGroup]],'Структура цен DIY'!$B:$C,2,FALSE),0)</f>
        <v>0.21</v>
      </c>
      <c r="AY200" s="44">
        <v>0</v>
      </c>
    </row>
    <row r="201" spans="1:51" x14ac:dyDescent="0.25">
      <c r="A201" s="34">
        <v>199</v>
      </c>
      <c r="B201" s="34" t="s">
        <v>56</v>
      </c>
      <c r="C201" s="110" t="str">
        <f>IFERROR(INDEX(Структура_ассортимента[SuperCategory],MATCH(Товары[[#This Row],[SubGroup]],Структура_ассортимента[Subgroup],0)),"")</f>
        <v>A</v>
      </c>
      <c r="D20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0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01" s="110" t="str">
        <f>IFERROR(INDEX(Структура_ассортимента[Product group],MATCH(Товары[[#This Row],[SubGroup]],Структура_ассортимента[Subgroup],0)),"")</f>
        <v>AMC_C</v>
      </c>
      <c r="G201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01" s="110" t="str">
        <f>IFERROR(INDEX(Структура_ассортимента[Generic Name (long)3],MATCH(Товары[[#This Row],[SubGroup]],Структура_ассортимента[Subgroup],0)),"")</f>
        <v>Сучкорезы</v>
      </c>
      <c r="I201" s="36">
        <v>9212</v>
      </c>
      <c r="J201" s="36" t="str">
        <f>IFERROR(INDEX(Структура_ассортимента[Generic Name (long)],MATCH(Товары[[#This Row],[SubGroup]],Структура_ассортимента[Subgroup],0)),"")</f>
        <v>PRUNER, ANVIL</v>
      </c>
      <c r="L201" s="36">
        <v>967950701</v>
      </c>
      <c r="M201" s="35" t="s">
        <v>1885</v>
      </c>
      <c r="O201" s="35" t="s">
        <v>4296</v>
      </c>
      <c r="P201" s="37" t="s">
        <v>4297</v>
      </c>
      <c r="Q201" s="34" t="s">
        <v>3549</v>
      </c>
      <c r="R201" s="34" t="s">
        <v>3540</v>
      </c>
      <c r="S201" s="47">
        <v>43466</v>
      </c>
      <c r="T201" s="47">
        <v>0</v>
      </c>
      <c r="U201" s="47">
        <v>0</v>
      </c>
      <c r="V201" s="34">
        <v>4078500046541</v>
      </c>
      <c r="W201" s="34" t="s">
        <v>3548</v>
      </c>
      <c r="X201" s="34" t="s">
        <v>3579</v>
      </c>
      <c r="Y201" s="34" t="s">
        <v>3542</v>
      </c>
      <c r="Z201" s="34">
        <v>12</v>
      </c>
      <c r="AA201" s="34" t="s">
        <v>3634</v>
      </c>
      <c r="AB201" s="34" t="s">
        <v>3634</v>
      </c>
      <c r="AC201" s="34" t="s">
        <v>3636</v>
      </c>
      <c r="AD201" s="34" t="s">
        <v>3636</v>
      </c>
      <c r="AE201" s="34" t="s">
        <v>4293</v>
      </c>
      <c r="AF201" s="34" t="s">
        <v>3920</v>
      </c>
      <c r="AG201" s="34" t="s">
        <v>3672</v>
      </c>
      <c r="AH201" s="34" t="s">
        <v>4294</v>
      </c>
      <c r="AI201" s="34" t="s">
        <v>4293</v>
      </c>
      <c r="AJ201" s="34" t="s">
        <v>3672</v>
      </c>
      <c r="AK201" s="34" t="s">
        <v>3920</v>
      </c>
      <c r="AL201" s="34" t="s">
        <v>3658</v>
      </c>
      <c r="AM201" s="40" t="s">
        <v>9</v>
      </c>
      <c r="AP201" s="34">
        <v>0</v>
      </c>
      <c r="AQ201" s="34">
        <v>5190</v>
      </c>
      <c r="AR201" s="34">
        <v>3547</v>
      </c>
      <c r="AT201" s="44">
        <v>402000</v>
      </c>
      <c r="AU201" s="44"/>
      <c r="AV201" s="46">
        <f>ROUND(Товары[[#This Row],[РРЦ финальная, руб.]]/$AU$1,2)</f>
        <v>0</v>
      </c>
      <c r="AW201" s="45" t="str">
        <f>IFERROR(Товары[[#This Row],[РРЦ, евро]]/Товары[[#This Row],[IRP, Eur]],"-")</f>
        <v>-</v>
      </c>
      <c r="AX201" s="42">
        <f>IFERROR(VLOOKUP(Товары[[#This Row],[SubGroup]],'Структура цен DIY'!$B:$C,2,FALSE),0)</f>
        <v>0.21</v>
      </c>
      <c r="AY201" s="44">
        <v>0</v>
      </c>
    </row>
    <row r="202" spans="1:51" x14ac:dyDescent="0.25">
      <c r="A202" s="34">
        <v>200</v>
      </c>
      <c r="B202" s="34" t="s">
        <v>56</v>
      </c>
      <c r="C202" s="110" t="str">
        <f>IFERROR(INDEX(Структура_ассортимента[SuperCategory],MATCH(Товары[[#This Row],[SubGroup]],Структура_ассортимента[Subgroup],0)),"")</f>
        <v>A</v>
      </c>
      <c r="D20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0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02" s="110" t="str">
        <f>IFERROR(INDEX(Структура_ассортимента[Product group],MATCH(Товары[[#This Row],[SubGroup]],Структура_ассортимента[Subgroup],0)),"")</f>
        <v>AMC_C</v>
      </c>
      <c r="G202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02" s="110" t="str">
        <f>IFERROR(INDEX(Структура_ассортимента[Generic Name (long)3],MATCH(Товары[[#This Row],[SubGroup]],Структура_ассортимента[Subgroup],0)),"")</f>
        <v>Сучкорезы</v>
      </c>
      <c r="I202" s="36">
        <v>9212</v>
      </c>
      <c r="J202" s="36" t="str">
        <f>IFERROR(INDEX(Структура_ассортимента[Generic Name (long)],MATCH(Товары[[#This Row],[SubGroup]],Структура_ассортимента[Subgroup],0)),"")</f>
        <v>PRUNER, ANVIL</v>
      </c>
      <c r="L202" s="36">
        <v>967868401</v>
      </c>
      <c r="M202" s="35" t="s">
        <v>1886</v>
      </c>
      <c r="O202" s="35" t="s">
        <v>4298</v>
      </c>
      <c r="P202" s="37" t="s">
        <v>4299</v>
      </c>
      <c r="Q202" s="34" t="s">
        <v>3549</v>
      </c>
      <c r="R202" s="34" t="s">
        <v>3540</v>
      </c>
      <c r="S202" s="47">
        <v>43466</v>
      </c>
      <c r="T202" s="47">
        <v>0</v>
      </c>
      <c r="U202" s="47">
        <v>0</v>
      </c>
      <c r="V202" s="34">
        <v>4078500043441</v>
      </c>
      <c r="W202" s="34" t="s">
        <v>3548</v>
      </c>
      <c r="X202" s="34" t="s">
        <v>3579</v>
      </c>
      <c r="Y202" s="34" t="s">
        <v>3542</v>
      </c>
      <c r="Z202" s="34">
        <v>2</v>
      </c>
      <c r="AA202" s="34" t="s">
        <v>3634</v>
      </c>
      <c r="AB202" s="34" t="s">
        <v>4300</v>
      </c>
      <c r="AC202" s="34" t="s">
        <v>3636</v>
      </c>
      <c r="AD202" s="34" t="s">
        <v>3876</v>
      </c>
      <c r="AE202" s="34" t="s">
        <v>4018</v>
      </c>
      <c r="AF202" s="34" t="s">
        <v>3944</v>
      </c>
      <c r="AG202" s="34" t="s">
        <v>3672</v>
      </c>
      <c r="AH202" s="34" t="s">
        <v>4301</v>
      </c>
      <c r="AI202" s="34" t="s">
        <v>4018</v>
      </c>
      <c r="AJ202" s="34" t="s">
        <v>4234</v>
      </c>
      <c r="AK202" s="34" t="s">
        <v>3920</v>
      </c>
      <c r="AL202" s="34" t="s">
        <v>4302</v>
      </c>
      <c r="AM202" s="40" t="s">
        <v>9</v>
      </c>
      <c r="AP202" s="34">
        <v>0</v>
      </c>
      <c r="AQ202" s="34">
        <v>4590</v>
      </c>
      <c r="AR202" s="34">
        <v>3137</v>
      </c>
      <c r="AT202" s="44">
        <v>355500</v>
      </c>
      <c r="AU202" s="44"/>
      <c r="AV202" s="46">
        <f>ROUND(Товары[[#This Row],[РРЦ финальная, руб.]]/$AU$1,2)</f>
        <v>0</v>
      </c>
      <c r="AW202" s="45" t="str">
        <f>IFERROR(Товары[[#This Row],[РРЦ, евро]]/Товары[[#This Row],[IRP, Eur]],"-")</f>
        <v>-</v>
      </c>
      <c r="AX202" s="42">
        <f>IFERROR(VLOOKUP(Товары[[#This Row],[SubGroup]],'Структура цен DIY'!$B:$C,2,FALSE),0)</f>
        <v>0.21</v>
      </c>
      <c r="AY202" s="44">
        <v>0</v>
      </c>
    </row>
    <row r="203" spans="1:51" x14ac:dyDescent="0.25">
      <c r="A203" s="34">
        <v>201</v>
      </c>
      <c r="B203" s="34" t="s">
        <v>56</v>
      </c>
      <c r="C203" s="110" t="str">
        <f>IFERROR(INDEX(Структура_ассортимента[SuperCategory],MATCH(Товары[[#This Row],[SubGroup]],Структура_ассортимента[Subgroup],0)),"")</f>
        <v>A</v>
      </c>
      <c r="D20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0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03" s="110" t="str">
        <f>IFERROR(INDEX(Структура_ассортимента[Product group],MATCH(Товары[[#This Row],[SubGroup]],Структура_ассортимента[Subgroup],0)),"")</f>
        <v>AMC_C</v>
      </c>
      <c r="G203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03" s="110" t="str">
        <f>IFERROR(INDEX(Структура_ассортимента[Generic Name (long)3],MATCH(Товары[[#This Row],[SubGroup]],Структура_ассортимента[Subgroup],0)),"")</f>
        <v>Сучкорезы</v>
      </c>
      <c r="I203" s="36">
        <v>9212</v>
      </c>
      <c r="J203" s="36" t="str">
        <f>IFERROR(INDEX(Структура_ассортимента[Generic Name (long)],MATCH(Товары[[#This Row],[SubGroup]],Структура_ассортимента[Subgroup],0)),"")</f>
        <v>PRUNER, ANVIL</v>
      </c>
      <c r="L203" s="36">
        <v>967868501</v>
      </c>
      <c r="M203" s="35" t="s">
        <v>1887</v>
      </c>
      <c r="O203" s="35" t="s">
        <v>4303</v>
      </c>
      <c r="P203" s="37" t="s">
        <v>4304</v>
      </c>
      <c r="Q203" s="34" t="s">
        <v>3549</v>
      </c>
      <c r="R203" s="34" t="s">
        <v>3540</v>
      </c>
      <c r="S203" s="47">
        <v>43466</v>
      </c>
      <c r="T203" s="47">
        <v>0</v>
      </c>
      <c r="U203" s="47">
        <v>0</v>
      </c>
      <c r="V203" s="34">
        <v>4078500043465</v>
      </c>
      <c r="W203" s="34" t="s">
        <v>3548</v>
      </c>
      <c r="X203" s="34" t="s">
        <v>3579</v>
      </c>
      <c r="Y203" s="34" t="s">
        <v>3542</v>
      </c>
      <c r="Z203" s="34">
        <v>2</v>
      </c>
      <c r="AA203" s="34" t="s">
        <v>3634</v>
      </c>
      <c r="AB203" s="34" t="s">
        <v>3634</v>
      </c>
      <c r="AC203" s="34" t="s">
        <v>3636</v>
      </c>
      <c r="AD203" s="34" t="s">
        <v>3636</v>
      </c>
      <c r="AE203" s="34" t="s">
        <v>4145</v>
      </c>
      <c r="AF203" s="34" t="s">
        <v>3743</v>
      </c>
      <c r="AG203" s="34" t="s">
        <v>3672</v>
      </c>
      <c r="AH203" s="34" t="s">
        <v>4305</v>
      </c>
      <c r="AI203" s="34" t="s">
        <v>4145</v>
      </c>
      <c r="AJ203" s="34" t="s">
        <v>3672</v>
      </c>
      <c r="AK203" s="34" t="s">
        <v>3743</v>
      </c>
      <c r="AL203" s="34" t="s">
        <v>4306</v>
      </c>
      <c r="AM203" s="40" t="s">
        <v>9</v>
      </c>
      <c r="AP203" s="34">
        <v>0</v>
      </c>
      <c r="AQ203" s="34">
        <v>5690</v>
      </c>
      <c r="AR203" s="34">
        <v>3888</v>
      </c>
      <c r="AT203" s="44">
        <v>440700</v>
      </c>
      <c r="AU203" s="44"/>
      <c r="AV203" s="46">
        <f>ROUND(Товары[[#This Row],[РРЦ финальная, руб.]]/$AU$1,2)</f>
        <v>0</v>
      </c>
      <c r="AW203" s="45" t="str">
        <f>IFERROR(Товары[[#This Row],[РРЦ, евро]]/Товары[[#This Row],[IRP, Eur]],"-")</f>
        <v>-</v>
      </c>
      <c r="AX203" s="42">
        <f>IFERROR(VLOOKUP(Товары[[#This Row],[SubGroup]],'Структура цен DIY'!$B:$C,2,FALSE),0)</f>
        <v>0.21</v>
      </c>
      <c r="AY203" s="44">
        <v>0</v>
      </c>
    </row>
    <row r="204" spans="1:51" x14ac:dyDescent="0.25">
      <c r="A204" s="34">
        <v>202</v>
      </c>
      <c r="B204" s="34" t="s">
        <v>56</v>
      </c>
      <c r="C204" s="110" t="str">
        <f>IFERROR(INDEX(Структура_ассортимента[SuperCategory],MATCH(Товары[[#This Row],[SubGroup]],Структура_ассортимента[Subgroup],0)),"")</f>
        <v>A</v>
      </c>
      <c r="D20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0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04" s="110" t="str">
        <f>IFERROR(INDEX(Структура_ассортимента[Product group],MATCH(Товары[[#This Row],[SubGroup]],Структура_ассортимента[Subgroup],0)),"")</f>
        <v>AMC_C</v>
      </c>
      <c r="G204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04" s="110" t="str">
        <f>IFERROR(INDEX(Структура_ассортимента[Generic Name (long)3],MATCH(Товары[[#This Row],[SubGroup]],Структура_ассортимента[Subgroup],0)),"")</f>
        <v>Сучкорезы</v>
      </c>
      <c r="I204" s="36">
        <v>9212</v>
      </c>
      <c r="J204" s="36" t="str">
        <f>IFERROR(INDEX(Структура_ассортимента[Generic Name (long)],MATCH(Товары[[#This Row],[SubGroup]],Структура_ассортимента[Subgroup],0)),"")</f>
        <v>PRUNER, ANVIL</v>
      </c>
      <c r="L204" s="36">
        <v>967868601</v>
      </c>
      <c r="M204" s="35" t="s">
        <v>1888</v>
      </c>
      <c r="O204" s="35" t="s">
        <v>4307</v>
      </c>
      <c r="P204" s="37" t="s">
        <v>4308</v>
      </c>
      <c r="Q204" s="34" t="s">
        <v>3549</v>
      </c>
      <c r="R204" s="34" t="s">
        <v>3540</v>
      </c>
      <c r="S204" s="47">
        <v>43466</v>
      </c>
      <c r="T204" s="47">
        <v>0</v>
      </c>
      <c r="U204" s="47">
        <v>0</v>
      </c>
      <c r="V204" s="34">
        <v>4078500043489</v>
      </c>
      <c r="W204" s="34" t="s">
        <v>3548</v>
      </c>
      <c r="X204" s="34" t="s">
        <v>3579</v>
      </c>
      <c r="Y204" s="34" t="s">
        <v>3542</v>
      </c>
      <c r="Z204" s="34">
        <v>2</v>
      </c>
      <c r="AA204" s="34" t="s">
        <v>3634</v>
      </c>
      <c r="AB204" s="34" t="s">
        <v>3634</v>
      </c>
      <c r="AC204" s="34" t="s">
        <v>3636</v>
      </c>
      <c r="AD204" s="34" t="s">
        <v>3636</v>
      </c>
      <c r="AE204" s="34" t="s">
        <v>4145</v>
      </c>
      <c r="AF204" s="34" t="s">
        <v>4309</v>
      </c>
      <c r="AG204" s="34" t="s">
        <v>3672</v>
      </c>
      <c r="AH204" s="34" t="s">
        <v>4310</v>
      </c>
      <c r="AI204" s="34" t="s">
        <v>4145</v>
      </c>
      <c r="AJ204" s="34" t="s">
        <v>3672</v>
      </c>
      <c r="AK204" s="34" t="s">
        <v>4309</v>
      </c>
      <c r="AL204" s="34" t="s">
        <v>4306</v>
      </c>
      <c r="AM204" s="40" t="s">
        <v>9</v>
      </c>
      <c r="AP204" s="34">
        <v>0</v>
      </c>
      <c r="AQ204" s="34">
        <v>5690</v>
      </c>
      <c r="AR204" s="34">
        <v>3888</v>
      </c>
      <c r="AT204" s="44">
        <v>440700</v>
      </c>
      <c r="AU204" s="44"/>
      <c r="AV204" s="46">
        <f>ROUND(Товары[[#This Row],[РРЦ финальная, руб.]]/$AU$1,2)</f>
        <v>0</v>
      </c>
      <c r="AW204" s="45" t="str">
        <f>IFERROR(Товары[[#This Row],[РРЦ, евро]]/Товары[[#This Row],[IRP, Eur]],"-")</f>
        <v>-</v>
      </c>
      <c r="AX204" s="42">
        <f>IFERROR(VLOOKUP(Товары[[#This Row],[SubGroup]],'Структура цен DIY'!$B:$C,2,FALSE),0)</f>
        <v>0.21</v>
      </c>
      <c r="AY204" s="44">
        <v>0</v>
      </c>
    </row>
    <row r="205" spans="1:51" x14ac:dyDescent="0.25">
      <c r="A205" s="34">
        <v>203</v>
      </c>
      <c r="B205" s="34" t="s">
        <v>56</v>
      </c>
      <c r="C205" s="110" t="str">
        <f>IFERROR(INDEX(Структура_ассортимента[SuperCategory],MATCH(Товары[[#This Row],[SubGroup]],Структура_ассортимента[Subgroup],0)),"")</f>
        <v>A</v>
      </c>
      <c r="D20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0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05" s="110" t="str">
        <f>IFERROR(INDEX(Структура_ассортимента[Product group],MATCH(Товары[[#This Row],[SubGroup]],Структура_ассортимента[Subgroup],0)),"")</f>
        <v>AMC_C</v>
      </c>
      <c r="G205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05" s="110" t="str">
        <f>IFERROR(INDEX(Структура_ассортимента[Generic Name (long)3],MATCH(Товары[[#This Row],[SubGroup]],Структура_ассортимента[Subgroup],0)),"")</f>
        <v>Сучкорезы</v>
      </c>
      <c r="I205" s="36">
        <v>9212</v>
      </c>
      <c r="J205" s="36" t="str">
        <f>IFERROR(INDEX(Структура_ассортимента[Generic Name (long)],MATCH(Товары[[#This Row],[SubGroup]],Структура_ассортимента[Subgroup],0)),"")</f>
        <v>PRUNER, ANVIL</v>
      </c>
      <c r="L205" s="36">
        <v>967868801</v>
      </c>
      <c r="M205" s="35" t="s">
        <v>1889</v>
      </c>
      <c r="O205" s="35" t="s">
        <v>4311</v>
      </c>
      <c r="P205" s="37" t="s">
        <v>4312</v>
      </c>
      <c r="Q205" s="34" t="s">
        <v>3549</v>
      </c>
      <c r="R205" s="34" t="s">
        <v>3540</v>
      </c>
      <c r="S205" s="47">
        <v>43466</v>
      </c>
      <c r="T205" s="47">
        <v>0</v>
      </c>
      <c r="U205" s="47">
        <v>0</v>
      </c>
      <c r="V205" s="34">
        <v>4078500043533</v>
      </c>
      <c r="W205" s="34" t="s">
        <v>3546</v>
      </c>
      <c r="X205" s="34" t="s">
        <v>3787</v>
      </c>
      <c r="Y205" s="34" t="s">
        <v>3542</v>
      </c>
      <c r="Z205" s="34">
        <v>2</v>
      </c>
      <c r="AA205" s="34" t="s">
        <v>4313</v>
      </c>
      <c r="AB205" s="34" t="s">
        <v>4313</v>
      </c>
      <c r="AC205" s="34" t="s">
        <v>3598</v>
      </c>
      <c r="AD205" s="34" t="s">
        <v>3598</v>
      </c>
      <c r="AE205" s="34" t="s">
        <v>4314</v>
      </c>
      <c r="AF205" s="34" t="s">
        <v>4315</v>
      </c>
      <c r="AG205" s="34" t="s">
        <v>3576</v>
      </c>
      <c r="AH205" s="34" t="s">
        <v>4316</v>
      </c>
      <c r="AI205" s="34" t="s">
        <v>4314</v>
      </c>
      <c r="AJ205" s="34" t="s">
        <v>3576</v>
      </c>
      <c r="AK205" s="34" t="s">
        <v>4315</v>
      </c>
      <c r="AL205" s="34" t="s">
        <v>4214</v>
      </c>
      <c r="AM205" s="40" t="s">
        <v>9</v>
      </c>
      <c r="AP205" s="34">
        <v>0</v>
      </c>
      <c r="AQ205" s="34">
        <v>5690</v>
      </c>
      <c r="AR205" s="34">
        <v>3888</v>
      </c>
      <c r="AT205" s="44">
        <v>440700</v>
      </c>
      <c r="AU205" s="44"/>
      <c r="AV205" s="46">
        <f>ROUND(Товары[[#This Row],[РРЦ финальная, руб.]]/$AU$1,2)</f>
        <v>0</v>
      </c>
      <c r="AW205" s="45" t="str">
        <f>IFERROR(Товары[[#This Row],[РРЦ, евро]]/Товары[[#This Row],[IRP, Eur]],"-")</f>
        <v>-</v>
      </c>
      <c r="AX205" s="42">
        <f>IFERROR(VLOOKUP(Товары[[#This Row],[SubGroup]],'Структура цен DIY'!$B:$C,2,FALSE),0)</f>
        <v>0.21</v>
      </c>
      <c r="AY205" s="44">
        <v>0</v>
      </c>
    </row>
    <row r="206" spans="1:51" x14ac:dyDescent="0.25">
      <c r="A206" s="34">
        <v>204</v>
      </c>
      <c r="B206" s="34" t="s">
        <v>56</v>
      </c>
      <c r="C206" s="110" t="str">
        <f>IFERROR(INDEX(Структура_ассортимента[SuperCategory],MATCH(Товары[[#This Row],[SubGroup]],Структура_ассортимента[Subgroup],0)),"")</f>
        <v>A</v>
      </c>
      <c r="D20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0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06" s="110" t="str">
        <f>IFERROR(INDEX(Структура_ассортимента[Product group],MATCH(Товары[[#This Row],[SubGroup]],Структура_ассортимента[Subgroup],0)),"")</f>
        <v>AMC_C</v>
      </c>
      <c r="G206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06" s="110" t="str">
        <f>IFERROR(INDEX(Структура_ассортимента[Generic Name (long)3],MATCH(Товары[[#This Row],[SubGroup]],Структура_ассортимента[Subgroup],0)),"")</f>
        <v>Сучкорезы</v>
      </c>
      <c r="I206" s="36">
        <v>9212</v>
      </c>
      <c r="J206" s="36" t="str">
        <f>IFERROR(INDEX(Структура_ассортимента[Generic Name (long)],MATCH(Товары[[#This Row],[SubGroup]],Структура_ассортимента[Subgroup],0)),"")</f>
        <v>PRUNER, ANVIL</v>
      </c>
      <c r="L206" s="36">
        <v>967950401</v>
      </c>
      <c r="M206" s="35" t="s">
        <v>1890</v>
      </c>
      <c r="O206" s="35" t="s">
        <v>4317</v>
      </c>
      <c r="P206" s="37" t="s">
        <v>4318</v>
      </c>
      <c r="Q206" s="34" t="s">
        <v>3549</v>
      </c>
      <c r="R206" s="34" t="s">
        <v>3540</v>
      </c>
      <c r="S206" s="47">
        <v>43466</v>
      </c>
      <c r="T206" s="47">
        <v>0</v>
      </c>
      <c r="U206" s="47">
        <v>0</v>
      </c>
      <c r="V206" s="34">
        <v>4078500046503</v>
      </c>
      <c r="W206" s="34" t="s">
        <v>3543</v>
      </c>
      <c r="X206" s="34" t="s">
        <v>3787</v>
      </c>
      <c r="Y206" s="34" t="s">
        <v>3542</v>
      </c>
      <c r="Z206" s="34">
        <v>8</v>
      </c>
      <c r="AA206" s="34" t="s">
        <v>4313</v>
      </c>
      <c r="AB206" s="34" t="s">
        <v>4319</v>
      </c>
      <c r="AC206" s="34" t="s">
        <v>3598</v>
      </c>
      <c r="AD206" s="34" t="s">
        <v>3598</v>
      </c>
      <c r="AE206" s="34" t="s">
        <v>4314</v>
      </c>
      <c r="AF206" s="34" t="s">
        <v>4315</v>
      </c>
      <c r="AG206" s="34" t="s">
        <v>3576</v>
      </c>
      <c r="AH206" s="34" t="s">
        <v>4320</v>
      </c>
      <c r="AI206" s="34" t="s">
        <v>4314</v>
      </c>
      <c r="AJ206" s="34" t="s">
        <v>3576</v>
      </c>
      <c r="AK206" s="34" t="s">
        <v>4315</v>
      </c>
      <c r="AL206" s="34" t="s">
        <v>4321</v>
      </c>
      <c r="AM206" s="40" t="s">
        <v>9</v>
      </c>
      <c r="AP206" s="34">
        <v>0</v>
      </c>
      <c r="AQ206" s="34">
        <v>5690</v>
      </c>
      <c r="AR206" s="34">
        <v>3888</v>
      </c>
      <c r="AT206" s="44">
        <v>440700</v>
      </c>
      <c r="AU206" s="44"/>
      <c r="AV206" s="46">
        <f>ROUND(Товары[[#This Row],[РРЦ финальная, руб.]]/$AU$1,2)</f>
        <v>0</v>
      </c>
      <c r="AW206" s="45" t="str">
        <f>IFERROR(Товары[[#This Row],[РРЦ, евро]]/Товары[[#This Row],[IRP, Eur]],"-")</f>
        <v>-</v>
      </c>
      <c r="AX206" s="42">
        <f>IFERROR(VLOOKUP(Товары[[#This Row],[SubGroup]],'Структура цен DIY'!$B:$C,2,FALSE),0)</f>
        <v>0.21</v>
      </c>
      <c r="AY206" s="44">
        <v>0</v>
      </c>
    </row>
    <row r="207" spans="1:51" x14ac:dyDescent="0.25">
      <c r="A207" s="34">
        <v>205</v>
      </c>
      <c r="B207" s="34" t="s">
        <v>56</v>
      </c>
      <c r="C207" s="110" t="str">
        <f>IFERROR(INDEX(Структура_ассортимента[SuperCategory],MATCH(Товары[[#This Row],[SubGroup]],Структура_ассортимента[Subgroup],0)),"")</f>
        <v>A</v>
      </c>
      <c r="D20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0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07" s="110" t="str">
        <f>IFERROR(INDEX(Структура_ассортимента[Product group],MATCH(Товары[[#This Row],[SubGroup]],Структура_ассортимента[Subgroup],0)),"")</f>
        <v>AMC_C</v>
      </c>
      <c r="G207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07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07" s="36">
        <v>9213</v>
      </c>
      <c r="J207" s="36" t="str">
        <f>IFERROR(INDEX(Структура_ассортимента[Generic Name (long)],MATCH(Товары[[#This Row],[SubGroup]],Структура_ассортимента[Subgroup],0)),"")</f>
        <v>HEDGE CLIPPER</v>
      </c>
      <c r="L207" s="36">
        <v>966651701</v>
      </c>
      <c r="M207" s="35" t="s">
        <v>1891</v>
      </c>
      <c r="Q207" s="34" t="s">
        <v>3713</v>
      </c>
      <c r="R207" s="34" t="s">
        <v>3540</v>
      </c>
      <c r="S207" s="47">
        <v>40452</v>
      </c>
      <c r="T207" s="47">
        <v>43830</v>
      </c>
      <c r="U207" s="47">
        <v>43830</v>
      </c>
      <c r="V207" s="34">
        <v>4078500039192</v>
      </c>
      <c r="W207" s="34" t="s">
        <v>3550</v>
      </c>
      <c r="Y207" s="34" t="s">
        <v>3542</v>
      </c>
      <c r="Z207" s="34">
        <v>4</v>
      </c>
      <c r="AA207" s="34" t="s">
        <v>4322</v>
      </c>
      <c r="AB207" s="34" t="s">
        <v>4322</v>
      </c>
      <c r="AC207" s="34" t="s">
        <v>3815</v>
      </c>
      <c r="AD207" s="34" t="s">
        <v>3815</v>
      </c>
      <c r="AE207" s="34" t="s">
        <v>4323</v>
      </c>
      <c r="AF207" s="34" t="s">
        <v>3968</v>
      </c>
      <c r="AG207" s="34" t="s">
        <v>4324</v>
      </c>
      <c r="AH207" s="34" t="s">
        <v>4325</v>
      </c>
      <c r="AI207" s="34" t="s">
        <v>4326</v>
      </c>
      <c r="AL207" s="34">
        <v>112</v>
      </c>
      <c r="AM207" s="40" t="s">
        <v>8094</v>
      </c>
      <c r="AT207" s="44">
        <v>0</v>
      </c>
      <c r="AU207" s="44"/>
      <c r="AV207" s="46">
        <f>ROUND(Товары[[#This Row],[РРЦ финальная, руб.]]/$AU$1,2)</f>
        <v>0</v>
      </c>
      <c r="AW207" s="45" t="str">
        <f>IFERROR(Товары[[#This Row],[РРЦ, евро]]/Товары[[#This Row],[IRP, Eur]],"-")</f>
        <v>-</v>
      </c>
      <c r="AX207" s="42">
        <f>IFERROR(VLOOKUP(Товары[[#This Row],[SubGroup]],'Структура цен DIY'!$B:$C,2,FALSE),0)</f>
        <v>0.3</v>
      </c>
      <c r="AY207" s="44">
        <v>0</v>
      </c>
    </row>
    <row r="208" spans="1:51" x14ac:dyDescent="0.25">
      <c r="A208" s="34">
        <v>206</v>
      </c>
      <c r="B208" s="34" t="s">
        <v>56</v>
      </c>
      <c r="C208" s="110" t="str">
        <f>IFERROR(INDEX(Структура_ассортимента[SuperCategory],MATCH(Товары[[#This Row],[SubGroup]],Структура_ассортимента[Subgroup],0)),"")</f>
        <v>A</v>
      </c>
      <c r="D20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0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08" s="110" t="str">
        <f>IFERROR(INDEX(Структура_ассортимента[Product group],MATCH(Товары[[#This Row],[SubGroup]],Структура_ассортимента[Subgroup],0)),"")</f>
        <v>AMC_C</v>
      </c>
      <c r="G208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08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08" s="36">
        <v>9213</v>
      </c>
      <c r="J208" s="36" t="str">
        <f>IFERROR(INDEX(Структура_ассортимента[Generic Name (long)],MATCH(Товары[[#This Row],[SubGroup]],Структура_ассортимента[Subgroup],0)),"")</f>
        <v>HEDGE CLIPPER</v>
      </c>
      <c r="L208" s="36">
        <v>900842301</v>
      </c>
      <c r="M208" s="35" t="s">
        <v>1892</v>
      </c>
      <c r="P208" s="37" t="s">
        <v>4327</v>
      </c>
      <c r="Q208" s="34" t="s">
        <v>3713</v>
      </c>
      <c r="R208" s="34" t="s">
        <v>3540</v>
      </c>
      <c r="S208" s="47">
        <v>38626</v>
      </c>
      <c r="T208" s="47">
        <v>43830</v>
      </c>
      <c r="U208" s="47">
        <v>43830</v>
      </c>
      <c r="V208" s="34">
        <v>4078500039109</v>
      </c>
      <c r="W208" s="34" t="s">
        <v>3550</v>
      </c>
      <c r="Y208" s="34" t="s">
        <v>3542</v>
      </c>
      <c r="Z208" s="34">
        <v>4</v>
      </c>
      <c r="AA208" s="34" t="s">
        <v>4322</v>
      </c>
      <c r="AB208" s="34" t="s">
        <v>3876</v>
      </c>
      <c r="AC208" s="34" t="s">
        <v>3815</v>
      </c>
      <c r="AD208" s="34" t="s">
        <v>4328</v>
      </c>
      <c r="AE208" s="34" t="s">
        <v>4323</v>
      </c>
      <c r="AF208" s="34" t="s">
        <v>3968</v>
      </c>
      <c r="AG208" s="34" t="s">
        <v>4324</v>
      </c>
      <c r="AH208" s="34" t="s">
        <v>4325</v>
      </c>
      <c r="AI208" s="34" t="s">
        <v>4326</v>
      </c>
      <c r="AL208" s="34" t="s">
        <v>3578</v>
      </c>
      <c r="AM208" s="40" t="s">
        <v>233</v>
      </c>
      <c r="AP208" s="34">
        <v>0</v>
      </c>
      <c r="AQ208" s="34">
        <v>2790</v>
      </c>
      <c r="AR208" s="34">
        <v>1744</v>
      </c>
      <c r="AT208" s="44">
        <v>216100</v>
      </c>
      <c r="AU208" s="44"/>
      <c r="AV208" s="46">
        <f>ROUND(Товары[[#This Row],[РРЦ финальная, руб.]]/$AU$1,2)</f>
        <v>0</v>
      </c>
      <c r="AW208" s="45" t="str">
        <f>IFERROR(Товары[[#This Row],[РРЦ, евро]]/Товары[[#This Row],[IRP, Eur]],"-")</f>
        <v>-</v>
      </c>
      <c r="AX208" s="42">
        <f>IFERROR(VLOOKUP(Товары[[#This Row],[SubGroup]],'Структура цен DIY'!$B:$C,2,FALSE),0)</f>
        <v>0.3</v>
      </c>
      <c r="AY208" s="44">
        <v>0</v>
      </c>
    </row>
    <row r="209" spans="1:51" x14ac:dyDescent="0.25">
      <c r="A209" s="34">
        <v>207</v>
      </c>
      <c r="B209" s="34" t="s">
        <v>56</v>
      </c>
      <c r="C209" s="110" t="str">
        <f>IFERROR(INDEX(Структура_ассортимента[SuperCategory],MATCH(Товары[[#This Row],[SubGroup]],Структура_ассортимента[Subgroup],0)),"")</f>
        <v>A</v>
      </c>
      <c r="D20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0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09" s="110" t="str">
        <f>IFERROR(INDEX(Структура_ассортимента[Product group],MATCH(Товары[[#This Row],[SubGroup]],Структура_ассортимента[Subgroup],0)),"")</f>
        <v>AMC_C</v>
      </c>
      <c r="G209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09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09" s="36">
        <v>9213</v>
      </c>
      <c r="J209" s="36" t="str">
        <f>IFERROR(INDEX(Структура_ассортимента[Generic Name (long)],MATCH(Товары[[#This Row],[SubGroup]],Структура_ассортимента[Subgroup],0)),"")</f>
        <v>HEDGE CLIPPER</v>
      </c>
      <c r="L209" s="36">
        <v>967262101</v>
      </c>
      <c r="M209" s="35" t="s">
        <v>1893</v>
      </c>
      <c r="P209" s="37" t="s">
        <v>4329</v>
      </c>
      <c r="Q209" s="34" t="s">
        <v>3713</v>
      </c>
      <c r="R209" s="34" t="s">
        <v>3540</v>
      </c>
      <c r="S209" s="47">
        <v>42736</v>
      </c>
      <c r="T209" s="47">
        <v>43830</v>
      </c>
      <c r="U209" s="47">
        <v>43830</v>
      </c>
      <c r="V209" s="34">
        <v>4078500025423</v>
      </c>
      <c r="W209" s="34" t="s">
        <v>3543</v>
      </c>
      <c r="Y209" s="34" t="s">
        <v>3542</v>
      </c>
      <c r="Z209" s="34">
        <v>12</v>
      </c>
      <c r="AB209" s="34" t="s">
        <v>3876</v>
      </c>
      <c r="AD209" s="34" t="s">
        <v>3815</v>
      </c>
      <c r="AE209" s="34" t="s">
        <v>4323</v>
      </c>
      <c r="AF209" s="34" t="s">
        <v>3968</v>
      </c>
      <c r="AG209" s="34" t="s">
        <v>4324</v>
      </c>
      <c r="AH209" s="34" t="s">
        <v>4325</v>
      </c>
      <c r="AI209" s="34" t="s">
        <v>4326</v>
      </c>
      <c r="AL209" s="34" t="s">
        <v>4214</v>
      </c>
      <c r="AM209" s="40" t="s">
        <v>233</v>
      </c>
      <c r="AP209" s="34">
        <v>0</v>
      </c>
      <c r="AQ209" s="34">
        <v>2990</v>
      </c>
      <c r="AR209" s="34">
        <v>1744</v>
      </c>
      <c r="AT209" s="44">
        <v>231600</v>
      </c>
      <c r="AU209" s="44"/>
      <c r="AV209" s="46">
        <f>ROUND(Товары[[#This Row],[РРЦ финальная, руб.]]/$AU$1,2)</f>
        <v>0</v>
      </c>
      <c r="AW209" s="45" t="str">
        <f>IFERROR(Товары[[#This Row],[РРЦ, евро]]/Товары[[#This Row],[IRP, Eur]],"-")</f>
        <v>-</v>
      </c>
      <c r="AX209" s="42">
        <f>IFERROR(VLOOKUP(Товары[[#This Row],[SubGroup]],'Структура цен DIY'!$B:$C,2,FALSE),0)</f>
        <v>0.3</v>
      </c>
      <c r="AY209" s="44">
        <v>0</v>
      </c>
    </row>
    <row r="210" spans="1:51" x14ac:dyDescent="0.25">
      <c r="A210" s="34">
        <v>208</v>
      </c>
      <c r="B210" s="34" t="s">
        <v>56</v>
      </c>
      <c r="C210" s="110" t="str">
        <f>IFERROR(INDEX(Структура_ассортимента[SuperCategory],MATCH(Товары[[#This Row],[SubGroup]],Структура_ассортимента[Subgroup],0)),"")</f>
        <v>A</v>
      </c>
      <c r="D21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1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10" s="110" t="str">
        <f>IFERROR(INDEX(Структура_ассортимента[Product group],MATCH(Товары[[#This Row],[SubGroup]],Структура_ассортимента[Subgroup],0)),"")</f>
        <v>AMC_C</v>
      </c>
      <c r="G210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10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10" s="36">
        <v>9213</v>
      </c>
      <c r="J210" s="36" t="str">
        <f>IFERROR(INDEX(Структура_ассортимента[Generic Name (long)],MATCH(Товары[[#This Row],[SubGroup]],Структура_ассортимента[Subgroup],0)),"")</f>
        <v>HEDGE CLIPPER</v>
      </c>
      <c r="L210" s="36">
        <v>900842901</v>
      </c>
      <c r="M210" s="35" t="s">
        <v>1894</v>
      </c>
      <c r="Q210" s="34" t="s">
        <v>3713</v>
      </c>
      <c r="R210" s="34" t="s">
        <v>3540</v>
      </c>
      <c r="S210" s="47">
        <v>38626</v>
      </c>
      <c r="T210" s="47">
        <v>43830</v>
      </c>
      <c r="U210" s="47">
        <v>43830</v>
      </c>
      <c r="V210" s="34">
        <v>4078500039703</v>
      </c>
      <c r="W210" s="34" t="s">
        <v>3550</v>
      </c>
      <c r="Y210" s="34" t="s">
        <v>3542</v>
      </c>
      <c r="Z210" s="34">
        <v>4</v>
      </c>
      <c r="AA210" s="34" t="s">
        <v>4330</v>
      </c>
      <c r="AB210" s="34" t="s">
        <v>4330</v>
      </c>
      <c r="AC210" s="34" t="s">
        <v>3816</v>
      </c>
      <c r="AD210" s="34" t="s">
        <v>4331</v>
      </c>
      <c r="AE210" s="34" t="s">
        <v>3688</v>
      </c>
      <c r="AF210" s="34" t="s">
        <v>3968</v>
      </c>
      <c r="AG210" s="34" t="s">
        <v>4324</v>
      </c>
      <c r="AH210" s="34" t="s">
        <v>4332</v>
      </c>
      <c r="AI210" s="34" t="s">
        <v>4217</v>
      </c>
      <c r="AL210" s="34" t="s">
        <v>3578</v>
      </c>
      <c r="AM210" s="40" t="s">
        <v>8094</v>
      </c>
      <c r="AT210" s="44">
        <v>0</v>
      </c>
      <c r="AU210" s="44"/>
      <c r="AV210" s="46">
        <f>ROUND(Товары[[#This Row],[РРЦ финальная, руб.]]/$AU$1,2)</f>
        <v>0</v>
      </c>
      <c r="AW210" s="45" t="str">
        <f>IFERROR(Товары[[#This Row],[РРЦ, евро]]/Товары[[#This Row],[IRP, Eur]],"-")</f>
        <v>-</v>
      </c>
      <c r="AX210" s="42">
        <f>IFERROR(VLOOKUP(Товары[[#This Row],[SubGroup]],'Структура цен DIY'!$B:$C,2,FALSE),0)</f>
        <v>0.3</v>
      </c>
      <c r="AY210" s="44">
        <v>0</v>
      </c>
    </row>
    <row r="211" spans="1:51" x14ac:dyDescent="0.25">
      <c r="A211" s="34">
        <v>209</v>
      </c>
      <c r="B211" s="34" t="s">
        <v>56</v>
      </c>
      <c r="C211" s="110" t="str">
        <f>IFERROR(INDEX(Структура_ассортимента[SuperCategory],MATCH(Товары[[#This Row],[SubGroup]],Структура_ассортимента[Subgroup],0)),"")</f>
        <v>A</v>
      </c>
      <c r="D21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1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11" s="110" t="str">
        <f>IFERROR(INDEX(Структура_ассортимента[Product group],MATCH(Товары[[#This Row],[SubGroup]],Структура_ассортимента[Subgroup],0)),"")</f>
        <v>AMC_C</v>
      </c>
      <c r="G211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11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11" s="36">
        <v>9213</v>
      </c>
      <c r="J211" s="36" t="str">
        <f>IFERROR(INDEX(Структура_ассортимента[Generic Name (long)],MATCH(Товары[[#This Row],[SubGroup]],Структура_ассортимента[Subgroup],0)),"")</f>
        <v>HEDGE CLIPPER</v>
      </c>
      <c r="L211" s="36">
        <v>965986001</v>
      </c>
      <c r="M211" s="35" t="s">
        <v>1895</v>
      </c>
      <c r="Q211" s="34" t="s">
        <v>3713</v>
      </c>
      <c r="R211" s="34" t="s">
        <v>3540</v>
      </c>
      <c r="S211" s="47">
        <v>39722</v>
      </c>
      <c r="T211" s="47">
        <v>43830</v>
      </c>
      <c r="U211" s="47">
        <v>43830</v>
      </c>
      <c r="V211" s="34">
        <v>4078500037976</v>
      </c>
      <c r="W211" s="34" t="s">
        <v>3543</v>
      </c>
      <c r="Y211" s="34" t="s">
        <v>3542</v>
      </c>
      <c r="Z211" s="34">
        <v>4</v>
      </c>
      <c r="AA211" s="34" t="s">
        <v>4333</v>
      </c>
      <c r="AB211" s="34" t="s">
        <v>4333</v>
      </c>
      <c r="AC211" s="34" t="s">
        <v>3586</v>
      </c>
      <c r="AD211" s="34" t="s">
        <v>3586</v>
      </c>
      <c r="AE211" s="34" t="s">
        <v>4334</v>
      </c>
      <c r="AF211" s="34" t="s">
        <v>3920</v>
      </c>
      <c r="AG211" s="34" t="s">
        <v>4335</v>
      </c>
      <c r="AH211" s="34" t="s">
        <v>4336</v>
      </c>
      <c r="AI211" s="34" t="s">
        <v>4217</v>
      </c>
      <c r="AL211" s="34">
        <v>112</v>
      </c>
      <c r="AM211" s="40" t="s">
        <v>8094</v>
      </c>
      <c r="AT211" s="44">
        <v>0</v>
      </c>
      <c r="AU211" s="44"/>
      <c r="AV211" s="46">
        <f>ROUND(Товары[[#This Row],[РРЦ финальная, руб.]]/$AU$1,2)</f>
        <v>0</v>
      </c>
      <c r="AW211" s="45" t="str">
        <f>IFERROR(Товары[[#This Row],[РРЦ, евро]]/Товары[[#This Row],[IRP, Eur]],"-")</f>
        <v>-</v>
      </c>
      <c r="AX211" s="42">
        <f>IFERROR(VLOOKUP(Товары[[#This Row],[SubGroup]],'Структура цен DIY'!$B:$C,2,FALSE),0)</f>
        <v>0.3</v>
      </c>
      <c r="AY211" s="44">
        <v>0</v>
      </c>
    </row>
    <row r="212" spans="1:51" x14ac:dyDescent="0.25">
      <c r="A212" s="34">
        <v>210</v>
      </c>
      <c r="B212" s="34" t="s">
        <v>56</v>
      </c>
      <c r="C212" s="110" t="str">
        <f>IFERROR(INDEX(Структура_ассортимента[SuperCategory],MATCH(Товары[[#This Row],[SubGroup]],Структура_ассортимента[Subgroup],0)),"")</f>
        <v>A</v>
      </c>
      <c r="D21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1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12" s="110" t="str">
        <f>IFERROR(INDEX(Структура_ассортимента[Product group],MATCH(Товары[[#This Row],[SubGroup]],Структура_ассортимента[Subgroup],0)),"")</f>
        <v>AMC_C</v>
      </c>
      <c r="G212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12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12" s="36">
        <v>9213</v>
      </c>
      <c r="J212" s="36" t="str">
        <f>IFERROR(INDEX(Структура_ассортимента[Generic Name (long)],MATCH(Товары[[#This Row],[SubGroup]],Структура_ассортимента[Subgroup],0)),"")</f>
        <v>HEDGE CLIPPER</v>
      </c>
      <c r="L212" s="36">
        <v>900843001</v>
      </c>
      <c r="M212" s="35" t="s">
        <v>1896</v>
      </c>
      <c r="P212" s="37" t="s">
        <v>4327</v>
      </c>
      <c r="Q212" s="34" t="s">
        <v>3713</v>
      </c>
      <c r="R212" s="34" t="s">
        <v>3540</v>
      </c>
      <c r="S212" s="47">
        <v>38626</v>
      </c>
      <c r="T212" s="47">
        <v>43830</v>
      </c>
      <c r="U212" s="47">
        <v>43830</v>
      </c>
      <c r="V212" s="34">
        <v>4078500039802</v>
      </c>
      <c r="W212" s="34" t="s">
        <v>3550</v>
      </c>
      <c r="Y212" s="34" t="s">
        <v>3542</v>
      </c>
      <c r="Z212" s="34">
        <v>4</v>
      </c>
      <c r="AA212" s="34" t="s">
        <v>4337</v>
      </c>
      <c r="AB212" s="34" t="s">
        <v>4337</v>
      </c>
      <c r="AC212" s="34" t="s">
        <v>3586</v>
      </c>
      <c r="AD212" s="34" t="s">
        <v>3586</v>
      </c>
      <c r="AE212" s="34" t="s">
        <v>3688</v>
      </c>
      <c r="AF212" s="34" t="s">
        <v>3968</v>
      </c>
      <c r="AG212" s="34" t="s">
        <v>4324</v>
      </c>
      <c r="AH212" s="34" t="s">
        <v>4332</v>
      </c>
      <c r="AI212" s="34" t="s">
        <v>4326</v>
      </c>
      <c r="AL212" s="34">
        <v>112</v>
      </c>
      <c r="AM212" s="40" t="s">
        <v>233</v>
      </c>
      <c r="AP212" s="34">
        <v>0</v>
      </c>
      <c r="AQ212" s="34">
        <v>3790</v>
      </c>
      <c r="AR212" s="34">
        <v>2211</v>
      </c>
      <c r="AT212" s="44">
        <v>293600</v>
      </c>
      <c r="AU212" s="44"/>
      <c r="AV212" s="46">
        <f>ROUND(Товары[[#This Row],[РРЦ финальная, руб.]]/$AU$1,2)</f>
        <v>0</v>
      </c>
      <c r="AW212" s="45" t="str">
        <f>IFERROR(Товары[[#This Row],[РРЦ, евро]]/Товары[[#This Row],[IRP, Eur]],"-")</f>
        <v>-</v>
      </c>
      <c r="AX212" s="42">
        <f>IFERROR(VLOOKUP(Товары[[#This Row],[SubGroup]],'Структура цен DIY'!$B:$C,2,FALSE),0)</f>
        <v>0.3</v>
      </c>
      <c r="AY212" s="44">
        <v>0</v>
      </c>
    </row>
    <row r="213" spans="1:51" x14ac:dyDescent="0.25">
      <c r="A213" s="34">
        <v>211</v>
      </c>
      <c r="B213" s="34" t="s">
        <v>56</v>
      </c>
      <c r="C213" s="110" t="str">
        <f>IFERROR(INDEX(Структура_ассортимента[SuperCategory],MATCH(Товары[[#This Row],[SubGroup]],Структура_ассортимента[Subgroup],0)),"")</f>
        <v>A</v>
      </c>
      <c r="D21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1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13" s="110" t="str">
        <f>IFERROR(INDEX(Структура_ассортимента[Product group],MATCH(Товары[[#This Row],[SubGroup]],Структура_ассортимента[Subgroup],0)),"")</f>
        <v>AMC_C</v>
      </c>
      <c r="G213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13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13" s="36">
        <v>9213</v>
      </c>
      <c r="J213" s="36" t="str">
        <f>IFERROR(INDEX(Структура_ассортимента[Generic Name (long)],MATCH(Товары[[#This Row],[SubGroup]],Структура_ассортимента[Subgroup],0)),"")</f>
        <v>HEDGE CLIPPER</v>
      </c>
      <c r="L213" s="36">
        <v>966958801</v>
      </c>
      <c r="M213" s="35" t="s">
        <v>1897</v>
      </c>
      <c r="P213" s="37" t="s">
        <v>4338</v>
      </c>
      <c r="Q213" s="34" t="s">
        <v>3713</v>
      </c>
      <c r="R213" s="34" t="s">
        <v>3540</v>
      </c>
      <c r="S213" s="47">
        <v>39722</v>
      </c>
      <c r="T213" s="47">
        <v>43830</v>
      </c>
      <c r="U213" s="47">
        <v>43830</v>
      </c>
      <c r="V213" s="34">
        <v>4078500039901</v>
      </c>
      <c r="W213" s="34" t="s">
        <v>3550</v>
      </c>
      <c r="Y213" s="34" t="s">
        <v>3542</v>
      </c>
      <c r="Z213" s="34">
        <v>4</v>
      </c>
      <c r="AA213" s="34" t="s">
        <v>4339</v>
      </c>
      <c r="AB213" s="34" t="s">
        <v>4339</v>
      </c>
      <c r="AC213" s="34" t="s">
        <v>4340</v>
      </c>
      <c r="AD213" s="34" t="s">
        <v>4340</v>
      </c>
      <c r="AE213" s="34" t="s">
        <v>4341</v>
      </c>
      <c r="AF213" s="34" t="s">
        <v>3968</v>
      </c>
      <c r="AG213" s="34" t="s">
        <v>4335</v>
      </c>
      <c r="AH213" s="34" t="s">
        <v>4342</v>
      </c>
      <c r="AI213" s="34" t="s">
        <v>3865</v>
      </c>
      <c r="AJ213" s="34" t="s">
        <v>4343</v>
      </c>
      <c r="AK213" s="34" t="s">
        <v>4192</v>
      </c>
      <c r="AL213" s="34">
        <v>176</v>
      </c>
      <c r="AM213" s="40" t="s">
        <v>233</v>
      </c>
      <c r="AP213" s="34">
        <v>0</v>
      </c>
      <c r="AQ213" s="34">
        <v>3190</v>
      </c>
      <c r="AR213" s="34">
        <v>1861</v>
      </c>
      <c r="AT213" s="44">
        <v>247100</v>
      </c>
      <c r="AU213" s="44"/>
      <c r="AV213" s="46">
        <f>ROUND(Товары[[#This Row],[РРЦ финальная, руб.]]/$AU$1,2)</f>
        <v>0</v>
      </c>
      <c r="AW213" s="45" t="str">
        <f>IFERROR(Товары[[#This Row],[РРЦ, евро]]/Товары[[#This Row],[IRP, Eur]],"-")</f>
        <v>-</v>
      </c>
      <c r="AX213" s="42">
        <f>IFERROR(VLOOKUP(Товары[[#This Row],[SubGroup]],'Структура цен DIY'!$B:$C,2,FALSE),0)</f>
        <v>0.3</v>
      </c>
      <c r="AY213" s="44">
        <v>0</v>
      </c>
    </row>
    <row r="214" spans="1:51" x14ac:dyDescent="0.25">
      <c r="A214" s="34">
        <v>212</v>
      </c>
      <c r="B214" s="34" t="s">
        <v>56</v>
      </c>
      <c r="C214" s="110" t="str">
        <f>IFERROR(INDEX(Структура_ассортимента[SuperCategory],MATCH(Товары[[#This Row],[SubGroup]],Структура_ассортимента[Subgroup],0)),"")</f>
        <v>A</v>
      </c>
      <c r="D21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1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14" s="110" t="str">
        <f>IFERROR(INDEX(Структура_ассортимента[Product group],MATCH(Товары[[#This Row],[SubGroup]],Структура_ассортимента[Subgroup],0)),"")</f>
        <v>AMC_C</v>
      </c>
      <c r="G214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14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14" s="36">
        <v>9213</v>
      </c>
      <c r="J214" s="36" t="str">
        <f>IFERROR(INDEX(Структура_ассортимента[Generic Name (long)],MATCH(Товары[[#This Row],[SubGroup]],Структура_ассортимента[Subgroup],0)),"")</f>
        <v>HEDGE CLIPPER</v>
      </c>
      <c r="L214" s="36">
        <v>900842401</v>
      </c>
      <c r="M214" s="35" t="s">
        <v>1898</v>
      </c>
      <c r="Q214" s="34" t="s">
        <v>3713</v>
      </c>
      <c r="R214" s="34" t="s">
        <v>3540</v>
      </c>
      <c r="S214" s="47">
        <v>38626</v>
      </c>
      <c r="T214" s="47">
        <v>43830</v>
      </c>
      <c r="U214" s="47">
        <v>43830</v>
      </c>
      <c r="V214" s="34">
        <v>4078500039208</v>
      </c>
      <c r="W214" s="34" t="s">
        <v>3548</v>
      </c>
      <c r="Y214" s="34" t="s">
        <v>3542</v>
      </c>
      <c r="Z214" s="34">
        <v>4</v>
      </c>
      <c r="AA214" s="34" t="s">
        <v>4344</v>
      </c>
      <c r="AB214" s="34" t="s">
        <v>4344</v>
      </c>
      <c r="AC214" s="34" t="s">
        <v>3761</v>
      </c>
      <c r="AD214" s="34" t="s">
        <v>3761</v>
      </c>
      <c r="AE214" s="34" t="s">
        <v>3854</v>
      </c>
      <c r="AF214" s="34" t="s">
        <v>3826</v>
      </c>
      <c r="AG214" s="34" t="s">
        <v>3672</v>
      </c>
      <c r="AH214" s="34" t="s">
        <v>4345</v>
      </c>
      <c r="AI214" s="34" t="s">
        <v>4287</v>
      </c>
      <c r="AJ214" s="34" t="s">
        <v>3865</v>
      </c>
      <c r="AK214" s="34" t="s">
        <v>4346</v>
      </c>
      <c r="AL214" s="34">
        <v>140</v>
      </c>
      <c r="AM214" s="40" t="s">
        <v>8094</v>
      </c>
      <c r="AT214" s="44">
        <v>0</v>
      </c>
      <c r="AU214" s="44"/>
      <c r="AV214" s="46">
        <f>ROUND(Товары[[#This Row],[РРЦ финальная, руб.]]/$AU$1,2)</f>
        <v>0</v>
      </c>
      <c r="AW214" s="45" t="str">
        <f>IFERROR(Товары[[#This Row],[РРЦ, евро]]/Товары[[#This Row],[IRP, Eur]],"-")</f>
        <v>-</v>
      </c>
      <c r="AX214" s="42">
        <f>IFERROR(VLOOKUP(Товары[[#This Row],[SubGroup]],'Структура цен DIY'!$B:$C,2,FALSE),0)</f>
        <v>0.3</v>
      </c>
      <c r="AY214" s="44">
        <v>0</v>
      </c>
    </row>
    <row r="215" spans="1:51" x14ac:dyDescent="0.25">
      <c r="A215" s="34">
        <v>213</v>
      </c>
      <c r="B215" s="34" t="s">
        <v>56</v>
      </c>
      <c r="C215" s="110" t="str">
        <f>IFERROR(INDEX(Структура_ассортимента[SuperCategory],MATCH(Товары[[#This Row],[SubGroup]],Структура_ассортимента[Subgroup],0)),"")</f>
        <v>A</v>
      </c>
      <c r="D21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1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15" s="110" t="str">
        <f>IFERROR(INDEX(Структура_ассортимента[Product group],MATCH(Товары[[#This Row],[SubGroup]],Структура_ассортимента[Subgroup],0)),"")</f>
        <v>AMC_C</v>
      </c>
      <c r="G215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15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15" s="36">
        <v>9213</v>
      </c>
      <c r="J215" s="36" t="str">
        <f>IFERROR(INDEX(Структура_ассортимента[Generic Name (long)],MATCH(Товары[[#This Row],[SubGroup]],Структура_ассортимента[Subgroup],0)),"")</f>
        <v>HEDGE CLIPPER</v>
      </c>
      <c r="L215" s="36">
        <v>900842501</v>
      </c>
      <c r="M215" s="35" t="s">
        <v>1899</v>
      </c>
      <c r="P215" s="37" t="s">
        <v>4347</v>
      </c>
      <c r="Q215" s="34" t="s">
        <v>3713</v>
      </c>
      <c r="R215" s="34" t="s">
        <v>3540</v>
      </c>
      <c r="S215" s="47">
        <v>38626</v>
      </c>
      <c r="T215" s="47">
        <v>43830</v>
      </c>
      <c r="U215" s="47">
        <v>43830</v>
      </c>
      <c r="V215" s="34">
        <v>4078500039307</v>
      </c>
      <c r="W215" s="34" t="s">
        <v>3548</v>
      </c>
      <c r="Y215" s="34" t="s">
        <v>3542</v>
      </c>
      <c r="Z215" s="34">
        <v>4</v>
      </c>
      <c r="AA215" s="34" t="s">
        <v>4348</v>
      </c>
      <c r="AB215" s="34" t="s">
        <v>4348</v>
      </c>
      <c r="AC215" s="34" t="s">
        <v>4349</v>
      </c>
      <c r="AD215" s="34" t="s">
        <v>4349</v>
      </c>
      <c r="AE215" s="34" t="s">
        <v>4350</v>
      </c>
      <c r="AF215" s="34" t="s">
        <v>3968</v>
      </c>
      <c r="AG215" s="34" t="s">
        <v>4351</v>
      </c>
      <c r="AH215" s="34" t="s">
        <v>4352</v>
      </c>
      <c r="AI215" s="34" t="s">
        <v>4353</v>
      </c>
      <c r="AJ215" s="34" t="s">
        <v>4354</v>
      </c>
      <c r="AK215" s="34" t="s">
        <v>4346</v>
      </c>
      <c r="AL215" s="34" t="s">
        <v>4274</v>
      </c>
      <c r="AM215" s="40" t="s">
        <v>233</v>
      </c>
      <c r="AP215" s="34">
        <v>0</v>
      </c>
      <c r="AQ215" s="34">
        <v>5290</v>
      </c>
      <c r="AR215" s="34">
        <v>3086</v>
      </c>
      <c r="AT215" s="44">
        <v>409700</v>
      </c>
      <c r="AU215" s="44"/>
      <c r="AV215" s="46">
        <f>ROUND(Товары[[#This Row],[РРЦ финальная, руб.]]/$AU$1,2)</f>
        <v>0</v>
      </c>
      <c r="AW215" s="45" t="str">
        <f>IFERROR(Товары[[#This Row],[РРЦ, евро]]/Товары[[#This Row],[IRP, Eur]],"-")</f>
        <v>-</v>
      </c>
      <c r="AX215" s="42">
        <f>IFERROR(VLOOKUP(Товары[[#This Row],[SubGroup]],'Структура цен DIY'!$B:$C,2,FALSE),0)</f>
        <v>0.3</v>
      </c>
      <c r="AY215" s="44">
        <v>0</v>
      </c>
    </row>
    <row r="216" spans="1:51" x14ac:dyDescent="0.25">
      <c r="A216" s="34">
        <v>214</v>
      </c>
      <c r="B216" s="34" t="s">
        <v>56</v>
      </c>
      <c r="C216" s="110" t="str">
        <f>IFERROR(INDEX(Структура_ассортимента[SuperCategory],MATCH(Товары[[#This Row],[SubGroup]],Структура_ассортимента[Subgroup],0)),"")</f>
        <v>A</v>
      </c>
      <c r="D21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1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16" s="110" t="str">
        <f>IFERROR(INDEX(Структура_ассортимента[Product group],MATCH(Товары[[#This Row],[SubGroup]],Структура_ассортимента[Subgroup],0)),"")</f>
        <v>AMC_C</v>
      </c>
      <c r="G216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16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16" s="36">
        <v>9213</v>
      </c>
      <c r="J216" s="36" t="str">
        <f>IFERROR(INDEX(Структура_ассортимента[Generic Name (long)],MATCH(Товары[[#This Row],[SubGroup]],Структура_ассортимента[Subgroup],0)),"")</f>
        <v>HEDGE CLIPPER</v>
      </c>
      <c r="L216" s="36">
        <v>900842601</v>
      </c>
      <c r="M216" s="35" t="s">
        <v>1900</v>
      </c>
      <c r="P216" s="37" t="s">
        <v>4355</v>
      </c>
      <c r="Q216" s="34" t="s">
        <v>3713</v>
      </c>
      <c r="R216" s="34" t="s">
        <v>3540</v>
      </c>
      <c r="S216" s="47">
        <v>38626</v>
      </c>
      <c r="T216" s="47">
        <v>43830</v>
      </c>
      <c r="U216" s="47">
        <v>43830</v>
      </c>
      <c r="V216" s="34">
        <v>4078500039406</v>
      </c>
      <c r="W216" s="34" t="s">
        <v>3550</v>
      </c>
      <c r="Y216" s="34" t="s">
        <v>3542</v>
      </c>
      <c r="Z216" s="34">
        <v>4</v>
      </c>
      <c r="AA216" s="34" t="s">
        <v>4356</v>
      </c>
      <c r="AB216" s="34" t="s">
        <v>4356</v>
      </c>
      <c r="AC216" s="34" t="s">
        <v>4357</v>
      </c>
      <c r="AD216" s="34" t="s">
        <v>4357</v>
      </c>
      <c r="AE216" s="34" t="s">
        <v>4358</v>
      </c>
      <c r="AF216" s="34" t="s">
        <v>3743</v>
      </c>
      <c r="AG216" s="34" t="s">
        <v>4181</v>
      </c>
      <c r="AH216" s="34" t="s">
        <v>4359</v>
      </c>
      <c r="AI216" s="34" t="s">
        <v>4360</v>
      </c>
      <c r="AJ216" s="34" t="s">
        <v>4354</v>
      </c>
      <c r="AK216" s="34" t="s">
        <v>4361</v>
      </c>
      <c r="AL216" s="34">
        <v>72</v>
      </c>
      <c r="AM216" s="40" t="s">
        <v>9</v>
      </c>
      <c r="AP216" s="34">
        <v>0</v>
      </c>
      <c r="AQ216" s="34">
        <v>4990</v>
      </c>
      <c r="AR216" s="34">
        <v>2911</v>
      </c>
      <c r="AT216" s="44">
        <v>386500</v>
      </c>
      <c r="AU216" s="44"/>
      <c r="AV216" s="46">
        <f>ROUND(Товары[[#This Row],[РРЦ финальная, руб.]]/$AU$1,2)</f>
        <v>0</v>
      </c>
      <c r="AW216" s="45" t="str">
        <f>IFERROR(Товары[[#This Row],[РРЦ, евро]]/Товары[[#This Row],[IRP, Eur]],"-")</f>
        <v>-</v>
      </c>
      <c r="AX216" s="42">
        <f>IFERROR(VLOOKUP(Товары[[#This Row],[SubGroup]],'Структура цен DIY'!$B:$C,2,FALSE),0)</f>
        <v>0.3</v>
      </c>
      <c r="AY216" s="44">
        <v>0</v>
      </c>
    </row>
    <row r="217" spans="1:51" x14ac:dyDescent="0.25">
      <c r="A217" s="34">
        <v>215</v>
      </c>
      <c r="B217" s="34" t="s">
        <v>56</v>
      </c>
      <c r="C217" s="110" t="str">
        <f>IFERROR(INDEX(Структура_ассортимента[SuperCategory],MATCH(Товары[[#This Row],[SubGroup]],Структура_ассортимента[Subgroup],0)),"")</f>
        <v>A</v>
      </c>
      <c r="D21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1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17" s="110" t="str">
        <f>IFERROR(INDEX(Структура_ассортимента[Product group],MATCH(Товары[[#This Row],[SubGroup]],Структура_ассортимента[Subgroup],0)),"")</f>
        <v>AMC_C</v>
      </c>
      <c r="G217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17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17" s="36">
        <v>9213</v>
      </c>
      <c r="J217" s="36" t="str">
        <f>IFERROR(INDEX(Структура_ассортимента[Generic Name (long)],MATCH(Товары[[#This Row],[SubGroup]],Структура_ассортимента[Subgroup],0)),"")</f>
        <v>HEDGE CLIPPER</v>
      </c>
      <c r="L217" s="36">
        <v>967108901</v>
      </c>
      <c r="M217" s="35" t="s">
        <v>1901</v>
      </c>
      <c r="P217" s="37" t="s">
        <v>4362</v>
      </c>
      <c r="Q217" s="34" t="s">
        <v>3713</v>
      </c>
      <c r="R217" s="34" t="s">
        <v>3540</v>
      </c>
      <c r="S217" s="47">
        <v>42736</v>
      </c>
      <c r="T217" s="47">
        <v>43830</v>
      </c>
      <c r="U217" s="47">
        <v>43830</v>
      </c>
      <c r="V217" s="34">
        <v>4078500025355</v>
      </c>
      <c r="W217" s="34" t="s">
        <v>3543</v>
      </c>
      <c r="Y217" s="34" t="s">
        <v>3542</v>
      </c>
      <c r="Z217" s="34">
        <v>12</v>
      </c>
      <c r="AB217" s="34" t="s">
        <v>4356</v>
      </c>
      <c r="AD217" s="34" t="s">
        <v>4357</v>
      </c>
      <c r="AE217" s="34" t="s">
        <v>4358</v>
      </c>
      <c r="AF217" s="34" t="s">
        <v>3743</v>
      </c>
      <c r="AG217" s="34" t="s">
        <v>4181</v>
      </c>
      <c r="AH217" s="34" t="s">
        <v>4359</v>
      </c>
      <c r="AI217" s="34" t="s">
        <v>4360</v>
      </c>
      <c r="AJ217" s="34" t="s">
        <v>4354</v>
      </c>
      <c r="AK217" s="34" t="s">
        <v>4361</v>
      </c>
      <c r="AL217" s="34" t="s">
        <v>4214</v>
      </c>
      <c r="AM217" s="40" t="s">
        <v>233</v>
      </c>
      <c r="AP217" s="34">
        <v>0</v>
      </c>
      <c r="AQ217" s="34">
        <v>4590</v>
      </c>
      <c r="AR217" s="34">
        <v>2678</v>
      </c>
      <c r="AT217" s="44">
        <v>355500</v>
      </c>
      <c r="AU217" s="44"/>
      <c r="AV217" s="46">
        <f>ROUND(Товары[[#This Row],[РРЦ финальная, руб.]]/$AU$1,2)</f>
        <v>0</v>
      </c>
      <c r="AW217" s="45" t="str">
        <f>IFERROR(Товары[[#This Row],[РРЦ, евро]]/Товары[[#This Row],[IRP, Eur]],"-")</f>
        <v>-</v>
      </c>
      <c r="AX217" s="42">
        <f>IFERROR(VLOOKUP(Товары[[#This Row],[SubGroup]],'Структура цен DIY'!$B:$C,2,FALSE),0)</f>
        <v>0.3</v>
      </c>
      <c r="AY217" s="44">
        <v>0</v>
      </c>
    </row>
    <row r="218" spans="1:51" x14ac:dyDescent="0.25">
      <c r="A218" s="34">
        <v>216</v>
      </c>
      <c r="B218" s="34" t="s">
        <v>56</v>
      </c>
      <c r="C218" s="110" t="str">
        <f>IFERROR(INDEX(Структура_ассортимента[SuperCategory],MATCH(Товары[[#This Row],[SubGroup]],Структура_ассортимента[Subgroup],0)),"")</f>
        <v>A</v>
      </c>
      <c r="D21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1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18" s="110" t="str">
        <f>IFERROR(INDEX(Структура_ассортимента[Product group],MATCH(Товары[[#This Row],[SubGroup]],Структура_ассортимента[Subgroup],0)),"")</f>
        <v>AMC_C</v>
      </c>
      <c r="G218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18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18" s="36">
        <v>9213</v>
      </c>
      <c r="J218" s="36" t="str">
        <f>IFERROR(INDEX(Структура_ассортимента[Generic Name (long)],MATCH(Товары[[#This Row],[SubGroup]],Структура_ассортимента[Subgroup],0)),"")</f>
        <v>HEDGE CLIPPER</v>
      </c>
      <c r="L218" s="36">
        <v>965873601</v>
      </c>
      <c r="M218" s="35" t="s">
        <v>1902</v>
      </c>
      <c r="Q218" s="34" t="s">
        <v>3713</v>
      </c>
      <c r="R218" s="34" t="s">
        <v>3540</v>
      </c>
      <c r="S218" s="47">
        <v>39722</v>
      </c>
      <c r="T218" s="47">
        <v>43830</v>
      </c>
      <c r="U218" s="47">
        <v>43830</v>
      </c>
      <c r="V218" s="34">
        <v>4078500031905</v>
      </c>
      <c r="W218" s="34" t="s">
        <v>3543</v>
      </c>
      <c r="Y218" s="34" t="s">
        <v>3542</v>
      </c>
      <c r="Z218" s="34">
        <v>16</v>
      </c>
      <c r="AA218" s="34" t="s">
        <v>3635</v>
      </c>
      <c r="AB218" s="34" t="s">
        <v>3635</v>
      </c>
      <c r="AC218" s="34" t="s">
        <v>4340</v>
      </c>
      <c r="AD218" s="34" t="s">
        <v>4340</v>
      </c>
      <c r="AE218" s="34" t="s">
        <v>4341</v>
      </c>
      <c r="AF218" s="34" t="s">
        <v>3968</v>
      </c>
      <c r="AG218" s="34" t="s">
        <v>4335</v>
      </c>
      <c r="AH218" s="34" t="s">
        <v>4342</v>
      </c>
      <c r="AI218" s="34" t="s">
        <v>3742</v>
      </c>
      <c r="AL218" s="34">
        <v>96</v>
      </c>
      <c r="AM218" s="40" t="s">
        <v>8094</v>
      </c>
      <c r="AT218" s="44">
        <v>0</v>
      </c>
      <c r="AU218" s="44"/>
      <c r="AV218" s="46">
        <f>ROUND(Товары[[#This Row],[РРЦ финальная, руб.]]/$AU$1,2)</f>
        <v>0</v>
      </c>
      <c r="AW218" s="45" t="str">
        <f>IFERROR(Товары[[#This Row],[РРЦ, евро]]/Товары[[#This Row],[IRP, Eur]],"-")</f>
        <v>-</v>
      </c>
      <c r="AX218" s="42">
        <f>IFERROR(VLOOKUP(Товары[[#This Row],[SubGroup]],'Структура цен DIY'!$B:$C,2,FALSE),0)</f>
        <v>0.3</v>
      </c>
      <c r="AY218" s="44">
        <v>0</v>
      </c>
    </row>
    <row r="219" spans="1:51" x14ac:dyDescent="0.25">
      <c r="A219" s="34">
        <v>217</v>
      </c>
      <c r="B219" s="34" t="s">
        <v>56</v>
      </c>
      <c r="C219" s="110" t="str">
        <f>IFERROR(INDEX(Структура_ассортимента[SuperCategory],MATCH(Товары[[#This Row],[SubGroup]],Структура_ассортимента[Subgroup],0)),"")</f>
        <v>A</v>
      </c>
      <c r="D21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1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19" s="110" t="str">
        <f>IFERROR(INDEX(Структура_ассортимента[Product group],MATCH(Товары[[#This Row],[SubGroup]],Структура_ассортимента[Subgroup],0)),"")</f>
        <v>AMC_C</v>
      </c>
      <c r="G219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19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19" s="36">
        <v>9213</v>
      </c>
      <c r="J219" s="36" t="str">
        <f>IFERROR(INDEX(Структура_ассортимента[Generic Name (long)],MATCH(Товары[[#This Row],[SubGroup]],Структура_ассортимента[Subgroup],0)),"")</f>
        <v>HEDGE CLIPPER</v>
      </c>
      <c r="L219" s="36">
        <v>900842701</v>
      </c>
      <c r="M219" s="35" t="s">
        <v>1903</v>
      </c>
      <c r="P219" s="37" t="s">
        <v>4363</v>
      </c>
      <c r="Q219" s="34" t="s">
        <v>3713</v>
      </c>
      <c r="R219" s="34" t="s">
        <v>3540</v>
      </c>
      <c r="S219" s="47">
        <v>38626</v>
      </c>
      <c r="T219" s="47">
        <v>43830</v>
      </c>
      <c r="U219" s="47">
        <v>43830</v>
      </c>
      <c r="V219" s="34">
        <v>4078500039505</v>
      </c>
      <c r="W219" s="34" t="s">
        <v>3548</v>
      </c>
      <c r="Y219" s="34" t="s">
        <v>3542</v>
      </c>
      <c r="Z219" s="34">
        <v>2</v>
      </c>
      <c r="AA219" s="34" t="s">
        <v>4300</v>
      </c>
      <c r="AB219" s="34" t="s">
        <v>4300</v>
      </c>
      <c r="AC219" s="34" t="s">
        <v>3609</v>
      </c>
      <c r="AD219" s="34" t="s">
        <v>3609</v>
      </c>
      <c r="AE219" s="34" t="s">
        <v>4364</v>
      </c>
      <c r="AF219" s="34" t="s">
        <v>3968</v>
      </c>
      <c r="AG219" s="34" t="s">
        <v>4351</v>
      </c>
      <c r="AH219" s="34" t="s">
        <v>4365</v>
      </c>
      <c r="AI219" s="34" t="s">
        <v>4366</v>
      </c>
      <c r="AJ219" s="34" t="s">
        <v>4261</v>
      </c>
      <c r="AK219" s="34" t="s">
        <v>3800</v>
      </c>
      <c r="AL219" s="34">
        <v>110</v>
      </c>
      <c r="AM219" s="40" t="s">
        <v>9</v>
      </c>
      <c r="AP219" s="34">
        <v>0</v>
      </c>
      <c r="AQ219" s="34">
        <v>5490</v>
      </c>
      <c r="AR219" s="34">
        <v>3203</v>
      </c>
      <c r="AT219" s="44">
        <v>425200</v>
      </c>
      <c r="AU219" s="44"/>
      <c r="AV219" s="46">
        <f>ROUND(Товары[[#This Row],[РРЦ финальная, руб.]]/$AU$1,2)</f>
        <v>0</v>
      </c>
      <c r="AW219" s="45" t="str">
        <f>IFERROR(Товары[[#This Row],[РРЦ, евро]]/Товары[[#This Row],[IRP, Eur]],"-")</f>
        <v>-</v>
      </c>
      <c r="AX219" s="42">
        <f>IFERROR(VLOOKUP(Товары[[#This Row],[SubGroup]],'Структура цен DIY'!$B:$C,2,FALSE),0)</f>
        <v>0.3</v>
      </c>
      <c r="AY219" s="44">
        <v>0</v>
      </c>
    </row>
    <row r="220" spans="1:51" x14ac:dyDescent="0.25">
      <c r="A220" s="34">
        <v>218</v>
      </c>
      <c r="B220" s="34" t="s">
        <v>56</v>
      </c>
      <c r="C220" s="110" t="str">
        <f>IFERROR(INDEX(Структура_ассортимента[SuperCategory],MATCH(Товары[[#This Row],[SubGroup]],Структура_ассортимента[Subgroup],0)),"")</f>
        <v>A</v>
      </c>
      <c r="D22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2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20" s="110" t="str">
        <f>IFERROR(INDEX(Структура_ассортимента[Product group],MATCH(Товары[[#This Row],[SubGroup]],Структура_ассортимента[Subgroup],0)),"")</f>
        <v>AMC_C</v>
      </c>
      <c r="G220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20" s="110" t="str">
        <f>IFERROR(INDEX(Структура_ассортимента[Generic Name (long)3],MATCH(Товары[[#This Row],[SubGroup]],Структура_ассортимента[Subgroup],0)),"")</f>
        <v>Пилы ручные</v>
      </c>
      <c r="I220" s="36">
        <v>9214</v>
      </c>
      <c r="J220" s="36" t="str">
        <f>IFERROR(INDEX(Структура_ассортимента[Generic Name (long)],MATCH(Товары[[#This Row],[SubGroup]],Структура_ассортимента[Subgroup],0)),"")</f>
        <v>HAND SAW</v>
      </c>
      <c r="L220" s="36">
        <v>901186901</v>
      </c>
      <c r="M220" s="35" t="s">
        <v>1904</v>
      </c>
      <c r="Q220" s="34" t="s">
        <v>3549</v>
      </c>
      <c r="R220" s="34" t="s">
        <v>3540</v>
      </c>
      <c r="S220" s="47">
        <v>39355</v>
      </c>
      <c r="T220" s="47">
        <v>0</v>
      </c>
      <c r="U220" s="47">
        <v>0</v>
      </c>
      <c r="V220" s="34">
        <v>4078500874700</v>
      </c>
      <c r="W220" s="34" t="s">
        <v>3550</v>
      </c>
      <c r="X220" s="34" t="s">
        <v>3787</v>
      </c>
      <c r="Y220" s="34" t="s">
        <v>3542</v>
      </c>
      <c r="Z220" s="34">
        <v>6</v>
      </c>
      <c r="AA220" s="34" t="s">
        <v>4349</v>
      </c>
      <c r="AB220" s="34" t="s">
        <v>4349</v>
      </c>
      <c r="AC220" s="34" t="s">
        <v>4367</v>
      </c>
      <c r="AD220" s="34" t="s">
        <v>4367</v>
      </c>
      <c r="AE220" s="34" t="s">
        <v>4368</v>
      </c>
      <c r="AF220" s="34" t="s">
        <v>3987</v>
      </c>
      <c r="AG220" s="34" t="s">
        <v>4260</v>
      </c>
      <c r="AH220" s="34" t="s">
        <v>4369</v>
      </c>
      <c r="AL220" s="34">
        <v>120</v>
      </c>
      <c r="AM220" s="40" t="s">
        <v>8095</v>
      </c>
      <c r="AT220" s="44">
        <v>0</v>
      </c>
      <c r="AU220" s="44"/>
      <c r="AV220" s="46">
        <f>ROUND(Товары[[#This Row],[РРЦ финальная, руб.]]/$AU$1,2)</f>
        <v>0</v>
      </c>
      <c r="AW220" s="45" t="str">
        <f>IFERROR(Товары[[#This Row],[РРЦ, евро]]/Товары[[#This Row],[IRP, Eur]],"-")</f>
        <v>-</v>
      </c>
      <c r="AX220" s="42">
        <f>IFERROR(VLOOKUP(Товары[[#This Row],[SubGroup]],'Структура цен DIY'!$B:$C,2,FALSE),0)</f>
        <v>0.30000000000000016</v>
      </c>
      <c r="AY220" s="44">
        <v>0</v>
      </c>
    </row>
    <row r="221" spans="1:51" x14ac:dyDescent="0.25">
      <c r="A221" s="34">
        <v>219</v>
      </c>
      <c r="B221" s="34" t="s">
        <v>56</v>
      </c>
      <c r="C221" s="110" t="str">
        <f>IFERROR(INDEX(Структура_ассортимента[SuperCategory],MATCH(Товары[[#This Row],[SubGroup]],Структура_ассортимента[Subgroup],0)),"")</f>
        <v>A</v>
      </c>
      <c r="D22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2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21" s="110" t="str">
        <f>IFERROR(INDEX(Структура_ассортимента[Product group],MATCH(Товары[[#This Row],[SubGroup]],Структура_ассортимента[Subgroup],0)),"")</f>
        <v>AMC_C</v>
      </c>
      <c r="G221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21" s="110" t="str">
        <f>IFERROR(INDEX(Структура_ассортимента[Generic Name (long)3],MATCH(Товары[[#This Row],[SubGroup]],Структура_ассортимента[Subgroup],0)),"")</f>
        <v>Пилы ручные</v>
      </c>
      <c r="I221" s="36">
        <v>9214</v>
      </c>
      <c r="J221" s="36" t="str">
        <f>IFERROR(INDEX(Структура_ассортимента[Generic Name (long)],MATCH(Товары[[#This Row],[SubGroup]],Структура_ассортимента[Subgroup],0)),"")</f>
        <v>HAND SAW</v>
      </c>
      <c r="L221" s="36">
        <v>901187001</v>
      </c>
      <c r="M221" s="35" t="s">
        <v>1905</v>
      </c>
      <c r="Q221" s="34" t="s">
        <v>3549</v>
      </c>
      <c r="R221" s="34" t="s">
        <v>3540</v>
      </c>
      <c r="S221" s="47">
        <v>39355</v>
      </c>
      <c r="T221" s="47">
        <v>0</v>
      </c>
      <c r="U221" s="47">
        <v>0</v>
      </c>
      <c r="V221" s="34">
        <v>4078500874809</v>
      </c>
      <c r="W221" s="34" t="s">
        <v>3550</v>
      </c>
      <c r="X221" s="34" t="s">
        <v>3787</v>
      </c>
      <c r="Y221" s="34" t="s">
        <v>3542</v>
      </c>
      <c r="Z221" s="34">
        <v>6</v>
      </c>
      <c r="AA221" s="34" t="s">
        <v>4370</v>
      </c>
      <c r="AB221" s="34" t="s">
        <v>4370</v>
      </c>
      <c r="AC221" s="34" t="s">
        <v>4371</v>
      </c>
      <c r="AD221" s="34" t="s">
        <v>4371</v>
      </c>
      <c r="AE221" s="34" t="s">
        <v>4372</v>
      </c>
      <c r="AF221" s="34" t="s">
        <v>3987</v>
      </c>
      <c r="AG221" s="34" t="s">
        <v>4260</v>
      </c>
      <c r="AH221" s="34" t="s">
        <v>4373</v>
      </c>
      <c r="AL221" s="34">
        <v>90</v>
      </c>
      <c r="AM221" s="40" t="s">
        <v>8095</v>
      </c>
      <c r="AT221" s="44">
        <v>0</v>
      </c>
      <c r="AU221" s="44"/>
      <c r="AV221" s="46">
        <f>ROUND(Товары[[#This Row],[РРЦ финальная, руб.]]/$AU$1,2)</f>
        <v>0</v>
      </c>
      <c r="AW221" s="45" t="str">
        <f>IFERROR(Товары[[#This Row],[РРЦ, евро]]/Товары[[#This Row],[IRP, Eur]],"-")</f>
        <v>-</v>
      </c>
      <c r="AX221" s="42">
        <f>IFERROR(VLOOKUP(Товары[[#This Row],[SubGroup]],'Структура цен DIY'!$B:$C,2,FALSE),0)</f>
        <v>0.30000000000000016</v>
      </c>
      <c r="AY221" s="44">
        <v>0</v>
      </c>
    </row>
    <row r="222" spans="1:51" x14ac:dyDescent="0.25">
      <c r="A222" s="34">
        <v>220</v>
      </c>
      <c r="B222" s="34" t="s">
        <v>56</v>
      </c>
      <c r="C222" s="110" t="str">
        <f>IFERROR(INDEX(Структура_ассортимента[SuperCategory],MATCH(Товары[[#This Row],[SubGroup]],Структура_ассортимента[Subgroup],0)),"")</f>
        <v>A</v>
      </c>
      <c r="D22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2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22" s="110" t="str">
        <f>IFERROR(INDEX(Структура_ассортимента[Product group],MATCH(Товары[[#This Row],[SubGroup]],Структура_ассортимента[Subgroup],0)),"")</f>
        <v>AMC_C</v>
      </c>
      <c r="G222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22" s="110" t="str">
        <f>IFERROR(INDEX(Структура_ассортимента[Generic Name (long)3],MATCH(Товары[[#This Row],[SubGroup]],Структура_ассортимента[Subgroup],0)),"")</f>
        <v>Пилы ручные</v>
      </c>
      <c r="I222" s="36">
        <v>9214</v>
      </c>
      <c r="J222" s="36" t="str">
        <f>IFERROR(INDEX(Структура_ассортимента[Generic Name (long)],MATCH(Товары[[#This Row],[SubGroup]],Структура_ассортимента[Subgroup],0)),"")</f>
        <v>HAND SAW</v>
      </c>
      <c r="L222" s="36">
        <v>900862401</v>
      </c>
      <c r="M222" s="35" t="s">
        <v>1906</v>
      </c>
      <c r="Q222" s="34" t="s">
        <v>3549</v>
      </c>
      <c r="R222" s="34" t="s">
        <v>3540</v>
      </c>
      <c r="S222" s="47">
        <v>34973</v>
      </c>
      <c r="T222" s="47">
        <v>0</v>
      </c>
      <c r="U222" s="47">
        <v>0</v>
      </c>
      <c r="V222" s="34">
        <v>4078500069106</v>
      </c>
      <c r="W222" s="34" t="s">
        <v>3550</v>
      </c>
      <c r="X222" s="34" t="s">
        <v>3907</v>
      </c>
      <c r="Y222" s="34" t="s">
        <v>3542</v>
      </c>
      <c r="Z222" s="34">
        <v>5</v>
      </c>
      <c r="AA222" s="34" t="s">
        <v>4374</v>
      </c>
      <c r="AB222" s="34" t="s">
        <v>4374</v>
      </c>
      <c r="AC222" s="34" t="s">
        <v>3554</v>
      </c>
      <c r="AD222" s="34" t="s">
        <v>3554</v>
      </c>
      <c r="AE222" s="34" t="s">
        <v>4375</v>
      </c>
      <c r="AF222" s="34" t="s">
        <v>4160</v>
      </c>
      <c r="AG222" s="34" t="s">
        <v>3932</v>
      </c>
      <c r="AH222" s="34" t="s">
        <v>4376</v>
      </c>
      <c r="AL222" s="34">
        <v>180</v>
      </c>
      <c r="AM222" s="40" t="s">
        <v>8095</v>
      </c>
      <c r="AT222" s="44">
        <v>0</v>
      </c>
      <c r="AU222" s="44"/>
      <c r="AV222" s="46">
        <f>ROUND(Товары[[#This Row],[РРЦ финальная, руб.]]/$AU$1,2)</f>
        <v>0</v>
      </c>
      <c r="AW222" s="45" t="str">
        <f>IFERROR(Товары[[#This Row],[РРЦ, евро]]/Товары[[#This Row],[IRP, Eur]],"-")</f>
        <v>-</v>
      </c>
      <c r="AX222" s="42">
        <f>IFERROR(VLOOKUP(Товары[[#This Row],[SubGroup]],'Структура цен DIY'!$B:$C,2,FALSE),0)</f>
        <v>0.30000000000000016</v>
      </c>
      <c r="AY222" s="44">
        <v>0</v>
      </c>
    </row>
    <row r="223" spans="1:51" x14ac:dyDescent="0.25">
      <c r="A223" s="34">
        <v>221</v>
      </c>
      <c r="B223" s="34" t="s">
        <v>56</v>
      </c>
      <c r="C223" s="110" t="str">
        <f>IFERROR(INDEX(Структура_ассортимента[SuperCategory],MATCH(Товары[[#This Row],[SubGroup]],Структура_ассортимента[Subgroup],0)),"")</f>
        <v>A</v>
      </c>
      <c r="D22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2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23" s="110" t="str">
        <f>IFERROR(INDEX(Структура_ассортимента[Product group],MATCH(Товары[[#This Row],[SubGroup]],Структура_ассортимента[Subgroup],0)),"")</f>
        <v>AMC_C</v>
      </c>
      <c r="G223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23" s="110" t="str">
        <f>IFERROR(INDEX(Структура_ассортимента[Generic Name (long)3],MATCH(Товары[[#This Row],[SubGroup]],Структура_ассортимента[Subgroup],0)),"")</f>
        <v>Пилы ручные</v>
      </c>
      <c r="I223" s="36">
        <v>9214</v>
      </c>
      <c r="J223" s="36" t="str">
        <f>IFERROR(INDEX(Структура_ассортимента[Generic Name (long)],MATCH(Товары[[#This Row],[SubGroup]],Структура_ассортимента[Subgroup],0)),"")</f>
        <v>HAND SAW</v>
      </c>
      <c r="L223" s="36">
        <v>967238001</v>
      </c>
      <c r="M223" s="35" t="s">
        <v>1907</v>
      </c>
      <c r="O223" s="35" t="s">
        <v>4377</v>
      </c>
      <c r="P223" s="37" t="s">
        <v>4378</v>
      </c>
      <c r="Q223" s="34" t="s">
        <v>3549</v>
      </c>
      <c r="R223" s="34" t="s">
        <v>3540</v>
      </c>
      <c r="S223" s="47">
        <v>41640</v>
      </c>
      <c r="T223" s="47">
        <v>0</v>
      </c>
      <c r="U223" s="47">
        <v>0</v>
      </c>
      <c r="V223" s="34">
        <v>4078500873703</v>
      </c>
      <c r="W223" s="34" t="s">
        <v>3543</v>
      </c>
      <c r="X223" s="34" t="s">
        <v>3579</v>
      </c>
      <c r="Y223" s="34" t="s">
        <v>3542</v>
      </c>
      <c r="Z223" s="34">
        <v>6</v>
      </c>
      <c r="AA223" s="34" t="s">
        <v>4379</v>
      </c>
      <c r="AB223" s="34" t="s">
        <v>4379</v>
      </c>
      <c r="AC223" s="34" t="s">
        <v>3691</v>
      </c>
      <c r="AD223" s="34" t="s">
        <v>3691</v>
      </c>
      <c r="AE223" s="34" t="s">
        <v>4380</v>
      </c>
      <c r="AF223" s="34" t="s">
        <v>4381</v>
      </c>
      <c r="AG223" s="34" t="s">
        <v>4207</v>
      </c>
      <c r="AH223" s="34" t="s">
        <v>4382</v>
      </c>
      <c r="AI223" s="34" t="s">
        <v>4383</v>
      </c>
      <c r="AJ223" s="34" t="s">
        <v>4384</v>
      </c>
      <c r="AK223" s="34" t="s">
        <v>4207</v>
      </c>
      <c r="AL223" s="34" t="s">
        <v>4385</v>
      </c>
      <c r="AM223" s="40" t="s">
        <v>9</v>
      </c>
      <c r="AP223" s="34">
        <v>0</v>
      </c>
      <c r="AQ223" s="34">
        <v>2190</v>
      </c>
      <c r="AR223" s="34">
        <v>1278</v>
      </c>
      <c r="AT223" s="44">
        <v>169600</v>
      </c>
      <c r="AU223" s="44"/>
      <c r="AV223" s="46">
        <f>ROUND(Товары[[#This Row],[РРЦ финальная, руб.]]/$AU$1,2)</f>
        <v>0</v>
      </c>
      <c r="AW223" s="45" t="str">
        <f>IFERROR(Товары[[#This Row],[РРЦ, евро]]/Товары[[#This Row],[IRP, Eur]],"-")</f>
        <v>-</v>
      </c>
      <c r="AX223" s="42">
        <f>IFERROR(VLOOKUP(Товары[[#This Row],[SubGroup]],'Структура цен DIY'!$B:$C,2,FALSE),0)</f>
        <v>0.30000000000000016</v>
      </c>
      <c r="AY223" s="44">
        <v>0</v>
      </c>
    </row>
    <row r="224" spans="1:51" x14ac:dyDescent="0.25">
      <c r="A224" s="34">
        <v>222</v>
      </c>
      <c r="B224" s="34" t="s">
        <v>56</v>
      </c>
      <c r="C224" s="110" t="str">
        <f>IFERROR(INDEX(Структура_ассортимента[SuperCategory],MATCH(Товары[[#This Row],[SubGroup]],Структура_ассортимента[Subgroup],0)),"")</f>
        <v>A</v>
      </c>
      <c r="D22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2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24" s="110" t="str">
        <f>IFERROR(INDEX(Структура_ассортимента[Product group],MATCH(Товары[[#This Row],[SubGroup]],Структура_ассортимента[Subgroup],0)),"")</f>
        <v>AMC_C</v>
      </c>
      <c r="G224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24" s="110" t="str">
        <f>IFERROR(INDEX(Структура_ассортимента[Generic Name (long)3],MATCH(Товары[[#This Row],[SubGroup]],Структура_ассортимента[Subgroup],0)),"")</f>
        <v>Пилы ручные</v>
      </c>
      <c r="I224" s="36">
        <v>9214</v>
      </c>
      <c r="J224" s="36" t="str">
        <f>IFERROR(INDEX(Структура_ассортимента[Generic Name (long)],MATCH(Товары[[#This Row],[SubGroup]],Структура_ассортимента[Subgroup],0)),"")</f>
        <v>HAND SAW</v>
      </c>
      <c r="L224" s="36">
        <v>967238201</v>
      </c>
      <c r="M224" s="35" t="s">
        <v>1908</v>
      </c>
      <c r="O224" s="35" t="s">
        <v>4386</v>
      </c>
      <c r="P224" s="37" t="s">
        <v>4387</v>
      </c>
      <c r="Q224" s="34" t="s">
        <v>3549</v>
      </c>
      <c r="R224" s="34" t="s">
        <v>3540</v>
      </c>
      <c r="S224" s="47">
        <v>41640</v>
      </c>
      <c r="T224" s="47">
        <v>0</v>
      </c>
      <c r="U224" s="47">
        <v>0</v>
      </c>
      <c r="V224" s="34">
        <v>4078500873802</v>
      </c>
      <c r="W224" s="34" t="s">
        <v>3543</v>
      </c>
      <c r="X224" s="34" t="s">
        <v>3579</v>
      </c>
      <c r="Y224" s="34" t="s">
        <v>3542</v>
      </c>
      <c r="Z224" s="34">
        <v>6</v>
      </c>
      <c r="AA224" s="34" t="s">
        <v>4379</v>
      </c>
      <c r="AB224" s="34" t="s">
        <v>4388</v>
      </c>
      <c r="AC224" s="34" t="s">
        <v>3691</v>
      </c>
      <c r="AD224" s="34" t="s">
        <v>4389</v>
      </c>
      <c r="AE224" s="34" t="s">
        <v>4390</v>
      </c>
      <c r="AF224" s="34" t="s">
        <v>4391</v>
      </c>
      <c r="AG224" s="34" t="s">
        <v>4207</v>
      </c>
      <c r="AH224" s="34" t="s">
        <v>4392</v>
      </c>
      <c r="AI224" s="34" t="s">
        <v>4393</v>
      </c>
      <c r="AJ224" s="34" t="s">
        <v>4394</v>
      </c>
      <c r="AK224" s="34" t="s">
        <v>4207</v>
      </c>
      <c r="AL224" s="34" t="s">
        <v>4385</v>
      </c>
      <c r="AM224" s="40" t="s">
        <v>9</v>
      </c>
      <c r="AP224" s="34">
        <v>0</v>
      </c>
      <c r="AQ224" s="34">
        <v>2490</v>
      </c>
      <c r="AR224" s="34">
        <v>1453</v>
      </c>
      <c r="AT224" s="44">
        <v>192900</v>
      </c>
      <c r="AU224" s="44"/>
      <c r="AV224" s="46">
        <f>ROUND(Товары[[#This Row],[РРЦ финальная, руб.]]/$AU$1,2)</f>
        <v>0</v>
      </c>
      <c r="AW224" s="45" t="str">
        <f>IFERROR(Товары[[#This Row],[РРЦ, евро]]/Товары[[#This Row],[IRP, Eur]],"-")</f>
        <v>-</v>
      </c>
      <c r="AX224" s="42">
        <f>IFERROR(VLOOKUP(Товары[[#This Row],[SubGroup]],'Структура цен DIY'!$B:$C,2,FALSE),0)</f>
        <v>0.30000000000000016</v>
      </c>
      <c r="AY224" s="44">
        <v>0</v>
      </c>
    </row>
    <row r="225" spans="1:51" x14ac:dyDescent="0.25">
      <c r="A225" s="34">
        <v>223</v>
      </c>
      <c r="B225" s="34" t="s">
        <v>56</v>
      </c>
      <c r="C225" s="110" t="str">
        <f>IFERROR(INDEX(Структура_ассортимента[SuperCategory],MATCH(Товары[[#This Row],[SubGroup]],Структура_ассортимента[Subgroup],0)),"")</f>
        <v>A</v>
      </c>
      <c r="D22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2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25" s="110" t="str">
        <f>IFERROR(INDEX(Структура_ассортимента[Product group],MATCH(Товары[[#This Row],[SubGroup]],Структура_ассортимента[Subgroup],0)),"")</f>
        <v>AMC_C</v>
      </c>
      <c r="G225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25" s="110" t="str">
        <f>IFERROR(INDEX(Структура_ассортимента[Generic Name (long)3],MATCH(Товары[[#This Row],[SubGroup]],Структура_ассортимента[Subgroup],0)),"")</f>
        <v>Пилы ручные</v>
      </c>
      <c r="I225" s="36">
        <v>9214</v>
      </c>
      <c r="J225" s="36" t="str">
        <f>IFERROR(INDEX(Структура_ассортимента[Generic Name (long)],MATCH(Товары[[#This Row],[SubGroup]],Структура_ассортимента[Subgroup],0)),"")</f>
        <v>HAND SAW</v>
      </c>
      <c r="L225" s="36">
        <v>967238301</v>
      </c>
      <c r="M225" s="35" t="s">
        <v>1909</v>
      </c>
      <c r="Q225" s="34" t="s">
        <v>3549</v>
      </c>
      <c r="R225" s="34" t="s">
        <v>3540</v>
      </c>
      <c r="S225" s="47">
        <v>41640</v>
      </c>
      <c r="T225" s="47">
        <v>0</v>
      </c>
      <c r="U225" s="47">
        <v>0</v>
      </c>
      <c r="V225" s="34">
        <v>4078500873901</v>
      </c>
      <c r="W225" s="34" t="s">
        <v>3543</v>
      </c>
      <c r="X225" s="34" t="s">
        <v>3579</v>
      </c>
      <c r="Y225" s="34" t="s">
        <v>3542</v>
      </c>
      <c r="Z225" s="34">
        <v>6</v>
      </c>
      <c r="AA225" s="34" t="s">
        <v>4379</v>
      </c>
      <c r="AB225" s="34" t="s">
        <v>4388</v>
      </c>
      <c r="AC225" s="34" t="s">
        <v>3691</v>
      </c>
      <c r="AD225" s="34" t="s">
        <v>3691</v>
      </c>
      <c r="AE225" s="34" t="s">
        <v>4390</v>
      </c>
      <c r="AF225" s="34" t="s">
        <v>4391</v>
      </c>
      <c r="AG225" s="34" t="s">
        <v>4207</v>
      </c>
      <c r="AH225" s="34" t="s">
        <v>4392</v>
      </c>
      <c r="AI225" s="34" t="s">
        <v>4393</v>
      </c>
      <c r="AJ225" s="34" t="s">
        <v>4394</v>
      </c>
      <c r="AK225" s="34" t="s">
        <v>4207</v>
      </c>
      <c r="AL225" s="34" t="s">
        <v>4385</v>
      </c>
      <c r="AM225" s="40" t="s">
        <v>8095</v>
      </c>
      <c r="AT225" s="44">
        <v>0</v>
      </c>
      <c r="AU225" s="44"/>
      <c r="AV225" s="46">
        <f>ROUND(Товары[[#This Row],[РРЦ финальная, руб.]]/$AU$1,2)</f>
        <v>0</v>
      </c>
      <c r="AW225" s="45" t="str">
        <f>IFERROR(Товары[[#This Row],[РРЦ, евро]]/Товары[[#This Row],[IRP, Eur]],"-")</f>
        <v>-</v>
      </c>
      <c r="AX225" s="42">
        <f>IFERROR(VLOOKUP(Товары[[#This Row],[SubGroup]],'Структура цен DIY'!$B:$C,2,FALSE),0)</f>
        <v>0.30000000000000016</v>
      </c>
      <c r="AY225" s="44">
        <v>0</v>
      </c>
    </row>
    <row r="226" spans="1:51" x14ac:dyDescent="0.25">
      <c r="A226" s="34">
        <v>224</v>
      </c>
      <c r="B226" s="34" t="s">
        <v>56</v>
      </c>
      <c r="C226" s="110" t="str">
        <f>IFERROR(INDEX(Структура_ассортимента[SuperCategory],MATCH(Товары[[#This Row],[SubGroup]],Структура_ассортимента[Subgroup],0)),"")</f>
        <v>A</v>
      </c>
      <c r="D22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2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26" s="110" t="str">
        <f>IFERROR(INDEX(Структура_ассортимента[Product group],MATCH(Товары[[#This Row],[SubGroup]],Структура_ассортимента[Subgroup],0)),"")</f>
        <v>AMC_C</v>
      </c>
      <c r="G226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26" s="110" t="str">
        <f>IFERROR(INDEX(Структура_ассортимента[Generic Name (long)3],MATCH(Товары[[#This Row],[SubGroup]],Структура_ассортимента[Subgroup],0)),"")</f>
        <v>Пилы ручные</v>
      </c>
      <c r="I226" s="36">
        <v>9214</v>
      </c>
      <c r="J226" s="36" t="str">
        <f>IFERROR(INDEX(Структура_ассортимента[Generic Name (long)],MATCH(Товары[[#This Row],[SubGroup]],Структура_ассортимента[Subgroup],0)),"")</f>
        <v>HAND SAW</v>
      </c>
      <c r="L226" s="36">
        <v>967319301</v>
      </c>
      <c r="M226" s="35" t="s">
        <v>1910</v>
      </c>
      <c r="Q226" s="34" t="s">
        <v>3549</v>
      </c>
      <c r="R226" s="34" t="s">
        <v>3540</v>
      </c>
      <c r="S226" s="47">
        <v>42166</v>
      </c>
      <c r="T226" s="47">
        <v>0</v>
      </c>
      <c r="U226" s="47">
        <v>0</v>
      </c>
      <c r="V226" s="34">
        <v>4078500012713</v>
      </c>
      <c r="W226" s="34" t="s">
        <v>3543</v>
      </c>
      <c r="X226" s="34" t="s">
        <v>3579</v>
      </c>
      <c r="Y226" s="34" t="s">
        <v>3542</v>
      </c>
      <c r="Z226" s="34">
        <v>15</v>
      </c>
      <c r="AA226" s="34" t="s">
        <v>3634</v>
      </c>
      <c r="AB226" s="34" t="s">
        <v>3634</v>
      </c>
      <c r="AC226" s="34" t="s">
        <v>3899</v>
      </c>
      <c r="AD226" s="34" t="s">
        <v>3899</v>
      </c>
      <c r="AE226" s="34" t="s">
        <v>4395</v>
      </c>
      <c r="AF226" s="34" t="s">
        <v>3955</v>
      </c>
      <c r="AG226" s="34" t="s">
        <v>3678</v>
      </c>
      <c r="AH226" s="34" t="s">
        <v>4396</v>
      </c>
      <c r="AL226" s="34" t="s">
        <v>4397</v>
      </c>
      <c r="AM226" s="40" t="s">
        <v>8095</v>
      </c>
      <c r="AT226" s="44">
        <v>0</v>
      </c>
      <c r="AU226" s="44"/>
      <c r="AV226" s="46">
        <f>ROUND(Товары[[#This Row],[РРЦ финальная, руб.]]/$AU$1,2)</f>
        <v>0</v>
      </c>
      <c r="AW226" s="45" t="str">
        <f>IFERROR(Товары[[#This Row],[РРЦ, евро]]/Товары[[#This Row],[IRP, Eur]],"-")</f>
        <v>-</v>
      </c>
      <c r="AX226" s="42">
        <f>IFERROR(VLOOKUP(Товары[[#This Row],[SubGroup]],'Структура цен DIY'!$B:$C,2,FALSE),0)</f>
        <v>0.30000000000000016</v>
      </c>
      <c r="AY226" s="44">
        <v>0</v>
      </c>
    </row>
    <row r="227" spans="1:51" x14ac:dyDescent="0.25">
      <c r="A227" s="34">
        <v>225</v>
      </c>
      <c r="B227" s="34" t="s">
        <v>56</v>
      </c>
      <c r="C227" s="110" t="str">
        <f>IFERROR(INDEX(Структура_ассортимента[SuperCategory],MATCH(Товары[[#This Row],[SubGroup]],Структура_ассортимента[Subgroup],0)),"")</f>
        <v>A</v>
      </c>
      <c r="D22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2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27" s="110" t="str">
        <f>IFERROR(INDEX(Структура_ассортимента[Product group],MATCH(Товары[[#This Row],[SubGroup]],Структура_ассортимента[Subgroup],0)),"")</f>
        <v>AMC_C</v>
      </c>
      <c r="G227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27" s="110" t="str">
        <f>IFERROR(INDEX(Структура_ассортимента[Generic Name (long)3],MATCH(Товары[[#This Row],[SubGroup]],Структура_ассортимента[Subgroup],0)),"")</f>
        <v>Пилы ручные</v>
      </c>
      <c r="I227" s="36">
        <v>9214</v>
      </c>
      <c r="J227" s="36" t="str">
        <f>IFERROR(INDEX(Структура_ассортимента[Generic Name (long)],MATCH(Товары[[#This Row],[SubGroup]],Структура_ассортимента[Subgroup],0)),"")</f>
        <v>HAND SAW</v>
      </c>
      <c r="L227" s="36">
        <v>967238401</v>
      </c>
      <c r="M227" s="35" t="s">
        <v>1911</v>
      </c>
      <c r="O227" s="35" t="s">
        <v>4398</v>
      </c>
      <c r="P227" s="37" t="s">
        <v>4399</v>
      </c>
      <c r="Q227" s="34" t="s">
        <v>3549</v>
      </c>
      <c r="R227" s="34" t="s">
        <v>3540</v>
      </c>
      <c r="S227" s="47">
        <v>41640</v>
      </c>
      <c r="T227" s="47">
        <v>0</v>
      </c>
      <c r="U227" s="47">
        <v>0</v>
      </c>
      <c r="V227" s="34">
        <v>4078500874205</v>
      </c>
      <c r="W227" s="34" t="s">
        <v>3543</v>
      </c>
      <c r="X227" s="34" t="s">
        <v>3579</v>
      </c>
      <c r="Y227" s="34" t="s">
        <v>3542</v>
      </c>
      <c r="Z227" s="34">
        <v>4</v>
      </c>
      <c r="AA227" s="34" t="s">
        <v>4152</v>
      </c>
      <c r="AB227" s="34" t="s">
        <v>4147</v>
      </c>
      <c r="AC227" s="34" t="s">
        <v>4132</v>
      </c>
      <c r="AD227" s="34" t="s">
        <v>4400</v>
      </c>
      <c r="AE227" s="34" t="s">
        <v>4401</v>
      </c>
      <c r="AF227" s="34" t="s">
        <v>4402</v>
      </c>
      <c r="AG227" s="34" t="s">
        <v>4234</v>
      </c>
      <c r="AH227" s="34" t="s">
        <v>4403</v>
      </c>
      <c r="AI227" s="34" t="s">
        <v>4404</v>
      </c>
      <c r="AJ227" s="34" t="s">
        <v>4405</v>
      </c>
      <c r="AK227" s="34" t="s">
        <v>4406</v>
      </c>
      <c r="AL227" s="34" t="s">
        <v>4407</v>
      </c>
      <c r="AM227" s="40" t="s">
        <v>9</v>
      </c>
      <c r="AP227" s="34">
        <v>0</v>
      </c>
      <c r="AQ227" s="34">
        <v>2390</v>
      </c>
      <c r="AR227" s="34">
        <v>1394</v>
      </c>
      <c r="AT227" s="44">
        <v>185100</v>
      </c>
      <c r="AU227" s="44"/>
      <c r="AV227" s="46">
        <f>ROUND(Товары[[#This Row],[РРЦ финальная, руб.]]/$AU$1,2)</f>
        <v>0</v>
      </c>
      <c r="AW227" s="45" t="str">
        <f>IFERROR(Товары[[#This Row],[РРЦ, евро]]/Товары[[#This Row],[IRP, Eur]],"-")</f>
        <v>-</v>
      </c>
      <c r="AX227" s="42">
        <f>IFERROR(VLOOKUP(Товары[[#This Row],[SubGroup]],'Структура цен DIY'!$B:$C,2,FALSE),0)</f>
        <v>0.30000000000000016</v>
      </c>
      <c r="AY227" s="44">
        <v>0</v>
      </c>
    </row>
    <row r="228" spans="1:51" x14ac:dyDescent="0.25">
      <c r="A228" s="34">
        <v>226</v>
      </c>
      <c r="B228" s="34" t="s">
        <v>56</v>
      </c>
      <c r="C228" s="110" t="str">
        <f>IFERROR(INDEX(Структура_ассортимента[SuperCategory],MATCH(Товары[[#This Row],[SubGroup]],Структура_ассортимента[Subgroup],0)),"")</f>
        <v>A</v>
      </c>
      <c r="D22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2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28" s="110" t="str">
        <f>IFERROR(INDEX(Структура_ассортимента[Product group],MATCH(Товары[[#This Row],[SubGroup]],Структура_ассортимента[Subgroup],0)),"")</f>
        <v>AMC_C</v>
      </c>
      <c r="G228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28" s="110" t="str">
        <f>IFERROR(INDEX(Структура_ассортимента[Generic Name (long)3],MATCH(Товары[[#This Row],[SubGroup]],Структура_ассортимента[Subgroup],0)),"")</f>
        <v>Пилы ручные</v>
      </c>
      <c r="I228" s="36">
        <v>9214</v>
      </c>
      <c r="J228" s="36" t="str">
        <f>IFERROR(INDEX(Структура_ассортимента[Generic Name (long)],MATCH(Товары[[#This Row],[SubGroup]],Структура_ассортимента[Subgroup],0)),"")</f>
        <v>HAND SAW</v>
      </c>
      <c r="L228" s="36">
        <v>967238501</v>
      </c>
      <c r="M228" s="35" t="s">
        <v>1912</v>
      </c>
      <c r="O228" s="35" t="s">
        <v>4408</v>
      </c>
      <c r="P228" s="37" t="s">
        <v>4409</v>
      </c>
      <c r="Q228" s="34" t="s">
        <v>3549</v>
      </c>
      <c r="R228" s="34" t="s">
        <v>3540</v>
      </c>
      <c r="S228" s="47">
        <v>41640</v>
      </c>
      <c r="T228" s="47">
        <v>0</v>
      </c>
      <c r="U228" s="47">
        <v>0</v>
      </c>
      <c r="V228" s="34">
        <v>4078500874304</v>
      </c>
      <c r="W228" s="34" t="s">
        <v>3543</v>
      </c>
      <c r="X228" s="34" t="s">
        <v>3579</v>
      </c>
      <c r="Y228" s="34" t="s">
        <v>3542</v>
      </c>
      <c r="Z228" s="34">
        <v>4</v>
      </c>
      <c r="AA228" s="34" t="s">
        <v>4410</v>
      </c>
      <c r="AB228" s="34" t="s">
        <v>4410</v>
      </c>
      <c r="AC228" s="34" t="s">
        <v>4136</v>
      </c>
      <c r="AD228" s="34" t="s">
        <v>4136</v>
      </c>
      <c r="AE228" s="34" t="s">
        <v>4411</v>
      </c>
      <c r="AF228" s="34" t="s">
        <v>4133</v>
      </c>
      <c r="AG228" s="34" t="s">
        <v>4234</v>
      </c>
      <c r="AH228" s="34" t="s">
        <v>4412</v>
      </c>
      <c r="AI228" s="34" t="s">
        <v>4413</v>
      </c>
      <c r="AJ228" s="34" t="s">
        <v>4405</v>
      </c>
      <c r="AK228" s="34" t="s">
        <v>4406</v>
      </c>
      <c r="AL228" s="34" t="s">
        <v>4414</v>
      </c>
      <c r="AM228" s="40" t="s">
        <v>9</v>
      </c>
      <c r="AP228" s="34">
        <v>0</v>
      </c>
      <c r="AQ228" s="34">
        <v>3190</v>
      </c>
      <c r="AR228" s="34">
        <v>1861</v>
      </c>
      <c r="AT228" s="44">
        <v>247100</v>
      </c>
      <c r="AU228" s="44"/>
      <c r="AV228" s="46">
        <f>ROUND(Товары[[#This Row],[РРЦ финальная, руб.]]/$AU$1,2)</f>
        <v>0</v>
      </c>
      <c r="AW228" s="45" t="str">
        <f>IFERROR(Товары[[#This Row],[РРЦ, евро]]/Товары[[#This Row],[IRP, Eur]],"-")</f>
        <v>-</v>
      </c>
      <c r="AX228" s="42">
        <f>IFERROR(VLOOKUP(Товары[[#This Row],[SubGroup]],'Структура цен DIY'!$B:$C,2,FALSE),0)</f>
        <v>0.30000000000000016</v>
      </c>
      <c r="AY228" s="44">
        <v>0</v>
      </c>
    </row>
    <row r="229" spans="1:51" x14ac:dyDescent="0.25">
      <c r="A229" s="34">
        <v>227</v>
      </c>
      <c r="B229" s="34" t="s">
        <v>56</v>
      </c>
      <c r="C229" s="110" t="str">
        <f>IFERROR(INDEX(Структура_ассортимента[SuperCategory],MATCH(Товары[[#This Row],[SubGroup]],Структура_ассортимента[Subgroup],0)),"")</f>
        <v>A</v>
      </c>
      <c r="D22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2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29" s="110" t="str">
        <f>IFERROR(INDEX(Структура_ассортимента[Product group],MATCH(Товары[[#This Row],[SubGroup]],Структура_ассортимента[Subgroup],0)),"")</f>
        <v>AMC_C</v>
      </c>
      <c r="G229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29" s="110" t="str">
        <f>IFERROR(INDEX(Структура_ассортимента[Generic Name (long)3],MATCH(Товары[[#This Row],[SubGroup]],Структура_ассортимента[Subgroup],0)),"")</f>
        <v>Пилы ручные</v>
      </c>
      <c r="I229" s="36">
        <v>9214</v>
      </c>
      <c r="J229" s="36" t="str">
        <f>IFERROR(INDEX(Структура_ассортимента[Generic Name (long)],MATCH(Товары[[#This Row],[SubGroup]],Структура_ассортимента[Subgroup],0)),"")</f>
        <v>HAND SAW</v>
      </c>
      <c r="L229" s="36">
        <v>967238601</v>
      </c>
      <c r="M229" s="35" t="s">
        <v>1913</v>
      </c>
      <c r="O229" s="35" t="s">
        <v>4415</v>
      </c>
      <c r="P229" s="37" t="s">
        <v>4416</v>
      </c>
      <c r="Q229" s="34" t="s">
        <v>3549</v>
      </c>
      <c r="R229" s="34" t="s">
        <v>3540</v>
      </c>
      <c r="S229" s="47">
        <v>41640</v>
      </c>
      <c r="T229" s="47">
        <v>0</v>
      </c>
      <c r="U229" s="47">
        <v>0</v>
      </c>
      <c r="V229" s="34">
        <v>4078500874502</v>
      </c>
      <c r="W229" s="34" t="s">
        <v>3543</v>
      </c>
      <c r="X229" s="34" t="s">
        <v>3579</v>
      </c>
      <c r="Y229" s="34" t="s">
        <v>3542</v>
      </c>
      <c r="Z229" s="34">
        <v>4</v>
      </c>
      <c r="AA229" s="34" t="s">
        <v>4417</v>
      </c>
      <c r="AB229" s="34" t="s">
        <v>4418</v>
      </c>
      <c r="AC229" s="34" t="s">
        <v>4419</v>
      </c>
      <c r="AD229" s="34" t="s">
        <v>4419</v>
      </c>
      <c r="AE229" s="34" t="s">
        <v>4420</v>
      </c>
      <c r="AF229" s="34" t="s">
        <v>4361</v>
      </c>
      <c r="AG229" s="34" t="s">
        <v>4421</v>
      </c>
      <c r="AH229" s="34" t="s">
        <v>4422</v>
      </c>
      <c r="AI229" s="34" t="s">
        <v>4223</v>
      </c>
      <c r="AJ229" s="34" t="s">
        <v>3886</v>
      </c>
      <c r="AK229" s="34" t="s">
        <v>4111</v>
      </c>
      <c r="AL229" s="34" t="s">
        <v>4423</v>
      </c>
      <c r="AM229" s="40" t="s">
        <v>9</v>
      </c>
      <c r="AP229" s="34">
        <v>0</v>
      </c>
      <c r="AQ229" s="34">
        <v>3290</v>
      </c>
      <c r="AR229" s="34">
        <v>1919</v>
      </c>
      <c r="AT229" s="44">
        <v>254800</v>
      </c>
      <c r="AU229" s="44"/>
      <c r="AV229" s="46">
        <f>ROUND(Товары[[#This Row],[РРЦ финальная, руб.]]/$AU$1,2)</f>
        <v>0</v>
      </c>
      <c r="AW229" s="45" t="str">
        <f>IFERROR(Товары[[#This Row],[РРЦ, евро]]/Товары[[#This Row],[IRP, Eur]],"-")</f>
        <v>-</v>
      </c>
      <c r="AX229" s="42">
        <f>IFERROR(VLOOKUP(Товары[[#This Row],[SubGroup]],'Структура цен DIY'!$B:$C,2,FALSE),0)</f>
        <v>0.30000000000000016</v>
      </c>
      <c r="AY229" s="44">
        <v>0</v>
      </c>
    </row>
    <row r="230" spans="1:51" x14ac:dyDescent="0.25">
      <c r="A230" s="34">
        <v>228</v>
      </c>
      <c r="B230" s="34" t="s">
        <v>56</v>
      </c>
      <c r="C230" s="110" t="str">
        <f>IFERROR(INDEX(Структура_ассортимента[SuperCategory],MATCH(Товары[[#This Row],[SubGroup]],Структура_ассортимента[Subgroup],0)),"")</f>
        <v>A</v>
      </c>
      <c r="D23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3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30" s="110" t="str">
        <f>IFERROR(INDEX(Структура_ассортимента[Product group],MATCH(Товары[[#This Row],[SubGroup]],Структура_ассортимента[Subgroup],0)),"")</f>
        <v>AMC_C</v>
      </c>
      <c r="G230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30" s="110" t="str">
        <f>IFERROR(INDEX(Структура_ассортимента[Generic Name (long)3],MATCH(Товары[[#This Row],[SubGroup]],Структура_ассортимента[Subgroup],0)),"")</f>
        <v>Топоры, колуны</v>
      </c>
      <c r="I230" s="36">
        <v>9215</v>
      </c>
      <c r="J230" s="36" t="str">
        <f>IFERROR(INDEX(Структура_ассортимента[Generic Name (long)],MATCH(Товары[[#This Row],[SubGroup]],Структура_ассортимента[Subgroup],0)),"")</f>
        <v>CHOPPER</v>
      </c>
      <c r="L230" s="36">
        <v>967330201</v>
      </c>
      <c r="M230" s="35" t="s">
        <v>1914</v>
      </c>
      <c r="O230" s="35" t="s">
        <v>4424</v>
      </c>
      <c r="P230" s="37" t="s">
        <v>4425</v>
      </c>
      <c r="Q230" s="34" t="s">
        <v>3549</v>
      </c>
      <c r="R230" s="34" t="s">
        <v>3540</v>
      </c>
      <c r="S230" s="47">
        <v>41883</v>
      </c>
      <c r="T230" s="47">
        <v>0</v>
      </c>
      <c r="U230" s="47">
        <v>0</v>
      </c>
      <c r="V230" s="34">
        <v>4078500015196</v>
      </c>
      <c r="W230" s="34" t="s">
        <v>3541</v>
      </c>
      <c r="X230" s="34" t="s">
        <v>3704</v>
      </c>
      <c r="Y230" s="34" t="s">
        <v>3542</v>
      </c>
      <c r="Z230" s="34">
        <v>4</v>
      </c>
      <c r="AA230" s="34" t="s">
        <v>3586</v>
      </c>
      <c r="AB230" s="34" t="s">
        <v>3586</v>
      </c>
      <c r="AC230" s="34" t="s">
        <v>4426</v>
      </c>
      <c r="AD230" s="34" t="s">
        <v>4426</v>
      </c>
      <c r="AE230" s="34" t="s">
        <v>4427</v>
      </c>
      <c r="AF230" s="34" t="s">
        <v>4428</v>
      </c>
      <c r="AG230" s="34" t="s">
        <v>4351</v>
      </c>
      <c r="AH230" s="34" t="s">
        <v>4429</v>
      </c>
      <c r="AI230" s="34" t="s">
        <v>4430</v>
      </c>
      <c r="AJ230" s="34" t="s">
        <v>4431</v>
      </c>
      <c r="AK230" s="34" t="s">
        <v>4432</v>
      </c>
      <c r="AL230" s="34" t="s">
        <v>4433</v>
      </c>
      <c r="AM230" s="40" t="s">
        <v>9</v>
      </c>
      <c r="AP230" s="34">
        <v>0</v>
      </c>
      <c r="AQ230" s="34">
        <v>3290</v>
      </c>
      <c r="AR230" s="34">
        <v>1782</v>
      </c>
      <c r="AT230" s="44">
        <v>254800</v>
      </c>
      <c r="AU230" s="44"/>
      <c r="AV230" s="46">
        <f>ROUND(Товары[[#This Row],[РРЦ финальная, руб.]]/$AU$1,2)</f>
        <v>0</v>
      </c>
      <c r="AW230" s="45" t="str">
        <f>IFERROR(Товары[[#This Row],[РРЦ, евро]]/Товары[[#This Row],[IRP, Eur]],"-")</f>
        <v>-</v>
      </c>
      <c r="AX230" s="42">
        <f>IFERROR(VLOOKUP(Товары[[#This Row],[SubGroup]],'Структура цен DIY'!$B:$C,2,FALSE),0)</f>
        <v>0.34</v>
      </c>
      <c r="AY230" s="44">
        <v>0</v>
      </c>
    </row>
    <row r="231" spans="1:51" x14ac:dyDescent="0.25">
      <c r="A231" s="34">
        <v>229</v>
      </c>
      <c r="B231" s="34" t="s">
        <v>56</v>
      </c>
      <c r="C231" s="110" t="str">
        <f>IFERROR(INDEX(Структура_ассортимента[SuperCategory],MATCH(Товары[[#This Row],[SubGroup]],Структура_ассортимента[Subgroup],0)),"")</f>
        <v>A</v>
      </c>
      <c r="D23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3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31" s="110" t="str">
        <f>IFERROR(INDEX(Структура_ассортимента[Product group],MATCH(Товары[[#This Row],[SubGroup]],Структура_ассортимента[Subgroup],0)),"")</f>
        <v>AMC_C</v>
      </c>
      <c r="G231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31" s="110" t="str">
        <f>IFERROR(INDEX(Структура_ассортимента[Generic Name (long)3],MATCH(Товары[[#This Row],[SubGroup]],Структура_ассортимента[Subgroup],0)),"")</f>
        <v>Топоры, колуны</v>
      </c>
      <c r="I231" s="36">
        <v>9215</v>
      </c>
      <c r="J231" s="36" t="str">
        <f>IFERROR(INDEX(Структура_ассортимента[Generic Name (long)],MATCH(Товары[[#This Row],[SubGroup]],Структура_ассортимента[Subgroup],0)),"")</f>
        <v>CHOPPER</v>
      </c>
      <c r="L231" s="36">
        <v>967330501</v>
      </c>
      <c r="M231" s="35" t="s">
        <v>1915</v>
      </c>
      <c r="O231" s="35" t="s">
        <v>4434</v>
      </c>
      <c r="P231" s="37" t="s">
        <v>4435</v>
      </c>
      <c r="Q231" s="34" t="s">
        <v>3549</v>
      </c>
      <c r="R231" s="34" t="s">
        <v>3540</v>
      </c>
      <c r="S231" s="47">
        <v>41883</v>
      </c>
      <c r="T231" s="47">
        <v>0</v>
      </c>
      <c r="U231" s="47">
        <v>0</v>
      </c>
      <c r="V231" s="34">
        <v>4078500015219</v>
      </c>
      <c r="W231" s="34" t="s">
        <v>3541</v>
      </c>
      <c r="X231" s="34" t="s">
        <v>3704</v>
      </c>
      <c r="Y231" s="34" t="s">
        <v>3542</v>
      </c>
      <c r="Z231" s="34">
        <v>2</v>
      </c>
      <c r="AA231" s="34" t="s">
        <v>3983</v>
      </c>
      <c r="AB231" s="34" t="s">
        <v>3983</v>
      </c>
      <c r="AC231" s="34" t="s">
        <v>4436</v>
      </c>
      <c r="AD231" s="34" t="s">
        <v>4436</v>
      </c>
      <c r="AE231" s="34" t="s">
        <v>4437</v>
      </c>
      <c r="AF231" s="34" t="s">
        <v>3989</v>
      </c>
      <c r="AG231" s="34" t="s">
        <v>4351</v>
      </c>
      <c r="AH231" s="34" t="s">
        <v>4438</v>
      </c>
      <c r="AI231" s="34" t="s">
        <v>4439</v>
      </c>
      <c r="AJ231" s="34" t="s">
        <v>4440</v>
      </c>
      <c r="AK231" s="34" t="s">
        <v>4432</v>
      </c>
      <c r="AL231" s="34" t="s">
        <v>3604</v>
      </c>
      <c r="AM231" s="40" t="s">
        <v>9</v>
      </c>
      <c r="AP231" s="34">
        <v>0</v>
      </c>
      <c r="AQ231" s="34">
        <v>4990</v>
      </c>
      <c r="AR231" s="34">
        <v>2828</v>
      </c>
      <c r="AT231" s="44">
        <v>386500</v>
      </c>
      <c r="AU231" s="44"/>
      <c r="AV231" s="46">
        <f>ROUND(Товары[[#This Row],[РРЦ финальная, руб.]]/$AU$1,2)</f>
        <v>0</v>
      </c>
      <c r="AW231" s="45" t="str">
        <f>IFERROR(Товары[[#This Row],[РРЦ, евро]]/Товары[[#This Row],[IRP, Eur]],"-")</f>
        <v>-</v>
      </c>
      <c r="AX231" s="42">
        <f>IFERROR(VLOOKUP(Товары[[#This Row],[SubGroup]],'Структура цен DIY'!$B:$C,2,FALSE),0)</f>
        <v>0.34</v>
      </c>
      <c r="AY231" s="44">
        <v>0</v>
      </c>
    </row>
    <row r="232" spans="1:51" x14ac:dyDescent="0.25">
      <c r="A232" s="34">
        <v>230</v>
      </c>
      <c r="B232" s="34" t="s">
        <v>56</v>
      </c>
      <c r="C232" s="110" t="str">
        <f>IFERROR(INDEX(Структура_ассортимента[SuperCategory],MATCH(Товары[[#This Row],[SubGroup]],Структура_ассортимента[Subgroup],0)),"")</f>
        <v>A</v>
      </c>
      <c r="D23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3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32" s="110" t="str">
        <f>IFERROR(INDEX(Структура_ассортимента[Product group],MATCH(Товары[[#This Row],[SubGroup]],Структура_ассортимента[Subgroup],0)),"")</f>
        <v>AMC_C</v>
      </c>
      <c r="G232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32" s="110" t="str">
        <f>IFERROR(INDEX(Структура_ассортимента[Generic Name (long)3],MATCH(Товары[[#This Row],[SubGroup]],Структура_ассортимента[Subgroup],0)),"")</f>
        <v>Топоры, колуны</v>
      </c>
      <c r="I232" s="36">
        <v>9215</v>
      </c>
      <c r="J232" s="36" t="str">
        <f>IFERROR(INDEX(Структура_ассортимента[Generic Name (long)],MATCH(Товары[[#This Row],[SubGroup]],Структура_ассортимента[Subgroup],0)),"")</f>
        <v>CHOPPER</v>
      </c>
      <c r="L232" s="36">
        <v>967049001</v>
      </c>
      <c r="M232" s="35" t="s">
        <v>1916</v>
      </c>
      <c r="O232" s="35" t="s">
        <v>4441</v>
      </c>
      <c r="P232" s="37" t="s">
        <v>4442</v>
      </c>
      <c r="Q232" s="34" t="s">
        <v>3549</v>
      </c>
      <c r="R232" s="34" t="s">
        <v>3540</v>
      </c>
      <c r="S232" s="47">
        <v>42370</v>
      </c>
      <c r="T232" s="47">
        <v>0</v>
      </c>
      <c r="U232" s="47">
        <v>0</v>
      </c>
      <c r="V232" s="34">
        <v>4078500020220</v>
      </c>
      <c r="W232" s="34" t="s">
        <v>3541</v>
      </c>
      <c r="X232" s="34" t="s">
        <v>3579</v>
      </c>
      <c r="Y232" s="34" t="s">
        <v>3542</v>
      </c>
      <c r="Z232" s="34">
        <v>8</v>
      </c>
      <c r="AB232" s="34" t="s">
        <v>4443</v>
      </c>
      <c r="AD232" s="34" t="s">
        <v>4246</v>
      </c>
      <c r="AE232" s="34" t="s">
        <v>4444</v>
      </c>
      <c r="AF232" s="34" t="s">
        <v>4110</v>
      </c>
      <c r="AG232" s="34" t="s">
        <v>3931</v>
      </c>
      <c r="AH232" s="34" t="s">
        <v>4445</v>
      </c>
      <c r="AI232" s="34" t="s">
        <v>4439</v>
      </c>
      <c r="AJ232" s="34" t="s">
        <v>4440</v>
      </c>
      <c r="AK232" s="34" t="s">
        <v>4432</v>
      </c>
      <c r="AL232" s="34" t="s">
        <v>4321</v>
      </c>
      <c r="AM232" s="40" t="s">
        <v>9</v>
      </c>
      <c r="AP232" s="34">
        <v>0</v>
      </c>
      <c r="AQ232" s="34">
        <v>4990</v>
      </c>
      <c r="AR232" s="34">
        <v>2828</v>
      </c>
      <c r="AT232" s="44">
        <v>386500</v>
      </c>
      <c r="AU232" s="44"/>
      <c r="AV232" s="46">
        <f>ROUND(Товары[[#This Row],[РРЦ финальная, руб.]]/$AU$1,2)</f>
        <v>0</v>
      </c>
      <c r="AW232" s="45" t="str">
        <f>IFERROR(Товары[[#This Row],[РРЦ, евро]]/Товары[[#This Row],[IRP, Eur]],"-")</f>
        <v>-</v>
      </c>
      <c r="AX232" s="42">
        <f>IFERROR(VLOOKUP(Товары[[#This Row],[SubGroup]],'Структура цен DIY'!$B:$C,2,FALSE),0)</f>
        <v>0.34</v>
      </c>
      <c r="AY232" s="44">
        <v>0</v>
      </c>
    </row>
    <row r="233" spans="1:51" x14ac:dyDescent="0.25">
      <c r="A233" s="34">
        <v>231</v>
      </c>
      <c r="B233" s="34" t="s">
        <v>56</v>
      </c>
      <c r="C233" s="110" t="str">
        <f>IFERROR(INDEX(Структура_ассортимента[SuperCategory],MATCH(Товары[[#This Row],[SubGroup]],Структура_ассортимента[Subgroup],0)),"")</f>
        <v>A</v>
      </c>
      <c r="D23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3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33" s="110" t="str">
        <f>IFERROR(INDEX(Структура_ассортимента[Product group],MATCH(Товары[[#This Row],[SubGroup]],Структура_ассортимента[Subgroup],0)),"")</f>
        <v>AMC_C</v>
      </c>
      <c r="G233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33" s="110" t="str">
        <f>IFERROR(INDEX(Структура_ассортимента[Generic Name (long)3],MATCH(Товары[[#This Row],[SubGroup]],Структура_ассортимента[Subgroup],0)),"")</f>
        <v>Топоры, колуны</v>
      </c>
      <c r="I233" s="36">
        <v>9215</v>
      </c>
      <c r="J233" s="36" t="str">
        <f>IFERROR(INDEX(Структура_ассортимента[Generic Name (long)],MATCH(Товары[[#This Row],[SubGroup]],Структура_ассортимента[Subgroup],0)),"")</f>
        <v>CHOPPER</v>
      </c>
      <c r="L233" s="36">
        <v>967330601</v>
      </c>
      <c r="M233" s="35" t="s">
        <v>1917</v>
      </c>
      <c r="O233" s="35" t="s">
        <v>4446</v>
      </c>
      <c r="P233" s="37" t="s">
        <v>4447</v>
      </c>
      <c r="Q233" s="34" t="s">
        <v>3549</v>
      </c>
      <c r="R233" s="34" t="s">
        <v>3540</v>
      </c>
      <c r="S233" s="47">
        <v>41883</v>
      </c>
      <c r="T233" s="47">
        <v>0</v>
      </c>
      <c r="U233" s="47">
        <v>0</v>
      </c>
      <c r="V233" s="34">
        <v>4078500015172</v>
      </c>
      <c r="W233" s="34" t="s">
        <v>3541</v>
      </c>
      <c r="X233" s="34" t="s">
        <v>3704</v>
      </c>
      <c r="Y233" s="34" t="s">
        <v>3542</v>
      </c>
      <c r="Z233" s="34">
        <v>2</v>
      </c>
      <c r="AA233" s="34" t="s">
        <v>4448</v>
      </c>
      <c r="AB233" s="34" t="s">
        <v>4448</v>
      </c>
      <c r="AC233" s="34" t="s">
        <v>4449</v>
      </c>
      <c r="AD233" s="34" t="s">
        <v>4449</v>
      </c>
      <c r="AE233" s="34" t="s">
        <v>4450</v>
      </c>
      <c r="AF233" s="34" t="s">
        <v>4451</v>
      </c>
      <c r="AG233" s="34" t="s">
        <v>4207</v>
      </c>
      <c r="AH233" s="34" t="s">
        <v>4452</v>
      </c>
      <c r="AI233" s="34" t="s">
        <v>4259</v>
      </c>
      <c r="AJ233" s="34" t="s">
        <v>4394</v>
      </c>
      <c r="AK233" s="34" t="s">
        <v>4432</v>
      </c>
      <c r="AL233" s="34" t="s">
        <v>4453</v>
      </c>
      <c r="AM233" s="40" t="s">
        <v>9</v>
      </c>
      <c r="AP233" s="34">
        <v>0</v>
      </c>
      <c r="AQ233" s="34">
        <v>6290</v>
      </c>
      <c r="AR233" s="34">
        <v>3407</v>
      </c>
      <c r="AT233" s="44">
        <v>487200</v>
      </c>
      <c r="AU233" s="44"/>
      <c r="AV233" s="46">
        <f>ROUND(Товары[[#This Row],[РРЦ финальная, руб.]]/$AU$1,2)</f>
        <v>0</v>
      </c>
      <c r="AW233" s="45" t="str">
        <f>IFERROR(Товары[[#This Row],[РРЦ, евро]]/Товары[[#This Row],[IRP, Eur]],"-")</f>
        <v>-</v>
      </c>
      <c r="AX233" s="42">
        <f>IFERROR(VLOOKUP(Товары[[#This Row],[SubGroup]],'Структура цен DIY'!$B:$C,2,FALSE),0)</f>
        <v>0.34</v>
      </c>
      <c r="AY233" s="44">
        <v>0</v>
      </c>
    </row>
    <row r="234" spans="1:51" x14ac:dyDescent="0.25">
      <c r="A234" s="34">
        <v>232</v>
      </c>
      <c r="B234" s="34" t="s">
        <v>56</v>
      </c>
      <c r="C234" s="110" t="str">
        <f>IFERROR(INDEX(Структура_ассортимента[SuperCategory],MATCH(Товары[[#This Row],[SubGroup]],Структура_ассортимента[Subgroup],0)),"")</f>
        <v>A</v>
      </c>
      <c r="D23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3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34" s="110" t="str">
        <f>IFERROR(INDEX(Структура_ассортимента[Product group],MATCH(Товары[[#This Row],[SubGroup]],Структура_ассортимента[Subgroup],0)),"")</f>
        <v>AMC_C</v>
      </c>
      <c r="G234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34" s="110" t="str">
        <f>IFERROR(INDEX(Структура_ассортимента[Generic Name (long)3],MATCH(Товары[[#This Row],[SubGroup]],Структура_ассортимента[Subgroup],0)),"")</f>
        <v>Топоры, колуны</v>
      </c>
      <c r="I234" s="36">
        <v>9215</v>
      </c>
      <c r="J234" s="36" t="str">
        <f>IFERROR(INDEX(Структура_ассортимента[Generic Name (long)],MATCH(Товары[[#This Row],[SubGroup]],Структура_ассортимента[Subgroup],0)),"")</f>
        <v>CHOPPER</v>
      </c>
      <c r="L234" s="36">
        <v>967330301</v>
      </c>
      <c r="M234" s="35" t="s">
        <v>1918</v>
      </c>
      <c r="O234" s="35" t="s">
        <v>4454</v>
      </c>
      <c r="P234" s="37" t="s">
        <v>4455</v>
      </c>
      <c r="Q234" s="34" t="s">
        <v>3549</v>
      </c>
      <c r="R234" s="34" t="s">
        <v>3540</v>
      </c>
      <c r="S234" s="47">
        <v>41883</v>
      </c>
      <c r="T234" s="47">
        <v>0</v>
      </c>
      <c r="U234" s="47">
        <v>0</v>
      </c>
      <c r="V234" s="34">
        <v>4078500015288</v>
      </c>
      <c r="W234" s="34" t="s">
        <v>3541</v>
      </c>
      <c r="X234" s="34" t="s">
        <v>3704</v>
      </c>
      <c r="Y234" s="34" t="s">
        <v>3542</v>
      </c>
      <c r="Z234" s="34">
        <v>4</v>
      </c>
      <c r="AA234" s="34" t="s">
        <v>4201</v>
      </c>
      <c r="AB234" s="34" t="s">
        <v>4201</v>
      </c>
      <c r="AC234" s="34" t="s">
        <v>4456</v>
      </c>
      <c r="AD234" s="34" t="s">
        <v>4456</v>
      </c>
      <c r="AE234" s="34" t="s">
        <v>4457</v>
      </c>
      <c r="AF234" s="34" t="s">
        <v>4458</v>
      </c>
      <c r="AG234" s="34" t="s">
        <v>3931</v>
      </c>
      <c r="AH234" s="34" t="s">
        <v>4459</v>
      </c>
      <c r="AI234" s="34" t="s">
        <v>4014</v>
      </c>
      <c r="AJ234" s="34" t="s">
        <v>4431</v>
      </c>
      <c r="AK234" s="34" t="s">
        <v>4432</v>
      </c>
      <c r="AL234" s="34" t="s">
        <v>3868</v>
      </c>
      <c r="AM234" s="40" t="s">
        <v>9</v>
      </c>
      <c r="AP234" s="34">
        <v>0</v>
      </c>
      <c r="AQ234" s="34">
        <v>3990</v>
      </c>
      <c r="AR234" s="34">
        <v>2161</v>
      </c>
      <c r="AT234" s="44">
        <v>309000</v>
      </c>
      <c r="AU234" s="44"/>
      <c r="AV234" s="46">
        <f>ROUND(Товары[[#This Row],[РРЦ финальная, руб.]]/$AU$1,2)</f>
        <v>0</v>
      </c>
      <c r="AW234" s="45" t="str">
        <f>IFERROR(Товары[[#This Row],[РРЦ, евро]]/Товары[[#This Row],[IRP, Eur]],"-")</f>
        <v>-</v>
      </c>
      <c r="AX234" s="42">
        <f>IFERROR(VLOOKUP(Товары[[#This Row],[SubGroup]],'Структура цен DIY'!$B:$C,2,FALSE),0)</f>
        <v>0.34</v>
      </c>
      <c r="AY234" s="44">
        <v>0</v>
      </c>
    </row>
    <row r="235" spans="1:51" x14ac:dyDescent="0.25">
      <c r="A235" s="34">
        <v>233</v>
      </c>
      <c r="B235" s="34" t="s">
        <v>56</v>
      </c>
      <c r="C235" s="110" t="str">
        <f>IFERROR(INDEX(Структура_ассортимента[SuperCategory],MATCH(Товары[[#This Row],[SubGroup]],Структура_ассортимента[Subgroup],0)),"")</f>
        <v>A</v>
      </c>
      <c r="D23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3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35" s="110" t="str">
        <f>IFERROR(INDEX(Структура_ассортимента[Product group],MATCH(Товары[[#This Row],[SubGroup]],Структура_ассортимента[Subgroup],0)),"")</f>
        <v>AMC_C</v>
      </c>
      <c r="G235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35" s="110" t="str">
        <f>IFERROR(INDEX(Структура_ассортимента[Generic Name (long)3],MATCH(Товары[[#This Row],[SubGroup]],Структура_ассортимента[Subgroup],0)),"")</f>
        <v>Топоры, колуны</v>
      </c>
      <c r="I235" s="36">
        <v>9215</v>
      </c>
      <c r="J235" s="36" t="str">
        <f>IFERROR(INDEX(Структура_ассортимента[Generic Name (long)],MATCH(Товары[[#This Row],[SubGroup]],Структура_ассортимента[Subgroup],0)),"")</f>
        <v>CHOPPER</v>
      </c>
      <c r="L235" s="36">
        <v>967330401</v>
      </c>
      <c r="M235" s="35" t="s">
        <v>1919</v>
      </c>
      <c r="O235" s="35" t="s">
        <v>4460</v>
      </c>
      <c r="P235" s="37" t="s">
        <v>4461</v>
      </c>
      <c r="Q235" s="34" t="s">
        <v>3549</v>
      </c>
      <c r="R235" s="34" t="s">
        <v>3540</v>
      </c>
      <c r="S235" s="47">
        <v>41883</v>
      </c>
      <c r="T235" s="47">
        <v>0</v>
      </c>
      <c r="U235" s="47">
        <v>0</v>
      </c>
      <c r="V235" s="34">
        <v>4078500015233</v>
      </c>
      <c r="W235" s="34" t="s">
        <v>3541</v>
      </c>
      <c r="X235" s="34" t="s">
        <v>3704</v>
      </c>
      <c r="Y235" s="34" t="s">
        <v>3542</v>
      </c>
      <c r="Z235" s="34">
        <v>2</v>
      </c>
      <c r="AA235" s="34" t="s">
        <v>4462</v>
      </c>
      <c r="AB235" s="34" t="s">
        <v>4462</v>
      </c>
      <c r="AC235" s="34" t="s">
        <v>3971</v>
      </c>
      <c r="AD235" s="34" t="s">
        <v>3971</v>
      </c>
      <c r="AE235" s="34" t="s">
        <v>4437</v>
      </c>
      <c r="AF235" s="34" t="s">
        <v>3989</v>
      </c>
      <c r="AG235" s="34" t="s">
        <v>4463</v>
      </c>
      <c r="AH235" s="34" t="s">
        <v>4464</v>
      </c>
      <c r="AI235" s="34" t="s">
        <v>4439</v>
      </c>
      <c r="AJ235" s="34" t="s">
        <v>3878</v>
      </c>
      <c r="AK235" s="34" t="s">
        <v>4432</v>
      </c>
      <c r="AL235" s="34" t="s">
        <v>3604</v>
      </c>
      <c r="AM235" s="40" t="s">
        <v>9</v>
      </c>
      <c r="AP235" s="34">
        <v>0</v>
      </c>
      <c r="AQ235" s="34">
        <v>5090</v>
      </c>
      <c r="AR235" s="34">
        <v>2757</v>
      </c>
      <c r="AT235" s="44">
        <v>394200</v>
      </c>
      <c r="AU235" s="44"/>
      <c r="AV235" s="46">
        <f>ROUND(Товары[[#This Row],[РРЦ финальная, руб.]]/$AU$1,2)</f>
        <v>0</v>
      </c>
      <c r="AW235" s="45" t="str">
        <f>IFERROR(Товары[[#This Row],[РРЦ, евро]]/Товары[[#This Row],[IRP, Eur]],"-")</f>
        <v>-</v>
      </c>
      <c r="AX235" s="42">
        <f>IFERROR(VLOOKUP(Товары[[#This Row],[SubGroup]],'Структура цен DIY'!$B:$C,2,FALSE),0)</f>
        <v>0.34</v>
      </c>
      <c r="AY235" s="44">
        <v>0</v>
      </c>
    </row>
    <row r="236" spans="1:51" x14ac:dyDescent="0.25">
      <c r="A236" s="34">
        <v>234</v>
      </c>
      <c r="B236" s="34" t="s">
        <v>56</v>
      </c>
      <c r="C236" s="110" t="str">
        <f>IFERROR(INDEX(Структура_ассортимента[SuperCategory],MATCH(Товары[[#This Row],[SubGroup]],Структура_ассортимента[Subgroup],0)),"")</f>
        <v>A</v>
      </c>
      <c r="D23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3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36" s="110" t="str">
        <f>IFERROR(INDEX(Структура_ассортимента[Product group],MATCH(Товары[[#This Row],[SubGroup]],Структура_ассортимента[Subgroup],0)),"")</f>
        <v>AMC_C</v>
      </c>
      <c r="G236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36" s="110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36" s="36">
        <v>9231</v>
      </c>
      <c r="J236" s="36" t="str">
        <f>IFERROR(INDEX(Структура_ассортимента[Generic Name (long)],MATCH(Товары[[#This Row],[SubGroup]],Структура_ассортимента[Subgroup],0)),"")</f>
        <v>SHEAR, MANUAL</v>
      </c>
      <c r="L236" s="36">
        <v>901184801</v>
      </c>
      <c r="M236" s="35" t="s">
        <v>1920</v>
      </c>
      <c r="O236" s="35" t="s">
        <v>4465</v>
      </c>
      <c r="P236" s="37" t="s">
        <v>4466</v>
      </c>
      <c r="Q236" s="34" t="s">
        <v>3549</v>
      </c>
      <c r="R236" s="34" t="s">
        <v>3540</v>
      </c>
      <c r="S236" s="47">
        <v>39356</v>
      </c>
      <c r="T236" s="47">
        <v>0</v>
      </c>
      <c r="U236" s="47">
        <v>0</v>
      </c>
      <c r="V236" s="34">
        <v>4078500873000</v>
      </c>
      <c r="W236" s="34" t="s">
        <v>3548</v>
      </c>
      <c r="X236" s="34" t="s">
        <v>3579</v>
      </c>
      <c r="Y236" s="34" t="s">
        <v>3542</v>
      </c>
      <c r="Z236" s="34">
        <v>10</v>
      </c>
      <c r="AA236" s="34" t="s">
        <v>4168</v>
      </c>
      <c r="AB236" s="34" t="s">
        <v>4168</v>
      </c>
      <c r="AC236" s="34" t="s">
        <v>3691</v>
      </c>
      <c r="AD236" s="34" t="s">
        <v>3691</v>
      </c>
      <c r="AE236" s="34" t="s">
        <v>4467</v>
      </c>
      <c r="AF236" s="34" t="s">
        <v>4384</v>
      </c>
      <c r="AG236" s="34" t="s">
        <v>4468</v>
      </c>
      <c r="AH236" s="34" t="s">
        <v>4469</v>
      </c>
      <c r="AI236" s="34" t="s">
        <v>4470</v>
      </c>
      <c r="AJ236" s="34" t="s">
        <v>4471</v>
      </c>
      <c r="AK236" s="34" t="s">
        <v>4472</v>
      </c>
      <c r="AL236" s="34">
        <v>360</v>
      </c>
      <c r="AM236" s="40" t="s">
        <v>9</v>
      </c>
      <c r="AP236" s="34">
        <v>0</v>
      </c>
      <c r="AQ236" s="34">
        <v>1290</v>
      </c>
      <c r="AR236" s="34">
        <v>806</v>
      </c>
      <c r="AT236" s="44">
        <v>99900</v>
      </c>
      <c r="AU236" s="44"/>
      <c r="AV236" s="46">
        <f>ROUND(Товары[[#This Row],[РРЦ финальная, руб.]]/$AU$1,2)</f>
        <v>0</v>
      </c>
      <c r="AW236" s="45" t="str">
        <f>IFERROR(Товары[[#This Row],[РРЦ, евро]]/Товары[[#This Row],[IRP, Eur]],"-")</f>
        <v>-</v>
      </c>
      <c r="AX236" s="42">
        <f>IFERROR(VLOOKUP(Товары[[#This Row],[SubGroup]],'Структура цен DIY'!$B:$C,2,FALSE),0)</f>
        <v>0.28999999999999998</v>
      </c>
      <c r="AY236" s="44">
        <v>0</v>
      </c>
    </row>
    <row r="237" spans="1:51" x14ac:dyDescent="0.25">
      <c r="A237" s="34">
        <v>235</v>
      </c>
      <c r="B237" s="34" t="s">
        <v>56</v>
      </c>
      <c r="C237" s="110" t="str">
        <f>IFERROR(INDEX(Структура_ассортимента[SuperCategory],MATCH(Товары[[#This Row],[SubGroup]],Структура_ассортимента[Subgroup],0)),"")</f>
        <v>A</v>
      </c>
      <c r="D23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3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37" s="110" t="str">
        <f>IFERROR(INDEX(Структура_ассортимента[Product group],MATCH(Товары[[#This Row],[SubGroup]],Структура_ассортимента[Subgroup],0)),"")</f>
        <v>AMC_C</v>
      </c>
      <c r="G237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37" s="110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37" s="36">
        <v>9231</v>
      </c>
      <c r="J237" s="36" t="str">
        <f>IFERROR(INDEX(Структура_ассортимента[Generic Name (long)],MATCH(Товары[[#This Row],[SubGroup]],Структура_ассортимента[Subgroup],0)),"")</f>
        <v>SHEAR, MANUAL</v>
      </c>
      <c r="L237" s="36">
        <v>901184901</v>
      </c>
      <c r="M237" s="35" t="s">
        <v>1921</v>
      </c>
      <c r="Q237" s="34" t="s">
        <v>3549</v>
      </c>
      <c r="R237" s="34" t="s">
        <v>3540</v>
      </c>
      <c r="S237" s="47">
        <v>39356</v>
      </c>
      <c r="T237" s="47">
        <v>0</v>
      </c>
      <c r="U237" s="47">
        <v>0</v>
      </c>
      <c r="V237" s="34">
        <v>4078500873062</v>
      </c>
      <c r="W237" s="34" t="s">
        <v>3548</v>
      </c>
      <c r="X237" s="34" t="s">
        <v>3579</v>
      </c>
      <c r="Y237" s="34" t="s">
        <v>3542</v>
      </c>
      <c r="Z237" s="34">
        <v>30</v>
      </c>
      <c r="AA237" s="34" t="s">
        <v>3691</v>
      </c>
      <c r="AB237" s="34" t="s">
        <v>3691</v>
      </c>
      <c r="AC237" s="34" t="s">
        <v>4473</v>
      </c>
      <c r="AD237" s="34" t="s">
        <v>4473</v>
      </c>
      <c r="AE237" s="34" t="s">
        <v>4427</v>
      </c>
      <c r="AF237" s="34" t="s">
        <v>3698</v>
      </c>
      <c r="AG237" s="34" t="s">
        <v>3931</v>
      </c>
      <c r="AH237" s="34" t="s">
        <v>4474</v>
      </c>
      <c r="AI237" s="34" t="s">
        <v>4470</v>
      </c>
      <c r="AJ237" s="34" t="s">
        <v>4471</v>
      </c>
      <c r="AK237" s="34" t="s">
        <v>4472</v>
      </c>
      <c r="AL237" s="34">
        <v>180</v>
      </c>
      <c r="AM237" s="40" t="s">
        <v>8095</v>
      </c>
      <c r="AT237" s="44">
        <v>0</v>
      </c>
      <c r="AU237" s="44"/>
      <c r="AV237" s="46">
        <f>ROUND(Товары[[#This Row],[РРЦ финальная, руб.]]/$AU$1,2)</f>
        <v>0</v>
      </c>
      <c r="AW237" s="45" t="str">
        <f>IFERROR(Товары[[#This Row],[РРЦ, евро]]/Товары[[#This Row],[IRP, Eur]],"-")</f>
        <v>-</v>
      </c>
      <c r="AX237" s="42">
        <f>IFERROR(VLOOKUP(Товары[[#This Row],[SubGroup]],'Структура цен DIY'!$B:$C,2,FALSE),0)</f>
        <v>0.28999999999999998</v>
      </c>
      <c r="AY237" s="44">
        <v>0</v>
      </c>
    </row>
    <row r="238" spans="1:51" x14ac:dyDescent="0.25">
      <c r="A238" s="34">
        <v>236</v>
      </c>
      <c r="B238" s="34" t="s">
        <v>56</v>
      </c>
      <c r="C238" s="110" t="str">
        <f>IFERROR(INDEX(Структура_ассортимента[SuperCategory],MATCH(Товары[[#This Row],[SubGroup]],Структура_ассортимента[Subgroup],0)),"")</f>
        <v>A</v>
      </c>
      <c r="D23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3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38" s="110" t="str">
        <f>IFERROR(INDEX(Структура_ассортимента[Product group],MATCH(Товары[[#This Row],[SubGroup]],Структура_ассортимента[Subgroup],0)),"")</f>
        <v>AMC_C</v>
      </c>
      <c r="G238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38" s="110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38" s="36">
        <v>9231</v>
      </c>
      <c r="J238" s="36" t="str">
        <f>IFERROR(INDEX(Структура_ассортимента[Generic Name (long)],MATCH(Товары[[#This Row],[SubGroup]],Структура_ассортимента[Subgroup],0)),"")</f>
        <v>SHEAR, MANUAL</v>
      </c>
      <c r="L238" s="36">
        <v>901185101</v>
      </c>
      <c r="M238" s="35" t="s">
        <v>1922</v>
      </c>
      <c r="Q238" s="34" t="s">
        <v>3549</v>
      </c>
      <c r="R238" s="34" t="s">
        <v>3540</v>
      </c>
      <c r="S238" s="47">
        <v>39356</v>
      </c>
      <c r="T238" s="47">
        <v>0</v>
      </c>
      <c r="U238" s="47">
        <v>0</v>
      </c>
      <c r="V238" s="34">
        <v>4078500873048</v>
      </c>
      <c r="W238" s="34" t="s">
        <v>3548</v>
      </c>
      <c r="X238" s="34" t="s">
        <v>3579</v>
      </c>
      <c r="Y238" s="34" t="s">
        <v>3542</v>
      </c>
      <c r="Z238" s="34">
        <v>10</v>
      </c>
      <c r="AA238" s="34" t="s">
        <v>4475</v>
      </c>
      <c r="AB238" s="34" t="s">
        <v>4475</v>
      </c>
      <c r="AC238" s="34" t="s">
        <v>4159</v>
      </c>
      <c r="AD238" s="34" t="s">
        <v>4159</v>
      </c>
      <c r="AE238" s="34" t="s">
        <v>4467</v>
      </c>
      <c r="AF238" s="34" t="s">
        <v>4391</v>
      </c>
      <c r="AG238" s="34" t="s">
        <v>3931</v>
      </c>
      <c r="AH238" s="34" t="s">
        <v>4476</v>
      </c>
      <c r="AI238" s="34" t="s">
        <v>4470</v>
      </c>
      <c r="AJ238" s="34" t="s">
        <v>4471</v>
      </c>
      <c r="AK238" s="34" t="s">
        <v>4472</v>
      </c>
      <c r="AL238" s="34">
        <v>440</v>
      </c>
      <c r="AM238" s="40" t="s">
        <v>8095</v>
      </c>
      <c r="AT238" s="44">
        <v>0</v>
      </c>
      <c r="AU238" s="44"/>
      <c r="AV238" s="46">
        <f>ROUND(Товары[[#This Row],[РРЦ финальная, руб.]]/$AU$1,2)</f>
        <v>0</v>
      </c>
      <c r="AW238" s="45" t="str">
        <f>IFERROR(Товары[[#This Row],[РРЦ, евро]]/Товары[[#This Row],[IRP, Eur]],"-")</f>
        <v>-</v>
      </c>
      <c r="AX238" s="42">
        <f>IFERROR(VLOOKUP(Товары[[#This Row],[SubGroup]],'Структура цен DIY'!$B:$C,2,FALSE),0)</f>
        <v>0.28999999999999998</v>
      </c>
      <c r="AY238" s="44">
        <v>0</v>
      </c>
    </row>
    <row r="239" spans="1:51" x14ac:dyDescent="0.25">
      <c r="A239" s="34">
        <v>237</v>
      </c>
      <c r="B239" s="34" t="s">
        <v>56</v>
      </c>
      <c r="C239" s="110" t="str">
        <f>IFERROR(INDEX(Структура_ассортимента[SuperCategory],MATCH(Товары[[#This Row],[SubGroup]],Структура_ассортимента[Subgroup],0)),"")</f>
        <v>A</v>
      </c>
      <c r="D23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3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39" s="110" t="str">
        <f>IFERROR(INDEX(Структура_ассортимента[Product group],MATCH(Товары[[#This Row],[SubGroup]],Структура_ассортимента[Subgroup],0)),"")</f>
        <v>AMC_C</v>
      </c>
      <c r="G239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39" s="110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39" s="36">
        <v>9231</v>
      </c>
      <c r="J239" s="36" t="str">
        <f>IFERROR(INDEX(Структура_ассортимента[Generic Name (long)],MATCH(Товары[[#This Row],[SubGroup]],Структура_ассортимента[Subgroup],0)),"")</f>
        <v>SHEAR, MANUAL</v>
      </c>
      <c r="L239" s="36">
        <v>967721601</v>
      </c>
      <c r="M239" s="35" t="s">
        <v>1923</v>
      </c>
      <c r="Q239" s="34" t="s">
        <v>3549</v>
      </c>
      <c r="R239" s="34" t="s">
        <v>3540</v>
      </c>
      <c r="S239" s="47">
        <v>0</v>
      </c>
      <c r="T239" s="47">
        <v>0</v>
      </c>
      <c r="U239" s="47">
        <v>0</v>
      </c>
      <c r="V239" s="34">
        <v>4078500036498</v>
      </c>
      <c r="W239" s="34" t="s">
        <v>3548</v>
      </c>
      <c r="X239" s="34" t="s">
        <v>3579</v>
      </c>
      <c r="Y239" s="34" t="s">
        <v>3542</v>
      </c>
      <c r="Z239" s="34">
        <v>30</v>
      </c>
      <c r="AA239" s="34">
        <v>244</v>
      </c>
      <c r="AB239" s="34" t="s">
        <v>4477</v>
      </c>
      <c r="AC239" s="34">
        <v>240</v>
      </c>
      <c r="AD239" s="34" t="s">
        <v>3691</v>
      </c>
      <c r="AE239" s="34" t="s">
        <v>4467</v>
      </c>
      <c r="AF239" s="34" t="s">
        <v>4384</v>
      </c>
      <c r="AG239" s="34" t="s">
        <v>4468</v>
      </c>
      <c r="AH239" s="34" t="s">
        <v>4469</v>
      </c>
      <c r="AI239" s="34" t="s">
        <v>4470</v>
      </c>
      <c r="AJ239" s="34" t="s">
        <v>4471</v>
      </c>
      <c r="AK239" s="34" t="s">
        <v>4472</v>
      </c>
      <c r="AL239" s="34" t="s">
        <v>4478</v>
      </c>
      <c r="AM239" s="40" t="s">
        <v>8095</v>
      </c>
      <c r="AT239" s="44">
        <v>0</v>
      </c>
      <c r="AU239" s="44"/>
      <c r="AV239" s="46">
        <f>ROUND(Товары[[#This Row],[РРЦ финальная, руб.]]/$AU$1,2)</f>
        <v>0</v>
      </c>
      <c r="AW239" s="45" t="str">
        <f>IFERROR(Товары[[#This Row],[РРЦ, евро]]/Товары[[#This Row],[IRP, Eur]],"-")</f>
        <v>-</v>
      </c>
      <c r="AX239" s="42">
        <f>IFERROR(VLOOKUP(Товары[[#This Row],[SubGroup]],'Структура цен DIY'!$B:$C,2,FALSE),0)</f>
        <v>0.28999999999999998</v>
      </c>
      <c r="AY239" s="44">
        <v>0</v>
      </c>
    </row>
    <row r="240" spans="1:51" x14ac:dyDescent="0.25">
      <c r="A240" s="34">
        <v>238</v>
      </c>
      <c r="B240" s="34" t="s">
        <v>56</v>
      </c>
      <c r="C240" s="110" t="str">
        <f>IFERROR(INDEX(Структура_ассортимента[SuperCategory],MATCH(Товары[[#This Row],[SubGroup]],Структура_ассортимента[Subgroup],0)),"")</f>
        <v>A</v>
      </c>
      <c r="D24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4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40" s="110" t="str">
        <f>IFERROR(INDEX(Структура_ассортимента[Product group],MATCH(Товары[[#This Row],[SubGroup]],Структура_ассортимента[Subgroup],0)),"")</f>
        <v>AMC_C</v>
      </c>
      <c r="G240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40" s="110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40" s="36">
        <v>9231</v>
      </c>
      <c r="J240" s="36" t="str">
        <f>IFERROR(INDEX(Структура_ассортимента[Generic Name (long)],MATCH(Товары[[#This Row],[SubGroup]],Структура_ассортимента[Subgroup],0)),"")</f>
        <v>SHEAR, MANUAL</v>
      </c>
      <c r="L240" s="36">
        <v>901185401</v>
      </c>
      <c r="M240" s="35" t="s">
        <v>1924</v>
      </c>
      <c r="Q240" s="34" t="s">
        <v>3549</v>
      </c>
      <c r="R240" s="34" t="s">
        <v>3540</v>
      </c>
      <c r="S240" s="47">
        <v>39356</v>
      </c>
      <c r="T240" s="47">
        <v>0</v>
      </c>
      <c r="U240" s="47">
        <v>0</v>
      </c>
      <c r="V240" s="34">
        <v>4078500873161</v>
      </c>
      <c r="W240" s="34" t="s">
        <v>3548</v>
      </c>
      <c r="X240" s="34" t="s">
        <v>3579</v>
      </c>
      <c r="Y240" s="34" t="s">
        <v>3542</v>
      </c>
      <c r="Z240" s="34">
        <v>30</v>
      </c>
      <c r="AA240" s="34" t="s">
        <v>4479</v>
      </c>
      <c r="AB240" s="34" t="s">
        <v>4479</v>
      </c>
      <c r="AC240" s="34" t="s">
        <v>4140</v>
      </c>
      <c r="AD240" s="34" t="s">
        <v>4140</v>
      </c>
      <c r="AE240" s="34" t="s">
        <v>4467</v>
      </c>
      <c r="AF240" s="34" t="s">
        <v>4384</v>
      </c>
      <c r="AG240" s="34" t="s">
        <v>4468</v>
      </c>
      <c r="AH240" s="34" t="s">
        <v>4469</v>
      </c>
      <c r="AI240" s="34" t="s">
        <v>4470</v>
      </c>
      <c r="AJ240" s="34" t="s">
        <v>3599</v>
      </c>
      <c r="AK240" s="34" t="s">
        <v>4468</v>
      </c>
      <c r="AL240" s="34">
        <v>180</v>
      </c>
      <c r="AM240" s="40" t="s">
        <v>8095</v>
      </c>
      <c r="AT240" s="44">
        <v>0</v>
      </c>
      <c r="AU240" s="44"/>
      <c r="AV240" s="46">
        <f>ROUND(Товары[[#This Row],[РРЦ финальная, руб.]]/$AU$1,2)</f>
        <v>0</v>
      </c>
      <c r="AW240" s="45" t="str">
        <f>IFERROR(Товары[[#This Row],[РРЦ, евро]]/Товары[[#This Row],[IRP, Eur]],"-")</f>
        <v>-</v>
      </c>
      <c r="AX240" s="42">
        <f>IFERROR(VLOOKUP(Товары[[#This Row],[SubGroup]],'Структура цен DIY'!$B:$C,2,FALSE),0)</f>
        <v>0.28999999999999998</v>
      </c>
      <c r="AY240" s="44">
        <v>0</v>
      </c>
    </row>
    <row r="241" spans="1:51" x14ac:dyDescent="0.25">
      <c r="A241" s="34">
        <v>239</v>
      </c>
      <c r="B241" s="34" t="s">
        <v>56</v>
      </c>
      <c r="C241" s="110" t="str">
        <f>IFERROR(INDEX(Структура_ассортимента[SuperCategory],MATCH(Товары[[#This Row],[SubGroup]],Структура_ассортимента[Subgroup],0)),"")</f>
        <v>A</v>
      </c>
      <c r="D24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4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41" s="110" t="str">
        <f>IFERROR(INDEX(Структура_ассортимента[Product group],MATCH(Товары[[#This Row],[SubGroup]],Структура_ассортимента[Subgroup],0)),"")</f>
        <v>AMC_C</v>
      </c>
      <c r="G241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41" s="110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41" s="36">
        <v>9231</v>
      </c>
      <c r="J241" s="36" t="str">
        <f>IFERROR(INDEX(Структура_ассортимента[Generic Name (long)],MATCH(Товары[[#This Row],[SubGroup]],Структура_ассортимента[Subgroup],0)),"")</f>
        <v>SHEAR, MANUAL</v>
      </c>
      <c r="L241" s="36">
        <v>901185301</v>
      </c>
      <c r="M241" s="35" t="s">
        <v>1925</v>
      </c>
      <c r="Q241" s="34" t="s">
        <v>3549</v>
      </c>
      <c r="R241" s="34" t="s">
        <v>3540</v>
      </c>
      <c r="S241" s="47">
        <v>39356</v>
      </c>
      <c r="T241" s="47">
        <v>0</v>
      </c>
      <c r="U241" s="47">
        <v>0</v>
      </c>
      <c r="V241" s="34">
        <v>4078500873109</v>
      </c>
      <c r="W241" s="34" t="s">
        <v>3548</v>
      </c>
      <c r="X241" s="34" t="s">
        <v>3579</v>
      </c>
      <c r="Y241" s="34" t="s">
        <v>3542</v>
      </c>
      <c r="Z241" s="34">
        <v>10</v>
      </c>
      <c r="AA241" s="34" t="s">
        <v>3690</v>
      </c>
      <c r="AB241" s="34" t="s">
        <v>3690</v>
      </c>
      <c r="AC241" s="34" t="s">
        <v>4140</v>
      </c>
      <c r="AD241" s="34" t="s">
        <v>4140</v>
      </c>
      <c r="AE241" s="34" t="s">
        <v>4467</v>
      </c>
      <c r="AF241" s="34" t="s">
        <v>4384</v>
      </c>
      <c r="AG241" s="34" t="s">
        <v>4468</v>
      </c>
      <c r="AH241" s="34" t="s">
        <v>4469</v>
      </c>
      <c r="AI241" s="34" t="s">
        <v>4470</v>
      </c>
      <c r="AJ241" s="34" t="s">
        <v>3599</v>
      </c>
      <c r="AK241" s="34" t="s">
        <v>4468</v>
      </c>
      <c r="AL241" s="34">
        <v>360</v>
      </c>
      <c r="AM241" s="40" t="s">
        <v>8095</v>
      </c>
      <c r="AT241" s="44">
        <v>0</v>
      </c>
      <c r="AU241" s="44"/>
      <c r="AV241" s="46">
        <f>ROUND(Товары[[#This Row],[РРЦ финальная, руб.]]/$AU$1,2)</f>
        <v>0</v>
      </c>
      <c r="AW241" s="45" t="str">
        <f>IFERROR(Товары[[#This Row],[РРЦ, евро]]/Товары[[#This Row],[IRP, Eur]],"-")</f>
        <v>-</v>
      </c>
      <c r="AX241" s="42">
        <f>IFERROR(VLOOKUP(Товары[[#This Row],[SubGroup]],'Структура цен DIY'!$B:$C,2,FALSE),0)</f>
        <v>0.28999999999999998</v>
      </c>
      <c r="AY241" s="44">
        <v>0</v>
      </c>
    </row>
    <row r="242" spans="1:51" x14ac:dyDescent="0.25">
      <c r="A242" s="34">
        <v>240</v>
      </c>
      <c r="B242" s="34" t="s">
        <v>56</v>
      </c>
      <c r="C242" s="110" t="str">
        <f>IFERROR(INDEX(Структура_ассортимента[SuperCategory],MATCH(Товары[[#This Row],[SubGroup]],Структура_ассортимента[Subgroup],0)),"")</f>
        <v>A</v>
      </c>
      <c r="D24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4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42" s="110" t="str">
        <f>IFERROR(INDEX(Структура_ассортимента[Product group],MATCH(Товары[[#This Row],[SubGroup]],Структура_ассортимента[Subgroup],0)),"")</f>
        <v>AMC_C</v>
      </c>
      <c r="G242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42" s="110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42" s="36">
        <v>9231</v>
      </c>
      <c r="J242" s="36" t="str">
        <f>IFERROR(INDEX(Структура_ассортимента[Generic Name (long)],MATCH(Товары[[#This Row],[SubGroup]],Структура_ассортимента[Subgroup],0)),"")</f>
        <v>SHEAR, MANUAL</v>
      </c>
      <c r="L242" s="36">
        <v>901185701</v>
      </c>
      <c r="M242" s="35" t="s">
        <v>1926</v>
      </c>
      <c r="Q242" s="34" t="s">
        <v>3549</v>
      </c>
      <c r="R242" s="34" t="s">
        <v>3540</v>
      </c>
      <c r="S242" s="47">
        <v>39356</v>
      </c>
      <c r="T242" s="47">
        <v>0</v>
      </c>
      <c r="U242" s="47">
        <v>0</v>
      </c>
      <c r="V242" s="34">
        <v>4078500873147</v>
      </c>
      <c r="W242" s="34" t="s">
        <v>3548</v>
      </c>
      <c r="X242" s="34" t="s">
        <v>3579</v>
      </c>
      <c r="Y242" s="34" t="s">
        <v>3542</v>
      </c>
      <c r="Z242" s="34">
        <v>10</v>
      </c>
      <c r="AA242" s="34" t="s">
        <v>4140</v>
      </c>
      <c r="AB242" s="34" t="s">
        <v>4140</v>
      </c>
      <c r="AC242" s="34" t="s">
        <v>4480</v>
      </c>
      <c r="AD242" s="34" t="s">
        <v>4480</v>
      </c>
      <c r="AE242" s="34" t="s">
        <v>4427</v>
      </c>
      <c r="AF242" s="34" t="s">
        <v>3931</v>
      </c>
      <c r="AG242" s="34" t="s">
        <v>3560</v>
      </c>
      <c r="AH242" s="34" t="s">
        <v>4481</v>
      </c>
      <c r="AI242" s="34" t="s">
        <v>4470</v>
      </c>
      <c r="AJ242" s="34" t="s">
        <v>3599</v>
      </c>
      <c r="AK242" s="34" t="s">
        <v>4468</v>
      </c>
      <c r="AL242" s="34">
        <v>440</v>
      </c>
      <c r="AM242" s="40" t="s">
        <v>8095</v>
      </c>
      <c r="AT242" s="44">
        <v>0</v>
      </c>
      <c r="AU242" s="44"/>
      <c r="AV242" s="46">
        <f>ROUND(Товары[[#This Row],[РРЦ финальная, руб.]]/$AU$1,2)</f>
        <v>0</v>
      </c>
      <c r="AW242" s="45" t="str">
        <f>IFERROR(Товары[[#This Row],[РРЦ, евро]]/Товары[[#This Row],[IRP, Eur]],"-")</f>
        <v>-</v>
      </c>
      <c r="AX242" s="42">
        <f>IFERROR(VLOOKUP(Товары[[#This Row],[SubGroup]],'Структура цен DIY'!$B:$C,2,FALSE),0)</f>
        <v>0.28999999999999998</v>
      </c>
      <c r="AY242" s="44">
        <v>0</v>
      </c>
    </row>
    <row r="243" spans="1:51" x14ac:dyDescent="0.25">
      <c r="A243" s="34">
        <v>241</v>
      </c>
      <c r="B243" s="34" t="s">
        <v>56</v>
      </c>
      <c r="C243" s="110" t="str">
        <f>IFERROR(INDEX(Структура_ассортимента[SuperCategory],MATCH(Товары[[#This Row],[SubGroup]],Структура_ассортимента[Subgroup],0)),"")</f>
        <v>A</v>
      </c>
      <c r="D24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4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43" s="110" t="str">
        <f>IFERROR(INDEX(Структура_ассортимента[Product group],MATCH(Товары[[#This Row],[SubGroup]],Структура_ассортимента[Subgroup],0)),"")</f>
        <v>AMC_C</v>
      </c>
      <c r="G243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43" s="110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43" s="36">
        <v>9231</v>
      </c>
      <c r="J243" s="36" t="str">
        <f>IFERROR(INDEX(Структура_ассортимента[Generic Name (long)],MATCH(Товары[[#This Row],[SubGroup]],Структура_ассортимента[Subgroup],0)),"")</f>
        <v>SHEAR, MANUAL</v>
      </c>
      <c r="L243" s="36">
        <v>967789501</v>
      </c>
      <c r="M243" s="35" t="s">
        <v>1927</v>
      </c>
      <c r="Q243" s="34" t="s">
        <v>3549</v>
      </c>
      <c r="R243" s="34" t="s">
        <v>3540</v>
      </c>
      <c r="S243" s="47">
        <v>43101</v>
      </c>
      <c r="T243" s="47">
        <v>0</v>
      </c>
      <c r="U243" s="47">
        <v>0</v>
      </c>
      <c r="V243" s="34">
        <v>4078500036474</v>
      </c>
      <c r="W243" s="34" t="s">
        <v>3548</v>
      </c>
      <c r="X243" s="34" t="s">
        <v>3579</v>
      </c>
      <c r="Y243" s="34" t="s">
        <v>3542</v>
      </c>
      <c r="Z243" s="34">
        <v>30</v>
      </c>
      <c r="AA243" s="34">
        <v>265</v>
      </c>
      <c r="AB243" s="34" t="s">
        <v>4479</v>
      </c>
      <c r="AC243" s="34">
        <v>264</v>
      </c>
      <c r="AD243" s="34" t="s">
        <v>4140</v>
      </c>
      <c r="AE243" s="34" t="s">
        <v>4467</v>
      </c>
      <c r="AF243" s="34" t="s">
        <v>4384</v>
      </c>
      <c r="AG243" s="34" t="s">
        <v>4468</v>
      </c>
      <c r="AH243" s="34" t="s">
        <v>4469</v>
      </c>
      <c r="AI243" s="34" t="s">
        <v>4470</v>
      </c>
      <c r="AJ243" s="34" t="s">
        <v>3599</v>
      </c>
      <c r="AK243" s="34" t="s">
        <v>4468</v>
      </c>
      <c r="AL243" s="34" t="s">
        <v>4478</v>
      </c>
      <c r="AM243" s="40" t="s">
        <v>8095</v>
      </c>
      <c r="AT243" s="44">
        <v>0</v>
      </c>
      <c r="AU243" s="44"/>
      <c r="AV243" s="46">
        <f>ROUND(Товары[[#This Row],[РРЦ финальная, руб.]]/$AU$1,2)</f>
        <v>0</v>
      </c>
      <c r="AW243" s="45" t="str">
        <f>IFERROR(Товары[[#This Row],[РРЦ, евро]]/Товары[[#This Row],[IRP, Eur]],"-")</f>
        <v>-</v>
      </c>
      <c r="AX243" s="42">
        <f>IFERROR(VLOOKUP(Товары[[#This Row],[SubGroup]],'Структура цен DIY'!$B:$C,2,FALSE),0)</f>
        <v>0.28999999999999998</v>
      </c>
      <c r="AY243" s="44">
        <v>0</v>
      </c>
    </row>
    <row r="244" spans="1:51" x14ac:dyDescent="0.25">
      <c r="A244" s="34">
        <v>242</v>
      </c>
      <c r="B244" s="34" t="s">
        <v>56</v>
      </c>
      <c r="C244" s="110" t="str">
        <f>IFERROR(INDEX(Структура_ассортимента[SuperCategory],MATCH(Товары[[#This Row],[SubGroup]],Структура_ассортимента[Subgroup],0)),"")</f>
        <v>A</v>
      </c>
      <c r="D24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4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44" s="110" t="str">
        <f>IFERROR(INDEX(Структура_ассортимента[Product group],MATCH(Товары[[#This Row],[SubGroup]],Структура_ассортимента[Subgroup],0)),"")</f>
        <v>AMC_C</v>
      </c>
      <c r="G244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44" s="110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44" s="36">
        <v>9231</v>
      </c>
      <c r="J244" s="36" t="str">
        <f>IFERROR(INDEX(Структура_ассортимента[Generic Name (long)],MATCH(Товары[[#This Row],[SubGroup]],Структура_ассортимента[Subgroup],0)),"")</f>
        <v>SHEAR, MANUAL</v>
      </c>
      <c r="L244" s="36">
        <v>901185901</v>
      </c>
      <c r="M244" s="35" t="s">
        <v>1928</v>
      </c>
      <c r="O244" s="35" t="s">
        <v>4482</v>
      </c>
      <c r="P244" s="37" t="s">
        <v>4483</v>
      </c>
      <c r="Q244" s="34" t="s">
        <v>3549</v>
      </c>
      <c r="R244" s="34" t="s">
        <v>3540</v>
      </c>
      <c r="S244" s="47">
        <v>39356</v>
      </c>
      <c r="T244" s="47">
        <v>0</v>
      </c>
      <c r="U244" s="47">
        <v>0</v>
      </c>
      <c r="V244" s="34">
        <v>4078500873307</v>
      </c>
      <c r="W244" s="34" t="s">
        <v>3548</v>
      </c>
      <c r="X244" s="34" t="s">
        <v>3579</v>
      </c>
      <c r="Y244" s="34" t="s">
        <v>3542</v>
      </c>
      <c r="Z244" s="34">
        <v>10</v>
      </c>
      <c r="AA244" s="34" t="s">
        <v>4484</v>
      </c>
      <c r="AB244" s="34" t="s">
        <v>4484</v>
      </c>
      <c r="AC244" s="34" t="s">
        <v>4485</v>
      </c>
      <c r="AD244" s="34" t="s">
        <v>4485</v>
      </c>
      <c r="AE244" s="34" t="s">
        <v>4467</v>
      </c>
      <c r="AF244" s="34" t="s">
        <v>4486</v>
      </c>
      <c r="AG244" s="34" t="s">
        <v>4468</v>
      </c>
      <c r="AH244" s="34" t="s">
        <v>4487</v>
      </c>
      <c r="AI244" s="34" t="s">
        <v>4470</v>
      </c>
      <c r="AJ244" s="34" t="s">
        <v>3599</v>
      </c>
      <c r="AK244" s="34" t="s">
        <v>4468</v>
      </c>
      <c r="AL244" s="34">
        <v>400</v>
      </c>
      <c r="AM244" s="40" t="s">
        <v>10</v>
      </c>
      <c r="AP244" s="34">
        <v>0</v>
      </c>
      <c r="AQ244" s="34">
        <v>2090</v>
      </c>
      <c r="AR244" s="34">
        <v>1219</v>
      </c>
      <c r="AT244" s="44">
        <v>161900</v>
      </c>
      <c r="AU244" s="44"/>
      <c r="AV244" s="46">
        <f>ROUND(Товары[[#This Row],[РРЦ финальная, руб.]]/$AU$1,2)</f>
        <v>0</v>
      </c>
      <c r="AW244" s="45" t="str">
        <f>IFERROR(Товары[[#This Row],[РРЦ, евро]]/Товары[[#This Row],[IRP, Eur]],"-")</f>
        <v>-</v>
      </c>
      <c r="AX244" s="42">
        <f>IFERROR(VLOOKUP(Товары[[#This Row],[SubGroup]],'Структура цен DIY'!$B:$C,2,FALSE),0)</f>
        <v>0.28999999999999998</v>
      </c>
      <c r="AY244" s="44">
        <v>0</v>
      </c>
    </row>
    <row r="245" spans="1:51" x14ac:dyDescent="0.25">
      <c r="A245" s="34">
        <v>243</v>
      </c>
      <c r="B245" s="34" t="s">
        <v>56</v>
      </c>
      <c r="C245" s="110" t="str">
        <f>IFERROR(INDEX(Структура_ассортимента[SuperCategory],MATCH(Товары[[#This Row],[SubGroup]],Структура_ассортимента[Subgroup],0)),"")</f>
        <v>A</v>
      </c>
      <c r="D24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4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45" s="110" t="str">
        <f>IFERROR(INDEX(Структура_ассортимента[Product group],MATCH(Товары[[#This Row],[SubGroup]],Структура_ассортимента[Subgroup],0)),"")</f>
        <v>AMC_C</v>
      </c>
      <c r="G245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45" s="110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45" s="36">
        <v>9231</v>
      </c>
      <c r="J245" s="36" t="str">
        <f>IFERROR(INDEX(Структура_ассортимента[Generic Name (long)],MATCH(Товары[[#This Row],[SubGroup]],Структура_ассортимента[Subgroup],0)),"")</f>
        <v>SHEAR, MANUAL</v>
      </c>
      <c r="L245" s="36">
        <v>901186001</v>
      </c>
      <c r="M245" s="35" t="s">
        <v>1929</v>
      </c>
      <c r="O245" s="35" t="s">
        <v>4488</v>
      </c>
      <c r="P245" s="37" t="s">
        <v>4483</v>
      </c>
      <c r="Q245" s="34" t="s">
        <v>3549</v>
      </c>
      <c r="R245" s="34" t="s">
        <v>3540</v>
      </c>
      <c r="S245" s="47">
        <v>39356</v>
      </c>
      <c r="T245" s="47">
        <v>0</v>
      </c>
      <c r="U245" s="47">
        <v>0</v>
      </c>
      <c r="V245" s="34">
        <v>4078500873390</v>
      </c>
      <c r="W245" s="34" t="s">
        <v>3548</v>
      </c>
      <c r="X245" s="34" t="s">
        <v>3579</v>
      </c>
      <c r="Y245" s="34" t="s">
        <v>3542</v>
      </c>
      <c r="Z245" s="34">
        <v>10</v>
      </c>
      <c r="AA245" s="34" t="s">
        <v>4489</v>
      </c>
      <c r="AB245" s="34" t="s">
        <v>4489</v>
      </c>
      <c r="AC245" s="34" t="s">
        <v>4417</v>
      </c>
      <c r="AD245" s="34" t="s">
        <v>4417</v>
      </c>
      <c r="AE245" s="34" t="s">
        <v>4467</v>
      </c>
      <c r="AF245" s="34" t="s">
        <v>4486</v>
      </c>
      <c r="AG245" s="34" t="s">
        <v>4468</v>
      </c>
      <c r="AH245" s="34" t="s">
        <v>4487</v>
      </c>
      <c r="AI245" s="34" t="s">
        <v>4470</v>
      </c>
      <c r="AJ245" s="34" t="s">
        <v>3599</v>
      </c>
      <c r="AK245" s="34" t="s">
        <v>4468</v>
      </c>
      <c r="AL245" s="34">
        <v>400</v>
      </c>
      <c r="AM245" s="40" t="s">
        <v>233</v>
      </c>
      <c r="AP245" s="34">
        <v>0</v>
      </c>
      <c r="AQ245" s="34">
        <v>2090</v>
      </c>
      <c r="AR245" s="34">
        <v>1219</v>
      </c>
      <c r="AT245" s="44">
        <v>161900</v>
      </c>
      <c r="AU245" s="44"/>
      <c r="AV245" s="46">
        <f>ROUND(Товары[[#This Row],[РРЦ финальная, руб.]]/$AU$1,2)</f>
        <v>0</v>
      </c>
      <c r="AW245" s="45" t="str">
        <f>IFERROR(Товары[[#This Row],[РРЦ, евро]]/Товары[[#This Row],[IRP, Eur]],"-")</f>
        <v>-</v>
      </c>
      <c r="AX245" s="42">
        <f>IFERROR(VLOOKUP(Товары[[#This Row],[SubGroup]],'Структура цен DIY'!$B:$C,2,FALSE),0)</f>
        <v>0.28999999999999998</v>
      </c>
      <c r="AY245" s="44">
        <v>0</v>
      </c>
    </row>
    <row r="246" spans="1:51" x14ac:dyDescent="0.25">
      <c r="A246" s="34">
        <v>244</v>
      </c>
      <c r="B246" s="34" t="s">
        <v>56</v>
      </c>
      <c r="C246" s="110" t="str">
        <f>IFERROR(INDEX(Структура_ассортимента[SuperCategory],MATCH(Товары[[#This Row],[SubGroup]],Структура_ассортимента[Subgroup],0)),"")</f>
        <v>A</v>
      </c>
      <c r="D24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4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46" s="110" t="str">
        <f>IFERROR(INDEX(Структура_ассортимента[Product group],MATCH(Товары[[#This Row],[SubGroup]],Структура_ассортимента[Subgroup],0)),"")</f>
        <v>AMC_C</v>
      </c>
      <c r="G246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46" s="110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46" s="36">
        <v>9231</v>
      </c>
      <c r="J246" s="36" t="str">
        <f>IFERROR(INDEX(Структура_ассортимента[Generic Name (long)],MATCH(Товары[[#This Row],[SubGroup]],Структура_ассортимента[Subgroup],0)),"")</f>
        <v>SHEAR, MANUAL</v>
      </c>
      <c r="L246" s="36">
        <v>901186101</v>
      </c>
      <c r="M246" s="35" t="s">
        <v>1930</v>
      </c>
      <c r="Q246" s="34" t="s">
        <v>3549</v>
      </c>
      <c r="R246" s="34" t="s">
        <v>3540</v>
      </c>
      <c r="S246" s="47">
        <v>39356</v>
      </c>
      <c r="T246" s="47">
        <v>0</v>
      </c>
      <c r="U246" s="47">
        <v>0</v>
      </c>
      <c r="V246" s="34">
        <v>4078500873345</v>
      </c>
      <c r="W246" s="34" t="s">
        <v>3548</v>
      </c>
      <c r="X246" s="34" t="s">
        <v>3579</v>
      </c>
      <c r="Y246" s="34" t="s">
        <v>3542</v>
      </c>
      <c r="Z246" s="34">
        <v>10</v>
      </c>
      <c r="AA246" s="34" t="s">
        <v>4140</v>
      </c>
      <c r="AB246" s="34" t="s">
        <v>4140</v>
      </c>
      <c r="AC246" s="34" t="s">
        <v>4140</v>
      </c>
      <c r="AD246" s="34" t="s">
        <v>4140</v>
      </c>
      <c r="AE246" s="34" t="s">
        <v>4490</v>
      </c>
      <c r="AF246" s="34" t="s">
        <v>3575</v>
      </c>
      <c r="AG246" s="34" t="s">
        <v>3931</v>
      </c>
      <c r="AH246" s="34" t="s">
        <v>4491</v>
      </c>
      <c r="AI246" s="34" t="s">
        <v>4470</v>
      </c>
      <c r="AJ246" s="34" t="s">
        <v>3599</v>
      </c>
      <c r="AK246" s="34" t="s">
        <v>4468</v>
      </c>
      <c r="AL246" s="34">
        <v>400</v>
      </c>
      <c r="AM246" s="40" t="s">
        <v>8095</v>
      </c>
      <c r="AT246" s="44">
        <v>0</v>
      </c>
      <c r="AU246" s="44"/>
      <c r="AV246" s="46">
        <f>ROUND(Товары[[#This Row],[РРЦ финальная, руб.]]/$AU$1,2)</f>
        <v>0</v>
      </c>
      <c r="AW246" s="45" t="str">
        <f>IFERROR(Товары[[#This Row],[РРЦ, евро]]/Товары[[#This Row],[IRP, Eur]],"-")</f>
        <v>-</v>
      </c>
      <c r="AX246" s="42">
        <f>IFERROR(VLOOKUP(Товары[[#This Row],[SubGroup]],'Структура цен DIY'!$B:$C,2,FALSE),0)</f>
        <v>0.28999999999999998</v>
      </c>
      <c r="AY246" s="44">
        <v>0</v>
      </c>
    </row>
    <row r="247" spans="1:51" x14ac:dyDescent="0.25">
      <c r="A247" s="34">
        <v>245</v>
      </c>
      <c r="B247" s="34" t="s">
        <v>56</v>
      </c>
      <c r="C247" s="110" t="str">
        <f>IFERROR(INDEX(Структура_ассортимента[SuperCategory],MATCH(Товары[[#This Row],[SubGroup]],Структура_ассортимента[Subgroup],0)),"")</f>
        <v>A</v>
      </c>
      <c r="D24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4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47" s="110" t="str">
        <f>IFERROR(INDEX(Структура_ассортимента[Product group],MATCH(Товары[[#This Row],[SubGroup]],Структура_ассортимента[Subgroup],0)),"")</f>
        <v>AMC_C</v>
      </c>
      <c r="G247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47" s="110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47" s="36">
        <v>9231</v>
      </c>
      <c r="J247" s="36" t="str">
        <f>IFERROR(INDEX(Структура_ассортимента[Generic Name (long)],MATCH(Товары[[#This Row],[SubGroup]],Структура_ассортимента[Subgroup],0)),"")</f>
        <v>SHEAR, MANUAL</v>
      </c>
      <c r="L247" s="36">
        <v>901186201</v>
      </c>
      <c r="M247" s="35" t="s">
        <v>1931</v>
      </c>
      <c r="O247" s="35" t="s">
        <v>4492</v>
      </c>
      <c r="P247" s="37" t="s">
        <v>4493</v>
      </c>
      <c r="Q247" s="34" t="s">
        <v>3549</v>
      </c>
      <c r="R247" s="34" t="s">
        <v>3540</v>
      </c>
      <c r="S247" s="47">
        <v>39356</v>
      </c>
      <c r="T247" s="47">
        <v>0</v>
      </c>
      <c r="U247" s="47">
        <v>0</v>
      </c>
      <c r="V247" s="34">
        <v>4078500873406</v>
      </c>
      <c r="W247" s="34" t="s">
        <v>3548</v>
      </c>
      <c r="X247" s="34" t="s">
        <v>3579</v>
      </c>
      <c r="Y247" s="34" t="s">
        <v>3542</v>
      </c>
      <c r="Z247" s="34">
        <v>10</v>
      </c>
      <c r="AA247" s="34" t="s">
        <v>3750</v>
      </c>
      <c r="AB247" s="34" t="s">
        <v>3750</v>
      </c>
      <c r="AC247" s="34" t="s">
        <v>4480</v>
      </c>
      <c r="AD247" s="34" t="s">
        <v>4480</v>
      </c>
      <c r="AE247" s="34" t="s">
        <v>4467</v>
      </c>
      <c r="AF247" s="34" t="s">
        <v>4486</v>
      </c>
      <c r="AG247" s="34" t="s">
        <v>4468</v>
      </c>
      <c r="AH247" s="34" t="s">
        <v>4487</v>
      </c>
      <c r="AI247" s="34" t="s">
        <v>4470</v>
      </c>
      <c r="AJ247" s="34" t="s">
        <v>3599</v>
      </c>
      <c r="AK247" s="34" t="s">
        <v>4468</v>
      </c>
      <c r="AL247" s="34">
        <v>400</v>
      </c>
      <c r="AM247" s="40" t="s">
        <v>9</v>
      </c>
      <c r="AP247" s="34">
        <v>0</v>
      </c>
      <c r="AQ247" s="34">
        <v>2290</v>
      </c>
      <c r="AR247" s="34">
        <v>1336</v>
      </c>
      <c r="AT247" s="44">
        <v>177400</v>
      </c>
      <c r="AU247" s="44"/>
      <c r="AV247" s="46">
        <f>ROUND(Товары[[#This Row],[РРЦ финальная, руб.]]/$AU$1,2)</f>
        <v>0</v>
      </c>
      <c r="AW247" s="45" t="str">
        <f>IFERROR(Товары[[#This Row],[РРЦ, евро]]/Товары[[#This Row],[IRP, Eur]],"-")</f>
        <v>-</v>
      </c>
      <c r="AX247" s="42">
        <f>IFERROR(VLOOKUP(Товары[[#This Row],[SubGroup]],'Структура цен DIY'!$B:$C,2,FALSE),0)</f>
        <v>0.28999999999999998</v>
      </c>
      <c r="AY247" s="44">
        <v>0</v>
      </c>
    </row>
    <row r="248" spans="1:51" x14ac:dyDescent="0.25">
      <c r="A248" s="34">
        <v>246</v>
      </c>
      <c r="B248" s="34" t="s">
        <v>56</v>
      </c>
      <c r="C248" s="110" t="str">
        <f>IFERROR(INDEX(Структура_ассортимента[SuperCategory],MATCH(Товары[[#This Row],[SubGroup]],Структура_ассортимента[Subgroup],0)),"")</f>
        <v>A</v>
      </c>
      <c r="D24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4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48" s="110" t="str">
        <f>IFERROR(INDEX(Структура_ассортимента[Product group],MATCH(Товары[[#This Row],[SubGroup]],Структура_ассортимента[Subgroup],0)),"")</f>
        <v>AMC_C</v>
      </c>
      <c r="G248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48" s="110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48" s="36">
        <v>9231</v>
      </c>
      <c r="J248" s="36" t="str">
        <f>IFERROR(INDEX(Структура_ассортимента[Generic Name (long)],MATCH(Товары[[#This Row],[SubGroup]],Структура_ассортимента[Subgroup],0)),"")</f>
        <v>SHEAR, MANUAL</v>
      </c>
      <c r="L248" s="36">
        <v>901186301</v>
      </c>
      <c r="M248" s="35" t="s">
        <v>1932</v>
      </c>
      <c r="Q248" s="34" t="s">
        <v>3549</v>
      </c>
      <c r="R248" s="34" t="s">
        <v>3540</v>
      </c>
      <c r="S248" s="47">
        <v>39356</v>
      </c>
      <c r="T248" s="47">
        <v>0</v>
      </c>
      <c r="U248" s="47">
        <v>0</v>
      </c>
      <c r="V248" s="34">
        <v>4078500873444</v>
      </c>
      <c r="W248" s="34" t="s">
        <v>3548</v>
      </c>
      <c r="X248" s="34" t="s">
        <v>3579</v>
      </c>
      <c r="Y248" s="34" t="s">
        <v>3542</v>
      </c>
      <c r="Z248" s="34">
        <v>10</v>
      </c>
      <c r="AA248" s="34" t="s">
        <v>4140</v>
      </c>
      <c r="AB248" s="34" t="s">
        <v>4140</v>
      </c>
      <c r="AC248" s="34" t="s">
        <v>4140</v>
      </c>
      <c r="AD248" s="34" t="s">
        <v>4140</v>
      </c>
      <c r="AE248" s="34" t="s">
        <v>4490</v>
      </c>
      <c r="AF248" s="34" t="s">
        <v>3575</v>
      </c>
      <c r="AG248" s="34" t="s">
        <v>3931</v>
      </c>
      <c r="AH248" s="34" t="s">
        <v>4491</v>
      </c>
      <c r="AI248" s="34" t="s">
        <v>4470</v>
      </c>
      <c r="AJ248" s="34" t="s">
        <v>3599</v>
      </c>
      <c r="AK248" s="34" t="s">
        <v>4468</v>
      </c>
      <c r="AL248" s="34">
        <v>400</v>
      </c>
      <c r="AM248" s="40" t="s">
        <v>8095</v>
      </c>
      <c r="AT248" s="44">
        <v>0</v>
      </c>
      <c r="AU248" s="44"/>
      <c r="AV248" s="46">
        <f>ROUND(Товары[[#This Row],[РРЦ финальная, руб.]]/$AU$1,2)</f>
        <v>0</v>
      </c>
      <c r="AW248" s="45" t="str">
        <f>IFERROR(Товары[[#This Row],[РРЦ, евро]]/Товары[[#This Row],[IRP, Eur]],"-")</f>
        <v>-</v>
      </c>
      <c r="AX248" s="42">
        <f>IFERROR(VLOOKUP(Товары[[#This Row],[SubGroup]],'Структура цен DIY'!$B:$C,2,FALSE),0)</f>
        <v>0.28999999999999998</v>
      </c>
      <c r="AY248" s="44">
        <v>0</v>
      </c>
    </row>
    <row r="249" spans="1:51" x14ac:dyDescent="0.25">
      <c r="A249" s="34">
        <v>247</v>
      </c>
      <c r="B249" s="34" t="s">
        <v>56</v>
      </c>
      <c r="C249" s="110" t="str">
        <f>IFERROR(INDEX(Структура_ассортимента[SuperCategory],MATCH(Товары[[#This Row],[SubGroup]],Структура_ассортимента[Subgroup],0)),"")</f>
        <v>A</v>
      </c>
      <c r="D24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4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49" s="110" t="str">
        <f>IFERROR(INDEX(Структура_ассортимента[Product group],MATCH(Товары[[#This Row],[SubGroup]],Структура_ассортимента[Subgroup],0)),"")</f>
        <v>AMC_C</v>
      </c>
      <c r="G249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49" s="110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49" s="36">
        <v>9231</v>
      </c>
      <c r="J249" s="36" t="str">
        <f>IFERROR(INDEX(Структура_ассортимента[Generic Name (long)],MATCH(Товары[[#This Row],[SubGroup]],Структура_ассортимента[Subgroup],0)),"")</f>
        <v>SHEAR, MANUAL</v>
      </c>
      <c r="L249" s="36">
        <v>901186401</v>
      </c>
      <c r="M249" s="35" t="s">
        <v>1933</v>
      </c>
      <c r="O249" s="35" t="s">
        <v>4494</v>
      </c>
      <c r="P249" s="37" t="s">
        <v>4495</v>
      </c>
      <c r="Q249" s="34" t="s">
        <v>3549</v>
      </c>
      <c r="R249" s="34" t="s">
        <v>3540</v>
      </c>
      <c r="S249" s="47">
        <v>39356</v>
      </c>
      <c r="T249" s="47">
        <v>0</v>
      </c>
      <c r="U249" s="47">
        <v>0</v>
      </c>
      <c r="V249" s="34">
        <v>4078500873505</v>
      </c>
      <c r="W249" s="34" t="s">
        <v>3548</v>
      </c>
      <c r="X249" s="34" t="s">
        <v>3579</v>
      </c>
      <c r="Y249" s="34" t="s">
        <v>3542</v>
      </c>
      <c r="Z249" s="34">
        <v>10</v>
      </c>
      <c r="AA249" s="34" t="s">
        <v>4496</v>
      </c>
      <c r="AB249" s="34" t="s">
        <v>4496</v>
      </c>
      <c r="AC249" s="34" t="s">
        <v>4497</v>
      </c>
      <c r="AD249" s="34" t="s">
        <v>4497</v>
      </c>
      <c r="AE249" s="34" t="s">
        <v>4467</v>
      </c>
      <c r="AF249" s="34" t="s">
        <v>4486</v>
      </c>
      <c r="AG249" s="34" t="s">
        <v>4468</v>
      </c>
      <c r="AH249" s="34" t="s">
        <v>4487</v>
      </c>
      <c r="AI249" s="34" t="s">
        <v>4498</v>
      </c>
      <c r="AJ249" s="34" t="s">
        <v>4499</v>
      </c>
      <c r="AK249" s="34" t="s">
        <v>4468</v>
      </c>
      <c r="AL249" s="34">
        <v>400</v>
      </c>
      <c r="AM249" s="40" t="s">
        <v>10</v>
      </c>
      <c r="AP249" s="34">
        <v>0</v>
      </c>
      <c r="AQ249" s="34">
        <v>3290</v>
      </c>
      <c r="AR249" s="34">
        <v>1919</v>
      </c>
      <c r="AT249" s="44">
        <v>254800</v>
      </c>
      <c r="AU249" s="44"/>
      <c r="AV249" s="46">
        <f>ROUND(Товары[[#This Row],[РРЦ финальная, руб.]]/$AU$1,2)</f>
        <v>0</v>
      </c>
      <c r="AW249" s="45" t="str">
        <f>IFERROR(Товары[[#This Row],[РРЦ, евро]]/Товары[[#This Row],[IRP, Eur]],"-")</f>
        <v>-</v>
      </c>
      <c r="AX249" s="42">
        <f>IFERROR(VLOOKUP(Товары[[#This Row],[SubGroup]],'Структура цен DIY'!$B:$C,2,FALSE),0)</f>
        <v>0.28999999999999998</v>
      </c>
      <c r="AY249" s="44">
        <v>0</v>
      </c>
    </row>
    <row r="250" spans="1:51" x14ac:dyDescent="0.25">
      <c r="A250" s="34">
        <v>248</v>
      </c>
      <c r="B250" s="34" t="s">
        <v>56</v>
      </c>
      <c r="C250" s="110" t="str">
        <f>IFERROR(INDEX(Структура_ассортимента[SuperCategory],MATCH(Товары[[#This Row],[SubGroup]],Структура_ассортимента[Subgroup],0)),"")</f>
        <v>A</v>
      </c>
      <c r="D25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5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50" s="110" t="str">
        <f>IFERROR(INDEX(Структура_ассортимента[Product group],MATCH(Товары[[#This Row],[SubGroup]],Структура_ассортимента[Subgroup],0)),"")</f>
        <v>AMC_C</v>
      </c>
      <c r="G250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50" s="110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50" s="36">
        <v>9231</v>
      </c>
      <c r="J250" s="36" t="str">
        <f>IFERROR(INDEX(Структура_ассортимента[Generic Name (long)],MATCH(Товары[[#This Row],[SubGroup]],Структура_ассортимента[Subgroup],0)),"")</f>
        <v>SHEAR, MANUAL</v>
      </c>
      <c r="L250" s="36">
        <v>901186501</v>
      </c>
      <c r="M250" s="35" t="s">
        <v>1934</v>
      </c>
      <c r="O250" s="35" t="s">
        <v>4500</v>
      </c>
      <c r="P250" s="37" t="s">
        <v>4495</v>
      </c>
      <c r="Q250" s="34" t="s">
        <v>3549</v>
      </c>
      <c r="R250" s="34" t="s">
        <v>3540</v>
      </c>
      <c r="S250" s="47">
        <v>39356</v>
      </c>
      <c r="T250" s="47">
        <v>0</v>
      </c>
      <c r="U250" s="47">
        <v>0</v>
      </c>
      <c r="V250" s="34">
        <v>4078500873598</v>
      </c>
      <c r="W250" s="34" t="s">
        <v>3548</v>
      </c>
      <c r="X250" s="34" t="s">
        <v>3579</v>
      </c>
      <c r="Y250" s="34" t="s">
        <v>3542</v>
      </c>
      <c r="Z250" s="34">
        <v>10</v>
      </c>
      <c r="AA250" s="34" t="s">
        <v>4501</v>
      </c>
      <c r="AB250" s="34" t="s">
        <v>4501</v>
      </c>
      <c r="AC250" s="34" t="s">
        <v>4502</v>
      </c>
      <c r="AD250" s="34" t="s">
        <v>4502</v>
      </c>
      <c r="AE250" s="34" t="s">
        <v>4467</v>
      </c>
      <c r="AF250" s="34" t="s">
        <v>4486</v>
      </c>
      <c r="AG250" s="34" t="s">
        <v>4468</v>
      </c>
      <c r="AH250" s="34" t="s">
        <v>4487</v>
      </c>
      <c r="AI250" s="34" t="s">
        <v>4498</v>
      </c>
      <c r="AJ250" s="34" t="s">
        <v>4499</v>
      </c>
      <c r="AK250" s="34" t="s">
        <v>4468</v>
      </c>
      <c r="AL250" s="34">
        <v>400</v>
      </c>
      <c r="AM250" s="40" t="s">
        <v>233</v>
      </c>
      <c r="AP250" s="34">
        <v>0</v>
      </c>
      <c r="AQ250" s="34">
        <v>3190</v>
      </c>
      <c r="AR250" s="34">
        <v>1861</v>
      </c>
      <c r="AT250" s="44">
        <v>247100</v>
      </c>
      <c r="AU250" s="44"/>
      <c r="AV250" s="46">
        <f>ROUND(Товары[[#This Row],[РРЦ финальная, руб.]]/$AU$1,2)</f>
        <v>0</v>
      </c>
      <c r="AW250" s="45" t="str">
        <f>IFERROR(Товары[[#This Row],[РРЦ, евро]]/Товары[[#This Row],[IRP, Eur]],"-")</f>
        <v>-</v>
      </c>
      <c r="AX250" s="42">
        <f>IFERROR(VLOOKUP(Товары[[#This Row],[SubGroup]],'Структура цен DIY'!$B:$C,2,FALSE),0)</f>
        <v>0.28999999999999998</v>
      </c>
      <c r="AY250" s="44">
        <v>0</v>
      </c>
    </row>
    <row r="251" spans="1:51" x14ac:dyDescent="0.25">
      <c r="A251" s="34">
        <v>249</v>
      </c>
      <c r="B251" s="34" t="s">
        <v>56</v>
      </c>
      <c r="C251" s="110" t="str">
        <f>IFERROR(INDEX(Структура_ассортимента[SuperCategory],MATCH(Товары[[#This Row],[SubGroup]],Структура_ассортимента[Subgroup],0)),"")</f>
        <v>A</v>
      </c>
      <c r="D25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5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51" s="110" t="str">
        <f>IFERROR(INDEX(Структура_ассортимента[Product group],MATCH(Товары[[#This Row],[SubGroup]],Структура_ассортимента[Subgroup],0)),"")</f>
        <v>AMC_C</v>
      </c>
      <c r="G251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51" s="110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51" s="36">
        <v>9231</v>
      </c>
      <c r="J251" s="36" t="str">
        <f>IFERROR(INDEX(Структура_ассортимента[Generic Name (long)],MATCH(Товары[[#This Row],[SubGroup]],Структура_ассортимента[Subgroup],0)),"")</f>
        <v>SHEAR, MANUAL</v>
      </c>
      <c r="L251" s="36">
        <v>901186601</v>
      </c>
      <c r="M251" s="35" t="s">
        <v>1935</v>
      </c>
      <c r="Q251" s="34" t="s">
        <v>3549</v>
      </c>
      <c r="R251" s="34" t="s">
        <v>3540</v>
      </c>
      <c r="S251" s="47">
        <v>39356</v>
      </c>
      <c r="T251" s="47">
        <v>0</v>
      </c>
      <c r="U251" s="47">
        <v>0</v>
      </c>
      <c r="V251" s="34">
        <v>4078500873543</v>
      </c>
      <c r="W251" s="34" t="s">
        <v>3548</v>
      </c>
      <c r="X251" s="34" t="s">
        <v>3579</v>
      </c>
      <c r="Y251" s="34" t="s">
        <v>3542</v>
      </c>
      <c r="Z251" s="34">
        <v>10</v>
      </c>
      <c r="AA251" s="34" t="s">
        <v>4503</v>
      </c>
      <c r="AB251" s="34" t="s">
        <v>4503</v>
      </c>
      <c r="AC251" s="34" t="s">
        <v>4136</v>
      </c>
      <c r="AD251" s="34" t="s">
        <v>4136</v>
      </c>
      <c r="AE251" s="34" t="s">
        <v>4504</v>
      </c>
      <c r="AF251" s="34" t="s">
        <v>4505</v>
      </c>
      <c r="AG251" s="34" t="s">
        <v>3931</v>
      </c>
      <c r="AH251" s="34" t="s">
        <v>4506</v>
      </c>
      <c r="AI251" s="34" t="s">
        <v>4498</v>
      </c>
      <c r="AJ251" s="34" t="s">
        <v>4499</v>
      </c>
      <c r="AK251" s="34" t="s">
        <v>4468</v>
      </c>
      <c r="AL251" s="34">
        <v>270</v>
      </c>
      <c r="AM251" s="40" t="s">
        <v>8095</v>
      </c>
      <c r="AT251" s="44">
        <v>0</v>
      </c>
      <c r="AU251" s="44"/>
      <c r="AV251" s="46">
        <f>ROUND(Товары[[#This Row],[РРЦ финальная, руб.]]/$AU$1,2)</f>
        <v>0</v>
      </c>
      <c r="AW251" s="45" t="str">
        <f>IFERROR(Товары[[#This Row],[РРЦ, евро]]/Товары[[#This Row],[IRP, Eur]],"-")</f>
        <v>-</v>
      </c>
      <c r="AX251" s="42">
        <f>IFERROR(VLOOKUP(Товары[[#This Row],[SubGroup]],'Структура цен DIY'!$B:$C,2,FALSE),0)</f>
        <v>0.28999999999999998</v>
      </c>
      <c r="AY251" s="44">
        <v>0</v>
      </c>
    </row>
    <row r="252" spans="1:51" x14ac:dyDescent="0.25">
      <c r="A252" s="34">
        <v>250</v>
      </c>
      <c r="B252" s="34" t="s">
        <v>56</v>
      </c>
      <c r="C252" s="110" t="str">
        <f>IFERROR(INDEX(Структура_ассортимента[SuperCategory],MATCH(Товары[[#This Row],[SubGroup]],Структура_ассортимента[Subgroup],0)),"")</f>
        <v>A</v>
      </c>
      <c r="D25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5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52" s="110" t="str">
        <f>IFERROR(INDEX(Структура_ассортимента[Product group],MATCH(Товары[[#This Row],[SubGroup]],Структура_ассортимента[Subgroup],0)),"")</f>
        <v>AMC_C</v>
      </c>
      <c r="G252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52" s="110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52" s="36">
        <v>9231</v>
      </c>
      <c r="J252" s="36" t="str">
        <f>IFERROR(INDEX(Структура_ассортимента[Generic Name (long)],MATCH(Товары[[#This Row],[SubGroup]],Структура_ассортимента[Subgroup],0)),"")</f>
        <v>SHEAR, MANUAL</v>
      </c>
      <c r="L252" s="36">
        <v>967670501</v>
      </c>
      <c r="M252" s="35" t="s">
        <v>1936</v>
      </c>
      <c r="O252" s="35" t="s">
        <v>4507</v>
      </c>
      <c r="P252" s="37" t="s">
        <v>4508</v>
      </c>
      <c r="Q252" s="34" t="s">
        <v>3549</v>
      </c>
      <c r="R252" s="34" t="s">
        <v>3540</v>
      </c>
      <c r="S252" s="47">
        <v>43101</v>
      </c>
      <c r="T252" s="47">
        <v>0</v>
      </c>
      <c r="U252" s="47">
        <v>0</v>
      </c>
      <c r="V252" s="34">
        <v>4078500032278</v>
      </c>
      <c r="W252" s="34" t="s">
        <v>3546</v>
      </c>
      <c r="X252" s="34" t="s">
        <v>3787</v>
      </c>
      <c r="Y252" s="34" t="s">
        <v>3542</v>
      </c>
      <c r="Z252" s="34">
        <v>5</v>
      </c>
      <c r="AB252" s="34" t="s">
        <v>4509</v>
      </c>
      <c r="AD252" s="34" t="s">
        <v>4264</v>
      </c>
      <c r="AE252" s="34" t="s">
        <v>4314</v>
      </c>
      <c r="AF252" s="34" t="s">
        <v>4510</v>
      </c>
      <c r="AG252" s="34" t="s">
        <v>3800</v>
      </c>
      <c r="AH252" s="34" t="s">
        <v>4511</v>
      </c>
      <c r="AI252" s="34" t="s">
        <v>4512</v>
      </c>
      <c r="AJ252" s="34" t="s">
        <v>4174</v>
      </c>
      <c r="AK252" s="34" t="s">
        <v>4381</v>
      </c>
      <c r="AL252" s="34" t="s">
        <v>4513</v>
      </c>
      <c r="AM252" s="40" t="s">
        <v>9</v>
      </c>
      <c r="AP252" s="34">
        <v>0</v>
      </c>
      <c r="AQ252" s="34">
        <v>4190</v>
      </c>
      <c r="AR252" s="34">
        <v>2514</v>
      </c>
      <c r="AT252" s="44">
        <v>324500</v>
      </c>
      <c r="AU252" s="44"/>
      <c r="AV252" s="46">
        <f>ROUND(Товары[[#This Row],[РРЦ финальная, руб.]]/$AU$1,2)</f>
        <v>0</v>
      </c>
      <c r="AW252" s="45" t="str">
        <f>IFERROR(Товары[[#This Row],[РРЦ, евро]]/Товары[[#This Row],[IRP, Eur]],"-")</f>
        <v>-</v>
      </c>
      <c r="AX252" s="42">
        <f>IFERROR(VLOOKUP(Товары[[#This Row],[SubGroup]],'Структура цен DIY'!$B:$C,2,FALSE),0)</f>
        <v>0.28999999999999998</v>
      </c>
      <c r="AY252" s="44">
        <v>0</v>
      </c>
    </row>
    <row r="253" spans="1:51" x14ac:dyDescent="0.25">
      <c r="A253" s="34">
        <v>251</v>
      </c>
      <c r="B253" s="34" t="s">
        <v>56</v>
      </c>
      <c r="C253" s="110" t="str">
        <f>IFERROR(INDEX(Структура_ассортимента[SuperCategory],MATCH(Товары[[#This Row],[SubGroup]],Структура_ассортимента[Subgroup],0)),"")</f>
        <v>A</v>
      </c>
      <c r="D25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5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53" s="110" t="str">
        <f>IFERROR(INDEX(Структура_ассортимента[Product group],MATCH(Товары[[#This Row],[SubGroup]],Структура_ассортимента[Subgroup],0)),"")</f>
        <v>AMC_C</v>
      </c>
      <c r="G253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53" s="110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53" s="36">
        <v>9231</v>
      </c>
      <c r="J253" s="36" t="str">
        <f>IFERROR(INDEX(Структура_ассортимента[Generic Name (long)],MATCH(Товары[[#This Row],[SubGroup]],Структура_ассортимента[Subgroup],0)),"")</f>
        <v>SHEAR, MANUAL</v>
      </c>
      <c r="L253" s="36">
        <v>967672401</v>
      </c>
      <c r="M253" s="35" t="s">
        <v>1937</v>
      </c>
      <c r="Q253" s="34" t="s">
        <v>3549</v>
      </c>
      <c r="R253" s="34" t="s">
        <v>3540</v>
      </c>
      <c r="S253" s="47">
        <v>43101</v>
      </c>
      <c r="T253" s="47">
        <v>0</v>
      </c>
      <c r="U253" s="47">
        <v>0</v>
      </c>
      <c r="V253" s="34">
        <v>4078500032292</v>
      </c>
      <c r="W253" s="34" t="s">
        <v>3543</v>
      </c>
      <c r="X253" s="34" t="s">
        <v>3787</v>
      </c>
      <c r="Y253" s="34" t="s">
        <v>3542</v>
      </c>
      <c r="Z253" s="34">
        <v>20</v>
      </c>
      <c r="AB253" s="34" t="s">
        <v>4509</v>
      </c>
      <c r="AD253" s="34" t="s">
        <v>4264</v>
      </c>
      <c r="AE253" s="34" t="s">
        <v>4314</v>
      </c>
      <c r="AF253" s="34" t="s">
        <v>4510</v>
      </c>
      <c r="AG253" s="34" t="s">
        <v>3800</v>
      </c>
      <c r="AH253" s="34" t="s">
        <v>4511</v>
      </c>
      <c r="AI253" s="34" t="s">
        <v>4512</v>
      </c>
      <c r="AJ253" s="34" t="s">
        <v>4174</v>
      </c>
      <c r="AK253" s="34" t="s">
        <v>4381</v>
      </c>
      <c r="AL253" s="34" t="s">
        <v>4514</v>
      </c>
      <c r="AM253" s="40" t="s">
        <v>8095</v>
      </c>
      <c r="AT253" s="44">
        <v>0</v>
      </c>
      <c r="AU253" s="44"/>
      <c r="AV253" s="46">
        <f>ROUND(Товары[[#This Row],[РРЦ финальная, руб.]]/$AU$1,2)</f>
        <v>0</v>
      </c>
      <c r="AW253" s="45" t="str">
        <f>IFERROR(Товары[[#This Row],[РРЦ, евро]]/Товары[[#This Row],[IRP, Eur]],"-")</f>
        <v>-</v>
      </c>
      <c r="AX253" s="42">
        <f>IFERROR(VLOOKUP(Товары[[#This Row],[SubGroup]],'Структура цен DIY'!$B:$C,2,FALSE),0)</f>
        <v>0.28999999999999998</v>
      </c>
      <c r="AY253" s="44">
        <v>0</v>
      </c>
    </row>
    <row r="254" spans="1:51" x14ac:dyDescent="0.25">
      <c r="A254" s="34">
        <v>252</v>
      </c>
      <c r="B254" s="34" t="s">
        <v>56</v>
      </c>
      <c r="C254" s="110" t="str">
        <f>IFERROR(INDEX(Структура_ассортимента[SuperCategory],MATCH(Товары[[#This Row],[SubGroup]],Структура_ассортимента[Subgroup],0)),"")</f>
        <v>A</v>
      </c>
      <c r="D25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5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54" s="110" t="str">
        <f>IFERROR(INDEX(Структура_ассортимента[Product group],MATCH(Товары[[#This Row],[SubGroup]],Структура_ассортимента[Subgroup],0)),"")</f>
        <v>AMC_C</v>
      </c>
      <c r="G254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54" s="110" t="str">
        <f>IFERROR(INDEX(Структура_ассортимента[Generic Name (long)3],MATCH(Товары[[#This Row],[SubGroup]],Структура_ассортимента[Subgroup],0)),"")</f>
        <v>Топоры, колуны</v>
      </c>
      <c r="I254" s="36">
        <v>9215</v>
      </c>
      <c r="J254" s="36" t="str">
        <f>IFERROR(INDEX(Структура_ассортимента[Generic Name (long)],MATCH(Товары[[#This Row],[SubGroup]],Структура_ассортимента[Subgroup],0)),"")</f>
        <v>CHOPPER</v>
      </c>
      <c r="L254" s="36">
        <v>967957001</v>
      </c>
      <c r="M254" s="35" t="s">
        <v>1938</v>
      </c>
      <c r="O254" s="35" t="s">
        <v>4515</v>
      </c>
      <c r="P254" s="37" t="s">
        <v>4516</v>
      </c>
      <c r="Q254" s="34" t="s">
        <v>3549</v>
      </c>
      <c r="R254" s="34" t="s">
        <v>3540</v>
      </c>
      <c r="S254" s="47">
        <v>43466</v>
      </c>
      <c r="T254" s="47">
        <v>0</v>
      </c>
      <c r="U254" s="47">
        <v>0</v>
      </c>
      <c r="V254" s="34">
        <v>4078500046718</v>
      </c>
      <c r="W254" s="34" t="s">
        <v>3543</v>
      </c>
      <c r="X254" s="34" t="s">
        <v>3551</v>
      </c>
      <c r="Y254" s="34" t="s">
        <v>3542</v>
      </c>
      <c r="Z254" s="34">
        <v>4</v>
      </c>
      <c r="AB254" s="34" t="s">
        <v>4517</v>
      </c>
      <c r="AD254" s="34" t="s">
        <v>3734</v>
      </c>
      <c r="AE254" s="34" t="s">
        <v>3590</v>
      </c>
      <c r="AF254" s="34" t="s">
        <v>4391</v>
      </c>
      <c r="AG254" s="34" t="s">
        <v>3711</v>
      </c>
      <c r="AH254" s="34" t="s">
        <v>4518</v>
      </c>
      <c r="AI254" s="34" t="s">
        <v>3920</v>
      </c>
      <c r="AJ254" s="34" t="s">
        <v>3711</v>
      </c>
      <c r="AK254" s="34" t="s">
        <v>4181</v>
      </c>
      <c r="AL254" s="34" t="s">
        <v>4433</v>
      </c>
      <c r="AM254" s="40" t="s">
        <v>9</v>
      </c>
      <c r="AP254" s="34">
        <v>0</v>
      </c>
      <c r="AQ254" s="34">
        <v>990</v>
      </c>
      <c r="AR254" s="34">
        <v>536</v>
      </c>
      <c r="AT254" s="44">
        <v>76700</v>
      </c>
      <c r="AU254" s="44"/>
      <c r="AV254" s="46">
        <f>ROUND(Товары[[#This Row],[РРЦ финальная, руб.]]/$AU$1,2)</f>
        <v>0</v>
      </c>
      <c r="AW254" s="45" t="str">
        <f>IFERROR(Товары[[#This Row],[РРЦ, евро]]/Товары[[#This Row],[IRP, Eur]],"-")</f>
        <v>-</v>
      </c>
      <c r="AX254" s="42">
        <f>IFERROR(VLOOKUP(Товары[[#This Row],[SubGroup]],'Структура цен DIY'!$B:$C,2,FALSE),0)</f>
        <v>0.34</v>
      </c>
      <c r="AY254" s="44">
        <v>0</v>
      </c>
    </row>
    <row r="255" spans="1:51" x14ac:dyDescent="0.25">
      <c r="A255" s="34">
        <v>253</v>
      </c>
      <c r="B255" s="34" t="s">
        <v>56</v>
      </c>
      <c r="C255" s="110" t="str">
        <f>IFERROR(INDEX(Структура_ассортимента[SuperCategory],MATCH(Товары[[#This Row],[SubGroup]],Структура_ассортимента[Subgroup],0)),"")</f>
        <v>A</v>
      </c>
      <c r="D25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5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55" s="110" t="str">
        <f>IFERROR(INDEX(Структура_ассортимента[Product group],MATCH(Товары[[#This Row],[SubGroup]],Структура_ассортимента[Subgroup],0)),"")</f>
        <v>AMC_C</v>
      </c>
      <c r="G255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55" s="110" t="str">
        <f>IFERROR(INDEX(Структура_ассортимента[Generic Name (long)3],MATCH(Товары[[#This Row],[SubGroup]],Структура_ассортимента[Subgroup],0)),"")</f>
        <v>Секаторы</v>
      </c>
      <c r="I255" s="36">
        <v>9211</v>
      </c>
      <c r="J255" s="36" t="str">
        <f>IFERROR(INDEX(Структура_ассортимента[Generic Name (long)],MATCH(Товары[[#This Row],[SubGroup]],Структура_ассортимента[Subgroup],0)),"")</f>
        <v>SECATEUR, ANVIL</v>
      </c>
      <c r="L255" s="36">
        <v>970446201</v>
      </c>
      <c r="M255" s="35" t="s">
        <v>1939</v>
      </c>
      <c r="Q255" s="34" t="s">
        <v>3549</v>
      </c>
      <c r="R255" s="34" t="s">
        <v>3540</v>
      </c>
      <c r="S255" s="47">
        <v>43831</v>
      </c>
      <c r="T255" s="47">
        <v>0</v>
      </c>
      <c r="U255" s="47">
        <v>0</v>
      </c>
      <c r="V255" s="34">
        <v>4078500050135</v>
      </c>
      <c r="W255" s="34" t="s">
        <v>3548</v>
      </c>
      <c r="X255" s="34" t="s">
        <v>3579</v>
      </c>
      <c r="Y255" s="34" t="s">
        <v>3542</v>
      </c>
      <c r="Z255" s="34">
        <v>30</v>
      </c>
      <c r="AM255" s="40" t="s">
        <v>8095</v>
      </c>
      <c r="AT255" s="44">
        <v>0</v>
      </c>
      <c r="AU255" s="44"/>
      <c r="AV255" s="46">
        <f>ROUND(Товары[[#This Row],[РРЦ финальная, руб.]]/$AU$1,2)</f>
        <v>0</v>
      </c>
      <c r="AW255" s="45" t="str">
        <f>IFERROR(Товары[[#This Row],[РРЦ, евро]]/Товары[[#This Row],[IRP, Eur]],"-")</f>
        <v>-</v>
      </c>
      <c r="AX255" s="42">
        <f>IFERROR(VLOOKUP(Товары[[#This Row],[SubGroup]],'Структура цен DIY'!$B:$C,2,FALSE),0)</f>
        <v>0.29999999999999993</v>
      </c>
      <c r="AY255" s="44">
        <v>0</v>
      </c>
    </row>
    <row r="256" spans="1:51" x14ac:dyDescent="0.25">
      <c r="A256" s="34">
        <v>254</v>
      </c>
      <c r="B256" s="34" t="s">
        <v>56</v>
      </c>
      <c r="C256" s="110" t="str">
        <f>IFERROR(INDEX(Структура_ассортимента[SuperCategory],MATCH(Товары[[#This Row],[SubGroup]],Структура_ассортимента[Subgroup],0)),"")</f>
        <v>A</v>
      </c>
      <c r="D25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5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56" s="110" t="str">
        <f>IFERROR(INDEX(Структура_ассортимента[Product group],MATCH(Товары[[#This Row],[SubGroup]],Структура_ассортимента[Subgroup],0)),"")</f>
        <v>AMC_C</v>
      </c>
      <c r="G256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56" s="110" t="str">
        <f>IFERROR(INDEX(Структура_ассортимента[Generic Name (long)3],MATCH(Товары[[#This Row],[SubGroup]],Структура_ассортимента[Subgroup],0)),"")</f>
        <v>Секаторы</v>
      </c>
      <c r="I256" s="36">
        <v>9211</v>
      </c>
      <c r="J256" s="36" t="str">
        <f>IFERROR(INDEX(Структура_ассортимента[Generic Name (long)],MATCH(Товары[[#This Row],[SubGroup]],Структура_ассортимента[Subgroup],0)),"")</f>
        <v>SECATEUR, ANVIL</v>
      </c>
      <c r="L256" s="36">
        <v>970446101</v>
      </c>
      <c r="M256" s="35" t="s">
        <v>1940</v>
      </c>
      <c r="Q256" s="34" t="s">
        <v>3549</v>
      </c>
      <c r="R256" s="34" t="s">
        <v>3540</v>
      </c>
      <c r="S256" s="47">
        <v>43831</v>
      </c>
      <c r="T256" s="47">
        <v>0</v>
      </c>
      <c r="U256" s="47">
        <v>0</v>
      </c>
      <c r="V256" s="34">
        <v>4078500050111</v>
      </c>
      <c r="W256" s="34" t="s">
        <v>3548</v>
      </c>
      <c r="X256" s="34" t="s">
        <v>3579</v>
      </c>
      <c r="Y256" s="34" t="s">
        <v>3542</v>
      </c>
      <c r="Z256" s="34">
        <v>15</v>
      </c>
      <c r="AB256" s="34" t="s">
        <v>4519</v>
      </c>
      <c r="AD256" s="34" t="s">
        <v>4389</v>
      </c>
      <c r="AE256" s="34" t="s">
        <v>3752</v>
      </c>
      <c r="AF256" s="34" t="s">
        <v>3968</v>
      </c>
      <c r="AG256" s="34" t="s">
        <v>3931</v>
      </c>
      <c r="AH256" s="34" t="s">
        <v>4520</v>
      </c>
      <c r="AL256" s="34" t="s">
        <v>4306</v>
      </c>
      <c r="AM256" s="40" t="s">
        <v>8095</v>
      </c>
      <c r="AT256" s="44">
        <v>0</v>
      </c>
      <c r="AU256" s="44"/>
      <c r="AV256" s="46">
        <f>ROUND(Товары[[#This Row],[РРЦ финальная, руб.]]/$AU$1,2)</f>
        <v>0</v>
      </c>
      <c r="AW256" s="45" t="str">
        <f>IFERROR(Товары[[#This Row],[РРЦ, евро]]/Товары[[#This Row],[IRP, Eur]],"-")</f>
        <v>-</v>
      </c>
      <c r="AX256" s="42">
        <f>IFERROR(VLOOKUP(Товары[[#This Row],[SubGroup]],'Структура цен DIY'!$B:$C,2,FALSE),0)</f>
        <v>0.29999999999999993</v>
      </c>
      <c r="AY256" s="44">
        <v>0</v>
      </c>
    </row>
    <row r="257" spans="1:51" x14ac:dyDescent="0.25">
      <c r="A257" s="34">
        <v>255</v>
      </c>
      <c r="B257" s="34" t="s">
        <v>56</v>
      </c>
      <c r="C257" s="110" t="str">
        <f>IFERROR(INDEX(Структура_ассортимента[SuperCategory],MATCH(Товары[[#This Row],[SubGroup]],Структура_ассортимента[Subgroup],0)),"")</f>
        <v>A</v>
      </c>
      <c r="D25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5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57" s="110" t="str">
        <f>IFERROR(INDEX(Структура_ассортимента[Product group],MATCH(Товары[[#This Row],[SubGroup]],Структура_ассортимента[Subgroup],0)),"")</f>
        <v>AMC_C</v>
      </c>
      <c r="G257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57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57" s="36">
        <v>9213</v>
      </c>
      <c r="J257" s="36" t="str">
        <f>IFERROR(INDEX(Структура_ассортимента[Generic Name (long)],MATCH(Товары[[#This Row],[SubGroup]],Структура_ассортимента[Subgroup],0)),"")</f>
        <v>HEDGE CLIPPER</v>
      </c>
      <c r="L257" s="36">
        <v>967988901</v>
      </c>
      <c r="M257" s="35" t="s">
        <v>1941</v>
      </c>
      <c r="O257" s="35" t="s">
        <v>4521</v>
      </c>
      <c r="P257" s="37" t="s">
        <v>4522</v>
      </c>
      <c r="Q257" s="34" t="s">
        <v>3549</v>
      </c>
      <c r="R257" s="34" t="s">
        <v>3540</v>
      </c>
      <c r="S257" s="47">
        <v>43831</v>
      </c>
      <c r="T257" s="47">
        <v>0</v>
      </c>
      <c r="U257" s="47">
        <v>0</v>
      </c>
      <c r="V257" s="34">
        <v>4078500049078</v>
      </c>
      <c r="W257" s="34" t="s">
        <v>3546</v>
      </c>
      <c r="X257" s="34" t="s">
        <v>3551</v>
      </c>
      <c r="Y257" s="34" t="s">
        <v>3542</v>
      </c>
      <c r="Z257" s="34">
        <v>4</v>
      </c>
      <c r="AA257" s="34" t="s">
        <v>4523</v>
      </c>
      <c r="AB257" s="34" t="s">
        <v>4524</v>
      </c>
      <c r="AC257" s="34" t="s">
        <v>4525</v>
      </c>
      <c r="AD257" s="34" t="s">
        <v>4526</v>
      </c>
      <c r="AE257" s="34" t="s">
        <v>3854</v>
      </c>
      <c r="AF257" s="34" t="s">
        <v>3968</v>
      </c>
      <c r="AG257" s="34" t="s">
        <v>3911</v>
      </c>
      <c r="AH257" s="34" t="s">
        <v>4527</v>
      </c>
      <c r="AI257" s="34" t="s">
        <v>4528</v>
      </c>
      <c r="AJ257" s="34" t="s">
        <v>3557</v>
      </c>
      <c r="AK257" s="34" t="s">
        <v>3989</v>
      </c>
      <c r="AL257" s="34" t="s">
        <v>3578</v>
      </c>
      <c r="AM257" s="40" t="s">
        <v>10</v>
      </c>
      <c r="AP257" s="34">
        <v>0</v>
      </c>
      <c r="AQ257" s="34">
        <v>2390</v>
      </c>
      <c r="AR257" s="34">
        <v>1394</v>
      </c>
      <c r="AT257" s="44">
        <v>185100</v>
      </c>
      <c r="AU257" s="44"/>
      <c r="AV257" s="46">
        <f>ROUND(Товары[[#This Row],[РРЦ финальная, руб.]]/$AU$1,2)</f>
        <v>0</v>
      </c>
      <c r="AW257" s="45" t="str">
        <f>IFERROR(Товары[[#This Row],[РРЦ, евро]]/Товары[[#This Row],[IRP, Eur]],"-")</f>
        <v>-</v>
      </c>
      <c r="AX257" s="42">
        <f>IFERROR(VLOOKUP(Товары[[#This Row],[SubGroup]],'Структура цен DIY'!$B:$C,2,FALSE),0)</f>
        <v>0.3</v>
      </c>
      <c r="AY257" s="44">
        <v>0</v>
      </c>
    </row>
    <row r="258" spans="1:51" x14ac:dyDescent="0.25">
      <c r="A258" s="34">
        <v>256</v>
      </c>
      <c r="B258" s="34" t="s">
        <v>56</v>
      </c>
      <c r="C258" s="110" t="str">
        <f>IFERROR(INDEX(Структура_ассортимента[SuperCategory],MATCH(Товары[[#This Row],[SubGroup]],Структура_ассортимента[Subgroup],0)),"")</f>
        <v>A</v>
      </c>
      <c r="D25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5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58" s="110" t="str">
        <f>IFERROR(INDEX(Структура_ассортимента[Product group],MATCH(Товары[[#This Row],[SubGroup]],Структура_ассортимента[Subgroup],0)),"")</f>
        <v>AMC_C</v>
      </c>
      <c r="G258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58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58" s="36">
        <v>9213</v>
      </c>
      <c r="J258" s="36" t="str">
        <f>IFERROR(INDEX(Структура_ассортимента[Generic Name (long)],MATCH(Товары[[#This Row],[SubGroup]],Структура_ассортимента[Subgroup],0)),"")</f>
        <v>HEDGE CLIPPER</v>
      </c>
      <c r="L258" s="36">
        <v>970445001</v>
      </c>
      <c r="M258" s="35" t="s">
        <v>1942</v>
      </c>
      <c r="Q258" s="34" t="s">
        <v>3549</v>
      </c>
      <c r="R258" s="34" t="s">
        <v>3540</v>
      </c>
      <c r="S258" s="47">
        <v>43831</v>
      </c>
      <c r="T258" s="47">
        <v>0</v>
      </c>
      <c r="U258" s="47">
        <v>0</v>
      </c>
      <c r="V258" s="34">
        <v>4078500049931</v>
      </c>
      <c r="W258" s="34" t="s">
        <v>3543</v>
      </c>
      <c r="X258" s="34" t="s">
        <v>3551</v>
      </c>
      <c r="Y258" s="34" t="s">
        <v>3542</v>
      </c>
      <c r="Z258" s="34">
        <v>12</v>
      </c>
      <c r="AA258" s="34" t="s">
        <v>4523</v>
      </c>
      <c r="AB258" s="34" t="s">
        <v>4529</v>
      </c>
      <c r="AC258" s="34" t="s">
        <v>4525</v>
      </c>
      <c r="AD258" s="34" t="s">
        <v>4530</v>
      </c>
      <c r="AE258" s="34" t="s">
        <v>3854</v>
      </c>
      <c r="AF258" s="34" t="s">
        <v>3968</v>
      </c>
      <c r="AG258" s="34" t="s">
        <v>3911</v>
      </c>
      <c r="AH258" s="34" t="s">
        <v>4527</v>
      </c>
      <c r="AI258" s="34" t="s">
        <v>4528</v>
      </c>
      <c r="AJ258" s="34" t="s">
        <v>3557</v>
      </c>
      <c r="AK258" s="34" t="s">
        <v>3989</v>
      </c>
      <c r="AL258" s="34" t="s">
        <v>4214</v>
      </c>
      <c r="AM258" s="40" t="s">
        <v>8095</v>
      </c>
      <c r="AT258" s="44">
        <v>0</v>
      </c>
      <c r="AU258" s="44"/>
      <c r="AV258" s="46">
        <f>ROUND(Товары[[#This Row],[РРЦ финальная, руб.]]/$AU$1,2)</f>
        <v>0</v>
      </c>
      <c r="AW258" s="45" t="str">
        <f>IFERROR(Товары[[#This Row],[РРЦ, евро]]/Товары[[#This Row],[IRP, Eur]],"-")</f>
        <v>-</v>
      </c>
      <c r="AX258" s="42">
        <f>IFERROR(VLOOKUP(Товары[[#This Row],[SubGroup]],'Структура цен DIY'!$B:$C,2,FALSE),0)</f>
        <v>0.3</v>
      </c>
      <c r="AY258" s="44">
        <v>0</v>
      </c>
    </row>
    <row r="259" spans="1:51" x14ac:dyDescent="0.25">
      <c r="A259" s="34">
        <v>257</v>
      </c>
      <c r="B259" s="34" t="s">
        <v>56</v>
      </c>
      <c r="C259" s="110" t="str">
        <f>IFERROR(INDEX(Структура_ассортимента[SuperCategory],MATCH(Товары[[#This Row],[SubGroup]],Структура_ассортимента[Subgroup],0)),"")</f>
        <v>A</v>
      </c>
      <c r="D25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5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59" s="110" t="str">
        <f>IFERROR(INDEX(Структура_ассортимента[Product group],MATCH(Товары[[#This Row],[SubGroup]],Структура_ассортимента[Subgroup],0)),"")</f>
        <v>AMC_C</v>
      </c>
      <c r="G259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59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59" s="36">
        <v>9213</v>
      </c>
      <c r="J259" s="36" t="str">
        <f>IFERROR(INDEX(Структура_ассортимента[Generic Name (long)],MATCH(Товары[[#This Row],[SubGroup]],Структура_ассортимента[Subgroup],0)),"")</f>
        <v>HEDGE CLIPPER</v>
      </c>
      <c r="L259" s="36">
        <v>967989001</v>
      </c>
      <c r="M259" s="35" t="s">
        <v>1943</v>
      </c>
      <c r="O259" s="35" t="s">
        <v>4531</v>
      </c>
      <c r="P259" s="37" t="s">
        <v>4532</v>
      </c>
      <c r="Q259" s="34" t="s">
        <v>3549</v>
      </c>
      <c r="R259" s="34" t="s">
        <v>3540</v>
      </c>
      <c r="S259" s="47">
        <v>43831</v>
      </c>
      <c r="T259" s="47">
        <v>0</v>
      </c>
      <c r="U259" s="47">
        <v>0</v>
      </c>
      <c r="V259" s="34">
        <v>4078500049092</v>
      </c>
      <c r="W259" s="34" t="s">
        <v>3546</v>
      </c>
      <c r="X259" s="34" t="s">
        <v>3551</v>
      </c>
      <c r="Y259" s="34" t="s">
        <v>3542</v>
      </c>
      <c r="Z259" s="34">
        <v>4</v>
      </c>
      <c r="AA259" s="34" t="s">
        <v>4344</v>
      </c>
      <c r="AB259" s="34" t="s">
        <v>4374</v>
      </c>
      <c r="AC259" s="34" t="s">
        <v>3761</v>
      </c>
      <c r="AD259" s="34" t="s">
        <v>4533</v>
      </c>
      <c r="AE259" s="34" t="s">
        <v>4534</v>
      </c>
      <c r="AF259" s="34" t="s">
        <v>3968</v>
      </c>
      <c r="AG259" s="34" t="s">
        <v>4181</v>
      </c>
      <c r="AH259" s="34" t="s">
        <v>4535</v>
      </c>
      <c r="AI259" s="34" t="s">
        <v>4323</v>
      </c>
      <c r="AJ259" s="34" t="s">
        <v>3711</v>
      </c>
      <c r="AK259" s="34" t="s">
        <v>3968</v>
      </c>
      <c r="AL259" s="34" t="s">
        <v>3578</v>
      </c>
      <c r="AM259" s="40" t="s">
        <v>10</v>
      </c>
      <c r="AP259" s="34">
        <v>0</v>
      </c>
      <c r="AQ259" s="34">
        <v>3190</v>
      </c>
      <c r="AR259" s="34">
        <v>1861</v>
      </c>
      <c r="AT259" s="44">
        <v>247100</v>
      </c>
      <c r="AU259" s="44"/>
      <c r="AV259" s="46">
        <f>ROUND(Товары[[#This Row],[РРЦ финальная, руб.]]/$AU$1,2)</f>
        <v>0</v>
      </c>
      <c r="AW259" s="45" t="str">
        <f>IFERROR(Товары[[#This Row],[РРЦ, евро]]/Товары[[#This Row],[IRP, Eur]],"-")</f>
        <v>-</v>
      </c>
      <c r="AX259" s="42">
        <f>IFERROR(VLOOKUP(Товары[[#This Row],[SubGroup]],'Структура цен DIY'!$B:$C,2,FALSE),0)</f>
        <v>0.3</v>
      </c>
      <c r="AY259" s="44">
        <v>0</v>
      </c>
    </row>
    <row r="260" spans="1:51" x14ac:dyDescent="0.25">
      <c r="A260" s="34">
        <v>258</v>
      </c>
      <c r="B260" s="34" t="s">
        <v>56</v>
      </c>
      <c r="C260" s="110" t="str">
        <f>IFERROR(INDEX(Структура_ассортимента[SuperCategory],MATCH(Товары[[#This Row],[SubGroup]],Структура_ассортимента[Subgroup],0)),"")</f>
        <v>A</v>
      </c>
      <c r="D26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6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60" s="110" t="str">
        <f>IFERROR(INDEX(Структура_ассортимента[Product group],MATCH(Товары[[#This Row],[SubGroup]],Структура_ассортимента[Subgroup],0)),"")</f>
        <v>AMC_C</v>
      </c>
      <c r="G260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60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60" s="36">
        <v>9213</v>
      </c>
      <c r="J260" s="36" t="str">
        <f>IFERROR(INDEX(Структура_ассортимента[Generic Name (long)],MATCH(Товары[[#This Row],[SubGroup]],Структура_ассортимента[Subgroup],0)),"")</f>
        <v>HEDGE CLIPPER</v>
      </c>
      <c r="L260" s="36">
        <v>967989101</v>
      </c>
      <c r="M260" s="35" t="s">
        <v>1944</v>
      </c>
      <c r="O260" s="35" t="s">
        <v>4536</v>
      </c>
      <c r="P260" s="37" t="s">
        <v>4537</v>
      </c>
      <c r="Q260" s="34" t="s">
        <v>3549</v>
      </c>
      <c r="R260" s="34" t="s">
        <v>3540</v>
      </c>
      <c r="S260" s="47">
        <v>43831</v>
      </c>
      <c r="T260" s="47">
        <v>0</v>
      </c>
      <c r="U260" s="47">
        <v>0</v>
      </c>
      <c r="V260" s="34">
        <v>4078500049115</v>
      </c>
      <c r="W260" s="34" t="s">
        <v>3546</v>
      </c>
      <c r="X260" s="34" t="s">
        <v>3551</v>
      </c>
      <c r="Y260" s="34" t="s">
        <v>3542</v>
      </c>
      <c r="Z260" s="34">
        <v>4</v>
      </c>
      <c r="AA260" s="34" t="s">
        <v>4339</v>
      </c>
      <c r="AB260" s="34" t="s">
        <v>4538</v>
      </c>
      <c r="AC260" s="34" t="s">
        <v>4340</v>
      </c>
      <c r="AD260" s="34" t="s">
        <v>4539</v>
      </c>
      <c r="AE260" s="34" t="s">
        <v>4540</v>
      </c>
      <c r="AF260" s="34" t="s">
        <v>3955</v>
      </c>
      <c r="AG260" s="34" t="s">
        <v>4324</v>
      </c>
      <c r="AH260" s="34" t="s">
        <v>4541</v>
      </c>
      <c r="AI260" s="34" t="s">
        <v>4341</v>
      </c>
      <c r="AJ260" s="34" t="s">
        <v>3800</v>
      </c>
      <c r="AK260" s="34" t="s">
        <v>3877</v>
      </c>
      <c r="AL260" s="34" t="s">
        <v>3562</v>
      </c>
      <c r="AM260" s="40" t="s">
        <v>10</v>
      </c>
      <c r="AP260" s="34">
        <v>0</v>
      </c>
      <c r="AQ260" s="34">
        <v>2390</v>
      </c>
      <c r="AR260" s="34">
        <v>1394</v>
      </c>
      <c r="AT260" s="44">
        <v>185100</v>
      </c>
      <c r="AU260" s="44"/>
      <c r="AV260" s="46">
        <f>ROUND(Товары[[#This Row],[РРЦ финальная, руб.]]/$AU$1,2)</f>
        <v>0</v>
      </c>
      <c r="AW260" s="45" t="str">
        <f>IFERROR(Товары[[#This Row],[РРЦ, евро]]/Товары[[#This Row],[IRP, Eur]],"-")</f>
        <v>-</v>
      </c>
      <c r="AX260" s="42">
        <f>IFERROR(VLOOKUP(Товары[[#This Row],[SubGroup]],'Структура цен DIY'!$B:$C,2,FALSE),0)</f>
        <v>0.3</v>
      </c>
      <c r="AY260" s="44">
        <v>0</v>
      </c>
    </row>
    <row r="261" spans="1:51" x14ac:dyDescent="0.25">
      <c r="A261" s="34">
        <v>259</v>
      </c>
      <c r="B261" s="34" t="s">
        <v>56</v>
      </c>
      <c r="C261" s="110" t="str">
        <f>IFERROR(INDEX(Структура_ассортимента[SuperCategory],MATCH(Товары[[#This Row],[SubGroup]],Структура_ассортимента[Subgroup],0)),"")</f>
        <v>A</v>
      </c>
      <c r="D26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6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61" s="110" t="str">
        <f>IFERROR(INDEX(Структура_ассортимента[Product group],MATCH(Товары[[#This Row],[SubGroup]],Структура_ассортимента[Subgroup],0)),"")</f>
        <v>AMC_C</v>
      </c>
      <c r="G261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61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61" s="36">
        <v>9213</v>
      </c>
      <c r="J261" s="36" t="str">
        <f>IFERROR(INDEX(Структура_ассортимента[Generic Name (long)],MATCH(Товары[[#This Row],[SubGroup]],Структура_ассортимента[Subgroup],0)),"")</f>
        <v>HEDGE CLIPPER</v>
      </c>
      <c r="L261" s="36">
        <v>970445101</v>
      </c>
      <c r="M261" s="35" t="s">
        <v>1945</v>
      </c>
      <c r="Q261" s="34" t="s">
        <v>3549</v>
      </c>
      <c r="R261" s="34" t="s">
        <v>3540</v>
      </c>
      <c r="S261" s="47">
        <v>43831</v>
      </c>
      <c r="T261" s="47">
        <v>0</v>
      </c>
      <c r="U261" s="47">
        <v>0</v>
      </c>
      <c r="V261" s="34">
        <v>4078500049948</v>
      </c>
      <c r="W261" s="34" t="s">
        <v>3543</v>
      </c>
      <c r="X261" s="34" t="s">
        <v>3551</v>
      </c>
      <c r="Y261" s="34" t="s">
        <v>3542</v>
      </c>
      <c r="Z261" s="34">
        <v>16</v>
      </c>
      <c r="AA261" s="34" t="s">
        <v>4339</v>
      </c>
      <c r="AB261" s="34" t="s">
        <v>4339</v>
      </c>
      <c r="AC261" s="34" t="s">
        <v>4340</v>
      </c>
      <c r="AD261" s="34" t="s">
        <v>4542</v>
      </c>
      <c r="AE261" s="34" t="s">
        <v>4540</v>
      </c>
      <c r="AF261" s="34" t="s">
        <v>3955</v>
      </c>
      <c r="AG261" s="34" t="s">
        <v>4324</v>
      </c>
      <c r="AH261" s="34" t="s">
        <v>4541</v>
      </c>
      <c r="AI261" s="34" t="s">
        <v>4341</v>
      </c>
      <c r="AJ261" s="34" t="s">
        <v>3800</v>
      </c>
      <c r="AK261" s="34" t="s">
        <v>3877</v>
      </c>
      <c r="AL261" s="34" t="s">
        <v>3981</v>
      </c>
      <c r="AM261" s="40" t="s">
        <v>8095</v>
      </c>
      <c r="AT261" s="44">
        <v>0</v>
      </c>
      <c r="AU261" s="44"/>
      <c r="AV261" s="46">
        <f>ROUND(Товары[[#This Row],[РРЦ финальная, руб.]]/$AU$1,2)</f>
        <v>0</v>
      </c>
      <c r="AW261" s="45" t="str">
        <f>IFERROR(Товары[[#This Row],[РРЦ, евро]]/Товары[[#This Row],[IRP, Eur]],"-")</f>
        <v>-</v>
      </c>
      <c r="AX261" s="42">
        <f>IFERROR(VLOOKUP(Товары[[#This Row],[SubGroup]],'Структура цен DIY'!$B:$C,2,FALSE),0)</f>
        <v>0.3</v>
      </c>
      <c r="AY261" s="44">
        <v>0</v>
      </c>
    </row>
    <row r="262" spans="1:51" x14ac:dyDescent="0.25">
      <c r="A262" s="34">
        <v>260</v>
      </c>
      <c r="B262" s="34" t="s">
        <v>56</v>
      </c>
      <c r="C262" s="110" t="str">
        <f>IFERROR(INDEX(Структура_ассортимента[SuperCategory],MATCH(Товары[[#This Row],[SubGroup]],Структура_ассортимента[Subgroup],0)),"")</f>
        <v>A</v>
      </c>
      <c r="D26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6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62" s="110" t="str">
        <f>IFERROR(INDEX(Структура_ассортимента[Product group],MATCH(Товары[[#This Row],[SubGroup]],Структура_ассортимента[Subgroup],0)),"")</f>
        <v>AMC_C</v>
      </c>
      <c r="G262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62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62" s="36">
        <v>9213</v>
      </c>
      <c r="J262" s="36" t="str">
        <f>IFERROR(INDEX(Структура_ассортимента[Generic Name (long)],MATCH(Товары[[#This Row],[SubGroup]],Структура_ассортимента[Subgroup],0)),"")</f>
        <v>HEDGE CLIPPER</v>
      </c>
      <c r="L262" s="36">
        <v>967989201</v>
      </c>
      <c r="M262" s="35" t="s">
        <v>1946</v>
      </c>
      <c r="O262" s="35" t="s">
        <v>4543</v>
      </c>
      <c r="P262" s="37" t="s">
        <v>4544</v>
      </c>
      <c r="Q262" s="34" t="s">
        <v>3549</v>
      </c>
      <c r="R262" s="34" t="s">
        <v>3540</v>
      </c>
      <c r="S262" s="47">
        <v>43831</v>
      </c>
      <c r="T262" s="47">
        <v>0</v>
      </c>
      <c r="U262" s="47">
        <v>0</v>
      </c>
      <c r="V262" s="34">
        <v>4078500049139</v>
      </c>
      <c r="W262" s="34" t="s">
        <v>3546</v>
      </c>
      <c r="X262" s="34" t="s">
        <v>3551</v>
      </c>
      <c r="Y262" s="34" t="s">
        <v>3542</v>
      </c>
      <c r="Z262" s="34">
        <v>4</v>
      </c>
      <c r="AA262" s="34" t="s">
        <v>4348</v>
      </c>
      <c r="AB262" s="34" t="s">
        <v>3876</v>
      </c>
      <c r="AC262" s="34" t="s">
        <v>4349</v>
      </c>
      <c r="AD262" s="34" t="s">
        <v>4545</v>
      </c>
      <c r="AE262" s="34" t="s">
        <v>4018</v>
      </c>
      <c r="AF262" s="34" t="s">
        <v>3920</v>
      </c>
      <c r="AG262" s="34" t="s">
        <v>4546</v>
      </c>
      <c r="AH262" s="34" t="s">
        <v>4547</v>
      </c>
      <c r="AI262" s="34" t="s">
        <v>4548</v>
      </c>
      <c r="AJ262" s="34" t="s">
        <v>4549</v>
      </c>
      <c r="AK262" s="34" t="s">
        <v>3826</v>
      </c>
      <c r="AL262" s="34" t="s">
        <v>4453</v>
      </c>
      <c r="AM262" s="40" t="s">
        <v>10</v>
      </c>
      <c r="AP262" s="34">
        <v>0</v>
      </c>
      <c r="AQ262" s="34">
        <v>3990</v>
      </c>
      <c r="AR262" s="34">
        <v>2328</v>
      </c>
      <c r="AT262" s="44">
        <v>309000</v>
      </c>
      <c r="AU262" s="44"/>
      <c r="AV262" s="46">
        <f>ROUND(Товары[[#This Row],[РРЦ финальная, руб.]]/$AU$1,2)</f>
        <v>0</v>
      </c>
      <c r="AW262" s="45" t="str">
        <f>IFERROR(Товары[[#This Row],[РРЦ, евро]]/Товары[[#This Row],[IRP, Eur]],"-")</f>
        <v>-</v>
      </c>
      <c r="AX262" s="42">
        <f>IFERROR(VLOOKUP(Товары[[#This Row],[SubGroup]],'Структура цен DIY'!$B:$C,2,FALSE),0)</f>
        <v>0.3</v>
      </c>
      <c r="AY262" s="44">
        <v>0</v>
      </c>
    </row>
    <row r="263" spans="1:51" x14ac:dyDescent="0.25">
      <c r="A263" s="34">
        <v>261</v>
      </c>
      <c r="B263" s="34" t="s">
        <v>56</v>
      </c>
      <c r="C263" s="110" t="str">
        <f>IFERROR(INDEX(Структура_ассортимента[SuperCategory],MATCH(Товары[[#This Row],[SubGroup]],Структура_ассортимента[Subgroup],0)),"")</f>
        <v>A</v>
      </c>
      <c r="D26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6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63" s="110" t="str">
        <f>IFERROR(INDEX(Структура_ассортимента[Product group],MATCH(Товары[[#This Row],[SubGroup]],Структура_ассортимента[Subgroup],0)),"")</f>
        <v>AMC_C</v>
      </c>
      <c r="G263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63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63" s="36">
        <v>9213</v>
      </c>
      <c r="J263" s="36" t="str">
        <f>IFERROR(INDEX(Структура_ассортимента[Generic Name (long)],MATCH(Товары[[#This Row],[SubGroup]],Структура_ассортимента[Subgroup],0)),"")</f>
        <v>HEDGE CLIPPER</v>
      </c>
      <c r="L263" s="36">
        <v>970445201</v>
      </c>
      <c r="M263" s="35" t="s">
        <v>1947</v>
      </c>
      <c r="Q263" s="34" t="s">
        <v>3549</v>
      </c>
      <c r="R263" s="34" t="s">
        <v>3540</v>
      </c>
      <c r="S263" s="47">
        <v>43831</v>
      </c>
      <c r="T263" s="47">
        <v>0</v>
      </c>
      <c r="U263" s="47">
        <v>0</v>
      </c>
      <c r="V263" s="34">
        <v>4078500049955</v>
      </c>
      <c r="W263" s="34" t="s">
        <v>3543</v>
      </c>
      <c r="X263" s="34" t="s">
        <v>3551</v>
      </c>
      <c r="Y263" s="34" t="s">
        <v>3542</v>
      </c>
      <c r="Z263" s="34">
        <v>12</v>
      </c>
      <c r="AA263" s="34" t="s">
        <v>4348</v>
      </c>
      <c r="AB263" s="34" t="s">
        <v>4550</v>
      </c>
      <c r="AC263" s="34" t="s">
        <v>4349</v>
      </c>
      <c r="AD263" s="34" t="s">
        <v>3596</v>
      </c>
      <c r="AE263" s="34" t="s">
        <v>4018</v>
      </c>
      <c r="AF263" s="34" t="s">
        <v>3920</v>
      </c>
      <c r="AG263" s="34" t="s">
        <v>4546</v>
      </c>
      <c r="AH263" s="34" t="s">
        <v>4551</v>
      </c>
      <c r="AI263" s="34" t="s">
        <v>4548</v>
      </c>
      <c r="AJ263" s="34" t="s">
        <v>4549</v>
      </c>
      <c r="AK263" s="34" t="s">
        <v>3826</v>
      </c>
      <c r="AL263" s="34" t="s">
        <v>4214</v>
      </c>
      <c r="AM263" s="40" t="s">
        <v>8095</v>
      </c>
      <c r="AT263" s="44">
        <v>0</v>
      </c>
      <c r="AU263" s="44"/>
      <c r="AV263" s="46">
        <f>ROUND(Товары[[#This Row],[РРЦ финальная, руб.]]/$AU$1,2)</f>
        <v>0</v>
      </c>
      <c r="AW263" s="45" t="str">
        <f>IFERROR(Товары[[#This Row],[РРЦ, евро]]/Товары[[#This Row],[IRP, Eur]],"-")</f>
        <v>-</v>
      </c>
      <c r="AX263" s="42">
        <f>IFERROR(VLOOKUP(Товары[[#This Row],[SubGroup]],'Структура цен DIY'!$B:$C,2,FALSE),0)</f>
        <v>0.3</v>
      </c>
      <c r="AY263" s="44">
        <v>0</v>
      </c>
    </row>
    <row r="264" spans="1:51" x14ac:dyDescent="0.25">
      <c r="A264" s="34">
        <v>262</v>
      </c>
      <c r="B264" s="34" t="s">
        <v>56</v>
      </c>
      <c r="C264" s="110" t="str">
        <f>IFERROR(INDEX(Структура_ассортимента[SuperCategory],MATCH(Товары[[#This Row],[SubGroup]],Структура_ассортимента[Subgroup],0)),"")</f>
        <v>A</v>
      </c>
      <c r="D26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6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64" s="110" t="str">
        <f>IFERROR(INDEX(Структура_ассортимента[Product group],MATCH(Товары[[#This Row],[SubGroup]],Структура_ассортимента[Subgroup],0)),"")</f>
        <v>AMC_C</v>
      </c>
      <c r="G264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64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64" s="36">
        <v>9213</v>
      </c>
      <c r="J264" s="36" t="str">
        <f>IFERROR(INDEX(Структура_ассортимента[Generic Name (long)],MATCH(Товары[[#This Row],[SubGroup]],Структура_ассортимента[Subgroup],0)),"")</f>
        <v>HEDGE CLIPPER</v>
      </c>
      <c r="L264" s="36">
        <v>967989301</v>
      </c>
      <c r="M264" s="35" t="s">
        <v>1948</v>
      </c>
      <c r="O264" s="35" t="s">
        <v>4552</v>
      </c>
      <c r="P264" s="37" t="s">
        <v>4553</v>
      </c>
      <c r="Q264" s="34" t="s">
        <v>3549</v>
      </c>
      <c r="R264" s="34" t="s">
        <v>3540</v>
      </c>
      <c r="S264" s="47">
        <v>43831</v>
      </c>
      <c r="T264" s="47">
        <v>0</v>
      </c>
      <c r="U264" s="47">
        <v>0</v>
      </c>
      <c r="V264" s="34">
        <v>4078500049153</v>
      </c>
      <c r="W264" s="34" t="s">
        <v>3546</v>
      </c>
      <c r="X264" s="34" t="s">
        <v>3551</v>
      </c>
      <c r="Y264" s="34" t="s">
        <v>3542</v>
      </c>
      <c r="Z264" s="34">
        <v>4</v>
      </c>
      <c r="AA264" s="34" t="s">
        <v>4554</v>
      </c>
      <c r="AB264" s="34" t="s">
        <v>4555</v>
      </c>
      <c r="AC264" s="34" t="s">
        <v>4556</v>
      </c>
      <c r="AD264" s="34" t="s">
        <v>4556</v>
      </c>
      <c r="AE264" s="34" t="s">
        <v>4557</v>
      </c>
      <c r="AF264" s="34" t="s">
        <v>3825</v>
      </c>
      <c r="AG264" s="34" t="s">
        <v>4181</v>
      </c>
      <c r="AH264" s="34" t="s">
        <v>4558</v>
      </c>
      <c r="AI264" s="34" t="s">
        <v>4559</v>
      </c>
      <c r="AJ264" s="34" t="s">
        <v>4560</v>
      </c>
      <c r="AK264" s="34" t="s">
        <v>4160</v>
      </c>
      <c r="AL264" s="34" t="s">
        <v>3830</v>
      </c>
      <c r="AM264" s="40" t="s">
        <v>10</v>
      </c>
      <c r="AP264" s="34">
        <v>0</v>
      </c>
      <c r="AQ264" s="34">
        <v>4690</v>
      </c>
      <c r="AR264" s="34">
        <v>2736</v>
      </c>
      <c r="AT264" s="44">
        <v>363300</v>
      </c>
      <c r="AU264" s="44"/>
      <c r="AV264" s="46">
        <f>ROUND(Товары[[#This Row],[РРЦ финальная, руб.]]/$AU$1,2)</f>
        <v>0</v>
      </c>
      <c r="AW264" s="45" t="str">
        <f>IFERROR(Товары[[#This Row],[РРЦ, евро]]/Товары[[#This Row],[IRP, Eur]],"-")</f>
        <v>-</v>
      </c>
      <c r="AX264" s="42">
        <f>IFERROR(VLOOKUP(Товары[[#This Row],[SubGroup]],'Структура цен DIY'!$B:$C,2,FALSE),0)</f>
        <v>0.3</v>
      </c>
      <c r="AY264" s="44">
        <v>0</v>
      </c>
    </row>
    <row r="265" spans="1:51" x14ac:dyDescent="0.25">
      <c r="A265" s="34">
        <v>263</v>
      </c>
      <c r="B265" s="34" t="s">
        <v>56</v>
      </c>
      <c r="C265" s="110" t="str">
        <f>IFERROR(INDEX(Структура_ассортимента[SuperCategory],MATCH(Товары[[#This Row],[SubGroup]],Структура_ассортимента[Subgroup],0)),"")</f>
        <v>A</v>
      </c>
      <c r="D26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6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65" s="110" t="str">
        <f>IFERROR(INDEX(Структура_ассортимента[Product group],MATCH(Товары[[#This Row],[SubGroup]],Структура_ассортимента[Subgroup],0)),"")</f>
        <v>AMC_C</v>
      </c>
      <c r="G265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65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65" s="36">
        <v>9213</v>
      </c>
      <c r="J265" s="36" t="str">
        <f>IFERROR(INDEX(Структура_ассортимента[Generic Name (long)],MATCH(Товары[[#This Row],[SubGroup]],Структура_ассортимента[Subgroup],0)),"")</f>
        <v>HEDGE CLIPPER</v>
      </c>
      <c r="L265" s="36">
        <v>970445301</v>
      </c>
      <c r="M265" s="35" t="s">
        <v>1949</v>
      </c>
      <c r="Q265" s="34" t="s">
        <v>3549</v>
      </c>
      <c r="R265" s="34" t="s">
        <v>3540</v>
      </c>
      <c r="S265" s="47">
        <v>43466</v>
      </c>
      <c r="T265" s="47">
        <v>0</v>
      </c>
      <c r="U265" s="47">
        <v>0</v>
      </c>
      <c r="V265" s="34">
        <v>4078500049962</v>
      </c>
      <c r="W265" s="34" t="s">
        <v>3543</v>
      </c>
      <c r="X265" s="34" t="s">
        <v>3551</v>
      </c>
      <c r="Y265" s="34" t="s">
        <v>3542</v>
      </c>
      <c r="Z265" s="34">
        <v>12</v>
      </c>
      <c r="AA265" s="34" t="s">
        <v>4554</v>
      </c>
      <c r="AB265" s="34" t="s">
        <v>4555</v>
      </c>
      <c r="AC265" s="34" t="s">
        <v>4556</v>
      </c>
      <c r="AD265" s="34" t="s">
        <v>4556</v>
      </c>
      <c r="AE265" s="34" t="s">
        <v>4559</v>
      </c>
      <c r="AF265" s="34" t="s">
        <v>4160</v>
      </c>
      <c r="AG265" s="34" t="s">
        <v>4560</v>
      </c>
      <c r="AH265" s="34" t="s">
        <v>4561</v>
      </c>
      <c r="AI265" s="34" t="s">
        <v>4559</v>
      </c>
      <c r="AJ265" s="34" t="s">
        <v>4560</v>
      </c>
      <c r="AK265" s="34" t="s">
        <v>4160</v>
      </c>
      <c r="AM265" s="40" t="s">
        <v>8095</v>
      </c>
      <c r="AT265" s="44">
        <v>0</v>
      </c>
      <c r="AU265" s="44"/>
      <c r="AV265" s="46">
        <f>ROUND(Товары[[#This Row],[РРЦ финальная, руб.]]/$AU$1,2)</f>
        <v>0</v>
      </c>
      <c r="AW265" s="45" t="str">
        <f>IFERROR(Товары[[#This Row],[РРЦ, евро]]/Товары[[#This Row],[IRP, Eur]],"-")</f>
        <v>-</v>
      </c>
      <c r="AX265" s="42">
        <f>IFERROR(VLOOKUP(Товары[[#This Row],[SubGroup]],'Структура цен DIY'!$B:$C,2,FALSE),0)</f>
        <v>0.3</v>
      </c>
      <c r="AY265" s="44">
        <v>0</v>
      </c>
    </row>
    <row r="266" spans="1:51" x14ac:dyDescent="0.25">
      <c r="A266" s="34">
        <v>264</v>
      </c>
      <c r="B266" s="34" t="s">
        <v>56</v>
      </c>
      <c r="C266" s="110" t="str">
        <f>IFERROR(INDEX(Структура_ассортимента[SuperCategory],MATCH(Товары[[#This Row],[SubGroup]],Структура_ассортимента[Subgroup],0)),"")</f>
        <v>A</v>
      </c>
      <c r="D26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6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66" s="110" t="str">
        <f>IFERROR(INDEX(Структура_ассортимента[Product group],MATCH(Товары[[#This Row],[SubGroup]],Структура_ассортимента[Subgroup],0)),"")</f>
        <v>AMC_C</v>
      </c>
      <c r="G266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66" s="110" t="str">
        <f>IFERROR(INDEX(Структура_ассортимента[Generic Name (long)3],MATCH(Товары[[#This Row],[SubGroup]],Структура_ассортимента[Subgroup],0)),"")</f>
        <v>Секаторы</v>
      </c>
      <c r="I266" s="36">
        <v>9211</v>
      </c>
      <c r="J266" s="36" t="str">
        <f>IFERROR(INDEX(Структура_ассортимента[Generic Name (long)],MATCH(Товары[[#This Row],[SubGroup]],Структура_ассортимента[Subgroup],0)),"")</f>
        <v>SECATEUR, ANVIL</v>
      </c>
      <c r="L266" s="36">
        <v>970475401</v>
      </c>
      <c r="M266" s="35" t="s">
        <v>1950</v>
      </c>
      <c r="O266" s="35" t="s">
        <v>4562</v>
      </c>
      <c r="P266" s="37" t="s">
        <v>4563</v>
      </c>
      <c r="Q266" s="34" t="s">
        <v>3549</v>
      </c>
      <c r="R266" s="34" t="s">
        <v>3540</v>
      </c>
      <c r="S266" s="47">
        <v>44197</v>
      </c>
      <c r="T266" s="47">
        <v>0</v>
      </c>
      <c r="U266" s="47">
        <v>0</v>
      </c>
      <c r="V266" s="34">
        <v>4078500051613</v>
      </c>
      <c r="W266" s="34" t="s">
        <v>3548</v>
      </c>
      <c r="X266" s="34" t="s">
        <v>3579</v>
      </c>
      <c r="Y266" s="34" t="s">
        <v>3542</v>
      </c>
      <c r="Z266" s="34">
        <v>5</v>
      </c>
      <c r="AM266" s="40" t="s">
        <v>11</v>
      </c>
      <c r="AT266" s="44">
        <v>0</v>
      </c>
      <c r="AU266" s="44"/>
      <c r="AV266" s="46">
        <f>ROUND(Товары[[#This Row],[РРЦ финальная, руб.]]/$AU$1,2)</f>
        <v>0</v>
      </c>
      <c r="AW266" s="45" t="str">
        <f>IFERROR(Товары[[#This Row],[РРЦ, евро]]/Товары[[#This Row],[IRP, Eur]],"-")</f>
        <v>-</v>
      </c>
      <c r="AX266" s="42">
        <f>IFERROR(VLOOKUP(Товары[[#This Row],[SubGroup]],'Структура цен DIY'!$B:$C,2,FALSE),0)</f>
        <v>0.29999999999999993</v>
      </c>
      <c r="AY266" s="44">
        <v>0</v>
      </c>
    </row>
    <row r="267" spans="1:51" x14ac:dyDescent="0.25">
      <c r="A267" s="34">
        <v>265</v>
      </c>
      <c r="B267" s="34" t="s">
        <v>56</v>
      </c>
      <c r="C267" s="110" t="str">
        <f>IFERROR(INDEX(Структура_ассортимента[SuperCategory],MATCH(Товары[[#This Row],[SubGroup]],Структура_ассортимента[Subgroup],0)),"")</f>
        <v>A</v>
      </c>
      <c r="D26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6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67" s="110" t="str">
        <f>IFERROR(INDEX(Структура_ассортимента[Product group],MATCH(Товары[[#This Row],[SubGroup]],Структура_ассортимента[Subgroup],0)),"")</f>
        <v>AMC_C</v>
      </c>
      <c r="G267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67" s="110" t="str">
        <f>IFERROR(INDEX(Структура_ассортимента[Generic Name (long)3],MATCH(Товары[[#This Row],[SubGroup]],Структура_ассортимента[Subgroup],0)),"")</f>
        <v>Секаторы</v>
      </c>
      <c r="I267" s="36">
        <v>9211</v>
      </c>
      <c r="J267" s="36" t="str">
        <f>IFERROR(INDEX(Структура_ассортимента[Generic Name (long)],MATCH(Товары[[#This Row],[SubGroup]],Структура_ассортимента[Subgroup],0)),"")</f>
        <v>SECATEUR, ANVIL</v>
      </c>
      <c r="L267" s="36">
        <v>970501001</v>
      </c>
      <c r="M267" s="35" t="s">
        <v>1951</v>
      </c>
      <c r="Q267" s="34" t="s">
        <v>3549</v>
      </c>
      <c r="R267" s="34" t="s">
        <v>3540</v>
      </c>
      <c r="S267" s="47">
        <v>44197</v>
      </c>
      <c r="T267" s="47">
        <v>0</v>
      </c>
      <c r="U267" s="47">
        <v>0</v>
      </c>
      <c r="V267" s="34">
        <v>4078500054744</v>
      </c>
      <c r="W267" s="34" t="s">
        <v>3548</v>
      </c>
      <c r="Y267" s="34" t="s">
        <v>3542</v>
      </c>
      <c r="Z267" s="34">
        <v>14</v>
      </c>
      <c r="AM267" s="40" t="s">
        <v>8095</v>
      </c>
      <c r="AT267" s="44">
        <v>0</v>
      </c>
      <c r="AU267" s="44"/>
      <c r="AV267" s="46">
        <f>ROUND(Товары[[#This Row],[РРЦ финальная, руб.]]/$AU$1,2)</f>
        <v>0</v>
      </c>
      <c r="AW267" s="45" t="str">
        <f>IFERROR(Товары[[#This Row],[РРЦ, евро]]/Товары[[#This Row],[IRP, Eur]],"-")</f>
        <v>-</v>
      </c>
      <c r="AX267" s="42">
        <f>IFERROR(VLOOKUP(Товары[[#This Row],[SubGroup]],'Структура цен DIY'!$B:$C,2,FALSE),0)</f>
        <v>0.29999999999999993</v>
      </c>
      <c r="AY267" s="44">
        <v>0</v>
      </c>
    </row>
    <row r="268" spans="1:51" x14ac:dyDescent="0.25">
      <c r="A268" s="34">
        <v>266</v>
      </c>
      <c r="B268" s="34" t="s">
        <v>56</v>
      </c>
      <c r="C268" s="110" t="str">
        <f>IFERROR(INDEX(Структура_ассортимента[SuperCategory],MATCH(Товары[[#This Row],[SubGroup]],Структура_ассортимента[Subgroup],0)),"")</f>
        <v>A</v>
      </c>
      <c r="D26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6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68" s="110" t="str">
        <f>IFERROR(INDEX(Структура_ассортимента[Product group],MATCH(Товары[[#This Row],[SubGroup]],Структура_ассортимента[Subgroup],0)),"")</f>
        <v>AMC_C</v>
      </c>
      <c r="G268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68" s="110" t="str">
        <f>IFERROR(INDEX(Структура_ассортимента[Generic Name (long)3],MATCH(Товары[[#This Row],[SubGroup]],Структура_ассортимента[Subgroup],0)),"")</f>
        <v>Секаторы</v>
      </c>
      <c r="I268" s="36">
        <v>9211</v>
      </c>
      <c r="J268" s="36" t="str">
        <f>IFERROR(INDEX(Структура_ассортимента[Generic Name (long)],MATCH(Товары[[#This Row],[SubGroup]],Структура_ассортимента[Subgroup],0)),"")</f>
        <v>SECATEUR, ANVIL</v>
      </c>
      <c r="L268" s="36">
        <v>970501101</v>
      </c>
      <c r="M268" s="35" t="s">
        <v>1952</v>
      </c>
      <c r="Q268" s="34" t="s">
        <v>3549</v>
      </c>
      <c r="R268" s="34" t="s">
        <v>3540</v>
      </c>
      <c r="S268" s="47">
        <v>44197</v>
      </c>
      <c r="T268" s="47">
        <v>0</v>
      </c>
      <c r="U268" s="47">
        <v>0</v>
      </c>
      <c r="V268" s="34">
        <v>4078500054768</v>
      </c>
      <c r="W268" s="34" t="s">
        <v>3548</v>
      </c>
      <c r="Y268" s="34" t="s">
        <v>3542</v>
      </c>
      <c r="Z268" s="34">
        <v>30</v>
      </c>
      <c r="AM268" s="40" t="s">
        <v>8095</v>
      </c>
      <c r="AT268" s="44">
        <v>0</v>
      </c>
      <c r="AU268" s="44"/>
      <c r="AV268" s="46">
        <f>ROUND(Товары[[#This Row],[РРЦ финальная, руб.]]/$AU$1,2)</f>
        <v>0</v>
      </c>
      <c r="AW268" s="45" t="str">
        <f>IFERROR(Товары[[#This Row],[РРЦ, евро]]/Товары[[#This Row],[IRP, Eur]],"-")</f>
        <v>-</v>
      </c>
      <c r="AX268" s="42">
        <f>IFERROR(VLOOKUP(Товары[[#This Row],[SubGroup]],'Структура цен DIY'!$B:$C,2,FALSE),0)</f>
        <v>0.29999999999999993</v>
      </c>
      <c r="AY268" s="44">
        <v>0</v>
      </c>
    </row>
    <row r="269" spans="1:51" x14ac:dyDescent="0.25">
      <c r="A269" s="34">
        <v>267</v>
      </c>
      <c r="B269" s="34" t="s">
        <v>56</v>
      </c>
      <c r="C269" s="110" t="str">
        <f>IFERROR(INDEX(Структура_ассортимента[SuperCategory],MATCH(Товары[[#This Row],[SubGroup]],Структура_ассортимента[Subgroup],0)),"")</f>
        <v>A</v>
      </c>
      <c r="D26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6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69" s="110" t="str">
        <f>IFERROR(INDEX(Структура_ассортимента[Product group],MATCH(Товары[[#This Row],[SubGroup]],Структура_ассортимента[Subgroup],0)),"")</f>
        <v>AMC_C</v>
      </c>
      <c r="G269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69" s="110" t="str">
        <f>IFERROR(INDEX(Структура_ассортимента[Generic Name (long)3],MATCH(Товары[[#This Row],[SubGroup]],Структура_ассортимента[Subgroup],0)),"")</f>
        <v>Сучкорезы</v>
      </c>
      <c r="I269" s="36">
        <v>9212</v>
      </c>
      <c r="J269" s="36" t="str">
        <f>IFERROR(INDEX(Структура_ассортимента[Generic Name (long)],MATCH(Товары[[#This Row],[SubGroup]],Структура_ассортимента[Subgroup],0)),"")</f>
        <v>PRUNER, ANVIL</v>
      </c>
      <c r="L269" s="36">
        <v>900834501</v>
      </c>
      <c r="M269" s="35" t="s">
        <v>1953</v>
      </c>
      <c r="Q269" s="34" t="s">
        <v>4564</v>
      </c>
      <c r="R269" s="34" t="s">
        <v>3540</v>
      </c>
      <c r="S269" s="47">
        <v>36434</v>
      </c>
      <c r="T269" s="47">
        <v>0</v>
      </c>
      <c r="U269" s="47">
        <v>0</v>
      </c>
      <c r="V269" s="34">
        <v>4078500029964</v>
      </c>
      <c r="W269" s="34" t="s">
        <v>3543</v>
      </c>
      <c r="Y269" s="34" t="s">
        <v>3542</v>
      </c>
      <c r="Z269" s="34">
        <v>12</v>
      </c>
      <c r="AA269" s="34">
        <v>2460</v>
      </c>
      <c r="AB269" s="34">
        <v>2460</v>
      </c>
      <c r="AC269" s="34">
        <v>2200</v>
      </c>
      <c r="AD269" s="34">
        <v>2200</v>
      </c>
      <c r="AE269" s="34">
        <v>1600</v>
      </c>
      <c r="AF269" s="34">
        <v>174</v>
      </c>
      <c r="AG269" s="34">
        <v>65</v>
      </c>
      <c r="AH269" s="34">
        <v>18.096</v>
      </c>
      <c r="AM269" s="40" t="s">
        <v>8094</v>
      </c>
      <c r="AT269" s="44">
        <v>0</v>
      </c>
      <c r="AU269" s="44"/>
      <c r="AV269" s="46">
        <f>ROUND(Товары[[#This Row],[РРЦ финальная, руб.]]/$AU$1,2)</f>
        <v>0</v>
      </c>
      <c r="AW269" s="45" t="str">
        <f>IFERROR(Товары[[#This Row],[РРЦ, евро]]/Товары[[#This Row],[IRP, Eur]],"-")</f>
        <v>-</v>
      </c>
      <c r="AX269" s="42">
        <f>IFERROR(VLOOKUP(Товары[[#This Row],[SubGroup]],'Структура цен DIY'!$B:$C,2,FALSE),0)</f>
        <v>0.21</v>
      </c>
      <c r="AY269" s="44">
        <v>0</v>
      </c>
    </row>
    <row r="270" spans="1:51" x14ac:dyDescent="0.25">
      <c r="A270" s="34">
        <v>268</v>
      </c>
      <c r="B270" s="34" t="s">
        <v>56</v>
      </c>
      <c r="C270" s="110" t="str">
        <f>IFERROR(INDEX(Структура_ассортимента[SuperCategory],MATCH(Товары[[#This Row],[SubGroup]],Структура_ассортимента[Subgroup],0)),"")</f>
        <v>A</v>
      </c>
      <c r="D27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7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70" s="110" t="str">
        <f>IFERROR(INDEX(Структура_ассортимента[Product group],MATCH(Товары[[#This Row],[SubGroup]],Структура_ассортимента[Subgroup],0)),"")</f>
        <v>AMC_C</v>
      </c>
      <c r="G270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70" s="110" t="str">
        <f>IFERROR(INDEX(Структура_ассортимента[Generic Name (long)3],MATCH(Товары[[#This Row],[SubGroup]],Структура_ассортимента[Subgroup],0)),"")</f>
        <v>Сучкорезы</v>
      </c>
      <c r="I270" s="36">
        <v>9212</v>
      </c>
      <c r="J270" s="36" t="str">
        <f>IFERROR(INDEX(Структура_ассортимента[Generic Name (long)],MATCH(Товары[[#This Row],[SubGroup]],Структура_ассортимента[Subgroup],0)),"")</f>
        <v>PRUNER, ANVIL</v>
      </c>
      <c r="L270" s="36">
        <v>900834601</v>
      </c>
      <c r="M270" s="35" t="s">
        <v>1954</v>
      </c>
      <c r="Q270" s="34" t="s">
        <v>4564</v>
      </c>
      <c r="R270" s="34" t="s">
        <v>3540</v>
      </c>
      <c r="S270" s="47">
        <v>34215</v>
      </c>
      <c r="T270" s="47">
        <v>0</v>
      </c>
      <c r="U270" s="47">
        <v>0</v>
      </c>
      <c r="V270" s="34">
        <v>4078500030205</v>
      </c>
      <c r="W270" s="34" t="s">
        <v>3547</v>
      </c>
      <c r="Y270" s="34" t="s">
        <v>3542</v>
      </c>
      <c r="Z270" s="34">
        <v>6</v>
      </c>
      <c r="AA270" s="34">
        <v>980</v>
      </c>
      <c r="AB270" s="34">
        <v>980</v>
      </c>
      <c r="AC270" s="34">
        <v>850</v>
      </c>
      <c r="AD270" s="34">
        <v>850</v>
      </c>
      <c r="AE270" s="34">
        <v>446</v>
      </c>
      <c r="AF270" s="34">
        <v>174</v>
      </c>
      <c r="AG270" s="34">
        <v>65</v>
      </c>
      <c r="AH270" s="34">
        <v>5.0439999999999996</v>
      </c>
      <c r="AM270" s="40" t="s">
        <v>8094</v>
      </c>
      <c r="AT270" s="44">
        <v>0</v>
      </c>
      <c r="AU270" s="44"/>
      <c r="AV270" s="46">
        <f>ROUND(Товары[[#This Row],[РРЦ финальная, руб.]]/$AU$1,2)</f>
        <v>0</v>
      </c>
      <c r="AW270" s="45" t="str">
        <f>IFERROR(Товары[[#This Row],[РРЦ, евро]]/Товары[[#This Row],[IRP, Eur]],"-")</f>
        <v>-</v>
      </c>
      <c r="AX270" s="42">
        <f>IFERROR(VLOOKUP(Товары[[#This Row],[SubGroup]],'Структура цен DIY'!$B:$C,2,FALSE),0)</f>
        <v>0.21</v>
      </c>
      <c r="AY270" s="44">
        <v>0</v>
      </c>
    </row>
    <row r="271" spans="1:51" x14ac:dyDescent="0.25">
      <c r="A271" s="34">
        <v>269</v>
      </c>
      <c r="B271" s="34" t="s">
        <v>56</v>
      </c>
      <c r="C271" s="110" t="str">
        <f>IFERROR(INDEX(Структура_ассортимента[SuperCategory],MATCH(Товары[[#This Row],[SubGroup]],Структура_ассортимента[Subgroup],0)),"")</f>
        <v>A</v>
      </c>
      <c r="D27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7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71" s="110" t="str">
        <f>IFERROR(INDEX(Структура_ассортимента[Product group],MATCH(Товары[[#This Row],[SubGroup]],Структура_ассортимента[Subgroup],0)),"")</f>
        <v>AMC_C</v>
      </c>
      <c r="G271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71" s="110" t="str">
        <f>IFERROR(INDEX(Структура_ассортимента[Generic Name (long)3],MATCH(Товары[[#This Row],[SubGroup]],Структура_ассортимента[Subgroup],0)),"")</f>
        <v>Сучкорезы</v>
      </c>
      <c r="I271" s="36">
        <v>9212</v>
      </c>
      <c r="J271" s="36" t="str">
        <f>IFERROR(INDEX(Структура_ассортимента[Generic Name (long)],MATCH(Товары[[#This Row],[SubGroup]],Структура_ассортимента[Subgroup],0)),"")</f>
        <v>PRUNER, ANVIL</v>
      </c>
      <c r="L271" s="36">
        <v>900834901</v>
      </c>
      <c r="M271" s="35" t="s">
        <v>1955</v>
      </c>
      <c r="Q271" s="34" t="s">
        <v>4564</v>
      </c>
      <c r="R271" s="34" t="s">
        <v>3540</v>
      </c>
      <c r="S271" s="47">
        <v>34215</v>
      </c>
      <c r="T271" s="47">
        <v>0</v>
      </c>
      <c r="U271" s="47">
        <v>0</v>
      </c>
      <c r="V271" s="34">
        <v>4078500030304</v>
      </c>
      <c r="W271" s="34" t="s">
        <v>3547</v>
      </c>
      <c r="Y271" s="34" t="s">
        <v>3542</v>
      </c>
      <c r="Z271" s="34">
        <v>6</v>
      </c>
      <c r="AA271" s="34">
        <v>1082</v>
      </c>
      <c r="AB271" s="34">
        <v>1082</v>
      </c>
      <c r="AC271" s="34">
        <v>1035</v>
      </c>
      <c r="AD271" s="34">
        <v>1035</v>
      </c>
      <c r="AE271" s="34">
        <v>445</v>
      </c>
      <c r="AF271" s="34">
        <v>175</v>
      </c>
      <c r="AG271" s="34">
        <v>50</v>
      </c>
      <c r="AH271" s="34">
        <v>3.8940000000000001</v>
      </c>
      <c r="AM271" s="40" t="s">
        <v>8094</v>
      </c>
      <c r="AT271" s="44">
        <v>0</v>
      </c>
      <c r="AU271" s="44"/>
      <c r="AV271" s="46">
        <f>ROUND(Товары[[#This Row],[РРЦ финальная, руб.]]/$AU$1,2)</f>
        <v>0</v>
      </c>
      <c r="AW271" s="45" t="str">
        <f>IFERROR(Товары[[#This Row],[РРЦ, евро]]/Товары[[#This Row],[IRP, Eur]],"-")</f>
        <v>-</v>
      </c>
      <c r="AX271" s="42">
        <f>IFERROR(VLOOKUP(Товары[[#This Row],[SubGroup]],'Структура цен DIY'!$B:$C,2,FALSE),0)</f>
        <v>0.21</v>
      </c>
      <c r="AY271" s="44">
        <v>0</v>
      </c>
    </row>
    <row r="272" spans="1:51" x14ac:dyDescent="0.25">
      <c r="A272" s="34">
        <v>270</v>
      </c>
      <c r="B272" s="34" t="s">
        <v>56</v>
      </c>
      <c r="C272" s="110" t="str">
        <f>IFERROR(INDEX(Структура_ассортимента[SuperCategory],MATCH(Товары[[#This Row],[SubGroup]],Структура_ассортимента[Subgroup],0)),"")</f>
        <v>A</v>
      </c>
      <c r="D27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7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72" s="110" t="str">
        <f>IFERROR(INDEX(Структура_ассортимента[Product group],MATCH(Товары[[#This Row],[SubGroup]],Структура_ассортимента[Subgroup],0)),"")</f>
        <v>AMC_C</v>
      </c>
      <c r="G272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72" s="110" t="str">
        <f>IFERROR(INDEX(Структура_ассортимента[Generic Name (long)3],MATCH(Товары[[#This Row],[SubGroup]],Структура_ассортимента[Subgroup],0)),"")</f>
        <v>Сучкорезы</v>
      </c>
      <c r="I272" s="36">
        <v>9212</v>
      </c>
      <c r="J272" s="36" t="str">
        <f>IFERROR(INDEX(Структура_ассортимента[Generic Name (long)],MATCH(Товары[[#This Row],[SubGroup]],Структура_ассортимента[Subgroup],0)),"")</f>
        <v>PRUNER, ANVIL</v>
      </c>
      <c r="L272" s="36">
        <v>900835001</v>
      </c>
      <c r="M272" s="35" t="s">
        <v>1956</v>
      </c>
      <c r="Q272" s="34" t="s">
        <v>4564</v>
      </c>
      <c r="R272" s="34" t="s">
        <v>3540</v>
      </c>
      <c r="S272" s="47">
        <v>34608</v>
      </c>
      <c r="T272" s="47">
        <v>0</v>
      </c>
      <c r="U272" s="47">
        <v>0</v>
      </c>
      <c r="V272" s="34">
        <v>4078500030403</v>
      </c>
      <c r="W272" s="34" t="s">
        <v>3547</v>
      </c>
      <c r="Y272" s="34" t="s">
        <v>3542</v>
      </c>
      <c r="Z272" s="34">
        <v>6</v>
      </c>
      <c r="AA272" s="34">
        <v>1000</v>
      </c>
      <c r="AB272" s="34">
        <v>1000</v>
      </c>
      <c r="AC272" s="34">
        <v>960</v>
      </c>
      <c r="AD272" s="34">
        <v>960</v>
      </c>
      <c r="AE272" s="34">
        <v>446</v>
      </c>
      <c r="AF272" s="34">
        <v>190</v>
      </c>
      <c r="AG272" s="34">
        <v>70</v>
      </c>
      <c r="AH272" s="34">
        <v>5.9320000000000004</v>
      </c>
      <c r="AM272" s="40" t="s">
        <v>8094</v>
      </c>
      <c r="AT272" s="44">
        <v>0</v>
      </c>
      <c r="AU272" s="44"/>
      <c r="AV272" s="46">
        <f>ROUND(Товары[[#This Row],[РРЦ финальная, руб.]]/$AU$1,2)</f>
        <v>0</v>
      </c>
      <c r="AW272" s="45" t="str">
        <f>IFERROR(Товары[[#This Row],[РРЦ, евро]]/Товары[[#This Row],[IRP, Eur]],"-")</f>
        <v>-</v>
      </c>
      <c r="AX272" s="42">
        <f>IFERROR(VLOOKUP(Товары[[#This Row],[SubGroup]],'Структура цен DIY'!$B:$C,2,FALSE),0)</f>
        <v>0.21</v>
      </c>
      <c r="AY272" s="44">
        <v>0</v>
      </c>
    </row>
    <row r="273" spans="1:51" x14ac:dyDescent="0.25">
      <c r="A273" s="34">
        <v>271</v>
      </c>
      <c r="B273" s="34" t="s">
        <v>56</v>
      </c>
      <c r="C273" s="110" t="str">
        <f>IFERROR(INDEX(Структура_ассортимента[SuperCategory],MATCH(Товары[[#This Row],[SubGroup]],Структура_ассортимента[Subgroup],0)),"")</f>
        <v>A</v>
      </c>
      <c r="D27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7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73" s="110" t="str">
        <f>IFERROR(INDEX(Структура_ассортимента[Product group],MATCH(Товары[[#This Row],[SubGroup]],Структура_ассортимента[Subgroup],0)),"")</f>
        <v>AMC_C</v>
      </c>
      <c r="G273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73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73" s="36">
        <v>9213</v>
      </c>
      <c r="J273" s="36" t="str">
        <f>IFERROR(INDEX(Структура_ассортимента[Generic Name (long)],MATCH(Товары[[#This Row],[SubGroup]],Структура_ассортимента[Subgroup],0)),"")</f>
        <v>HEDGE CLIPPER</v>
      </c>
      <c r="L273" s="36">
        <v>900841401</v>
      </c>
      <c r="M273" s="35" t="s">
        <v>1957</v>
      </c>
      <c r="Q273" s="34" t="s">
        <v>3544</v>
      </c>
      <c r="R273" s="34" t="s">
        <v>3540</v>
      </c>
      <c r="S273" s="47">
        <v>38626</v>
      </c>
      <c r="T273" s="47">
        <v>0</v>
      </c>
      <c r="U273" s="47">
        <v>0</v>
      </c>
      <c r="V273" s="34">
        <v>4078500038300</v>
      </c>
      <c r="W273" s="34" t="s">
        <v>3548</v>
      </c>
      <c r="Y273" s="34" t="s">
        <v>3542</v>
      </c>
      <c r="Z273" s="34">
        <v>1</v>
      </c>
      <c r="AA273" s="34">
        <v>12004</v>
      </c>
      <c r="AB273" s="34">
        <v>12004</v>
      </c>
      <c r="AC273" s="34">
        <v>8700</v>
      </c>
      <c r="AD273" s="34">
        <v>8700</v>
      </c>
      <c r="AE273" s="34">
        <v>793</v>
      </c>
      <c r="AF273" s="34">
        <v>430</v>
      </c>
      <c r="AG273" s="34">
        <v>255</v>
      </c>
      <c r="AH273" s="34">
        <v>86.951999999999998</v>
      </c>
      <c r="AM273" s="40" t="s">
        <v>8094</v>
      </c>
      <c r="AT273" s="44">
        <v>0</v>
      </c>
      <c r="AU273" s="44"/>
      <c r="AV273" s="46">
        <f>ROUND(Товары[[#This Row],[РРЦ финальная, руб.]]/$AU$1,2)</f>
        <v>0</v>
      </c>
      <c r="AW273" s="45" t="str">
        <f>IFERROR(Товары[[#This Row],[РРЦ, евро]]/Товары[[#This Row],[IRP, Eur]],"-")</f>
        <v>-</v>
      </c>
      <c r="AX273" s="42">
        <f>IFERROR(VLOOKUP(Товары[[#This Row],[SubGroup]],'Структура цен DIY'!$B:$C,2,FALSE),0)</f>
        <v>0.3</v>
      </c>
      <c r="AY273" s="44">
        <v>0</v>
      </c>
    </row>
    <row r="274" spans="1:51" x14ac:dyDescent="0.25">
      <c r="A274" s="34">
        <v>272</v>
      </c>
      <c r="B274" s="34" t="s">
        <v>56</v>
      </c>
      <c r="C274" s="110" t="str">
        <f>IFERROR(INDEX(Структура_ассортимента[SuperCategory],MATCH(Товары[[#This Row],[SubGroup]],Структура_ассортимента[Subgroup],0)),"")</f>
        <v>A</v>
      </c>
      <c r="D27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7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74" s="110" t="str">
        <f>IFERROR(INDEX(Структура_ассортимента[Product group],MATCH(Товары[[#This Row],[SubGroup]],Структура_ассортимента[Subgroup],0)),"")</f>
        <v>AMC_C</v>
      </c>
      <c r="G274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74" s="110" t="str">
        <f>IFERROR(INDEX(Структура_ассортимента[Generic Name (long)3],MATCH(Товары[[#This Row],[SubGroup]],Структура_ассортимента[Subgroup],0)),"")</f>
        <v>Секаторы</v>
      </c>
      <c r="I274" s="36">
        <v>9211</v>
      </c>
      <c r="J274" s="36" t="str">
        <f>IFERROR(INDEX(Структура_ассортимента[Generic Name (long)],MATCH(Товары[[#This Row],[SubGroup]],Структура_ассортимента[Subgroup],0)),"")</f>
        <v>SECATEUR, ANVIL</v>
      </c>
      <c r="L274" s="36">
        <v>901181001</v>
      </c>
      <c r="M274" s="35" t="s">
        <v>1958</v>
      </c>
      <c r="Q274" s="34" t="s">
        <v>4564</v>
      </c>
      <c r="R274" s="34" t="s">
        <v>3540</v>
      </c>
      <c r="S274" s="47">
        <v>37895</v>
      </c>
      <c r="T274" s="47">
        <v>0</v>
      </c>
      <c r="U274" s="47">
        <v>0</v>
      </c>
      <c r="V274" s="34">
        <v>4078500870009</v>
      </c>
      <c r="W274" s="34" t="s">
        <v>3548</v>
      </c>
      <c r="Y274" s="34" t="s">
        <v>3542</v>
      </c>
      <c r="Z274" s="34">
        <v>5</v>
      </c>
      <c r="AA274" s="34">
        <v>303</v>
      </c>
      <c r="AB274" s="34">
        <v>303</v>
      </c>
      <c r="AC274" s="34">
        <v>300</v>
      </c>
      <c r="AD274" s="34">
        <v>300</v>
      </c>
      <c r="AE274" s="34">
        <v>210</v>
      </c>
      <c r="AF274" s="34">
        <v>50</v>
      </c>
      <c r="AG274" s="34">
        <v>21</v>
      </c>
      <c r="AH274" s="34">
        <v>0.221</v>
      </c>
      <c r="AM274" s="40" t="s">
        <v>8094</v>
      </c>
      <c r="AT274" s="44">
        <v>0</v>
      </c>
      <c r="AU274" s="44"/>
      <c r="AV274" s="46">
        <f>ROUND(Товары[[#This Row],[РРЦ финальная, руб.]]/$AU$1,2)</f>
        <v>0</v>
      </c>
      <c r="AW274" s="45" t="str">
        <f>IFERROR(Товары[[#This Row],[РРЦ, евро]]/Товары[[#This Row],[IRP, Eur]],"-")</f>
        <v>-</v>
      </c>
      <c r="AX274" s="42">
        <f>IFERROR(VLOOKUP(Товары[[#This Row],[SubGroup]],'Структура цен DIY'!$B:$C,2,FALSE),0)</f>
        <v>0.29999999999999993</v>
      </c>
      <c r="AY274" s="44">
        <v>0</v>
      </c>
    </row>
    <row r="275" spans="1:51" x14ac:dyDescent="0.25">
      <c r="A275" s="34">
        <v>273</v>
      </c>
      <c r="B275" s="34" t="s">
        <v>56</v>
      </c>
      <c r="C275" s="110" t="str">
        <f>IFERROR(INDEX(Структура_ассортимента[SuperCategory],MATCH(Товары[[#This Row],[SubGroup]],Структура_ассортимента[Subgroup],0)),"")</f>
        <v>A</v>
      </c>
      <c r="D27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7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75" s="110" t="str">
        <f>IFERROR(INDEX(Структура_ассортимента[Product group],MATCH(Товары[[#This Row],[SubGroup]],Структура_ассортимента[Subgroup],0)),"")</f>
        <v>AMC_C</v>
      </c>
      <c r="G275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75" s="110" t="str">
        <f>IFERROR(INDEX(Структура_ассортимента[Generic Name (long)3],MATCH(Товары[[#This Row],[SubGroup]],Структура_ассортимента[Subgroup],0)),"")</f>
        <v>Секаторы</v>
      </c>
      <c r="I275" s="36">
        <v>9211</v>
      </c>
      <c r="J275" s="36" t="str">
        <f>IFERROR(INDEX(Структура_ассортимента[Generic Name (long)],MATCH(Товары[[#This Row],[SubGroup]],Структура_ассортимента[Subgroup],0)),"")</f>
        <v>SECATEUR, ANVIL</v>
      </c>
      <c r="L275" s="36">
        <v>901181201</v>
      </c>
      <c r="M275" s="35" t="s">
        <v>1959</v>
      </c>
      <c r="Q275" s="34" t="s">
        <v>4564</v>
      </c>
      <c r="R275" s="34" t="s">
        <v>3540</v>
      </c>
      <c r="S275" s="47">
        <v>37895</v>
      </c>
      <c r="T275" s="47">
        <v>0</v>
      </c>
      <c r="U275" s="47">
        <v>0</v>
      </c>
      <c r="V275" s="34">
        <v>4078500870108</v>
      </c>
      <c r="W275" s="34" t="s">
        <v>3548</v>
      </c>
      <c r="Y275" s="34" t="s">
        <v>3542</v>
      </c>
      <c r="Z275" s="34">
        <v>5</v>
      </c>
      <c r="AA275" s="34">
        <v>285</v>
      </c>
      <c r="AB275" s="34">
        <v>285</v>
      </c>
      <c r="AC275" s="34">
        <v>240</v>
      </c>
      <c r="AD275" s="34">
        <v>240</v>
      </c>
      <c r="AE275" s="34">
        <v>215</v>
      </c>
      <c r="AF275" s="34">
        <v>50</v>
      </c>
      <c r="AG275" s="34">
        <v>20</v>
      </c>
      <c r="AH275" s="34">
        <v>0.215</v>
      </c>
      <c r="AM275" s="40" t="s">
        <v>8094</v>
      </c>
      <c r="AT275" s="44">
        <v>0</v>
      </c>
      <c r="AU275" s="44"/>
      <c r="AV275" s="46">
        <f>ROUND(Товары[[#This Row],[РРЦ финальная, руб.]]/$AU$1,2)</f>
        <v>0</v>
      </c>
      <c r="AW275" s="45" t="str">
        <f>IFERROR(Товары[[#This Row],[РРЦ, евро]]/Товары[[#This Row],[IRP, Eur]],"-")</f>
        <v>-</v>
      </c>
      <c r="AX275" s="42">
        <f>IFERROR(VLOOKUP(Товары[[#This Row],[SubGroup]],'Структура цен DIY'!$B:$C,2,FALSE),0)</f>
        <v>0.29999999999999993</v>
      </c>
      <c r="AY275" s="44">
        <v>0</v>
      </c>
    </row>
    <row r="276" spans="1:51" x14ac:dyDescent="0.25">
      <c r="A276" s="34">
        <v>274</v>
      </c>
      <c r="B276" s="34" t="s">
        <v>56</v>
      </c>
      <c r="C276" s="110" t="str">
        <f>IFERROR(INDEX(Структура_ассортимента[SuperCategory],MATCH(Товары[[#This Row],[SubGroup]],Структура_ассортимента[Subgroup],0)),"")</f>
        <v>A</v>
      </c>
      <c r="D27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7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76" s="110" t="str">
        <f>IFERROR(INDEX(Структура_ассортимента[Product group],MATCH(Товары[[#This Row],[SubGroup]],Структура_ассортимента[Subgroup],0)),"")</f>
        <v>AMC_C</v>
      </c>
      <c r="G276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76" s="110" t="str">
        <f>IFERROR(INDEX(Структура_ассортимента[Generic Name (long)3],MATCH(Товары[[#This Row],[SubGroup]],Структура_ассортимента[Subgroup],0)),"")</f>
        <v>Сучкорезы</v>
      </c>
      <c r="I276" s="36">
        <v>9212</v>
      </c>
      <c r="J276" s="36" t="str">
        <f>IFERROR(INDEX(Структура_ассортимента[Generic Name (long)],MATCH(Товары[[#This Row],[SubGroup]],Структура_ассортимента[Subgroup],0)),"")</f>
        <v>PRUNER, ANVIL</v>
      </c>
      <c r="L276" s="36">
        <v>901183601</v>
      </c>
      <c r="M276" s="35" t="s">
        <v>1960</v>
      </c>
      <c r="Q276" s="34" t="s">
        <v>3544</v>
      </c>
      <c r="R276" s="34" t="s">
        <v>3540</v>
      </c>
      <c r="S276" s="47">
        <v>37895</v>
      </c>
      <c r="T276" s="47">
        <v>0</v>
      </c>
      <c r="U276" s="47">
        <v>0</v>
      </c>
      <c r="V276" s="34">
        <v>4078500871105</v>
      </c>
      <c r="W276" s="34" t="s">
        <v>3548</v>
      </c>
      <c r="Y276" s="34" t="s">
        <v>3542</v>
      </c>
      <c r="Z276" s="34">
        <v>2</v>
      </c>
      <c r="AA276" s="34">
        <v>1713</v>
      </c>
      <c r="AB276" s="34">
        <v>1713</v>
      </c>
      <c r="AC276" s="34">
        <v>1514</v>
      </c>
      <c r="AD276" s="34">
        <v>1514</v>
      </c>
      <c r="AE276" s="34">
        <v>790</v>
      </c>
      <c r="AF276" s="34">
        <v>245</v>
      </c>
      <c r="AG276" s="34">
        <v>39</v>
      </c>
      <c r="AH276" s="34">
        <v>7.548</v>
      </c>
      <c r="AM276" s="40" t="s">
        <v>8094</v>
      </c>
      <c r="AT276" s="44">
        <v>0</v>
      </c>
      <c r="AU276" s="44"/>
      <c r="AV276" s="46">
        <f>ROUND(Товары[[#This Row],[РРЦ финальная, руб.]]/$AU$1,2)</f>
        <v>0</v>
      </c>
      <c r="AW276" s="45" t="str">
        <f>IFERROR(Товары[[#This Row],[РРЦ, евро]]/Товары[[#This Row],[IRP, Eur]],"-")</f>
        <v>-</v>
      </c>
      <c r="AX276" s="42">
        <f>IFERROR(VLOOKUP(Товары[[#This Row],[SubGroup]],'Структура цен DIY'!$B:$C,2,FALSE),0)</f>
        <v>0.21</v>
      </c>
      <c r="AY276" s="44">
        <v>0</v>
      </c>
    </row>
    <row r="277" spans="1:51" x14ac:dyDescent="0.25">
      <c r="A277" s="34">
        <v>275</v>
      </c>
      <c r="B277" s="34" t="s">
        <v>56</v>
      </c>
      <c r="C277" s="110" t="str">
        <f>IFERROR(INDEX(Структура_ассортимента[SuperCategory],MATCH(Товары[[#This Row],[SubGroup]],Структура_ассортимента[Subgroup],0)),"")</f>
        <v>A</v>
      </c>
      <c r="D27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7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77" s="110" t="str">
        <f>IFERROR(INDEX(Структура_ассортимента[Product group],MATCH(Товары[[#This Row],[SubGroup]],Структура_ассортимента[Subgroup],0)),"")</f>
        <v>AMC_C</v>
      </c>
      <c r="G277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77" s="110" t="str">
        <f>IFERROR(INDEX(Структура_ассортимента[Generic Name (long)3],MATCH(Товары[[#This Row],[SubGroup]],Структура_ассортимента[Subgroup],0)),"")</f>
        <v>Топоры, колуны</v>
      </c>
      <c r="I277" s="36">
        <v>9215</v>
      </c>
      <c r="J277" s="36" t="str">
        <f>IFERROR(INDEX(Структура_ассортимента[Generic Name (long)],MATCH(Товары[[#This Row],[SubGroup]],Структура_ассортимента[Subgroup],0)),"")</f>
        <v>CHOPPER</v>
      </c>
      <c r="L277" s="36">
        <v>967154701</v>
      </c>
      <c r="M277" s="35" t="s">
        <v>1961</v>
      </c>
      <c r="Q277" s="34" t="s">
        <v>4564</v>
      </c>
      <c r="R277" s="34" t="s">
        <v>3540</v>
      </c>
      <c r="S277" s="47">
        <v>41334</v>
      </c>
      <c r="T277" s="47">
        <v>0</v>
      </c>
      <c r="U277" s="47">
        <v>0</v>
      </c>
      <c r="V277" s="34">
        <v>4078500871303</v>
      </c>
      <c r="W277" s="34" t="s">
        <v>3541</v>
      </c>
      <c r="Y277" s="34" t="s">
        <v>3542</v>
      </c>
      <c r="Z277" s="34">
        <v>4</v>
      </c>
      <c r="AA277" s="34">
        <v>945</v>
      </c>
      <c r="AB277" s="34">
        <v>945</v>
      </c>
      <c r="AC277" s="34">
        <v>845</v>
      </c>
      <c r="AD277" s="34">
        <v>845</v>
      </c>
      <c r="AE277" s="34">
        <v>390</v>
      </c>
      <c r="AF277" s="34">
        <v>160</v>
      </c>
      <c r="AG277" s="34">
        <v>45</v>
      </c>
      <c r="AH277" s="34">
        <v>2.8079999999999998</v>
      </c>
      <c r="AM277" s="40" t="s">
        <v>8094</v>
      </c>
      <c r="AT277" s="44">
        <v>0</v>
      </c>
      <c r="AU277" s="44"/>
      <c r="AV277" s="46">
        <f>ROUND(Товары[[#This Row],[РРЦ финальная, руб.]]/$AU$1,2)</f>
        <v>0</v>
      </c>
      <c r="AW277" s="45" t="str">
        <f>IFERROR(Товары[[#This Row],[РРЦ, евро]]/Товары[[#This Row],[IRP, Eur]],"-")</f>
        <v>-</v>
      </c>
      <c r="AX277" s="42">
        <f>IFERROR(VLOOKUP(Товары[[#This Row],[SubGroup]],'Структура цен DIY'!$B:$C,2,FALSE),0)</f>
        <v>0.34</v>
      </c>
      <c r="AY277" s="44">
        <v>0</v>
      </c>
    </row>
    <row r="278" spans="1:51" x14ac:dyDescent="0.25">
      <c r="A278" s="34">
        <v>276</v>
      </c>
      <c r="B278" s="34" t="s">
        <v>56</v>
      </c>
      <c r="C278" s="110" t="str">
        <f>IFERROR(INDEX(Структура_ассортимента[SuperCategory],MATCH(Товары[[#This Row],[SubGroup]],Структура_ассортимента[Subgroup],0)),"")</f>
        <v>A</v>
      </c>
      <c r="D27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7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78" s="110" t="str">
        <f>IFERROR(INDEX(Структура_ассортимента[Product group],MATCH(Товары[[#This Row],[SubGroup]],Структура_ассортимента[Subgroup],0)),"")</f>
        <v>AMC_C</v>
      </c>
      <c r="G278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78" s="110" t="str">
        <f>IFERROR(INDEX(Структура_ассортимента[Generic Name (long)3],MATCH(Товары[[#This Row],[SubGroup]],Структура_ассортимента[Subgroup],0)),"")</f>
        <v>Топоры, колуны</v>
      </c>
      <c r="I278" s="36">
        <v>9215</v>
      </c>
      <c r="J278" s="36" t="str">
        <f>IFERROR(INDEX(Структура_ассортимента[Generic Name (long)],MATCH(Товары[[#This Row],[SubGroup]],Структура_ассортимента[Subgroup],0)),"")</f>
        <v>CHOPPER</v>
      </c>
      <c r="L278" s="36">
        <v>967154801</v>
      </c>
      <c r="M278" s="35" t="s">
        <v>1962</v>
      </c>
      <c r="Q278" s="34" t="s">
        <v>4564</v>
      </c>
      <c r="R278" s="34" t="s">
        <v>3540</v>
      </c>
      <c r="S278" s="47">
        <v>41334</v>
      </c>
      <c r="T278" s="47">
        <v>0</v>
      </c>
      <c r="U278" s="47">
        <v>0</v>
      </c>
      <c r="V278" s="34">
        <v>4078500871402</v>
      </c>
      <c r="W278" s="34" t="s">
        <v>3541</v>
      </c>
      <c r="Y278" s="34" t="s">
        <v>3542</v>
      </c>
      <c r="Z278" s="34">
        <v>4</v>
      </c>
      <c r="AA278" s="34">
        <v>1115</v>
      </c>
      <c r="AB278" s="34">
        <v>1115</v>
      </c>
      <c r="AC278" s="34">
        <v>1000</v>
      </c>
      <c r="AD278" s="34">
        <v>1000</v>
      </c>
      <c r="AE278" s="34">
        <v>477</v>
      </c>
      <c r="AF278" s="34">
        <v>163</v>
      </c>
      <c r="AG278" s="34">
        <v>33</v>
      </c>
      <c r="AH278" s="34">
        <v>2.5659999999999998</v>
      </c>
      <c r="AM278" s="40" t="s">
        <v>8094</v>
      </c>
      <c r="AT278" s="44">
        <v>0</v>
      </c>
      <c r="AU278" s="44"/>
      <c r="AV278" s="46">
        <f>ROUND(Товары[[#This Row],[РРЦ финальная, руб.]]/$AU$1,2)</f>
        <v>0</v>
      </c>
      <c r="AW278" s="45" t="str">
        <f>IFERROR(Товары[[#This Row],[РРЦ, евро]]/Товары[[#This Row],[IRP, Eur]],"-")</f>
        <v>-</v>
      </c>
      <c r="AX278" s="42">
        <f>IFERROR(VLOOKUP(Товары[[#This Row],[SubGroup]],'Структура цен DIY'!$B:$C,2,FALSE),0)</f>
        <v>0.34</v>
      </c>
      <c r="AY278" s="44">
        <v>0</v>
      </c>
    </row>
    <row r="279" spans="1:51" x14ac:dyDescent="0.25">
      <c r="A279" s="34">
        <v>277</v>
      </c>
      <c r="B279" s="34" t="s">
        <v>56</v>
      </c>
      <c r="C279" s="110" t="str">
        <f>IFERROR(INDEX(Структура_ассортимента[SuperCategory],MATCH(Товары[[#This Row],[SubGroup]],Структура_ассортимента[Subgroup],0)),"")</f>
        <v>A</v>
      </c>
      <c r="D27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7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79" s="110" t="str">
        <f>IFERROR(INDEX(Структура_ассортимента[Product group],MATCH(Товары[[#This Row],[SubGroup]],Структура_ассортимента[Subgroup],0)),"")</f>
        <v>AMC_C</v>
      </c>
      <c r="G279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79" s="110" t="str">
        <f>IFERROR(INDEX(Структура_ассортимента[Generic Name (long)3],MATCH(Товары[[#This Row],[SubGroup]],Структура_ассортимента[Subgroup],0)),"")</f>
        <v>Топоры, колуны</v>
      </c>
      <c r="I279" s="36">
        <v>9215</v>
      </c>
      <c r="J279" s="36" t="str">
        <f>IFERROR(INDEX(Структура_ассортимента[Generic Name (long)],MATCH(Товары[[#This Row],[SubGroup]],Структура_ассортимента[Subgroup],0)),"")</f>
        <v>CHOPPER</v>
      </c>
      <c r="L279" s="36">
        <v>967154901</v>
      </c>
      <c r="M279" s="35" t="s">
        <v>1963</v>
      </c>
      <c r="Q279" s="34" t="s">
        <v>4564</v>
      </c>
      <c r="R279" s="34" t="s">
        <v>3540</v>
      </c>
      <c r="S279" s="47">
        <v>41334</v>
      </c>
      <c r="T279" s="47">
        <v>0</v>
      </c>
      <c r="U279" s="47">
        <v>0</v>
      </c>
      <c r="V279" s="34">
        <v>4078500871600</v>
      </c>
      <c r="W279" s="34" t="s">
        <v>3541</v>
      </c>
      <c r="Y279" s="34" t="s">
        <v>3542</v>
      </c>
      <c r="Z279" s="34">
        <v>2</v>
      </c>
      <c r="AA279" s="34">
        <v>1815</v>
      </c>
      <c r="AB279" s="34">
        <v>1815</v>
      </c>
      <c r="AC279" s="34">
        <v>1600</v>
      </c>
      <c r="AD279" s="34">
        <v>1600</v>
      </c>
      <c r="AE279" s="34">
        <v>628</v>
      </c>
      <c r="AF279" s="34">
        <v>184</v>
      </c>
      <c r="AG279" s="34">
        <v>40</v>
      </c>
      <c r="AH279" s="34">
        <v>4.6219999999999999</v>
      </c>
      <c r="AM279" s="40" t="s">
        <v>8094</v>
      </c>
      <c r="AT279" s="44">
        <v>0</v>
      </c>
      <c r="AU279" s="44"/>
      <c r="AV279" s="46">
        <f>ROUND(Товары[[#This Row],[РРЦ финальная, руб.]]/$AU$1,2)</f>
        <v>0</v>
      </c>
      <c r="AW279" s="45" t="str">
        <f>IFERROR(Товары[[#This Row],[РРЦ, евро]]/Товары[[#This Row],[IRP, Eur]],"-")</f>
        <v>-</v>
      </c>
      <c r="AX279" s="42">
        <f>IFERROR(VLOOKUP(Товары[[#This Row],[SubGroup]],'Структура цен DIY'!$B:$C,2,FALSE),0)</f>
        <v>0.34</v>
      </c>
      <c r="AY279" s="44">
        <v>0</v>
      </c>
    </row>
    <row r="280" spans="1:51" x14ac:dyDescent="0.25">
      <c r="A280" s="34">
        <v>278</v>
      </c>
      <c r="B280" s="34" t="s">
        <v>56</v>
      </c>
      <c r="C280" s="110" t="str">
        <f>IFERROR(INDEX(Структура_ассортимента[SuperCategory],MATCH(Товары[[#This Row],[SubGroup]],Структура_ассортимента[Subgroup],0)),"")</f>
        <v>A</v>
      </c>
      <c r="D28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8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80" s="110" t="str">
        <f>IFERROR(INDEX(Структура_ассортимента[Product group],MATCH(Товары[[#This Row],[SubGroup]],Структура_ассортимента[Subgroup],0)),"")</f>
        <v>AMC_C</v>
      </c>
      <c r="G280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80" s="110" t="str">
        <f>IFERROR(INDEX(Структура_ассортимента[Generic Name (long)3],MATCH(Товары[[#This Row],[SubGroup]],Структура_ассортимента[Subgroup],0)),"")</f>
        <v>Топоры, колуны</v>
      </c>
      <c r="I280" s="36">
        <v>9215</v>
      </c>
      <c r="J280" s="36" t="str">
        <f>IFERROR(INDEX(Структура_ассортимента[Generic Name (long)],MATCH(Товары[[#This Row],[SubGroup]],Структура_ассортимента[Subgroup],0)),"")</f>
        <v>CHOPPER</v>
      </c>
      <c r="L280" s="36">
        <v>967155101</v>
      </c>
      <c r="M280" s="35" t="s">
        <v>1964</v>
      </c>
      <c r="Q280" s="34" t="s">
        <v>4564</v>
      </c>
      <c r="R280" s="34" t="s">
        <v>3540</v>
      </c>
      <c r="S280" s="47">
        <v>41334</v>
      </c>
      <c r="T280" s="47">
        <v>0</v>
      </c>
      <c r="U280" s="47">
        <v>0</v>
      </c>
      <c r="V280" s="34">
        <v>4078500871808</v>
      </c>
      <c r="W280" s="34" t="s">
        <v>3541</v>
      </c>
      <c r="Y280" s="34" t="s">
        <v>3542</v>
      </c>
      <c r="Z280" s="34">
        <v>2</v>
      </c>
      <c r="AA280" s="34">
        <v>2015</v>
      </c>
      <c r="AB280" s="34">
        <v>2015</v>
      </c>
      <c r="AC280" s="34">
        <v>1800</v>
      </c>
      <c r="AD280" s="34">
        <v>1800</v>
      </c>
      <c r="AE280" s="34">
        <v>628</v>
      </c>
      <c r="AF280" s="34">
        <v>184</v>
      </c>
      <c r="AG280" s="34">
        <v>40</v>
      </c>
      <c r="AH280" s="34">
        <v>4.6219999999999999</v>
      </c>
      <c r="AM280" s="40" t="s">
        <v>8094</v>
      </c>
      <c r="AT280" s="44">
        <v>0</v>
      </c>
      <c r="AU280" s="44"/>
      <c r="AV280" s="46">
        <f>ROUND(Товары[[#This Row],[РРЦ финальная, руб.]]/$AU$1,2)</f>
        <v>0</v>
      </c>
      <c r="AW280" s="45" t="str">
        <f>IFERROR(Товары[[#This Row],[РРЦ, евро]]/Товары[[#This Row],[IRP, Eur]],"-")</f>
        <v>-</v>
      </c>
      <c r="AX280" s="42">
        <f>IFERROR(VLOOKUP(Товары[[#This Row],[SubGroup]],'Структура цен DIY'!$B:$C,2,FALSE),0)</f>
        <v>0.34</v>
      </c>
      <c r="AY280" s="44">
        <v>0</v>
      </c>
    </row>
    <row r="281" spans="1:51" x14ac:dyDescent="0.25">
      <c r="A281" s="34">
        <v>279</v>
      </c>
      <c r="B281" s="34" t="s">
        <v>56</v>
      </c>
      <c r="C281" s="110" t="str">
        <f>IFERROR(INDEX(Структура_ассортимента[SuperCategory],MATCH(Товары[[#This Row],[SubGroup]],Структура_ассортимента[Subgroup],0)),"")</f>
        <v>A</v>
      </c>
      <c r="D28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8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81" s="110" t="str">
        <f>IFERROR(INDEX(Структура_ассортимента[Product group],MATCH(Товары[[#This Row],[SubGroup]],Структура_ассортимента[Subgroup],0)),"")</f>
        <v>AMC_C</v>
      </c>
      <c r="G281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81" s="110" t="str">
        <f>IFERROR(INDEX(Структура_ассортимента[Generic Name (long)3],MATCH(Товары[[#This Row],[SubGroup]],Структура_ассортимента[Subgroup],0)),"")</f>
        <v>Топоры, колуны</v>
      </c>
      <c r="I281" s="36">
        <v>9215</v>
      </c>
      <c r="J281" s="36" t="str">
        <f>IFERROR(INDEX(Структура_ассортимента[Generic Name (long)],MATCH(Товары[[#This Row],[SubGroup]],Структура_ассортимента[Subgroup],0)),"")</f>
        <v>CHOPPER</v>
      </c>
      <c r="L281" s="36">
        <v>967155201</v>
      </c>
      <c r="M281" s="35" t="s">
        <v>1965</v>
      </c>
      <c r="Q281" s="34" t="s">
        <v>4564</v>
      </c>
      <c r="R281" s="34" t="s">
        <v>3540</v>
      </c>
      <c r="S281" s="47">
        <v>41334</v>
      </c>
      <c r="T281" s="47">
        <v>0</v>
      </c>
      <c r="U281" s="47">
        <v>0</v>
      </c>
      <c r="V281" s="34">
        <v>4078500871907</v>
      </c>
      <c r="W281" s="34" t="s">
        <v>3541</v>
      </c>
      <c r="Y281" s="34" t="s">
        <v>3542</v>
      </c>
      <c r="Z281" s="34">
        <v>2</v>
      </c>
      <c r="AA281" s="34">
        <v>3244</v>
      </c>
      <c r="AB281" s="34">
        <v>3244</v>
      </c>
      <c r="AC281" s="34">
        <v>3000</v>
      </c>
      <c r="AD281" s="34">
        <v>3000</v>
      </c>
      <c r="AE281" s="34">
        <v>723</v>
      </c>
      <c r="AF281" s="34">
        <v>225</v>
      </c>
      <c r="AG281" s="34">
        <v>40</v>
      </c>
      <c r="AH281" s="34">
        <v>6.5069999999999997</v>
      </c>
      <c r="AM281" s="40" t="s">
        <v>8094</v>
      </c>
      <c r="AT281" s="44">
        <v>0</v>
      </c>
      <c r="AU281" s="44"/>
      <c r="AV281" s="46">
        <f>ROUND(Товары[[#This Row],[РРЦ финальная, руб.]]/$AU$1,2)</f>
        <v>0</v>
      </c>
      <c r="AW281" s="45" t="str">
        <f>IFERROR(Товары[[#This Row],[РРЦ, евро]]/Товары[[#This Row],[IRP, Eur]],"-")</f>
        <v>-</v>
      </c>
      <c r="AX281" s="42">
        <f>IFERROR(VLOOKUP(Товары[[#This Row],[SubGroup]],'Структура цен DIY'!$B:$C,2,FALSE),0)</f>
        <v>0.34</v>
      </c>
      <c r="AY281" s="44">
        <v>0</v>
      </c>
    </row>
    <row r="282" spans="1:51" x14ac:dyDescent="0.25">
      <c r="A282" s="34">
        <v>280</v>
      </c>
      <c r="B282" s="34" t="s">
        <v>56</v>
      </c>
      <c r="C282" s="110" t="str">
        <f>IFERROR(INDEX(Структура_ассортимента[SuperCategory],MATCH(Товары[[#This Row],[SubGroup]],Структура_ассортимента[Subgroup],0)),"")</f>
        <v>A</v>
      </c>
      <c r="D28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8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82" s="110" t="str">
        <f>IFERROR(INDEX(Структура_ассортимента[Product group],MATCH(Товары[[#This Row],[SubGroup]],Структура_ассортимента[Subgroup],0)),"")</f>
        <v>AMC_C</v>
      </c>
      <c r="G282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82" s="110" t="str">
        <f>IFERROR(INDEX(Структура_ассортимента[Generic Name (long)3],MATCH(Товары[[#This Row],[SubGroup]],Структура_ассортимента[Subgroup],0)),"")</f>
        <v>Секаторы</v>
      </c>
      <c r="I282" s="36">
        <v>9211</v>
      </c>
      <c r="J282" s="36" t="str">
        <f>IFERROR(INDEX(Структура_ассортимента[Generic Name (long)],MATCH(Товары[[#This Row],[SubGroup]],Структура_ассортимента[Subgroup],0)),"")</f>
        <v>SECATEUR, ANVIL</v>
      </c>
      <c r="L282" s="36">
        <v>901184501</v>
      </c>
      <c r="M282" s="35" t="s">
        <v>1966</v>
      </c>
      <c r="Q282" s="34" t="s">
        <v>4564</v>
      </c>
      <c r="R282" s="34" t="s">
        <v>3540</v>
      </c>
      <c r="S282" s="47">
        <v>37895</v>
      </c>
      <c r="T282" s="47">
        <v>0</v>
      </c>
      <c r="U282" s="47">
        <v>0</v>
      </c>
      <c r="V282" s="34">
        <v>4078500872263</v>
      </c>
      <c r="W282" s="34" t="s">
        <v>3548</v>
      </c>
      <c r="Y282" s="34" t="s">
        <v>3542</v>
      </c>
      <c r="Z282" s="34">
        <v>1</v>
      </c>
      <c r="AA282" s="34">
        <v>9700</v>
      </c>
      <c r="AB282" s="34">
        <v>9700</v>
      </c>
      <c r="AC282" s="34">
        <v>9550</v>
      </c>
      <c r="AD282" s="34">
        <v>9550</v>
      </c>
      <c r="AE282" s="34">
        <v>790</v>
      </c>
      <c r="AF282" s="34">
        <v>425</v>
      </c>
      <c r="AG282" s="34">
        <v>210</v>
      </c>
      <c r="AH282" s="34">
        <v>70.507999999999996</v>
      </c>
      <c r="AM282" s="40" t="s">
        <v>8094</v>
      </c>
      <c r="AT282" s="44">
        <v>0</v>
      </c>
      <c r="AU282" s="44"/>
      <c r="AV282" s="46">
        <f>ROUND(Товары[[#This Row],[РРЦ финальная, руб.]]/$AU$1,2)</f>
        <v>0</v>
      </c>
      <c r="AW282" s="45" t="str">
        <f>IFERROR(Товары[[#This Row],[РРЦ, евро]]/Товары[[#This Row],[IRP, Eur]],"-")</f>
        <v>-</v>
      </c>
      <c r="AX282" s="42">
        <f>IFERROR(VLOOKUP(Товары[[#This Row],[SubGroup]],'Структура цен DIY'!$B:$C,2,FALSE),0)</f>
        <v>0.29999999999999993</v>
      </c>
      <c r="AY282" s="44">
        <v>0</v>
      </c>
    </row>
    <row r="283" spans="1:51" x14ac:dyDescent="0.25">
      <c r="A283" s="34">
        <v>281</v>
      </c>
      <c r="B283" s="34" t="s">
        <v>56</v>
      </c>
      <c r="C283" s="110" t="str">
        <f>IFERROR(INDEX(Структура_ассортимента[SuperCategory],MATCH(Товары[[#This Row],[SubGroup]],Структура_ассортимента[Subgroup],0)),"")</f>
        <v>A</v>
      </c>
      <c r="D28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8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83" s="110" t="str">
        <f>IFERROR(INDEX(Структура_ассортимента[Product group],MATCH(Товары[[#This Row],[SubGroup]],Структура_ассортимента[Subgroup],0)),"")</f>
        <v>AMC_C</v>
      </c>
      <c r="G283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83" s="110" t="str">
        <f>IFERROR(INDEX(Структура_ассортимента[Generic Name (long)3],MATCH(Товары[[#This Row],[SubGroup]],Структура_ассортимента[Subgroup],0)),"")</f>
        <v>Пилы ручные</v>
      </c>
      <c r="I283" s="36">
        <v>9214</v>
      </c>
      <c r="J283" s="36" t="str">
        <f>IFERROR(INDEX(Структура_ассортимента[Generic Name (long)],MATCH(Товары[[#This Row],[SubGroup]],Структура_ассортимента[Subgroup],0)),"")</f>
        <v>HAND SAW</v>
      </c>
      <c r="L283" s="36">
        <v>967238101</v>
      </c>
      <c r="M283" s="35" t="s">
        <v>1967</v>
      </c>
      <c r="Q283" s="34" t="s">
        <v>4564</v>
      </c>
      <c r="R283" s="34" t="s">
        <v>3540</v>
      </c>
      <c r="S283" s="47">
        <v>0</v>
      </c>
      <c r="T283" s="47">
        <v>0</v>
      </c>
      <c r="U283" s="47">
        <v>0</v>
      </c>
      <c r="V283" s="34">
        <v>4078500873710</v>
      </c>
      <c r="W283" s="34" t="s">
        <v>3543</v>
      </c>
      <c r="Y283" s="34" t="s">
        <v>3542</v>
      </c>
      <c r="Z283" s="34">
        <v>15</v>
      </c>
      <c r="AA283" s="34">
        <v>1500</v>
      </c>
      <c r="AB283" s="34">
        <v>1500</v>
      </c>
      <c r="AC283" s="34">
        <v>1280</v>
      </c>
      <c r="AD283" s="34">
        <v>1280</v>
      </c>
      <c r="AE283" s="34">
        <v>1620</v>
      </c>
      <c r="AF283" s="34">
        <v>200</v>
      </c>
      <c r="AG283" s="34">
        <v>20</v>
      </c>
      <c r="AH283" s="34">
        <v>6.48</v>
      </c>
      <c r="AM283" s="40" t="s">
        <v>8094</v>
      </c>
      <c r="AT283" s="44">
        <v>0</v>
      </c>
      <c r="AU283" s="44"/>
      <c r="AV283" s="46">
        <f>ROUND(Товары[[#This Row],[РРЦ финальная, руб.]]/$AU$1,2)</f>
        <v>0</v>
      </c>
      <c r="AW283" s="45" t="str">
        <f>IFERROR(Товары[[#This Row],[РРЦ, евро]]/Товары[[#This Row],[IRP, Eur]],"-")</f>
        <v>-</v>
      </c>
      <c r="AX283" s="42">
        <f>IFERROR(VLOOKUP(Товары[[#This Row],[SubGroup]],'Структура цен DIY'!$B:$C,2,FALSE),0)</f>
        <v>0.30000000000000016</v>
      </c>
      <c r="AY283" s="44">
        <v>0</v>
      </c>
    </row>
    <row r="284" spans="1:51" x14ac:dyDescent="0.25">
      <c r="A284" s="34">
        <v>282</v>
      </c>
      <c r="B284" s="34" t="s">
        <v>56</v>
      </c>
      <c r="C284" s="110" t="str">
        <f>IFERROR(INDEX(Структура_ассортимента[SuperCategory],MATCH(Товары[[#This Row],[SubGroup]],Структура_ассортимента[Subgroup],0)),"")</f>
        <v>A</v>
      </c>
      <c r="D28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8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84" s="110" t="str">
        <f>IFERROR(INDEX(Структура_ассортимента[Product group],MATCH(Товары[[#This Row],[SubGroup]],Структура_ассортимента[Subgroup],0)),"")</f>
        <v>AMC_C</v>
      </c>
      <c r="G284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84" s="110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84" s="36">
        <v>9231</v>
      </c>
      <c r="J284" s="36" t="str">
        <f>IFERROR(INDEX(Структура_ассортимента[Generic Name (long)],MATCH(Товары[[#This Row],[SubGroup]],Структура_ассортимента[Subgroup],0)),"")</f>
        <v>SHEAR, MANUAL</v>
      </c>
      <c r="L284" s="36">
        <v>901186701</v>
      </c>
      <c r="M284" s="35" t="s">
        <v>1968</v>
      </c>
      <c r="Q284" s="34" t="s">
        <v>3544</v>
      </c>
      <c r="R284" s="34" t="s">
        <v>3540</v>
      </c>
      <c r="S284" s="47">
        <v>38626</v>
      </c>
      <c r="T284" s="47">
        <v>0</v>
      </c>
      <c r="U284" s="47">
        <v>0</v>
      </c>
      <c r="V284" s="34">
        <v>4078500874007</v>
      </c>
      <c r="W284" s="34" t="s">
        <v>3550</v>
      </c>
      <c r="Y284" s="34" t="s">
        <v>3542</v>
      </c>
      <c r="Z284" s="34">
        <v>5</v>
      </c>
      <c r="AA284" s="34">
        <v>982</v>
      </c>
      <c r="AB284" s="34">
        <v>982</v>
      </c>
      <c r="AC284" s="34">
        <v>970</v>
      </c>
      <c r="AD284" s="34">
        <v>970</v>
      </c>
      <c r="AE284" s="34">
        <v>1170</v>
      </c>
      <c r="AF284" s="34">
        <v>360</v>
      </c>
      <c r="AG284" s="34">
        <v>80</v>
      </c>
      <c r="AH284" s="34">
        <v>33.695999999999998</v>
      </c>
      <c r="AM284" s="40" t="s">
        <v>8094</v>
      </c>
      <c r="AT284" s="44">
        <v>0</v>
      </c>
      <c r="AU284" s="44"/>
      <c r="AV284" s="46">
        <f>ROUND(Товары[[#This Row],[РРЦ финальная, руб.]]/$AU$1,2)</f>
        <v>0</v>
      </c>
      <c r="AW284" s="45" t="str">
        <f>IFERROR(Товары[[#This Row],[РРЦ, евро]]/Товары[[#This Row],[IRP, Eur]],"-")</f>
        <v>-</v>
      </c>
      <c r="AX284" s="42">
        <f>IFERROR(VLOOKUP(Товары[[#This Row],[SubGroup]],'Структура цен DIY'!$B:$C,2,FALSE),0)</f>
        <v>0.28999999999999998</v>
      </c>
      <c r="AY284" s="44">
        <v>0</v>
      </c>
    </row>
    <row r="285" spans="1:51" x14ac:dyDescent="0.25">
      <c r="A285" s="34">
        <v>283</v>
      </c>
      <c r="B285" s="34" t="s">
        <v>56</v>
      </c>
      <c r="C285" s="110" t="str">
        <f>IFERROR(INDEX(Структура_ассортимента[SuperCategory],MATCH(Товары[[#This Row],[SubGroup]],Структура_ассортимента[Subgroup],0)),"")</f>
        <v>A</v>
      </c>
      <c r="D28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8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85" s="110" t="str">
        <f>IFERROR(INDEX(Структура_ассортимента[Product group],MATCH(Товары[[#This Row],[SubGroup]],Структура_ассортимента[Subgroup],0)),"")</f>
        <v>AMC_C</v>
      </c>
      <c r="G285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85" s="110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85" s="36">
        <v>9231</v>
      </c>
      <c r="J285" s="36" t="str">
        <f>IFERROR(INDEX(Структура_ассортимента[Generic Name (long)],MATCH(Товары[[#This Row],[SubGroup]],Структура_ассортимента[Subgroup],0)),"")</f>
        <v>SHEAR, MANUAL</v>
      </c>
      <c r="L285" s="36">
        <v>901186801</v>
      </c>
      <c r="M285" s="35" t="s">
        <v>1969</v>
      </c>
      <c r="Q285" s="34" t="s">
        <v>3544</v>
      </c>
      <c r="R285" s="34" t="s">
        <v>3540</v>
      </c>
      <c r="S285" s="47">
        <v>38626</v>
      </c>
      <c r="T285" s="47">
        <v>0</v>
      </c>
      <c r="U285" s="47">
        <v>0</v>
      </c>
      <c r="V285" s="34">
        <v>4078500874106</v>
      </c>
      <c r="W285" s="34" t="s">
        <v>3543</v>
      </c>
      <c r="Y285" s="34" t="s">
        <v>3542</v>
      </c>
      <c r="Z285" s="34">
        <v>20</v>
      </c>
      <c r="AA285" s="34">
        <v>1675</v>
      </c>
      <c r="AB285" s="34">
        <v>1675</v>
      </c>
      <c r="AC285" s="34">
        <v>1635</v>
      </c>
      <c r="AD285" s="34">
        <v>1635</v>
      </c>
      <c r="AE285" s="34">
        <v>1170</v>
      </c>
      <c r="AF285" s="34">
        <v>360</v>
      </c>
      <c r="AG285" s="34">
        <v>80</v>
      </c>
      <c r="AH285" s="34">
        <v>33.695999999999998</v>
      </c>
      <c r="AM285" s="40" t="s">
        <v>8094</v>
      </c>
      <c r="AT285" s="44">
        <v>0</v>
      </c>
      <c r="AU285" s="44"/>
      <c r="AV285" s="46">
        <f>ROUND(Товары[[#This Row],[РРЦ финальная, руб.]]/$AU$1,2)</f>
        <v>0</v>
      </c>
      <c r="AW285" s="45" t="str">
        <f>IFERROR(Товары[[#This Row],[РРЦ, евро]]/Товары[[#This Row],[IRP, Eur]],"-")</f>
        <v>-</v>
      </c>
      <c r="AX285" s="42">
        <f>IFERROR(VLOOKUP(Товары[[#This Row],[SubGroup]],'Структура цен DIY'!$B:$C,2,FALSE),0)</f>
        <v>0.28999999999999998</v>
      </c>
      <c r="AY285" s="44">
        <v>0</v>
      </c>
    </row>
    <row r="286" spans="1:51" x14ac:dyDescent="0.25">
      <c r="A286" s="34">
        <v>284</v>
      </c>
      <c r="B286" s="34" t="s">
        <v>56</v>
      </c>
      <c r="C286" s="110" t="str">
        <f>IFERROR(INDEX(Структура_ассортимента[SuperCategory],MATCH(Товары[[#This Row],[SubGroup]],Структура_ассортимента[Subgroup],0)),"")</f>
        <v>A</v>
      </c>
      <c r="D28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8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86" s="110" t="str">
        <f>IFERROR(INDEX(Структура_ассортимента[Product group],MATCH(Товары[[#This Row],[SubGroup]],Структура_ассортимента[Subgroup],0)),"")</f>
        <v>AMC_C</v>
      </c>
      <c r="G286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86" s="110" t="str">
        <f>IFERROR(INDEX(Структура_ассортимента[Generic Name (long)3],MATCH(Товары[[#This Row],[SubGroup]],Структура_ассортимента[Subgroup],0)),"")</f>
        <v>Секаторы</v>
      </c>
      <c r="I286" s="36">
        <v>9211</v>
      </c>
      <c r="J286" s="36" t="str">
        <f>IFERROR(INDEX(Структура_ассортимента[Generic Name (long)],MATCH(Товары[[#This Row],[SubGroup]],Структура_ассортимента[Subgroup],0)),"")</f>
        <v>SECATEUR, ANVIL</v>
      </c>
      <c r="L286" s="36">
        <v>901187701</v>
      </c>
      <c r="M286" s="35" t="s">
        <v>1970</v>
      </c>
      <c r="Q286" s="34" t="s">
        <v>4564</v>
      </c>
      <c r="R286" s="34" t="s">
        <v>3540</v>
      </c>
      <c r="S286" s="47">
        <v>38626</v>
      </c>
      <c r="T286" s="47">
        <v>0</v>
      </c>
      <c r="U286" s="47">
        <v>0</v>
      </c>
      <c r="V286" s="34">
        <v>4078500875462</v>
      </c>
      <c r="W286" s="34" t="s">
        <v>3548</v>
      </c>
      <c r="Y286" s="34" t="s">
        <v>3542</v>
      </c>
      <c r="Z286" s="34">
        <v>1</v>
      </c>
      <c r="AA286" s="34">
        <v>7500</v>
      </c>
      <c r="AB286" s="34">
        <v>7500</v>
      </c>
      <c r="AC286" s="34">
        <v>6900</v>
      </c>
      <c r="AD286" s="34">
        <v>6900</v>
      </c>
      <c r="AE286" s="34">
        <v>793</v>
      </c>
      <c r="AF286" s="34">
        <v>430</v>
      </c>
      <c r="AG286" s="34">
        <v>255</v>
      </c>
      <c r="AH286" s="34">
        <v>86.951999999999998</v>
      </c>
      <c r="AM286" s="40" t="s">
        <v>8094</v>
      </c>
      <c r="AT286" s="44">
        <v>0</v>
      </c>
      <c r="AU286" s="44"/>
      <c r="AV286" s="46">
        <f>ROUND(Товары[[#This Row],[РРЦ финальная, руб.]]/$AU$1,2)</f>
        <v>0</v>
      </c>
      <c r="AW286" s="45" t="str">
        <f>IFERROR(Товары[[#This Row],[РРЦ, евро]]/Товары[[#This Row],[IRP, Eur]],"-")</f>
        <v>-</v>
      </c>
      <c r="AX286" s="42">
        <f>IFERROR(VLOOKUP(Товары[[#This Row],[SubGroup]],'Структура цен DIY'!$B:$C,2,FALSE),0)</f>
        <v>0.29999999999999993</v>
      </c>
      <c r="AY286" s="44">
        <v>0</v>
      </c>
    </row>
    <row r="287" spans="1:51" x14ac:dyDescent="0.25">
      <c r="A287" s="34">
        <v>285</v>
      </c>
      <c r="B287" s="34" t="s">
        <v>56</v>
      </c>
      <c r="C287" s="110" t="str">
        <f>IFERROR(INDEX(Структура_ассортимента[SuperCategory],MATCH(Товары[[#This Row],[SubGroup]],Структура_ассортимента[Subgroup],0)),"")</f>
        <v>A</v>
      </c>
      <c r="D28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8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87" s="110" t="str">
        <f>IFERROR(INDEX(Структура_ассортимента[Product group],MATCH(Товары[[#This Row],[SubGroup]],Структура_ассортимента[Subgroup],0)),"")</f>
        <v>AMC_C</v>
      </c>
      <c r="G287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87" s="110" t="str">
        <f>IFERROR(INDEX(Структура_ассортимента[Generic Name (long)3],MATCH(Товары[[#This Row],[SubGroup]],Структура_ассортимента[Subgroup],0)),"")</f>
        <v>Секаторы</v>
      </c>
      <c r="I287" s="36">
        <v>9211</v>
      </c>
      <c r="J287" s="36" t="str">
        <f>IFERROR(INDEX(Структура_ассортимента[Generic Name (long)],MATCH(Товары[[#This Row],[SubGroup]],Структура_ассортимента[Subgroup],0)),"")</f>
        <v>SECATEUR, ANVIL</v>
      </c>
      <c r="L287" s="36">
        <v>901188001</v>
      </c>
      <c r="M287" s="35" t="s">
        <v>1971</v>
      </c>
      <c r="Q287" s="34" t="s">
        <v>4564</v>
      </c>
      <c r="R287" s="34" t="s">
        <v>3540</v>
      </c>
      <c r="S287" s="47">
        <v>38261</v>
      </c>
      <c r="T287" s="47">
        <v>0</v>
      </c>
      <c r="U287" s="47">
        <v>0</v>
      </c>
      <c r="V287" s="34">
        <v>4078500875509</v>
      </c>
      <c r="W287" s="34" t="s">
        <v>3548</v>
      </c>
      <c r="Y287" s="34" t="s">
        <v>3542</v>
      </c>
      <c r="Z287" s="34">
        <v>10</v>
      </c>
      <c r="AA287" s="34">
        <v>147</v>
      </c>
      <c r="AB287" s="34">
        <v>147</v>
      </c>
      <c r="AC287" s="34">
        <v>100</v>
      </c>
      <c r="AD287" s="34">
        <v>100</v>
      </c>
      <c r="AE287" s="34">
        <v>185</v>
      </c>
      <c r="AF287" s="34">
        <v>60</v>
      </c>
      <c r="AG287" s="34">
        <v>17</v>
      </c>
      <c r="AH287" s="34">
        <v>0.189</v>
      </c>
      <c r="AM287" s="40" t="s">
        <v>8094</v>
      </c>
      <c r="AT287" s="44">
        <v>0</v>
      </c>
      <c r="AU287" s="44"/>
      <c r="AV287" s="46">
        <f>ROUND(Товары[[#This Row],[РРЦ финальная, руб.]]/$AU$1,2)</f>
        <v>0</v>
      </c>
      <c r="AW287" s="45" t="str">
        <f>IFERROR(Товары[[#This Row],[РРЦ, евро]]/Товары[[#This Row],[IRP, Eur]],"-")</f>
        <v>-</v>
      </c>
      <c r="AX287" s="42">
        <f>IFERROR(VLOOKUP(Товары[[#This Row],[SubGroup]],'Структура цен DIY'!$B:$C,2,FALSE),0)</f>
        <v>0.29999999999999993</v>
      </c>
      <c r="AY287" s="44">
        <v>0</v>
      </c>
    </row>
    <row r="288" spans="1:51" x14ac:dyDescent="0.25">
      <c r="A288" s="34">
        <v>286</v>
      </c>
      <c r="B288" s="34" t="s">
        <v>56</v>
      </c>
      <c r="C288" s="110" t="str">
        <f>IFERROR(INDEX(Структура_ассортимента[SuperCategory],MATCH(Товары[[#This Row],[SubGroup]],Структура_ассортимента[Subgroup],0)),"")</f>
        <v>A</v>
      </c>
      <c r="D28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8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88" s="110" t="str">
        <f>IFERROR(INDEX(Структура_ассортимента[Product group],MATCH(Товары[[#This Row],[SubGroup]],Структура_ассортимента[Subgroup],0)),"")</f>
        <v>AMC_C</v>
      </c>
      <c r="G288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88" s="110" t="str">
        <f>IFERROR(INDEX(Структура_ассортимента[Generic Name (long)3],MATCH(Товары[[#This Row],[SubGroup]],Структура_ассортимента[Subgroup],0)),"")</f>
        <v>Секаторы</v>
      </c>
      <c r="I288" s="36">
        <v>9211</v>
      </c>
      <c r="J288" s="36" t="str">
        <f>IFERROR(INDEX(Структура_ассортимента[Generic Name (long)],MATCH(Товары[[#This Row],[SubGroup]],Структура_ассортимента[Subgroup],0)),"")</f>
        <v>SECATEUR, ANVIL</v>
      </c>
      <c r="L288" s="36">
        <v>901188201</v>
      </c>
      <c r="M288" s="35" t="s">
        <v>1972</v>
      </c>
      <c r="Q288" s="34" t="s">
        <v>4564</v>
      </c>
      <c r="R288" s="34" t="s">
        <v>3540</v>
      </c>
      <c r="S288" s="47">
        <v>38626</v>
      </c>
      <c r="T288" s="47">
        <v>0</v>
      </c>
      <c r="U288" s="47">
        <v>0</v>
      </c>
      <c r="V288" s="34">
        <v>4078500875530</v>
      </c>
      <c r="W288" s="34" t="s">
        <v>3548</v>
      </c>
      <c r="Y288" s="34" t="s">
        <v>3542</v>
      </c>
      <c r="Z288" s="34">
        <v>30</v>
      </c>
      <c r="AA288" s="34">
        <v>130</v>
      </c>
      <c r="AB288" s="34">
        <v>130</v>
      </c>
      <c r="AC288" s="34">
        <v>100</v>
      </c>
      <c r="AD288" s="34">
        <v>100</v>
      </c>
      <c r="AE288" s="34">
        <v>180</v>
      </c>
      <c r="AF288" s="34">
        <v>55</v>
      </c>
      <c r="AG288" s="34">
        <v>18</v>
      </c>
      <c r="AH288" s="34">
        <v>0.17799999999999999</v>
      </c>
      <c r="AM288" s="40" t="s">
        <v>8094</v>
      </c>
      <c r="AT288" s="44">
        <v>0</v>
      </c>
      <c r="AU288" s="44"/>
      <c r="AV288" s="46">
        <f>ROUND(Товары[[#This Row],[РРЦ финальная, руб.]]/$AU$1,2)</f>
        <v>0</v>
      </c>
      <c r="AW288" s="45" t="str">
        <f>IFERROR(Товары[[#This Row],[РРЦ, евро]]/Товары[[#This Row],[IRP, Eur]],"-")</f>
        <v>-</v>
      </c>
      <c r="AX288" s="42">
        <f>IFERROR(VLOOKUP(Товары[[#This Row],[SubGroup]],'Структура цен DIY'!$B:$C,2,FALSE),0)</f>
        <v>0.29999999999999993</v>
      </c>
      <c r="AY288" s="44">
        <v>0</v>
      </c>
    </row>
    <row r="289" spans="1:51" x14ac:dyDescent="0.25">
      <c r="A289" s="34">
        <v>287</v>
      </c>
      <c r="B289" s="34" t="s">
        <v>56</v>
      </c>
      <c r="C289" s="110" t="str">
        <f>IFERROR(INDEX(Структура_ассортимента[SuperCategory],MATCH(Товары[[#This Row],[SubGroup]],Структура_ассортимента[Subgroup],0)),"")</f>
        <v>A</v>
      </c>
      <c r="D28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8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89" s="110" t="str">
        <f>IFERROR(INDEX(Структура_ассортимента[Product group],MATCH(Товары[[#This Row],[SubGroup]],Структура_ассортимента[Subgroup],0)),"")</f>
        <v>AMC_C</v>
      </c>
      <c r="G289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89" s="110" t="str">
        <f>IFERROR(INDEX(Структура_ассортимента[Generic Name (long)3],MATCH(Товары[[#This Row],[SubGroup]],Структура_ассортимента[Subgroup],0)),"")</f>
        <v>Секаторы</v>
      </c>
      <c r="I289" s="36">
        <v>9211</v>
      </c>
      <c r="J289" s="36" t="str">
        <f>IFERROR(INDEX(Структура_ассортимента[Generic Name (long)],MATCH(Товары[[#This Row],[SubGroup]],Структура_ассортимента[Subgroup],0)),"")</f>
        <v>SECATEUR, ANVIL</v>
      </c>
      <c r="L289" s="36">
        <v>901188401</v>
      </c>
      <c r="M289" s="35" t="s">
        <v>1973</v>
      </c>
      <c r="Q289" s="34" t="s">
        <v>4564</v>
      </c>
      <c r="R289" s="34" t="s">
        <v>3540</v>
      </c>
      <c r="S289" s="47">
        <v>38261</v>
      </c>
      <c r="T289" s="47">
        <v>0</v>
      </c>
      <c r="U289" s="47">
        <v>0</v>
      </c>
      <c r="V289" s="34">
        <v>4078500875707</v>
      </c>
      <c r="W289" s="34" t="s">
        <v>3548</v>
      </c>
      <c r="Y289" s="34" t="s">
        <v>3542</v>
      </c>
      <c r="Z289" s="34">
        <v>10</v>
      </c>
      <c r="AA289" s="34">
        <v>155</v>
      </c>
      <c r="AB289" s="34">
        <v>155</v>
      </c>
      <c r="AC289" s="34">
        <v>130</v>
      </c>
      <c r="AD289" s="34">
        <v>130</v>
      </c>
      <c r="AE289" s="34">
        <v>255</v>
      </c>
      <c r="AF289" s="34">
        <v>120</v>
      </c>
      <c r="AG289" s="34">
        <v>20</v>
      </c>
      <c r="AH289" s="34">
        <v>0.61199999999999999</v>
      </c>
      <c r="AM289" s="40" t="s">
        <v>8094</v>
      </c>
      <c r="AT289" s="44">
        <v>0</v>
      </c>
      <c r="AU289" s="44"/>
      <c r="AV289" s="46">
        <f>ROUND(Товары[[#This Row],[РРЦ финальная, руб.]]/$AU$1,2)</f>
        <v>0</v>
      </c>
      <c r="AW289" s="45" t="str">
        <f>IFERROR(Товары[[#This Row],[РРЦ, евро]]/Товары[[#This Row],[IRP, Eur]],"-")</f>
        <v>-</v>
      </c>
      <c r="AX289" s="42">
        <f>IFERROR(VLOOKUP(Товары[[#This Row],[SubGroup]],'Структура цен DIY'!$B:$C,2,FALSE),0)</f>
        <v>0.29999999999999993</v>
      </c>
      <c r="AY289" s="44">
        <v>0</v>
      </c>
    </row>
    <row r="290" spans="1:51" x14ac:dyDescent="0.25">
      <c r="A290" s="34">
        <v>288</v>
      </c>
      <c r="B290" s="34" t="s">
        <v>56</v>
      </c>
      <c r="C290" s="110" t="str">
        <f>IFERROR(INDEX(Структура_ассортимента[SuperCategory],MATCH(Товары[[#This Row],[SubGroup]],Структура_ассортимента[Subgroup],0)),"")</f>
        <v>A</v>
      </c>
      <c r="D29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9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90" s="110" t="str">
        <f>IFERROR(INDEX(Структура_ассортимента[Product group],MATCH(Товары[[#This Row],[SubGroup]],Структура_ассортимента[Subgroup],0)),"")</f>
        <v>AMC_C</v>
      </c>
      <c r="G290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90" s="110" t="str">
        <f>IFERROR(INDEX(Структура_ассортимента[Generic Name (long)3],MATCH(Товары[[#This Row],[SubGroup]],Структура_ассортимента[Subgroup],0)),"")</f>
        <v>Секаторы</v>
      </c>
      <c r="I290" s="36">
        <v>9211</v>
      </c>
      <c r="J290" s="36" t="str">
        <f>IFERROR(INDEX(Структура_ассортимента[Generic Name (long)],MATCH(Товары[[#This Row],[SubGroup]],Структура_ассортимента[Subgroup],0)),"")</f>
        <v>SECATEUR, ANVIL</v>
      </c>
      <c r="L290" s="36">
        <v>901188601</v>
      </c>
      <c r="M290" s="35" t="s">
        <v>1974</v>
      </c>
      <c r="Q290" s="34" t="s">
        <v>4564</v>
      </c>
      <c r="R290" s="34" t="s">
        <v>3540</v>
      </c>
      <c r="S290" s="47">
        <v>38626</v>
      </c>
      <c r="T290" s="47">
        <v>0</v>
      </c>
      <c r="U290" s="47">
        <v>0</v>
      </c>
      <c r="V290" s="34">
        <v>4078500875738</v>
      </c>
      <c r="W290" s="34" t="s">
        <v>3548</v>
      </c>
      <c r="Y290" s="34" t="s">
        <v>3542</v>
      </c>
      <c r="Z290" s="34">
        <v>10</v>
      </c>
      <c r="AA290" s="34">
        <v>172</v>
      </c>
      <c r="AB290" s="34">
        <v>172</v>
      </c>
      <c r="AC290" s="34">
        <v>134</v>
      </c>
      <c r="AD290" s="34">
        <v>134</v>
      </c>
      <c r="AE290" s="34">
        <v>205</v>
      </c>
      <c r="AF290" s="34">
        <v>55</v>
      </c>
      <c r="AG290" s="34">
        <v>18</v>
      </c>
      <c r="AH290" s="34">
        <v>0.20300000000000001</v>
      </c>
      <c r="AM290" s="40" t="s">
        <v>8094</v>
      </c>
      <c r="AT290" s="44">
        <v>0</v>
      </c>
      <c r="AU290" s="44"/>
      <c r="AV290" s="46">
        <f>ROUND(Товары[[#This Row],[РРЦ финальная, руб.]]/$AU$1,2)</f>
        <v>0</v>
      </c>
      <c r="AW290" s="45" t="str">
        <f>IFERROR(Товары[[#This Row],[РРЦ, евро]]/Товары[[#This Row],[IRP, Eur]],"-")</f>
        <v>-</v>
      </c>
      <c r="AX290" s="42">
        <f>IFERROR(VLOOKUP(Товары[[#This Row],[SubGroup]],'Структура цен DIY'!$B:$C,2,FALSE),0)</f>
        <v>0.29999999999999993</v>
      </c>
      <c r="AY290" s="44">
        <v>0</v>
      </c>
    </row>
    <row r="291" spans="1:51" x14ac:dyDescent="0.25">
      <c r="A291" s="34">
        <v>289</v>
      </c>
      <c r="B291" s="34" t="s">
        <v>56</v>
      </c>
      <c r="C291" s="110" t="str">
        <f>IFERROR(INDEX(Структура_ассортимента[SuperCategory],MATCH(Товары[[#This Row],[SubGroup]],Структура_ассортимента[Subgroup],0)),"")</f>
        <v>A</v>
      </c>
      <c r="D29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9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91" s="110" t="str">
        <f>IFERROR(INDEX(Структура_ассортимента[Product group],MATCH(Товары[[#This Row],[SubGroup]],Структура_ассортимента[Subgroup],0)),"")</f>
        <v>AMC_C</v>
      </c>
      <c r="G291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91" s="110" t="str">
        <f>IFERROR(INDEX(Структура_ассортимента[Generic Name (long)3],MATCH(Товары[[#This Row],[SubGroup]],Структура_ассортимента[Subgroup],0)),"")</f>
        <v>Секаторы</v>
      </c>
      <c r="I291" s="36">
        <v>9211</v>
      </c>
      <c r="J291" s="36" t="str">
        <f>IFERROR(INDEX(Структура_ассортимента[Generic Name (long)],MATCH(Товары[[#This Row],[SubGroup]],Структура_ассортимента[Subgroup],0)),"")</f>
        <v>SECATEUR, ANVIL</v>
      </c>
      <c r="L291" s="36">
        <v>966652201</v>
      </c>
      <c r="M291" s="35" t="s">
        <v>1975</v>
      </c>
      <c r="Q291" s="34" t="s">
        <v>4564</v>
      </c>
      <c r="R291" s="34" t="s">
        <v>3540</v>
      </c>
      <c r="S291" s="47">
        <v>40452</v>
      </c>
      <c r="T291" s="47">
        <v>0</v>
      </c>
      <c r="U291" s="47">
        <v>0</v>
      </c>
      <c r="V291" s="34">
        <v>4078500875776</v>
      </c>
      <c r="W291" s="34" t="s">
        <v>3548</v>
      </c>
      <c r="Y291" s="34" t="s">
        <v>3542</v>
      </c>
      <c r="Z291" s="34">
        <v>10</v>
      </c>
      <c r="AA291" s="34">
        <v>155</v>
      </c>
      <c r="AB291" s="34">
        <v>155</v>
      </c>
      <c r="AC291" s="34">
        <v>130</v>
      </c>
      <c r="AD291" s="34">
        <v>130</v>
      </c>
      <c r="AE291" s="34">
        <v>255</v>
      </c>
      <c r="AF291" s="34">
        <v>120</v>
      </c>
      <c r="AG291" s="34">
        <v>20</v>
      </c>
      <c r="AH291" s="34">
        <v>0.61199999999999999</v>
      </c>
      <c r="AM291" s="40" t="s">
        <v>8094</v>
      </c>
      <c r="AT291" s="44">
        <v>0</v>
      </c>
      <c r="AU291" s="44"/>
      <c r="AV291" s="46">
        <f>ROUND(Товары[[#This Row],[РРЦ финальная, руб.]]/$AU$1,2)</f>
        <v>0</v>
      </c>
      <c r="AW291" s="45" t="str">
        <f>IFERROR(Товары[[#This Row],[РРЦ, евро]]/Товары[[#This Row],[IRP, Eur]],"-")</f>
        <v>-</v>
      </c>
      <c r="AX291" s="42">
        <f>IFERROR(VLOOKUP(Товары[[#This Row],[SubGroup]],'Структура цен DIY'!$B:$C,2,FALSE),0)</f>
        <v>0.29999999999999993</v>
      </c>
      <c r="AY291" s="44">
        <v>0</v>
      </c>
    </row>
    <row r="292" spans="1:51" x14ac:dyDescent="0.25">
      <c r="A292" s="34">
        <v>290</v>
      </c>
      <c r="B292" s="34" t="s">
        <v>56</v>
      </c>
      <c r="C292" s="110" t="str">
        <f>IFERROR(INDEX(Структура_ассортимента[SuperCategory],MATCH(Товары[[#This Row],[SubGroup]],Структура_ассортимента[Subgroup],0)),"")</f>
        <v>A</v>
      </c>
      <c r="D29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9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92" s="110" t="str">
        <f>IFERROR(INDEX(Структура_ассортимента[Product group],MATCH(Товары[[#This Row],[SubGroup]],Структура_ассортимента[Subgroup],0)),"")</f>
        <v>AMC_C</v>
      </c>
      <c r="G292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92" s="110" t="str">
        <f>IFERROR(INDEX(Структура_ассортимента[Generic Name (long)3],MATCH(Товары[[#This Row],[SubGroup]],Структура_ассортимента[Subgroup],0)),"")</f>
        <v>Секаторы</v>
      </c>
      <c r="I292" s="36">
        <v>9211</v>
      </c>
      <c r="J292" s="36" t="str">
        <f>IFERROR(INDEX(Структура_ассортимента[Generic Name (long)],MATCH(Товары[[#This Row],[SubGroup]],Структура_ассортимента[Subgroup],0)),"")</f>
        <v>SECATEUR, ANVIL</v>
      </c>
      <c r="L292" s="36">
        <v>901188701</v>
      </c>
      <c r="M292" s="35" t="s">
        <v>1976</v>
      </c>
      <c r="Q292" s="34" t="s">
        <v>4564</v>
      </c>
      <c r="R292" s="34" t="s">
        <v>3540</v>
      </c>
      <c r="S292" s="47">
        <v>38261</v>
      </c>
      <c r="T292" s="47">
        <v>0</v>
      </c>
      <c r="U292" s="47">
        <v>0</v>
      </c>
      <c r="V292" s="34">
        <v>4078500875905</v>
      </c>
      <c r="W292" s="34" t="s">
        <v>3548</v>
      </c>
      <c r="Y292" s="34" t="s">
        <v>3542</v>
      </c>
      <c r="Z292" s="34">
        <v>10</v>
      </c>
      <c r="AA292" s="34">
        <v>153</v>
      </c>
      <c r="AB292" s="34">
        <v>153</v>
      </c>
      <c r="AC292" s="34">
        <v>120</v>
      </c>
      <c r="AD292" s="34">
        <v>120</v>
      </c>
      <c r="AE292" s="34">
        <v>254</v>
      </c>
      <c r="AF292" s="34">
        <v>120</v>
      </c>
      <c r="AG292" s="34">
        <v>19</v>
      </c>
      <c r="AH292" s="34">
        <v>0.57899999999999996</v>
      </c>
      <c r="AM292" s="40" t="s">
        <v>8094</v>
      </c>
      <c r="AT292" s="44">
        <v>0</v>
      </c>
      <c r="AU292" s="44"/>
      <c r="AV292" s="46">
        <f>ROUND(Товары[[#This Row],[РРЦ финальная, руб.]]/$AU$1,2)</f>
        <v>0</v>
      </c>
      <c r="AW292" s="45" t="str">
        <f>IFERROR(Товары[[#This Row],[РРЦ, евро]]/Товары[[#This Row],[IRP, Eur]],"-")</f>
        <v>-</v>
      </c>
      <c r="AX292" s="42">
        <f>IFERROR(VLOOKUP(Товары[[#This Row],[SubGroup]],'Структура цен DIY'!$B:$C,2,FALSE),0)</f>
        <v>0.29999999999999993</v>
      </c>
      <c r="AY292" s="44">
        <v>0</v>
      </c>
    </row>
    <row r="293" spans="1:51" x14ac:dyDescent="0.25">
      <c r="A293" s="34">
        <v>291</v>
      </c>
      <c r="B293" s="34" t="s">
        <v>56</v>
      </c>
      <c r="C293" s="110" t="str">
        <f>IFERROR(INDEX(Структура_ассортимента[SuperCategory],MATCH(Товары[[#This Row],[SubGroup]],Структура_ассортимента[Subgroup],0)),"")</f>
        <v>A</v>
      </c>
      <c r="D29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9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93" s="110" t="str">
        <f>IFERROR(INDEX(Структура_ассортимента[Product group],MATCH(Товары[[#This Row],[SubGroup]],Структура_ассортимента[Subgroup],0)),"")</f>
        <v>AMC_C</v>
      </c>
      <c r="G293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93" s="110" t="str">
        <f>IFERROR(INDEX(Структура_ассортимента[Generic Name (long)3],MATCH(Товары[[#This Row],[SubGroup]],Структура_ассортимента[Subgroup],0)),"")</f>
        <v>Секаторы</v>
      </c>
      <c r="I293" s="36">
        <v>9211</v>
      </c>
      <c r="J293" s="36" t="str">
        <f>IFERROR(INDEX(Структура_ассортимента[Generic Name (long)],MATCH(Товары[[#This Row],[SubGroup]],Структура_ассортимента[Subgroup],0)),"")</f>
        <v>SECATEUR, ANVIL</v>
      </c>
      <c r="L293" s="36">
        <v>901189101</v>
      </c>
      <c r="M293" s="35" t="s">
        <v>1977</v>
      </c>
      <c r="Q293" s="34" t="s">
        <v>3544</v>
      </c>
      <c r="R293" s="34" t="s">
        <v>3540</v>
      </c>
      <c r="S293" s="47">
        <v>38626</v>
      </c>
      <c r="T293" s="47">
        <v>0</v>
      </c>
      <c r="U293" s="47">
        <v>0</v>
      </c>
      <c r="V293" s="34">
        <v>4078500876100</v>
      </c>
      <c r="W293" s="34" t="s">
        <v>3548</v>
      </c>
      <c r="Y293" s="34" t="s">
        <v>3542</v>
      </c>
      <c r="Z293" s="34">
        <v>10</v>
      </c>
      <c r="AA293" s="34">
        <v>395</v>
      </c>
      <c r="AB293" s="34">
        <v>395</v>
      </c>
      <c r="AC293" s="34">
        <v>299</v>
      </c>
      <c r="AD293" s="34">
        <v>299</v>
      </c>
      <c r="AE293" s="34">
        <v>350</v>
      </c>
      <c r="AF293" s="34">
        <v>145</v>
      </c>
      <c r="AG293" s="34">
        <v>35</v>
      </c>
      <c r="AH293" s="34">
        <v>1.776</v>
      </c>
      <c r="AM293" s="40" t="s">
        <v>8094</v>
      </c>
      <c r="AT293" s="44">
        <v>0</v>
      </c>
      <c r="AU293" s="44"/>
      <c r="AV293" s="46">
        <f>ROUND(Товары[[#This Row],[РРЦ финальная, руб.]]/$AU$1,2)</f>
        <v>0</v>
      </c>
      <c r="AW293" s="45" t="str">
        <f>IFERROR(Товары[[#This Row],[РРЦ, евро]]/Товары[[#This Row],[IRP, Eur]],"-")</f>
        <v>-</v>
      </c>
      <c r="AX293" s="42">
        <f>IFERROR(VLOOKUP(Товары[[#This Row],[SubGroup]],'Структура цен DIY'!$B:$C,2,FALSE),0)</f>
        <v>0.29999999999999993</v>
      </c>
      <c r="AY293" s="44">
        <v>0</v>
      </c>
    </row>
    <row r="294" spans="1:51" x14ac:dyDescent="0.25">
      <c r="A294" s="34">
        <v>292</v>
      </c>
      <c r="B294" s="34" t="s">
        <v>56</v>
      </c>
      <c r="C294" s="110" t="str">
        <f>IFERROR(INDEX(Структура_ассортимента[SuperCategory],MATCH(Товары[[#This Row],[SubGroup]],Структура_ассортимента[Subgroup],0)),"")</f>
        <v>A</v>
      </c>
      <c r="D29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9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94" s="110" t="str">
        <f>IFERROR(INDEX(Структура_ассортимента[Product group],MATCH(Товары[[#This Row],[SubGroup]],Структура_ассортимента[Subgroup],0)),"")</f>
        <v>AMC_C</v>
      </c>
      <c r="G294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94" s="110" t="str">
        <f>IFERROR(INDEX(Структура_ассортимента[Generic Name (long)3],MATCH(Товары[[#This Row],[SubGroup]],Структура_ассортимента[Subgroup],0)),"")</f>
        <v>Сучкорезы</v>
      </c>
      <c r="I294" s="36">
        <v>9212</v>
      </c>
      <c r="J294" s="36" t="str">
        <f>IFERROR(INDEX(Структура_ассортимента[Generic Name (long)],MATCH(Товары[[#This Row],[SubGroup]],Структура_ассортимента[Subgroup],0)),"")</f>
        <v>PRUNER, ANVIL</v>
      </c>
      <c r="L294" s="36">
        <v>967275401</v>
      </c>
      <c r="M294" s="35" t="s">
        <v>1978</v>
      </c>
      <c r="Q294" s="34" t="s">
        <v>3544</v>
      </c>
      <c r="R294" s="34" t="s">
        <v>3540</v>
      </c>
      <c r="S294" s="47">
        <v>41640</v>
      </c>
      <c r="T294" s="47">
        <v>0</v>
      </c>
      <c r="U294" s="47">
        <v>0</v>
      </c>
      <c r="V294" s="34">
        <v>4078500876698</v>
      </c>
      <c r="W294" s="34" t="s">
        <v>3548</v>
      </c>
      <c r="Y294" s="34" t="s">
        <v>3542</v>
      </c>
      <c r="Z294" s="34">
        <v>4</v>
      </c>
      <c r="AA294" s="34">
        <v>1400</v>
      </c>
      <c r="AB294" s="34">
        <v>1400</v>
      </c>
      <c r="AC294" s="34">
        <v>1300</v>
      </c>
      <c r="AD294" s="34">
        <v>1300</v>
      </c>
      <c r="AE294" s="34">
        <v>665</v>
      </c>
      <c r="AF294" s="34">
        <v>215</v>
      </c>
      <c r="AG294" s="34">
        <v>36</v>
      </c>
      <c r="AH294" s="34">
        <v>5.1470000000000002</v>
      </c>
      <c r="AM294" s="40" t="s">
        <v>8094</v>
      </c>
      <c r="AT294" s="44">
        <v>0</v>
      </c>
      <c r="AU294" s="44"/>
      <c r="AV294" s="46">
        <f>ROUND(Товары[[#This Row],[РРЦ финальная, руб.]]/$AU$1,2)</f>
        <v>0</v>
      </c>
      <c r="AW294" s="45" t="str">
        <f>IFERROR(Товары[[#This Row],[РРЦ, евро]]/Товары[[#This Row],[IRP, Eur]],"-")</f>
        <v>-</v>
      </c>
      <c r="AX294" s="42">
        <f>IFERROR(VLOOKUP(Товары[[#This Row],[SubGroup]],'Структура цен DIY'!$B:$C,2,FALSE),0)</f>
        <v>0.21</v>
      </c>
      <c r="AY294" s="44">
        <v>0</v>
      </c>
    </row>
    <row r="295" spans="1:51" x14ac:dyDescent="0.25">
      <c r="A295" s="34">
        <v>293</v>
      </c>
      <c r="B295" s="34" t="s">
        <v>56</v>
      </c>
      <c r="C295" s="110" t="str">
        <f>IFERROR(INDEX(Структура_ассортимента[SuperCategory],MATCH(Товары[[#This Row],[SubGroup]],Структура_ассортимента[Subgroup],0)),"")</f>
        <v>A</v>
      </c>
      <c r="D29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9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95" s="110" t="str">
        <f>IFERROR(INDEX(Структура_ассортимента[Product group],MATCH(Товары[[#This Row],[SubGroup]],Структура_ассортимента[Subgroup],0)),"")</f>
        <v>AMC_C</v>
      </c>
      <c r="G295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95" s="110" t="str">
        <f>IFERROR(INDEX(Структура_ассортимента[Generic Name (long)3],MATCH(Товары[[#This Row],[SubGroup]],Структура_ассортимента[Subgroup],0)),"")</f>
        <v>Сучкорезы</v>
      </c>
      <c r="I295" s="36">
        <v>9212</v>
      </c>
      <c r="J295" s="36" t="str">
        <f>IFERROR(INDEX(Структура_ассортимента[Generic Name (long)],MATCH(Товары[[#This Row],[SubGroup]],Структура_ассортимента[Subgroup],0)),"")</f>
        <v>PRUNER, ANVIL</v>
      </c>
      <c r="L295" s="36">
        <v>967251501</v>
      </c>
      <c r="M295" s="35" t="s">
        <v>1979</v>
      </c>
      <c r="Q295" s="34" t="s">
        <v>3544</v>
      </c>
      <c r="R295" s="34" t="s">
        <v>3540</v>
      </c>
      <c r="S295" s="47">
        <v>0</v>
      </c>
      <c r="T295" s="47">
        <v>0</v>
      </c>
      <c r="U295" s="47">
        <v>0</v>
      </c>
      <c r="V295" s="34">
        <v>4078500877404</v>
      </c>
      <c r="W295" s="34" t="s">
        <v>3548</v>
      </c>
      <c r="Y295" s="34" t="s">
        <v>3542</v>
      </c>
      <c r="Z295" s="34">
        <v>4</v>
      </c>
      <c r="AA295" s="34">
        <v>1380</v>
      </c>
      <c r="AB295" s="34">
        <v>1500</v>
      </c>
      <c r="AC295" s="34">
        <v>1251</v>
      </c>
      <c r="AD295" s="34">
        <v>1420</v>
      </c>
      <c r="AE295" s="34">
        <v>670</v>
      </c>
      <c r="AF295" s="34">
        <v>248</v>
      </c>
      <c r="AG295" s="34">
        <v>30</v>
      </c>
      <c r="AH295" s="34">
        <v>4985</v>
      </c>
      <c r="AL295" s="34">
        <v>140</v>
      </c>
      <c r="AM295" s="40" t="s">
        <v>8094</v>
      </c>
      <c r="AT295" s="44">
        <v>0</v>
      </c>
      <c r="AU295" s="44"/>
      <c r="AV295" s="46">
        <f>ROUND(Товары[[#This Row],[РРЦ финальная, руб.]]/$AU$1,2)</f>
        <v>0</v>
      </c>
      <c r="AW295" s="45" t="str">
        <f>IFERROR(Товары[[#This Row],[РРЦ, евро]]/Товары[[#This Row],[IRP, Eur]],"-")</f>
        <v>-</v>
      </c>
      <c r="AX295" s="42">
        <f>IFERROR(VLOOKUP(Товары[[#This Row],[SubGroup]],'Структура цен DIY'!$B:$C,2,FALSE),0)</f>
        <v>0.21</v>
      </c>
      <c r="AY295" s="44">
        <v>0</v>
      </c>
    </row>
    <row r="296" spans="1:51" x14ac:dyDescent="0.25">
      <c r="A296" s="34">
        <v>294</v>
      </c>
      <c r="B296" s="34" t="s">
        <v>56</v>
      </c>
      <c r="C296" s="110" t="str">
        <f>IFERROR(INDEX(Структура_ассортимента[SuperCategory],MATCH(Товары[[#This Row],[SubGroup]],Структура_ассортимента[Subgroup],0)),"")</f>
        <v>A</v>
      </c>
      <c r="D29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9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96" s="110" t="str">
        <f>IFERROR(INDEX(Структура_ассортимента[Product group],MATCH(Товары[[#This Row],[SubGroup]],Структура_ассортимента[Subgroup],0)),"")</f>
        <v>AMC_C</v>
      </c>
      <c r="G296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96" s="110" t="str">
        <f>IFERROR(INDEX(Структура_ассортимента[Generic Name (long)3],MATCH(Товары[[#This Row],[SubGroup]],Структура_ассортимента[Subgroup],0)),"")</f>
        <v>Сучкорезы</v>
      </c>
      <c r="I296" s="36">
        <v>9212</v>
      </c>
      <c r="J296" s="36" t="str">
        <f>IFERROR(INDEX(Структура_ассортимента[Generic Name (long)],MATCH(Товары[[#This Row],[SubGroup]],Структура_ассортимента[Subgroup],0)),"")</f>
        <v>PRUNER, ANVIL</v>
      </c>
      <c r="L296" s="36">
        <v>967251601</v>
      </c>
      <c r="M296" s="35" t="s">
        <v>1980</v>
      </c>
      <c r="Q296" s="34" t="s">
        <v>3544</v>
      </c>
      <c r="R296" s="34" t="s">
        <v>3540</v>
      </c>
      <c r="S296" s="47">
        <v>0</v>
      </c>
      <c r="T296" s="47">
        <v>0</v>
      </c>
      <c r="U296" s="47">
        <v>0</v>
      </c>
      <c r="V296" s="34">
        <v>4078500877503</v>
      </c>
      <c r="W296" s="34" t="s">
        <v>3548</v>
      </c>
      <c r="Y296" s="34" t="s">
        <v>3542</v>
      </c>
      <c r="Z296" s="34">
        <v>4</v>
      </c>
      <c r="AA296" s="34">
        <v>1380</v>
      </c>
      <c r="AB296" s="34">
        <v>1535</v>
      </c>
      <c r="AC296" s="34">
        <v>1251</v>
      </c>
      <c r="AD296" s="34">
        <v>1500</v>
      </c>
      <c r="AE296" s="34">
        <v>670</v>
      </c>
      <c r="AF296" s="34">
        <v>216</v>
      </c>
      <c r="AG296" s="34">
        <v>32</v>
      </c>
      <c r="AH296" s="34">
        <v>4631</v>
      </c>
      <c r="AL296" s="34">
        <v>140</v>
      </c>
      <c r="AM296" s="40" t="s">
        <v>8094</v>
      </c>
      <c r="AT296" s="44">
        <v>0</v>
      </c>
      <c r="AU296" s="44"/>
      <c r="AV296" s="46">
        <f>ROUND(Товары[[#This Row],[РРЦ финальная, руб.]]/$AU$1,2)</f>
        <v>0</v>
      </c>
      <c r="AW296" s="45" t="str">
        <f>IFERROR(Товары[[#This Row],[РРЦ, евро]]/Товары[[#This Row],[IRP, Eur]],"-")</f>
        <v>-</v>
      </c>
      <c r="AX296" s="42">
        <f>IFERROR(VLOOKUP(Товары[[#This Row],[SubGroup]],'Структура цен DIY'!$B:$C,2,FALSE),0)</f>
        <v>0.21</v>
      </c>
      <c r="AY296" s="44">
        <v>0</v>
      </c>
    </row>
    <row r="297" spans="1:51" x14ac:dyDescent="0.25">
      <c r="A297" s="34">
        <v>295</v>
      </c>
      <c r="B297" s="34" t="s">
        <v>56</v>
      </c>
      <c r="C297" s="110" t="str">
        <f>IFERROR(INDEX(Структура_ассортимента[SuperCategory],MATCH(Товары[[#This Row],[SubGroup]],Структура_ассортимента[Subgroup],0)),"")</f>
        <v>A</v>
      </c>
      <c r="D29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9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97" s="110" t="str">
        <f>IFERROR(INDEX(Структура_ассортимента[Product group],MATCH(Товары[[#This Row],[SubGroup]],Структура_ассортимента[Subgroup],0)),"")</f>
        <v>AMC_C</v>
      </c>
      <c r="G297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97" s="110" t="str">
        <f>IFERROR(INDEX(Структура_ассортимента[Generic Name (long)3],MATCH(Товары[[#This Row],[SubGroup]],Структура_ассортимента[Subgroup],0)),"")</f>
        <v>Сучкорезы</v>
      </c>
      <c r="I297" s="36">
        <v>9212</v>
      </c>
      <c r="J297" s="36" t="str">
        <f>IFERROR(INDEX(Структура_ассортимента[Generic Name (long)],MATCH(Товары[[#This Row],[SubGroup]],Структура_ассортимента[Subgroup],0)),"")</f>
        <v>PRUNER, ANVIL</v>
      </c>
      <c r="L297" s="36">
        <v>967251701</v>
      </c>
      <c r="M297" s="35" t="s">
        <v>1981</v>
      </c>
      <c r="Q297" s="34" t="s">
        <v>3544</v>
      </c>
      <c r="R297" s="34" t="s">
        <v>3540</v>
      </c>
      <c r="S297" s="47">
        <v>0</v>
      </c>
      <c r="T297" s="47">
        <v>0</v>
      </c>
      <c r="U297" s="47">
        <v>0</v>
      </c>
      <c r="V297" s="34">
        <v>4078500002394</v>
      </c>
      <c r="W297" s="34" t="s">
        <v>3548</v>
      </c>
      <c r="Y297" s="34" t="s">
        <v>3542</v>
      </c>
      <c r="Z297" s="34">
        <v>12</v>
      </c>
      <c r="AA297" s="34">
        <v>1380</v>
      </c>
      <c r="AB297" s="34">
        <v>1750</v>
      </c>
      <c r="AC297" s="34">
        <v>1251</v>
      </c>
      <c r="AD297" s="34">
        <v>1700</v>
      </c>
      <c r="AE297" s="34">
        <v>665</v>
      </c>
      <c r="AF297" s="34">
        <v>215</v>
      </c>
      <c r="AG297" s="34">
        <v>36</v>
      </c>
      <c r="AH297" s="34">
        <v>5147</v>
      </c>
      <c r="AL297" s="34">
        <v>48</v>
      </c>
      <c r="AM297" s="40" t="s">
        <v>8094</v>
      </c>
      <c r="AT297" s="44">
        <v>0</v>
      </c>
      <c r="AU297" s="44"/>
      <c r="AV297" s="46">
        <f>ROUND(Товары[[#This Row],[РРЦ финальная, руб.]]/$AU$1,2)</f>
        <v>0</v>
      </c>
      <c r="AW297" s="45" t="str">
        <f>IFERROR(Товары[[#This Row],[РРЦ, евро]]/Товары[[#This Row],[IRP, Eur]],"-")</f>
        <v>-</v>
      </c>
      <c r="AX297" s="42">
        <f>IFERROR(VLOOKUP(Товары[[#This Row],[SubGroup]],'Структура цен DIY'!$B:$C,2,FALSE),0)</f>
        <v>0.21</v>
      </c>
      <c r="AY297" s="44">
        <v>0</v>
      </c>
    </row>
    <row r="298" spans="1:51" x14ac:dyDescent="0.25">
      <c r="A298" s="34">
        <v>296</v>
      </c>
      <c r="B298" s="34" t="s">
        <v>56</v>
      </c>
      <c r="C298" s="110" t="str">
        <f>IFERROR(INDEX(Структура_ассортимента[SuperCategory],MATCH(Товары[[#This Row],[SubGroup]],Структура_ассортимента[Subgroup],0)),"")</f>
        <v>A</v>
      </c>
      <c r="D29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9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98" s="110" t="str">
        <f>IFERROR(INDEX(Структура_ассортимента[Product group],MATCH(Товары[[#This Row],[SubGroup]],Структура_ассортимента[Subgroup],0)),"")</f>
        <v>AMC_C</v>
      </c>
      <c r="G298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98" s="110" t="str">
        <f>IFERROR(INDEX(Структура_ассортимента[Generic Name (long)3],MATCH(Товары[[#This Row],[SubGroup]],Структура_ассортимента[Subgroup],0)),"")</f>
        <v>Сучкорезы</v>
      </c>
      <c r="I298" s="36">
        <v>9212</v>
      </c>
      <c r="J298" s="36" t="str">
        <f>IFERROR(INDEX(Структура_ассортимента[Generic Name (long)],MATCH(Товары[[#This Row],[SubGroup]],Структура_ассортимента[Subgroup],0)),"")</f>
        <v>PRUNER, ANVIL</v>
      </c>
      <c r="L298" s="36">
        <v>967251801</v>
      </c>
      <c r="M298" s="35" t="s">
        <v>1982</v>
      </c>
      <c r="Q298" s="34" t="s">
        <v>3544</v>
      </c>
      <c r="R298" s="34" t="s">
        <v>3540</v>
      </c>
      <c r="S298" s="47">
        <v>0</v>
      </c>
      <c r="T298" s="47">
        <v>0</v>
      </c>
      <c r="U298" s="47">
        <v>0</v>
      </c>
      <c r="V298" s="34">
        <v>4078500877602</v>
      </c>
      <c r="W298" s="34" t="s">
        <v>3548</v>
      </c>
      <c r="Y298" s="34" t="s">
        <v>3542</v>
      </c>
      <c r="Z298" s="34">
        <v>2</v>
      </c>
      <c r="AA298" s="34">
        <v>900</v>
      </c>
      <c r="AB298" s="34">
        <v>1160</v>
      </c>
      <c r="AC298" s="34">
        <v>760</v>
      </c>
      <c r="AD298" s="34">
        <v>1000</v>
      </c>
      <c r="AE298" s="34">
        <v>520</v>
      </c>
      <c r="AF298" s="34">
        <v>190</v>
      </c>
      <c r="AG298" s="34">
        <v>32</v>
      </c>
      <c r="AH298" s="34">
        <v>3162</v>
      </c>
      <c r="AL298" s="34">
        <v>154</v>
      </c>
      <c r="AM298" s="40" t="s">
        <v>8094</v>
      </c>
      <c r="AT298" s="44">
        <v>0</v>
      </c>
      <c r="AU298" s="44"/>
      <c r="AV298" s="46">
        <f>ROUND(Товары[[#This Row],[РРЦ финальная, руб.]]/$AU$1,2)</f>
        <v>0</v>
      </c>
      <c r="AW298" s="45" t="str">
        <f>IFERROR(Товары[[#This Row],[РРЦ, евро]]/Товары[[#This Row],[IRP, Eur]],"-")</f>
        <v>-</v>
      </c>
      <c r="AX298" s="42">
        <f>IFERROR(VLOOKUP(Товары[[#This Row],[SubGroup]],'Структура цен DIY'!$B:$C,2,FALSE),0)</f>
        <v>0.21</v>
      </c>
      <c r="AY298" s="44">
        <v>0</v>
      </c>
    </row>
    <row r="299" spans="1:51" x14ac:dyDescent="0.25">
      <c r="A299" s="34">
        <v>297</v>
      </c>
      <c r="B299" s="34" t="s">
        <v>56</v>
      </c>
      <c r="C299" s="110" t="str">
        <f>IFERROR(INDEX(Структура_ассортимента[SuperCategory],MATCH(Товары[[#This Row],[SubGroup]],Структура_ассортимента[Subgroup],0)),"")</f>
        <v>A</v>
      </c>
      <c r="D29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9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99" s="110" t="str">
        <f>IFERROR(INDEX(Структура_ассортимента[Product group],MATCH(Товары[[#This Row],[SubGroup]],Структура_ассортимента[Subgroup],0)),"")</f>
        <v>AMC_C</v>
      </c>
      <c r="G299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99" s="110" t="str">
        <f>IFERROR(INDEX(Структура_ассортимента[Generic Name (long)3],MATCH(Товары[[#This Row],[SubGroup]],Структура_ассортимента[Subgroup],0)),"")</f>
        <v>Сучкорезы</v>
      </c>
      <c r="I299" s="36">
        <v>9212</v>
      </c>
      <c r="J299" s="36" t="str">
        <f>IFERROR(INDEX(Структура_ассортимента[Generic Name (long)],MATCH(Товары[[#This Row],[SubGroup]],Структура_ассортимента[Subgroup],0)),"")</f>
        <v>PRUNER, ANVIL</v>
      </c>
      <c r="L299" s="36">
        <v>967251901</v>
      </c>
      <c r="M299" s="35" t="s">
        <v>1983</v>
      </c>
      <c r="Q299" s="34" t="s">
        <v>3544</v>
      </c>
      <c r="R299" s="34" t="s">
        <v>3540</v>
      </c>
      <c r="S299" s="47">
        <v>0</v>
      </c>
      <c r="T299" s="47">
        <v>0</v>
      </c>
      <c r="U299" s="47">
        <v>0</v>
      </c>
      <c r="V299" s="34">
        <v>4078500877701</v>
      </c>
      <c r="W299" s="34" t="s">
        <v>3548</v>
      </c>
      <c r="Y299" s="34" t="s">
        <v>3542</v>
      </c>
      <c r="Z299" s="34">
        <v>2</v>
      </c>
      <c r="AA299" s="34">
        <v>1530</v>
      </c>
      <c r="AB299" s="34">
        <v>1530</v>
      </c>
      <c r="AC299" s="34">
        <v>1500</v>
      </c>
      <c r="AD299" s="34">
        <v>1500</v>
      </c>
      <c r="AE299" s="34">
        <v>790</v>
      </c>
      <c r="AF299" s="34">
        <v>220</v>
      </c>
      <c r="AG299" s="34">
        <v>33</v>
      </c>
      <c r="AH299" s="34">
        <v>5735</v>
      </c>
      <c r="AL299" s="34">
        <v>66</v>
      </c>
      <c r="AM299" s="40" t="s">
        <v>8094</v>
      </c>
      <c r="AT299" s="44">
        <v>0</v>
      </c>
      <c r="AU299" s="44"/>
      <c r="AV299" s="46">
        <f>ROUND(Товары[[#This Row],[РРЦ финальная, руб.]]/$AU$1,2)</f>
        <v>0</v>
      </c>
      <c r="AW299" s="45" t="str">
        <f>IFERROR(Товары[[#This Row],[РРЦ, евро]]/Товары[[#This Row],[IRP, Eur]],"-")</f>
        <v>-</v>
      </c>
      <c r="AX299" s="42">
        <f>IFERROR(VLOOKUP(Товары[[#This Row],[SubGroup]],'Структура цен DIY'!$B:$C,2,FALSE),0)</f>
        <v>0.21</v>
      </c>
      <c r="AY299" s="44">
        <v>0</v>
      </c>
    </row>
    <row r="300" spans="1:51" x14ac:dyDescent="0.25">
      <c r="A300" s="34">
        <v>298</v>
      </c>
      <c r="B300" s="34" t="s">
        <v>56</v>
      </c>
      <c r="C300" s="110" t="str">
        <f>IFERROR(INDEX(Структура_ассортимента[SuperCategory],MATCH(Товары[[#This Row],[SubGroup]],Структура_ассортимента[Subgroup],0)),"")</f>
        <v>A</v>
      </c>
      <c r="D30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0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00" s="110" t="str">
        <f>IFERROR(INDEX(Структура_ассортимента[Product group],MATCH(Товары[[#This Row],[SubGroup]],Структура_ассортимента[Subgroup],0)),"")</f>
        <v>AMC_C</v>
      </c>
      <c r="G300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00" s="110" t="str">
        <f>IFERROR(INDEX(Структура_ассортимента[Generic Name (long)3],MATCH(Товары[[#This Row],[SubGroup]],Структура_ассортимента[Subgroup],0)),"")</f>
        <v>Сучкорезы</v>
      </c>
      <c r="I300" s="36">
        <v>9212</v>
      </c>
      <c r="J300" s="36" t="str">
        <f>IFERROR(INDEX(Структура_ассортимента[Generic Name (long)],MATCH(Товары[[#This Row],[SubGroup]],Структура_ассортимента[Subgroup],0)),"")</f>
        <v>PRUNER, ANVIL</v>
      </c>
      <c r="L300" s="36">
        <v>967252001</v>
      </c>
      <c r="M300" s="35" t="s">
        <v>1984</v>
      </c>
      <c r="Q300" s="34" t="s">
        <v>3544</v>
      </c>
      <c r="R300" s="34" t="s">
        <v>3540</v>
      </c>
      <c r="S300" s="47">
        <v>0</v>
      </c>
      <c r="T300" s="47">
        <v>0</v>
      </c>
      <c r="U300" s="47">
        <v>0</v>
      </c>
      <c r="V300" s="34">
        <v>4078500877800</v>
      </c>
      <c r="W300" s="34" t="s">
        <v>3548</v>
      </c>
      <c r="Y300" s="34" t="s">
        <v>3542</v>
      </c>
      <c r="Z300" s="34">
        <v>2</v>
      </c>
      <c r="AA300" s="34">
        <v>900</v>
      </c>
      <c r="AB300" s="34">
        <v>1580</v>
      </c>
      <c r="AC300" s="34">
        <v>800</v>
      </c>
      <c r="AD300" s="34">
        <v>1500</v>
      </c>
      <c r="AE300" s="34">
        <v>790</v>
      </c>
      <c r="AF300" s="34">
        <v>220</v>
      </c>
      <c r="AG300" s="34">
        <v>32</v>
      </c>
      <c r="AH300" s="34">
        <v>5562</v>
      </c>
      <c r="AL300" s="34">
        <v>66</v>
      </c>
      <c r="AM300" s="40" t="s">
        <v>8094</v>
      </c>
      <c r="AT300" s="44">
        <v>0</v>
      </c>
      <c r="AU300" s="44"/>
      <c r="AV300" s="46">
        <f>ROUND(Товары[[#This Row],[РРЦ финальная, руб.]]/$AU$1,2)</f>
        <v>0</v>
      </c>
      <c r="AW300" s="45" t="str">
        <f>IFERROR(Товары[[#This Row],[РРЦ, евро]]/Товары[[#This Row],[IRP, Eur]],"-")</f>
        <v>-</v>
      </c>
      <c r="AX300" s="42">
        <f>IFERROR(VLOOKUP(Товары[[#This Row],[SubGroup]],'Структура цен DIY'!$B:$C,2,FALSE),0)</f>
        <v>0.21</v>
      </c>
      <c r="AY300" s="44">
        <v>0</v>
      </c>
    </row>
    <row r="301" spans="1:51" x14ac:dyDescent="0.25">
      <c r="A301" s="34">
        <v>299</v>
      </c>
      <c r="B301" s="34" t="s">
        <v>56</v>
      </c>
      <c r="C301" s="110" t="str">
        <f>IFERROR(INDEX(Структура_ассортимента[SuperCategory],MATCH(Товары[[#This Row],[SubGroup]],Структура_ассортимента[Subgroup],0)),"")</f>
        <v>A</v>
      </c>
      <c r="D30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0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01" s="110" t="str">
        <f>IFERROR(INDEX(Структура_ассортимента[Product group],MATCH(Товары[[#This Row],[SubGroup]],Структура_ассортимента[Subgroup],0)),"")</f>
        <v>AMC_C</v>
      </c>
      <c r="G301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01" s="110" t="str">
        <f>IFERROR(INDEX(Структура_ассортимента[Generic Name (long)3],MATCH(Товары[[#This Row],[SubGroup]],Структура_ассортимента[Subgroup],0)),"")</f>
        <v>Сучкорезы</v>
      </c>
      <c r="I301" s="36">
        <v>9212</v>
      </c>
      <c r="J301" s="36" t="str">
        <f>IFERROR(INDEX(Структура_ассортимента[Generic Name (long)],MATCH(Товары[[#This Row],[SubGroup]],Структура_ассортимента[Subgroup],0)),"")</f>
        <v>PRUNER, ANVIL</v>
      </c>
      <c r="L301" s="36">
        <v>967252101</v>
      </c>
      <c r="M301" s="35" t="s">
        <v>1985</v>
      </c>
      <c r="Q301" s="34" t="s">
        <v>3544</v>
      </c>
      <c r="R301" s="34" t="s">
        <v>3540</v>
      </c>
      <c r="S301" s="47">
        <v>0</v>
      </c>
      <c r="T301" s="47">
        <v>0</v>
      </c>
      <c r="U301" s="47">
        <v>0</v>
      </c>
      <c r="V301" s="34">
        <v>4078500877909</v>
      </c>
      <c r="W301" s="34" t="s">
        <v>3548</v>
      </c>
      <c r="Y301" s="34" t="s">
        <v>3542</v>
      </c>
      <c r="Z301" s="34">
        <v>2</v>
      </c>
      <c r="AA301" s="34">
        <v>1553</v>
      </c>
      <c r="AB301" s="34">
        <v>1553</v>
      </c>
      <c r="AC301" s="34">
        <v>1361</v>
      </c>
      <c r="AD301" s="34">
        <v>1361</v>
      </c>
      <c r="AE301" s="34">
        <v>800</v>
      </c>
      <c r="AF301" s="34">
        <v>243</v>
      </c>
      <c r="AG301" s="34">
        <v>35</v>
      </c>
      <c r="AH301" s="34">
        <v>6804</v>
      </c>
      <c r="AL301" s="34">
        <v>66</v>
      </c>
      <c r="AM301" s="40" t="s">
        <v>8094</v>
      </c>
      <c r="AT301" s="44">
        <v>0</v>
      </c>
      <c r="AU301" s="44"/>
      <c r="AV301" s="46">
        <f>ROUND(Товары[[#This Row],[РРЦ финальная, руб.]]/$AU$1,2)</f>
        <v>0</v>
      </c>
      <c r="AW301" s="45" t="str">
        <f>IFERROR(Товары[[#This Row],[РРЦ, евро]]/Товары[[#This Row],[IRP, Eur]],"-")</f>
        <v>-</v>
      </c>
      <c r="AX301" s="42">
        <f>IFERROR(VLOOKUP(Товары[[#This Row],[SubGroup]],'Структура цен DIY'!$B:$C,2,FALSE),0)</f>
        <v>0.21</v>
      </c>
      <c r="AY301" s="44">
        <v>0</v>
      </c>
    </row>
    <row r="302" spans="1:51" x14ac:dyDescent="0.25">
      <c r="A302" s="34">
        <v>300</v>
      </c>
      <c r="B302" s="34" t="s">
        <v>56</v>
      </c>
      <c r="C302" s="110" t="str">
        <f>IFERROR(INDEX(Структура_ассортимента[SuperCategory],MATCH(Товары[[#This Row],[SubGroup]],Структура_ассортимента[Subgroup],0)),"")</f>
        <v>A</v>
      </c>
      <c r="D30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0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02" s="110" t="str">
        <f>IFERROR(INDEX(Структура_ассортимента[Product group],MATCH(Товары[[#This Row],[SubGroup]],Структура_ассортимента[Subgroup],0)),"")</f>
        <v>AMC_C</v>
      </c>
      <c r="G302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02" s="110" t="str">
        <f>IFERROR(INDEX(Структура_ассортимента[Generic Name (long)3],MATCH(Товары[[#This Row],[SubGroup]],Структура_ассортимента[Subgroup],0)),"")</f>
        <v>Сучкорезы</v>
      </c>
      <c r="I302" s="36">
        <v>9212</v>
      </c>
      <c r="J302" s="36" t="str">
        <f>IFERROR(INDEX(Структура_ассортимента[Generic Name (long)],MATCH(Товары[[#This Row],[SubGroup]],Структура_ассортимента[Subgroup],0)),"")</f>
        <v>PRUNER, ANVIL</v>
      </c>
      <c r="L302" s="36">
        <v>901194701</v>
      </c>
      <c r="M302" s="35" t="s">
        <v>1986</v>
      </c>
      <c r="Q302" s="34" t="s">
        <v>3544</v>
      </c>
      <c r="R302" s="34" t="s">
        <v>3540</v>
      </c>
      <c r="S302" s="47">
        <v>38991</v>
      </c>
      <c r="T302" s="47">
        <v>0</v>
      </c>
      <c r="U302" s="47">
        <v>0</v>
      </c>
      <c r="V302" s="34">
        <v>4078500878005</v>
      </c>
      <c r="W302" s="34" t="s">
        <v>3548</v>
      </c>
      <c r="Y302" s="34" t="s">
        <v>3542</v>
      </c>
      <c r="Z302" s="34">
        <v>4</v>
      </c>
      <c r="AA302" s="34">
        <v>1250</v>
      </c>
      <c r="AB302" s="34">
        <v>1250</v>
      </c>
      <c r="AC302" s="34">
        <v>900</v>
      </c>
      <c r="AD302" s="34">
        <v>900</v>
      </c>
      <c r="AE302" s="34">
        <v>1592</v>
      </c>
      <c r="AF302" s="34">
        <v>150</v>
      </c>
      <c r="AG302" s="34">
        <v>52</v>
      </c>
      <c r="AH302" s="34">
        <v>12.417999999999999</v>
      </c>
      <c r="AM302" s="40" t="s">
        <v>8094</v>
      </c>
      <c r="AT302" s="44">
        <v>0</v>
      </c>
      <c r="AU302" s="44"/>
      <c r="AV302" s="46">
        <f>ROUND(Товары[[#This Row],[РРЦ финальная, руб.]]/$AU$1,2)</f>
        <v>0</v>
      </c>
      <c r="AW302" s="45" t="str">
        <f>IFERROR(Товары[[#This Row],[РРЦ, евро]]/Товары[[#This Row],[IRP, Eur]],"-")</f>
        <v>-</v>
      </c>
      <c r="AX302" s="42">
        <f>IFERROR(VLOOKUP(Товары[[#This Row],[SubGroup]],'Структура цен DIY'!$B:$C,2,FALSE),0)</f>
        <v>0.21</v>
      </c>
      <c r="AY302" s="44">
        <v>0</v>
      </c>
    </row>
    <row r="303" spans="1:51" x14ac:dyDescent="0.25">
      <c r="A303" s="34">
        <v>301</v>
      </c>
      <c r="B303" s="34" t="s">
        <v>56</v>
      </c>
      <c r="C303" s="110" t="str">
        <f>IFERROR(INDEX(Структура_ассортимента[SuperCategory],MATCH(Товары[[#This Row],[SubGroup]],Структура_ассортимента[Subgroup],0)),"")</f>
        <v>A</v>
      </c>
      <c r="D30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0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03" s="110" t="str">
        <f>IFERROR(INDEX(Структура_ассортимента[Product group],MATCH(Товары[[#This Row],[SubGroup]],Структура_ассортимента[Subgroup],0)),"")</f>
        <v>AMC_C</v>
      </c>
      <c r="G303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03" s="110" t="str">
        <f>IFERROR(INDEX(Структура_ассортимента[Generic Name (long)3],MATCH(Товары[[#This Row],[SubGroup]],Структура_ассортимента[Subgroup],0)),"")</f>
        <v>Сучкорезы</v>
      </c>
      <c r="I303" s="36">
        <v>9212</v>
      </c>
      <c r="J303" s="36" t="str">
        <f>IFERROR(INDEX(Структура_ассортимента[Generic Name (long)],MATCH(Товары[[#This Row],[SubGroup]],Структура_ассортимента[Subgroup],0)),"")</f>
        <v>PRUNER, ANVIL</v>
      </c>
      <c r="L303" s="36">
        <v>901194801</v>
      </c>
      <c r="M303" s="35" t="s">
        <v>1987</v>
      </c>
      <c r="Q303" s="34" t="s">
        <v>3544</v>
      </c>
      <c r="R303" s="34" t="s">
        <v>3540</v>
      </c>
      <c r="S303" s="47">
        <v>38991</v>
      </c>
      <c r="T303" s="47">
        <v>0</v>
      </c>
      <c r="U303" s="47">
        <v>0</v>
      </c>
      <c r="V303" s="34">
        <v>4078500878203</v>
      </c>
      <c r="W303" s="34" t="s">
        <v>3548</v>
      </c>
      <c r="Y303" s="34" t="s">
        <v>3542</v>
      </c>
      <c r="Z303" s="34">
        <v>2</v>
      </c>
      <c r="AA303" s="34">
        <v>2073</v>
      </c>
      <c r="AB303" s="34">
        <v>2073</v>
      </c>
      <c r="AC303" s="34">
        <v>1500</v>
      </c>
      <c r="AD303" s="34">
        <v>1500</v>
      </c>
      <c r="AE303" s="34">
        <v>2416</v>
      </c>
      <c r="AF303" s="34">
        <v>150</v>
      </c>
      <c r="AG303" s="34">
        <v>67</v>
      </c>
      <c r="AH303" s="34">
        <v>24.280999999999999</v>
      </c>
      <c r="AM303" s="40" t="s">
        <v>8094</v>
      </c>
      <c r="AT303" s="44">
        <v>0</v>
      </c>
      <c r="AU303" s="44"/>
      <c r="AV303" s="46">
        <f>ROUND(Товары[[#This Row],[РРЦ финальная, руб.]]/$AU$1,2)</f>
        <v>0</v>
      </c>
      <c r="AW303" s="45" t="str">
        <f>IFERROR(Товары[[#This Row],[РРЦ, евро]]/Товары[[#This Row],[IRP, Eur]],"-")</f>
        <v>-</v>
      </c>
      <c r="AX303" s="42">
        <f>IFERROR(VLOOKUP(Товары[[#This Row],[SubGroup]],'Структура цен DIY'!$B:$C,2,FALSE),0)</f>
        <v>0.21</v>
      </c>
      <c r="AY303" s="44">
        <v>0</v>
      </c>
    </row>
    <row r="304" spans="1:51" x14ac:dyDescent="0.25">
      <c r="A304" s="34">
        <v>302</v>
      </c>
      <c r="B304" s="34" t="s">
        <v>56</v>
      </c>
      <c r="C304" s="110" t="str">
        <f>IFERROR(INDEX(Структура_ассортимента[SuperCategory],MATCH(Товары[[#This Row],[SubGroup]],Структура_ассортимента[Subgroup],0)),"")</f>
        <v>A</v>
      </c>
      <c r="D30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0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04" s="110" t="str">
        <f>IFERROR(INDEX(Структура_ассортимента[Product group],MATCH(Товары[[#This Row],[SubGroup]],Структура_ассортимента[Subgroup],0)),"")</f>
        <v>AMC_C</v>
      </c>
      <c r="G304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04" s="110" t="str">
        <f>IFERROR(INDEX(Структура_ассортимента[Generic Name (long)3],MATCH(Товары[[#This Row],[SubGroup]],Структура_ассортимента[Subgroup],0)),"")</f>
        <v>Секаторы</v>
      </c>
      <c r="I304" s="36">
        <v>9211</v>
      </c>
      <c r="J304" s="36" t="str">
        <f>IFERROR(INDEX(Структура_ассортимента[Generic Name (long)],MATCH(Товары[[#This Row],[SubGroup]],Структура_ассортимента[Subgroup],0)),"")</f>
        <v>SECATEUR, ANVIL</v>
      </c>
      <c r="L304" s="36">
        <v>967303201</v>
      </c>
      <c r="M304" s="35" t="s">
        <v>1988</v>
      </c>
      <c r="Q304" s="34" t="s">
        <v>4564</v>
      </c>
      <c r="R304" s="34" t="s">
        <v>3540</v>
      </c>
      <c r="S304" s="47">
        <v>41852</v>
      </c>
      <c r="T304" s="47">
        <v>0</v>
      </c>
      <c r="U304" s="47">
        <v>0</v>
      </c>
      <c r="V304" s="34">
        <v>4078500010061</v>
      </c>
      <c r="W304" s="34" t="s">
        <v>3548</v>
      </c>
      <c r="Y304" s="34" t="s">
        <v>3542</v>
      </c>
      <c r="Z304" s="34">
        <v>30</v>
      </c>
      <c r="AA304" s="34">
        <v>130</v>
      </c>
      <c r="AB304" s="34">
        <v>130</v>
      </c>
      <c r="AC304" s="34">
        <v>130</v>
      </c>
      <c r="AD304" s="34">
        <v>130</v>
      </c>
      <c r="AE304" s="34">
        <v>255</v>
      </c>
      <c r="AF304" s="34">
        <v>120</v>
      </c>
      <c r="AG304" s="34">
        <v>20</v>
      </c>
      <c r="AM304" s="40" t="s">
        <v>8094</v>
      </c>
      <c r="AT304" s="44">
        <v>0</v>
      </c>
      <c r="AU304" s="44"/>
      <c r="AV304" s="46">
        <f>ROUND(Товары[[#This Row],[РРЦ финальная, руб.]]/$AU$1,2)</f>
        <v>0</v>
      </c>
      <c r="AW304" s="45" t="str">
        <f>IFERROR(Товары[[#This Row],[РРЦ, евро]]/Товары[[#This Row],[IRP, Eur]],"-")</f>
        <v>-</v>
      </c>
      <c r="AX304" s="42">
        <f>IFERROR(VLOOKUP(Товары[[#This Row],[SubGroup]],'Структура цен DIY'!$B:$C,2,FALSE),0)</f>
        <v>0.29999999999999993</v>
      </c>
      <c r="AY304" s="44">
        <v>0</v>
      </c>
    </row>
    <row r="305" spans="1:51" x14ac:dyDescent="0.25">
      <c r="A305" s="34">
        <v>303</v>
      </c>
      <c r="B305" s="34" t="s">
        <v>56</v>
      </c>
      <c r="C305" s="110" t="str">
        <f>IFERROR(INDEX(Структура_ассортимента[SuperCategory],MATCH(Товары[[#This Row],[SubGroup]],Структура_ассортимента[Subgroup],0)),"")</f>
        <v>A</v>
      </c>
      <c r="D30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0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05" s="110" t="str">
        <f>IFERROR(INDEX(Структура_ассортимента[Product group],MATCH(Товары[[#This Row],[SubGroup]],Структура_ассортимента[Subgroup],0)),"")</f>
        <v>AMC_C</v>
      </c>
      <c r="G305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05" s="110" t="str">
        <f>IFERROR(INDEX(Структура_ассортимента[Generic Name (long)3],MATCH(Товары[[#This Row],[SubGroup]],Структура_ассортимента[Subgroup],0)),"")</f>
        <v>Секаторы</v>
      </c>
      <c r="I305" s="36">
        <v>9211</v>
      </c>
      <c r="J305" s="36" t="str">
        <f>IFERROR(INDEX(Структура_ассортимента[Generic Name (long)],MATCH(Товары[[#This Row],[SubGroup]],Структура_ассортимента[Subgroup],0)),"")</f>
        <v>SECATEUR, ANVIL</v>
      </c>
      <c r="L305" s="36">
        <v>901194901</v>
      </c>
      <c r="M305" s="35" t="s">
        <v>1989</v>
      </c>
      <c r="Q305" s="34" t="s">
        <v>4564</v>
      </c>
      <c r="R305" s="34" t="s">
        <v>3540</v>
      </c>
      <c r="S305" s="47">
        <v>39722</v>
      </c>
      <c r="T305" s="47">
        <v>0</v>
      </c>
      <c r="U305" s="47">
        <v>0</v>
      </c>
      <c r="V305" s="34">
        <v>4078500878500</v>
      </c>
      <c r="W305" s="34" t="s">
        <v>3548</v>
      </c>
      <c r="Y305" s="34" t="s">
        <v>3542</v>
      </c>
      <c r="Z305" s="34">
        <v>5</v>
      </c>
      <c r="AA305" s="34">
        <v>254</v>
      </c>
      <c r="AB305" s="34">
        <v>254</v>
      </c>
      <c r="AC305" s="34">
        <v>240</v>
      </c>
      <c r="AD305" s="34">
        <v>240</v>
      </c>
      <c r="AE305" s="34">
        <v>254</v>
      </c>
      <c r="AF305" s="34">
        <v>120</v>
      </c>
      <c r="AG305" s="34">
        <v>20</v>
      </c>
      <c r="AH305" s="34">
        <v>0.61</v>
      </c>
      <c r="AM305" s="40" t="s">
        <v>8094</v>
      </c>
      <c r="AT305" s="44">
        <v>0</v>
      </c>
      <c r="AU305" s="44"/>
      <c r="AV305" s="46">
        <f>ROUND(Товары[[#This Row],[РРЦ финальная, руб.]]/$AU$1,2)</f>
        <v>0</v>
      </c>
      <c r="AW305" s="45" t="str">
        <f>IFERROR(Товары[[#This Row],[РРЦ, евро]]/Товары[[#This Row],[IRP, Eur]],"-")</f>
        <v>-</v>
      </c>
      <c r="AX305" s="42">
        <f>IFERROR(VLOOKUP(Товары[[#This Row],[SubGroup]],'Структура цен DIY'!$B:$C,2,FALSE),0)</f>
        <v>0.29999999999999993</v>
      </c>
      <c r="AY305" s="44">
        <v>0</v>
      </c>
    </row>
    <row r="306" spans="1:51" x14ac:dyDescent="0.25">
      <c r="A306" s="34">
        <v>304</v>
      </c>
      <c r="B306" s="34" t="s">
        <v>56</v>
      </c>
      <c r="C306" s="110" t="str">
        <f>IFERROR(INDEX(Структура_ассортимента[SuperCategory],MATCH(Товары[[#This Row],[SubGroup]],Структура_ассортимента[Subgroup],0)),"")</f>
        <v>A</v>
      </c>
      <c r="D30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0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06" s="110" t="str">
        <f>IFERROR(INDEX(Структура_ассортимента[Product group],MATCH(Товары[[#This Row],[SubGroup]],Структура_ассортимента[Subgroup],0)),"")</f>
        <v>AMC_C</v>
      </c>
      <c r="G306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06" s="110" t="str">
        <f>IFERROR(INDEX(Структура_ассортимента[Generic Name (long)3],MATCH(Товары[[#This Row],[SubGroup]],Структура_ассортимента[Subgroup],0)),"")</f>
        <v>Секаторы</v>
      </c>
      <c r="I306" s="36">
        <v>9211</v>
      </c>
      <c r="J306" s="36" t="str">
        <f>IFERROR(INDEX(Структура_ассортимента[Generic Name (long)],MATCH(Товары[[#This Row],[SubGroup]],Структура_ассортимента[Subgroup],0)),"")</f>
        <v>SECATEUR, ANVIL</v>
      </c>
      <c r="L306" s="36">
        <v>965885901</v>
      </c>
      <c r="M306" s="35" t="s">
        <v>1990</v>
      </c>
      <c r="Q306" s="34" t="s">
        <v>4564</v>
      </c>
      <c r="R306" s="34" t="s">
        <v>3540</v>
      </c>
      <c r="S306" s="47">
        <v>39722</v>
      </c>
      <c r="T306" s="47">
        <v>0</v>
      </c>
      <c r="U306" s="47">
        <v>0</v>
      </c>
      <c r="V306" s="34">
        <v>4078500878562</v>
      </c>
      <c r="W306" s="34" t="s">
        <v>3548</v>
      </c>
      <c r="Y306" s="34" t="s">
        <v>3542</v>
      </c>
      <c r="Z306" s="34">
        <v>5</v>
      </c>
      <c r="AA306" s="34">
        <v>323</v>
      </c>
      <c r="AB306" s="34">
        <v>240</v>
      </c>
      <c r="AC306" s="34">
        <v>290</v>
      </c>
      <c r="AD306" s="34">
        <v>200</v>
      </c>
      <c r="AE306" s="34">
        <v>254</v>
      </c>
      <c r="AF306" s="34">
        <v>120</v>
      </c>
      <c r="AG306" s="34">
        <v>20</v>
      </c>
      <c r="AH306" s="34">
        <v>0.61</v>
      </c>
      <c r="AM306" s="40" t="s">
        <v>8094</v>
      </c>
      <c r="AT306" s="44">
        <v>0</v>
      </c>
      <c r="AU306" s="44"/>
      <c r="AV306" s="46">
        <f>ROUND(Товары[[#This Row],[РРЦ финальная, руб.]]/$AU$1,2)</f>
        <v>0</v>
      </c>
      <c r="AW306" s="45" t="str">
        <f>IFERROR(Товары[[#This Row],[РРЦ, евро]]/Товары[[#This Row],[IRP, Eur]],"-")</f>
        <v>-</v>
      </c>
      <c r="AX306" s="42">
        <f>IFERROR(VLOOKUP(Товары[[#This Row],[SubGroup]],'Структура цен DIY'!$B:$C,2,FALSE),0)</f>
        <v>0.29999999999999993</v>
      </c>
      <c r="AY306" s="44">
        <v>0</v>
      </c>
    </row>
    <row r="307" spans="1:51" x14ac:dyDescent="0.25">
      <c r="A307" s="34">
        <v>305</v>
      </c>
      <c r="B307" s="34" t="s">
        <v>56</v>
      </c>
      <c r="C307" s="110" t="str">
        <f>IFERROR(INDEX(Структура_ассортимента[SuperCategory],MATCH(Товары[[#This Row],[SubGroup]],Структура_ассортимента[Subgroup],0)),"")</f>
        <v>A</v>
      </c>
      <c r="D30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0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07" s="110" t="str">
        <f>IFERROR(INDEX(Структура_ассортимента[Product group],MATCH(Товары[[#This Row],[SubGroup]],Структура_ассортимента[Subgroup],0)),"")</f>
        <v>AMC_C</v>
      </c>
      <c r="G307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07" s="110" t="str">
        <f>IFERROR(INDEX(Структура_ассортимента[Generic Name (long)3],MATCH(Товары[[#This Row],[SubGroup]],Структура_ассортимента[Subgroup],0)),"")</f>
        <v>Секаторы</v>
      </c>
      <c r="I307" s="36">
        <v>9211</v>
      </c>
      <c r="J307" s="36" t="str">
        <f>IFERROR(INDEX(Структура_ассортимента[Generic Name (long)],MATCH(Товары[[#This Row],[SubGroup]],Структура_ассортимента[Subgroup],0)),"")</f>
        <v>SECATEUR, ANVIL</v>
      </c>
      <c r="L307" s="36">
        <v>966652301</v>
      </c>
      <c r="M307" s="35" t="s">
        <v>1991</v>
      </c>
      <c r="Q307" s="34" t="s">
        <v>4564</v>
      </c>
      <c r="R307" s="34" t="s">
        <v>3540</v>
      </c>
      <c r="S307" s="47">
        <v>40452</v>
      </c>
      <c r="T307" s="47">
        <v>0</v>
      </c>
      <c r="U307" s="47">
        <v>0</v>
      </c>
      <c r="V307" s="34">
        <v>4078500878579</v>
      </c>
      <c r="W307" s="34" t="s">
        <v>3548</v>
      </c>
      <c r="Y307" s="34" t="s">
        <v>3542</v>
      </c>
      <c r="Z307" s="34">
        <v>5</v>
      </c>
      <c r="AA307" s="34">
        <v>254</v>
      </c>
      <c r="AB307" s="34">
        <v>254</v>
      </c>
      <c r="AC307" s="34">
        <v>240</v>
      </c>
      <c r="AD307" s="34">
        <v>240</v>
      </c>
      <c r="AE307" s="34">
        <v>254</v>
      </c>
      <c r="AF307" s="34">
        <v>120</v>
      </c>
      <c r="AG307" s="34">
        <v>20</v>
      </c>
      <c r="AH307" s="34">
        <v>0.61</v>
      </c>
      <c r="AM307" s="40" t="s">
        <v>8094</v>
      </c>
      <c r="AT307" s="44">
        <v>0</v>
      </c>
      <c r="AU307" s="44"/>
      <c r="AV307" s="46">
        <f>ROUND(Товары[[#This Row],[РРЦ финальная, руб.]]/$AU$1,2)</f>
        <v>0</v>
      </c>
      <c r="AW307" s="45" t="str">
        <f>IFERROR(Товары[[#This Row],[РРЦ, евро]]/Товары[[#This Row],[IRP, Eur]],"-")</f>
        <v>-</v>
      </c>
      <c r="AX307" s="42">
        <f>IFERROR(VLOOKUP(Товары[[#This Row],[SubGroup]],'Структура цен DIY'!$B:$C,2,FALSE),0)</f>
        <v>0.29999999999999993</v>
      </c>
      <c r="AY307" s="44">
        <v>0</v>
      </c>
    </row>
    <row r="308" spans="1:51" x14ac:dyDescent="0.25">
      <c r="A308" s="34">
        <v>306</v>
      </c>
      <c r="B308" s="34" t="s">
        <v>56</v>
      </c>
      <c r="C308" s="110" t="str">
        <f>IFERROR(INDEX(Структура_ассортимента[SuperCategory],MATCH(Товары[[#This Row],[SubGroup]],Структура_ассортимента[Subgroup],0)),"")</f>
        <v>A</v>
      </c>
      <c r="D30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0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08" s="110" t="str">
        <f>IFERROR(INDEX(Структура_ассортимента[Product group],MATCH(Товары[[#This Row],[SubGroup]],Структура_ассортимента[Subgroup],0)),"")</f>
        <v>AMC_C</v>
      </c>
      <c r="G308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08" s="110" t="str">
        <f>IFERROR(INDEX(Структура_ассортимента[Generic Name (long)3],MATCH(Товары[[#This Row],[SubGroup]],Структура_ассортимента[Subgroup],0)),"")</f>
        <v>Сучкорезы</v>
      </c>
      <c r="I308" s="36">
        <v>9212</v>
      </c>
      <c r="J308" s="36" t="str">
        <f>IFERROR(INDEX(Структура_ассортимента[Generic Name (long)],MATCH(Товары[[#This Row],[SubGroup]],Структура_ассортимента[Subgroup],0)),"")</f>
        <v>PRUNER, ANVIL</v>
      </c>
      <c r="L308" s="36">
        <v>967323501</v>
      </c>
      <c r="M308" s="35" t="s">
        <v>1992</v>
      </c>
      <c r="Q308" s="34" t="s">
        <v>4565</v>
      </c>
      <c r="R308" s="34" t="s">
        <v>3540</v>
      </c>
      <c r="S308" s="47">
        <v>41852</v>
      </c>
      <c r="T308" s="47">
        <v>0</v>
      </c>
      <c r="U308" s="47">
        <v>0</v>
      </c>
      <c r="V308" s="34">
        <v>4078500012836</v>
      </c>
      <c r="W308" s="34" t="s">
        <v>3548</v>
      </c>
      <c r="Y308" s="34" t="s">
        <v>3542</v>
      </c>
      <c r="Z308" s="34">
        <v>12</v>
      </c>
      <c r="AA308" s="34">
        <v>1890</v>
      </c>
      <c r="AB308" s="34">
        <v>1890</v>
      </c>
      <c r="AC308" s="34">
        <v>1800</v>
      </c>
      <c r="AD308" s="34">
        <v>1800</v>
      </c>
      <c r="AE308" s="34">
        <v>700</v>
      </c>
      <c r="AF308" s="34">
        <v>215</v>
      </c>
      <c r="AG308" s="34">
        <v>36</v>
      </c>
      <c r="AM308" s="40" t="s">
        <v>8094</v>
      </c>
      <c r="AT308" s="44">
        <v>0</v>
      </c>
      <c r="AU308" s="44"/>
      <c r="AV308" s="46">
        <f>ROUND(Товары[[#This Row],[РРЦ финальная, руб.]]/$AU$1,2)</f>
        <v>0</v>
      </c>
      <c r="AW308" s="45" t="str">
        <f>IFERROR(Товары[[#This Row],[РРЦ, евро]]/Товары[[#This Row],[IRP, Eur]],"-")</f>
        <v>-</v>
      </c>
      <c r="AX308" s="42">
        <f>IFERROR(VLOOKUP(Товары[[#This Row],[SubGroup]],'Структура цен DIY'!$B:$C,2,FALSE),0)</f>
        <v>0.21</v>
      </c>
      <c r="AY308" s="44">
        <v>0</v>
      </c>
    </row>
    <row r="309" spans="1:51" x14ac:dyDescent="0.25">
      <c r="A309" s="34">
        <v>307</v>
      </c>
      <c r="B309" s="34" t="s">
        <v>56</v>
      </c>
      <c r="C309" s="110" t="str">
        <f>IFERROR(INDEX(Структура_ассортимента[SuperCategory],MATCH(Товары[[#This Row],[SubGroup]],Структура_ассортимента[Subgroup],0)),"")</f>
        <v>A</v>
      </c>
      <c r="D30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0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09" s="110" t="str">
        <f>IFERROR(INDEX(Структура_ассортимента[Product group],MATCH(Товары[[#This Row],[SubGroup]],Структура_ассортимента[Subgroup],0)),"")</f>
        <v>AMC_C</v>
      </c>
      <c r="G309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09" s="110" t="str">
        <f>IFERROR(INDEX(Структура_ассортимента[Generic Name (long)3],MATCH(Товары[[#This Row],[SubGroup]],Структура_ассортимента[Subgroup],0)),"")</f>
        <v>Секаторы</v>
      </c>
      <c r="I309" s="36">
        <v>9211</v>
      </c>
      <c r="J309" s="36" t="str">
        <f>IFERROR(INDEX(Структура_ассортимента[Generic Name (long)],MATCH(Товары[[#This Row],[SubGroup]],Структура_ассортимента[Subgroup],0)),"")</f>
        <v>SECATEUR, ANVIL</v>
      </c>
      <c r="L309" s="36">
        <v>901195001</v>
      </c>
      <c r="M309" s="35" t="s">
        <v>1993</v>
      </c>
      <c r="Q309" s="34" t="s">
        <v>4564</v>
      </c>
      <c r="R309" s="34" t="s">
        <v>3540</v>
      </c>
      <c r="S309" s="47">
        <v>39722</v>
      </c>
      <c r="T309" s="47">
        <v>0</v>
      </c>
      <c r="U309" s="47">
        <v>0</v>
      </c>
      <c r="V309" s="34">
        <v>4078500878708</v>
      </c>
      <c r="W309" s="34" t="s">
        <v>3548</v>
      </c>
      <c r="Y309" s="34" t="s">
        <v>3542</v>
      </c>
      <c r="Z309" s="34">
        <v>5</v>
      </c>
      <c r="AA309" s="34">
        <v>238</v>
      </c>
      <c r="AB309" s="34">
        <v>238</v>
      </c>
      <c r="AC309" s="34">
        <v>230</v>
      </c>
      <c r="AD309" s="34">
        <v>230</v>
      </c>
      <c r="AE309" s="34">
        <v>254</v>
      </c>
      <c r="AF309" s="34">
        <v>120</v>
      </c>
      <c r="AG309" s="34">
        <v>20</v>
      </c>
      <c r="AH309" s="34">
        <v>0.61</v>
      </c>
      <c r="AM309" s="40" t="s">
        <v>8094</v>
      </c>
      <c r="AT309" s="44">
        <v>0</v>
      </c>
      <c r="AU309" s="44"/>
      <c r="AV309" s="46">
        <f>ROUND(Товары[[#This Row],[РРЦ финальная, руб.]]/$AU$1,2)</f>
        <v>0</v>
      </c>
      <c r="AW309" s="45" t="str">
        <f>IFERROR(Товары[[#This Row],[РРЦ, евро]]/Товары[[#This Row],[IRP, Eur]],"-")</f>
        <v>-</v>
      </c>
      <c r="AX309" s="42">
        <f>IFERROR(VLOOKUP(Товары[[#This Row],[SubGroup]],'Структура цен DIY'!$B:$C,2,FALSE),0)</f>
        <v>0.29999999999999993</v>
      </c>
      <c r="AY309" s="44">
        <v>0</v>
      </c>
    </row>
    <row r="310" spans="1:51" x14ac:dyDescent="0.25">
      <c r="A310" s="34">
        <v>308</v>
      </c>
      <c r="B310" s="34" t="s">
        <v>56</v>
      </c>
      <c r="C310" s="110" t="str">
        <f>IFERROR(INDEX(Структура_ассортимента[SuperCategory],MATCH(Товары[[#This Row],[SubGroup]],Структура_ассортимента[Subgroup],0)),"")</f>
        <v>A</v>
      </c>
      <c r="D31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1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10" s="110" t="str">
        <f>IFERROR(INDEX(Структура_ассортимента[Product group],MATCH(Товары[[#This Row],[SubGroup]],Структура_ассортимента[Subgroup],0)),"")</f>
        <v>AMC_C</v>
      </c>
      <c r="G310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10" s="110" t="str">
        <f>IFERROR(INDEX(Структура_ассортимента[Generic Name (long)3],MATCH(Товары[[#This Row],[SubGroup]],Структура_ассортимента[Subgroup],0)),"")</f>
        <v>Секаторы</v>
      </c>
      <c r="I310" s="36">
        <v>9211</v>
      </c>
      <c r="J310" s="36" t="str">
        <f>IFERROR(INDEX(Структура_ассортимента[Generic Name (long)],MATCH(Товары[[#This Row],[SubGroup]],Структура_ассортимента[Subgroup],0)),"")</f>
        <v>SECATEUR, ANVIL</v>
      </c>
      <c r="L310" s="36">
        <v>965886101</v>
      </c>
      <c r="M310" s="35" t="s">
        <v>1994</v>
      </c>
      <c r="Q310" s="34" t="s">
        <v>4564</v>
      </c>
      <c r="R310" s="34" t="s">
        <v>3540</v>
      </c>
      <c r="S310" s="47">
        <v>39722</v>
      </c>
      <c r="T310" s="47">
        <v>0</v>
      </c>
      <c r="U310" s="47">
        <v>0</v>
      </c>
      <c r="V310" s="34">
        <v>4078500878760</v>
      </c>
      <c r="W310" s="34" t="s">
        <v>3548</v>
      </c>
      <c r="Y310" s="34" t="s">
        <v>3542</v>
      </c>
      <c r="Z310" s="34">
        <v>5</v>
      </c>
      <c r="AA310" s="34">
        <v>238</v>
      </c>
      <c r="AB310" s="34">
        <v>238</v>
      </c>
      <c r="AC310" s="34">
        <v>230</v>
      </c>
      <c r="AD310" s="34">
        <v>230</v>
      </c>
      <c r="AE310" s="34">
        <v>254</v>
      </c>
      <c r="AF310" s="34">
        <v>120</v>
      </c>
      <c r="AG310" s="34">
        <v>20</v>
      </c>
      <c r="AH310" s="34">
        <v>0.61</v>
      </c>
      <c r="AM310" s="40" t="s">
        <v>8094</v>
      </c>
      <c r="AT310" s="44">
        <v>0</v>
      </c>
      <c r="AU310" s="44"/>
      <c r="AV310" s="46">
        <f>ROUND(Товары[[#This Row],[РРЦ финальная, руб.]]/$AU$1,2)</f>
        <v>0</v>
      </c>
      <c r="AW310" s="45" t="str">
        <f>IFERROR(Товары[[#This Row],[РРЦ, евро]]/Товары[[#This Row],[IRP, Eur]],"-")</f>
        <v>-</v>
      </c>
      <c r="AX310" s="42">
        <f>IFERROR(VLOOKUP(Товары[[#This Row],[SubGroup]],'Структура цен DIY'!$B:$C,2,FALSE),0)</f>
        <v>0.29999999999999993</v>
      </c>
      <c r="AY310" s="44">
        <v>0</v>
      </c>
    </row>
    <row r="311" spans="1:51" x14ac:dyDescent="0.25">
      <c r="A311" s="34">
        <v>309</v>
      </c>
      <c r="B311" s="34" t="s">
        <v>56</v>
      </c>
      <c r="C311" s="110" t="str">
        <f>IFERROR(INDEX(Структура_ассортимента[SuperCategory],MATCH(Товары[[#This Row],[SubGroup]],Структура_ассортимента[Subgroup],0)),"")</f>
        <v>A</v>
      </c>
      <c r="D31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1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11" s="110" t="str">
        <f>IFERROR(INDEX(Структура_ассортимента[Product group],MATCH(Товары[[#This Row],[SubGroup]],Структура_ассортимента[Subgroup],0)),"")</f>
        <v>AMC_C</v>
      </c>
      <c r="G311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11" s="110" t="str">
        <f>IFERROR(INDEX(Структура_ассортимента[Generic Name (long)3],MATCH(Товары[[#This Row],[SubGroup]],Структура_ассортимента[Subgroup],0)),"")</f>
        <v>Секаторы</v>
      </c>
      <c r="I311" s="36">
        <v>9211</v>
      </c>
      <c r="J311" s="36" t="str">
        <f>IFERROR(INDEX(Структура_ассортимента[Generic Name (long)],MATCH(Товары[[#This Row],[SubGroup]],Структура_ассортимента[Subgroup],0)),"")</f>
        <v>SECATEUR, ANVIL</v>
      </c>
      <c r="L311" s="36">
        <v>901195101</v>
      </c>
      <c r="M311" s="35" t="s">
        <v>1995</v>
      </c>
      <c r="Q311" s="34" t="s">
        <v>4564</v>
      </c>
      <c r="R311" s="34" t="s">
        <v>3540</v>
      </c>
      <c r="S311" s="47">
        <v>39722</v>
      </c>
      <c r="T311" s="47">
        <v>0</v>
      </c>
      <c r="U311" s="47">
        <v>0</v>
      </c>
      <c r="V311" s="34">
        <v>4078500878807</v>
      </c>
      <c r="W311" s="34" t="s">
        <v>3548</v>
      </c>
      <c r="Y311" s="34" t="s">
        <v>3542</v>
      </c>
      <c r="Z311" s="34">
        <v>5</v>
      </c>
      <c r="AA311" s="34">
        <v>254</v>
      </c>
      <c r="AB311" s="34">
        <v>254</v>
      </c>
      <c r="AC311" s="34">
        <v>210</v>
      </c>
      <c r="AD311" s="34">
        <v>210</v>
      </c>
      <c r="AE311" s="34">
        <v>254</v>
      </c>
      <c r="AF311" s="34">
        <v>120</v>
      </c>
      <c r="AG311" s="34">
        <v>20</v>
      </c>
      <c r="AH311" s="34">
        <v>0.61</v>
      </c>
      <c r="AM311" s="40" t="s">
        <v>8094</v>
      </c>
      <c r="AT311" s="44">
        <v>0</v>
      </c>
      <c r="AU311" s="44"/>
      <c r="AV311" s="46">
        <f>ROUND(Товары[[#This Row],[РРЦ финальная, руб.]]/$AU$1,2)</f>
        <v>0</v>
      </c>
      <c r="AW311" s="45" t="str">
        <f>IFERROR(Товары[[#This Row],[РРЦ, евро]]/Товары[[#This Row],[IRP, Eur]],"-")</f>
        <v>-</v>
      </c>
      <c r="AX311" s="42">
        <f>IFERROR(VLOOKUP(Товары[[#This Row],[SubGroup]],'Структура цен DIY'!$B:$C,2,FALSE),0)</f>
        <v>0.29999999999999993</v>
      </c>
      <c r="AY311" s="44">
        <v>0</v>
      </c>
    </row>
    <row r="312" spans="1:51" x14ac:dyDescent="0.25">
      <c r="A312" s="34">
        <v>310</v>
      </c>
      <c r="B312" s="34" t="s">
        <v>56</v>
      </c>
      <c r="C312" s="110" t="str">
        <f>IFERROR(INDEX(Структура_ассортимента[SuperCategory],MATCH(Товары[[#This Row],[SubGroup]],Структура_ассортимента[Subgroup],0)),"")</f>
        <v>A</v>
      </c>
      <c r="D31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1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12" s="110" t="str">
        <f>IFERROR(INDEX(Структура_ассортимента[Product group],MATCH(Товары[[#This Row],[SubGroup]],Структура_ассортимента[Subgroup],0)),"")</f>
        <v>AMC_C</v>
      </c>
      <c r="G312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12" s="110" t="str">
        <f>IFERROR(INDEX(Структура_ассортимента[Generic Name (long)3],MATCH(Товары[[#This Row],[SubGroup]],Структура_ассортимента[Subgroup],0)),"")</f>
        <v>Секаторы</v>
      </c>
      <c r="I312" s="36">
        <v>9211</v>
      </c>
      <c r="J312" s="36" t="str">
        <f>IFERROR(INDEX(Структура_ассортимента[Generic Name (long)],MATCH(Товары[[#This Row],[SubGroup]],Структура_ассортимента[Subgroup],0)),"")</f>
        <v>SECATEUR, ANVIL</v>
      </c>
      <c r="L312" s="36">
        <v>966652401</v>
      </c>
      <c r="M312" s="35" t="s">
        <v>1996</v>
      </c>
      <c r="Q312" s="34" t="s">
        <v>4564</v>
      </c>
      <c r="R312" s="34" t="s">
        <v>3540</v>
      </c>
      <c r="S312" s="47">
        <v>40452</v>
      </c>
      <c r="T312" s="47">
        <v>0</v>
      </c>
      <c r="U312" s="47">
        <v>0</v>
      </c>
      <c r="V312" s="34">
        <v>4078500878876</v>
      </c>
      <c r="W312" s="34" t="s">
        <v>3548</v>
      </c>
      <c r="Y312" s="34" t="s">
        <v>3542</v>
      </c>
      <c r="Z312" s="34">
        <v>5</v>
      </c>
      <c r="AA312" s="34">
        <v>254</v>
      </c>
      <c r="AB312" s="34">
        <v>254</v>
      </c>
      <c r="AC312" s="34">
        <v>210</v>
      </c>
      <c r="AD312" s="34">
        <v>210</v>
      </c>
      <c r="AE312" s="34">
        <v>254</v>
      </c>
      <c r="AF312" s="34">
        <v>120</v>
      </c>
      <c r="AG312" s="34">
        <v>20</v>
      </c>
      <c r="AH312" s="34">
        <v>0.61</v>
      </c>
      <c r="AM312" s="40" t="s">
        <v>8094</v>
      </c>
      <c r="AT312" s="44">
        <v>0</v>
      </c>
      <c r="AU312" s="44"/>
      <c r="AV312" s="46">
        <f>ROUND(Товары[[#This Row],[РРЦ финальная, руб.]]/$AU$1,2)</f>
        <v>0</v>
      </c>
      <c r="AW312" s="45" t="str">
        <f>IFERROR(Товары[[#This Row],[РРЦ, евро]]/Товары[[#This Row],[IRP, Eur]],"-")</f>
        <v>-</v>
      </c>
      <c r="AX312" s="42">
        <f>IFERROR(VLOOKUP(Товары[[#This Row],[SubGroup]],'Структура цен DIY'!$B:$C,2,FALSE),0)</f>
        <v>0.29999999999999993</v>
      </c>
      <c r="AY312" s="44">
        <v>0</v>
      </c>
    </row>
    <row r="313" spans="1:51" x14ac:dyDescent="0.25">
      <c r="A313" s="34">
        <v>311</v>
      </c>
      <c r="B313" s="34" t="s">
        <v>56</v>
      </c>
      <c r="C313" s="110" t="str">
        <f>IFERROR(INDEX(Структура_ассортимента[SuperCategory],MATCH(Товары[[#This Row],[SubGroup]],Структура_ассортимента[Subgroup],0)),"")</f>
        <v>A</v>
      </c>
      <c r="D31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1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13" s="110" t="str">
        <f>IFERROR(INDEX(Структура_ассортимента[Product group],MATCH(Товары[[#This Row],[SubGroup]],Структура_ассортимента[Subgroup],0)),"")</f>
        <v>AMC_C</v>
      </c>
      <c r="G313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13" s="110" t="str">
        <f>IFERROR(INDEX(Структура_ассортимента[Generic Name (long)3],MATCH(Товары[[#This Row],[SubGroup]],Структура_ассортимента[Subgroup],0)),"")</f>
        <v>Секаторы</v>
      </c>
      <c r="I313" s="36">
        <v>9211</v>
      </c>
      <c r="J313" s="36" t="str">
        <f>IFERROR(INDEX(Структура_ассортимента[Generic Name (long)],MATCH(Товары[[#This Row],[SubGroup]],Структура_ассортимента[Subgroup],0)),"")</f>
        <v>SECATEUR, ANVIL</v>
      </c>
      <c r="L313" s="36">
        <v>965875501</v>
      </c>
      <c r="M313" s="35" t="s">
        <v>1997</v>
      </c>
      <c r="Q313" s="34" t="s">
        <v>4564</v>
      </c>
      <c r="R313" s="34" t="s">
        <v>3540</v>
      </c>
      <c r="S313" s="47">
        <v>39722</v>
      </c>
      <c r="T313" s="47">
        <v>0</v>
      </c>
      <c r="U313" s="47">
        <v>0</v>
      </c>
      <c r="V313" s="34">
        <v>4078500878906</v>
      </c>
      <c r="W313" s="34" t="s">
        <v>3548</v>
      </c>
      <c r="Y313" s="34" t="s">
        <v>3542</v>
      </c>
      <c r="Z313" s="34">
        <v>30</v>
      </c>
      <c r="AA313" s="34">
        <v>323</v>
      </c>
      <c r="AB313" s="34">
        <v>323</v>
      </c>
      <c r="AC313" s="34">
        <v>290</v>
      </c>
      <c r="AD313" s="34">
        <v>290</v>
      </c>
      <c r="AE313" s="34">
        <v>254</v>
      </c>
      <c r="AF313" s="34">
        <v>120</v>
      </c>
      <c r="AG313" s="34">
        <v>20</v>
      </c>
      <c r="AH313" s="34">
        <v>0.61</v>
      </c>
      <c r="AM313" s="40" t="s">
        <v>8094</v>
      </c>
      <c r="AT313" s="44">
        <v>0</v>
      </c>
      <c r="AU313" s="44"/>
      <c r="AV313" s="46">
        <f>ROUND(Товары[[#This Row],[РРЦ финальная, руб.]]/$AU$1,2)</f>
        <v>0</v>
      </c>
      <c r="AW313" s="45" t="str">
        <f>IFERROR(Товары[[#This Row],[РРЦ, евро]]/Товары[[#This Row],[IRP, Eur]],"-")</f>
        <v>-</v>
      </c>
      <c r="AX313" s="42">
        <f>IFERROR(VLOOKUP(Товары[[#This Row],[SubGroup]],'Структура цен DIY'!$B:$C,2,FALSE),0)</f>
        <v>0.29999999999999993</v>
      </c>
      <c r="AY313" s="44">
        <v>0</v>
      </c>
    </row>
    <row r="314" spans="1:51" x14ac:dyDescent="0.25">
      <c r="A314" s="34">
        <v>312</v>
      </c>
      <c r="B314" s="34" t="s">
        <v>56</v>
      </c>
      <c r="C314" s="110" t="str">
        <f>IFERROR(INDEX(Структура_ассортимента[SuperCategory],MATCH(Товары[[#This Row],[SubGroup]],Структура_ассортимента[Subgroup],0)),"")</f>
        <v>A</v>
      </c>
      <c r="D31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1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14" s="110" t="str">
        <f>IFERROR(INDEX(Структура_ассортимента[Product group],MATCH(Товары[[#This Row],[SubGroup]],Структура_ассортимента[Subgroup],0)),"")</f>
        <v>AMC_C</v>
      </c>
      <c r="G314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14" s="110" t="str">
        <f>IFERROR(INDEX(Структура_ассортимента[Generic Name (long)3],MATCH(Товары[[#This Row],[SubGroup]],Структура_ассортимента[Subgroup],0)),"")</f>
        <v>Секаторы</v>
      </c>
      <c r="I314" s="36">
        <v>9211</v>
      </c>
      <c r="J314" s="36" t="str">
        <f>IFERROR(INDEX(Структура_ассортимента[Generic Name (long)],MATCH(Товары[[#This Row],[SubGroup]],Структура_ассортимента[Subgroup],0)),"")</f>
        <v>SECATEUR, ANVIL</v>
      </c>
      <c r="L314" s="36">
        <v>901195201</v>
      </c>
      <c r="M314" s="35" t="s">
        <v>1998</v>
      </c>
      <c r="Q314" s="34" t="s">
        <v>4564</v>
      </c>
      <c r="R314" s="34" t="s">
        <v>3540</v>
      </c>
      <c r="S314" s="47">
        <v>39722</v>
      </c>
      <c r="T314" s="47">
        <v>0</v>
      </c>
      <c r="U314" s="47">
        <v>0</v>
      </c>
      <c r="V314" s="34">
        <v>4078500879002</v>
      </c>
      <c r="W314" s="34" t="s">
        <v>3548</v>
      </c>
      <c r="Y314" s="34" t="s">
        <v>3542</v>
      </c>
      <c r="Z314" s="34">
        <v>5</v>
      </c>
      <c r="AA314" s="34">
        <v>250</v>
      </c>
      <c r="AB314" s="34">
        <v>250</v>
      </c>
      <c r="AC314" s="34">
        <v>240</v>
      </c>
      <c r="AD314" s="34">
        <v>240</v>
      </c>
      <c r="AE314" s="34">
        <v>254</v>
      </c>
      <c r="AF314" s="34">
        <v>120</v>
      </c>
      <c r="AG314" s="34">
        <v>20</v>
      </c>
      <c r="AH314" s="34">
        <v>0.61</v>
      </c>
      <c r="AM314" s="40" t="s">
        <v>8094</v>
      </c>
      <c r="AT314" s="44">
        <v>0</v>
      </c>
      <c r="AU314" s="44"/>
      <c r="AV314" s="46">
        <f>ROUND(Товары[[#This Row],[РРЦ финальная, руб.]]/$AU$1,2)</f>
        <v>0</v>
      </c>
      <c r="AW314" s="45" t="str">
        <f>IFERROR(Товары[[#This Row],[РРЦ, евро]]/Товары[[#This Row],[IRP, Eur]],"-")</f>
        <v>-</v>
      </c>
      <c r="AX314" s="42">
        <f>IFERROR(VLOOKUP(Товары[[#This Row],[SubGroup]],'Структура цен DIY'!$B:$C,2,FALSE),0)</f>
        <v>0.29999999999999993</v>
      </c>
      <c r="AY314" s="44">
        <v>0</v>
      </c>
    </row>
    <row r="315" spans="1:51" x14ac:dyDescent="0.25">
      <c r="A315" s="34">
        <v>313</v>
      </c>
      <c r="B315" s="34" t="s">
        <v>56</v>
      </c>
      <c r="C315" s="110" t="str">
        <f>IFERROR(INDEX(Структура_ассортимента[SuperCategory],MATCH(Товары[[#This Row],[SubGroup]],Структура_ассортимента[Subgroup],0)),"")</f>
        <v>A</v>
      </c>
      <c r="D31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1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15" s="110" t="str">
        <f>IFERROR(INDEX(Структура_ассортимента[Product group],MATCH(Товары[[#This Row],[SubGroup]],Структура_ассортимента[Subgroup],0)),"")</f>
        <v>AMC_C</v>
      </c>
      <c r="G315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15" s="110" t="str">
        <f>IFERROR(INDEX(Структура_ассортимента[Generic Name (long)3],MATCH(Товары[[#This Row],[SubGroup]],Структура_ассортимента[Subgroup],0)),"")</f>
        <v>Секаторы</v>
      </c>
      <c r="I315" s="36">
        <v>9211</v>
      </c>
      <c r="J315" s="36" t="str">
        <f>IFERROR(INDEX(Структура_ассортимента[Generic Name (long)],MATCH(Товары[[#This Row],[SubGroup]],Структура_ассортимента[Subgroup],0)),"")</f>
        <v>SECATEUR, ANVIL</v>
      </c>
      <c r="L315" s="36">
        <v>965886301</v>
      </c>
      <c r="M315" s="35" t="s">
        <v>1999</v>
      </c>
      <c r="Q315" s="34" t="s">
        <v>4564</v>
      </c>
      <c r="R315" s="34" t="s">
        <v>3540</v>
      </c>
      <c r="S315" s="47">
        <v>39722</v>
      </c>
      <c r="T315" s="47">
        <v>0</v>
      </c>
      <c r="U315" s="47">
        <v>0</v>
      </c>
      <c r="V315" s="34">
        <v>4078500879064</v>
      </c>
      <c r="W315" s="34" t="s">
        <v>3548</v>
      </c>
      <c r="Y315" s="34" t="s">
        <v>3542</v>
      </c>
      <c r="Z315" s="34">
        <v>5</v>
      </c>
      <c r="AA315" s="34">
        <v>266</v>
      </c>
      <c r="AB315" s="34">
        <v>266</v>
      </c>
      <c r="AC315" s="34">
        <v>220</v>
      </c>
      <c r="AD315" s="34">
        <v>220</v>
      </c>
      <c r="AE315" s="34">
        <v>254</v>
      </c>
      <c r="AF315" s="34">
        <v>120</v>
      </c>
      <c r="AG315" s="34">
        <v>20</v>
      </c>
      <c r="AH315" s="34">
        <v>0.61</v>
      </c>
      <c r="AM315" s="40" t="s">
        <v>8094</v>
      </c>
      <c r="AT315" s="44">
        <v>0</v>
      </c>
      <c r="AU315" s="44"/>
      <c r="AV315" s="46">
        <f>ROUND(Товары[[#This Row],[РРЦ финальная, руб.]]/$AU$1,2)</f>
        <v>0</v>
      </c>
      <c r="AW315" s="45" t="str">
        <f>IFERROR(Товары[[#This Row],[РРЦ, евро]]/Товары[[#This Row],[IRP, Eur]],"-")</f>
        <v>-</v>
      </c>
      <c r="AX315" s="42">
        <f>IFERROR(VLOOKUP(Товары[[#This Row],[SubGroup]],'Структура цен DIY'!$B:$C,2,FALSE),0)</f>
        <v>0.29999999999999993</v>
      </c>
      <c r="AY315" s="44">
        <v>0</v>
      </c>
    </row>
    <row r="316" spans="1:51" x14ac:dyDescent="0.25">
      <c r="A316" s="34">
        <v>314</v>
      </c>
      <c r="B316" s="34" t="s">
        <v>56</v>
      </c>
      <c r="C316" s="110" t="str">
        <f>IFERROR(INDEX(Структура_ассортимента[SuperCategory],MATCH(Товары[[#This Row],[SubGroup]],Структура_ассортимента[Subgroup],0)),"")</f>
        <v>A</v>
      </c>
      <c r="D31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1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16" s="110" t="str">
        <f>IFERROR(INDEX(Структура_ассортимента[Product group],MATCH(Товары[[#This Row],[SubGroup]],Структура_ассортимента[Subgroup],0)),"")</f>
        <v>AMC_C</v>
      </c>
      <c r="G316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16" s="110" t="str">
        <f>IFERROR(INDEX(Структура_ассортимента[Generic Name (long)3],MATCH(Товары[[#This Row],[SubGroup]],Структура_ассортимента[Subgroup],0)),"")</f>
        <v>Секаторы</v>
      </c>
      <c r="I316" s="36">
        <v>9211</v>
      </c>
      <c r="J316" s="36" t="str">
        <f>IFERROR(INDEX(Структура_ассортимента[Generic Name (long)],MATCH(Товары[[#This Row],[SubGroup]],Структура_ассортимента[Subgroup],0)),"")</f>
        <v>SECATEUR, ANVIL</v>
      </c>
      <c r="L316" s="36">
        <v>965886401</v>
      </c>
      <c r="M316" s="35" t="s">
        <v>2000</v>
      </c>
      <c r="Q316" s="34" t="s">
        <v>4564</v>
      </c>
      <c r="R316" s="34" t="s">
        <v>3540</v>
      </c>
      <c r="S316" s="47">
        <v>39722</v>
      </c>
      <c r="T316" s="47">
        <v>0</v>
      </c>
      <c r="U316" s="47">
        <v>0</v>
      </c>
      <c r="V316" s="34">
        <v>4078500879163</v>
      </c>
      <c r="W316" s="34" t="s">
        <v>3548</v>
      </c>
      <c r="Y316" s="34" t="s">
        <v>3542</v>
      </c>
      <c r="Z316" s="34">
        <v>1</v>
      </c>
      <c r="AA316" s="34">
        <v>10815</v>
      </c>
      <c r="AB316" s="34">
        <v>10815</v>
      </c>
      <c r="AC316" s="34">
        <v>6900</v>
      </c>
      <c r="AD316" s="34">
        <v>6900</v>
      </c>
      <c r="AE316" s="34">
        <v>793</v>
      </c>
      <c r="AF316" s="34">
        <v>430</v>
      </c>
      <c r="AG316" s="34">
        <v>255</v>
      </c>
      <c r="AH316" s="34">
        <v>86.951999999999998</v>
      </c>
      <c r="AM316" s="40" t="s">
        <v>8094</v>
      </c>
      <c r="AT316" s="44">
        <v>0</v>
      </c>
      <c r="AU316" s="44"/>
      <c r="AV316" s="46">
        <f>ROUND(Товары[[#This Row],[РРЦ финальная, руб.]]/$AU$1,2)</f>
        <v>0</v>
      </c>
      <c r="AW316" s="45" t="str">
        <f>IFERROR(Товары[[#This Row],[РРЦ, евро]]/Товары[[#This Row],[IRP, Eur]],"-")</f>
        <v>-</v>
      </c>
      <c r="AX316" s="42">
        <f>IFERROR(VLOOKUP(Товары[[#This Row],[SubGroup]],'Структура цен DIY'!$B:$C,2,FALSE),0)</f>
        <v>0.29999999999999993</v>
      </c>
      <c r="AY316" s="44">
        <v>0</v>
      </c>
    </row>
    <row r="317" spans="1:51" x14ac:dyDescent="0.25">
      <c r="A317" s="34">
        <v>315</v>
      </c>
      <c r="B317" s="34" t="s">
        <v>56</v>
      </c>
      <c r="C317" s="110" t="str">
        <f>IFERROR(INDEX(Структура_ассортимента[SuperCategory],MATCH(Товары[[#This Row],[SubGroup]],Структура_ассортимента[Subgroup],0)),"")</f>
        <v>A</v>
      </c>
      <c r="D31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1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17" s="110" t="str">
        <f>IFERROR(INDEX(Структура_ассортимента[Product group],MATCH(Товары[[#This Row],[SubGroup]],Структура_ассортимента[Subgroup],0)),"")</f>
        <v>AMC_C</v>
      </c>
      <c r="G317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17" s="110" t="str">
        <f>IFERROR(INDEX(Структура_ассортимента[Generic Name (long)3],MATCH(Товары[[#This Row],[SubGroup]],Структура_ассортимента[Subgroup],0)),"")</f>
        <v>Секаторы</v>
      </c>
      <c r="I317" s="36">
        <v>9211</v>
      </c>
      <c r="J317" s="36" t="str">
        <f>IFERROR(INDEX(Структура_ассортимента[Generic Name (long)],MATCH(Товары[[#This Row],[SubGroup]],Структура_ассортимента[Subgroup],0)),"")</f>
        <v>SECATEUR, ANVIL</v>
      </c>
      <c r="L317" s="36">
        <v>901195301</v>
      </c>
      <c r="M317" s="35" t="s">
        <v>2001</v>
      </c>
      <c r="Q317" s="34" t="s">
        <v>4564</v>
      </c>
      <c r="R317" s="34" t="s">
        <v>3540</v>
      </c>
      <c r="S317" s="47">
        <v>39722</v>
      </c>
      <c r="T317" s="47">
        <v>0</v>
      </c>
      <c r="U317" s="47">
        <v>0</v>
      </c>
      <c r="V317" s="34">
        <v>4078500879200</v>
      </c>
      <c r="W317" s="34" t="s">
        <v>3548</v>
      </c>
      <c r="Y317" s="34" t="s">
        <v>3542</v>
      </c>
      <c r="Z317" s="34">
        <v>5</v>
      </c>
      <c r="AA317" s="34">
        <v>323</v>
      </c>
      <c r="AB317" s="34">
        <v>323</v>
      </c>
      <c r="AC317" s="34">
        <v>290</v>
      </c>
      <c r="AD317" s="34">
        <v>290</v>
      </c>
      <c r="AE317" s="34">
        <v>254</v>
      </c>
      <c r="AF317" s="34">
        <v>120</v>
      </c>
      <c r="AG317" s="34">
        <v>20</v>
      </c>
      <c r="AH317" s="34">
        <v>0.61</v>
      </c>
      <c r="AM317" s="40" t="s">
        <v>8094</v>
      </c>
      <c r="AT317" s="44">
        <v>0</v>
      </c>
      <c r="AU317" s="44"/>
      <c r="AV317" s="46">
        <f>ROUND(Товары[[#This Row],[РРЦ финальная, руб.]]/$AU$1,2)</f>
        <v>0</v>
      </c>
      <c r="AW317" s="45" t="str">
        <f>IFERROR(Товары[[#This Row],[РРЦ, евро]]/Товары[[#This Row],[IRP, Eur]],"-")</f>
        <v>-</v>
      </c>
      <c r="AX317" s="42">
        <f>IFERROR(VLOOKUP(Товары[[#This Row],[SubGroup]],'Структура цен DIY'!$B:$C,2,FALSE),0)</f>
        <v>0.29999999999999993</v>
      </c>
      <c r="AY317" s="44">
        <v>0</v>
      </c>
    </row>
    <row r="318" spans="1:51" x14ac:dyDescent="0.25">
      <c r="A318" s="34">
        <v>316</v>
      </c>
      <c r="B318" s="34" t="s">
        <v>56</v>
      </c>
      <c r="C318" s="110" t="str">
        <f>IFERROR(INDEX(Структура_ассортимента[SuperCategory],MATCH(Товары[[#This Row],[SubGroup]],Структура_ассортимента[Subgroup],0)),"")</f>
        <v>A</v>
      </c>
      <c r="D31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1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18" s="110" t="str">
        <f>IFERROR(INDEX(Структура_ассортимента[Product group],MATCH(Товары[[#This Row],[SubGroup]],Структура_ассортимента[Subgroup],0)),"")</f>
        <v>AMC_C</v>
      </c>
      <c r="G318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18" s="110" t="str">
        <f>IFERROR(INDEX(Структура_ассортимента[Generic Name (long)3],MATCH(Товары[[#This Row],[SubGroup]],Структура_ассортимента[Subgroup],0)),"")</f>
        <v>Секаторы</v>
      </c>
      <c r="I318" s="36">
        <v>9211</v>
      </c>
      <c r="J318" s="36" t="str">
        <f>IFERROR(INDEX(Структура_ассортимента[Generic Name (long)],MATCH(Товары[[#This Row],[SubGroup]],Структура_ассортимента[Subgroup],0)),"")</f>
        <v>SECATEUR, ANVIL</v>
      </c>
      <c r="L318" s="36">
        <v>966652501</v>
      </c>
      <c r="M318" s="35" t="s">
        <v>2002</v>
      </c>
      <c r="Q318" s="34" t="s">
        <v>4564</v>
      </c>
      <c r="R318" s="34" t="s">
        <v>3540</v>
      </c>
      <c r="S318" s="47">
        <v>40452</v>
      </c>
      <c r="T318" s="47">
        <v>0</v>
      </c>
      <c r="U318" s="47">
        <v>0</v>
      </c>
      <c r="V318" s="34">
        <v>4078500879279</v>
      </c>
      <c r="W318" s="34" t="s">
        <v>3548</v>
      </c>
      <c r="Y318" s="34" t="s">
        <v>3542</v>
      </c>
      <c r="Z318" s="34">
        <v>5</v>
      </c>
      <c r="AA318" s="34">
        <v>323</v>
      </c>
      <c r="AB318" s="34">
        <v>323</v>
      </c>
      <c r="AC318" s="34">
        <v>290</v>
      </c>
      <c r="AD318" s="34">
        <v>290</v>
      </c>
      <c r="AE318" s="34">
        <v>254</v>
      </c>
      <c r="AF318" s="34">
        <v>120</v>
      </c>
      <c r="AG318" s="34">
        <v>20</v>
      </c>
      <c r="AH318" s="34">
        <v>0.61</v>
      </c>
      <c r="AM318" s="40" t="s">
        <v>8094</v>
      </c>
      <c r="AT318" s="44">
        <v>0</v>
      </c>
      <c r="AU318" s="44"/>
      <c r="AV318" s="46">
        <f>ROUND(Товары[[#This Row],[РРЦ финальная, руб.]]/$AU$1,2)</f>
        <v>0</v>
      </c>
      <c r="AW318" s="45" t="str">
        <f>IFERROR(Товары[[#This Row],[РРЦ, евро]]/Товары[[#This Row],[IRP, Eur]],"-")</f>
        <v>-</v>
      </c>
      <c r="AX318" s="42">
        <f>IFERROR(VLOOKUP(Товары[[#This Row],[SubGroup]],'Структура цен DIY'!$B:$C,2,FALSE),0)</f>
        <v>0.29999999999999993</v>
      </c>
      <c r="AY318" s="44">
        <v>0</v>
      </c>
    </row>
    <row r="319" spans="1:51" x14ac:dyDescent="0.25">
      <c r="A319" s="34">
        <v>317</v>
      </c>
      <c r="B319" s="34" t="s">
        <v>56</v>
      </c>
      <c r="C319" s="110" t="str">
        <f>IFERROR(INDEX(Структура_ассортимента[SuperCategory],MATCH(Товары[[#This Row],[SubGroup]],Структура_ассортимента[Subgroup],0)),"")</f>
        <v>A</v>
      </c>
      <c r="D31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1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19" s="110" t="str">
        <f>IFERROR(INDEX(Структура_ассортимента[Product group],MATCH(Товары[[#This Row],[SubGroup]],Структура_ассортимента[Subgroup],0)),"")</f>
        <v>AMC_C</v>
      </c>
      <c r="G319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19" s="110" t="str">
        <f>IFERROR(INDEX(Структура_ассортимента[Generic Name (long)3],MATCH(Товары[[#This Row],[SubGroup]],Структура_ассортимента[Subgroup],0)),"")</f>
        <v>Секаторы</v>
      </c>
      <c r="I319" s="36">
        <v>9211</v>
      </c>
      <c r="J319" s="36" t="str">
        <f>IFERROR(INDEX(Структура_ассортимента[Generic Name (long)],MATCH(Товары[[#This Row],[SubGroup]],Структура_ассортимента[Subgroup],0)),"")</f>
        <v>SECATEUR, ANVIL</v>
      </c>
      <c r="L319" s="36">
        <v>901195401</v>
      </c>
      <c r="M319" s="35" t="s">
        <v>2003</v>
      </c>
      <c r="Q319" s="34" t="s">
        <v>4564</v>
      </c>
      <c r="R319" s="34" t="s">
        <v>3540</v>
      </c>
      <c r="S319" s="47">
        <v>39722</v>
      </c>
      <c r="T319" s="47">
        <v>0</v>
      </c>
      <c r="U319" s="47">
        <v>0</v>
      </c>
      <c r="V319" s="34">
        <v>4078500879309</v>
      </c>
      <c r="W319" s="34" t="s">
        <v>3548</v>
      </c>
      <c r="Y319" s="34" t="s">
        <v>3542</v>
      </c>
      <c r="Z319" s="34">
        <v>5</v>
      </c>
      <c r="AA319" s="34">
        <v>323</v>
      </c>
      <c r="AB319" s="34">
        <v>323</v>
      </c>
      <c r="AC319" s="34">
        <v>290</v>
      </c>
      <c r="AD319" s="34">
        <v>290</v>
      </c>
      <c r="AE319" s="34">
        <v>254</v>
      </c>
      <c r="AF319" s="34">
        <v>120</v>
      </c>
      <c r="AG319" s="34">
        <v>20</v>
      </c>
      <c r="AH319" s="34">
        <v>0.61</v>
      </c>
      <c r="AM319" s="40" t="s">
        <v>8094</v>
      </c>
      <c r="AT319" s="44">
        <v>0</v>
      </c>
      <c r="AU319" s="44"/>
      <c r="AV319" s="46">
        <f>ROUND(Товары[[#This Row],[РРЦ финальная, руб.]]/$AU$1,2)</f>
        <v>0</v>
      </c>
      <c r="AW319" s="45" t="str">
        <f>IFERROR(Товары[[#This Row],[РРЦ, евро]]/Товары[[#This Row],[IRP, Eur]],"-")</f>
        <v>-</v>
      </c>
      <c r="AX319" s="42">
        <f>IFERROR(VLOOKUP(Товары[[#This Row],[SubGroup]],'Структура цен DIY'!$B:$C,2,FALSE),0)</f>
        <v>0.29999999999999993</v>
      </c>
      <c r="AY319" s="44">
        <v>0</v>
      </c>
    </row>
    <row r="320" spans="1:51" x14ac:dyDescent="0.25">
      <c r="A320" s="34">
        <v>318</v>
      </c>
      <c r="B320" s="34" t="s">
        <v>56</v>
      </c>
      <c r="C320" s="110" t="str">
        <f>IFERROR(INDEX(Структура_ассортимента[SuperCategory],MATCH(Товары[[#This Row],[SubGroup]],Структура_ассортимента[Subgroup],0)),"")</f>
        <v>A</v>
      </c>
      <c r="D32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2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20" s="110" t="str">
        <f>IFERROR(INDEX(Структура_ассортимента[Product group],MATCH(Товары[[#This Row],[SubGroup]],Структура_ассортимента[Subgroup],0)),"")</f>
        <v>AMC_C</v>
      </c>
      <c r="G320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20" s="110" t="str">
        <f>IFERROR(INDEX(Структура_ассортимента[Generic Name (long)3],MATCH(Товары[[#This Row],[SubGroup]],Структура_ассортимента[Subgroup],0)),"")</f>
        <v>Секаторы</v>
      </c>
      <c r="I320" s="36">
        <v>9211</v>
      </c>
      <c r="J320" s="36" t="str">
        <f>IFERROR(INDEX(Структура_ассортимента[Generic Name (long)],MATCH(Товары[[#This Row],[SubGroup]],Структура_ассортимента[Subgroup],0)),"")</f>
        <v>SECATEUR, ANVIL</v>
      </c>
      <c r="L320" s="36">
        <v>965986101</v>
      </c>
      <c r="M320" s="35" t="s">
        <v>2004</v>
      </c>
      <c r="Q320" s="34" t="s">
        <v>4564</v>
      </c>
      <c r="R320" s="34" t="s">
        <v>3540</v>
      </c>
      <c r="S320" s="47">
        <v>39722</v>
      </c>
      <c r="T320" s="47">
        <v>0</v>
      </c>
      <c r="U320" s="47">
        <v>0</v>
      </c>
      <c r="V320" s="34">
        <v>4078500879903</v>
      </c>
      <c r="W320" s="34" t="s">
        <v>3548</v>
      </c>
      <c r="Y320" s="34" t="s">
        <v>3542</v>
      </c>
      <c r="Z320" s="34">
        <v>1</v>
      </c>
      <c r="AA320" s="34">
        <v>10520</v>
      </c>
      <c r="AB320" s="34">
        <v>10520</v>
      </c>
      <c r="AC320" s="34">
        <v>10000</v>
      </c>
      <c r="AD320" s="34">
        <v>10000</v>
      </c>
      <c r="AE320" s="34">
        <v>795</v>
      </c>
      <c r="AF320" s="34">
        <v>430</v>
      </c>
      <c r="AG320" s="34">
        <v>260</v>
      </c>
      <c r="AH320" s="34">
        <v>88.881</v>
      </c>
      <c r="AM320" s="40" t="s">
        <v>8094</v>
      </c>
      <c r="AT320" s="44">
        <v>0</v>
      </c>
      <c r="AU320" s="44"/>
      <c r="AV320" s="46">
        <f>ROUND(Товары[[#This Row],[РРЦ финальная, руб.]]/$AU$1,2)</f>
        <v>0</v>
      </c>
      <c r="AW320" s="45" t="str">
        <f>IFERROR(Товары[[#This Row],[РРЦ, евро]]/Товары[[#This Row],[IRP, Eur]],"-")</f>
        <v>-</v>
      </c>
      <c r="AX320" s="42">
        <f>IFERROR(VLOOKUP(Товары[[#This Row],[SubGroup]],'Структура цен DIY'!$B:$C,2,FALSE),0)</f>
        <v>0.29999999999999993</v>
      </c>
      <c r="AY320" s="44">
        <v>0</v>
      </c>
    </row>
    <row r="321" spans="1:51" x14ac:dyDescent="0.25">
      <c r="A321" s="34">
        <v>319</v>
      </c>
      <c r="B321" s="34" t="s">
        <v>56</v>
      </c>
      <c r="C321" s="110" t="str">
        <f>IFERROR(INDEX(Структура_ассортимента[SuperCategory],MATCH(Товары[[#This Row],[SubGroup]],Структура_ассортимента[Subgroup],0)),"")</f>
        <v>A</v>
      </c>
      <c r="D32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2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21" s="110" t="str">
        <f>IFERROR(INDEX(Структура_ассортимента[Product group],MATCH(Товары[[#This Row],[SubGroup]],Структура_ассортимента[Subgroup],0)),"")</f>
        <v>AMC_C</v>
      </c>
      <c r="G321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21" s="110" t="str">
        <f>IFERROR(INDEX(Структура_ассортимента[Generic Name (long)3],MATCH(Товары[[#This Row],[SubGroup]],Структура_ассортимента[Subgroup],0)),"")</f>
        <v>Секаторы</v>
      </c>
      <c r="I321" s="36">
        <v>9211</v>
      </c>
      <c r="J321" s="36" t="str">
        <f>IFERROR(INDEX(Структура_ассортимента[Generic Name (long)],MATCH(Товары[[#This Row],[SubGroup]],Структура_ассортимента[Subgroup],0)),"")</f>
        <v>SECATEUR, ANVIL</v>
      </c>
      <c r="L321" s="36">
        <v>967086401</v>
      </c>
      <c r="M321" s="35" t="s">
        <v>2005</v>
      </c>
      <c r="Q321" s="34" t="s">
        <v>3544</v>
      </c>
      <c r="R321" s="34" t="s">
        <v>3540</v>
      </c>
      <c r="S321" s="47">
        <v>42583</v>
      </c>
      <c r="T321" s="47">
        <v>0</v>
      </c>
      <c r="U321" s="47">
        <v>0</v>
      </c>
      <c r="V321" s="34">
        <v>4078500022989</v>
      </c>
      <c r="W321" s="34" t="s">
        <v>3548</v>
      </c>
      <c r="Y321" s="34" t="s">
        <v>3542</v>
      </c>
      <c r="Z321" s="34">
        <v>1</v>
      </c>
      <c r="AM321" s="40" t="s">
        <v>8094</v>
      </c>
      <c r="AT321" s="44">
        <v>0</v>
      </c>
      <c r="AU321" s="44"/>
      <c r="AV321" s="46">
        <f>ROUND(Товары[[#This Row],[РРЦ финальная, руб.]]/$AU$1,2)</f>
        <v>0</v>
      </c>
      <c r="AW321" s="45" t="str">
        <f>IFERROR(Товары[[#This Row],[РРЦ, евро]]/Товары[[#This Row],[IRP, Eur]],"-")</f>
        <v>-</v>
      </c>
      <c r="AX321" s="42">
        <f>IFERROR(VLOOKUP(Товары[[#This Row],[SubGroup]],'Структура цен DIY'!$B:$C,2,FALSE),0)</f>
        <v>0.29999999999999993</v>
      </c>
      <c r="AY321" s="44">
        <v>0</v>
      </c>
    </row>
    <row r="322" spans="1:51" x14ac:dyDescent="0.25">
      <c r="A322" s="34">
        <v>320</v>
      </c>
      <c r="B322" s="34" t="s">
        <v>56</v>
      </c>
      <c r="C322" s="110" t="str">
        <f>IFERROR(INDEX(Структура_ассортимента[SuperCategory],MATCH(Товары[[#This Row],[SubGroup]],Структура_ассортимента[Subgroup],0)),"")</f>
        <v>A</v>
      </c>
      <c r="D32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2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22" s="110" t="str">
        <f>IFERROR(INDEX(Структура_ассортимента[Product group],MATCH(Товары[[#This Row],[SubGroup]],Структура_ассортимента[Subgroup],0)),"")</f>
        <v>AMC_C</v>
      </c>
      <c r="G322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22" s="110" t="str">
        <f>IFERROR(INDEX(Структура_ассортимента[Generic Name (long)3],MATCH(Товары[[#This Row],[SubGroup]],Структура_ассортимента[Subgroup],0)),"")</f>
        <v>Секаторы</v>
      </c>
      <c r="I322" s="36">
        <v>9211</v>
      </c>
      <c r="J322" s="36" t="str">
        <f>IFERROR(INDEX(Структура_ассортимента[Generic Name (long)],MATCH(Товары[[#This Row],[SubGroup]],Структура_ассортимента[Subgroup],0)),"")</f>
        <v>SECATEUR, ANVIL</v>
      </c>
      <c r="L322" s="36">
        <v>967049101</v>
      </c>
      <c r="M322" s="35" t="s">
        <v>2006</v>
      </c>
      <c r="Q322" s="34" t="s">
        <v>4564</v>
      </c>
      <c r="R322" s="34" t="s">
        <v>3540</v>
      </c>
      <c r="S322" s="47">
        <v>42370</v>
      </c>
      <c r="T322" s="47">
        <v>0</v>
      </c>
      <c r="U322" s="47">
        <v>0</v>
      </c>
      <c r="V322" s="34">
        <v>4078500020268</v>
      </c>
      <c r="W322" s="34" t="s">
        <v>3548</v>
      </c>
      <c r="AM322" s="40" t="s">
        <v>8094</v>
      </c>
      <c r="AT322" s="44">
        <v>0</v>
      </c>
      <c r="AU322" s="44"/>
      <c r="AV322" s="46">
        <f>ROUND(Товары[[#This Row],[РРЦ финальная, руб.]]/$AU$1,2)</f>
        <v>0</v>
      </c>
      <c r="AW322" s="45" t="str">
        <f>IFERROR(Товары[[#This Row],[РРЦ, евро]]/Товары[[#This Row],[IRP, Eur]],"-")</f>
        <v>-</v>
      </c>
      <c r="AX322" s="42">
        <f>IFERROR(VLOOKUP(Товары[[#This Row],[SubGroup]],'Структура цен DIY'!$B:$C,2,FALSE),0)</f>
        <v>0.29999999999999993</v>
      </c>
      <c r="AY322" s="44">
        <v>0</v>
      </c>
    </row>
    <row r="323" spans="1:51" x14ac:dyDescent="0.25">
      <c r="A323" s="34">
        <v>321</v>
      </c>
      <c r="B323" s="34" t="s">
        <v>56</v>
      </c>
      <c r="C323" s="110" t="str">
        <f>IFERROR(INDEX(Структура_ассортимента[SuperCategory],MATCH(Товары[[#This Row],[SubGroup]],Структура_ассортимента[Subgroup],0)),"")</f>
        <v>A</v>
      </c>
      <c r="D32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2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23" s="110" t="str">
        <f>IFERROR(INDEX(Структура_ассортимента[Product group],MATCH(Товары[[#This Row],[SubGroup]],Структура_ассортимента[Subgroup],0)),"")</f>
        <v>AMC_C</v>
      </c>
      <c r="G323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23" s="110" t="str">
        <f>IFERROR(INDEX(Структура_ассортимента[Generic Name (long)3],MATCH(Товары[[#This Row],[SubGroup]],Структура_ассортимента[Subgroup],0)),"")</f>
        <v>Секаторы</v>
      </c>
      <c r="I323" s="36">
        <v>9211</v>
      </c>
      <c r="J323" s="36" t="str">
        <f>IFERROR(INDEX(Структура_ассортимента[Generic Name (long)],MATCH(Товары[[#This Row],[SubGroup]],Структура_ассортимента[Subgroup],0)),"")</f>
        <v>SECATEUR, ANVIL</v>
      </c>
      <c r="L323" s="36">
        <v>967049201</v>
      </c>
      <c r="M323" s="35" t="s">
        <v>2007</v>
      </c>
      <c r="Q323" s="34" t="s">
        <v>4564</v>
      </c>
      <c r="R323" s="34" t="s">
        <v>3540</v>
      </c>
      <c r="S323" s="47">
        <v>0</v>
      </c>
      <c r="T323" s="47">
        <v>0</v>
      </c>
      <c r="U323" s="47">
        <v>0</v>
      </c>
      <c r="V323" s="34">
        <v>4078500020244</v>
      </c>
      <c r="W323" s="34" t="s">
        <v>3548</v>
      </c>
      <c r="AM323" s="40" t="s">
        <v>8094</v>
      </c>
      <c r="AT323" s="44">
        <v>0</v>
      </c>
      <c r="AU323" s="44"/>
      <c r="AV323" s="46">
        <f>ROUND(Товары[[#This Row],[РРЦ финальная, руб.]]/$AU$1,2)</f>
        <v>0</v>
      </c>
      <c r="AW323" s="45" t="str">
        <f>IFERROR(Товары[[#This Row],[РРЦ, евро]]/Товары[[#This Row],[IRP, Eur]],"-")</f>
        <v>-</v>
      </c>
      <c r="AX323" s="42">
        <f>IFERROR(VLOOKUP(Товары[[#This Row],[SubGroup]],'Структура цен DIY'!$B:$C,2,FALSE),0)</f>
        <v>0.29999999999999993</v>
      </c>
      <c r="AY323" s="44">
        <v>0</v>
      </c>
    </row>
    <row r="324" spans="1:51" x14ac:dyDescent="0.25">
      <c r="A324" s="34">
        <v>322</v>
      </c>
      <c r="B324" s="34" t="s">
        <v>56</v>
      </c>
      <c r="C324" s="110" t="str">
        <f>IFERROR(INDEX(Структура_ассортимента[SuperCategory],MATCH(Товары[[#This Row],[SubGroup]],Структура_ассортимента[Subgroup],0)),"")</f>
        <v>A</v>
      </c>
      <c r="D32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2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24" s="110" t="str">
        <f>IFERROR(INDEX(Структура_ассортимента[Product group],MATCH(Товары[[#This Row],[SubGroup]],Структура_ассортимента[Subgroup],0)),"")</f>
        <v>AMC_C</v>
      </c>
      <c r="G324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24" s="110" t="str">
        <f>IFERROR(INDEX(Структура_ассортимента[Generic Name (long)3],MATCH(Товары[[#This Row],[SubGroup]],Структура_ассортимента[Subgroup],0)),"")</f>
        <v>Сучкорезы</v>
      </c>
      <c r="I324" s="36">
        <v>9212</v>
      </c>
      <c r="J324" s="36" t="str">
        <f>IFERROR(INDEX(Структура_ассортимента[Generic Name (long)],MATCH(Товары[[#This Row],[SubGroup]],Структура_ассортимента[Subgroup],0)),"")</f>
        <v>PRUNER, ANVIL</v>
      </c>
      <c r="L324" s="36">
        <v>967107701</v>
      </c>
      <c r="M324" s="35" t="s">
        <v>2008</v>
      </c>
      <c r="Q324" s="34" t="s">
        <v>3544</v>
      </c>
      <c r="R324" s="34" t="s">
        <v>3540</v>
      </c>
      <c r="S324" s="47">
        <v>0</v>
      </c>
      <c r="T324" s="47">
        <v>0</v>
      </c>
      <c r="U324" s="47">
        <v>0</v>
      </c>
      <c r="V324" s="34">
        <v>4078500028639</v>
      </c>
      <c r="W324" s="34" t="s">
        <v>3548</v>
      </c>
      <c r="Z324" s="34">
        <v>4</v>
      </c>
      <c r="AM324" s="40" t="s">
        <v>8094</v>
      </c>
      <c r="AT324" s="44">
        <v>0</v>
      </c>
      <c r="AU324" s="44"/>
      <c r="AV324" s="46">
        <f>ROUND(Товары[[#This Row],[РРЦ финальная, руб.]]/$AU$1,2)</f>
        <v>0</v>
      </c>
      <c r="AW324" s="45" t="str">
        <f>IFERROR(Товары[[#This Row],[РРЦ, евро]]/Товары[[#This Row],[IRP, Eur]],"-")</f>
        <v>-</v>
      </c>
      <c r="AX324" s="42">
        <f>IFERROR(VLOOKUP(Товары[[#This Row],[SubGroup]],'Структура цен DIY'!$B:$C,2,FALSE),0)</f>
        <v>0.21</v>
      </c>
      <c r="AY324" s="44">
        <v>0</v>
      </c>
    </row>
    <row r="325" spans="1:51" x14ac:dyDescent="0.25">
      <c r="A325" s="34">
        <v>323</v>
      </c>
      <c r="B325" s="34" t="s">
        <v>56</v>
      </c>
      <c r="C325" s="110" t="str">
        <f>IFERROR(INDEX(Структура_ассортимента[SuperCategory],MATCH(Товары[[#This Row],[SubGroup]],Структура_ассортимента[Subgroup],0)),"")</f>
        <v>A</v>
      </c>
      <c r="D32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2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25" s="110" t="str">
        <f>IFERROR(INDEX(Структура_ассортимента[Product group],MATCH(Товары[[#This Row],[SubGroup]],Структура_ассортимента[Subgroup],0)),"")</f>
        <v>AMC_C</v>
      </c>
      <c r="G325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25" s="110" t="str">
        <f>IFERROR(INDEX(Структура_ассортимента[Generic Name (long)3],MATCH(Товары[[#This Row],[SubGroup]],Структура_ассортимента[Subgroup],0)),"")</f>
        <v>Сучкорезы</v>
      </c>
      <c r="I325" s="36">
        <v>9212</v>
      </c>
      <c r="J325" s="36" t="str">
        <f>IFERROR(INDEX(Структура_ассортимента[Generic Name (long)],MATCH(Товары[[#This Row],[SubGroup]],Структура_ассортимента[Subgroup],0)),"")</f>
        <v>PRUNER, ANVIL</v>
      </c>
      <c r="L325" s="36">
        <v>967104101</v>
      </c>
      <c r="M325" s="35" t="s">
        <v>2009</v>
      </c>
      <c r="Q325" s="34" t="s">
        <v>3544</v>
      </c>
      <c r="R325" s="34" t="s">
        <v>3540</v>
      </c>
      <c r="S325" s="47">
        <v>0</v>
      </c>
      <c r="T325" s="47">
        <v>0</v>
      </c>
      <c r="U325" s="47">
        <v>0</v>
      </c>
      <c r="V325" s="34">
        <v>4078500024747</v>
      </c>
      <c r="W325" s="34" t="s">
        <v>3548</v>
      </c>
      <c r="Y325" s="34" t="s">
        <v>3542</v>
      </c>
      <c r="Z325" s="34">
        <v>1</v>
      </c>
      <c r="AM325" s="40" t="s">
        <v>8094</v>
      </c>
      <c r="AT325" s="44">
        <v>0</v>
      </c>
      <c r="AU325" s="44"/>
      <c r="AV325" s="46">
        <f>ROUND(Товары[[#This Row],[РРЦ финальная, руб.]]/$AU$1,2)</f>
        <v>0</v>
      </c>
      <c r="AW325" s="45" t="str">
        <f>IFERROR(Товары[[#This Row],[РРЦ, евро]]/Товары[[#This Row],[IRP, Eur]],"-")</f>
        <v>-</v>
      </c>
      <c r="AX325" s="42">
        <f>IFERROR(VLOOKUP(Товары[[#This Row],[SubGroup]],'Структура цен DIY'!$B:$C,2,FALSE),0)</f>
        <v>0.21</v>
      </c>
      <c r="AY325" s="44">
        <v>0</v>
      </c>
    </row>
    <row r="326" spans="1:51" x14ac:dyDescent="0.25">
      <c r="A326" s="34">
        <v>324</v>
      </c>
      <c r="B326" s="34" t="s">
        <v>56</v>
      </c>
      <c r="C326" s="110" t="str">
        <f>IFERROR(INDEX(Структура_ассортимента[SuperCategory],MATCH(Товары[[#This Row],[SubGroup]],Структура_ассортимента[Subgroup],0)),"")</f>
        <v>A</v>
      </c>
      <c r="D32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2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26" s="110" t="str">
        <f>IFERROR(INDEX(Структура_ассортимента[Product group],MATCH(Товары[[#This Row],[SubGroup]],Структура_ассортимента[Subgroup],0)),"")</f>
        <v>AMC_C</v>
      </c>
      <c r="G326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26" s="110" t="str">
        <f>IFERROR(INDEX(Структура_ассортимента[Generic Name (long)3],MATCH(Товары[[#This Row],[SubGroup]],Структура_ассортимента[Subgroup],0)),"")</f>
        <v>Сучкорезы</v>
      </c>
      <c r="I326" s="36">
        <v>9212</v>
      </c>
      <c r="J326" s="36" t="str">
        <f>IFERROR(INDEX(Структура_ассортимента[Generic Name (long)],MATCH(Товары[[#This Row],[SubGroup]],Структура_ассортимента[Subgroup],0)),"")</f>
        <v>PRUNER, ANVIL</v>
      </c>
      <c r="L326" s="36">
        <v>967640701</v>
      </c>
      <c r="M326" s="35" t="s">
        <v>2010</v>
      </c>
      <c r="Q326" s="34" t="s">
        <v>3544</v>
      </c>
      <c r="R326" s="34" t="s">
        <v>3540</v>
      </c>
      <c r="S326" s="47">
        <v>0</v>
      </c>
      <c r="T326" s="47">
        <v>0</v>
      </c>
      <c r="U326" s="47">
        <v>0</v>
      </c>
      <c r="V326" s="34">
        <v>4078500028653</v>
      </c>
      <c r="Z326" s="34">
        <v>2</v>
      </c>
      <c r="AM326" s="40" t="s">
        <v>8094</v>
      </c>
      <c r="AT326" s="44">
        <v>0</v>
      </c>
      <c r="AU326" s="44"/>
      <c r="AV326" s="46">
        <f>ROUND(Товары[[#This Row],[РРЦ финальная, руб.]]/$AU$1,2)</f>
        <v>0</v>
      </c>
      <c r="AW326" s="45" t="str">
        <f>IFERROR(Товары[[#This Row],[РРЦ, евро]]/Товары[[#This Row],[IRP, Eur]],"-")</f>
        <v>-</v>
      </c>
      <c r="AX326" s="42">
        <f>IFERROR(VLOOKUP(Товары[[#This Row],[SubGroup]],'Структура цен DIY'!$B:$C,2,FALSE),0)</f>
        <v>0.21</v>
      </c>
      <c r="AY326" s="44">
        <v>0</v>
      </c>
    </row>
    <row r="327" spans="1:51" x14ac:dyDescent="0.25">
      <c r="A327" s="34">
        <v>325</v>
      </c>
      <c r="B327" s="34" t="s">
        <v>56</v>
      </c>
      <c r="C327" s="110" t="str">
        <f>IFERROR(INDEX(Структура_ассортимента[SuperCategory],MATCH(Товары[[#This Row],[SubGroup]],Структура_ассортимента[Subgroup],0)),"")</f>
        <v>A</v>
      </c>
      <c r="D32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2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27" s="110" t="str">
        <f>IFERROR(INDEX(Структура_ассортимента[Product group],MATCH(Товары[[#This Row],[SubGroup]],Структура_ассортимента[Subgroup],0)),"")</f>
        <v>AMC_C</v>
      </c>
      <c r="G327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27" s="110" t="str">
        <f>IFERROR(INDEX(Структура_ассортимента[Generic Name (long)3],MATCH(Товары[[#This Row],[SubGroup]],Структура_ассортимента[Subgroup],0)),"")</f>
        <v>Секаторы</v>
      </c>
      <c r="I327" s="36">
        <v>9211</v>
      </c>
      <c r="J327" s="36" t="str">
        <f>IFERROR(INDEX(Структура_ассортимента[Generic Name (long)],MATCH(Товары[[#This Row],[SubGroup]],Структура_ассортимента[Subgroup],0)),"")</f>
        <v>SECATEUR, ANVIL</v>
      </c>
      <c r="L327" s="36">
        <v>967089101</v>
      </c>
      <c r="M327" s="35" t="s">
        <v>2011</v>
      </c>
      <c r="Q327" s="34" t="s">
        <v>3544</v>
      </c>
      <c r="R327" s="34" t="s">
        <v>3540</v>
      </c>
      <c r="S327" s="47">
        <v>0</v>
      </c>
      <c r="T327" s="47">
        <v>0</v>
      </c>
      <c r="U327" s="47">
        <v>0</v>
      </c>
      <c r="V327" s="34">
        <v>4078500023214</v>
      </c>
      <c r="W327" s="34" t="s">
        <v>3548</v>
      </c>
      <c r="Y327" s="34" t="s">
        <v>3542</v>
      </c>
      <c r="Z327" s="34">
        <v>1</v>
      </c>
      <c r="AM327" s="40" t="s">
        <v>8094</v>
      </c>
      <c r="AT327" s="44">
        <v>0</v>
      </c>
      <c r="AU327" s="44"/>
      <c r="AV327" s="46">
        <f>ROUND(Товары[[#This Row],[РРЦ финальная, руб.]]/$AU$1,2)</f>
        <v>0</v>
      </c>
      <c r="AW327" s="45" t="str">
        <f>IFERROR(Товары[[#This Row],[РРЦ, евро]]/Товары[[#This Row],[IRP, Eur]],"-")</f>
        <v>-</v>
      </c>
      <c r="AX327" s="42">
        <f>IFERROR(VLOOKUP(Товары[[#This Row],[SubGroup]],'Структура цен DIY'!$B:$C,2,FALSE),0)</f>
        <v>0.29999999999999993</v>
      </c>
      <c r="AY327" s="44">
        <v>0</v>
      </c>
    </row>
    <row r="328" spans="1:51" x14ac:dyDescent="0.25">
      <c r="A328" s="34">
        <v>326</v>
      </c>
      <c r="B328" s="34" t="s">
        <v>56</v>
      </c>
      <c r="C328" s="110" t="str">
        <f>IFERROR(INDEX(Структура_ассортимента[SuperCategory],MATCH(Товары[[#This Row],[SubGroup]],Структура_ассортимента[Subgroup],0)),"")</f>
        <v>A</v>
      </c>
      <c r="D32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2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28" s="110" t="str">
        <f>IFERROR(INDEX(Структура_ассортимента[Product group],MATCH(Товары[[#This Row],[SubGroup]],Структура_ассортимента[Subgroup],0)),"")</f>
        <v>AMC_C</v>
      </c>
      <c r="G328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28" s="110" t="str">
        <f>IFERROR(INDEX(Структура_ассортимента[Generic Name (long)3],MATCH(Товары[[#This Row],[SubGroup]],Структура_ассортимента[Subgroup],0)),"")</f>
        <v>Сучкорезы</v>
      </c>
      <c r="I328" s="36">
        <v>9212</v>
      </c>
      <c r="J328" s="36" t="str">
        <f>IFERROR(INDEX(Структура_ассортимента[Generic Name (long)],MATCH(Товары[[#This Row],[SubGroup]],Структура_ассортимента[Subgroup],0)),"")</f>
        <v>PRUNER, ANVIL</v>
      </c>
      <c r="L328" s="36">
        <v>967790001</v>
      </c>
      <c r="M328" s="35" t="s">
        <v>2012</v>
      </c>
      <c r="Q328" s="34" t="s">
        <v>3544</v>
      </c>
      <c r="R328" s="34" t="s">
        <v>3540</v>
      </c>
      <c r="S328" s="47">
        <v>0</v>
      </c>
      <c r="T328" s="47">
        <v>0</v>
      </c>
      <c r="U328" s="47">
        <v>0</v>
      </c>
      <c r="V328" s="34">
        <v>4078500036597</v>
      </c>
      <c r="W328" s="34" t="s">
        <v>3548</v>
      </c>
      <c r="Y328" s="34" t="s">
        <v>3542</v>
      </c>
      <c r="Z328" s="34">
        <v>12</v>
      </c>
      <c r="AA328" s="34">
        <v>1890</v>
      </c>
      <c r="AB328" s="34">
        <v>1890</v>
      </c>
      <c r="AC328" s="34">
        <v>1800</v>
      </c>
      <c r="AD328" s="34">
        <v>1800</v>
      </c>
      <c r="AE328" s="34">
        <v>700</v>
      </c>
      <c r="AF328" s="34">
        <v>215</v>
      </c>
      <c r="AG328" s="34">
        <v>36</v>
      </c>
      <c r="AM328" s="40" t="s">
        <v>8094</v>
      </c>
      <c r="AT328" s="44">
        <v>0</v>
      </c>
      <c r="AU328" s="44"/>
      <c r="AV328" s="46">
        <f>ROUND(Товары[[#This Row],[РРЦ финальная, руб.]]/$AU$1,2)</f>
        <v>0</v>
      </c>
      <c r="AW328" s="45" t="str">
        <f>IFERROR(Товары[[#This Row],[РРЦ, евро]]/Товары[[#This Row],[IRP, Eur]],"-")</f>
        <v>-</v>
      </c>
      <c r="AX328" s="42">
        <f>IFERROR(VLOOKUP(Товары[[#This Row],[SubGroup]],'Структура цен DIY'!$B:$C,2,FALSE),0)</f>
        <v>0.21</v>
      </c>
      <c r="AY328" s="44">
        <v>0</v>
      </c>
    </row>
    <row r="329" spans="1:51" x14ac:dyDescent="0.25">
      <c r="A329" s="34">
        <v>327</v>
      </c>
      <c r="B329" s="34" t="s">
        <v>56</v>
      </c>
      <c r="C329" s="110" t="str">
        <f>IFERROR(INDEX(Структура_ассортимента[SuperCategory],MATCH(Товары[[#This Row],[SubGroup]],Структура_ассортимента[Subgroup],0)),"")</f>
        <v>A</v>
      </c>
      <c r="D32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2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29" s="110" t="str">
        <f>IFERROR(INDEX(Структура_ассортимента[Product group],MATCH(Товары[[#This Row],[SubGroup]],Структура_ассортимента[Subgroup],0)),"")</f>
        <v>AMC_C</v>
      </c>
      <c r="G329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29" s="110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329" s="36">
        <v>9231</v>
      </c>
      <c r="J329" s="36" t="str">
        <f>IFERROR(INDEX(Структура_ассортимента[Generic Name (long)],MATCH(Товары[[#This Row],[SubGroup]],Структура_ассортимента[Subgroup],0)),"")</f>
        <v>SHEAR, MANUAL</v>
      </c>
      <c r="L329" s="36">
        <v>967670501</v>
      </c>
      <c r="M329" s="35" t="s">
        <v>2013</v>
      </c>
      <c r="Q329" s="34" t="s">
        <v>3544</v>
      </c>
      <c r="R329" s="34" t="s">
        <v>3540</v>
      </c>
      <c r="S329" s="47">
        <v>0</v>
      </c>
      <c r="T329" s="47">
        <v>0</v>
      </c>
      <c r="U329" s="47">
        <v>0</v>
      </c>
      <c r="V329" s="34">
        <v>4078500032278</v>
      </c>
      <c r="Z329" s="34">
        <v>5</v>
      </c>
      <c r="AM329" s="40" t="s">
        <v>8094</v>
      </c>
      <c r="AT329" s="44">
        <v>0</v>
      </c>
      <c r="AU329" s="44"/>
      <c r="AV329" s="46">
        <f>ROUND(Товары[[#This Row],[РРЦ финальная, руб.]]/$AU$1,2)</f>
        <v>0</v>
      </c>
      <c r="AW329" s="45" t="str">
        <f>IFERROR(Товары[[#This Row],[РРЦ, евро]]/Товары[[#This Row],[IRP, Eur]],"-")</f>
        <v>-</v>
      </c>
      <c r="AX329" s="42">
        <f>IFERROR(VLOOKUP(Товары[[#This Row],[SubGroup]],'Структура цен DIY'!$B:$C,2,FALSE),0)</f>
        <v>0.28999999999999998</v>
      </c>
      <c r="AY329" s="44">
        <v>0</v>
      </c>
    </row>
    <row r="330" spans="1:51" x14ac:dyDescent="0.25">
      <c r="A330" s="34">
        <v>328</v>
      </c>
      <c r="B330" s="34" t="s">
        <v>56</v>
      </c>
      <c r="C330" s="110" t="str">
        <f>IFERROR(INDEX(Структура_ассортимента[SuperCategory],MATCH(Товары[[#This Row],[SubGroup]],Структура_ассортимента[Subgroup],0)),"")</f>
        <v>A</v>
      </c>
      <c r="D33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3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30" s="110" t="str">
        <f>IFERROR(INDEX(Структура_ассортимента[Product group],MATCH(Товары[[#This Row],[SubGroup]],Структура_ассортимента[Subgroup],0)),"")</f>
        <v>AMC_C</v>
      </c>
      <c r="G330" s="110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30" s="110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330" s="36">
        <v>9231</v>
      </c>
      <c r="J330" s="36" t="str">
        <f>IFERROR(INDEX(Структура_ассортимента[Generic Name (long)],MATCH(Товары[[#This Row],[SubGroup]],Структура_ассортимента[Subgroup],0)),"")</f>
        <v>SHEAR, MANUAL</v>
      </c>
      <c r="L330" s="36">
        <v>967672401</v>
      </c>
      <c r="M330" s="35" t="s">
        <v>2014</v>
      </c>
      <c r="Q330" s="34" t="s">
        <v>3544</v>
      </c>
      <c r="R330" s="34" t="s">
        <v>3540</v>
      </c>
      <c r="S330" s="47">
        <v>0</v>
      </c>
      <c r="T330" s="47">
        <v>0</v>
      </c>
      <c r="U330" s="47">
        <v>0</v>
      </c>
      <c r="V330" s="34">
        <v>4078500032292</v>
      </c>
      <c r="Z330" s="34">
        <v>20</v>
      </c>
      <c r="AM330" s="40" t="s">
        <v>8094</v>
      </c>
      <c r="AT330" s="44">
        <v>0</v>
      </c>
      <c r="AU330" s="44"/>
      <c r="AV330" s="46">
        <f>ROUND(Товары[[#This Row],[РРЦ финальная, руб.]]/$AU$1,2)</f>
        <v>0</v>
      </c>
      <c r="AW330" s="45" t="str">
        <f>IFERROR(Товары[[#This Row],[РРЦ, евро]]/Товары[[#This Row],[IRP, Eur]],"-")</f>
        <v>-</v>
      </c>
      <c r="AX330" s="42">
        <f>IFERROR(VLOOKUP(Товары[[#This Row],[SubGroup]],'Структура цен DIY'!$B:$C,2,FALSE),0)</f>
        <v>0.28999999999999998</v>
      </c>
      <c r="AY330" s="44">
        <v>0</v>
      </c>
    </row>
    <row r="331" spans="1:51" x14ac:dyDescent="0.25">
      <c r="A331" s="34">
        <v>329</v>
      </c>
      <c r="B331" s="34" t="s">
        <v>56</v>
      </c>
      <c r="C331" s="110" t="str">
        <f>IFERROR(INDEX(Структура_ассортимента[SuperCategory],MATCH(Товары[[#This Row],[SubGroup]],Структура_ассортимента[Subgroup],0)),"")</f>
        <v>A</v>
      </c>
      <c r="D33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3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31" s="110" t="str">
        <f>IFERROR(INDEX(Структура_ассортимента[Product group],MATCH(Товары[[#This Row],[SubGroup]],Структура_ассортимента[Subgroup],0)),"")</f>
        <v>AMT_C</v>
      </c>
      <c r="G331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31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31" s="36">
        <v>9221</v>
      </c>
      <c r="J331" s="36" t="str">
        <f>IFERROR(INDEX(Структура_ассортимента[Generic Name (long)],MATCH(Товары[[#This Row],[SubGroup]],Структура_ассортимента[Subgroup],0)),"")</f>
        <v>GARDEN TOOL SET</v>
      </c>
      <c r="L331" s="36">
        <v>901039901</v>
      </c>
      <c r="M331" s="35" t="s">
        <v>2015</v>
      </c>
      <c r="Q331" s="34" t="s">
        <v>3549</v>
      </c>
      <c r="R331" s="34" t="s">
        <v>3540</v>
      </c>
      <c r="S331" s="47">
        <v>36434</v>
      </c>
      <c r="T331" s="47">
        <v>0</v>
      </c>
      <c r="U331" s="47">
        <v>0</v>
      </c>
      <c r="V331" s="34">
        <v>4078500311809</v>
      </c>
      <c r="W331" s="34" t="s">
        <v>3703</v>
      </c>
      <c r="X331" s="34" t="s">
        <v>3704</v>
      </c>
      <c r="Y331" s="34" t="s">
        <v>3542</v>
      </c>
      <c r="Z331" s="34">
        <v>5</v>
      </c>
      <c r="AA331" s="34" t="s">
        <v>4215</v>
      </c>
      <c r="AB331" s="34" t="s">
        <v>4215</v>
      </c>
      <c r="AC331" s="34" t="s">
        <v>4566</v>
      </c>
      <c r="AD331" s="34" t="s">
        <v>4566</v>
      </c>
      <c r="AE331" s="34" t="s">
        <v>4567</v>
      </c>
      <c r="AF331" s="34" t="s">
        <v>4568</v>
      </c>
      <c r="AG331" s="34" t="s">
        <v>4569</v>
      </c>
      <c r="AH331" s="34" t="s">
        <v>4570</v>
      </c>
      <c r="AL331" s="34">
        <v>230</v>
      </c>
      <c r="AM331" s="40" t="s">
        <v>8095</v>
      </c>
      <c r="AT331" s="44">
        <v>0</v>
      </c>
      <c r="AU331" s="44"/>
      <c r="AV331" s="46">
        <f>ROUND(Товары[[#This Row],[РРЦ финальная, руб.]]/$AU$1,2)</f>
        <v>0</v>
      </c>
      <c r="AW331" s="45" t="str">
        <f>IFERROR(Товары[[#This Row],[РРЦ, евро]]/Товары[[#This Row],[IRP, Eur]],"-")</f>
        <v>-</v>
      </c>
      <c r="AX331" s="42">
        <f>IFERROR(VLOOKUP(Товары[[#This Row],[SubGroup]],'Структура цен DIY'!$B:$C,2,FALSE),0)</f>
        <v>0.27</v>
      </c>
      <c r="AY331" s="44">
        <v>0</v>
      </c>
    </row>
    <row r="332" spans="1:51" x14ac:dyDescent="0.25">
      <c r="A332" s="34">
        <v>330</v>
      </c>
      <c r="B332" s="34" t="s">
        <v>56</v>
      </c>
      <c r="C332" s="110" t="str">
        <f>IFERROR(INDEX(Структура_ассортимента[SuperCategory],MATCH(Товары[[#This Row],[SubGroup]],Структура_ассортимента[Subgroup],0)),"")</f>
        <v>A</v>
      </c>
      <c r="D33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3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32" s="110" t="str">
        <f>IFERROR(INDEX(Структура_ассортимента[Product group],MATCH(Товары[[#This Row],[SubGroup]],Структура_ассортимента[Subgroup],0)),"")</f>
        <v>AMT_C</v>
      </c>
      <c r="G332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32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32" s="36">
        <v>9221</v>
      </c>
      <c r="J332" s="36" t="str">
        <f>IFERROR(INDEX(Структура_ассортимента[Generic Name (long)],MATCH(Товары[[#This Row],[SubGroup]],Структура_ассортимента[Subgroup],0)),"")</f>
        <v>GARDEN TOOL SET</v>
      </c>
      <c r="L332" s="36">
        <v>901040201</v>
      </c>
      <c r="M332" s="35" t="s">
        <v>2016</v>
      </c>
      <c r="O332" s="35" t="s">
        <v>4571</v>
      </c>
      <c r="P332" s="37" t="s">
        <v>4572</v>
      </c>
      <c r="Q332" s="34" t="s">
        <v>3549</v>
      </c>
      <c r="R332" s="34" t="s">
        <v>3540</v>
      </c>
      <c r="S332" s="47">
        <v>36434</v>
      </c>
      <c r="T332" s="47">
        <v>0</v>
      </c>
      <c r="U332" s="47">
        <v>0</v>
      </c>
      <c r="V332" s="34">
        <v>4078500313209</v>
      </c>
      <c r="W332" s="34" t="s">
        <v>3703</v>
      </c>
      <c r="X332" s="34" t="s">
        <v>3704</v>
      </c>
      <c r="Y332" s="34" t="s">
        <v>3542</v>
      </c>
      <c r="Z332" s="34">
        <v>5</v>
      </c>
      <c r="AA332" s="34" t="s">
        <v>4573</v>
      </c>
      <c r="AB332" s="34" t="s">
        <v>4573</v>
      </c>
      <c r="AC332" s="34" t="s">
        <v>4400</v>
      </c>
      <c r="AD332" s="34" t="s">
        <v>4400</v>
      </c>
      <c r="AE332" s="34" t="s">
        <v>4574</v>
      </c>
      <c r="AF332" s="34" t="s">
        <v>3693</v>
      </c>
      <c r="AG332" s="34" t="s">
        <v>4218</v>
      </c>
      <c r="AH332" s="34" t="s">
        <v>4575</v>
      </c>
      <c r="AL332" s="34">
        <v>720</v>
      </c>
      <c r="AM332" s="40" t="s">
        <v>9</v>
      </c>
      <c r="AP332" s="34">
        <v>0</v>
      </c>
      <c r="AQ332" s="34">
        <v>990</v>
      </c>
      <c r="AR332" s="34">
        <v>594</v>
      </c>
      <c r="AT332" s="44">
        <v>76700</v>
      </c>
      <c r="AU332" s="44"/>
      <c r="AV332" s="46">
        <f>ROUND(Товары[[#This Row],[РРЦ финальная, руб.]]/$AU$1,2)</f>
        <v>0</v>
      </c>
      <c r="AW332" s="45" t="str">
        <f>IFERROR(Товары[[#This Row],[РРЦ, евро]]/Товары[[#This Row],[IRP, Eur]],"-")</f>
        <v>-</v>
      </c>
      <c r="AX332" s="42">
        <f>IFERROR(VLOOKUP(Товары[[#This Row],[SubGroup]],'Структура цен DIY'!$B:$C,2,FALSE),0)</f>
        <v>0.27</v>
      </c>
      <c r="AY332" s="44">
        <v>0</v>
      </c>
    </row>
    <row r="333" spans="1:51" x14ac:dyDescent="0.25">
      <c r="A333" s="34">
        <v>331</v>
      </c>
      <c r="B333" s="34" t="s">
        <v>56</v>
      </c>
      <c r="C333" s="110" t="str">
        <f>IFERROR(INDEX(Структура_ассортимента[SuperCategory],MATCH(Товары[[#This Row],[SubGroup]],Структура_ассортимента[Subgroup],0)),"")</f>
        <v>A</v>
      </c>
      <c r="D33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3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33" s="110" t="str">
        <f>IFERROR(INDEX(Структура_ассортимента[Product group],MATCH(Товары[[#This Row],[SubGroup]],Структура_ассортимента[Subgroup],0)),"")</f>
        <v>AMT_C</v>
      </c>
      <c r="G333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33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33" s="36">
        <v>9221</v>
      </c>
      <c r="J333" s="36" t="str">
        <f>IFERROR(INDEX(Структура_ассортимента[Generic Name (long)],MATCH(Товары[[#This Row],[SubGroup]],Структура_ассортимента[Subgroup],0)),"")</f>
        <v>GARDEN TOOL SET</v>
      </c>
      <c r="L333" s="36">
        <v>901040401</v>
      </c>
      <c r="M333" s="35" t="s">
        <v>2017</v>
      </c>
      <c r="Q333" s="34" t="s">
        <v>3549</v>
      </c>
      <c r="R333" s="34" t="s">
        <v>3540</v>
      </c>
      <c r="S333" s="47">
        <v>36434</v>
      </c>
      <c r="T333" s="47">
        <v>0</v>
      </c>
      <c r="U333" s="47">
        <v>0</v>
      </c>
      <c r="V333" s="34">
        <v>4078500313506</v>
      </c>
      <c r="W333" s="34" t="s">
        <v>3703</v>
      </c>
      <c r="X333" s="34" t="s">
        <v>3704</v>
      </c>
      <c r="Y333" s="34" t="s">
        <v>3542</v>
      </c>
      <c r="Z333" s="34">
        <v>5</v>
      </c>
      <c r="AA333" s="34" t="s">
        <v>4576</v>
      </c>
      <c r="AB333" s="34" t="s">
        <v>4576</v>
      </c>
      <c r="AC333" s="34" t="s">
        <v>4502</v>
      </c>
      <c r="AD333" s="34" t="s">
        <v>4502</v>
      </c>
      <c r="AE333" s="34" t="s">
        <v>3655</v>
      </c>
      <c r="AF333" s="34" t="s">
        <v>4486</v>
      </c>
      <c r="AG333" s="34" t="s">
        <v>4272</v>
      </c>
      <c r="AH333" s="34" t="s">
        <v>4577</v>
      </c>
      <c r="AL333" s="34">
        <v>360</v>
      </c>
      <c r="AM333" s="40" t="s">
        <v>8095</v>
      </c>
      <c r="AT333" s="44">
        <v>0</v>
      </c>
      <c r="AU333" s="44"/>
      <c r="AV333" s="46">
        <f>ROUND(Товары[[#This Row],[РРЦ финальная, руб.]]/$AU$1,2)</f>
        <v>0</v>
      </c>
      <c r="AW333" s="45" t="str">
        <f>IFERROR(Товары[[#This Row],[РРЦ, евро]]/Товары[[#This Row],[IRP, Eur]],"-")</f>
        <v>-</v>
      </c>
      <c r="AX333" s="42">
        <f>IFERROR(VLOOKUP(Товары[[#This Row],[SubGroup]],'Структура цен DIY'!$B:$C,2,FALSE),0)</f>
        <v>0.27</v>
      </c>
      <c r="AY333" s="44">
        <v>0</v>
      </c>
    </row>
    <row r="334" spans="1:51" x14ac:dyDescent="0.25">
      <c r="A334" s="34">
        <v>332</v>
      </c>
      <c r="B334" s="34" t="s">
        <v>56</v>
      </c>
      <c r="C334" s="110" t="str">
        <f>IFERROR(INDEX(Структура_ассортимента[SuperCategory],MATCH(Товары[[#This Row],[SubGroup]],Структура_ассортимента[Subgroup],0)),"")</f>
        <v>A</v>
      </c>
      <c r="D33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3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34" s="110" t="str">
        <f>IFERROR(INDEX(Структура_ассортимента[Product group],MATCH(Товары[[#This Row],[SubGroup]],Структура_ассортимента[Subgroup],0)),"")</f>
        <v>AMT_C</v>
      </c>
      <c r="G334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34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34" s="36">
        <v>9221</v>
      </c>
      <c r="J334" s="36" t="str">
        <f>IFERROR(INDEX(Структура_ассортимента[Generic Name (long)],MATCH(Товары[[#This Row],[SubGroup]],Структура_ассортимента[Subgroup],0)),"")</f>
        <v>GARDEN TOOL SET</v>
      </c>
      <c r="L334" s="36">
        <v>901041001</v>
      </c>
      <c r="M334" s="35" t="s">
        <v>2018</v>
      </c>
      <c r="O334" s="35" t="s">
        <v>4578</v>
      </c>
      <c r="P334" s="37" t="s">
        <v>4579</v>
      </c>
      <c r="Q334" s="34" t="s">
        <v>3549</v>
      </c>
      <c r="R334" s="34" t="s">
        <v>3540</v>
      </c>
      <c r="S334" s="47">
        <v>36434</v>
      </c>
      <c r="T334" s="47">
        <v>0</v>
      </c>
      <c r="U334" s="47">
        <v>0</v>
      </c>
      <c r="V334" s="34">
        <v>4078500316606</v>
      </c>
      <c r="W334" s="34" t="s">
        <v>3703</v>
      </c>
      <c r="X334" s="34" t="s">
        <v>3704</v>
      </c>
      <c r="Y334" s="34" t="s">
        <v>3542</v>
      </c>
      <c r="Z334" s="34">
        <v>5</v>
      </c>
      <c r="AA334" s="34" t="s">
        <v>4497</v>
      </c>
      <c r="AB334" s="34" t="s">
        <v>4497</v>
      </c>
      <c r="AC334" s="34" t="s">
        <v>4502</v>
      </c>
      <c r="AD334" s="34" t="s">
        <v>4502</v>
      </c>
      <c r="AE334" s="34" t="s">
        <v>3655</v>
      </c>
      <c r="AF334" s="34" t="s">
        <v>3556</v>
      </c>
      <c r="AG334" s="34" t="s">
        <v>3886</v>
      </c>
      <c r="AH334" s="34" t="s">
        <v>4580</v>
      </c>
      <c r="AL334" s="34" t="s">
        <v>4176</v>
      </c>
      <c r="AM334" s="40" t="s">
        <v>9</v>
      </c>
      <c r="AP334" s="34">
        <v>0</v>
      </c>
      <c r="AQ334" s="34">
        <v>990</v>
      </c>
      <c r="AR334" s="34">
        <v>594</v>
      </c>
      <c r="AT334" s="44">
        <v>76700</v>
      </c>
      <c r="AU334" s="44"/>
      <c r="AV334" s="46">
        <f>ROUND(Товары[[#This Row],[РРЦ финальная, руб.]]/$AU$1,2)</f>
        <v>0</v>
      </c>
      <c r="AW334" s="45" t="str">
        <f>IFERROR(Товары[[#This Row],[РРЦ, евро]]/Товары[[#This Row],[IRP, Eur]],"-")</f>
        <v>-</v>
      </c>
      <c r="AX334" s="42">
        <f>IFERROR(VLOOKUP(Товары[[#This Row],[SubGroup]],'Структура цен DIY'!$B:$C,2,FALSE),0)</f>
        <v>0.27</v>
      </c>
      <c r="AY334" s="44">
        <v>0</v>
      </c>
    </row>
    <row r="335" spans="1:51" x14ac:dyDescent="0.25">
      <c r="A335" s="34">
        <v>333</v>
      </c>
      <c r="B335" s="34" t="s">
        <v>56</v>
      </c>
      <c r="C335" s="110" t="str">
        <f>IFERROR(INDEX(Структура_ассортимента[SuperCategory],MATCH(Товары[[#This Row],[SubGroup]],Структура_ассортимента[Subgroup],0)),"")</f>
        <v>A</v>
      </c>
      <c r="D33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3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35" s="110" t="str">
        <f>IFERROR(INDEX(Структура_ассортимента[Product group],MATCH(Товары[[#This Row],[SubGroup]],Структура_ассортимента[Subgroup],0)),"")</f>
        <v>AMT_C</v>
      </c>
      <c r="G335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35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35" s="36">
        <v>9221</v>
      </c>
      <c r="J335" s="36" t="str">
        <f>IFERROR(INDEX(Структура_ассортимента[Generic Name (long)],MATCH(Товары[[#This Row],[SubGroup]],Структура_ассортимента[Subgroup],0)),"")</f>
        <v>GARDEN TOOL SET</v>
      </c>
      <c r="L335" s="36">
        <v>901043101</v>
      </c>
      <c r="M335" s="35" t="s">
        <v>2019</v>
      </c>
      <c r="Q335" s="34" t="s">
        <v>3549</v>
      </c>
      <c r="R335" s="34" t="s">
        <v>3540</v>
      </c>
      <c r="S335" s="47">
        <v>37895</v>
      </c>
      <c r="T335" s="47">
        <v>0</v>
      </c>
      <c r="U335" s="47">
        <v>0</v>
      </c>
      <c r="V335" s="34">
        <v>4078500319508</v>
      </c>
      <c r="W335" s="34" t="s">
        <v>3703</v>
      </c>
      <c r="X335" s="34" t="s">
        <v>3704</v>
      </c>
      <c r="Y335" s="34" t="s">
        <v>3542</v>
      </c>
      <c r="Z335" s="34">
        <v>3</v>
      </c>
      <c r="AA335" s="34" t="s">
        <v>4581</v>
      </c>
      <c r="AB335" s="34" t="s">
        <v>4581</v>
      </c>
      <c r="AC335" s="34" t="s">
        <v>3573</v>
      </c>
      <c r="AD335" s="34" t="s">
        <v>3573</v>
      </c>
      <c r="AE335" s="34" t="s">
        <v>4582</v>
      </c>
      <c r="AF335" s="34" t="s">
        <v>3611</v>
      </c>
      <c r="AG335" s="34" t="s">
        <v>4458</v>
      </c>
      <c r="AH335" s="34" t="s">
        <v>4583</v>
      </c>
      <c r="AL335" s="34">
        <v>60</v>
      </c>
      <c r="AM335" s="40" t="s">
        <v>8095</v>
      </c>
      <c r="AT335" s="44">
        <v>0</v>
      </c>
      <c r="AU335" s="44"/>
      <c r="AV335" s="46">
        <f>ROUND(Товары[[#This Row],[РРЦ финальная, руб.]]/$AU$1,2)</f>
        <v>0</v>
      </c>
      <c r="AW335" s="45" t="str">
        <f>IFERROR(Товары[[#This Row],[РРЦ, евро]]/Товары[[#This Row],[IRP, Eur]],"-")</f>
        <v>-</v>
      </c>
      <c r="AX335" s="42">
        <f>IFERROR(VLOOKUP(Товары[[#This Row],[SubGroup]],'Структура цен DIY'!$B:$C,2,FALSE),0)</f>
        <v>0.27</v>
      </c>
      <c r="AY335" s="44">
        <v>0</v>
      </c>
    </row>
    <row r="336" spans="1:51" x14ac:dyDescent="0.25">
      <c r="A336" s="34">
        <v>334</v>
      </c>
      <c r="B336" s="34" t="s">
        <v>56</v>
      </c>
      <c r="C336" s="110" t="str">
        <f>IFERROR(INDEX(Структура_ассортимента[SuperCategory],MATCH(Товары[[#This Row],[SubGroup]],Структура_ассортимента[Subgroup],0)),"")</f>
        <v>A</v>
      </c>
      <c r="D33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3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36" s="110" t="str">
        <f>IFERROR(INDEX(Структура_ассортимента[Product group],MATCH(Товары[[#This Row],[SubGroup]],Структура_ассортимента[Subgroup],0)),"")</f>
        <v>AMT_C</v>
      </c>
      <c r="G336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36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36" s="36">
        <v>9221</v>
      </c>
      <c r="J336" s="36" t="str">
        <f>IFERROR(INDEX(Структура_ассортимента[Generic Name (long)],MATCH(Товары[[#This Row],[SubGroup]],Структура_ассортимента[Subgroup],0)),"")</f>
        <v>GARDEN TOOL SET</v>
      </c>
      <c r="L336" s="36">
        <v>901043201</v>
      </c>
      <c r="M336" s="35" t="s">
        <v>2020</v>
      </c>
      <c r="O336" s="35" t="s">
        <v>4584</v>
      </c>
      <c r="P336" s="37" t="s">
        <v>4585</v>
      </c>
      <c r="Q336" s="34" t="s">
        <v>3549</v>
      </c>
      <c r="R336" s="34" t="s">
        <v>3540</v>
      </c>
      <c r="S336" s="47">
        <v>36434</v>
      </c>
      <c r="T336" s="47">
        <v>0</v>
      </c>
      <c r="U336" s="47">
        <v>0</v>
      </c>
      <c r="V336" s="34">
        <v>4078500319607</v>
      </c>
      <c r="W336" s="34" t="s">
        <v>3703</v>
      </c>
      <c r="X336" s="34" t="s">
        <v>3704</v>
      </c>
      <c r="Y336" s="34" t="s">
        <v>3542</v>
      </c>
      <c r="Z336" s="34">
        <v>3</v>
      </c>
      <c r="AA336" s="34" t="s">
        <v>4586</v>
      </c>
      <c r="AB336" s="34" t="s">
        <v>4586</v>
      </c>
      <c r="AC336" s="34" t="s">
        <v>4587</v>
      </c>
      <c r="AD336" s="34" t="s">
        <v>4587</v>
      </c>
      <c r="AE336" s="34" t="s">
        <v>3580</v>
      </c>
      <c r="AF336" s="34" t="s">
        <v>4588</v>
      </c>
      <c r="AG336" s="34" t="s">
        <v>4589</v>
      </c>
      <c r="AH336" s="34" t="s">
        <v>4590</v>
      </c>
      <c r="AL336" s="34">
        <v>102</v>
      </c>
      <c r="AM336" s="40" t="s">
        <v>9</v>
      </c>
      <c r="AP336" s="34">
        <v>0</v>
      </c>
      <c r="AQ336" s="34">
        <v>3390</v>
      </c>
      <c r="AR336" s="34">
        <v>2034</v>
      </c>
      <c r="AT336" s="44">
        <v>262600</v>
      </c>
      <c r="AU336" s="44"/>
      <c r="AV336" s="46">
        <f>ROUND(Товары[[#This Row],[РРЦ финальная, руб.]]/$AU$1,2)</f>
        <v>0</v>
      </c>
      <c r="AW336" s="45" t="str">
        <f>IFERROR(Товары[[#This Row],[РРЦ, евро]]/Товары[[#This Row],[IRP, Eur]],"-")</f>
        <v>-</v>
      </c>
      <c r="AX336" s="42">
        <f>IFERROR(VLOOKUP(Товары[[#This Row],[SubGroup]],'Структура цен DIY'!$B:$C,2,FALSE),0)</f>
        <v>0.27</v>
      </c>
      <c r="AY336" s="44">
        <v>0</v>
      </c>
    </row>
    <row r="337" spans="1:51" x14ac:dyDescent="0.25">
      <c r="A337" s="34">
        <v>335</v>
      </c>
      <c r="B337" s="34" t="s">
        <v>56</v>
      </c>
      <c r="C337" s="110" t="str">
        <f>IFERROR(INDEX(Структура_ассортимента[SuperCategory],MATCH(Товары[[#This Row],[SubGroup]],Структура_ассортимента[Subgroup],0)),"")</f>
        <v>A</v>
      </c>
      <c r="D33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3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37" s="110" t="str">
        <f>IFERROR(INDEX(Структура_ассортимента[Product group],MATCH(Товары[[#This Row],[SubGroup]],Структура_ассортимента[Subgroup],0)),"")</f>
        <v>AMT_C</v>
      </c>
      <c r="G337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37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37" s="36">
        <v>9221</v>
      </c>
      <c r="J337" s="36" t="str">
        <f>IFERROR(INDEX(Структура_ассортимента[Generic Name (long)],MATCH(Товары[[#This Row],[SubGroup]],Структура_ассортимента[Subgroup],0)),"")</f>
        <v>GARDEN TOOL SET</v>
      </c>
      <c r="L337" s="36">
        <v>901034201</v>
      </c>
      <c r="M337" s="35" t="s">
        <v>2021</v>
      </c>
      <c r="Q337" s="34" t="s">
        <v>3652</v>
      </c>
      <c r="R337" s="34" t="s">
        <v>3540</v>
      </c>
      <c r="S337" s="47">
        <v>33512</v>
      </c>
      <c r="T337" s="47">
        <v>0</v>
      </c>
      <c r="U337" s="47">
        <v>0</v>
      </c>
      <c r="V337" s="34">
        <v>4078500301909</v>
      </c>
      <c r="W337" s="34" t="s">
        <v>3543</v>
      </c>
      <c r="X337" s="34" t="s">
        <v>3579</v>
      </c>
      <c r="Y337" s="34" t="s">
        <v>3542</v>
      </c>
      <c r="Z337" s="34">
        <v>30</v>
      </c>
      <c r="AA337" s="34" t="s">
        <v>3554</v>
      </c>
      <c r="AB337" s="34" t="s">
        <v>3554</v>
      </c>
      <c r="AC337" s="34" t="s">
        <v>4265</v>
      </c>
      <c r="AD337" s="34" t="s">
        <v>4265</v>
      </c>
      <c r="AE337" s="34" t="s">
        <v>4591</v>
      </c>
      <c r="AF337" s="34" t="s">
        <v>3707</v>
      </c>
      <c r="AG337" s="34" t="s">
        <v>3588</v>
      </c>
      <c r="AH337" s="34" t="s">
        <v>4592</v>
      </c>
      <c r="AL337" s="34">
        <v>90</v>
      </c>
      <c r="AM337" s="40" t="s">
        <v>8095</v>
      </c>
      <c r="AT337" s="44">
        <v>0</v>
      </c>
      <c r="AU337" s="44"/>
      <c r="AV337" s="46">
        <f>ROUND(Товары[[#This Row],[РРЦ финальная, руб.]]/$AU$1,2)</f>
        <v>0</v>
      </c>
      <c r="AW337" s="45" t="str">
        <f>IFERROR(Товары[[#This Row],[РРЦ, евро]]/Товары[[#This Row],[IRP, Eur]],"-")</f>
        <v>-</v>
      </c>
      <c r="AX337" s="42">
        <f>IFERROR(VLOOKUP(Товары[[#This Row],[SubGroup]],'Структура цен DIY'!$B:$C,2,FALSE),0)</f>
        <v>0.27</v>
      </c>
      <c r="AY337" s="44">
        <v>0</v>
      </c>
    </row>
    <row r="338" spans="1:51" x14ac:dyDescent="0.25">
      <c r="A338" s="34">
        <v>336</v>
      </c>
      <c r="B338" s="34" t="s">
        <v>56</v>
      </c>
      <c r="C338" s="110" t="str">
        <f>IFERROR(INDEX(Структура_ассортимента[SuperCategory],MATCH(Товары[[#This Row],[SubGroup]],Структура_ассортимента[Subgroup],0)),"")</f>
        <v>A</v>
      </c>
      <c r="D33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3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38" s="110" t="str">
        <f>IFERROR(INDEX(Структура_ассортимента[Product group],MATCH(Товары[[#This Row],[SubGroup]],Структура_ассортимента[Subgroup],0)),"")</f>
        <v>AMT_C</v>
      </c>
      <c r="G338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38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38" s="36">
        <v>9221</v>
      </c>
      <c r="J338" s="36" t="str">
        <f>IFERROR(INDEX(Структура_ассортимента[Generic Name (long)],MATCH(Товары[[#This Row],[SubGroup]],Структура_ассортимента[Subgroup],0)),"")</f>
        <v>GARDEN TOOL SET</v>
      </c>
      <c r="L338" s="36">
        <v>966890401</v>
      </c>
      <c r="M338" s="35" t="s">
        <v>2022</v>
      </c>
      <c r="Q338" s="34" t="s">
        <v>3713</v>
      </c>
      <c r="R338" s="34" t="s">
        <v>3540</v>
      </c>
      <c r="S338" s="47">
        <v>42370</v>
      </c>
      <c r="T338" s="47">
        <v>43830</v>
      </c>
      <c r="U338" s="47">
        <v>43830</v>
      </c>
      <c r="V338" s="34">
        <v>4078500018029</v>
      </c>
      <c r="W338" s="34" t="s">
        <v>3543</v>
      </c>
      <c r="Y338" s="34" t="s">
        <v>3542</v>
      </c>
      <c r="Z338" s="34">
        <v>20</v>
      </c>
      <c r="AA338" s="34" t="s">
        <v>4593</v>
      </c>
      <c r="AB338" s="34" t="s">
        <v>3876</v>
      </c>
      <c r="AC338" s="34" t="s">
        <v>4593</v>
      </c>
      <c r="AD338" s="34" t="s">
        <v>3901</v>
      </c>
      <c r="AE338" s="34" t="s">
        <v>4594</v>
      </c>
      <c r="AF338" s="34" t="s">
        <v>4257</v>
      </c>
      <c r="AG338" s="34" t="s">
        <v>3968</v>
      </c>
      <c r="AH338" s="34" t="s">
        <v>4595</v>
      </c>
      <c r="AL338" s="34" t="s">
        <v>4397</v>
      </c>
      <c r="AM338" s="40" t="s">
        <v>8094</v>
      </c>
      <c r="AT338" s="44">
        <v>0</v>
      </c>
      <c r="AU338" s="44"/>
      <c r="AV338" s="46">
        <f>ROUND(Товары[[#This Row],[РРЦ финальная, руб.]]/$AU$1,2)</f>
        <v>0</v>
      </c>
      <c r="AW338" s="45" t="str">
        <f>IFERROR(Товары[[#This Row],[РРЦ, евро]]/Товары[[#This Row],[IRP, Eur]],"-")</f>
        <v>-</v>
      </c>
      <c r="AX338" s="42">
        <f>IFERROR(VLOOKUP(Товары[[#This Row],[SubGroup]],'Структура цен DIY'!$B:$C,2,FALSE),0)</f>
        <v>0.27</v>
      </c>
      <c r="AY338" s="44">
        <v>0</v>
      </c>
    </row>
    <row r="339" spans="1:51" x14ac:dyDescent="0.25">
      <c r="A339" s="34">
        <v>337</v>
      </c>
      <c r="B339" s="34" t="s">
        <v>56</v>
      </c>
      <c r="C339" s="110" t="str">
        <f>IFERROR(INDEX(Структура_ассортимента[SuperCategory],MATCH(Товары[[#This Row],[SubGroup]],Структура_ассортимента[Subgroup],0)),"")</f>
        <v>A</v>
      </c>
      <c r="D33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3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39" s="110" t="str">
        <f>IFERROR(INDEX(Структура_ассортимента[Product group],MATCH(Товары[[#This Row],[SubGroup]],Структура_ассортимента[Subgroup],0)),"")</f>
        <v>AMT_C</v>
      </c>
      <c r="G339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39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39" s="36">
        <v>9221</v>
      </c>
      <c r="J339" s="36" t="str">
        <f>IFERROR(INDEX(Структура_ассортимента[Generic Name (long)],MATCH(Товары[[#This Row],[SubGroup]],Структура_ассортимента[Subgroup],0)),"")</f>
        <v>GARDEN TOOL SET</v>
      </c>
      <c r="L339" s="36">
        <v>967038201</v>
      </c>
      <c r="M339" s="35" t="s">
        <v>2023</v>
      </c>
      <c r="Q339" s="34" t="s">
        <v>3549</v>
      </c>
      <c r="R339" s="34" t="s">
        <v>3540</v>
      </c>
      <c r="S339" s="47">
        <v>42370</v>
      </c>
      <c r="T339" s="47">
        <v>0</v>
      </c>
      <c r="U339" s="47">
        <v>0</v>
      </c>
      <c r="V339" s="34">
        <v>4078500018043</v>
      </c>
      <c r="W339" s="34" t="s">
        <v>3543</v>
      </c>
      <c r="X339" s="34" t="s">
        <v>3579</v>
      </c>
      <c r="Y339" s="34" t="s">
        <v>3542</v>
      </c>
      <c r="Z339" s="34">
        <v>20</v>
      </c>
      <c r="AA339" s="34" t="s">
        <v>4593</v>
      </c>
      <c r="AB339" s="34" t="s">
        <v>4596</v>
      </c>
      <c r="AC339" s="34" t="s">
        <v>4593</v>
      </c>
      <c r="AD339" s="34" t="s">
        <v>3598</v>
      </c>
      <c r="AE339" s="34" t="s">
        <v>3722</v>
      </c>
      <c r="AF339" s="34" t="s">
        <v>4242</v>
      </c>
      <c r="AG339" s="34" t="s">
        <v>3825</v>
      </c>
      <c r="AH339" s="34" t="s">
        <v>4597</v>
      </c>
      <c r="AL339" s="34" t="s">
        <v>4397</v>
      </c>
      <c r="AM339" s="40" t="s">
        <v>8095</v>
      </c>
      <c r="AT339" s="44">
        <v>0</v>
      </c>
      <c r="AU339" s="44"/>
      <c r="AV339" s="46">
        <f>ROUND(Товары[[#This Row],[РРЦ финальная, руб.]]/$AU$1,2)</f>
        <v>0</v>
      </c>
      <c r="AW339" s="45" t="str">
        <f>IFERROR(Товары[[#This Row],[РРЦ, евро]]/Товары[[#This Row],[IRP, Eur]],"-")</f>
        <v>-</v>
      </c>
      <c r="AX339" s="42">
        <f>IFERROR(VLOOKUP(Товары[[#This Row],[SubGroup]],'Структура цен DIY'!$B:$C,2,FALSE),0)</f>
        <v>0.27</v>
      </c>
      <c r="AY339" s="44">
        <v>0</v>
      </c>
    </row>
    <row r="340" spans="1:51" x14ac:dyDescent="0.25">
      <c r="A340" s="34">
        <v>338</v>
      </c>
      <c r="B340" s="34" t="s">
        <v>56</v>
      </c>
      <c r="C340" s="110" t="str">
        <f>IFERROR(INDEX(Структура_ассортимента[SuperCategory],MATCH(Товары[[#This Row],[SubGroup]],Структура_ассортимента[Subgroup],0)),"")</f>
        <v>A</v>
      </c>
      <c r="D34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4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40" s="110" t="str">
        <f>IFERROR(INDEX(Структура_ассортимента[Product group],MATCH(Товары[[#This Row],[SubGroup]],Структура_ассортимента[Subgroup],0)),"")</f>
        <v>AMT_C</v>
      </c>
      <c r="G340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40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40" s="36">
        <v>9221</v>
      </c>
      <c r="J340" s="36" t="str">
        <f>IFERROR(INDEX(Структура_ассортимента[Generic Name (long)],MATCH(Товары[[#This Row],[SubGroup]],Структура_ассортимента[Subgroup],0)),"")</f>
        <v>GARDEN TOOL SET</v>
      </c>
      <c r="L340" s="36">
        <v>967635101</v>
      </c>
      <c r="M340" s="35" t="s">
        <v>2024</v>
      </c>
      <c r="O340" s="35" t="s">
        <v>4598</v>
      </c>
      <c r="P340" s="37" t="s">
        <v>4599</v>
      </c>
      <c r="Q340" s="34" t="s">
        <v>3549</v>
      </c>
      <c r="R340" s="34" t="s">
        <v>3540</v>
      </c>
      <c r="S340" s="47">
        <v>42552</v>
      </c>
      <c r="T340" s="47">
        <v>0</v>
      </c>
      <c r="U340" s="47">
        <v>0</v>
      </c>
      <c r="V340" s="34">
        <v>4078500018005</v>
      </c>
      <c r="W340" s="34" t="s">
        <v>3543</v>
      </c>
      <c r="X340" s="34" t="s">
        <v>3579</v>
      </c>
      <c r="Y340" s="34" t="s">
        <v>3542</v>
      </c>
      <c r="Z340" s="34">
        <v>1</v>
      </c>
      <c r="AA340" s="34" t="s">
        <v>3962</v>
      </c>
      <c r="AB340" s="34" t="s">
        <v>3643</v>
      </c>
      <c r="AC340" s="34" t="s">
        <v>4237</v>
      </c>
      <c r="AD340" s="34" t="s">
        <v>4600</v>
      </c>
      <c r="AE340" s="34" t="s">
        <v>4601</v>
      </c>
      <c r="AF340" s="34" t="s">
        <v>4602</v>
      </c>
      <c r="AG340" s="34" t="s">
        <v>4603</v>
      </c>
      <c r="AH340" s="34" t="s">
        <v>4604</v>
      </c>
      <c r="AI340" s="34" t="s">
        <v>3742</v>
      </c>
      <c r="AJ340" s="34" t="s">
        <v>4605</v>
      </c>
      <c r="AK340" s="34" t="s">
        <v>4257</v>
      </c>
      <c r="AL340" s="34" t="s">
        <v>3842</v>
      </c>
      <c r="AM340" s="40" t="s">
        <v>9</v>
      </c>
      <c r="AP340" s="34">
        <v>0</v>
      </c>
      <c r="AQ340" s="34">
        <v>3690</v>
      </c>
      <c r="AR340" s="34">
        <v>2199</v>
      </c>
      <c r="AT340" s="44">
        <v>285800</v>
      </c>
      <c r="AU340" s="44"/>
      <c r="AV340" s="46">
        <f>ROUND(Товары[[#This Row],[РРЦ финальная, руб.]]/$AU$1,2)</f>
        <v>0</v>
      </c>
      <c r="AW340" s="45" t="str">
        <f>IFERROR(Товары[[#This Row],[РРЦ, евро]]/Товары[[#This Row],[IRP, Eur]],"-")</f>
        <v>-</v>
      </c>
      <c r="AX340" s="42">
        <f>IFERROR(VLOOKUP(Товары[[#This Row],[SubGroup]],'Структура цен DIY'!$B:$C,2,FALSE),0)</f>
        <v>0.27</v>
      </c>
      <c r="AY340" s="44">
        <v>0</v>
      </c>
    </row>
    <row r="341" spans="1:51" x14ac:dyDescent="0.25">
      <c r="A341" s="34">
        <v>339</v>
      </c>
      <c r="B341" s="34" t="s">
        <v>56</v>
      </c>
      <c r="C341" s="110" t="str">
        <f>IFERROR(INDEX(Структура_ассортимента[SuperCategory],MATCH(Товары[[#This Row],[SubGroup]],Структура_ассортимента[Subgroup],0)),"")</f>
        <v>A</v>
      </c>
      <c r="D34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4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41" s="110" t="str">
        <f>IFERROR(INDEX(Структура_ассортимента[Product group],MATCH(Товары[[#This Row],[SubGroup]],Структура_ассортимента[Subgroup],0)),"")</f>
        <v>AMT_C</v>
      </c>
      <c r="G341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41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41" s="36">
        <v>9221</v>
      </c>
      <c r="J341" s="36" t="str">
        <f>IFERROR(INDEX(Структура_ассортимента[Generic Name (long)],MATCH(Товары[[#This Row],[SubGroup]],Структура_ассортимента[Subgroup],0)),"")</f>
        <v>GARDEN TOOL SET</v>
      </c>
      <c r="L341" s="36">
        <v>967635201</v>
      </c>
      <c r="M341" s="35" t="s">
        <v>2025</v>
      </c>
      <c r="Q341" s="34" t="s">
        <v>3549</v>
      </c>
      <c r="R341" s="34" t="s">
        <v>3540</v>
      </c>
      <c r="S341" s="47">
        <v>42552</v>
      </c>
      <c r="T341" s="47">
        <v>0</v>
      </c>
      <c r="U341" s="47">
        <v>0</v>
      </c>
      <c r="V341" s="34">
        <v>4078500017985</v>
      </c>
      <c r="W341" s="34" t="s">
        <v>3543</v>
      </c>
      <c r="X341" s="34" t="s">
        <v>3579</v>
      </c>
      <c r="Y341" s="34" t="s">
        <v>3542</v>
      </c>
      <c r="Z341" s="34">
        <v>10</v>
      </c>
      <c r="AA341" s="34" t="s">
        <v>3552</v>
      </c>
      <c r="AB341" s="34" t="s">
        <v>4606</v>
      </c>
      <c r="AC341" s="34" t="s">
        <v>3552</v>
      </c>
      <c r="AD341" s="34" t="s">
        <v>4237</v>
      </c>
      <c r="AE341" s="34" t="s">
        <v>4607</v>
      </c>
      <c r="AF341" s="34" t="s">
        <v>4202</v>
      </c>
      <c r="AG341" s="34" t="s">
        <v>3825</v>
      </c>
      <c r="AH341" s="34" t="s">
        <v>4608</v>
      </c>
      <c r="AI341" s="34" t="s">
        <v>3742</v>
      </c>
      <c r="AJ341" s="34" t="s">
        <v>4605</v>
      </c>
      <c r="AK341" s="34" t="s">
        <v>4257</v>
      </c>
      <c r="AL341" s="34" t="s">
        <v>4609</v>
      </c>
      <c r="AM341" s="40" t="s">
        <v>8095</v>
      </c>
      <c r="AT341" s="44">
        <v>0</v>
      </c>
      <c r="AU341" s="44"/>
      <c r="AV341" s="46">
        <f>ROUND(Товары[[#This Row],[РРЦ финальная, руб.]]/$AU$1,2)</f>
        <v>0</v>
      </c>
      <c r="AW341" s="45" t="str">
        <f>IFERROR(Товары[[#This Row],[РРЦ, евро]]/Товары[[#This Row],[IRP, Eur]],"-")</f>
        <v>-</v>
      </c>
      <c r="AX341" s="42">
        <f>IFERROR(VLOOKUP(Товары[[#This Row],[SubGroup]],'Структура цен DIY'!$B:$C,2,FALSE),0)</f>
        <v>0.27</v>
      </c>
      <c r="AY341" s="44">
        <v>0</v>
      </c>
    </row>
    <row r="342" spans="1:51" x14ac:dyDescent="0.25">
      <c r="A342" s="34">
        <v>340</v>
      </c>
      <c r="B342" s="34" t="s">
        <v>56</v>
      </c>
      <c r="C342" s="110" t="str">
        <f>IFERROR(INDEX(Структура_ассортимента[SuperCategory],MATCH(Товары[[#This Row],[SubGroup]],Структура_ассортимента[Subgroup],0)),"")</f>
        <v>A</v>
      </c>
      <c r="D34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4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42" s="110" t="str">
        <f>IFERROR(INDEX(Структура_ассортимента[Product group],MATCH(Товары[[#This Row],[SubGroup]],Структура_ассортимента[Subgroup],0)),"")</f>
        <v>AMT_C</v>
      </c>
      <c r="G342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42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42" s="36">
        <v>9221</v>
      </c>
      <c r="J342" s="36" t="str">
        <f>IFERROR(INDEX(Структура_ассортимента[Generic Name (long)],MATCH(Товары[[#This Row],[SubGroup]],Структура_ассортимента[Subgroup],0)),"")</f>
        <v>GARDEN TOOL SET</v>
      </c>
      <c r="L342" s="36">
        <v>967676501</v>
      </c>
      <c r="M342" s="35" t="s">
        <v>2026</v>
      </c>
      <c r="O342" s="35" t="s">
        <v>4610</v>
      </c>
      <c r="P342" s="37" t="s">
        <v>4611</v>
      </c>
      <c r="Q342" s="34" t="s">
        <v>3549</v>
      </c>
      <c r="R342" s="34" t="s">
        <v>3540</v>
      </c>
      <c r="S342" s="47">
        <v>43101</v>
      </c>
      <c r="T342" s="47">
        <v>0</v>
      </c>
      <c r="U342" s="47">
        <v>0</v>
      </c>
      <c r="V342" s="34">
        <v>4078500033565</v>
      </c>
      <c r="W342" s="34" t="s">
        <v>3546</v>
      </c>
      <c r="X342" s="34" t="s">
        <v>3579</v>
      </c>
      <c r="Y342" s="34" t="s">
        <v>3542</v>
      </c>
      <c r="Z342" s="34">
        <v>5</v>
      </c>
      <c r="AB342" s="34" t="s">
        <v>4170</v>
      </c>
      <c r="AD342" s="34" t="s">
        <v>4612</v>
      </c>
      <c r="AE342" s="34" t="s">
        <v>3686</v>
      </c>
      <c r="AF342" s="34" t="s">
        <v>3818</v>
      </c>
      <c r="AG342" s="34" t="s">
        <v>4139</v>
      </c>
      <c r="AH342" s="34" t="s">
        <v>4613</v>
      </c>
      <c r="AI342" s="34" t="s">
        <v>4614</v>
      </c>
      <c r="AJ342" s="34" t="s">
        <v>4615</v>
      </c>
      <c r="AK342" s="34" t="s">
        <v>4458</v>
      </c>
      <c r="AL342" s="34" t="s">
        <v>4616</v>
      </c>
      <c r="AM342" s="40" t="s">
        <v>9</v>
      </c>
      <c r="AP342" s="34">
        <v>0</v>
      </c>
      <c r="AQ342" s="34">
        <v>1790</v>
      </c>
      <c r="AR342" s="34">
        <v>1074</v>
      </c>
      <c r="AT342" s="44">
        <v>138600</v>
      </c>
      <c r="AU342" s="44"/>
      <c r="AV342" s="46">
        <f>ROUND(Товары[[#This Row],[РРЦ финальная, руб.]]/$AU$1,2)</f>
        <v>0</v>
      </c>
      <c r="AW342" s="45" t="str">
        <f>IFERROR(Товары[[#This Row],[РРЦ, евро]]/Товары[[#This Row],[IRP, Eur]],"-")</f>
        <v>-</v>
      </c>
      <c r="AX342" s="42">
        <f>IFERROR(VLOOKUP(Товары[[#This Row],[SubGroup]],'Структура цен DIY'!$B:$C,2,FALSE),0)</f>
        <v>0.27</v>
      </c>
      <c r="AY342" s="44">
        <v>0</v>
      </c>
    </row>
    <row r="343" spans="1:51" x14ac:dyDescent="0.25">
      <c r="A343" s="34">
        <v>341</v>
      </c>
      <c r="B343" s="34" t="s">
        <v>56</v>
      </c>
      <c r="C343" s="110" t="str">
        <f>IFERROR(INDEX(Структура_ассортимента[SuperCategory],MATCH(Товары[[#This Row],[SubGroup]],Структура_ассортимента[Subgroup],0)),"")</f>
        <v>A</v>
      </c>
      <c r="D34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4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43" s="110" t="str">
        <f>IFERROR(INDEX(Структура_ассортимента[Product group],MATCH(Товары[[#This Row],[SubGroup]],Структура_ассортимента[Subgroup],0)),"")</f>
        <v>AMT_C</v>
      </c>
      <c r="G343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43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43" s="36">
        <v>9221</v>
      </c>
      <c r="J343" s="36" t="str">
        <f>IFERROR(INDEX(Структура_ассортимента[Generic Name (long)],MATCH(Товары[[#This Row],[SubGroup]],Структура_ассортимента[Subgroup],0)),"")</f>
        <v>GARDEN TOOL SET</v>
      </c>
      <c r="L343" s="36">
        <v>967676601</v>
      </c>
      <c r="M343" s="35" t="s">
        <v>2027</v>
      </c>
      <c r="O343" s="35" t="s">
        <v>4617</v>
      </c>
      <c r="P343" s="37" t="s">
        <v>4618</v>
      </c>
      <c r="Q343" s="34" t="s">
        <v>3549</v>
      </c>
      <c r="R343" s="34" t="s">
        <v>3540</v>
      </c>
      <c r="S343" s="47">
        <v>43101</v>
      </c>
      <c r="T343" s="47">
        <v>0</v>
      </c>
      <c r="U343" s="47">
        <v>0</v>
      </c>
      <c r="V343" s="34">
        <v>4078500033589</v>
      </c>
      <c r="W343" s="34" t="s">
        <v>3543</v>
      </c>
      <c r="X343" s="34" t="s">
        <v>3579</v>
      </c>
      <c r="Y343" s="34" t="s">
        <v>3542</v>
      </c>
      <c r="Z343" s="34">
        <v>20</v>
      </c>
      <c r="AB343" s="34" t="s">
        <v>4606</v>
      </c>
      <c r="AD343" s="34" t="s">
        <v>3634</v>
      </c>
      <c r="AE343" s="34" t="s">
        <v>4619</v>
      </c>
      <c r="AF343" s="34" t="s">
        <v>4458</v>
      </c>
      <c r="AG343" s="34" t="s">
        <v>4153</v>
      </c>
      <c r="AH343" s="34" t="s">
        <v>4620</v>
      </c>
      <c r="AI343" s="34" t="s">
        <v>4614</v>
      </c>
      <c r="AJ343" s="34" t="s">
        <v>4615</v>
      </c>
      <c r="AK343" s="34" t="s">
        <v>4458</v>
      </c>
      <c r="AL343" s="34" t="s">
        <v>4453</v>
      </c>
      <c r="AM343" s="40" t="s">
        <v>9</v>
      </c>
      <c r="AP343" s="34">
        <v>0</v>
      </c>
      <c r="AQ343" s="34">
        <v>5390</v>
      </c>
      <c r="AR343" s="34">
        <v>3234</v>
      </c>
      <c r="AT343" s="44">
        <v>417500</v>
      </c>
      <c r="AU343" s="44"/>
      <c r="AV343" s="46">
        <f>ROUND(Товары[[#This Row],[РРЦ финальная, руб.]]/$AU$1,2)</f>
        <v>0</v>
      </c>
      <c r="AW343" s="45" t="str">
        <f>IFERROR(Товары[[#This Row],[РРЦ, евро]]/Товары[[#This Row],[IRP, Eur]],"-")</f>
        <v>-</v>
      </c>
      <c r="AX343" s="42">
        <f>IFERROR(VLOOKUP(Товары[[#This Row],[SubGroup]],'Структура цен DIY'!$B:$C,2,FALSE),0)</f>
        <v>0.27</v>
      </c>
      <c r="AY343" s="44">
        <v>0</v>
      </c>
    </row>
    <row r="344" spans="1:51" x14ac:dyDescent="0.25">
      <c r="A344" s="34">
        <v>342</v>
      </c>
      <c r="B344" s="34" t="s">
        <v>56</v>
      </c>
      <c r="C344" s="110" t="str">
        <f>IFERROR(INDEX(Структура_ассортимента[SuperCategory],MATCH(Товары[[#This Row],[SubGroup]],Структура_ассортимента[Subgroup],0)),"")</f>
        <v>A</v>
      </c>
      <c r="D34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4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44" s="110" t="str">
        <f>IFERROR(INDEX(Структура_ассортимента[Product group],MATCH(Товары[[#This Row],[SubGroup]],Структура_ассортимента[Subgroup],0)),"")</f>
        <v>AMT_C</v>
      </c>
      <c r="G344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44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44" s="36">
        <v>9221</v>
      </c>
      <c r="J344" s="36" t="str">
        <f>IFERROR(INDEX(Структура_ассортимента[Generic Name (long)],MATCH(Товары[[#This Row],[SubGroup]],Структура_ассортимента[Subgroup],0)),"")</f>
        <v>GARDEN TOOL SET</v>
      </c>
      <c r="L344" s="36">
        <v>901039801</v>
      </c>
      <c r="M344" s="35" t="s">
        <v>2028</v>
      </c>
      <c r="Q344" s="34" t="s">
        <v>3549</v>
      </c>
      <c r="R344" s="34" t="s">
        <v>3540</v>
      </c>
      <c r="S344" s="47">
        <v>36434</v>
      </c>
      <c r="T344" s="47">
        <v>0</v>
      </c>
      <c r="U344" s="47">
        <v>0</v>
      </c>
      <c r="V344" s="34">
        <v>4078500311304</v>
      </c>
      <c r="W344" s="34" t="s">
        <v>3703</v>
      </c>
      <c r="X344" s="34" t="s">
        <v>3704</v>
      </c>
      <c r="Y344" s="34" t="s">
        <v>3542</v>
      </c>
      <c r="Z344" s="34">
        <v>5</v>
      </c>
      <c r="AA344" s="34" t="s">
        <v>4576</v>
      </c>
      <c r="AB344" s="34" t="s">
        <v>4576</v>
      </c>
      <c r="AC344" s="34" t="s">
        <v>4417</v>
      </c>
      <c r="AD344" s="34" t="s">
        <v>4417</v>
      </c>
      <c r="AE344" s="34" t="s">
        <v>4117</v>
      </c>
      <c r="AF344" s="34" t="s">
        <v>4458</v>
      </c>
      <c r="AG344" s="34" t="s">
        <v>4621</v>
      </c>
      <c r="AH344" s="34" t="s">
        <v>4622</v>
      </c>
      <c r="AI344" s="34" t="s">
        <v>4440</v>
      </c>
      <c r="AJ344" s="34" t="s">
        <v>4588</v>
      </c>
      <c r="AK344" s="34" t="s">
        <v>4458</v>
      </c>
      <c r="AL344" s="34">
        <v>450</v>
      </c>
      <c r="AM344" s="40" t="s">
        <v>8095</v>
      </c>
      <c r="AT344" s="44">
        <v>0</v>
      </c>
      <c r="AU344" s="44"/>
      <c r="AV344" s="46">
        <f>ROUND(Товары[[#This Row],[РРЦ финальная, руб.]]/$AU$1,2)</f>
        <v>0</v>
      </c>
      <c r="AW344" s="45" t="str">
        <f>IFERROR(Товары[[#This Row],[РРЦ, евро]]/Товары[[#This Row],[IRP, Eur]],"-")</f>
        <v>-</v>
      </c>
      <c r="AX344" s="42">
        <f>IFERROR(VLOOKUP(Товары[[#This Row],[SubGroup]],'Структура цен DIY'!$B:$C,2,FALSE),0)</f>
        <v>0.27</v>
      </c>
      <c r="AY344" s="44">
        <v>0</v>
      </c>
    </row>
    <row r="345" spans="1:51" x14ac:dyDescent="0.25">
      <c r="A345" s="34">
        <v>343</v>
      </c>
      <c r="B345" s="34" t="s">
        <v>56</v>
      </c>
      <c r="C345" s="110" t="str">
        <f>IFERROR(INDEX(Структура_ассортимента[SuperCategory],MATCH(Товары[[#This Row],[SubGroup]],Структура_ассортимента[Subgroup],0)),"")</f>
        <v>A</v>
      </c>
      <c r="D34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4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45" s="110" t="str">
        <f>IFERROR(INDEX(Структура_ассортимента[Product group],MATCH(Товары[[#This Row],[SubGroup]],Структура_ассортимента[Subgroup],0)),"")</f>
        <v>AMT_C</v>
      </c>
      <c r="G345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45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45" s="36">
        <v>9221</v>
      </c>
      <c r="J345" s="36" t="str">
        <f>IFERROR(INDEX(Структура_ассортимента[Generic Name (long)],MATCH(Товары[[#This Row],[SubGroup]],Структура_ассортимента[Subgroup],0)),"")</f>
        <v>GARDEN TOOL SET</v>
      </c>
      <c r="L345" s="36">
        <v>901039601</v>
      </c>
      <c r="M345" s="35" t="s">
        <v>2029</v>
      </c>
      <c r="O345" s="35" t="s">
        <v>4623</v>
      </c>
      <c r="P345" s="37" t="s">
        <v>4624</v>
      </c>
      <c r="Q345" s="34" t="s">
        <v>3652</v>
      </c>
      <c r="R345" s="34" t="s">
        <v>3540</v>
      </c>
      <c r="S345" s="47">
        <v>36434</v>
      </c>
      <c r="T345" s="47">
        <v>0</v>
      </c>
      <c r="U345" s="47">
        <v>0</v>
      </c>
      <c r="V345" s="34">
        <v>4078500311205</v>
      </c>
      <c r="W345" s="34" t="s">
        <v>3703</v>
      </c>
      <c r="X345" s="34" t="s">
        <v>3704</v>
      </c>
      <c r="Y345" s="34" t="s">
        <v>3542</v>
      </c>
      <c r="Z345" s="34">
        <v>5</v>
      </c>
      <c r="AA345" s="34" t="s">
        <v>3750</v>
      </c>
      <c r="AB345" s="34" t="s">
        <v>3750</v>
      </c>
      <c r="AC345" s="34" t="s">
        <v>4625</v>
      </c>
      <c r="AD345" s="34" t="s">
        <v>4625</v>
      </c>
      <c r="AE345" s="34" t="s">
        <v>3818</v>
      </c>
      <c r="AF345" s="34" t="s">
        <v>3911</v>
      </c>
      <c r="AG345" s="34" t="s">
        <v>3556</v>
      </c>
      <c r="AH345" s="34" t="s">
        <v>4626</v>
      </c>
      <c r="AI345" s="34" t="s">
        <v>4440</v>
      </c>
      <c r="AJ345" s="34" t="s">
        <v>4588</v>
      </c>
      <c r="AK345" s="34" t="s">
        <v>3911</v>
      </c>
      <c r="AL345" s="34">
        <v>450</v>
      </c>
      <c r="AM345" s="40" t="s">
        <v>9</v>
      </c>
      <c r="AP345" s="34">
        <v>0</v>
      </c>
      <c r="AQ345" s="34">
        <v>1290</v>
      </c>
      <c r="AR345" s="34">
        <v>774</v>
      </c>
      <c r="AT345" s="44">
        <v>99900</v>
      </c>
      <c r="AU345" s="44"/>
      <c r="AV345" s="46">
        <f>ROUND(Товары[[#This Row],[РРЦ финальная, руб.]]/$AU$1,2)</f>
        <v>0</v>
      </c>
      <c r="AW345" s="45" t="str">
        <f>IFERROR(Товары[[#This Row],[РРЦ, евро]]/Товары[[#This Row],[IRP, Eur]],"-")</f>
        <v>-</v>
      </c>
      <c r="AX345" s="42">
        <f>IFERROR(VLOOKUP(Товары[[#This Row],[SubGroup]],'Структура цен DIY'!$B:$C,2,FALSE),0)</f>
        <v>0.27</v>
      </c>
      <c r="AY345" s="44">
        <v>0</v>
      </c>
    </row>
    <row r="346" spans="1:51" x14ac:dyDescent="0.25">
      <c r="A346" s="34">
        <v>344</v>
      </c>
      <c r="B346" s="34" t="s">
        <v>56</v>
      </c>
      <c r="C346" s="110" t="str">
        <f>IFERROR(INDEX(Структура_ассортимента[SuperCategory],MATCH(Товары[[#This Row],[SubGroup]],Структура_ассортимента[Subgroup],0)),"")</f>
        <v>A</v>
      </c>
      <c r="D34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4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46" s="110" t="str">
        <f>IFERROR(INDEX(Структура_ассортимента[Product group],MATCH(Товары[[#This Row],[SubGroup]],Структура_ассортимента[Subgroup],0)),"")</f>
        <v>AMT_C</v>
      </c>
      <c r="G346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46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46" s="36">
        <v>9221</v>
      </c>
      <c r="J346" s="36" t="str">
        <f>IFERROR(INDEX(Структура_ассортимента[Generic Name (long)],MATCH(Товары[[#This Row],[SubGroup]],Структура_ассортимента[Subgroup],0)),"")</f>
        <v>GARDEN TOOL SET</v>
      </c>
      <c r="L346" s="36">
        <v>901042401</v>
      </c>
      <c r="M346" s="35" t="s">
        <v>2030</v>
      </c>
      <c r="Q346" s="34" t="s">
        <v>3549</v>
      </c>
      <c r="R346" s="34" t="s">
        <v>3540</v>
      </c>
      <c r="S346" s="47">
        <v>36434</v>
      </c>
      <c r="T346" s="47">
        <v>0</v>
      </c>
      <c r="U346" s="47">
        <v>0</v>
      </c>
      <c r="V346" s="34">
        <v>4078500318709</v>
      </c>
      <c r="W346" s="34" t="s">
        <v>3703</v>
      </c>
      <c r="X346" s="34" t="s">
        <v>3704</v>
      </c>
      <c r="Y346" s="34" t="s">
        <v>3542</v>
      </c>
      <c r="Z346" s="34">
        <v>5</v>
      </c>
      <c r="AA346" s="34" t="s">
        <v>4627</v>
      </c>
      <c r="AB346" s="34" t="s">
        <v>4627</v>
      </c>
      <c r="AC346" s="34" t="s">
        <v>4179</v>
      </c>
      <c r="AD346" s="34" t="s">
        <v>4179</v>
      </c>
      <c r="AE346" s="34" t="s">
        <v>3955</v>
      </c>
      <c r="AF346" s="34" t="s">
        <v>4589</v>
      </c>
      <c r="AG346" s="34" t="s">
        <v>4231</v>
      </c>
      <c r="AH346" s="34" t="s">
        <v>4628</v>
      </c>
      <c r="AI346" s="34" t="s">
        <v>3826</v>
      </c>
      <c r="AJ346" s="34" t="s">
        <v>3699</v>
      </c>
      <c r="AK346" s="34" t="s">
        <v>4629</v>
      </c>
      <c r="AL346" s="34">
        <v>930</v>
      </c>
      <c r="AM346" s="40" t="s">
        <v>8095</v>
      </c>
      <c r="AT346" s="44">
        <v>0</v>
      </c>
      <c r="AU346" s="44"/>
      <c r="AV346" s="46">
        <f>ROUND(Товары[[#This Row],[РРЦ финальная, руб.]]/$AU$1,2)</f>
        <v>0</v>
      </c>
      <c r="AW346" s="45" t="str">
        <f>IFERROR(Товары[[#This Row],[РРЦ, евро]]/Товары[[#This Row],[IRP, Eur]],"-")</f>
        <v>-</v>
      </c>
      <c r="AX346" s="42">
        <f>IFERROR(VLOOKUP(Товары[[#This Row],[SubGroup]],'Структура цен DIY'!$B:$C,2,FALSE),0)</f>
        <v>0.27</v>
      </c>
      <c r="AY346" s="44">
        <v>0</v>
      </c>
    </row>
    <row r="347" spans="1:51" x14ac:dyDescent="0.25">
      <c r="A347" s="34">
        <v>345</v>
      </c>
      <c r="B347" s="34" t="s">
        <v>56</v>
      </c>
      <c r="C347" s="110" t="str">
        <f>IFERROR(INDEX(Структура_ассортимента[SuperCategory],MATCH(Товары[[#This Row],[SubGroup]],Структура_ассортимента[Subgroup],0)),"")</f>
        <v>A</v>
      </c>
      <c r="D34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4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47" s="110" t="str">
        <f>IFERROR(INDEX(Структура_ассортимента[Product group],MATCH(Товары[[#This Row],[SubGroup]],Структура_ассортимента[Subgroup],0)),"")</f>
        <v>AMT_C</v>
      </c>
      <c r="G347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47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47" s="36">
        <v>9221</v>
      </c>
      <c r="J347" s="36" t="str">
        <f>IFERROR(INDEX(Структура_ассортимента[Generic Name (long)],MATCH(Товары[[#This Row],[SubGroup]],Структура_ассортимента[Subgroup],0)),"")</f>
        <v>GARDEN TOOL SET</v>
      </c>
      <c r="L347" s="36">
        <v>901042001</v>
      </c>
      <c r="M347" s="35" t="s">
        <v>2031</v>
      </c>
      <c r="O347" s="35" t="s">
        <v>4630</v>
      </c>
      <c r="P347" s="37" t="s">
        <v>4631</v>
      </c>
      <c r="Q347" s="34" t="s">
        <v>3549</v>
      </c>
      <c r="R347" s="34" t="s">
        <v>3540</v>
      </c>
      <c r="S347" s="47">
        <v>32782</v>
      </c>
      <c r="T347" s="47">
        <v>0</v>
      </c>
      <c r="U347" s="47">
        <v>0</v>
      </c>
      <c r="V347" s="34">
        <v>4078500318006</v>
      </c>
      <c r="W347" s="34" t="s">
        <v>3703</v>
      </c>
      <c r="X347" s="34" t="s">
        <v>3704</v>
      </c>
      <c r="Y347" s="34" t="s">
        <v>3542</v>
      </c>
      <c r="Z347" s="34">
        <v>5</v>
      </c>
      <c r="AA347" s="34" t="s">
        <v>4170</v>
      </c>
      <c r="AB347" s="34" t="s">
        <v>4170</v>
      </c>
      <c r="AC347" s="34" t="s">
        <v>3691</v>
      </c>
      <c r="AD347" s="34" t="s">
        <v>3691</v>
      </c>
      <c r="AE347" s="34" t="s">
        <v>3997</v>
      </c>
      <c r="AF347" s="34" t="s">
        <v>4632</v>
      </c>
      <c r="AG347" s="34" t="s">
        <v>4633</v>
      </c>
      <c r="AH347" s="34" t="s">
        <v>4634</v>
      </c>
      <c r="AI347" s="34" t="s">
        <v>4108</v>
      </c>
      <c r="AJ347" s="34" t="s">
        <v>3566</v>
      </c>
      <c r="AK347" s="34" t="s">
        <v>3800</v>
      </c>
      <c r="AL347" s="34" t="s">
        <v>4635</v>
      </c>
      <c r="AM347" s="40" t="s">
        <v>9</v>
      </c>
      <c r="AP347" s="34">
        <v>0</v>
      </c>
      <c r="AQ347" s="34">
        <v>1190</v>
      </c>
      <c r="AR347" s="34">
        <v>714</v>
      </c>
      <c r="AT347" s="44">
        <v>92200</v>
      </c>
      <c r="AU347" s="44"/>
      <c r="AV347" s="46">
        <f>ROUND(Товары[[#This Row],[РРЦ финальная, руб.]]/$AU$1,2)</f>
        <v>0</v>
      </c>
      <c r="AW347" s="45" t="str">
        <f>IFERROR(Товары[[#This Row],[РРЦ, евро]]/Товары[[#This Row],[IRP, Eur]],"-")</f>
        <v>-</v>
      </c>
      <c r="AX347" s="42">
        <f>IFERROR(VLOOKUP(Товары[[#This Row],[SubGroup]],'Структура цен DIY'!$B:$C,2,FALSE),0)</f>
        <v>0.27</v>
      </c>
      <c r="AY347" s="44">
        <v>0</v>
      </c>
    </row>
    <row r="348" spans="1:51" x14ac:dyDescent="0.25">
      <c r="A348" s="34">
        <v>346</v>
      </c>
      <c r="B348" s="34" t="s">
        <v>56</v>
      </c>
      <c r="C348" s="110" t="str">
        <f>IFERROR(INDEX(Структура_ассортимента[SuperCategory],MATCH(Товары[[#This Row],[SubGroup]],Структура_ассортимента[Subgroup],0)),"")</f>
        <v>A</v>
      </c>
      <c r="D34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4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48" s="110" t="str">
        <f>IFERROR(INDEX(Структура_ассортимента[Product group],MATCH(Товары[[#This Row],[SubGroup]],Структура_ассортимента[Subgroup],0)),"")</f>
        <v>AMT_C</v>
      </c>
      <c r="G348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48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48" s="36">
        <v>9221</v>
      </c>
      <c r="J348" s="36" t="str">
        <f>IFERROR(INDEX(Структура_ассортимента[Generic Name (long)],MATCH(Товары[[#This Row],[SubGroup]],Структура_ассортимента[Subgroup],0)),"")</f>
        <v>GARDEN TOOL SET</v>
      </c>
      <c r="L348" s="36">
        <v>901042601</v>
      </c>
      <c r="M348" s="35" t="s">
        <v>2032</v>
      </c>
      <c r="O348" s="35" t="s">
        <v>4636</v>
      </c>
      <c r="P348" s="37" t="s">
        <v>4637</v>
      </c>
      <c r="Q348" s="34" t="s">
        <v>3652</v>
      </c>
      <c r="R348" s="34" t="s">
        <v>3540</v>
      </c>
      <c r="S348" s="47">
        <v>36434</v>
      </c>
      <c r="T348" s="47">
        <v>0</v>
      </c>
      <c r="U348" s="47">
        <v>0</v>
      </c>
      <c r="V348" s="34">
        <v>4078500318907</v>
      </c>
      <c r="W348" s="34" t="s">
        <v>3703</v>
      </c>
      <c r="X348" s="34" t="s">
        <v>3704</v>
      </c>
      <c r="Y348" s="34" t="s">
        <v>3542</v>
      </c>
      <c r="Z348" s="34">
        <v>5</v>
      </c>
      <c r="AA348" s="34" t="s">
        <v>3750</v>
      </c>
      <c r="AB348" s="34" t="s">
        <v>3750</v>
      </c>
      <c r="AC348" s="34" t="s">
        <v>4638</v>
      </c>
      <c r="AD348" s="34" t="s">
        <v>4638</v>
      </c>
      <c r="AE348" s="34" t="s">
        <v>3987</v>
      </c>
      <c r="AF348" s="34" t="s">
        <v>3878</v>
      </c>
      <c r="AG348" s="34" t="s">
        <v>3616</v>
      </c>
      <c r="AH348" s="34" t="s">
        <v>4639</v>
      </c>
      <c r="AI348" s="34" t="s">
        <v>4108</v>
      </c>
      <c r="AJ348" s="34" t="s">
        <v>3566</v>
      </c>
      <c r="AK348" s="34" t="s">
        <v>4640</v>
      </c>
      <c r="AL348" s="34">
        <v>385</v>
      </c>
      <c r="AM348" s="40" t="s">
        <v>9</v>
      </c>
      <c r="AP348" s="34">
        <v>0</v>
      </c>
      <c r="AQ348" s="34">
        <v>1290</v>
      </c>
      <c r="AR348" s="34">
        <v>774</v>
      </c>
      <c r="AT348" s="44">
        <v>99900</v>
      </c>
      <c r="AU348" s="44"/>
      <c r="AV348" s="46">
        <f>ROUND(Товары[[#This Row],[РРЦ финальная, руб.]]/$AU$1,2)</f>
        <v>0</v>
      </c>
      <c r="AW348" s="45" t="str">
        <f>IFERROR(Товары[[#This Row],[РРЦ, евро]]/Товары[[#This Row],[IRP, Eur]],"-")</f>
        <v>-</v>
      </c>
      <c r="AX348" s="42">
        <f>IFERROR(VLOOKUP(Товары[[#This Row],[SubGroup]],'Структура цен DIY'!$B:$C,2,FALSE),0)</f>
        <v>0.27</v>
      </c>
      <c r="AY348" s="44">
        <v>0</v>
      </c>
    </row>
    <row r="349" spans="1:51" x14ac:dyDescent="0.25">
      <c r="A349" s="34">
        <v>347</v>
      </c>
      <c r="B349" s="34" t="s">
        <v>56</v>
      </c>
      <c r="C349" s="110" t="str">
        <f>IFERROR(INDEX(Структура_ассортимента[SuperCategory],MATCH(Товары[[#This Row],[SubGroup]],Структура_ассортимента[Subgroup],0)),"")</f>
        <v>A</v>
      </c>
      <c r="D34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4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49" s="110" t="str">
        <f>IFERROR(INDEX(Структура_ассортимента[Product group],MATCH(Товары[[#This Row],[SubGroup]],Структура_ассортимента[Subgroup],0)),"")</f>
        <v>AMT_C</v>
      </c>
      <c r="G349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49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49" s="36">
        <v>9221</v>
      </c>
      <c r="J349" s="36" t="str">
        <f>IFERROR(INDEX(Структура_ассортимента[Generic Name (long)],MATCH(Товары[[#This Row],[SubGroup]],Структура_ассортимента[Subgroup],0)),"")</f>
        <v>GARDEN TOOL SET</v>
      </c>
      <c r="L349" s="36">
        <v>901042701</v>
      </c>
      <c r="M349" s="35" t="s">
        <v>2033</v>
      </c>
      <c r="Q349" s="34" t="s">
        <v>3549</v>
      </c>
      <c r="R349" s="34" t="s">
        <v>3540</v>
      </c>
      <c r="S349" s="47">
        <v>36434</v>
      </c>
      <c r="T349" s="47">
        <v>0</v>
      </c>
      <c r="U349" s="47">
        <v>0</v>
      </c>
      <c r="V349" s="34">
        <v>4078500319003</v>
      </c>
      <c r="W349" s="34" t="s">
        <v>3703</v>
      </c>
      <c r="X349" s="34" t="s">
        <v>3704</v>
      </c>
      <c r="Y349" s="34" t="s">
        <v>3542</v>
      </c>
      <c r="Z349" s="34">
        <v>5</v>
      </c>
      <c r="AA349" s="34" t="s">
        <v>4576</v>
      </c>
      <c r="AB349" s="34" t="s">
        <v>4576</v>
      </c>
      <c r="AC349" s="34" t="s">
        <v>4417</v>
      </c>
      <c r="AD349" s="34" t="s">
        <v>4417</v>
      </c>
      <c r="AE349" s="34" t="s">
        <v>4641</v>
      </c>
      <c r="AF349" s="34" t="s">
        <v>3989</v>
      </c>
      <c r="AG349" s="34" t="s">
        <v>4642</v>
      </c>
      <c r="AH349" s="34" t="s">
        <v>4643</v>
      </c>
      <c r="AI349" s="34" t="s">
        <v>4108</v>
      </c>
      <c r="AJ349" s="34" t="s">
        <v>3566</v>
      </c>
      <c r="AK349" s="34" t="s">
        <v>4644</v>
      </c>
      <c r="AL349" s="34">
        <v>350</v>
      </c>
      <c r="AM349" s="40" t="s">
        <v>8095</v>
      </c>
      <c r="AT349" s="44">
        <v>0</v>
      </c>
      <c r="AU349" s="44"/>
      <c r="AV349" s="46">
        <f>ROUND(Товары[[#This Row],[РРЦ финальная, руб.]]/$AU$1,2)</f>
        <v>0</v>
      </c>
      <c r="AW349" s="45" t="str">
        <f>IFERROR(Товары[[#This Row],[РРЦ, евро]]/Товары[[#This Row],[IRP, Eur]],"-")</f>
        <v>-</v>
      </c>
      <c r="AX349" s="42">
        <f>IFERROR(VLOOKUP(Товары[[#This Row],[SubGroup]],'Структура цен DIY'!$B:$C,2,FALSE),0)</f>
        <v>0.27</v>
      </c>
      <c r="AY349" s="44">
        <v>0</v>
      </c>
    </row>
    <row r="350" spans="1:51" x14ac:dyDescent="0.25">
      <c r="A350" s="34">
        <v>348</v>
      </c>
      <c r="B350" s="34" t="s">
        <v>56</v>
      </c>
      <c r="C350" s="110" t="str">
        <f>IFERROR(INDEX(Структура_ассортимента[SuperCategory],MATCH(Товары[[#This Row],[SubGroup]],Структура_ассортимента[Subgroup],0)),"")</f>
        <v>A</v>
      </c>
      <c r="D35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5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50" s="110" t="str">
        <f>IFERROR(INDEX(Структура_ассортимента[Product group],MATCH(Товары[[#This Row],[SubGroup]],Структура_ассортимента[Subgroup],0)),"")</f>
        <v>AMT_C</v>
      </c>
      <c r="G350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50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50" s="36">
        <v>9221</v>
      </c>
      <c r="J350" s="36" t="str">
        <f>IFERROR(INDEX(Структура_ассортимента[Generic Name (long)],MATCH(Товары[[#This Row],[SubGroup]],Структура_ассортимента[Subgroup],0)),"")</f>
        <v>GARDEN TOOL SET</v>
      </c>
      <c r="L350" s="36">
        <v>901043001</v>
      </c>
      <c r="M350" s="35" t="s">
        <v>2034</v>
      </c>
      <c r="Q350" s="34" t="s">
        <v>3549</v>
      </c>
      <c r="R350" s="34" t="s">
        <v>3540</v>
      </c>
      <c r="S350" s="47">
        <v>36434</v>
      </c>
      <c r="T350" s="47">
        <v>0</v>
      </c>
      <c r="U350" s="47">
        <v>0</v>
      </c>
      <c r="V350" s="34">
        <v>4078500319300</v>
      </c>
      <c r="W350" s="34" t="s">
        <v>3703</v>
      </c>
      <c r="X350" s="34" t="s">
        <v>3704</v>
      </c>
      <c r="Y350" s="34" t="s">
        <v>3542</v>
      </c>
      <c r="Z350" s="34">
        <v>5</v>
      </c>
      <c r="AA350" s="34" t="s">
        <v>4519</v>
      </c>
      <c r="AB350" s="34" t="s">
        <v>4519</v>
      </c>
      <c r="AC350" s="34" t="s">
        <v>4576</v>
      </c>
      <c r="AD350" s="34" t="s">
        <v>4576</v>
      </c>
      <c r="AE350" s="34" t="s">
        <v>4645</v>
      </c>
      <c r="AF350" s="34" t="s">
        <v>4640</v>
      </c>
      <c r="AG350" s="34" t="s">
        <v>4646</v>
      </c>
      <c r="AH350" s="34" t="s">
        <v>4647</v>
      </c>
      <c r="AI350" s="34" t="s">
        <v>4648</v>
      </c>
      <c r="AJ350" s="34" t="s">
        <v>3576</v>
      </c>
      <c r="AK350" s="34" t="s">
        <v>4640</v>
      </c>
      <c r="AL350" s="34">
        <v>300</v>
      </c>
      <c r="AM350" s="40" t="s">
        <v>8095</v>
      </c>
      <c r="AT350" s="44">
        <v>0</v>
      </c>
      <c r="AU350" s="44"/>
      <c r="AV350" s="46">
        <f>ROUND(Товары[[#This Row],[РРЦ финальная, руб.]]/$AU$1,2)</f>
        <v>0</v>
      </c>
      <c r="AW350" s="45" t="str">
        <f>IFERROR(Товары[[#This Row],[РРЦ, евро]]/Товары[[#This Row],[IRP, Eur]],"-")</f>
        <v>-</v>
      </c>
      <c r="AX350" s="42">
        <f>IFERROR(VLOOKUP(Товары[[#This Row],[SubGroup]],'Структура цен DIY'!$B:$C,2,FALSE),0)</f>
        <v>0.27</v>
      </c>
      <c r="AY350" s="44">
        <v>0</v>
      </c>
    </row>
    <row r="351" spans="1:51" x14ac:dyDescent="0.25">
      <c r="A351" s="34">
        <v>349</v>
      </c>
      <c r="B351" s="34" t="s">
        <v>56</v>
      </c>
      <c r="C351" s="110" t="str">
        <f>IFERROR(INDEX(Структура_ассортимента[SuperCategory],MATCH(Товары[[#This Row],[SubGroup]],Структура_ассортимента[Subgroup],0)),"")</f>
        <v>A</v>
      </c>
      <c r="D35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5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51" s="110" t="str">
        <f>IFERROR(INDEX(Структура_ассортимента[Product group],MATCH(Товары[[#This Row],[SubGroup]],Структура_ассортимента[Subgroup],0)),"")</f>
        <v>AMT_C</v>
      </c>
      <c r="G351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51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51" s="36">
        <v>9221</v>
      </c>
      <c r="J351" s="36" t="str">
        <f>IFERROR(INDEX(Структура_ассортимента[Generic Name (long)],MATCH(Товары[[#This Row],[SubGroup]],Структура_ассортимента[Subgroup],0)),"")</f>
        <v>GARDEN TOOL SET</v>
      </c>
      <c r="L351" s="36">
        <v>901042901</v>
      </c>
      <c r="M351" s="35" t="s">
        <v>2035</v>
      </c>
      <c r="O351" s="35" t="s">
        <v>4649</v>
      </c>
      <c r="P351" s="37" t="s">
        <v>4650</v>
      </c>
      <c r="Q351" s="34" t="s">
        <v>3549</v>
      </c>
      <c r="R351" s="34" t="s">
        <v>3540</v>
      </c>
      <c r="S351" s="47">
        <v>36434</v>
      </c>
      <c r="T351" s="47">
        <v>0</v>
      </c>
      <c r="U351" s="47">
        <v>0</v>
      </c>
      <c r="V351" s="34">
        <v>4078500319201</v>
      </c>
      <c r="W351" s="34" t="s">
        <v>3703</v>
      </c>
      <c r="X351" s="34" t="s">
        <v>3704</v>
      </c>
      <c r="Y351" s="34" t="s">
        <v>3542</v>
      </c>
      <c r="Z351" s="34">
        <v>5</v>
      </c>
      <c r="AA351" s="34" t="s">
        <v>4388</v>
      </c>
      <c r="AB351" s="34" t="s">
        <v>4388</v>
      </c>
      <c r="AC351" s="34" t="s">
        <v>4497</v>
      </c>
      <c r="AD351" s="34" t="s">
        <v>4497</v>
      </c>
      <c r="AE351" s="34" t="s">
        <v>4203</v>
      </c>
      <c r="AF351" s="34" t="s">
        <v>3865</v>
      </c>
      <c r="AG351" s="34" t="s">
        <v>3557</v>
      </c>
      <c r="AH351" s="34" t="s">
        <v>4651</v>
      </c>
      <c r="AI351" s="34" t="s">
        <v>4648</v>
      </c>
      <c r="AJ351" s="34" t="s">
        <v>3576</v>
      </c>
      <c r="AK351" s="34" t="s">
        <v>4652</v>
      </c>
      <c r="AL351" s="34">
        <v>360</v>
      </c>
      <c r="AM351" s="40" t="s">
        <v>9</v>
      </c>
      <c r="AP351" s="34">
        <v>0</v>
      </c>
      <c r="AQ351" s="34">
        <v>1390</v>
      </c>
      <c r="AR351" s="34">
        <v>834</v>
      </c>
      <c r="AT351" s="44">
        <v>107700</v>
      </c>
      <c r="AU351" s="44"/>
      <c r="AV351" s="46">
        <f>ROUND(Товары[[#This Row],[РРЦ финальная, руб.]]/$AU$1,2)</f>
        <v>0</v>
      </c>
      <c r="AW351" s="45" t="str">
        <f>IFERROR(Товары[[#This Row],[РРЦ, евро]]/Товары[[#This Row],[IRP, Eur]],"-")</f>
        <v>-</v>
      </c>
      <c r="AX351" s="42">
        <f>IFERROR(VLOOKUP(Товары[[#This Row],[SubGroup]],'Структура цен DIY'!$B:$C,2,FALSE),0)</f>
        <v>0.27</v>
      </c>
      <c r="AY351" s="44">
        <v>0</v>
      </c>
    </row>
    <row r="352" spans="1:51" x14ac:dyDescent="0.25">
      <c r="A352" s="34">
        <v>350</v>
      </c>
      <c r="B352" s="34" t="s">
        <v>56</v>
      </c>
      <c r="C352" s="110" t="str">
        <f>IFERROR(INDEX(Структура_ассортимента[SuperCategory],MATCH(Товары[[#This Row],[SubGroup]],Структура_ассортимента[Subgroup],0)),"")</f>
        <v>A</v>
      </c>
      <c r="D35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5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52" s="110" t="str">
        <f>IFERROR(INDEX(Структура_ассортимента[Product group],MATCH(Товары[[#This Row],[SubGroup]],Структура_ассортимента[Subgroup],0)),"")</f>
        <v>AMT_C</v>
      </c>
      <c r="G352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52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52" s="36">
        <v>9221</v>
      </c>
      <c r="J352" s="36" t="str">
        <f>IFERROR(INDEX(Структура_ассортимента[Generic Name (long)],MATCH(Товары[[#This Row],[SubGroup]],Структура_ассортимента[Subgroup],0)),"")</f>
        <v>GARDEN TOOL SET</v>
      </c>
      <c r="L352" s="36">
        <v>901044101</v>
      </c>
      <c r="M352" s="35" t="s">
        <v>2036</v>
      </c>
      <c r="O352" s="35" t="s">
        <v>4653</v>
      </c>
      <c r="P352" s="37" t="s">
        <v>4654</v>
      </c>
      <c r="Q352" s="34" t="s">
        <v>3549</v>
      </c>
      <c r="R352" s="34" t="s">
        <v>3540</v>
      </c>
      <c r="S352" s="47">
        <v>36434</v>
      </c>
      <c r="T352" s="47">
        <v>0</v>
      </c>
      <c r="U352" s="47">
        <v>0</v>
      </c>
      <c r="V352" s="34">
        <v>4078500321501</v>
      </c>
      <c r="W352" s="34" t="s">
        <v>3703</v>
      </c>
      <c r="X352" s="34" t="s">
        <v>3704</v>
      </c>
      <c r="Y352" s="34" t="s">
        <v>3542</v>
      </c>
      <c r="Z352" s="34">
        <v>5</v>
      </c>
      <c r="AA352" s="34" t="s">
        <v>4417</v>
      </c>
      <c r="AB352" s="34" t="s">
        <v>4655</v>
      </c>
      <c r="AC352" s="34" t="s">
        <v>3691</v>
      </c>
      <c r="AD352" s="34" t="s">
        <v>4170</v>
      </c>
      <c r="AE352" s="34" t="s">
        <v>4603</v>
      </c>
      <c r="AF352" s="34" t="s">
        <v>4656</v>
      </c>
      <c r="AG352" s="34" t="s">
        <v>4335</v>
      </c>
      <c r="AH352" s="34" t="s">
        <v>4657</v>
      </c>
      <c r="AL352" s="34">
        <v>680</v>
      </c>
      <c r="AM352" s="40" t="s">
        <v>9</v>
      </c>
      <c r="AP352" s="34">
        <v>0</v>
      </c>
      <c r="AQ352" s="34">
        <v>1290</v>
      </c>
      <c r="AR352" s="34">
        <v>774</v>
      </c>
      <c r="AT352" s="44">
        <v>99900</v>
      </c>
      <c r="AU352" s="44"/>
      <c r="AV352" s="46">
        <f>ROUND(Товары[[#This Row],[РРЦ финальная, руб.]]/$AU$1,2)</f>
        <v>0</v>
      </c>
      <c r="AW352" s="45" t="str">
        <f>IFERROR(Товары[[#This Row],[РРЦ, евро]]/Товары[[#This Row],[IRP, Eur]],"-")</f>
        <v>-</v>
      </c>
      <c r="AX352" s="42">
        <f>IFERROR(VLOOKUP(Товары[[#This Row],[SubGroup]],'Структура цен DIY'!$B:$C,2,FALSE),0)</f>
        <v>0.27</v>
      </c>
      <c r="AY352" s="44">
        <v>0</v>
      </c>
    </row>
    <row r="353" spans="1:51" x14ac:dyDescent="0.25">
      <c r="A353" s="34">
        <v>351</v>
      </c>
      <c r="B353" s="34" t="s">
        <v>56</v>
      </c>
      <c r="C353" s="110" t="str">
        <f>IFERROR(INDEX(Структура_ассортимента[SuperCategory],MATCH(Товары[[#This Row],[SubGroup]],Структура_ассортимента[Subgroup],0)),"")</f>
        <v>A</v>
      </c>
      <c r="D35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5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53" s="110" t="str">
        <f>IFERROR(INDEX(Структура_ассортимента[Product group],MATCH(Товары[[#This Row],[SubGroup]],Структура_ассортимента[Subgroup],0)),"")</f>
        <v>AMT_C</v>
      </c>
      <c r="G353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53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53" s="36">
        <v>9221</v>
      </c>
      <c r="J353" s="36" t="str">
        <f>IFERROR(INDEX(Структура_ассортимента[Generic Name (long)],MATCH(Товары[[#This Row],[SubGroup]],Структура_ассортимента[Subgroup],0)),"")</f>
        <v>GARDEN TOOL SET</v>
      </c>
      <c r="L353" s="36">
        <v>901044201</v>
      </c>
      <c r="M353" s="35" t="s">
        <v>2037</v>
      </c>
      <c r="Q353" s="34" t="s">
        <v>3549</v>
      </c>
      <c r="R353" s="34" t="s">
        <v>3540</v>
      </c>
      <c r="S353" s="47">
        <v>36434</v>
      </c>
      <c r="T353" s="47">
        <v>0</v>
      </c>
      <c r="U353" s="47">
        <v>0</v>
      </c>
      <c r="V353" s="34">
        <v>4078500321808</v>
      </c>
      <c r="W353" s="34" t="s">
        <v>3703</v>
      </c>
      <c r="X353" s="34" t="s">
        <v>3704</v>
      </c>
      <c r="Y353" s="34" t="s">
        <v>3542</v>
      </c>
      <c r="Z353" s="34">
        <v>5</v>
      </c>
      <c r="AA353" s="34" t="s">
        <v>4625</v>
      </c>
      <c r="AB353" s="34" t="s">
        <v>4625</v>
      </c>
      <c r="AC353" s="34" t="s">
        <v>4170</v>
      </c>
      <c r="AD353" s="34" t="s">
        <v>4170</v>
      </c>
      <c r="AE353" s="34" t="s">
        <v>4658</v>
      </c>
      <c r="AF353" s="34" t="s">
        <v>3556</v>
      </c>
      <c r="AG353" s="34" t="s">
        <v>4659</v>
      </c>
      <c r="AH353" s="34" t="s">
        <v>4660</v>
      </c>
      <c r="AL353" s="34">
        <v>770</v>
      </c>
      <c r="AM353" s="40" t="s">
        <v>8095</v>
      </c>
      <c r="AT353" s="44">
        <v>0</v>
      </c>
      <c r="AU353" s="44"/>
      <c r="AV353" s="46">
        <f>ROUND(Товары[[#This Row],[РРЦ финальная, руб.]]/$AU$1,2)</f>
        <v>0</v>
      </c>
      <c r="AW353" s="45" t="str">
        <f>IFERROR(Товары[[#This Row],[РРЦ, евро]]/Товары[[#This Row],[IRP, Eur]],"-")</f>
        <v>-</v>
      </c>
      <c r="AX353" s="42">
        <f>IFERROR(VLOOKUP(Товары[[#This Row],[SubGroup]],'Структура цен DIY'!$B:$C,2,FALSE),0)</f>
        <v>0.27</v>
      </c>
      <c r="AY353" s="44">
        <v>0</v>
      </c>
    </row>
    <row r="354" spans="1:51" x14ac:dyDescent="0.25">
      <c r="A354" s="34">
        <v>352</v>
      </c>
      <c r="B354" s="34" t="s">
        <v>56</v>
      </c>
      <c r="C354" s="110" t="str">
        <f>IFERROR(INDEX(Структура_ассортимента[SuperCategory],MATCH(Товары[[#This Row],[SubGroup]],Структура_ассортимента[Subgroup],0)),"")</f>
        <v>A</v>
      </c>
      <c r="D35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5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54" s="110" t="str">
        <f>IFERROR(INDEX(Структура_ассортимента[Product group],MATCH(Товары[[#This Row],[SubGroup]],Структура_ассортимента[Subgroup],0)),"")</f>
        <v>AMT_C</v>
      </c>
      <c r="G354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54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54" s="36">
        <v>9221</v>
      </c>
      <c r="J354" s="36" t="str">
        <f>IFERROR(INDEX(Структура_ассортимента[Generic Name (long)],MATCH(Товары[[#This Row],[SubGroup]],Структура_ассортимента[Subgroup],0)),"")</f>
        <v>GARDEN TOOL SET</v>
      </c>
      <c r="L354" s="36">
        <v>966641801</v>
      </c>
      <c r="M354" s="35" t="s">
        <v>2038</v>
      </c>
      <c r="O354" s="35" t="s">
        <v>4661</v>
      </c>
      <c r="P354" s="37" t="s">
        <v>4662</v>
      </c>
      <c r="Q354" s="34" t="s">
        <v>3549</v>
      </c>
      <c r="R354" s="34" t="s">
        <v>3540</v>
      </c>
      <c r="S354" s="47">
        <v>40452</v>
      </c>
      <c r="T354" s="47">
        <v>0</v>
      </c>
      <c r="U354" s="47">
        <v>0</v>
      </c>
      <c r="V354" s="34">
        <v>4078500321907</v>
      </c>
      <c r="W354" s="34" t="s">
        <v>3703</v>
      </c>
      <c r="X354" s="34" t="s">
        <v>3704</v>
      </c>
      <c r="Y354" s="34" t="s">
        <v>3542</v>
      </c>
      <c r="Z354" s="34">
        <v>5</v>
      </c>
      <c r="AA354" s="34" t="s">
        <v>4663</v>
      </c>
      <c r="AB354" s="34" t="s">
        <v>4663</v>
      </c>
      <c r="AC354" s="34" t="s">
        <v>4664</v>
      </c>
      <c r="AD354" s="34" t="s">
        <v>4664</v>
      </c>
      <c r="AE354" s="34" t="s">
        <v>4309</v>
      </c>
      <c r="AF354" s="34" t="s">
        <v>3711</v>
      </c>
      <c r="AG354" s="34" t="s">
        <v>3801</v>
      </c>
      <c r="AH354" s="34" t="s">
        <v>4665</v>
      </c>
      <c r="AI354" s="34" t="s">
        <v>4666</v>
      </c>
      <c r="AJ354" s="34" t="s">
        <v>4315</v>
      </c>
      <c r="AK354" s="34" t="s">
        <v>3592</v>
      </c>
      <c r="AL354" s="34">
        <v>360</v>
      </c>
      <c r="AM354" s="40" t="s">
        <v>9</v>
      </c>
      <c r="AP354" s="34">
        <v>0</v>
      </c>
      <c r="AQ354" s="34">
        <v>1590</v>
      </c>
      <c r="AR354" s="34">
        <v>954</v>
      </c>
      <c r="AT354" s="44">
        <v>123200</v>
      </c>
      <c r="AU354" s="44"/>
      <c r="AV354" s="46">
        <f>ROUND(Товары[[#This Row],[РРЦ финальная, руб.]]/$AU$1,2)</f>
        <v>0</v>
      </c>
      <c r="AW354" s="45" t="str">
        <f>IFERROR(Товары[[#This Row],[РРЦ, евро]]/Товары[[#This Row],[IRP, Eur]],"-")</f>
        <v>-</v>
      </c>
      <c r="AX354" s="42">
        <f>IFERROR(VLOOKUP(Товары[[#This Row],[SubGroup]],'Структура цен DIY'!$B:$C,2,FALSE),0)</f>
        <v>0.27</v>
      </c>
      <c r="AY354" s="44">
        <v>0</v>
      </c>
    </row>
    <row r="355" spans="1:51" x14ac:dyDescent="0.25">
      <c r="A355" s="34">
        <v>353</v>
      </c>
      <c r="B355" s="34" t="s">
        <v>56</v>
      </c>
      <c r="C355" s="110" t="str">
        <f>IFERROR(INDEX(Структура_ассортимента[SuperCategory],MATCH(Товары[[#This Row],[SubGroup]],Структура_ассортимента[Subgroup],0)),"")</f>
        <v>A</v>
      </c>
      <c r="D35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5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55" s="110" t="str">
        <f>IFERROR(INDEX(Структура_ассортимента[Product group],MATCH(Товары[[#This Row],[SubGroup]],Структура_ассортимента[Subgroup],0)),"")</f>
        <v>AMT_C</v>
      </c>
      <c r="G355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55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55" s="36">
        <v>9221</v>
      </c>
      <c r="J355" s="36" t="str">
        <f>IFERROR(INDEX(Структура_ассортимента[Generic Name (long)],MATCH(Товары[[#This Row],[SubGroup]],Структура_ассортимента[Subgroup],0)),"")</f>
        <v>GARDEN TOOL SET</v>
      </c>
      <c r="L355" s="36">
        <v>901041201</v>
      </c>
      <c r="M355" s="35" t="s">
        <v>2039</v>
      </c>
      <c r="O355" s="35" t="s">
        <v>4667</v>
      </c>
      <c r="P355" s="37" t="s">
        <v>4668</v>
      </c>
      <c r="Q355" s="34" t="s">
        <v>3549</v>
      </c>
      <c r="R355" s="34" t="s">
        <v>3540</v>
      </c>
      <c r="S355" s="47">
        <v>36434</v>
      </c>
      <c r="T355" s="47">
        <v>0</v>
      </c>
      <c r="U355" s="47">
        <v>0</v>
      </c>
      <c r="V355" s="34">
        <v>4078500316804</v>
      </c>
      <c r="W355" s="34" t="s">
        <v>3703</v>
      </c>
      <c r="X355" s="34" t="s">
        <v>3704</v>
      </c>
      <c r="Y355" s="34" t="s">
        <v>3542</v>
      </c>
      <c r="Z355" s="34">
        <v>5</v>
      </c>
      <c r="AA355" s="34" t="s">
        <v>4669</v>
      </c>
      <c r="AB355" s="34" t="s">
        <v>4669</v>
      </c>
      <c r="AC355" s="34" t="s">
        <v>4670</v>
      </c>
      <c r="AD355" s="34" t="s">
        <v>4670</v>
      </c>
      <c r="AE355" s="34" t="s">
        <v>4671</v>
      </c>
      <c r="AF355" s="34" t="s">
        <v>3942</v>
      </c>
      <c r="AG355" s="34" t="s">
        <v>3800</v>
      </c>
      <c r="AH355" s="34" t="s">
        <v>4672</v>
      </c>
      <c r="AL355" s="34">
        <v>240</v>
      </c>
      <c r="AM355" s="40" t="s">
        <v>9</v>
      </c>
      <c r="AP355" s="34">
        <v>0</v>
      </c>
      <c r="AQ355" s="34">
        <v>1690</v>
      </c>
      <c r="AR355" s="34">
        <v>1014</v>
      </c>
      <c r="AT355" s="44">
        <v>130900</v>
      </c>
      <c r="AU355" s="44"/>
      <c r="AV355" s="46">
        <f>ROUND(Товары[[#This Row],[РРЦ финальная, руб.]]/$AU$1,2)</f>
        <v>0</v>
      </c>
      <c r="AW355" s="45" t="str">
        <f>IFERROR(Товары[[#This Row],[РРЦ, евро]]/Товары[[#This Row],[IRP, Eur]],"-")</f>
        <v>-</v>
      </c>
      <c r="AX355" s="42">
        <f>IFERROR(VLOOKUP(Товары[[#This Row],[SubGroup]],'Структура цен DIY'!$B:$C,2,FALSE),0)</f>
        <v>0.27</v>
      </c>
      <c r="AY355" s="44">
        <v>0</v>
      </c>
    </row>
    <row r="356" spans="1:51" x14ac:dyDescent="0.25">
      <c r="A356" s="34">
        <v>354</v>
      </c>
      <c r="B356" s="34" t="s">
        <v>56</v>
      </c>
      <c r="C356" s="110" t="str">
        <f>IFERROR(INDEX(Структура_ассортимента[SuperCategory],MATCH(Товары[[#This Row],[SubGroup]],Структура_ассортимента[Subgroup],0)),"")</f>
        <v>A</v>
      </c>
      <c r="D35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5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56" s="110" t="str">
        <f>IFERROR(INDEX(Структура_ассортимента[Product group],MATCH(Товары[[#This Row],[SubGroup]],Структура_ассортимента[Subgroup],0)),"")</f>
        <v>AMT_C</v>
      </c>
      <c r="G356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56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56" s="36">
        <v>9221</v>
      </c>
      <c r="J356" s="36" t="str">
        <f>IFERROR(INDEX(Структура_ассортимента[Generic Name (long)],MATCH(Товары[[#This Row],[SubGroup]],Структура_ассортимента[Subgroup],0)),"")</f>
        <v>GARDEN TOOL SET</v>
      </c>
      <c r="L356" s="36">
        <v>901041701</v>
      </c>
      <c r="M356" s="35" t="s">
        <v>2040</v>
      </c>
      <c r="Q356" s="34" t="s">
        <v>3549</v>
      </c>
      <c r="R356" s="34" t="s">
        <v>3540</v>
      </c>
      <c r="S356" s="47">
        <v>36434</v>
      </c>
      <c r="T356" s="47">
        <v>0</v>
      </c>
      <c r="U356" s="47">
        <v>0</v>
      </c>
      <c r="V356" s="34">
        <v>4078500317801</v>
      </c>
      <c r="W356" s="34" t="s">
        <v>3703</v>
      </c>
      <c r="X356" s="34" t="s">
        <v>3704</v>
      </c>
      <c r="Y356" s="34" t="s">
        <v>3542</v>
      </c>
      <c r="Z356" s="34">
        <v>5</v>
      </c>
      <c r="AA356" s="34" t="s">
        <v>3863</v>
      </c>
      <c r="AB356" s="34" t="s">
        <v>3863</v>
      </c>
      <c r="AC356" s="34" t="s">
        <v>4673</v>
      </c>
      <c r="AD356" s="34" t="s">
        <v>4673</v>
      </c>
      <c r="AE356" s="34" t="s">
        <v>4674</v>
      </c>
      <c r="AF356" s="34" t="s">
        <v>3611</v>
      </c>
      <c r="AG356" s="34" t="s">
        <v>3576</v>
      </c>
      <c r="AH356" s="34" t="s">
        <v>4675</v>
      </c>
      <c r="AL356" s="34">
        <v>350</v>
      </c>
      <c r="AM356" s="40" t="s">
        <v>8095</v>
      </c>
      <c r="AT356" s="44">
        <v>0</v>
      </c>
      <c r="AU356" s="44"/>
      <c r="AV356" s="46">
        <f>ROUND(Товары[[#This Row],[РРЦ финальная, руб.]]/$AU$1,2)</f>
        <v>0</v>
      </c>
      <c r="AW356" s="45" t="str">
        <f>IFERROR(Товары[[#This Row],[РРЦ, евро]]/Товары[[#This Row],[IRP, Eur]],"-")</f>
        <v>-</v>
      </c>
      <c r="AX356" s="42">
        <f>IFERROR(VLOOKUP(Товары[[#This Row],[SubGroup]],'Структура цен DIY'!$B:$C,2,FALSE),0)</f>
        <v>0.27</v>
      </c>
      <c r="AY356" s="44">
        <v>0</v>
      </c>
    </row>
    <row r="357" spans="1:51" x14ac:dyDescent="0.25">
      <c r="A357" s="34">
        <v>355</v>
      </c>
      <c r="B357" s="34" t="s">
        <v>56</v>
      </c>
      <c r="C357" s="110" t="str">
        <f>IFERROR(INDEX(Структура_ассортимента[SuperCategory],MATCH(Товары[[#This Row],[SubGroup]],Структура_ассортимента[Subgroup],0)),"")</f>
        <v>A</v>
      </c>
      <c r="D35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5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57" s="110" t="str">
        <f>IFERROR(INDEX(Структура_ассортимента[Product group],MATCH(Товары[[#This Row],[SubGroup]],Структура_ассортимента[Subgroup],0)),"")</f>
        <v>AMT_C</v>
      </c>
      <c r="G357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57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57" s="36">
        <v>9221</v>
      </c>
      <c r="J357" s="36" t="str">
        <f>IFERROR(INDEX(Структура_ассортимента[Generic Name (long)],MATCH(Товары[[#This Row],[SubGroup]],Структура_ассортимента[Subgroup],0)),"")</f>
        <v>GARDEN TOOL SET</v>
      </c>
      <c r="L357" s="36">
        <v>901041301</v>
      </c>
      <c r="M357" s="35" t="s">
        <v>2041</v>
      </c>
      <c r="O357" s="35" t="s">
        <v>4676</v>
      </c>
      <c r="P357" s="37" t="s">
        <v>4677</v>
      </c>
      <c r="Q357" s="34" t="s">
        <v>3652</v>
      </c>
      <c r="R357" s="34" t="s">
        <v>3540</v>
      </c>
      <c r="S357" s="47">
        <v>36434</v>
      </c>
      <c r="T357" s="47">
        <v>0</v>
      </c>
      <c r="U357" s="47">
        <v>0</v>
      </c>
      <c r="V357" s="34">
        <v>4078500317603</v>
      </c>
      <c r="W357" s="34" t="s">
        <v>3703</v>
      </c>
      <c r="X357" s="34" t="s">
        <v>3704</v>
      </c>
      <c r="Y357" s="34" t="s">
        <v>3542</v>
      </c>
      <c r="Z357" s="34">
        <v>5</v>
      </c>
      <c r="AA357" s="34" t="s">
        <v>4678</v>
      </c>
      <c r="AB357" s="34" t="s">
        <v>4678</v>
      </c>
      <c r="AC357" s="34" t="s">
        <v>4519</v>
      </c>
      <c r="AD357" s="34" t="s">
        <v>4519</v>
      </c>
      <c r="AE357" s="34" t="s">
        <v>4679</v>
      </c>
      <c r="AF357" s="34" t="s">
        <v>4680</v>
      </c>
      <c r="AG357" s="34" t="s">
        <v>4681</v>
      </c>
      <c r="AH357" s="34" t="s">
        <v>4682</v>
      </c>
      <c r="AL357" s="34">
        <v>500</v>
      </c>
      <c r="AM357" s="40" t="s">
        <v>9</v>
      </c>
      <c r="AP357" s="34">
        <v>0</v>
      </c>
      <c r="AQ357" s="34">
        <v>1190</v>
      </c>
      <c r="AR357" s="34">
        <v>714</v>
      </c>
      <c r="AT357" s="44">
        <v>92200</v>
      </c>
      <c r="AU357" s="44"/>
      <c r="AV357" s="46">
        <f>ROUND(Товары[[#This Row],[РРЦ финальная, руб.]]/$AU$1,2)</f>
        <v>0</v>
      </c>
      <c r="AW357" s="45" t="str">
        <f>IFERROR(Товары[[#This Row],[РРЦ, евро]]/Товары[[#This Row],[IRP, Eur]],"-")</f>
        <v>-</v>
      </c>
      <c r="AX357" s="42">
        <f>IFERROR(VLOOKUP(Товары[[#This Row],[SubGroup]],'Структура цен DIY'!$B:$C,2,FALSE),0)</f>
        <v>0.27</v>
      </c>
      <c r="AY357" s="44">
        <v>0</v>
      </c>
    </row>
    <row r="358" spans="1:51" x14ac:dyDescent="0.25">
      <c r="A358" s="34">
        <v>356</v>
      </c>
      <c r="B358" s="34" t="s">
        <v>56</v>
      </c>
      <c r="C358" s="110" t="str">
        <f>IFERROR(INDEX(Структура_ассортимента[SuperCategory],MATCH(Товары[[#This Row],[SubGroup]],Структура_ассортимента[Subgroup],0)),"")</f>
        <v>A</v>
      </c>
      <c r="D35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5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58" s="110" t="str">
        <f>IFERROR(INDEX(Структура_ассортимента[Product group],MATCH(Товары[[#This Row],[SubGroup]],Структура_ассортимента[Subgroup],0)),"")</f>
        <v>AMT_C</v>
      </c>
      <c r="G358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58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58" s="36">
        <v>9221</v>
      </c>
      <c r="J358" s="36" t="str">
        <f>IFERROR(INDEX(Структура_ассортимента[Generic Name (long)],MATCH(Товары[[#This Row],[SubGroup]],Структура_ассортимента[Subgroup],0)),"")</f>
        <v>GARDEN TOOL SET</v>
      </c>
      <c r="L358" s="36">
        <v>901041501</v>
      </c>
      <c r="M358" s="35" t="s">
        <v>2042</v>
      </c>
      <c r="Q358" s="34" t="s">
        <v>3549</v>
      </c>
      <c r="R358" s="34" t="s">
        <v>3540</v>
      </c>
      <c r="S358" s="47">
        <v>36434</v>
      </c>
      <c r="T358" s="47">
        <v>0</v>
      </c>
      <c r="U358" s="47">
        <v>0</v>
      </c>
      <c r="V358" s="34">
        <v>4078500317702</v>
      </c>
      <c r="W358" s="34" t="s">
        <v>3703</v>
      </c>
      <c r="X358" s="34" t="s">
        <v>3704</v>
      </c>
      <c r="Y358" s="34" t="s">
        <v>3542</v>
      </c>
      <c r="Z358" s="34">
        <v>5</v>
      </c>
      <c r="AA358" s="34" t="s">
        <v>4683</v>
      </c>
      <c r="AB358" s="34" t="s">
        <v>4683</v>
      </c>
      <c r="AC358" s="34" t="s">
        <v>4684</v>
      </c>
      <c r="AD358" s="34" t="s">
        <v>4684</v>
      </c>
      <c r="AE358" s="34" t="s">
        <v>3590</v>
      </c>
      <c r="AF358" s="34" t="s">
        <v>4629</v>
      </c>
      <c r="AG358" s="34" t="s">
        <v>3800</v>
      </c>
      <c r="AH358" s="34" t="s">
        <v>4685</v>
      </c>
      <c r="AL358" s="34">
        <v>440</v>
      </c>
      <c r="AM358" s="40" t="s">
        <v>8095</v>
      </c>
      <c r="AT358" s="44">
        <v>0</v>
      </c>
      <c r="AU358" s="44"/>
      <c r="AV358" s="46">
        <f>ROUND(Товары[[#This Row],[РРЦ финальная, руб.]]/$AU$1,2)</f>
        <v>0</v>
      </c>
      <c r="AW358" s="45" t="str">
        <f>IFERROR(Товары[[#This Row],[РРЦ, евро]]/Товары[[#This Row],[IRP, Eur]],"-")</f>
        <v>-</v>
      </c>
      <c r="AX358" s="42">
        <f>IFERROR(VLOOKUP(Товары[[#This Row],[SubGroup]],'Структура цен DIY'!$B:$C,2,FALSE),0)</f>
        <v>0.27</v>
      </c>
      <c r="AY358" s="44">
        <v>0</v>
      </c>
    </row>
    <row r="359" spans="1:51" x14ac:dyDescent="0.25">
      <c r="A359" s="34">
        <v>357</v>
      </c>
      <c r="B359" s="34" t="s">
        <v>56</v>
      </c>
      <c r="C359" s="110" t="str">
        <f>IFERROR(INDEX(Структура_ассортимента[SuperCategory],MATCH(Товары[[#This Row],[SubGroup]],Структура_ассортимента[Subgroup],0)),"")</f>
        <v>A</v>
      </c>
      <c r="D35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5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59" s="110" t="str">
        <f>IFERROR(INDEX(Структура_ассортимента[Product group],MATCH(Товары[[#This Row],[SubGroup]],Структура_ассортимента[Subgroup],0)),"")</f>
        <v>AMT_C</v>
      </c>
      <c r="G359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59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59" s="36">
        <v>9221</v>
      </c>
      <c r="J359" s="36" t="str">
        <f>IFERROR(INDEX(Структура_ассортимента[Generic Name (long)],MATCH(Товары[[#This Row],[SubGroup]],Структура_ассортимента[Subgroup],0)),"")</f>
        <v>GARDEN TOOL SET</v>
      </c>
      <c r="L359" s="36">
        <v>901041901</v>
      </c>
      <c r="M359" s="35" t="s">
        <v>2043</v>
      </c>
      <c r="O359" s="35" t="s">
        <v>4686</v>
      </c>
      <c r="P359" s="37" t="s">
        <v>4687</v>
      </c>
      <c r="Q359" s="34" t="s">
        <v>3549</v>
      </c>
      <c r="R359" s="34" t="s">
        <v>3540</v>
      </c>
      <c r="S359" s="47">
        <v>36434</v>
      </c>
      <c r="T359" s="47">
        <v>0</v>
      </c>
      <c r="U359" s="47">
        <v>0</v>
      </c>
      <c r="V359" s="34">
        <v>4078500317900</v>
      </c>
      <c r="W359" s="34" t="s">
        <v>3703</v>
      </c>
      <c r="X359" s="34" t="s">
        <v>3704</v>
      </c>
      <c r="Y359" s="34" t="s">
        <v>3542</v>
      </c>
      <c r="Z359" s="34">
        <v>5</v>
      </c>
      <c r="AA359" s="34" t="s">
        <v>4539</v>
      </c>
      <c r="AB359" s="34" t="s">
        <v>4539</v>
      </c>
      <c r="AC359" s="34" t="s">
        <v>3861</v>
      </c>
      <c r="AD359" s="34" t="s">
        <v>3861</v>
      </c>
      <c r="AE359" s="34" t="s">
        <v>4688</v>
      </c>
      <c r="AF359" s="34" t="s">
        <v>4689</v>
      </c>
      <c r="AG359" s="34" t="s">
        <v>4569</v>
      </c>
      <c r="AH359" s="34" t="s">
        <v>4690</v>
      </c>
      <c r="AL359" s="34">
        <v>270</v>
      </c>
      <c r="AM359" s="40" t="s">
        <v>9</v>
      </c>
      <c r="AP359" s="34">
        <v>0</v>
      </c>
      <c r="AQ359" s="34">
        <v>1590</v>
      </c>
      <c r="AR359" s="34">
        <v>954</v>
      </c>
      <c r="AT359" s="44">
        <v>123200</v>
      </c>
      <c r="AU359" s="44"/>
      <c r="AV359" s="46">
        <f>ROUND(Товары[[#This Row],[РРЦ финальная, руб.]]/$AU$1,2)</f>
        <v>0</v>
      </c>
      <c r="AW359" s="45" t="str">
        <f>IFERROR(Товары[[#This Row],[РРЦ, евро]]/Товары[[#This Row],[IRP, Eur]],"-")</f>
        <v>-</v>
      </c>
      <c r="AX359" s="42">
        <f>IFERROR(VLOOKUP(Товары[[#This Row],[SubGroup]],'Структура цен DIY'!$B:$C,2,FALSE),0)</f>
        <v>0.27</v>
      </c>
      <c r="AY359" s="44">
        <v>0</v>
      </c>
    </row>
    <row r="360" spans="1:51" x14ac:dyDescent="0.25">
      <c r="A360" s="34">
        <v>358</v>
      </c>
      <c r="B360" s="34" t="s">
        <v>56</v>
      </c>
      <c r="C360" s="110" t="str">
        <f>IFERROR(INDEX(Структура_ассортимента[SuperCategory],MATCH(Товары[[#This Row],[SubGroup]],Структура_ассортимента[Subgroup],0)),"")</f>
        <v>A</v>
      </c>
      <c r="D36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6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60" s="110" t="str">
        <f>IFERROR(INDEX(Структура_ассортимента[Product group],MATCH(Товары[[#This Row],[SubGroup]],Структура_ассортимента[Subgroup],0)),"")</f>
        <v>AMT_C</v>
      </c>
      <c r="G360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60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60" s="36">
        <v>9221</v>
      </c>
      <c r="J360" s="36" t="str">
        <f>IFERROR(INDEX(Структура_ассортимента[Generic Name (long)],MATCH(Товары[[#This Row],[SubGroup]],Структура_ассортимента[Subgroup],0)),"")</f>
        <v>GARDEN TOOL SET</v>
      </c>
      <c r="L360" s="36">
        <v>901042201</v>
      </c>
      <c r="M360" s="35" t="s">
        <v>2044</v>
      </c>
      <c r="Q360" s="34" t="s">
        <v>3549</v>
      </c>
      <c r="R360" s="34" t="s">
        <v>3540</v>
      </c>
      <c r="S360" s="47">
        <v>36434</v>
      </c>
      <c r="T360" s="47">
        <v>0</v>
      </c>
      <c r="U360" s="47">
        <v>0</v>
      </c>
      <c r="V360" s="34">
        <v>4078500318501</v>
      </c>
      <c r="W360" s="34" t="s">
        <v>3703</v>
      </c>
      <c r="X360" s="34" t="s">
        <v>3704</v>
      </c>
      <c r="Y360" s="34" t="s">
        <v>3542</v>
      </c>
      <c r="Z360" s="34">
        <v>5</v>
      </c>
      <c r="AA360" s="34" t="s">
        <v>4485</v>
      </c>
      <c r="AB360" s="34" t="s">
        <v>4485</v>
      </c>
      <c r="AC360" s="34" t="s">
        <v>4180</v>
      </c>
      <c r="AD360" s="34" t="s">
        <v>4180</v>
      </c>
      <c r="AE360" s="34" t="s">
        <v>3939</v>
      </c>
      <c r="AF360" s="34" t="s">
        <v>3765</v>
      </c>
      <c r="AG360" s="34" t="s">
        <v>4324</v>
      </c>
      <c r="AH360" s="34" t="s">
        <v>4691</v>
      </c>
      <c r="AL360" s="34">
        <v>800</v>
      </c>
      <c r="AM360" s="40" t="s">
        <v>8095</v>
      </c>
      <c r="AT360" s="44">
        <v>0</v>
      </c>
      <c r="AU360" s="44"/>
      <c r="AV360" s="46">
        <f>ROUND(Товары[[#This Row],[РРЦ финальная, руб.]]/$AU$1,2)</f>
        <v>0</v>
      </c>
      <c r="AW360" s="45" t="str">
        <f>IFERROR(Товары[[#This Row],[РРЦ, евро]]/Товары[[#This Row],[IRP, Eur]],"-")</f>
        <v>-</v>
      </c>
      <c r="AX360" s="42">
        <f>IFERROR(VLOOKUP(Товары[[#This Row],[SubGroup]],'Структура цен DIY'!$B:$C,2,FALSE),0)</f>
        <v>0.27</v>
      </c>
      <c r="AY360" s="44">
        <v>0</v>
      </c>
    </row>
    <row r="361" spans="1:51" x14ac:dyDescent="0.25">
      <c r="A361" s="34">
        <v>359</v>
      </c>
      <c r="B361" s="34" t="s">
        <v>56</v>
      </c>
      <c r="C361" s="110" t="str">
        <f>IFERROR(INDEX(Структура_ассортимента[SuperCategory],MATCH(Товары[[#This Row],[SubGroup]],Структура_ассортимента[Subgroup],0)),"")</f>
        <v>A</v>
      </c>
      <c r="D36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6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61" s="110" t="str">
        <f>IFERROR(INDEX(Структура_ассортимента[Product group],MATCH(Товары[[#This Row],[SubGroup]],Структура_ассортимента[Subgroup],0)),"")</f>
        <v>AMT_C</v>
      </c>
      <c r="G361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61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61" s="36">
        <v>9221</v>
      </c>
      <c r="J361" s="36" t="str">
        <f>IFERROR(INDEX(Структура_ассортимента[Generic Name (long)],MATCH(Товары[[#This Row],[SubGroup]],Структура_ассортимента[Subgroup],0)),"")</f>
        <v>GARDEN TOOL SET</v>
      </c>
      <c r="L361" s="36">
        <v>901042101</v>
      </c>
      <c r="M361" s="35" t="s">
        <v>2045</v>
      </c>
      <c r="Q361" s="34" t="s">
        <v>3652</v>
      </c>
      <c r="R361" s="34" t="s">
        <v>3540</v>
      </c>
      <c r="S361" s="47">
        <v>36434</v>
      </c>
      <c r="T361" s="47">
        <v>0</v>
      </c>
      <c r="U361" s="47">
        <v>0</v>
      </c>
      <c r="V361" s="34">
        <v>4078500318402</v>
      </c>
      <c r="W361" s="34" t="s">
        <v>3703</v>
      </c>
      <c r="X361" s="34" t="s">
        <v>3704</v>
      </c>
      <c r="Y361" s="34" t="s">
        <v>3542</v>
      </c>
      <c r="Z361" s="34">
        <v>5</v>
      </c>
      <c r="AA361" s="34" t="s">
        <v>4152</v>
      </c>
      <c r="AB361" s="34" t="s">
        <v>4152</v>
      </c>
      <c r="AC361" s="34" t="s">
        <v>4140</v>
      </c>
      <c r="AD361" s="34" t="s">
        <v>4140</v>
      </c>
      <c r="AE361" s="34" t="s">
        <v>4588</v>
      </c>
      <c r="AF361" s="34" t="s">
        <v>3765</v>
      </c>
      <c r="AG361" s="34" t="s">
        <v>4184</v>
      </c>
      <c r="AH361" s="34" t="s">
        <v>4692</v>
      </c>
      <c r="AL361" s="34">
        <v>945</v>
      </c>
      <c r="AM361" s="40" t="s">
        <v>8095</v>
      </c>
      <c r="AT361" s="44">
        <v>0</v>
      </c>
      <c r="AU361" s="44"/>
      <c r="AV361" s="46">
        <f>ROUND(Товары[[#This Row],[РРЦ финальная, руб.]]/$AU$1,2)</f>
        <v>0</v>
      </c>
      <c r="AW361" s="45" t="str">
        <f>IFERROR(Товары[[#This Row],[РРЦ, евро]]/Товары[[#This Row],[IRP, Eur]],"-")</f>
        <v>-</v>
      </c>
      <c r="AX361" s="42">
        <f>IFERROR(VLOOKUP(Товары[[#This Row],[SubGroup]],'Структура цен DIY'!$B:$C,2,FALSE),0)</f>
        <v>0.27</v>
      </c>
      <c r="AY361" s="44">
        <v>0</v>
      </c>
    </row>
    <row r="362" spans="1:51" x14ac:dyDescent="0.25">
      <c r="A362" s="34">
        <v>360</v>
      </c>
      <c r="B362" s="34" t="s">
        <v>56</v>
      </c>
      <c r="C362" s="110" t="str">
        <f>IFERROR(INDEX(Структура_ассортимента[SuperCategory],MATCH(Товары[[#This Row],[SubGroup]],Структура_ассортимента[Subgroup],0)),"")</f>
        <v>A</v>
      </c>
      <c r="D36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6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62" s="110" t="str">
        <f>IFERROR(INDEX(Структура_ассортимента[Product group],MATCH(Товары[[#This Row],[SubGroup]],Структура_ассортимента[Subgroup],0)),"")</f>
        <v>AMT_C</v>
      </c>
      <c r="G362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62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62" s="36">
        <v>9221</v>
      </c>
      <c r="J362" s="36" t="str">
        <f>IFERROR(INDEX(Структура_ассортимента[Generic Name (long)],MATCH(Товары[[#This Row],[SubGroup]],Структура_ассортимента[Subgroup],0)),"")</f>
        <v>GARDEN TOOL SET</v>
      </c>
      <c r="L362" s="36">
        <v>901034801</v>
      </c>
      <c r="M362" s="35" t="s">
        <v>2046</v>
      </c>
      <c r="O362" s="35" t="s">
        <v>4693</v>
      </c>
      <c r="P362" s="37" t="s">
        <v>4694</v>
      </c>
      <c r="Q362" s="34" t="s">
        <v>3549</v>
      </c>
      <c r="R362" s="34" t="s">
        <v>3540</v>
      </c>
      <c r="S362" s="47">
        <v>33512</v>
      </c>
      <c r="T362" s="47">
        <v>0</v>
      </c>
      <c r="U362" s="47">
        <v>0</v>
      </c>
      <c r="V362" s="34">
        <v>4078500302401</v>
      </c>
      <c r="W362" s="34" t="s">
        <v>3543</v>
      </c>
      <c r="X362" s="34" t="s">
        <v>3579</v>
      </c>
      <c r="Y362" s="34" t="s">
        <v>3542</v>
      </c>
      <c r="Z362" s="34">
        <v>20</v>
      </c>
      <c r="AA362" s="34" t="s">
        <v>4695</v>
      </c>
      <c r="AB362" s="34" t="s">
        <v>4695</v>
      </c>
      <c r="AC362" s="34" t="s">
        <v>3598</v>
      </c>
      <c r="AD362" s="34" t="s">
        <v>3598</v>
      </c>
      <c r="AE362" s="34" t="s">
        <v>4591</v>
      </c>
      <c r="AF362" s="34" t="s">
        <v>4629</v>
      </c>
      <c r="AG362" s="34" t="s">
        <v>3800</v>
      </c>
      <c r="AH362" s="34" t="s">
        <v>4696</v>
      </c>
      <c r="AL362" s="34">
        <v>60</v>
      </c>
      <c r="AM362" s="40" t="s">
        <v>9</v>
      </c>
      <c r="AP362" s="34">
        <v>0</v>
      </c>
      <c r="AQ362" s="34">
        <v>1790</v>
      </c>
      <c r="AR362" s="34">
        <v>1193</v>
      </c>
      <c r="AT362" s="44">
        <v>138600</v>
      </c>
      <c r="AU362" s="44"/>
      <c r="AV362" s="46">
        <f>ROUND(Товары[[#This Row],[РРЦ финальная, руб.]]/$AU$1,2)</f>
        <v>0</v>
      </c>
      <c r="AW362" s="45" t="str">
        <f>IFERROR(Товары[[#This Row],[РРЦ, евро]]/Товары[[#This Row],[IRP, Eur]],"-")</f>
        <v>-</v>
      </c>
      <c r="AX362" s="42">
        <f>IFERROR(VLOOKUP(Товары[[#This Row],[SubGroup]],'Структура цен DIY'!$B:$C,2,FALSE),0)</f>
        <v>0.27</v>
      </c>
      <c r="AY362" s="44">
        <v>0</v>
      </c>
    </row>
    <row r="363" spans="1:51" x14ac:dyDescent="0.25">
      <c r="A363" s="34">
        <v>361</v>
      </c>
      <c r="B363" s="34" t="s">
        <v>56</v>
      </c>
      <c r="C363" s="110" t="str">
        <f>IFERROR(INDEX(Структура_ассортимента[SuperCategory],MATCH(Товары[[#This Row],[SubGroup]],Структура_ассортимента[Subgroup],0)),"")</f>
        <v>A</v>
      </c>
      <c r="D36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6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63" s="110" t="str">
        <f>IFERROR(INDEX(Структура_ассортимента[Product group],MATCH(Товары[[#This Row],[SubGroup]],Структура_ассортимента[Subgroup],0)),"")</f>
        <v>AMT_C</v>
      </c>
      <c r="G363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63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63" s="36">
        <v>9221</v>
      </c>
      <c r="J363" s="36" t="str">
        <f>IFERROR(INDEX(Структура_ассортимента[Generic Name (long)],MATCH(Товары[[#This Row],[SubGroup]],Структура_ассортимента[Subgroup],0)),"")</f>
        <v>GARDEN TOOL SET</v>
      </c>
      <c r="L363" s="36">
        <v>901032401</v>
      </c>
      <c r="M363" s="35" t="s">
        <v>2047</v>
      </c>
      <c r="O363" s="35" t="s">
        <v>4697</v>
      </c>
      <c r="P363" s="37" t="s">
        <v>4698</v>
      </c>
      <c r="Q363" s="34" t="s">
        <v>3549</v>
      </c>
      <c r="R363" s="34" t="s">
        <v>3540</v>
      </c>
      <c r="S363" s="47">
        <v>37530</v>
      </c>
      <c r="T363" s="47">
        <v>0</v>
      </c>
      <c r="U363" s="47">
        <v>0</v>
      </c>
      <c r="V363" s="34">
        <v>4078500300407</v>
      </c>
      <c r="W363" s="34" t="s">
        <v>3543</v>
      </c>
      <c r="X363" s="34" t="s">
        <v>3579</v>
      </c>
      <c r="Y363" s="34" t="s">
        <v>3542</v>
      </c>
      <c r="Z363" s="34">
        <v>20</v>
      </c>
      <c r="AA363" s="34" t="s">
        <v>4606</v>
      </c>
      <c r="AB363" s="34" t="s">
        <v>4699</v>
      </c>
      <c r="AC363" s="34" t="s">
        <v>4265</v>
      </c>
      <c r="AD363" s="34" t="s">
        <v>4265</v>
      </c>
      <c r="AE363" s="34" t="s">
        <v>4591</v>
      </c>
      <c r="AF363" s="34" t="s">
        <v>4629</v>
      </c>
      <c r="AG363" s="34" t="s">
        <v>3707</v>
      </c>
      <c r="AH363" s="34" t="s">
        <v>4700</v>
      </c>
      <c r="AL363" s="34" t="s">
        <v>4397</v>
      </c>
      <c r="AM363" s="40" t="s">
        <v>9</v>
      </c>
      <c r="AP363" s="34">
        <v>0</v>
      </c>
      <c r="AQ363" s="34">
        <v>2390</v>
      </c>
      <c r="AR363" s="34">
        <v>1434</v>
      </c>
      <c r="AT363" s="44">
        <v>185100</v>
      </c>
      <c r="AU363" s="44"/>
      <c r="AV363" s="46">
        <f>ROUND(Товары[[#This Row],[РРЦ финальная, руб.]]/$AU$1,2)</f>
        <v>0</v>
      </c>
      <c r="AW363" s="45" t="str">
        <f>IFERROR(Товары[[#This Row],[РРЦ, евро]]/Товары[[#This Row],[IRP, Eur]],"-")</f>
        <v>-</v>
      </c>
      <c r="AX363" s="42">
        <f>IFERROR(VLOOKUP(Товары[[#This Row],[SubGroup]],'Структура цен DIY'!$B:$C,2,FALSE),0)</f>
        <v>0.27</v>
      </c>
      <c r="AY363" s="44">
        <v>0</v>
      </c>
    </row>
    <row r="364" spans="1:51" x14ac:dyDescent="0.25">
      <c r="A364" s="34">
        <v>362</v>
      </c>
      <c r="B364" s="34" t="s">
        <v>56</v>
      </c>
      <c r="C364" s="110" t="str">
        <f>IFERROR(INDEX(Структура_ассортимента[SuperCategory],MATCH(Товары[[#This Row],[SubGroup]],Структура_ассортимента[Subgroup],0)),"")</f>
        <v>A</v>
      </c>
      <c r="D36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6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64" s="110" t="str">
        <f>IFERROR(INDEX(Структура_ассортимента[Product group],MATCH(Товары[[#This Row],[SubGroup]],Структура_ассортимента[Subgroup],0)),"")</f>
        <v>AMT_C</v>
      </c>
      <c r="G364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64" s="110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64" s="36">
        <v>9222</v>
      </c>
      <c r="J364" s="36" t="str">
        <f>IFERROR(INDEX(Структура_ассортимента[Generic Name (long)],MATCH(Товары[[#This Row],[SubGroup]],Структура_ассортимента[Subgroup],0)),"")</f>
        <v>GARDEN TOOL SET</v>
      </c>
      <c r="L364" s="36">
        <v>901034701</v>
      </c>
      <c r="M364" s="35" t="s">
        <v>2048</v>
      </c>
      <c r="O364" s="35" t="s">
        <v>4701</v>
      </c>
      <c r="P364" s="37" t="s">
        <v>4702</v>
      </c>
      <c r="Q364" s="34" t="s">
        <v>3549</v>
      </c>
      <c r="R364" s="34" t="s">
        <v>3540</v>
      </c>
      <c r="S364" s="47">
        <v>33512</v>
      </c>
      <c r="T364" s="47">
        <v>0</v>
      </c>
      <c r="U364" s="47">
        <v>0</v>
      </c>
      <c r="V364" s="34">
        <v>4078500302203</v>
      </c>
      <c r="W364" s="34" t="s">
        <v>3543</v>
      </c>
      <c r="X364" s="34" t="s">
        <v>3579</v>
      </c>
      <c r="Y364" s="34" t="s">
        <v>3542</v>
      </c>
      <c r="Z364" s="34">
        <v>20</v>
      </c>
      <c r="AA364" s="34" t="s">
        <v>3962</v>
      </c>
      <c r="AB364" s="34" t="s">
        <v>3962</v>
      </c>
      <c r="AC364" s="34" t="s">
        <v>3573</v>
      </c>
      <c r="AD364" s="34" t="s">
        <v>3573</v>
      </c>
      <c r="AE364" s="34" t="s">
        <v>4591</v>
      </c>
      <c r="AF364" s="34" t="s">
        <v>4703</v>
      </c>
      <c r="AG364" s="34" t="s">
        <v>4549</v>
      </c>
      <c r="AH364" s="34" t="s">
        <v>4704</v>
      </c>
      <c r="AL364" s="34">
        <v>60</v>
      </c>
      <c r="AM364" s="40" t="s">
        <v>9</v>
      </c>
      <c r="AP364" s="34">
        <v>0</v>
      </c>
      <c r="AQ364" s="34">
        <v>2190</v>
      </c>
      <c r="AR364" s="34">
        <v>1460</v>
      </c>
      <c r="AT364" s="44">
        <v>169600</v>
      </c>
      <c r="AU364" s="44"/>
      <c r="AV364" s="46">
        <f>ROUND(Товары[[#This Row],[РРЦ финальная, руб.]]/$AU$1,2)</f>
        <v>0</v>
      </c>
      <c r="AW364" s="45" t="str">
        <f>IFERROR(Товары[[#This Row],[РРЦ, евро]]/Товары[[#This Row],[IRP, Eur]],"-")</f>
        <v>-</v>
      </c>
      <c r="AX364" s="42">
        <f>IFERROR(VLOOKUP(Товары[[#This Row],[SubGroup]],'Структура цен DIY'!$B:$C,2,FALSE),0)</f>
        <v>0.27</v>
      </c>
      <c r="AY364" s="44">
        <v>0</v>
      </c>
    </row>
    <row r="365" spans="1:51" x14ac:dyDescent="0.25">
      <c r="A365" s="34">
        <v>363</v>
      </c>
      <c r="B365" s="34" t="s">
        <v>56</v>
      </c>
      <c r="C365" s="110" t="str">
        <f>IFERROR(INDEX(Структура_ассортимента[SuperCategory],MATCH(Товары[[#This Row],[SubGroup]],Структура_ассортимента[Subgroup],0)),"")</f>
        <v>A</v>
      </c>
      <c r="D36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6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65" s="110" t="str">
        <f>IFERROR(INDEX(Структура_ассортимента[Product group],MATCH(Товары[[#This Row],[SubGroup]],Структура_ассортимента[Subgroup],0)),"")</f>
        <v>AMT_C</v>
      </c>
      <c r="G365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65" s="110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65" s="36">
        <v>9222</v>
      </c>
      <c r="J365" s="36" t="str">
        <f>IFERROR(INDEX(Структура_ассортимента[Generic Name (long)],MATCH(Товары[[#This Row],[SubGroup]],Структура_ассортимента[Subgroup],0)),"")</f>
        <v>GARDEN TOOL SET</v>
      </c>
      <c r="L365" s="36">
        <v>901038301</v>
      </c>
      <c r="M365" s="35" t="s">
        <v>2049</v>
      </c>
      <c r="O365" s="35" t="s">
        <v>4705</v>
      </c>
      <c r="P365" s="37" t="s">
        <v>4706</v>
      </c>
      <c r="Q365" s="34" t="s">
        <v>3549</v>
      </c>
      <c r="R365" s="34" t="s">
        <v>3540</v>
      </c>
      <c r="S365" s="47">
        <v>36434</v>
      </c>
      <c r="T365" s="47">
        <v>0</v>
      </c>
      <c r="U365" s="47">
        <v>0</v>
      </c>
      <c r="V365" s="34">
        <v>4078500310000</v>
      </c>
      <c r="W365" s="34" t="s">
        <v>3703</v>
      </c>
      <c r="X365" s="34" t="s">
        <v>3704</v>
      </c>
      <c r="Y365" s="34" t="s">
        <v>3542</v>
      </c>
      <c r="Z365" s="34">
        <v>5</v>
      </c>
      <c r="AA365" s="34" t="s">
        <v>4707</v>
      </c>
      <c r="AB365" s="34" t="s">
        <v>4707</v>
      </c>
      <c r="AC365" s="34" t="s">
        <v>4708</v>
      </c>
      <c r="AD365" s="34" t="s">
        <v>4708</v>
      </c>
      <c r="AE365" s="34" t="s">
        <v>4457</v>
      </c>
      <c r="AF365" s="34" t="s">
        <v>3852</v>
      </c>
      <c r="AG365" s="34" t="s">
        <v>4569</v>
      </c>
      <c r="AH365" s="34" t="s">
        <v>4709</v>
      </c>
      <c r="AL365" s="34">
        <v>140</v>
      </c>
      <c r="AM365" s="40" t="s">
        <v>9</v>
      </c>
      <c r="AP365" s="34">
        <v>0</v>
      </c>
      <c r="AQ365" s="34">
        <v>1790</v>
      </c>
      <c r="AR365" s="34">
        <v>1074</v>
      </c>
      <c r="AT365" s="44">
        <v>138600</v>
      </c>
      <c r="AU365" s="44"/>
      <c r="AV365" s="46">
        <f>ROUND(Товары[[#This Row],[РРЦ финальная, руб.]]/$AU$1,2)</f>
        <v>0</v>
      </c>
      <c r="AW365" s="45" t="str">
        <f>IFERROR(Товары[[#This Row],[РРЦ, евро]]/Товары[[#This Row],[IRP, Eur]],"-")</f>
        <v>-</v>
      </c>
      <c r="AX365" s="42">
        <f>IFERROR(VLOOKUP(Товары[[#This Row],[SubGroup]],'Структура цен DIY'!$B:$C,2,FALSE),0)</f>
        <v>0.27</v>
      </c>
      <c r="AY365" s="44">
        <v>0</v>
      </c>
    </row>
    <row r="366" spans="1:51" x14ac:dyDescent="0.25">
      <c r="A366" s="34">
        <v>364</v>
      </c>
      <c r="B366" s="34" t="s">
        <v>56</v>
      </c>
      <c r="C366" s="110" t="str">
        <f>IFERROR(INDEX(Структура_ассортимента[SuperCategory],MATCH(Товары[[#This Row],[SubGroup]],Структура_ассортимента[Subgroup],0)),"")</f>
        <v>A</v>
      </c>
      <c r="D36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6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66" s="110" t="str">
        <f>IFERROR(INDEX(Структура_ассортимента[Product group],MATCH(Товары[[#This Row],[SubGroup]],Структура_ассортимента[Subgroup],0)),"")</f>
        <v>AMT_C</v>
      </c>
      <c r="G366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66" s="110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66" s="36">
        <v>9222</v>
      </c>
      <c r="J366" s="36" t="str">
        <f>IFERROR(INDEX(Структура_ассортимента[Generic Name (long)],MATCH(Товары[[#This Row],[SubGroup]],Структура_ассортимента[Subgroup],0)),"")</f>
        <v>GARDEN TOOL SET</v>
      </c>
      <c r="L366" s="36">
        <v>901038701</v>
      </c>
      <c r="M366" s="35" t="s">
        <v>2050</v>
      </c>
      <c r="Q366" s="34" t="s">
        <v>3549</v>
      </c>
      <c r="R366" s="34" t="s">
        <v>3540</v>
      </c>
      <c r="S366" s="47">
        <v>36434</v>
      </c>
      <c r="T366" s="47">
        <v>0</v>
      </c>
      <c r="U366" s="47">
        <v>0</v>
      </c>
      <c r="V366" s="34">
        <v>4078500310208</v>
      </c>
      <c r="W366" s="34" t="s">
        <v>3703</v>
      </c>
      <c r="X366" s="34" t="s">
        <v>3704</v>
      </c>
      <c r="Y366" s="34" t="s">
        <v>3542</v>
      </c>
      <c r="Z366" s="34">
        <v>5</v>
      </c>
      <c r="AA366" s="34" t="s">
        <v>3622</v>
      </c>
      <c r="AB366" s="34" t="s">
        <v>3622</v>
      </c>
      <c r="AC366" s="34" t="s">
        <v>4710</v>
      </c>
      <c r="AD366" s="34" t="s">
        <v>4710</v>
      </c>
      <c r="AE366" s="34" t="s">
        <v>4457</v>
      </c>
      <c r="AF366" s="34" t="s">
        <v>4703</v>
      </c>
      <c r="AG366" s="34" t="s">
        <v>4549</v>
      </c>
      <c r="AH366" s="34" t="s">
        <v>4711</v>
      </c>
      <c r="AL366" s="34">
        <v>130</v>
      </c>
      <c r="AM366" s="40" t="s">
        <v>8095</v>
      </c>
      <c r="AT366" s="44">
        <v>0</v>
      </c>
      <c r="AU366" s="44"/>
      <c r="AV366" s="46">
        <f>ROUND(Товары[[#This Row],[РРЦ финальная, руб.]]/$AU$1,2)</f>
        <v>0</v>
      </c>
      <c r="AW366" s="45" t="str">
        <f>IFERROR(Товары[[#This Row],[РРЦ, евро]]/Товары[[#This Row],[IRP, Eur]],"-")</f>
        <v>-</v>
      </c>
      <c r="AX366" s="42">
        <f>IFERROR(VLOOKUP(Товары[[#This Row],[SubGroup]],'Структура цен DIY'!$B:$C,2,FALSE),0)</f>
        <v>0.27</v>
      </c>
      <c r="AY366" s="44">
        <v>0</v>
      </c>
    </row>
    <row r="367" spans="1:51" x14ac:dyDescent="0.25">
      <c r="A367" s="34">
        <v>365</v>
      </c>
      <c r="B367" s="34" t="s">
        <v>56</v>
      </c>
      <c r="C367" s="110" t="str">
        <f>IFERROR(INDEX(Структура_ассортимента[SuperCategory],MATCH(Товары[[#This Row],[SubGroup]],Структура_ассортимента[Subgroup],0)),"")</f>
        <v>A</v>
      </c>
      <c r="D36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6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67" s="110" t="str">
        <f>IFERROR(INDEX(Структура_ассортимента[Product group],MATCH(Товары[[#This Row],[SubGroup]],Структура_ассортимента[Subgroup],0)),"")</f>
        <v>AMT_C</v>
      </c>
      <c r="G367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67" s="110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67" s="36">
        <v>9222</v>
      </c>
      <c r="J367" s="36" t="str">
        <f>IFERROR(INDEX(Структура_ассортимента[Generic Name (long)],MATCH(Товары[[#This Row],[SubGroup]],Структура_ассортимента[Subgroup],0)),"")</f>
        <v>GARDEN TOOL SET</v>
      </c>
      <c r="L367" s="36">
        <v>901038801</v>
      </c>
      <c r="M367" s="35" t="s">
        <v>2051</v>
      </c>
      <c r="O367" s="35" t="s">
        <v>4712</v>
      </c>
      <c r="P367" s="37" t="s">
        <v>4713</v>
      </c>
      <c r="Q367" s="34" t="s">
        <v>3549</v>
      </c>
      <c r="R367" s="34" t="s">
        <v>3540</v>
      </c>
      <c r="S367" s="47">
        <v>36434</v>
      </c>
      <c r="T367" s="47">
        <v>0</v>
      </c>
      <c r="U367" s="47">
        <v>0</v>
      </c>
      <c r="V367" s="34">
        <v>4078500310307</v>
      </c>
      <c r="W367" s="34" t="s">
        <v>3703</v>
      </c>
      <c r="X367" s="34" t="s">
        <v>3704</v>
      </c>
      <c r="Y367" s="34" t="s">
        <v>3542</v>
      </c>
      <c r="Z367" s="34">
        <v>5</v>
      </c>
      <c r="AA367" s="34" t="s">
        <v>4714</v>
      </c>
      <c r="AB367" s="34" t="s">
        <v>4714</v>
      </c>
      <c r="AC367" s="34" t="s">
        <v>4715</v>
      </c>
      <c r="AD367" s="34" t="s">
        <v>4715</v>
      </c>
      <c r="AE367" s="34" t="s">
        <v>4703</v>
      </c>
      <c r="AF367" s="34" t="s">
        <v>3580</v>
      </c>
      <c r="AG367" s="34" t="s">
        <v>4335</v>
      </c>
      <c r="AH367" s="34" t="s">
        <v>4716</v>
      </c>
      <c r="AI367" s="34" t="s">
        <v>3963</v>
      </c>
      <c r="AJ367" s="34" t="s">
        <v>3707</v>
      </c>
      <c r="AK367" s="34" t="s">
        <v>3590</v>
      </c>
      <c r="AL367" s="34">
        <v>185</v>
      </c>
      <c r="AM367" s="40" t="s">
        <v>9</v>
      </c>
      <c r="AP367" s="34">
        <v>0</v>
      </c>
      <c r="AQ367" s="34">
        <v>2390</v>
      </c>
      <c r="AR367" s="34">
        <v>1434</v>
      </c>
      <c r="AT367" s="44">
        <v>185100</v>
      </c>
      <c r="AU367" s="44"/>
      <c r="AV367" s="46">
        <f>ROUND(Товары[[#This Row],[РРЦ финальная, руб.]]/$AU$1,2)</f>
        <v>0</v>
      </c>
      <c r="AW367" s="45" t="str">
        <f>IFERROR(Товары[[#This Row],[РРЦ, евро]]/Товары[[#This Row],[IRP, Eur]],"-")</f>
        <v>-</v>
      </c>
      <c r="AX367" s="42">
        <f>IFERROR(VLOOKUP(Товары[[#This Row],[SubGroup]],'Структура цен DIY'!$B:$C,2,FALSE),0)</f>
        <v>0.27</v>
      </c>
      <c r="AY367" s="44">
        <v>0</v>
      </c>
    </row>
    <row r="368" spans="1:51" x14ac:dyDescent="0.25">
      <c r="A368" s="34">
        <v>366</v>
      </c>
      <c r="B368" s="34" t="s">
        <v>56</v>
      </c>
      <c r="C368" s="110" t="str">
        <f>IFERROR(INDEX(Структура_ассортимента[SuperCategory],MATCH(Товары[[#This Row],[SubGroup]],Структура_ассортимента[Subgroup],0)),"")</f>
        <v>A</v>
      </c>
      <c r="D36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6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68" s="110" t="str">
        <f>IFERROR(INDEX(Структура_ассортимента[Product group],MATCH(Товары[[#This Row],[SubGroup]],Структура_ассортимента[Subgroup],0)),"")</f>
        <v>AMT_C</v>
      </c>
      <c r="G368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68" s="110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68" s="36">
        <v>9222</v>
      </c>
      <c r="J368" s="36" t="str">
        <f>IFERROR(INDEX(Структура_ассортимента[Generic Name (long)],MATCH(Товары[[#This Row],[SubGroup]],Структура_ассортимента[Subgroup],0)),"")</f>
        <v>GARDEN TOOL SET</v>
      </c>
      <c r="L368" s="36">
        <v>901038501</v>
      </c>
      <c r="M368" s="35" t="s">
        <v>2052</v>
      </c>
      <c r="O368" s="35" t="s">
        <v>4717</v>
      </c>
      <c r="P368" s="37" t="s">
        <v>4718</v>
      </c>
      <c r="Q368" s="34" t="s">
        <v>3549</v>
      </c>
      <c r="R368" s="34" t="s">
        <v>3540</v>
      </c>
      <c r="S368" s="47">
        <v>36434</v>
      </c>
      <c r="T368" s="47">
        <v>0</v>
      </c>
      <c r="U368" s="47">
        <v>0</v>
      </c>
      <c r="V368" s="34">
        <v>4078500310109</v>
      </c>
      <c r="W368" s="34" t="s">
        <v>3541</v>
      </c>
      <c r="X368" s="34" t="s">
        <v>3704</v>
      </c>
      <c r="Y368" s="34" t="s">
        <v>3542</v>
      </c>
      <c r="Z368" s="34">
        <v>5</v>
      </c>
      <c r="AA368" s="34" t="s">
        <v>4150</v>
      </c>
      <c r="AB368" s="34" t="s">
        <v>4150</v>
      </c>
      <c r="AC368" s="34" t="s">
        <v>4719</v>
      </c>
      <c r="AD368" s="34" t="s">
        <v>4719</v>
      </c>
      <c r="AE368" s="34" t="s">
        <v>3852</v>
      </c>
      <c r="AF368" s="34" t="s">
        <v>3662</v>
      </c>
      <c r="AG368" s="34" t="s">
        <v>4720</v>
      </c>
      <c r="AH368" s="34" t="s">
        <v>4721</v>
      </c>
      <c r="AL368" s="34">
        <v>120</v>
      </c>
      <c r="AM368" s="40" t="s">
        <v>9</v>
      </c>
      <c r="AP368" s="34">
        <v>0</v>
      </c>
      <c r="AQ368" s="34">
        <v>1190</v>
      </c>
      <c r="AR368" s="34">
        <v>714</v>
      </c>
      <c r="AT368" s="44">
        <v>92200</v>
      </c>
      <c r="AU368" s="44"/>
      <c r="AV368" s="46">
        <f>ROUND(Товары[[#This Row],[РРЦ финальная, руб.]]/$AU$1,2)</f>
        <v>0</v>
      </c>
      <c r="AW368" s="45" t="str">
        <f>IFERROR(Товары[[#This Row],[РРЦ, евро]]/Товары[[#This Row],[IRP, Eur]],"-")</f>
        <v>-</v>
      </c>
      <c r="AX368" s="42">
        <f>IFERROR(VLOOKUP(Товары[[#This Row],[SubGroup]],'Структура цен DIY'!$B:$C,2,FALSE),0)</f>
        <v>0.27</v>
      </c>
      <c r="AY368" s="44">
        <v>0</v>
      </c>
    </row>
    <row r="369" spans="1:51" x14ac:dyDescent="0.25">
      <c r="A369" s="34">
        <v>367</v>
      </c>
      <c r="B369" s="34" t="s">
        <v>56</v>
      </c>
      <c r="C369" s="110" t="str">
        <f>IFERROR(INDEX(Структура_ассортимента[SuperCategory],MATCH(Товары[[#This Row],[SubGroup]],Структура_ассортимента[Subgroup],0)),"")</f>
        <v>A</v>
      </c>
      <c r="D36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6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69" s="110" t="str">
        <f>IFERROR(INDEX(Структура_ассортимента[Product group],MATCH(Товары[[#This Row],[SubGroup]],Структура_ассортимента[Subgroup],0)),"")</f>
        <v>AMT_C</v>
      </c>
      <c r="G369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69" s="110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69" s="36">
        <v>9222</v>
      </c>
      <c r="J369" s="36" t="str">
        <f>IFERROR(INDEX(Структура_ассортимента[Generic Name (long)],MATCH(Товары[[#This Row],[SubGroup]],Структура_ассортимента[Subgroup],0)),"")</f>
        <v>GARDEN TOOL SET</v>
      </c>
      <c r="L369" s="36">
        <v>901039001</v>
      </c>
      <c r="M369" s="35" t="s">
        <v>2053</v>
      </c>
      <c r="Q369" s="34" t="s">
        <v>3549</v>
      </c>
      <c r="R369" s="34" t="s">
        <v>3540</v>
      </c>
      <c r="S369" s="47">
        <v>33147</v>
      </c>
      <c r="T369" s="47">
        <v>0</v>
      </c>
      <c r="U369" s="47">
        <v>0</v>
      </c>
      <c r="V369" s="34">
        <v>4078500310505</v>
      </c>
      <c r="W369" s="34" t="s">
        <v>3541</v>
      </c>
      <c r="X369" s="34" t="s">
        <v>3704</v>
      </c>
      <c r="Y369" s="34" t="s">
        <v>3542</v>
      </c>
      <c r="Z369" s="34">
        <v>5</v>
      </c>
      <c r="AA369" s="34" t="s">
        <v>4722</v>
      </c>
      <c r="AB369" s="34" t="s">
        <v>4722</v>
      </c>
      <c r="AC369" s="34" t="s">
        <v>4101</v>
      </c>
      <c r="AD369" s="34" t="s">
        <v>4101</v>
      </c>
      <c r="AE369" s="34" t="s">
        <v>4723</v>
      </c>
      <c r="AF369" s="34" t="s">
        <v>3819</v>
      </c>
      <c r="AG369" s="34" t="s">
        <v>4351</v>
      </c>
      <c r="AH369" s="34" t="s">
        <v>4724</v>
      </c>
      <c r="AL369" s="34">
        <v>200</v>
      </c>
      <c r="AM369" s="40" t="s">
        <v>8095</v>
      </c>
      <c r="AT369" s="44">
        <v>0</v>
      </c>
      <c r="AU369" s="44"/>
      <c r="AV369" s="46">
        <f>ROUND(Товары[[#This Row],[РРЦ финальная, руб.]]/$AU$1,2)</f>
        <v>0</v>
      </c>
      <c r="AW369" s="45" t="str">
        <f>IFERROR(Товары[[#This Row],[РРЦ, евро]]/Товары[[#This Row],[IRP, Eur]],"-")</f>
        <v>-</v>
      </c>
      <c r="AX369" s="42">
        <f>IFERROR(VLOOKUP(Товары[[#This Row],[SubGroup]],'Структура цен DIY'!$B:$C,2,FALSE),0)</f>
        <v>0.27</v>
      </c>
      <c r="AY369" s="44">
        <v>0</v>
      </c>
    </row>
    <row r="370" spans="1:51" x14ac:dyDescent="0.25">
      <c r="A370" s="34">
        <v>368</v>
      </c>
      <c r="B370" s="34" t="s">
        <v>56</v>
      </c>
      <c r="C370" s="110" t="str">
        <f>IFERROR(INDEX(Структура_ассортимента[SuperCategory],MATCH(Товары[[#This Row],[SubGroup]],Структура_ассортимента[Subgroup],0)),"")</f>
        <v>A</v>
      </c>
      <c r="D37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7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70" s="110" t="str">
        <f>IFERROR(INDEX(Структура_ассортимента[Product group],MATCH(Товары[[#This Row],[SubGroup]],Структура_ассортимента[Subgroup],0)),"")</f>
        <v>AMT_C</v>
      </c>
      <c r="G370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70" s="110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70" s="36">
        <v>9222</v>
      </c>
      <c r="J370" s="36" t="str">
        <f>IFERROR(INDEX(Структура_ассортимента[Generic Name (long)],MATCH(Товары[[#This Row],[SubGroup]],Структура_ассортимента[Subgroup],0)),"")</f>
        <v>GARDEN TOOL SET</v>
      </c>
      <c r="L370" s="36">
        <v>901044901</v>
      </c>
      <c r="M370" s="35" t="s">
        <v>2054</v>
      </c>
      <c r="O370" s="35" t="s">
        <v>4725</v>
      </c>
      <c r="P370" s="37" t="s">
        <v>4726</v>
      </c>
      <c r="Q370" s="34" t="s">
        <v>3549</v>
      </c>
      <c r="R370" s="34" t="s">
        <v>3540</v>
      </c>
      <c r="S370" s="47">
        <v>36434</v>
      </c>
      <c r="T370" s="47">
        <v>0</v>
      </c>
      <c r="U370" s="47">
        <v>0</v>
      </c>
      <c r="V370" s="34">
        <v>4078500338103</v>
      </c>
      <c r="W370" s="34" t="s">
        <v>3703</v>
      </c>
      <c r="X370" s="34" t="s">
        <v>3704</v>
      </c>
      <c r="Y370" s="34" t="s">
        <v>3542</v>
      </c>
      <c r="Z370" s="34">
        <v>5</v>
      </c>
      <c r="AA370" s="34" t="s">
        <v>4265</v>
      </c>
      <c r="AB370" s="34" t="s">
        <v>4265</v>
      </c>
      <c r="AC370" s="34" t="s">
        <v>3554</v>
      </c>
      <c r="AD370" s="34" t="s">
        <v>3554</v>
      </c>
      <c r="AE370" s="34" t="s">
        <v>4727</v>
      </c>
      <c r="AF370" s="34" t="s">
        <v>4728</v>
      </c>
      <c r="AG370" s="34" t="s">
        <v>4729</v>
      </c>
      <c r="AH370" s="34" t="s">
        <v>4730</v>
      </c>
      <c r="AI370" s="34" t="s">
        <v>3968</v>
      </c>
      <c r="AJ370" s="34" t="s">
        <v>4391</v>
      </c>
      <c r="AK370" s="34" t="s">
        <v>4731</v>
      </c>
      <c r="AL370" s="34">
        <v>120</v>
      </c>
      <c r="AM370" s="40" t="s">
        <v>9</v>
      </c>
      <c r="AP370" s="34">
        <v>0</v>
      </c>
      <c r="AQ370" s="34">
        <v>2490</v>
      </c>
      <c r="AR370" s="34">
        <v>1494</v>
      </c>
      <c r="AT370" s="44">
        <v>192900</v>
      </c>
      <c r="AU370" s="44"/>
      <c r="AV370" s="46">
        <f>ROUND(Товары[[#This Row],[РРЦ финальная, руб.]]/$AU$1,2)</f>
        <v>0</v>
      </c>
      <c r="AW370" s="45" t="str">
        <f>IFERROR(Товары[[#This Row],[РРЦ, евро]]/Товары[[#This Row],[IRP, Eur]],"-")</f>
        <v>-</v>
      </c>
      <c r="AX370" s="42">
        <f>IFERROR(VLOOKUP(Товары[[#This Row],[SubGroup]],'Структура цен DIY'!$B:$C,2,FALSE),0)</f>
        <v>0.27</v>
      </c>
      <c r="AY370" s="44">
        <v>0</v>
      </c>
    </row>
    <row r="371" spans="1:51" x14ac:dyDescent="0.25">
      <c r="A371" s="34">
        <v>369</v>
      </c>
      <c r="B371" s="34" t="s">
        <v>56</v>
      </c>
      <c r="C371" s="110" t="str">
        <f>IFERROR(INDEX(Структура_ассортимента[SuperCategory],MATCH(Товары[[#This Row],[SubGroup]],Структура_ассортимента[Subgroup],0)),"")</f>
        <v>A</v>
      </c>
      <c r="D37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7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71" s="110" t="str">
        <f>IFERROR(INDEX(Структура_ассортимента[Product group],MATCH(Товары[[#This Row],[SubGroup]],Структура_ассортимента[Subgroup],0)),"")</f>
        <v>AMT_C</v>
      </c>
      <c r="G371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71" s="110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71" s="36">
        <v>9222</v>
      </c>
      <c r="J371" s="36" t="str">
        <f>IFERROR(INDEX(Структура_ассортимента[Generic Name (long)],MATCH(Товары[[#This Row],[SubGroup]],Структура_ассортимента[Subgroup],0)),"")</f>
        <v>GARDEN TOOL SET</v>
      </c>
      <c r="L371" s="36">
        <v>901045001</v>
      </c>
      <c r="M371" s="35" t="s">
        <v>2055</v>
      </c>
      <c r="Q371" s="34" t="s">
        <v>3652</v>
      </c>
      <c r="R371" s="34" t="s">
        <v>3540</v>
      </c>
      <c r="S371" s="47">
        <v>36434</v>
      </c>
      <c r="T371" s="47">
        <v>0</v>
      </c>
      <c r="U371" s="47">
        <v>0</v>
      </c>
      <c r="V371" s="34">
        <v>4078500338202</v>
      </c>
      <c r="W371" s="34" t="s">
        <v>3703</v>
      </c>
      <c r="X371" s="34" t="s">
        <v>3704</v>
      </c>
      <c r="Y371" s="34" t="s">
        <v>3542</v>
      </c>
      <c r="Z371" s="34">
        <v>5</v>
      </c>
      <c r="AA371" s="34" t="s">
        <v>3633</v>
      </c>
      <c r="AB371" s="34" t="s">
        <v>3633</v>
      </c>
      <c r="AC371" s="34" t="s">
        <v>4732</v>
      </c>
      <c r="AD371" s="34" t="s">
        <v>4732</v>
      </c>
      <c r="AE371" s="34" t="s">
        <v>4733</v>
      </c>
      <c r="AF371" s="34" t="s">
        <v>3878</v>
      </c>
      <c r="AG371" s="34" t="s">
        <v>3566</v>
      </c>
      <c r="AH371" s="34" t="s">
        <v>4734</v>
      </c>
      <c r="AI371" s="34" t="s">
        <v>3968</v>
      </c>
      <c r="AJ371" s="34" t="s">
        <v>4391</v>
      </c>
      <c r="AK371" s="34" t="s">
        <v>4733</v>
      </c>
      <c r="AL371" s="34">
        <v>100</v>
      </c>
      <c r="AM371" s="40" t="s">
        <v>8095</v>
      </c>
      <c r="AT371" s="44">
        <v>0</v>
      </c>
      <c r="AU371" s="44"/>
      <c r="AV371" s="46">
        <f>ROUND(Товары[[#This Row],[РРЦ финальная, руб.]]/$AU$1,2)</f>
        <v>0</v>
      </c>
      <c r="AW371" s="45" t="str">
        <f>IFERROR(Товары[[#This Row],[РРЦ, евро]]/Товары[[#This Row],[IRP, Eur]],"-")</f>
        <v>-</v>
      </c>
      <c r="AX371" s="42">
        <f>IFERROR(VLOOKUP(Товары[[#This Row],[SubGroup]],'Структура цен DIY'!$B:$C,2,FALSE),0)</f>
        <v>0.27</v>
      </c>
      <c r="AY371" s="44">
        <v>0</v>
      </c>
    </row>
    <row r="372" spans="1:51" x14ac:dyDescent="0.25">
      <c r="A372" s="34">
        <v>370</v>
      </c>
      <c r="B372" s="34" t="s">
        <v>56</v>
      </c>
      <c r="C372" s="110" t="str">
        <f>IFERROR(INDEX(Структура_ассортимента[SuperCategory],MATCH(Товары[[#This Row],[SubGroup]],Структура_ассортимента[Subgroup],0)),"")</f>
        <v>A</v>
      </c>
      <c r="D37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7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72" s="110" t="str">
        <f>IFERROR(INDEX(Структура_ассортимента[Product group],MATCH(Товары[[#This Row],[SubGroup]],Структура_ассортимента[Subgroup],0)),"")</f>
        <v>AMT_C</v>
      </c>
      <c r="G372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72" s="110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72" s="36">
        <v>9222</v>
      </c>
      <c r="J372" s="36" t="str">
        <f>IFERROR(INDEX(Структура_ассортимента[Generic Name (long)],MATCH(Товары[[#This Row],[SubGroup]],Структура_ассортимента[Subgroup],0)),"")</f>
        <v>GARDEN TOOL SET</v>
      </c>
      <c r="L372" s="36">
        <v>901040801</v>
      </c>
      <c r="M372" s="35" t="s">
        <v>2056</v>
      </c>
      <c r="Q372" s="34" t="s">
        <v>3549</v>
      </c>
      <c r="R372" s="34" t="s">
        <v>3540</v>
      </c>
      <c r="S372" s="47">
        <v>36434</v>
      </c>
      <c r="T372" s="47">
        <v>0</v>
      </c>
      <c r="U372" s="47">
        <v>0</v>
      </c>
      <c r="V372" s="34">
        <v>4078500314909</v>
      </c>
      <c r="W372" s="34" t="s">
        <v>3703</v>
      </c>
      <c r="X372" s="34" t="s">
        <v>3704</v>
      </c>
      <c r="Y372" s="34" t="s">
        <v>3542</v>
      </c>
      <c r="Z372" s="34">
        <v>5</v>
      </c>
      <c r="AA372" s="34" t="s">
        <v>4539</v>
      </c>
      <c r="AB372" s="34" t="s">
        <v>4539</v>
      </c>
      <c r="AC372" s="34" t="s">
        <v>3861</v>
      </c>
      <c r="AD372" s="34" t="s">
        <v>3861</v>
      </c>
      <c r="AE372" s="34" t="s">
        <v>4735</v>
      </c>
      <c r="AF372" s="34" t="s">
        <v>4736</v>
      </c>
      <c r="AG372" s="34" t="s">
        <v>3932</v>
      </c>
      <c r="AH372" s="34" t="s">
        <v>4737</v>
      </c>
      <c r="AL372" s="34">
        <v>340</v>
      </c>
      <c r="AM372" s="40" t="s">
        <v>8095</v>
      </c>
      <c r="AT372" s="44">
        <v>0</v>
      </c>
      <c r="AU372" s="44"/>
      <c r="AV372" s="46">
        <f>ROUND(Товары[[#This Row],[РРЦ финальная, руб.]]/$AU$1,2)</f>
        <v>0</v>
      </c>
      <c r="AW372" s="45" t="str">
        <f>IFERROR(Товары[[#This Row],[РРЦ, евро]]/Товары[[#This Row],[IRP, Eur]],"-")</f>
        <v>-</v>
      </c>
      <c r="AX372" s="42">
        <f>IFERROR(VLOOKUP(Товары[[#This Row],[SubGroup]],'Структура цен DIY'!$B:$C,2,FALSE),0)</f>
        <v>0.27</v>
      </c>
      <c r="AY372" s="44">
        <v>0</v>
      </c>
    </row>
    <row r="373" spans="1:51" x14ac:dyDescent="0.25">
      <c r="A373" s="34">
        <v>371</v>
      </c>
      <c r="B373" s="34" t="s">
        <v>56</v>
      </c>
      <c r="C373" s="110" t="str">
        <f>IFERROR(INDEX(Структура_ассортимента[SuperCategory],MATCH(Товары[[#This Row],[SubGroup]],Структура_ассортимента[Subgroup],0)),"")</f>
        <v>A</v>
      </c>
      <c r="D37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7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73" s="110" t="str">
        <f>IFERROR(INDEX(Структура_ассортимента[Product group],MATCH(Товары[[#This Row],[SubGroup]],Структура_ассортимента[Subgroup],0)),"")</f>
        <v>AMT_C</v>
      </c>
      <c r="G373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73" s="110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73" s="36">
        <v>9222</v>
      </c>
      <c r="J373" s="36" t="str">
        <f>IFERROR(INDEX(Структура_ассортимента[Generic Name (long)],MATCH(Товары[[#This Row],[SubGroup]],Структура_ассортимента[Subgroup],0)),"")</f>
        <v>GARDEN TOOL SET</v>
      </c>
      <c r="L373" s="36">
        <v>901045501</v>
      </c>
      <c r="M373" s="35" t="s">
        <v>2057</v>
      </c>
      <c r="O373" s="35" t="s">
        <v>4738</v>
      </c>
      <c r="P373" s="37" t="s">
        <v>4739</v>
      </c>
      <c r="Q373" s="34" t="s">
        <v>3549</v>
      </c>
      <c r="R373" s="34" t="s">
        <v>3540</v>
      </c>
      <c r="S373" s="47">
        <v>36434</v>
      </c>
      <c r="T373" s="47">
        <v>0</v>
      </c>
      <c r="U373" s="47">
        <v>0</v>
      </c>
      <c r="V373" s="34">
        <v>4078500339506</v>
      </c>
      <c r="W373" s="34" t="s">
        <v>3703</v>
      </c>
      <c r="X373" s="34" t="s">
        <v>3704</v>
      </c>
      <c r="Y373" s="34" t="s">
        <v>3542</v>
      </c>
      <c r="Z373" s="34">
        <v>3</v>
      </c>
      <c r="AA373" s="34" t="s">
        <v>4740</v>
      </c>
      <c r="AB373" s="34" t="s">
        <v>4740</v>
      </c>
      <c r="AC373" s="34" t="s">
        <v>3983</v>
      </c>
      <c r="AD373" s="34" t="s">
        <v>3983</v>
      </c>
      <c r="AE373" s="34" t="s">
        <v>4741</v>
      </c>
      <c r="AF373" s="34" t="s">
        <v>4742</v>
      </c>
      <c r="AG373" s="34" t="s">
        <v>4505</v>
      </c>
      <c r="AH373" s="34" t="s">
        <v>4743</v>
      </c>
      <c r="AL373" s="34">
        <v>66</v>
      </c>
      <c r="AM373" s="40" t="s">
        <v>9</v>
      </c>
      <c r="AP373" s="34">
        <v>0</v>
      </c>
      <c r="AQ373" s="34">
        <v>6290</v>
      </c>
      <c r="AR373" s="34">
        <v>3774</v>
      </c>
      <c r="AT373" s="44">
        <v>487200</v>
      </c>
      <c r="AU373" s="44"/>
      <c r="AV373" s="46">
        <f>ROUND(Товары[[#This Row],[РРЦ финальная, руб.]]/$AU$1,2)</f>
        <v>0</v>
      </c>
      <c r="AW373" s="45" t="str">
        <f>IFERROR(Товары[[#This Row],[РРЦ, евро]]/Товары[[#This Row],[IRP, Eur]],"-")</f>
        <v>-</v>
      </c>
      <c r="AX373" s="42">
        <f>IFERROR(VLOOKUP(Товары[[#This Row],[SubGroup]],'Структура цен DIY'!$B:$C,2,FALSE),0)</f>
        <v>0.27</v>
      </c>
      <c r="AY373" s="44">
        <v>0</v>
      </c>
    </row>
    <row r="374" spans="1:51" x14ac:dyDescent="0.25">
      <c r="A374" s="34">
        <v>372</v>
      </c>
      <c r="B374" s="34" t="s">
        <v>56</v>
      </c>
      <c r="C374" s="110" t="str">
        <f>IFERROR(INDEX(Структура_ассортимента[SuperCategory],MATCH(Товары[[#This Row],[SubGroup]],Структура_ассортимента[Subgroup],0)),"")</f>
        <v>A</v>
      </c>
      <c r="D37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7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74" s="110" t="str">
        <f>IFERROR(INDEX(Структура_ассортимента[Product group],MATCH(Товары[[#This Row],[SubGroup]],Структура_ассортимента[Subgroup],0)),"")</f>
        <v>AMT_C</v>
      </c>
      <c r="G374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74" s="110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74" s="36">
        <v>9222</v>
      </c>
      <c r="J374" s="36" t="str">
        <f>IFERROR(INDEX(Структура_ассортимента[Generic Name (long)],MATCH(Товары[[#This Row],[SubGroup]],Структура_ассортимента[Subgroup],0)),"")</f>
        <v>GARDEN TOOL SET</v>
      </c>
      <c r="L374" s="36">
        <v>901045101</v>
      </c>
      <c r="M374" s="35" t="s">
        <v>2058</v>
      </c>
      <c r="O374" s="35" t="s">
        <v>4744</v>
      </c>
      <c r="P374" s="37" t="s">
        <v>4745</v>
      </c>
      <c r="Q374" s="34" t="s">
        <v>3549</v>
      </c>
      <c r="R374" s="34" t="s">
        <v>3540</v>
      </c>
      <c r="S374" s="47">
        <v>36434</v>
      </c>
      <c r="T374" s="47">
        <v>0</v>
      </c>
      <c r="U374" s="47">
        <v>0</v>
      </c>
      <c r="V374" s="34">
        <v>4078500339100</v>
      </c>
      <c r="W374" s="34" t="s">
        <v>3703</v>
      </c>
      <c r="X374" s="34" t="s">
        <v>3704</v>
      </c>
      <c r="Y374" s="34" t="s">
        <v>3542</v>
      </c>
      <c r="Z374" s="34">
        <v>5</v>
      </c>
      <c r="AA374" s="34" t="s">
        <v>4746</v>
      </c>
      <c r="AB374" s="34" t="s">
        <v>4746</v>
      </c>
      <c r="AC374" s="34" t="s">
        <v>3861</v>
      </c>
      <c r="AD374" s="34" t="s">
        <v>3861</v>
      </c>
      <c r="AE374" s="34" t="s">
        <v>4747</v>
      </c>
      <c r="AF374" s="34" t="s">
        <v>3877</v>
      </c>
      <c r="AG374" s="34" t="s">
        <v>3886</v>
      </c>
      <c r="AH374" s="34" t="s">
        <v>4748</v>
      </c>
      <c r="AL374" s="34">
        <v>135</v>
      </c>
      <c r="AM374" s="40" t="s">
        <v>9</v>
      </c>
      <c r="AP374" s="34">
        <v>0</v>
      </c>
      <c r="AQ374" s="34">
        <v>2490</v>
      </c>
      <c r="AR374" s="34">
        <v>1494</v>
      </c>
      <c r="AT374" s="44">
        <v>192900</v>
      </c>
      <c r="AU374" s="44"/>
      <c r="AV374" s="46">
        <f>ROUND(Товары[[#This Row],[РРЦ финальная, руб.]]/$AU$1,2)</f>
        <v>0</v>
      </c>
      <c r="AW374" s="45" t="str">
        <f>IFERROR(Товары[[#This Row],[РРЦ, евро]]/Товары[[#This Row],[IRP, Eur]],"-")</f>
        <v>-</v>
      </c>
      <c r="AX374" s="42">
        <f>IFERROR(VLOOKUP(Товары[[#This Row],[SubGroup]],'Структура цен DIY'!$B:$C,2,FALSE),0)</f>
        <v>0.27</v>
      </c>
      <c r="AY374" s="44">
        <v>0</v>
      </c>
    </row>
    <row r="375" spans="1:51" x14ac:dyDescent="0.25">
      <c r="A375" s="34">
        <v>373</v>
      </c>
      <c r="B375" s="34" t="s">
        <v>56</v>
      </c>
      <c r="C375" s="110" t="str">
        <f>IFERROR(INDEX(Структура_ассортимента[SuperCategory],MATCH(Товары[[#This Row],[SubGroup]],Структура_ассортимента[Subgroup],0)),"")</f>
        <v>A</v>
      </c>
      <c r="D37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7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75" s="110" t="str">
        <f>IFERROR(INDEX(Структура_ассортимента[Product group],MATCH(Товары[[#This Row],[SubGroup]],Структура_ассортимента[Subgroup],0)),"")</f>
        <v>AMT_C</v>
      </c>
      <c r="G375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75" s="110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75" s="36">
        <v>9222</v>
      </c>
      <c r="J375" s="36" t="str">
        <f>IFERROR(INDEX(Структура_ассортимента[Generic Name (long)],MATCH(Товары[[#This Row],[SubGroup]],Структура_ассортимента[Subgroup],0)),"")</f>
        <v>GARDEN TOOL SET</v>
      </c>
      <c r="L375" s="36">
        <v>901045401</v>
      </c>
      <c r="M375" s="35" t="s">
        <v>2059</v>
      </c>
      <c r="Q375" s="34" t="s">
        <v>3549</v>
      </c>
      <c r="R375" s="34" t="s">
        <v>3540</v>
      </c>
      <c r="S375" s="47">
        <v>36434</v>
      </c>
      <c r="T375" s="47">
        <v>0</v>
      </c>
      <c r="U375" s="47">
        <v>0</v>
      </c>
      <c r="V375" s="34">
        <v>4078500339209</v>
      </c>
      <c r="W375" s="34" t="s">
        <v>3703</v>
      </c>
      <c r="X375" s="34" t="s">
        <v>3704</v>
      </c>
      <c r="Y375" s="34" t="s">
        <v>3542</v>
      </c>
      <c r="Z375" s="34">
        <v>5</v>
      </c>
      <c r="AA375" s="34" t="s">
        <v>4371</v>
      </c>
      <c r="AB375" s="34" t="s">
        <v>4371</v>
      </c>
      <c r="AC375" s="34" t="s">
        <v>4374</v>
      </c>
      <c r="AD375" s="34" t="s">
        <v>4374</v>
      </c>
      <c r="AE375" s="34" t="s">
        <v>3623</v>
      </c>
      <c r="AF375" s="34" t="s">
        <v>3826</v>
      </c>
      <c r="AG375" s="34" t="s">
        <v>3698</v>
      </c>
      <c r="AH375" s="34" t="s">
        <v>4749</v>
      </c>
      <c r="AL375" s="34">
        <v>90</v>
      </c>
      <c r="AM375" s="40" t="s">
        <v>8095</v>
      </c>
      <c r="AT375" s="44">
        <v>0</v>
      </c>
      <c r="AU375" s="44"/>
      <c r="AV375" s="46">
        <f>ROUND(Товары[[#This Row],[РРЦ финальная, руб.]]/$AU$1,2)</f>
        <v>0</v>
      </c>
      <c r="AW375" s="45" t="str">
        <f>IFERROR(Товары[[#This Row],[РРЦ, евро]]/Товары[[#This Row],[IRP, Eur]],"-")</f>
        <v>-</v>
      </c>
      <c r="AX375" s="42">
        <f>IFERROR(VLOOKUP(Товары[[#This Row],[SubGroup]],'Структура цен DIY'!$B:$C,2,FALSE),0)</f>
        <v>0.27</v>
      </c>
      <c r="AY375" s="44">
        <v>0</v>
      </c>
    </row>
    <row r="376" spans="1:51" x14ac:dyDescent="0.25">
      <c r="A376" s="34">
        <v>374</v>
      </c>
      <c r="B376" s="34" t="s">
        <v>56</v>
      </c>
      <c r="C376" s="110" t="str">
        <f>IFERROR(INDEX(Структура_ассортимента[SuperCategory],MATCH(Товары[[#This Row],[SubGroup]],Структура_ассортимента[Subgroup],0)),"")</f>
        <v>A</v>
      </c>
      <c r="D37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7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76" s="110" t="str">
        <f>IFERROR(INDEX(Структура_ассортимента[Product group],MATCH(Товары[[#This Row],[SubGroup]],Структура_ассортимента[Subgroup],0)),"")</f>
        <v>AMT_C</v>
      </c>
      <c r="G376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76" s="110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76" s="36">
        <v>9222</v>
      </c>
      <c r="J376" s="36" t="str">
        <f>IFERROR(INDEX(Структура_ассортимента[Generic Name (long)],MATCH(Товары[[#This Row],[SubGroup]],Структура_ассортимента[Subgroup],0)),"")</f>
        <v>GARDEN TOOL SET</v>
      </c>
      <c r="L376" s="36">
        <v>966641601</v>
      </c>
      <c r="M376" s="35" t="s">
        <v>2060</v>
      </c>
      <c r="O376" s="35" t="s">
        <v>4750</v>
      </c>
      <c r="P376" s="37" t="s">
        <v>4751</v>
      </c>
      <c r="Q376" s="34" t="s">
        <v>3549</v>
      </c>
      <c r="R376" s="34" t="s">
        <v>3540</v>
      </c>
      <c r="S376" s="47">
        <v>40452</v>
      </c>
      <c r="T376" s="47">
        <v>0</v>
      </c>
      <c r="U376" s="47">
        <v>0</v>
      </c>
      <c r="V376" s="34">
        <v>4078500310703</v>
      </c>
      <c r="W376" s="34" t="s">
        <v>3936</v>
      </c>
      <c r="X376" s="34" t="s">
        <v>3579</v>
      </c>
      <c r="Y376" s="34" t="s">
        <v>3542</v>
      </c>
      <c r="Z376" s="34">
        <v>3</v>
      </c>
      <c r="AA376" s="34" t="s">
        <v>4752</v>
      </c>
      <c r="AB376" s="34" t="s">
        <v>4752</v>
      </c>
      <c r="AC376" s="34" t="s">
        <v>4753</v>
      </c>
      <c r="AD376" s="34" t="s">
        <v>4753</v>
      </c>
      <c r="AE376" s="34" t="s">
        <v>4326</v>
      </c>
      <c r="AF376" s="34" t="s">
        <v>3743</v>
      </c>
      <c r="AG376" s="34" t="s">
        <v>3611</v>
      </c>
      <c r="AH376" s="34" t="s">
        <v>4754</v>
      </c>
      <c r="AI376" s="34" t="s">
        <v>4755</v>
      </c>
      <c r="AJ376" s="34" t="s">
        <v>3693</v>
      </c>
      <c r="AK376" s="34" t="s">
        <v>4756</v>
      </c>
      <c r="AL376" s="34">
        <v>42</v>
      </c>
      <c r="AM376" s="40" t="s">
        <v>9</v>
      </c>
      <c r="AP376" s="34">
        <v>0</v>
      </c>
      <c r="AQ376" s="34">
        <v>2790</v>
      </c>
      <c r="AR376" s="34">
        <v>1674</v>
      </c>
      <c r="AT376" s="44">
        <v>216100</v>
      </c>
      <c r="AU376" s="44"/>
      <c r="AV376" s="46">
        <f>ROUND(Товары[[#This Row],[РРЦ финальная, руб.]]/$AU$1,2)</f>
        <v>0</v>
      </c>
      <c r="AW376" s="45" t="str">
        <f>IFERROR(Товары[[#This Row],[РРЦ, евро]]/Товары[[#This Row],[IRP, Eur]],"-")</f>
        <v>-</v>
      </c>
      <c r="AX376" s="42">
        <f>IFERROR(VLOOKUP(Товары[[#This Row],[SubGroup]],'Структура цен DIY'!$B:$C,2,FALSE),0)</f>
        <v>0.27</v>
      </c>
      <c r="AY376" s="44">
        <v>0</v>
      </c>
    </row>
    <row r="377" spans="1:51" x14ac:dyDescent="0.25">
      <c r="A377" s="34">
        <v>375</v>
      </c>
      <c r="B377" s="34" t="s">
        <v>56</v>
      </c>
      <c r="C377" s="110" t="str">
        <f>IFERROR(INDEX(Структура_ассортимента[SuperCategory],MATCH(Товары[[#This Row],[SubGroup]],Структура_ассортимента[Subgroup],0)),"")</f>
        <v>A</v>
      </c>
      <c r="D37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7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77" s="110" t="str">
        <f>IFERROR(INDEX(Структура_ассортимента[Product group],MATCH(Товары[[#This Row],[SubGroup]],Структура_ассортимента[Subgroup],0)),"")</f>
        <v>AMT_C</v>
      </c>
      <c r="G377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77" s="110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77" s="36">
        <v>9222</v>
      </c>
      <c r="J377" s="36" t="str">
        <f>IFERROR(INDEX(Структура_ассортимента[Generic Name (long)],MATCH(Товары[[#This Row],[SubGroup]],Структура_ассортимента[Subgroup],0)),"")</f>
        <v>GARDEN TOOL SET</v>
      </c>
      <c r="L377" s="36">
        <v>901034401</v>
      </c>
      <c r="M377" s="35" t="s">
        <v>2061</v>
      </c>
      <c r="Q377" s="34" t="s">
        <v>3549</v>
      </c>
      <c r="R377" s="34" t="s">
        <v>3540</v>
      </c>
      <c r="S377" s="47">
        <v>36434</v>
      </c>
      <c r="T377" s="47">
        <v>0</v>
      </c>
      <c r="U377" s="47">
        <v>0</v>
      </c>
      <c r="V377" s="34">
        <v>4078500302043</v>
      </c>
      <c r="W377" s="34" t="s">
        <v>3543</v>
      </c>
      <c r="X377" s="34" t="s">
        <v>3579</v>
      </c>
      <c r="Y377" s="34" t="s">
        <v>3542</v>
      </c>
      <c r="Z377" s="34">
        <v>20</v>
      </c>
      <c r="AA377" s="34" t="s">
        <v>3586</v>
      </c>
      <c r="AB377" s="34" t="s">
        <v>3586</v>
      </c>
      <c r="AC377" s="34" t="s">
        <v>4757</v>
      </c>
      <c r="AD377" s="34" t="s">
        <v>4757</v>
      </c>
      <c r="AE377" s="34" t="s">
        <v>4591</v>
      </c>
      <c r="AF377" s="34" t="s">
        <v>3662</v>
      </c>
      <c r="AG377" s="34" t="s">
        <v>4720</v>
      </c>
      <c r="AH377" s="34" t="s">
        <v>4758</v>
      </c>
      <c r="AL377" s="34">
        <v>60</v>
      </c>
      <c r="AM377" s="40" t="s">
        <v>8095</v>
      </c>
      <c r="AT377" s="44">
        <v>0</v>
      </c>
      <c r="AU377" s="44"/>
      <c r="AV377" s="46">
        <f>ROUND(Товары[[#This Row],[РРЦ финальная, руб.]]/$AU$1,2)</f>
        <v>0</v>
      </c>
      <c r="AW377" s="45" t="str">
        <f>IFERROR(Товары[[#This Row],[РРЦ, евро]]/Товары[[#This Row],[IRP, Eur]],"-")</f>
        <v>-</v>
      </c>
      <c r="AX377" s="42">
        <f>IFERROR(VLOOKUP(Товары[[#This Row],[SubGroup]],'Структура цен DIY'!$B:$C,2,FALSE),0)</f>
        <v>0.27</v>
      </c>
      <c r="AY377" s="44">
        <v>0</v>
      </c>
    </row>
    <row r="378" spans="1:51" x14ac:dyDescent="0.25">
      <c r="A378" s="34">
        <v>376</v>
      </c>
      <c r="B378" s="34" t="s">
        <v>56</v>
      </c>
      <c r="C378" s="110" t="str">
        <f>IFERROR(INDEX(Структура_ассортимента[SuperCategory],MATCH(Товары[[#This Row],[SubGroup]],Структура_ассортимента[Subgroup],0)),"")</f>
        <v>A</v>
      </c>
      <c r="D37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7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78" s="110" t="str">
        <f>IFERROR(INDEX(Структура_ассортимента[Product group],MATCH(Товары[[#This Row],[SubGroup]],Структура_ассортимента[Subgroup],0)),"")</f>
        <v>AMT_C</v>
      </c>
      <c r="G378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78" s="110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78" s="36">
        <v>9222</v>
      </c>
      <c r="J378" s="36" t="str">
        <f>IFERROR(INDEX(Структура_ассортимента[Generic Name (long)],MATCH(Товары[[#This Row],[SubGroup]],Структура_ассортимента[Subgroup],0)),"")</f>
        <v>GARDEN TOOL SET</v>
      </c>
      <c r="L378" s="36">
        <v>966641701</v>
      </c>
      <c r="M378" s="35" t="s">
        <v>2062</v>
      </c>
      <c r="Q378" s="34" t="s">
        <v>3549</v>
      </c>
      <c r="R378" s="34" t="s">
        <v>3540</v>
      </c>
      <c r="S378" s="47">
        <v>40452</v>
      </c>
      <c r="T378" s="47">
        <v>0</v>
      </c>
      <c r="U378" s="47">
        <v>0</v>
      </c>
      <c r="V378" s="34">
        <v>4078500310796</v>
      </c>
      <c r="W378" s="34" t="s">
        <v>3543</v>
      </c>
      <c r="X378" s="34" t="s">
        <v>3579</v>
      </c>
      <c r="Y378" s="34" t="s">
        <v>3542</v>
      </c>
      <c r="Z378" s="34">
        <v>20</v>
      </c>
      <c r="AA378" s="34" t="s">
        <v>3634</v>
      </c>
      <c r="AB378" s="34" t="s">
        <v>3634</v>
      </c>
      <c r="AC378" s="34" t="s">
        <v>3563</v>
      </c>
      <c r="AD378" s="34" t="s">
        <v>3563</v>
      </c>
      <c r="AE378" s="34" t="s">
        <v>4326</v>
      </c>
      <c r="AF378" s="34" t="s">
        <v>3743</v>
      </c>
      <c r="AG378" s="34" t="s">
        <v>3611</v>
      </c>
      <c r="AH378" s="34" t="s">
        <v>4754</v>
      </c>
      <c r="AI378" s="34" t="s">
        <v>4755</v>
      </c>
      <c r="AJ378" s="34" t="s">
        <v>3693</v>
      </c>
      <c r="AK378" s="34" t="s">
        <v>4756</v>
      </c>
      <c r="AL378" s="34">
        <v>40</v>
      </c>
      <c r="AM378" s="40" t="s">
        <v>8095</v>
      </c>
      <c r="AT378" s="44">
        <v>0</v>
      </c>
      <c r="AU378" s="44"/>
      <c r="AV378" s="46">
        <f>ROUND(Товары[[#This Row],[РРЦ финальная, руб.]]/$AU$1,2)</f>
        <v>0</v>
      </c>
      <c r="AW378" s="45" t="str">
        <f>IFERROR(Товары[[#This Row],[РРЦ, евро]]/Товары[[#This Row],[IRP, Eur]],"-")</f>
        <v>-</v>
      </c>
      <c r="AX378" s="42">
        <f>IFERROR(VLOOKUP(Товары[[#This Row],[SubGroup]],'Структура цен DIY'!$B:$C,2,FALSE),0)</f>
        <v>0.27</v>
      </c>
      <c r="AY378" s="44">
        <v>0</v>
      </c>
    </row>
    <row r="379" spans="1:51" x14ac:dyDescent="0.25">
      <c r="A379" s="34">
        <v>377</v>
      </c>
      <c r="B379" s="34" t="s">
        <v>56</v>
      </c>
      <c r="C379" s="110" t="str">
        <f>IFERROR(INDEX(Структура_ассортимента[SuperCategory],MATCH(Товары[[#This Row],[SubGroup]],Структура_ассортимента[Subgroup],0)),"")</f>
        <v>A</v>
      </c>
      <c r="D37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7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79" s="110" t="str">
        <f>IFERROR(INDEX(Структура_ассортимента[Product group],MATCH(Товары[[#This Row],[SubGroup]],Структура_ассортимента[Subgroup],0)),"")</f>
        <v>AMT_C</v>
      </c>
      <c r="G379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79" s="110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79" s="36">
        <v>9223</v>
      </c>
      <c r="J379" s="36" t="str">
        <f>IFERROR(INDEX(Структура_ассортимента[Generic Name (long)],MATCH(Товары[[#This Row],[SubGroup]],Структура_ассортимента[Subgroup],0)),"")</f>
        <v>GARDEN TOOL SET</v>
      </c>
      <c r="L379" s="36">
        <v>966641501</v>
      </c>
      <c r="M379" s="35" t="s">
        <v>2063</v>
      </c>
      <c r="Q379" s="34" t="s">
        <v>3549</v>
      </c>
      <c r="R379" s="34" t="s">
        <v>3540</v>
      </c>
      <c r="S379" s="47">
        <v>40452</v>
      </c>
      <c r="T379" s="47">
        <v>0</v>
      </c>
      <c r="U379" s="47">
        <v>0</v>
      </c>
      <c r="V379" s="34">
        <v>4078500308106</v>
      </c>
      <c r="W379" s="34" t="s">
        <v>3543</v>
      </c>
      <c r="X379" s="34" t="s">
        <v>3579</v>
      </c>
      <c r="Y379" s="34" t="s">
        <v>3542</v>
      </c>
      <c r="Z379" s="34">
        <v>20</v>
      </c>
      <c r="AA379" s="34" t="s">
        <v>4759</v>
      </c>
      <c r="AB379" s="34" t="s">
        <v>4759</v>
      </c>
      <c r="AC379" s="34" t="s">
        <v>4760</v>
      </c>
      <c r="AD379" s="34" t="s">
        <v>4760</v>
      </c>
      <c r="AE379" s="34" t="s">
        <v>4591</v>
      </c>
      <c r="AF379" s="34" t="s">
        <v>3752</v>
      </c>
      <c r="AG379" s="34" t="s">
        <v>3625</v>
      </c>
      <c r="AH379" s="34" t="s">
        <v>4761</v>
      </c>
      <c r="AL379" s="34">
        <v>60</v>
      </c>
      <c r="AM379" s="40" t="s">
        <v>8095</v>
      </c>
      <c r="AT379" s="44">
        <v>0</v>
      </c>
      <c r="AU379" s="44"/>
      <c r="AV379" s="46">
        <f>ROUND(Товары[[#This Row],[РРЦ финальная, руб.]]/$AU$1,2)</f>
        <v>0</v>
      </c>
      <c r="AW379" s="45" t="str">
        <f>IFERROR(Товары[[#This Row],[РРЦ, евро]]/Товары[[#This Row],[IRP, Eur]],"-")</f>
        <v>-</v>
      </c>
      <c r="AX379" s="42">
        <f>IFERROR(VLOOKUP(Товары[[#This Row],[SubGroup]],'Структура цен DIY'!$B:$C,2,FALSE),0)</f>
        <v>0.27</v>
      </c>
      <c r="AY379" s="44">
        <v>0</v>
      </c>
    </row>
    <row r="380" spans="1:51" x14ac:dyDescent="0.25">
      <c r="A380" s="34">
        <v>378</v>
      </c>
      <c r="B380" s="34" t="s">
        <v>56</v>
      </c>
      <c r="C380" s="110" t="str">
        <f>IFERROR(INDEX(Структура_ассортимента[SuperCategory],MATCH(Товары[[#This Row],[SubGroup]],Структура_ассортимента[Subgroup],0)),"")</f>
        <v>A</v>
      </c>
      <c r="D38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8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80" s="110" t="str">
        <f>IFERROR(INDEX(Структура_ассортимента[Product group],MATCH(Товары[[#This Row],[SubGroup]],Структура_ассортимента[Subgroup],0)),"")</f>
        <v>AMT_C</v>
      </c>
      <c r="G380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80" s="110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80" s="36">
        <v>9222</v>
      </c>
      <c r="J380" s="36" t="str">
        <f>IFERROR(INDEX(Структура_ассортимента[Generic Name (long)],MATCH(Товары[[#This Row],[SubGroup]],Структура_ассортимента[Subgroup],0)),"")</f>
        <v>GARDEN TOOL SET</v>
      </c>
      <c r="L380" s="36">
        <v>967632301</v>
      </c>
      <c r="M380" s="35" t="s">
        <v>2064</v>
      </c>
      <c r="O380" s="35" t="s">
        <v>4762</v>
      </c>
      <c r="P380" s="37" t="s">
        <v>4763</v>
      </c>
      <c r="Q380" s="34" t="s">
        <v>3549</v>
      </c>
      <c r="R380" s="34" t="s">
        <v>3540</v>
      </c>
      <c r="S380" s="47">
        <v>42370</v>
      </c>
      <c r="T380" s="47">
        <v>0</v>
      </c>
      <c r="U380" s="47">
        <v>0</v>
      </c>
      <c r="V380" s="34">
        <v>4078500017343</v>
      </c>
      <c r="W380" s="34" t="s">
        <v>3541</v>
      </c>
      <c r="X380" s="34" t="s">
        <v>3704</v>
      </c>
      <c r="Y380" s="34" t="s">
        <v>3542</v>
      </c>
      <c r="Z380" s="34">
        <v>5</v>
      </c>
      <c r="AA380" s="34" t="s">
        <v>4673</v>
      </c>
      <c r="AB380" s="34" t="s">
        <v>4764</v>
      </c>
      <c r="AC380" s="34" t="s">
        <v>4765</v>
      </c>
      <c r="AD380" s="34" t="s">
        <v>4765</v>
      </c>
      <c r="AE380" s="34" t="s">
        <v>3610</v>
      </c>
      <c r="AF380" s="34" t="s">
        <v>4659</v>
      </c>
      <c r="AG380" s="34" t="s">
        <v>4223</v>
      </c>
      <c r="AH380" s="34" t="s">
        <v>4766</v>
      </c>
      <c r="AI380" s="34" t="s">
        <v>4767</v>
      </c>
      <c r="AJ380" s="34" t="s">
        <v>4569</v>
      </c>
      <c r="AK380" s="34" t="s">
        <v>4768</v>
      </c>
      <c r="AL380" s="34" t="s">
        <v>4397</v>
      </c>
      <c r="AM380" s="40" t="s">
        <v>9</v>
      </c>
      <c r="AP380" s="34">
        <v>0</v>
      </c>
      <c r="AQ380" s="34">
        <v>1790</v>
      </c>
      <c r="AR380" s="34">
        <v>1074</v>
      </c>
      <c r="AT380" s="44">
        <v>138600</v>
      </c>
      <c r="AU380" s="44"/>
      <c r="AV380" s="46">
        <f>ROUND(Товары[[#This Row],[РРЦ финальная, руб.]]/$AU$1,2)</f>
        <v>0</v>
      </c>
      <c r="AW380" s="45" t="str">
        <f>IFERROR(Товары[[#This Row],[РРЦ, евро]]/Товары[[#This Row],[IRP, Eur]],"-")</f>
        <v>-</v>
      </c>
      <c r="AX380" s="42">
        <f>IFERROR(VLOOKUP(Товары[[#This Row],[SubGroup]],'Структура цен DIY'!$B:$C,2,FALSE),0)</f>
        <v>0.27</v>
      </c>
      <c r="AY380" s="44">
        <v>0</v>
      </c>
    </row>
    <row r="381" spans="1:51" x14ac:dyDescent="0.25">
      <c r="A381" s="34">
        <v>379</v>
      </c>
      <c r="B381" s="34" t="s">
        <v>56</v>
      </c>
      <c r="C381" s="110" t="str">
        <f>IFERROR(INDEX(Структура_ассортимента[SuperCategory],MATCH(Товары[[#This Row],[SubGroup]],Структура_ассортимента[Subgroup],0)),"")</f>
        <v>A</v>
      </c>
      <c r="D38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8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81" s="110" t="str">
        <f>IFERROR(INDEX(Структура_ассортимента[Product group],MATCH(Товары[[#This Row],[SubGroup]],Структура_ассортимента[Subgroup],0)),"")</f>
        <v>AMT_C</v>
      </c>
      <c r="G381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81" s="110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81" s="36">
        <v>9222</v>
      </c>
      <c r="J381" s="36" t="str">
        <f>IFERROR(INDEX(Структура_ассортимента[Generic Name (long)],MATCH(Товары[[#This Row],[SubGroup]],Структура_ассортимента[Subgroup],0)),"")</f>
        <v>GARDEN TOOL SET</v>
      </c>
      <c r="L381" s="36">
        <v>901033601</v>
      </c>
      <c r="M381" s="35" t="s">
        <v>2065</v>
      </c>
      <c r="Q381" s="34" t="s">
        <v>3549</v>
      </c>
      <c r="R381" s="34" t="s">
        <v>3540</v>
      </c>
      <c r="S381" s="47">
        <v>36069</v>
      </c>
      <c r="T381" s="47">
        <v>0</v>
      </c>
      <c r="U381" s="47">
        <v>0</v>
      </c>
      <c r="V381" s="34">
        <v>4078500301503</v>
      </c>
      <c r="W381" s="34" t="s">
        <v>3543</v>
      </c>
      <c r="X381" s="34" t="s">
        <v>3579</v>
      </c>
      <c r="Y381" s="34" t="s">
        <v>3542</v>
      </c>
      <c r="Z381" s="34">
        <v>20</v>
      </c>
      <c r="AA381" s="34" t="s">
        <v>3563</v>
      </c>
      <c r="AB381" s="34" t="s">
        <v>3563</v>
      </c>
      <c r="AC381" s="34" t="s">
        <v>3598</v>
      </c>
      <c r="AD381" s="34" t="s">
        <v>3598</v>
      </c>
      <c r="AE381" s="34" t="s">
        <v>4591</v>
      </c>
      <c r="AF381" s="34" t="s">
        <v>3958</v>
      </c>
      <c r="AG381" s="34" t="s">
        <v>3557</v>
      </c>
      <c r="AH381" s="34" t="s">
        <v>4769</v>
      </c>
      <c r="AL381" s="34">
        <v>40</v>
      </c>
      <c r="AM381" s="40" t="s">
        <v>8095</v>
      </c>
      <c r="AT381" s="44">
        <v>0</v>
      </c>
      <c r="AU381" s="44"/>
      <c r="AV381" s="46">
        <f>ROUND(Товары[[#This Row],[РРЦ финальная, руб.]]/$AU$1,2)</f>
        <v>0</v>
      </c>
      <c r="AW381" s="45" t="str">
        <f>IFERROR(Товары[[#This Row],[РРЦ, евро]]/Товары[[#This Row],[IRP, Eur]],"-")</f>
        <v>-</v>
      </c>
      <c r="AX381" s="42">
        <f>IFERROR(VLOOKUP(Товары[[#This Row],[SubGroup]],'Структура цен DIY'!$B:$C,2,FALSE),0)</f>
        <v>0.27</v>
      </c>
      <c r="AY381" s="44">
        <v>0</v>
      </c>
    </row>
    <row r="382" spans="1:51" x14ac:dyDescent="0.25">
      <c r="A382" s="34">
        <v>380</v>
      </c>
      <c r="B382" s="34" t="s">
        <v>56</v>
      </c>
      <c r="C382" s="110" t="str">
        <f>IFERROR(INDEX(Структура_ассортимента[SuperCategory],MATCH(Товары[[#This Row],[SubGroup]],Структура_ассортимента[Subgroup],0)),"")</f>
        <v>A</v>
      </c>
      <c r="D38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8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82" s="110" t="str">
        <f>IFERROR(INDEX(Структура_ассортимента[Product group],MATCH(Товары[[#This Row],[SubGroup]],Структура_ассортимента[Subgroup],0)),"")</f>
        <v>AMT_C</v>
      </c>
      <c r="G382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82" s="110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82" s="36">
        <v>9222</v>
      </c>
      <c r="J382" s="36" t="str">
        <f>IFERROR(INDEX(Структура_ассортимента[Generic Name (long)],MATCH(Товары[[#This Row],[SubGroup]],Структура_ассортимента[Subgroup],0)),"")</f>
        <v>GARDEN TOOL SET</v>
      </c>
      <c r="L382" s="36">
        <v>967632401</v>
      </c>
      <c r="M382" s="35" t="s">
        <v>2066</v>
      </c>
      <c r="O382" s="35" t="s">
        <v>4770</v>
      </c>
      <c r="P382" s="37" t="s">
        <v>4771</v>
      </c>
      <c r="Q382" s="34" t="s">
        <v>3549</v>
      </c>
      <c r="R382" s="34" t="s">
        <v>3540</v>
      </c>
      <c r="S382" s="47">
        <v>42370</v>
      </c>
      <c r="T382" s="47">
        <v>0</v>
      </c>
      <c r="U382" s="47">
        <v>0</v>
      </c>
      <c r="V382" s="34">
        <v>4078500017367</v>
      </c>
      <c r="W382" s="34" t="s">
        <v>3543</v>
      </c>
      <c r="X382" s="34" t="s">
        <v>3579</v>
      </c>
      <c r="Y382" s="34" t="s">
        <v>3542</v>
      </c>
      <c r="Z382" s="34">
        <v>20</v>
      </c>
      <c r="AA382" s="34" t="s">
        <v>4772</v>
      </c>
      <c r="AB382" s="34" t="s">
        <v>4772</v>
      </c>
      <c r="AC382" s="34" t="s">
        <v>3876</v>
      </c>
      <c r="AD382" s="34" t="s">
        <v>3876</v>
      </c>
      <c r="AE382" s="34" t="s">
        <v>4607</v>
      </c>
      <c r="AF382" s="34" t="s">
        <v>3610</v>
      </c>
      <c r="AG382" s="34" t="s">
        <v>4659</v>
      </c>
      <c r="AH382" s="34" t="s">
        <v>4773</v>
      </c>
      <c r="AI382" s="34" t="s">
        <v>4767</v>
      </c>
      <c r="AJ382" s="34" t="s">
        <v>4569</v>
      </c>
      <c r="AK382" s="34" t="s">
        <v>4768</v>
      </c>
      <c r="AL382" s="34" t="s">
        <v>4397</v>
      </c>
      <c r="AM382" s="40" t="s">
        <v>9</v>
      </c>
      <c r="AP382" s="34">
        <v>0</v>
      </c>
      <c r="AQ382" s="34">
        <v>1990</v>
      </c>
      <c r="AR382" s="34">
        <v>1194</v>
      </c>
      <c r="AT382" s="44">
        <v>154100</v>
      </c>
      <c r="AU382" s="44"/>
      <c r="AV382" s="46">
        <f>ROUND(Товары[[#This Row],[РРЦ финальная, руб.]]/$AU$1,2)</f>
        <v>0</v>
      </c>
      <c r="AW382" s="45" t="str">
        <f>IFERROR(Товары[[#This Row],[РРЦ, евро]]/Товары[[#This Row],[IRP, Eur]],"-")</f>
        <v>-</v>
      </c>
      <c r="AX382" s="42">
        <f>IFERROR(VLOOKUP(Товары[[#This Row],[SubGroup]],'Структура цен DIY'!$B:$C,2,FALSE),0)</f>
        <v>0.27</v>
      </c>
      <c r="AY382" s="44">
        <v>0</v>
      </c>
    </row>
    <row r="383" spans="1:51" x14ac:dyDescent="0.25">
      <c r="A383" s="34">
        <v>381</v>
      </c>
      <c r="B383" s="34" t="s">
        <v>56</v>
      </c>
      <c r="C383" s="110" t="str">
        <f>IFERROR(INDEX(Структура_ассортимента[SuperCategory],MATCH(Товары[[#This Row],[SubGroup]],Структура_ассортимента[Subgroup],0)),"")</f>
        <v>A</v>
      </c>
      <c r="D38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8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83" s="110" t="str">
        <f>IFERROR(INDEX(Структура_ассортимента[Product group],MATCH(Товары[[#This Row],[SubGroup]],Структура_ассортимента[Subgroup],0)),"")</f>
        <v>AMT_C</v>
      </c>
      <c r="G383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83" s="110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83" s="36">
        <v>9223</v>
      </c>
      <c r="J383" s="36" t="str">
        <f>IFERROR(INDEX(Структура_ассортимента[Generic Name (long)],MATCH(Товары[[#This Row],[SubGroup]],Структура_ассортимента[Subgroup],0)),"")</f>
        <v>GARDEN TOOL SET</v>
      </c>
      <c r="L383" s="36">
        <v>901050501</v>
      </c>
      <c r="M383" s="35" t="s">
        <v>2067</v>
      </c>
      <c r="Q383" s="34" t="s">
        <v>3549</v>
      </c>
      <c r="R383" s="34" t="s">
        <v>3540</v>
      </c>
      <c r="S383" s="47">
        <v>36434</v>
      </c>
      <c r="T383" s="47">
        <v>0</v>
      </c>
      <c r="U383" s="47">
        <v>0</v>
      </c>
      <c r="V383" s="34">
        <v>4078500364201</v>
      </c>
      <c r="W383" s="34" t="s">
        <v>3541</v>
      </c>
      <c r="X383" s="34" t="s">
        <v>3704</v>
      </c>
      <c r="Y383" s="34" t="s">
        <v>3542</v>
      </c>
      <c r="Z383" s="34">
        <v>5</v>
      </c>
      <c r="AA383" s="34" t="s">
        <v>4400</v>
      </c>
      <c r="AB383" s="34" t="s">
        <v>4400</v>
      </c>
      <c r="AC383" s="34" t="s">
        <v>3928</v>
      </c>
      <c r="AD383" s="34" t="s">
        <v>3928</v>
      </c>
      <c r="AE383" s="34" t="s">
        <v>4774</v>
      </c>
      <c r="AF383" s="34" t="s">
        <v>3753</v>
      </c>
      <c r="AG383" s="34" t="s">
        <v>4775</v>
      </c>
      <c r="AH383" s="34" t="s">
        <v>4776</v>
      </c>
      <c r="AL383" s="34">
        <v>260</v>
      </c>
      <c r="AM383" s="40" t="s">
        <v>8095</v>
      </c>
      <c r="AT383" s="44">
        <v>0</v>
      </c>
      <c r="AU383" s="44"/>
      <c r="AV383" s="46">
        <f>ROUND(Товары[[#This Row],[РРЦ финальная, руб.]]/$AU$1,2)</f>
        <v>0</v>
      </c>
      <c r="AW383" s="45" t="str">
        <f>IFERROR(Товары[[#This Row],[РРЦ, евро]]/Товары[[#This Row],[IRP, Eur]],"-")</f>
        <v>-</v>
      </c>
      <c r="AX383" s="42">
        <f>IFERROR(VLOOKUP(Товары[[#This Row],[SubGroup]],'Структура цен DIY'!$B:$C,2,FALSE),0)</f>
        <v>0.27</v>
      </c>
      <c r="AY383" s="44">
        <v>0</v>
      </c>
    </row>
    <row r="384" spans="1:51" x14ac:dyDescent="0.25">
      <c r="A384" s="34">
        <v>382</v>
      </c>
      <c r="B384" s="34" t="s">
        <v>56</v>
      </c>
      <c r="C384" s="110" t="str">
        <f>IFERROR(INDEX(Структура_ассортимента[SuperCategory],MATCH(Товары[[#This Row],[SubGroup]],Структура_ассортимента[Subgroup],0)),"")</f>
        <v>A</v>
      </c>
      <c r="D38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8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84" s="110" t="str">
        <f>IFERROR(INDEX(Структура_ассортимента[Product group],MATCH(Товары[[#This Row],[SubGroup]],Структура_ассортимента[Subgroup],0)),"")</f>
        <v>AMT_C</v>
      </c>
      <c r="G384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84" s="110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84" s="36">
        <v>9223</v>
      </c>
      <c r="J384" s="36" t="str">
        <f>IFERROR(INDEX(Структура_ассортимента[Generic Name (long)],MATCH(Товары[[#This Row],[SubGroup]],Структура_ассортимента[Subgroup],0)),"")</f>
        <v>GARDEN TOOL SET</v>
      </c>
      <c r="L384" s="36">
        <v>966642501</v>
      </c>
      <c r="M384" s="35" t="s">
        <v>2068</v>
      </c>
      <c r="O384" s="35" t="s">
        <v>4777</v>
      </c>
      <c r="P384" s="37" t="s">
        <v>4778</v>
      </c>
      <c r="Q384" s="34" t="s">
        <v>3549</v>
      </c>
      <c r="R384" s="34" t="s">
        <v>3540</v>
      </c>
      <c r="S384" s="47">
        <v>40452</v>
      </c>
      <c r="T384" s="47">
        <v>0</v>
      </c>
      <c r="U384" s="47">
        <v>0</v>
      </c>
      <c r="V384" s="34">
        <v>4078500360500</v>
      </c>
      <c r="W384" s="34" t="s">
        <v>3550</v>
      </c>
      <c r="X384" s="34" t="s">
        <v>3579</v>
      </c>
      <c r="Y384" s="34" t="s">
        <v>3542</v>
      </c>
      <c r="Z384" s="34">
        <v>5</v>
      </c>
      <c r="AA384" s="34" t="s">
        <v>4120</v>
      </c>
      <c r="AB384" s="34" t="s">
        <v>4120</v>
      </c>
      <c r="AC384" s="34" t="s">
        <v>3996</v>
      </c>
      <c r="AD384" s="34" t="s">
        <v>3996</v>
      </c>
      <c r="AE384" s="34" t="s">
        <v>3708</v>
      </c>
      <c r="AF384" s="34" t="s">
        <v>3911</v>
      </c>
      <c r="AG384" s="34" t="s">
        <v>4231</v>
      </c>
      <c r="AH384" s="34" t="s">
        <v>4779</v>
      </c>
      <c r="AI384" s="34" t="s">
        <v>4629</v>
      </c>
      <c r="AJ384" s="34" t="s">
        <v>4629</v>
      </c>
      <c r="AK384" s="34" t="s">
        <v>4780</v>
      </c>
      <c r="AL384" s="34">
        <v>625</v>
      </c>
      <c r="AM384" s="40" t="s">
        <v>9</v>
      </c>
      <c r="AP384" s="34">
        <v>0</v>
      </c>
      <c r="AQ384" s="34">
        <v>1190</v>
      </c>
      <c r="AR384" s="34">
        <v>704</v>
      </c>
      <c r="AT384" s="44">
        <v>92200</v>
      </c>
      <c r="AU384" s="44"/>
      <c r="AV384" s="46">
        <f>ROUND(Товары[[#This Row],[РРЦ финальная, руб.]]/$AU$1,2)</f>
        <v>0</v>
      </c>
      <c r="AW384" s="45" t="str">
        <f>IFERROR(Товары[[#This Row],[РРЦ, евро]]/Товары[[#This Row],[IRP, Eur]],"-")</f>
        <v>-</v>
      </c>
      <c r="AX384" s="42">
        <f>IFERROR(VLOOKUP(Товары[[#This Row],[SubGroup]],'Структура цен DIY'!$B:$C,2,FALSE),0)</f>
        <v>0.27</v>
      </c>
      <c r="AY384" s="44">
        <v>0</v>
      </c>
    </row>
    <row r="385" spans="1:51" x14ac:dyDescent="0.25">
      <c r="A385" s="34">
        <v>383</v>
      </c>
      <c r="B385" s="34" t="s">
        <v>56</v>
      </c>
      <c r="C385" s="110" t="str">
        <f>IFERROR(INDEX(Структура_ассортимента[SuperCategory],MATCH(Товары[[#This Row],[SubGroup]],Структура_ассортимента[Subgroup],0)),"")</f>
        <v>A</v>
      </c>
      <c r="D38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8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85" s="110" t="str">
        <f>IFERROR(INDEX(Структура_ассортимента[Product group],MATCH(Товары[[#This Row],[SubGroup]],Структура_ассортимента[Subgroup],0)),"")</f>
        <v>AMT_C</v>
      </c>
      <c r="G385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85" s="110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85" s="36">
        <v>9223</v>
      </c>
      <c r="J385" s="36" t="str">
        <f>IFERROR(INDEX(Структура_ассортимента[Generic Name (long)],MATCH(Товары[[#This Row],[SubGroup]],Структура_ассортимента[Subgroup],0)),"")</f>
        <v>GARDEN TOOL SET</v>
      </c>
      <c r="L385" s="36">
        <v>966642701</v>
      </c>
      <c r="M385" s="35" t="s">
        <v>2069</v>
      </c>
      <c r="Q385" s="34" t="s">
        <v>3549</v>
      </c>
      <c r="R385" s="34" t="s">
        <v>3540</v>
      </c>
      <c r="S385" s="47">
        <v>40452</v>
      </c>
      <c r="T385" s="47">
        <v>0</v>
      </c>
      <c r="U385" s="47">
        <v>0</v>
      </c>
      <c r="V385" s="34">
        <v>4078500360609</v>
      </c>
      <c r="W385" s="34" t="s">
        <v>3550</v>
      </c>
      <c r="X385" s="34" t="s">
        <v>3579</v>
      </c>
      <c r="Y385" s="34" t="s">
        <v>3542</v>
      </c>
      <c r="Z385" s="34">
        <v>5</v>
      </c>
      <c r="AA385" s="34" t="s">
        <v>4101</v>
      </c>
      <c r="AB385" s="34" t="s">
        <v>4101</v>
      </c>
      <c r="AC385" s="34" t="s">
        <v>4090</v>
      </c>
      <c r="AD385" s="34" t="s">
        <v>4090</v>
      </c>
      <c r="AE385" s="34" t="s">
        <v>3968</v>
      </c>
      <c r="AF385" s="34" t="s">
        <v>3576</v>
      </c>
      <c r="AG385" s="34" t="s">
        <v>3931</v>
      </c>
      <c r="AH385" s="34" t="s">
        <v>4781</v>
      </c>
      <c r="AI385" s="34" t="s">
        <v>4629</v>
      </c>
      <c r="AJ385" s="34" t="s">
        <v>4629</v>
      </c>
      <c r="AK385" s="34" t="s">
        <v>4780</v>
      </c>
      <c r="AL385" s="34">
        <v>625</v>
      </c>
      <c r="AM385" s="40" t="s">
        <v>8095</v>
      </c>
      <c r="AT385" s="44">
        <v>0</v>
      </c>
      <c r="AU385" s="44"/>
      <c r="AV385" s="46">
        <f>ROUND(Товары[[#This Row],[РРЦ финальная, руб.]]/$AU$1,2)</f>
        <v>0</v>
      </c>
      <c r="AW385" s="45" t="str">
        <f>IFERROR(Товары[[#This Row],[РРЦ, евро]]/Товары[[#This Row],[IRP, Eur]],"-")</f>
        <v>-</v>
      </c>
      <c r="AX385" s="42">
        <f>IFERROR(VLOOKUP(Товары[[#This Row],[SubGroup]],'Структура цен DIY'!$B:$C,2,FALSE),0)</f>
        <v>0.27</v>
      </c>
      <c r="AY385" s="44">
        <v>0</v>
      </c>
    </row>
    <row r="386" spans="1:51" x14ac:dyDescent="0.25">
      <c r="A386" s="34">
        <v>384</v>
      </c>
      <c r="B386" s="34" t="s">
        <v>56</v>
      </c>
      <c r="C386" s="110" t="str">
        <f>IFERROR(INDEX(Структура_ассортимента[SuperCategory],MATCH(Товары[[#This Row],[SubGroup]],Структура_ассортимента[Subgroup],0)),"")</f>
        <v>A</v>
      </c>
      <c r="D38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8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86" s="110" t="str">
        <f>IFERROR(INDEX(Структура_ассортимента[Product group],MATCH(Товары[[#This Row],[SubGroup]],Структура_ассортимента[Subgroup],0)),"")</f>
        <v>AMT_C</v>
      </c>
      <c r="G386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86" s="110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86" s="36">
        <v>9223</v>
      </c>
      <c r="J386" s="36" t="str">
        <f>IFERROR(INDEX(Структура_ассортимента[Generic Name (long)],MATCH(Товары[[#This Row],[SubGroup]],Структура_ассортимента[Subgroup],0)),"")</f>
        <v>GARDEN TOOL SET</v>
      </c>
      <c r="L386" s="36">
        <v>966643401</v>
      </c>
      <c r="M386" s="35" t="s">
        <v>2070</v>
      </c>
      <c r="Q386" s="34" t="s">
        <v>3549</v>
      </c>
      <c r="R386" s="34" t="s">
        <v>3540</v>
      </c>
      <c r="S386" s="47">
        <v>40452</v>
      </c>
      <c r="T386" s="47">
        <v>0</v>
      </c>
      <c r="U386" s="47">
        <v>0</v>
      </c>
      <c r="V386" s="34">
        <v>4078500363006</v>
      </c>
      <c r="W386" s="34" t="s">
        <v>3550</v>
      </c>
      <c r="X386" s="34" t="s">
        <v>3579</v>
      </c>
      <c r="Y386" s="34" t="s">
        <v>3542</v>
      </c>
      <c r="Z386" s="34">
        <v>5</v>
      </c>
      <c r="AA386" s="34" t="s">
        <v>4496</v>
      </c>
      <c r="AB386" s="34" t="s">
        <v>4496</v>
      </c>
      <c r="AC386" s="34" t="s">
        <v>4576</v>
      </c>
      <c r="AD386" s="34" t="s">
        <v>4576</v>
      </c>
      <c r="AE386" s="34" t="s">
        <v>3574</v>
      </c>
      <c r="AF386" s="34" t="s">
        <v>3942</v>
      </c>
      <c r="AG386" s="34" t="s">
        <v>3800</v>
      </c>
      <c r="AH386" s="34" t="s">
        <v>4782</v>
      </c>
      <c r="AI386" s="34" t="s">
        <v>4689</v>
      </c>
      <c r="AJ386" s="34" t="s">
        <v>4728</v>
      </c>
      <c r="AK386" s="34" t="s">
        <v>3559</v>
      </c>
      <c r="AL386" s="34">
        <v>150</v>
      </c>
      <c r="AM386" s="40" t="s">
        <v>8095</v>
      </c>
      <c r="AT386" s="44">
        <v>0</v>
      </c>
      <c r="AU386" s="44"/>
      <c r="AV386" s="46">
        <f>ROUND(Товары[[#This Row],[РРЦ финальная, руб.]]/$AU$1,2)</f>
        <v>0</v>
      </c>
      <c r="AW386" s="45" t="str">
        <f>IFERROR(Товары[[#This Row],[РРЦ, евро]]/Товары[[#This Row],[IRP, Eur]],"-")</f>
        <v>-</v>
      </c>
      <c r="AX386" s="42">
        <f>IFERROR(VLOOKUP(Товары[[#This Row],[SubGroup]],'Структура цен DIY'!$B:$C,2,FALSE),0)</f>
        <v>0.27</v>
      </c>
      <c r="AY386" s="44">
        <v>0</v>
      </c>
    </row>
    <row r="387" spans="1:51" x14ac:dyDescent="0.25">
      <c r="A387" s="34">
        <v>385</v>
      </c>
      <c r="B387" s="34" t="s">
        <v>56</v>
      </c>
      <c r="C387" s="110" t="str">
        <f>IFERROR(INDEX(Структура_ассортимента[SuperCategory],MATCH(Товары[[#This Row],[SubGroup]],Структура_ассортимента[Subgroup],0)),"")</f>
        <v>A</v>
      </c>
      <c r="D38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8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87" s="110" t="str">
        <f>IFERROR(INDEX(Структура_ассортимента[Product group],MATCH(Товары[[#This Row],[SubGroup]],Структура_ассортимента[Subgroup],0)),"")</f>
        <v>AMT_C</v>
      </c>
      <c r="G387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87" s="110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87" s="36">
        <v>9223</v>
      </c>
      <c r="J387" s="36" t="str">
        <f>IFERROR(INDEX(Структура_ассортимента[Generic Name (long)],MATCH(Товары[[#This Row],[SubGroup]],Структура_ассортимента[Subgroup],0)),"")</f>
        <v>GARDEN TOOL SET</v>
      </c>
      <c r="L387" s="36">
        <v>966643501</v>
      </c>
      <c r="M387" s="35" t="s">
        <v>2071</v>
      </c>
      <c r="Q387" s="34" t="s">
        <v>3549</v>
      </c>
      <c r="R387" s="34" t="s">
        <v>3540</v>
      </c>
      <c r="S387" s="47">
        <v>40452</v>
      </c>
      <c r="T387" s="47">
        <v>0</v>
      </c>
      <c r="U387" s="47">
        <v>0</v>
      </c>
      <c r="V387" s="34">
        <v>4078500363907</v>
      </c>
      <c r="W387" s="34" t="s">
        <v>3550</v>
      </c>
      <c r="X387" s="34" t="s">
        <v>3579</v>
      </c>
      <c r="Y387" s="34" t="s">
        <v>3542</v>
      </c>
      <c r="Z387" s="34">
        <v>5</v>
      </c>
      <c r="AA387" s="34" t="s">
        <v>4783</v>
      </c>
      <c r="AB387" s="34" t="s">
        <v>4783</v>
      </c>
      <c r="AC387" s="34" t="s">
        <v>4136</v>
      </c>
      <c r="AD387" s="34" t="s">
        <v>4136</v>
      </c>
      <c r="AE387" s="34" t="s">
        <v>3590</v>
      </c>
      <c r="AF387" s="34" t="s">
        <v>3825</v>
      </c>
      <c r="AG387" s="34" t="s">
        <v>4659</v>
      </c>
      <c r="AH387" s="34" t="s">
        <v>4784</v>
      </c>
      <c r="AI387" s="34" t="s">
        <v>4629</v>
      </c>
      <c r="AJ387" s="34" t="s">
        <v>4315</v>
      </c>
      <c r="AK387" s="34" t="s">
        <v>4785</v>
      </c>
      <c r="AL387" s="34">
        <v>150</v>
      </c>
      <c r="AM387" s="40" t="s">
        <v>8095</v>
      </c>
      <c r="AT387" s="44">
        <v>0</v>
      </c>
      <c r="AU387" s="44"/>
      <c r="AV387" s="46">
        <f>ROUND(Товары[[#This Row],[РРЦ финальная, руб.]]/$AU$1,2)</f>
        <v>0</v>
      </c>
      <c r="AW387" s="45" t="str">
        <f>IFERROR(Товары[[#This Row],[РРЦ, евро]]/Товары[[#This Row],[IRP, Eur]],"-")</f>
        <v>-</v>
      </c>
      <c r="AX387" s="42">
        <f>IFERROR(VLOOKUP(Товары[[#This Row],[SubGroup]],'Структура цен DIY'!$B:$C,2,FALSE),0)</f>
        <v>0.27</v>
      </c>
      <c r="AY387" s="44">
        <v>0</v>
      </c>
    </row>
    <row r="388" spans="1:51" x14ac:dyDescent="0.25">
      <c r="A388" s="34">
        <v>386</v>
      </c>
      <c r="B388" s="34" t="s">
        <v>56</v>
      </c>
      <c r="C388" s="110" t="str">
        <f>IFERROR(INDEX(Структура_ассортимента[SuperCategory],MATCH(Товары[[#This Row],[SubGroup]],Структура_ассортимента[Subgroup],0)),"")</f>
        <v>A</v>
      </c>
      <c r="D38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8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88" s="110" t="str">
        <f>IFERROR(INDEX(Структура_ассортимента[Product group],MATCH(Товары[[#This Row],[SubGroup]],Структура_ассортимента[Subgroup],0)),"")</f>
        <v>AMT_C</v>
      </c>
      <c r="G388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88" s="110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88" s="36">
        <v>9223</v>
      </c>
      <c r="J388" s="36" t="str">
        <f>IFERROR(INDEX(Структура_ассортимента[Generic Name (long)],MATCH(Товары[[#This Row],[SubGroup]],Структура_ассортимента[Subgroup],0)),"")</f>
        <v>GARDEN TOOL SET</v>
      </c>
      <c r="L388" s="36">
        <v>966642601</v>
      </c>
      <c r="M388" s="35" t="s">
        <v>2072</v>
      </c>
      <c r="Q388" s="34" t="s">
        <v>3549</v>
      </c>
      <c r="R388" s="34" t="s">
        <v>3540</v>
      </c>
      <c r="S388" s="47">
        <v>40294</v>
      </c>
      <c r="T388" s="47">
        <v>0</v>
      </c>
      <c r="U388" s="47">
        <v>0</v>
      </c>
      <c r="V388" s="34">
        <v>4078500360593</v>
      </c>
      <c r="W388" s="34" t="s">
        <v>3543</v>
      </c>
      <c r="X388" s="34" t="s">
        <v>3579</v>
      </c>
      <c r="Y388" s="34" t="s">
        <v>3542</v>
      </c>
      <c r="Z388" s="34">
        <v>30</v>
      </c>
      <c r="AA388" s="34" t="s">
        <v>3620</v>
      </c>
      <c r="AB388" s="34" t="s">
        <v>3620</v>
      </c>
      <c r="AC388" s="34" t="s">
        <v>4786</v>
      </c>
      <c r="AD388" s="34" t="s">
        <v>4786</v>
      </c>
      <c r="AE388" s="34" t="s">
        <v>3612</v>
      </c>
      <c r="AF388" s="34" t="s">
        <v>3911</v>
      </c>
      <c r="AG388" s="34" t="s">
        <v>4231</v>
      </c>
      <c r="AH388" s="34" t="s">
        <v>4787</v>
      </c>
      <c r="AL388" s="34">
        <v>90</v>
      </c>
      <c r="AM388" s="40" t="s">
        <v>8095</v>
      </c>
      <c r="AT388" s="44">
        <v>0</v>
      </c>
      <c r="AU388" s="44"/>
      <c r="AV388" s="46">
        <f>ROUND(Товары[[#This Row],[РРЦ финальная, руб.]]/$AU$1,2)</f>
        <v>0</v>
      </c>
      <c r="AW388" s="45" t="str">
        <f>IFERROR(Товары[[#This Row],[РРЦ, евро]]/Товары[[#This Row],[IRP, Eur]],"-")</f>
        <v>-</v>
      </c>
      <c r="AX388" s="42">
        <f>IFERROR(VLOOKUP(Товары[[#This Row],[SubGroup]],'Структура цен DIY'!$B:$C,2,FALSE),0)</f>
        <v>0.27</v>
      </c>
      <c r="AY388" s="44">
        <v>0</v>
      </c>
    </row>
    <row r="389" spans="1:51" x14ac:dyDescent="0.25">
      <c r="A389" s="34">
        <v>387</v>
      </c>
      <c r="B389" s="34" t="s">
        <v>56</v>
      </c>
      <c r="C389" s="110" t="str">
        <f>IFERROR(INDEX(Структура_ассортимента[SuperCategory],MATCH(Товары[[#This Row],[SubGroup]],Структура_ассортимента[Subgroup],0)),"")</f>
        <v>A</v>
      </c>
      <c r="D38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8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89" s="110" t="str">
        <f>IFERROR(INDEX(Структура_ассортимента[Product group],MATCH(Товары[[#This Row],[SubGroup]],Структура_ассортимента[Subgroup],0)),"")</f>
        <v>AMT_C</v>
      </c>
      <c r="G389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89" s="110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89" s="36">
        <v>9223</v>
      </c>
      <c r="J389" s="36" t="str">
        <f>IFERROR(INDEX(Структура_ассортимента[Generic Name (long)],MATCH(Товары[[#This Row],[SubGroup]],Структура_ассортимента[Subgroup],0)),"")</f>
        <v>GARDEN TOOL SET</v>
      </c>
      <c r="L389" s="36">
        <v>967632501</v>
      </c>
      <c r="M389" s="35" t="s">
        <v>2073</v>
      </c>
      <c r="O389" s="35" t="s">
        <v>4788</v>
      </c>
      <c r="P389" s="37" t="s">
        <v>4789</v>
      </c>
      <c r="Q389" s="34" t="s">
        <v>3549</v>
      </c>
      <c r="R389" s="34" t="s">
        <v>3540</v>
      </c>
      <c r="S389" s="47">
        <v>42370</v>
      </c>
      <c r="T389" s="47">
        <v>0</v>
      </c>
      <c r="U389" s="47">
        <v>0</v>
      </c>
      <c r="V389" s="34">
        <v>4078500017381</v>
      </c>
      <c r="W389" s="34" t="s">
        <v>3550</v>
      </c>
      <c r="X389" s="34" t="s">
        <v>3579</v>
      </c>
      <c r="Y389" s="34" t="s">
        <v>3542</v>
      </c>
      <c r="Z389" s="34">
        <v>5</v>
      </c>
      <c r="AA389" s="34" t="s">
        <v>3552</v>
      </c>
      <c r="AB389" s="34" t="s">
        <v>4790</v>
      </c>
      <c r="AC389" s="34" t="s">
        <v>3552</v>
      </c>
      <c r="AD389" s="34" t="s">
        <v>4791</v>
      </c>
      <c r="AE389" s="34" t="s">
        <v>4014</v>
      </c>
      <c r="AF389" s="34" t="s">
        <v>4160</v>
      </c>
      <c r="AG389" s="34" t="s">
        <v>3800</v>
      </c>
      <c r="AH389" s="34" t="s">
        <v>4792</v>
      </c>
      <c r="AI389" s="34" t="s">
        <v>4793</v>
      </c>
      <c r="AJ389" s="34" t="s">
        <v>4794</v>
      </c>
      <c r="AK389" s="34" t="s">
        <v>4014</v>
      </c>
      <c r="AL389" s="34" t="s">
        <v>4616</v>
      </c>
      <c r="AM389" s="40" t="s">
        <v>9</v>
      </c>
      <c r="AP389" s="34">
        <v>0</v>
      </c>
      <c r="AQ389" s="34">
        <v>1790</v>
      </c>
      <c r="AR389" s="34">
        <v>1059</v>
      </c>
      <c r="AT389" s="44">
        <v>138600</v>
      </c>
      <c r="AU389" s="44"/>
      <c r="AV389" s="46">
        <f>ROUND(Товары[[#This Row],[РРЦ финальная, руб.]]/$AU$1,2)</f>
        <v>0</v>
      </c>
      <c r="AW389" s="45" t="str">
        <f>IFERROR(Товары[[#This Row],[РРЦ, евро]]/Товары[[#This Row],[IRP, Eur]],"-")</f>
        <v>-</v>
      </c>
      <c r="AX389" s="42">
        <f>IFERROR(VLOOKUP(Товары[[#This Row],[SubGroup]],'Структура цен DIY'!$B:$C,2,FALSE),0)</f>
        <v>0.27</v>
      </c>
      <c r="AY389" s="44">
        <v>0</v>
      </c>
    </row>
    <row r="390" spans="1:51" x14ac:dyDescent="0.25">
      <c r="A390" s="34">
        <v>388</v>
      </c>
      <c r="B390" s="34" t="s">
        <v>56</v>
      </c>
      <c r="C390" s="110" t="str">
        <f>IFERROR(INDEX(Структура_ассортимента[SuperCategory],MATCH(Товары[[#This Row],[SubGroup]],Структура_ассортимента[Subgroup],0)),"")</f>
        <v>A</v>
      </c>
      <c r="D39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9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90" s="110" t="str">
        <f>IFERROR(INDEX(Структура_ассортимента[Product group],MATCH(Товары[[#This Row],[SubGroup]],Структура_ассортимента[Subgroup],0)),"")</f>
        <v>AMT_C</v>
      </c>
      <c r="G390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90" s="110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90" s="36">
        <v>9223</v>
      </c>
      <c r="J390" s="36" t="str">
        <f>IFERROR(INDEX(Структура_ассортимента[Generic Name (long)],MATCH(Товары[[#This Row],[SubGroup]],Структура_ассортимента[Subgroup],0)),"")</f>
        <v>GARDEN TOOL SET</v>
      </c>
      <c r="L390" s="36">
        <v>967632601</v>
      </c>
      <c r="M390" s="35" t="s">
        <v>2074</v>
      </c>
      <c r="O390" s="35" t="s">
        <v>4795</v>
      </c>
      <c r="P390" s="37" t="s">
        <v>4796</v>
      </c>
      <c r="Q390" s="34" t="s">
        <v>3549</v>
      </c>
      <c r="R390" s="34" t="s">
        <v>3540</v>
      </c>
      <c r="S390" s="47">
        <v>42370</v>
      </c>
      <c r="T390" s="47">
        <v>0</v>
      </c>
      <c r="U390" s="47">
        <v>0</v>
      </c>
      <c r="V390" s="34">
        <v>4078500017404</v>
      </c>
      <c r="W390" s="34" t="s">
        <v>3543</v>
      </c>
      <c r="X390" s="34" t="s">
        <v>3579</v>
      </c>
      <c r="Y390" s="34" t="s">
        <v>3542</v>
      </c>
      <c r="Z390" s="34">
        <v>20</v>
      </c>
      <c r="AA390" s="34" t="s">
        <v>3598</v>
      </c>
      <c r="AB390" s="34" t="s">
        <v>3598</v>
      </c>
      <c r="AC390" s="34" t="s">
        <v>3554</v>
      </c>
      <c r="AD390" s="34" t="s">
        <v>3554</v>
      </c>
      <c r="AE390" s="34" t="s">
        <v>4314</v>
      </c>
      <c r="AF390" s="34" t="s">
        <v>4160</v>
      </c>
      <c r="AG390" s="34" t="s">
        <v>3800</v>
      </c>
      <c r="AH390" s="34" t="s">
        <v>4797</v>
      </c>
      <c r="AL390" s="34" t="s">
        <v>4397</v>
      </c>
      <c r="AM390" s="40" t="s">
        <v>9</v>
      </c>
      <c r="AP390" s="34">
        <v>0</v>
      </c>
      <c r="AQ390" s="34">
        <v>1790</v>
      </c>
      <c r="AR390" s="34">
        <v>1193</v>
      </c>
      <c r="AT390" s="44">
        <v>138600</v>
      </c>
      <c r="AU390" s="44"/>
      <c r="AV390" s="46">
        <f>ROUND(Товары[[#This Row],[РРЦ финальная, руб.]]/$AU$1,2)</f>
        <v>0</v>
      </c>
      <c r="AW390" s="45" t="str">
        <f>IFERROR(Товары[[#This Row],[РРЦ, евро]]/Товары[[#This Row],[IRP, Eur]],"-")</f>
        <v>-</v>
      </c>
      <c r="AX390" s="42">
        <f>IFERROR(VLOOKUP(Товары[[#This Row],[SubGroup]],'Структура цен DIY'!$B:$C,2,FALSE),0)</f>
        <v>0.27</v>
      </c>
      <c r="AY390" s="44">
        <v>0</v>
      </c>
    </row>
    <row r="391" spans="1:51" x14ac:dyDescent="0.25">
      <c r="A391" s="34">
        <v>389</v>
      </c>
      <c r="B391" s="34" t="s">
        <v>56</v>
      </c>
      <c r="C391" s="110" t="str">
        <f>IFERROR(INDEX(Структура_ассортимента[SuperCategory],MATCH(Товары[[#This Row],[SubGroup]],Структура_ассортимента[Subgroup],0)),"")</f>
        <v>A</v>
      </c>
      <c r="D39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9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91" s="110" t="str">
        <f>IFERROR(INDEX(Структура_ассортимента[Product group],MATCH(Товары[[#This Row],[SubGroup]],Структура_ассортимента[Subgroup],0)),"")</f>
        <v>AMT_C</v>
      </c>
      <c r="G391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91" s="110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91" s="36">
        <v>9223</v>
      </c>
      <c r="J391" s="36" t="str">
        <f>IFERROR(INDEX(Структура_ассортимента[Generic Name (long)],MATCH(Товары[[#This Row],[SubGroup]],Структура_ассортимента[Subgroup],0)),"")</f>
        <v>GARDEN TOOL SET</v>
      </c>
      <c r="L391" s="36">
        <v>967676801</v>
      </c>
      <c r="M391" s="35" t="s">
        <v>2075</v>
      </c>
      <c r="O391" s="35" t="s">
        <v>4798</v>
      </c>
      <c r="P391" s="37" t="s">
        <v>4799</v>
      </c>
      <c r="Q391" s="34" t="s">
        <v>3549</v>
      </c>
      <c r="R391" s="34" t="s">
        <v>3540</v>
      </c>
      <c r="S391" s="47">
        <v>43101</v>
      </c>
      <c r="T391" s="47">
        <v>0</v>
      </c>
      <c r="U391" s="47">
        <v>0</v>
      </c>
      <c r="V391" s="34">
        <v>4078500033626</v>
      </c>
      <c r="W391" s="34" t="s">
        <v>3546</v>
      </c>
      <c r="X391" s="34" t="s">
        <v>3579</v>
      </c>
      <c r="Y391" s="34" t="s">
        <v>3542</v>
      </c>
      <c r="Z391" s="34">
        <v>5</v>
      </c>
      <c r="AB391" s="34" t="s">
        <v>4800</v>
      </c>
      <c r="AD391" s="34" t="s">
        <v>4801</v>
      </c>
      <c r="AE391" s="34" t="s">
        <v>4540</v>
      </c>
      <c r="AF391" s="34" t="s">
        <v>3997</v>
      </c>
      <c r="AG391" s="34" t="s">
        <v>4802</v>
      </c>
      <c r="AH391" s="34" t="s">
        <v>4803</v>
      </c>
      <c r="AI391" s="34" t="s">
        <v>4804</v>
      </c>
      <c r="AJ391" s="34" t="s">
        <v>3711</v>
      </c>
      <c r="AK391" s="34" t="s">
        <v>4805</v>
      </c>
      <c r="AL391" s="34" t="s">
        <v>4306</v>
      </c>
      <c r="AM391" s="40" t="s">
        <v>9</v>
      </c>
      <c r="AP391" s="34">
        <v>0</v>
      </c>
      <c r="AQ391" s="34">
        <v>2090</v>
      </c>
      <c r="AR391" s="34">
        <v>1237</v>
      </c>
      <c r="AT391" s="44">
        <v>161900</v>
      </c>
      <c r="AU391" s="44"/>
      <c r="AV391" s="46">
        <f>ROUND(Товары[[#This Row],[РРЦ финальная, руб.]]/$AU$1,2)</f>
        <v>0</v>
      </c>
      <c r="AW391" s="45" t="str">
        <f>IFERROR(Товары[[#This Row],[РРЦ, евро]]/Товары[[#This Row],[IRP, Eur]],"-")</f>
        <v>-</v>
      </c>
      <c r="AX391" s="42">
        <f>IFERROR(VLOOKUP(Товары[[#This Row],[SubGroup]],'Структура цен DIY'!$B:$C,2,FALSE),0)</f>
        <v>0.27</v>
      </c>
      <c r="AY391" s="44">
        <v>0</v>
      </c>
    </row>
    <row r="392" spans="1:51" x14ac:dyDescent="0.25">
      <c r="A392" s="34">
        <v>390</v>
      </c>
      <c r="B392" s="34" t="s">
        <v>56</v>
      </c>
      <c r="C392" s="110" t="str">
        <f>IFERROR(INDEX(Структура_ассортимента[SuperCategory],MATCH(Товары[[#This Row],[SubGroup]],Структура_ассортимента[Subgroup],0)),"")</f>
        <v>A</v>
      </c>
      <c r="D39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9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92" s="110" t="str">
        <f>IFERROR(INDEX(Структура_ассортимента[Product group],MATCH(Товары[[#This Row],[SubGroup]],Структура_ассортимента[Subgroup],0)),"")</f>
        <v>AMT_C</v>
      </c>
      <c r="G392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92" s="110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92" s="36">
        <v>9223</v>
      </c>
      <c r="J392" s="36" t="str">
        <f>IFERROR(INDEX(Структура_ассортимента[Generic Name (long)],MATCH(Товары[[#This Row],[SubGroup]],Структура_ассортимента[Subgroup],0)),"")</f>
        <v>GARDEN TOOL SET</v>
      </c>
      <c r="L392" s="36">
        <v>967676901</v>
      </c>
      <c r="M392" s="35" t="s">
        <v>2076</v>
      </c>
      <c r="O392" s="35" t="s">
        <v>4806</v>
      </c>
      <c r="P392" s="37" t="s">
        <v>4807</v>
      </c>
      <c r="Q392" s="34" t="s">
        <v>3549</v>
      </c>
      <c r="R392" s="34" t="s">
        <v>3540</v>
      </c>
      <c r="S392" s="47">
        <v>43101</v>
      </c>
      <c r="T392" s="47">
        <v>0</v>
      </c>
      <c r="U392" s="47">
        <v>0</v>
      </c>
      <c r="V392" s="34">
        <v>4078500033664</v>
      </c>
      <c r="W392" s="34" t="s">
        <v>3546</v>
      </c>
      <c r="X392" s="34" t="s">
        <v>3579</v>
      </c>
      <c r="Y392" s="34" t="s">
        <v>3542</v>
      </c>
      <c r="Z392" s="34">
        <v>5</v>
      </c>
      <c r="AB392" s="34" t="s">
        <v>3864</v>
      </c>
      <c r="AD392" s="34" t="s">
        <v>3762</v>
      </c>
      <c r="AE392" s="34" t="s">
        <v>4808</v>
      </c>
      <c r="AF392" s="34" t="s">
        <v>3968</v>
      </c>
      <c r="AG392" s="34" t="s">
        <v>3616</v>
      </c>
      <c r="AH392" s="34" t="s">
        <v>4809</v>
      </c>
      <c r="AI392" s="34" t="s">
        <v>4810</v>
      </c>
      <c r="AJ392" s="34" t="s">
        <v>3610</v>
      </c>
      <c r="AK392" s="34" t="s">
        <v>4811</v>
      </c>
      <c r="AL392" s="34" t="s">
        <v>3593</v>
      </c>
      <c r="AM392" s="40" t="s">
        <v>9</v>
      </c>
      <c r="AP392" s="34">
        <v>0</v>
      </c>
      <c r="AQ392" s="34">
        <v>2190</v>
      </c>
      <c r="AR392" s="34">
        <v>1296</v>
      </c>
      <c r="AT392" s="44">
        <v>169600</v>
      </c>
      <c r="AU392" s="44"/>
      <c r="AV392" s="46">
        <f>ROUND(Товары[[#This Row],[РРЦ финальная, руб.]]/$AU$1,2)</f>
        <v>0</v>
      </c>
      <c r="AW392" s="45" t="str">
        <f>IFERROR(Товары[[#This Row],[РРЦ, евро]]/Товары[[#This Row],[IRP, Eur]],"-")</f>
        <v>-</v>
      </c>
      <c r="AX392" s="42">
        <f>IFERROR(VLOOKUP(Товары[[#This Row],[SubGroup]],'Структура цен DIY'!$B:$C,2,FALSE),0)</f>
        <v>0.27</v>
      </c>
      <c r="AY392" s="44">
        <v>0</v>
      </c>
    </row>
    <row r="393" spans="1:51" x14ac:dyDescent="0.25">
      <c r="A393" s="34">
        <v>391</v>
      </c>
      <c r="B393" s="34" t="s">
        <v>56</v>
      </c>
      <c r="C393" s="110" t="str">
        <f>IFERROR(INDEX(Структура_ассортимента[SuperCategory],MATCH(Товары[[#This Row],[SubGroup]],Структура_ассортимента[Subgroup],0)),"")</f>
        <v>A</v>
      </c>
      <c r="D39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9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93" s="110" t="str">
        <f>IFERROR(INDEX(Структура_ассортимента[Product group],MATCH(Товары[[#This Row],[SubGroup]],Структура_ассортимента[Subgroup],0)),"")</f>
        <v>AMT_C</v>
      </c>
      <c r="G393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93" s="110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93" s="36">
        <v>9223</v>
      </c>
      <c r="J393" s="36" t="str">
        <f>IFERROR(INDEX(Структура_ассортимента[Generic Name (long)],MATCH(Товары[[#This Row],[SubGroup]],Структура_ассортимента[Subgroup],0)),"")</f>
        <v>GARDEN TOOL SET</v>
      </c>
      <c r="L393" s="36">
        <v>967677001</v>
      </c>
      <c r="M393" s="35" t="s">
        <v>2077</v>
      </c>
      <c r="O393" s="35" t="s">
        <v>4812</v>
      </c>
      <c r="P393" s="37" t="s">
        <v>4813</v>
      </c>
      <c r="Q393" s="34" t="s">
        <v>3549</v>
      </c>
      <c r="R393" s="34" t="s">
        <v>3540</v>
      </c>
      <c r="S393" s="47">
        <v>43101</v>
      </c>
      <c r="T393" s="47">
        <v>0</v>
      </c>
      <c r="U393" s="47">
        <v>0</v>
      </c>
      <c r="V393" s="34">
        <v>4078500033688</v>
      </c>
      <c r="W393" s="34" t="s">
        <v>3543</v>
      </c>
      <c r="X393" s="34" t="s">
        <v>3579</v>
      </c>
      <c r="Y393" s="34" t="s">
        <v>3542</v>
      </c>
      <c r="Z393" s="34">
        <v>12</v>
      </c>
      <c r="AB393" s="34" t="s">
        <v>4814</v>
      </c>
      <c r="AD393" s="34" t="s">
        <v>4815</v>
      </c>
      <c r="AE393" s="34" t="s">
        <v>4619</v>
      </c>
      <c r="AF393" s="34" t="s">
        <v>3968</v>
      </c>
      <c r="AG393" s="34" t="s">
        <v>3566</v>
      </c>
      <c r="AH393" s="34" t="s">
        <v>4816</v>
      </c>
      <c r="AL393" s="34" t="s">
        <v>4214</v>
      </c>
      <c r="AM393" s="40" t="s">
        <v>9</v>
      </c>
      <c r="AP393" s="34">
        <v>0</v>
      </c>
      <c r="AQ393" s="34">
        <v>5890</v>
      </c>
      <c r="AR393" s="34">
        <v>3485</v>
      </c>
      <c r="AT393" s="44">
        <v>456200</v>
      </c>
      <c r="AU393" s="44"/>
      <c r="AV393" s="46">
        <f>ROUND(Товары[[#This Row],[РРЦ финальная, руб.]]/$AU$1,2)</f>
        <v>0</v>
      </c>
      <c r="AW393" s="45" t="str">
        <f>IFERROR(Товары[[#This Row],[РРЦ, евро]]/Товары[[#This Row],[IRP, Eur]],"-")</f>
        <v>-</v>
      </c>
      <c r="AX393" s="42">
        <f>IFERROR(VLOOKUP(Товары[[#This Row],[SubGroup]],'Структура цен DIY'!$B:$C,2,FALSE),0)</f>
        <v>0.27</v>
      </c>
      <c r="AY393" s="44">
        <v>0</v>
      </c>
    </row>
    <row r="394" spans="1:51" x14ac:dyDescent="0.25">
      <c r="A394" s="34">
        <v>392</v>
      </c>
      <c r="B394" s="34" t="s">
        <v>56</v>
      </c>
      <c r="C394" s="110" t="str">
        <f>IFERROR(INDEX(Структура_ассортимента[SuperCategory],MATCH(Товары[[#This Row],[SubGroup]],Структура_ассортимента[Subgroup],0)),"")</f>
        <v>A</v>
      </c>
      <c r="D39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9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94" s="110" t="str">
        <f>IFERROR(INDEX(Структура_ассортимента[Product group],MATCH(Товары[[#This Row],[SubGroup]],Структура_ассортимента[Subgroup],0)),"")</f>
        <v>AMT_C</v>
      </c>
      <c r="G394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94" s="110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94" s="36">
        <v>9223</v>
      </c>
      <c r="J394" s="36" t="str">
        <f>IFERROR(INDEX(Структура_ассортимента[Generic Name (long)],MATCH(Товары[[#This Row],[SubGroup]],Структура_ассортимента[Subgroup],0)),"")</f>
        <v>GARDEN TOOL SET</v>
      </c>
      <c r="L394" s="36">
        <v>967676701</v>
      </c>
      <c r="M394" s="35" t="s">
        <v>2078</v>
      </c>
      <c r="O394" s="35" t="s">
        <v>4817</v>
      </c>
      <c r="P394" s="37" t="s">
        <v>4818</v>
      </c>
      <c r="Q394" s="34" t="s">
        <v>3549</v>
      </c>
      <c r="R394" s="34" t="s">
        <v>3540</v>
      </c>
      <c r="S394" s="47">
        <v>43101</v>
      </c>
      <c r="T394" s="47">
        <v>0</v>
      </c>
      <c r="U394" s="47">
        <v>0</v>
      </c>
      <c r="V394" s="34">
        <v>4078500033701</v>
      </c>
      <c r="W394" s="34" t="s">
        <v>3546</v>
      </c>
      <c r="X394" s="34" t="s">
        <v>3579</v>
      </c>
      <c r="Y394" s="34" t="s">
        <v>3542</v>
      </c>
      <c r="Z394" s="34">
        <v>5</v>
      </c>
      <c r="AB394" s="34" t="s">
        <v>4147</v>
      </c>
      <c r="AD394" s="34" t="s">
        <v>4819</v>
      </c>
      <c r="AE394" s="34" t="s">
        <v>3662</v>
      </c>
      <c r="AF394" s="34" t="s">
        <v>4102</v>
      </c>
      <c r="AG394" s="34" t="s">
        <v>3672</v>
      </c>
      <c r="AH394" s="34" t="s">
        <v>4820</v>
      </c>
      <c r="AI394" s="34" t="s">
        <v>4645</v>
      </c>
      <c r="AJ394" s="34" t="s">
        <v>4260</v>
      </c>
      <c r="AK394" s="34" t="s">
        <v>4821</v>
      </c>
      <c r="AL394" s="34" t="s">
        <v>4822</v>
      </c>
      <c r="AM394" s="40" t="s">
        <v>9</v>
      </c>
      <c r="AP394" s="34">
        <v>0</v>
      </c>
      <c r="AQ394" s="34">
        <v>1590</v>
      </c>
      <c r="AR394" s="34">
        <v>941</v>
      </c>
      <c r="AT394" s="44">
        <v>123200</v>
      </c>
      <c r="AU394" s="44"/>
      <c r="AV394" s="46">
        <f>ROUND(Товары[[#This Row],[РРЦ финальная, руб.]]/$AU$1,2)</f>
        <v>0</v>
      </c>
      <c r="AW394" s="45" t="str">
        <f>IFERROR(Товары[[#This Row],[РРЦ, евро]]/Товары[[#This Row],[IRP, Eur]],"-")</f>
        <v>-</v>
      </c>
      <c r="AX394" s="42">
        <f>IFERROR(VLOOKUP(Товары[[#This Row],[SubGroup]],'Структура цен DIY'!$B:$C,2,FALSE),0)</f>
        <v>0.27</v>
      </c>
      <c r="AY394" s="44">
        <v>0</v>
      </c>
    </row>
    <row r="395" spans="1:51" x14ac:dyDescent="0.25">
      <c r="A395" s="34">
        <v>393</v>
      </c>
      <c r="B395" s="34" t="s">
        <v>56</v>
      </c>
      <c r="C395" s="110" t="str">
        <f>IFERROR(INDEX(Структура_ассортимента[SuperCategory],MATCH(Товары[[#This Row],[SubGroup]],Структура_ассортимента[Subgroup],0)),"")</f>
        <v>A</v>
      </c>
      <c r="D39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9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95" s="110" t="str">
        <f>IFERROR(INDEX(Структура_ассортимента[Product group],MATCH(Товары[[#This Row],[SubGroup]],Структура_ассортимента[Subgroup],0)),"")</f>
        <v>AMT_C</v>
      </c>
      <c r="G395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95" s="110" t="str">
        <f>IFERROR(INDEX(Структура_ассортимента[Generic Name (long)3],MATCH(Товары[[#This Row],[SubGroup]],Структура_ассортимента[Subgroup],0)),"")</f>
        <v>Зимние ручные инструменты</v>
      </c>
      <c r="I395" s="36">
        <v>9224</v>
      </c>
      <c r="J395" s="36" t="str">
        <f>IFERROR(INDEX(Структура_ассортимента[Generic Name (long)],MATCH(Товары[[#This Row],[SubGroup]],Структура_ассортимента[Subgroup],0)),"")</f>
        <v>SNOW SHOVEL</v>
      </c>
      <c r="L395" s="36">
        <v>966043601</v>
      </c>
      <c r="M395" s="35" t="s">
        <v>2079</v>
      </c>
      <c r="O395" s="35" t="s">
        <v>4823</v>
      </c>
      <c r="P395" s="37" t="s">
        <v>4824</v>
      </c>
      <c r="Q395" s="34" t="s">
        <v>3549</v>
      </c>
      <c r="R395" s="34" t="s">
        <v>3540</v>
      </c>
      <c r="S395" s="47">
        <v>39904</v>
      </c>
      <c r="T395" s="47">
        <v>0</v>
      </c>
      <c r="U395" s="47">
        <v>0</v>
      </c>
      <c r="V395" s="34">
        <v>4078500324007</v>
      </c>
      <c r="W395" s="34" t="s">
        <v>3541</v>
      </c>
      <c r="X395" s="34" t="s">
        <v>3704</v>
      </c>
      <c r="Y395" s="34" t="s">
        <v>3542</v>
      </c>
      <c r="Z395" s="34">
        <v>4</v>
      </c>
      <c r="AA395" s="34" t="s">
        <v>4825</v>
      </c>
      <c r="AB395" s="34" t="s">
        <v>4825</v>
      </c>
      <c r="AC395" s="34" t="s">
        <v>3554</v>
      </c>
      <c r="AD395" s="34" t="s">
        <v>3554</v>
      </c>
      <c r="AE395" s="34" t="s">
        <v>3742</v>
      </c>
      <c r="AF395" s="34" t="s">
        <v>4729</v>
      </c>
      <c r="AG395" s="34" t="s">
        <v>3852</v>
      </c>
      <c r="AH395" s="34" t="s">
        <v>4826</v>
      </c>
      <c r="AI395" s="34" t="s">
        <v>3852</v>
      </c>
      <c r="AJ395" s="34" t="s">
        <v>4471</v>
      </c>
      <c r="AK395" s="34" t="s">
        <v>3742</v>
      </c>
      <c r="AL395" s="34">
        <v>48</v>
      </c>
      <c r="AM395" s="40" t="s">
        <v>9</v>
      </c>
      <c r="AP395" s="34">
        <v>0</v>
      </c>
      <c r="AQ395" s="34">
        <v>1490</v>
      </c>
      <c r="AR395" s="34">
        <v>870</v>
      </c>
      <c r="AT395" s="44">
        <v>115400</v>
      </c>
      <c r="AU395" s="44"/>
      <c r="AV395" s="46">
        <f>ROUND(Товары[[#This Row],[РРЦ финальная, руб.]]/$AU$1,2)</f>
        <v>0</v>
      </c>
      <c r="AW395" s="45" t="str">
        <f>IFERROR(Товары[[#This Row],[РРЦ, евро]]/Товары[[#This Row],[IRP, Eur]],"-")</f>
        <v>-</v>
      </c>
      <c r="AX395" s="42">
        <f>IFERROR(VLOOKUP(Товары[[#This Row],[SubGroup]],'Структура цен DIY'!$B:$C,2,FALSE),0)</f>
        <v>0.29937500000000006</v>
      </c>
      <c r="AY395" s="44">
        <v>0</v>
      </c>
    </row>
    <row r="396" spans="1:51" x14ac:dyDescent="0.25">
      <c r="A396" s="34">
        <v>394</v>
      </c>
      <c r="B396" s="34" t="s">
        <v>56</v>
      </c>
      <c r="C396" s="110" t="str">
        <f>IFERROR(INDEX(Структура_ассортимента[SuperCategory],MATCH(Товары[[#This Row],[SubGroup]],Структура_ассортимента[Subgroup],0)),"")</f>
        <v>A</v>
      </c>
      <c r="D39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9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96" s="110" t="str">
        <f>IFERROR(INDEX(Структура_ассортимента[Product group],MATCH(Товары[[#This Row],[SubGroup]],Структура_ассортимента[Subgroup],0)),"")</f>
        <v>AMT_C</v>
      </c>
      <c r="G396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96" s="110" t="str">
        <f>IFERROR(INDEX(Структура_ассортимента[Generic Name (long)3],MATCH(Товары[[#This Row],[SubGroup]],Структура_ассортимента[Subgroup],0)),"")</f>
        <v>Зимние ручные инструменты</v>
      </c>
      <c r="I396" s="36">
        <v>9224</v>
      </c>
      <c r="J396" s="36" t="str">
        <f>IFERROR(INDEX(Структура_ассортимента[Generic Name (long)],MATCH(Товары[[#This Row],[SubGroup]],Структура_ассортимента[Subgroup],0)),"")</f>
        <v>SNOW SHOVEL</v>
      </c>
      <c r="L396" s="36">
        <v>966043701</v>
      </c>
      <c r="M396" s="35" t="s">
        <v>2080</v>
      </c>
      <c r="O396" s="35" t="s">
        <v>4827</v>
      </c>
      <c r="P396" s="37" t="s">
        <v>4828</v>
      </c>
      <c r="Q396" s="34" t="s">
        <v>3549</v>
      </c>
      <c r="R396" s="34" t="s">
        <v>3540</v>
      </c>
      <c r="S396" s="47">
        <v>39904</v>
      </c>
      <c r="T396" s="47">
        <v>0</v>
      </c>
      <c r="U396" s="47">
        <v>0</v>
      </c>
      <c r="V396" s="34">
        <v>4078500324106</v>
      </c>
      <c r="W396" s="34" t="s">
        <v>3541</v>
      </c>
      <c r="X396" s="34" t="s">
        <v>3704</v>
      </c>
      <c r="Y396" s="34" t="s">
        <v>3542</v>
      </c>
      <c r="Z396" s="34">
        <v>4</v>
      </c>
      <c r="AA396" s="34" t="s">
        <v>4829</v>
      </c>
      <c r="AB396" s="34" t="s">
        <v>4829</v>
      </c>
      <c r="AC396" s="34" t="s">
        <v>4265</v>
      </c>
      <c r="AD396" s="34" t="s">
        <v>4265</v>
      </c>
      <c r="AE396" s="34" t="s">
        <v>4223</v>
      </c>
      <c r="AF396" s="34" t="s">
        <v>4729</v>
      </c>
      <c r="AG396" s="34" t="s">
        <v>3852</v>
      </c>
      <c r="AH396" s="34" t="s">
        <v>4830</v>
      </c>
      <c r="AI396" s="34" t="s">
        <v>3852</v>
      </c>
      <c r="AJ396" s="34" t="s">
        <v>4471</v>
      </c>
      <c r="AK396" s="34" t="s">
        <v>4223</v>
      </c>
      <c r="AL396" s="34">
        <v>48</v>
      </c>
      <c r="AM396" s="40" t="s">
        <v>9</v>
      </c>
      <c r="AP396" s="34">
        <v>0</v>
      </c>
      <c r="AQ396" s="34">
        <v>1890</v>
      </c>
      <c r="AR396" s="34">
        <v>1103</v>
      </c>
      <c r="AT396" s="44">
        <v>146400</v>
      </c>
      <c r="AU396" s="44"/>
      <c r="AV396" s="46">
        <f>ROUND(Товары[[#This Row],[РРЦ финальная, руб.]]/$AU$1,2)</f>
        <v>0</v>
      </c>
      <c r="AW396" s="45" t="str">
        <f>IFERROR(Товары[[#This Row],[РРЦ, евро]]/Товары[[#This Row],[IRP, Eur]],"-")</f>
        <v>-</v>
      </c>
      <c r="AX396" s="42">
        <f>IFERROR(VLOOKUP(Товары[[#This Row],[SubGroup]],'Структура цен DIY'!$B:$C,2,FALSE),0)</f>
        <v>0.29937500000000006</v>
      </c>
      <c r="AY396" s="44">
        <v>0</v>
      </c>
    </row>
    <row r="397" spans="1:51" x14ac:dyDescent="0.25">
      <c r="A397" s="34">
        <v>395</v>
      </c>
      <c r="B397" s="34" t="s">
        <v>56</v>
      </c>
      <c r="C397" s="110" t="str">
        <f>IFERROR(INDEX(Структура_ассортимента[SuperCategory],MATCH(Товары[[#This Row],[SubGroup]],Структура_ассортимента[Subgroup],0)),"")</f>
        <v>A</v>
      </c>
      <c r="D39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9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97" s="110" t="str">
        <f>IFERROR(INDEX(Структура_ассортимента[Product group],MATCH(Товары[[#This Row],[SubGroup]],Структура_ассортимента[Subgroup],0)),"")</f>
        <v>AMT_C</v>
      </c>
      <c r="G397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97" s="110" t="str">
        <f>IFERROR(INDEX(Структура_ассортимента[Generic Name (long)3],MATCH(Товары[[#This Row],[SubGroup]],Структура_ассортимента[Subgroup],0)),"")</f>
        <v>Зимние ручные инструменты</v>
      </c>
      <c r="I397" s="36">
        <v>9224</v>
      </c>
      <c r="J397" s="36" t="str">
        <f>IFERROR(INDEX(Структура_ассортимента[Generic Name (long)],MATCH(Товары[[#This Row],[SubGroup]],Структура_ассортимента[Subgroup],0)),"")</f>
        <v>SNOW SHOVEL</v>
      </c>
      <c r="L397" s="36">
        <v>966043801</v>
      </c>
      <c r="M397" s="35" t="s">
        <v>2081</v>
      </c>
      <c r="O397" s="35" t="s">
        <v>4831</v>
      </c>
      <c r="P397" s="37" t="s">
        <v>4832</v>
      </c>
      <c r="Q397" s="34" t="s">
        <v>3549</v>
      </c>
      <c r="R397" s="34" t="s">
        <v>3540</v>
      </c>
      <c r="S397" s="47">
        <v>39904</v>
      </c>
      <c r="T397" s="47">
        <v>0</v>
      </c>
      <c r="U397" s="47">
        <v>0</v>
      </c>
      <c r="V397" s="34">
        <v>4078500324205</v>
      </c>
      <c r="W397" s="34" t="s">
        <v>3541</v>
      </c>
      <c r="X397" s="34" t="s">
        <v>3704</v>
      </c>
      <c r="Y397" s="34" t="s">
        <v>3542</v>
      </c>
      <c r="Z397" s="34">
        <v>4</v>
      </c>
      <c r="AA397" s="34" t="s">
        <v>4833</v>
      </c>
      <c r="AB397" s="34" t="s">
        <v>4833</v>
      </c>
      <c r="AC397" s="34" t="s">
        <v>3554</v>
      </c>
      <c r="AD397" s="34" t="s">
        <v>4834</v>
      </c>
      <c r="AE397" s="34" t="s">
        <v>3742</v>
      </c>
      <c r="AF397" s="34" t="s">
        <v>4729</v>
      </c>
      <c r="AG397" s="34" t="s">
        <v>3852</v>
      </c>
      <c r="AH397" s="34" t="s">
        <v>4826</v>
      </c>
      <c r="AI397" s="34" t="s">
        <v>4835</v>
      </c>
      <c r="AJ397" s="34" t="s">
        <v>4811</v>
      </c>
      <c r="AK397" s="34" t="s">
        <v>4836</v>
      </c>
      <c r="AL397" s="34" t="s">
        <v>3617</v>
      </c>
      <c r="AM397" s="40" t="s">
        <v>9</v>
      </c>
      <c r="AP397" s="34">
        <v>0</v>
      </c>
      <c r="AQ397" s="34">
        <v>1490</v>
      </c>
      <c r="AR397" s="34">
        <v>870</v>
      </c>
      <c r="AT397" s="44">
        <v>115400</v>
      </c>
      <c r="AU397" s="44"/>
      <c r="AV397" s="46">
        <f>ROUND(Товары[[#This Row],[РРЦ финальная, руб.]]/$AU$1,2)</f>
        <v>0</v>
      </c>
      <c r="AW397" s="45" t="str">
        <f>IFERROR(Товары[[#This Row],[РРЦ, евро]]/Товары[[#This Row],[IRP, Eur]],"-")</f>
        <v>-</v>
      </c>
      <c r="AX397" s="42">
        <f>IFERROR(VLOOKUP(Товары[[#This Row],[SubGroup]],'Структура цен DIY'!$B:$C,2,FALSE),0)</f>
        <v>0.29937500000000006</v>
      </c>
      <c r="AY397" s="44">
        <v>0</v>
      </c>
    </row>
    <row r="398" spans="1:51" x14ac:dyDescent="0.25">
      <c r="A398" s="34">
        <v>396</v>
      </c>
      <c r="B398" s="34" t="s">
        <v>56</v>
      </c>
      <c r="C398" s="110" t="str">
        <f>IFERROR(INDEX(Структура_ассортимента[SuperCategory],MATCH(Товары[[#This Row],[SubGroup]],Структура_ассортимента[Subgroup],0)),"")</f>
        <v>A</v>
      </c>
      <c r="D39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9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98" s="110" t="str">
        <f>IFERROR(INDEX(Структура_ассортимента[Product group],MATCH(Товары[[#This Row],[SubGroup]],Структура_ассортимента[Subgroup],0)),"")</f>
        <v>AMT_C</v>
      </c>
      <c r="G398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98" s="110" t="str">
        <f>IFERROR(INDEX(Структура_ассортимента[Generic Name (long)3],MATCH(Товары[[#This Row],[SubGroup]],Структура_ассортимента[Subgroup],0)),"")</f>
        <v>Зимние ручные инструменты</v>
      </c>
      <c r="I398" s="36">
        <v>9224</v>
      </c>
      <c r="J398" s="36" t="str">
        <f>IFERROR(INDEX(Структура_ассортимента[Generic Name (long)],MATCH(Товары[[#This Row],[SubGroup]],Структура_ассортимента[Subgroup],0)),"")</f>
        <v>SNOW SHOVEL</v>
      </c>
      <c r="L398" s="36">
        <v>966043901</v>
      </c>
      <c r="M398" s="35" t="s">
        <v>2082</v>
      </c>
      <c r="O398" s="35" t="s">
        <v>4837</v>
      </c>
      <c r="P398" s="37" t="s">
        <v>4838</v>
      </c>
      <c r="Q398" s="34" t="s">
        <v>3549</v>
      </c>
      <c r="R398" s="34" t="s">
        <v>3540</v>
      </c>
      <c r="S398" s="47">
        <v>39904</v>
      </c>
      <c r="T398" s="47">
        <v>0</v>
      </c>
      <c r="U398" s="47">
        <v>0</v>
      </c>
      <c r="V398" s="34">
        <v>4078500324304</v>
      </c>
      <c r="W398" s="34" t="s">
        <v>3541</v>
      </c>
      <c r="X398" s="34" t="s">
        <v>3704</v>
      </c>
      <c r="Y398" s="34" t="s">
        <v>3542</v>
      </c>
      <c r="Z398" s="34">
        <v>4</v>
      </c>
      <c r="AA398" s="34" t="s">
        <v>3596</v>
      </c>
      <c r="AB398" s="34" t="s">
        <v>3596</v>
      </c>
      <c r="AC398" s="34" t="s">
        <v>4839</v>
      </c>
      <c r="AD398" s="34" t="s">
        <v>4839</v>
      </c>
      <c r="AE398" s="34" t="s">
        <v>4223</v>
      </c>
      <c r="AF398" s="34" t="s">
        <v>4729</v>
      </c>
      <c r="AG398" s="34" t="s">
        <v>3852</v>
      </c>
      <c r="AH398" s="34" t="s">
        <v>4830</v>
      </c>
      <c r="AI398" s="34" t="s">
        <v>3752</v>
      </c>
      <c r="AJ398" s="34" t="s">
        <v>4811</v>
      </c>
      <c r="AK398" s="34" t="s">
        <v>4840</v>
      </c>
      <c r="AL398" s="34">
        <v>48</v>
      </c>
      <c r="AM398" s="40" t="s">
        <v>9</v>
      </c>
      <c r="AP398" s="34">
        <v>0</v>
      </c>
      <c r="AQ398" s="34">
        <v>1790</v>
      </c>
      <c r="AR398" s="34">
        <v>1045</v>
      </c>
      <c r="AT398" s="44">
        <v>138600</v>
      </c>
      <c r="AU398" s="44"/>
      <c r="AV398" s="46">
        <f>ROUND(Товары[[#This Row],[РРЦ финальная, руб.]]/$AU$1,2)</f>
        <v>0</v>
      </c>
      <c r="AW398" s="45" t="str">
        <f>IFERROR(Товары[[#This Row],[РРЦ, евро]]/Товары[[#This Row],[IRP, Eur]],"-")</f>
        <v>-</v>
      </c>
      <c r="AX398" s="42">
        <f>IFERROR(VLOOKUP(Товары[[#This Row],[SubGroup]],'Структура цен DIY'!$B:$C,2,FALSE),0)</f>
        <v>0.29937500000000006</v>
      </c>
      <c r="AY398" s="44">
        <v>0</v>
      </c>
    </row>
    <row r="399" spans="1:51" x14ac:dyDescent="0.25">
      <c r="A399" s="34">
        <v>397</v>
      </c>
      <c r="B399" s="34" t="s">
        <v>56</v>
      </c>
      <c r="C399" s="110" t="str">
        <f>IFERROR(INDEX(Структура_ассортимента[SuperCategory],MATCH(Товары[[#This Row],[SubGroup]],Структура_ассортимента[Subgroup],0)),"")</f>
        <v>A</v>
      </c>
      <c r="D39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9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99" s="110" t="str">
        <f>IFERROR(INDEX(Структура_ассортимента[Product group],MATCH(Товары[[#This Row],[SubGroup]],Структура_ассортимента[Subgroup],0)),"")</f>
        <v>AMT_C</v>
      </c>
      <c r="G399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99" s="110" t="str">
        <f>IFERROR(INDEX(Структура_ассортимента[Generic Name (long)3],MATCH(Товары[[#This Row],[SubGroup]],Структура_ассортимента[Subgroup],0)),"")</f>
        <v>Зимние ручные инструменты</v>
      </c>
      <c r="I399" s="36">
        <v>9224</v>
      </c>
      <c r="J399" s="36" t="str">
        <f>IFERROR(INDEX(Структура_ассортимента[Generic Name (long)],MATCH(Товары[[#This Row],[SubGroup]],Структура_ассортимента[Subgroup],0)),"")</f>
        <v>SNOW SHOVEL</v>
      </c>
      <c r="L399" s="36">
        <v>966044001</v>
      </c>
      <c r="M399" s="35" t="s">
        <v>2083</v>
      </c>
      <c r="O399" s="35" t="s">
        <v>4841</v>
      </c>
      <c r="P399" s="37" t="s">
        <v>4842</v>
      </c>
      <c r="Q399" s="34" t="s">
        <v>3549</v>
      </c>
      <c r="R399" s="34" t="s">
        <v>3540</v>
      </c>
      <c r="S399" s="47">
        <v>39904</v>
      </c>
      <c r="T399" s="47">
        <v>0</v>
      </c>
      <c r="U399" s="47">
        <v>0</v>
      </c>
      <c r="V399" s="34">
        <v>4078500325004</v>
      </c>
      <c r="W399" s="34" t="s">
        <v>3703</v>
      </c>
      <c r="X399" s="34" t="s">
        <v>3704</v>
      </c>
      <c r="Y399" s="34" t="s">
        <v>3542</v>
      </c>
      <c r="Z399" s="34">
        <v>5</v>
      </c>
      <c r="AA399" s="34" t="s">
        <v>4843</v>
      </c>
      <c r="AB399" s="34" t="s">
        <v>4843</v>
      </c>
      <c r="AC399" s="34" t="s">
        <v>3864</v>
      </c>
      <c r="AD399" s="34" t="s">
        <v>3864</v>
      </c>
      <c r="AE399" s="34" t="s">
        <v>3708</v>
      </c>
      <c r="AF399" s="34" t="s">
        <v>4406</v>
      </c>
      <c r="AG399" s="34" t="s">
        <v>4844</v>
      </c>
      <c r="AH399" s="34" t="s">
        <v>4845</v>
      </c>
      <c r="AI399" s="34" t="s">
        <v>4188</v>
      </c>
      <c r="AJ399" s="34" t="s">
        <v>3801</v>
      </c>
      <c r="AK399" s="34" t="s">
        <v>3708</v>
      </c>
      <c r="AL399" s="34">
        <v>500</v>
      </c>
      <c r="AM399" s="40" t="s">
        <v>9</v>
      </c>
      <c r="AP399" s="34">
        <v>0</v>
      </c>
      <c r="AQ399" s="34">
        <v>1019</v>
      </c>
      <c r="AR399" s="34">
        <v>595</v>
      </c>
      <c r="AT399" s="44">
        <v>78900</v>
      </c>
      <c r="AU399" s="44"/>
      <c r="AV399" s="46">
        <f>ROUND(Товары[[#This Row],[РРЦ финальная, руб.]]/$AU$1,2)</f>
        <v>0</v>
      </c>
      <c r="AW399" s="45" t="str">
        <f>IFERROR(Товары[[#This Row],[РРЦ, евро]]/Товары[[#This Row],[IRP, Eur]],"-")</f>
        <v>-</v>
      </c>
      <c r="AX399" s="42">
        <f>IFERROR(VLOOKUP(Товары[[#This Row],[SubGroup]],'Структура цен DIY'!$B:$C,2,FALSE),0)</f>
        <v>0.29937500000000006</v>
      </c>
      <c r="AY399" s="44">
        <v>0</v>
      </c>
    </row>
    <row r="400" spans="1:51" x14ac:dyDescent="0.25">
      <c r="A400" s="34">
        <v>398</v>
      </c>
      <c r="B400" s="34" t="s">
        <v>56</v>
      </c>
      <c r="C400" s="110" t="str">
        <f>IFERROR(INDEX(Структура_ассортимента[SuperCategory],MATCH(Товары[[#This Row],[SubGroup]],Структура_ассортимента[Subgroup],0)),"")</f>
        <v>A</v>
      </c>
      <c r="D40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0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00" s="110" t="str">
        <f>IFERROR(INDEX(Структура_ассортимента[Product group],MATCH(Товары[[#This Row],[SubGroup]],Структура_ассортимента[Subgroup],0)),"")</f>
        <v>AMT_C</v>
      </c>
      <c r="G400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00" s="110" t="str">
        <f>IFERROR(INDEX(Структура_ассортимента[Generic Name (long)3],MATCH(Товары[[#This Row],[SubGroup]],Структура_ассортимента[Subgroup],0)),"")</f>
        <v>Зимние ручные инструменты</v>
      </c>
      <c r="I400" s="36">
        <v>9224</v>
      </c>
      <c r="J400" s="36" t="str">
        <f>IFERROR(INDEX(Структура_ассортимента[Generic Name (long)],MATCH(Товары[[#This Row],[SubGroup]],Структура_ассортимента[Subgroup],0)),"")</f>
        <v>SNOW SHOVEL</v>
      </c>
      <c r="L400" s="36">
        <v>966044101</v>
      </c>
      <c r="M400" s="35" t="s">
        <v>2084</v>
      </c>
      <c r="Q400" s="34" t="s">
        <v>3549</v>
      </c>
      <c r="R400" s="34" t="s">
        <v>3540</v>
      </c>
      <c r="S400" s="47">
        <v>39904</v>
      </c>
      <c r="T400" s="47">
        <v>0</v>
      </c>
      <c r="U400" s="47">
        <v>0</v>
      </c>
      <c r="V400" s="34">
        <v>4078500325103</v>
      </c>
      <c r="W400" s="34" t="s">
        <v>3703</v>
      </c>
      <c r="X400" s="34" t="s">
        <v>3704</v>
      </c>
      <c r="Y400" s="34" t="s">
        <v>3542</v>
      </c>
      <c r="Z400" s="34">
        <v>5</v>
      </c>
      <c r="AA400" s="34" t="s">
        <v>4846</v>
      </c>
      <c r="AB400" s="34" t="s">
        <v>4846</v>
      </c>
      <c r="AC400" s="34" t="s">
        <v>4708</v>
      </c>
      <c r="AD400" s="34" t="s">
        <v>4708</v>
      </c>
      <c r="AE400" s="34" t="s">
        <v>3590</v>
      </c>
      <c r="AF400" s="34" t="s">
        <v>4406</v>
      </c>
      <c r="AG400" s="34" t="s">
        <v>4844</v>
      </c>
      <c r="AH400" s="34" t="s">
        <v>4847</v>
      </c>
      <c r="AI400" s="34" t="s">
        <v>4188</v>
      </c>
      <c r="AJ400" s="34" t="s">
        <v>3801</v>
      </c>
      <c r="AK400" s="34" t="s">
        <v>3590</v>
      </c>
      <c r="AL400" s="34">
        <v>255</v>
      </c>
      <c r="AM400" s="40" t="s">
        <v>8095</v>
      </c>
      <c r="AT400" s="44">
        <v>0</v>
      </c>
      <c r="AU400" s="44"/>
      <c r="AV400" s="46">
        <f>ROUND(Товары[[#This Row],[РРЦ финальная, руб.]]/$AU$1,2)</f>
        <v>0</v>
      </c>
      <c r="AW400" s="45" t="str">
        <f>IFERROR(Товары[[#This Row],[РРЦ, евро]]/Товары[[#This Row],[IRP, Eur]],"-")</f>
        <v>-</v>
      </c>
      <c r="AX400" s="42">
        <f>IFERROR(VLOOKUP(Товары[[#This Row],[SubGroup]],'Структура цен DIY'!$B:$C,2,FALSE),0)</f>
        <v>0.29937500000000006</v>
      </c>
      <c r="AY400" s="44">
        <v>0</v>
      </c>
    </row>
    <row r="401" spans="1:51" x14ac:dyDescent="0.25">
      <c r="A401" s="34">
        <v>399</v>
      </c>
      <c r="B401" s="34" t="s">
        <v>56</v>
      </c>
      <c r="C401" s="110" t="str">
        <f>IFERROR(INDEX(Структура_ассортимента[SuperCategory],MATCH(Товары[[#This Row],[SubGroup]],Структура_ассортимента[Subgroup],0)),"")</f>
        <v>A</v>
      </c>
      <c r="D40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0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01" s="110" t="str">
        <f>IFERROR(INDEX(Структура_ассортимента[Product group],MATCH(Товары[[#This Row],[SubGroup]],Структура_ассортимента[Subgroup],0)),"")</f>
        <v>AMT_C</v>
      </c>
      <c r="G401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01" s="110" t="str">
        <f>IFERROR(INDEX(Структура_ассортимента[Generic Name (long)3],MATCH(Товары[[#This Row],[SubGroup]],Структура_ассортимента[Subgroup],0)),"")</f>
        <v>Разбрасыватели-сеялки для зимы</v>
      </c>
      <c r="I401" s="36">
        <v>9225</v>
      </c>
      <c r="J401" s="36" t="str">
        <f>IFERROR(INDEX(Структура_ассортимента[Generic Name (long)],MATCH(Товары[[#This Row],[SubGroup]],Структура_ассортимента[Subgroup],0)),"")</f>
        <v>SPREADER</v>
      </c>
      <c r="L401" s="36">
        <v>967172101</v>
      </c>
      <c r="M401" s="35" t="s">
        <v>2085</v>
      </c>
      <c r="Q401" s="34" t="s">
        <v>3549</v>
      </c>
      <c r="R401" s="34" t="s">
        <v>3540</v>
      </c>
      <c r="S401" s="47">
        <v>41000</v>
      </c>
      <c r="T401" s="47">
        <v>0</v>
      </c>
      <c r="U401" s="47">
        <v>0</v>
      </c>
      <c r="V401" s="34">
        <v>4078500325530</v>
      </c>
      <c r="W401" s="34" t="s">
        <v>3541</v>
      </c>
      <c r="X401" s="34" t="s">
        <v>3704</v>
      </c>
      <c r="Y401" s="34" t="s">
        <v>3542</v>
      </c>
      <c r="Z401" s="34">
        <v>30</v>
      </c>
      <c r="AA401" s="34" t="s">
        <v>4848</v>
      </c>
      <c r="AB401" s="34" t="s">
        <v>4848</v>
      </c>
      <c r="AC401" s="34" t="s">
        <v>3691</v>
      </c>
      <c r="AD401" s="34" t="s">
        <v>3691</v>
      </c>
      <c r="AE401" s="34" t="s">
        <v>4505</v>
      </c>
      <c r="AF401" s="34" t="s">
        <v>4849</v>
      </c>
      <c r="AG401" s="34" t="s">
        <v>3975</v>
      </c>
      <c r="AH401" s="34" t="s">
        <v>4850</v>
      </c>
      <c r="AL401" s="34" t="s">
        <v>3593</v>
      </c>
      <c r="AM401" s="40" t="s">
        <v>8095</v>
      </c>
      <c r="AT401" s="44">
        <v>0</v>
      </c>
      <c r="AU401" s="44"/>
      <c r="AV401" s="46">
        <f>ROUND(Товары[[#This Row],[РРЦ финальная, руб.]]/$AU$1,2)</f>
        <v>0</v>
      </c>
      <c r="AW401" s="45" t="str">
        <f>IFERROR(Товары[[#This Row],[РРЦ, евро]]/Товары[[#This Row],[IRP, Eur]],"-")</f>
        <v>-</v>
      </c>
      <c r="AX401" s="42">
        <f>IFERROR(VLOOKUP(Товары[[#This Row],[SubGroup]],'Структура цен DIY'!$B:$C,2,FALSE),0)</f>
        <v>0.27</v>
      </c>
      <c r="AY401" s="44">
        <v>0</v>
      </c>
    </row>
    <row r="402" spans="1:51" x14ac:dyDescent="0.25">
      <c r="A402" s="34">
        <v>400</v>
      </c>
      <c r="B402" s="34" t="s">
        <v>56</v>
      </c>
      <c r="C402" s="110" t="str">
        <f>IFERROR(INDEX(Структура_ассортимента[SuperCategory],MATCH(Товары[[#This Row],[SubGroup]],Структура_ассортимента[Subgroup],0)),"")</f>
        <v>A</v>
      </c>
      <c r="D40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0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02" s="110" t="str">
        <f>IFERROR(INDEX(Структура_ассортимента[Product group],MATCH(Товары[[#This Row],[SubGroup]],Структура_ассортимента[Subgroup],0)),"")</f>
        <v>AMT_C</v>
      </c>
      <c r="G402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02" s="110" t="str">
        <f>IFERROR(INDEX(Структура_ассортимента[Generic Name (long)3],MATCH(Товары[[#This Row],[SubGroup]],Структура_ассортимента[Subgroup],0)),"")</f>
        <v>Разбрасыватели-сеялки для зимы</v>
      </c>
      <c r="I402" s="36">
        <v>9225</v>
      </c>
      <c r="J402" s="36" t="str">
        <f>IFERROR(INDEX(Структура_ассортимента[Generic Name (long)],MATCH(Товары[[#This Row],[SubGroup]],Структура_ассортимента[Subgroup],0)),"")</f>
        <v>SPREADER</v>
      </c>
      <c r="L402" s="36">
        <v>967632201</v>
      </c>
      <c r="M402" s="35" t="s">
        <v>2086</v>
      </c>
      <c r="O402" s="35" t="s">
        <v>4851</v>
      </c>
      <c r="P402" s="37" t="s">
        <v>4852</v>
      </c>
      <c r="Q402" s="34" t="s">
        <v>3549</v>
      </c>
      <c r="R402" s="34" t="s">
        <v>3540</v>
      </c>
      <c r="S402" s="47">
        <v>42370</v>
      </c>
      <c r="T402" s="47">
        <v>0</v>
      </c>
      <c r="U402" s="47">
        <v>0</v>
      </c>
      <c r="V402" s="34">
        <v>4078500017428</v>
      </c>
      <c r="W402" s="34" t="s">
        <v>3541</v>
      </c>
      <c r="X402" s="34" t="s">
        <v>3704</v>
      </c>
      <c r="Y402" s="34" t="s">
        <v>3542</v>
      </c>
      <c r="Z402" s="34">
        <v>15</v>
      </c>
      <c r="AA402" s="34" t="s">
        <v>4853</v>
      </c>
      <c r="AB402" s="34" t="s">
        <v>3691</v>
      </c>
      <c r="AC402" s="34" t="s">
        <v>3691</v>
      </c>
      <c r="AD402" s="34" t="s">
        <v>4854</v>
      </c>
      <c r="AE402" s="34" t="s">
        <v>4505</v>
      </c>
      <c r="AF402" s="34" t="s">
        <v>4849</v>
      </c>
      <c r="AG402" s="34" t="s">
        <v>3975</v>
      </c>
      <c r="AH402" s="34" t="s">
        <v>4850</v>
      </c>
      <c r="AI402" s="34" t="s">
        <v>3975</v>
      </c>
      <c r="AJ402" s="34" t="s">
        <v>4505</v>
      </c>
      <c r="AK402" s="34" t="s">
        <v>4849</v>
      </c>
      <c r="AL402" s="34" t="s">
        <v>4478</v>
      </c>
      <c r="AM402" s="40" t="s">
        <v>9</v>
      </c>
      <c r="AP402" s="34">
        <v>0</v>
      </c>
      <c r="AQ402" s="34">
        <v>890</v>
      </c>
      <c r="AR402" s="34">
        <v>519</v>
      </c>
      <c r="AT402" s="44">
        <v>68900</v>
      </c>
      <c r="AU402" s="44"/>
      <c r="AV402" s="46">
        <f>ROUND(Товары[[#This Row],[РРЦ финальная, руб.]]/$AU$1,2)</f>
        <v>0</v>
      </c>
      <c r="AW402" s="45" t="str">
        <f>IFERROR(Товары[[#This Row],[РРЦ, евро]]/Товары[[#This Row],[IRP, Eur]],"-")</f>
        <v>-</v>
      </c>
      <c r="AX402" s="42">
        <f>IFERROR(VLOOKUP(Товары[[#This Row],[SubGroup]],'Структура цен DIY'!$B:$C,2,FALSE),0)</f>
        <v>0.27</v>
      </c>
      <c r="AY402" s="44">
        <v>0</v>
      </c>
    </row>
    <row r="403" spans="1:51" x14ac:dyDescent="0.25">
      <c r="A403" s="34">
        <v>401</v>
      </c>
      <c r="B403" s="34" t="s">
        <v>56</v>
      </c>
      <c r="C403" s="110" t="str">
        <f>IFERROR(INDEX(Структура_ассортимента[SuperCategory],MATCH(Товары[[#This Row],[SubGroup]],Структура_ассортимента[Subgroup],0)),"")</f>
        <v>A</v>
      </c>
      <c r="D40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0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03" s="110" t="str">
        <f>IFERROR(INDEX(Структура_ассортимента[Product group],MATCH(Товары[[#This Row],[SubGroup]],Структура_ассортимента[Subgroup],0)),"")</f>
        <v>AMT_C</v>
      </c>
      <c r="G403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03" s="110" t="str">
        <f>IFERROR(INDEX(Структура_ассортимента[Generic Name (long)3],MATCH(Товары[[#This Row],[SubGroup]],Структура_ассортимента[Subgroup],0)),"")</f>
        <v>Разбрасыватели-сеялки для зимы</v>
      </c>
      <c r="I403" s="36">
        <v>9225</v>
      </c>
      <c r="J403" s="36" t="str">
        <f>IFERROR(INDEX(Структура_ассортимента[Generic Name (long)],MATCH(Товары[[#This Row],[SubGroup]],Структура_ассортимента[Subgroup],0)),"")</f>
        <v>SPREADER</v>
      </c>
      <c r="L403" s="36">
        <v>967169101</v>
      </c>
      <c r="M403" s="35" t="s">
        <v>2087</v>
      </c>
      <c r="O403" s="35" t="s">
        <v>4855</v>
      </c>
      <c r="P403" s="37" t="s">
        <v>4856</v>
      </c>
      <c r="Q403" s="34" t="s">
        <v>3549</v>
      </c>
      <c r="R403" s="34" t="s">
        <v>3540</v>
      </c>
      <c r="S403" s="47">
        <v>41000</v>
      </c>
      <c r="T403" s="47">
        <v>0</v>
      </c>
      <c r="U403" s="47">
        <v>0</v>
      </c>
      <c r="V403" s="34">
        <v>4078500326001</v>
      </c>
      <c r="W403" s="34" t="s">
        <v>3543</v>
      </c>
      <c r="X403" s="34" t="s">
        <v>3579</v>
      </c>
      <c r="Y403" s="34" t="s">
        <v>3542</v>
      </c>
      <c r="Z403" s="34">
        <v>1</v>
      </c>
      <c r="AA403" s="34" t="s">
        <v>4857</v>
      </c>
      <c r="AB403" s="34" t="s">
        <v>4857</v>
      </c>
      <c r="AC403" s="34" t="s">
        <v>4858</v>
      </c>
      <c r="AD403" s="34" t="s">
        <v>4858</v>
      </c>
      <c r="AE403" s="34" t="s">
        <v>4756</v>
      </c>
      <c r="AF403" s="34" t="s">
        <v>4644</v>
      </c>
      <c r="AG403" s="34" t="s">
        <v>4859</v>
      </c>
      <c r="AH403" s="34" t="s">
        <v>4860</v>
      </c>
      <c r="AI403" s="34" t="s">
        <v>4594</v>
      </c>
      <c r="AJ403" s="34" t="s">
        <v>4450</v>
      </c>
      <c r="AK403" s="34" t="s">
        <v>4861</v>
      </c>
      <c r="AL403" s="34" t="s">
        <v>4019</v>
      </c>
      <c r="AM403" s="40" t="s">
        <v>9</v>
      </c>
      <c r="AP403" s="34">
        <v>0</v>
      </c>
      <c r="AQ403" s="34">
        <v>6990</v>
      </c>
      <c r="AR403" s="34">
        <v>4079</v>
      </c>
      <c r="AT403" s="44">
        <v>541400</v>
      </c>
      <c r="AU403" s="44"/>
      <c r="AV403" s="46">
        <f>ROUND(Товары[[#This Row],[РРЦ финальная, руб.]]/$AU$1,2)</f>
        <v>0</v>
      </c>
      <c r="AW403" s="45" t="str">
        <f>IFERROR(Товары[[#This Row],[РРЦ, евро]]/Товары[[#This Row],[IRP, Eur]],"-")</f>
        <v>-</v>
      </c>
      <c r="AX403" s="42">
        <f>IFERROR(VLOOKUP(Товары[[#This Row],[SubGroup]],'Структура цен DIY'!$B:$C,2,FALSE),0)</f>
        <v>0.27</v>
      </c>
      <c r="AY403" s="44">
        <v>0</v>
      </c>
    </row>
    <row r="404" spans="1:51" x14ac:dyDescent="0.25">
      <c r="A404" s="34">
        <v>402</v>
      </c>
      <c r="B404" s="34" t="s">
        <v>56</v>
      </c>
      <c r="C404" s="110" t="str">
        <f>IFERROR(INDEX(Структура_ассортимента[SuperCategory],MATCH(Товары[[#This Row],[SubGroup]],Структура_ассортимента[Subgroup],0)),"")</f>
        <v>A</v>
      </c>
      <c r="D40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0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04" s="110" t="str">
        <f>IFERROR(INDEX(Структура_ассортимента[Product group],MATCH(Товары[[#This Row],[SubGroup]],Структура_ассортимента[Subgroup],0)),"")</f>
        <v>AMT_C</v>
      </c>
      <c r="G404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04" s="110" t="str">
        <f>IFERROR(INDEX(Структура_ассортимента[Generic Name (long)3],MATCH(Товары[[#This Row],[SubGroup]],Структура_ассортимента[Subgroup],0)),"")</f>
        <v>Разбрасыватели-сеялки для зимы</v>
      </c>
      <c r="I404" s="36">
        <v>9225</v>
      </c>
      <c r="J404" s="36" t="str">
        <f>IFERROR(INDEX(Структура_ассортимента[Generic Name (long)],MATCH(Товары[[#This Row],[SubGroup]],Структура_ассортимента[Subgroup],0)),"")</f>
        <v>SPREADER</v>
      </c>
      <c r="L404" s="36">
        <v>967169201</v>
      </c>
      <c r="M404" s="35" t="s">
        <v>2088</v>
      </c>
      <c r="Q404" s="34" t="s">
        <v>3549</v>
      </c>
      <c r="R404" s="34" t="s">
        <v>3540</v>
      </c>
      <c r="S404" s="47">
        <v>41000</v>
      </c>
      <c r="T404" s="47">
        <v>0</v>
      </c>
      <c r="U404" s="47">
        <v>0</v>
      </c>
      <c r="V404" s="34">
        <v>4078500326018</v>
      </c>
      <c r="W404" s="34" t="s">
        <v>3543</v>
      </c>
      <c r="X404" s="34" t="s">
        <v>3579</v>
      </c>
      <c r="Y404" s="34" t="s">
        <v>3542</v>
      </c>
      <c r="Z404" s="34">
        <v>14</v>
      </c>
      <c r="AA404" s="34" t="s">
        <v>4862</v>
      </c>
      <c r="AB404" s="34" t="s">
        <v>4862</v>
      </c>
      <c r="AC404" s="34" t="s">
        <v>4858</v>
      </c>
      <c r="AD404" s="34" t="s">
        <v>4858</v>
      </c>
      <c r="AE404" s="34" t="s">
        <v>4863</v>
      </c>
      <c r="AF404" s="34" t="s">
        <v>4557</v>
      </c>
      <c r="AG404" s="34" t="s">
        <v>4203</v>
      </c>
      <c r="AH404" s="34" t="s">
        <v>4864</v>
      </c>
      <c r="AL404" s="34" t="s">
        <v>4865</v>
      </c>
      <c r="AM404" s="40" t="s">
        <v>8095</v>
      </c>
      <c r="AT404" s="44">
        <v>0</v>
      </c>
      <c r="AU404" s="44"/>
      <c r="AV404" s="46">
        <f>ROUND(Товары[[#This Row],[РРЦ финальная, руб.]]/$AU$1,2)</f>
        <v>0</v>
      </c>
      <c r="AW404" s="45" t="str">
        <f>IFERROR(Товары[[#This Row],[РРЦ, евро]]/Товары[[#This Row],[IRP, Eur]],"-")</f>
        <v>-</v>
      </c>
      <c r="AX404" s="42">
        <f>IFERROR(VLOOKUP(Товары[[#This Row],[SubGroup]],'Структура цен DIY'!$B:$C,2,FALSE),0)</f>
        <v>0.27</v>
      </c>
      <c r="AY404" s="44">
        <v>0</v>
      </c>
    </row>
    <row r="405" spans="1:51" x14ac:dyDescent="0.25">
      <c r="A405" s="34">
        <v>403</v>
      </c>
      <c r="B405" s="34" t="s">
        <v>57</v>
      </c>
      <c r="C405" s="110" t="str">
        <f>IFERROR(INDEX(Структура_ассортимента[SuperCategory],MATCH(Товары[[#This Row],[SubGroup]],Структура_ассортимента[Subgroup],0)),"")</f>
        <v>A</v>
      </c>
      <c r="D40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0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05" s="110" t="str">
        <f>IFERROR(INDEX(Структура_ассортимента[Product group],MATCH(Товары[[#This Row],[SubGroup]],Структура_ассортимента[Subgroup],0)),"")</f>
        <v>AMT_C</v>
      </c>
      <c r="G405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05" s="110" t="str">
        <f>IFERROR(INDEX(Структура_ассортимента[Generic Name (long)3],MATCH(Товары[[#This Row],[SubGroup]],Структура_ассортимента[Subgroup],0)),"")</f>
        <v>Разбрасыватели-сеялки для зимы</v>
      </c>
      <c r="I405" s="36">
        <v>9225</v>
      </c>
      <c r="J405" s="36" t="str">
        <f>IFERROR(INDEX(Структура_ассортимента[Generic Name (long)],MATCH(Товары[[#This Row],[SubGroup]],Структура_ассортимента[Subgroup],0)),"")</f>
        <v>SPREADER</v>
      </c>
      <c r="L405" s="36">
        <v>967955201</v>
      </c>
      <c r="M405" s="35" t="s">
        <v>2089</v>
      </c>
      <c r="O405" s="35" t="s">
        <v>4866</v>
      </c>
      <c r="P405" s="37" t="s">
        <v>4867</v>
      </c>
      <c r="Q405" s="34" t="s">
        <v>3549</v>
      </c>
      <c r="R405" s="34" t="s">
        <v>3540</v>
      </c>
      <c r="S405" s="47">
        <v>43466</v>
      </c>
      <c r="T405" s="47">
        <v>0</v>
      </c>
      <c r="U405" s="47">
        <v>0</v>
      </c>
      <c r="V405" s="34">
        <v>4078500047241</v>
      </c>
      <c r="W405" s="34" t="s">
        <v>3546</v>
      </c>
      <c r="X405" s="34" t="s">
        <v>4868</v>
      </c>
      <c r="Y405" s="34" t="s">
        <v>3542</v>
      </c>
      <c r="Z405" s="34">
        <v>15</v>
      </c>
      <c r="AB405" s="34" t="s">
        <v>4869</v>
      </c>
      <c r="AD405" s="34" t="s">
        <v>4870</v>
      </c>
      <c r="AE405" s="34" t="s">
        <v>4871</v>
      </c>
      <c r="AF405" s="34" t="s">
        <v>3742</v>
      </c>
      <c r="AG405" s="34" t="s">
        <v>4549</v>
      </c>
      <c r="AH405" s="34" t="s">
        <v>4872</v>
      </c>
      <c r="AJ405" s="34" t="s">
        <v>4873</v>
      </c>
      <c r="AK405" s="34" t="s">
        <v>3742</v>
      </c>
      <c r="AL405" s="34" t="s">
        <v>4874</v>
      </c>
      <c r="AM405" s="40" t="s">
        <v>9</v>
      </c>
      <c r="AP405" s="34">
        <v>0</v>
      </c>
      <c r="AQ405" s="34">
        <v>1579</v>
      </c>
      <c r="AR405" s="34">
        <v>1013</v>
      </c>
      <c r="AT405" s="44">
        <v>122300</v>
      </c>
      <c r="AU405" s="44"/>
      <c r="AV405" s="46">
        <f>ROUND(Товары[[#This Row],[РРЦ финальная, руб.]]/$AU$1,2)</f>
        <v>0</v>
      </c>
      <c r="AW405" s="45" t="str">
        <f>IFERROR(Товары[[#This Row],[РРЦ, евро]]/Товары[[#This Row],[IRP, Eur]],"-")</f>
        <v>-</v>
      </c>
      <c r="AX405" s="42">
        <f>IFERROR(VLOOKUP(Товары[[#This Row],[SubGroup]],'Структура цен DIY'!$B:$C,2,FALSE),0)</f>
        <v>0.27</v>
      </c>
      <c r="AY405" s="44">
        <v>0</v>
      </c>
    </row>
    <row r="406" spans="1:51" x14ac:dyDescent="0.25">
      <c r="A406" s="34">
        <v>404</v>
      </c>
      <c r="B406" s="34" t="s">
        <v>57</v>
      </c>
      <c r="C406" s="110" t="str">
        <f>IFERROR(INDEX(Структура_ассортимента[SuperCategory],MATCH(Товары[[#This Row],[SubGroup]],Структура_ассортимента[Subgroup],0)),"")</f>
        <v>A</v>
      </c>
      <c r="D40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0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06" s="110" t="str">
        <f>IFERROR(INDEX(Структура_ассортимента[Product group],MATCH(Товары[[#This Row],[SubGroup]],Структура_ассортимента[Subgroup],0)),"")</f>
        <v>AMT_C</v>
      </c>
      <c r="G406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06" s="110" t="str">
        <f>IFERROR(INDEX(Структура_ассортимента[Generic Name (long)3],MATCH(Товары[[#This Row],[SubGroup]],Структура_ассортимента[Subgroup],0)),"")</f>
        <v>Разбрасыватели-сеялки для зимы</v>
      </c>
      <c r="I406" s="36">
        <v>9225</v>
      </c>
      <c r="J406" s="36" t="str">
        <f>IFERROR(INDEX(Структура_ассортимента[Generic Name (long)],MATCH(Товары[[#This Row],[SubGroup]],Структура_ассортимента[Subgroup],0)),"")</f>
        <v>SPREADER</v>
      </c>
      <c r="L406" s="36">
        <v>967955401</v>
      </c>
      <c r="M406" s="35" t="s">
        <v>2090</v>
      </c>
      <c r="O406" s="35" t="s">
        <v>4875</v>
      </c>
      <c r="P406" s="37" t="s">
        <v>4876</v>
      </c>
      <c r="Q406" s="34" t="s">
        <v>3549</v>
      </c>
      <c r="R406" s="34" t="s">
        <v>3540</v>
      </c>
      <c r="S406" s="47">
        <v>43466</v>
      </c>
      <c r="T406" s="47">
        <v>0</v>
      </c>
      <c r="U406" s="47">
        <v>0</v>
      </c>
      <c r="V406" s="34">
        <v>4078500047265</v>
      </c>
      <c r="W406" s="34" t="s">
        <v>3546</v>
      </c>
      <c r="X406" s="34" t="s">
        <v>4868</v>
      </c>
      <c r="Y406" s="34" t="s">
        <v>3542</v>
      </c>
      <c r="Z406" s="34">
        <v>12</v>
      </c>
      <c r="AB406" s="34" t="s">
        <v>4877</v>
      </c>
      <c r="AD406" s="34" t="s">
        <v>4878</v>
      </c>
      <c r="AE406" s="34" t="s">
        <v>4879</v>
      </c>
      <c r="AF406" s="34" t="s">
        <v>4145</v>
      </c>
      <c r="AG406" s="34" t="s">
        <v>3877</v>
      </c>
      <c r="AH406" s="34" t="s">
        <v>4880</v>
      </c>
      <c r="AJ406" s="34" t="s">
        <v>4879</v>
      </c>
      <c r="AK406" s="34" t="s">
        <v>4145</v>
      </c>
      <c r="AL406" s="34" t="s">
        <v>3617</v>
      </c>
      <c r="AM406" s="40" t="s">
        <v>9</v>
      </c>
      <c r="AP406" s="34">
        <v>0</v>
      </c>
      <c r="AQ406" s="34">
        <v>3979</v>
      </c>
      <c r="AR406" s="34">
        <v>2553</v>
      </c>
      <c r="AT406" s="44">
        <v>308200</v>
      </c>
      <c r="AU406" s="44"/>
      <c r="AV406" s="46">
        <f>ROUND(Товары[[#This Row],[РРЦ финальная, руб.]]/$AU$1,2)</f>
        <v>0</v>
      </c>
      <c r="AW406" s="45" t="str">
        <f>IFERROR(Товары[[#This Row],[РРЦ, евро]]/Товары[[#This Row],[IRP, Eur]],"-")</f>
        <v>-</v>
      </c>
      <c r="AX406" s="42">
        <f>IFERROR(VLOOKUP(Товары[[#This Row],[SubGroup]],'Структура цен DIY'!$B:$C,2,FALSE),0)</f>
        <v>0.27</v>
      </c>
      <c r="AY406" s="44">
        <v>0</v>
      </c>
    </row>
    <row r="407" spans="1:51" x14ac:dyDescent="0.25">
      <c r="A407" s="34">
        <v>405</v>
      </c>
      <c r="B407" s="34" t="s">
        <v>56</v>
      </c>
      <c r="C407" s="110" t="str">
        <f>IFERROR(INDEX(Структура_ассортимента[SuperCategory],MATCH(Товары[[#This Row],[SubGroup]],Структура_ассортимента[Subgroup],0)),"")</f>
        <v>A</v>
      </c>
      <c r="D40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0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07" s="110" t="str">
        <f>IFERROR(INDEX(Структура_ассортимента[Product group],MATCH(Товары[[#This Row],[SubGroup]],Структура_ассортимента[Subgroup],0)),"")</f>
        <v>AMT_C</v>
      </c>
      <c r="G407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07" s="110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07" s="36">
        <v>9226</v>
      </c>
      <c r="J407" s="36" t="str">
        <f>IFERROR(INDEX(Структура_ассортимента[Generic Name (long)],MATCH(Товары[[#This Row],[SubGroup]],Структура_ассортимента[Subgroup],0)),"")</f>
        <v>GARDEN TOOL SET</v>
      </c>
      <c r="L407" s="36">
        <v>901201901</v>
      </c>
      <c r="M407" s="35" t="s">
        <v>2091</v>
      </c>
      <c r="Q407" s="34" t="s">
        <v>3549</v>
      </c>
      <c r="R407" s="34" t="s">
        <v>3540</v>
      </c>
      <c r="S407" s="47">
        <v>37895</v>
      </c>
      <c r="T407" s="47">
        <v>0</v>
      </c>
      <c r="U407" s="47">
        <v>0</v>
      </c>
      <c r="V407" s="34">
        <v>4078500890007</v>
      </c>
      <c r="W407" s="34" t="s">
        <v>3547</v>
      </c>
      <c r="X407" s="34" t="s">
        <v>3704</v>
      </c>
      <c r="Y407" s="34" t="s">
        <v>3542</v>
      </c>
      <c r="Z407" s="34">
        <v>5</v>
      </c>
      <c r="AA407" s="34" t="s">
        <v>4881</v>
      </c>
      <c r="AB407" s="34" t="s">
        <v>4881</v>
      </c>
      <c r="AC407" s="34" t="s">
        <v>3806</v>
      </c>
      <c r="AD407" s="34" t="s">
        <v>3806</v>
      </c>
      <c r="AE407" s="34" t="s">
        <v>4882</v>
      </c>
      <c r="AF407" s="34" t="s">
        <v>4351</v>
      </c>
      <c r="AG407" s="34" t="s">
        <v>3672</v>
      </c>
      <c r="AH407" s="34" t="s">
        <v>4883</v>
      </c>
      <c r="AL407" s="34" t="s">
        <v>4884</v>
      </c>
      <c r="AM407" s="40" t="s">
        <v>8095</v>
      </c>
      <c r="AT407" s="44">
        <v>0</v>
      </c>
      <c r="AU407" s="44"/>
      <c r="AV407" s="46">
        <f>ROUND(Товары[[#This Row],[РРЦ финальная, руб.]]/$AU$1,2)</f>
        <v>0</v>
      </c>
      <c r="AW407" s="45" t="str">
        <f>IFERROR(Товары[[#This Row],[РРЦ, евро]]/Товары[[#This Row],[IRP, Eur]],"-")</f>
        <v>-</v>
      </c>
      <c r="AX407" s="42">
        <f>IFERROR(VLOOKUP(Товары[[#This Row],[SubGroup]],'Структура цен DIY'!$B:$C,2,FALSE),0)</f>
        <v>0.27976081460674185</v>
      </c>
      <c r="AY407" s="44">
        <v>0</v>
      </c>
    </row>
    <row r="408" spans="1:51" x14ac:dyDescent="0.25">
      <c r="A408" s="34">
        <v>406</v>
      </c>
      <c r="B408" s="34" t="s">
        <v>56</v>
      </c>
      <c r="C408" s="110" t="str">
        <f>IFERROR(INDEX(Структура_ассортимента[SuperCategory],MATCH(Товары[[#This Row],[SubGroup]],Структура_ассортимента[Subgroup],0)),"")</f>
        <v>A</v>
      </c>
      <c r="D40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0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08" s="110" t="str">
        <f>IFERROR(INDEX(Структура_ассортимента[Product group],MATCH(Товары[[#This Row],[SubGroup]],Структура_ассортимента[Subgroup],0)),"")</f>
        <v>AMT_C</v>
      </c>
      <c r="G408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08" s="110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08" s="36">
        <v>9226</v>
      </c>
      <c r="J408" s="36" t="str">
        <f>IFERROR(INDEX(Структура_ассортимента[Generic Name (long)],MATCH(Товары[[#This Row],[SubGroup]],Структура_ассортимента[Subgroup],0)),"")</f>
        <v>GARDEN TOOL SET</v>
      </c>
      <c r="L408" s="36">
        <v>901032201</v>
      </c>
      <c r="M408" s="35" t="s">
        <v>2092</v>
      </c>
      <c r="Q408" s="34" t="s">
        <v>3549</v>
      </c>
      <c r="R408" s="34" t="s">
        <v>3540</v>
      </c>
      <c r="S408" s="47">
        <v>38626</v>
      </c>
      <c r="T408" s="47">
        <v>0</v>
      </c>
      <c r="U408" s="47">
        <v>0</v>
      </c>
      <c r="V408" s="34">
        <v>4078500300100</v>
      </c>
      <c r="W408" s="34" t="s">
        <v>3543</v>
      </c>
      <c r="X408" s="34" t="s">
        <v>3579</v>
      </c>
      <c r="Y408" s="34" t="s">
        <v>3542</v>
      </c>
      <c r="Z408" s="34">
        <v>30</v>
      </c>
      <c r="AA408" s="34" t="s">
        <v>4885</v>
      </c>
      <c r="AB408" s="34" t="s">
        <v>4885</v>
      </c>
      <c r="AC408" s="34" t="s">
        <v>4669</v>
      </c>
      <c r="AD408" s="34" t="s">
        <v>4669</v>
      </c>
      <c r="AE408" s="34" t="s">
        <v>4591</v>
      </c>
      <c r="AF408" s="34" t="s">
        <v>3707</v>
      </c>
      <c r="AG408" s="34" t="s">
        <v>4181</v>
      </c>
      <c r="AH408" s="34" t="s">
        <v>4886</v>
      </c>
      <c r="AL408" s="34">
        <v>90</v>
      </c>
      <c r="AM408" s="40" t="s">
        <v>8095</v>
      </c>
      <c r="AT408" s="44">
        <v>0</v>
      </c>
      <c r="AU408" s="44"/>
      <c r="AV408" s="46">
        <f>ROUND(Товары[[#This Row],[РРЦ финальная, руб.]]/$AU$1,2)</f>
        <v>0</v>
      </c>
      <c r="AW408" s="45" t="str">
        <f>IFERROR(Товары[[#This Row],[РРЦ, евро]]/Товары[[#This Row],[IRP, Eur]],"-")</f>
        <v>-</v>
      </c>
      <c r="AX408" s="42">
        <f>IFERROR(VLOOKUP(Товары[[#This Row],[SubGroup]],'Структура цен DIY'!$B:$C,2,FALSE),0)</f>
        <v>0.27976081460674185</v>
      </c>
      <c r="AY408" s="44">
        <v>0</v>
      </c>
    </row>
    <row r="409" spans="1:51" x14ac:dyDescent="0.25">
      <c r="A409" s="34">
        <v>407</v>
      </c>
      <c r="B409" s="34" t="s">
        <v>56</v>
      </c>
      <c r="C409" s="110" t="str">
        <f>IFERROR(INDEX(Структура_ассортимента[SuperCategory],MATCH(Товары[[#This Row],[SubGroup]],Структура_ассортимента[Subgroup],0)),"")</f>
        <v>A</v>
      </c>
      <c r="D40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0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09" s="110" t="str">
        <f>IFERROR(INDEX(Структура_ассортимента[Product group],MATCH(Товары[[#This Row],[SubGroup]],Структура_ассортимента[Subgroup],0)),"")</f>
        <v>AMT_C</v>
      </c>
      <c r="G409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09" s="110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09" s="36">
        <v>9226</v>
      </c>
      <c r="J409" s="36" t="str">
        <f>IFERROR(INDEX(Структура_ассортимента[Generic Name (long)],MATCH(Товары[[#This Row],[SubGroup]],Структура_ассортимента[Subgroup],0)),"")</f>
        <v>GARDEN TOOL SET</v>
      </c>
      <c r="L409" s="36">
        <v>967093501</v>
      </c>
      <c r="M409" s="35" t="s">
        <v>2093</v>
      </c>
      <c r="O409" s="35" t="s">
        <v>4887</v>
      </c>
      <c r="P409" s="37" t="s">
        <v>4888</v>
      </c>
      <c r="Q409" s="34" t="s">
        <v>3549</v>
      </c>
      <c r="R409" s="34" t="s">
        <v>3540</v>
      </c>
      <c r="S409" s="47">
        <v>42736</v>
      </c>
      <c r="T409" s="47">
        <v>0</v>
      </c>
      <c r="U409" s="47">
        <v>0</v>
      </c>
      <c r="V409" s="34">
        <v>4078500023382</v>
      </c>
      <c r="W409" s="34" t="s">
        <v>3703</v>
      </c>
      <c r="X409" s="34" t="s">
        <v>3704</v>
      </c>
      <c r="Y409" s="34" t="s">
        <v>3542</v>
      </c>
      <c r="Z409" s="34">
        <v>5</v>
      </c>
      <c r="AA409" s="34">
        <v>270</v>
      </c>
      <c r="AB409" s="34" t="s">
        <v>4889</v>
      </c>
      <c r="AC409" s="34">
        <v>265</v>
      </c>
      <c r="AD409" s="34" t="s">
        <v>4890</v>
      </c>
      <c r="AE409" s="34" t="s">
        <v>4891</v>
      </c>
      <c r="AF409" s="34" t="s">
        <v>3878</v>
      </c>
      <c r="AG409" s="34" t="s">
        <v>3711</v>
      </c>
      <c r="AH409" s="34" t="s">
        <v>4892</v>
      </c>
      <c r="AI409" s="34" t="s">
        <v>4470</v>
      </c>
      <c r="AJ409" s="34" t="s">
        <v>4893</v>
      </c>
      <c r="AK409" s="34" t="s">
        <v>3711</v>
      </c>
      <c r="AL409" s="34" t="s">
        <v>4894</v>
      </c>
      <c r="AM409" s="40" t="s">
        <v>9</v>
      </c>
      <c r="AP409" s="34">
        <v>0</v>
      </c>
      <c r="AQ409" s="34">
        <v>1039</v>
      </c>
      <c r="AR409" s="34">
        <v>624</v>
      </c>
      <c r="AT409" s="44">
        <v>80500</v>
      </c>
      <c r="AU409" s="44"/>
      <c r="AV409" s="46">
        <f>ROUND(Товары[[#This Row],[РРЦ финальная, руб.]]/$AU$1,2)</f>
        <v>0</v>
      </c>
      <c r="AW409" s="45" t="str">
        <f>IFERROR(Товары[[#This Row],[РРЦ, евро]]/Товары[[#This Row],[IRP, Eur]],"-")</f>
        <v>-</v>
      </c>
      <c r="AX409" s="42">
        <f>IFERROR(VLOOKUP(Товары[[#This Row],[SubGroup]],'Структура цен DIY'!$B:$C,2,FALSE),0)</f>
        <v>0.27976081460674185</v>
      </c>
      <c r="AY409" s="44">
        <v>0</v>
      </c>
    </row>
    <row r="410" spans="1:51" x14ac:dyDescent="0.25">
      <c r="A410" s="34">
        <v>408</v>
      </c>
      <c r="B410" s="34" t="s">
        <v>56</v>
      </c>
      <c r="C410" s="110" t="str">
        <f>IFERROR(INDEX(Структура_ассортимента[SuperCategory],MATCH(Товары[[#This Row],[SubGroup]],Структура_ассортимента[Subgroup],0)),"")</f>
        <v>A</v>
      </c>
      <c r="D41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1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10" s="110" t="str">
        <f>IFERROR(INDEX(Структура_ассортимента[Product group],MATCH(Товары[[#This Row],[SubGroup]],Структура_ассортимента[Subgroup],0)),"")</f>
        <v>AMT_C</v>
      </c>
      <c r="G410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10" s="110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10" s="36">
        <v>9226</v>
      </c>
      <c r="J410" s="36" t="str">
        <f>IFERROR(INDEX(Структура_ассортимента[Generic Name (long)],MATCH(Товары[[#This Row],[SubGroup]],Структура_ассортимента[Subgroup],0)),"")</f>
        <v>GARDEN TOOL SET</v>
      </c>
      <c r="L410" s="36">
        <v>967093601</v>
      </c>
      <c r="M410" s="35" t="s">
        <v>2094</v>
      </c>
      <c r="Q410" s="34" t="s">
        <v>3549</v>
      </c>
      <c r="R410" s="34" t="s">
        <v>3540</v>
      </c>
      <c r="S410" s="47">
        <v>42736</v>
      </c>
      <c r="T410" s="47">
        <v>0</v>
      </c>
      <c r="U410" s="47">
        <v>0</v>
      </c>
      <c r="V410" s="34">
        <v>4078500023405</v>
      </c>
      <c r="W410" s="34" t="s">
        <v>3703</v>
      </c>
      <c r="X410" s="34" t="s">
        <v>3704</v>
      </c>
      <c r="Y410" s="34" t="s">
        <v>3542</v>
      </c>
      <c r="Z410" s="34">
        <v>5</v>
      </c>
      <c r="AA410" s="34">
        <v>270</v>
      </c>
      <c r="AB410" s="34" t="s">
        <v>4895</v>
      </c>
      <c r="AC410" s="34">
        <v>265</v>
      </c>
      <c r="AD410" s="34" t="s">
        <v>4889</v>
      </c>
      <c r="AE410" s="34" t="s">
        <v>4490</v>
      </c>
      <c r="AF410" s="34" t="s">
        <v>4893</v>
      </c>
      <c r="AG410" s="34" t="s">
        <v>4239</v>
      </c>
      <c r="AH410" s="34" t="s">
        <v>4896</v>
      </c>
      <c r="AI410" s="34" t="s">
        <v>4470</v>
      </c>
      <c r="AJ410" s="34" t="s">
        <v>3865</v>
      </c>
      <c r="AK410" s="34" t="s">
        <v>4802</v>
      </c>
      <c r="AL410" s="34" t="s">
        <v>4894</v>
      </c>
      <c r="AM410" s="40" t="s">
        <v>8095</v>
      </c>
      <c r="AT410" s="44">
        <v>0</v>
      </c>
      <c r="AU410" s="44"/>
      <c r="AV410" s="46">
        <f>ROUND(Товары[[#This Row],[РРЦ финальная, руб.]]/$AU$1,2)</f>
        <v>0</v>
      </c>
      <c r="AW410" s="45" t="str">
        <f>IFERROR(Товары[[#This Row],[РРЦ, евро]]/Товары[[#This Row],[IRP, Eur]],"-")</f>
        <v>-</v>
      </c>
      <c r="AX410" s="42">
        <f>IFERROR(VLOOKUP(Товары[[#This Row],[SubGroup]],'Структура цен DIY'!$B:$C,2,FALSE),0)</f>
        <v>0.27976081460674185</v>
      </c>
      <c r="AY410" s="44">
        <v>0</v>
      </c>
    </row>
    <row r="411" spans="1:51" x14ac:dyDescent="0.25">
      <c r="A411" s="34">
        <v>409</v>
      </c>
      <c r="B411" s="34" t="s">
        <v>56</v>
      </c>
      <c r="C411" s="110" t="str">
        <f>IFERROR(INDEX(Структура_ассортимента[SuperCategory],MATCH(Товары[[#This Row],[SubGroup]],Структура_ассортимента[Subgroup],0)),"")</f>
        <v>A</v>
      </c>
      <c r="D41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1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11" s="110" t="str">
        <f>IFERROR(INDEX(Структура_ассортимента[Product group],MATCH(Товары[[#This Row],[SubGroup]],Структура_ассортимента[Subgroup],0)),"")</f>
        <v>AMT_C</v>
      </c>
      <c r="G411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11" s="110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11" s="36">
        <v>9226</v>
      </c>
      <c r="J411" s="36" t="str">
        <f>IFERROR(INDEX(Структура_ассортимента[Generic Name (long)],MATCH(Товары[[#This Row],[SubGroup]],Структура_ассортимента[Subgroup],0)),"")</f>
        <v>GARDEN TOOL SET</v>
      </c>
      <c r="L411" s="36">
        <v>967093701</v>
      </c>
      <c r="M411" s="35" t="s">
        <v>2095</v>
      </c>
      <c r="O411" s="35" t="s">
        <v>4897</v>
      </c>
      <c r="P411" s="37" t="s">
        <v>4898</v>
      </c>
      <c r="Q411" s="34" t="s">
        <v>3549</v>
      </c>
      <c r="R411" s="34" t="s">
        <v>3540</v>
      </c>
      <c r="S411" s="47">
        <v>42736</v>
      </c>
      <c r="T411" s="47">
        <v>0</v>
      </c>
      <c r="U411" s="47">
        <v>0</v>
      </c>
      <c r="V411" s="34">
        <v>4078500023429</v>
      </c>
      <c r="W411" s="34" t="s">
        <v>3703</v>
      </c>
      <c r="X411" s="34" t="s">
        <v>3704</v>
      </c>
      <c r="Y411" s="34" t="s">
        <v>3542</v>
      </c>
      <c r="Z411" s="34">
        <v>5</v>
      </c>
      <c r="AA411" s="34">
        <v>366</v>
      </c>
      <c r="AB411" s="34" t="s">
        <v>4899</v>
      </c>
      <c r="AC411" s="34">
        <v>330</v>
      </c>
      <c r="AD411" s="34" t="s">
        <v>4900</v>
      </c>
      <c r="AE411" s="34" t="s">
        <v>4490</v>
      </c>
      <c r="AF411" s="34" t="s">
        <v>4901</v>
      </c>
      <c r="AG411" s="34" t="s">
        <v>3800</v>
      </c>
      <c r="AH411" s="34" t="s">
        <v>4902</v>
      </c>
      <c r="AI411" s="34" t="s">
        <v>4470</v>
      </c>
      <c r="AJ411" s="34" t="s">
        <v>3903</v>
      </c>
      <c r="AK411" s="34" t="s">
        <v>4560</v>
      </c>
      <c r="AL411" s="34" t="s">
        <v>4903</v>
      </c>
      <c r="AM411" s="40" t="s">
        <v>9</v>
      </c>
      <c r="AP411" s="34">
        <v>0</v>
      </c>
      <c r="AQ411" s="34">
        <v>1190</v>
      </c>
      <c r="AR411" s="34">
        <v>714</v>
      </c>
      <c r="AT411" s="44">
        <v>92200</v>
      </c>
      <c r="AU411" s="44"/>
      <c r="AV411" s="46">
        <f>ROUND(Товары[[#This Row],[РРЦ финальная, руб.]]/$AU$1,2)</f>
        <v>0</v>
      </c>
      <c r="AW411" s="45" t="str">
        <f>IFERROR(Товары[[#This Row],[РРЦ, евро]]/Товары[[#This Row],[IRP, Eur]],"-")</f>
        <v>-</v>
      </c>
      <c r="AX411" s="42">
        <f>IFERROR(VLOOKUP(Товары[[#This Row],[SubGroup]],'Структура цен DIY'!$B:$C,2,FALSE),0)</f>
        <v>0.27976081460674185</v>
      </c>
      <c r="AY411" s="44">
        <v>0</v>
      </c>
    </row>
    <row r="412" spans="1:51" x14ac:dyDescent="0.25">
      <c r="A412" s="34">
        <v>410</v>
      </c>
      <c r="B412" s="34" t="s">
        <v>56</v>
      </c>
      <c r="C412" s="110" t="str">
        <f>IFERROR(INDEX(Структура_ассортимента[SuperCategory],MATCH(Товары[[#This Row],[SubGroup]],Структура_ассортимента[Subgroup],0)),"")</f>
        <v>A</v>
      </c>
      <c r="D41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1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12" s="110" t="str">
        <f>IFERROR(INDEX(Структура_ассортимента[Product group],MATCH(Товары[[#This Row],[SubGroup]],Структура_ассортимента[Subgroup],0)),"")</f>
        <v>AMT_C</v>
      </c>
      <c r="G412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12" s="110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12" s="36">
        <v>9226</v>
      </c>
      <c r="J412" s="36" t="str">
        <f>IFERROR(INDEX(Структура_ассортимента[Generic Name (long)],MATCH(Товары[[#This Row],[SubGroup]],Структура_ассортимента[Subgroup],0)),"")</f>
        <v>GARDEN TOOL SET</v>
      </c>
      <c r="L412" s="36">
        <v>967093801</v>
      </c>
      <c r="M412" s="35" t="s">
        <v>2096</v>
      </c>
      <c r="Q412" s="34" t="s">
        <v>3549</v>
      </c>
      <c r="R412" s="34" t="s">
        <v>3540</v>
      </c>
      <c r="S412" s="47">
        <v>42736</v>
      </c>
      <c r="T412" s="47">
        <v>0</v>
      </c>
      <c r="U412" s="47">
        <v>0</v>
      </c>
      <c r="V412" s="34">
        <v>4078500023443</v>
      </c>
      <c r="W412" s="34" t="s">
        <v>3703</v>
      </c>
      <c r="X412" s="34" t="s">
        <v>3704</v>
      </c>
      <c r="Y412" s="34" t="s">
        <v>3542</v>
      </c>
      <c r="Z412" s="34">
        <v>5</v>
      </c>
      <c r="AA412" s="34">
        <v>250</v>
      </c>
      <c r="AB412" s="34" t="s">
        <v>4904</v>
      </c>
      <c r="AC412" s="34">
        <v>215</v>
      </c>
      <c r="AD412" s="34" t="s">
        <v>4905</v>
      </c>
      <c r="AE412" s="34" t="s">
        <v>4906</v>
      </c>
      <c r="AF412" s="34" t="s">
        <v>4471</v>
      </c>
      <c r="AG412" s="34" t="s">
        <v>4218</v>
      </c>
      <c r="AH412" s="34" t="s">
        <v>4907</v>
      </c>
      <c r="AI412" s="34" t="s">
        <v>4908</v>
      </c>
      <c r="AJ412" s="34" t="s">
        <v>3560</v>
      </c>
      <c r="AK412" s="34" t="s">
        <v>4909</v>
      </c>
      <c r="AL412" s="34" t="s">
        <v>4910</v>
      </c>
      <c r="AM412" s="40" t="s">
        <v>8095</v>
      </c>
      <c r="AT412" s="44">
        <v>0</v>
      </c>
      <c r="AU412" s="44"/>
      <c r="AV412" s="46">
        <f>ROUND(Товары[[#This Row],[РРЦ финальная, руб.]]/$AU$1,2)</f>
        <v>0</v>
      </c>
      <c r="AW412" s="45" t="str">
        <f>IFERROR(Товары[[#This Row],[РРЦ, евро]]/Товары[[#This Row],[IRP, Eur]],"-")</f>
        <v>-</v>
      </c>
      <c r="AX412" s="42">
        <f>IFERROR(VLOOKUP(Товары[[#This Row],[SubGroup]],'Структура цен DIY'!$B:$C,2,FALSE),0)</f>
        <v>0.27976081460674185</v>
      </c>
      <c r="AY412" s="44">
        <v>0</v>
      </c>
    </row>
    <row r="413" spans="1:51" x14ac:dyDescent="0.25">
      <c r="A413" s="34">
        <v>411</v>
      </c>
      <c r="B413" s="34" t="s">
        <v>56</v>
      </c>
      <c r="C413" s="110" t="str">
        <f>IFERROR(INDEX(Структура_ассортимента[SuperCategory],MATCH(Товары[[#This Row],[SubGroup]],Структура_ассортимента[Subgroup],0)),"")</f>
        <v>A</v>
      </c>
      <c r="D41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1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13" s="110" t="str">
        <f>IFERROR(INDEX(Структура_ассортимента[Product group],MATCH(Товары[[#This Row],[SubGroup]],Структура_ассортимента[Subgroup],0)),"")</f>
        <v>AMT_C</v>
      </c>
      <c r="G413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13" s="110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13" s="36">
        <v>9226</v>
      </c>
      <c r="J413" s="36" t="str">
        <f>IFERROR(INDEX(Структура_ассортимента[Generic Name (long)],MATCH(Товары[[#This Row],[SubGroup]],Структура_ассортимента[Subgroup],0)),"")</f>
        <v>GARDEN TOOL SET</v>
      </c>
      <c r="L413" s="36">
        <v>967093901</v>
      </c>
      <c r="M413" s="35" t="s">
        <v>2097</v>
      </c>
      <c r="O413" s="35" t="s">
        <v>4911</v>
      </c>
      <c r="P413" s="37" t="s">
        <v>4912</v>
      </c>
      <c r="Q413" s="34" t="s">
        <v>3549</v>
      </c>
      <c r="R413" s="34" t="s">
        <v>3540</v>
      </c>
      <c r="S413" s="47">
        <v>42736</v>
      </c>
      <c r="T413" s="47">
        <v>0</v>
      </c>
      <c r="U413" s="47">
        <v>0</v>
      </c>
      <c r="V413" s="34">
        <v>4078500023467</v>
      </c>
      <c r="W413" s="34" t="s">
        <v>3703</v>
      </c>
      <c r="X413" s="34" t="s">
        <v>3704</v>
      </c>
      <c r="Y413" s="34" t="s">
        <v>3542</v>
      </c>
      <c r="Z413" s="34">
        <v>5</v>
      </c>
      <c r="AA413" s="34">
        <v>245</v>
      </c>
      <c r="AB413" s="34" t="s">
        <v>4904</v>
      </c>
      <c r="AC413" s="34">
        <v>215</v>
      </c>
      <c r="AD413" s="34" t="s">
        <v>4905</v>
      </c>
      <c r="AE413" s="34" t="s">
        <v>4913</v>
      </c>
      <c r="AF413" s="34" t="s">
        <v>3911</v>
      </c>
      <c r="AG413" s="34" t="s">
        <v>4181</v>
      </c>
      <c r="AH413" s="34" t="s">
        <v>4914</v>
      </c>
      <c r="AI413" s="34" t="s">
        <v>4915</v>
      </c>
      <c r="AJ413" s="34" t="s">
        <v>3698</v>
      </c>
      <c r="AK413" s="34" t="s">
        <v>4659</v>
      </c>
      <c r="AL413" s="34" t="s">
        <v>4916</v>
      </c>
      <c r="AM413" s="40" t="s">
        <v>9</v>
      </c>
      <c r="AP413" s="34">
        <v>0</v>
      </c>
      <c r="AQ413" s="34">
        <v>1039</v>
      </c>
      <c r="AR413" s="34">
        <v>624</v>
      </c>
      <c r="AT413" s="44">
        <v>80500</v>
      </c>
      <c r="AU413" s="44"/>
      <c r="AV413" s="46">
        <f>ROUND(Товары[[#This Row],[РРЦ финальная, руб.]]/$AU$1,2)</f>
        <v>0</v>
      </c>
      <c r="AW413" s="45" t="str">
        <f>IFERROR(Товары[[#This Row],[РРЦ, евро]]/Товары[[#This Row],[IRP, Eur]],"-")</f>
        <v>-</v>
      </c>
      <c r="AX413" s="42">
        <f>IFERROR(VLOOKUP(Товары[[#This Row],[SubGroup]],'Структура цен DIY'!$B:$C,2,FALSE),0)</f>
        <v>0.27976081460674185</v>
      </c>
      <c r="AY413" s="44">
        <v>0</v>
      </c>
    </row>
    <row r="414" spans="1:51" x14ac:dyDescent="0.25">
      <c r="A414" s="34">
        <v>412</v>
      </c>
      <c r="B414" s="34" t="s">
        <v>56</v>
      </c>
      <c r="C414" s="110" t="str">
        <f>IFERROR(INDEX(Структура_ассортимента[SuperCategory],MATCH(Товары[[#This Row],[SubGroup]],Структура_ассортимента[Subgroup],0)),"")</f>
        <v>A</v>
      </c>
      <c r="D41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1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14" s="110" t="str">
        <f>IFERROR(INDEX(Структура_ассортимента[Product group],MATCH(Товары[[#This Row],[SubGroup]],Структура_ассортимента[Subgroup],0)),"")</f>
        <v>AMT_C</v>
      </c>
      <c r="G414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14" s="110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14" s="36">
        <v>9226</v>
      </c>
      <c r="J414" s="36" t="str">
        <f>IFERROR(INDEX(Структура_ассортимента[Generic Name (long)],MATCH(Товары[[#This Row],[SubGroup]],Структура_ассортимента[Subgroup],0)),"")</f>
        <v>GARDEN TOOL SET</v>
      </c>
      <c r="L414" s="36">
        <v>967094001</v>
      </c>
      <c r="M414" s="35" t="s">
        <v>2098</v>
      </c>
      <c r="O414" s="35" t="s">
        <v>4917</v>
      </c>
      <c r="P414" s="37" t="s">
        <v>4918</v>
      </c>
      <c r="Q414" s="34" t="s">
        <v>3549</v>
      </c>
      <c r="R414" s="34" t="s">
        <v>3540</v>
      </c>
      <c r="S414" s="47">
        <v>42736</v>
      </c>
      <c r="T414" s="47">
        <v>0</v>
      </c>
      <c r="U414" s="47">
        <v>0</v>
      </c>
      <c r="V414" s="34">
        <v>4078500023481</v>
      </c>
      <c r="W414" s="34" t="s">
        <v>3703</v>
      </c>
      <c r="X414" s="34" t="s">
        <v>3704</v>
      </c>
      <c r="Y414" s="34" t="s">
        <v>3542</v>
      </c>
      <c r="Z414" s="34">
        <v>5</v>
      </c>
      <c r="AA414" s="34">
        <v>261</v>
      </c>
      <c r="AB414" s="34" t="s">
        <v>4919</v>
      </c>
      <c r="AC414" s="34">
        <v>240</v>
      </c>
      <c r="AD414" s="34" t="s">
        <v>4147</v>
      </c>
      <c r="AE414" s="34" t="s">
        <v>4920</v>
      </c>
      <c r="AF414" s="34" t="s">
        <v>3561</v>
      </c>
      <c r="AG414" s="34" t="s">
        <v>4632</v>
      </c>
      <c r="AH414" s="34" t="s">
        <v>4921</v>
      </c>
      <c r="AI414" s="34" t="s">
        <v>4922</v>
      </c>
      <c r="AJ414" s="34" t="s">
        <v>4923</v>
      </c>
      <c r="AK414" s="34" t="s">
        <v>4546</v>
      </c>
      <c r="AL414" s="34" t="s">
        <v>4924</v>
      </c>
      <c r="AM414" s="40" t="s">
        <v>9</v>
      </c>
      <c r="AP414" s="34">
        <v>0</v>
      </c>
      <c r="AQ414" s="34">
        <v>1039</v>
      </c>
      <c r="AR414" s="34">
        <v>624</v>
      </c>
      <c r="AT414" s="44">
        <v>80500</v>
      </c>
      <c r="AU414" s="44"/>
      <c r="AV414" s="46">
        <f>ROUND(Товары[[#This Row],[РРЦ финальная, руб.]]/$AU$1,2)</f>
        <v>0</v>
      </c>
      <c r="AW414" s="45" t="str">
        <f>IFERROR(Товары[[#This Row],[РРЦ, евро]]/Товары[[#This Row],[IRP, Eur]],"-")</f>
        <v>-</v>
      </c>
      <c r="AX414" s="42">
        <f>IFERROR(VLOOKUP(Товары[[#This Row],[SubGroup]],'Структура цен DIY'!$B:$C,2,FALSE),0)</f>
        <v>0.27976081460674185</v>
      </c>
      <c r="AY414" s="44">
        <v>0</v>
      </c>
    </row>
    <row r="415" spans="1:51" x14ac:dyDescent="0.25">
      <c r="A415" s="34">
        <v>413</v>
      </c>
      <c r="B415" s="34" t="s">
        <v>56</v>
      </c>
      <c r="C415" s="110" t="str">
        <f>IFERROR(INDEX(Структура_ассортимента[SuperCategory],MATCH(Товары[[#This Row],[SubGroup]],Структура_ассортимента[Subgroup],0)),"")</f>
        <v>A</v>
      </c>
      <c r="D41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1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15" s="110" t="str">
        <f>IFERROR(INDEX(Структура_ассортимента[Product group],MATCH(Товары[[#This Row],[SubGroup]],Структура_ассортимента[Subgroup],0)),"")</f>
        <v>AMT_C</v>
      </c>
      <c r="G415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15" s="110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15" s="36">
        <v>9226</v>
      </c>
      <c r="J415" s="36" t="str">
        <f>IFERROR(INDEX(Структура_ассортимента[Generic Name (long)],MATCH(Товары[[#This Row],[SubGroup]],Структура_ассортимента[Subgroup],0)),"")</f>
        <v>GARDEN TOOL SET</v>
      </c>
      <c r="L415" s="36">
        <v>967094101</v>
      </c>
      <c r="M415" s="35" t="s">
        <v>2099</v>
      </c>
      <c r="O415" s="35" t="s">
        <v>4925</v>
      </c>
      <c r="P415" s="37" t="s">
        <v>4926</v>
      </c>
      <c r="Q415" s="34" t="s">
        <v>3549</v>
      </c>
      <c r="R415" s="34" t="s">
        <v>3540</v>
      </c>
      <c r="S415" s="47">
        <v>42736</v>
      </c>
      <c r="T415" s="47">
        <v>0</v>
      </c>
      <c r="U415" s="47">
        <v>0</v>
      </c>
      <c r="V415" s="34">
        <v>4078500023504</v>
      </c>
      <c r="W415" s="34" t="s">
        <v>3703</v>
      </c>
      <c r="X415" s="34" t="s">
        <v>3704</v>
      </c>
      <c r="Y415" s="34" t="s">
        <v>3542</v>
      </c>
      <c r="Z415" s="34">
        <v>5</v>
      </c>
      <c r="AA415" s="34">
        <v>214</v>
      </c>
      <c r="AB415" s="34" t="s">
        <v>4927</v>
      </c>
      <c r="AC415" s="34">
        <v>200</v>
      </c>
      <c r="AD415" s="34" t="s">
        <v>3991</v>
      </c>
      <c r="AE415" s="34" t="s">
        <v>3555</v>
      </c>
      <c r="AF415" s="34" t="s">
        <v>3800</v>
      </c>
      <c r="AG415" s="34" t="s">
        <v>4802</v>
      </c>
      <c r="AH415" s="34" t="s">
        <v>4928</v>
      </c>
      <c r="AI415" s="34" t="s">
        <v>4929</v>
      </c>
      <c r="AJ415" s="34" t="s">
        <v>4097</v>
      </c>
      <c r="AK415" s="34" t="s">
        <v>4909</v>
      </c>
      <c r="AL415" s="34" t="s">
        <v>4930</v>
      </c>
      <c r="AM415" s="40" t="s">
        <v>9</v>
      </c>
      <c r="AP415" s="34">
        <v>0</v>
      </c>
      <c r="AQ415" s="34">
        <v>1039</v>
      </c>
      <c r="AR415" s="34">
        <v>624</v>
      </c>
      <c r="AT415" s="44">
        <v>80500</v>
      </c>
      <c r="AU415" s="44"/>
      <c r="AV415" s="46">
        <f>ROUND(Товары[[#This Row],[РРЦ финальная, руб.]]/$AU$1,2)</f>
        <v>0</v>
      </c>
      <c r="AW415" s="45" t="str">
        <f>IFERROR(Товары[[#This Row],[РРЦ, евро]]/Товары[[#This Row],[IRP, Eur]],"-")</f>
        <v>-</v>
      </c>
      <c r="AX415" s="42">
        <f>IFERROR(VLOOKUP(Товары[[#This Row],[SubGroup]],'Структура цен DIY'!$B:$C,2,FALSE),0)</f>
        <v>0.27976081460674185</v>
      </c>
      <c r="AY415" s="44">
        <v>0</v>
      </c>
    </row>
    <row r="416" spans="1:51" x14ac:dyDescent="0.25">
      <c r="A416" s="34">
        <v>414</v>
      </c>
      <c r="B416" s="34" t="s">
        <v>56</v>
      </c>
      <c r="C416" s="110" t="str">
        <f>IFERROR(INDEX(Структура_ассортимента[SuperCategory],MATCH(Товары[[#This Row],[SubGroup]],Структура_ассортимента[Subgroup],0)),"")</f>
        <v>A</v>
      </c>
      <c r="D41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1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16" s="110" t="str">
        <f>IFERROR(INDEX(Структура_ассортимента[Product group],MATCH(Товары[[#This Row],[SubGroup]],Структура_ассортимента[Subgroup],0)),"")</f>
        <v>AMT_C</v>
      </c>
      <c r="G416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16" s="110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16" s="36">
        <v>9226</v>
      </c>
      <c r="J416" s="36" t="str">
        <f>IFERROR(INDEX(Структура_ассортимента[Generic Name (long)],MATCH(Товары[[#This Row],[SubGroup]],Структура_ассортимента[Subgroup],0)),"")</f>
        <v>GARDEN TOOL SET</v>
      </c>
      <c r="L416" s="36">
        <v>967094701</v>
      </c>
      <c r="M416" s="35" t="s">
        <v>2100</v>
      </c>
      <c r="Q416" s="34" t="s">
        <v>3549</v>
      </c>
      <c r="R416" s="34" t="s">
        <v>3540</v>
      </c>
      <c r="S416" s="47">
        <v>42736</v>
      </c>
      <c r="T416" s="47">
        <v>0</v>
      </c>
      <c r="U416" s="47">
        <v>0</v>
      </c>
      <c r="V416" s="34">
        <v>4078500023542</v>
      </c>
      <c r="W416" s="34" t="s">
        <v>3703</v>
      </c>
      <c r="X416" s="34" t="s">
        <v>3704</v>
      </c>
      <c r="Y416" s="34" t="s">
        <v>3542</v>
      </c>
      <c r="Z416" s="34">
        <v>5</v>
      </c>
      <c r="AA416" s="34">
        <v>268</v>
      </c>
      <c r="AB416" s="34" t="s">
        <v>4159</v>
      </c>
      <c r="AC416" s="34">
        <v>240</v>
      </c>
      <c r="AD416" s="34" t="s">
        <v>4141</v>
      </c>
      <c r="AE416" s="34" t="s">
        <v>3742</v>
      </c>
      <c r="AF416" s="34" t="s">
        <v>3566</v>
      </c>
      <c r="AG416" s="34" t="s">
        <v>4931</v>
      </c>
      <c r="AH416" s="34" t="s">
        <v>4932</v>
      </c>
      <c r="AI416" s="34" t="s">
        <v>4605</v>
      </c>
      <c r="AJ416" s="34" t="s">
        <v>4361</v>
      </c>
      <c r="AK416" s="34" t="s">
        <v>4361</v>
      </c>
      <c r="AL416" s="34" t="s">
        <v>4924</v>
      </c>
      <c r="AM416" s="40" t="s">
        <v>8095</v>
      </c>
      <c r="AT416" s="44">
        <v>0</v>
      </c>
      <c r="AU416" s="44"/>
      <c r="AV416" s="46">
        <f>ROUND(Товары[[#This Row],[РРЦ финальная, руб.]]/$AU$1,2)</f>
        <v>0</v>
      </c>
      <c r="AW416" s="45" t="str">
        <f>IFERROR(Товары[[#This Row],[РРЦ, евро]]/Товары[[#This Row],[IRP, Eur]],"-")</f>
        <v>-</v>
      </c>
      <c r="AX416" s="42">
        <f>IFERROR(VLOOKUP(Товары[[#This Row],[SubGroup]],'Структура цен DIY'!$B:$C,2,FALSE),0)</f>
        <v>0.27976081460674185</v>
      </c>
      <c r="AY416" s="44">
        <v>0</v>
      </c>
    </row>
    <row r="417" spans="1:51" x14ac:dyDescent="0.25">
      <c r="A417" s="34">
        <v>415</v>
      </c>
      <c r="B417" s="34" t="s">
        <v>56</v>
      </c>
      <c r="C417" s="110" t="str">
        <f>IFERROR(INDEX(Структура_ассортимента[SuperCategory],MATCH(Товары[[#This Row],[SubGroup]],Структура_ассортимента[Subgroup],0)),"")</f>
        <v>A</v>
      </c>
      <c r="D41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1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17" s="110" t="str">
        <f>IFERROR(INDEX(Структура_ассортимента[Product group],MATCH(Товары[[#This Row],[SubGroup]],Структура_ассортимента[Subgroup],0)),"")</f>
        <v>AMT_C</v>
      </c>
      <c r="G417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17" s="110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17" s="36">
        <v>9226</v>
      </c>
      <c r="J417" s="36" t="str">
        <f>IFERROR(INDEX(Структура_ассортимента[Generic Name (long)],MATCH(Товары[[#This Row],[SubGroup]],Структура_ассортимента[Subgroup],0)),"")</f>
        <v>GARDEN TOOL SET</v>
      </c>
      <c r="L417" s="36">
        <v>967094801</v>
      </c>
      <c r="M417" s="35" t="s">
        <v>2101</v>
      </c>
      <c r="O417" s="35" t="s">
        <v>4933</v>
      </c>
      <c r="P417" s="37" t="s">
        <v>4934</v>
      </c>
      <c r="Q417" s="34" t="s">
        <v>3549</v>
      </c>
      <c r="R417" s="34" t="s">
        <v>3540</v>
      </c>
      <c r="S417" s="47">
        <v>42736</v>
      </c>
      <c r="T417" s="47">
        <v>0</v>
      </c>
      <c r="U417" s="47">
        <v>0</v>
      </c>
      <c r="V417" s="34">
        <v>4078500023566</v>
      </c>
      <c r="W417" s="34" t="s">
        <v>3703</v>
      </c>
      <c r="X417" s="34" t="s">
        <v>3704</v>
      </c>
      <c r="Y417" s="34" t="s">
        <v>3542</v>
      </c>
      <c r="Z417" s="34">
        <v>5</v>
      </c>
      <c r="AA417" s="34">
        <v>175</v>
      </c>
      <c r="AB417" s="34" t="s">
        <v>4517</v>
      </c>
      <c r="AC417" s="34">
        <v>160</v>
      </c>
      <c r="AD417" s="34" t="s">
        <v>4006</v>
      </c>
      <c r="AE417" s="34" t="s">
        <v>3722</v>
      </c>
      <c r="AF417" s="34" t="s">
        <v>3693</v>
      </c>
      <c r="AG417" s="34" t="s">
        <v>4231</v>
      </c>
      <c r="AH417" s="34" t="s">
        <v>4935</v>
      </c>
      <c r="AI417" s="34" t="s">
        <v>4936</v>
      </c>
      <c r="AJ417" s="34" t="s">
        <v>4192</v>
      </c>
      <c r="AK417" s="34" t="s">
        <v>4221</v>
      </c>
      <c r="AL417" s="34" t="s">
        <v>4154</v>
      </c>
      <c r="AM417" s="40" t="s">
        <v>9</v>
      </c>
      <c r="AP417" s="34">
        <v>0</v>
      </c>
      <c r="AQ417" s="34">
        <v>1190</v>
      </c>
      <c r="AR417" s="34">
        <v>714</v>
      </c>
      <c r="AT417" s="44">
        <v>92200</v>
      </c>
      <c r="AU417" s="44"/>
      <c r="AV417" s="46">
        <f>ROUND(Товары[[#This Row],[РРЦ финальная, руб.]]/$AU$1,2)</f>
        <v>0</v>
      </c>
      <c r="AW417" s="45" t="str">
        <f>IFERROR(Товары[[#This Row],[РРЦ, евро]]/Товары[[#This Row],[IRP, Eur]],"-")</f>
        <v>-</v>
      </c>
      <c r="AX417" s="42">
        <f>IFERROR(VLOOKUP(Товары[[#This Row],[SubGroup]],'Структура цен DIY'!$B:$C,2,FALSE),0)</f>
        <v>0.27976081460674185</v>
      </c>
      <c r="AY417" s="44">
        <v>0</v>
      </c>
    </row>
    <row r="418" spans="1:51" x14ac:dyDescent="0.25">
      <c r="A418" s="34">
        <v>416</v>
      </c>
      <c r="B418" s="34" t="s">
        <v>56</v>
      </c>
      <c r="C418" s="110" t="str">
        <f>IFERROR(INDEX(Структура_ассортимента[SuperCategory],MATCH(Товары[[#This Row],[SubGroup]],Структура_ассортимента[Subgroup],0)),"")</f>
        <v>A</v>
      </c>
      <c r="D41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1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18" s="110" t="str">
        <f>IFERROR(INDEX(Структура_ассортимента[Product group],MATCH(Товары[[#This Row],[SubGroup]],Структура_ассортимента[Subgroup],0)),"")</f>
        <v>AMT_C</v>
      </c>
      <c r="G418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18" s="110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18" s="36">
        <v>9226</v>
      </c>
      <c r="J418" s="36" t="str">
        <f>IFERROR(INDEX(Структура_ассортимента[Generic Name (long)],MATCH(Товары[[#This Row],[SubGroup]],Структура_ассортимента[Subgroup],0)),"")</f>
        <v>GARDEN TOOL SET</v>
      </c>
      <c r="L418" s="36">
        <v>967094901</v>
      </c>
      <c r="M418" s="35" t="s">
        <v>2102</v>
      </c>
      <c r="O418" s="35" t="s">
        <v>4937</v>
      </c>
      <c r="P418" s="37" t="s">
        <v>4938</v>
      </c>
      <c r="Q418" s="34" t="s">
        <v>3549</v>
      </c>
      <c r="R418" s="34" t="s">
        <v>3540</v>
      </c>
      <c r="S418" s="47">
        <v>42736</v>
      </c>
      <c r="T418" s="47">
        <v>0</v>
      </c>
      <c r="U418" s="47">
        <v>0</v>
      </c>
      <c r="V418" s="34">
        <v>4078500023580</v>
      </c>
      <c r="W418" s="34" t="s">
        <v>3703</v>
      </c>
      <c r="X418" s="34" t="s">
        <v>3704</v>
      </c>
      <c r="Y418" s="34" t="s">
        <v>3542</v>
      </c>
      <c r="Z418" s="34">
        <v>5</v>
      </c>
      <c r="AA418" s="34">
        <v>285</v>
      </c>
      <c r="AB418" s="34" t="s">
        <v>4179</v>
      </c>
      <c r="AC418" s="34">
        <v>270</v>
      </c>
      <c r="AD418" s="34" t="s">
        <v>4939</v>
      </c>
      <c r="AE418" s="34" t="s">
        <v>4341</v>
      </c>
      <c r="AF418" s="34" t="s">
        <v>3566</v>
      </c>
      <c r="AG418" s="34" t="s">
        <v>4181</v>
      </c>
      <c r="AH418" s="34" t="s">
        <v>4940</v>
      </c>
      <c r="AI418" s="34" t="s">
        <v>4941</v>
      </c>
      <c r="AJ418" s="34" t="s">
        <v>4942</v>
      </c>
      <c r="AK418" s="34" t="s">
        <v>4943</v>
      </c>
      <c r="AL418" s="34" t="s">
        <v>4924</v>
      </c>
      <c r="AM418" s="40" t="s">
        <v>9</v>
      </c>
      <c r="AP418" s="34">
        <v>0</v>
      </c>
      <c r="AQ418" s="34">
        <v>629</v>
      </c>
      <c r="AR418" s="34">
        <v>378</v>
      </c>
      <c r="AT418" s="44">
        <v>48700</v>
      </c>
      <c r="AU418" s="44"/>
      <c r="AV418" s="46">
        <f>ROUND(Товары[[#This Row],[РРЦ финальная, руб.]]/$AU$1,2)</f>
        <v>0</v>
      </c>
      <c r="AW418" s="45" t="str">
        <f>IFERROR(Товары[[#This Row],[РРЦ, евро]]/Товары[[#This Row],[IRP, Eur]],"-")</f>
        <v>-</v>
      </c>
      <c r="AX418" s="42">
        <f>IFERROR(VLOOKUP(Товары[[#This Row],[SubGroup]],'Структура цен DIY'!$B:$C,2,FALSE),0)</f>
        <v>0.27976081460674185</v>
      </c>
      <c r="AY418" s="44">
        <v>0</v>
      </c>
    </row>
    <row r="419" spans="1:51" x14ac:dyDescent="0.25">
      <c r="A419" s="34">
        <v>417</v>
      </c>
      <c r="B419" s="34" t="s">
        <v>56</v>
      </c>
      <c r="C419" s="110" t="str">
        <f>IFERROR(INDEX(Структура_ассортимента[SuperCategory],MATCH(Товары[[#This Row],[SubGroup]],Структура_ассортимента[Subgroup],0)),"")</f>
        <v>A</v>
      </c>
      <c r="D41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1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19" s="110" t="str">
        <f>IFERROR(INDEX(Структура_ассортимента[Product group],MATCH(Товары[[#This Row],[SubGroup]],Структура_ассортимента[Subgroup],0)),"")</f>
        <v>AMT_C</v>
      </c>
      <c r="G419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19" s="110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19" s="36">
        <v>9227</v>
      </c>
      <c r="J419" s="36" t="str">
        <f>IFERROR(INDEX(Структура_ассортимента[Generic Name (long)],MATCH(Товары[[#This Row],[SubGroup]],Структура_ассортимента[Subgroup],0)),"")</f>
        <v>PLANTER</v>
      </c>
      <c r="L419" s="36">
        <v>901045701</v>
      </c>
      <c r="M419" s="35" t="s">
        <v>2103</v>
      </c>
      <c r="O419" s="35" t="s">
        <v>4944</v>
      </c>
      <c r="P419" s="37" t="s">
        <v>4945</v>
      </c>
      <c r="Q419" s="34" t="s">
        <v>3549</v>
      </c>
      <c r="R419" s="34" t="s">
        <v>3540</v>
      </c>
      <c r="S419" s="47">
        <v>33512</v>
      </c>
      <c r="T419" s="47">
        <v>0</v>
      </c>
      <c r="U419" s="47">
        <v>0</v>
      </c>
      <c r="V419" s="34">
        <v>4078500341202</v>
      </c>
      <c r="W419" s="34" t="s">
        <v>3703</v>
      </c>
      <c r="X419" s="34" t="s">
        <v>3704</v>
      </c>
      <c r="Y419" s="34" t="s">
        <v>3542</v>
      </c>
      <c r="Z419" s="34">
        <v>5</v>
      </c>
      <c r="AA419" s="34" t="s">
        <v>4946</v>
      </c>
      <c r="AB419" s="34" t="s">
        <v>4946</v>
      </c>
      <c r="AC419" s="34" t="s">
        <v>4664</v>
      </c>
      <c r="AD419" s="34" t="s">
        <v>4664</v>
      </c>
      <c r="AE419" s="34" t="s">
        <v>4844</v>
      </c>
      <c r="AF419" s="34" t="s">
        <v>3556</v>
      </c>
      <c r="AG419" s="34" t="s">
        <v>4659</v>
      </c>
      <c r="AH419" s="34" t="s">
        <v>4947</v>
      </c>
      <c r="AL419" s="34">
        <v>240</v>
      </c>
      <c r="AM419" s="40" t="s">
        <v>9</v>
      </c>
      <c r="AP419" s="34">
        <v>0</v>
      </c>
      <c r="AQ419" s="34">
        <v>919</v>
      </c>
      <c r="AR419" s="34">
        <v>537</v>
      </c>
      <c r="AT419" s="44">
        <v>71200</v>
      </c>
      <c r="AU419" s="44"/>
      <c r="AV419" s="46">
        <f>ROUND(Товары[[#This Row],[РРЦ финальная, руб.]]/$AU$1,2)</f>
        <v>0</v>
      </c>
      <c r="AW419" s="45" t="str">
        <f>IFERROR(Товары[[#This Row],[РРЦ, евро]]/Товары[[#This Row],[IRP, Eur]],"-")</f>
        <v>-</v>
      </c>
      <c r="AX419" s="42">
        <f>IFERROR(VLOOKUP(Товары[[#This Row],[SubGroup]],'Структура цен DIY'!$B:$C,2,FALSE),0)</f>
        <v>0.27976081460674185</v>
      </c>
      <c r="AY419" s="44">
        <v>0</v>
      </c>
    </row>
    <row r="420" spans="1:51" x14ac:dyDescent="0.25">
      <c r="A420" s="34">
        <v>418</v>
      </c>
      <c r="B420" s="34" t="s">
        <v>56</v>
      </c>
      <c r="C420" s="110" t="str">
        <f>IFERROR(INDEX(Структура_ассортимента[SuperCategory],MATCH(Товары[[#This Row],[SubGroup]],Структура_ассортимента[Subgroup],0)),"")</f>
        <v>A</v>
      </c>
      <c r="D42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2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20" s="110" t="str">
        <f>IFERROR(INDEX(Структура_ассортимента[Product group],MATCH(Товары[[#This Row],[SubGroup]],Структура_ассортимента[Subgroup],0)),"")</f>
        <v>AMT_C</v>
      </c>
      <c r="G420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20" s="110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20" s="36">
        <v>9227</v>
      </c>
      <c r="J420" s="36" t="str">
        <f>IFERROR(INDEX(Структура_ассортимента[Generic Name (long)],MATCH(Товары[[#This Row],[SubGroup]],Структура_ассортимента[Subgroup],0)),"")</f>
        <v>PLANTER</v>
      </c>
      <c r="L420" s="36">
        <v>901035401</v>
      </c>
      <c r="M420" s="35" t="s">
        <v>2104</v>
      </c>
      <c r="O420" s="35" t="s">
        <v>4948</v>
      </c>
      <c r="P420" s="37" t="s">
        <v>4949</v>
      </c>
      <c r="Q420" s="34" t="s">
        <v>3549</v>
      </c>
      <c r="R420" s="34" t="s">
        <v>3540</v>
      </c>
      <c r="S420" s="47">
        <v>35704</v>
      </c>
      <c r="T420" s="47">
        <v>0</v>
      </c>
      <c r="U420" s="47">
        <v>0</v>
      </c>
      <c r="V420" s="34">
        <v>4078500303903</v>
      </c>
      <c r="W420" s="34" t="s">
        <v>3703</v>
      </c>
      <c r="X420" s="34" t="s">
        <v>3704</v>
      </c>
      <c r="Y420" s="34" t="s">
        <v>3542</v>
      </c>
      <c r="Z420" s="34">
        <v>48</v>
      </c>
      <c r="AA420" s="34" t="s">
        <v>4216</v>
      </c>
      <c r="AB420" s="34" t="s">
        <v>4216</v>
      </c>
      <c r="AC420" s="34" t="s">
        <v>4950</v>
      </c>
      <c r="AD420" s="34" t="s">
        <v>4950</v>
      </c>
      <c r="AE420" s="34" t="s">
        <v>4951</v>
      </c>
      <c r="AF420" s="34" t="s">
        <v>3693</v>
      </c>
      <c r="AG420" s="34" t="s">
        <v>3800</v>
      </c>
      <c r="AH420" s="34" t="s">
        <v>4952</v>
      </c>
      <c r="AL420" s="34">
        <v>192</v>
      </c>
      <c r="AM420" s="40" t="s">
        <v>9</v>
      </c>
      <c r="AP420" s="34">
        <v>0</v>
      </c>
      <c r="AQ420" s="34">
        <v>919</v>
      </c>
      <c r="AR420" s="34">
        <v>596</v>
      </c>
      <c r="AT420" s="44">
        <v>71200</v>
      </c>
      <c r="AU420" s="44"/>
      <c r="AV420" s="46">
        <f>ROUND(Товары[[#This Row],[РРЦ финальная, руб.]]/$AU$1,2)</f>
        <v>0</v>
      </c>
      <c r="AW420" s="45" t="str">
        <f>IFERROR(Товары[[#This Row],[РРЦ, евро]]/Товары[[#This Row],[IRP, Eur]],"-")</f>
        <v>-</v>
      </c>
      <c r="AX420" s="42">
        <f>IFERROR(VLOOKUP(Товары[[#This Row],[SubGroup]],'Структура цен DIY'!$B:$C,2,FALSE),0)</f>
        <v>0.27976081460674185</v>
      </c>
      <c r="AY420" s="44">
        <v>0</v>
      </c>
    </row>
    <row r="421" spans="1:51" x14ac:dyDescent="0.25">
      <c r="A421" s="34">
        <v>419</v>
      </c>
      <c r="B421" s="34" t="s">
        <v>56</v>
      </c>
      <c r="C421" s="110" t="str">
        <f>IFERROR(INDEX(Структура_ассортимента[SuperCategory],MATCH(Товары[[#This Row],[SubGroup]],Структура_ассортимента[Subgroup],0)),"")</f>
        <v>A</v>
      </c>
      <c r="D42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2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21" s="110" t="str">
        <f>IFERROR(INDEX(Структура_ассортимента[Product group],MATCH(Товары[[#This Row],[SubGroup]],Структура_ассортимента[Subgroup],0)),"")</f>
        <v>AMT_C</v>
      </c>
      <c r="G421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21" s="110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21" s="36">
        <v>9227</v>
      </c>
      <c r="J421" s="36" t="str">
        <f>IFERROR(INDEX(Структура_ассортимента[Generic Name (long)],MATCH(Товары[[#This Row],[SubGroup]],Структура_ассортимента[Subgroup],0)),"")</f>
        <v>PLANTER</v>
      </c>
      <c r="L421" s="36">
        <v>901046001</v>
      </c>
      <c r="M421" s="35" t="s">
        <v>2105</v>
      </c>
      <c r="O421" s="35" t="s">
        <v>4953</v>
      </c>
      <c r="P421" s="37" t="s">
        <v>4954</v>
      </c>
      <c r="Q421" s="34" t="s">
        <v>3549</v>
      </c>
      <c r="R421" s="34" t="s">
        <v>3540</v>
      </c>
      <c r="S421" s="47">
        <v>36434</v>
      </c>
      <c r="T421" s="47">
        <v>0</v>
      </c>
      <c r="U421" s="47">
        <v>0</v>
      </c>
      <c r="V421" s="34">
        <v>4078500348706</v>
      </c>
      <c r="W421" s="34" t="s">
        <v>3703</v>
      </c>
      <c r="X421" s="34" t="s">
        <v>3704</v>
      </c>
      <c r="Y421" s="34" t="s">
        <v>3542</v>
      </c>
      <c r="Z421" s="34">
        <v>5</v>
      </c>
      <c r="AA421" s="34" t="s">
        <v>3991</v>
      </c>
      <c r="AB421" s="34" t="s">
        <v>3991</v>
      </c>
      <c r="AC421" s="34" t="s">
        <v>4955</v>
      </c>
      <c r="AD421" s="34" t="s">
        <v>4955</v>
      </c>
      <c r="AE421" s="34" t="s">
        <v>3574</v>
      </c>
      <c r="AF421" s="34" t="s">
        <v>4499</v>
      </c>
      <c r="AG421" s="34" t="s">
        <v>4956</v>
      </c>
      <c r="AH421" s="34" t="s">
        <v>4957</v>
      </c>
      <c r="AI421" s="34" t="s">
        <v>3580</v>
      </c>
      <c r="AJ421" s="34" t="s">
        <v>3560</v>
      </c>
      <c r="AK421" s="34" t="s">
        <v>3931</v>
      </c>
      <c r="AL421" s="34">
        <v>630</v>
      </c>
      <c r="AM421" s="40" t="s">
        <v>9</v>
      </c>
      <c r="AP421" s="34">
        <v>0</v>
      </c>
      <c r="AQ421" s="34">
        <v>919</v>
      </c>
      <c r="AR421" s="34">
        <v>535</v>
      </c>
      <c r="AT421" s="44">
        <v>71200</v>
      </c>
      <c r="AU421" s="44"/>
      <c r="AV421" s="46">
        <f>ROUND(Товары[[#This Row],[РРЦ финальная, руб.]]/$AU$1,2)</f>
        <v>0</v>
      </c>
      <c r="AW421" s="45" t="str">
        <f>IFERROR(Товары[[#This Row],[РРЦ, евро]]/Товары[[#This Row],[IRP, Eur]],"-")</f>
        <v>-</v>
      </c>
      <c r="AX421" s="42">
        <f>IFERROR(VLOOKUP(Товары[[#This Row],[SubGroup]],'Структура цен DIY'!$B:$C,2,FALSE),0)</f>
        <v>0.27976081460674185</v>
      </c>
      <c r="AY421" s="44">
        <v>0</v>
      </c>
    </row>
    <row r="422" spans="1:51" x14ac:dyDescent="0.25">
      <c r="A422" s="34">
        <v>420</v>
      </c>
      <c r="B422" s="34" t="s">
        <v>56</v>
      </c>
      <c r="C422" s="110" t="str">
        <f>IFERROR(INDEX(Структура_ассортимента[SuperCategory],MATCH(Товары[[#This Row],[SubGroup]],Структура_ассортимента[Subgroup],0)),"")</f>
        <v>A</v>
      </c>
      <c r="D42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2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22" s="110" t="str">
        <f>IFERROR(INDEX(Структура_ассортимента[Product group],MATCH(Товары[[#This Row],[SubGroup]],Структура_ассортимента[Subgroup],0)),"")</f>
        <v>AMT_C</v>
      </c>
      <c r="G422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22" s="110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22" s="36">
        <v>9227</v>
      </c>
      <c r="J422" s="36" t="str">
        <f>IFERROR(INDEX(Структура_ассортимента[Generic Name (long)],MATCH(Товары[[#This Row],[SubGroup]],Структура_ассортимента[Subgroup],0)),"")</f>
        <v>PLANTER</v>
      </c>
      <c r="L422" s="36">
        <v>967095101</v>
      </c>
      <c r="M422" s="35" t="s">
        <v>2106</v>
      </c>
      <c r="O422" s="35" t="s">
        <v>4958</v>
      </c>
      <c r="P422" s="37" t="s">
        <v>4959</v>
      </c>
      <c r="Q422" s="34" t="s">
        <v>3549</v>
      </c>
      <c r="R422" s="34" t="s">
        <v>3540</v>
      </c>
      <c r="S422" s="47">
        <v>42736</v>
      </c>
      <c r="T422" s="47">
        <v>0</v>
      </c>
      <c r="U422" s="47">
        <v>0</v>
      </c>
      <c r="V422" s="34">
        <v>4078500023627</v>
      </c>
      <c r="W422" s="34" t="s">
        <v>3703</v>
      </c>
      <c r="X422" s="34" t="s">
        <v>3704</v>
      </c>
      <c r="Y422" s="34" t="s">
        <v>3542</v>
      </c>
      <c r="Z422" s="34">
        <v>5</v>
      </c>
      <c r="AA422" s="34">
        <v>190</v>
      </c>
      <c r="AB422" s="34" t="s">
        <v>4006</v>
      </c>
      <c r="AC422" s="34">
        <v>180</v>
      </c>
      <c r="AD422" s="34" t="s">
        <v>3990</v>
      </c>
      <c r="AE422" s="34" t="s">
        <v>4427</v>
      </c>
      <c r="AF422" s="34" t="s">
        <v>4468</v>
      </c>
      <c r="AG422" s="34" t="s">
        <v>4231</v>
      </c>
      <c r="AH422" s="34" t="s">
        <v>4103</v>
      </c>
      <c r="AI422" s="34" t="s">
        <v>4891</v>
      </c>
      <c r="AJ422" s="34" t="s">
        <v>3931</v>
      </c>
      <c r="AK422" s="34" t="s">
        <v>4956</v>
      </c>
      <c r="AL422" s="34" t="s">
        <v>4960</v>
      </c>
      <c r="AM422" s="40" t="s">
        <v>9</v>
      </c>
      <c r="AP422" s="34">
        <v>0</v>
      </c>
      <c r="AQ422" s="34">
        <v>919</v>
      </c>
      <c r="AR422" s="34">
        <v>552</v>
      </c>
      <c r="AT422" s="44">
        <v>71200</v>
      </c>
      <c r="AU422" s="44"/>
      <c r="AV422" s="46">
        <f>ROUND(Товары[[#This Row],[РРЦ финальная, руб.]]/$AU$1,2)</f>
        <v>0</v>
      </c>
      <c r="AW422" s="45" t="str">
        <f>IFERROR(Товары[[#This Row],[РРЦ, евро]]/Товары[[#This Row],[IRP, Eur]],"-")</f>
        <v>-</v>
      </c>
      <c r="AX422" s="42">
        <f>IFERROR(VLOOKUP(Товары[[#This Row],[SubGroup]],'Структура цен DIY'!$B:$C,2,FALSE),0)</f>
        <v>0.27976081460674185</v>
      </c>
      <c r="AY422" s="44">
        <v>0</v>
      </c>
    </row>
    <row r="423" spans="1:51" x14ac:dyDescent="0.25">
      <c r="A423" s="34">
        <v>421</v>
      </c>
      <c r="B423" s="34" t="s">
        <v>56</v>
      </c>
      <c r="C423" s="110" t="str">
        <f>IFERROR(INDEX(Структура_ассортимента[SuperCategory],MATCH(Товары[[#This Row],[SubGroup]],Структура_ассортимента[Subgroup],0)),"")</f>
        <v>A</v>
      </c>
      <c r="D42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2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23" s="110" t="str">
        <f>IFERROR(INDEX(Структура_ассортимента[Product group],MATCH(Товары[[#This Row],[SubGroup]],Структура_ассортимента[Subgroup],0)),"")</f>
        <v>AMT_C</v>
      </c>
      <c r="G423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23" s="110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23" s="36">
        <v>9227</v>
      </c>
      <c r="J423" s="36" t="str">
        <f>IFERROR(INDEX(Структура_ассортимента[Generic Name (long)],MATCH(Товары[[#This Row],[SubGroup]],Структура_ассортимента[Subgroup],0)),"")</f>
        <v>PLANTER</v>
      </c>
      <c r="L423" s="36">
        <v>967095601</v>
      </c>
      <c r="M423" s="35" t="s">
        <v>2107</v>
      </c>
      <c r="O423" s="35" t="s">
        <v>4961</v>
      </c>
      <c r="P423" s="37" t="s">
        <v>4962</v>
      </c>
      <c r="Q423" s="34" t="s">
        <v>3549</v>
      </c>
      <c r="R423" s="34" t="s">
        <v>3540</v>
      </c>
      <c r="S423" s="47">
        <v>42736</v>
      </c>
      <c r="T423" s="47">
        <v>0</v>
      </c>
      <c r="U423" s="47">
        <v>0</v>
      </c>
      <c r="V423" s="34">
        <v>4078500023603</v>
      </c>
      <c r="W423" s="34" t="s">
        <v>3703</v>
      </c>
      <c r="X423" s="34" t="s">
        <v>3704</v>
      </c>
      <c r="Y423" s="34" t="s">
        <v>3542</v>
      </c>
      <c r="Z423" s="34">
        <v>20</v>
      </c>
      <c r="AA423" s="34">
        <v>254</v>
      </c>
      <c r="AB423" s="34" t="s">
        <v>4819</v>
      </c>
      <c r="AC423" s="34">
        <v>230</v>
      </c>
      <c r="AD423" s="34" t="s">
        <v>4159</v>
      </c>
      <c r="AE423" s="34" t="s">
        <v>3731</v>
      </c>
      <c r="AF423" s="34" t="s">
        <v>3800</v>
      </c>
      <c r="AG423" s="34" t="s">
        <v>4351</v>
      </c>
      <c r="AH423" s="34" t="s">
        <v>4963</v>
      </c>
      <c r="AI423" s="34" t="s">
        <v>4964</v>
      </c>
      <c r="AJ423" s="34" t="s">
        <v>4472</v>
      </c>
      <c r="AK423" s="34" t="s">
        <v>4192</v>
      </c>
      <c r="AL423" s="34" t="s">
        <v>4965</v>
      </c>
      <c r="AM423" s="40" t="s">
        <v>9</v>
      </c>
      <c r="AP423" s="34">
        <v>0</v>
      </c>
      <c r="AQ423" s="34">
        <v>519</v>
      </c>
      <c r="AR423" s="34">
        <v>312</v>
      </c>
      <c r="AT423" s="44">
        <v>40200</v>
      </c>
      <c r="AU423" s="44"/>
      <c r="AV423" s="46">
        <f>ROUND(Товары[[#This Row],[РРЦ финальная, руб.]]/$AU$1,2)</f>
        <v>0</v>
      </c>
      <c r="AW423" s="45" t="str">
        <f>IFERROR(Товары[[#This Row],[РРЦ, евро]]/Товары[[#This Row],[IRP, Eur]],"-")</f>
        <v>-</v>
      </c>
      <c r="AX423" s="42">
        <f>IFERROR(VLOOKUP(Товары[[#This Row],[SubGroup]],'Структура цен DIY'!$B:$C,2,FALSE),0)</f>
        <v>0.27976081460674185</v>
      </c>
      <c r="AY423" s="44">
        <v>0</v>
      </c>
    </row>
    <row r="424" spans="1:51" x14ac:dyDescent="0.25">
      <c r="A424" s="34">
        <v>422</v>
      </c>
      <c r="B424" s="34" t="s">
        <v>56</v>
      </c>
      <c r="C424" s="110" t="str">
        <f>IFERROR(INDEX(Структура_ассортимента[SuperCategory],MATCH(Товары[[#This Row],[SubGroup]],Структура_ассортимента[Subgroup],0)),"")</f>
        <v>A</v>
      </c>
      <c r="D42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2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24" s="110" t="str">
        <f>IFERROR(INDEX(Структура_ассортимента[Product group],MATCH(Товары[[#This Row],[SubGroup]],Структура_ассортимента[Subgroup],0)),"")</f>
        <v>AMT_C</v>
      </c>
      <c r="G424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24" s="110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24" s="36">
        <v>9227</v>
      </c>
      <c r="J424" s="36" t="str">
        <f>IFERROR(INDEX(Структура_ассортимента[Generic Name (long)],MATCH(Товары[[#This Row],[SubGroup]],Структура_ассортимента[Subgroup],0)),"")</f>
        <v>PLANTER</v>
      </c>
      <c r="L424" s="36">
        <v>967095701</v>
      </c>
      <c r="M424" s="35" t="s">
        <v>2108</v>
      </c>
      <c r="Q424" s="34" t="s">
        <v>3713</v>
      </c>
      <c r="R424" s="34" t="s">
        <v>3540</v>
      </c>
      <c r="S424" s="47">
        <v>42736</v>
      </c>
      <c r="T424" s="47">
        <v>0</v>
      </c>
      <c r="U424" s="47">
        <v>0</v>
      </c>
      <c r="V424" s="34">
        <v>4078500023641</v>
      </c>
      <c r="W424" s="34" t="s">
        <v>3703</v>
      </c>
      <c r="Y424" s="34" t="s">
        <v>3542</v>
      </c>
      <c r="Z424" s="34">
        <v>1</v>
      </c>
      <c r="AA424" s="34">
        <v>15750</v>
      </c>
      <c r="AB424" s="34" t="s">
        <v>4966</v>
      </c>
      <c r="AC424" s="34">
        <v>14500</v>
      </c>
      <c r="AD424" s="34" t="s">
        <v>4967</v>
      </c>
      <c r="AE424" s="34" t="s">
        <v>4968</v>
      </c>
      <c r="AF424" s="34" t="s">
        <v>4969</v>
      </c>
      <c r="AG424" s="34" t="s">
        <v>4970</v>
      </c>
      <c r="AH424" s="34" t="s">
        <v>4971</v>
      </c>
      <c r="AL424" s="34" t="s">
        <v>4972</v>
      </c>
      <c r="AM424" s="40" t="s">
        <v>8094</v>
      </c>
      <c r="AT424" s="44">
        <v>0</v>
      </c>
      <c r="AU424" s="44"/>
      <c r="AV424" s="46">
        <f>ROUND(Товары[[#This Row],[РРЦ финальная, руб.]]/$AU$1,2)</f>
        <v>0</v>
      </c>
      <c r="AW424" s="45" t="str">
        <f>IFERROR(Товары[[#This Row],[РРЦ, евро]]/Товары[[#This Row],[IRP, Eur]],"-")</f>
        <v>-</v>
      </c>
      <c r="AX424" s="42">
        <f>IFERROR(VLOOKUP(Товары[[#This Row],[SubGroup]],'Структура цен DIY'!$B:$C,2,FALSE),0)</f>
        <v>0.27976081460674185</v>
      </c>
      <c r="AY424" s="44">
        <v>0</v>
      </c>
    </row>
    <row r="425" spans="1:51" x14ac:dyDescent="0.25">
      <c r="A425" s="34">
        <v>423</v>
      </c>
      <c r="B425" s="34" t="s">
        <v>56</v>
      </c>
      <c r="C425" s="110" t="str">
        <f>IFERROR(INDEX(Структура_ассортимента[SuperCategory],MATCH(Товары[[#This Row],[SubGroup]],Структура_ассортимента[Subgroup],0)),"")</f>
        <v>A</v>
      </c>
      <c r="D42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2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25" s="110" t="str">
        <f>IFERROR(INDEX(Структура_ассортимента[Product group],MATCH(Товары[[#This Row],[SubGroup]],Структура_ассортимента[Subgroup],0)),"")</f>
        <v>AMT_C</v>
      </c>
      <c r="G425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25" s="110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25" s="36">
        <v>9227</v>
      </c>
      <c r="J425" s="36" t="str">
        <f>IFERROR(INDEX(Структура_ассортимента[Generic Name (long)],MATCH(Товары[[#This Row],[SubGroup]],Структура_ассортимента[Subgroup],0)),"")</f>
        <v>PLANTER</v>
      </c>
      <c r="L425" s="36">
        <v>967095801</v>
      </c>
      <c r="M425" s="35" t="s">
        <v>2109</v>
      </c>
      <c r="O425" s="35" t="s">
        <v>4973</v>
      </c>
      <c r="P425" s="37" t="s">
        <v>4974</v>
      </c>
      <c r="Q425" s="34" t="s">
        <v>3549</v>
      </c>
      <c r="R425" s="34" t="s">
        <v>3540</v>
      </c>
      <c r="S425" s="47">
        <v>42736</v>
      </c>
      <c r="T425" s="47">
        <v>0</v>
      </c>
      <c r="U425" s="47">
        <v>0</v>
      </c>
      <c r="V425" s="34">
        <v>4078500023658</v>
      </c>
      <c r="W425" s="34" t="s">
        <v>3703</v>
      </c>
      <c r="X425" s="34" t="s">
        <v>3704</v>
      </c>
      <c r="Y425" s="34" t="s">
        <v>3542</v>
      </c>
      <c r="Z425" s="34">
        <v>20</v>
      </c>
      <c r="AA425" s="34">
        <v>214</v>
      </c>
      <c r="AB425" s="34" t="s">
        <v>4132</v>
      </c>
      <c r="AC425" s="34">
        <v>190</v>
      </c>
      <c r="AD425" s="34" t="s">
        <v>3928</v>
      </c>
      <c r="AE425" s="34" t="s">
        <v>3555</v>
      </c>
      <c r="AF425" s="34" t="s">
        <v>3711</v>
      </c>
      <c r="AG425" s="34" t="s">
        <v>4231</v>
      </c>
      <c r="AH425" s="34" t="s">
        <v>4975</v>
      </c>
      <c r="AI425" s="34" t="s">
        <v>3555</v>
      </c>
      <c r="AJ425" s="34" t="s">
        <v>4472</v>
      </c>
      <c r="AK425" s="34" t="s">
        <v>4192</v>
      </c>
      <c r="AL425" s="34" t="s">
        <v>4965</v>
      </c>
      <c r="AM425" s="40" t="s">
        <v>9</v>
      </c>
      <c r="AP425" s="34">
        <v>0</v>
      </c>
      <c r="AQ425" s="34">
        <v>519</v>
      </c>
      <c r="AR425" s="34">
        <v>311</v>
      </c>
      <c r="AT425" s="44">
        <v>40200</v>
      </c>
      <c r="AU425" s="44"/>
      <c r="AV425" s="46">
        <f>ROUND(Товары[[#This Row],[РРЦ финальная, руб.]]/$AU$1,2)</f>
        <v>0</v>
      </c>
      <c r="AW425" s="45" t="str">
        <f>IFERROR(Товары[[#This Row],[РРЦ, евро]]/Товары[[#This Row],[IRP, Eur]],"-")</f>
        <v>-</v>
      </c>
      <c r="AX425" s="42">
        <f>IFERROR(VLOOKUP(Товары[[#This Row],[SubGroup]],'Структура цен DIY'!$B:$C,2,FALSE),0)</f>
        <v>0.27976081460674185</v>
      </c>
      <c r="AY425" s="44">
        <v>0</v>
      </c>
    </row>
    <row r="426" spans="1:51" x14ac:dyDescent="0.25">
      <c r="A426" s="34">
        <v>424</v>
      </c>
      <c r="B426" s="34" t="s">
        <v>56</v>
      </c>
      <c r="C426" s="110" t="str">
        <f>IFERROR(INDEX(Структура_ассортимента[SuperCategory],MATCH(Товары[[#This Row],[SubGroup]],Структура_ассортимента[Subgroup],0)),"")</f>
        <v>A</v>
      </c>
      <c r="D42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2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26" s="110" t="str">
        <f>IFERROR(INDEX(Структура_ассортимента[Product group],MATCH(Товары[[#This Row],[SubGroup]],Структура_ассортимента[Subgroup],0)),"")</f>
        <v>AMT_C</v>
      </c>
      <c r="G426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26" s="110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26" s="36">
        <v>9227</v>
      </c>
      <c r="J426" s="36" t="str">
        <f>IFERROR(INDEX(Структура_ассортимента[Generic Name (long)],MATCH(Товары[[#This Row],[SubGroup]],Структура_ассортимента[Subgroup],0)),"")</f>
        <v>PLANTER</v>
      </c>
      <c r="L426" s="36">
        <v>967095901</v>
      </c>
      <c r="M426" s="35" t="s">
        <v>2110</v>
      </c>
      <c r="O426" s="35" t="s">
        <v>4976</v>
      </c>
      <c r="P426" s="37" t="s">
        <v>4977</v>
      </c>
      <c r="Q426" s="34" t="s">
        <v>3549</v>
      </c>
      <c r="R426" s="34" t="s">
        <v>3540</v>
      </c>
      <c r="S426" s="47">
        <v>42736</v>
      </c>
      <c r="T426" s="47">
        <v>0</v>
      </c>
      <c r="U426" s="47">
        <v>0</v>
      </c>
      <c r="V426" s="34">
        <v>4078500023672</v>
      </c>
      <c r="W426" s="34" t="s">
        <v>3703</v>
      </c>
      <c r="X426" s="34" t="s">
        <v>3704</v>
      </c>
      <c r="Y426" s="34" t="s">
        <v>3542</v>
      </c>
      <c r="Z426" s="34">
        <v>20</v>
      </c>
      <c r="AA426" s="34">
        <v>183</v>
      </c>
      <c r="AB426" s="34" t="s">
        <v>4002</v>
      </c>
      <c r="AC426" s="34">
        <v>160</v>
      </c>
      <c r="AD426" s="34" t="s">
        <v>3806</v>
      </c>
      <c r="AE426" s="34" t="s">
        <v>3590</v>
      </c>
      <c r="AF426" s="34" t="s">
        <v>3800</v>
      </c>
      <c r="AG426" s="34" t="s">
        <v>4221</v>
      </c>
      <c r="AH426" s="34" t="s">
        <v>4978</v>
      </c>
      <c r="AI426" s="34" t="s">
        <v>4979</v>
      </c>
      <c r="AJ426" s="34" t="s">
        <v>4472</v>
      </c>
      <c r="AK426" s="34" t="s">
        <v>4980</v>
      </c>
      <c r="AL426" s="34" t="s">
        <v>4965</v>
      </c>
      <c r="AM426" s="40" t="s">
        <v>9</v>
      </c>
      <c r="AP426" s="34">
        <v>0</v>
      </c>
      <c r="AQ426" s="34">
        <v>529</v>
      </c>
      <c r="AR426" s="34">
        <v>318</v>
      </c>
      <c r="AT426" s="44">
        <v>41000</v>
      </c>
      <c r="AU426" s="44"/>
      <c r="AV426" s="46">
        <f>ROUND(Товары[[#This Row],[РРЦ финальная, руб.]]/$AU$1,2)</f>
        <v>0</v>
      </c>
      <c r="AW426" s="45" t="str">
        <f>IFERROR(Товары[[#This Row],[РРЦ, евро]]/Товары[[#This Row],[IRP, Eur]],"-")</f>
        <v>-</v>
      </c>
      <c r="AX426" s="42">
        <f>IFERROR(VLOOKUP(Товары[[#This Row],[SubGroup]],'Структура цен DIY'!$B:$C,2,FALSE),0)</f>
        <v>0.27976081460674185</v>
      </c>
      <c r="AY426" s="44">
        <v>0</v>
      </c>
    </row>
    <row r="427" spans="1:51" x14ac:dyDescent="0.25">
      <c r="A427" s="34">
        <v>425</v>
      </c>
      <c r="B427" s="34" t="s">
        <v>56</v>
      </c>
      <c r="C427" s="110" t="str">
        <f>IFERROR(INDEX(Структура_ассортимента[SuperCategory],MATCH(Товары[[#This Row],[SubGroup]],Структура_ассортимента[Subgroup],0)),"")</f>
        <v>A</v>
      </c>
      <c r="D42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2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27" s="110" t="str">
        <f>IFERROR(INDEX(Структура_ассортимента[Product group],MATCH(Товары[[#This Row],[SubGroup]],Структура_ассортимента[Subgroup],0)),"")</f>
        <v>AMT_C</v>
      </c>
      <c r="G427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27" s="110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27" s="36">
        <v>9227</v>
      </c>
      <c r="J427" s="36" t="str">
        <f>IFERROR(INDEX(Структура_ассортимента[Generic Name (long)],MATCH(Товары[[#This Row],[SubGroup]],Структура_ассортимента[Subgroup],0)),"")</f>
        <v>PLANTER</v>
      </c>
      <c r="L427" s="36">
        <v>967096001</v>
      </c>
      <c r="M427" s="35" t="s">
        <v>2111</v>
      </c>
      <c r="O427" s="35" t="s">
        <v>4981</v>
      </c>
      <c r="P427" s="37" t="s">
        <v>4982</v>
      </c>
      <c r="Q427" s="34" t="s">
        <v>3549</v>
      </c>
      <c r="R427" s="34" t="s">
        <v>3540</v>
      </c>
      <c r="S427" s="47">
        <v>42736</v>
      </c>
      <c r="T427" s="47">
        <v>0</v>
      </c>
      <c r="U427" s="47">
        <v>0</v>
      </c>
      <c r="V427" s="34">
        <v>4078500023696</v>
      </c>
      <c r="W427" s="34" t="s">
        <v>3703</v>
      </c>
      <c r="X427" s="34" t="s">
        <v>3704</v>
      </c>
      <c r="Y427" s="34" t="s">
        <v>3542</v>
      </c>
      <c r="Z427" s="34">
        <v>5</v>
      </c>
      <c r="AA427" s="34" t="s">
        <v>4593</v>
      </c>
      <c r="AB427" s="34" t="s">
        <v>4625</v>
      </c>
      <c r="AC427" s="34" t="s">
        <v>4593</v>
      </c>
      <c r="AD427" s="34" t="s">
        <v>4379</v>
      </c>
      <c r="AE427" s="34" t="s">
        <v>3684</v>
      </c>
      <c r="AF427" s="34" t="s">
        <v>4003</v>
      </c>
      <c r="AG427" s="34" t="s">
        <v>4659</v>
      </c>
      <c r="AH427" s="34" t="s">
        <v>4983</v>
      </c>
      <c r="AI427" s="34" t="s">
        <v>4984</v>
      </c>
      <c r="AJ427" s="34" t="s">
        <v>4324</v>
      </c>
      <c r="AK427" s="34" t="s">
        <v>4003</v>
      </c>
      <c r="AL427" s="34" t="s">
        <v>3747</v>
      </c>
      <c r="AM427" s="40" t="s">
        <v>9</v>
      </c>
      <c r="AP427" s="34">
        <v>0</v>
      </c>
      <c r="AQ427" s="34">
        <v>1190</v>
      </c>
      <c r="AR427" s="34">
        <v>714</v>
      </c>
      <c r="AT427" s="44">
        <v>92200</v>
      </c>
      <c r="AU427" s="44"/>
      <c r="AV427" s="46">
        <f>ROUND(Товары[[#This Row],[РРЦ финальная, руб.]]/$AU$1,2)</f>
        <v>0</v>
      </c>
      <c r="AW427" s="45" t="str">
        <f>IFERROR(Товары[[#This Row],[РРЦ, евро]]/Товары[[#This Row],[IRP, Eur]],"-")</f>
        <v>-</v>
      </c>
      <c r="AX427" s="42">
        <f>IFERROR(VLOOKUP(Товары[[#This Row],[SubGroup]],'Структура цен DIY'!$B:$C,2,FALSE),0)</f>
        <v>0.27976081460674185</v>
      </c>
      <c r="AY427" s="44">
        <v>0</v>
      </c>
    </row>
    <row r="428" spans="1:51" x14ac:dyDescent="0.25">
      <c r="A428" s="34">
        <v>426</v>
      </c>
      <c r="B428" s="34" t="s">
        <v>56</v>
      </c>
      <c r="C428" s="110" t="str">
        <f>IFERROR(INDEX(Структура_ассортимента[SuperCategory],MATCH(Товары[[#This Row],[SubGroup]],Структура_ассортимента[Subgroup],0)),"")</f>
        <v>A</v>
      </c>
      <c r="D42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2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28" s="110" t="str">
        <f>IFERROR(INDEX(Структура_ассортимента[Product group],MATCH(Товары[[#This Row],[SubGroup]],Структура_ассортимента[Subgroup],0)),"")</f>
        <v>AMT_C</v>
      </c>
      <c r="G428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28" s="110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28" s="36">
        <v>9227</v>
      </c>
      <c r="J428" s="36" t="str">
        <f>IFERROR(INDEX(Структура_ассортимента[Generic Name (long)],MATCH(Товары[[#This Row],[SubGroup]],Структура_ассортимента[Subgroup],0)),"")</f>
        <v>PLANTER</v>
      </c>
      <c r="L428" s="36">
        <v>967096101</v>
      </c>
      <c r="M428" s="35" t="s">
        <v>2112</v>
      </c>
      <c r="O428" s="35" t="s">
        <v>4985</v>
      </c>
      <c r="P428" s="37" t="s">
        <v>4986</v>
      </c>
      <c r="Q428" s="34" t="s">
        <v>3549</v>
      </c>
      <c r="R428" s="34" t="s">
        <v>3540</v>
      </c>
      <c r="S428" s="47">
        <v>42736</v>
      </c>
      <c r="T428" s="47">
        <v>0</v>
      </c>
      <c r="U428" s="47">
        <v>0</v>
      </c>
      <c r="V428" s="34">
        <v>4078500023719</v>
      </c>
      <c r="W428" s="34" t="s">
        <v>3703</v>
      </c>
      <c r="X428" s="34" t="s">
        <v>3704</v>
      </c>
      <c r="Y428" s="34" t="s">
        <v>3542</v>
      </c>
      <c r="Z428" s="34">
        <v>5</v>
      </c>
      <c r="AA428" s="34">
        <v>196</v>
      </c>
      <c r="AB428" s="34" t="s">
        <v>4987</v>
      </c>
      <c r="AC428" s="34">
        <v>184</v>
      </c>
      <c r="AD428" s="34" t="s">
        <v>4400</v>
      </c>
      <c r="AE428" s="34" t="s">
        <v>3574</v>
      </c>
      <c r="AF428" s="34" t="s">
        <v>3865</v>
      </c>
      <c r="AG428" s="34" t="s">
        <v>3711</v>
      </c>
      <c r="AH428" s="34" t="s">
        <v>4988</v>
      </c>
      <c r="AI428" s="34" t="s">
        <v>4785</v>
      </c>
      <c r="AJ428" s="34" t="s">
        <v>4989</v>
      </c>
      <c r="AK428" s="34" t="s">
        <v>3711</v>
      </c>
      <c r="AL428" s="34" t="s">
        <v>4916</v>
      </c>
      <c r="AM428" s="40" t="s">
        <v>9</v>
      </c>
      <c r="AP428" s="34">
        <v>0</v>
      </c>
      <c r="AQ428" s="34">
        <v>790</v>
      </c>
      <c r="AR428" s="34">
        <v>474</v>
      </c>
      <c r="AT428" s="44">
        <v>61200</v>
      </c>
      <c r="AU428" s="44"/>
      <c r="AV428" s="46">
        <f>ROUND(Товары[[#This Row],[РРЦ финальная, руб.]]/$AU$1,2)</f>
        <v>0</v>
      </c>
      <c r="AW428" s="45" t="str">
        <f>IFERROR(Товары[[#This Row],[РРЦ, евро]]/Товары[[#This Row],[IRP, Eur]],"-")</f>
        <v>-</v>
      </c>
      <c r="AX428" s="42">
        <f>IFERROR(VLOOKUP(Товары[[#This Row],[SubGroup]],'Структура цен DIY'!$B:$C,2,FALSE),0)</f>
        <v>0.27976081460674185</v>
      </c>
      <c r="AY428" s="44">
        <v>0</v>
      </c>
    </row>
    <row r="429" spans="1:51" x14ac:dyDescent="0.25">
      <c r="A429" s="34">
        <v>427</v>
      </c>
      <c r="B429" s="34" t="s">
        <v>56</v>
      </c>
      <c r="C429" s="110" t="str">
        <f>IFERROR(INDEX(Структура_ассортимента[SuperCategory],MATCH(Товары[[#This Row],[SubGroup]],Структура_ассортимента[Subgroup],0)),"")</f>
        <v>A</v>
      </c>
      <c r="D42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2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29" s="110" t="str">
        <f>IFERROR(INDEX(Структура_ассортимента[Product group],MATCH(Товары[[#This Row],[SubGroup]],Структура_ассортимента[Subgroup],0)),"")</f>
        <v>AMT_C</v>
      </c>
      <c r="G429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29" s="110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29" s="36">
        <v>9227</v>
      </c>
      <c r="J429" s="36" t="str">
        <f>IFERROR(INDEX(Структура_ассортимента[Generic Name (long)],MATCH(Товары[[#This Row],[SubGroup]],Структура_ассортимента[Subgroup],0)),"")</f>
        <v>PLANTER</v>
      </c>
      <c r="L429" s="36">
        <v>967096201</v>
      </c>
      <c r="M429" s="35" t="s">
        <v>2113</v>
      </c>
      <c r="O429" s="35" t="s">
        <v>4990</v>
      </c>
      <c r="P429" s="37" t="s">
        <v>4991</v>
      </c>
      <c r="Q429" s="34" t="s">
        <v>3549</v>
      </c>
      <c r="R429" s="34" t="s">
        <v>3540</v>
      </c>
      <c r="S429" s="47">
        <v>42736</v>
      </c>
      <c r="T429" s="47">
        <v>0</v>
      </c>
      <c r="U429" s="47">
        <v>0</v>
      </c>
      <c r="V429" s="34">
        <v>4078500023733</v>
      </c>
      <c r="W429" s="34" t="s">
        <v>3703</v>
      </c>
      <c r="X429" s="34" t="s">
        <v>3704</v>
      </c>
      <c r="Y429" s="34" t="s">
        <v>3542</v>
      </c>
      <c r="Z429" s="34">
        <v>5</v>
      </c>
      <c r="AA429" s="34">
        <v>172</v>
      </c>
      <c r="AB429" s="34" t="s">
        <v>4006</v>
      </c>
      <c r="AC429" s="34">
        <v>160</v>
      </c>
      <c r="AD429" s="34" t="s">
        <v>3990</v>
      </c>
      <c r="AE429" s="34" t="s">
        <v>4992</v>
      </c>
      <c r="AF429" s="34" t="s">
        <v>3566</v>
      </c>
      <c r="AG429" s="34" t="s">
        <v>3931</v>
      </c>
      <c r="AH429" s="34" t="s">
        <v>4993</v>
      </c>
      <c r="AI429" s="34" t="s">
        <v>3722</v>
      </c>
      <c r="AJ429" s="34" t="s">
        <v>4181</v>
      </c>
      <c r="AK429" s="34" t="s">
        <v>3566</v>
      </c>
      <c r="AL429" s="34" t="s">
        <v>4916</v>
      </c>
      <c r="AM429" s="40" t="s">
        <v>9</v>
      </c>
      <c r="AP429" s="34">
        <v>0</v>
      </c>
      <c r="AQ429" s="34">
        <v>790</v>
      </c>
      <c r="AR429" s="34">
        <v>474</v>
      </c>
      <c r="AT429" s="44">
        <v>61200</v>
      </c>
      <c r="AU429" s="44"/>
      <c r="AV429" s="46">
        <f>ROUND(Товары[[#This Row],[РРЦ финальная, руб.]]/$AU$1,2)</f>
        <v>0</v>
      </c>
      <c r="AW429" s="45" t="str">
        <f>IFERROR(Товары[[#This Row],[РРЦ, евро]]/Товары[[#This Row],[IRP, Eur]],"-")</f>
        <v>-</v>
      </c>
      <c r="AX429" s="42">
        <f>IFERROR(VLOOKUP(Товары[[#This Row],[SubGroup]],'Структура цен DIY'!$B:$C,2,FALSE),0)</f>
        <v>0.27976081460674185</v>
      </c>
      <c r="AY429" s="44">
        <v>0</v>
      </c>
    </row>
    <row r="430" spans="1:51" x14ac:dyDescent="0.25">
      <c r="A430" s="34">
        <v>428</v>
      </c>
      <c r="B430" s="34" t="s">
        <v>56</v>
      </c>
      <c r="C430" s="110" t="str">
        <f>IFERROR(INDEX(Структура_ассортимента[SuperCategory],MATCH(Товары[[#This Row],[SubGroup]],Структура_ассортимента[Subgroup],0)),"")</f>
        <v>A</v>
      </c>
      <c r="D43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3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30" s="110" t="str">
        <f>IFERROR(INDEX(Структура_ассортимента[Product group],MATCH(Товары[[#This Row],[SubGroup]],Структура_ассортимента[Subgroup],0)),"")</f>
        <v>AMT_C</v>
      </c>
      <c r="G430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30" s="110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30" s="36">
        <v>9227</v>
      </c>
      <c r="J430" s="36" t="str">
        <f>IFERROR(INDEX(Структура_ассортимента[Generic Name (long)],MATCH(Товары[[#This Row],[SubGroup]],Структура_ассортимента[Subgroup],0)),"")</f>
        <v>PLANTER</v>
      </c>
      <c r="L430" s="36">
        <v>967096301</v>
      </c>
      <c r="M430" s="35" t="s">
        <v>2114</v>
      </c>
      <c r="O430" s="35" t="s">
        <v>4994</v>
      </c>
      <c r="P430" s="37" t="s">
        <v>4995</v>
      </c>
      <c r="Q430" s="34" t="s">
        <v>3549</v>
      </c>
      <c r="R430" s="34" t="s">
        <v>3540</v>
      </c>
      <c r="S430" s="47">
        <v>42736</v>
      </c>
      <c r="T430" s="47">
        <v>0</v>
      </c>
      <c r="U430" s="47">
        <v>0</v>
      </c>
      <c r="V430" s="34">
        <v>4078500023757</v>
      </c>
      <c r="W430" s="34" t="s">
        <v>3703</v>
      </c>
      <c r="X430" s="34" t="s">
        <v>3704</v>
      </c>
      <c r="Y430" s="34" t="s">
        <v>3542</v>
      </c>
      <c r="Z430" s="34">
        <v>5</v>
      </c>
      <c r="AA430" s="34">
        <v>174</v>
      </c>
      <c r="AB430" s="34" t="s">
        <v>3929</v>
      </c>
      <c r="AC430" s="34">
        <v>162</v>
      </c>
      <c r="AD430" s="34" t="s">
        <v>4517</v>
      </c>
      <c r="AE430" s="34" t="s">
        <v>3623</v>
      </c>
      <c r="AF430" s="34" t="s">
        <v>3566</v>
      </c>
      <c r="AG430" s="34" t="s">
        <v>3800</v>
      </c>
      <c r="AH430" s="34" t="s">
        <v>4996</v>
      </c>
      <c r="AI430" s="34" t="s">
        <v>4997</v>
      </c>
      <c r="AJ430" s="34" t="s">
        <v>4909</v>
      </c>
      <c r="AK430" s="34" t="s">
        <v>4335</v>
      </c>
      <c r="AL430" s="34" t="s">
        <v>4998</v>
      </c>
      <c r="AM430" s="40" t="s">
        <v>9</v>
      </c>
      <c r="AP430" s="34">
        <v>0</v>
      </c>
      <c r="AQ430" s="34">
        <v>790</v>
      </c>
      <c r="AR430" s="34">
        <v>474</v>
      </c>
      <c r="AT430" s="44">
        <v>61200</v>
      </c>
      <c r="AU430" s="44"/>
      <c r="AV430" s="46">
        <f>ROUND(Товары[[#This Row],[РРЦ финальная, руб.]]/$AU$1,2)</f>
        <v>0</v>
      </c>
      <c r="AW430" s="45" t="str">
        <f>IFERROR(Товары[[#This Row],[РРЦ, евро]]/Товары[[#This Row],[IRP, Eur]],"-")</f>
        <v>-</v>
      </c>
      <c r="AX430" s="42">
        <f>IFERROR(VLOOKUP(Товары[[#This Row],[SubGroup]],'Структура цен DIY'!$B:$C,2,FALSE),0)</f>
        <v>0.27976081460674185</v>
      </c>
      <c r="AY430" s="44">
        <v>0</v>
      </c>
    </row>
    <row r="431" spans="1:51" x14ac:dyDescent="0.25">
      <c r="A431" s="34">
        <v>429</v>
      </c>
      <c r="B431" s="34" t="s">
        <v>56</v>
      </c>
      <c r="C431" s="110" t="str">
        <f>IFERROR(INDEX(Структура_ассортимента[SuperCategory],MATCH(Товары[[#This Row],[SubGroup]],Структура_ассортимента[Subgroup],0)),"")</f>
        <v>A</v>
      </c>
      <c r="D43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3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31" s="110" t="str">
        <f>IFERROR(INDEX(Структура_ассортимента[Product group],MATCH(Товары[[#This Row],[SubGroup]],Структура_ассортимента[Subgroup],0)),"")</f>
        <v>AMT_C</v>
      </c>
      <c r="G431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31" s="110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31" s="36">
        <v>9227</v>
      </c>
      <c r="J431" s="36" t="str">
        <f>IFERROR(INDEX(Структура_ассортимента[Generic Name (long)],MATCH(Товары[[#This Row],[SubGroup]],Структура_ассортимента[Subgroup],0)),"")</f>
        <v>PLANTER</v>
      </c>
      <c r="L431" s="36">
        <v>967096401</v>
      </c>
      <c r="M431" s="35" t="s">
        <v>2115</v>
      </c>
      <c r="O431" s="35" t="s">
        <v>4999</v>
      </c>
      <c r="P431" s="37" t="s">
        <v>5000</v>
      </c>
      <c r="Q431" s="34" t="s">
        <v>3549</v>
      </c>
      <c r="R431" s="34" t="s">
        <v>3540</v>
      </c>
      <c r="S431" s="47">
        <v>42736</v>
      </c>
      <c r="T431" s="47">
        <v>0</v>
      </c>
      <c r="U431" s="47">
        <v>0</v>
      </c>
      <c r="V431" s="34">
        <v>4078500023771</v>
      </c>
      <c r="W431" s="34" t="s">
        <v>3703</v>
      </c>
      <c r="X431" s="34" t="s">
        <v>3704</v>
      </c>
      <c r="Y431" s="34" t="s">
        <v>3542</v>
      </c>
      <c r="Z431" s="34">
        <v>5</v>
      </c>
      <c r="AA431" s="34">
        <v>171</v>
      </c>
      <c r="AB431" s="34" t="s">
        <v>4006</v>
      </c>
      <c r="AC431" s="34">
        <v>159</v>
      </c>
      <c r="AD431" s="34" t="s">
        <v>3990</v>
      </c>
      <c r="AE431" s="34" t="s">
        <v>3574</v>
      </c>
      <c r="AF431" s="34" t="s">
        <v>3566</v>
      </c>
      <c r="AG431" s="34" t="s">
        <v>4248</v>
      </c>
      <c r="AH431" s="34" t="s">
        <v>5001</v>
      </c>
      <c r="AI431" s="34" t="s">
        <v>5002</v>
      </c>
      <c r="AJ431" s="34" t="s">
        <v>5003</v>
      </c>
      <c r="AK431" s="34" t="s">
        <v>4361</v>
      </c>
      <c r="AL431" s="34" t="s">
        <v>5004</v>
      </c>
      <c r="AM431" s="40" t="s">
        <v>9</v>
      </c>
      <c r="AP431" s="34">
        <v>0</v>
      </c>
      <c r="AQ431" s="34">
        <v>790</v>
      </c>
      <c r="AR431" s="34">
        <v>474</v>
      </c>
      <c r="AT431" s="44">
        <v>61200</v>
      </c>
      <c r="AU431" s="44"/>
      <c r="AV431" s="46">
        <f>ROUND(Товары[[#This Row],[РРЦ финальная, руб.]]/$AU$1,2)</f>
        <v>0</v>
      </c>
      <c r="AW431" s="45" t="str">
        <f>IFERROR(Товары[[#This Row],[РРЦ, евро]]/Товары[[#This Row],[IRP, Eur]],"-")</f>
        <v>-</v>
      </c>
      <c r="AX431" s="42">
        <f>IFERROR(VLOOKUP(Товары[[#This Row],[SubGroup]],'Структура цен DIY'!$B:$C,2,FALSE),0)</f>
        <v>0.27976081460674185</v>
      </c>
      <c r="AY431" s="44">
        <v>0</v>
      </c>
    </row>
    <row r="432" spans="1:51" x14ac:dyDescent="0.25">
      <c r="A432" s="34">
        <v>430</v>
      </c>
      <c r="B432" s="34" t="s">
        <v>56</v>
      </c>
      <c r="C432" s="110" t="str">
        <f>IFERROR(INDEX(Структура_ассортимента[SuperCategory],MATCH(Товары[[#This Row],[SubGroup]],Структура_ассортимента[Subgroup],0)),"")</f>
        <v>A</v>
      </c>
      <c r="D43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3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32" s="110" t="str">
        <f>IFERROR(INDEX(Структура_ассортимента[Product group],MATCH(Товары[[#This Row],[SubGroup]],Структура_ассортимента[Subgroup],0)),"")</f>
        <v>AMT_C</v>
      </c>
      <c r="G432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32" s="110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32" s="36">
        <v>9227</v>
      </c>
      <c r="J432" s="36" t="str">
        <f>IFERROR(INDEX(Структура_ассортимента[Generic Name (long)],MATCH(Товары[[#This Row],[SubGroup]],Структура_ассортимента[Subgroup],0)),"")</f>
        <v>PLANTER</v>
      </c>
      <c r="L432" s="36">
        <v>967096501</v>
      </c>
      <c r="M432" s="35" t="s">
        <v>2116</v>
      </c>
      <c r="Q432" s="34" t="s">
        <v>3549</v>
      </c>
      <c r="R432" s="34" t="s">
        <v>3540</v>
      </c>
      <c r="S432" s="47">
        <v>42736</v>
      </c>
      <c r="T432" s="47">
        <v>0</v>
      </c>
      <c r="U432" s="47">
        <v>0</v>
      </c>
      <c r="V432" s="34">
        <v>4078500023795</v>
      </c>
      <c r="W432" s="34" t="s">
        <v>3703</v>
      </c>
      <c r="X432" s="34" t="s">
        <v>3704</v>
      </c>
      <c r="Y432" s="34" t="s">
        <v>3542</v>
      </c>
      <c r="Z432" s="34">
        <v>5</v>
      </c>
      <c r="AA432" s="34">
        <v>136</v>
      </c>
      <c r="AB432" s="34" t="s">
        <v>4002</v>
      </c>
      <c r="AC432" s="34">
        <v>124</v>
      </c>
      <c r="AD432" s="34" t="s">
        <v>3806</v>
      </c>
      <c r="AE432" s="34" t="s">
        <v>3610</v>
      </c>
      <c r="AF432" s="34" t="s">
        <v>4335</v>
      </c>
      <c r="AG432" s="34" t="s">
        <v>4231</v>
      </c>
      <c r="AH432" s="34" t="s">
        <v>5005</v>
      </c>
      <c r="AI432" s="34" t="s">
        <v>4970</v>
      </c>
      <c r="AJ432" s="34" t="s">
        <v>5006</v>
      </c>
      <c r="AK432" s="34" t="s">
        <v>4260</v>
      </c>
      <c r="AL432" s="34" t="s">
        <v>4154</v>
      </c>
      <c r="AM432" s="40" t="s">
        <v>8095</v>
      </c>
      <c r="AT432" s="44">
        <v>0</v>
      </c>
      <c r="AU432" s="44"/>
      <c r="AV432" s="46">
        <f>ROUND(Товары[[#This Row],[РРЦ финальная, руб.]]/$AU$1,2)</f>
        <v>0</v>
      </c>
      <c r="AW432" s="45" t="str">
        <f>IFERROR(Товары[[#This Row],[РРЦ, евро]]/Товары[[#This Row],[IRP, Eur]],"-")</f>
        <v>-</v>
      </c>
      <c r="AX432" s="42">
        <f>IFERROR(VLOOKUP(Товары[[#This Row],[SubGroup]],'Структура цен DIY'!$B:$C,2,FALSE),0)</f>
        <v>0.27976081460674185</v>
      </c>
      <c r="AY432" s="44">
        <v>0</v>
      </c>
    </row>
    <row r="433" spans="1:51" x14ac:dyDescent="0.25">
      <c r="A433" s="34">
        <v>431</v>
      </c>
      <c r="B433" s="34" t="s">
        <v>56</v>
      </c>
      <c r="C433" s="110" t="str">
        <f>IFERROR(INDEX(Структура_ассортимента[SuperCategory],MATCH(Товары[[#This Row],[SubGroup]],Структура_ассортимента[Subgroup],0)),"")</f>
        <v>A</v>
      </c>
      <c r="D43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3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33" s="110" t="str">
        <f>IFERROR(INDEX(Структура_ассортимента[Product group],MATCH(Товары[[#This Row],[SubGroup]],Структура_ассортимента[Subgroup],0)),"")</f>
        <v>AMT_C</v>
      </c>
      <c r="G433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33" s="110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33" s="36">
        <v>9227</v>
      </c>
      <c r="J433" s="36" t="str">
        <f>IFERROR(INDEX(Структура_ассортимента[Generic Name (long)],MATCH(Товары[[#This Row],[SubGroup]],Структура_ассортимента[Subgroup],0)),"")</f>
        <v>PLANTER</v>
      </c>
      <c r="L433" s="36">
        <v>967096601</v>
      </c>
      <c r="M433" s="35" t="s">
        <v>2117</v>
      </c>
      <c r="Q433" s="34" t="s">
        <v>3549</v>
      </c>
      <c r="R433" s="34" t="s">
        <v>3540</v>
      </c>
      <c r="S433" s="47">
        <v>42736</v>
      </c>
      <c r="T433" s="47">
        <v>0</v>
      </c>
      <c r="U433" s="47">
        <v>0</v>
      </c>
      <c r="V433" s="34">
        <v>4078500023832</v>
      </c>
      <c r="W433" s="34" t="s">
        <v>3703</v>
      </c>
      <c r="X433" s="34" t="s">
        <v>3704</v>
      </c>
      <c r="Y433" s="34" t="s">
        <v>3542</v>
      </c>
      <c r="Z433" s="34">
        <v>50</v>
      </c>
      <c r="AA433" s="34">
        <v>136</v>
      </c>
      <c r="AB433" s="34" t="s">
        <v>3928</v>
      </c>
      <c r="AC433" s="34">
        <v>124</v>
      </c>
      <c r="AD433" s="34" t="s">
        <v>5007</v>
      </c>
      <c r="AE433" s="34" t="s">
        <v>3574</v>
      </c>
      <c r="AF433" s="34" t="s">
        <v>3672</v>
      </c>
      <c r="AG433" s="34" t="s">
        <v>4560</v>
      </c>
      <c r="AH433" s="34" t="s">
        <v>5008</v>
      </c>
      <c r="AL433" s="34" t="s">
        <v>5009</v>
      </c>
      <c r="AM433" s="40" t="s">
        <v>8095</v>
      </c>
      <c r="AT433" s="44">
        <v>0</v>
      </c>
      <c r="AU433" s="44"/>
      <c r="AV433" s="46">
        <f>ROUND(Товары[[#This Row],[РРЦ финальная, руб.]]/$AU$1,2)</f>
        <v>0</v>
      </c>
      <c r="AW433" s="45" t="str">
        <f>IFERROR(Товары[[#This Row],[РРЦ, евро]]/Товары[[#This Row],[IRP, Eur]],"-")</f>
        <v>-</v>
      </c>
      <c r="AX433" s="42">
        <f>IFERROR(VLOOKUP(Товары[[#This Row],[SubGroup]],'Структура цен DIY'!$B:$C,2,FALSE),0)</f>
        <v>0.27976081460674185</v>
      </c>
      <c r="AY433" s="44">
        <v>0</v>
      </c>
    </row>
    <row r="434" spans="1:51" x14ac:dyDescent="0.25">
      <c r="A434" s="34">
        <v>432</v>
      </c>
      <c r="B434" s="34" t="s">
        <v>56</v>
      </c>
      <c r="C434" s="110" t="str">
        <f>IFERROR(INDEX(Структура_ассортимента[SuperCategory],MATCH(Товары[[#This Row],[SubGroup]],Структура_ассортимента[Subgroup],0)),"")</f>
        <v>A</v>
      </c>
      <c r="D43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3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34" s="110" t="str">
        <f>IFERROR(INDEX(Структура_ассортимента[Product group],MATCH(Товары[[#This Row],[SubGroup]],Структура_ассортимента[Subgroup],0)),"")</f>
        <v>AMT_C</v>
      </c>
      <c r="G434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34" s="110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34" s="36">
        <v>9227</v>
      </c>
      <c r="J434" s="36" t="str">
        <f>IFERROR(INDEX(Структура_ассортимента[Generic Name (long)],MATCH(Товары[[#This Row],[SubGroup]],Структура_ассортимента[Subgroup],0)),"")</f>
        <v>PLANTER</v>
      </c>
      <c r="L434" s="36">
        <v>967096701</v>
      </c>
      <c r="M434" s="35" t="s">
        <v>2118</v>
      </c>
      <c r="Q434" s="34" t="s">
        <v>3549</v>
      </c>
      <c r="R434" s="34" t="s">
        <v>3540</v>
      </c>
      <c r="S434" s="47">
        <v>42736</v>
      </c>
      <c r="T434" s="47">
        <v>0</v>
      </c>
      <c r="U434" s="47">
        <v>0</v>
      </c>
      <c r="V434" s="34">
        <v>4078500023528</v>
      </c>
      <c r="W434" s="34" t="s">
        <v>3703</v>
      </c>
      <c r="X434" s="34" t="s">
        <v>3704</v>
      </c>
      <c r="Y434" s="34" t="s">
        <v>3542</v>
      </c>
      <c r="Z434" s="34">
        <v>5</v>
      </c>
      <c r="AA434" s="34">
        <v>285</v>
      </c>
      <c r="AB434" s="34" t="s">
        <v>4919</v>
      </c>
      <c r="AC434" s="34">
        <v>270</v>
      </c>
      <c r="AD434" s="34" t="s">
        <v>4147</v>
      </c>
      <c r="AE434" s="34" t="s">
        <v>4341</v>
      </c>
      <c r="AF434" s="34" t="s">
        <v>3566</v>
      </c>
      <c r="AG434" s="34" t="s">
        <v>4181</v>
      </c>
      <c r="AH434" s="34" t="s">
        <v>4940</v>
      </c>
      <c r="AI434" s="34" t="s">
        <v>5010</v>
      </c>
      <c r="AJ434" s="34" t="s">
        <v>4351</v>
      </c>
      <c r="AK434" s="34" t="s">
        <v>4943</v>
      </c>
      <c r="AL434" s="34" t="s">
        <v>4924</v>
      </c>
      <c r="AM434" s="40" t="s">
        <v>8095</v>
      </c>
      <c r="AT434" s="44">
        <v>0</v>
      </c>
      <c r="AU434" s="44"/>
      <c r="AV434" s="46">
        <f>ROUND(Товары[[#This Row],[РРЦ финальная, руб.]]/$AU$1,2)</f>
        <v>0</v>
      </c>
      <c r="AW434" s="45" t="str">
        <f>IFERROR(Товары[[#This Row],[РРЦ, евро]]/Товары[[#This Row],[IRP, Eur]],"-")</f>
        <v>-</v>
      </c>
      <c r="AX434" s="42">
        <f>IFERROR(VLOOKUP(Товары[[#This Row],[SubGroup]],'Структура цен DIY'!$B:$C,2,FALSE),0)</f>
        <v>0.27976081460674185</v>
      </c>
      <c r="AY434" s="44">
        <v>0</v>
      </c>
    </row>
    <row r="435" spans="1:51" x14ac:dyDescent="0.25">
      <c r="A435" s="34">
        <v>433</v>
      </c>
      <c r="B435" s="34" t="s">
        <v>56</v>
      </c>
      <c r="C435" s="110" t="str">
        <f>IFERROR(INDEX(Структура_ассортимента[SuperCategory],MATCH(Товары[[#This Row],[SubGroup]],Структура_ассортимента[Subgroup],0)),"")</f>
        <v>A</v>
      </c>
      <c r="D43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3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35" s="110" t="str">
        <f>IFERROR(INDEX(Структура_ассортимента[Product group],MATCH(Товары[[#This Row],[SubGroup]],Структура_ассортимента[Subgroup],0)),"")</f>
        <v>AMT_C</v>
      </c>
      <c r="G435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35" s="110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35" s="36">
        <v>9227</v>
      </c>
      <c r="J435" s="36" t="str">
        <f>IFERROR(INDEX(Структура_ассортимента[Generic Name (long)],MATCH(Товары[[#This Row],[SubGroup]],Структура_ассортимента[Subgroup],0)),"")</f>
        <v>PLANTER</v>
      </c>
      <c r="L435" s="36">
        <v>967096801</v>
      </c>
      <c r="M435" s="35" t="s">
        <v>2119</v>
      </c>
      <c r="O435" s="35" t="s">
        <v>5011</v>
      </c>
      <c r="P435" s="37" t="s">
        <v>5012</v>
      </c>
      <c r="Q435" s="34" t="s">
        <v>3549</v>
      </c>
      <c r="R435" s="34" t="s">
        <v>3540</v>
      </c>
      <c r="S435" s="47">
        <v>42736</v>
      </c>
      <c r="T435" s="47">
        <v>0</v>
      </c>
      <c r="U435" s="47">
        <v>0</v>
      </c>
      <c r="V435" s="34">
        <v>4078500023368</v>
      </c>
      <c r="W435" s="34" t="s">
        <v>3543</v>
      </c>
      <c r="X435" s="34" t="s">
        <v>3579</v>
      </c>
      <c r="Y435" s="34" t="s">
        <v>3542</v>
      </c>
      <c r="Z435" s="34">
        <v>20</v>
      </c>
      <c r="AA435" s="34">
        <v>725</v>
      </c>
      <c r="AB435" s="34" t="s">
        <v>5013</v>
      </c>
      <c r="AC435" s="34">
        <v>593</v>
      </c>
      <c r="AD435" s="34" t="s">
        <v>5014</v>
      </c>
      <c r="AE435" s="34" t="s">
        <v>3865</v>
      </c>
      <c r="AF435" s="34" t="s">
        <v>3566</v>
      </c>
      <c r="AG435" s="34" t="s">
        <v>3742</v>
      </c>
      <c r="AH435" s="34" t="s">
        <v>5015</v>
      </c>
      <c r="AL435" s="34" t="s">
        <v>4453</v>
      </c>
      <c r="AM435" s="40" t="s">
        <v>9</v>
      </c>
      <c r="AP435" s="34">
        <v>0</v>
      </c>
      <c r="AQ435" s="34">
        <v>3190</v>
      </c>
      <c r="AR435" s="34">
        <v>1914</v>
      </c>
      <c r="AT435" s="44">
        <v>247100</v>
      </c>
      <c r="AU435" s="44"/>
      <c r="AV435" s="46">
        <f>ROUND(Товары[[#This Row],[РРЦ финальная, руб.]]/$AU$1,2)</f>
        <v>0</v>
      </c>
      <c r="AW435" s="45" t="str">
        <f>IFERROR(Товары[[#This Row],[РРЦ, евро]]/Товары[[#This Row],[IRP, Eur]],"-")</f>
        <v>-</v>
      </c>
      <c r="AX435" s="42">
        <f>IFERROR(VLOOKUP(Товары[[#This Row],[SubGroup]],'Структура цен DIY'!$B:$C,2,FALSE),0)</f>
        <v>0.27976081460674185</v>
      </c>
      <c r="AY435" s="44">
        <v>0</v>
      </c>
    </row>
    <row r="436" spans="1:51" x14ac:dyDescent="0.25">
      <c r="A436" s="34">
        <v>434</v>
      </c>
      <c r="B436" s="34" t="s">
        <v>56</v>
      </c>
      <c r="C436" s="110" t="str">
        <f>IFERROR(INDEX(Структура_ассортимента[SuperCategory],MATCH(Товары[[#This Row],[SubGroup]],Структура_ассортимента[Subgroup],0)),"")</f>
        <v>A</v>
      </c>
      <c r="D43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3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36" s="110" t="str">
        <f>IFERROR(INDEX(Структура_ассортимента[Product group],MATCH(Товары[[#This Row],[SubGroup]],Структура_ассортимента[Subgroup],0)),"")</f>
        <v>AMT_C</v>
      </c>
      <c r="G436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36" s="110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36" s="36">
        <v>9227</v>
      </c>
      <c r="J436" s="36" t="str">
        <f>IFERROR(INDEX(Структура_ассортимента[Generic Name (long)],MATCH(Товары[[#This Row],[SubGroup]],Структура_ассортимента[Subgroup],0)),"")</f>
        <v>PLANTER</v>
      </c>
      <c r="L436" s="36">
        <v>967096901</v>
      </c>
      <c r="M436" s="35" t="s">
        <v>2120</v>
      </c>
      <c r="O436" s="35" t="s">
        <v>5016</v>
      </c>
      <c r="P436" s="37" t="s">
        <v>5017</v>
      </c>
      <c r="Q436" s="34" t="s">
        <v>3549</v>
      </c>
      <c r="R436" s="34" t="s">
        <v>3540</v>
      </c>
      <c r="S436" s="47">
        <v>42736</v>
      </c>
      <c r="T436" s="47">
        <v>0</v>
      </c>
      <c r="U436" s="47">
        <v>0</v>
      </c>
      <c r="V436" s="34">
        <v>4078500023856</v>
      </c>
      <c r="W436" s="34" t="s">
        <v>3543</v>
      </c>
      <c r="X436" s="34" t="s">
        <v>3579</v>
      </c>
      <c r="Y436" s="34" t="s">
        <v>3542</v>
      </c>
      <c r="Z436" s="34">
        <v>20</v>
      </c>
      <c r="AA436" s="34" t="s">
        <v>4593</v>
      </c>
      <c r="AB436" s="34" t="s">
        <v>5018</v>
      </c>
      <c r="AC436" s="34">
        <v>655</v>
      </c>
      <c r="AD436" s="34" t="s">
        <v>4715</v>
      </c>
      <c r="AE436" s="34" t="s">
        <v>3693</v>
      </c>
      <c r="AF436" s="34" t="s">
        <v>4458</v>
      </c>
      <c r="AG436" s="34" t="s">
        <v>3610</v>
      </c>
      <c r="AH436" s="34" t="s">
        <v>5019</v>
      </c>
      <c r="AL436" s="34" t="s">
        <v>4453</v>
      </c>
      <c r="AM436" s="40" t="s">
        <v>9</v>
      </c>
      <c r="AP436" s="34">
        <v>0</v>
      </c>
      <c r="AQ436" s="34">
        <v>2190</v>
      </c>
      <c r="AR436" s="34">
        <v>1314</v>
      </c>
      <c r="AT436" s="44">
        <v>169600</v>
      </c>
      <c r="AU436" s="44"/>
      <c r="AV436" s="46">
        <f>ROUND(Товары[[#This Row],[РРЦ финальная, руб.]]/$AU$1,2)</f>
        <v>0</v>
      </c>
      <c r="AW436" s="45" t="str">
        <f>IFERROR(Товары[[#This Row],[РРЦ, евро]]/Товары[[#This Row],[IRP, Eur]],"-")</f>
        <v>-</v>
      </c>
      <c r="AX436" s="42">
        <f>IFERROR(VLOOKUP(Товары[[#This Row],[SubGroup]],'Структура цен DIY'!$B:$C,2,FALSE),0)</f>
        <v>0.27976081460674185</v>
      </c>
      <c r="AY436" s="44">
        <v>0</v>
      </c>
    </row>
    <row r="437" spans="1:51" x14ac:dyDescent="0.25">
      <c r="A437" s="34">
        <v>435</v>
      </c>
      <c r="B437" s="34" t="s">
        <v>56</v>
      </c>
      <c r="C437" s="110" t="str">
        <f>IFERROR(INDEX(Структура_ассортимента[SuperCategory],MATCH(Товары[[#This Row],[SubGroup]],Структура_ассортимента[Subgroup],0)),"")</f>
        <v>A</v>
      </c>
      <c r="D43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3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37" s="110" t="str">
        <f>IFERROR(INDEX(Структура_ассортимента[Product group],MATCH(Товары[[#This Row],[SubGroup]],Структура_ассортимента[Subgroup],0)),"")</f>
        <v>AMT_C</v>
      </c>
      <c r="G437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37" s="110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37" s="36">
        <v>9227</v>
      </c>
      <c r="J437" s="36" t="str">
        <f>IFERROR(INDEX(Структура_ассортимента[Generic Name (long)],MATCH(Товары[[#This Row],[SubGroup]],Структура_ассортимента[Subgroup],0)),"")</f>
        <v>PLANTER</v>
      </c>
      <c r="L437" s="36">
        <v>967654301</v>
      </c>
      <c r="M437" s="35" t="s">
        <v>2121</v>
      </c>
      <c r="Q437" s="34" t="s">
        <v>3713</v>
      </c>
      <c r="R437" s="34" t="s">
        <v>3540</v>
      </c>
      <c r="S437" s="47">
        <v>42736</v>
      </c>
      <c r="T437" s="47">
        <v>43830</v>
      </c>
      <c r="U437" s="47">
        <v>43830</v>
      </c>
      <c r="V437" s="34">
        <v>4078500030557</v>
      </c>
      <c r="W437" s="34" t="s">
        <v>3543</v>
      </c>
      <c r="Y437" s="34" t="s">
        <v>3542</v>
      </c>
      <c r="Z437" s="34">
        <v>6</v>
      </c>
      <c r="AA437" s="34" t="s">
        <v>4593</v>
      </c>
      <c r="AB437" s="34" t="s">
        <v>5020</v>
      </c>
      <c r="AC437" s="34">
        <v>655</v>
      </c>
      <c r="AD437" s="34" t="s">
        <v>4715</v>
      </c>
      <c r="AE437" s="34" t="s">
        <v>3693</v>
      </c>
      <c r="AF437" s="34" t="s">
        <v>4458</v>
      </c>
      <c r="AG437" s="34" t="s">
        <v>3610</v>
      </c>
      <c r="AH437" s="34" t="s">
        <v>5019</v>
      </c>
      <c r="AL437" s="34" t="s">
        <v>5021</v>
      </c>
      <c r="AM437" s="40" t="s">
        <v>8094</v>
      </c>
      <c r="AT437" s="44">
        <v>0</v>
      </c>
      <c r="AU437" s="44"/>
      <c r="AV437" s="46">
        <f>ROUND(Товары[[#This Row],[РРЦ финальная, руб.]]/$AU$1,2)</f>
        <v>0</v>
      </c>
      <c r="AW437" s="45" t="str">
        <f>IFERROR(Товары[[#This Row],[РРЦ, евро]]/Товары[[#This Row],[IRP, Eur]],"-")</f>
        <v>-</v>
      </c>
      <c r="AX437" s="42">
        <f>IFERROR(VLOOKUP(Товары[[#This Row],[SubGroup]],'Структура цен DIY'!$B:$C,2,FALSE),0)</f>
        <v>0.27976081460674185</v>
      </c>
      <c r="AY437" s="44">
        <v>0</v>
      </c>
    </row>
    <row r="438" spans="1:51" x14ac:dyDescent="0.25">
      <c r="A438" s="34">
        <v>436</v>
      </c>
      <c r="B438" s="34" t="s">
        <v>56</v>
      </c>
      <c r="C438" s="110" t="str">
        <f>IFERROR(INDEX(Структура_ассортимента[SuperCategory],MATCH(Товары[[#This Row],[SubGroup]],Структура_ассортимента[Subgroup],0)),"")</f>
        <v>A</v>
      </c>
      <c r="D43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3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38" s="110" t="str">
        <f>IFERROR(INDEX(Структура_ассортимента[Product group],MATCH(Товары[[#This Row],[SubGroup]],Структура_ассортимента[Subgroup],0)),"")</f>
        <v>AMT_C</v>
      </c>
      <c r="G438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38" s="110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38" s="36">
        <v>9227</v>
      </c>
      <c r="J438" s="36" t="str">
        <f>IFERROR(INDEX(Структура_ассортимента[Generic Name (long)],MATCH(Товары[[#This Row],[SubGroup]],Структура_ассортимента[Subgroup],0)),"")</f>
        <v>PLANTER</v>
      </c>
      <c r="L438" s="36">
        <v>967694101</v>
      </c>
      <c r="M438" s="35" t="s">
        <v>2122</v>
      </c>
      <c r="O438" s="35" t="s">
        <v>5022</v>
      </c>
      <c r="P438" s="37" t="s">
        <v>5023</v>
      </c>
      <c r="Q438" s="34" t="s">
        <v>3652</v>
      </c>
      <c r="R438" s="34" t="s">
        <v>3540</v>
      </c>
      <c r="S438" s="47">
        <v>43101</v>
      </c>
      <c r="T438" s="47">
        <v>44196</v>
      </c>
      <c r="U438" s="47">
        <v>0</v>
      </c>
      <c r="V438" s="34">
        <v>4078500035088</v>
      </c>
      <c r="W438" s="34" t="s">
        <v>3543</v>
      </c>
      <c r="X438" s="34" t="s">
        <v>3579</v>
      </c>
      <c r="Y438" s="34" t="s">
        <v>3542</v>
      </c>
      <c r="Z438" s="34">
        <v>10</v>
      </c>
      <c r="AB438" s="34" t="s">
        <v>5024</v>
      </c>
      <c r="AD438" s="34" t="s">
        <v>5025</v>
      </c>
      <c r="AE438" s="34" t="s">
        <v>4458</v>
      </c>
      <c r="AF438" s="34" t="s">
        <v>3693</v>
      </c>
      <c r="AG438" s="34" t="s">
        <v>3610</v>
      </c>
      <c r="AH438" s="34" t="s">
        <v>5019</v>
      </c>
      <c r="AL438" s="34" t="s">
        <v>4453</v>
      </c>
      <c r="AM438" s="40" t="s">
        <v>9</v>
      </c>
      <c r="AP438" s="34">
        <v>0</v>
      </c>
      <c r="AQ438" s="34">
        <v>2190</v>
      </c>
      <c r="AR438" s="34">
        <v>1314</v>
      </c>
      <c r="AT438" s="44">
        <v>169600</v>
      </c>
      <c r="AU438" s="44"/>
      <c r="AV438" s="46">
        <f>ROUND(Товары[[#This Row],[РРЦ финальная, руб.]]/$AU$1,2)</f>
        <v>0</v>
      </c>
      <c r="AW438" s="45" t="str">
        <f>IFERROR(Товары[[#This Row],[РРЦ, евро]]/Товары[[#This Row],[IRP, Eur]],"-")</f>
        <v>-</v>
      </c>
      <c r="AX438" s="42">
        <f>IFERROR(VLOOKUP(Товары[[#This Row],[SubGroup]],'Структура цен DIY'!$B:$C,2,FALSE),0)</f>
        <v>0.27976081460674185</v>
      </c>
      <c r="AY438" s="44">
        <v>0</v>
      </c>
    </row>
    <row r="439" spans="1:51" x14ac:dyDescent="0.25">
      <c r="A439" s="34">
        <v>437</v>
      </c>
      <c r="B439" s="34" t="s">
        <v>56</v>
      </c>
      <c r="C439" s="110" t="str">
        <f>IFERROR(INDEX(Структура_ассортимента[SuperCategory],MATCH(Товары[[#This Row],[SubGroup]],Структура_ассортимента[Subgroup],0)),"")</f>
        <v>A</v>
      </c>
      <c r="D43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3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39" s="110" t="str">
        <f>IFERROR(INDEX(Структура_ассортимента[Product group],MATCH(Товары[[#This Row],[SubGroup]],Структура_ассортимента[Subgroup],0)),"")</f>
        <v>AMT_C</v>
      </c>
      <c r="G439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39" s="110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39" s="36">
        <v>9227</v>
      </c>
      <c r="J439" s="36" t="str">
        <f>IFERROR(INDEX(Структура_ассортимента[Generic Name (long)],MATCH(Товары[[#This Row],[SubGroup]],Структура_ассортимента[Subgroup],0)),"")</f>
        <v>PLANTER</v>
      </c>
      <c r="L439" s="36">
        <v>967097001</v>
      </c>
      <c r="M439" s="35" t="s">
        <v>2123</v>
      </c>
      <c r="O439" s="35" t="s">
        <v>5026</v>
      </c>
      <c r="P439" s="37" t="s">
        <v>5027</v>
      </c>
      <c r="Q439" s="34" t="s">
        <v>3549</v>
      </c>
      <c r="R439" s="34" t="s">
        <v>3540</v>
      </c>
      <c r="S439" s="47">
        <v>42736</v>
      </c>
      <c r="T439" s="47">
        <v>0</v>
      </c>
      <c r="U439" s="47">
        <v>0</v>
      </c>
      <c r="V439" s="34">
        <v>4078500023863</v>
      </c>
      <c r="W439" s="34" t="s">
        <v>3543</v>
      </c>
      <c r="X439" s="34" t="s">
        <v>3579</v>
      </c>
      <c r="Y439" s="34" t="s">
        <v>3542</v>
      </c>
      <c r="Z439" s="34">
        <v>2</v>
      </c>
      <c r="AA439" s="34" t="s">
        <v>4593</v>
      </c>
      <c r="AB439" s="34" t="s">
        <v>4829</v>
      </c>
      <c r="AC439" s="34" t="s">
        <v>4593</v>
      </c>
      <c r="AD439" s="34" t="s">
        <v>3876</v>
      </c>
      <c r="AE439" s="34" t="s">
        <v>3655</v>
      </c>
      <c r="AF439" s="34" t="s">
        <v>3560</v>
      </c>
      <c r="AG439" s="34" t="s">
        <v>5028</v>
      </c>
      <c r="AH439" s="34" t="s">
        <v>5029</v>
      </c>
      <c r="AI439" s="34" t="s">
        <v>5030</v>
      </c>
      <c r="AJ439" s="34" t="s">
        <v>5028</v>
      </c>
      <c r="AK439" s="34" t="s">
        <v>4242</v>
      </c>
      <c r="AL439" s="34" t="s">
        <v>5031</v>
      </c>
      <c r="AM439" s="40" t="s">
        <v>9</v>
      </c>
      <c r="AP439" s="34">
        <v>0</v>
      </c>
      <c r="AQ439" s="34">
        <v>2990</v>
      </c>
      <c r="AR439" s="34">
        <v>1794</v>
      </c>
      <c r="AT439" s="44">
        <v>231600</v>
      </c>
      <c r="AU439" s="44"/>
      <c r="AV439" s="46">
        <f>ROUND(Товары[[#This Row],[РРЦ финальная, руб.]]/$AU$1,2)</f>
        <v>0</v>
      </c>
      <c r="AW439" s="45" t="str">
        <f>IFERROR(Товары[[#This Row],[РРЦ, евро]]/Товары[[#This Row],[IRP, Eur]],"-")</f>
        <v>-</v>
      </c>
      <c r="AX439" s="42">
        <f>IFERROR(VLOOKUP(Товары[[#This Row],[SubGroup]],'Структура цен DIY'!$B:$C,2,FALSE),0)</f>
        <v>0.27976081460674185</v>
      </c>
      <c r="AY439" s="44">
        <v>0</v>
      </c>
    </row>
    <row r="440" spans="1:51" x14ac:dyDescent="0.25">
      <c r="A440" s="34">
        <v>438</v>
      </c>
      <c r="B440" s="34" t="s">
        <v>56</v>
      </c>
      <c r="C440" s="110" t="str">
        <f>IFERROR(INDEX(Структура_ассортимента[SuperCategory],MATCH(Товары[[#This Row],[SubGroup]],Структура_ассортимента[Subgroup],0)),"")</f>
        <v>A</v>
      </c>
      <c r="D44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4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40" s="110" t="str">
        <f>IFERROR(INDEX(Структура_ассортимента[Product group],MATCH(Товары[[#This Row],[SubGroup]],Структура_ассортимента[Subgroup],0)),"")</f>
        <v>AMT_C</v>
      </c>
      <c r="G440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40" s="110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40" s="36">
        <v>9227</v>
      </c>
      <c r="J440" s="36" t="str">
        <f>IFERROR(INDEX(Структура_ассортимента[Generic Name (long)],MATCH(Товары[[#This Row],[SubGroup]],Структура_ассортимента[Subgroup],0)),"")</f>
        <v>PLANTER</v>
      </c>
      <c r="L440" s="36">
        <v>967097101</v>
      </c>
      <c r="M440" s="35" t="s">
        <v>2124</v>
      </c>
      <c r="O440" s="35" t="s">
        <v>5032</v>
      </c>
      <c r="P440" s="37" t="s">
        <v>5033</v>
      </c>
      <c r="Q440" s="34" t="s">
        <v>3549</v>
      </c>
      <c r="R440" s="34" t="s">
        <v>3540</v>
      </c>
      <c r="S440" s="47">
        <v>42736</v>
      </c>
      <c r="T440" s="47">
        <v>0</v>
      </c>
      <c r="U440" s="47">
        <v>0</v>
      </c>
      <c r="V440" s="34">
        <v>4078500023887</v>
      </c>
      <c r="W440" s="34" t="s">
        <v>3543</v>
      </c>
      <c r="X440" s="34" t="s">
        <v>3579</v>
      </c>
      <c r="Y440" s="34" t="s">
        <v>3542</v>
      </c>
      <c r="Z440" s="34">
        <v>12</v>
      </c>
      <c r="AA440" s="34" t="s">
        <v>4593</v>
      </c>
      <c r="AB440" s="34" t="s">
        <v>3634</v>
      </c>
      <c r="AC440" s="34" t="s">
        <v>4593</v>
      </c>
      <c r="AD440" s="34" t="s">
        <v>5034</v>
      </c>
      <c r="AE440" s="34" t="s">
        <v>3975</v>
      </c>
      <c r="AF440" s="34" t="s">
        <v>3557</v>
      </c>
      <c r="AG440" s="34" t="s">
        <v>3819</v>
      </c>
      <c r="AH440" s="34" t="s">
        <v>5035</v>
      </c>
      <c r="AL440" s="34" t="s">
        <v>4214</v>
      </c>
      <c r="AM440" s="40" t="s">
        <v>9</v>
      </c>
      <c r="AP440" s="34">
        <v>0</v>
      </c>
      <c r="AQ440" s="34">
        <v>2990</v>
      </c>
      <c r="AR440" s="34">
        <v>1794</v>
      </c>
      <c r="AT440" s="44">
        <v>231600</v>
      </c>
      <c r="AU440" s="44"/>
      <c r="AV440" s="46">
        <f>ROUND(Товары[[#This Row],[РРЦ финальная, руб.]]/$AU$1,2)</f>
        <v>0</v>
      </c>
      <c r="AW440" s="45" t="str">
        <f>IFERROR(Товары[[#This Row],[РРЦ, евро]]/Товары[[#This Row],[IRP, Eur]],"-")</f>
        <v>-</v>
      </c>
      <c r="AX440" s="42">
        <f>IFERROR(VLOOKUP(Товары[[#This Row],[SubGroup]],'Структура цен DIY'!$B:$C,2,FALSE),0)</f>
        <v>0.27976081460674185</v>
      </c>
      <c r="AY440" s="44">
        <v>0</v>
      </c>
    </row>
    <row r="441" spans="1:51" x14ac:dyDescent="0.25">
      <c r="A441" s="34">
        <v>439</v>
      </c>
      <c r="B441" s="34" t="s">
        <v>56</v>
      </c>
      <c r="C441" s="110" t="str">
        <f>IFERROR(INDEX(Структура_ассортимента[SuperCategory],MATCH(Товары[[#This Row],[SubGroup]],Структура_ассортимента[Subgroup],0)),"")</f>
        <v>A</v>
      </c>
      <c r="D44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4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41" s="110" t="str">
        <f>IFERROR(INDEX(Структура_ассортимента[Product group],MATCH(Товары[[#This Row],[SubGroup]],Структура_ассортимента[Subgroup],0)),"")</f>
        <v>AMT_C</v>
      </c>
      <c r="G441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41" s="110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41" s="36">
        <v>9227</v>
      </c>
      <c r="J441" s="36" t="str">
        <f>IFERROR(INDEX(Структура_ассортимента[Generic Name (long)],MATCH(Товары[[#This Row],[SubGroup]],Структура_ассортимента[Subgroup],0)),"")</f>
        <v>PLANTER</v>
      </c>
      <c r="L441" s="36">
        <v>967106101</v>
      </c>
      <c r="M441" s="35" t="s">
        <v>2125</v>
      </c>
      <c r="Q441" s="34" t="s">
        <v>3713</v>
      </c>
      <c r="R441" s="34" t="s">
        <v>3540</v>
      </c>
      <c r="S441" s="47">
        <v>42736</v>
      </c>
      <c r="T441" s="47">
        <v>43830</v>
      </c>
      <c r="U441" s="47">
        <v>43830</v>
      </c>
      <c r="V441" s="34">
        <v>4078500025072</v>
      </c>
      <c r="W441" s="34" t="s">
        <v>3543</v>
      </c>
      <c r="Y441" s="34" t="s">
        <v>3542</v>
      </c>
      <c r="Z441" s="34">
        <v>1</v>
      </c>
      <c r="AB441" s="34" t="s">
        <v>5036</v>
      </c>
      <c r="AD441" s="34" t="s">
        <v>5037</v>
      </c>
      <c r="AE441" s="34" t="s">
        <v>4731</v>
      </c>
      <c r="AF441" s="34" t="s">
        <v>3857</v>
      </c>
      <c r="AG441" s="34" t="s">
        <v>5038</v>
      </c>
      <c r="AH441" s="34" t="s">
        <v>5039</v>
      </c>
      <c r="AL441" s="34" t="s">
        <v>4972</v>
      </c>
      <c r="AM441" s="40" t="s">
        <v>8094</v>
      </c>
      <c r="AT441" s="44">
        <v>0</v>
      </c>
      <c r="AU441" s="44"/>
      <c r="AV441" s="46">
        <f>ROUND(Товары[[#This Row],[РРЦ финальная, руб.]]/$AU$1,2)</f>
        <v>0</v>
      </c>
      <c r="AW441" s="45" t="str">
        <f>IFERROR(Товары[[#This Row],[РРЦ, евро]]/Товары[[#This Row],[IRP, Eur]],"-")</f>
        <v>-</v>
      </c>
      <c r="AX441" s="42">
        <f>IFERROR(VLOOKUP(Товары[[#This Row],[SubGroup]],'Структура цен DIY'!$B:$C,2,FALSE),0)</f>
        <v>0.27976081460674185</v>
      </c>
      <c r="AY441" s="44">
        <v>0</v>
      </c>
    </row>
    <row r="442" spans="1:51" x14ac:dyDescent="0.25">
      <c r="A442" s="34">
        <v>440</v>
      </c>
      <c r="B442" s="34" t="s">
        <v>56</v>
      </c>
      <c r="C442" s="110" t="str">
        <f>IFERROR(INDEX(Структура_ассортимента[SuperCategory],MATCH(Товары[[#This Row],[SubGroup]],Структура_ассортимента[Subgroup],0)),"")</f>
        <v>A</v>
      </c>
      <c r="D44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4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42" s="110" t="str">
        <f>IFERROR(INDEX(Структура_ассортимента[Product group],MATCH(Товары[[#This Row],[SubGroup]],Структура_ассортимента[Subgroup],0)),"")</f>
        <v>AMT_C</v>
      </c>
      <c r="G442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42" s="110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42" s="36">
        <v>9227</v>
      </c>
      <c r="J442" s="36" t="str">
        <f>IFERROR(INDEX(Структура_ассортимента[Generic Name (long)],MATCH(Товары[[#This Row],[SubGroup]],Структура_ассортимента[Subgroup],0)),"")</f>
        <v>PLANTER</v>
      </c>
      <c r="L442" s="36">
        <v>967694201</v>
      </c>
      <c r="M442" s="35" t="s">
        <v>2126</v>
      </c>
      <c r="O442" s="35" t="s">
        <v>5040</v>
      </c>
      <c r="P442" s="37" t="s">
        <v>5041</v>
      </c>
      <c r="Q442" s="34" t="s">
        <v>3549</v>
      </c>
      <c r="R442" s="34" t="s">
        <v>3540</v>
      </c>
      <c r="S442" s="47">
        <v>43101</v>
      </c>
      <c r="T442" s="47">
        <v>0</v>
      </c>
      <c r="U442" s="47">
        <v>0</v>
      </c>
      <c r="V442" s="34">
        <v>4078500035064</v>
      </c>
      <c r="W442" s="34" t="s">
        <v>3543</v>
      </c>
      <c r="X442" s="34" t="s">
        <v>3579</v>
      </c>
      <c r="Y442" s="34" t="s">
        <v>3542</v>
      </c>
      <c r="Z442" s="34">
        <v>5</v>
      </c>
      <c r="AB442" s="34" t="s">
        <v>4900</v>
      </c>
      <c r="AD442" s="34" t="s">
        <v>4179</v>
      </c>
      <c r="AE442" s="34" t="s">
        <v>5042</v>
      </c>
      <c r="AF442" s="34" t="s">
        <v>4458</v>
      </c>
      <c r="AG442" s="34" t="s">
        <v>3931</v>
      </c>
      <c r="AH442" s="34" t="s">
        <v>5043</v>
      </c>
      <c r="AL442" s="34" t="s">
        <v>5044</v>
      </c>
      <c r="AM442" s="40" t="s">
        <v>9</v>
      </c>
      <c r="AP442" s="34">
        <v>0</v>
      </c>
      <c r="AQ442" s="34">
        <v>1190</v>
      </c>
      <c r="AR442" s="34">
        <v>714</v>
      </c>
      <c r="AT442" s="44">
        <v>92200</v>
      </c>
      <c r="AU442" s="44"/>
      <c r="AV442" s="46">
        <f>ROUND(Товары[[#This Row],[РРЦ финальная, руб.]]/$AU$1,2)</f>
        <v>0</v>
      </c>
      <c r="AW442" s="45" t="str">
        <f>IFERROR(Товары[[#This Row],[РРЦ, евро]]/Товары[[#This Row],[IRP, Eur]],"-")</f>
        <v>-</v>
      </c>
      <c r="AX442" s="42">
        <f>IFERROR(VLOOKUP(Товары[[#This Row],[SubGroup]],'Структура цен DIY'!$B:$C,2,FALSE),0)</f>
        <v>0.27976081460674185</v>
      </c>
      <c r="AY442" s="44">
        <v>0</v>
      </c>
    </row>
    <row r="443" spans="1:51" x14ac:dyDescent="0.25">
      <c r="A443" s="34">
        <v>441</v>
      </c>
      <c r="B443" s="34" t="s">
        <v>56</v>
      </c>
      <c r="C443" s="110" t="str">
        <f>IFERROR(INDEX(Структура_ассортимента[SuperCategory],MATCH(Товары[[#This Row],[SubGroup]],Структура_ассортимента[Subgroup],0)),"")</f>
        <v>A</v>
      </c>
      <c r="D44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4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43" s="110" t="str">
        <f>IFERROR(INDEX(Структура_ассортимента[Product group],MATCH(Товары[[#This Row],[SubGroup]],Структура_ассортимента[Subgroup],0)),"")</f>
        <v>AMT_C</v>
      </c>
      <c r="G443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43" s="110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43" s="36">
        <v>9227</v>
      </c>
      <c r="J443" s="36" t="str">
        <f>IFERROR(INDEX(Структура_ассортимента[Generic Name (long)],MATCH(Товары[[#This Row],[SubGroup]],Структура_ассортимента[Subgroup],0)),"")</f>
        <v>PLANTER</v>
      </c>
      <c r="L443" s="36">
        <v>967721001</v>
      </c>
      <c r="M443" s="35" t="s">
        <v>2127</v>
      </c>
      <c r="Q443" s="34" t="s">
        <v>3713</v>
      </c>
      <c r="R443" s="34" t="s">
        <v>3540</v>
      </c>
      <c r="S443" s="47">
        <v>43101</v>
      </c>
      <c r="T443" s="47">
        <v>43830</v>
      </c>
      <c r="U443" s="47">
        <v>43830</v>
      </c>
      <c r="V443" s="34">
        <v>4078500035583</v>
      </c>
      <c r="W443" s="34" t="s">
        <v>3543</v>
      </c>
      <c r="Y443" s="34" t="s">
        <v>3542</v>
      </c>
      <c r="Z443" s="34">
        <v>4</v>
      </c>
      <c r="AB443" s="34" t="s">
        <v>5045</v>
      </c>
      <c r="AD443" s="34" t="s">
        <v>5045</v>
      </c>
      <c r="AE443" s="34" t="s">
        <v>3555</v>
      </c>
      <c r="AF443" s="34" t="s">
        <v>3557</v>
      </c>
      <c r="AG443" s="34" t="s">
        <v>4659</v>
      </c>
      <c r="AH443" s="34" t="s">
        <v>5046</v>
      </c>
      <c r="AL443" s="34" t="s">
        <v>5047</v>
      </c>
      <c r="AM443" s="40" t="s">
        <v>8094</v>
      </c>
      <c r="AT443" s="44">
        <v>0</v>
      </c>
      <c r="AU443" s="44"/>
      <c r="AV443" s="46">
        <f>ROUND(Товары[[#This Row],[РРЦ финальная, руб.]]/$AU$1,2)</f>
        <v>0</v>
      </c>
      <c r="AW443" s="45" t="str">
        <f>IFERROR(Товары[[#This Row],[РРЦ, евро]]/Товары[[#This Row],[IRP, Eur]],"-")</f>
        <v>-</v>
      </c>
      <c r="AX443" s="42">
        <f>IFERROR(VLOOKUP(Товары[[#This Row],[SubGroup]],'Структура цен DIY'!$B:$C,2,FALSE),0)</f>
        <v>0.27976081460674185</v>
      </c>
      <c r="AY443" s="44">
        <v>0</v>
      </c>
    </row>
    <row r="444" spans="1:51" x14ac:dyDescent="0.25">
      <c r="A444" s="34">
        <v>442</v>
      </c>
      <c r="B444" s="34" t="s">
        <v>56</v>
      </c>
      <c r="C444" s="110" t="str">
        <f>IFERROR(INDEX(Структура_ассортимента[SuperCategory],MATCH(Товары[[#This Row],[SubGroup]],Структура_ассортимента[Subgroup],0)),"")</f>
        <v>A</v>
      </c>
      <c r="D44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4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44" s="110" t="str">
        <f>IFERROR(INDEX(Структура_ассортимента[Product group],MATCH(Товары[[#This Row],[SubGroup]],Структура_ассортимента[Subgroup],0)),"")</f>
        <v>AMT_C</v>
      </c>
      <c r="G444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44" s="110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44" s="36">
        <v>9227</v>
      </c>
      <c r="J444" s="36" t="str">
        <f>IFERROR(INDEX(Структура_ассортимента[Generic Name (long)],MATCH(Товары[[#This Row],[SubGroup]],Структура_ассортимента[Subgroup],0)),"")</f>
        <v>PLANTER</v>
      </c>
      <c r="L444" s="36">
        <v>967790901</v>
      </c>
      <c r="M444" s="35" t="s">
        <v>2128</v>
      </c>
      <c r="Q444" s="34" t="s">
        <v>3713</v>
      </c>
      <c r="R444" s="34" t="s">
        <v>3540</v>
      </c>
      <c r="S444" s="47">
        <v>43101</v>
      </c>
      <c r="T444" s="47">
        <v>43830</v>
      </c>
      <c r="U444" s="47">
        <v>43830</v>
      </c>
      <c r="V444" s="34">
        <v>4078500035620</v>
      </c>
      <c r="W444" s="34" t="s">
        <v>3543</v>
      </c>
      <c r="Y444" s="34" t="s">
        <v>3542</v>
      </c>
      <c r="Z444" s="34">
        <v>30</v>
      </c>
      <c r="AB444" s="34" t="s">
        <v>5045</v>
      </c>
      <c r="AD444" s="34" t="s">
        <v>5045</v>
      </c>
      <c r="AE444" s="34" t="s">
        <v>3555</v>
      </c>
      <c r="AF444" s="34" t="s">
        <v>3557</v>
      </c>
      <c r="AG444" s="34" t="s">
        <v>4659</v>
      </c>
      <c r="AH444" s="34" t="s">
        <v>5046</v>
      </c>
      <c r="AL444" s="34" t="s">
        <v>3593</v>
      </c>
      <c r="AM444" s="40" t="s">
        <v>8094</v>
      </c>
      <c r="AT444" s="44">
        <v>0</v>
      </c>
      <c r="AU444" s="44"/>
      <c r="AV444" s="46">
        <f>ROUND(Товары[[#This Row],[РРЦ финальная, руб.]]/$AU$1,2)</f>
        <v>0</v>
      </c>
      <c r="AW444" s="45" t="str">
        <f>IFERROR(Товары[[#This Row],[РРЦ, евро]]/Товары[[#This Row],[IRP, Eur]],"-")</f>
        <v>-</v>
      </c>
      <c r="AX444" s="42">
        <f>IFERROR(VLOOKUP(Товары[[#This Row],[SubGroup]],'Структура цен DIY'!$B:$C,2,FALSE),0)</f>
        <v>0.27976081460674185</v>
      </c>
      <c r="AY444" s="44">
        <v>0</v>
      </c>
    </row>
    <row r="445" spans="1:51" x14ac:dyDescent="0.25">
      <c r="A445" s="34">
        <v>443</v>
      </c>
      <c r="B445" s="34" t="s">
        <v>56</v>
      </c>
      <c r="C445" s="110" t="str">
        <f>IFERROR(INDEX(Структура_ассортимента[SuperCategory],MATCH(Товары[[#This Row],[SubGroup]],Структура_ассортимента[Subgroup],0)),"")</f>
        <v>A</v>
      </c>
      <c r="D44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4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45" s="110" t="str">
        <f>IFERROR(INDEX(Структура_ассортимента[Product group],MATCH(Товары[[#This Row],[SubGroup]],Структура_ассортимента[Subgroup],0)),"")</f>
        <v>AMT_C</v>
      </c>
      <c r="G445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45" s="110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45" s="36">
        <v>9227</v>
      </c>
      <c r="J445" s="36" t="str">
        <f>IFERROR(INDEX(Структура_ассортимента[Generic Name (long)],MATCH(Товары[[#This Row],[SubGroup]],Структура_ассортимента[Subgroup],0)),"")</f>
        <v>PLANTER</v>
      </c>
      <c r="L445" s="36">
        <v>967791001</v>
      </c>
      <c r="M445" s="35" t="s">
        <v>2129</v>
      </c>
      <c r="Q445" s="34" t="s">
        <v>3713</v>
      </c>
      <c r="R445" s="34" t="s">
        <v>3540</v>
      </c>
      <c r="S445" s="47">
        <v>43101</v>
      </c>
      <c r="T445" s="47">
        <v>43830</v>
      </c>
      <c r="U445" s="47">
        <v>43830</v>
      </c>
      <c r="V445" s="34">
        <v>4078500035569</v>
      </c>
      <c r="W445" s="34" t="s">
        <v>3543</v>
      </c>
      <c r="Y445" s="34" t="s">
        <v>3542</v>
      </c>
      <c r="Z445" s="34">
        <v>30</v>
      </c>
      <c r="AB445" s="34" t="s">
        <v>4684</v>
      </c>
      <c r="AD445" s="34" t="s">
        <v>5045</v>
      </c>
      <c r="AE445" s="34" t="s">
        <v>3557</v>
      </c>
      <c r="AF445" s="34" t="s">
        <v>4659</v>
      </c>
      <c r="AG445" s="34" t="s">
        <v>5048</v>
      </c>
      <c r="AH445" s="34" t="s">
        <v>5049</v>
      </c>
      <c r="AL445" s="34" t="s">
        <v>3593</v>
      </c>
      <c r="AM445" s="40" t="s">
        <v>8094</v>
      </c>
      <c r="AT445" s="44">
        <v>0</v>
      </c>
      <c r="AU445" s="44"/>
      <c r="AV445" s="46">
        <f>ROUND(Товары[[#This Row],[РРЦ финальная, руб.]]/$AU$1,2)</f>
        <v>0</v>
      </c>
      <c r="AW445" s="45" t="str">
        <f>IFERROR(Товары[[#This Row],[РРЦ, евро]]/Товары[[#This Row],[IRP, Eur]],"-")</f>
        <v>-</v>
      </c>
      <c r="AX445" s="42">
        <f>IFERROR(VLOOKUP(Товары[[#This Row],[SubGroup]],'Структура цен DIY'!$B:$C,2,FALSE),0)</f>
        <v>0.27976081460674185</v>
      </c>
      <c r="AY445" s="44">
        <v>0</v>
      </c>
    </row>
    <row r="446" spans="1:51" x14ac:dyDescent="0.25">
      <c r="A446" s="34">
        <v>444</v>
      </c>
      <c r="B446" s="34" t="s">
        <v>56</v>
      </c>
      <c r="C446" s="110" t="str">
        <f>IFERROR(INDEX(Структура_ассортимента[SuperCategory],MATCH(Товары[[#This Row],[SubGroup]],Структура_ассортимента[Subgroup],0)),"")</f>
        <v>A</v>
      </c>
      <c r="D44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4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46" s="110" t="str">
        <f>IFERROR(INDEX(Структура_ассортимента[Product group],MATCH(Товары[[#This Row],[SubGroup]],Структура_ассортимента[Subgroup],0)),"")</f>
        <v>AMT_C</v>
      </c>
      <c r="G446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46" s="110" t="str">
        <f>IFERROR(INDEX(Структура_ассортимента[Generic Name (long)3],MATCH(Товары[[#This Row],[SubGroup]],Структура_ассортимента[Subgroup],0)),"")</f>
        <v>Лопаты садовые</v>
      </c>
      <c r="I446" s="36">
        <v>9228</v>
      </c>
      <c r="J446" s="36" t="str">
        <f>IFERROR(INDEX(Структура_ассортимента[Generic Name (long)],MATCH(Товары[[#This Row],[SubGroup]],Структура_ассортимента[Subgroup],0)),"")</f>
        <v>SPADE</v>
      </c>
      <c r="L446" s="36">
        <v>967861001</v>
      </c>
      <c r="M446" s="35" t="s">
        <v>2130</v>
      </c>
      <c r="O446" s="35" t="s">
        <v>5050</v>
      </c>
      <c r="P446" s="37" t="s">
        <v>5051</v>
      </c>
      <c r="Q446" s="34" t="s">
        <v>3549</v>
      </c>
      <c r="R446" s="34" t="s">
        <v>3540</v>
      </c>
      <c r="S446" s="47">
        <v>43466</v>
      </c>
      <c r="T446" s="47">
        <v>0</v>
      </c>
      <c r="U446" s="47">
        <v>0</v>
      </c>
      <c r="V446" s="34">
        <v>4078500042741</v>
      </c>
      <c r="W446" s="34" t="s">
        <v>3546</v>
      </c>
      <c r="X446" s="34" t="s">
        <v>3551</v>
      </c>
      <c r="Y446" s="34" t="s">
        <v>3542</v>
      </c>
      <c r="Z446" s="34">
        <v>4</v>
      </c>
      <c r="AA446" s="34" t="s">
        <v>5052</v>
      </c>
      <c r="AB446" s="34" t="s">
        <v>5052</v>
      </c>
      <c r="AC446" s="34" t="s">
        <v>5053</v>
      </c>
      <c r="AD446" s="34" t="s">
        <v>5054</v>
      </c>
      <c r="AE446" s="34" t="s">
        <v>5055</v>
      </c>
      <c r="AF446" s="34" t="s">
        <v>4261</v>
      </c>
      <c r="AG446" s="34" t="s">
        <v>3711</v>
      </c>
      <c r="AH446" s="34" t="s">
        <v>5056</v>
      </c>
      <c r="AI446" s="34" t="s">
        <v>5057</v>
      </c>
      <c r="AJ446" s="34" t="s">
        <v>4335</v>
      </c>
      <c r="AK446" s="34" t="s">
        <v>3826</v>
      </c>
      <c r="AL446" s="34" t="s">
        <v>4214</v>
      </c>
      <c r="AM446" s="40" t="s">
        <v>9</v>
      </c>
      <c r="AP446" s="34">
        <v>0</v>
      </c>
      <c r="AQ446" s="34">
        <v>2829</v>
      </c>
      <c r="AR446" s="34">
        <v>1697</v>
      </c>
      <c r="AT446" s="44">
        <v>219100</v>
      </c>
      <c r="AU446" s="44"/>
      <c r="AV446" s="46">
        <f>ROUND(Товары[[#This Row],[РРЦ финальная, руб.]]/$AU$1,2)</f>
        <v>0</v>
      </c>
      <c r="AW446" s="45" t="str">
        <f>IFERROR(Товары[[#This Row],[РРЦ, евро]]/Товары[[#This Row],[IRP, Eur]],"-")</f>
        <v>-</v>
      </c>
      <c r="AX446" s="42">
        <f>IFERROR(VLOOKUP(Товары[[#This Row],[SubGroup]],'Структура цен DIY'!$B:$C,2,FALSE),0)</f>
        <v>0.28000000000000003</v>
      </c>
      <c r="AY446" s="44">
        <v>0</v>
      </c>
    </row>
    <row r="447" spans="1:51" x14ac:dyDescent="0.25">
      <c r="A447" s="34">
        <v>445</v>
      </c>
      <c r="B447" s="34" t="s">
        <v>56</v>
      </c>
      <c r="C447" s="110" t="str">
        <f>IFERROR(INDEX(Структура_ассортимента[SuperCategory],MATCH(Товары[[#This Row],[SubGroup]],Структура_ассортимента[Subgroup],0)),"")</f>
        <v>A</v>
      </c>
      <c r="D44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4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47" s="110" t="str">
        <f>IFERROR(INDEX(Структура_ассортимента[Product group],MATCH(Товары[[#This Row],[SubGroup]],Структура_ассортимента[Subgroup],0)),"")</f>
        <v>AMT_C</v>
      </c>
      <c r="G447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47" s="110" t="str">
        <f>IFERROR(INDEX(Структура_ассортимента[Generic Name (long)3],MATCH(Товары[[#This Row],[SubGroup]],Структура_ассортимента[Subgroup],0)),"")</f>
        <v>Лопаты садовые</v>
      </c>
      <c r="I447" s="36">
        <v>9228</v>
      </c>
      <c r="J447" s="36" t="str">
        <f>IFERROR(INDEX(Структура_ассортимента[Generic Name (long)],MATCH(Товары[[#This Row],[SubGroup]],Структура_ассортимента[Subgroup],0)),"")</f>
        <v>SPADE</v>
      </c>
      <c r="L447" s="36">
        <v>967941001</v>
      </c>
      <c r="M447" s="35" t="s">
        <v>2131</v>
      </c>
      <c r="Q447" s="34" t="s">
        <v>3549</v>
      </c>
      <c r="R447" s="34" t="s">
        <v>3540</v>
      </c>
      <c r="S447" s="47">
        <v>43466</v>
      </c>
      <c r="T447" s="47">
        <v>0</v>
      </c>
      <c r="U447" s="47">
        <v>0</v>
      </c>
      <c r="V447" s="34">
        <v>4078500045995</v>
      </c>
      <c r="W447" s="34" t="s">
        <v>3543</v>
      </c>
      <c r="X447" s="34" t="s">
        <v>3579</v>
      </c>
      <c r="Y447" s="34" t="s">
        <v>3542</v>
      </c>
      <c r="Z447" s="34">
        <v>8</v>
      </c>
      <c r="AA447" s="34" t="s">
        <v>5052</v>
      </c>
      <c r="AB447" s="34" t="s">
        <v>4449</v>
      </c>
      <c r="AC447" s="34" t="s">
        <v>5054</v>
      </c>
      <c r="AD447" s="34" t="s">
        <v>5058</v>
      </c>
      <c r="AE447" s="34" t="s">
        <v>5055</v>
      </c>
      <c r="AF447" s="34" t="s">
        <v>4261</v>
      </c>
      <c r="AG447" s="34" t="s">
        <v>3711</v>
      </c>
      <c r="AH447" s="34" t="s">
        <v>5059</v>
      </c>
      <c r="AI447" s="34" t="s">
        <v>5055</v>
      </c>
      <c r="AJ447" s="34" t="s">
        <v>3711</v>
      </c>
      <c r="AK447" s="34" t="s">
        <v>4261</v>
      </c>
      <c r="AL447" s="34" t="s">
        <v>3842</v>
      </c>
      <c r="AM447" s="40" t="s">
        <v>8095</v>
      </c>
      <c r="AT447" s="44">
        <v>0</v>
      </c>
      <c r="AU447" s="44"/>
      <c r="AV447" s="46">
        <f>ROUND(Товары[[#This Row],[РРЦ финальная, руб.]]/$AU$1,2)</f>
        <v>0</v>
      </c>
      <c r="AW447" s="45" t="str">
        <f>IFERROR(Товары[[#This Row],[РРЦ, евро]]/Товары[[#This Row],[IRP, Eur]],"-")</f>
        <v>-</v>
      </c>
      <c r="AX447" s="42">
        <f>IFERROR(VLOOKUP(Товары[[#This Row],[SubGroup]],'Структура цен DIY'!$B:$C,2,FALSE),0)</f>
        <v>0.28000000000000003</v>
      </c>
      <c r="AY447" s="44">
        <v>0</v>
      </c>
    </row>
    <row r="448" spans="1:51" x14ac:dyDescent="0.25">
      <c r="A448" s="34">
        <v>446</v>
      </c>
      <c r="B448" s="34" t="s">
        <v>56</v>
      </c>
      <c r="C448" s="110" t="str">
        <f>IFERROR(INDEX(Структура_ассортимента[SuperCategory],MATCH(Товары[[#This Row],[SubGroup]],Структура_ассортимента[Subgroup],0)),"")</f>
        <v>A</v>
      </c>
      <c r="D44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4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48" s="110" t="str">
        <f>IFERROR(INDEX(Структура_ассортимента[Product group],MATCH(Товары[[#This Row],[SubGroup]],Структура_ассортимента[Subgroup],0)),"")</f>
        <v>AMT_C</v>
      </c>
      <c r="G448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48" s="110" t="str">
        <f>IFERROR(INDEX(Структура_ассортимента[Generic Name (long)3],MATCH(Товары[[#This Row],[SubGroup]],Структура_ассортимента[Subgroup],0)),"")</f>
        <v>Лопаты садовые</v>
      </c>
      <c r="I448" s="36">
        <v>9228</v>
      </c>
      <c r="J448" s="36" t="str">
        <f>IFERROR(INDEX(Структура_ассортимента[Generic Name (long)],MATCH(Товары[[#This Row],[SubGroup]],Структура_ассортимента[Subgroup],0)),"")</f>
        <v>SPADE</v>
      </c>
      <c r="L448" s="36">
        <v>967861101</v>
      </c>
      <c r="M448" s="35" t="s">
        <v>2132</v>
      </c>
      <c r="O448" s="35" t="s">
        <v>5060</v>
      </c>
      <c r="P448" s="37" t="s">
        <v>5061</v>
      </c>
      <c r="Q448" s="34" t="s">
        <v>3549</v>
      </c>
      <c r="R448" s="34" t="s">
        <v>3540</v>
      </c>
      <c r="S448" s="47">
        <v>43466</v>
      </c>
      <c r="T448" s="47">
        <v>0</v>
      </c>
      <c r="U448" s="47">
        <v>0</v>
      </c>
      <c r="V448" s="34">
        <v>4078500042765</v>
      </c>
      <c r="W448" s="34" t="s">
        <v>3546</v>
      </c>
      <c r="X448" s="34" t="s">
        <v>3551</v>
      </c>
      <c r="Y448" s="34" t="s">
        <v>3542</v>
      </c>
      <c r="Z448" s="34">
        <v>4</v>
      </c>
      <c r="AA448" s="34" t="s">
        <v>5062</v>
      </c>
      <c r="AB448" s="34" t="s">
        <v>5062</v>
      </c>
      <c r="AC448" s="34" t="s">
        <v>5063</v>
      </c>
      <c r="AD448" s="34" t="s">
        <v>5064</v>
      </c>
      <c r="AE448" s="34" t="s">
        <v>5065</v>
      </c>
      <c r="AF448" s="34" t="s">
        <v>4261</v>
      </c>
      <c r="AG448" s="34" t="s">
        <v>3711</v>
      </c>
      <c r="AH448" s="34" t="s">
        <v>5066</v>
      </c>
      <c r="AI448" s="34" t="s">
        <v>5057</v>
      </c>
      <c r="AJ448" s="34" t="s">
        <v>3711</v>
      </c>
      <c r="AK448" s="34" t="s">
        <v>3826</v>
      </c>
      <c r="AL448" s="34" t="s">
        <v>4214</v>
      </c>
      <c r="AM448" s="40" t="s">
        <v>9</v>
      </c>
      <c r="AP448" s="34">
        <v>0</v>
      </c>
      <c r="AQ448" s="34">
        <v>2829</v>
      </c>
      <c r="AR448" s="34">
        <v>1697</v>
      </c>
      <c r="AT448" s="44">
        <v>219100</v>
      </c>
      <c r="AU448" s="44"/>
      <c r="AV448" s="46">
        <f>ROUND(Товары[[#This Row],[РРЦ финальная, руб.]]/$AU$1,2)</f>
        <v>0</v>
      </c>
      <c r="AW448" s="45" t="str">
        <f>IFERROR(Товары[[#This Row],[РРЦ, евро]]/Товары[[#This Row],[IRP, Eur]],"-")</f>
        <v>-</v>
      </c>
      <c r="AX448" s="42">
        <f>IFERROR(VLOOKUP(Товары[[#This Row],[SubGroup]],'Структура цен DIY'!$B:$C,2,FALSE),0)</f>
        <v>0.28000000000000003</v>
      </c>
      <c r="AY448" s="44">
        <v>0</v>
      </c>
    </row>
    <row r="449" spans="1:51" x14ac:dyDescent="0.25">
      <c r="A449" s="34">
        <v>447</v>
      </c>
      <c r="B449" s="34" t="s">
        <v>56</v>
      </c>
      <c r="C449" s="110" t="str">
        <f>IFERROR(INDEX(Структура_ассортимента[SuperCategory],MATCH(Товары[[#This Row],[SubGroup]],Структура_ассортимента[Subgroup],0)),"")</f>
        <v>A</v>
      </c>
      <c r="D44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4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49" s="110" t="str">
        <f>IFERROR(INDEX(Структура_ассортимента[Product group],MATCH(Товары[[#This Row],[SubGroup]],Структура_ассортимента[Subgroup],0)),"")</f>
        <v>AMT_C</v>
      </c>
      <c r="G449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49" s="110" t="str">
        <f>IFERROR(INDEX(Структура_ассортимента[Generic Name (long)3],MATCH(Товары[[#This Row],[SubGroup]],Структура_ассортимента[Subgroup],0)),"")</f>
        <v>Лопаты садовые</v>
      </c>
      <c r="I449" s="36">
        <v>9228</v>
      </c>
      <c r="J449" s="36" t="str">
        <f>IFERROR(INDEX(Структура_ассортимента[Generic Name (long)],MATCH(Товары[[#This Row],[SubGroup]],Структура_ассортимента[Subgroup],0)),"")</f>
        <v>SPADE</v>
      </c>
      <c r="L449" s="36">
        <v>967861201</v>
      </c>
      <c r="M449" s="35" t="s">
        <v>2133</v>
      </c>
      <c r="O449" s="35" t="s">
        <v>5067</v>
      </c>
      <c r="P449" s="37" t="s">
        <v>5068</v>
      </c>
      <c r="Q449" s="34" t="s">
        <v>3549</v>
      </c>
      <c r="R449" s="34" t="s">
        <v>3540</v>
      </c>
      <c r="S449" s="47">
        <v>43466</v>
      </c>
      <c r="T449" s="47">
        <v>0</v>
      </c>
      <c r="U449" s="47">
        <v>0</v>
      </c>
      <c r="V449" s="34">
        <v>4078500042789</v>
      </c>
      <c r="W449" s="34" t="s">
        <v>3546</v>
      </c>
      <c r="X449" s="34" t="s">
        <v>3551</v>
      </c>
      <c r="Y449" s="34" t="s">
        <v>3542</v>
      </c>
      <c r="Z449" s="34">
        <v>4</v>
      </c>
      <c r="AA449" s="34" t="s">
        <v>5069</v>
      </c>
      <c r="AB449" s="34" t="s">
        <v>5069</v>
      </c>
      <c r="AC449" s="34" t="s">
        <v>4443</v>
      </c>
      <c r="AD449" s="34" t="s">
        <v>5070</v>
      </c>
      <c r="AE449" s="34" t="s">
        <v>5065</v>
      </c>
      <c r="AF449" s="34" t="s">
        <v>3968</v>
      </c>
      <c r="AG449" s="34" t="s">
        <v>3566</v>
      </c>
      <c r="AH449" s="34" t="s">
        <v>5071</v>
      </c>
      <c r="AI449" s="34" t="s">
        <v>5072</v>
      </c>
      <c r="AJ449" s="34" t="s">
        <v>3886</v>
      </c>
      <c r="AK449" s="34" t="s">
        <v>3968</v>
      </c>
      <c r="AL449" s="34" t="s">
        <v>4214</v>
      </c>
      <c r="AM449" s="40" t="s">
        <v>9</v>
      </c>
      <c r="AP449" s="34">
        <v>0</v>
      </c>
      <c r="AQ449" s="34">
        <v>2829</v>
      </c>
      <c r="AR449" s="34">
        <v>1697</v>
      </c>
      <c r="AT449" s="44">
        <v>219100</v>
      </c>
      <c r="AU449" s="44"/>
      <c r="AV449" s="46">
        <f>ROUND(Товары[[#This Row],[РРЦ финальная, руб.]]/$AU$1,2)</f>
        <v>0</v>
      </c>
      <c r="AW449" s="45" t="str">
        <f>IFERROR(Товары[[#This Row],[РРЦ, евро]]/Товары[[#This Row],[IRP, Eur]],"-")</f>
        <v>-</v>
      </c>
      <c r="AX449" s="42">
        <f>IFERROR(VLOOKUP(Товары[[#This Row],[SubGroup]],'Структура цен DIY'!$B:$C,2,FALSE),0)</f>
        <v>0.28000000000000003</v>
      </c>
      <c r="AY449" s="44">
        <v>0</v>
      </c>
    </row>
    <row r="450" spans="1:51" x14ac:dyDescent="0.25">
      <c r="A450" s="34">
        <v>448</v>
      </c>
      <c r="B450" s="34" t="s">
        <v>56</v>
      </c>
      <c r="C450" s="110" t="str">
        <f>IFERROR(INDEX(Структура_ассортимента[SuperCategory],MATCH(Товары[[#This Row],[SubGroup]],Структура_ассортимента[Subgroup],0)),"")</f>
        <v>A</v>
      </c>
      <c r="D45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5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50" s="110" t="str">
        <f>IFERROR(INDEX(Структура_ассортимента[Product group],MATCH(Товары[[#This Row],[SubGroup]],Структура_ассортимента[Subgroup],0)),"")</f>
        <v>AMT_C</v>
      </c>
      <c r="G450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50" s="110" t="str">
        <f>IFERROR(INDEX(Структура_ассортимента[Generic Name (long)3],MATCH(Товары[[#This Row],[SubGroup]],Структура_ассортимента[Subgroup],0)),"")</f>
        <v>Лопаты садовые</v>
      </c>
      <c r="I450" s="36">
        <v>9228</v>
      </c>
      <c r="J450" s="36" t="str">
        <f>IFERROR(INDEX(Структура_ассортимента[Generic Name (long)],MATCH(Товары[[#This Row],[SubGroup]],Структура_ассортимента[Subgroup],0)),"")</f>
        <v>SPADE</v>
      </c>
      <c r="L450" s="36">
        <v>967861301</v>
      </c>
      <c r="M450" s="35" t="s">
        <v>2134</v>
      </c>
      <c r="O450" s="35" t="s">
        <v>5073</v>
      </c>
      <c r="P450" s="37" t="s">
        <v>5074</v>
      </c>
      <c r="Q450" s="34" t="s">
        <v>3549</v>
      </c>
      <c r="R450" s="34" t="s">
        <v>3540</v>
      </c>
      <c r="S450" s="47">
        <v>43466</v>
      </c>
      <c r="T450" s="47">
        <v>0</v>
      </c>
      <c r="U450" s="47">
        <v>0</v>
      </c>
      <c r="V450" s="34">
        <v>4078500042802</v>
      </c>
      <c r="W450" s="34" t="s">
        <v>3546</v>
      </c>
      <c r="X450" s="34" t="s">
        <v>3704</v>
      </c>
      <c r="Y450" s="34" t="s">
        <v>3542</v>
      </c>
      <c r="Z450" s="34">
        <v>4</v>
      </c>
      <c r="AA450" s="34" t="s">
        <v>5075</v>
      </c>
      <c r="AB450" s="34" t="s">
        <v>5076</v>
      </c>
      <c r="AC450" s="34" t="s">
        <v>5058</v>
      </c>
      <c r="AD450" s="34" t="s">
        <v>5077</v>
      </c>
      <c r="AE450" s="34" t="s">
        <v>5078</v>
      </c>
      <c r="AF450" s="34" t="s">
        <v>4261</v>
      </c>
      <c r="AG450" s="34" t="s">
        <v>3800</v>
      </c>
      <c r="AH450" s="34" t="s">
        <v>5079</v>
      </c>
      <c r="AI450" s="34" t="s">
        <v>4314</v>
      </c>
      <c r="AJ450" s="34" t="s">
        <v>3707</v>
      </c>
      <c r="AK450" s="34" t="s">
        <v>3955</v>
      </c>
      <c r="AL450" s="34" t="s">
        <v>4214</v>
      </c>
      <c r="AM450" s="40" t="s">
        <v>9</v>
      </c>
      <c r="AP450" s="34">
        <v>0</v>
      </c>
      <c r="AQ450" s="34">
        <v>3639</v>
      </c>
      <c r="AR450" s="34">
        <v>2183</v>
      </c>
      <c r="AT450" s="44">
        <v>281900</v>
      </c>
      <c r="AU450" s="44"/>
      <c r="AV450" s="46">
        <f>ROUND(Товары[[#This Row],[РРЦ финальная, руб.]]/$AU$1,2)</f>
        <v>0</v>
      </c>
      <c r="AW450" s="45" t="str">
        <f>IFERROR(Товары[[#This Row],[РРЦ, евро]]/Товары[[#This Row],[IRP, Eur]],"-")</f>
        <v>-</v>
      </c>
      <c r="AX450" s="42">
        <f>IFERROR(VLOOKUP(Товары[[#This Row],[SubGroup]],'Структура цен DIY'!$B:$C,2,FALSE),0)</f>
        <v>0.28000000000000003</v>
      </c>
      <c r="AY450" s="44">
        <v>0</v>
      </c>
    </row>
    <row r="451" spans="1:51" x14ac:dyDescent="0.25">
      <c r="A451" s="34">
        <v>449</v>
      </c>
      <c r="B451" s="34" t="s">
        <v>56</v>
      </c>
      <c r="C451" s="110" t="str">
        <f>IFERROR(INDEX(Структура_ассортимента[SuperCategory],MATCH(Товары[[#This Row],[SubGroup]],Структура_ассортимента[Subgroup],0)),"")</f>
        <v>A</v>
      </c>
      <c r="D45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5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51" s="110" t="str">
        <f>IFERROR(INDEX(Структура_ассортимента[Product group],MATCH(Товары[[#This Row],[SubGroup]],Структура_ассортимента[Subgroup],0)),"")</f>
        <v>AMT_C</v>
      </c>
      <c r="G451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51" s="110" t="str">
        <f>IFERROR(INDEX(Структура_ассортимента[Generic Name (long)3],MATCH(Товары[[#This Row],[SubGroup]],Структура_ассортимента[Subgroup],0)),"")</f>
        <v>Лопаты садовые</v>
      </c>
      <c r="I451" s="36">
        <v>9228</v>
      </c>
      <c r="J451" s="36" t="str">
        <f>IFERROR(INDEX(Структура_ассортимента[Generic Name (long)],MATCH(Товары[[#This Row],[SubGroup]],Структура_ассортимента[Subgroup],0)),"")</f>
        <v>SPADE</v>
      </c>
      <c r="L451" s="36">
        <v>967940901</v>
      </c>
      <c r="M451" s="35" t="s">
        <v>2135</v>
      </c>
      <c r="Q451" s="34" t="s">
        <v>3549</v>
      </c>
      <c r="R451" s="34" t="s">
        <v>3540</v>
      </c>
      <c r="S451" s="47">
        <v>43466</v>
      </c>
      <c r="T451" s="47">
        <v>0</v>
      </c>
      <c r="U451" s="47">
        <v>0</v>
      </c>
      <c r="V451" s="34">
        <v>4078500045971</v>
      </c>
      <c r="W451" s="34" t="s">
        <v>3543</v>
      </c>
      <c r="X451" s="34" t="s">
        <v>3579</v>
      </c>
      <c r="Y451" s="34" t="s">
        <v>3542</v>
      </c>
      <c r="Z451" s="34">
        <v>8</v>
      </c>
      <c r="AA451" s="34" t="s">
        <v>5075</v>
      </c>
      <c r="AB451" s="34" t="s">
        <v>5075</v>
      </c>
      <c r="AC451" s="34" t="s">
        <v>5080</v>
      </c>
      <c r="AD451" s="34" t="s">
        <v>5080</v>
      </c>
      <c r="AE451" s="34" t="s">
        <v>5078</v>
      </c>
      <c r="AF451" s="34" t="s">
        <v>4261</v>
      </c>
      <c r="AG451" s="34" t="s">
        <v>3556</v>
      </c>
      <c r="AH451" s="34" t="s">
        <v>5081</v>
      </c>
      <c r="AI451" s="34" t="s">
        <v>5078</v>
      </c>
      <c r="AJ451" s="34" t="s">
        <v>3556</v>
      </c>
      <c r="AK451" s="34" t="s">
        <v>4261</v>
      </c>
      <c r="AL451" s="34" t="s">
        <v>3842</v>
      </c>
      <c r="AM451" s="40" t="s">
        <v>8095</v>
      </c>
      <c r="AT451" s="44">
        <v>0</v>
      </c>
      <c r="AU451" s="44"/>
      <c r="AV451" s="46">
        <f>ROUND(Товары[[#This Row],[РРЦ финальная, руб.]]/$AU$1,2)</f>
        <v>0</v>
      </c>
      <c r="AW451" s="45" t="str">
        <f>IFERROR(Товары[[#This Row],[РРЦ, евро]]/Товары[[#This Row],[IRP, Eur]],"-")</f>
        <v>-</v>
      </c>
      <c r="AX451" s="42">
        <f>IFERROR(VLOOKUP(Товары[[#This Row],[SubGroup]],'Структура цен DIY'!$B:$C,2,FALSE),0)</f>
        <v>0.28000000000000003</v>
      </c>
      <c r="AY451" s="44">
        <v>0</v>
      </c>
    </row>
    <row r="452" spans="1:51" x14ac:dyDescent="0.25">
      <c r="A452" s="34">
        <v>450</v>
      </c>
      <c r="B452" s="34" t="s">
        <v>56</v>
      </c>
      <c r="C452" s="110" t="str">
        <f>IFERROR(INDEX(Структура_ассортимента[SuperCategory],MATCH(Товары[[#This Row],[SubGroup]],Структура_ассортимента[Subgroup],0)),"")</f>
        <v>A</v>
      </c>
      <c r="D45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5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52" s="110" t="str">
        <f>IFERROR(INDEX(Структура_ассортимента[Product group],MATCH(Товары[[#This Row],[SubGroup]],Структура_ассортимента[Subgroup],0)),"")</f>
        <v>AMT_C</v>
      </c>
      <c r="G452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52" s="110" t="str">
        <f>IFERROR(INDEX(Структура_ассортимента[Generic Name (long)3],MATCH(Товары[[#This Row],[SubGroup]],Структура_ассортимента[Subgroup],0)),"")</f>
        <v>Лопаты садовые</v>
      </c>
      <c r="I452" s="36">
        <v>9228</v>
      </c>
      <c r="J452" s="36" t="str">
        <f>IFERROR(INDEX(Структура_ассортимента[Generic Name (long)],MATCH(Товары[[#This Row],[SubGroup]],Структура_ассортимента[Subgroup],0)),"")</f>
        <v>SPADE</v>
      </c>
      <c r="L452" s="36">
        <v>967861401</v>
      </c>
      <c r="M452" s="35" t="s">
        <v>2136</v>
      </c>
      <c r="O452" s="35" t="s">
        <v>5082</v>
      </c>
      <c r="P452" s="37" t="s">
        <v>5083</v>
      </c>
      <c r="Q452" s="34" t="s">
        <v>3549</v>
      </c>
      <c r="R452" s="34" t="s">
        <v>3540</v>
      </c>
      <c r="S452" s="47">
        <v>43466</v>
      </c>
      <c r="T452" s="47">
        <v>0</v>
      </c>
      <c r="U452" s="47">
        <v>0</v>
      </c>
      <c r="V452" s="34">
        <v>4078500042826</v>
      </c>
      <c r="W452" s="34" t="s">
        <v>3546</v>
      </c>
      <c r="X452" s="34" t="s">
        <v>3704</v>
      </c>
      <c r="Y452" s="34" t="s">
        <v>3542</v>
      </c>
      <c r="Z452" s="34">
        <v>4</v>
      </c>
      <c r="AA452" s="34" t="s">
        <v>5084</v>
      </c>
      <c r="AB452" s="34" t="s">
        <v>5084</v>
      </c>
      <c r="AC452" s="34" t="s">
        <v>5053</v>
      </c>
      <c r="AD452" s="34" t="s">
        <v>4319</v>
      </c>
      <c r="AE452" s="34" t="s">
        <v>5085</v>
      </c>
      <c r="AF452" s="34" t="s">
        <v>5086</v>
      </c>
      <c r="AG452" s="34" t="s">
        <v>3556</v>
      </c>
      <c r="AH452" s="34" t="s">
        <v>5087</v>
      </c>
      <c r="AI452" s="34" t="s">
        <v>5088</v>
      </c>
      <c r="AJ452" s="34" t="s">
        <v>3707</v>
      </c>
      <c r="AK452" s="34" t="s">
        <v>3865</v>
      </c>
      <c r="AL452" s="34" t="s">
        <v>4214</v>
      </c>
      <c r="AM452" s="40" t="s">
        <v>9</v>
      </c>
      <c r="AP452" s="34">
        <v>0</v>
      </c>
      <c r="AQ452" s="34">
        <v>3419</v>
      </c>
      <c r="AR452" s="34">
        <v>2051</v>
      </c>
      <c r="AT452" s="44">
        <v>264800</v>
      </c>
      <c r="AU452" s="44"/>
      <c r="AV452" s="46">
        <f>ROUND(Товары[[#This Row],[РРЦ финальная, руб.]]/$AU$1,2)</f>
        <v>0</v>
      </c>
      <c r="AW452" s="45" t="str">
        <f>IFERROR(Товары[[#This Row],[РРЦ, евро]]/Товары[[#This Row],[IRP, Eur]],"-")</f>
        <v>-</v>
      </c>
      <c r="AX452" s="42">
        <f>IFERROR(VLOOKUP(Товары[[#This Row],[SubGroup]],'Структура цен DIY'!$B:$C,2,FALSE),0)</f>
        <v>0.28000000000000003</v>
      </c>
      <c r="AY452" s="44">
        <v>0</v>
      </c>
    </row>
    <row r="453" spans="1:51" x14ac:dyDescent="0.25">
      <c r="A453" s="34">
        <v>451</v>
      </c>
      <c r="B453" s="34" t="s">
        <v>56</v>
      </c>
      <c r="C453" s="110" t="str">
        <f>IFERROR(INDEX(Структура_ассортимента[SuperCategory],MATCH(Товары[[#This Row],[SubGroup]],Структура_ассортимента[Subgroup],0)),"")</f>
        <v>A</v>
      </c>
      <c r="D45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5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53" s="110" t="str">
        <f>IFERROR(INDEX(Структура_ассортимента[Product group],MATCH(Товары[[#This Row],[SubGroup]],Структура_ассортимента[Subgroup],0)),"")</f>
        <v>AMT_C</v>
      </c>
      <c r="G453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53" s="110" t="str">
        <f>IFERROR(INDEX(Структура_ассортимента[Generic Name (long)3],MATCH(Товары[[#This Row],[SubGroup]],Структура_ассортимента[Subgroup],0)),"")</f>
        <v>Лопаты садовые</v>
      </c>
      <c r="I453" s="36">
        <v>9228</v>
      </c>
      <c r="J453" s="36" t="str">
        <f>IFERROR(INDEX(Структура_ассортимента[Generic Name (long)],MATCH(Товары[[#This Row],[SubGroup]],Структура_ассортимента[Subgroup],0)),"")</f>
        <v>SPADE</v>
      </c>
      <c r="L453" s="36">
        <v>967861501</v>
      </c>
      <c r="M453" s="35" t="s">
        <v>2137</v>
      </c>
      <c r="O453" s="35" t="s">
        <v>5089</v>
      </c>
      <c r="P453" s="37" t="s">
        <v>5090</v>
      </c>
      <c r="Q453" s="34" t="s">
        <v>3549</v>
      </c>
      <c r="R453" s="34" t="s">
        <v>3540</v>
      </c>
      <c r="S453" s="47">
        <v>43466</v>
      </c>
      <c r="T453" s="47">
        <v>0</v>
      </c>
      <c r="U453" s="47">
        <v>0</v>
      </c>
      <c r="V453" s="34">
        <v>4078500042840</v>
      </c>
      <c r="W453" s="34" t="s">
        <v>3546</v>
      </c>
      <c r="X453" s="34" t="s">
        <v>3704</v>
      </c>
      <c r="Y453" s="34" t="s">
        <v>3542</v>
      </c>
      <c r="Z453" s="34">
        <v>4</v>
      </c>
      <c r="AA453" s="34" t="s">
        <v>5075</v>
      </c>
      <c r="AB453" s="34" t="s">
        <v>5091</v>
      </c>
      <c r="AC453" s="34" t="s">
        <v>5092</v>
      </c>
      <c r="AD453" s="34" t="s">
        <v>5093</v>
      </c>
      <c r="AE453" s="34" t="s">
        <v>5078</v>
      </c>
      <c r="AF453" s="34" t="s">
        <v>4261</v>
      </c>
      <c r="AG453" s="34" t="s">
        <v>3556</v>
      </c>
      <c r="AH453" s="34" t="s">
        <v>5081</v>
      </c>
      <c r="AI453" s="34" t="s">
        <v>4314</v>
      </c>
      <c r="AJ453" s="34" t="s">
        <v>3707</v>
      </c>
      <c r="AK453" s="34" t="s">
        <v>3955</v>
      </c>
      <c r="AL453" s="34" t="s">
        <v>4214</v>
      </c>
      <c r="AM453" s="40" t="s">
        <v>9</v>
      </c>
      <c r="AP453" s="34">
        <v>0</v>
      </c>
      <c r="AQ453" s="34">
        <v>3629</v>
      </c>
      <c r="AR453" s="34">
        <v>2177</v>
      </c>
      <c r="AT453" s="44">
        <v>281100</v>
      </c>
      <c r="AU453" s="44"/>
      <c r="AV453" s="46">
        <f>ROUND(Товары[[#This Row],[РРЦ финальная, руб.]]/$AU$1,2)</f>
        <v>0</v>
      </c>
      <c r="AW453" s="45" t="str">
        <f>IFERROR(Товары[[#This Row],[РРЦ, евро]]/Товары[[#This Row],[IRP, Eur]],"-")</f>
        <v>-</v>
      </c>
      <c r="AX453" s="42">
        <f>IFERROR(VLOOKUP(Товары[[#This Row],[SubGroup]],'Структура цен DIY'!$B:$C,2,FALSE),0)</f>
        <v>0.28000000000000003</v>
      </c>
      <c r="AY453" s="44">
        <v>0</v>
      </c>
    </row>
    <row r="454" spans="1:51" x14ac:dyDescent="0.25">
      <c r="A454" s="34">
        <v>452</v>
      </c>
      <c r="B454" s="34" t="s">
        <v>56</v>
      </c>
      <c r="C454" s="110" t="str">
        <f>IFERROR(INDEX(Структура_ассортимента[SuperCategory],MATCH(Товары[[#This Row],[SubGroup]],Структура_ассортимента[Subgroup],0)),"")</f>
        <v>A</v>
      </c>
      <c r="D45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5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54" s="110" t="str">
        <f>IFERROR(INDEX(Структура_ассортимента[Product group],MATCH(Товары[[#This Row],[SubGroup]],Структура_ассортимента[Subgroup],0)),"")</f>
        <v>AMT_C</v>
      </c>
      <c r="G454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54" s="110" t="str">
        <f>IFERROR(INDEX(Структура_ассортимента[Generic Name (long)3],MATCH(Товары[[#This Row],[SubGroup]],Структура_ассортимента[Subgroup],0)),"")</f>
        <v>Лопаты садовые</v>
      </c>
      <c r="I454" s="36">
        <v>9228</v>
      </c>
      <c r="J454" s="36" t="str">
        <f>IFERROR(INDEX(Структура_ассортимента[Generic Name (long)],MATCH(Товары[[#This Row],[SubGroup]],Структура_ассортимента[Subgroup],0)),"")</f>
        <v>SPADE</v>
      </c>
      <c r="L454" s="36">
        <v>967861601</v>
      </c>
      <c r="M454" s="35" t="s">
        <v>2138</v>
      </c>
      <c r="O454" s="35" t="s">
        <v>5094</v>
      </c>
      <c r="P454" s="37" t="s">
        <v>5095</v>
      </c>
      <c r="Q454" s="34" t="s">
        <v>3549</v>
      </c>
      <c r="R454" s="34" t="s">
        <v>3540</v>
      </c>
      <c r="S454" s="47">
        <v>43466</v>
      </c>
      <c r="T454" s="47">
        <v>0</v>
      </c>
      <c r="U454" s="47">
        <v>0</v>
      </c>
      <c r="V454" s="34">
        <v>4078500042864</v>
      </c>
      <c r="W454" s="34" t="s">
        <v>3546</v>
      </c>
      <c r="X454" s="34" t="s">
        <v>3704</v>
      </c>
      <c r="Y454" s="34" t="s">
        <v>3542</v>
      </c>
      <c r="Z454" s="34">
        <v>4</v>
      </c>
      <c r="AA454" s="34" t="s">
        <v>5096</v>
      </c>
      <c r="AB454" s="34" t="s">
        <v>5097</v>
      </c>
      <c r="AC454" s="34" t="s">
        <v>5098</v>
      </c>
      <c r="AD454" s="34" t="s">
        <v>4212</v>
      </c>
      <c r="AE454" s="34" t="s">
        <v>5099</v>
      </c>
      <c r="AF454" s="34" t="s">
        <v>4901</v>
      </c>
      <c r="AG454" s="34" t="s">
        <v>4391</v>
      </c>
      <c r="AH454" s="34" t="s">
        <v>5100</v>
      </c>
      <c r="AI454" s="34" t="s">
        <v>4314</v>
      </c>
      <c r="AJ454" s="34" t="s">
        <v>3800</v>
      </c>
      <c r="AK454" s="34" t="s">
        <v>3865</v>
      </c>
      <c r="AL454" s="34" t="s">
        <v>4214</v>
      </c>
      <c r="AM454" s="40" t="s">
        <v>9</v>
      </c>
      <c r="AP454" s="34">
        <v>0</v>
      </c>
      <c r="AQ454" s="34">
        <v>3629</v>
      </c>
      <c r="AR454" s="34">
        <v>2177</v>
      </c>
      <c r="AT454" s="44">
        <v>281100</v>
      </c>
      <c r="AU454" s="44"/>
      <c r="AV454" s="46">
        <f>ROUND(Товары[[#This Row],[РРЦ финальная, руб.]]/$AU$1,2)</f>
        <v>0</v>
      </c>
      <c r="AW454" s="45" t="str">
        <f>IFERROR(Товары[[#This Row],[РРЦ, евро]]/Товары[[#This Row],[IRP, Eur]],"-")</f>
        <v>-</v>
      </c>
      <c r="AX454" s="42">
        <f>IFERROR(VLOOKUP(Товары[[#This Row],[SubGroup]],'Структура цен DIY'!$B:$C,2,FALSE),0)</f>
        <v>0.28000000000000003</v>
      </c>
      <c r="AY454" s="44">
        <v>0</v>
      </c>
    </row>
    <row r="455" spans="1:51" x14ac:dyDescent="0.25">
      <c r="A455" s="34">
        <v>453</v>
      </c>
      <c r="B455" s="34" t="s">
        <v>56</v>
      </c>
      <c r="C455" s="110" t="str">
        <f>IFERROR(INDEX(Структура_ассортимента[SuperCategory],MATCH(Товары[[#This Row],[SubGroup]],Структура_ассортимента[Subgroup],0)),"")</f>
        <v>A</v>
      </c>
      <c r="D45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5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55" s="110" t="str">
        <f>IFERROR(INDEX(Структура_ассортимента[Product group],MATCH(Товары[[#This Row],[SubGroup]],Структура_ассортимента[Subgroup],0)),"")</f>
        <v>AMT_C</v>
      </c>
      <c r="G455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55" s="110" t="str">
        <f>IFERROR(INDEX(Структура_ассортимента[Generic Name (long)3],MATCH(Товары[[#This Row],[SubGroup]],Структура_ассортимента[Subgroup],0)),"")</f>
        <v>Лопаты садовые</v>
      </c>
      <c r="I455" s="36">
        <v>9228</v>
      </c>
      <c r="J455" s="36" t="str">
        <f>IFERROR(INDEX(Структура_ассортимента[Generic Name (long)],MATCH(Товары[[#This Row],[SubGroup]],Структура_ассортимента[Subgroup],0)),"")</f>
        <v>SPADE</v>
      </c>
      <c r="L455" s="36">
        <v>967861701</v>
      </c>
      <c r="M455" s="35" t="s">
        <v>2139</v>
      </c>
      <c r="O455" s="35" t="s">
        <v>5101</v>
      </c>
      <c r="P455" s="37" t="s">
        <v>5102</v>
      </c>
      <c r="Q455" s="34" t="s">
        <v>3549</v>
      </c>
      <c r="R455" s="34" t="s">
        <v>3540</v>
      </c>
      <c r="S455" s="47">
        <v>43466</v>
      </c>
      <c r="T455" s="47">
        <v>0</v>
      </c>
      <c r="U455" s="47">
        <v>0</v>
      </c>
      <c r="V455" s="34">
        <v>4078500042888</v>
      </c>
      <c r="W455" s="34" t="s">
        <v>3546</v>
      </c>
      <c r="X455" s="34" t="s">
        <v>3704</v>
      </c>
      <c r="Y455" s="34" t="s">
        <v>3542</v>
      </c>
      <c r="Z455" s="34">
        <v>4</v>
      </c>
      <c r="AA455" s="34" t="s">
        <v>5084</v>
      </c>
      <c r="AB455" s="34" t="s">
        <v>4212</v>
      </c>
      <c r="AC455" s="34" t="s">
        <v>5058</v>
      </c>
      <c r="AD455" s="34" t="s">
        <v>4319</v>
      </c>
      <c r="AE455" s="34" t="s">
        <v>5103</v>
      </c>
      <c r="AF455" s="34" t="s">
        <v>3826</v>
      </c>
      <c r="AG455" s="34" t="s">
        <v>3557</v>
      </c>
      <c r="AH455" s="34" t="s">
        <v>5104</v>
      </c>
      <c r="AI455" s="34" t="s">
        <v>4314</v>
      </c>
      <c r="AJ455" s="34" t="s">
        <v>3800</v>
      </c>
      <c r="AK455" s="34" t="s">
        <v>3955</v>
      </c>
      <c r="AL455" s="34" t="s">
        <v>4214</v>
      </c>
      <c r="AM455" s="40" t="s">
        <v>9</v>
      </c>
      <c r="AP455" s="34">
        <v>0</v>
      </c>
      <c r="AQ455" s="34">
        <v>4229</v>
      </c>
      <c r="AR455" s="34">
        <v>2537</v>
      </c>
      <c r="AT455" s="44">
        <v>327600</v>
      </c>
      <c r="AU455" s="44"/>
      <c r="AV455" s="46">
        <f>ROUND(Товары[[#This Row],[РРЦ финальная, руб.]]/$AU$1,2)</f>
        <v>0</v>
      </c>
      <c r="AW455" s="45" t="str">
        <f>IFERROR(Товары[[#This Row],[РРЦ, евро]]/Товары[[#This Row],[IRP, Eur]],"-")</f>
        <v>-</v>
      </c>
      <c r="AX455" s="42">
        <f>IFERROR(VLOOKUP(Товары[[#This Row],[SubGroup]],'Структура цен DIY'!$B:$C,2,FALSE),0)</f>
        <v>0.28000000000000003</v>
      </c>
      <c r="AY455" s="44">
        <v>0</v>
      </c>
    </row>
    <row r="456" spans="1:51" x14ac:dyDescent="0.25">
      <c r="A456" s="34">
        <v>454</v>
      </c>
      <c r="B456" s="34" t="s">
        <v>56</v>
      </c>
      <c r="C456" s="110" t="str">
        <f>IFERROR(INDEX(Структура_ассортимента[SuperCategory],MATCH(Товары[[#This Row],[SubGroup]],Структура_ассортимента[Subgroup],0)),"")</f>
        <v>A</v>
      </c>
      <c r="D45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5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56" s="110" t="str">
        <f>IFERROR(INDEX(Структура_ассортимента[Product group],MATCH(Товары[[#This Row],[SubGroup]],Структура_ассортимента[Subgroup],0)),"")</f>
        <v>AMT_C</v>
      </c>
      <c r="G456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56" s="110" t="str">
        <f>IFERROR(INDEX(Структура_ассортимента[Generic Name (long)3],MATCH(Товары[[#This Row],[SubGroup]],Структура_ассортимента[Subgroup],0)),"")</f>
        <v>Лопаты садовые</v>
      </c>
      <c r="I456" s="36">
        <v>9228</v>
      </c>
      <c r="J456" s="36" t="str">
        <f>IFERROR(INDEX(Структура_ассортимента[Generic Name (long)],MATCH(Товары[[#This Row],[SubGroup]],Структура_ассортимента[Subgroup],0)),"")</f>
        <v>SPADE</v>
      </c>
      <c r="L456" s="36">
        <v>967940801</v>
      </c>
      <c r="M456" s="35" t="s">
        <v>2140</v>
      </c>
      <c r="Q456" s="34" t="s">
        <v>3549</v>
      </c>
      <c r="R456" s="34" t="s">
        <v>3540</v>
      </c>
      <c r="S456" s="47">
        <v>43466</v>
      </c>
      <c r="T456" s="47">
        <v>0</v>
      </c>
      <c r="U456" s="47">
        <v>0</v>
      </c>
      <c r="V456" s="34">
        <v>4078500045957</v>
      </c>
      <c r="W456" s="34" t="s">
        <v>3543</v>
      </c>
      <c r="X456" s="34" t="s">
        <v>3579</v>
      </c>
      <c r="Y456" s="34" t="s">
        <v>3542</v>
      </c>
      <c r="Z456" s="34">
        <v>8</v>
      </c>
      <c r="AA456" s="34" t="s">
        <v>5084</v>
      </c>
      <c r="AB456" s="34" t="s">
        <v>3573</v>
      </c>
      <c r="AC456" s="34" t="s">
        <v>4319</v>
      </c>
      <c r="AD456" s="34" t="s">
        <v>3901</v>
      </c>
      <c r="AE456" s="34" t="s">
        <v>5105</v>
      </c>
      <c r="AF456" s="34" t="s">
        <v>4261</v>
      </c>
      <c r="AG456" s="34" t="s">
        <v>3556</v>
      </c>
      <c r="AH456" s="34" t="s">
        <v>5106</v>
      </c>
      <c r="AI456" s="34" t="s">
        <v>5105</v>
      </c>
      <c r="AJ456" s="34" t="s">
        <v>3556</v>
      </c>
      <c r="AK456" s="34" t="s">
        <v>4261</v>
      </c>
      <c r="AL456" s="34" t="s">
        <v>3842</v>
      </c>
      <c r="AM456" s="40" t="s">
        <v>8095</v>
      </c>
      <c r="AT456" s="44">
        <v>0</v>
      </c>
      <c r="AU456" s="44"/>
      <c r="AV456" s="46">
        <f>ROUND(Товары[[#This Row],[РРЦ финальная, руб.]]/$AU$1,2)</f>
        <v>0</v>
      </c>
      <c r="AW456" s="45" t="str">
        <f>IFERROR(Товары[[#This Row],[РРЦ, евро]]/Товары[[#This Row],[IRP, Eur]],"-")</f>
        <v>-</v>
      </c>
      <c r="AX456" s="42">
        <f>IFERROR(VLOOKUP(Товары[[#This Row],[SubGroup]],'Структура цен DIY'!$B:$C,2,FALSE),0)</f>
        <v>0.28000000000000003</v>
      </c>
      <c r="AY456" s="44">
        <v>0</v>
      </c>
    </row>
    <row r="457" spans="1:51" x14ac:dyDescent="0.25">
      <c r="A457" s="34">
        <v>455</v>
      </c>
      <c r="B457" s="34" t="s">
        <v>56</v>
      </c>
      <c r="C457" s="110" t="str">
        <f>IFERROR(INDEX(Структура_ассортимента[SuperCategory],MATCH(Товары[[#This Row],[SubGroup]],Структура_ассортимента[Subgroup],0)),"")</f>
        <v>A</v>
      </c>
      <c r="D45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5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57" s="110" t="str">
        <f>IFERROR(INDEX(Структура_ассортимента[Product group],MATCH(Товары[[#This Row],[SubGroup]],Структура_ассортимента[Subgroup],0)),"")</f>
        <v>AMT_C</v>
      </c>
      <c r="G457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57" s="110" t="str">
        <f>IFERROR(INDEX(Структура_ассортимента[Generic Name (long)3],MATCH(Товары[[#This Row],[SubGroup]],Структура_ассортимента[Subgroup],0)),"")</f>
        <v>Лопаты садовые</v>
      </c>
      <c r="I457" s="36">
        <v>9228</v>
      </c>
      <c r="J457" s="36" t="str">
        <f>IFERROR(INDEX(Структура_ассортимента[Generic Name (long)],MATCH(Товары[[#This Row],[SubGroup]],Структура_ассортимента[Subgroup],0)),"")</f>
        <v>SPADE</v>
      </c>
      <c r="L457" s="36">
        <v>967954401</v>
      </c>
      <c r="M457" s="35" t="s">
        <v>2141</v>
      </c>
      <c r="O457" s="35" t="s">
        <v>5107</v>
      </c>
      <c r="P457" s="37" t="s">
        <v>5108</v>
      </c>
      <c r="Q457" s="34" t="s">
        <v>3549</v>
      </c>
      <c r="R457" s="34" t="s">
        <v>3540</v>
      </c>
      <c r="S457" s="47">
        <v>43466</v>
      </c>
      <c r="T457" s="47">
        <v>0</v>
      </c>
      <c r="U457" s="47">
        <v>0</v>
      </c>
      <c r="V457" s="34">
        <v>4078500047203</v>
      </c>
      <c r="W457" s="34" t="s">
        <v>3546</v>
      </c>
      <c r="X457" s="34" t="s">
        <v>4868</v>
      </c>
      <c r="Y457" s="34" t="s">
        <v>3542</v>
      </c>
      <c r="Z457" s="34">
        <v>5</v>
      </c>
      <c r="AB457" s="34" t="s">
        <v>4246</v>
      </c>
      <c r="AD457" s="34" t="s">
        <v>4246</v>
      </c>
      <c r="AE457" s="34" t="s">
        <v>3757</v>
      </c>
      <c r="AF457" s="34" t="s">
        <v>5109</v>
      </c>
      <c r="AG457" s="34" t="s">
        <v>3968</v>
      </c>
      <c r="AH457" s="34" t="s">
        <v>5110</v>
      </c>
      <c r="AJ457" s="34" t="s">
        <v>3757</v>
      </c>
      <c r="AK457" s="34" t="s">
        <v>5109</v>
      </c>
      <c r="AL457" s="34" t="s">
        <v>4478</v>
      </c>
      <c r="AM457" s="40" t="s">
        <v>9</v>
      </c>
      <c r="AP457" s="34">
        <v>0</v>
      </c>
      <c r="AQ457" s="34">
        <v>1389</v>
      </c>
      <c r="AR457" s="34">
        <v>845</v>
      </c>
      <c r="AT457" s="44">
        <v>107600</v>
      </c>
      <c r="AU457" s="44"/>
      <c r="AV457" s="46">
        <f>ROUND(Товары[[#This Row],[РРЦ финальная, руб.]]/$AU$1,2)</f>
        <v>0</v>
      </c>
      <c r="AW457" s="45" t="str">
        <f>IFERROR(Товары[[#This Row],[РРЦ, евро]]/Товары[[#This Row],[IRP, Eur]],"-")</f>
        <v>-</v>
      </c>
      <c r="AX457" s="42">
        <f>IFERROR(VLOOKUP(Товары[[#This Row],[SubGroup]],'Структура цен DIY'!$B:$C,2,FALSE),0)</f>
        <v>0.28000000000000003</v>
      </c>
      <c r="AY457" s="44">
        <v>0</v>
      </c>
    </row>
    <row r="458" spans="1:51" x14ac:dyDescent="0.25">
      <c r="A458" s="34">
        <v>456</v>
      </c>
      <c r="B458" s="34" t="s">
        <v>56</v>
      </c>
      <c r="C458" s="110" t="str">
        <f>IFERROR(INDEX(Структура_ассортимента[SuperCategory],MATCH(Товары[[#This Row],[SubGroup]],Структура_ассортимента[Subgroup],0)),"")</f>
        <v>A</v>
      </c>
      <c r="D45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5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58" s="110" t="str">
        <f>IFERROR(INDEX(Структура_ассортимента[Product group],MATCH(Товары[[#This Row],[SubGroup]],Структура_ассортимента[Subgroup],0)),"")</f>
        <v>AMT_C</v>
      </c>
      <c r="G458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58" s="110" t="str">
        <f>IFERROR(INDEX(Структура_ассортимента[Generic Name (long)3],MATCH(Товары[[#This Row],[SubGroup]],Структура_ассортимента[Subgroup],0)),"")</f>
        <v>Лопаты садовые</v>
      </c>
      <c r="I458" s="36">
        <v>9228</v>
      </c>
      <c r="J458" s="36" t="str">
        <f>IFERROR(INDEX(Структура_ассортимента[Generic Name (long)],MATCH(Товары[[#This Row],[SubGroup]],Структура_ассортимента[Subgroup],0)),"")</f>
        <v>SPADE</v>
      </c>
      <c r="L458" s="36">
        <v>967954501</v>
      </c>
      <c r="M458" s="35" t="s">
        <v>2142</v>
      </c>
      <c r="O458" s="35" t="s">
        <v>5111</v>
      </c>
      <c r="P458" s="37" t="s">
        <v>5112</v>
      </c>
      <c r="Q458" s="34" t="s">
        <v>3549</v>
      </c>
      <c r="R458" s="34" t="s">
        <v>3540</v>
      </c>
      <c r="S458" s="47">
        <v>43466</v>
      </c>
      <c r="T458" s="47">
        <v>0</v>
      </c>
      <c r="U458" s="47">
        <v>0</v>
      </c>
      <c r="V458" s="34">
        <v>4078500047227</v>
      </c>
      <c r="W458" s="34" t="s">
        <v>3546</v>
      </c>
      <c r="X458" s="34" t="s">
        <v>4868</v>
      </c>
      <c r="Y458" s="34" t="s">
        <v>3542</v>
      </c>
      <c r="Z458" s="34">
        <v>5</v>
      </c>
      <c r="AB458" s="34" t="s">
        <v>5053</v>
      </c>
      <c r="AD458" s="34" t="s">
        <v>5053</v>
      </c>
      <c r="AE458" s="34" t="s">
        <v>3757</v>
      </c>
      <c r="AF458" s="34" t="s">
        <v>5109</v>
      </c>
      <c r="AG458" s="34" t="s">
        <v>3800</v>
      </c>
      <c r="AH458" s="34" t="s">
        <v>5113</v>
      </c>
      <c r="AJ458" s="34" t="s">
        <v>3757</v>
      </c>
      <c r="AK458" s="34" t="s">
        <v>3957</v>
      </c>
      <c r="AL458" s="34" t="s">
        <v>4478</v>
      </c>
      <c r="AM458" s="40" t="s">
        <v>9</v>
      </c>
      <c r="AP458" s="34">
        <v>0</v>
      </c>
      <c r="AQ458" s="34">
        <v>1459</v>
      </c>
      <c r="AR458" s="34">
        <v>888</v>
      </c>
      <c r="AT458" s="44">
        <v>113000</v>
      </c>
      <c r="AU458" s="44"/>
      <c r="AV458" s="46">
        <f>ROUND(Товары[[#This Row],[РРЦ финальная, руб.]]/$AU$1,2)</f>
        <v>0</v>
      </c>
      <c r="AW458" s="45" t="str">
        <f>IFERROR(Товары[[#This Row],[РРЦ, евро]]/Товары[[#This Row],[IRP, Eur]],"-")</f>
        <v>-</v>
      </c>
      <c r="AX458" s="42">
        <f>IFERROR(VLOOKUP(Товары[[#This Row],[SubGroup]],'Структура цен DIY'!$B:$C,2,FALSE),0)</f>
        <v>0.28000000000000003</v>
      </c>
      <c r="AY458" s="44">
        <v>0</v>
      </c>
    </row>
    <row r="459" spans="1:51" x14ac:dyDescent="0.25">
      <c r="A459" s="34">
        <v>457</v>
      </c>
      <c r="B459" s="34" t="s">
        <v>56</v>
      </c>
      <c r="C459" s="110" t="str">
        <f>IFERROR(INDEX(Структура_ассортимента[SuperCategory],MATCH(Товары[[#This Row],[SubGroup]],Структура_ассортимента[Subgroup],0)),"")</f>
        <v>A</v>
      </c>
      <c r="D45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5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59" s="110" t="str">
        <f>IFERROR(INDEX(Структура_ассортимента[Product group],MATCH(Товары[[#This Row],[SubGroup]],Структура_ассортимента[Subgroup],0)),"")</f>
        <v>AMT_C</v>
      </c>
      <c r="G459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59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59" s="36">
        <v>9221</v>
      </c>
      <c r="J459" s="36" t="str">
        <f>IFERROR(INDEX(Структура_ассортимента[Generic Name (long)],MATCH(Товары[[#This Row],[SubGroup]],Структура_ассортимента[Subgroup],0)),"")</f>
        <v>GARDEN TOOL SET</v>
      </c>
      <c r="L459" s="36">
        <v>901052701</v>
      </c>
      <c r="M459" s="35" t="s">
        <v>2143</v>
      </c>
      <c r="Q459" s="34" t="s">
        <v>3549</v>
      </c>
      <c r="R459" s="34" t="s">
        <v>3540</v>
      </c>
      <c r="S459" s="47">
        <v>36069</v>
      </c>
      <c r="T459" s="47">
        <v>0</v>
      </c>
      <c r="U459" s="47">
        <v>0</v>
      </c>
      <c r="V459" s="34">
        <v>4078500374507</v>
      </c>
      <c r="W459" s="34" t="s">
        <v>3543</v>
      </c>
      <c r="X459" s="34" t="s">
        <v>3579</v>
      </c>
      <c r="Y459" s="34" t="s">
        <v>3542</v>
      </c>
      <c r="Z459" s="34">
        <v>6</v>
      </c>
      <c r="AA459" s="34" t="s">
        <v>5114</v>
      </c>
      <c r="AB459" s="34" t="s">
        <v>5114</v>
      </c>
      <c r="AC459" s="34" t="s">
        <v>4708</v>
      </c>
      <c r="AD459" s="34" t="s">
        <v>4708</v>
      </c>
      <c r="AE459" s="34" t="s">
        <v>3774</v>
      </c>
      <c r="AF459" s="34" t="s">
        <v>3865</v>
      </c>
      <c r="AG459" s="34" t="s">
        <v>4260</v>
      </c>
      <c r="AH459" s="34" t="s">
        <v>5115</v>
      </c>
      <c r="AI459" s="34" t="s">
        <v>3774</v>
      </c>
      <c r="AJ459" s="34" t="s">
        <v>5116</v>
      </c>
      <c r="AK459" s="34" t="s">
        <v>4221</v>
      </c>
      <c r="AL459" s="34">
        <v>132</v>
      </c>
      <c r="AM459" s="40" t="s">
        <v>8095</v>
      </c>
      <c r="AT459" s="44">
        <v>0</v>
      </c>
      <c r="AU459" s="44"/>
      <c r="AV459" s="46">
        <f>ROUND(Товары[[#This Row],[РРЦ финальная, руб.]]/$AU$1,2)</f>
        <v>0</v>
      </c>
      <c r="AW459" s="45" t="str">
        <f>IFERROR(Товары[[#This Row],[РРЦ, евро]]/Товары[[#This Row],[IRP, Eur]],"-")</f>
        <v>-</v>
      </c>
      <c r="AX459" s="42">
        <f>IFERROR(VLOOKUP(Товары[[#This Row],[SubGroup]],'Структура цен DIY'!$B:$C,2,FALSE),0)</f>
        <v>0.27</v>
      </c>
      <c r="AY459" s="44">
        <v>0</v>
      </c>
    </row>
    <row r="460" spans="1:51" x14ac:dyDescent="0.25">
      <c r="A460" s="34">
        <v>458</v>
      </c>
      <c r="B460" s="34" t="s">
        <v>56</v>
      </c>
      <c r="C460" s="110" t="str">
        <f>IFERROR(INDEX(Структура_ассортимента[SuperCategory],MATCH(Товары[[#This Row],[SubGroup]],Структура_ассортимента[Subgroup],0)),"")</f>
        <v>A</v>
      </c>
      <c r="D46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6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60" s="110" t="str">
        <f>IFERROR(INDEX(Структура_ассортимента[Product group],MATCH(Товары[[#This Row],[SubGroup]],Структура_ассортимента[Subgroup],0)),"")</f>
        <v>AMT_C</v>
      </c>
      <c r="G460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60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60" s="36">
        <v>9221</v>
      </c>
      <c r="J460" s="36" t="str">
        <f>IFERROR(INDEX(Структура_ассортимента[Generic Name (long)],MATCH(Товары[[#This Row],[SubGroup]],Структура_ассортимента[Subgroup],0)),"")</f>
        <v>GARDEN TOOL SET</v>
      </c>
      <c r="L460" s="36">
        <v>966044201</v>
      </c>
      <c r="M460" s="35" t="s">
        <v>2144</v>
      </c>
      <c r="O460" s="35" t="s">
        <v>5117</v>
      </c>
      <c r="P460" s="37" t="s">
        <v>5118</v>
      </c>
      <c r="Q460" s="34" t="s">
        <v>3549</v>
      </c>
      <c r="R460" s="34" t="s">
        <v>3540</v>
      </c>
      <c r="S460" s="47">
        <v>39904</v>
      </c>
      <c r="T460" s="47">
        <v>0</v>
      </c>
      <c r="U460" s="47">
        <v>0</v>
      </c>
      <c r="V460" s="34">
        <v>4078500373401</v>
      </c>
      <c r="W460" s="34" t="s">
        <v>3543</v>
      </c>
      <c r="X460" s="34" t="s">
        <v>3579</v>
      </c>
      <c r="Y460" s="34" t="s">
        <v>3542</v>
      </c>
      <c r="Z460" s="34">
        <v>4</v>
      </c>
      <c r="AA460" s="34" t="s">
        <v>5119</v>
      </c>
      <c r="AB460" s="34" t="s">
        <v>5119</v>
      </c>
      <c r="AC460" s="34" t="s">
        <v>5120</v>
      </c>
      <c r="AD460" s="34" t="s">
        <v>5120</v>
      </c>
      <c r="AE460" s="34" t="s">
        <v>4591</v>
      </c>
      <c r="AF460" s="34" t="s">
        <v>3556</v>
      </c>
      <c r="AG460" s="34" t="s">
        <v>4181</v>
      </c>
      <c r="AH460" s="34" t="s">
        <v>5121</v>
      </c>
      <c r="AI460" s="34" t="s">
        <v>4591</v>
      </c>
      <c r="AJ460" s="34" t="s">
        <v>4633</v>
      </c>
      <c r="AK460" s="34" t="s">
        <v>4221</v>
      </c>
      <c r="AL460" s="34">
        <v>180</v>
      </c>
      <c r="AM460" s="40" t="s">
        <v>9</v>
      </c>
      <c r="AP460" s="34">
        <v>0</v>
      </c>
      <c r="AQ460" s="34">
        <v>1590</v>
      </c>
      <c r="AR460" s="34">
        <v>994</v>
      </c>
      <c r="AT460" s="44">
        <v>123200</v>
      </c>
      <c r="AU460" s="44"/>
      <c r="AV460" s="46">
        <f>ROUND(Товары[[#This Row],[РРЦ финальная, руб.]]/$AU$1,2)</f>
        <v>0</v>
      </c>
      <c r="AW460" s="45" t="str">
        <f>IFERROR(Товары[[#This Row],[РРЦ, евро]]/Товары[[#This Row],[IRP, Eur]],"-")</f>
        <v>-</v>
      </c>
      <c r="AX460" s="42">
        <f>IFERROR(VLOOKUP(Товары[[#This Row],[SubGroup]],'Структура цен DIY'!$B:$C,2,FALSE),0)</f>
        <v>0.27</v>
      </c>
      <c r="AY460" s="44">
        <v>0</v>
      </c>
    </row>
    <row r="461" spans="1:51" x14ac:dyDescent="0.25">
      <c r="A461" s="34">
        <v>459</v>
      </c>
      <c r="B461" s="34" t="s">
        <v>56</v>
      </c>
      <c r="C461" s="110" t="str">
        <f>IFERROR(INDEX(Структура_ассортимента[SuperCategory],MATCH(Товары[[#This Row],[SubGroup]],Структура_ассортимента[Subgroup],0)),"")</f>
        <v>A</v>
      </c>
      <c r="D46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6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61" s="110" t="str">
        <f>IFERROR(INDEX(Структура_ассортимента[Product group],MATCH(Товары[[#This Row],[SubGroup]],Структура_ассортимента[Subgroup],0)),"")</f>
        <v>AMT_C</v>
      </c>
      <c r="G461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61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61" s="36">
        <v>9221</v>
      </c>
      <c r="J461" s="36" t="str">
        <f>IFERROR(INDEX(Структура_ассортимента[Generic Name (long)],MATCH(Товары[[#This Row],[SubGroup]],Структура_ассортимента[Subgroup],0)),"")</f>
        <v>GARDEN TOOL SET</v>
      </c>
      <c r="L461" s="36">
        <v>901051801</v>
      </c>
      <c r="M461" s="35" t="s">
        <v>2145</v>
      </c>
      <c r="O461" s="35" t="s">
        <v>5122</v>
      </c>
      <c r="P461" s="37" t="s">
        <v>5123</v>
      </c>
      <c r="Q461" s="34" t="s">
        <v>3549</v>
      </c>
      <c r="R461" s="34" t="s">
        <v>3540</v>
      </c>
      <c r="S461" s="47">
        <v>36434</v>
      </c>
      <c r="T461" s="47">
        <v>0</v>
      </c>
      <c r="U461" s="47">
        <v>0</v>
      </c>
      <c r="V461" s="34">
        <v>4078500371308</v>
      </c>
      <c r="W461" s="34" t="s">
        <v>3547</v>
      </c>
      <c r="X461" s="34" t="s">
        <v>3704</v>
      </c>
      <c r="Y461" s="34" t="s">
        <v>3542</v>
      </c>
      <c r="Z461" s="34">
        <v>10</v>
      </c>
      <c r="AA461" s="34" t="s">
        <v>5124</v>
      </c>
      <c r="AB461" s="34" t="s">
        <v>5124</v>
      </c>
      <c r="AC461" s="34" t="s">
        <v>4801</v>
      </c>
      <c r="AD461" s="34" t="s">
        <v>4801</v>
      </c>
      <c r="AE461" s="34" t="s">
        <v>4591</v>
      </c>
      <c r="AF461" s="34" t="s">
        <v>5125</v>
      </c>
      <c r="AG461" s="34" t="s">
        <v>5126</v>
      </c>
      <c r="AH461" s="34" t="s">
        <v>5127</v>
      </c>
      <c r="AI461" s="34" t="s">
        <v>4591</v>
      </c>
      <c r="AJ461" s="34" t="s">
        <v>4351</v>
      </c>
      <c r="AK461" s="34" t="s">
        <v>4406</v>
      </c>
      <c r="AL461" s="34">
        <v>750</v>
      </c>
      <c r="AM461" s="40" t="s">
        <v>9</v>
      </c>
      <c r="AP461" s="34">
        <v>0</v>
      </c>
      <c r="AQ461" s="34">
        <v>1590</v>
      </c>
      <c r="AR461" s="34">
        <v>981</v>
      </c>
      <c r="AT461" s="44">
        <v>123200</v>
      </c>
      <c r="AU461" s="44"/>
      <c r="AV461" s="46">
        <f>ROUND(Товары[[#This Row],[РРЦ финальная, руб.]]/$AU$1,2)</f>
        <v>0</v>
      </c>
      <c r="AW461" s="45" t="str">
        <f>IFERROR(Товары[[#This Row],[РРЦ, евро]]/Товары[[#This Row],[IRP, Eur]],"-")</f>
        <v>-</v>
      </c>
      <c r="AX461" s="42">
        <f>IFERROR(VLOOKUP(Товары[[#This Row],[SubGroup]],'Структура цен DIY'!$B:$C,2,FALSE),0)</f>
        <v>0.27</v>
      </c>
      <c r="AY461" s="44">
        <v>0</v>
      </c>
    </row>
    <row r="462" spans="1:51" x14ac:dyDescent="0.25">
      <c r="A462" s="34">
        <v>460</v>
      </c>
      <c r="B462" s="34" t="s">
        <v>56</v>
      </c>
      <c r="C462" s="110" t="str">
        <f>IFERROR(INDEX(Структура_ассортимента[SuperCategory],MATCH(Товары[[#This Row],[SubGroup]],Структура_ассортимента[Subgroup],0)),"")</f>
        <v>A</v>
      </c>
      <c r="D46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6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62" s="110" t="str">
        <f>IFERROR(INDEX(Структура_ассортимента[Product group],MATCH(Товары[[#This Row],[SubGroup]],Структура_ассортимента[Subgroup],0)),"")</f>
        <v>AMT_C</v>
      </c>
      <c r="G462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62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62" s="36">
        <v>9221</v>
      </c>
      <c r="J462" s="36" t="str">
        <f>IFERROR(INDEX(Структура_ассортимента[Generic Name (long)],MATCH(Товары[[#This Row],[SubGroup]],Структура_ассортимента[Subgroup],0)),"")</f>
        <v>GARDEN TOOL SET</v>
      </c>
      <c r="L462" s="36">
        <v>901051901</v>
      </c>
      <c r="M462" s="35" t="s">
        <v>2146</v>
      </c>
      <c r="O462" s="35" t="s">
        <v>5128</v>
      </c>
      <c r="P462" s="37" t="s">
        <v>5129</v>
      </c>
      <c r="Q462" s="34" t="s">
        <v>3549</v>
      </c>
      <c r="R462" s="34" t="s">
        <v>3540</v>
      </c>
      <c r="S462" s="47">
        <v>36434</v>
      </c>
      <c r="T462" s="47">
        <v>0</v>
      </c>
      <c r="U462" s="47">
        <v>0</v>
      </c>
      <c r="V462" s="34">
        <v>4078500371506</v>
      </c>
      <c r="W462" s="34" t="s">
        <v>3547</v>
      </c>
      <c r="X462" s="34" t="s">
        <v>3704</v>
      </c>
      <c r="Y462" s="34" t="s">
        <v>3542</v>
      </c>
      <c r="Z462" s="34">
        <v>10</v>
      </c>
      <c r="AA462" s="34" t="s">
        <v>5130</v>
      </c>
      <c r="AB462" s="34" t="s">
        <v>4477</v>
      </c>
      <c r="AC462" s="34" t="s">
        <v>5131</v>
      </c>
      <c r="AD462" s="34" t="s">
        <v>5131</v>
      </c>
      <c r="AE462" s="34" t="s">
        <v>3774</v>
      </c>
      <c r="AF462" s="34" t="s">
        <v>3932</v>
      </c>
      <c r="AG462" s="34" t="s">
        <v>4351</v>
      </c>
      <c r="AH462" s="34" t="s">
        <v>5132</v>
      </c>
      <c r="AI462" s="34" t="s">
        <v>3774</v>
      </c>
      <c r="AJ462" s="34" t="s">
        <v>4351</v>
      </c>
      <c r="AK462" s="34" t="s">
        <v>4406</v>
      </c>
      <c r="AL462" s="34" t="s">
        <v>5004</v>
      </c>
      <c r="AM462" s="40" t="s">
        <v>9</v>
      </c>
      <c r="AP462" s="34">
        <v>0</v>
      </c>
      <c r="AQ462" s="34">
        <v>1790</v>
      </c>
      <c r="AR462" s="34">
        <v>1104</v>
      </c>
      <c r="AT462" s="44">
        <v>138600</v>
      </c>
      <c r="AU462" s="44"/>
      <c r="AV462" s="46">
        <f>ROUND(Товары[[#This Row],[РРЦ финальная, руб.]]/$AU$1,2)</f>
        <v>0</v>
      </c>
      <c r="AW462" s="45" t="str">
        <f>IFERROR(Товары[[#This Row],[РРЦ, евро]]/Товары[[#This Row],[IRP, Eur]],"-")</f>
        <v>-</v>
      </c>
      <c r="AX462" s="42">
        <f>IFERROR(VLOOKUP(Товары[[#This Row],[SubGroup]],'Структура цен DIY'!$B:$C,2,FALSE),0)</f>
        <v>0.27</v>
      </c>
      <c r="AY462" s="44">
        <v>0</v>
      </c>
    </row>
    <row r="463" spans="1:51" x14ac:dyDescent="0.25">
      <c r="A463" s="34">
        <v>461</v>
      </c>
      <c r="B463" s="34" t="s">
        <v>56</v>
      </c>
      <c r="C463" s="110" t="str">
        <f>IFERROR(INDEX(Структура_ассортимента[SuperCategory],MATCH(Товары[[#This Row],[SubGroup]],Структура_ассортимента[Subgroup],0)),"")</f>
        <v>A</v>
      </c>
      <c r="D46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6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63" s="110" t="str">
        <f>IFERROR(INDEX(Структура_ассортимента[Product group],MATCH(Товары[[#This Row],[SubGroup]],Структура_ассортимента[Subgroup],0)),"")</f>
        <v>AMT_C</v>
      </c>
      <c r="G463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63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63" s="36">
        <v>9221</v>
      </c>
      <c r="J463" s="36" t="str">
        <f>IFERROR(INDEX(Структура_ассортимента[Generic Name (long)],MATCH(Товары[[#This Row],[SubGroup]],Структура_ассортимента[Subgroup],0)),"")</f>
        <v>GARDEN TOOL SET</v>
      </c>
      <c r="L463" s="36">
        <v>901052001</v>
      </c>
      <c r="M463" s="35" t="s">
        <v>2147</v>
      </c>
      <c r="O463" s="35" t="s">
        <v>5133</v>
      </c>
      <c r="P463" s="37" t="s">
        <v>5134</v>
      </c>
      <c r="Q463" s="34" t="s">
        <v>3549</v>
      </c>
      <c r="R463" s="34" t="s">
        <v>3540</v>
      </c>
      <c r="S463" s="47">
        <v>37895</v>
      </c>
      <c r="T463" s="47">
        <v>0</v>
      </c>
      <c r="U463" s="47">
        <v>0</v>
      </c>
      <c r="V463" s="34">
        <v>4078500372305</v>
      </c>
      <c r="W463" s="34" t="s">
        <v>3550</v>
      </c>
      <c r="X463" s="34" t="s">
        <v>3579</v>
      </c>
      <c r="Y463" s="34" t="s">
        <v>3542</v>
      </c>
      <c r="Z463" s="34">
        <v>10</v>
      </c>
      <c r="AA463" s="34" t="s">
        <v>5135</v>
      </c>
      <c r="AB463" s="34" t="s">
        <v>5135</v>
      </c>
      <c r="AC463" s="34" t="s">
        <v>4683</v>
      </c>
      <c r="AD463" s="34" t="s">
        <v>4683</v>
      </c>
      <c r="AE463" s="34" t="s">
        <v>4591</v>
      </c>
      <c r="AF463" s="34" t="s">
        <v>4239</v>
      </c>
      <c r="AG463" s="34" t="s">
        <v>3672</v>
      </c>
      <c r="AH463" s="34" t="s">
        <v>5136</v>
      </c>
      <c r="AI463" s="34" t="s">
        <v>4591</v>
      </c>
      <c r="AJ463" s="34" t="s">
        <v>4239</v>
      </c>
      <c r="AK463" s="34" t="s">
        <v>4260</v>
      </c>
      <c r="AL463" s="34">
        <v>640</v>
      </c>
      <c r="AM463" s="40" t="s">
        <v>9</v>
      </c>
      <c r="AP463" s="34">
        <v>0</v>
      </c>
      <c r="AQ463" s="34">
        <v>990</v>
      </c>
      <c r="AR463" s="34">
        <v>611</v>
      </c>
      <c r="AT463" s="44">
        <v>76700</v>
      </c>
      <c r="AU463" s="44"/>
      <c r="AV463" s="46">
        <f>ROUND(Товары[[#This Row],[РРЦ финальная, руб.]]/$AU$1,2)</f>
        <v>0</v>
      </c>
      <c r="AW463" s="45" t="str">
        <f>IFERROR(Товары[[#This Row],[РРЦ, евро]]/Товары[[#This Row],[IRP, Eur]],"-")</f>
        <v>-</v>
      </c>
      <c r="AX463" s="42">
        <f>IFERROR(VLOOKUP(Товары[[#This Row],[SubGroup]],'Структура цен DIY'!$B:$C,2,FALSE),0)</f>
        <v>0.27</v>
      </c>
      <c r="AY463" s="44">
        <v>0</v>
      </c>
    </row>
    <row r="464" spans="1:51" x14ac:dyDescent="0.25">
      <c r="A464" s="34">
        <v>462</v>
      </c>
      <c r="B464" s="34" t="s">
        <v>56</v>
      </c>
      <c r="C464" s="110" t="str">
        <f>IFERROR(INDEX(Структура_ассортимента[SuperCategory],MATCH(Товары[[#This Row],[SubGroup]],Структура_ассортимента[Subgroup],0)),"")</f>
        <v>A</v>
      </c>
      <c r="D46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6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64" s="110" t="str">
        <f>IFERROR(INDEX(Структура_ассортимента[Product group],MATCH(Товары[[#This Row],[SubGroup]],Структура_ассортимента[Subgroup],0)),"")</f>
        <v>AMT_C</v>
      </c>
      <c r="G464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64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64" s="36">
        <v>9221</v>
      </c>
      <c r="J464" s="36" t="str">
        <f>IFERROR(INDEX(Структура_ассортимента[Generic Name (long)],MATCH(Товары[[#This Row],[SubGroup]],Структура_ассортимента[Subgroup],0)),"")</f>
        <v>GARDEN TOOL SET</v>
      </c>
      <c r="L464" s="36">
        <v>901052301</v>
      </c>
      <c r="M464" s="35" t="s">
        <v>2148</v>
      </c>
      <c r="O464" s="35" t="s">
        <v>5137</v>
      </c>
      <c r="P464" s="37" t="s">
        <v>5138</v>
      </c>
      <c r="Q464" s="34" t="s">
        <v>3549</v>
      </c>
      <c r="R464" s="34" t="s">
        <v>3540</v>
      </c>
      <c r="S464" s="47">
        <v>37895</v>
      </c>
      <c r="T464" s="47">
        <v>0</v>
      </c>
      <c r="U464" s="47">
        <v>0</v>
      </c>
      <c r="V464" s="34">
        <v>4078500372503</v>
      </c>
      <c r="W464" s="34" t="s">
        <v>3550</v>
      </c>
      <c r="X464" s="34" t="s">
        <v>3579</v>
      </c>
      <c r="Y464" s="34" t="s">
        <v>3542</v>
      </c>
      <c r="Z464" s="34">
        <v>10</v>
      </c>
      <c r="AA464" s="34" t="s">
        <v>5139</v>
      </c>
      <c r="AB464" s="34" t="s">
        <v>5139</v>
      </c>
      <c r="AC464" s="34" t="s">
        <v>3863</v>
      </c>
      <c r="AD464" s="34" t="s">
        <v>3863</v>
      </c>
      <c r="AE464" s="34" t="s">
        <v>5140</v>
      </c>
      <c r="AF464" s="34" t="s">
        <v>4239</v>
      </c>
      <c r="AG464" s="34" t="s">
        <v>3672</v>
      </c>
      <c r="AH464" s="34" t="s">
        <v>5141</v>
      </c>
      <c r="AI464" s="34" t="s">
        <v>3774</v>
      </c>
      <c r="AJ464" s="34" t="s">
        <v>4239</v>
      </c>
      <c r="AK464" s="34" t="s">
        <v>4260</v>
      </c>
      <c r="AL464" s="34">
        <v>640</v>
      </c>
      <c r="AM464" s="40" t="s">
        <v>9</v>
      </c>
      <c r="AP464" s="34">
        <v>0</v>
      </c>
      <c r="AQ464" s="34">
        <v>1390</v>
      </c>
      <c r="AR464" s="34">
        <v>857</v>
      </c>
      <c r="AT464" s="44">
        <v>107700</v>
      </c>
      <c r="AU464" s="44"/>
      <c r="AV464" s="46">
        <f>ROUND(Товары[[#This Row],[РРЦ финальная, руб.]]/$AU$1,2)</f>
        <v>0</v>
      </c>
      <c r="AW464" s="45" t="str">
        <f>IFERROR(Товары[[#This Row],[РРЦ, евро]]/Товары[[#This Row],[IRP, Eur]],"-")</f>
        <v>-</v>
      </c>
      <c r="AX464" s="42">
        <f>IFERROR(VLOOKUP(Товары[[#This Row],[SubGroup]],'Структура цен DIY'!$B:$C,2,FALSE),0)</f>
        <v>0.27</v>
      </c>
      <c r="AY464" s="44">
        <v>0</v>
      </c>
    </row>
    <row r="465" spans="1:51" x14ac:dyDescent="0.25">
      <c r="A465" s="34">
        <v>463</v>
      </c>
      <c r="B465" s="34" t="s">
        <v>56</v>
      </c>
      <c r="C465" s="110" t="str">
        <f>IFERROR(INDEX(Структура_ассортимента[SuperCategory],MATCH(Товары[[#This Row],[SubGroup]],Структура_ассортимента[Subgroup],0)),"")</f>
        <v>A</v>
      </c>
      <c r="D46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6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65" s="110" t="str">
        <f>IFERROR(INDEX(Структура_ассортимента[Product group],MATCH(Товары[[#This Row],[SubGroup]],Структура_ассортимента[Subgroup],0)),"")</f>
        <v>AMT_C</v>
      </c>
      <c r="G465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65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65" s="36">
        <v>9221</v>
      </c>
      <c r="J465" s="36" t="str">
        <f>IFERROR(INDEX(Структура_ассортимента[Generic Name (long)],MATCH(Товары[[#This Row],[SubGroup]],Структура_ассортимента[Subgroup],0)),"")</f>
        <v>GARDEN TOOL SET</v>
      </c>
      <c r="L465" s="36">
        <v>901052501</v>
      </c>
      <c r="M465" s="35" t="s">
        <v>2149</v>
      </c>
      <c r="O465" s="35" t="s">
        <v>5142</v>
      </c>
      <c r="P465" s="37" t="s">
        <v>5143</v>
      </c>
      <c r="Q465" s="34" t="s">
        <v>3549</v>
      </c>
      <c r="R465" s="34" t="s">
        <v>3540</v>
      </c>
      <c r="S465" s="47">
        <v>37895</v>
      </c>
      <c r="T465" s="47">
        <v>0</v>
      </c>
      <c r="U465" s="47">
        <v>0</v>
      </c>
      <c r="V465" s="34">
        <v>4078500372800</v>
      </c>
      <c r="W465" s="34" t="s">
        <v>3550</v>
      </c>
      <c r="X465" s="34" t="s">
        <v>3579</v>
      </c>
      <c r="Y465" s="34" t="s">
        <v>3542</v>
      </c>
      <c r="Z465" s="34">
        <v>10</v>
      </c>
      <c r="AA465" s="34" t="s">
        <v>4708</v>
      </c>
      <c r="AB465" s="34" t="s">
        <v>4708</v>
      </c>
      <c r="AC465" s="34" t="s">
        <v>5144</v>
      </c>
      <c r="AD465" s="34" t="s">
        <v>5144</v>
      </c>
      <c r="AE465" s="34" t="s">
        <v>3767</v>
      </c>
      <c r="AF465" s="34" t="s">
        <v>3754</v>
      </c>
      <c r="AG465" s="34" t="s">
        <v>3672</v>
      </c>
      <c r="AH465" s="34" t="s">
        <v>5145</v>
      </c>
      <c r="AI465" s="34" t="s">
        <v>3767</v>
      </c>
      <c r="AJ465" s="34" t="s">
        <v>4239</v>
      </c>
      <c r="AK465" s="34" t="s">
        <v>4260</v>
      </c>
      <c r="AL465" s="34">
        <v>640</v>
      </c>
      <c r="AM465" s="40" t="s">
        <v>9</v>
      </c>
      <c r="AP465" s="34">
        <v>0</v>
      </c>
      <c r="AQ465" s="34">
        <v>1690</v>
      </c>
      <c r="AR465" s="34">
        <v>1042</v>
      </c>
      <c r="AT465" s="44">
        <v>130900</v>
      </c>
      <c r="AU465" s="44"/>
      <c r="AV465" s="46">
        <f>ROUND(Товары[[#This Row],[РРЦ финальная, руб.]]/$AU$1,2)</f>
        <v>0</v>
      </c>
      <c r="AW465" s="45" t="str">
        <f>IFERROR(Товары[[#This Row],[РРЦ, евро]]/Товары[[#This Row],[IRP, Eur]],"-")</f>
        <v>-</v>
      </c>
      <c r="AX465" s="42">
        <f>IFERROR(VLOOKUP(Товары[[#This Row],[SubGroup]],'Структура цен DIY'!$B:$C,2,FALSE),0)</f>
        <v>0.27</v>
      </c>
      <c r="AY465" s="44">
        <v>0</v>
      </c>
    </row>
    <row r="466" spans="1:51" x14ac:dyDescent="0.25">
      <c r="A466" s="34">
        <v>464</v>
      </c>
      <c r="B466" s="34" t="s">
        <v>56</v>
      </c>
      <c r="C466" s="110" t="str">
        <f>IFERROR(INDEX(Структура_ассортимента[SuperCategory],MATCH(Товары[[#This Row],[SubGroup]],Структура_ассортимента[Subgroup],0)),"")</f>
        <v>A</v>
      </c>
      <c r="D46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6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66" s="110" t="str">
        <f>IFERROR(INDEX(Структура_ассортимента[Product group],MATCH(Товары[[#This Row],[SubGroup]],Структура_ассортимента[Subgroup],0)),"")</f>
        <v>AMT_C</v>
      </c>
      <c r="G466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66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66" s="36">
        <v>9221</v>
      </c>
      <c r="J466" s="36" t="str">
        <f>IFERROR(INDEX(Структура_ассортимента[Generic Name (long)],MATCH(Товары[[#This Row],[SubGroup]],Структура_ассортимента[Subgroup],0)),"")</f>
        <v>GARDEN TOOL SET</v>
      </c>
      <c r="L466" s="36">
        <v>967319101</v>
      </c>
      <c r="M466" s="35" t="s">
        <v>2150</v>
      </c>
      <c r="O466" s="35" t="s">
        <v>5146</v>
      </c>
      <c r="P466" s="37" t="s">
        <v>5147</v>
      </c>
      <c r="Q466" s="34" t="s">
        <v>3549</v>
      </c>
      <c r="R466" s="34" t="s">
        <v>3540</v>
      </c>
      <c r="S466" s="47">
        <v>42166</v>
      </c>
      <c r="T466" s="47">
        <v>0</v>
      </c>
      <c r="U466" s="47">
        <v>0</v>
      </c>
      <c r="V466" s="34">
        <v>4078500012652</v>
      </c>
      <c r="W466" s="34" t="s">
        <v>3547</v>
      </c>
      <c r="X466" s="34" t="s">
        <v>3704</v>
      </c>
      <c r="Y466" s="34" t="s">
        <v>3542</v>
      </c>
      <c r="Z466" s="34">
        <v>4</v>
      </c>
      <c r="AA466" s="34" t="s">
        <v>3876</v>
      </c>
      <c r="AB466" s="34" t="s">
        <v>3876</v>
      </c>
      <c r="AC466" s="34" t="s">
        <v>3892</v>
      </c>
      <c r="AD466" s="34" t="s">
        <v>3892</v>
      </c>
      <c r="AE466" s="34" t="s">
        <v>4241</v>
      </c>
      <c r="AF466" s="34" t="s">
        <v>5148</v>
      </c>
      <c r="AG466" s="34" t="s">
        <v>3931</v>
      </c>
      <c r="AH466" s="34" t="s">
        <v>5149</v>
      </c>
      <c r="AI466" s="34" t="s">
        <v>4241</v>
      </c>
      <c r="AJ466" s="34" t="s">
        <v>4802</v>
      </c>
      <c r="AK466" s="34" t="s">
        <v>4775</v>
      </c>
      <c r="AL466" s="34" t="s">
        <v>5150</v>
      </c>
      <c r="AM466" s="40" t="s">
        <v>9</v>
      </c>
      <c r="AP466" s="34">
        <v>0</v>
      </c>
      <c r="AQ466" s="34">
        <v>3490</v>
      </c>
      <c r="AR466" s="34">
        <v>2152</v>
      </c>
      <c r="AT466" s="44">
        <v>270300</v>
      </c>
      <c r="AU466" s="44"/>
      <c r="AV466" s="46">
        <f>ROUND(Товары[[#This Row],[РРЦ финальная, руб.]]/$AU$1,2)</f>
        <v>0</v>
      </c>
      <c r="AW466" s="45" t="str">
        <f>IFERROR(Товары[[#This Row],[РРЦ, евро]]/Товары[[#This Row],[IRP, Eur]],"-")</f>
        <v>-</v>
      </c>
      <c r="AX466" s="42">
        <f>IFERROR(VLOOKUP(Товары[[#This Row],[SubGroup]],'Структура цен DIY'!$B:$C,2,FALSE),0)</f>
        <v>0.27</v>
      </c>
      <c r="AY466" s="44">
        <v>0</v>
      </c>
    </row>
    <row r="467" spans="1:51" x14ac:dyDescent="0.25">
      <c r="A467" s="34">
        <v>465</v>
      </c>
      <c r="B467" s="34" t="s">
        <v>56</v>
      </c>
      <c r="C467" s="110" t="str">
        <f>IFERROR(INDEX(Структура_ассортимента[SuperCategory],MATCH(Товары[[#This Row],[SubGroup]],Структура_ассортимента[Subgroup],0)),"")</f>
        <v>A</v>
      </c>
      <c r="D46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6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67" s="110" t="str">
        <f>IFERROR(INDEX(Структура_ассортимента[Product group],MATCH(Товары[[#This Row],[SubGroup]],Структура_ассортимента[Subgroup],0)),"")</f>
        <v>AMT_C</v>
      </c>
      <c r="G467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67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67" s="36">
        <v>9221</v>
      </c>
      <c r="J467" s="36" t="str">
        <f>IFERROR(INDEX(Структура_ассортимента[Generic Name (long)],MATCH(Товары[[#This Row],[SubGroup]],Структура_ассортимента[Subgroup],0)),"")</f>
        <v>GARDEN TOOL SET</v>
      </c>
      <c r="L467" s="36">
        <v>967319201</v>
      </c>
      <c r="M467" s="35" t="s">
        <v>2151</v>
      </c>
      <c r="O467" s="35" t="s">
        <v>5151</v>
      </c>
      <c r="P467" s="37" t="s">
        <v>5152</v>
      </c>
      <c r="Q467" s="34" t="s">
        <v>3549</v>
      </c>
      <c r="R467" s="34" t="s">
        <v>3540</v>
      </c>
      <c r="S467" s="47">
        <v>42166</v>
      </c>
      <c r="T467" s="47">
        <v>0</v>
      </c>
      <c r="U467" s="47">
        <v>0</v>
      </c>
      <c r="V467" s="34">
        <v>4078500012676</v>
      </c>
      <c r="W467" s="34" t="s">
        <v>3547</v>
      </c>
      <c r="X467" s="34" t="s">
        <v>3704</v>
      </c>
      <c r="Y467" s="34" t="s">
        <v>3542</v>
      </c>
      <c r="Z467" s="34">
        <v>4</v>
      </c>
      <c r="AA467" s="34" t="s">
        <v>5153</v>
      </c>
      <c r="AB467" s="34" t="s">
        <v>5153</v>
      </c>
      <c r="AC467" s="34" t="s">
        <v>5154</v>
      </c>
      <c r="AD467" s="34" t="s">
        <v>5154</v>
      </c>
      <c r="AE467" s="34" t="s">
        <v>5155</v>
      </c>
      <c r="AF467" s="34" t="s">
        <v>4239</v>
      </c>
      <c r="AG467" s="34" t="s">
        <v>4351</v>
      </c>
      <c r="AH467" s="34" t="s">
        <v>5156</v>
      </c>
      <c r="AI467" s="34" t="s">
        <v>5155</v>
      </c>
      <c r="AJ467" s="34" t="s">
        <v>4802</v>
      </c>
      <c r="AK467" s="34" t="s">
        <v>4775</v>
      </c>
      <c r="AL467" s="34" t="s">
        <v>5150</v>
      </c>
      <c r="AM467" s="40" t="s">
        <v>9</v>
      </c>
      <c r="AP467" s="34">
        <v>0</v>
      </c>
      <c r="AQ467" s="34">
        <v>4290</v>
      </c>
      <c r="AR467" s="34">
        <v>2646</v>
      </c>
      <c r="AT467" s="44">
        <v>332300</v>
      </c>
      <c r="AU467" s="44"/>
      <c r="AV467" s="46">
        <f>ROUND(Товары[[#This Row],[РРЦ финальная, руб.]]/$AU$1,2)</f>
        <v>0</v>
      </c>
      <c r="AW467" s="45" t="str">
        <f>IFERROR(Товары[[#This Row],[РРЦ, евро]]/Товары[[#This Row],[IRP, Eur]],"-")</f>
        <v>-</v>
      </c>
      <c r="AX467" s="42">
        <f>IFERROR(VLOOKUP(Товары[[#This Row],[SubGroup]],'Структура цен DIY'!$B:$C,2,FALSE),0)</f>
        <v>0.27</v>
      </c>
      <c r="AY467" s="44">
        <v>0</v>
      </c>
    </row>
    <row r="468" spans="1:51" x14ac:dyDescent="0.25">
      <c r="A468" s="34">
        <v>466</v>
      </c>
      <c r="B468" s="34" t="s">
        <v>56</v>
      </c>
      <c r="C468" s="110" t="str">
        <f>IFERROR(INDEX(Структура_ассортимента[SuperCategory],MATCH(Товары[[#This Row],[SubGroup]],Структура_ассортимента[Subgroup],0)),"")</f>
        <v>A</v>
      </c>
      <c r="D46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6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68" s="110" t="str">
        <f>IFERROR(INDEX(Структура_ассортимента[Product group],MATCH(Товары[[#This Row],[SubGroup]],Структура_ассортимента[Subgroup],0)),"")</f>
        <v>AMT_C</v>
      </c>
      <c r="G468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68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68" s="36">
        <v>9221</v>
      </c>
      <c r="J468" s="36" t="str">
        <f>IFERROR(INDEX(Структура_ассортимента[Generic Name (long)],MATCH(Товары[[#This Row],[SubGroup]],Структура_ассортимента[Subgroup],0)),"")</f>
        <v>GARDEN TOOL SET</v>
      </c>
      <c r="L468" s="36">
        <v>967860401</v>
      </c>
      <c r="M468" s="35" t="s">
        <v>2152</v>
      </c>
      <c r="O468" s="35" t="s">
        <v>5157</v>
      </c>
      <c r="P468" s="37" t="s">
        <v>5158</v>
      </c>
      <c r="Q468" s="34" t="s">
        <v>3549</v>
      </c>
      <c r="R468" s="34" t="s">
        <v>3540</v>
      </c>
      <c r="S468" s="47">
        <v>43466</v>
      </c>
      <c r="T468" s="47">
        <v>0</v>
      </c>
      <c r="U468" s="47">
        <v>0</v>
      </c>
      <c r="V468" s="34">
        <v>4078500042697</v>
      </c>
      <c r="W468" s="34" t="s">
        <v>3546</v>
      </c>
      <c r="X468" s="34" t="s">
        <v>3787</v>
      </c>
      <c r="Y468" s="34" t="s">
        <v>3542</v>
      </c>
      <c r="Z468" s="34">
        <v>5</v>
      </c>
      <c r="AA468" s="34" t="s">
        <v>5159</v>
      </c>
      <c r="AB468" s="34" t="s">
        <v>5160</v>
      </c>
      <c r="AC468" s="34" t="s">
        <v>5161</v>
      </c>
      <c r="AD468" s="34" t="s">
        <v>4664</v>
      </c>
      <c r="AE468" s="34" t="s">
        <v>5162</v>
      </c>
      <c r="AF468" s="34" t="s">
        <v>4351</v>
      </c>
      <c r="AG468" s="34" t="s">
        <v>4181</v>
      </c>
      <c r="AH468" s="34" t="s">
        <v>5163</v>
      </c>
      <c r="AI468" s="34" t="s">
        <v>3687</v>
      </c>
      <c r="AJ468" s="34" t="s">
        <v>3754</v>
      </c>
      <c r="AK468" s="34" t="s">
        <v>4181</v>
      </c>
      <c r="AL468" s="34" t="s">
        <v>3747</v>
      </c>
      <c r="AM468" s="40" t="s">
        <v>9</v>
      </c>
      <c r="AP468" s="34">
        <v>0</v>
      </c>
      <c r="AQ468" s="34">
        <v>2190</v>
      </c>
      <c r="AR468" s="34">
        <v>1351</v>
      </c>
      <c r="AT468" s="44">
        <v>169600</v>
      </c>
      <c r="AU468" s="44"/>
      <c r="AV468" s="46">
        <f>ROUND(Товары[[#This Row],[РРЦ финальная, руб.]]/$AU$1,2)</f>
        <v>0</v>
      </c>
      <c r="AW468" s="45" t="str">
        <f>IFERROR(Товары[[#This Row],[РРЦ, евро]]/Товары[[#This Row],[IRP, Eur]],"-")</f>
        <v>-</v>
      </c>
      <c r="AX468" s="42">
        <f>IFERROR(VLOOKUP(Товары[[#This Row],[SubGroup]],'Структура цен DIY'!$B:$C,2,FALSE),0)</f>
        <v>0.27</v>
      </c>
      <c r="AY468" s="44">
        <v>0</v>
      </c>
    </row>
    <row r="469" spans="1:51" x14ac:dyDescent="0.25">
      <c r="A469" s="34">
        <v>467</v>
      </c>
      <c r="B469" s="34" t="s">
        <v>56</v>
      </c>
      <c r="C469" s="110" t="str">
        <f>IFERROR(INDEX(Структура_ассортимента[SuperCategory],MATCH(Товары[[#This Row],[SubGroup]],Структура_ассортимента[Subgroup],0)),"")</f>
        <v>A</v>
      </c>
      <c r="D46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6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69" s="110" t="str">
        <f>IFERROR(INDEX(Структура_ассортимента[Product group],MATCH(Товары[[#This Row],[SubGroup]],Структура_ассортимента[Subgroup],0)),"")</f>
        <v>AMT_C</v>
      </c>
      <c r="G469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69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69" s="36">
        <v>9221</v>
      </c>
      <c r="J469" s="36" t="str">
        <f>IFERROR(INDEX(Структура_ассортимента[Generic Name (long)],MATCH(Товары[[#This Row],[SubGroup]],Структура_ассортимента[Subgroup],0)),"")</f>
        <v>GARDEN TOOL SET</v>
      </c>
      <c r="L469" s="36">
        <v>901046101</v>
      </c>
      <c r="M469" s="35" t="s">
        <v>2153</v>
      </c>
      <c r="Q469" s="34" t="s">
        <v>3549</v>
      </c>
      <c r="R469" s="34" t="s">
        <v>3540</v>
      </c>
      <c r="S469" s="47">
        <v>36434</v>
      </c>
      <c r="T469" s="47">
        <v>0</v>
      </c>
      <c r="U469" s="47">
        <v>0</v>
      </c>
      <c r="V469" s="34">
        <v>4078500350006</v>
      </c>
      <c r="W469" s="34" t="s">
        <v>3550</v>
      </c>
      <c r="X469" s="34" t="s">
        <v>3579</v>
      </c>
      <c r="Y469" s="34" t="s">
        <v>3542</v>
      </c>
      <c r="Z469" s="34">
        <v>6</v>
      </c>
      <c r="AA469" s="34" t="s">
        <v>5164</v>
      </c>
      <c r="AB469" s="34" t="s">
        <v>5164</v>
      </c>
      <c r="AC469" s="34" t="s">
        <v>4765</v>
      </c>
      <c r="AD469" s="34" t="s">
        <v>4765</v>
      </c>
      <c r="AE469" s="34" t="s">
        <v>5165</v>
      </c>
      <c r="AF469" s="34" t="s">
        <v>4324</v>
      </c>
      <c r="AG469" s="34" t="s">
        <v>3754</v>
      </c>
      <c r="AH469" s="34" t="s">
        <v>5166</v>
      </c>
      <c r="AL469" s="34">
        <v>300</v>
      </c>
      <c r="AM469" s="40" t="s">
        <v>8095</v>
      </c>
      <c r="AT469" s="44">
        <v>0</v>
      </c>
      <c r="AU469" s="44"/>
      <c r="AV469" s="46">
        <f>ROUND(Товары[[#This Row],[РРЦ финальная, руб.]]/$AU$1,2)</f>
        <v>0</v>
      </c>
      <c r="AW469" s="45" t="str">
        <f>IFERROR(Товары[[#This Row],[РРЦ, евро]]/Товары[[#This Row],[IRP, Eur]],"-")</f>
        <v>-</v>
      </c>
      <c r="AX469" s="42">
        <f>IFERROR(VLOOKUP(Товары[[#This Row],[SubGroup]],'Структура цен DIY'!$B:$C,2,FALSE),0)</f>
        <v>0.27</v>
      </c>
      <c r="AY469" s="44">
        <v>0</v>
      </c>
    </row>
    <row r="470" spans="1:51" x14ac:dyDescent="0.25">
      <c r="A470" s="34">
        <v>468</v>
      </c>
      <c r="B470" s="34" t="s">
        <v>56</v>
      </c>
      <c r="C470" s="110" t="str">
        <f>IFERROR(INDEX(Структура_ассортимента[SuperCategory],MATCH(Товары[[#This Row],[SubGroup]],Структура_ассортимента[Subgroup],0)),"")</f>
        <v>A</v>
      </c>
      <c r="D47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7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70" s="110" t="str">
        <f>IFERROR(INDEX(Структура_ассортимента[Product group],MATCH(Товары[[#This Row],[SubGroup]],Структура_ассортимента[Subgroup],0)),"")</f>
        <v>AMT_C</v>
      </c>
      <c r="G470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70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70" s="36">
        <v>9221</v>
      </c>
      <c r="J470" s="36" t="str">
        <f>IFERROR(INDEX(Структура_ассортимента[Generic Name (long)],MATCH(Товары[[#This Row],[SubGroup]],Структура_ассортимента[Subgroup],0)),"")</f>
        <v>GARDEN TOOL SET</v>
      </c>
      <c r="L470" s="36">
        <v>966647901</v>
      </c>
      <c r="M470" s="35" t="s">
        <v>2154</v>
      </c>
      <c r="O470" s="35" t="s">
        <v>5167</v>
      </c>
      <c r="P470" s="37" t="s">
        <v>5168</v>
      </c>
      <c r="Q470" s="34" t="s">
        <v>3549</v>
      </c>
      <c r="R470" s="34" t="s">
        <v>3540</v>
      </c>
      <c r="S470" s="47">
        <v>40452</v>
      </c>
      <c r="T470" s="47">
        <v>0</v>
      </c>
      <c r="U470" s="47">
        <v>0</v>
      </c>
      <c r="V470" s="34">
        <v>4078500350105</v>
      </c>
      <c r="W470" s="34" t="s">
        <v>3541</v>
      </c>
      <c r="X470" s="34" t="s">
        <v>3704</v>
      </c>
      <c r="Y470" s="34" t="s">
        <v>3542</v>
      </c>
      <c r="Z470" s="34">
        <v>4</v>
      </c>
      <c r="AA470" s="34" t="s">
        <v>5169</v>
      </c>
      <c r="AB470" s="34" t="s">
        <v>5169</v>
      </c>
      <c r="AC470" s="34" t="s">
        <v>4708</v>
      </c>
      <c r="AD470" s="34" t="s">
        <v>4708</v>
      </c>
      <c r="AE470" s="34" t="s">
        <v>5170</v>
      </c>
      <c r="AF470" s="34" t="s">
        <v>3591</v>
      </c>
      <c r="AG470" s="34" t="s">
        <v>4184</v>
      </c>
      <c r="AH470" s="34" t="s">
        <v>5171</v>
      </c>
      <c r="AI470" s="34" t="s">
        <v>5172</v>
      </c>
      <c r="AJ470" s="34" t="s">
        <v>4361</v>
      </c>
      <c r="AK470" s="34" t="s">
        <v>4315</v>
      </c>
      <c r="AL470" s="34">
        <v>112</v>
      </c>
      <c r="AM470" s="40" t="s">
        <v>9</v>
      </c>
      <c r="AP470" s="34">
        <v>0</v>
      </c>
      <c r="AQ470" s="34">
        <v>2490</v>
      </c>
      <c r="AR470" s="34">
        <v>1453</v>
      </c>
      <c r="AT470" s="44">
        <v>192900</v>
      </c>
      <c r="AU470" s="44"/>
      <c r="AV470" s="46">
        <f>ROUND(Товары[[#This Row],[РРЦ финальная, руб.]]/$AU$1,2)</f>
        <v>0</v>
      </c>
      <c r="AW470" s="45" t="str">
        <f>IFERROR(Товары[[#This Row],[РРЦ, евро]]/Товары[[#This Row],[IRP, Eur]],"-")</f>
        <v>-</v>
      </c>
      <c r="AX470" s="42">
        <f>IFERROR(VLOOKUP(Товары[[#This Row],[SubGroup]],'Структура цен DIY'!$B:$C,2,FALSE),0)</f>
        <v>0.27</v>
      </c>
      <c r="AY470" s="44">
        <v>0</v>
      </c>
    </row>
    <row r="471" spans="1:51" x14ac:dyDescent="0.25">
      <c r="A471" s="34">
        <v>469</v>
      </c>
      <c r="B471" s="34" t="s">
        <v>56</v>
      </c>
      <c r="C471" s="110" t="str">
        <f>IFERROR(INDEX(Структура_ассортимента[SuperCategory],MATCH(Товары[[#This Row],[SubGroup]],Структура_ассортимента[Subgroup],0)),"")</f>
        <v>A</v>
      </c>
      <c r="D47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7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71" s="110" t="str">
        <f>IFERROR(INDEX(Структура_ассортимента[Product group],MATCH(Товары[[#This Row],[SubGroup]],Структура_ассортимента[Subgroup],0)),"")</f>
        <v>AMT_C</v>
      </c>
      <c r="G471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71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71" s="36">
        <v>9221</v>
      </c>
      <c r="J471" s="36" t="str">
        <f>IFERROR(INDEX(Структура_ассортимента[Generic Name (long)],MATCH(Товары[[#This Row],[SubGroup]],Структура_ассортимента[Subgroup],0)),"")</f>
        <v>GARDEN TOOL SET</v>
      </c>
      <c r="L471" s="36">
        <v>966641901</v>
      </c>
      <c r="M471" s="35" t="s">
        <v>2155</v>
      </c>
      <c r="O471" s="35" t="s">
        <v>5173</v>
      </c>
      <c r="P471" s="37" t="s">
        <v>5174</v>
      </c>
      <c r="Q471" s="34" t="s">
        <v>3549</v>
      </c>
      <c r="R471" s="34" t="s">
        <v>3540</v>
      </c>
      <c r="S471" s="47">
        <v>40452</v>
      </c>
      <c r="T471" s="47">
        <v>0</v>
      </c>
      <c r="U471" s="47">
        <v>0</v>
      </c>
      <c r="V471" s="34">
        <v>4078500350303</v>
      </c>
      <c r="W471" s="34" t="s">
        <v>3541</v>
      </c>
      <c r="X471" s="34" t="s">
        <v>3704</v>
      </c>
      <c r="Y471" s="34" t="s">
        <v>3542</v>
      </c>
      <c r="Z471" s="34">
        <v>4</v>
      </c>
      <c r="AA471" s="34" t="s">
        <v>3929</v>
      </c>
      <c r="AB471" s="34" t="s">
        <v>3929</v>
      </c>
      <c r="AC471" s="34" t="s">
        <v>3728</v>
      </c>
      <c r="AD471" s="34" t="s">
        <v>3728</v>
      </c>
      <c r="AE471" s="34" t="s">
        <v>4646</v>
      </c>
      <c r="AF471" s="34" t="s">
        <v>4139</v>
      </c>
      <c r="AG471" s="34" t="s">
        <v>3698</v>
      </c>
      <c r="AH471" s="34" t="s">
        <v>5175</v>
      </c>
      <c r="AI471" s="34" t="s">
        <v>4315</v>
      </c>
      <c r="AJ471" s="34" t="s">
        <v>4153</v>
      </c>
      <c r="AK471" s="34" t="s">
        <v>4361</v>
      </c>
      <c r="AL471" s="34">
        <v>576</v>
      </c>
      <c r="AM471" s="40" t="s">
        <v>9</v>
      </c>
      <c r="AP471" s="34">
        <v>0</v>
      </c>
      <c r="AQ471" s="34">
        <v>490</v>
      </c>
      <c r="AR471" s="34">
        <v>286</v>
      </c>
      <c r="AT471" s="44">
        <v>38000</v>
      </c>
      <c r="AU471" s="44"/>
      <c r="AV471" s="46">
        <f>ROUND(Товары[[#This Row],[РРЦ финальная, руб.]]/$AU$1,2)</f>
        <v>0</v>
      </c>
      <c r="AW471" s="45" t="str">
        <f>IFERROR(Товары[[#This Row],[РРЦ, евро]]/Товары[[#This Row],[IRP, Eur]],"-")</f>
        <v>-</v>
      </c>
      <c r="AX471" s="42">
        <f>IFERROR(VLOOKUP(Товары[[#This Row],[SubGroup]],'Структура цен DIY'!$B:$C,2,FALSE),0)</f>
        <v>0.27</v>
      </c>
      <c r="AY471" s="44">
        <v>0</v>
      </c>
    </row>
    <row r="472" spans="1:51" x14ac:dyDescent="0.25">
      <c r="A472" s="34">
        <v>470</v>
      </c>
      <c r="B472" s="34" t="s">
        <v>56</v>
      </c>
      <c r="C472" s="110" t="str">
        <f>IFERROR(INDEX(Структура_ассортимента[SuperCategory],MATCH(Товары[[#This Row],[SubGroup]],Структура_ассортимента[Subgroup],0)),"")</f>
        <v>A</v>
      </c>
      <c r="D47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7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72" s="110" t="str">
        <f>IFERROR(INDEX(Структура_ассортимента[Product group],MATCH(Товары[[#This Row],[SubGroup]],Структура_ассортимента[Subgroup],0)),"")</f>
        <v>AMT_C</v>
      </c>
      <c r="G472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72" s="110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72" s="36">
        <v>9229</v>
      </c>
      <c r="J472" s="36" t="str">
        <f>IFERROR(INDEX(Структура_ассортимента[Generic Name (long)],MATCH(Товары[[#This Row],[SubGroup]],Структура_ассортимента[Subgroup],0)),"")</f>
        <v>WEEDER</v>
      </c>
      <c r="L472" s="36">
        <v>967914601</v>
      </c>
      <c r="M472" s="35" t="s">
        <v>2156</v>
      </c>
      <c r="O472" s="35" t="s">
        <v>5176</v>
      </c>
      <c r="P472" s="37" t="s">
        <v>5177</v>
      </c>
      <c r="Q472" s="34" t="s">
        <v>3549</v>
      </c>
      <c r="R472" s="34" t="s">
        <v>3540</v>
      </c>
      <c r="S472" s="47">
        <v>43466</v>
      </c>
      <c r="T472" s="47">
        <v>0</v>
      </c>
      <c r="U472" s="47">
        <v>0</v>
      </c>
      <c r="V472" s="34">
        <v>4078500044738</v>
      </c>
      <c r="W472" s="34" t="s">
        <v>3703</v>
      </c>
      <c r="X472" s="34" t="s">
        <v>3704</v>
      </c>
      <c r="Y472" s="34" t="s">
        <v>3542</v>
      </c>
      <c r="Z472" s="34">
        <v>4</v>
      </c>
      <c r="AA472" s="34" t="s">
        <v>5178</v>
      </c>
      <c r="AB472" s="34" t="s">
        <v>5178</v>
      </c>
      <c r="AC472" s="34" t="s">
        <v>5179</v>
      </c>
      <c r="AD472" s="34" t="s">
        <v>5178</v>
      </c>
      <c r="AE472" s="34" t="s">
        <v>5180</v>
      </c>
      <c r="AF472" s="34" t="s">
        <v>3772</v>
      </c>
      <c r="AG472" s="34" t="s">
        <v>3711</v>
      </c>
      <c r="AH472" s="34" t="s">
        <v>5181</v>
      </c>
      <c r="AI472" s="34" t="s">
        <v>4395</v>
      </c>
      <c r="AJ472" s="34" t="s">
        <v>3931</v>
      </c>
      <c r="AK472" s="34" t="s">
        <v>4582</v>
      </c>
      <c r="AL472" s="34" t="s">
        <v>3981</v>
      </c>
      <c r="AM472" s="40" t="s">
        <v>9</v>
      </c>
      <c r="AP472" s="34">
        <v>0</v>
      </c>
      <c r="AQ472" s="34">
        <v>1429</v>
      </c>
      <c r="AR472" s="34">
        <v>869</v>
      </c>
      <c r="AT472" s="44">
        <v>110700</v>
      </c>
      <c r="AU472" s="44"/>
      <c r="AV472" s="46">
        <f>ROUND(Товары[[#This Row],[РРЦ финальная, руб.]]/$AU$1,2)</f>
        <v>0</v>
      </c>
      <c r="AW472" s="45" t="str">
        <f>IFERROR(Товары[[#This Row],[РРЦ, евро]]/Товары[[#This Row],[IRP, Eur]],"-")</f>
        <v>-</v>
      </c>
      <c r="AX472" s="42">
        <f>IFERROR(VLOOKUP(Товары[[#This Row],[SubGroup]],'Структура цен DIY'!$B:$C,2,FALSE),0)</f>
        <v>0.27</v>
      </c>
      <c r="AY472" s="44">
        <v>0</v>
      </c>
    </row>
    <row r="473" spans="1:51" x14ac:dyDescent="0.25">
      <c r="A473" s="34">
        <v>471</v>
      </c>
      <c r="B473" s="34" t="s">
        <v>56</v>
      </c>
      <c r="C473" s="110" t="str">
        <f>IFERROR(INDEX(Структура_ассортимента[SuperCategory],MATCH(Товары[[#This Row],[SubGroup]],Структура_ассортимента[Subgroup],0)),"")</f>
        <v>A</v>
      </c>
      <c r="D47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7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73" s="110" t="str">
        <f>IFERROR(INDEX(Структура_ассортимента[Product group],MATCH(Товары[[#This Row],[SubGroup]],Структура_ассортимента[Subgroup],0)),"")</f>
        <v>AMT_C</v>
      </c>
      <c r="G473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73" s="110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73" s="36">
        <v>9229</v>
      </c>
      <c r="J473" s="36" t="str">
        <f>IFERROR(INDEX(Структура_ассортимента[Generic Name (long)],MATCH(Товары[[#This Row],[SubGroup]],Структура_ассортимента[Subgroup],0)),"")</f>
        <v>WEEDER</v>
      </c>
      <c r="L473" s="36">
        <v>967931001</v>
      </c>
      <c r="M473" s="35" t="s">
        <v>2157</v>
      </c>
      <c r="Q473" s="34" t="s">
        <v>3652</v>
      </c>
      <c r="R473" s="34" t="s">
        <v>3540</v>
      </c>
      <c r="S473" s="47">
        <v>43466</v>
      </c>
      <c r="T473" s="47">
        <v>0</v>
      </c>
      <c r="U473" s="47">
        <v>43830</v>
      </c>
      <c r="V473" s="34">
        <v>4078500045896</v>
      </c>
      <c r="W473" s="34" t="s">
        <v>3543</v>
      </c>
      <c r="X473" s="34" t="s">
        <v>3579</v>
      </c>
      <c r="Y473" s="34" t="s">
        <v>3542</v>
      </c>
      <c r="Z473" s="34">
        <v>20</v>
      </c>
      <c r="AA473" s="34" t="s">
        <v>5178</v>
      </c>
      <c r="AB473" s="34" t="s">
        <v>5178</v>
      </c>
      <c r="AC473" s="34" t="s">
        <v>5178</v>
      </c>
      <c r="AD473" s="34" t="s">
        <v>5182</v>
      </c>
      <c r="AE473" s="34" t="s">
        <v>5180</v>
      </c>
      <c r="AF473" s="34" t="s">
        <v>3772</v>
      </c>
      <c r="AG473" s="34" t="s">
        <v>3711</v>
      </c>
      <c r="AH473" s="34" t="s">
        <v>5181</v>
      </c>
      <c r="AI473" s="34" t="s">
        <v>5180</v>
      </c>
      <c r="AJ473" s="34" t="s">
        <v>3711</v>
      </c>
      <c r="AK473" s="34" t="s">
        <v>3772</v>
      </c>
      <c r="AL473" s="34" t="s">
        <v>4514</v>
      </c>
      <c r="AM473" s="40" t="s">
        <v>8095</v>
      </c>
      <c r="AT473" s="44">
        <v>0</v>
      </c>
      <c r="AU473" s="44"/>
      <c r="AV473" s="46">
        <f>ROUND(Товары[[#This Row],[РРЦ финальная, руб.]]/$AU$1,2)</f>
        <v>0</v>
      </c>
      <c r="AW473" s="45" t="str">
        <f>IFERROR(Товары[[#This Row],[РРЦ, евро]]/Товары[[#This Row],[IRP, Eur]],"-")</f>
        <v>-</v>
      </c>
      <c r="AX473" s="42">
        <f>IFERROR(VLOOKUP(Товары[[#This Row],[SubGroup]],'Структура цен DIY'!$B:$C,2,FALSE),0)</f>
        <v>0.27</v>
      </c>
      <c r="AY473" s="44">
        <v>0</v>
      </c>
    </row>
    <row r="474" spans="1:51" x14ac:dyDescent="0.25">
      <c r="A474" s="34">
        <v>472</v>
      </c>
      <c r="B474" s="34" t="s">
        <v>56</v>
      </c>
      <c r="C474" s="110" t="str">
        <f>IFERROR(INDEX(Структура_ассортимента[SuperCategory],MATCH(Товары[[#This Row],[SubGroup]],Структура_ассортимента[Subgroup],0)),"")</f>
        <v>A</v>
      </c>
      <c r="D47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7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74" s="110" t="str">
        <f>IFERROR(INDEX(Структура_ассортимента[Product group],MATCH(Товары[[#This Row],[SubGroup]],Структура_ассортимента[Subgroup],0)),"")</f>
        <v>AMT_C</v>
      </c>
      <c r="G474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74" s="110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74" s="36">
        <v>9229</v>
      </c>
      <c r="J474" s="36" t="str">
        <f>IFERROR(INDEX(Структура_ассортимента[Generic Name (long)],MATCH(Товары[[#This Row],[SubGroup]],Структура_ассортимента[Subgroup],0)),"")</f>
        <v>WEEDER</v>
      </c>
      <c r="L474" s="36">
        <v>967914701</v>
      </c>
      <c r="M474" s="35" t="s">
        <v>2158</v>
      </c>
      <c r="O474" s="35" t="s">
        <v>5183</v>
      </c>
      <c r="P474" s="37" t="s">
        <v>5184</v>
      </c>
      <c r="Q474" s="34" t="s">
        <v>3549</v>
      </c>
      <c r="R474" s="34" t="s">
        <v>3540</v>
      </c>
      <c r="S474" s="47">
        <v>43466</v>
      </c>
      <c r="T474" s="47">
        <v>0</v>
      </c>
      <c r="U474" s="47">
        <v>0</v>
      </c>
      <c r="V474" s="34">
        <v>4078500044752</v>
      </c>
      <c r="W474" s="34" t="s">
        <v>3703</v>
      </c>
      <c r="X474" s="34" t="s">
        <v>3704</v>
      </c>
      <c r="Y474" s="34" t="s">
        <v>3542</v>
      </c>
      <c r="Z474" s="34">
        <v>4</v>
      </c>
      <c r="AA474" s="34" t="s">
        <v>4333</v>
      </c>
      <c r="AB474" s="34" t="s">
        <v>4333</v>
      </c>
      <c r="AC474" s="34" t="s">
        <v>3596</v>
      </c>
      <c r="AD474" s="34" t="s">
        <v>4333</v>
      </c>
      <c r="AE474" s="34" t="s">
        <v>5185</v>
      </c>
      <c r="AF474" s="34" t="s">
        <v>4510</v>
      </c>
      <c r="AG474" s="34" t="s">
        <v>3800</v>
      </c>
      <c r="AH474" s="34" t="s">
        <v>5186</v>
      </c>
      <c r="AI474" s="34" t="s">
        <v>5185</v>
      </c>
      <c r="AJ474" s="34" t="s">
        <v>3707</v>
      </c>
      <c r="AK474" s="34" t="s">
        <v>4510</v>
      </c>
      <c r="AL474" s="34" t="s">
        <v>5021</v>
      </c>
      <c r="AM474" s="40" t="s">
        <v>9</v>
      </c>
      <c r="AP474" s="34">
        <v>0</v>
      </c>
      <c r="AQ474" s="34">
        <v>1429</v>
      </c>
      <c r="AR474" s="34">
        <v>869</v>
      </c>
      <c r="AT474" s="44">
        <v>110700</v>
      </c>
      <c r="AU474" s="44"/>
      <c r="AV474" s="46">
        <f>ROUND(Товары[[#This Row],[РРЦ финальная, руб.]]/$AU$1,2)</f>
        <v>0</v>
      </c>
      <c r="AW474" s="45" t="str">
        <f>IFERROR(Товары[[#This Row],[РРЦ, евро]]/Товары[[#This Row],[IRP, Eur]],"-")</f>
        <v>-</v>
      </c>
      <c r="AX474" s="42">
        <f>IFERROR(VLOOKUP(Товары[[#This Row],[SubGroup]],'Структура цен DIY'!$B:$C,2,FALSE),0)</f>
        <v>0.27</v>
      </c>
      <c r="AY474" s="44">
        <v>0</v>
      </c>
    </row>
    <row r="475" spans="1:51" x14ac:dyDescent="0.25">
      <c r="A475" s="34">
        <v>473</v>
      </c>
      <c r="B475" s="34" t="s">
        <v>56</v>
      </c>
      <c r="C475" s="110" t="str">
        <f>IFERROR(INDEX(Структура_ассортимента[SuperCategory],MATCH(Товары[[#This Row],[SubGroup]],Структура_ассортимента[Subgroup],0)),"")</f>
        <v>A</v>
      </c>
      <c r="D47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7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75" s="110" t="str">
        <f>IFERROR(INDEX(Структура_ассортимента[Product group],MATCH(Товары[[#This Row],[SubGroup]],Структура_ассортимента[Subgroup],0)),"")</f>
        <v>AMT_C</v>
      </c>
      <c r="G475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75" s="110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75" s="36">
        <v>9229</v>
      </c>
      <c r="J475" s="36" t="str">
        <f>IFERROR(INDEX(Структура_ассортимента[Generic Name (long)],MATCH(Товары[[#This Row],[SubGroup]],Структура_ассортимента[Subgroup],0)),"")</f>
        <v>WEEDER</v>
      </c>
      <c r="L475" s="36">
        <v>967931101</v>
      </c>
      <c r="M475" s="35" t="s">
        <v>2159</v>
      </c>
      <c r="Q475" s="34" t="s">
        <v>3652</v>
      </c>
      <c r="R475" s="34" t="s">
        <v>3540</v>
      </c>
      <c r="S475" s="47">
        <v>43466</v>
      </c>
      <c r="T475" s="47">
        <v>0</v>
      </c>
      <c r="U475" s="47">
        <v>43830</v>
      </c>
      <c r="V475" s="34">
        <v>4078500045919</v>
      </c>
      <c r="W475" s="34" t="s">
        <v>3543</v>
      </c>
      <c r="X475" s="34" t="s">
        <v>3579</v>
      </c>
      <c r="Y475" s="34" t="s">
        <v>3542</v>
      </c>
      <c r="Z475" s="34">
        <v>20</v>
      </c>
      <c r="AA475" s="34" t="s">
        <v>4333</v>
      </c>
      <c r="AB475" s="34" t="s">
        <v>4333</v>
      </c>
      <c r="AC475" s="34" t="s">
        <v>4333</v>
      </c>
      <c r="AD475" s="34" t="s">
        <v>5187</v>
      </c>
      <c r="AE475" s="34" t="s">
        <v>5185</v>
      </c>
      <c r="AF475" s="34" t="s">
        <v>4510</v>
      </c>
      <c r="AG475" s="34" t="s">
        <v>3800</v>
      </c>
      <c r="AH475" s="34" t="s">
        <v>5186</v>
      </c>
      <c r="AI475" s="34" t="s">
        <v>5185</v>
      </c>
      <c r="AJ475" s="34" t="s">
        <v>3800</v>
      </c>
      <c r="AK475" s="34" t="s">
        <v>4510</v>
      </c>
      <c r="AL475" s="34" t="s">
        <v>4514</v>
      </c>
      <c r="AM475" s="40" t="s">
        <v>8095</v>
      </c>
      <c r="AT475" s="44">
        <v>0</v>
      </c>
      <c r="AU475" s="44"/>
      <c r="AV475" s="46">
        <f>ROUND(Товары[[#This Row],[РРЦ финальная, руб.]]/$AU$1,2)</f>
        <v>0</v>
      </c>
      <c r="AW475" s="45" t="str">
        <f>IFERROR(Товары[[#This Row],[РРЦ, евро]]/Товары[[#This Row],[IRP, Eur]],"-")</f>
        <v>-</v>
      </c>
      <c r="AX475" s="42">
        <f>IFERROR(VLOOKUP(Товары[[#This Row],[SubGroup]],'Структура цен DIY'!$B:$C,2,FALSE),0)</f>
        <v>0.27</v>
      </c>
      <c r="AY475" s="44">
        <v>0</v>
      </c>
    </row>
    <row r="476" spans="1:51" x14ac:dyDescent="0.25">
      <c r="A476" s="34">
        <v>474</v>
      </c>
      <c r="B476" s="34" t="s">
        <v>56</v>
      </c>
      <c r="C476" s="110" t="str">
        <f>IFERROR(INDEX(Структура_ассортимента[SuperCategory],MATCH(Товары[[#This Row],[SubGroup]],Структура_ассортимента[Subgroup],0)),"")</f>
        <v>A</v>
      </c>
      <c r="D47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7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76" s="110" t="str">
        <f>IFERROR(INDEX(Структура_ассортимента[Product group],MATCH(Товары[[#This Row],[SubGroup]],Структура_ассортимента[Subgroup],0)),"")</f>
        <v>AMT_C</v>
      </c>
      <c r="G476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76" s="110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76" s="36">
        <v>9229</v>
      </c>
      <c r="J476" s="36" t="str">
        <f>IFERROR(INDEX(Структура_ассортимента[Generic Name (long)],MATCH(Товары[[#This Row],[SubGroup]],Структура_ассортимента[Subgroup],0)),"")</f>
        <v>WEEDER</v>
      </c>
      <c r="L476" s="36">
        <v>967914801</v>
      </c>
      <c r="M476" s="35" t="s">
        <v>2160</v>
      </c>
      <c r="O476" s="35" t="s">
        <v>5188</v>
      </c>
      <c r="P476" s="37" t="s">
        <v>5189</v>
      </c>
      <c r="Q476" s="34" t="s">
        <v>3549</v>
      </c>
      <c r="R476" s="34" t="s">
        <v>3540</v>
      </c>
      <c r="S476" s="47">
        <v>43466</v>
      </c>
      <c r="T476" s="47">
        <v>0</v>
      </c>
      <c r="U476" s="47">
        <v>0</v>
      </c>
      <c r="V476" s="34">
        <v>4078500044776</v>
      </c>
      <c r="W476" s="34" t="s">
        <v>3703</v>
      </c>
      <c r="X476" s="34" t="s">
        <v>3704</v>
      </c>
      <c r="Y476" s="34" t="s">
        <v>3542</v>
      </c>
      <c r="Z476" s="34">
        <v>4</v>
      </c>
      <c r="AA476" s="34" t="s">
        <v>4313</v>
      </c>
      <c r="AB476" s="34" t="s">
        <v>4313</v>
      </c>
      <c r="AC476" s="34" t="s">
        <v>5190</v>
      </c>
      <c r="AD476" s="34" t="s">
        <v>4313</v>
      </c>
      <c r="AE476" s="34" t="s">
        <v>5191</v>
      </c>
      <c r="AF476" s="34" t="s">
        <v>5042</v>
      </c>
      <c r="AG476" s="34" t="s">
        <v>4181</v>
      </c>
      <c r="AH476" s="34" t="s">
        <v>5192</v>
      </c>
      <c r="AI476" s="34" t="s">
        <v>5193</v>
      </c>
      <c r="AJ476" s="34" t="s">
        <v>3754</v>
      </c>
      <c r="AK476" s="34" t="s">
        <v>3722</v>
      </c>
      <c r="AL476" s="34" t="s">
        <v>5021</v>
      </c>
      <c r="AM476" s="40" t="s">
        <v>9</v>
      </c>
      <c r="AP476" s="34">
        <v>0</v>
      </c>
      <c r="AQ476" s="34">
        <v>1929</v>
      </c>
      <c r="AR476" s="34">
        <v>1173</v>
      </c>
      <c r="AT476" s="44">
        <v>149400</v>
      </c>
      <c r="AU476" s="44"/>
      <c r="AV476" s="46">
        <f>ROUND(Товары[[#This Row],[РРЦ финальная, руб.]]/$AU$1,2)</f>
        <v>0</v>
      </c>
      <c r="AW476" s="45" t="str">
        <f>IFERROR(Товары[[#This Row],[РРЦ, евро]]/Товары[[#This Row],[IRP, Eur]],"-")</f>
        <v>-</v>
      </c>
      <c r="AX476" s="42">
        <f>IFERROR(VLOOKUP(Товары[[#This Row],[SubGroup]],'Структура цен DIY'!$B:$C,2,FALSE),0)</f>
        <v>0.27</v>
      </c>
      <c r="AY476" s="44">
        <v>0</v>
      </c>
    </row>
    <row r="477" spans="1:51" x14ac:dyDescent="0.25">
      <c r="A477" s="34">
        <v>475</v>
      </c>
      <c r="B477" s="34" t="s">
        <v>56</v>
      </c>
      <c r="C477" s="110" t="str">
        <f>IFERROR(INDEX(Структура_ассортимента[SuperCategory],MATCH(Товары[[#This Row],[SubGroup]],Структура_ассортимента[Subgroup],0)),"")</f>
        <v>A</v>
      </c>
      <c r="D47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7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77" s="110" t="str">
        <f>IFERROR(INDEX(Структура_ассортимента[Product group],MATCH(Товары[[#This Row],[SubGroup]],Структура_ассортимента[Subgroup],0)),"")</f>
        <v>AMT_C</v>
      </c>
      <c r="G477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77" s="110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77" s="36">
        <v>9229</v>
      </c>
      <c r="J477" s="36" t="str">
        <f>IFERROR(INDEX(Структура_ассортимента[Generic Name (long)],MATCH(Товары[[#This Row],[SubGroup]],Структура_ассортимента[Subgroup],0)),"")</f>
        <v>WEEDER</v>
      </c>
      <c r="L477" s="36">
        <v>967914901</v>
      </c>
      <c r="M477" s="35" t="s">
        <v>2161</v>
      </c>
      <c r="O477" s="35" t="s">
        <v>5194</v>
      </c>
      <c r="P477" s="37" t="s">
        <v>5195</v>
      </c>
      <c r="Q477" s="34" t="s">
        <v>3549</v>
      </c>
      <c r="R477" s="34" t="s">
        <v>3540</v>
      </c>
      <c r="S477" s="47">
        <v>43466</v>
      </c>
      <c r="T477" s="47">
        <v>0</v>
      </c>
      <c r="U477" s="47">
        <v>0</v>
      </c>
      <c r="V477" s="34">
        <v>4078500044790</v>
      </c>
      <c r="W477" s="34" t="s">
        <v>3703</v>
      </c>
      <c r="X477" s="34" t="s">
        <v>3704</v>
      </c>
      <c r="Y477" s="34" t="s">
        <v>3542</v>
      </c>
      <c r="Z477" s="34">
        <v>4</v>
      </c>
      <c r="AA477" s="34" t="s">
        <v>5196</v>
      </c>
      <c r="AB477" s="34" t="s">
        <v>5196</v>
      </c>
      <c r="AC477" s="34" t="s">
        <v>5197</v>
      </c>
      <c r="AD477" s="34" t="s">
        <v>5196</v>
      </c>
      <c r="AE477" s="34" t="s">
        <v>5140</v>
      </c>
      <c r="AF477" s="34" t="s">
        <v>3707</v>
      </c>
      <c r="AG477" s="34" t="s">
        <v>3693</v>
      </c>
      <c r="AH477" s="34" t="s">
        <v>5198</v>
      </c>
      <c r="AI477" s="34" t="s">
        <v>5199</v>
      </c>
      <c r="AJ477" s="34" t="s">
        <v>3693</v>
      </c>
      <c r="AK477" s="34" t="s">
        <v>3707</v>
      </c>
      <c r="AL477" s="34" t="s">
        <v>5200</v>
      </c>
      <c r="AM477" s="40" t="s">
        <v>9</v>
      </c>
      <c r="AP477" s="34">
        <v>0</v>
      </c>
      <c r="AQ477" s="34">
        <v>1249</v>
      </c>
      <c r="AR477" s="34">
        <v>760</v>
      </c>
      <c r="AT477" s="44">
        <v>96700</v>
      </c>
      <c r="AU477" s="44"/>
      <c r="AV477" s="46">
        <f>ROUND(Товары[[#This Row],[РРЦ финальная, руб.]]/$AU$1,2)</f>
        <v>0</v>
      </c>
      <c r="AW477" s="45" t="str">
        <f>IFERROR(Товары[[#This Row],[РРЦ, евро]]/Товары[[#This Row],[IRP, Eur]],"-")</f>
        <v>-</v>
      </c>
      <c r="AX477" s="42">
        <f>IFERROR(VLOOKUP(Товары[[#This Row],[SubGroup]],'Структура цен DIY'!$B:$C,2,FALSE),0)</f>
        <v>0.27</v>
      </c>
      <c r="AY477" s="44">
        <v>0</v>
      </c>
    </row>
    <row r="478" spans="1:51" x14ac:dyDescent="0.25">
      <c r="A478" s="34">
        <v>476</v>
      </c>
      <c r="B478" s="34" t="s">
        <v>56</v>
      </c>
      <c r="C478" s="110" t="str">
        <f>IFERROR(INDEX(Структура_ассортимента[SuperCategory],MATCH(Товары[[#This Row],[SubGroup]],Структура_ассортимента[Subgroup],0)),"")</f>
        <v>A</v>
      </c>
      <c r="D47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7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78" s="110" t="str">
        <f>IFERROR(INDEX(Структура_ассортимента[Product group],MATCH(Товары[[#This Row],[SubGroup]],Структура_ассортимента[Subgroup],0)),"")</f>
        <v>AMT_C</v>
      </c>
      <c r="G478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78" s="110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78" s="36">
        <v>9229</v>
      </c>
      <c r="J478" s="36" t="str">
        <f>IFERROR(INDEX(Структура_ассортимента[Generic Name (long)],MATCH(Товары[[#This Row],[SubGroup]],Структура_ассортимента[Subgroup],0)),"")</f>
        <v>WEEDER</v>
      </c>
      <c r="L478" s="36">
        <v>967915001</v>
      </c>
      <c r="M478" s="35" t="s">
        <v>2162</v>
      </c>
      <c r="O478" s="35" t="s">
        <v>5201</v>
      </c>
      <c r="P478" s="37" t="s">
        <v>5202</v>
      </c>
      <c r="Q478" s="34" t="s">
        <v>3549</v>
      </c>
      <c r="R478" s="34" t="s">
        <v>3540</v>
      </c>
      <c r="S478" s="47">
        <v>43466</v>
      </c>
      <c r="T478" s="47">
        <v>0</v>
      </c>
      <c r="U478" s="47">
        <v>0</v>
      </c>
      <c r="V478" s="34">
        <v>4078500044813</v>
      </c>
      <c r="W478" s="34" t="s">
        <v>3703</v>
      </c>
      <c r="X478" s="34" t="s">
        <v>3704</v>
      </c>
      <c r="Y478" s="34" t="s">
        <v>3542</v>
      </c>
      <c r="Z478" s="34">
        <v>4</v>
      </c>
      <c r="AA478" s="34" t="s">
        <v>4215</v>
      </c>
      <c r="AB478" s="34" t="s">
        <v>4215</v>
      </c>
      <c r="AC478" s="34" t="s">
        <v>5203</v>
      </c>
      <c r="AD478" s="34" t="s">
        <v>4215</v>
      </c>
      <c r="AE478" s="34" t="s">
        <v>5204</v>
      </c>
      <c r="AF478" s="34" t="s">
        <v>4458</v>
      </c>
      <c r="AG478" s="34" t="s">
        <v>3911</v>
      </c>
      <c r="AH478" s="34" t="s">
        <v>5205</v>
      </c>
      <c r="AI478" s="34" t="s">
        <v>5206</v>
      </c>
      <c r="AJ478" s="34" t="s">
        <v>3911</v>
      </c>
      <c r="AK478" s="34" t="s">
        <v>4458</v>
      </c>
      <c r="AL478" s="34" t="s">
        <v>3758</v>
      </c>
      <c r="AM478" s="40" t="s">
        <v>9</v>
      </c>
      <c r="AP478" s="34">
        <v>0</v>
      </c>
      <c r="AQ478" s="34">
        <v>1719</v>
      </c>
      <c r="AR478" s="34">
        <v>1046</v>
      </c>
      <c r="AT478" s="44">
        <v>133100</v>
      </c>
      <c r="AU478" s="44"/>
      <c r="AV478" s="46">
        <f>ROUND(Товары[[#This Row],[РРЦ финальная, руб.]]/$AU$1,2)</f>
        <v>0</v>
      </c>
      <c r="AW478" s="45" t="str">
        <f>IFERROR(Товары[[#This Row],[РРЦ, евро]]/Товары[[#This Row],[IRP, Eur]],"-")</f>
        <v>-</v>
      </c>
      <c r="AX478" s="42">
        <f>IFERROR(VLOOKUP(Товары[[#This Row],[SubGroup]],'Структура цен DIY'!$B:$C,2,FALSE),0)</f>
        <v>0.27</v>
      </c>
      <c r="AY478" s="44">
        <v>0</v>
      </c>
    </row>
    <row r="479" spans="1:51" x14ac:dyDescent="0.25">
      <c r="A479" s="34">
        <v>477</v>
      </c>
      <c r="B479" s="34" t="s">
        <v>56</v>
      </c>
      <c r="C479" s="110" t="str">
        <f>IFERROR(INDEX(Структура_ассортимента[SuperCategory],MATCH(Товары[[#This Row],[SubGroup]],Структура_ассортимента[Subgroup],0)),"")</f>
        <v>A</v>
      </c>
      <c r="D47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7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79" s="110" t="str">
        <f>IFERROR(INDEX(Структура_ассортимента[Product group],MATCH(Товары[[#This Row],[SubGroup]],Структура_ассортимента[Subgroup],0)),"")</f>
        <v>AMT_C</v>
      </c>
      <c r="G479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79" s="110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79" s="36">
        <v>9229</v>
      </c>
      <c r="J479" s="36" t="str">
        <f>IFERROR(INDEX(Структура_ассортимента[Generic Name (long)],MATCH(Товары[[#This Row],[SubGroup]],Структура_ассортимента[Subgroup],0)),"")</f>
        <v>WEEDER</v>
      </c>
      <c r="L479" s="36">
        <v>967915101</v>
      </c>
      <c r="M479" s="35" t="s">
        <v>2163</v>
      </c>
      <c r="O479" s="35" t="s">
        <v>5207</v>
      </c>
      <c r="P479" s="37" t="s">
        <v>5208</v>
      </c>
      <c r="Q479" s="34" t="s">
        <v>3549</v>
      </c>
      <c r="R479" s="34" t="s">
        <v>3540</v>
      </c>
      <c r="S479" s="47">
        <v>43466</v>
      </c>
      <c r="T479" s="47">
        <v>0</v>
      </c>
      <c r="U479" s="47">
        <v>0</v>
      </c>
      <c r="V479" s="34">
        <v>4078500044837</v>
      </c>
      <c r="W479" s="34" t="s">
        <v>3703</v>
      </c>
      <c r="X479" s="34" t="s">
        <v>3704</v>
      </c>
      <c r="Y479" s="34" t="s">
        <v>3542</v>
      </c>
      <c r="Z479" s="34">
        <v>4</v>
      </c>
      <c r="AA479" s="34" t="s">
        <v>5209</v>
      </c>
      <c r="AB479" s="34" t="s">
        <v>5209</v>
      </c>
      <c r="AC479" s="34" t="s">
        <v>5203</v>
      </c>
      <c r="AD479" s="34" t="s">
        <v>5209</v>
      </c>
      <c r="AE479" s="34" t="s">
        <v>5210</v>
      </c>
      <c r="AF479" s="34" t="s">
        <v>4257</v>
      </c>
      <c r="AG479" s="34" t="s">
        <v>4335</v>
      </c>
      <c r="AH479" s="34" t="s">
        <v>5211</v>
      </c>
      <c r="AI479" s="34" t="s">
        <v>5210</v>
      </c>
      <c r="AJ479" s="34" t="s">
        <v>4335</v>
      </c>
      <c r="AK479" s="34" t="s">
        <v>4257</v>
      </c>
      <c r="AL479" s="34" t="s">
        <v>5212</v>
      </c>
      <c r="AM479" s="40" t="s">
        <v>9</v>
      </c>
      <c r="AP479" s="34">
        <v>0</v>
      </c>
      <c r="AQ479" s="34">
        <v>1429</v>
      </c>
      <c r="AR479" s="34">
        <v>869</v>
      </c>
      <c r="AT479" s="44">
        <v>110700</v>
      </c>
      <c r="AU479" s="44"/>
      <c r="AV479" s="46">
        <f>ROUND(Товары[[#This Row],[РРЦ финальная, руб.]]/$AU$1,2)</f>
        <v>0</v>
      </c>
      <c r="AW479" s="45" t="str">
        <f>IFERROR(Товары[[#This Row],[РРЦ, евро]]/Товары[[#This Row],[IRP, Eur]],"-")</f>
        <v>-</v>
      </c>
      <c r="AX479" s="42">
        <f>IFERROR(VLOOKUP(Товары[[#This Row],[SubGroup]],'Структура цен DIY'!$B:$C,2,FALSE),0)</f>
        <v>0.27</v>
      </c>
      <c r="AY479" s="44">
        <v>0</v>
      </c>
    </row>
    <row r="480" spans="1:51" x14ac:dyDescent="0.25">
      <c r="A480" s="34">
        <v>478</v>
      </c>
      <c r="B480" s="34" t="s">
        <v>56</v>
      </c>
      <c r="C480" s="110" t="str">
        <f>IFERROR(INDEX(Структура_ассортимента[SuperCategory],MATCH(Товары[[#This Row],[SubGroup]],Структура_ассортимента[Subgroup],0)),"")</f>
        <v>A</v>
      </c>
      <c r="D48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8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80" s="110" t="str">
        <f>IFERROR(INDEX(Структура_ассортимента[Product group],MATCH(Товары[[#This Row],[SubGroup]],Структура_ассортимента[Subgroup],0)),"")</f>
        <v>AMT_C</v>
      </c>
      <c r="G480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80" s="110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80" s="36">
        <v>9229</v>
      </c>
      <c r="J480" s="36" t="str">
        <f>IFERROR(INDEX(Структура_ассортимента[Generic Name (long)],MATCH(Товары[[#This Row],[SubGroup]],Структура_ассортимента[Subgroup],0)),"")</f>
        <v>WEEDER</v>
      </c>
      <c r="L480" s="36">
        <v>967915201</v>
      </c>
      <c r="M480" s="35" t="s">
        <v>2164</v>
      </c>
      <c r="O480" s="35" t="s">
        <v>5213</v>
      </c>
      <c r="P480" s="37" t="s">
        <v>5214</v>
      </c>
      <c r="Q480" s="34" t="s">
        <v>3549</v>
      </c>
      <c r="R480" s="34" t="s">
        <v>3540</v>
      </c>
      <c r="S480" s="47">
        <v>43466</v>
      </c>
      <c r="T480" s="47">
        <v>0</v>
      </c>
      <c r="U480" s="47">
        <v>0</v>
      </c>
      <c r="V480" s="34">
        <v>4078500044851</v>
      </c>
      <c r="W480" s="34" t="s">
        <v>3703</v>
      </c>
      <c r="X480" s="34" t="s">
        <v>3704</v>
      </c>
      <c r="Y480" s="34" t="s">
        <v>3542</v>
      </c>
      <c r="Z480" s="34">
        <v>4</v>
      </c>
      <c r="AA480" s="34" t="s">
        <v>5215</v>
      </c>
      <c r="AB480" s="34" t="s">
        <v>5215</v>
      </c>
      <c r="AC480" s="34" t="s">
        <v>3586</v>
      </c>
      <c r="AD480" s="34" t="s">
        <v>5215</v>
      </c>
      <c r="AE480" s="34" t="s">
        <v>5140</v>
      </c>
      <c r="AF480" s="34" t="s">
        <v>4014</v>
      </c>
      <c r="AG480" s="34" t="s">
        <v>3560</v>
      </c>
      <c r="AH480" s="34" t="s">
        <v>5216</v>
      </c>
      <c r="AI480" s="34" t="s">
        <v>5217</v>
      </c>
      <c r="AJ480" s="34" t="s">
        <v>3566</v>
      </c>
      <c r="AK480" s="34" t="s">
        <v>4582</v>
      </c>
      <c r="AL480" s="34" t="s">
        <v>3569</v>
      </c>
      <c r="AM480" s="40" t="s">
        <v>9</v>
      </c>
      <c r="AP480" s="34">
        <v>0</v>
      </c>
      <c r="AQ480" s="34">
        <v>1790</v>
      </c>
      <c r="AR480" s="34">
        <v>1089</v>
      </c>
      <c r="AT480" s="44">
        <v>138600</v>
      </c>
      <c r="AU480" s="44"/>
      <c r="AV480" s="46">
        <f>ROUND(Товары[[#This Row],[РРЦ финальная, руб.]]/$AU$1,2)</f>
        <v>0</v>
      </c>
      <c r="AW480" s="45" t="str">
        <f>IFERROR(Товары[[#This Row],[РРЦ, евро]]/Товары[[#This Row],[IRP, Eur]],"-")</f>
        <v>-</v>
      </c>
      <c r="AX480" s="42">
        <f>IFERROR(VLOOKUP(Товары[[#This Row],[SubGroup]],'Структура цен DIY'!$B:$C,2,FALSE),0)</f>
        <v>0.27</v>
      </c>
      <c r="AY480" s="44">
        <v>0</v>
      </c>
    </row>
    <row r="481" spans="1:51" x14ac:dyDescent="0.25">
      <c r="A481" s="34">
        <v>479</v>
      </c>
      <c r="B481" s="34" t="s">
        <v>56</v>
      </c>
      <c r="C481" s="110" t="str">
        <f>IFERROR(INDEX(Структура_ассортимента[SuperCategory],MATCH(Товары[[#This Row],[SubGroup]],Структура_ассортимента[Subgroup],0)),"")</f>
        <v>A</v>
      </c>
      <c r="D48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8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81" s="110" t="str">
        <f>IFERROR(INDEX(Структура_ассортимента[Product group],MATCH(Товары[[#This Row],[SubGroup]],Структура_ассортимента[Subgroup],0)),"")</f>
        <v>AMT_C</v>
      </c>
      <c r="G481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81" s="110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81" s="36">
        <v>9229</v>
      </c>
      <c r="J481" s="36" t="str">
        <f>IFERROR(INDEX(Структура_ассортимента[Generic Name (long)],MATCH(Товары[[#This Row],[SubGroup]],Структура_ассортимента[Subgroup],0)),"")</f>
        <v>WEEDER</v>
      </c>
      <c r="L481" s="36">
        <v>967931201</v>
      </c>
      <c r="M481" s="35" t="s">
        <v>2165</v>
      </c>
      <c r="Q481" s="34" t="s">
        <v>3652</v>
      </c>
      <c r="R481" s="34" t="s">
        <v>3540</v>
      </c>
      <c r="S481" s="47">
        <v>43466</v>
      </c>
      <c r="T481" s="47">
        <v>0</v>
      </c>
      <c r="U481" s="47">
        <v>43830</v>
      </c>
      <c r="V481" s="34">
        <v>4078500045933</v>
      </c>
      <c r="W481" s="34" t="s">
        <v>3543</v>
      </c>
      <c r="X481" s="34" t="s">
        <v>3579</v>
      </c>
      <c r="Y481" s="34" t="s">
        <v>3542</v>
      </c>
      <c r="Z481" s="34">
        <v>20</v>
      </c>
      <c r="AA481" s="34" t="s">
        <v>5215</v>
      </c>
      <c r="AB481" s="34" t="s">
        <v>5215</v>
      </c>
      <c r="AC481" s="34" t="s">
        <v>5215</v>
      </c>
      <c r="AD481" s="34" t="s">
        <v>5218</v>
      </c>
      <c r="AE481" s="34" t="s">
        <v>5140</v>
      </c>
      <c r="AF481" s="34" t="s">
        <v>4014</v>
      </c>
      <c r="AG481" s="34" t="s">
        <v>3560</v>
      </c>
      <c r="AH481" s="34" t="s">
        <v>5219</v>
      </c>
      <c r="AI481" s="34" t="s">
        <v>5140</v>
      </c>
      <c r="AJ481" s="34" t="s">
        <v>3560</v>
      </c>
      <c r="AK481" s="34" t="s">
        <v>4014</v>
      </c>
      <c r="AL481" s="34" t="s">
        <v>4514</v>
      </c>
      <c r="AM481" s="40" t="s">
        <v>8095</v>
      </c>
      <c r="AT481" s="44">
        <v>0</v>
      </c>
      <c r="AU481" s="44"/>
      <c r="AV481" s="46">
        <f>ROUND(Товары[[#This Row],[РРЦ финальная, руб.]]/$AU$1,2)</f>
        <v>0</v>
      </c>
      <c r="AW481" s="45" t="str">
        <f>IFERROR(Товары[[#This Row],[РРЦ, евро]]/Товары[[#This Row],[IRP, Eur]],"-")</f>
        <v>-</v>
      </c>
      <c r="AX481" s="42">
        <f>IFERROR(VLOOKUP(Товары[[#This Row],[SubGroup]],'Структура цен DIY'!$B:$C,2,FALSE),0)</f>
        <v>0.27</v>
      </c>
      <c r="AY481" s="44">
        <v>0</v>
      </c>
    </row>
    <row r="482" spans="1:51" x14ac:dyDescent="0.25">
      <c r="A482" s="34">
        <v>480</v>
      </c>
      <c r="B482" s="34" t="s">
        <v>56</v>
      </c>
      <c r="C482" s="110" t="str">
        <f>IFERROR(INDEX(Структура_ассортимента[SuperCategory],MATCH(Товары[[#This Row],[SubGroup]],Структура_ассортимента[Subgroup],0)),"")</f>
        <v>A</v>
      </c>
      <c r="D48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8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82" s="110" t="str">
        <f>IFERROR(INDEX(Структура_ассортимента[Product group],MATCH(Товары[[#This Row],[SubGroup]],Структура_ассортимента[Subgroup],0)),"")</f>
        <v>AMT_C</v>
      </c>
      <c r="G482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82" s="110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82" s="36">
        <v>9229</v>
      </c>
      <c r="J482" s="36" t="str">
        <f>IFERROR(INDEX(Структура_ассортимента[Generic Name (long)],MATCH(Товары[[#This Row],[SubGroup]],Структура_ассортимента[Subgroup],0)),"")</f>
        <v>WEEDER</v>
      </c>
      <c r="L482" s="36">
        <v>967915301</v>
      </c>
      <c r="M482" s="35" t="s">
        <v>2166</v>
      </c>
      <c r="O482" s="35" t="s">
        <v>5220</v>
      </c>
      <c r="P482" s="37" t="s">
        <v>5221</v>
      </c>
      <c r="Q482" s="34" t="s">
        <v>3549</v>
      </c>
      <c r="R482" s="34" t="s">
        <v>3540</v>
      </c>
      <c r="S482" s="47">
        <v>43466</v>
      </c>
      <c r="T482" s="47">
        <v>0</v>
      </c>
      <c r="U482" s="47">
        <v>0</v>
      </c>
      <c r="V482" s="34">
        <v>4078500044875</v>
      </c>
      <c r="W482" s="34" t="s">
        <v>3703</v>
      </c>
      <c r="X482" s="34" t="s">
        <v>3704</v>
      </c>
      <c r="Y482" s="34" t="s">
        <v>3542</v>
      </c>
      <c r="Z482" s="34">
        <v>4</v>
      </c>
      <c r="AA482" s="34" t="s">
        <v>5222</v>
      </c>
      <c r="AB482" s="34" t="s">
        <v>5222</v>
      </c>
      <c r="AC482" s="34" t="s">
        <v>5223</v>
      </c>
      <c r="AD482" s="34" t="s">
        <v>4708</v>
      </c>
      <c r="AE482" s="34" t="s">
        <v>5224</v>
      </c>
      <c r="AF482" s="34" t="s">
        <v>3911</v>
      </c>
      <c r="AG482" s="34" t="s">
        <v>4181</v>
      </c>
      <c r="AH482" s="34" t="s">
        <v>5225</v>
      </c>
      <c r="AI482" s="34" t="s">
        <v>5226</v>
      </c>
      <c r="AJ482" s="34" t="s">
        <v>4181</v>
      </c>
      <c r="AK482" s="34" t="s">
        <v>3911</v>
      </c>
      <c r="AL482" s="34" t="s">
        <v>5227</v>
      </c>
      <c r="AM482" s="40" t="s">
        <v>9</v>
      </c>
      <c r="AP482" s="34">
        <v>0</v>
      </c>
      <c r="AQ482" s="34">
        <v>1429</v>
      </c>
      <c r="AR482" s="34">
        <v>869</v>
      </c>
      <c r="AT482" s="44">
        <v>110700</v>
      </c>
      <c r="AU482" s="44"/>
      <c r="AV482" s="46">
        <f>ROUND(Товары[[#This Row],[РРЦ финальная, руб.]]/$AU$1,2)</f>
        <v>0</v>
      </c>
      <c r="AW482" s="45" t="str">
        <f>IFERROR(Товары[[#This Row],[РРЦ, евро]]/Товары[[#This Row],[IRP, Eur]],"-")</f>
        <v>-</v>
      </c>
      <c r="AX482" s="42">
        <f>IFERROR(VLOOKUP(Товары[[#This Row],[SubGroup]],'Структура цен DIY'!$B:$C,2,FALSE),0)</f>
        <v>0.27</v>
      </c>
      <c r="AY482" s="44">
        <v>0</v>
      </c>
    </row>
    <row r="483" spans="1:51" x14ac:dyDescent="0.25">
      <c r="A483" s="34">
        <v>481</v>
      </c>
      <c r="B483" s="34" t="s">
        <v>56</v>
      </c>
      <c r="C483" s="110" t="str">
        <f>IFERROR(INDEX(Структура_ассортимента[SuperCategory],MATCH(Товары[[#This Row],[SubGroup]],Структура_ассортимента[Subgroup],0)),"")</f>
        <v>A</v>
      </c>
      <c r="D48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8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83" s="110" t="str">
        <f>IFERROR(INDEX(Структура_ассортимента[Product group],MATCH(Товары[[#This Row],[SubGroup]],Структура_ассортимента[Subgroup],0)),"")</f>
        <v>AMT_C</v>
      </c>
      <c r="G483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83" s="110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83" s="36">
        <v>9229</v>
      </c>
      <c r="J483" s="36" t="str">
        <f>IFERROR(INDEX(Структура_ассортимента[Generic Name (long)],MATCH(Товары[[#This Row],[SubGroup]],Структура_ассортимента[Subgroup],0)),"")</f>
        <v>WEEDER</v>
      </c>
      <c r="L483" s="36">
        <v>967914501</v>
      </c>
      <c r="M483" s="35" t="s">
        <v>2167</v>
      </c>
      <c r="O483" s="35" t="s">
        <v>5228</v>
      </c>
      <c r="P483" s="37" t="s">
        <v>5229</v>
      </c>
      <c r="Q483" s="34" t="s">
        <v>3549</v>
      </c>
      <c r="R483" s="34" t="s">
        <v>3540</v>
      </c>
      <c r="S483" s="47">
        <v>43466</v>
      </c>
      <c r="T483" s="47">
        <v>0</v>
      </c>
      <c r="U483" s="47">
        <v>0</v>
      </c>
      <c r="V483" s="34">
        <v>4078500044899</v>
      </c>
      <c r="W483" s="34" t="s">
        <v>3703</v>
      </c>
      <c r="X483" s="34" t="s">
        <v>3704</v>
      </c>
      <c r="Y483" s="34" t="s">
        <v>3542</v>
      </c>
      <c r="Z483" s="34">
        <v>4</v>
      </c>
      <c r="AA483" s="34" t="s">
        <v>5230</v>
      </c>
      <c r="AB483" s="34" t="s">
        <v>5230</v>
      </c>
      <c r="AC483" s="34" t="s">
        <v>3864</v>
      </c>
      <c r="AD483" s="34" t="s">
        <v>5230</v>
      </c>
      <c r="AE483" s="34" t="s">
        <v>5231</v>
      </c>
      <c r="AF483" s="34" t="s">
        <v>3931</v>
      </c>
      <c r="AG483" s="34" t="s">
        <v>3931</v>
      </c>
      <c r="AH483" s="34" t="s">
        <v>5232</v>
      </c>
      <c r="AI483" s="34" t="s">
        <v>5231</v>
      </c>
      <c r="AJ483" s="34" t="s">
        <v>4231</v>
      </c>
      <c r="AK483" s="34" t="s">
        <v>4231</v>
      </c>
      <c r="AL483" s="34" t="s">
        <v>5233</v>
      </c>
      <c r="AM483" s="40" t="s">
        <v>9</v>
      </c>
      <c r="AP483" s="34">
        <v>0</v>
      </c>
      <c r="AQ483" s="34">
        <v>1190</v>
      </c>
      <c r="AR483" s="34">
        <v>734</v>
      </c>
      <c r="AT483" s="44">
        <v>92200</v>
      </c>
      <c r="AU483" s="44"/>
      <c r="AV483" s="46">
        <f>ROUND(Товары[[#This Row],[РРЦ финальная, руб.]]/$AU$1,2)</f>
        <v>0</v>
      </c>
      <c r="AW483" s="45" t="str">
        <f>IFERROR(Товары[[#This Row],[РРЦ, евро]]/Товары[[#This Row],[IRP, Eur]],"-")</f>
        <v>-</v>
      </c>
      <c r="AX483" s="42">
        <f>IFERROR(VLOOKUP(Товары[[#This Row],[SubGroup]],'Структура цен DIY'!$B:$C,2,FALSE),0)</f>
        <v>0.27</v>
      </c>
      <c r="AY483" s="44">
        <v>0</v>
      </c>
    </row>
    <row r="484" spans="1:51" x14ac:dyDescent="0.25">
      <c r="A484" s="34">
        <v>482</v>
      </c>
      <c r="B484" s="34" t="s">
        <v>56</v>
      </c>
      <c r="C484" s="110" t="str">
        <f>IFERROR(INDEX(Структура_ассортимента[SuperCategory],MATCH(Товары[[#This Row],[SubGroup]],Структура_ассортимента[Subgroup],0)),"")</f>
        <v>A</v>
      </c>
      <c r="D48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8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84" s="110" t="str">
        <f>IFERROR(INDEX(Структура_ассортимента[Product group],MATCH(Товары[[#This Row],[SubGroup]],Структура_ассортимента[Subgroup],0)),"")</f>
        <v>AMT_C</v>
      </c>
      <c r="G484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84" s="110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84" s="36">
        <v>9229</v>
      </c>
      <c r="J484" s="36" t="str">
        <f>IFERROR(INDEX(Структура_ассортимента[Generic Name (long)],MATCH(Товары[[#This Row],[SubGroup]],Структура_ассортимента[Subgroup],0)),"")</f>
        <v>WEEDER</v>
      </c>
      <c r="L484" s="36">
        <v>967931301</v>
      </c>
      <c r="M484" s="35" t="s">
        <v>2168</v>
      </c>
      <c r="Q484" s="34" t="s">
        <v>3652</v>
      </c>
      <c r="R484" s="34" t="s">
        <v>3540</v>
      </c>
      <c r="S484" s="47">
        <v>43466</v>
      </c>
      <c r="T484" s="47">
        <v>0</v>
      </c>
      <c r="U484" s="47">
        <v>43830</v>
      </c>
      <c r="V484" s="34">
        <v>4078500045841</v>
      </c>
      <c r="W484" s="34" t="s">
        <v>3543</v>
      </c>
      <c r="X484" s="34" t="s">
        <v>3579</v>
      </c>
      <c r="Y484" s="34" t="s">
        <v>3542</v>
      </c>
      <c r="Z484" s="34">
        <v>1</v>
      </c>
      <c r="AB484" s="34" t="s">
        <v>5234</v>
      </c>
      <c r="AD484" s="34" t="s">
        <v>5235</v>
      </c>
      <c r="AE484" s="34" t="s">
        <v>5236</v>
      </c>
      <c r="AF484" s="34" t="s">
        <v>5237</v>
      </c>
      <c r="AG484" s="34" t="s">
        <v>4450</v>
      </c>
      <c r="AH484" s="34" t="s">
        <v>5238</v>
      </c>
      <c r="AL484" s="34" t="s">
        <v>5239</v>
      </c>
      <c r="AM484" s="40" t="s">
        <v>8095</v>
      </c>
      <c r="AT484" s="44">
        <v>0</v>
      </c>
      <c r="AU484" s="44"/>
      <c r="AV484" s="46">
        <f>ROUND(Товары[[#This Row],[РРЦ финальная, руб.]]/$AU$1,2)</f>
        <v>0</v>
      </c>
      <c r="AW484" s="45" t="str">
        <f>IFERROR(Товары[[#This Row],[РРЦ, евро]]/Товары[[#This Row],[IRP, Eur]],"-")</f>
        <v>-</v>
      </c>
      <c r="AX484" s="42">
        <f>IFERROR(VLOOKUP(Товары[[#This Row],[SubGroup]],'Структура цен DIY'!$B:$C,2,FALSE),0)</f>
        <v>0.27</v>
      </c>
      <c r="AY484" s="44">
        <v>0</v>
      </c>
    </row>
    <row r="485" spans="1:51" x14ac:dyDescent="0.25">
      <c r="A485" s="34">
        <v>483</v>
      </c>
      <c r="B485" s="34" t="s">
        <v>56</v>
      </c>
      <c r="C485" s="110" t="str">
        <f>IFERROR(INDEX(Структура_ассортимента[SuperCategory],MATCH(Товары[[#This Row],[SubGroup]],Структура_ассортимента[Subgroup],0)),"")</f>
        <v>A</v>
      </c>
      <c r="D48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8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85" s="110" t="str">
        <f>IFERROR(INDEX(Структура_ассортимента[Product group],MATCH(Товары[[#This Row],[SubGroup]],Структура_ассортимента[Subgroup],0)),"")</f>
        <v>AMT_C</v>
      </c>
      <c r="G485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85" s="110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85" s="36">
        <v>9229</v>
      </c>
      <c r="J485" s="36" t="str">
        <f>IFERROR(INDEX(Структура_ассортимента[Generic Name (long)],MATCH(Товары[[#This Row],[SubGroup]],Структура_ассортимента[Subgroup],0)),"")</f>
        <v>WEEDER</v>
      </c>
      <c r="L485" s="36">
        <v>967931401</v>
      </c>
      <c r="M485" s="35" t="s">
        <v>2169</v>
      </c>
      <c r="Q485" s="34" t="s">
        <v>3652</v>
      </c>
      <c r="R485" s="34" t="s">
        <v>3540</v>
      </c>
      <c r="S485" s="47">
        <v>43466</v>
      </c>
      <c r="T485" s="47">
        <v>0</v>
      </c>
      <c r="U485" s="47">
        <v>43830</v>
      </c>
      <c r="V485" s="34">
        <v>4078500045858</v>
      </c>
      <c r="W485" s="34" t="s">
        <v>3543</v>
      </c>
      <c r="X485" s="34" t="s">
        <v>3579</v>
      </c>
      <c r="Y485" s="34" t="s">
        <v>3542</v>
      </c>
      <c r="Z485" s="34">
        <v>1</v>
      </c>
      <c r="AB485" s="34" t="s">
        <v>5240</v>
      </c>
      <c r="AD485" s="34" t="s">
        <v>5241</v>
      </c>
      <c r="AE485" s="34" t="s">
        <v>5236</v>
      </c>
      <c r="AF485" s="34" t="s">
        <v>5237</v>
      </c>
      <c r="AG485" s="34" t="s">
        <v>4450</v>
      </c>
      <c r="AH485" s="34" t="s">
        <v>5238</v>
      </c>
      <c r="AL485" s="34" t="s">
        <v>5239</v>
      </c>
      <c r="AM485" s="40" t="s">
        <v>8095</v>
      </c>
      <c r="AT485" s="44">
        <v>0</v>
      </c>
      <c r="AU485" s="44"/>
      <c r="AV485" s="46">
        <f>ROUND(Товары[[#This Row],[РРЦ финальная, руб.]]/$AU$1,2)</f>
        <v>0</v>
      </c>
      <c r="AW485" s="45" t="str">
        <f>IFERROR(Товары[[#This Row],[РРЦ, евро]]/Товары[[#This Row],[IRP, Eur]],"-")</f>
        <v>-</v>
      </c>
      <c r="AX485" s="42">
        <f>IFERROR(VLOOKUP(Товары[[#This Row],[SubGroup]],'Структура цен DIY'!$B:$C,2,FALSE),0)</f>
        <v>0.27</v>
      </c>
      <c r="AY485" s="44">
        <v>0</v>
      </c>
    </row>
    <row r="486" spans="1:51" x14ac:dyDescent="0.25">
      <c r="A486" s="34">
        <v>484</v>
      </c>
      <c r="B486" s="34" t="s">
        <v>56</v>
      </c>
      <c r="C486" s="110" t="str">
        <f>IFERROR(INDEX(Структура_ассортимента[SuperCategory],MATCH(Товары[[#This Row],[SubGroup]],Структура_ассортимента[Subgroup],0)),"")</f>
        <v>A</v>
      </c>
      <c r="D48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8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86" s="110" t="str">
        <f>IFERROR(INDEX(Структура_ассортимента[Product group],MATCH(Товары[[#This Row],[SubGroup]],Структура_ассортимента[Subgroup],0)),"")</f>
        <v>AMT_C</v>
      </c>
      <c r="G486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86" s="110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86" s="36">
        <v>9229</v>
      </c>
      <c r="J486" s="36" t="str">
        <f>IFERROR(INDEX(Структура_ассортимента[Generic Name (long)],MATCH(Товары[[#This Row],[SubGroup]],Структура_ассортимента[Subgroup],0)),"")</f>
        <v>WEEDER</v>
      </c>
      <c r="L486" s="36">
        <v>967931501</v>
      </c>
      <c r="M486" s="35" t="s">
        <v>2170</v>
      </c>
      <c r="Q486" s="34" t="s">
        <v>3652</v>
      </c>
      <c r="R486" s="34" t="s">
        <v>3540</v>
      </c>
      <c r="S486" s="47">
        <v>43466</v>
      </c>
      <c r="T486" s="47">
        <v>0</v>
      </c>
      <c r="U486" s="47">
        <v>43830</v>
      </c>
      <c r="V486" s="34">
        <v>4078500045865</v>
      </c>
      <c r="W486" s="34" t="s">
        <v>3543</v>
      </c>
      <c r="X486" s="34" t="s">
        <v>3579</v>
      </c>
      <c r="Y486" s="34" t="s">
        <v>3542</v>
      </c>
      <c r="Z486" s="34">
        <v>1</v>
      </c>
      <c r="AB486" s="34" t="s">
        <v>5242</v>
      </c>
      <c r="AD486" s="34" t="s">
        <v>5243</v>
      </c>
      <c r="AE486" s="34" t="s">
        <v>5236</v>
      </c>
      <c r="AF486" s="34" t="s">
        <v>4859</v>
      </c>
      <c r="AG486" s="34" t="s">
        <v>5244</v>
      </c>
      <c r="AH486" s="34" t="s">
        <v>5245</v>
      </c>
      <c r="AL486" s="34" t="s">
        <v>5239</v>
      </c>
      <c r="AM486" s="40" t="s">
        <v>8095</v>
      </c>
      <c r="AT486" s="44">
        <v>0</v>
      </c>
      <c r="AU486" s="44"/>
      <c r="AV486" s="46">
        <f>ROUND(Товары[[#This Row],[РРЦ финальная, руб.]]/$AU$1,2)</f>
        <v>0</v>
      </c>
      <c r="AW486" s="45" t="str">
        <f>IFERROR(Товары[[#This Row],[РРЦ, евро]]/Товары[[#This Row],[IRP, Eur]],"-")</f>
        <v>-</v>
      </c>
      <c r="AX486" s="42">
        <f>IFERROR(VLOOKUP(Товары[[#This Row],[SubGroup]],'Структура цен DIY'!$B:$C,2,FALSE),0)</f>
        <v>0.27</v>
      </c>
      <c r="AY486" s="44">
        <v>0</v>
      </c>
    </row>
    <row r="487" spans="1:51" x14ac:dyDescent="0.25">
      <c r="A487" s="34">
        <v>485</v>
      </c>
      <c r="B487" s="34" t="s">
        <v>56</v>
      </c>
      <c r="C487" s="110" t="str">
        <f>IFERROR(INDEX(Структура_ассортимента[SuperCategory],MATCH(Товары[[#This Row],[SubGroup]],Структура_ассортимента[Subgroup],0)),"")</f>
        <v>A</v>
      </c>
      <c r="D48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8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87" s="110" t="str">
        <f>IFERROR(INDEX(Структура_ассортимента[Product group],MATCH(Товары[[#This Row],[SubGroup]],Структура_ассортимента[Subgroup],0)),"")</f>
        <v>AMT_C</v>
      </c>
      <c r="G487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87" s="110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87" s="36">
        <v>9229</v>
      </c>
      <c r="J487" s="36" t="str">
        <f>IFERROR(INDEX(Структура_ассортимента[Generic Name (long)],MATCH(Товары[[#This Row],[SubGroup]],Структура_ассортимента[Subgroup],0)),"")</f>
        <v>WEEDER</v>
      </c>
      <c r="L487" s="36">
        <v>967931601</v>
      </c>
      <c r="M487" s="35" t="s">
        <v>2171</v>
      </c>
      <c r="Q487" s="34" t="s">
        <v>3652</v>
      </c>
      <c r="R487" s="34" t="s">
        <v>3540</v>
      </c>
      <c r="S487" s="47">
        <v>43466</v>
      </c>
      <c r="T487" s="47">
        <v>0</v>
      </c>
      <c r="U487" s="47">
        <v>43830</v>
      </c>
      <c r="V487" s="34">
        <v>4078500045872</v>
      </c>
      <c r="W487" s="34" t="s">
        <v>3543</v>
      </c>
      <c r="X487" s="34" t="s">
        <v>3579</v>
      </c>
      <c r="Y487" s="34" t="s">
        <v>3542</v>
      </c>
      <c r="Z487" s="34">
        <v>1</v>
      </c>
      <c r="AB487" s="34" t="s">
        <v>5246</v>
      </c>
      <c r="AD487" s="34" t="s">
        <v>5247</v>
      </c>
      <c r="AE487" s="34" t="s">
        <v>5236</v>
      </c>
      <c r="AF487" s="34" t="s">
        <v>5237</v>
      </c>
      <c r="AG487" s="34" t="s">
        <v>5244</v>
      </c>
      <c r="AH487" s="34" t="s">
        <v>5248</v>
      </c>
      <c r="AL487" s="34" t="s">
        <v>5239</v>
      </c>
      <c r="AM487" s="40" t="s">
        <v>8095</v>
      </c>
      <c r="AT487" s="44">
        <v>0</v>
      </c>
      <c r="AU487" s="44"/>
      <c r="AV487" s="46">
        <f>ROUND(Товары[[#This Row],[РРЦ финальная, руб.]]/$AU$1,2)</f>
        <v>0</v>
      </c>
      <c r="AW487" s="45" t="str">
        <f>IFERROR(Товары[[#This Row],[РРЦ, евро]]/Товары[[#This Row],[IRP, Eur]],"-")</f>
        <v>-</v>
      </c>
      <c r="AX487" s="42">
        <f>IFERROR(VLOOKUP(Товары[[#This Row],[SubGroup]],'Структура цен DIY'!$B:$C,2,FALSE),0)</f>
        <v>0.27</v>
      </c>
      <c r="AY487" s="44">
        <v>0</v>
      </c>
    </row>
    <row r="488" spans="1:51" x14ac:dyDescent="0.25">
      <c r="A488" s="34">
        <v>486</v>
      </c>
      <c r="B488" s="34" t="s">
        <v>56</v>
      </c>
      <c r="C488" s="110" t="str">
        <f>IFERROR(INDEX(Структура_ассортимента[SuperCategory],MATCH(Товары[[#This Row],[SubGroup]],Структура_ассортимента[Subgroup],0)),"")</f>
        <v>A</v>
      </c>
      <c r="D48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8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88" s="110" t="str">
        <f>IFERROR(INDEX(Структура_ассортимента[Product group],MATCH(Товары[[#This Row],[SubGroup]],Структура_ассортимента[Subgroup],0)),"")</f>
        <v>AMT_C</v>
      </c>
      <c r="G488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88" s="110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88" s="36">
        <v>9229</v>
      </c>
      <c r="J488" s="36" t="str">
        <f>IFERROR(INDEX(Структура_ассортимента[Generic Name (long)],MATCH(Товары[[#This Row],[SubGroup]],Структура_ассортимента[Subgroup],0)),"")</f>
        <v>WEEDER</v>
      </c>
      <c r="L488" s="36">
        <v>967931701</v>
      </c>
      <c r="M488" s="35" t="s">
        <v>2172</v>
      </c>
      <c r="Q488" s="34" t="s">
        <v>3652</v>
      </c>
      <c r="R488" s="34" t="s">
        <v>3540</v>
      </c>
      <c r="S488" s="47">
        <v>43466</v>
      </c>
      <c r="T488" s="47">
        <v>0</v>
      </c>
      <c r="U488" s="47">
        <v>43830</v>
      </c>
      <c r="V488" s="34">
        <v>4078500045889</v>
      </c>
      <c r="W488" s="34" t="s">
        <v>3543</v>
      </c>
      <c r="X488" s="34" t="s">
        <v>3579</v>
      </c>
      <c r="Y488" s="34" t="s">
        <v>3542</v>
      </c>
      <c r="Z488" s="34">
        <v>1</v>
      </c>
      <c r="AB488" s="34" t="s">
        <v>5249</v>
      </c>
      <c r="AD488" s="34" t="s">
        <v>5250</v>
      </c>
      <c r="AE488" s="34" t="s">
        <v>5236</v>
      </c>
      <c r="AF488" s="34" t="s">
        <v>5237</v>
      </c>
      <c r="AG488" s="34" t="s">
        <v>5244</v>
      </c>
      <c r="AH488" s="34" t="s">
        <v>5248</v>
      </c>
      <c r="AL488" s="34" t="s">
        <v>5239</v>
      </c>
      <c r="AM488" s="40" t="s">
        <v>8095</v>
      </c>
      <c r="AT488" s="44">
        <v>0</v>
      </c>
      <c r="AU488" s="44"/>
      <c r="AV488" s="46">
        <f>ROUND(Товары[[#This Row],[РРЦ финальная, руб.]]/$AU$1,2)</f>
        <v>0</v>
      </c>
      <c r="AW488" s="45" t="str">
        <f>IFERROR(Товары[[#This Row],[РРЦ, евро]]/Товары[[#This Row],[IRP, Eur]],"-")</f>
        <v>-</v>
      </c>
      <c r="AX488" s="42">
        <f>IFERROR(VLOOKUP(Товары[[#This Row],[SubGroup]],'Структура цен DIY'!$B:$C,2,FALSE),0)</f>
        <v>0.27</v>
      </c>
      <c r="AY488" s="44">
        <v>0</v>
      </c>
    </row>
    <row r="489" spans="1:51" x14ac:dyDescent="0.25">
      <c r="A489" s="34">
        <v>487</v>
      </c>
      <c r="B489" s="34" t="s">
        <v>56</v>
      </c>
      <c r="C489" s="110" t="str">
        <f>IFERROR(INDEX(Структура_ассортимента[SuperCategory],MATCH(Товары[[#This Row],[SubGroup]],Структура_ассортимента[Subgroup],0)),"")</f>
        <v>A</v>
      </c>
      <c r="D48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8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89" s="110" t="str">
        <f>IFERROR(INDEX(Структура_ассортимента[Product group],MATCH(Товары[[#This Row],[SubGroup]],Структура_ассортимента[Subgroup],0)),"")</f>
        <v>AMT_C</v>
      </c>
      <c r="G489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89" s="110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89" s="36">
        <v>9229</v>
      </c>
      <c r="J489" s="36" t="str">
        <f>IFERROR(INDEX(Структура_ассортимента[Generic Name (long)],MATCH(Товары[[#This Row],[SubGroup]],Структура_ассортимента[Subgroup],0)),"")</f>
        <v>WEEDER</v>
      </c>
      <c r="L489" s="36">
        <v>967954601</v>
      </c>
      <c r="M489" s="35" t="s">
        <v>2173</v>
      </c>
      <c r="Q489" s="34" t="s">
        <v>3549</v>
      </c>
      <c r="R489" s="34" t="s">
        <v>3540</v>
      </c>
      <c r="S489" s="47">
        <v>43466</v>
      </c>
      <c r="T489" s="47">
        <v>0</v>
      </c>
      <c r="U489" s="47">
        <v>0</v>
      </c>
      <c r="V489" s="34">
        <v>4078500047081</v>
      </c>
      <c r="W489" s="34" t="s">
        <v>3546</v>
      </c>
      <c r="X489" s="34" t="s">
        <v>4868</v>
      </c>
      <c r="Y489" s="34" t="s">
        <v>3542</v>
      </c>
      <c r="Z489" s="34">
        <v>5</v>
      </c>
      <c r="AB489" s="34" t="s">
        <v>5251</v>
      </c>
      <c r="AD489" s="34" t="s">
        <v>5251</v>
      </c>
      <c r="AE489" s="34" t="s">
        <v>5252</v>
      </c>
      <c r="AF489" s="34" t="s">
        <v>4913</v>
      </c>
      <c r="AG489" s="34" t="s">
        <v>3656</v>
      </c>
      <c r="AH489" s="34" t="s">
        <v>5253</v>
      </c>
      <c r="AJ489" s="34" t="s">
        <v>5252</v>
      </c>
      <c r="AK489" s="34" t="s">
        <v>4913</v>
      </c>
      <c r="AL489" s="34" t="s">
        <v>5254</v>
      </c>
      <c r="AM489" s="40" t="s">
        <v>8095</v>
      </c>
      <c r="AT489" s="44">
        <v>0</v>
      </c>
      <c r="AU489" s="44"/>
      <c r="AV489" s="46">
        <f>ROUND(Товары[[#This Row],[РРЦ финальная, руб.]]/$AU$1,2)</f>
        <v>0</v>
      </c>
      <c r="AW489" s="45" t="str">
        <f>IFERROR(Товары[[#This Row],[РРЦ, евро]]/Товары[[#This Row],[IRP, Eur]],"-")</f>
        <v>-</v>
      </c>
      <c r="AX489" s="42">
        <f>IFERROR(VLOOKUP(Товары[[#This Row],[SubGroup]],'Структура цен DIY'!$B:$C,2,FALSE),0)</f>
        <v>0.27</v>
      </c>
      <c r="AY489" s="44">
        <v>0</v>
      </c>
    </row>
    <row r="490" spans="1:51" x14ac:dyDescent="0.25">
      <c r="A490" s="34">
        <v>488</v>
      </c>
      <c r="B490" s="34" t="s">
        <v>56</v>
      </c>
      <c r="C490" s="110" t="str">
        <f>IFERROR(INDEX(Структура_ассортимента[SuperCategory],MATCH(Товары[[#This Row],[SubGroup]],Структура_ассортимента[Subgroup],0)),"")</f>
        <v>A</v>
      </c>
      <c r="D49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9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90" s="110" t="str">
        <f>IFERROR(INDEX(Структура_ассортимента[Product group],MATCH(Товары[[#This Row],[SubGroup]],Структура_ассортимента[Subgroup],0)),"")</f>
        <v>AMT_C</v>
      </c>
      <c r="G490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90" s="110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90" s="36">
        <v>9229</v>
      </c>
      <c r="J490" s="36" t="str">
        <f>IFERROR(INDEX(Структура_ассортимента[Generic Name (long)],MATCH(Товары[[#This Row],[SubGroup]],Структура_ассортимента[Subgroup],0)),"")</f>
        <v>WEEDER</v>
      </c>
      <c r="L490" s="36">
        <v>967954701</v>
      </c>
      <c r="M490" s="35" t="s">
        <v>2174</v>
      </c>
      <c r="O490" s="35" t="s">
        <v>5255</v>
      </c>
      <c r="P490" s="37" t="s">
        <v>5256</v>
      </c>
      <c r="Q490" s="34" t="s">
        <v>3549</v>
      </c>
      <c r="R490" s="34" t="s">
        <v>3540</v>
      </c>
      <c r="S490" s="47">
        <v>43466</v>
      </c>
      <c r="T490" s="47">
        <v>0</v>
      </c>
      <c r="U490" s="47">
        <v>0</v>
      </c>
      <c r="V490" s="34">
        <v>4078500047104</v>
      </c>
      <c r="W490" s="34" t="s">
        <v>3546</v>
      </c>
      <c r="X490" s="34" t="s">
        <v>4868</v>
      </c>
      <c r="Y490" s="34" t="s">
        <v>3542</v>
      </c>
      <c r="Z490" s="34">
        <v>5</v>
      </c>
      <c r="AB490" s="34" t="s">
        <v>3876</v>
      </c>
      <c r="AD490" s="34" t="s">
        <v>3876</v>
      </c>
      <c r="AE490" s="34" t="s">
        <v>5257</v>
      </c>
      <c r="AF490" s="34" t="s">
        <v>4427</v>
      </c>
      <c r="AG490" s="34" t="s">
        <v>3800</v>
      </c>
      <c r="AH490" s="34" t="s">
        <v>5258</v>
      </c>
      <c r="AJ490" s="34" t="s">
        <v>5257</v>
      </c>
      <c r="AK490" s="34" t="s">
        <v>4427</v>
      </c>
      <c r="AL490" s="34" t="s">
        <v>5150</v>
      </c>
      <c r="AM490" s="40" t="s">
        <v>9</v>
      </c>
      <c r="AP490" s="34">
        <v>0</v>
      </c>
      <c r="AQ490" s="34">
        <v>1129</v>
      </c>
      <c r="AR490" s="34">
        <v>687</v>
      </c>
      <c r="AT490" s="44">
        <v>87400</v>
      </c>
      <c r="AU490" s="44"/>
      <c r="AV490" s="46">
        <f>ROUND(Товары[[#This Row],[РРЦ финальная, руб.]]/$AU$1,2)</f>
        <v>0</v>
      </c>
      <c r="AW490" s="45" t="str">
        <f>IFERROR(Товары[[#This Row],[РРЦ, евро]]/Товары[[#This Row],[IRP, Eur]],"-")</f>
        <v>-</v>
      </c>
      <c r="AX490" s="42">
        <f>IFERROR(VLOOKUP(Товары[[#This Row],[SubGroup]],'Структура цен DIY'!$B:$C,2,FALSE),0)</f>
        <v>0.27</v>
      </c>
      <c r="AY490" s="44">
        <v>0</v>
      </c>
    </row>
    <row r="491" spans="1:51" x14ac:dyDescent="0.25">
      <c r="A491" s="34">
        <v>489</v>
      </c>
      <c r="B491" s="34" t="s">
        <v>56</v>
      </c>
      <c r="C491" s="110" t="str">
        <f>IFERROR(INDEX(Структура_ассортимента[SuperCategory],MATCH(Товары[[#This Row],[SubGroup]],Структура_ассортимента[Subgroup],0)),"")</f>
        <v>A</v>
      </c>
      <c r="D49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9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91" s="110" t="str">
        <f>IFERROR(INDEX(Структура_ассортимента[Product group],MATCH(Товары[[#This Row],[SubGroup]],Структура_ассортимента[Subgroup],0)),"")</f>
        <v>AMT_C</v>
      </c>
      <c r="G491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91" s="110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91" s="36">
        <v>9229</v>
      </c>
      <c r="J491" s="36" t="str">
        <f>IFERROR(INDEX(Структура_ассортимента[Generic Name (long)],MATCH(Товары[[#This Row],[SubGroup]],Структура_ассортимента[Subgroup],0)),"")</f>
        <v>WEEDER</v>
      </c>
      <c r="L491" s="36">
        <v>967954801</v>
      </c>
      <c r="M491" s="35" t="s">
        <v>2175</v>
      </c>
      <c r="O491" s="35" t="s">
        <v>5259</v>
      </c>
      <c r="P491" s="37" t="s">
        <v>5260</v>
      </c>
      <c r="Q491" s="34" t="s">
        <v>3549</v>
      </c>
      <c r="R491" s="34" t="s">
        <v>3540</v>
      </c>
      <c r="S491" s="47">
        <v>43466</v>
      </c>
      <c r="T491" s="47">
        <v>0</v>
      </c>
      <c r="U491" s="47">
        <v>0</v>
      </c>
      <c r="V491" s="34">
        <v>4078500047128</v>
      </c>
      <c r="W491" s="34" t="s">
        <v>3546</v>
      </c>
      <c r="X491" s="34" t="s">
        <v>4868</v>
      </c>
      <c r="Y491" s="34" t="s">
        <v>3542</v>
      </c>
      <c r="Z491" s="34">
        <v>5</v>
      </c>
      <c r="AB491" s="34" t="s">
        <v>5261</v>
      </c>
      <c r="AD491" s="34" t="s">
        <v>5261</v>
      </c>
      <c r="AE491" s="34" t="s">
        <v>3767</v>
      </c>
      <c r="AF491" s="34" t="s">
        <v>3742</v>
      </c>
      <c r="AG491" s="34" t="s">
        <v>3800</v>
      </c>
      <c r="AH491" s="34" t="s">
        <v>5262</v>
      </c>
      <c r="AJ491" s="34" t="s">
        <v>5263</v>
      </c>
      <c r="AK491" s="34" t="s">
        <v>3772</v>
      </c>
      <c r="AL491" s="34" t="s">
        <v>4302</v>
      </c>
      <c r="AM491" s="40" t="s">
        <v>9</v>
      </c>
      <c r="AP491" s="34">
        <v>0</v>
      </c>
      <c r="AQ491" s="34">
        <v>1359</v>
      </c>
      <c r="AR491" s="34">
        <v>827</v>
      </c>
      <c r="AT491" s="44">
        <v>105300</v>
      </c>
      <c r="AU491" s="44"/>
      <c r="AV491" s="46">
        <f>ROUND(Товары[[#This Row],[РРЦ финальная, руб.]]/$AU$1,2)</f>
        <v>0</v>
      </c>
      <c r="AW491" s="45" t="str">
        <f>IFERROR(Товары[[#This Row],[РРЦ, евро]]/Товары[[#This Row],[IRP, Eur]],"-")</f>
        <v>-</v>
      </c>
      <c r="AX491" s="42">
        <f>IFERROR(VLOOKUP(Товары[[#This Row],[SubGroup]],'Структура цен DIY'!$B:$C,2,FALSE),0)</f>
        <v>0.27</v>
      </c>
      <c r="AY491" s="44">
        <v>0</v>
      </c>
    </row>
    <row r="492" spans="1:51" x14ac:dyDescent="0.25">
      <c r="A492" s="34">
        <v>490</v>
      </c>
      <c r="B492" s="34" t="s">
        <v>56</v>
      </c>
      <c r="C492" s="110" t="str">
        <f>IFERROR(INDEX(Структура_ассортимента[SuperCategory],MATCH(Товары[[#This Row],[SubGroup]],Структура_ассортимента[Subgroup],0)),"")</f>
        <v>A</v>
      </c>
      <c r="D49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9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92" s="110" t="str">
        <f>IFERROR(INDEX(Структура_ассортимента[Product group],MATCH(Товары[[#This Row],[SubGroup]],Структура_ассортимента[Subgroup],0)),"")</f>
        <v>AMT_C</v>
      </c>
      <c r="G492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92" s="110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92" s="36">
        <v>9229</v>
      </c>
      <c r="J492" s="36" t="str">
        <f>IFERROR(INDEX(Структура_ассортимента[Generic Name (long)],MATCH(Товары[[#This Row],[SubGroup]],Структура_ассортимента[Subgroup],0)),"")</f>
        <v>WEEDER</v>
      </c>
      <c r="L492" s="36">
        <v>967954901</v>
      </c>
      <c r="M492" s="35" t="s">
        <v>2176</v>
      </c>
      <c r="O492" s="35" t="s">
        <v>5264</v>
      </c>
      <c r="P492" s="37" t="s">
        <v>5265</v>
      </c>
      <c r="Q492" s="34" t="s">
        <v>3549</v>
      </c>
      <c r="R492" s="34" t="s">
        <v>3540</v>
      </c>
      <c r="S492" s="47">
        <v>43466</v>
      </c>
      <c r="T492" s="47">
        <v>0</v>
      </c>
      <c r="U492" s="47">
        <v>0</v>
      </c>
      <c r="V492" s="34">
        <v>4078500047142</v>
      </c>
      <c r="W492" s="34" t="s">
        <v>3546</v>
      </c>
      <c r="X492" s="34" t="s">
        <v>4868</v>
      </c>
      <c r="Y492" s="34" t="s">
        <v>3542</v>
      </c>
      <c r="Z492" s="34">
        <v>5</v>
      </c>
      <c r="AB492" s="34" t="s">
        <v>5266</v>
      </c>
      <c r="AD492" s="34" t="s">
        <v>5266</v>
      </c>
      <c r="AE492" s="34" t="s">
        <v>5140</v>
      </c>
      <c r="AF492" s="34" t="s">
        <v>4309</v>
      </c>
      <c r="AG492" s="34" t="s">
        <v>3911</v>
      </c>
      <c r="AH492" s="34" t="s">
        <v>5267</v>
      </c>
      <c r="AJ492" s="34" t="s">
        <v>5268</v>
      </c>
      <c r="AK492" s="34" t="s">
        <v>4943</v>
      </c>
      <c r="AL492" s="34" t="s">
        <v>5150</v>
      </c>
      <c r="AM492" s="40" t="s">
        <v>9</v>
      </c>
      <c r="AP492" s="34">
        <v>0</v>
      </c>
      <c r="AQ492" s="34">
        <v>1059</v>
      </c>
      <c r="AR492" s="34">
        <v>644</v>
      </c>
      <c r="AT492" s="44">
        <v>82000</v>
      </c>
      <c r="AU492" s="44"/>
      <c r="AV492" s="46">
        <f>ROUND(Товары[[#This Row],[РРЦ финальная, руб.]]/$AU$1,2)</f>
        <v>0</v>
      </c>
      <c r="AW492" s="45" t="str">
        <f>IFERROR(Товары[[#This Row],[РРЦ, евро]]/Товары[[#This Row],[IRP, Eur]],"-")</f>
        <v>-</v>
      </c>
      <c r="AX492" s="42">
        <f>IFERROR(VLOOKUP(Товары[[#This Row],[SubGroup]],'Структура цен DIY'!$B:$C,2,FALSE),0)</f>
        <v>0.27</v>
      </c>
      <c r="AY492" s="44">
        <v>0</v>
      </c>
    </row>
    <row r="493" spans="1:51" x14ac:dyDescent="0.25">
      <c r="A493" s="34">
        <v>491</v>
      </c>
      <c r="B493" s="34" t="s">
        <v>56</v>
      </c>
      <c r="C493" s="110" t="str">
        <f>IFERROR(INDEX(Структура_ассортимента[SuperCategory],MATCH(Товары[[#This Row],[SubGroup]],Структура_ассортимента[Subgroup],0)),"")</f>
        <v>A</v>
      </c>
      <c r="D49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9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93" s="110" t="str">
        <f>IFERROR(INDEX(Структура_ассортимента[Product group],MATCH(Товары[[#This Row],[SubGroup]],Структура_ассортимента[Subgroup],0)),"")</f>
        <v>AMT_C</v>
      </c>
      <c r="G493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93" s="110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93" s="36">
        <v>9229</v>
      </c>
      <c r="J493" s="36" t="str">
        <f>IFERROR(INDEX(Структура_ассортимента[Generic Name (long)],MATCH(Товары[[#This Row],[SubGroup]],Структура_ассортимента[Subgroup],0)),"")</f>
        <v>WEEDER</v>
      </c>
      <c r="L493" s="36">
        <v>967955001</v>
      </c>
      <c r="M493" s="35" t="s">
        <v>2177</v>
      </c>
      <c r="O493" s="35" t="s">
        <v>5269</v>
      </c>
      <c r="P493" s="37" t="s">
        <v>5270</v>
      </c>
      <c r="Q493" s="34" t="s">
        <v>3549</v>
      </c>
      <c r="R493" s="34" t="s">
        <v>3540</v>
      </c>
      <c r="S493" s="47">
        <v>43466</v>
      </c>
      <c r="T493" s="47">
        <v>0</v>
      </c>
      <c r="U493" s="47">
        <v>0</v>
      </c>
      <c r="V493" s="34">
        <v>4078500047166</v>
      </c>
      <c r="W493" s="34" t="s">
        <v>3546</v>
      </c>
      <c r="X493" s="34" t="s">
        <v>4868</v>
      </c>
      <c r="Y493" s="34" t="s">
        <v>3542</v>
      </c>
      <c r="Z493" s="34">
        <v>5</v>
      </c>
      <c r="AB493" s="34" t="s">
        <v>4264</v>
      </c>
      <c r="AD493" s="34" t="s">
        <v>4264</v>
      </c>
      <c r="AE493" s="34" t="s">
        <v>5271</v>
      </c>
      <c r="AF493" s="34" t="s">
        <v>4014</v>
      </c>
      <c r="AG493" s="34" t="s">
        <v>3557</v>
      </c>
      <c r="AH493" s="34" t="s">
        <v>5272</v>
      </c>
      <c r="AJ493" s="34" t="s">
        <v>5271</v>
      </c>
      <c r="AK493" s="34" t="s">
        <v>4014</v>
      </c>
      <c r="AL493" s="34" t="s">
        <v>4453</v>
      </c>
      <c r="AM493" s="40" t="s">
        <v>9</v>
      </c>
      <c r="AP493" s="34">
        <v>0</v>
      </c>
      <c r="AQ493" s="34">
        <v>1159</v>
      </c>
      <c r="AR493" s="34">
        <v>705</v>
      </c>
      <c r="AT493" s="44">
        <v>89800</v>
      </c>
      <c r="AU493" s="44"/>
      <c r="AV493" s="46">
        <f>ROUND(Товары[[#This Row],[РРЦ финальная, руб.]]/$AU$1,2)</f>
        <v>0</v>
      </c>
      <c r="AW493" s="45" t="str">
        <f>IFERROR(Товары[[#This Row],[РРЦ, евро]]/Товары[[#This Row],[IRP, Eur]],"-")</f>
        <v>-</v>
      </c>
      <c r="AX493" s="42">
        <f>IFERROR(VLOOKUP(Товары[[#This Row],[SubGroup]],'Структура цен DIY'!$B:$C,2,FALSE),0)</f>
        <v>0.27</v>
      </c>
      <c r="AY493" s="44">
        <v>0</v>
      </c>
    </row>
    <row r="494" spans="1:51" x14ac:dyDescent="0.25">
      <c r="A494" s="34">
        <v>492</v>
      </c>
      <c r="B494" s="34" t="s">
        <v>56</v>
      </c>
      <c r="C494" s="110" t="str">
        <f>IFERROR(INDEX(Структура_ассортимента[SuperCategory],MATCH(Товары[[#This Row],[SubGroup]],Структура_ассортимента[Subgroup],0)),"")</f>
        <v>A</v>
      </c>
      <c r="D49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9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94" s="110" t="str">
        <f>IFERROR(INDEX(Структура_ассортимента[Product group],MATCH(Товары[[#This Row],[SubGroup]],Структура_ассортимента[Subgroup],0)),"")</f>
        <v>AMT_C</v>
      </c>
      <c r="G494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94" s="110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94" s="36">
        <v>9229</v>
      </c>
      <c r="J494" s="36" t="str">
        <f>IFERROR(INDEX(Структура_ассортимента[Generic Name (long)],MATCH(Товары[[#This Row],[SubGroup]],Структура_ассортимента[Subgroup],0)),"")</f>
        <v>WEEDER</v>
      </c>
      <c r="L494" s="36">
        <v>967955101</v>
      </c>
      <c r="M494" s="35" t="s">
        <v>2178</v>
      </c>
      <c r="O494" s="35" t="s">
        <v>5273</v>
      </c>
      <c r="P494" s="37" t="s">
        <v>5274</v>
      </c>
      <c r="Q494" s="34" t="s">
        <v>3549</v>
      </c>
      <c r="R494" s="34" t="s">
        <v>3540</v>
      </c>
      <c r="S494" s="47">
        <v>43466</v>
      </c>
      <c r="T494" s="47">
        <v>0</v>
      </c>
      <c r="U494" s="47">
        <v>0</v>
      </c>
      <c r="V494" s="34">
        <v>4078500047180</v>
      </c>
      <c r="W494" s="34" t="s">
        <v>3546</v>
      </c>
      <c r="X494" s="34" t="s">
        <v>4868</v>
      </c>
      <c r="Y494" s="34" t="s">
        <v>3542</v>
      </c>
      <c r="Z494" s="34">
        <v>5</v>
      </c>
      <c r="AB494" s="34" t="s">
        <v>4367</v>
      </c>
      <c r="AD494" s="34" t="s">
        <v>4367</v>
      </c>
      <c r="AE494" s="34" t="s">
        <v>5252</v>
      </c>
      <c r="AF494" s="34" t="s">
        <v>3574</v>
      </c>
      <c r="AG494" s="34" t="s">
        <v>4335</v>
      </c>
      <c r="AH494" s="34" t="s">
        <v>5275</v>
      </c>
      <c r="AJ494" s="34" t="s">
        <v>5252</v>
      </c>
      <c r="AK494" s="34" t="s">
        <v>3574</v>
      </c>
      <c r="AL494" s="34" t="s">
        <v>5254</v>
      </c>
      <c r="AM494" s="40" t="s">
        <v>9</v>
      </c>
      <c r="AP494" s="34">
        <v>0</v>
      </c>
      <c r="AQ494" s="34">
        <v>1059</v>
      </c>
      <c r="AR494" s="34">
        <v>644</v>
      </c>
      <c r="AT494" s="44">
        <v>82000</v>
      </c>
      <c r="AU494" s="44"/>
      <c r="AV494" s="46">
        <f>ROUND(Товары[[#This Row],[РРЦ финальная, руб.]]/$AU$1,2)</f>
        <v>0</v>
      </c>
      <c r="AW494" s="45" t="str">
        <f>IFERROR(Товары[[#This Row],[РРЦ, евро]]/Товары[[#This Row],[IRP, Eur]],"-")</f>
        <v>-</v>
      </c>
      <c r="AX494" s="42">
        <f>IFERROR(VLOOKUP(Товары[[#This Row],[SubGroup]],'Структура цен DIY'!$B:$C,2,FALSE),0)</f>
        <v>0.27</v>
      </c>
      <c r="AY494" s="44">
        <v>0</v>
      </c>
    </row>
    <row r="495" spans="1:51" x14ac:dyDescent="0.25">
      <c r="A495" s="34">
        <v>493</v>
      </c>
      <c r="B495" s="34" t="s">
        <v>56</v>
      </c>
      <c r="C495" s="110" t="str">
        <f>IFERROR(INDEX(Структура_ассортимента[SuperCategory],MATCH(Товары[[#This Row],[SubGroup]],Структура_ассортимента[Subgroup],0)),"")</f>
        <v>A</v>
      </c>
      <c r="D49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9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95" s="110" t="str">
        <f>IFERROR(INDEX(Структура_ассортимента[Product group],MATCH(Товары[[#This Row],[SubGroup]],Структура_ассортимента[Subgroup],0)),"")</f>
        <v>AMT_C</v>
      </c>
      <c r="G495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95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95" s="36">
        <v>9221</v>
      </c>
      <c r="J495" s="36" t="str">
        <f>IFERROR(INDEX(Структура_ассортимента[Generic Name (long)],MATCH(Товары[[#This Row],[SubGroup]],Структура_ассортимента[Subgroup],0)),"")</f>
        <v>GARDEN TOOL SET</v>
      </c>
      <c r="L495" s="36">
        <v>967977101</v>
      </c>
      <c r="M495" s="35" t="s">
        <v>2179</v>
      </c>
      <c r="O495" s="35" t="s">
        <v>5276</v>
      </c>
      <c r="P495" s="37" t="s">
        <v>5277</v>
      </c>
      <c r="Q495" s="34" t="s">
        <v>3549</v>
      </c>
      <c r="R495" s="34" t="s">
        <v>3540</v>
      </c>
      <c r="S495" s="47">
        <v>43831</v>
      </c>
      <c r="T495" s="47">
        <v>0</v>
      </c>
      <c r="U495" s="47">
        <v>0</v>
      </c>
      <c r="V495" s="34">
        <v>4078500048132</v>
      </c>
      <c r="W495" s="34" t="s">
        <v>3541</v>
      </c>
      <c r="X495" s="34" t="s">
        <v>3704</v>
      </c>
      <c r="Y495" s="34" t="s">
        <v>3542</v>
      </c>
      <c r="Z495" s="34">
        <v>3</v>
      </c>
      <c r="AA495" s="34" t="s">
        <v>3861</v>
      </c>
      <c r="AB495" s="34" t="s">
        <v>5278</v>
      </c>
      <c r="AC495" s="34" t="s">
        <v>3621</v>
      </c>
      <c r="AD495" s="34" t="s">
        <v>5024</v>
      </c>
      <c r="AE495" s="34" t="s">
        <v>4014</v>
      </c>
      <c r="AF495" s="34" t="s">
        <v>4891</v>
      </c>
      <c r="AG495" s="34" t="s">
        <v>3920</v>
      </c>
      <c r="AH495" s="34" t="s">
        <v>5279</v>
      </c>
      <c r="AI495" s="34" t="s">
        <v>4014</v>
      </c>
      <c r="AJ495" s="34" t="s">
        <v>3920</v>
      </c>
      <c r="AK495" s="34" t="s">
        <v>4891</v>
      </c>
      <c r="AL495" s="34" t="s">
        <v>5280</v>
      </c>
      <c r="AM495" s="40" t="s">
        <v>10</v>
      </c>
      <c r="AP495" s="34">
        <v>0</v>
      </c>
      <c r="AQ495" s="34">
        <v>1790</v>
      </c>
      <c r="AR495" s="34">
        <v>1074</v>
      </c>
      <c r="AT495" s="44">
        <v>138600</v>
      </c>
      <c r="AU495" s="44"/>
      <c r="AV495" s="46">
        <f>ROUND(Товары[[#This Row],[РРЦ финальная, руб.]]/$AU$1,2)</f>
        <v>0</v>
      </c>
      <c r="AW495" s="45" t="str">
        <f>IFERROR(Товары[[#This Row],[РРЦ, евро]]/Товары[[#This Row],[IRP, Eur]],"-")</f>
        <v>-</v>
      </c>
      <c r="AX495" s="42">
        <f>IFERROR(VLOOKUP(Товары[[#This Row],[SubGroup]],'Структура цен DIY'!$B:$C,2,FALSE),0)</f>
        <v>0.27</v>
      </c>
      <c r="AY495" s="44">
        <v>0</v>
      </c>
    </row>
    <row r="496" spans="1:51" x14ac:dyDescent="0.25">
      <c r="A496" s="34">
        <v>494</v>
      </c>
      <c r="B496" s="34" t="s">
        <v>56</v>
      </c>
      <c r="C496" s="110" t="str">
        <f>IFERROR(INDEX(Структура_ассортимента[SuperCategory],MATCH(Товары[[#This Row],[SubGroup]],Структура_ассортимента[Subgroup],0)),"")</f>
        <v>A</v>
      </c>
      <c r="D49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9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96" s="110" t="str">
        <f>IFERROR(INDEX(Структура_ассортимента[Product group],MATCH(Товары[[#This Row],[SubGroup]],Структура_ассортимента[Subgroup],0)),"")</f>
        <v>AMT_C</v>
      </c>
      <c r="G496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96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96" s="36">
        <v>9221</v>
      </c>
      <c r="J496" s="36" t="str">
        <f>IFERROR(INDEX(Структура_ассортимента[Generic Name (long)],MATCH(Товары[[#This Row],[SubGroup]],Структура_ассортимента[Subgroup],0)),"")</f>
        <v>GARDEN TOOL SET</v>
      </c>
      <c r="L496" s="36">
        <v>967977001</v>
      </c>
      <c r="M496" s="35" t="s">
        <v>2180</v>
      </c>
      <c r="Q496" s="34" t="s">
        <v>3549</v>
      </c>
      <c r="R496" s="34" t="s">
        <v>3540</v>
      </c>
      <c r="S496" s="47">
        <v>43831</v>
      </c>
      <c r="T496" s="47">
        <v>0</v>
      </c>
      <c r="U496" s="47">
        <v>0</v>
      </c>
      <c r="V496" s="34">
        <v>4078500048156</v>
      </c>
      <c r="W496" s="34" t="s">
        <v>3543</v>
      </c>
      <c r="X496" s="34" t="s">
        <v>3579</v>
      </c>
      <c r="Y496" s="34" t="s">
        <v>3542</v>
      </c>
      <c r="Z496" s="34">
        <v>10</v>
      </c>
      <c r="AB496" s="34" t="s">
        <v>3634</v>
      </c>
      <c r="AD496" s="34" t="s">
        <v>3901</v>
      </c>
      <c r="AE496" s="34" t="s">
        <v>4014</v>
      </c>
      <c r="AF496" s="34" t="s">
        <v>4891</v>
      </c>
      <c r="AG496" s="34" t="s">
        <v>3920</v>
      </c>
      <c r="AH496" s="34" t="s">
        <v>5279</v>
      </c>
      <c r="AL496" s="34" t="s">
        <v>4513</v>
      </c>
      <c r="AM496" s="40" t="s">
        <v>8095</v>
      </c>
      <c r="AT496" s="44">
        <v>0</v>
      </c>
      <c r="AU496" s="44"/>
      <c r="AV496" s="46">
        <f>ROUND(Товары[[#This Row],[РРЦ финальная, руб.]]/$AU$1,2)</f>
        <v>0</v>
      </c>
      <c r="AW496" s="45" t="str">
        <f>IFERROR(Товары[[#This Row],[РРЦ, евро]]/Товары[[#This Row],[IRP, Eur]],"-")</f>
        <v>-</v>
      </c>
      <c r="AX496" s="42">
        <f>IFERROR(VLOOKUP(Товары[[#This Row],[SubGroup]],'Структура цен DIY'!$B:$C,2,FALSE),0)</f>
        <v>0.27</v>
      </c>
      <c r="AY496" s="44">
        <v>0</v>
      </c>
    </row>
    <row r="497" spans="1:51" x14ac:dyDescent="0.25">
      <c r="A497" s="34">
        <v>495</v>
      </c>
      <c r="B497" s="34" t="s">
        <v>56</v>
      </c>
      <c r="C497" s="110" t="str">
        <f>IFERROR(INDEX(Структура_ассортимента[SuperCategory],MATCH(Товары[[#This Row],[SubGroup]],Структура_ассортимента[Subgroup],0)),"")</f>
        <v>A</v>
      </c>
      <c r="D49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9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97" s="110" t="str">
        <f>IFERROR(INDEX(Структура_ассортимента[Product group],MATCH(Товары[[#This Row],[SubGroup]],Структура_ассортимента[Subgroup],0)),"")</f>
        <v>AMT_C</v>
      </c>
      <c r="G497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97" s="110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97" s="36">
        <v>9226</v>
      </c>
      <c r="J497" s="36" t="str">
        <f>IFERROR(INDEX(Структура_ассортимента[Generic Name (long)],MATCH(Товары[[#This Row],[SubGroup]],Структура_ассортимента[Subgroup],0)),"")</f>
        <v>GARDEN TOOL SET</v>
      </c>
      <c r="L497" s="36">
        <v>970444801</v>
      </c>
      <c r="M497" s="35" t="s">
        <v>2181</v>
      </c>
      <c r="Q497" s="34" t="s">
        <v>3549</v>
      </c>
      <c r="R497" s="34" t="s">
        <v>3540</v>
      </c>
      <c r="S497" s="47">
        <v>43831</v>
      </c>
      <c r="T497" s="47">
        <v>0</v>
      </c>
      <c r="U497" s="47">
        <v>0</v>
      </c>
      <c r="V497" s="34">
        <v>4078500049900</v>
      </c>
      <c r="W497" s="34" t="s">
        <v>3541</v>
      </c>
      <c r="X497" s="34" t="s">
        <v>3704</v>
      </c>
      <c r="Y497" s="34" t="s">
        <v>3542</v>
      </c>
      <c r="Z497" s="34">
        <v>6</v>
      </c>
      <c r="AB497" s="34" t="s">
        <v>3727</v>
      </c>
      <c r="AD497" s="34" t="s">
        <v>3729</v>
      </c>
      <c r="AE497" s="34" t="s">
        <v>3743</v>
      </c>
      <c r="AF497" s="34" t="s">
        <v>3557</v>
      </c>
      <c r="AG497" s="34" t="s">
        <v>3931</v>
      </c>
      <c r="AH497" s="34" t="s">
        <v>5281</v>
      </c>
      <c r="AI497" s="34" t="s">
        <v>3683</v>
      </c>
      <c r="AJ497" s="34" t="s">
        <v>5282</v>
      </c>
      <c r="AK497" s="34" t="s">
        <v>4260</v>
      </c>
      <c r="AL497" s="34" t="s">
        <v>5283</v>
      </c>
      <c r="AM497" s="40" t="s">
        <v>8095</v>
      </c>
      <c r="AT497" s="44">
        <v>0</v>
      </c>
      <c r="AU497" s="44"/>
      <c r="AV497" s="46">
        <f>ROUND(Товары[[#This Row],[РРЦ финальная, руб.]]/$AU$1,2)</f>
        <v>0</v>
      </c>
      <c r="AW497" s="45" t="str">
        <f>IFERROR(Товары[[#This Row],[РРЦ, евро]]/Товары[[#This Row],[IRP, Eur]],"-")</f>
        <v>-</v>
      </c>
      <c r="AX497" s="42">
        <f>IFERROR(VLOOKUP(Товары[[#This Row],[SubGroup]],'Структура цен DIY'!$B:$C,2,FALSE),0)</f>
        <v>0.27976081460674185</v>
      </c>
      <c r="AY497" s="44">
        <v>0</v>
      </c>
    </row>
    <row r="498" spans="1:51" x14ac:dyDescent="0.25">
      <c r="A498" s="34">
        <v>496</v>
      </c>
      <c r="B498" s="34" t="s">
        <v>56</v>
      </c>
      <c r="C498" s="110" t="str">
        <f>IFERROR(INDEX(Структура_ассортимента[SuperCategory],MATCH(Товары[[#This Row],[SubGroup]],Структура_ассортимента[Subgroup],0)),"")</f>
        <v>A</v>
      </c>
      <c r="D49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9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98" s="110" t="str">
        <f>IFERROR(INDEX(Структура_ассортимента[Product group],MATCH(Товары[[#This Row],[SubGroup]],Структура_ассортимента[Subgroup],0)),"")</f>
        <v>AMT_C</v>
      </c>
      <c r="G498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98" s="110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98" s="36">
        <v>9227</v>
      </c>
      <c r="J498" s="36" t="str">
        <f>IFERROR(INDEX(Структура_ассортимента[Generic Name (long)],MATCH(Товары[[#This Row],[SubGroup]],Структура_ассортимента[Subgroup],0)),"")</f>
        <v>PLANTER</v>
      </c>
      <c r="L498" s="36">
        <v>970444601</v>
      </c>
      <c r="M498" s="35" t="s">
        <v>2182</v>
      </c>
      <c r="Q498" s="34" t="s">
        <v>3549</v>
      </c>
      <c r="R498" s="34" t="s">
        <v>3540</v>
      </c>
      <c r="S498" s="47">
        <v>43831</v>
      </c>
      <c r="T498" s="47">
        <v>0</v>
      </c>
      <c r="U498" s="47">
        <v>0</v>
      </c>
      <c r="V498" s="34">
        <v>4078500049863</v>
      </c>
      <c r="W498" s="34" t="s">
        <v>3703</v>
      </c>
      <c r="X498" s="34" t="s">
        <v>3704</v>
      </c>
      <c r="Y498" s="34" t="s">
        <v>3542</v>
      </c>
      <c r="Z498" s="34">
        <v>16</v>
      </c>
      <c r="AB498" s="34" t="s">
        <v>4950</v>
      </c>
      <c r="AD498" s="34" t="s">
        <v>5284</v>
      </c>
      <c r="AE498" s="34" t="s">
        <v>3684</v>
      </c>
      <c r="AF498" s="34" t="s">
        <v>5285</v>
      </c>
      <c r="AG498" s="34" t="s">
        <v>3800</v>
      </c>
      <c r="AH498" s="34" t="s">
        <v>5286</v>
      </c>
      <c r="AM498" s="40" t="s">
        <v>8095</v>
      </c>
      <c r="AT498" s="44">
        <v>0</v>
      </c>
      <c r="AU498" s="44"/>
      <c r="AV498" s="46">
        <f>ROUND(Товары[[#This Row],[РРЦ финальная, руб.]]/$AU$1,2)</f>
        <v>0</v>
      </c>
      <c r="AW498" s="45" t="str">
        <f>IFERROR(Товары[[#This Row],[РРЦ, евро]]/Товары[[#This Row],[IRP, Eur]],"-")</f>
        <v>-</v>
      </c>
      <c r="AX498" s="42">
        <f>IFERROR(VLOOKUP(Товары[[#This Row],[SubGroup]],'Структура цен DIY'!$B:$C,2,FALSE),0)</f>
        <v>0.27976081460674185</v>
      </c>
      <c r="AY498" s="44">
        <v>0</v>
      </c>
    </row>
    <row r="499" spans="1:51" x14ac:dyDescent="0.25">
      <c r="A499" s="34">
        <v>497</v>
      </c>
      <c r="B499" s="34" t="s">
        <v>56</v>
      </c>
      <c r="C499" s="110" t="str">
        <f>IFERROR(INDEX(Структура_ассортимента[SuperCategory],MATCH(Товары[[#This Row],[SubGroup]],Структура_ассортимента[Subgroup],0)),"")</f>
        <v>A</v>
      </c>
      <c r="D49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9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99" s="110" t="str">
        <f>IFERROR(INDEX(Структура_ассортимента[Product group],MATCH(Товары[[#This Row],[SubGroup]],Структура_ассортимента[Subgroup],0)),"")</f>
        <v>AMT_C</v>
      </c>
      <c r="G499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99" s="110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99" s="36">
        <v>9227</v>
      </c>
      <c r="J499" s="36" t="str">
        <f>IFERROR(INDEX(Структура_ассортимента[Generic Name (long)],MATCH(Товары[[#This Row],[SubGroup]],Структура_ассортимента[Subgroup],0)),"")</f>
        <v>PLANTER</v>
      </c>
      <c r="L499" s="36">
        <v>970445501</v>
      </c>
      <c r="M499" s="35" t="s">
        <v>2183</v>
      </c>
      <c r="Q499" s="34" t="s">
        <v>3549</v>
      </c>
      <c r="R499" s="34" t="s">
        <v>3540</v>
      </c>
      <c r="S499" s="47">
        <v>43831</v>
      </c>
      <c r="T499" s="47">
        <v>0</v>
      </c>
      <c r="U499" s="47">
        <v>0</v>
      </c>
      <c r="V499" s="34">
        <v>4078500050043</v>
      </c>
      <c r="W499" s="34" t="s">
        <v>3703</v>
      </c>
      <c r="X499" s="34" t="s">
        <v>3704</v>
      </c>
      <c r="Y499" s="34" t="s">
        <v>3542</v>
      </c>
      <c r="Z499" s="34">
        <v>60</v>
      </c>
      <c r="AB499" s="34" t="s">
        <v>4819</v>
      </c>
      <c r="AD499" s="34" t="s">
        <v>4159</v>
      </c>
      <c r="AE499" s="34" t="s">
        <v>3731</v>
      </c>
      <c r="AF499" s="34" t="s">
        <v>3800</v>
      </c>
      <c r="AG499" s="34" t="s">
        <v>4351</v>
      </c>
      <c r="AH499" s="34" t="s">
        <v>4963</v>
      </c>
      <c r="AL499" s="34" t="s">
        <v>3747</v>
      </c>
      <c r="AM499" s="40" t="s">
        <v>8095</v>
      </c>
      <c r="AT499" s="44">
        <v>0</v>
      </c>
      <c r="AU499" s="44"/>
      <c r="AV499" s="46">
        <f>ROUND(Товары[[#This Row],[РРЦ финальная, руб.]]/$AU$1,2)</f>
        <v>0</v>
      </c>
      <c r="AW499" s="45" t="str">
        <f>IFERROR(Товары[[#This Row],[РРЦ, евро]]/Товары[[#This Row],[IRP, Eur]],"-")</f>
        <v>-</v>
      </c>
      <c r="AX499" s="42">
        <f>IFERROR(VLOOKUP(Товары[[#This Row],[SubGroup]],'Структура цен DIY'!$B:$C,2,FALSE),0)</f>
        <v>0.27976081460674185</v>
      </c>
      <c r="AY499" s="44">
        <v>0</v>
      </c>
    </row>
    <row r="500" spans="1:51" x14ac:dyDescent="0.25">
      <c r="A500" s="34">
        <v>498</v>
      </c>
      <c r="B500" s="34" t="s">
        <v>56</v>
      </c>
      <c r="C500" s="110" t="str">
        <f>IFERROR(INDEX(Структура_ассортимента[SuperCategory],MATCH(Товары[[#This Row],[SubGroup]],Структура_ассортимента[Subgroup],0)),"")</f>
        <v>A</v>
      </c>
      <c r="D50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0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00" s="110" t="str">
        <f>IFERROR(INDEX(Структура_ассортимента[Product group],MATCH(Товары[[#This Row],[SubGroup]],Структура_ассортимента[Subgroup],0)),"")</f>
        <v>AMT_C</v>
      </c>
      <c r="G500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00" s="110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00" s="36">
        <v>9227</v>
      </c>
      <c r="J500" s="36" t="str">
        <f>IFERROR(INDEX(Структура_ассортимента[Generic Name (long)],MATCH(Товары[[#This Row],[SubGroup]],Структура_ассортимента[Subgroup],0)),"")</f>
        <v>PLANTER</v>
      </c>
      <c r="L500" s="36">
        <v>970444701</v>
      </c>
      <c r="M500" s="35" t="s">
        <v>2184</v>
      </c>
      <c r="Q500" s="34" t="s">
        <v>3549</v>
      </c>
      <c r="R500" s="34" t="s">
        <v>3540</v>
      </c>
      <c r="S500" s="47">
        <v>43831</v>
      </c>
      <c r="T500" s="47">
        <v>0</v>
      </c>
      <c r="U500" s="47">
        <v>0</v>
      </c>
      <c r="V500" s="34">
        <v>4078500049887</v>
      </c>
      <c r="W500" s="34" t="s">
        <v>3703</v>
      </c>
      <c r="X500" s="34" t="s">
        <v>3704</v>
      </c>
      <c r="Y500" s="34" t="s">
        <v>3542</v>
      </c>
      <c r="Z500" s="34">
        <v>18</v>
      </c>
      <c r="AB500" s="34" t="s">
        <v>4950</v>
      </c>
      <c r="AD500" s="34" t="s">
        <v>5284</v>
      </c>
      <c r="AE500" s="34" t="s">
        <v>3910</v>
      </c>
      <c r="AF500" s="34" t="s">
        <v>3989</v>
      </c>
      <c r="AG500" s="34" t="s">
        <v>4811</v>
      </c>
      <c r="AH500" s="34" t="s">
        <v>5287</v>
      </c>
      <c r="AL500" s="34" t="s">
        <v>3830</v>
      </c>
      <c r="AM500" s="40" t="s">
        <v>8095</v>
      </c>
      <c r="AT500" s="44">
        <v>0</v>
      </c>
      <c r="AU500" s="44"/>
      <c r="AV500" s="46">
        <f>ROUND(Товары[[#This Row],[РРЦ финальная, руб.]]/$AU$1,2)</f>
        <v>0</v>
      </c>
      <c r="AW500" s="45" t="str">
        <f>IFERROR(Товары[[#This Row],[РРЦ, евро]]/Товары[[#This Row],[IRP, Eur]],"-")</f>
        <v>-</v>
      </c>
      <c r="AX500" s="42">
        <f>IFERROR(VLOOKUP(Товары[[#This Row],[SubGroup]],'Структура цен DIY'!$B:$C,2,FALSE),0)</f>
        <v>0.27976081460674185</v>
      </c>
      <c r="AY500" s="44">
        <v>0</v>
      </c>
    </row>
    <row r="501" spans="1:51" x14ac:dyDescent="0.25">
      <c r="A501" s="34">
        <v>499</v>
      </c>
      <c r="B501" s="34" t="s">
        <v>56</v>
      </c>
      <c r="C501" s="110" t="str">
        <f>IFERROR(INDEX(Структура_ассортимента[SuperCategory],MATCH(Товары[[#This Row],[SubGroup]],Структура_ассортимента[Subgroup],0)),"")</f>
        <v>A</v>
      </c>
      <c r="D50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0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01" s="110" t="str">
        <f>IFERROR(INDEX(Структура_ассортимента[Product group],MATCH(Товары[[#This Row],[SubGroup]],Структура_ассортимента[Subgroup],0)),"")</f>
        <v>AMT_C</v>
      </c>
      <c r="G501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01" s="110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01" s="36">
        <v>9227</v>
      </c>
      <c r="J501" s="36" t="str">
        <f>IFERROR(INDEX(Структура_ассортимента[Generic Name (long)],MATCH(Товары[[#This Row],[SubGroup]],Структура_ассортимента[Subgroup],0)),"")</f>
        <v>PLANTER</v>
      </c>
      <c r="L501" s="36">
        <v>967980401</v>
      </c>
      <c r="M501" s="35" t="s">
        <v>2185</v>
      </c>
      <c r="Q501" s="34" t="s">
        <v>3549</v>
      </c>
      <c r="R501" s="34" t="s">
        <v>3540</v>
      </c>
      <c r="S501" s="47">
        <v>43525</v>
      </c>
      <c r="T501" s="47">
        <v>0</v>
      </c>
      <c r="U501" s="47">
        <v>0</v>
      </c>
      <c r="V501" s="34">
        <v>4078500048484</v>
      </c>
      <c r="W501" s="34" t="s">
        <v>3543</v>
      </c>
      <c r="X501" s="34" t="s">
        <v>3704</v>
      </c>
      <c r="Y501" s="34" t="s">
        <v>3542</v>
      </c>
      <c r="Z501" s="34">
        <v>1</v>
      </c>
      <c r="AB501" s="34" t="s">
        <v>4757</v>
      </c>
      <c r="AD501" s="34" t="s">
        <v>3554</v>
      </c>
      <c r="AE501" s="34" t="s">
        <v>3857</v>
      </c>
      <c r="AF501" s="34" t="s">
        <v>3819</v>
      </c>
      <c r="AG501" s="34" t="s">
        <v>4659</v>
      </c>
      <c r="AH501" s="34" t="s">
        <v>5288</v>
      </c>
      <c r="AL501" s="34" t="s">
        <v>5289</v>
      </c>
      <c r="AM501" s="40" t="s">
        <v>8095</v>
      </c>
      <c r="AT501" s="44">
        <v>0</v>
      </c>
      <c r="AU501" s="44"/>
      <c r="AV501" s="46">
        <f>ROUND(Товары[[#This Row],[РРЦ финальная, руб.]]/$AU$1,2)</f>
        <v>0</v>
      </c>
      <c r="AW501" s="45" t="str">
        <f>IFERROR(Товары[[#This Row],[РРЦ, евро]]/Товары[[#This Row],[IRP, Eur]],"-")</f>
        <v>-</v>
      </c>
      <c r="AX501" s="42">
        <f>IFERROR(VLOOKUP(Товары[[#This Row],[SubGroup]],'Структура цен DIY'!$B:$C,2,FALSE),0)</f>
        <v>0.27976081460674185</v>
      </c>
      <c r="AY501" s="44">
        <v>0</v>
      </c>
    </row>
    <row r="502" spans="1:51" x14ac:dyDescent="0.25">
      <c r="A502" s="34">
        <v>500</v>
      </c>
      <c r="B502" s="34" t="s">
        <v>56</v>
      </c>
      <c r="C502" s="110" t="str">
        <f>IFERROR(INDEX(Структура_ассортимента[SuperCategory],MATCH(Товары[[#This Row],[SubGroup]],Структура_ассортимента[Subgroup],0)),"")</f>
        <v>A</v>
      </c>
      <c r="D50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0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02" s="110" t="str">
        <f>IFERROR(INDEX(Структура_ассортимента[Product group],MATCH(Товары[[#This Row],[SubGroup]],Структура_ассортимента[Subgroup],0)),"")</f>
        <v>AMT_C</v>
      </c>
      <c r="G502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02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502" s="36">
        <v>9221</v>
      </c>
      <c r="J502" s="36" t="str">
        <f>IFERROR(INDEX(Структура_ассортимента[Generic Name (long)],MATCH(Товары[[#This Row],[SubGroup]],Структура_ассортимента[Subgroup],0)),"")</f>
        <v>GARDEN TOOL SET</v>
      </c>
      <c r="L502" s="36">
        <v>970474401</v>
      </c>
      <c r="M502" s="35" t="s">
        <v>2186</v>
      </c>
      <c r="O502" s="35" t="s">
        <v>5290</v>
      </c>
      <c r="P502" s="37" t="s">
        <v>5291</v>
      </c>
      <c r="Q502" s="34" t="s">
        <v>3549</v>
      </c>
      <c r="R502" s="34" t="s">
        <v>3540</v>
      </c>
      <c r="S502" s="47">
        <v>44197</v>
      </c>
      <c r="T502" s="47">
        <v>0</v>
      </c>
      <c r="U502" s="47">
        <v>0</v>
      </c>
      <c r="V502" s="34">
        <v>4078500052139</v>
      </c>
      <c r="W502" s="34" t="s">
        <v>3546</v>
      </c>
      <c r="Y502" s="34" t="s">
        <v>3542</v>
      </c>
      <c r="Z502" s="34">
        <v>3</v>
      </c>
      <c r="AM502" s="40" t="s">
        <v>11</v>
      </c>
      <c r="AT502" s="44">
        <v>0</v>
      </c>
      <c r="AU502" s="44"/>
      <c r="AV502" s="46">
        <f>ROUND(Товары[[#This Row],[РРЦ финальная, руб.]]/$AU$1,2)</f>
        <v>0</v>
      </c>
      <c r="AW502" s="45" t="str">
        <f>IFERROR(Товары[[#This Row],[РРЦ, евро]]/Товары[[#This Row],[IRP, Eur]],"-")</f>
        <v>-</v>
      </c>
      <c r="AX502" s="42">
        <f>IFERROR(VLOOKUP(Товары[[#This Row],[SubGroup]],'Структура цен DIY'!$B:$C,2,FALSE),0)</f>
        <v>0.27</v>
      </c>
      <c r="AY502" s="44">
        <v>0</v>
      </c>
    </row>
    <row r="503" spans="1:51" x14ac:dyDescent="0.25">
      <c r="A503" s="34">
        <v>501</v>
      </c>
      <c r="B503" s="34" t="s">
        <v>56</v>
      </c>
      <c r="C503" s="110" t="str">
        <f>IFERROR(INDEX(Структура_ассортимента[SuperCategory],MATCH(Товары[[#This Row],[SubGroup]],Структура_ассортимента[Subgroup],0)),"")</f>
        <v>A</v>
      </c>
      <c r="D50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0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03" s="110" t="str">
        <f>IFERROR(INDEX(Структура_ассортимента[Product group],MATCH(Товары[[#This Row],[SubGroup]],Структура_ассортимента[Subgroup],0)),"")</f>
        <v>AMT_C</v>
      </c>
      <c r="G503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03" s="110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503" s="36">
        <v>9229</v>
      </c>
      <c r="J503" s="36" t="str">
        <f>IFERROR(INDEX(Структура_ассортимента[Generic Name (long)],MATCH(Товары[[#This Row],[SubGroup]],Структура_ассортимента[Subgroup],0)),"")</f>
        <v>WEEDER</v>
      </c>
      <c r="L503" s="36">
        <v>970475001</v>
      </c>
      <c r="M503" s="35" t="s">
        <v>2187</v>
      </c>
      <c r="O503" s="35" t="s">
        <v>5292</v>
      </c>
      <c r="P503" s="37" t="s">
        <v>3702</v>
      </c>
      <c r="Q503" s="34" t="s">
        <v>3549</v>
      </c>
      <c r="R503" s="34" t="s">
        <v>3540</v>
      </c>
      <c r="S503" s="47">
        <v>44197</v>
      </c>
      <c r="T503" s="47">
        <v>0</v>
      </c>
      <c r="U503" s="47">
        <v>0</v>
      </c>
      <c r="V503" s="34">
        <v>4078500052092</v>
      </c>
      <c r="W503" s="34" t="s">
        <v>3546</v>
      </c>
      <c r="Y503" s="34" t="s">
        <v>3542</v>
      </c>
      <c r="Z503" s="34">
        <v>4</v>
      </c>
      <c r="AM503" s="40" t="s">
        <v>11</v>
      </c>
      <c r="AT503" s="44">
        <v>0</v>
      </c>
      <c r="AU503" s="44"/>
      <c r="AV503" s="46">
        <f>ROUND(Товары[[#This Row],[РРЦ финальная, руб.]]/$AU$1,2)</f>
        <v>0</v>
      </c>
      <c r="AW503" s="45" t="str">
        <f>IFERROR(Товары[[#This Row],[РРЦ, евро]]/Товары[[#This Row],[IRP, Eur]],"-")</f>
        <v>-</v>
      </c>
      <c r="AX503" s="42">
        <f>IFERROR(VLOOKUP(Товары[[#This Row],[SubGroup]],'Структура цен DIY'!$B:$C,2,FALSE),0)</f>
        <v>0.27</v>
      </c>
      <c r="AY503" s="44">
        <v>0</v>
      </c>
    </row>
    <row r="504" spans="1:51" x14ac:dyDescent="0.25">
      <c r="A504" s="34">
        <v>502</v>
      </c>
      <c r="B504" s="34" t="s">
        <v>56</v>
      </c>
      <c r="C504" s="110" t="str">
        <f>IFERROR(INDEX(Структура_ассортимента[SuperCategory],MATCH(Товары[[#This Row],[SubGroup]],Структура_ассортимента[Subgroup],0)),"")</f>
        <v>A</v>
      </c>
      <c r="D50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0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04" s="110" t="str">
        <f>IFERROR(INDEX(Структура_ассортимента[Product group],MATCH(Товары[[#This Row],[SubGroup]],Структура_ассортимента[Subgroup],0)),"")</f>
        <v>AMT_C</v>
      </c>
      <c r="G504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04" s="110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504" s="36">
        <v>9223</v>
      </c>
      <c r="J504" s="36" t="str">
        <f>IFERROR(INDEX(Структура_ассортимента[Generic Name (long)],MATCH(Товары[[#This Row],[SubGroup]],Структура_ассортимента[Subgroup],0)),"")</f>
        <v>GARDEN TOOL SET</v>
      </c>
      <c r="L504" s="36">
        <v>970475101</v>
      </c>
      <c r="M504" s="35" t="s">
        <v>2188</v>
      </c>
      <c r="O504" s="35" t="s">
        <v>5293</v>
      </c>
      <c r="P504" s="37" t="s">
        <v>5294</v>
      </c>
      <c r="Q504" s="34" t="s">
        <v>3549</v>
      </c>
      <c r="R504" s="34" t="s">
        <v>3540</v>
      </c>
      <c r="S504" s="47">
        <v>44197</v>
      </c>
      <c r="T504" s="47">
        <v>0</v>
      </c>
      <c r="U504" s="47">
        <v>0</v>
      </c>
      <c r="V504" s="34">
        <v>4078500052153</v>
      </c>
      <c r="W504" s="34" t="s">
        <v>3546</v>
      </c>
      <c r="Y504" s="34" t="s">
        <v>3542</v>
      </c>
      <c r="Z504" s="34">
        <v>5</v>
      </c>
      <c r="AM504" s="40" t="s">
        <v>11</v>
      </c>
      <c r="AT504" s="44">
        <v>0</v>
      </c>
      <c r="AU504" s="44"/>
      <c r="AV504" s="46">
        <f>ROUND(Товары[[#This Row],[РРЦ финальная, руб.]]/$AU$1,2)</f>
        <v>0</v>
      </c>
      <c r="AW504" s="45" t="str">
        <f>IFERROR(Товары[[#This Row],[РРЦ, евро]]/Товары[[#This Row],[IRP, Eur]],"-")</f>
        <v>-</v>
      </c>
      <c r="AX504" s="42">
        <f>IFERROR(VLOOKUP(Товары[[#This Row],[SubGroup]],'Структура цен DIY'!$B:$C,2,FALSE),0)</f>
        <v>0.27</v>
      </c>
      <c r="AY504" s="44">
        <v>0</v>
      </c>
    </row>
    <row r="505" spans="1:51" x14ac:dyDescent="0.25">
      <c r="A505" s="34">
        <v>503</v>
      </c>
      <c r="B505" s="34" t="s">
        <v>56</v>
      </c>
      <c r="C505" s="110" t="str">
        <f>IFERROR(INDEX(Структура_ассортимента[SuperCategory],MATCH(Товары[[#This Row],[SubGroup]],Структура_ассортимента[Subgroup],0)),"")</f>
        <v>A</v>
      </c>
      <c r="D50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0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05" s="110" t="str">
        <f>IFERROR(INDEX(Структура_ассортимента[Product group],MATCH(Товары[[#This Row],[SubGroup]],Структура_ассортимента[Subgroup],0)),"")</f>
        <v>AMT_C</v>
      </c>
      <c r="G505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05" s="110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505" s="36">
        <v>9223</v>
      </c>
      <c r="J505" s="36" t="str">
        <f>IFERROR(INDEX(Структура_ассортимента[Generic Name (long)],MATCH(Товары[[#This Row],[SubGroup]],Структура_ассортимента[Subgroup],0)),"")</f>
        <v>GARDEN TOOL SET</v>
      </c>
      <c r="L505" s="36">
        <v>970475201</v>
      </c>
      <c r="M505" s="35" t="s">
        <v>2189</v>
      </c>
      <c r="O505" s="35" t="s">
        <v>5295</v>
      </c>
      <c r="P505" s="37" t="s">
        <v>5296</v>
      </c>
      <c r="Q505" s="34" t="s">
        <v>3549</v>
      </c>
      <c r="R505" s="34" t="s">
        <v>3540</v>
      </c>
      <c r="S505" s="47">
        <v>44197</v>
      </c>
      <c r="T505" s="47">
        <v>0</v>
      </c>
      <c r="U505" s="47">
        <v>0</v>
      </c>
      <c r="V505" s="34">
        <v>4078500052177</v>
      </c>
      <c r="W505" s="34" t="s">
        <v>3546</v>
      </c>
      <c r="Y505" s="34" t="s">
        <v>3542</v>
      </c>
      <c r="Z505" s="34">
        <v>20</v>
      </c>
      <c r="AM505" s="40" t="s">
        <v>11</v>
      </c>
      <c r="AT505" s="44">
        <v>0</v>
      </c>
      <c r="AU505" s="44"/>
      <c r="AV505" s="46">
        <f>ROUND(Товары[[#This Row],[РРЦ финальная, руб.]]/$AU$1,2)</f>
        <v>0</v>
      </c>
      <c r="AW505" s="45" t="str">
        <f>IFERROR(Товары[[#This Row],[РРЦ, евро]]/Товары[[#This Row],[IRP, Eur]],"-")</f>
        <v>-</v>
      </c>
      <c r="AX505" s="42">
        <f>IFERROR(VLOOKUP(Товары[[#This Row],[SubGroup]],'Структура цен DIY'!$B:$C,2,FALSE),0)</f>
        <v>0.27</v>
      </c>
      <c r="AY505" s="44">
        <v>0</v>
      </c>
    </row>
    <row r="506" spans="1:51" x14ac:dyDescent="0.25">
      <c r="A506" s="34">
        <v>504</v>
      </c>
      <c r="B506" s="34" t="s">
        <v>56</v>
      </c>
      <c r="C506" s="110" t="str">
        <f>IFERROR(INDEX(Структура_ассортимента[SuperCategory],MATCH(Товары[[#This Row],[SubGroup]],Структура_ассортимента[Subgroup],0)),"")</f>
        <v>A</v>
      </c>
      <c r="D50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0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06" s="110" t="str">
        <f>IFERROR(INDEX(Структура_ассортимента[Product group],MATCH(Товары[[#This Row],[SubGroup]],Структура_ассортимента[Subgroup],0)),"")</f>
        <v>AMT_C</v>
      </c>
      <c r="G506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06" s="110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506" s="36">
        <v>9223</v>
      </c>
      <c r="J506" s="36" t="str">
        <f>IFERROR(INDEX(Структура_ассортимента[Generic Name (long)],MATCH(Товары[[#This Row],[SubGroup]],Структура_ассортимента[Subgroup],0)),"")</f>
        <v>GARDEN TOOL SET</v>
      </c>
      <c r="L506" s="36">
        <v>970475301</v>
      </c>
      <c r="M506" s="35" t="s">
        <v>2190</v>
      </c>
      <c r="O506" s="35" t="s">
        <v>5297</v>
      </c>
      <c r="P506" s="37" t="s">
        <v>5298</v>
      </c>
      <c r="Q506" s="34" t="s">
        <v>3549</v>
      </c>
      <c r="R506" s="34" t="s">
        <v>3540</v>
      </c>
      <c r="S506" s="47">
        <v>44197</v>
      </c>
      <c r="T506" s="47">
        <v>0</v>
      </c>
      <c r="U506" s="47">
        <v>0</v>
      </c>
      <c r="V506" s="34">
        <v>4078500052191</v>
      </c>
      <c r="W506" s="34" t="s">
        <v>3546</v>
      </c>
      <c r="Y506" s="34" t="s">
        <v>3542</v>
      </c>
      <c r="Z506" s="34">
        <v>5</v>
      </c>
      <c r="AM506" s="40" t="s">
        <v>11</v>
      </c>
      <c r="AT506" s="44">
        <v>0</v>
      </c>
      <c r="AU506" s="44"/>
      <c r="AV506" s="46">
        <f>ROUND(Товары[[#This Row],[РРЦ финальная, руб.]]/$AU$1,2)</f>
        <v>0</v>
      </c>
      <c r="AW506" s="45" t="str">
        <f>IFERROR(Товары[[#This Row],[РРЦ, евро]]/Товары[[#This Row],[IRP, Eur]],"-")</f>
        <v>-</v>
      </c>
      <c r="AX506" s="42">
        <f>IFERROR(VLOOKUP(Товары[[#This Row],[SubGroup]],'Структура цен DIY'!$B:$C,2,FALSE),0)</f>
        <v>0.27</v>
      </c>
      <c r="AY506" s="44">
        <v>0</v>
      </c>
    </row>
    <row r="507" spans="1:51" x14ac:dyDescent="0.25">
      <c r="A507" s="34">
        <v>505</v>
      </c>
      <c r="B507" s="34" t="s">
        <v>56</v>
      </c>
      <c r="C507" s="110" t="str">
        <f>IFERROR(INDEX(Структура_ассортимента[SuperCategory],MATCH(Товары[[#This Row],[SubGroup]],Структура_ассортимента[Subgroup],0)),"")</f>
        <v>A</v>
      </c>
      <c r="D50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0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07" s="110" t="str">
        <f>IFERROR(INDEX(Структура_ассортимента[Product group],MATCH(Товары[[#This Row],[SubGroup]],Структура_ассортимента[Subgroup],0)),"")</f>
        <v>AMT_C</v>
      </c>
      <c r="G507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07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507" s="36">
        <v>9221</v>
      </c>
      <c r="J507" s="36" t="str">
        <f>IFERROR(INDEX(Структура_ассортимента[Generic Name (long)],MATCH(Товары[[#This Row],[SubGroup]],Структура_ассортимента[Subgroup],0)),"")</f>
        <v>GARDEN TOOL SET</v>
      </c>
      <c r="L507" s="36">
        <v>901034001</v>
      </c>
      <c r="M507" s="35" t="s">
        <v>2191</v>
      </c>
      <c r="Q507" s="34" t="s">
        <v>3539</v>
      </c>
      <c r="R507" s="34" t="s">
        <v>3540</v>
      </c>
      <c r="S507" s="47">
        <v>39286</v>
      </c>
      <c r="T507" s="47">
        <v>0</v>
      </c>
      <c r="U507" s="47">
        <v>0</v>
      </c>
      <c r="V507" s="34">
        <v>4078500301770</v>
      </c>
      <c r="W507" s="34" t="s">
        <v>3543</v>
      </c>
      <c r="Y507" s="34" t="s">
        <v>3542</v>
      </c>
      <c r="Z507" s="34">
        <v>20</v>
      </c>
      <c r="AA507" s="34">
        <v>1210</v>
      </c>
      <c r="AB507" s="34">
        <v>1210</v>
      </c>
      <c r="AC507" s="34">
        <v>1150</v>
      </c>
      <c r="AD507" s="34">
        <v>1150</v>
      </c>
      <c r="AE507" s="34">
        <v>1195</v>
      </c>
      <c r="AF507" s="34">
        <v>50</v>
      </c>
      <c r="AG507" s="34">
        <v>28</v>
      </c>
      <c r="AH507" s="34">
        <v>1.673</v>
      </c>
      <c r="AM507" s="40" t="s">
        <v>8094</v>
      </c>
      <c r="AT507" s="44">
        <v>0</v>
      </c>
      <c r="AU507" s="44"/>
      <c r="AV507" s="46">
        <f>ROUND(Товары[[#This Row],[РРЦ финальная, руб.]]/$AU$1,2)</f>
        <v>0</v>
      </c>
      <c r="AW507" s="45" t="str">
        <f>IFERROR(Товары[[#This Row],[РРЦ, евро]]/Товары[[#This Row],[IRP, Eur]],"-")</f>
        <v>-</v>
      </c>
      <c r="AX507" s="42">
        <f>IFERROR(VLOOKUP(Товары[[#This Row],[SubGroup]],'Структура цен DIY'!$B:$C,2,FALSE),0)</f>
        <v>0.27</v>
      </c>
      <c r="AY507" s="44">
        <v>0</v>
      </c>
    </row>
    <row r="508" spans="1:51" x14ac:dyDescent="0.25">
      <c r="A508" s="34">
        <v>506</v>
      </c>
      <c r="B508" s="34" t="s">
        <v>56</v>
      </c>
      <c r="C508" s="110" t="str">
        <f>IFERROR(INDEX(Структура_ассортимента[SuperCategory],MATCH(Товары[[#This Row],[SubGroup]],Структура_ассортимента[Subgroup],0)),"")</f>
        <v>A</v>
      </c>
      <c r="D50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0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08" s="110" t="str">
        <f>IFERROR(INDEX(Структура_ассортимента[Product group],MATCH(Товары[[#This Row],[SubGroup]],Структура_ассортимента[Subgroup],0)),"")</f>
        <v>AMT_C</v>
      </c>
      <c r="G508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08" s="110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08" s="36">
        <v>9227</v>
      </c>
      <c r="J508" s="36" t="str">
        <f>IFERROR(INDEX(Структура_ассортимента[Generic Name (long)],MATCH(Товары[[#This Row],[SubGroup]],Структура_ассортимента[Subgroup],0)),"")</f>
        <v>PLANTER</v>
      </c>
      <c r="L508" s="36">
        <v>901036901</v>
      </c>
      <c r="M508" s="35" t="s">
        <v>2192</v>
      </c>
      <c r="Q508" s="34" t="s">
        <v>4565</v>
      </c>
      <c r="R508" s="34" t="s">
        <v>3540</v>
      </c>
      <c r="S508" s="47">
        <v>39356</v>
      </c>
      <c r="T508" s="47">
        <v>42735</v>
      </c>
      <c r="U508" s="47">
        <v>42735</v>
      </c>
      <c r="V508" s="34">
        <v>4078500305907</v>
      </c>
      <c r="W508" s="34" t="s">
        <v>3703</v>
      </c>
      <c r="Y508" s="34" t="s">
        <v>3542</v>
      </c>
      <c r="Z508" s="34">
        <v>50</v>
      </c>
      <c r="AA508" s="34">
        <v>173</v>
      </c>
      <c r="AB508" s="34">
        <v>173</v>
      </c>
      <c r="AC508" s="34">
        <v>165</v>
      </c>
      <c r="AD508" s="34">
        <v>165</v>
      </c>
      <c r="AE508" s="34">
        <v>320</v>
      </c>
      <c r="AF508" s="34">
        <v>30</v>
      </c>
      <c r="AG508" s="34">
        <v>74</v>
      </c>
      <c r="AH508" s="34">
        <v>0.71</v>
      </c>
      <c r="AM508" s="40" t="s">
        <v>8094</v>
      </c>
      <c r="AT508" s="44">
        <v>0</v>
      </c>
      <c r="AU508" s="44"/>
      <c r="AV508" s="46">
        <f>ROUND(Товары[[#This Row],[РРЦ финальная, руб.]]/$AU$1,2)</f>
        <v>0</v>
      </c>
      <c r="AW508" s="45" t="str">
        <f>IFERROR(Товары[[#This Row],[РРЦ, евро]]/Товары[[#This Row],[IRP, Eur]],"-")</f>
        <v>-</v>
      </c>
      <c r="AX508" s="42">
        <f>IFERROR(VLOOKUP(Товары[[#This Row],[SubGroup]],'Структура цен DIY'!$B:$C,2,FALSE),0)</f>
        <v>0.27976081460674185</v>
      </c>
      <c r="AY508" s="44">
        <v>0</v>
      </c>
    </row>
    <row r="509" spans="1:51" x14ac:dyDescent="0.25">
      <c r="A509" s="34">
        <v>507</v>
      </c>
      <c r="B509" s="34" t="s">
        <v>56</v>
      </c>
      <c r="C509" s="110" t="str">
        <f>IFERROR(INDEX(Структура_ассортимента[SuperCategory],MATCH(Товары[[#This Row],[SubGroup]],Структура_ассортимента[Subgroup],0)),"")</f>
        <v>A</v>
      </c>
      <c r="D50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0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09" s="110" t="str">
        <f>IFERROR(INDEX(Структура_ассортимента[Product group],MATCH(Товары[[#This Row],[SubGroup]],Структура_ассортимента[Subgroup],0)),"")</f>
        <v>AMT_C</v>
      </c>
      <c r="G509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09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509" s="36">
        <v>9221</v>
      </c>
      <c r="J509" s="36" t="str">
        <f>IFERROR(INDEX(Структура_ассортимента[Generic Name (long)],MATCH(Товары[[#This Row],[SubGroup]],Структура_ассортимента[Subgroup],0)),"")</f>
        <v>GARDEN TOOL SET</v>
      </c>
      <c r="L509" s="36">
        <v>901037301</v>
      </c>
      <c r="M509" s="35" t="s">
        <v>2193</v>
      </c>
      <c r="Q509" s="34" t="s">
        <v>3539</v>
      </c>
      <c r="R509" s="34" t="s">
        <v>3540</v>
      </c>
      <c r="S509" s="47">
        <v>38565</v>
      </c>
      <c r="T509" s="47">
        <v>0</v>
      </c>
      <c r="U509" s="47">
        <v>0</v>
      </c>
      <c r="V509" s="34">
        <v>4078500306805</v>
      </c>
      <c r="W509" s="34" t="s">
        <v>3543</v>
      </c>
      <c r="Y509" s="34" t="s">
        <v>3542</v>
      </c>
      <c r="Z509" s="34">
        <v>20</v>
      </c>
      <c r="AA509" s="34">
        <v>1600</v>
      </c>
      <c r="AB509" s="34">
        <v>1600</v>
      </c>
      <c r="AC509" s="34">
        <v>1500</v>
      </c>
      <c r="AD509" s="34">
        <v>1500</v>
      </c>
      <c r="AE509" s="34">
        <v>2110</v>
      </c>
      <c r="AF509" s="34">
        <v>160</v>
      </c>
      <c r="AG509" s="34">
        <v>71</v>
      </c>
      <c r="AH509" s="34">
        <v>23.97</v>
      </c>
      <c r="AM509" s="40" t="s">
        <v>8094</v>
      </c>
      <c r="AT509" s="44">
        <v>0</v>
      </c>
      <c r="AU509" s="44"/>
      <c r="AV509" s="46">
        <f>ROUND(Товары[[#This Row],[РРЦ финальная, руб.]]/$AU$1,2)</f>
        <v>0</v>
      </c>
      <c r="AW509" s="45" t="str">
        <f>IFERROR(Товары[[#This Row],[РРЦ, евро]]/Товары[[#This Row],[IRP, Eur]],"-")</f>
        <v>-</v>
      </c>
      <c r="AX509" s="42">
        <f>IFERROR(VLOOKUP(Товары[[#This Row],[SubGroup]],'Структура цен DIY'!$B:$C,2,FALSE),0)</f>
        <v>0.27</v>
      </c>
      <c r="AY509" s="44">
        <v>0</v>
      </c>
    </row>
    <row r="510" spans="1:51" x14ac:dyDescent="0.25">
      <c r="A510" s="34">
        <v>508</v>
      </c>
      <c r="B510" s="34" t="s">
        <v>56</v>
      </c>
      <c r="C510" s="110" t="str">
        <f>IFERROR(INDEX(Структура_ассортимента[SuperCategory],MATCH(Товары[[#This Row],[SubGroup]],Структура_ассортимента[Subgroup],0)),"")</f>
        <v>A</v>
      </c>
      <c r="D51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1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10" s="110" t="str">
        <f>IFERROR(INDEX(Структура_ассортимента[Product group],MATCH(Товары[[#This Row],[SubGroup]],Структура_ассортимента[Subgroup],0)),"")</f>
        <v>AMT_C</v>
      </c>
      <c r="G510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10" s="110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10" s="36">
        <v>9227</v>
      </c>
      <c r="J510" s="36" t="str">
        <f>IFERROR(INDEX(Структура_ассортимента[Generic Name (long)],MATCH(Товары[[#This Row],[SubGroup]],Структура_ассортимента[Subgroup],0)),"")</f>
        <v>PLANTER</v>
      </c>
      <c r="L510" s="36">
        <v>967302401</v>
      </c>
      <c r="M510" s="35" t="s">
        <v>2194</v>
      </c>
      <c r="Q510" s="34" t="s">
        <v>4565</v>
      </c>
      <c r="R510" s="34" t="s">
        <v>3540</v>
      </c>
      <c r="S510" s="47">
        <v>42005</v>
      </c>
      <c r="T510" s="47">
        <v>42735</v>
      </c>
      <c r="U510" s="47">
        <v>42735</v>
      </c>
      <c r="V510" s="34">
        <v>4078500008419</v>
      </c>
      <c r="W510" s="34" t="s">
        <v>3543</v>
      </c>
      <c r="Y510" s="34" t="s">
        <v>3542</v>
      </c>
      <c r="Z510" s="34">
        <v>20</v>
      </c>
      <c r="AA510" s="34">
        <v>725</v>
      </c>
      <c r="AB510" s="34">
        <v>725</v>
      </c>
      <c r="AC510" s="34">
        <v>700</v>
      </c>
      <c r="AD510" s="34">
        <v>700</v>
      </c>
      <c r="AE510" s="34">
        <v>170</v>
      </c>
      <c r="AF510" s="34">
        <v>112</v>
      </c>
      <c r="AG510" s="34">
        <v>410</v>
      </c>
      <c r="AH510" s="34">
        <v>7806</v>
      </c>
      <c r="AL510" s="34">
        <v>80</v>
      </c>
      <c r="AM510" s="40" t="s">
        <v>8094</v>
      </c>
      <c r="AT510" s="44">
        <v>0</v>
      </c>
      <c r="AU510" s="44"/>
      <c r="AV510" s="46">
        <f>ROUND(Товары[[#This Row],[РРЦ финальная, руб.]]/$AU$1,2)</f>
        <v>0</v>
      </c>
      <c r="AW510" s="45" t="str">
        <f>IFERROR(Товары[[#This Row],[РРЦ, евро]]/Товары[[#This Row],[IRP, Eur]],"-")</f>
        <v>-</v>
      </c>
      <c r="AX510" s="42">
        <f>IFERROR(VLOOKUP(Товары[[#This Row],[SubGroup]],'Структура цен DIY'!$B:$C,2,FALSE),0)</f>
        <v>0.27976081460674185</v>
      </c>
      <c r="AY510" s="44">
        <v>0</v>
      </c>
    </row>
    <row r="511" spans="1:51" x14ac:dyDescent="0.25">
      <c r="A511" s="34">
        <v>509</v>
      </c>
      <c r="B511" s="34" t="s">
        <v>56</v>
      </c>
      <c r="C511" s="110" t="str">
        <f>IFERROR(INDEX(Структура_ассортимента[SuperCategory],MATCH(Товары[[#This Row],[SubGroup]],Структура_ассортимента[Subgroup],0)),"")</f>
        <v>A</v>
      </c>
      <c r="D51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1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11" s="110" t="str">
        <f>IFERROR(INDEX(Структура_ассортимента[Product group],MATCH(Товары[[#This Row],[SubGroup]],Структура_ассортимента[Subgroup],0)),"")</f>
        <v>AMT_C</v>
      </c>
      <c r="G511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11" s="110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511" s="36">
        <v>9222</v>
      </c>
      <c r="J511" s="36" t="str">
        <f>IFERROR(INDEX(Структура_ассортимента[Generic Name (long)],MATCH(Товары[[#This Row],[SubGroup]],Структура_ассортимента[Subgroup],0)),"")</f>
        <v>GARDEN TOOL SET</v>
      </c>
      <c r="L511" s="36">
        <v>901038901</v>
      </c>
      <c r="M511" s="35" t="s">
        <v>2195</v>
      </c>
      <c r="Q511" s="34" t="s">
        <v>3539</v>
      </c>
      <c r="R511" s="34" t="s">
        <v>3540</v>
      </c>
      <c r="S511" s="47">
        <v>36434</v>
      </c>
      <c r="T511" s="47">
        <v>0</v>
      </c>
      <c r="U511" s="47">
        <v>0</v>
      </c>
      <c r="V511" s="34">
        <v>4078500310406</v>
      </c>
      <c r="W511" s="34" t="s">
        <v>3541</v>
      </c>
      <c r="Y511" s="34" t="s">
        <v>3542</v>
      </c>
      <c r="Z511" s="34">
        <v>5</v>
      </c>
      <c r="AA511" s="34">
        <v>536</v>
      </c>
      <c r="AB511" s="34">
        <v>536</v>
      </c>
      <c r="AC511" s="34">
        <v>420</v>
      </c>
      <c r="AD511" s="34">
        <v>420</v>
      </c>
      <c r="AE511" s="34">
        <v>500</v>
      </c>
      <c r="AF511" s="34">
        <v>350</v>
      </c>
      <c r="AG511" s="34">
        <v>75</v>
      </c>
      <c r="AH511" s="34">
        <v>13.125</v>
      </c>
      <c r="AM511" s="40" t="s">
        <v>8094</v>
      </c>
      <c r="AT511" s="44">
        <v>0</v>
      </c>
      <c r="AU511" s="44"/>
      <c r="AV511" s="46">
        <f>ROUND(Товары[[#This Row],[РРЦ финальная, руб.]]/$AU$1,2)</f>
        <v>0</v>
      </c>
      <c r="AW511" s="45" t="str">
        <f>IFERROR(Товары[[#This Row],[РРЦ, евро]]/Товары[[#This Row],[IRP, Eur]],"-")</f>
        <v>-</v>
      </c>
      <c r="AX511" s="42">
        <f>IFERROR(VLOOKUP(Товары[[#This Row],[SubGroup]],'Структура цен DIY'!$B:$C,2,FALSE),0)</f>
        <v>0.27</v>
      </c>
      <c r="AY511" s="44">
        <v>0</v>
      </c>
    </row>
    <row r="512" spans="1:51" x14ac:dyDescent="0.25">
      <c r="A512" s="34">
        <v>510</v>
      </c>
      <c r="B512" s="34" t="s">
        <v>56</v>
      </c>
      <c r="C512" s="110" t="str">
        <f>IFERROR(INDEX(Структура_ассортимента[SuperCategory],MATCH(Товары[[#This Row],[SubGroup]],Структура_ассортимента[Subgroup],0)),"")</f>
        <v>A</v>
      </c>
      <c r="D51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1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12" s="110" t="str">
        <f>IFERROR(INDEX(Структура_ассортимента[Product group],MATCH(Товары[[#This Row],[SubGroup]],Структура_ассортимента[Subgroup],0)),"")</f>
        <v>AMT_C</v>
      </c>
      <c r="G512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12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512" s="36">
        <v>9221</v>
      </c>
      <c r="J512" s="36" t="str">
        <f>IFERROR(INDEX(Структура_ассортимента[Generic Name (long)],MATCH(Товары[[#This Row],[SubGroup]],Структура_ассортимента[Subgroup],0)),"")</f>
        <v>GARDEN TOOL SET</v>
      </c>
      <c r="L512" s="36">
        <v>901039301</v>
      </c>
      <c r="M512" s="35" t="s">
        <v>2196</v>
      </c>
      <c r="Q512" s="34" t="s">
        <v>3544</v>
      </c>
      <c r="R512" s="34" t="s">
        <v>3540</v>
      </c>
      <c r="S512" s="47">
        <v>36434</v>
      </c>
      <c r="T512" s="47">
        <v>0</v>
      </c>
      <c r="U512" s="47">
        <v>0</v>
      </c>
      <c r="V512" s="34">
        <v>4078500311007</v>
      </c>
      <c r="W512" s="34" t="s">
        <v>3703</v>
      </c>
      <c r="Y512" s="34" t="s">
        <v>3542</v>
      </c>
      <c r="Z512" s="34">
        <v>5</v>
      </c>
      <c r="AA512" s="34">
        <v>212</v>
      </c>
      <c r="AB512" s="34">
        <v>212</v>
      </c>
      <c r="AC512" s="34">
        <v>200</v>
      </c>
      <c r="AD512" s="34">
        <v>200</v>
      </c>
      <c r="AE512" s="34">
        <v>295</v>
      </c>
      <c r="AF512" s="34">
        <v>160</v>
      </c>
      <c r="AG512" s="34">
        <v>71</v>
      </c>
      <c r="AH512" s="34">
        <v>3.351</v>
      </c>
      <c r="AM512" s="40" t="s">
        <v>8094</v>
      </c>
      <c r="AT512" s="44">
        <v>0</v>
      </c>
      <c r="AU512" s="44"/>
      <c r="AV512" s="46">
        <f>ROUND(Товары[[#This Row],[РРЦ финальная, руб.]]/$AU$1,2)</f>
        <v>0</v>
      </c>
      <c r="AW512" s="45" t="str">
        <f>IFERROR(Товары[[#This Row],[РРЦ, евро]]/Товары[[#This Row],[IRP, Eur]],"-")</f>
        <v>-</v>
      </c>
      <c r="AX512" s="42">
        <f>IFERROR(VLOOKUP(Товары[[#This Row],[SubGroup]],'Структура цен DIY'!$B:$C,2,FALSE),0)</f>
        <v>0.27</v>
      </c>
      <c r="AY512" s="44">
        <v>0</v>
      </c>
    </row>
    <row r="513" spans="1:51" x14ac:dyDescent="0.25">
      <c r="A513" s="34">
        <v>511</v>
      </c>
      <c r="B513" s="34" t="s">
        <v>56</v>
      </c>
      <c r="C513" s="110" t="str">
        <f>IFERROR(INDEX(Структура_ассортимента[SuperCategory],MATCH(Товары[[#This Row],[SubGroup]],Структура_ассортимента[Subgroup],0)),"")</f>
        <v>A</v>
      </c>
      <c r="D51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1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13" s="110" t="str">
        <f>IFERROR(INDEX(Структура_ассортимента[Product group],MATCH(Товары[[#This Row],[SubGroup]],Структура_ассортимента[Subgroup],0)),"")</f>
        <v>AMT_C</v>
      </c>
      <c r="G513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13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513" s="36">
        <v>9221</v>
      </c>
      <c r="J513" s="36" t="str">
        <f>IFERROR(INDEX(Структура_ассортимента[Generic Name (long)],MATCH(Товары[[#This Row],[SubGroup]],Структура_ассортимента[Subgroup],0)),"")</f>
        <v>GARDEN TOOL SET</v>
      </c>
      <c r="L513" s="36">
        <v>967319001</v>
      </c>
      <c r="M513" s="35" t="s">
        <v>2197</v>
      </c>
      <c r="Q513" s="34" t="s">
        <v>3544</v>
      </c>
      <c r="R513" s="34" t="s">
        <v>3540</v>
      </c>
      <c r="S513" s="47">
        <v>42186</v>
      </c>
      <c r="T513" s="47">
        <v>0</v>
      </c>
      <c r="U513" s="47">
        <v>0</v>
      </c>
      <c r="V513" s="34">
        <v>4078500012690</v>
      </c>
      <c r="W513" s="34" t="s">
        <v>3543</v>
      </c>
      <c r="Y513" s="34" t="s">
        <v>3542</v>
      </c>
      <c r="AM513" s="40" t="s">
        <v>8094</v>
      </c>
      <c r="AT513" s="44">
        <v>0</v>
      </c>
      <c r="AU513" s="44"/>
      <c r="AV513" s="46">
        <f>ROUND(Товары[[#This Row],[РРЦ финальная, руб.]]/$AU$1,2)</f>
        <v>0</v>
      </c>
      <c r="AW513" s="45" t="str">
        <f>IFERROR(Товары[[#This Row],[РРЦ, евро]]/Товары[[#This Row],[IRP, Eur]],"-")</f>
        <v>-</v>
      </c>
      <c r="AX513" s="42">
        <f>IFERROR(VLOOKUP(Товары[[#This Row],[SubGroup]],'Структура цен DIY'!$B:$C,2,FALSE),0)</f>
        <v>0.27</v>
      </c>
      <c r="AY513" s="44">
        <v>0</v>
      </c>
    </row>
    <row r="514" spans="1:51" x14ac:dyDescent="0.25">
      <c r="A514" s="34">
        <v>512</v>
      </c>
      <c r="B514" s="34" t="s">
        <v>56</v>
      </c>
      <c r="C514" s="110" t="str">
        <f>IFERROR(INDEX(Структура_ассортимента[SuperCategory],MATCH(Товары[[#This Row],[SubGroup]],Структура_ассортимента[Subgroup],0)),"")</f>
        <v>A</v>
      </c>
      <c r="D51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1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14" s="110" t="str">
        <f>IFERROR(INDEX(Структура_ассортимента[Product group],MATCH(Товары[[#This Row],[SubGroup]],Структура_ассортимента[Subgroup],0)),"")</f>
        <v>AMT_C</v>
      </c>
      <c r="G514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14" s="110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14" s="36">
        <v>9227</v>
      </c>
      <c r="J514" s="36" t="str">
        <f>IFERROR(INDEX(Структура_ассортимента[Generic Name (long)],MATCH(Товары[[#This Row],[SubGroup]],Структура_ассортимента[Subgroup],0)),"")</f>
        <v>PLANTER</v>
      </c>
      <c r="L514" s="36">
        <v>901045901</v>
      </c>
      <c r="M514" s="35" t="s">
        <v>2198</v>
      </c>
      <c r="Q514" s="34" t="s">
        <v>4565</v>
      </c>
      <c r="R514" s="34" t="s">
        <v>3540</v>
      </c>
      <c r="S514" s="47">
        <v>36434</v>
      </c>
      <c r="T514" s="47">
        <v>42735</v>
      </c>
      <c r="U514" s="47">
        <v>42735</v>
      </c>
      <c r="V514" s="34">
        <v>4078500347808</v>
      </c>
      <c r="W514" s="34" t="s">
        <v>3703</v>
      </c>
      <c r="Y514" s="34" t="s">
        <v>3542</v>
      </c>
      <c r="Z514" s="34">
        <v>5</v>
      </c>
      <c r="AA514" s="34">
        <v>230</v>
      </c>
      <c r="AB514" s="34">
        <v>230</v>
      </c>
      <c r="AC514" s="34">
        <v>220</v>
      </c>
      <c r="AD514" s="34">
        <v>220</v>
      </c>
      <c r="AE514" s="34">
        <v>320</v>
      </c>
      <c r="AF514" s="34">
        <v>85</v>
      </c>
      <c r="AG514" s="34">
        <v>70</v>
      </c>
      <c r="AH514" s="34">
        <v>1.9039999999999999</v>
      </c>
      <c r="AM514" s="40" t="s">
        <v>8094</v>
      </c>
      <c r="AT514" s="44">
        <v>0</v>
      </c>
      <c r="AU514" s="44"/>
      <c r="AV514" s="46">
        <f>ROUND(Товары[[#This Row],[РРЦ финальная, руб.]]/$AU$1,2)</f>
        <v>0</v>
      </c>
      <c r="AW514" s="45" t="str">
        <f>IFERROR(Товары[[#This Row],[РРЦ, евро]]/Товары[[#This Row],[IRP, Eur]],"-")</f>
        <v>-</v>
      </c>
      <c r="AX514" s="42">
        <f>IFERROR(VLOOKUP(Товары[[#This Row],[SubGroup]],'Структура цен DIY'!$B:$C,2,FALSE),0)</f>
        <v>0.27976081460674185</v>
      </c>
      <c r="AY514" s="44">
        <v>0</v>
      </c>
    </row>
    <row r="515" spans="1:51" x14ac:dyDescent="0.25">
      <c r="A515" s="34">
        <v>513</v>
      </c>
      <c r="B515" s="34" t="s">
        <v>56</v>
      </c>
      <c r="C515" s="110" t="str">
        <f>IFERROR(INDEX(Структура_ассортимента[SuperCategory],MATCH(Товары[[#This Row],[SubGroup]],Структура_ассортимента[Subgroup],0)),"")</f>
        <v>A</v>
      </c>
      <c r="D51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1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15" s="110" t="str">
        <f>IFERROR(INDEX(Структура_ассортимента[Product group],MATCH(Товары[[#This Row],[SubGroup]],Структура_ассортимента[Subgroup],0)),"")</f>
        <v>AMT_C</v>
      </c>
      <c r="G515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15" s="110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15" s="36">
        <v>9226</v>
      </c>
      <c r="J515" s="36" t="str">
        <f>IFERROR(INDEX(Структура_ассортимента[Generic Name (long)],MATCH(Товары[[#This Row],[SubGroup]],Структура_ассортимента[Subgroup],0)),"")</f>
        <v>GARDEN TOOL SET</v>
      </c>
      <c r="L515" s="36">
        <v>901046401</v>
      </c>
      <c r="M515" s="35" t="s">
        <v>2199</v>
      </c>
      <c r="Q515" s="34" t="s">
        <v>3544</v>
      </c>
      <c r="R515" s="34" t="s">
        <v>3540</v>
      </c>
      <c r="S515" s="47">
        <v>35490</v>
      </c>
      <c r="T515" s="47">
        <v>0</v>
      </c>
      <c r="U515" s="47">
        <v>0</v>
      </c>
      <c r="V515" s="34">
        <v>4078500351607</v>
      </c>
      <c r="W515" s="34" t="s">
        <v>3703</v>
      </c>
      <c r="Y515" s="34" t="s">
        <v>3542</v>
      </c>
      <c r="Z515" s="34">
        <v>5</v>
      </c>
      <c r="AA515" s="34">
        <v>312</v>
      </c>
      <c r="AB515" s="34">
        <v>312</v>
      </c>
      <c r="AC515" s="34">
        <v>300</v>
      </c>
      <c r="AD515" s="34">
        <v>300</v>
      </c>
      <c r="AE515" s="34">
        <v>580</v>
      </c>
      <c r="AF515" s="34">
        <v>45</v>
      </c>
      <c r="AG515" s="34">
        <v>45</v>
      </c>
      <c r="AH515" s="34">
        <v>1.175</v>
      </c>
      <c r="AM515" s="40" t="s">
        <v>8094</v>
      </c>
      <c r="AT515" s="44">
        <v>0</v>
      </c>
      <c r="AU515" s="44"/>
      <c r="AV515" s="46">
        <f>ROUND(Товары[[#This Row],[РРЦ финальная, руб.]]/$AU$1,2)</f>
        <v>0</v>
      </c>
      <c r="AW515" s="45" t="str">
        <f>IFERROR(Товары[[#This Row],[РРЦ, евро]]/Товары[[#This Row],[IRP, Eur]],"-")</f>
        <v>-</v>
      </c>
      <c r="AX515" s="42">
        <f>IFERROR(VLOOKUP(Товары[[#This Row],[SubGroup]],'Структура цен DIY'!$B:$C,2,FALSE),0)</f>
        <v>0.27976081460674185</v>
      </c>
      <c r="AY515" s="44">
        <v>0</v>
      </c>
    </row>
    <row r="516" spans="1:51" x14ac:dyDescent="0.25">
      <c r="A516" s="34">
        <v>514</v>
      </c>
      <c r="B516" s="34" t="s">
        <v>56</v>
      </c>
      <c r="C516" s="110" t="str">
        <f>IFERROR(INDEX(Структура_ассортимента[SuperCategory],MATCH(Товары[[#This Row],[SubGroup]],Структура_ассортимента[Subgroup],0)),"")</f>
        <v>A</v>
      </c>
      <c r="D51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1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16" s="110" t="str">
        <f>IFERROR(INDEX(Структура_ассортимента[Product group],MATCH(Товары[[#This Row],[SubGroup]],Структура_ассортимента[Subgroup],0)),"")</f>
        <v>AMT_C</v>
      </c>
      <c r="G516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16" s="110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516" s="36">
        <v>9223</v>
      </c>
      <c r="J516" s="36" t="str">
        <f>IFERROR(INDEX(Структура_ассортимента[Generic Name (long)],MATCH(Товары[[#This Row],[SubGroup]],Структура_ассортимента[Subgroup],0)),"")</f>
        <v>GARDEN TOOL SET</v>
      </c>
      <c r="L516" s="36">
        <v>901049901</v>
      </c>
      <c r="M516" s="35" t="s">
        <v>2200</v>
      </c>
      <c r="Q516" s="34" t="s">
        <v>3544</v>
      </c>
      <c r="R516" s="34" t="s">
        <v>3540</v>
      </c>
      <c r="S516" s="47">
        <v>36434</v>
      </c>
      <c r="T516" s="47">
        <v>0</v>
      </c>
      <c r="U516" s="47">
        <v>0</v>
      </c>
      <c r="V516" s="34">
        <v>4078500361002</v>
      </c>
      <c r="W516" s="34" t="s">
        <v>3550</v>
      </c>
      <c r="Y516" s="34" t="s">
        <v>3542</v>
      </c>
      <c r="Z516" s="34">
        <v>5</v>
      </c>
      <c r="AA516" s="34">
        <v>285</v>
      </c>
      <c r="AB516" s="34">
        <v>306</v>
      </c>
      <c r="AC516" s="34">
        <v>210</v>
      </c>
      <c r="AD516" s="34">
        <v>210</v>
      </c>
      <c r="AE516" s="34">
        <v>330</v>
      </c>
      <c r="AF516" s="34">
        <v>255</v>
      </c>
      <c r="AG516" s="34">
        <v>25</v>
      </c>
      <c r="AH516" s="34">
        <v>2.1040000000000001</v>
      </c>
      <c r="AM516" s="40" t="s">
        <v>8094</v>
      </c>
      <c r="AT516" s="44">
        <v>0</v>
      </c>
      <c r="AU516" s="44"/>
      <c r="AV516" s="46">
        <f>ROUND(Товары[[#This Row],[РРЦ финальная, руб.]]/$AU$1,2)</f>
        <v>0</v>
      </c>
      <c r="AW516" s="45" t="str">
        <f>IFERROR(Товары[[#This Row],[РРЦ, евро]]/Товары[[#This Row],[IRP, Eur]],"-")</f>
        <v>-</v>
      </c>
      <c r="AX516" s="42">
        <f>IFERROR(VLOOKUP(Товары[[#This Row],[SubGroup]],'Структура цен DIY'!$B:$C,2,FALSE),0)</f>
        <v>0.27</v>
      </c>
      <c r="AY516" s="44">
        <v>0</v>
      </c>
    </row>
    <row r="517" spans="1:51" x14ac:dyDescent="0.25">
      <c r="A517" s="34">
        <v>515</v>
      </c>
      <c r="B517" s="34" t="s">
        <v>56</v>
      </c>
      <c r="C517" s="110" t="str">
        <f>IFERROR(INDEX(Структура_ассортимента[SuperCategory],MATCH(Товары[[#This Row],[SubGroup]],Структура_ассортимента[Subgroup],0)),"")</f>
        <v>A</v>
      </c>
      <c r="D51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1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17" s="110" t="str">
        <f>IFERROR(INDEX(Структура_ассортимента[Product group],MATCH(Товары[[#This Row],[SubGroup]],Структура_ассортимента[Subgroup],0)),"")</f>
        <v>AMT_C</v>
      </c>
      <c r="G517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17" s="110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517" s="36">
        <v>9223</v>
      </c>
      <c r="J517" s="36" t="str">
        <f>IFERROR(INDEX(Структура_ассортимента[Generic Name (long)],MATCH(Товары[[#This Row],[SubGroup]],Структура_ассортимента[Subgroup],0)),"")</f>
        <v>GARDEN TOOL SET</v>
      </c>
      <c r="L517" s="36">
        <v>966642901</v>
      </c>
      <c r="M517" s="35" t="s">
        <v>2201</v>
      </c>
      <c r="Q517" s="34" t="s">
        <v>3539</v>
      </c>
      <c r="R517" s="34" t="s">
        <v>3540</v>
      </c>
      <c r="S517" s="47">
        <v>40452</v>
      </c>
      <c r="T517" s="47">
        <v>0</v>
      </c>
      <c r="U517" s="47">
        <v>0</v>
      </c>
      <c r="V517" s="34">
        <v>4078500362108</v>
      </c>
      <c r="W517" s="34" t="s">
        <v>3550</v>
      </c>
      <c r="Y517" s="34" t="s">
        <v>3542</v>
      </c>
      <c r="Z517" s="34">
        <v>5</v>
      </c>
      <c r="AA517" s="34">
        <v>460</v>
      </c>
      <c r="AB517" s="34">
        <v>460</v>
      </c>
      <c r="AC517" s="34">
        <v>450</v>
      </c>
      <c r="AD517" s="34">
        <v>450</v>
      </c>
      <c r="AE517" s="34">
        <v>450</v>
      </c>
      <c r="AF517" s="34">
        <v>215</v>
      </c>
      <c r="AG517" s="34">
        <v>80</v>
      </c>
      <c r="AH517" s="34">
        <v>7.74</v>
      </c>
      <c r="AM517" s="40" t="s">
        <v>8094</v>
      </c>
      <c r="AT517" s="44">
        <v>0</v>
      </c>
      <c r="AU517" s="44"/>
      <c r="AV517" s="46">
        <f>ROUND(Товары[[#This Row],[РРЦ финальная, руб.]]/$AU$1,2)</f>
        <v>0</v>
      </c>
      <c r="AW517" s="45" t="str">
        <f>IFERROR(Товары[[#This Row],[РРЦ, евро]]/Товары[[#This Row],[IRP, Eur]],"-")</f>
        <v>-</v>
      </c>
      <c r="AX517" s="42">
        <f>IFERROR(VLOOKUP(Товары[[#This Row],[SubGroup]],'Структура цен DIY'!$B:$C,2,FALSE),0)</f>
        <v>0.27</v>
      </c>
      <c r="AY517" s="44">
        <v>0</v>
      </c>
    </row>
    <row r="518" spans="1:51" x14ac:dyDescent="0.25">
      <c r="A518" s="34">
        <v>516</v>
      </c>
      <c r="B518" s="34" t="s">
        <v>56</v>
      </c>
      <c r="C518" s="110" t="str">
        <f>IFERROR(INDEX(Структура_ассортимента[SuperCategory],MATCH(Товары[[#This Row],[SubGroup]],Структура_ассортимента[Subgroup],0)),"")</f>
        <v>A</v>
      </c>
      <c r="D51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1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18" s="110" t="str">
        <f>IFERROR(INDEX(Структура_ассортимента[Product group],MATCH(Товары[[#This Row],[SubGroup]],Структура_ассортимента[Subgroup],0)),"")</f>
        <v>AMT_C</v>
      </c>
      <c r="G518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18" s="110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518" s="36">
        <v>9223</v>
      </c>
      <c r="J518" s="36" t="str">
        <f>IFERROR(INDEX(Структура_ассортимента[Generic Name (long)],MATCH(Товары[[#This Row],[SubGroup]],Структура_ассортимента[Subgroup],0)),"")</f>
        <v>GARDEN TOOL SET</v>
      </c>
      <c r="L518" s="36">
        <v>966643301</v>
      </c>
      <c r="M518" s="35" t="s">
        <v>2202</v>
      </c>
      <c r="Q518" s="34" t="s">
        <v>3539</v>
      </c>
      <c r="R518" s="34" t="s">
        <v>3540</v>
      </c>
      <c r="S518" s="47">
        <v>40452</v>
      </c>
      <c r="T518" s="47">
        <v>0</v>
      </c>
      <c r="U518" s="47">
        <v>0</v>
      </c>
      <c r="V518" s="34">
        <v>4078500362191</v>
      </c>
      <c r="W518" s="34" t="s">
        <v>3543</v>
      </c>
      <c r="Y518" s="34" t="s">
        <v>3542</v>
      </c>
      <c r="Z518" s="34">
        <v>20</v>
      </c>
      <c r="AA518" s="34">
        <v>1156</v>
      </c>
      <c r="AB518" s="34">
        <v>1156</v>
      </c>
      <c r="AC518" s="34">
        <v>890</v>
      </c>
      <c r="AD518" s="34">
        <v>890</v>
      </c>
      <c r="AE518" s="34">
        <v>1170</v>
      </c>
      <c r="AF518" s="34">
        <v>215</v>
      </c>
      <c r="AG518" s="34">
        <v>80</v>
      </c>
      <c r="AH518" s="34">
        <v>20.123999999999999</v>
      </c>
      <c r="AM518" s="40" t="s">
        <v>8094</v>
      </c>
      <c r="AT518" s="44">
        <v>0</v>
      </c>
      <c r="AU518" s="44"/>
      <c r="AV518" s="46">
        <f>ROUND(Товары[[#This Row],[РРЦ финальная, руб.]]/$AU$1,2)</f>
        <v>0</v>
      </c>
      <c r="AW518" s="45" t="str">
        <f>IFERROR(Товары[[#This Row],[РРЦ, евро]]/Товары[[#This Row],[IRP, Eur]],"-")</f>
        <v>-</v>
      </c>
      <c r="AX518" s="42">
        <f>IFERROR(VLOOKUP(Товары[[#This Row],[SubGroup]],'Структура цен DIY'!$B:$C,2,FALSE),0)</f>
        <v>0.27</v>
      </c>
      <c r="AY518" s="44">
        <v>0</v>
      </c>
    </row>
    <row r="519" spans="1:51" x14ac:dyDescent="0.25">
      <c r="A519" s="34">
        <v>517</v>
      </c>
      <c r="B519" s="34" t="s">
        <v>56</v>
      </c>
      <c r="C519" s="110" t="str">
        <f>IFERROR(INDEX(Структура_ассортимента[SuperCategory],MATCH(Товары[[#This Row],[SubGroup]],Структура_ассортимента[Subgroup],0)),"")</f>
        <v>A</v>
      </c>
      <c r="D51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1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19" s="110" t="str">
        <f>IFERROR(INDEX(Структура_ассортимента[Product group],MATCH(Товары[[#This Row],[SubGroup]],Структура_ассортимента[Subgroup],0)),"")</f>
        <v>AMT_C</v>
      </c>
      <c r="G519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19" s="110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519" s="36">
        <v>9223</v>
      </c>
      <c r="J519" s="36" t="str">
        <f>IFERROR(INDEX(Структура_ассортимента[Generic Name (long)],MATCH(Товары[[#This Row],[SubGroup]],Структура_ассортимента[Subgroup],0)),"")</f>
        <v>GARDEN TOOL SET</v>
      </c>
      <c r="L519" s="36">
        <v>901050301</v>
      </c>
      <c r="M519" s="35" t="s">
        <v>2203</v>
      </c>
      <c r="Q519" s="34" t="s">
        <v>3544</v>
      </c>
      <c r="R519" s="34" t="s">
        <v>3540</v>
      </c>
      <c r="S519" s="47">
        <v>36434</v>
      </c>
      <c r="T519" s="47">
        <v>0</v>
      </c>
      <c r="U519" s="47">
        <v>0</v>
      </c>
      <c r="V519" s="34">
        <v>4078500363303</v>
      </c>
      <c r="W519" s="34" t="s">
        <v>3550</v>
      </c>
      <c r="Y519" s="34" t="s">
        <v>3542</v>
      </c>
      <c r="Z519" s="34">
        <v>5</v>
      </c>
      <c r="AA519" s="34">
        <v>382</v>
      </c>
      <c r="AB519" s="34">
        <v>382</v>
      </c>
      <c r="AC519" s="34">
        <v>267</v>
      </c>
      <c r="AD519" s="34">
        <v>267</v>
      </c>
      <c r="AE519" s="34">
        <v>369</v>
      </c>
      <c r="AF519" s="34">
        <v>220</v>
      </c>
      <c r="AG519" s="34">
        <v>50</v>
      </c>
      <c r="AH519" s="34">
        <v>4.0590000000000002</v>
      </c>
      <c r="AM519" s="40" t="s">
        <v>8094</v>
      </c>
      <c r="AT519" s="44">
        <v>0</v>
      </c>
      <c r="AU519" s="44"/>
      <c r="AV519" s="46">
        <f>ROUND(Товары[[#This Row],[РРЦ финальная, руб.]]/$AU$1,2)</f>
        <v>0</v>
      </c>
      <c r="AW519" s="45" t="str">
        <f>IFERROR(Товары[[#This Row],[РРЦ, евро]]/Товары[[#This Row],[IRP, Eur]],"-")</f>
        <v>-</v>
      </c>
      <c r="AX519" s="42">
        <f>IFERROR(VLOOKUP(Товары[[#This Row],[SubGroup]],'Структура цен DIY'!$B:$C,2,FALSE),0)</f>
        <v>0.27</v>
      </c>
      <c r="AY519" s="44">
        <v>0</v>
      </c>
    </row>
    <row r="520" spans="1:51" x14ac:dyDescent="0.25">
      <c r="A520" s="34">
        <v>518</v>
      </c>
      <c r="B520" s="34" t="s">
        <v>56</v>
      </c>
      <c r="C520" s="110" t="str">
        <f>IFERROR(INDEX(Структура_ассортимента[SuperCategory],MATCH(Товары[[#This Row],[SubGroup]],Структура_ассортимента[Subgroup],0)),"")</f>
        <v>A</v>
      </c>
      <c r="D52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2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20" s="110" t="str">
        <f>IFERROR(INDEX(Структура_ассортимента[Product group],MATCH(Товары[[#This Row],[SubGroup]],Структура_ассортимента[Subgroup],0)),"")</f>
        <v>AMT_C</v>
      </c>
      <c r="G520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20" s="110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520" s="36">
        <v>9223</v>
      </c>
      <c r="J520" s="36" t="str">
        <f>IFERROR(INDEX(Структура_ассортимента[Generic Name (long)],MATCH(Товары[[#This Row],[SubGroup]],Структура_ассортимента[Subgroup],0)),"")</f>
        <v>GARDEN TOOL SET</v>
      </c>
      <c r="L520" s="36">
        <v>901050601</v>
      </c>
      <c r="M520" s="35" t="s">
        <v>2204</v>
      </c>
      <c r="Q520" s="34" t="s">
        <v>3544</v>
      </c>
      <c r="R520" s="34" t="s">
        <v>3540</v>
      </c>
      <c r="S520" s="47">
        <v>36434</v>
      </c>
      <c r="T520" s="47">
        <v>0</v>
      </c>
      <c r="U520" s="47">
        <v>0</v>
      </c>
      <c r="V520" s="34">
        <v>4078500365000</v>
      </c>
      <c r="W520" s="34" t="s">
        <v>3550</v>
      </c>
      <c r="Y520" s="34" t="s">
        <v>3542</v>
      </c>
      <c r="Z520" s="34">
        <v>5</v>
      </c>
      <c r="AA520" s="34">
        <v>360</v>
      </c>
      <c r="AB520" s="34">
        <v>360</v>
      </c>
      <c r="AC520" s="34">
        <v>270</v>
      </c>
      <c r="AD520" s="34">
        <v>270</v>
      </c>
      <c r="AE520" s="34">
        <v>476</v>
      </c>
      <c r="AF520" s="34">
        <v>150</v>
      </c>
      <c r="AG520" s="34">
        <v>50</v>
      </c>
      <c r="AH520" s="34">
        <v>3.57</v>
      </c>
      <c r="AM520" s="40" t="s">
        <v>8094</v>
      </c>
      <c r="AT520" s="44">
        <v>0</v>
      </c>
      <c r="AU520" s="44"/>
      <c r="AV520" s="46">
        <f>ROUND(Товары[[#This Row],[РРЦ финальная, руб.]]/$AU$1,2)</f>
        <v>0</v>
      </c>
      <c r="AW520" s="45" t="str">
        <f>IFERROR(Товары[[#This Row],[РРЦ, евро]]/Товары[[#This Row],[IRP, Eur]],"-")</f>
        <v>-</v>
      </c>
      <c r="AX520" s="42">
        <f>IFERROR(VLOOKUP(Товары[[#This Row],[SubGroup]],'Структура цен DIY'!$B:$C,2,FALSE),0)</f>
        <v>0.27</v>
      </c>
      <c r="AY520" s="44">
        <v>0</v>
      </c>
    </row>
    <row r="521" spans="1:51" x14ac:dyDescent="0.25">
      <c r="A521" s="34">
        <v>519</v>
      </c>
      <c r="B521" s="34" t="s">
        <v>56</v>
      </c>
      <c r="C521" s="110" t="str">
        <f>IFERROR(INDEX(Структура_ассортимента[SuperCategory],MATCH(Товары[[#This Row],[SubGroup]],Структура_ассортимента[Subgroup],0)),"")</f>
        <v>A</v>
      </c>
      <c r="D52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2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21" s="110" t="str">
        <f>IFERROR(INDEX(Структура_ассортимента[Product group],MATCH(Товары[[#This Row],[SubGroup]],Структура_ассортимента[Subgroup],0)),"")</f>
        <v>AMT_C</v>
      </c>
      <c r="G521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21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521" s="36">
        <v>9221</v>
      </c>
      <c r="J521" s="36" t="str">
        <f>IFERROR(INDEX(Структура_ассортимента[Generic Name (long)],MATCH(Товары[[#This Row],[SubGroup]],Структура_ассортимента[Subgroup],0)),"")</f>
        <v>GARDEN TOOL SET</v>
      </c>
      <c r="L521" s="36">
        <v>901051501</v>
      </c>
      <c r="M521" s="35" t="s">
        <v>2205</v>
      </c>
      <c r="Q521" s="34" t="s">
        <v>3539</v>
      </c>
      <c r="R521" s="34" t="s">
        <v>3540</v>
      </c>
      <c r="S521" s="47">
        <v>36434</v>
      </c>
      <c r="T521" s="47">
        <v>0</v>
      </c>
      <c r="U521" s="47">
        <v>0</v>
      </c>
      <c r="V521" s="34">
        <v>4078500371100</v>
      </c>
      <c r="W521" s="34" t="s">
        <v>3547</v>
      </c>
      <c r="Y521" s="34" t="s">
        <v>3542</v>
      </c>
      <c r="Z521" s="34">
        <v>6</v>
      </c>
      <c r="AA521" s="34">
        <v>1000</v>
      </c>
      <c r="AB521" s="34">
        <v>1000</v>
      </c>
      <c r="AC521" s="34">
        <v>950</v>
      </c>
      <c r="AD521" s="34">
        <v>950</v>
      </c>
      <c r="AE521" s="34">
        <v>1600</v>
      </c>
      <c r="AF521" s="34">
        <v>46</v>
      </c>
      <c r="AG521" s="34">
        <v>40</v>
      </c>
      <c r="AH521" s="34">
        <v>2.944</v>
      </c>
      <c r="AM521" s="40" t="s">
        <v>8094</v>
      </c>
      <c r="AT521" s="44">
        <v>0</v>
      </c>
      <c r="AU521" s="44"/>
      <c r="AV521" s="46">
        <f>ROUND(Товары[[#This Row],[РРЦ финальная, руб.]]/$AU$1,2)</f>
        <v>0</v>
      </c>
      <c r="AW521" s="45" t="str">
        <f>IFERROR(Товары[[#This Row],[РРЦ, евро]]/Товары[[#This Row],[IRP, Eur]],"-")</f>
        <v>-</v>
      </c>
      <c r="AX521" s="42">
        <f>IFERROR(VLOOKUP(Товары[[#This Row],[SubGroup]],'Структура цен DIY'!$B:$C,2,FALSE),0)</f>
        <v>0.27</v>
      </c>
      <c r="AY521" s="44">
        <v>0</v>
      </c>
    </row>
    <row r="522" spans="1:51" x14ac:dyDescent="0.25">
      <c r="A522" s="34">
        <v>520</v>
      </c>
      <c r="B522" s="34" t="s">
        <v>56</v>
      </c>
      <c r="C522" s="110" t="str">
        <f>IFERROR(INDEX(Структура_ассортимента[SuperCategory],MATCH(Товары[[#This Row],[SubGroup]],Структура_ассортимента[Subgroup],0)),"")</f>
        <v>A</v>
      </c>
      <c r="D52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2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22" s="110" t="str">
        <f>IFERROR(INDEX(Структура_ассортимента[Product group],MATCH(Товары[[#This Row],[SubGroup]],Структура_ассортимента[Subgroup],0)),"")</f>
        <v>AMT_C</v>
      </c>
      <c r="G522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22" s="110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522" s="36">
        <v>9221</v>
      </c>
      <c r="J522" s="36" t="str">
        <f>IFERROR(INDEX(Структура_ассортимента[Generic Name (long)],MATCH(Товары[[#This Row],[SubGroup]],Структура_ассортимента[Subgroup],0)),"")</f>
        <v>GARDEN TOOL SET</v>
      </c>
      <c r="L522" s="36">
        <v>901051701</v>
      </c>
      <c r="M522" s="35" t="s">
        <v>2206</v>
      </c>
      <c r="Q522" s="34" t="s">
        <v>3539</v>
      </c>
      <c r="R522" s="34" t="s">
        <v>3540</v>
      </c>
      <c r="S522" s="47">
        <v>36434</v>
      </c>
      <c r="T522" s="47">
        <v>0</v>
      </c>
      <c r="U522" s="47">
        <v>0</v>
      </c>
      <c r="V522" s="34">
        <v>4078500371209</v>
      </c>
      <c r="W522" s="34" t="s">
        <v>3547</v>
      </c>
      <c r="Y522" s="34" t="s">
        <v>3542</v>
      </c>
      <c r="Z522" s="34">
        <v>4</v>
      </c>
      <c r="AA522" s="34">
        <v>1380</v>
      </c>
      <c r="AB522" s="34">
        <v>1380</v>
      </c>
      <c r="AC522" s="34">
        <v>1140</v>
      </c>
      <c r="AD522" s="34">
        <v>1140</v>
      </c>
      <c r="AE522" s="34">
        <v>2100</v>
      </c>
      <c r="AF522" s="34">
        <v>52</v>
      </c>
      <c r="AG522" s="34">
        <v>45</v>
      </c>
      <c r="AH522" s="34">
        <v>4.9139999999999997</v>
      </c>
      <c r="AM522" s="40" t="s">
        <v>8094</v>
      </c>
      <c r="AT522" s="44">
        <v>0</v>
      </c>
      <c r="AU522" s="44"/>
      <c r="AV522" s="46">
        <f>ROUND(Товары[[#This Row],[РРЦ финальная, руб.]]/$AU$1,2)</f>
        <v>0</v>
      </c>
      <c r="AW522" s="45" t="str">
        <f>IFERROR(Товары[[#This Row],[РРЦ, евро]]/Товары[[#This Row],[IRP, Eur]],"-")</f>
        <v>-</v>
      </c>
      <c r="AX522" s="42">
        <f>IFERROR(VLOOKUP(Товары[[#This Row],[SubGroup]],'Структура цен DIY'!$B:$C,2,FALSE),0)</f>
        <v>0.27</v>
      </c>
      <c r="AY522" s="44">
        <v>0</v>
      </c>
    </row>
    <row r="523" spans="1:51" x14ac:dyDescent="0.25">
      <c r="A523" s="34">
        <v>521</v>
      </c>
      <c r="B523" s="34" t="s">
        <v>56</v>
      </c>
      <c r="C523" s="110" t="str">
        <f>IFERROR(INDEX(Структура_ассортимента[SuperCategory],MATCH(Товары[[#This Row],[SubGroup]],Структура_ассортимента[Subgroup],0)),"")</f>
        <v>A</v>
      </c>
      <c r="D52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2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23" s="110" t="str">
        <f>IFERROR(INDEX(Структура_ассортимента[Product group],MATCH(Товары[[#This Row],[SubGroup]],Структура_ассортимента[Subgroup],0)),"")</f>
        <v>AMT_C</v>
      </c>
      <c r="G523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23" s="110" t="str">
        <f>IFERROR(INDEX(Структура_ассортимента[Generic Name (long)3],MATCH(Товары[[#This Row],[SubGroup]],Структура_ассортимента[Subgroup],0)),"")</f>
        <v>Лопаты садовые</v>
      </c>
      <c r="I523" s="36">
        <v>9228</v>
      </c>
      <c r="J523" s="36" t="str">
        <f>IFERROR(INDEX(Структура_ассортимента[Generic Name (long)],MATCH(Товары[[#This Row],[SubGroup]],Структура_ассортимента[Subgroup],0)),"")</f>
        <v>SPADE</v>
      </c>
      <c r="L523" s="36">
        <v>966762801</v>
      </c>
      <c r="M523" s="35" t="s">
        <v>2207</v>
      </c>
      <c r="Q523" s="34" t="s">
        <v>3544</v>
      </c>
      <c r="R523" s="34" t="s">
        <v>3540</v>
      </c>
      <c r="S523" s="47">
        <v>40817</v>
      </c>
      <c r="T523" s="47">
        <v>0</v>
      </c>
      <c r="U523" s="47">
        <v>0</v>
      </c>
      <c r="V523" s="34">
        <v>4078500377102</v>
      </c>
      <c r="W523" s="34" t="s">
        <v>3703</v>
      </c>
      <c r="Y523" s="34" t="s">
        <v>3542</v>
      </c>
      <c r="Z523" s="34">
        <v>4</v>
      </c>
      <c r="AA523" s="34">
        <v>2190</v>
      </c>
      <c r="AB523" s="34">
        <v>2190</v>
      </c>
      <c r="AC523" s="34">
        <v>2175</v>
      </c>
      <c r="AD523" s="34">
        <v>2175</v>
      </c>
      <c r="AE523" s="34">
        <v>1170</v>
      </c>
      <c r="AF523" s="34">
        <v>195</v>
      </c>
      <c r="AG523" s="34">
        <v>100</v>
      </c>
      <c r="AH523" s="34">
        <v>22.815000000000001</v>
      </c>
      <c r="AM523" s="40" t="s">
        <v>8094</v>
      </c>
      <c r="AT523" s="44">
        <v>0</v>
      </c>
      <c r="AU523" s="44"/>
      <c r="AV523" s="46">
        <f>ROUND(Товары[[#This Row],[РРЦ финальная, руб.]]/$AU$1,2)</f>
        <v>0</v>
      </c>
      <c r="AW523" s="45" t="str">
        <f>IFERROR(Товары[[#This Row],[РРЦ, евро]]/Товары[[#This Row],[IRP, Eur]],"-")</f>
        <v>-</v>
      </c>
      <c r="AX523" s="42">
        <f>IFERROR(VLOOKUP(Товары[[#This Row],[SubGroup]],'Структура цен DIY'!$B:$C,2,FALSE),0)</f>
        <v>0.28000000000000003</v>
      </c>
      <c r="AY523" s="44">
        <v>0</v>
      </c>
    </row>
    <row r="524" spans="1:51" x14ac:dyDescent="0.25">
      <c r="A524" s="34">
        <v>522</v>
      </c>
      <c r="B524" s="34" t="s">
        <v>56</v>
      </c>
      <c r="C524" s="110" t="str">
        <f>IFERROR(INDEX(Структура_ассортимента[SuperCategory],MATCH(Товары[[#This Row],[SubGroup]],Структура_ассортимента[Subgroup],0)),"")</f>
        <v>A</v>
      </c>
      <c r="D52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2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24" s="110" t="str">
        <f>IFERROR(INDEX(Структура_ассортимента[Product group],MATCH(Товары[[#This Row],[SubGroup]],Структура_ассортимента[Subgroup],0)),"")</f>
        <v>AMT_C</v>
      </c>
      <c r="G524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24" s="110" t="str">
        <f>IFERROR(INDEX(Структура_ассортимента[Generic Name (long)3],MATCH(Товары[[#This Row],[SubGroup]],Структура_ассортимента[Subgroup],0)),"")</f>
        <v>Лопаты садовые</v>
      </c>
      <c r="I524" s="36">
        <v>9228</v>
      </c>
      <c r="J524" s="36" t="str">
        <f>IFERROR(INDEX(Структура_ассортимента[Generic Name (long)],MATCH(Товары[[#This Row],[SubGroup]],Структура_ассортимента[Subgroup],0)),"")</f>
        <v>SPADE</v>
      </c>
      <c r="L524" s="36">
        <v>966762901</v>
      </c>
      <c r="M524" s="35" t="s">
        <v>2208</v>
      </c>
      <c r="Q524" s="34" t="s">
        <v>3544</v>
      </c>
      <c r="R524" s="34" t="s">
        <v>3540</v>
      </c>
      <c r="S524" s="47">
        <v>40817</v>
      </c>
      <c r="T524" s="47">
        <v>0</v>
      </c>
      <c r="U524" s="47">
        <v>0</v>
      </c>
      <c r="V524" s="34">
        <v>4078500377140</v>
      </c>
      <c r="W524" s="34" t="s">
        <v>3703</v>
      </c>
      <c r="Y524" s="34" t="s">
        <v>3542</v>
      </c>
      <c r="Z524" s="34">
        <v>4</v>
      </c>
      <c r="AA524" s="34">
        <v>2190</v>
      </c>
      <c r="AB524" s="34">
        <v>2190</v>
      </c>
      <c r="AC524" s="34">
        <v>2175</v>
      </c>
      <c r="AD524" s="34">
        <v>2175</v>
      </c>
      <c r="AE524" s="34">
        <v>1170</v>
      </c>
      <c r="AF524" s="34">
        <v>195</v>
      </c>
      <c r="AG524" s="34">
        <v>100</v>
      </c>
      <c r="AH524" s="34">
        <v>22.815000000000001</v>
      </c>
      <c r="AM524" s="40" t="s">
        <v>8094</v>
      </c>
      <c r="AT524" s="44">
        <v>0</v>
      </c>
      <c r="AU524" s="44"/>
      <c r="AV524" s="46">
        <f>ROUND(Товары[[#This Row],[РРЦ финальная, руб.]]/$AU$1,2)</f>
        <v>0</v>
      </c>
      <c r="AW524" s="45" t="str">
        <f>IFERROR(Товары[[#This Row],[РРЦ, евро]]/Товары[[#This Row],[IRP, Eur]],"-")</f>
        <v>-</v>
      </c>
      <c r="AX524" s="42">
        <f>IFERROR(VLOOKUP(Товары[[#This Row],[SubGroup]],'Структура цен DIY'!$B:$C,2,FALSE),0)</f>
        <v>0.28000000000000003</v>
      </c>
      <c r="AY524" s="44">
        <v>0</v>
      </c>
    </row>
    <row r="525" spans="1:51" x14ac:dyDescent="0.25">
      <c r="A525" s="34">
        <v>523</v>
      </c>
      <c r="B525" s="34" t="s">
        <v>56</v>
      </c>
      <c r="C525" s="110" t="str">
        <f>IFERROR(INDEX(Структура_ассортимента[SuperCategory],MATCH(Товары[[#This Row],[SubGroup]],Структура_ассортимента[Subgroup],0)),"")</f>
        <v>A</v>
      </c>
      <c r="D52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2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25" s="110" t="str">
        <f>IFERROR(INDEX(Структура_ассортимента[Product group],MATCH(Товары[[#This Row],[SubGroup]],Структура_ассортимента[Subgroup],0)),"")</f>
        <v>AMT_C</v>
      </c>
      <c r="G525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25" s="110" t="str">
        <f>IFERROR(INDEX(Структура_ассортимента[Generic Name (long)3],MATCH(Товары[[#This Row],[SubGroup]],Структура_ассортимента[Subgroup],0)),"")</f>
        <v>Лопаты садовые</v>
      </c>
      <c r="I525" s="36">
        <v>9228</v>
      </c>
      <c r="J525" s="36" t="str">
        <f>IFERROR(INDEX(Структура_ассортимента[Generic Name (long)],MATCH(Товары[[#This Row],[SubGroup]],Структура_ассортимента[Subgroup],0)),"")</f>
        <v>SPADE</v>
      </c>
      <c r="L525" s="36">
        <v>966763301</v>
      </c>
      <c r="M525" s="35" t="s">
        <v>2209</v>
      </c>
      <c r="Q525" s="34" t="s">
        <v>3544</v>
      </c>
      <c r="R525" s="34" t="s">
        <v>3540</v>
      </c>
      <c r="S525" s="47">
        <v>40817</v>
      </c>
      <c r="T525" s="47">
        <v>0</v>
      </c>
      <c r="U525" s="47">
        <v>0</v>
      </c>
      <c r="V525" s="34">
        <v>4078500377201</v>
      </c>
      <c r="W525" s="34" t="s">
        <v>3703</v>
      </c>
      <c r="Y525" s="34" t="s">
        <v>3542</v>
      </c>
      <c r="Z525" s="34">
        <v>4</v>
      </c>
      <c r="AA525" s="34">
        <v>2012</v>
      </c>
      <c r="AB525" s="34">
        <v>2012</v>
      </c>
      <c r="AC525" s="34">
        <v>2000</v>
      </c>
      <c r="AD525" s="34">
        <v>2000</v>
      </c>
      <c r="AE525" s="34">
        <v>1130</v>
      </c>
      <c r="AF525" s="34">
        <v>190</v>
      </c>
      <c r="AG525" s="34">
        <v>90</v>
      </c>
      <c r="AH525" s="34">
        <v>19.323</v>
      </c>
      <c r="AM525" s="40" t="s">
        <v>8094</v>
      </c>
      <c r="AT525" s="44">
        <v>0</v>
      </c>
      <c r="AU525" s="44"/>
      <c r="AV525" s="46">
        <f>ROUND(Товары[[#This Row],[РРЦ финальная, руб.]]/$AU$1,2)</f>
        <v>0</v>
      </c>
      <c r="AW525" s="45" t="str">
        <f>IFERROR(Товары[[#This Row],[РРЦ, евро]]/Товары[[#This Row],[IRP, Eur]],"-")</f>
        <v>-</v>
      </c>
      <c r="AX525" s="42">
        <f>IFERROR(VLOOKUP(Товары[[#This Row],[SubGroup]],'Структура цен DIY'!$B:$C,2,FALSE),0)</f>
        <v>0.28000000000000003</v>
      </c>
      <c r="AY525" s="44">
        <v>0</v>
      </c>
    </row>
    <row r="526" spans="1:51" x14ac:dyDescent="0.25">
      <c r="A526" s="34">
        <v>524</v>
      </c>
      <c r="B526" s="34" t="s">
        <v>56</v>
      </c>
      <c r="C526" s="110" t="str">
        <f>IFERROR(INDEX(Структура_ассортимента[SuperCategory],MATCH(Товары[[#This Row],[SubGroup]],Структура_ассортимента[Subgroup],0)),"")</f>
        <v>A</v>
      </c>
      <c r="D52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2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26" s="110" t="str">
        <f>IFERROR(INDEX(Структура_ассортимента[Product group],MATCH(Товары[[#This Row],[SubGroup]],Структура_ассортимента[Subgroup],0)),"")</f>
        <v>AMT_C</v>
      </c>
      <c r="G526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26" s="110" t="str">
        <f>IFERROR(INDEX(Структура_ассортимента[Generic Name (long)3],MATCH(Товары[[#This Row],[SubGroup]],Структура_ассортимента[Subgroup],0)),"")</f>
        <v>Лопаты садовые</v>
      </c>
      <c r="I526" s="36">
        <v>9228</v>
      </c>
      <c r="J526" s="36" t="str">
        <f>IFERROR(INDEX(Структура_ассортимента[Generic Name (long)],MATCH(Товары[[#This Row],[SubGroup]],Структура_ассортимента[Subgroup],0)),"")</f>
        <v>SPADE</v>
      </c>
      <c r="L526" s="36">
        <v>966763401</v>
      </c>
      <c r="M526" s="35" t="s">
        <v>2210</v>
      </c>
      <c r="Q526" s="34" t="s">
        <v>3544</v>
      </c>
      <c r="R526" s="34" t="s">
        <v>3540</v>
      </c>
      <c r="S526" s="47">
        <v>40817</v>
      </c>
      <c r="T526" s="47">
        <v>0</v>
      </c>
      <c r="U526" s="47">
        <v>0</v>
      </c>
      <c r="V526" s="34">
        <v>4078500377249</v>
      </c>
      <c r="W526" s="34" t="s">
        <v>3703</v>
      </c>
      <c r="Y526" s="34" t="s">
        <v>3542</v>
      </c>
      <c r="Z526" s="34">
        <v>4</v>
      </c>
      <c r="AA526" s="34">
        <v>2012</v>
      </c>
      <c r="AB526" s="34">
        <v>2012</v>
      </c>
      <c r="AC526" s="34">
        <v>2000</v>
      </c>
      <c r="AD526" s="34">
        <v>2000</v>
      </c>
      <c r="AE526" s="34">
        <v>1130</v>
      </c>
      <c r="AF526" s="34">
        <v>190</v>
      </c>
      <c r="AG526" s="34">
        <v>90</v>
      </c>
      <c r="AH526" s="34">
        <v>19.323</v>
      </c>
      <c r="AM526" s="40" t="s">
        <v>8094</v>
      </c>
      <c r="AT526" s="44">
        <v>0</v>
      </c>
      <c r="AU526" s="44"/>
      <c r="AV526" s="46">
        <f>ROUND(Товары[[#This Row],[РРЦ финальная, руб.]]/$AU$1,2)</f>
        <v>0</v>
      </c>
      <c r="AW526" s="45" t="str">
        <f>IFERROR(Товары[[#This Row],[РРЦ, евро]]/Товары[[#This Row],[IRP, Eur]],"-")</f>
        <v>-</v>
      </c>
      <c r="AX526" s="42">
        <f>IFERROR(VLOOKUP(Товары[[#This Row],[SubGroup]],'Структура цен DIY'!$B:$C,2,FALSE),0)</f>
        <v>0.28000000000000003</v>
      </c>
      <c r="AY526" s="44">
        <v>0</v>
      </c>
    </row>
    <row r="527" spans="1:51" x14ac:dyDescent="0.25">
      <c r="A527" s="34">
        <v>525</v>
      </c>
      <c r="B527" s="34" t="s">
        <v>56</v>
      </c>
      <c r="C527" s="110" t="str">
        <f>IFERROR(INDEX(Структура_ассортимента[SuperCategory],MATCH(Товары[[#This Row],[SubGroup]],Структура_ассортимента[Subgroup],0)),"")</f>
        <v>A</v>
      </c>
      <c r="D52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2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27" s="110" t="str">
        <f>IFERROR(INDEX(Структура_ассортимента[Product group],MATCH(Товары[[#This Row],[SubGroup]],Структура_ассортимента[Subgroup],0)),"")</f>
        <v>AMT_C</v>
      </c>
      <c r="G527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27" s="110" t="str">
        <f>IFERROR(INDEX(Структура_ассортимента[Generic Name (long)3],MATCH(Товары[[#This Row],[SubGroup]],Структура_ассортимента[Subgroup],0)),"")</f>
        <v>Лопаты садовые</v>
      </c>
      <c r="I527" s="36">
        <v>9228</v>
      </c>
      <c r="J527" s="36" t="str">
        <f>IFERROR(INDEX(Структура_ассортимента[Generic Name (long)],MATCH(Товары[[#This Row],[SubGroup]],Структура_ассортимента[Subgroup],0)),"")</f>
        <v>SPADE</v>
      </c>
      <c r="L527" s="36">
        <v>966763501</v>
      </c>
      <c r="M527" s="35" t="s">
        <v>2211</v>
      </c>
      <c r="Q527" s="34" t="s">
        <v>3544</v>
      </c>
      <c r="R527" s="34" t="s">
        <v>3540</v>
      </c>
      <c r="S527" s="47">
        <v>40817</v>
      </c>
      <c r="T527" s="47">
        <v>0</v>
      </c>
      <c r="U527" s="47">
        <v>0</v>
      </c>
      <c r="V527" s="34">
        <v>4078500377300</v>
      </c>
      <c r="W527" s="34" t="s">
        <v>3703</v>
      </c>
      <c r="Y527" s="34" t="s">
        <v>3542</v>
      </c>
      <c r="Z527" s="34">
        <v>4</v>
      </c>
      <c r="AA527" s="34">
        <v>1963</v>
      </c>
      <c r="AB527" s="34">
        <v>1963</v>
      </c>
      <c r="AC527" s="34">
        <v>1900</v>
      </c>
      <c r="AD527" s="34">
        <v>1900</v>
      </c>
      <c r="AE527" s="34">
        <v>1170</v>
      </c>
      <c r="AF527" s="34">
        <v>195</v>
      </c>
      <c r="AG527" s="34">
        <v>97</v>
      </c>
      <c r="AH527" s="34">
        <v>22.131</v>
      </c>
      <c r="AM527" s="40" t="s">
        <v>8094</v>
      </c>
      <c r="AT527" s="44">
        <v>0</v>
      </c>
      <c r="AU527" s="44"/>
      <c r="AV527" s="46">
        <f>ROUND(Товары[[#This Row],[РРЦ финальная, руб.]]/$AU$1,2)</f>
        <v>0</v>
      </c>
      <c r="AW527" s="45" t="str">
        <f>IFERROR(Товары[[#This Row],[РРЦ, евро]]/Товары[[#This Row],[IRP, Eur]],"-")</f>
        <v>-</v>
      </c>
      <c r="AX527" s="42">
        <f>IFERROR(VLOOKUP(Товары[[#This Row],[SubGroup]],'Структура цен DIY'!$B:$C,2,FALSE),0)</f>
        <v>0.28000000000000003</v>
      </c>
      <c r="AY527" s="44">
        <v>0</v>
      </c>
    </row>
    <row r="528" spans="1:51" x14ac:dyDescent="0.25">
      <c r="A528" s="34">
        <v>526</v>
      </c>
      <c r="B528" s="34" t="s">
        <v>56</v>
      </c>
      <c r="C528" s="110" t="str">
        <f>IFERROR(INDEX(Структура_ассортимента[SuperCategory],MATCH(Товары[[#This Row],[SubGroup]],Структура_ассортимента[Subgroup],0)),"")</f>
        <v>A</v>
      </c>
      <c r="D52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2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28" s="110" t="str">
        <f>IFERROR(INDEX(Структура_ассортимента[Product group],MATCH(Товары[[#This Row],[SubGroup]],Структура_ассортимента[Subgroup],0)),"")</f>
        <v>AMT_C</v>
      </c>
      <c r="G528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28" s="110" t="str">
        <f>IFERROR(INDEX(Структура_ассортимента[Generic Name (long)3],MATCH(Товары[[#This Row],[SubGroup]],Структура_ассортимента[Subgroup],0)),"")</f>
        <v>Лопаты садовые</v>
      </c>
      <c r="I528" s="36">
        <v>9228</v>
      </c>
      <c r="J528" s="36" t="str">
        <f>IFERROR(INDEX(Структура_ассортимента[Generic Name (long)],MATCH(Товары[[#This Row],[SubGroup]],Структура_ассортимента[Subgroup],0)),"")</f>
        <v>SPADE</v>
      </c>
      <c r="L528" s="36">
        <v>966763601</v>
      </c>
      <c r="M528" s="35" t="s">
        <v>2212</v>
      </c>
      <c r="Q528" s="34" t="s">
        <v>3544</v>
      </c>
      <c r="R528" s="34" t="s">
        <v>3540</v>
      </c>
      <c r="S528" s="47">
        <v>40817</v>
      </c>
      <c r="T528" s="47">
        <v>0</v>
      </c>
      <c r="U528" s="47">
        <v>0</v>
      </c>
      <c r="V528" s="34">
        <v>4078500377348</v>
      </c>
      <c r="W528" s="34" t="s">
        <v>3703</v>
      </c>
      <c r="Y528" s="34" t="s">
        <v>3542</v>
      </c>
      <c r="Z528" s="34">
        <v>4</v>
      </c>
      <c r="AA528" s="34">
        <v>2012</v>
      </c>
      <c r="AB528" s="34">
        <v>2012</v>
      </c>
      <c r="AC528" s="34">
        <v>2000</v>
      </c>
      <c r="AD528" s="34">
        <v>2000</v>
      </c>
      <c r="AE528" s="34">
        <v>1170</v>
      </c>
      <c r="AF528" s="34">
        <v>195</v>
      </c>
      <c r="AG528" s="34">
        <v>97</v>
      </c>
      <c r="AH528" s="34">
        <v>22.131</v>
      </c>
      <c r="AM528" s="40" t="s">
        <v>8094</v>
      </c>
      <c r="AT528" s="44">
        <v>0</v>
      </c>
      <c r="AU528" s="44"/>
      <c r="AV528" s="46">
        <f>ROUND(Товары[[#This Row],[РРЦ финальная, руб.]]/$AU$1,2)</f>
        <v>0</v>
      </c>
      <c r="AW528" s="45" t="str">
        <f>IFERROR(Товары[[#This Row],[РРЦ, евро]]/Товары[[#This Row],[IRP, Eur]],"-")</f>
        <v>-</v>
      </c>
      <c r="AX528" s="42">
        <f>IFERROR(VLOOKUP(Товары[[#This Row],[SubGroup]],'Структура цен DIY'!$B:$C,2,FALSE),0)</f>
        <v>0.28000000000000003</v>
      </c>
      <c r="AY528" s="44">
        <v>0</v>
      </c>
    </row>
    <row r="529" spans="1:51" x14ac:dyDescent="0.25">
      <c r="A529" s="34">
        <v>527</v>
      </c>
      <c r="B529" s="34" t="s">
        <v>56</v>
      </c>
      <c r="C529" s="110" t="str">
        <f>IFERROR(INDEX(Структура_ассортимента[SuperCategory],MATCH(Товары[[#This Row],[SubGroup]],Структура_ассортимента[Subgroup],0)),"")</f>
        <v>A</v>
      </c>
      <c r="D52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2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29" s="110" t="str">
        <f>IFERROR(INDEX(Структура_ассортимента[Product group],MATCH(Товары[[#This Row],[SubGroup]],Структура_ассортимента[Subgroup],0)),"")</f>
        <v>AMT_C</v>
      </c>
      <c r="G529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29" s="110" t="str">
        <f>IFERROR(INDEX(Структура_ассортимента[Generic Name (long)3],MATCH(Товары[[#This Row],[SubGroup]],Структура_ассортимента[Subgroup],0)),"")</f>
        <v>Лопаты садовые</v>
      </c>
      <c r="I529" s="36">
        <v>9228</v>
      </c>
      <c r="J529" s="36" t="str">
        <f>IFERROR(INDEX(Структура_ассортимента[Generic Name (long)],MATCH(Товары[[#This Row],[SubGroup]],Структура_ассортимента[Subgroup],0)),"")</f>
        <v>SPADE</v>
      </c>
      <c r="L529" s="36">
        <v>966763701</v>
      </c>
      <c r="M529" s="35" t="s">
        <v>2213</v>
      </c>
      <c r="Q529" s="34" t="s">
        <v>3544</v>
      </c>
      <c r="R529" s="34" t="s">
        <v>3540</v>
      </c>
      <c r="S529" s="47">
        <v>40817</v>
      </c>
      <c r="T529" s="47">
        <v>0</v>
      </c>
      <c r="U529" s="47">
        <v>0</v>
      </c>
      <c r="V529" s="34">
        <v>4078500378109</v>
      </c>
      <c r="W529" s="34" t="s">
        <v>3703</v>
      </c>
      <c r="Y529" s="34" t="s">
        <v>3542</v>
      </c>
      <c r="Z529" s="34">
        <v>4</v>
      </c>
      <c r="AA529" s="34">
        <v>2570</v>
      </c>
      <c r="AB529" s="34">
        <v>2570</v>
      </c>
      <c r="AC529" s="34">
        <v>2500</v>
      </c>
      <c r="AD529" s="34">
        <v>2500</v>
      </c>
      <c r="AE529" s="34">
        <v>1170</v>
      </c>
      <c r="AF529" s="34">
        <v>190</v>
      </c>
      <c r="AG529" s="34">
        <v>60</v>
      </c>
      <c r="AH529" s="34">
        <v>13.337999999999999</v>
      </c>
      <c r="AM529" s="40" t="s">
        <v>8094</v>
      </c>
      <c r="AT529" s="44">
        <v>0</v>
      </c>
      <c r="AU529" s="44"/>
      <c r="AV529" s="46">
        <f>ROUND(Товары[[#This Row],[РРЦ финальная, руб.]]/$AU$1,2)</f>
        <v>0</v>
      </c>
      <c r="AW529" s="45" t="str">
        <f>IFERROR(Товары[[#This Row],[РРЦ, евро]]/Товары[[#This Row],[IRP, Eur]],"-")</f>
        <v>-</v>
      </c>
      <c r="AX529" s="42">
        <f>IFERROR(VLOOKUP(Товары[[#This Row],[SubGroup]],'Структура цен DIY'!$B:$C,2,FALSE),0)</f>
        <v>0.28000000000000003</v>
      </c>
      <c r="AY529" s="44">
        <v>0</v>
      </c>
    </row>
    <row r="530" spans="1:51" x14ac:dyDescent="0.25">
      <c r="A530" s="34">
        <v>528</v>
      </c>
      <c r="B530" s="34" t="s">
        <v>56</v>
      </c>
      <c r="C530" s="110" t="str">
        <f>IFERROR(INDEX(Структура_ассортимента[SuperCategory],MATCH(Товары[[#This Row],[SubGroup]],Структура_ассортимента[Subgroup],0)),"")</f>
        <v>A</v>
      </c>
      <c r="D53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3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30" s="110" t="str">
        <f>IFERROR(INDEX(Структура_ассортимента[Product group],MATCH(Товары[[#This Row],[SubGroup]],Структура_ассортимента[Subgroup],0)),"")</f>
        <v>AMT_C</v>
      </c>
      <c r="G530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30" s="110" t="str">
        <f>IFERROR(INDEX(Структура_ассортимента[Generic Name (long)3],MATCH(Товары[[#This Row],[SubGroup]],Структура_ассортимента[Subgroup],0)),"")</f>
        <v>Лопаты садовые</v>
      </c>
      <c r="I530" s="36">
        <v>9228</v>
      </c>
      <c r="J530" s="36" t="str">
        <f>IFERROR(INDEX(Структура_ассортимента[Generic Name (long)],MATCH(Товары[[#This Row],[SubGroup]],Структура_ассортимента[Subgroup],0)),"")</f>
        <v>SPADE</v>
      </c>
      <c r="L530" s="36">
        <v>966763801</v>
      </c>
      <c r="M530" s="35" t="s">
        <v>2214</v>
      </c>
      <c r="Q530" s="34" t="s">
        <v>3544</v>
      </c>
      <c r="R530" s="34" t="s">
        <v>3540</v>
      </c>
      <c r="S530" s="47">
        <v>40817</v>
      </c>
      <c r="T530" s="47">
        <v>0</v>
      </c>
      <c r="U530" s="47">
        <v>0</v>
      </c>
      <c r="V530" s="34">
        <v>4078500378147</v>
      </c>
      <c r="W530" s="34" t="s">
        <v>3703</v>
      </c>
      <c r="Y530" s="34" t="s">
        <v>3542</v>
      </c>
      <c r="Z530" s="34">
        <v>4</v>
      </c>
      <c r="AA530" s="34">
        <v>2625</v>
      </c>
      <c r="AB530" s="34">
        <v>2625</v>
      </c>
      <c r="AC530" s="34">
        <v>2600</v>
      </c>
      <c r="AD530" s="34">
        <v>2600</v>
      </c>
      <c r="AE530" s="34">
        <v>1170</v>
      </c>
      <c r="AF530" s="34">
        <v>195</v>
      </c>
      <c r="AG530" s="34">
        <v>100</v>
      </c>
      <c r="AH530" s="34">
        <v>22.815000000000001</v>
      </c>
      <c r="AM530" s="40" t="s">
        <v>8094</v>
      </c>
      <c r="AT530" s="44">
        <v>0</v>
      </c>
      <c r="AU530" s="44"/>
      <c r="AV530" s="46">
        <f>ROUND(Товары[[#This Row],[РРЦ финальная, руб.]]/$AU$1,2)</f>
        <v>0</v>
      </c>
      <c r="AW530" s="45" t="str">
        <f>IFERROR(Товары[[#This Row],[РРЦ, евро]]/Товары[[#This Row],[IRP, Eur]],"-")</f>
        <v>-</v>
      </c>
      <c r="AX530" s="42">
        <f>IFERROR(VLOOKUP(Товары[[#This Row],[SubGroup]],'Структура цен DIY'!$B:$C,2,FALSE),0)</f>
        <v>0.28000000000000003</v>
      </c>
      <c r="AY530" s="44">
        <v>0</v>
      </c>
    </row>
    <row r="531" spans="1:51" x14ac:dyDescent="0.25">
      <c r="A531" s="34">
        <v>529</v>
      </c>
      <c r="B531" s="34" t="s">
        <v>56</v>
      </c>
      <c r="C531" s="110" t="str">
        <f>IFERROR(INDEX(Структура_ассортимента[SuperCategory],MATCH(Товары[[#This Row],[SubGroup]],Структура_ассортимента[Subgroup],0)),"")</f>
        <v>A</v>
      </c>
      <c r="D53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3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31" s="110" t="str">
        <f>IFERROR(INDEX(Структура_ассортимента[Product group],MATCH(Товары[[#This Row],[SubGroup]],Структура_ассортимента[Subgroup],0)),"")</f>
        <v>AMT_C</v>
      </c>
      <c r="G531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31" s="110" t="str">
        <f>IFERROR(INDEX(Структура_ассортимента[Generic Name (long)3],MATCH(Товары[[#This Row],[SubGroup]],Структура_ассортимента[Subgroup],0)),"")</f>
        <v>Лопаты садовые</v>
      </c>
      <c r="I531" s="36">
        <v>9228</v>
      </c>
      <c r="J531" s="36" t="str">
        <f>IFERROR(INDEX(Структура_ассортимента[Generic Name (long)],MATCH(Товары[[#This Row],[SubGroup]],Структура_ассортимента[Subgroup],0)),"")</f>
        <v>SPADE</v>
      </c>
      <c r="L531" s="36">
        <v>966764401</v>
      </c>
      <c r="M531" s="35" t="s">
        <v>2215</v>
      </c>
      <c r="Q531" s="34" t="s">
        <v>3544</v>
      </c>
      <c r="R531" s="34" t="s">
        <v>3540</v>
      </c>
      <c r="S531" s="47">
        <v>40817</v>
      </c>
      <c r="T531" s="47">
        <v>0</v>
      </c>
      <c r="U531" s="47">
        <v>0</v>
      </c>
      <c r="V531" s="34">
        <v>4078500378604</v>
      </c>
      <c r="W531" s="34" t="s">
        <v>3703</v>
      </c>
      <c r="Y531" s="34" t="s">
        <v>3542</v>
      </c>
      <c r="Z531" s="34">
        <v>4</v>
      </c>
      <c r="AA531" s="34">
        <v>2435</v>
      </c>
      <c r="AB531" s="34">
        <v>2435</v>
      </c>
      <c r="AC531" s="34">
        <v>2420</v>
      </c>
      <c r="AD531" s="34">
        <v>2420</v>
      </c>
      <c r="AE531" s="34">
        <v>1350</v>
      </c>
      <c r="AF531" s="34">
        <v>240</v>
      </c>
      <c r="AG531" s="34">
        <v>170</v>
      </c>
      <c r="AH531" s="34">
        <v>55.08</v>
      </c>
      <c r="AM531" s="40" t="s">
        <v>8094</v>
      </c>
      <c r="AT531" s="44">
        <v>0</v>
      </c>
      <c r="AU531" s="44"/>
      <c r="AV531" s="46">
        <f>ROUND(Товары[[#This Row],[РРЦ финальная, руб.]]/$AU$1,2)</f>
        <v>0</v>
      </c>
      <c r="AW531" s="45" t="str">
        <f>IFERROR(Товары[[#This Row],[РРЦ, евро]]/Товары[[#This Row],[IRP, Eur]],"-")</f>
        <v>-</v>
      </c>
      <c r="AX531" s="42">
        <f>IFERROR(VLOOKUP(Товары[[#This Row],[SubGroup]],'Структура цен DIY'!$B:$C,2,FALSE),0)</f>
        <v>0.28000000000000003</v>
      </c>
      <c r="AY531" s="44">
        <v>0</v>
      </c>
    </row>
    <row r="532" spans="1:51" x14ac:dyDescent="0.25">
      <c r="A532" s="34">
        <v>530</v>
      </c>
      <c r="B532" s="34" t="s">
        <v>56</v>
      </c>
      <c r="C532" s="110" t="str">
        <f>IFERROR(INDEX(Структура_ассортимента[SuperCategory],MATCH(Товары[[#This Row],[SubGroup]],Структура_ассортимента[Subgroup],0)),"")</f>
        <v>A</v>
      </c>
      <c r="D53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3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32" s="110" t="str">
        <f>IFERROR(INDEX(Структура_ассортимента[Product group],MATCH(Товары[[#This Row],[SubGroup]],Структура_ассортимента[Subgroup],0)),"")</f>
        <v>AMT_C</v>
      </c>
      <c r="G532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32" s="110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532" s="36">
        <v>9223</v>
      </c>
      <c r="J532" s="36" t="str">
        <f>IFERROR(INDEX(Структура_ассортимента[Generic Name (long)],MATCH(Товары[[#This Row],[SubGroup]],Структура_ассортимента[Subgroup],0)),"")</f>
        <v>GARDEN TOOL SET</v>
      </c>
      <c r="L532" s="36">
        <v>901093501</v>
      </c>
      <c r="M532" s="35" t="s">
        <v>2216</v>
      </c>
      <c r="Q532" s="34" t="s">
        <v>4565</v>
      </c>
      <c r="R532" s="34" t="s">
        <v>3540</v>
      </c>
      <c r="S532" s="47">
        <v>37895</v>
      </c>
      <c r="T532" s="47">
        <v>42735</v>
      </c>
      <c r="U532" s="47">
        <v>42735</v>
      </c>
      <c r="V532" s="34">
        <v>4078500567107</v>
      </c>
      <c r="W532" s="34" t="s">
        <v>3703</v>
      </c>
      <c r="Y532" s="34" t="s">
        <v>3542</v>
      </c>
      <c r="Z532" s="34">
        <v>5</v>
      </c>
      <c r="AA532" s="34">
        <v>246</v>
      </c>
      <c r="AB532" s="34">
        <v>246</v>
      </c>
      <c r="AC532" s="34">
        <v>185</v>
      </c>
      <c r="AD532" s="34">
        <v>185</v>
      </c>
      <c r="AE532" s="34">
        <v>300</v>
      </c>
      <c r="AF532" s="34">
        <v>306</v>
      </c>
      <c r="AG532" s="34">
        <v>68</v>
      </c>
      <c r="AH532" s="34">
        <v>6.242</v>
      </c>
      <c r="AM532" s="40" t="s">
        <v>8094</v>
      </c>
      <c r="AT532" s="44">
        <v>0</v>
      </c>
      <c r="AU532" s="44"/>
      <c r="AV532" s="46">
        <f>ROUND(Товары[[#This Row],[РРЦ финальная, руб.]]/$AU$1,2)</f>
        <v>0</v>
      </c>
      <c r="AW532" s="45" t="str">
        <f>IFERROR(Товары[[#This Row],[РРЦ, евро]]/Товары[[#This Row],[IRP, Eur]],"-")</f>
        <v>-</v>
      </c>
      <c r="AX532" s="42">
        <f>IFERROR(VLOOKUP(Товары[[#This Row],[SubGroup]],'Структура цен DIY'!$B:$C,2,FALSE),0)</f>
        <v>0.27</v>
      </c>
      <c r="AY532" s="44">
        <v>0</v>
      </c>
    </row>
    <row r="533" spans="1:51" x14ac:dyDescent="0.25">
      <c r="A533" s="34">
        <v>531</v>
      </c>
      <c r="B533" s="34" t="s">
        <v>56</v>
      </c>
      <c r="C533" s="110" t="str">
        <f>IFERROR(INDEX(Структура_ассортимента[SuperCategory],MATCH(Товары[[#This Row],[SubGroup]],Структура_ассортимента[Subgroup],0)),"")</f>
        <v>A</v>
      </c>
      <c r="D53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3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33" s="110" t="str">
        <f>IFERROR(INDEX(Структура_ассортимента[Product group],MATCH(Товары[[#This Row],[SubGroup]],Структура_ассортимента[Subgroup],0)),"")</f>
        <v>AMT_C</v>
      </c>
      <c r="G533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33" s="110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33" s="36">
        <v>9226</v>
      </c>
      <c r="J533" s="36" t="str">
        <f>IFERROR(INDEX(Структура_ассортимента[Generic Name (long)],MATCH(Товары[[#This Row],[SubGroup]],Структура_ассортимента[Subgroup],0)),"")</f>
        <v>GARDEN TOOL SET</v>
      </c>
      <c r="L533" s="36">
        <v>901202101</v>
      </c>
      <c r="M533" s="35" t="s">
        <v>2217</v>
      </c>
      <c r="Q533" s="34" t="s">
        <v>4565</v>
      </c>
      <c r="R533" s="34" t="s">
        <v>3540</v>
      </c>
      <c r="S533" s="47">
        <v>37895</v>
      </c>
      <c r="T533" s="47">
        <v>42735</v>
      </c>
      <c r="U533" s="47">
        <v>42735</v>
      </c>
      <c r="V533" s="34">
        <v>4078500891004</v>
      </c>
      <c r="W533" s="34" t="s">
        <v>3703</v>
      </c>
      <c r="Y533" s="34" t="s">
        <v>3542</v>
      </c>
      <c r="Z533" s="34">
        <v>5</v>
      </c>
      <c r="AA533" s="34">
        <v>270</v>
      </c>
      <c r="AB533" s="34">
        <v>270</v>
      </c>
      <c r="AC533" s="34">
        <v>265</v>
      </c>
      <c r="AD533" s="34">
        <v>265</v>
      </c>
      <c r="AE533" s="34">
        <v>395</v>
      </c>
      <c r="AF533" s="34">
        <v>170</v>
      </c>
      <c r="AG533" s="34">
        <v>65</v>
      </c>
      <c r="AH533" s="34">
        <v>4.3650000000000002</v>
      </c>
      <c r="AM533" s="40" t="s">
        <v>8094</v>
      </c>
      <c r="AT533" s="44">
        <v>0</v>
      </c>
      <c r="AU533" s="44"/>
      <c r="AV533" s="46">
        <f>ROUND(Товары[[#This Row],[РРЦ финальная, руб.]]/$AU$1,2)</f>
        <v>0</v>
      </c>
      <c r="AW533" s="45" t="str">
        <f>IFERROR(Товары[[#This Row],[РРЦ, евро]]/Товары[[#This Row],[IRP, Eur]],"-")</f>
        <v>-</v>
      </c>
      <c r="AX533" s="42">
        <f>IFERROR(VLOOKUP(Товары[[#This Row],[SubGroup]],'Структура цен DIY'!$B:$C,2,FALSE),0)</f>
        <v>0.27976081460674185</v>
      </c>
      <c r="AY533" s="44">
        <v>0</v>
      </c>
    </row>
    <row r="534" spans="1:51" x14ac:dyDescent="0.25">
      <c r="A534" s="34">
        <v>532</v>
      </c>
      <c r="B534" s="34" t="s">
        <v>56</v>
      </c>
      <c r="C534" s="110" t="str">
        <f>IFERROR(INDEX(Структура_ассортимента[SuperCategory],MATCH(Товары[[#This Row],[SubGroup]],Структура_ассортимента[Subgroup],0)),"")</f>
        <v>A</v>
      </c>
      <c r="D53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3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34" s="110" t="str">
        <f>IFERROR(INDEX(Структура_ассортимента[Product group],MATCH(Товары[[#This Row],[SubGroup]],Структура_ассортимента[Subgroup],0)),"")</f>
        <v>AMT_C</v>
      </c>
      <c r="G534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34" s="110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34" s="36">
        <v>9226</v>
      </c>
      <c r="J534" s="36" t="str">
        <f>IFERROR(INDEX(Структура_ассортимента[Generic Name (long)],MATCH(Товары[[#This Row],[SubGroup]],Структура_ассортимента[Subgroup],0)),"")</f>
        <v>GARDEN TOOL SET</v>
      </c>
      <c r="L534" s="36">
        <v>901202201</v>
      </c>
      <c r="M534" s="35" t="s">
        <v>2218</v>
      </c>
      <c r="Q534" s="34" t="s">
        <v>4565</v>
      </c>
      <c r="R534" s="34" t="s">
        <v>3540</v>
      </c>
      <c r="S534" s="47">
        <v>37895</v>
      </c>
      <c r="T534" s="47">
        <v>42735</v>
      </c>
      <c r="U534" s="47">
        <v>42735</v>
      </c>
      <c r="V534" s="34">
        <v>4078500891202</v>
      </c>
      <c r="W534" s="34" t="s">
        <v>3703</v>
      </c>
      <c r="Y534" s="34" t="s">
        <v>3542</v>
      </c>
      <c r="Z534" s="34">
        <v>5</v>
      </c>
      <c r="AA534" s="34">
        <v>270</v>
      </c>
      <c r="AB534" s="34">
        <v>270</v>
      </c>
      <c r="AC534" s="34">
        <v>265</v>
      </c>
      <c r="AD534" s="34">
        <v>265</v>
      </c>
      <c r="AE534" s="34">
        <v>390</v>
      </c>
      <c r="AF534" s="34">
        <v>170</v>
      </c>
      <c r="AG534" s="34">
        <v>53</v>
      </c>
      <c r="AH534" s="34">
        <v>3.5139999999999998</v>
      </c>
      <c r="AM534" s="40" t="s">
        <v>8094</v>
      </c>
      <c r="AT534" s="44">
        <v>0</v>
      </c>
      <c r="AU534" s="44"/>
      <c r="AV534" s="46">
        <f>ROUND(Товары[[#This Row],[РРЦ финальная, руб.]]/$AU$1,2)</f>
        <v>0</v>
      </c>
      <c r="AW534" s="45" t="str">
        <f>IFERROR(Товары[[#This Row],[РРЦ, евро]]/Товары[[#This Row],[IRP, Eur]],"-")</f>
        <v>-</v>
      </c>
      <c r="AX534" s="42">
        <f>IFERROR(VLOOKUP(Товары[[#This Row],[SubGroup]],'Структура цен DIY'!$B:$C,2,FALSE),0)</f>
        <v>0.27976081460674185</v>
      </c>
      <c r="AY534" s="44">
        <v>0</v>
      </c>
    </row>
    <row r="535" spans="1:51" x14ac:dyDescent="0.25">
      <c r="A535" s="34">
        <v>533</v>
      </c>
      <c r="B535" s="34" t="s">
        <v>56</v>
      </c>
      <c r="C535" s="110" t="str">
        <f>IFERROR(INDEX(Структура_ассортимента[SuperCategory],MATCH(Товары[[#This Row],[SubGroup]],Структура_ассортимента[Subgroup],0)),"")</f>
        <v>A</v>
      </c>
      <c r="D53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3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35" s="110" t="str">
        <f>IFERROR(INDEX(Структура_ассортимента[Product group],MATCH(Товары[[#This Row],[SubGroup]],Структура_ассортимента[Subgroup],0)),"")</f>
        <v>AMT_C</v>
      </c>
      <c r="G535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35" s="110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35" s="36">
        <v>9226</v>
      </c>
      <c r="J535" s="36" t="str">
        <f>IFERROR(INDEX(Структура_ассортимента[Generic Name (long)],MATCH(Товары[[#This Row],[SubGroup]],Структура_ассортимента[Subgroup],0)),"")</f>
        <v>GARDEN TOOL SET</v>
      </c>
      <c r="L535" s="36">
        <v>901202301</v>
      </c>
      <c r="M535" s="35" t="s">
        <v>2219</v>
      </c>
      <c r="Q535" s="34" t="s">
        <v>4565</v>
      </c>
      <c r="R535" s="34" t="s">
        <v>3540</v>
      </c>
      <c r="S535" s="47">
        <v>37895</v>
      </c>
      <c r="T535" s="47">
        <v>42735</v>
      </c>
      <c r="U535" s="47">
        <v>42735</v>
      </c>
      <c r="V535" s="34">
        <v>4078500891400</v>
      </c>
      <c r="W535" s="34" t="s">
        <v>3703</v>
      </c>
      <c r="Y535" s="34" t="s">
        <v>3542</v>
      </c>
      <c r="Z535" s="34">
        <v>5</v>
      </c>
      <c r="AA535" s="34">
        <v>366</v>
      </c>
      <c r="AB535" s="34">
        <v>366</v>
      </c>
      <c r="AC535" s="34">
        <v>330</v>
      </c>
      <c r="AD535" s="34">
        <v>330</v>
      </c>
      <c r="AE535" s="34">
        <v>390</v>
      </c>
      <c r="AF535" s="34">
        <v>180</v>
      </c>
      <c r="AG535" s="34">
        <v>80</v>
      </c>
      <c r="AH535" s="34">
        <v>5.6159999999999997</v>
      </c>
      <c r="AM535" s="40" t="s">
        <v>8094</v>
      </c>
      <c r="AT535" s="44">
        <v>0</v>
      </c>
      <c r="AU535" s="44"/>
      <c r="AV535" s="46">
        <f>ROUND(Товары[[#This Row],[РРЦ финальная, руб.]]/$AU$1,2)</f>
        <v>0</v>
      </c>
      <c r="AW535" s="45" t="str">
        <f>IFERROR(Товары[[#This Row],[РРЦ, евро]]/Товары[[#This Row],[IRP, Eur]],"-")</f>
        <v>-</v>
      </c>
      <c r="AX535" s="42">
        <f>IFERROR(VLOOKUP(Товары[[#This Row],[SubGroup]],'Структура цен DIY'!$B:$C,2,FALSE),0)</f>
        <v>0.27976081460674185</v>
      </c>
      <c r="AY535" s="44">
        <v>0</v>
      </c>
    </row>
    <row r="536" spans="1:51" x14ac:dyDescent="0.25">
      <c r="A536" s="34">
        <v>534</v>
      </c>
      <c r="B536" s="34" t="s">
        <v>56</v>
      </c>
      <c r="C536" s="110" t="str">
        <f>IFERROR(INDEX(Структура_ассортимента[SuperCategory],MATCH(Товары[[#This Row],[SubGroup]],Структура_ассортимента[Subgroup],0)),"")</f>
        <v>A</v>
      </c>
      <c r="D53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3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36" s="110" t="str">
        <f>IFERROR(INDEX(Структура_ассортимента[Product group],MATCH(Товары[[#This Row],[SubGroup]],Структура_ассортимента[Subgroup],0)),"")</f>
        <v>AMT_C</v>
      </c>
      <c r="G536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36" s="110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36" s="36">
        <v>9226</v>
      </c>
      <c r="J536" s="36" t="str">
        <f>IFERROR(INDEX(Структура_ассортимента[Generic Name (long)],MATCH(Товары[[#This Row],[SubGroup]],Структура_ассортимента[Subgroup],0)),"")</f>
        <v>GARDEN TOOL SET</v>
      </c>
      <c r="L536" s="36">
        <v>901202501</v>
      </c>
      <c r="M536" s="35" t="s">
        <v>2220</v>
      </c>
      <c r="Q536" s="34" t="s">
        <v>4565</v>
      </c>
      <c r="R536" s="34" t="s">
        <v>3540</v>
      </c>
      <c r="S536" s="47">
        <v>37895</v>
      </c>
      <c r="T536" s="47">
        <v>42735</v>
      </c>
      <c r="U536" s="47">
        <v>42735</v>
      </c>
      <c r="V536" s="34">
        <v>4078500891608</v>
      </c>
      <c r="W536" s="34" t="s">
        <v>3703</v>
      </c>
      <c r="Y536" s="34" t="s">
        <v>3542</v>
      </c>
      <c r="Z536" s="34">
        <v>5</v>
      </c>
      <c r="AA536" s="34">
        <v>250</v>
      </c>
      <c r="AB536" s="34">
        <v>250</v>
      </c>
      <c r="AC536" s="34">
        <v>215</v>
      </c>
      <c r="AD536" s="34">
        <v>215</v>
      </c>
      <c r="AE536" s="34">
        <v>460</v>
      </c>
      <c r="AF536" s="34">
        <v>120</v>
      </c>
      <c r="AG536" s="34">
        <v>45</v>
      </c>
      <c r="AH536" s="34">
        <v>2.484</v>
      </c>
      <c r="AM536" s="40" t="s">
        <v>8094</v>
      </c>
      <c r="AT536" s="44">
        <v>0</v>
      </c>
      <c r="AU536" s="44"/>
      <c r="AV536" s="46">
        <f>ROUND(Товары[[#This Row],[РРЦ финальная, руб.]]/$AU$1,2)</f>
        <v>0</v>
      </c>
      <c r="AW536" s="45" t="str">
        <f>IFERROR(Товары[[#This Row],[РРЦ, евро]]/Товары[[#This Row],[IRP, Eur]],"-")</f>
        <v>-</v>
      </c>
      <c r="AX536" s="42">
        <f>IFERROR(VLOOKUP(Товары[[#This Row],[SubGroup]],'Структура цен DIY'!$B:$C,2,FALSE),0)</f>
        <v>0.27976081460674185</v>
      </c>
      <c r="AY536" s="44">
        <v>0</v>
      </c>
    </row>
    <row r="537" spans="1:51" x14ac:dyDescent="0.25">
      <c r="A537" s="34">
        <v>535</v>
      </c>
      <c r="B537" s="34" t="s">
        <v>56</v>
      </c>
      <c r="C537" s="110" t="str">
        <f>IFERROR(INDEX(Структура_ассортимента[SuperCategory],MATCH(Товары[[#This Row],[SubGroup]],Структура_ассортимента[Subgroup],0)),"")</f>
        <v>A</v>
      </c>
      <c r="D53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3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37" s="110" t="str">
        <f>IFERROR(INDEX(Структура_ассортимента[Product group],MATCH(Товары[[#This Row],[SubGroup]],Структура_ассортимента[Subgroup],0)),"")</f>
        <v>AMT_C</v>
      </c>
      <c r="G537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37" s="110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37" s="36">
        <v>9226</v>
      </c>
      <c r="J537" s="36" t="str">
        <f>IFERROR(INDEX(Структура_ассортимента[Generic Name (long)],MATCH(Товары[[#This Row],[SubGroup]],Структура_ассортимента[Subgroup],0)),"")</f>
        <v>GARDEN TOOL SET</v>
      </c>
      <c r="L537" s="36">
        <v>901202701</v>
      </c>
      <c r="M537" s="35" t="s">
        <v>2221</v>
      </c>
      <c r="Q537" s="34" t="s">
        <v>4565</v>
      </c>
      <c r="R537" s="34" t="s">
        <v>3540</v>
      </c>
      <c r="S537" s="47">
        <v>37895</v>
      </c>
      <c r="T537" s="47">
        <v>42735</v>
      </c>
      <c r="U537" s="47">
        <v>42735</v>
      </c>
      <c r="V537" s="34">
        <v>4078500891806</v>
      </c>
      <c r="W537" s="34" t="s">
        <v>3703</v>
      </c>
      <c r="Y537" s="34" t="s">
        <v>3542</v>
      </c>
      <c r="Z537" s="34">
        <v>5</v>
      </c>
      <c r="AA537" s="34">
        <v>245</v>
      </c>
      <c r="AB537" s="34">
        <v>245</v>
      </c>
      <c r="AC537" s="34">
        <v>215</v>
      </c>
      <c r="AD537" s="34">
        <v>215</v>
      </c>
      <c r="AE537" s="34">
        <v>470</v>
      </c>
      <c r="AF537" s="34">
        <v>140</v>
      </c>
      <c r="AG537" s="34">
        <v>55</v>
      </c>
      <c r="AH537" s="34">
        <v>3.6190000000000002</v>
      </c>
      <c r="AM537" s="40" t="s">
        <v>8094</v>
      </c>
      <c r="AT537" s="44">
        <v>0</v>
      </c>
      <c r="AU537" s="44"/>
      <c r="AV537" s="46">
        <f>ROUND(Товары[[#This Row],[РРЦ финальная, руб.]]/$AU$1,2)</f>
        <v>0</v>
      </c>
      <c r="AW537" s="45" t="str">
        <f>IFERROR(Товары[[#This Row],[РРЦ, евро]]/Товары[[#This Row],[IRP, Eur]],"-")</f>
        <v>-</v>
      </c>
      <c r="AX537" s="42">
        <f>IFERROR(VLOOKUP(Товары[[#This Row],[SubGroup]],'Структура цен DIY'!$B:$C,2,FALSE),0)</f>
        <v>0.27976081460674185</v>
      </c>
      <c r="AY537" s="44">
        <v>0</v>
      </c>
    </row>
    <row r="538" spans="1:51" x14ac:dyDescent="0.25">
      <c r="A538" s="34">
        <v>536</v>
      </c>
      <c r="B538" s="34" t="s">
        <v>56</v>
      </c>
      <c r="C538" s="110" t="str">
        <f>IFERROR(INDEX(Структура_ассортимента[SuperCategory],MATCH(Товары[[#This Row],[SubGroup]],Структура_ассортимента[Subgroup],0)),"")</f>
        <v>A</v>
      </c>
      <c r="D53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3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38" s="110" t="str">
        <f>IFERROR(INDEX(Структура_ассортимента[Product group],MATCH(Товары[[#This Row],[SubGroup]],Структура_ассортимента[Subgroup],0)),"")</f>
        <v>AMT_C</v>
      </c>
      <c r="G538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38" s="110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38" s="36">
        <v>9226</v>
      </c>
      <c r="J538" s="36" t="str">
        <f>IFERROR(INDEX(Структура_ассортимента[Generic Name (long)],MATCH(Товары[[#This Row],[SubGroup]],Структура_ассортимента[Subgroup],0)),"")</f>
        <v>GARDEN TOOL SET</v>
      </c>
      <c r="L538" s="36">
        <v>901202801</v>
      </c>
      <c r="M538" s="35" t="s">
        <v>2222</v>
      </c>
      <c r="Q538" s="34" t="s">
        <v>4565</v>
      </c>
      <c r="R538" s="34" t="s">
        <v>3540</v>
      </c>
      <c r="S538" s="47">
        <v>37895</v>
      </c>
      <c r="T538" s="47">
        <v>42735</v>
      </c>
      <c r="U538" s="47">
        <v>42735</v>
      </c>
      <c r="V538" s="34">
        <v>4078500892001</v>
      </c>
      <c r="W538" s="34" t="s">
        <v>3703</v>
      </c>
      <c r="Y538" s="34" t="s">
        <v>3542</v>
      </c>
      <c r="Z538" s="34">
        <v>5</v>
      </c>
      <c r="AA538" s="34">
        <v>261</v>
      </c>
      <c r="AB538" s="34">
        <v>261</v>
      </c>
      <c r="AC538" s="34">
        <v>240</v>
      </c>
      <c r="AD538" s="34">
        <v>240</v>
      </c>
      <c r="AE538" s="34">
        <v>430</v>
      </c>
      <c r="AF538" s="34">
        <v>90</v>
      </c>
      <c r="AG538" s="34">
        <v>85</v>
      </c>
      <c r="AH538" s="34">
        <v>3.29</v>
      </c>
      <c r="AM538" s="40" t="s">
        <v>8094</v>
      </c>
      <c r="AT538" s="44">
        <v>0</v>
      </c>
      <c r="AU538" s="44"/>
      <c r="AV538" s="46">
        <f>ROUND(Товары[[#This Row],[РРЦ финальная, руб.]]/$AU$1,2)</f>
        <v>0</v>
      </c>
      <c r="AW538" s="45" t="str">
        <f>IFERROR(Товары[[#This Row],[РРЦ, евро]]/Товары[[#This Row],[IRP, Eur]],"-")</f>
        <v>-</v>
      </c>
      <c r="AX538" s="42">
        <f>IFERROR(VLOOKUP(Товары[[#This Row],[SubGroup]],'Структура цен DIY'!$B:$C,2,FALSE),0)</f>
        <v>0.27976081460674185</v>
      </c>
      <c r="AY538" s="44">
        <v>0</v>
      </c>
    </row>
    <row r="539" spans="1:51" x14ac:dyDescent="0.25">
      <c r="A539" s="34">
        <v>537</v>
      </c>
      <c r="B539" s="34" t="s">
        <v>56</v>
      </c>
      <c r="C539" s="110" t="str">
        <f>IFERROR(INDEX(Структура_ассортимента[SuperCategory],MATCH(Товары[[#This Row],[SubGroup]],Структура_ассортимента[Subgroup],0)),"")</f>
        <v>A</v>
      </c>
      <c r="D53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3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39" s="110" t="str">
        <f>IFERROR(INDEX(Структура_ассортимента[Product group],MATCH(Товары[[#This Row],[SubGroup]],Структура_ассортимента[Subgroup],0)),"")</f>
        <v>AMT_C</v>
      </c>
      <c r="G539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39" s="110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39" s="36">
        <v>9226</v>
      </c>
      <c r="J539" s="36" t="str">
        <f>IFERROR(INDEX(Структура_ассортимента[Generic Name (long)],MATCH(Товары[[#This Row],[SubGroup]],Структура_ассортимента[Subgroup],0)),"")</f>
        <v>GARDEN TOOL SET</v>
      </c>
      <c r="L539" s="36">
        <v>901203001</v>
      </c>
      <c r="M539" s="35" t="s">
        <v>2223</v>
      </c>
      <c r="Q539" s="34" t="s">
        <v>4565</v>
      </c>
      <c r="R539" s="34" t="s">
        <v>3540</v>
      </c>
      <c r="S539" s="47">
        <v>37895</v>
      </c>
      <c r="T539" s="47">
        <v>42735</v>
      </c>
      <c r="U539" s="47">
        <v>42735</v>
      </c>
      <c r="V539" s="34">
        <v>4078500892209</v>
      </c>
      <c r="W539" s="34" t="s">
        <v>3703</v>
      </c>
      <c r="Y539" s="34" t="s">
        <v>3542</v>
      </c>
      <c r="Z539" s="34">
        <v>5</v>
      </c>
      <c r="AA539" s="34">
        <v>620</v>
      </c>
      <c r="AB539" s="34">
        <v>620</v>
      </c>
      <c r="AC539" s="34">
        <v>520</v>
      </c>
      <c r="AD539" s="34">
        <v>520</v>
      </c>
      <c r="AE539" s="34">
        <v>365</v>
      </c>
      <c r="AF539" s="34">
        <v>140</v>
      </c>
      <c r="AG539" s="34">
        <v>140</v>
      </c>
      <c r="AH539" s="34">
        <v>7.1539999999999999</v>
      </c>
      <c r="AM539" s="40" t="s">
        <v>8094</v>
      </c>
      <c r="AT539" s="44">
        <v>0</v>
      </c>
      <c r="AU539" s="44"/>
      <c r="AV539" s="46">
        <f>ROUND(Товары[[#This Row],[РРЦ финальная, руб.]]/$AU$1,2)</f>
        <v>0</v>
      </c>
      <c r="AW539" s="45" t="str">
        <f>IFERROR(Товары[[#This Row],[РРЦ, евро]]/Товары[[#This Row],[IRP, Eur]],"-")</f>
        <v>-</v>
      </c>
      <c r="AX539" s="42">
        <f>IFERROR(VLOOKUP(Товары[[#This Row],[SubGroup]],'Структура цен DIY'!$B:$C,2,FALSE),0)</f>
        <v>0.27976081460674185</v>
      </c>
      <c r="AY539" s="44">
        <v>0</v>
      </c>
    </row>
    <row r="540" spans="1:51" x14ac:dyDescent="0.25">
      <c r="A540" s="34">
        <v>538</v>
      </c>
      <c r="B540" s="34" t="s">
        <v>56</v>
      </c>
      <c r="C540" s="110" t="str">
        <f>IFERROR(INDEX(Структура_ассортимента[SuperCategory],MATCH(Товары[[#This Row],[SubGroup]],Структура_ассортимента[Subgroup],0)),"")</f>
        <v>A</v>
      </c>
      <c r="D54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4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40" s="110" t="str">
        <f>IFERROR(INDEX(Структура_ассортимента[Product group],MATCH(Товары[[#This Row],[SubGroup]],Структура_ассортимента[Subgroup],0)),"")</f>
        <v>AMT_C</v>
      </c>
      <c r="G540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40" s="110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40" s="36">
        <v>9226</v>
      </c>
      <c r="J540" s="36" t="str">
        <f>IFERROR(INDEX(Структура_ассортимента[Generic Name (long)],MATCH(Товары[[#This Row],[SubGroup]],Структура_ассортимента[Subgroup],0)),"")</f>
        <v>GARDEN TOOL SET</v>
      </c>
      <c r="L540" s="36">
        <v>901203101</v>
      </c>
      <c r="M540" s="35" t="s">
        <v>2224</v>
      </c>
      <c r="Q540" s="34" t="s">
        <v>4565</v>
      </c>
      <c r="R540" s="34" t="s">
        <v>3540</v>
      </c>
      <c r="S540" s="47">
        <v>37895</v>
      </c>
      <c r="T540" s="47">
        <v>42735</v>
      </c>
      <c r="U540" s="47">
        <v>42735</v>
      </c>
      <c r="V540" s="34">
        <v>4078500892407</v>
      </c>
      <c r="W540" s="34" t="s">
        <v>3703</v>
      </c>
      <c r="Y540" s="34" t="s">
        <v>3542</v>
      </c>
      <c r="Z540" s="34">
        <v>5</v>
      </c>
      <c r="AA540" s="34">
        <v>214</v>
      </c>
      <c r="AB540" s="34">
        <v>214</v>
      </c>
      <c r="AC540" s="34">
        <v>200</v>
      </c>
      <c r="AD540" s="34">
        <v>200</v>
      </c>
      <c r="AE540" s="34">
        <v>350</v>
      </c>
      <c r="AF540" s="34">
        <v>90</v>
      </c>
      <c r="AG540" s="34">
        <v>45</v>
      </c>
      <c r="AH540" s="34">
        <v>1.4179999999999999</v>
      </c>
      <c r="AM540" s="40" t="s">
        <v>8094</v>
      </c>
      <c r="AT540" s="44">
        <v>0</v>
      </c>
      <c r="AU540" s="44"/>
      <c r="AV540" s="46">
        <f>ROUND(Товары[[#This Row],[РРЦ финальная, руб.]]/$AU$1,2)</f>
        <v>0</v>
      </c>
      <c r="AW540" s="45" t="str">
        <f>IFERROR(Товары[[#This Row],[РРЦ, евро]]/Товары[[#This Row],[IRP, Eur]],"-")</f>
        <v>-</v>
      </c>
      <c r="AX540" s="42">
        <f>IFERROR(VLOOKUP(Товары[[#This Row],[SubGroup]],'Структура цен DIY'!$B:$C,2,FALSE),0)</f>
        <v>0.27976081460674185</v>
      </c>
      <c r="AY540" s="44">
        <v>0</v>
      </c>
    </row>
    <row r="541" spans="1:51" x14ac:dyDescent="0.25">
      <c r="A541" s="34">
        <v>539</v>
      </c>
      <c r="B541" s="34" t="s">
        <v>56</v>
      </c>
      <c r="C541" s="110" t="str">
        <f>IFERROR(INDEX(Структура_ассортимента[SuperCategory],MATCH(Товары[[#This Row],[SubGroup]],Структура_ассортимента[Subgroup],0)),"")</f>
        <v>A</v>
      </c>
      <c r="D54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4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41" s="110" t="str">
        <f>IFERROR(INDEX(Структура_ассортимента[Product group],MATCH(Товары[[#This Row],[SubGroup]],Структура_ассортимента[Subgroup],0)),"")</f>
        <v>AMT_C</v>
      </c>
      <c r="G541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41" s="110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41" s="36">
        <v>9226</v>
      </c>
      <c r="J541" s="36" t="str">
        <f>IFERROR(INDEX(Структура_ассортимента[Generic Name (long)],MATCH(Товары[[#This Row],[SubGroup]],Структура_ассортимента[Subgroup],0)),"")</f>
        <v>GARDEN TOOL SET</v>
      </c>
      <c r="L541" s="36">
        <v>901203201</v>
      </c>
      <c r="M541" s="35" t="s">
        <v>2225</v>
      </c>
      <c r="Q541" s="34" t="s">
        <v>4565</v>
      </c>
      <c r="R541" s="34" t="s">
        <v>3540</v>
      </c>
      <c r="S541" s="47">
        <v>37895</v>
      </c>
      <c r="T541" s="47">
        <v>42735</v>
      </c>
      <c r="U541" s="47">
        <v>42735</v>
      </c>
      <c r="V541" s="34">
        <v>4078500892605</v>
      </c>
      <c r="W541" s="34" t="s">
        <v>3703</v>
      </c>
      <c r="Y541" s="34" t="s">
        <v>3542</v>
      </c>
      <c r="Z541" s="34">
        <v>5</v>
      </c>
      <c r="AA541" s="34">
        <v>268</v>
      </c>
      <c r="AB541" s="34">
        <v>268</v>
      </c>
      <c r="AC541" s="34">
        <v>240</v>
      </c>
      <c r="AD541" s="34">
        <v>240</v>
      </c>
      <c r="AE541" s="34">
        <v>395</v>
      </c>
      <c r="AF541" s="34">
        <v>90</v>
      </c>
      <c r="AG541" s="34">
        <v>70</v>
      </c>
      <c r="AH541" s="34">
        <v>2.4889999999999999</v>
      </c>
      <c r="AM541" s="40" t="s">
        <v>8094</v>
      </c>
      <c r="AT541" s="44">
        <v>0</v>
      </c>
      <c r="AU541" s="44"/>
      <c r="AV541" s="46">
        <f>ROUND(Товары[[#This Row],[РРЦ финальная, руб.]]/$AU$1,2)</f>
        <v>0</v>
      </c>
      <c r="AW541" s="45" t="str">
        <f>IFERROR(Товары[[#This Row],[РРЦ, евро]]/Товары[[#This Row],[IRP, Eur]],"-")</f>
        <v>-</v>
      </c>
      <c r="AX541" s="42">
        <f>IFERROR(VLOOKUP(Товары[[#This Row],[SubGroup]],'Структура цен DIY'!$B:$C,2,FALSE),0)</f>
        <v>0.27976081460674185</v>
      </c>
      <c r="AY541" s="44">
        <v>0</v>
      </c>
    </row>
    <row r="542" spans="1:51" x14ac:dyDescent="0.25">
      <c r="A542" s="34">
        <v>540</v>
      </c>
      <c r="B542" s="34" t="s">
        <v>56</v>
      </c>
      <c r="C542" s="110" t="str">
        <f>IFERROR(INDEX(Структура_ассортимента[SuperCategory],MATCH(Товары[[#This Row],[SubGroup]],Структура_ассортимента[Subgroup],0)),"")</f>
        <v>A</v>
      </c>
      <c r="D54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4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42" s="110" t="str">
        <f>IFERROR(INDEX(Структура_ассортимента[Product group],MATCH(Товары[[#This Row],[SubGroup]],Структура_ассортимента[Subgroup],0)),"")</f>
        <v>AMT_C</v>
      </c>
      <c r="G542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42" s="110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42" s="36">
        <v>9226</v>
      </c>
      <c r="J542" s="36" t="str">
        <f>IFERROR(INDEX(Структура_ассортимента[Generic Name (long)],MATCH(Товары[[#This Row],[SubGroup]],Структура_ассортимента[Subgroup],0)),"")</f>
        <v>GARDEN TOOL SET</v>
      </c>
      <c r="L542" s="36">
        <v>901203401</v>
      </c>
      <c r="M542" s="35" t="s">
        <v>2226</v>
      </c>
      <c r="Q542" s="34" t="s">
        <v>4565</v>
      </c>
      <c r="R542" s="34" t="s">
        <v>3540</v>
      </c>
      <c r="S542" s="47">
        <v>37895</v>
      </c>
      <c r="T542" s="47">
        <v>42735</v>
      </c>
      <c r="U542" s="47">
        <v>42735</v>
      </c>
      <c r="V542" s="34">
        <v>4078500892803</v>
      </c>
      <c r="W542" s="34" t="s">
        <v>3703</v>
      </c>
      <c r="Y542" s="34" t="s">
        <v>3542</v>
      </c>
      <c r="Z542" s="34">
        <v>5</v>
      </c>
      <c r="AA542" s="34">
        <v>175</v>
      </c>
      <c r="AB542" s="34">
        <v>175</v>
      </c>
      <c r="AC542" s="34">
        <v>160</v>
      </c>
      <c r="AD542" s="34">
        <v>160</v>
      </c>
      <c r="AE542" s="34">
        <v>350</v>
      </c>
      <c r="AF542" s="34">
        <v>90</v>
      </c>
      <c r="AG542" s="34">
        <v>50</v>
      </c>
      <c r="AH542" s="34">
        <v>1.575</v>
      </c>
      <c r="AM542" s="40" t="s">
        <v>8094</v>
      </c>
      <c r="AT542" s="44">
        <v>0</v>
      </c>
      <c r="AU542" s="44"/>
      <c r="AV542" s="46">
        <f>ROUND(Товары[[#This Row],[РРЦ финальная, руб.]]/$AU$1,2)</f>
        <v>0</v>
      </c>
      <c r="AW542" s="45" t="str">
        <f>IFERROR(Товары[[#This Row],[РРЦ, евро]]/Товары[[#This Row],[IRP, Eur]],"-")</f>
        <v>-</v>
      </c>
      <c r="AX542" s="42">
        <f>IFERROR(VLOOKUP(Товары[[#This Row],[SubGroup]],'Структура цен DIY'!$B:$C,2,FALSE),0)</f>
        <v>0.27976081460674185</v>
      </c>
      <c r="AY542" s="44">
        <v>0</v>
      </c>
    </row>
    <row r="543" spans="1:51" x14ac:dyDescent="0.25">
      <c r="A543" s="34">
        <v>541</v>
      </c>
      <c r="B543" s="34" t="s">
        <v>56</v>
      </c>
      <c r="C543" s="110" t="str">
        <f>IFERROR(INDEX(Структура_ассортимента[SuperCategory],MATCH(Товары[[#This Row],[SubGroup]],Структура_ассортимента[Subgroup],0)),"")</f>
        <v>A</v>
      </c>
      <c r="D54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4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43" s="110" t="str">
        <f>IFERROR(INDEX(Структура_ассортимента[Product group],MATCH(Товары[[#This Row],[SubGroup]],Структура_ассортимента[Subgroup],0)),"")</f>
        <v>AMT_C</v>
      </c>
      <c r="G543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43" s="110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43" s="36">
        <v>9226</v>
      </c>
      <c r="J543" s="36" t="str">
        <f>IFERROR(INDEX(Структура_ассортимента[Generic Name (long)],MATCH(Товары[[#This Row],[SubGroup]],Структура_ассортимента[Subgroup],0)),"")</f>
        <v>GARDEN TOOL SET</v>
      </c>
      <c r="L543" s="36">
        <v>901203601</v>
      </c>
      <c r="M543" s="35" t="s">
        <v>2227</v>
      </c>
      <c r="Q543" s="34" t="s">
        <v>4565</v>
      </c>
      <c r="R543" s="34" t="s">
        <v>3540</v>
      </c>
      <c r="S543" s="47">
        <v>37895</v>
      </c>
      <c r="T543" s="47">
        <v>42735</v>
      </c>
      <c r="U543" s="47">
        <v>42735</v>
      </c>
      <c r="V543" s="34">
        <v>4078500893008</v>
      </c>
      <c r="W543" s="34" t="s">
        <v>3703</v>
      </c>
      <c r="Y543" s="34" t="s">
        <v>3542</v>
      </c>
      <c r="Z543" s="34">
        <v>5</v>
      </c>
      <c r="AA543" s="34">
        <v>444</v>
      </c>
      <c r="AB543" s="34">
        <v>444</v>
      </c>
      <c r="AC543" s="34">
        <v>400</v>
      </c>
      <c r="AD543" s="34">
        <v>400</v>
      </c>
      <c r="AE543" s="34">
        <v>470</v>
      </c>
      <c r="AF543" s="34">
        <v>320</v>
      </c>
      <c r="AG543" s="34">
        <v>50</v>
      </c>
      <c r="AH543" s="34">
        <v>7.52</v>
      </c>
      <c r="AM543" s="40" t="s">
        <v>8094</v>
      </c>
      <c r="AT543" s="44">
        <v>0</v>
      </c>
      <c r="AU543" s="44"/>
      <c r="AV543" s="46">
        <f>ROUND(Товары[[#This Row],[РРЦ финальная, руб.]]/$AU$1,2)</f>
        <v>0</v>
      </c>
      <c r="AW543" s="45" t="str">
        <f>IFERROR(Товары[[#This Row],[РРЦ, евро]]/Товары[[#This Row],[IRP, Eur]],"-")</f>
        <v>-</v>
      </c>
      <c r="AX543" s="42">
        <f>IFERROR(VLOOKUP(Товары[[#This Row],[SubGroup]],'Структура цен DIY'!$B:$C,2,FALSE),0)</f>
        <v>0.27976081460674185</v>
      </c>
      <c r="AY543" s="44">
        <v>0</v>
      </c>
    </row>
    <row r="544" spans="1:51" x14ac:dyDescent="0.25">
      <c r="A544" s="34">
        <v>542</v>
      </c>
      <c r="B544" s="34" t="s">
        <v>56</v>
      </c>
      <c r="C544" s="110" t="str">
        <f>IFERROR(INDEX(Структура_ассортимента[SuperCategory],MATCH(Товары[[#This Row],[SubGroup]],Структура_ассортимента[Subgroup],0)),"")</f>
        <v>A</v>
      </c>
      <c r="D54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4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44" s="110" t="str">
        <f>IFERROR(INDEX(Структура_ассортимента[Product group],MATCH(Товары[[#This Row],[SubGroup]],Структура_ассортимента[Subgroup],0)),"")</f>
        <v>AMT_C</v>
      </c>
      <c r="G544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44" s="110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44" s="36">
        <v>9226</v>
      </c>
      <c r="J544" s="36" t="str">
        <f>IFERROR(INDEX(Структура_ассортимента[Generic Name (long)],MATCH(Товары[[#This Row],[SubGroup]],Структура_ассортимента[Subgroup],0)),"")</f>
        <v>GARDEN TOOL SET</v>
      </c>
      <c r="L544" s="36">
        <v>901203801</v>
      </c>
      <c r="M544" s="35" t="s">
        <v>2228</v>
      </c>
      <c r="Q544" s="34" t="s">
        <v>4565</v>
      </c>
      <c r="R544" s="34" t="s">
        <v>3540</v>
      </c>
      <c r="S544" s="47">
        <v>38261</v>
      </c>
      <c r="T544" s="47">
        <v>42735</v>
      </c>
      <c r="U544" s="47">
        <v>42735</v>
      </c>
      <c r="V544" s="34">
        <v>4078500893107</v>
      </c>
      <c r="W544" s="34" t="s">
        <v>3703</v>
      </c>
      <c r="Y544" s="34" t="s">
        <v>3542</v>
      </c>
      <c r="Z544" s="34">
        <v>5</v>
      </c>
      <c r="AA544" s="34">
        <v>285</v>
      </c>
      <c r="AB544" s="34">
        <v>270</v>
      </c>
      <c r="AC544" s="34">
        <v>270</v>
      </c>
      <c r="AD544" s="34">
        <v>260</v>
      </c>
      <c r="AE544" s="34">
        <v>405</v>
      </c>
      <c r="AF544" s="34">
        <v>105</v>
      </c>
      <c r="AG544" s="34">
        <v>60</v>
      </c>
      <c r="AH544" s="34">
        <v>2.552</v>
      </c>
      <c r="AM544" s="40" t="s">
        <v>8094</v>
      </c>
      <c r="AT544" s="44">
        <v>0</v>
      </c>
      <c r="AU544" s="44"/>
      <c r="AV544" s="46">
        <f>ROUND(Товары[[#This Row],[РРЦ финальная, руб.]]/$AU$1,2)</f>
        <v>0</v>
      </c>
      <c r="AW544" s="45" t="str">
        <f>IFERROR(Товары[[#This Row],[РРЦ, евро]]/Товары[[#This Row],[IRP, Eur]],"-")</f>
        <v>-</v>
      </c>
      <c r="AX544" s="42">
        <f>IFERROR(VLOOKUP(Товары[[#This Row],[SubGroup]],'Структура цен DIY'!$B:$C,2,FALSE),0)</f>
        <v>0.27976081460674185</v>
      </c>
      <c r="AY544" s="44">
        <v>0</v>
      </c>
    </row>
    <row r="545" spans="1:51" x14ac:dyDescent="0.25">
      <c r="A545" s="34">
        <v>543</v>
      </c>
      <c r="B545" s="34" t="s">
        <v>56</v>
      </c>
      <c r="C545" s="110" t="str">
        <f>IFERROR(INDEX(Структура_ассортимента[SuperCategory],MATCH(Товары[[#This Row],[SubGroup]],Структура_ассортимента[Subgroup],0)),"")</f>
        <v>A</v>
      </c>
      <c r="D54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4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45" s="110" t="str">
        <f>IFERROR(INDEX(Структура_ассортимента[Product group],MATCH(Товары[[#This Row],[SubGroup]],Структура_ассортимента[Subgroup],0)),"")</f>
        <v>AMT_C</v>
      </c>
      <c r="G545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45" s="110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45" s="36">
        <v>9227</v>
      </c>
      <c r="J545" s="36" t="str">
        <f>IFERROR(INDEX(Структура_ассортимента[Generic Name (long)],MATCH(Товары[[#This Row],[SubGroup]],Структура_ассортимента[Subgroup],0)),"")</f>
        <v>PLANTER</v>
      </c>
      <c r="L545" s="36">
        <v>901204001</v>
      </c>
      <c r="M545" s="35" t="s">
        <v>2229</v>
      </c>
      <c r="Q545" s="34" t="s">
        <v>4565</v>
      </c>
      <c r="R545" s="34" t="s">
        <v>3540</v>
      </c>
      <c r="S545" s="47">
        <v>37895</v>
      </c>
      <c r="T545" s="47">
        <v>42735</v>
      </c>
      <c r="U545" s="47">
        <v>42735</v>
      </c>
      <c r="V545" s="34">
        <v>4078500893206</v>
      </c>
      <c r="W545" s="34" t="s">
        <v>3703</v>
      </c>
      <c r="Y545" s="34" t="s">
        <v>3542</v>
      </c>
      <c r="Z545" s="34">
        <v>5</v>
      </c>
      <c r="AA545" s="34">
        <v>190</v>
      </c>
      <c r="AB545" s="34">
        <v>190</v>
      </c>
      <c r="AC545" s="34">
        <v>180</v>
      </c>
      <c r="AD545" s="34">
        <v>180</v>
      </c>
      <c r="AE545" s="34">
        <v>360</v>
      </c>
      <c r="AF545" s="34">
        <v>90</v>
      </c>
      <c r="AG545" s="34">
        <v>35</v>
      </c>
      <c r="AH545" s="34">
        <v>1.1339999999999999</v>
      </c>
      <c r="AM545" s="40" t="s">
        <v>8094</v>
      </c>
      <c r="AT545" s="44">
        <v>0</v>
      </c>
      <c r="AU545" s="44"/>
      <c r="AV545" s="46">
        <f>ROUND(Товары[[#This Row],[РРЦ финальная, руб.]]/$AU$1,2)</f>
        <v>0</v>
      </c>
      <c r="AW545" s="45" t="str">
        <f>IFERROR(Товары[[#This Row],[РРЦ, евро]]/Товары[[#This Row],[IRP, Eur]],"-")</f>
        <v>-</v>
      </c>
      <c r="AX545" s="42">
        <f>IFERROR(VLOOKUP(Товары[[#This Row],[SubGroup]],'Структура цен DIY'!$B:$C,2,FALSE),0)</f>
        <v>0.27976081460674185</v>
      </c>
      <c r="AY545" s="44">
        <v>0</v>
      </c>
    </row>
    <row r="546" spans="1:51" x14ac:dyDescent="0.25">
      <c r="A546" s="34">
        <v>544</v>
      </c>
      <c r="B546" s="34" t="s">
        <v>56</v>
      </c>
      <c r="C546" s="110" t="str">
        <f>IFERROR(INDEX(Структура_ассортимента[SuperCategory],MATCH(Товары[[#This Row],[SubGroup]],Структура_ассортимента[Subgroup],0)),"")</f>
        <v>A</v>
      </c>
      <c r="D54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4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46" s="110" t="str">
        <f>IFERROR(INDEX(Структура_ассортимента[Product group],MATCH(Товары[[#This Row],[SubGroup]],Структура_ассортимента[Subgroup],0)),"")</f>
        <v>AMT_C</v>
      </c>
      <c r="G546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46" s="110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46" s="36">
        <v>9227</v>
      </c>
      <c r="J546" s="36" t="str">
        <f>IFERROR(INDEX(Структура_ассортимента[Generic Name (long)],MATCH(Товары[[#This Row],[SubGroup]],Структура_ассортимента[Subgroup],0)),"")</f>
        <v>PLANTER</v>
      </c>
      <c r="L546" s="36">
        <v>901204301</v>
      </c>
      <c r="M546" s="35" t="s">
        <v>2230</v>
      </c>
      <c r="Q546" s="34" t="s">
        <v>4565</v>
      </c>
      <c r="R546" s="34" t="s">
        <v>3540</v>
      </c>
      <c r="S546" s="47">
        <v>38261</v>
      </c>
      <c r="T546" s="47">
        <v>42735</v>
      </c>
      <c r="U546" s="47">
        <v>42735</v>
      </c>
      <c r="V546" s="34">
        <v>4078500893602</v>
      </c>
      <c r="W546" s="34" t="s">
        <v>3703</v>
      </c>
      <c r="Y546" s="34" t="s">
        <v>3542</v>
      </c>
      <c r="Z546" s="34">
        <v>20</v>
      </c>
      <c r="AA546" s="34">
        <v>254</v>
      </c>
      <c r="AB546" s="34">
        <v>254</v>
      </c>
      <c r="AC546" s="34">
        <v>230</v>
      </c>
      <c r="AD546" s="34">
        <v>230</v>
      </c>
      <c r="AE546" s="34">
        <v>335</v>
      </c>
      <c r="AF546" s="34">
        <v>80</v>
      </c>
      <c r="AG546" s="34">
        <v>65</v>
      </c>
      <c r="AH546" s="34">
        <v>1.742</v>
      </c>
      <c r="AM546" s="40" t="s">
        <v>8094</v>
      </c>
      <c r="AT546" s="44">
        <v>0</v>
      </c>
      <c r="AU546" s="44"/>
      <c r="AV546" s="46">
        <f>ROUND(Товары[[#This Row],[РРЦ финальная, руб.]]/$AU$1,2)</f>
        <v>0</v>
      </c>
      <c r="AW546" s="45" t="str">
        <f>IFERROR(Товары[[#This Row],[РРЦ, евро]]/Товары[[#This Row],[IRP, Eur]],"-")</f>
        <v>-</v>
      </c>
      <c r="AX546" s="42">
        <f>IFERROR(VLOOKUP(Товары[[#This Row],[SubGroup]],'Структура цен DIY'!$B:$C,2,FALSE),0)</f>
        <v>0.27976081460674185</v>
      </c>
      <c r="AY546" s="44">
        <v>0</v>
      </c>
    </row>
    <row r="547" spans="1:51" x14ac:dyDescent="0.25">
      <c r="A547" s="34">
        <v>545</v>
      </c>
      <c r="B547" s="34" t="s">
        <v>56</v>
      </c>
      <c r="C547" s="110" t="str">
        <f>IFERROR(INDEX(Структура_ассортимента[SuperCategory],MATCH(Товары[[#This Row],[SubGroup]],Структура_ассортимента[Subgroup],0)),"")</f>
        <v>A</v>
      </c>
      <c r="D54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4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47" s="110" t="str">
        <f>IFERROR(INDEX(Структура_ассортимента[Product group],MATCH(Товары[[#This Row],[SubGroup]],Структура_ассортимента[Subgroup],0)),"")</f>
        <v>AMT_C</v>
      </c>
      <c r="G547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47" s="110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47" s="36">
        <v>9227</v>
      </c>
      <c r="J547" s="36" t="str">
        <f>IFERROR(INDEX(Структура_ассортимента[Generic Name (long)],MATCH(Товары[[#This Row],[SubGroup]],Структура_ассортимента[Subgroup],0)),"")</f>
        <v>PLANTER</v>
      </c>
      <c r="L547" s="36">
        <v>901204601</v>
      </c>
      <c r="M547" s="35" t="s">
        <v>2231</v>
      </c>
      <c r="Q547" s="34" t="s">
        <v>4565</v>
      </c>
      <c r="R547" s="34" t="s">
        <v>3540</v>
      </c>
      <c r="S547" s="47">
        <v>38261</v>
      </c>
      <c r="T547" s="47">
        <v>42735</v>
      </c>
      <c r="U547" s="47">
        <v>42735</v>
      </c>
      <c r="V547" s="34">
        <v>4078500893701</v>
      </c>
      <c r="W547" s="34" t="s">
        <v>3703</v>
      </c>
      <c r="Y547" s="34" t="s">
        <v>3542</v>
      </c>
      <c r="Z547" s="34">
        <v>20</v>
      </c>
      <c r="AA547" s="34">
        <v>214</v>
      </c>
      <c r="AB547" s="34">
        <v>214</v>
      </c>
      <c r="AC547" s="34">
        <v>190</v>
      </c>
      <c r="AD547" s="34">
        <v>190</v>
      </c>
      <c r="AE547" s="34">
        <v>330</v>
      </c>
      <c r="AF547" s="34">
        <v>60</v>
      </c>
      <c r="AG547" s="34">
        <v>40</v>
      </c>
      <c r="AH547" s="34">
        <v>0.79200000000000004</v>
      </c>
      <c r="AM547" s="40" t="s">
        <v>8094</v>
      </c>
      <c r="AT547" s="44">
        <v>0</v>
      </c>
      <c r="AU547" s="44"/>
      <c r="AV547" s="46">
        <f>ROUND(Товары[[#This Row],[РРЦ финальная, руб.]]/$AU$1,2)</f>
        <v>0</v>
      </c>
      <c r="AW547" s="45" t="str">
        <f>IFERROR(Товары[[#This Row],[РРЦ, евро]]/Товары[[#This Row],[IRP, Eur]],"-")</f>
        <v>-</v>
      </c>
      <c r="AX547" s="42">
        <f>IFERROR(VLOOKUP(Товары[[#This Row],[SubGroup]],'Структура цен DIY'!$B:$C,2,FALSE),0)</f>
        <v>0.27976081460674185</v>
      </c>
      <c r="AY547" s="44">
        <v>0</v>
      </c>
    </row>
    <row r="548" spans="1:51" x14ac:dyDescent="0.25">
      <c r="A548" s="34">
        <v>546</v>
      </c>
      <c r="B548" s="34" t="s">
        <v>56</v>
      </c>
      <c r="C548" s="110" t="str">
        <f>IFERROR(INDEX(Структура_ассортимента[SuperCategory],MATCH(Товары[[#This Row],[SubGroup]],Структура_ассортимента[Subgroup],0)),"")</f>
        <v>A</v>
      </c>
      <c r="D54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4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48" s="110" t="str">
        <f>IFERROR(INDEX(Структура_ассортимента[Product group],MATCH(Товары[[#This Row],[SubGroup]],Структура_ассортимента[Subgroup],0)),"")</f>
        <v>AMT_C</v>
      </c>
      <c r="G548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48" s="110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48" s="36">
        <v>9227</v>
      </c>
      <c r="J548" s="36" t="str">
        <f>IFERROR(INDEX(Структура_ассортимента[Generic Name (long)],MATCH(Товары[[#This Row],[SubGroup]],Структура_ассортимента[Subgroup],0)),"")</f>
        <v>PLANTER</v>
      </c>
      <c r="L548" s="36">
        <v>901204701</v>
      </c>
      <c r="M548" s="35" t="s">
        <v>2232</v>
      </c>
      <c r="Q548" s="34" t="s">
        <v>4565</v>
      </c>
      <c r="R548" s="34" t="s">
        <v>3540</v>
      </c>
      <c r="S548" s="47">
        <v>38261</v>
      </c>
      <c r="T548" s="47">
        <v>42735</v>
      </c>
      <c r="U548" s="47">
        <v>42735</v>
      </c>
      <c r="V548" s="34">
        <v>4078500893800</v>
      </c>
      <c r="W548" s="34" t="s">
        <v>3703</v>
      </c>
      <c r="Y548" s="34" t="s">
        <v>3542</v>
      </c>
      <c r="Z548" s="34">
        <v>20</v>
      </c>
      <c r="AA548" s="34">
        <v>183</v>
      </c>
      <c r="AB548" s="34">
        <v>183</v>
      </c>
      <c r="AC548" s="34">
        <v>160</v>
      </c>
      <c r="AD548" s="34">
        <v>160</v>
      </c>
      <c r="AE548" s="34">
        <v>300</v>
      </c>
      <c r="AF548" s="34">
        <v>80</v>
      </c>
      <c r="AG548" s="34">
        <v>33</v>
      </c>
      <c r="AH548" s="34">
        <v>0.79200000000000004</v>
      </c>
      <c r="AM548" s="40" t="s">
        <v>8094</v>
      </c>
      <c r="AT548" s="44">
        <v>0</v>
      </c>
      <c r="AU548" s="44"/>
      <c r="AV548" s="46">
        <f>ROUND(Товары[[#This Row],[РРЦ финальная, руб.]]/$AU$1,2)</f>
        <v>0</v>
      </c>
      <c r="AW548" s="45" t="str">
        <f>IFERROR(Товары[[#This Row],[РРЦ, евро]]/Товары[[#This Row],[IRP, Eur]],"-")</f>
        <v>-</v>
      </c>
      <c r="AX548" s="42">
        <f>IFERROR(VLOOKUP(Товары[[#This Row],[SubGroup]],'Структура цен DIY'!$B:$C,2,FALSE),0)</f>
        <v>0.27976081460674185</v>
      </c>
      <c r="AY548" s="44">
        <v>0</v>
      </c>
    </row>
    <row r="549" spans="1:51" x14ac:dyDescent="0.25">
      <c r="A549" s="34">
        <v>547</v>
      </c>
      <c r="B549" s="34" t="s">
        <v>56</v>
      </c>
      <c r="C549" s="110" t="str">
        <f>IFERROR(INDEX(Структура_ассортимента[SuperCategory],MATCH(Товары[[#This Row],[SubGroup]],Структура_ассортимента[Subgroup],0)),"")</f>
        <v>A</v>
      </c>
      <c r="D54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4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49" s="110" t="str">
        <f>IFERROR(INDEX(Структура_ассортимента[Product group],MATCH(Товары[[#This Row],[SubGroup]],Структура_ассортимента[Subgroup],0)),"")</f>
        <v>AMT_C</v>
      </c>
      <c r="G549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49" s="110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49" s="36">
        <v>9227</v>
      </c>
      <c r="J549" s="36" t="str">
        <f>IFERROR(INDEX(Структура_ассортимента[Generic Name (long)],MATCH(Товары[[#This Row],[SubGroup]],Структура_ассортимента[Subgroup],0)),"")</f>
        <v>PLANTER</v>
      </c>
      <c r="L549" s="36">
        <v>901204901</v>
      </c>
      <c r="M549" s="35" t="s">
        <v>2233</v>
      </c>
      <c r="Q549" s="34" t="s">
        <v>4565</v>
      </c>
      <c r="R549" s="34" t="s">
        <v>3540</v>
      </c>
      <c r="S549" s="47">
        <v>39356</v>
      </c>
      <c r="T549" s="47">
        <v>42735</v>
      </c>
      <c r="U549" s="47">
        <v>42735</v>
      </c>
      <c r="V549" s="34">
        <v>4078500893909</v>
      </c>
      <c r="W549" s="34" t="s">
        <v>3703</v>
      </c>
      <c r="Y549" s="34" t="s">
        <v>3542</v>
      </c>
      <c r="Z549" s="34">
        <v>10</v>
      </c>
      <c r="AA549" s="34">
        <v>196</v>
      </c>
      <c r="AB549" s="34">
        <v>196</v>
      </c>
      <c r="AC549" s="34">
        <v>184</v>
      </c>
      <c r="AD549" s="34">
        <v>184</v>
      </c>
      <c r="AE549" s="34">
        <v>264</v>
      </c>
      <c r="AF549" s="34">
        <v>61</v>
      </c>
      <c r="AG549" s="34">
        <v>169</v>
      </c>
      <c r="AH549" s="34">
        <v>2.722</v>
      </c>
      <c r="AM549" s="40" t="s">
        <v>8094</v>
      </c>
      <c r="AT549" s="44">
        <v>0</v>
      </c>
      <c r="AU549" s="44"/>
      <c r="AV549" s="46">
        <f>ROUND(Товары[[#This Row],[РРЦ финальная, руб.]]/$AU$1,2)</f>
        <v>0</v>
      </c>
      <c r="AW549" s="45" t="str">
        <f>IFERROR(Товары[[#This Row],[РРЦ, евро]]/Товары[[#This Row],[IRP, Eur]],"-")</f>
        <v>-</v>
      </c>
      <c r="AX549" s="42">
        <f>IFERROR(VLOOKUP(Товары[[#This Row],[SubGroup]],'Структура цен DIY'!$B:$C,2,FALSE),0)</f>
        <v>0.27976081460674185</v>
      </c>
      <c r="AY549" s="44">
        <v>0</v>
      </c>
    </row>
    <row r="550" spans="1:51" x14ac:dyDescent="0.25">
      <c r="A550" s="34">
        <v>548</v>
      </c>
      <c r="B550" s="34" t="s">
        <v>56</v>
      </c>
      <c r="C550" s="110" t="str">
        <f>IFERROR(INDEX(Структура_ассортимента[SuperCategory],MATCH(Товары[[#This Row],[SubGroup]],Структура_ассортимента[Subgroup],0)),"")</f>
        <v>A</v>
      </c>
      <c r="D55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5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50" s="110" t="str">
        <f>IFERROR(INDEX(Структура_ассортимента[Product group],MATCH(Товары[[#This Row],[SubGroup]],Структура_ассортимента[Subgroup],0)),"")</f>
        <v>AMT_C</v>
      </c>
      <c r="G550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50" s="110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50" s="36">
        <v>9227</v>
      </c>
      <c r="J550" s="36" t="str">
        <f>IFERROR(INDEX(Структура_ассортимента[Generic Name (long)],MATCH(Товары[[#This Row],[SubGroup]],Структура_ассортимента[Subgroup],0)),"")</f>
        <v>PLANTER</v>
      </c>
      <c r="L550" s="36">
        <v>901205001</v>
      </c>
      <c r="M550" s="35" t="s">
        <v>2234</v>
      </c>
      <c r="Q550" s="34" t="s">
        <v>4565</v>
      </c>
      <c r="R550" s="34" t="s">
        <v>3540</v>
      </c>
      <c r="S550" s="47">
        <v>39356</v>
      </c>
      <c r="T550" s="47">
        <v>42735</v>
      </c>
      <c r="U550" s="47">
        <v>42735</v>
      </c>
      <c r="V550" s="34">
        <v>4078500894005</v>
      </c>
      <c r="W550" s="34" t="s">
        <v>3703</v>
      </c>
      <c r="Y550" s="34" t="s">
        <v>3542</v>
      </c>
      <c r="Z550" s="34">
        <v>10</v>
      </c>
      <c r="AA550" s="34">
        <v>172</v>
      </c>
      <c r="AB550" s="34">
        <v>172</v>
      </c>
      <c r="AC550" s="34">
        <v>160</v>
      </c>
      <c r="AD550" s="34">
        <v>160</v>
      </c>
      <c r="AE550" s="34">
        <v>358</v>
      </c>
      <c r="AF550" s="34">
        <v>48</v>
      </c>
      <c r="AG550" s="34">
        <v>110</v>
      </c>
      <c r="AH550" s="34">
        <v>1.89</v>
      </c>
      <c r="AM550" s="40" t="s">
        <v>8094</v>
      </c>
      <c r="AT550" s="44">
        <v>0</v>
      </c>
      <c r="AU550" s="44"/>
      <c r="AV550" s="46">
        <f>ROUND(Товары[[#This Row],[РРЦ финальная, руб.]]/$AU$1,2)</f>
        <v>0</v>
      </c>
      <c r="AW550" s="45" t="str">
        <f>IFERROR(Товары[[#This Row],[РРЦ, евро]]/Товары[[#This Row],[IRP, Eur]],"-")</f>
        <v>-</v>
      </c>
      <c r="AX550" s="42">
        <f>IFERROR(VLOOKUP(Товары[[#This Row],[SubGroup]],'Структура цен DIY'!$B:$C,2,FALSE),0)</f>
        <v>0.27976081460674185</v>
      </c>
      <c r="AY550" s="44">
        <v>0</v>
      </c>
    </row>
    <row r="551" spans="1:51" x14ac:dyDescent="0.25">
      <c r="A551" s="34">
        <v>549</v>
      </c>
      <c r="B551" s="34" t="s">
        <v>56</v>
      </c>
      <c r="C551" s="110" t="str">
        <f>IFERROR(INDEX(Структура_ассортимента[SuperCategory],MATCH(Товары[[#This Row],[SubGroup]],Структура_ассортимента[Subgroup],0)),"")</f>
        <v>A</v>
      </c>
      <c r="D55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5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51" s="110" t="str">
        <f>IFERROR(INDEX(Структура_ассортимента[Product group],MATCH(Товары[[#This Row],[SubGroup]],Структура_ассортимента[Subgroup],0)),"")</f>
        <v>AMT_C</v>
      </c>
      <c r="G551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51" s="110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51" s="36">
        <v>9227</v>
      </c>
      <c r="J551" s="36" t="str">
        <f>IFERROR(INDEX(Структура_ассортимента[Generic Name (long)],MATCH(Товары[[#This Row],[SubGroup]],Структура_ассортимента[Subgroup],0)),"")</f>
        <v>PLANTER</v>
      </c>
      <c r="L551" s="36">
        <v>901205101</v>
      </c>
      <c r="M551" s="35" t="s">
        <v>2235</v>
      </c>
      <c r="Q551" s="34" t="s">
        <v>4565</v>
      </c>
      <c r="R551" s="34" t="s">
        <v>3540</v>
      </c>
      <c r="S551" s="47">
        <v>39356</v>
      </c>
      <c r="T551" s="47">
        <v>42735</v>
      </c>
      <c r="U551" s="47">
        <v>42735</v>
      </c>
      <c r="V551" s="34">
        <v>4078500894104</v>
      </c>
      <c r="W551" s="34" t="s">
        <v>3703</v>
      </c>
      <c r="Y551" s="34" t="s">
        <v>3542</v>
      </c>
      <c r="Z551" s="34">
        <v>10</v>
      </c>
      <c r="AA551" s="34">
        <v>174</v>
      </c>
      <c r="AB551" s="34">
        <v>174</v>
      </c>
      <c r="AC551" s="34">
        <v>162</v>
      </c>
      <c r="AD551" s="34">
        <v>162</v>
      </c>
      <c r="AE551" s="34">
        <v>317</v>
      </c>
      <c r="AF551" s="34">
        <v>83</v>
      </c>
      <c r="AG551" s="34">
        <v>70</v>
      </c>
      <c r="AH551" s="34">
        <v>1.8420000000000001</v>
      </c>
      <c r="AM551" s="40" t="s">
        <v>8094</v>
      </c>
      <c r="AT551" s="44">
        <v>0</v>
      </c>
      <c r="AU551" s="44"/>
      <c r="AV551" s="46">
        <f>ROUND(Товары[[#This Row],[РРЦ финальная, руб.]]/$AU$1,2)</f>
        <v>0</v>
      </c>
      <c r="AW551" s="45" t="str">
        <f>IFERROR(Товары[[#This Row],[РРЦ, евро]]/Товары[[#This Row],[IRP, Eur]],"-")</f>
        <v>-</v>
      </c>
      <c r="AX551" s="42">
        <f>IFERROR(VLOOKUP(Товары[[#This Row],[SubGroup]],'Структура цен DIY'!$B:$C,2,FALSE),0)</f>
        <v>0.27976081460674185</v>
      </c>
      <c r="AY551" s="44">
        <v>0</v>
      </c>
    </row>
    <row r="552" spans="1:51" x14ac:dyDescent="0.25">
      <c r="A552" s="34">
        <v>550</v>
      </c>
      <c r="B552" s="34" t="s">
        <v>56</v>
      </c>
      <c r="C552" s="110" t="str">
        <f>IFERROR(INDEX(Структура_ассортимента[SuperCategory],MATCH(Товары[[#This Row],[SubGroup]],Структура_ассортимента[Subgroup],0)),"")</f>
        <v>A</v>
      </c>
      <c r="D55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5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52" s="110" t="str">
        <f>IFERROR(INDEX(Структура_ассортимента[Product group],MATCH(Товары[[#This Row],[SubGroup]],Структура_ассортимента[Subgroup],0)),"")</f>
        <v>AMT_C</v>
      </c>
      <c r="G552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52" s="110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52" s="36">
        <v>9227</v>
      </c>
      <c r="J552" s="36" t="str">
        <f>IFERROR(INDEX(Структура_ассортимента[Generic Name (long)],MATCH(Товары[[#This Row],[SubGroup]],Структура_ассортимента[Subgroup],0)),"")</f>
        <v>PLANTER</v>
      </c>
      <c r="L552" s="36">
        <v>901205201</v>
      </c>
      <c r="M552" s="35" t="s">
        <v>2236</v>
      </c>
      <c r="Q552" s="34" t="s">
        <v>4565</v>
      </c>
      <c r="R552" s="34" t="s">
        <v>3540</v>
      </c>
      <c r="S552" s="47">
        <v>39356</v>
      </c>
      <c r="T552" s="47">
        <v>42735</v>
      </c>
      <c r="U552" s="47">
        <v>42735</v>
      </c>
      <c r="V552" s="34">
        <v>4078500894203</v>
      </c>
      <c r="W552" s="34" t="s">
        <v>3703</v>
      </c>
      <c r="Y552" s="34" t="s">
        <v>3542</v>
      </c>
      <c r="Z552" s="34">
        <v>10</v>
      </c>
      <c r="AA552" s="34">
        <v>171</v>
      </c>
      <c r="AB552" s="34">
        <v>171</v>
      </c>
      <c r="AC552" s="34">
        <v>159</v>
      </c>
      <c r="AD552" s="34">
        <v>159</v>
      </c>
      <c r="AE552" s="34">
        <v>276</v>
      </c>
      <c r="AF552" s="34">
        <v>74</v>
      </c>
      <c r="AG552" s="34">
        <v>88</v>
      </c>
      <c r="AH552" s="34">
        <v>1.7969999999999999</v>
      </c>
      <c r="AM552" s="40" t="s">
        <v>8094</v>
      </c>
      <c r="AT552" s="44">
        <v>0</v>
      </c>
      <c r="AU552" s="44"/>
      <c r="AV552" s="46">
        <f>ROUND(Товары[[#This Row],[РРЦ финальная, руб.]]/$AU$1,2)</f>
        <v>0</v>
      </c>
      <c r="AW552" s="45" t="str">
        <f>IFERROR(Товары[[#This Row],[РРЦ, евро]]/Товары[[#This Row],[IRP, Eur]],"-")</f>
        <v>-</v>
      </c>
      <c r="AX552" s="42">
        <f>IFERROR(VLOOKUP(Товары[[#This Row],[SubGroup]],'Структура цен DIY'!$B:$C,2,FALSE),0)</f>
        <v>0.27976081460674185</v>
      </c>
      <c r="AY552" s="44">
        <v>0</v>
      </c>
    </row>
    <row r="553" spans="1:51" x14ac:dyDescent="0.25">
      <c r="A553" s="34">
        <v>551</v>
      </c>
      <c r="B553" s="34" t="s">
        <v>56</v>
      </c>
      <c r="C553" s="110" t="str">
        <f>IFERROR(INDEX(Структура_ассортимента[SuperCategory],MATCH(Товары[[#This Row],[SubGroup]],Структура_ассортимента[Subgroup],0)),"")</f>
        <v>A</v>
      </c>
      <c r="D55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5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53" s="110" t="str">
        <f>IFERROR(INDEX(Структура_ассортимента[Product group],MATCH(Товары[[#This Row],[SubGroup]],Структура_ассортимента[Subgroup],0)),"")</f>
        <v>AMT_C</v>
      </c>
      <c r="G553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53" s="110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53" s="36">
        <v>9227</v>
      </c>
      <c r="J553" s="36" t="str">
        <f>IFERROR(INDEX(Структура_ассортимента[Generic Name (long)],MATCH(Товары[[#This Row],[SubGroup]],Структура_ассортимента[Subgroup],0)),"")</f>
        <v>PLANTER</v>
      </c>
      <c r="L553" s="36">
        <v>901205301</v>
      </c>
      <c r="M553" s="35" t="s">
        <v>2237</v>
      </c>
      <c r="Q553" s="34" t="s">
        <v>4565</v>
      </c>
      <c r="R553" s="34" t="s">
        <v>3540</v>
      </c>
      <c r="S553" s="47">
        <v>39356</v>
      </c>
      <c r="T553" s="47">
        <v>42735</v>
      </c>
      <c r="U553" s="47">
        <v>42735</v>
      </c>
      <c r="V553" s="34">
        <v>4078500894302</v>
      </c>
      <c r="W553" s="34" t="s">
        <v>3703</v>
      </c>
      <c r="Y553" s="34" t="s">
        <v>3542</v>
      </c>
      <c r="Z553" s="34">
        <v>10</v>
      </c>
      <c r="AA553" s="34">
        <v>136</v>
      </c>
      <c r="AB553" s="34">
        <v>136</v>
      </c>
      <c r="AC553" s="34">
        <v>124</v>
      </c>
      <c r="AD553" s="34">
        <v>124</v>
      </c>
      <c r="AE553" s="34">
        <v>320</v>
      </c>
      <c r="AF553" s="34">
        <v>30</v>
      </c>
      <c r="AG553" s="34">
        <v>74</v>
      </c>
      <c r="AH553" s="34">
        <v>0.71</v>
      </c>
      <c r="AM553" s="40" t="s">
        <v>8094</v>
      </c>
      <c r="AT553" s="44">
        <v>0</v>
      </c>
      <c r="AU553" s="44"/>
      <c r="AV553" s="46">
        <f>ROUND(Товары[[#This Row],[РРЦ финальная, руб.]]/$AU$1,2)</f>
        <v>0</v>
      </c>
      <c r="AW553" s="45" t="str">
        <f>IFERROR(Товары[[#This Row],[РРЦ, евро]]/Товары[[#This Row],[IRP, Eur]],"-")</f>
        <v>-</v>
      </c>
      <c r="AX553" s="42">
        <f>IFERROR(VLOOKUP(Товары[[#This Row],[SubGroup]],'Структура цен DIY'!$B:$C,2,FALSE),0)</f>
        <v>0.27976081460674185</v>
      </c>
      <c r="AY553" s="44">
        <v>0</v>
      </c>
    </row>
    <row r="554" spans="1:51" x14ac:dyDescent="0.25">
      <c r="A554" s="34">
        <v>552</v>
      </c>
      <c r="B554" s="34" t="s">
        <v>56</v>
      </c>
      <c r="C554" s="110" t="str">
        <f>IFERROR(INDEX(Структура_ассортимента[SuperCategory],MATCH(Товары[[#This Row],[SubGroup]],Структура_ассортимента[Subgroup],0)),"")</f>
        <v>A</v>
      </c>
      <c r="D55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5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54" s="110" t="str">
        <f>IFERROR(INDEX(Структура_ассортимента[Product group],MATCH(Товары[[#This Row],[SubGroup]],Структура_ассортимента[Subgroup],0)),"")</f>
        <v>AMT_C</v>
      </c>
      <c r="G554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54" s="110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54" s="36">
        <v>9227</v>
      </c>
      <c r="J554" s="36" t="str">
        <f>IFERROR(INDEX(Структура_ассортимента[Generic Name (long)],MATCH(Товары[[#This Row],[SubGroup]],Структура_ассортимента[Subgroup],0)),"")</f>
        <v>PLANTER</v>
      </c>
      <c r="L554" s="36">
        <v>967334001</v>
      </c>
      <c r="M554" s="35" t="s">
        <v>2238</v>
      </c>
      <c r="Q554" s="34" t="s">
        <v>4564</v>
      </c>
      <c r="R554" s="34" t="s">
        <v>3540</v>
      </c>
      <c r="S554" s="47">
        <v>42005</v>
      </c>
      <c r="T554" s="47">
        <v>0</v>
      </c>
      <c r="U554" s="47">
        <v>0</v>
      </c>
      <c r="V554" s="34">
        <v>4078500015998</v>
      </c>
      <c r="W554" s="34" t="s">
        <v>3543</v>
      </c>
      <c r="Y554" s="34" t="s">
        <v>3542</v>
      </c>
      <c r="Z554" s="34">
        <v>4</v>
      </c>
      <c r="AA554" s="34">
        <v>725</v>
      </c>
      <c r="AB554" s="34">
        <v>725</v>
      </c>
      <c r="AC554" s="34">
        <v>700</v>
      </c>
      <c r="AD554" s="34">
        <v>700</v>
      </c>
      <c r="AE554" s="34">
        <v>170</v>
      </c>
      <c r="AF554" s="34">
        <v>112</v>
      </c>
      <c r="AG554" s="34">
        <v>410</v>
      </c>
      <c r="AH554" s="34">
        <v>7806</v>
      </c>
      <c r="AL554" s="34">
        <v>80</v>
      </c>
      <c r="AM554" s="40" t="s">
        <v>8094</v>
      </c>
      <c r="AT554" s="44">
        <v>0</v>
      </c>
      <c r="AU554" s="44"/>
      <c r="AV554" s="46">
        <f>ROUND(Товары[[#This Row],[РРЦ финальная, руб.]]/$AU$1,2)</f>
        <v>0</v>
      </c>
      <c r="AW554" s="45" t="str">
        <f>IFERROR(Товары[[#This Row],[РРЦ, евро]]/Товары[[#This Row],[IRP, Eur]],"-")</f>
        <v>-</v>
      </c>
      <c r="AX554" s="42">
        <f>IFERROR(VLOOKUP(Товары[[#This Row],[SubGroup]],'Структура цен DIY'!$B:$C,2,FALSE),0)</f>
        <v>0.27976081460674185</v>
      </c>
      <c r="AY554" s="44">
        <v>0</v>
      </c>
    </row>
    <row r="555" spans="1:51" x14ac:dyDescent="0.25">
      <c r="A555" s="34">
        <v>553</v>
      </c>
      <c r="B555" s="34" t="s">
        <v>56</v>
      </c>
      <c r="C555" s="110" t="str">
        <f>IFERROR(INDEX(Структура_ассортимента[SuperCategory],MATCH(Товары[[#This Row],[SubGroup]],Структура_ассортимента[Subgroup],0)),"")</f>
        <v>A</v>
      </c>
      <c r="D555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55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55" s="110" t="str">
        <f>IFERROR(INDEX(Структура_ассортимента[Product group],MATCH(Товары[[#This Row],[SubGroup]],Структура_ассортимента[Subgroup],0)),"")</f>
        <v>AMT_C</v>
      </c>
      <c r="G555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55" s="110" t="str">
        <f>IFERROR(INDEX(Структура_ассортимента[Generic Name (long)3],MATCH(Товары[[#This Row],[SubGroup]],Структура_ассортимента[Subgroup],0)),"")</f>
        <v>Зимние ручные инструменты</v>
      </c>
      <c r="I555" s="36">
        <v>9224</v>
      </c>
      <c r="J555" s="36" t="str">
        <f>IFERROR(INDEX(Структура_ассортимента[Generic Name (long)],MATCH(Товары[[#This Row],[SubGroup]],Структура_ассортимента[Subgroup],0)),"")</f>
        <v>SNOW SHOVEL</v>
      </c>
      <c r="L555" s="36">
        <v>967303901</v>
      </c>
      <c r="M555" s="35" t="s">
        <v>2239</v>
      </c>
      <c r="Q555" s="34" t="s">
        <v>4565</v>
      </c>
      <c r="R555" s="34" t="s">
        <v>3540</v>
      </c>
      <c r="S555" s="47">
        <v>0</v>
      </c>
      <c r="T555" s="47">
        <v>42551</v>
      </c>
      <c r="U555" s="47">
        <v>42551</v>
      </c>
      <c r="V555" s="34">
        <v>4078500010139</v>
      </c>
      <c r="W555" s="34" t="s">
        <v>3543</v>
      </c>
      <c r="AB555" s="34">
        <v>1900</v>
      </c>
      <c r="AD555" s="34">
        <v>1800</v>
      </c>
      <c r="AL555" s="34">
        <v>32</v>
      </c>
      <c r="AM555" s="40" t="s">
        <v>8094</v>
      </c>
      <c r="AT555" s="44">
        <v>0</v>
      </c>
      <c r="AU555" s="44"/>
      <c r="AV555" s="46">
        <f>ROUND(Товары[[#This Row],[РРЦ финальная, руб.]]/$AU$1,2)</f>
        <v>0</v>
      </c>
      <c r="AW555" s="45" t="str">
        <f>IFERROR(Товары[[#This Row],[РРЦ, евро]]/Товары[[#This Row],[IRP, Eur]],"-")</f>
        <v>-</v>
      </c>
      <c r="AX555" s="42">
        <f>IFERROR(VLOOKUP(Товары[[#This Row],[SubGroup]],'Структура цен DIY'!$B:$C,2,FALSE),0)</f>
        <v>0.29937500000000006</v>
      </c>
      <c r="AY555" s="44">
        <v>0</v>
      </c>
    </row>
    <row r="556" spans="1:51" x14ac:dyDescent="0.25">
      <c r="A556" s="34">
        <v>554</v>
      </c>
      <c r="B556" s="34" t="s">
        <v>56</v>
      </c>
      <c r="C556" s="110" t="str">
        <f>IFERROR(INDEX(Структура_ассортимента[SuperCategory],MATCH(Товары[[#This Row],[SubGroup]],Структура_ассортимента[Subgroup],0)),"")</f>
        <v>A</v>
      </c>
      <c r="D55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5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56" s="110" t="str">
        <f>IFERROR(INDEX(Структура_ассортимента[Product group],MATCH(Товары[[#This Row],[SubGroup]],Структура_ассортимента[Subgroup],0)),"")</f>
        <v>AMT_C</v>
      </c>
      <c r="G556" s="110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56" s="110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556" s="36">
        <v>9223</v>
      </c>
      <c r="J556" s="36" t="str">
        <f>IFERROR(INDEX(Структура_ассортимента[Generic Name (long)],MATCH(Товары[[#This Row],[SubGroup]],Структура_ассортимента[Subgroup],0)),"")</f>
        <v>GARDEN TOOL SET</v>
      </c>
      <c r="L556" s="36">
        <v>901044501</v>
      </c>
      <c r="M556" s="35" t="s">
        <v>2240</v>
      </c>
      <c r="Q556" s="34" t="s">
        <v>3544</v>
      </c>
      <c r="R556" s="34" t="s">
        <v>3540</v>
      </c>
      <c r="S556" s="47">
        <v>33878</v>
      </c>
      <c r="T556" s="47">
        <v>0</v>
      </c>
      <c r="U556" s="47">
        <v>0</v>
      </c>
      <c r="V556" s="34">
        <v>4078500323000</v>
      </c>
      <c r="W556" s="34" t="s">
        <v>3543</v>
      </c>
      <c r="Y556" s="34" t="s">
        <v>3542</v>
      </c>
      <c r="Z556" s="34">
        <v>5</v>
      </c>
      <c r="AA556" s="34">
        <v>380</v>
      </c>
      <c r="AB556" s="34">
        <v>380</v>
      </c>
      <c r="AC556" s="34">
        <v>300</v>
      </c>
      <c r="AD556" s="34">
        <v>300</v>
      </c>
      <c r="AE556" s="34">
        <v>466</v>
      </c>
      <c r="AF556" s="34">
        <v>220</v>
      </c>
      <c r="AG556" s="34">
        <v>45</v>
      </c>
      <c r="AH556" s="34">
        <v>4.6130000000000004</v>
      </c>
      <c r="AM556" s="40" t="s">
        <v>8094</v>
      </c>
      <c r="AT556" s="44">
        <v>0</v>
      </c>
      <c r="AU556" s="44"/>
      <c r="AV556" s="46">
        <f>ROUND(Товары[[#This Row],[РРЦ финальная, руб.]]/$AU$1,2)</f>
        <v>0</v>
      </c>
      <c r="AW556" s="45" t="str">
        <f>IFERROR(Товары[[#This Row],[РРЦ, евро]]/Товары[[#This Row],[IRP, Eur]],"-")</f>
        <v>-</v>
      </c>
      <c r="AX556" s="42">
        <f>IFERROR(VLOOKUP(Товары[[#This Row],[SubGroup]],'Структура цен DIY'!$B:$C,2,FALSE),0)</f>
        <v>0.27</v>
      </c>
      <c r="AY556" s="44">
        <v>0</v>
      </c>
    </row>
    <row r="557" spans="1:51" x14ac:dyDescent="0.25">
      <c r="A557" s="34">
        <v>555</v>
      </c>
      <c r="B557" s="34" t="s">
        <v>50</v>
      </c>
      <c r="C557" s="110" t="str">
        <f>IFERROR(INDEX(Структура_ассортимента[SuperCategory],MATCH(Товары[[#This Row],[SubGroup]],Структура_ассортимента[Subgroup],0)),"")</f>
        <v>H</v>
      </c>
      <c r="D557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57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57" s="110" t="str">
        <f>IFERROR(INDEX(Структура_ассортимента[Product group],MATCH(Товары[[#This Row],[SubGroup]],Структура_ассортимента[Subgroup],0)),"")</f>
        <v>EEO_C</v>
      </c>
      <c r="G557" s="110" t="str">
        <f>IFERROR(INDEX(Структура_ассортимента[Product group name ENG],MATCH(Товары[[#This Row],[SubGroup]],Структура_ассортимента[Subgroup],0)),"")</f>
        <v>Electric, Batteries/Chargers</v>
      </c>
      <c r="H557" s="110" t="str">
        <f>IFERROR(INDEX(Структура_ассортимента[Generic Name (long)3],MATCH(Товары[[#This Row],[SubGroup]],Структура_ассортимента[Subgroup],0)),"")</f>
        <v>Аккумуляторные батареи, зарядные устройства для аккумуляторных батарей</v>
      </c>
      <c r="I557" s="36">
        <v>9352</v>
      </c>
      <c r="J557" s="36" t="str">
        <f>IFERROR(INDEX(Структура_ассортимента[Generic Name (long)],MATCH(Товары[[#This Row],[SubGroup]],Структура_ассортимента[Subgroup],0)),"")</f>
        <v>CHARGER</v>
      </c>
      <c r="L557" s="36">
        <v>967102001</v>
      </c>
      <c r="M557" s="35" t="s">
        <v>2241</v>
      </c>
      <c r="O557" s="35" t="s">
        <v>5299</v>
      </c>
      <c r="P557" s="37" t="s">
        <v>5300</v>
      </c>
      <c r="Q557" s="34" t="s">
        <v>3549</v>
      </c>
      <c r="R557" s="34" t="s">
        <v>3540</v>
      </c>
      <c r="S557" s="47">
        <v>42736</v>
      </c>
      <c r="T557" s="47">
        <v>0</v>
      </c>
      <c r="U557" s="47">
        <v>0</v>
      </c>
      <c r="V557" s="34">
        <v>4078500024129</v>
      </c>
      <c r="W557" s="34" t="s">
        <v>3546</v>
      </c>
      <c r="X557" s="34" t="s">
        <v>3704</v>
      </c>
      <c r="Y557" s="34" t="s">
        <v>3542</v>
      </c>
      <c r="Z557" s="34">
        <v>2</v>
      </c>
      <c r="AA557" s="34">
        <v>523</v>
      </c>
      <c r="AB557" s="34" t="s">
        <v>3863</v>
      </c>
      <c r="AC557" s="34">
        <v>420</v>
      </c>
      <c r="AD557" s="34" t="s">
        <v>4790</v>
      </c>
      <c r="AE557" s="34" t="s">
        <v>3557</v>
      </c>
      <c r="AF557" s="34" t="s">
        <v>4381</v>
      </c>
      <c r="AG557" s="34" t="s">
        <v>4471</v>
      </c>
      <c r="AH557" s="34" t="s">
        <v>5301</v>
      </c>
      <c r="AI557" s="34" t="s">
        <v>3592</v>
      </c>
      <c r="AJ557" s="34" t="s">
        <v>4272</v>
      </c>
      <c r="AK557" s="34" t="s">
        <v>4139</v>
      </c>
      <c r="AL557" s="34" t="s">
        <v>4176</v>
      </c>
      <c r="AM557" s="40" t="s">
        <v>9</v>
      </c>
      <c r="AP557" s="34">
        <v>0</v>
      </c>
      <c r="AQ557" s="34">
        <v>6590</v>
      </c>
      <c r="AR557" s="34">
        <v>4503</v>
      </c>
      <c r="AT557" s="44">
        <v>510400</v>
      </c>
      <c r="AU557" s="44"/>
      <c r="AV557" s="46">
        <f>ROUND(Товары[[#This Row],[РРЦ финальная, руб.]]/$AU$1,2)</f>
        <v>0</v>
      </c>
      <c r="AW557" s="45" t="str">
        <f>IFERROR(Товары[[#This Row],[РРЦ, евро]]/Товары[[#This Row],[IRP, Eur]],"-")</f>
        <v>-</v>
      </c>
      <c r="AX557" s="42">
        <f>IFERROR(VLOOKUP(Товары[[#This Row],[SubGroup]],'Структура цен DIY'!$B:$C,2,FALSE),0)</f>
        <v>0.18000000000000005</v>
      </c>
      <c r="AY557" s="44">
        <v>0</v>
      </c>
    </row>
    <row r="558" spans="1:51" x14ac:dyDescent="0.25">
      <c r="A558" s="34">
        <v>556</v>
      </c>
      <c r="B558" s="34" t="s">
        <v>50</v>
      </c>
      <c r="C558" s="110" t="str">
        <f>IFERROR(INDEX(Структура_ассортимента[SuperCategory],MATCH(Товары[[#This Row],[SubGroup]],Структура_ассортимента[Subgroup],0)),"")</f>
        <v>H</v>
      </c>
      <c r="D558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58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58" s="110" t="str">
        <f>IFERROR(INDEX(Структура_ассортимента[Product group],MATCH(Товары[[#This Row],[SubGroup]],Структура_ассортимента[Subgroup],0)),"")</f>
        <v>EEO_C</v>
      </c>
      <c r="G558" s="110" t="str">
        <f>IFERROR(INDEX(Структура_ассортимента[Product group name ENG],MATCH(Товары[[#This Row],[SubGroup]],Структура_ассортимента[Subgroup],0)),"")</f>
        <v>Electric, Batteries/Chargers</v>
      </c>
      <c r="H558" s="110" t="str">
        <f>IFERROR(INDEX(Структура_ассортимента[Generic Name (long)3],MATCH(Товары[[#This Row],[SubGroup]],Структура_ассортимента[Subgroup],0)),"")</f>
        <v>Аккумуляторные батареи, зарядные устройства для аккумуляторных батарей</v>
      </c>
      <c r="I558" s="36">
        <v>9352</v>
      </c>
      <c r="J558" s="36" t="str">
        <f>IFERROR(INDEX(Структура_ассортимента[Generic Name (long)],MATCH(Товары[[#This Row],[SubGroup]],Структура_ассортимента[Subgroup],0)),"")</f>
        <v>CHARGER</v>
      </c>
      <c r="L558" s="36">
        <v>967107601</v>
      </c>
      <c r="M558" s="35" t="s">
        <v>2242</v>
      </c>
      <c r="Q558" s="34" t="s">
        <v>3549</v>
      </c>
      <c r="R558" s="34" t="s">
        <v>3540</v>
      </c>
      <c r="S558" s="47">
        <v>42826</v>
      </c>
      <c r="T558" s="47">
        <v>0</v>
      </c>
      <c r="U558" s="47">
        <v>0</v>
      </c>
      <c r="V558" s="34">
        <v>4078500025171</v>
      </c>
      <c r="W558" s="34" t="s">
        <v>3546</v>
      </c>
      <c r="X558" s="34" t="s">
        <v>3579</v>
      </c>
      <c r="Y558" s="34" t="s">
        <v>3542</v>
      </c>
      <c r="Z558" s="34">
        <v>1</v>
      </c>
      <c r="AA558" s="34">
        <v>1</v>
      </c>
      <c r="AB558" s="34" t="s">
        <v>4801</v>
      </c>
      <c r="AD558" s="34" t="s">
        <v>5302</v>
      </c>
      <c r="AE558" s="34" t="s">
        <v>3865</v>
      </c>
      <c r="AF558" s="34" t="s">
        <v>3557</v>
      </c>
      <c r="AG558" s="34" t="s">
        <v>3800</v>
      </c>
      <c r="AH558" s="34" t="s">
        <v>5303</v>
      </c>
      <c r="AL558" s="34" t="s">
        <v>5304</v>
      </c>
      <c r="AM558" s="40" t="s">
        <v>8095</v>
      </c>
      <c r="AT558" s="44">
        <v>0</v>
      </c>
      <c r="AU558" s="44"/>
      <c r="AV558" s="46">
        <f>ROUND(Товары[[#This Row],[РРЦ финальная, руб.]]/$AU$1,2)</f>
        <v>0</v>
      </c>
      <c r="AW558" s="45" t="str">
        <f>IFERROR(Товары[[#This Row],[РРЦ, евро]]/Товары[[#This Row],[IRP, Eur]],"-")</f>
        <v>-</v>
      </c>
      <c r="AX558" s="42">
        <f>IFERROR(VLOOKUP(Товары[[#This Row],[SubGroup]],'Структура цен DIY'!$B:$C,2,FALSE),0)</f>
        <v>0.18000000000000005</v>
      </c>
      <c r="AY558" s="44">
        <v>0</v>
      </c>
    </row>
    <row r="559" spans="1:51" x14ac:dyDescent="0.25">
      <c r="A559" s="34">
        <v>557</v>
      </c>
      <c r="B559" s="34" t="s">
        <v>50</v>
      </c>
      <c r="C559" s="110" t="str">
        <f>IFERROR(INDEX(Структура_ассортимента[SuperCategory],MATCH(Товары[[#This Row],[SubGroup]],Структура_ассортимента[Subgroup],0)),"")</f>
        <v>H</v>
      </c>
      <c r="D559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59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59" s="110" t="str">
        <f>IFERROR(INDEX(Структура_ассортимента[Product group],MATCH(Товары[[#This Row],[SubGroup]],Структура_ассортимента[Subgroup],0)),"")</f>
        <v>EEO_C</v>
      </c>
      <c r="G559" s="110" t="str">
        <f>IFERROR(INDEX(Структура_ассортимента[Product group name ENG],MATCH(Товары[[#This Row],[SubGroup]],Структура_ассортимента[Subgroup],0)),"")</f>
        <v>Electric, Batteries/Chargers</v>
      </c>
      <c r="H559" s="110" t="str">
        <f>IFERROR(INDEX(Структура_ассортимента[Generic Name (long)3],MATCH(Товары[[#This Row],[SubGroup]],Структура_ассортимента[Subgroup],0)),"")</f>
        <v>Аккумуляторные батареи, зарядные устройства для аккумуляторных батарей</v>
      </c>
      <c r="I559" s="36">
        <v>9352</v>
      </c>
      <c r="J559" s="36" t="str">
        <f>IFERROR(INDEX(Структура_ассортимента[Generic Name (long)],MATCH(Товары[[#This Row],[SubGroup]],Структура_ассортимента[Subgroup],0)),"")</f>
        <v>CHARGER</v>
      </c>
      <c r="L559" s="36">
        <v>967108201</v>
      </c>
      <c r="M559" s="35" t="s">
        <v>2243</v>
      </c>
      <c r="O559" s="35" t="s">
        <v>5305</v>
      </c>
      <c r="P559" s="37" t="s">
        <v>5306</v>
      </c>
      <c r="Q559" s="34" t="s">
        <v>3549</v>
      </c>
      <c r="R559" s="34" t="s">
        <v>3540</v>
      </c>
      <c r="S559" s="47">
        <v>42736</v>
      </c>
      <c r="T559" s="47">
        <v>0</v>
      </c>
      <c r="U559" s="47">
        <v>0</v>
      </c>
      <c r="V559" s="34">
        <v>4078500025188</v>
      </c>
      <c r="W559" s="34" t="s">
        <v>3546</v>
      </c>
      <c r="X559" s="34" t="s">
        <v>3579</v>
      </c>
      <c r="Y559" s="34" t="s">
        <v>3542</v>
      </c>
      <c r="Z559" s="34">
        <v>3</v>
      </c>
      <c r="AA559" s="34">
        <v>3</v>
      </c>
      <c r="AB559" s="34" t="s">
        <v>3929</v>
      </c>
      <c r="AC559" s="34">
        <v>200</v>
      </c>
      <c r="AD559" s="34" t="s">
        <v>4132</v>
      </c>
      <c r="AE559" s="34" t="s">
        <v>3708</v>
      </c>
      <c r="AF559" s="34" t="s">
        <v>3886</v>
      </c>
      <c r="AG559" s="34" t="s">
        <v>3931</v>
      </c>
      <c r="AH559" s="34" t="s">
        <v>5307</v>
      </c>
      <c r="AI559" s="34" t="s">
        <v>5308</v>
      </c>
      <c r="AL559" s="34" t="s">
        <v>5309</v>
      </c>
      <c r="AM559" s="40" t="s">
        <v>9</v>
      </c>
      <c r="AP559" s="34">
        <v>0</v>
      </c>
      <c r="AQ559" s="34">
        <v>2090</v>
      </c>
      <c r="AR559" s="34">
        <v>1428</v>
      </c>
      <c r="AT559" s="44">
        <v>161900</v>
      </c>
      <c r="AU559" s="44"/>
      <c r="AV559" s="46">
        <f>ROUND(Товары[[#This Row],[РРЦ финальная, руб.]]/$AU$1,2)</f>
        <v>0</v>
      </c>
      <c r="AW559" s="45" t="str">
        <f>IFERROR(Товары[[#This Row],[РРЦ, евро]]/Товары[[#This Row],[IRP, Eur]],"-")</f>
        <v>-</v>
      </c>
      <c r="AX559" s="42">
        <f>IFERROR(VLOOKUP(Товары[[#This Row],[SubGroup]],'Структура цен DIY'!$B:$C,2,FALSE),0)</f>
        <v>0.18000000000000005</v>
      </c>
      <c r="AY559" s="44">
        <v>0</v>
      </c>
    </row>
    <row r="560" spans="1:51" x14ac:dyDescent="0.25">
      <c r="A560" s="34">
        <v>558</v>
      </c>
      <c r="B560" s="34" t="s">
        <v>50</v>
      </c>
      <c r="C560" s="110" t="str">
        <f>IFERROR(INDEX(Структура_ассортимента[SuperCategory],MATCH(Товары[[#This Row],[SubGroup]],Структура_ассортимента[Subgroup],0)),"")</f>
        <v>H</v>
      </c>
      <c r="D560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60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60" s="110" t="str">
        <f>IFERROR(INDEX(Структура_ассортимента[Product group],MATCH(Товары[[#This Row],[SubGroup]],Структура_ассортимента[Subgroup],0)),"")</f>
        <v>EEO_C</v>
      </c>
      <c r="G560" s="110" t="str">
        <f>IFERROR(INDEX(Структура_ассортимента[Product group name ENG],MATCH(Товары[[#This Row],[SubGroup]],Структура_ассортимента[Subgroup],0)),"")</f>
        <v>Electric, Batteries/Chargers</v>
      </c>
      <c r="H560" s="110" t="str">
        <f>IFERROR(INDEX(Структура_ассортимента[Generic Name (long)3],MATCH(Товары[[#This Row],[SubGroup]],Структура_ассортимента[Subgroup],0)),"")</f>
        <v>Аккумуляторные батареи, зарядные устройства для аккумуляторных батарей</v>
      </c>
      <c r="I560" s="36">
        <v>9352</v>
      </c>
      <c r="J560" s="36" t="str">
        <f>IFERROR(INDEX(Структура_ассортимента[Generic Name (long)],MATCH(Товары[[#This Row],[SubGroup]],Структура_ассортимента[Subgroup],0)),"")</f>
        <v>CHARGER</v>
      </c>
      <c r="L560" s="36">
        <v>582181001</v>
      </c>
      <c r="M560" s="35" t="s">
        <v>2244</v>
      </c>
      <c r="O560" s="35" t="s">
        <v>5310</v>
      </c>
      <c r="P560" s="37" t="s">
        <v>5311</v>
      </c>
      <c r="Q560" s="34" t="s">
        <v>3549</v>
      </c>
      <c r="R560" s="34" t="s">
        <v>3540</v>
      </c>
      <c r="S560" s="47">
        <v>42370</v>
      </c>
      <c r="T560" s="47">
        <v>0</v>
      </c>
      <c r="U560" s="47">
        <v>0</v>
      </c>
      <c r="V560" s="34">
        <v>4078500022699</v>
      </c>
      <c r="W560" s="34" t="s">
        <v>3546</v>
      </c>
      <c r="X560" s="34" t="s">
        <v>3551</v>
      </c>
      <c r="Y560" s="34" t="s">
        <v>3542</v>
      </c>
      <c r="Z560" s="34">
        <v>1</v>
      </c>
      <c r="AB560" s="34" t="s">
        <v>4715</v>
      </c>
      <c r="AD560" s="34" t="s">
        <v>5312</v>
      </c>
      <c r="AE560" s="34" t="s">
        <v>4391</v>
      </c>
      <c r="AF560" s="34" t="s">
        <v>4239</v>
      </c>
      <c r="AG560" s="34" t="s">
        <v>5313</v>
      </c>
      <c r="AH560" s="34" t="s">
        <v>5314</v>
      </c>
      <c r="AL560" s="34" t="s">
        <v>5315</v>
      </c>
      <c r="AM560" s="40" t="s">
        <v>9</v>
      </c>
      <c r="AP560" s="34">
        <v>0</v>
      </c>
      <c r="AQ560" s="34">
        <v>5790</v>
      </c>
      <c r="AR560" s="34">
        <v>3957</v>
      </c>
      <c r="AT560" s="44">
        <v>448500</v>
      </c>
      <c r="AU560" s="44"/>
      <c r="AV560" s="46">
        <f>ROUND(Товары[[#This Row],[РРЦ финальная, руб.]]/$AU$1,2)</f>
        <v>0</v>
      </c>
      <c r="AW560" s="45" t="str">
        <f>IFERROR(Товары[[#This Row],[РРЦ, евро]]/Товары[[#This Row],[IRP, Eur]],"-")</f>
        <v>-</v>
      </c>
      <c r="AX560" s="42">
        <f>IFERROR(VLOOKUP(Товары[[#This Row],[SubGroup]],'Структура цен DIY'!$B:$C,2,FALSE),0)</f>
        <v>0.18000000000000005</v>
      </c>
      <c r="AY560" s="44">
        <v>0</v>
      </c>
    </row>
    <row r="561" spans="1:51" x14ac:dyDescent="0.25">
      <c r="A561" s="34">
        <v>559</v>
      </c>
      <c r="B561" s="34" t="s">
        <v>50</v>
      </c>
      <c r="C561" s="110" t="str">
        <f>IFERROR(INDEX(Структура_ассортимента[SuperCategory],MATCH(Товары[[#This Row],[SubGroup]],Структура_ассортимента[Subgroup],0)),"")</f>
        <v>H</v>
      </c>
      <c r="D561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61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61" s="110" t="str">
        <f>IFERROR(INDEX(Структура_ассортимента[Product group],MATCH(Товары[[#This Row],[SubGroup]],Структура_ассортимента[Subgroup],0)),"")</f>
        <v>EEO_C</v>
      </c>
      <c r="G561" s="110" t="str">
        <f>IFERROR(INDEX(Структура_ассортимента[Product group name ENG],MATCH(Товары[[#This Row],[SubGroup]],Структура_ассортимента[Subgroup],0)),"")</f>
        <v>Electric, Batteries/Chargers</v>
      </c>
      <c r="H561" s="110" t="str">
        <f>IFERROR(INDEX(Структура_ассортимента[Generic Name (long)3],MATCH(Товары[[#This Row],[SubGroup]],Структура_ассортимента[Subgroup],0)),"")</f>
        <v>Аккумуляторные батареи, зарядные устройства для аккумуляторных батарей</v>
      </c>
      <c r="I561" s="36">
        <v>9352</v>
      </c>
      <c r="J561" s="36" t="str">
        <f>IFERROR(INDEX(Структура_ассортимента[Generic Name (long)],MATCH(Товары[[#This Row],[SubGroup]],Структура_ассортимента[Subgroup],0)),"")</f>
        <v>CHARGER</v>
      </c>
      <c r="L561" s="36">
        <v>966662201</v>
      </c>
      <c r="M561" s="35" t="s">
        <v>2245</v>
      </c>
      <c r="Q561" s="34" t="s">
        <v>3539</v>
      </c>
      <c r="R561" s="34" t="s">
        <v>3540</v>
      </c>
      <c r="S561" s="47">
        <v>40179</v>
      </c>
      <c r="T561" s="47">
        <v>0</v>
      </c>
      <c r="U561" s="47">
        <v>0</v>
      </c>
      <c r="V561" s="34">
        <v>4078500883603</v>
      </c>
      <c r="W561" s="34" t="s">
        <v>5316</v>
      </c>
      <c r="Y561" s="34" t="s">
        <v>3542</v>
      </c>
      <c r="Z561" s="34">
        <v>1</v>
      </c>
      <c r="AM561" s="40" t="s">
        <v>8094</v>
      </c>
      <c r="AT561" s="44">
        <v>0</v>
      </c>
      <c r="AU561" s="44"/>
      <c r="AV561" s="46">
        <f>ROUND(Товары[[#This Row],[РРЦ финальная, руб.]]/$AU$1,2)</f>
        <v>0</v>
      </c>
      <c r="AW561" s="45" t="str">
        <f>IFERROR(Товары[[#This Row],[РРЦ, евро]]/Товары[[#This Row],[IRP, Eur]],"-")</f>
        <v>-</v>
      </c>
      <c r="AX561" s="42">
        <f>IFERROR(VLOOKUP(Товары[[#This Row],[SubGroup]],'Структура цен DIY'!$B:$C,2,FALSE),0)</f>
        <v>0.18000000000000005</v>
      </c>
      <c r="AY561" s="44">
        <v>0</v>
      </c>
    </row>
    <row r="562" spans="1:51" x14ac:dyDescent="0.25">
      <c r="A562" s="34">
        <v>560</v>
      </c>
      <c r="B562" s="34" t="s">
        <v>50</v>
      </c>
      <c r="C562" s="110" t="str">
        <f>IFERROR(INDEX(Структура_ассортимента[SuperCategory],MATCH(Товары[[#This Row],[SubGroup]],Структура_ассортимента[Subgroup],0)),"")</f>
        <v>H</v>
      </c>
      <c r="D562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62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62" s="110" t="str">
        <f>IFERROR(INDEX(Структура_ассортимента[Product group],MATCH(Товары[[#This Row],[SubGroup]],Структура_ассортимента[Subgroup],0)),"")</f>
        <v>EEO_C</v>
      </c>
      <c r="G562" s="110" t="str">
        <f>IFERROR(INDEX(Структура_ассортимента[Product group name ENG],MATCH(Товары[[#This Row],[SubGroup]],Структура_ассортимента[Subgroup],0)),"")</f>
        <v>Electric, Batteries/Chargers</v>
      </c>
      <c r="H562" s="110" t="str">
        <f>IFERROR(INDEX(Структура_ассортимента[Generic Name (long)3],MATCH(Товары[[#This Row],[SubGroup]],Структура_ассортимента[Subgroup],0)),"")</f>
        <v>Аккумуляторные батареи, зарядные устройства для аккумуляторных батарей</v>
      </c>
      <c r="I562" s="36">
        <v>9352</v>
      </c>
      <c r="J562" s="36" t="str">
        <f>IFERROR(INDEX(Структура_ассортимента[Generic Name (long)],MATCH(Товары[[#This Row],[SubGroup]],Структура_ассортимента[Subgroup],0)),"")</f>
        <v>CHARGER</v>
      </c>
      <c r="L562" s="36">
        <v>966662301</v>
      </c>
      <c r="M562" s="35" t="s">
        <v>2246</v>
      </c>
      <c r="Q562" s="34" t="s">
        <v>3539</v>
      </c>
      <c r="R562" s="34" t="s">
        <v>3540</v>
      </c>
      <c r="S562" s="47">
        <v>40179</v>
      </c>
      <c r="T562" s="47">
        <v>0</v>
      </c>
      <c r="U562" s="47">
        <v>0</v>
      </c>
      <c r="V562" s="34">
        <v>4078500883702</v>
      </c>
      <c r="W562" s="34" t="s">
        <v>5316</v>
      </c>
      <c r="Y562" s="34" t="s">
        <v>3542</v>
      </c>
      <c r="Z562" s="34">
        <v>1</v>
      </c>
      <c r="AM562" s="40" t="s">
        <v>8094</v>
      </c>
      <c r="AT562" s="44">
        <v>0</v>
      </c>
      <c r="AU562" s="44"/>
      <c r="AV562" s="46">
        <f>ROUND(Товары[[#This Row],[РРЦ финальная, руб.]]/$AU$1,2)</f>
        <v>0</v>
      </c>
      <c r="AW562" s="45" t="str">
        <f>IFERROR(Товары[[#This Row],[РРЦ, евро]]/Товары[[#This Row],[IRP, Eur]],"-")</f>
        <v>-</v>
      </c>
      <c r="AX562" s="42">
        <f>IFERROR(VLOOKUP(Товары[[#This Row],[SubGroup]],'Структура цен DIY'!$B:$C,2,FALSE),0)</f>
        <v>0.18000000000000005</v>
      </c>
      <c r="AY562" s="44">
        <v>0</v>
      </c>
    </row>
    <row r="563" spans="1:51" x14ac:dyDescent="0.25">
      <c r="A563" s="34">
        <v>561</v>
      </c>
      <c r="B563" s="34" t="s">
        <v>50</v>
      </c>
      <c r="C563" s="110" t="str">
        <f>IFERROR(INDEX(Структура_ассортимента[SuperCategory],MATCH(Товары[[#This Row],[SubGroup]],Структура_ассортимента[Subgroup],0)),"")</f>
        <v>H</v>
      </c>
      <c r="D563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63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63" s="110" t="str">
        <f>IFERROR(INDEX(Структура_ассортимента[Product group],MATCH(Товары[[#This Row],[SubGroup]],Структура_ассортимента[Subgroup],0)),"")</f>
        <v>EEO_C</v>
      </c>
      <c r="G563" s="110" t="str">
        <f>IFERROR(INDEX(Структура_ассортимента[Product group name ENG],MATCH(Товары[[#This Row],[SubGroup]],Структура_ассортимента[Subgroup],0)),"")</f>
        <v>Electric, Batteries/Chargers</v>
      </c>
      <c r="H563" s="110" t="str">
        <f>IFERROR(INDEX(Структура_ассортимента[Generic Name (long)3],MATCH(Товары[[#This Row],[SubGroup]],Структура_ассортимента[Subgroup],0)),"")</f>
        <v>Аккумуляторные батареи, зарядные устройства для аккумуляторных батарей</v>
      </c>
      <c r="I563" s="36">
        <v>9352</v>
      </c>
      <c r="J563" s="36" t="str">
        <f>IFERROR(INDEX(Структура_ассортимента[Generic Name (long)],MATCH(Товары[[#This Row],[SubGroup]],Структура_ассортимента[Subgroup],0)),"")</f>
        <v>CHARGER</v>
      </c>
      <c r="L563" s="36">
        <v>966758501</v>
      </c>
      <c r="M563" s="35" t="s">
        <v>2247</v>
      </c>
      <c r="Q563" s="34" t="s">
        <v>3544</v>
      </c>
      <c r="R563" s="34" t="s">
        <v>3540</v>
      </c>
      <c r="S563" s="47">
        <v>0</v>
      </c>
      <c r="T563" s="47">
        <v>0</v>
      </c>
      <c r="U563" s="47">
        <v>0</v>
      </c>
      <c r="V563" s="34">
        <v>4078500883405</v>
      </c>
      <c r="W563" s="34" t="s">
        <v>5317</v>
      </c>
      <c r="Y563" s="34" t="s">
        <v>3542</v>
      </c>
      <c r="Z563" s="34">
        <v>1</v>
      </c>
      <c r="AA563" s="34">
        <v>637</v>
      </c>
      <c r="AB563" s="34">
        <v>637</v>
      </c>
      <c r="AC563" s="34">
        <v>620</v>
      </c>
      <c r="AD563" s="34">
        <v>620</v>
      </c>
      <c r="AE563" s="34">
        <v>83</v>
      </c>
      <c r="AF563" s="34">
        <v>67</v>
      </c>
      <c r="AG563" s="34">
        <v>140</v>
      </c>
      <c r="AH563" s="34" t="s">
        <v>5318</v>
      </c>
      <c r="AM563" s="40" t="s">
        <v>8094</v>
      </c>
      <c r="AT563" s="44">
        <v>0</v>
      </c>
      <c r="AU563" s="44"/>
      <c r="AV563" s="46">
        <f>ROUND(Товары[[#This Row],[РРЦ финальная, руб.]]/$AU$1,2)</f>
        <v>0</v>
      </c>
      <c r="AW563" s="45" t="str">
        <f>IFERROR(Товары[[#This Row],[РРЦ, евро]]/Товары[[#This Row],[IRP, Eur]],"-")</f>
        <v>-</v>
      </c>
      <c r="AX563" s="42">
        <f>IFERROR(VLOOKUP(Товары[[#This Row],[SubGroup]],'Структура цен DIY'!$B:$C,2,FALSE),0)</f>
        <v>0.18000000000000005</v>
      </c>
      <c r="AY563" s="44">
        <v>0</v>
      </c>
    </row>
    <row r="564" spans="1:51" x14ac:dyDescent="0.25">
      <c r="A564" s="34">
        <v>562</v>
      </c>
      <c r="B564" s="34" t="s">
        <v>50</v>
      </c>
      <c r="C564" s="110" t="str">
        <f>IFERROR(INDEX(Структура_ассортимента[SuperCategory],MATCH(Товары[[#This Row],[SubGroup]],Структура_ассортимента[Subgroup],0)),"")</f>
        <v>H</v>
      </c>
      <c r="D564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64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64" s="110" t="str">
        <f>IFERROR(INDEX(Структура_ассортимента[Product group],MATCH(Товары[[#This Row],[SubGroup]],Структура_ассортимента[Subgroup],0)),"")</f>
        <v>EEO_C</v>
      </c>
      <c r="G564" s="110" t="str">
        <f>IFERROR(INDEX(Структура_ассортимента[Product group name ENG],MATCH(Товары[[#This Row],[SubGroup]],Структура_ассортимента[Subgroup],0)),"")</f>
        <v>Electric, Batteries/Chargers</v>
      </c>
      <c r="H564" s="110" t="str">
        <f>IFERROR(INDEX(Структура_ассортимента[Generic Name (long)3],MATCH(Товары[[#This Row],[SubGroup]],Структура_ассортимента[Subgroup],0)),"")</f>
        <v>Аккумуляторные батареи, зарядные устройства для аккумуляторных батарей</v>
      </c>
      <c r="I564" s="36">
        <v>9352</v>
      </c>
      <c r="J564" s="36" t="str">
        <f>IFERROR(INDEX(Структура_ассортимента[Generic Name (long)],MATCH(Товары[[#This Row],[SubGroup]],Структура_ассортимента[Subgroup],0)),"")</f>
        <v>CHARGER</v>
      </c>
      <c r="L564" s="36">
        <v>967240901</v>
      </c>
      <c r="M564" s="35" t="s">
        <v>2248</v>
      </c>
      <c r="Q564" s="34" t="s">
        <v>4565</v>
      </c>
      <c r="R564" s="34" t="s">
        <v>3540</v>
      </c>
      <c r="S564" s="47">
        <v>0</v>
      </c>
      <c r="T564" s="47">
        <v>42735</v>
      </c>
      <c r="U564" s="47">
        <v>42735</v>
      </c>
      <c r="V564" s="34">
        <v>4078500001274</v>
      </c>
      <c r="W564" s="34" t="s">
        <v>5319</v>
      </c>
      <c r="Y564" s="34" t="s">
        <v>3542</v>
      </c>
      <c r="Z564" s="34">
        <v>1</v>
      </c>
      <c r="AA564" s="34">
        <v>490</v>
      </c>
      <c r="AB564" s="34">
        <v>550</v>
      </c>
      <c r="AC564" s="34">
        <v>420</v>
      </c>
      <c r="AD564" s="34">
        <v>420</v>
      </c>
      <c r="AE564" s="34">
        <v>89</v>
      </c>
      <c r="AF564" s="34">
        <v>69</v>
      </c>
      <c r="AG564" s="34">
        <v>123</v>
      </c>
      <c r="AH564" s="34">
        <v>0.755</v>
      </c>
      <c r="AM564" s="40" t="s">
        <v>8094</v>
      </c>
      <c r="AT564" s="44">
        <v>0</v>
      </c>
      <c r="AU564" s="44"/>
      <c r="AV564" s="46">
        <f>ROUND(Товары[[#This Row],[РРЦ финальная, руб.]]/$AU$1,2)</f>
        <v>0</v>
      </c>
      <c r="AW564" s="45" t="str">
        <f>IFERROR(Товары[[#This Row],[РРЦ, евро]]/Товары[[#This Row],[IRP, Eur]],"-")</f>
        <v>-</v>
      </c>
      <c r="AX564" s="42">
        <f>IFERROR(VLOOKUP(Товары[[#This Row],[SubGroup]],'Структура цен DIY'!$B:$C,2,FALSE),0)</f>
        <v>0.18000000000000005</v>
      </c>
      <c r="AY564" s="44">
        <v>0</v>
      </c>
    </row>
    <row r="565" spans="1:51" x14ac:dyDescent="0.25">
      <c r="A565" s="34">
        <v>563</v>
      </c>
      <c r="B565" s="34" t="s">
        <v>50</v>
      </c>
      <c r="C565" s="110" t="str">
        <f>IFERROR(INDEX(Структура_ассортимента[SuperCategory],MATCH(Товары[[#This Row],[SubGroup]],Структура_ассортимента[Subgroup],0)),"")</f>
        <v>H</v>
      </c>
      <c r="D565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65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65" s="110" t="str">
        <f>IFERROR(INDEX(Структура_ассортимента[Product group],MATCH(Товары[[#This Row],[SubGroup]],Структура_ассортимента[Subgroup],0)),"")</f>
        <v>EEO_C</v>
      </c>
      <c r="G565" s="110" t="str">
        <f>IFERROR(INDEX(Структура_ассортимента[Product group name ENG],MATCH(Товары[[#This Row],[SubGroup]],Структура_ассортимента[Subgroup],0)),"")</f>
        <v>Electric, Batteries/Chargers</v>
      </c>
      <c r="H565" s="110" t="str">
        <f>IFERROR(INDEX(Структура_ассортимента[Generic Name (long)3],MATCH(Товары[[#This Row],[SubGroup]],Структура_ассортимента[Subgroup],0)),"")</f>
        <v>Аккумуляторные батареи, зарядные устройства для аккумуляторных батарей</v>
      </c>
      <c r="I565" s="36">
        <v>9352</v>
      </c>
      <c r="J565" s="36" t="str">
        <f>IFERROR(INDEX(Структура_ассортимента[Generic Name (long)],MATCH(Товары[[#This Row],[SubGroup]],Структура_ассортимента[Subgroup],0)),"")</f>
        <v>CHARGER</v>
      </c>
      <c r="L565" s="36">
        <v>966410101</v>
      </c>
      <c r="M565" s="35" t="s">
        <v>2249</v>
      </c>
      <c r="Q565" s="34" t="s">
        <v>3539</v>
      </c>
      <c r="R565" s="34" t="s">
        <v>3540</v>
      </c>
      <c r="S565" s="47">
        <v>40087</v>
      </c>
      <c r="T565" s="47">
        <v>0</v>
      </c>
      <c r="U565" s="47">
        <v>0</v>
      </c>
      <c r="V565" s="34">
        <v>4078500883108</v>
      </c>
      <c r="W565" s="34" t="s">
        <v>5320</v>
      </c>
      <c r="Y565" s="34" t="s">
        <v>3542</v>
      </c>
      <c r="Z565" s="34">
        <v>1</v>
      </c>
      <c r="AA565" s="34">
        <v>839</v>
      </c>
      <c r="AB565" s="34">
        <v>839</v>
      </c>
      <c r="AC565" s="34">
        <v>650</v>
      </c>
      <c r="AD565" s="34">
        <v>650</v>
      </c>
      <c r="AE565" s="34">
        <v>225</v>
      </c>
      <c r="AF565" s="34">
        <v>175</v>
      </c>
      <c r="AG565" s="34">
        <v>125</v>
      </c>
      <c r="AH565" s="34">
        <v>4922</v>
      </c>
      <c r="AM565" s="40" t="s">
        <v>8094</v>
      </c>
      <c r="AT565" s="44">
        <v>0</v>
      </c>
      <c r="AU565" s="44"/>
      <c r="AV565" s="46">
        <f>ROUND(Товары[[#This Row],[РРЦ финальная, руб.]]/$AU$1,2)</f>
        <v>0</v>
      </c>
      <c r="AW565" s="45" t="str">
        <f>IFERROR(Товары[[#This Row],[РРЦ, евро]]/Товары[[#This Row],[IRP, Eur]],"-")</f>
        <v>-</v>
      </c>
      <c r="AX565" s="42">
        <f>IFERROR(VLOOKUP(Товары[[#This Row],[SubGroup]],'Структура цен DIY'!$B:$C,2,FALSE),0)</f>
        <v>0.18000000000000005</v>
      </c>
      <c r="AY565" s="44">
        <v>0</v>
      </c>
    </row>
    <row r="566" spans="1:51" x14ac:dyDescent="0.25">
      <c r="A566" s="34">
        <v>564</v>
      </c>
      <c r="B566" s="34" t="s">
        <v>50</v>
      </c>
      <c r="C566" s="110" t="str">
        <f>IFERROR(INDEX(Структура_ассортимента[SuperCategory],MATCH(Товары[[#This Row],[SubGroup]],Структура_ассортимента[Subgroup],0)),"")</f>
        <v>H</v>
      </c>
      <c r="D566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66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66" s="110" t="str">
        <f>IFERROR(INDEX(Структура_ассортимента[Product group],MATCH(Товары[[#This Row],[SubGroup]],Структура_ассортимента[Subgroup],0)),"")</f>
        <v>EEO_C</v>
      </c>
      <c r="G566" s="110" t="str">
        <f>IFERROR(INDEX(Структура_ассортимента[Product group name ENG],MATCH(Товары[[#This Row],[SubGroup]],Структура_ассортимента[Subgroup],0)),"")</f>
        <v>Electric, Batteries/Chargers</v>
      </c>
      <c r="H566" s="110" t="str">
        <f>IFERROR(INDEX(Структура_ассортимента[Generic Name (long)3],MATCH(Товары[[#This Row],[SubGroup]],Структура_ассортимента[Subgroup],0)),"")</f>
        <v>Аккумуляторные батареи, зарядные устройства для аккумуляторных батарей</v>
      </c>
      <c r="I566" s="36">
        <v>9352</v>
      </c>
      <c r="J566" s="36" t="str">
        <f>IFERROR(INDEX(Структура_ассортимента[Generic Name (long)],MATCH(Товары[[#This Row],[SubGroup]],Структура_ассортимента[Subgroup],0)),"")</f>
        <v>CHARGER</v>
      </c>
      <c r="L566" s="36">
        <v>967057901</v>
      </c>
      <c r="M566" s="35" t="s">
        <v>2250</v>
      </c>
      <c r="O566" s="35" t="s">
        <v>5321</v>
      </c>
      <c r="P566" s="37" t="s">
        <v>5322</v>
      </c>
      <c r="Q566" s="34" t="s">
        <v>3549</v>
      </c>
      <c r="R566" s="34" t="s">
        <v>3540</v>
      </c>
      <c r="S566" s="47">
        <v>42736</v>
      </c>
      <c r="T566" s="47">
        <v>0</v>
      </c>
      <c r="U566" s="47">
        <v>0</v>
      </c>
      <c r="V566" s="34">
        <v>4078500021852</v>
      </c>
      <c r="W566" s="34" t="s">
        <v>3546</v>
      </c>
      <c r="X566" s="34" t="s">
        <v>3551</v>
      </c>
      <c r="Y566" s="34" t="s">
        <v>3542</v>
      </c>
      <c r="Z566" s="34">
        <v>1</v>
      </c>
      <c r="AA566" s="34">
        <v>1</v>
      </c>
      <c r="AB566" s="34" t="s">
        <v>5323</v>
      </c>
      <c r="AC566" s="34">
        <v>800</v>
      </c>
      <c r="AD566" s="34" t="s">
        <v>5197</v>
      </c>
      <c r="AE566" s="34" t="s">
        <v>4656</v>
      </c>
      <c r="AF566" s="34" t="s">
        <v>3557</v>
      </c>
      <c r="AG566" s="34" t="s">
        <v>3698</v>
      </c>
      <c r="AH566" s="34" t="s">
        <v>5324</v>
      </c>
      <c r="AI566" s="34" t="s">
        <v>3978</v>
      </c>
      <c r="AJ566" s="34" t="s">
        <v>3599</v>
      </c>
      <c r="AK566" s="34" t="s">
        <v>4272</v>
      </c>
      <c r="AL566" s="34" t="s">
        <v>4433</v>
      </c>
      <c r="AM566" s="40" t="s">
        <v>9</v>
      </c>
      <c r="AP566" s="34">
        <v>0</v>
      </c>
      <c r="AQ566" s="34">
        <v>14390</v>
      </c>
      <c r="AR566" s="34">
        <v>9833</v>
      </c>
      <c r="AT566" s="44">
        <v>1114600</v>
      </c>
      <c r="AU566" s="44"/>
      <c r="AV566" s="46">
        <f>ROUND(Товары[[#This Row],[РРЦ финальная, руб.]]/$AU$1,2)</f>
        <v>0</v>
      </c>
      <c r="AW566" s="45" t="str">
        <f>IFERROR(Товары[[#This Row],[РРЦ, евро]]/Товары[[#This Row],[IRP, Eur]],"-")</f>
        <v>-</v>
      </c>
      <c r="AX566" s="42">
        <f>IFERROR(VLOOKUP(Товары[[#This Row],[SubGroup]],'Структура цен DIY'!$B:$C,2,FALSE),0)</f>
        <v>0.18000000000000005</v>
      </c>
      <c r="AY566" s="44">
        <v>0</v>
      </c>
    </row>
    <row r="567" spans="1:51" x14ac:dyDescent="0.25">
      <c r="A567" s="34">
        <v>565</v>
      </c>
      <c r="B567" s="34" t="s">
        <v>50</v>
      </c>
      <c r="C567" s="110" t="str">
        <f>IFERROR(INDEX(Структура_ассортимента[SuperCategory],MATCH(Товары[[#This Row],[SubGroup]],Структура_ассортимента[Subgroup],0)),"")</f>
        <v>H</v>
      </c>
      <c r="D567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67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67" s="110" t="str">
        <f>IFERROR(INDEX(Структура_ассортимента[Product group],MATCH(Товары[[#This Row],[SubGroup]],Структура_ассортимента[Subgroup],0)),"")</f>
        <v>EEO_C</v>
      </c>
      <c r="G567" s="110" t="str">
        <f>IFERROR(INDEX(Структура_ассортимента[Product group name ENG],MATCH(Товары[[#This Row],[SubGroup]],Структура_ассортимента[Subgroup],0)),"")</f>
        <v>Electric, Batteries/Chargers</v>
      </c>
      <c r="H567" s="110" t="str">
        <f>IFERROR(INDEX(Структура_ассортимента[Generic Name (long)3],MATCH(Товары[[#This Row],[SubGroup]],Структура_ассортимента[Subgroup],0)),"")</f>
        <v>Аккумуляторные батареи, зарядные устройства для аккумуляторных батарей</v>
      </c>
      <c r="I567" s="36">
        <v>9352</v>
      </c>
      <c r="J567" s="36" t="str">
        <f>IFERROR(INDEX(Структура_ассортимента[Generic Name (long)],MATCH(Товары[[#This Row],[SubGroup]],Структура_ассортимента[Subgroup],0)),"")</f>
        <v>CHARGER</v>
      </c>
      <c r="L567" s="36">
        <v>967058201</v>
      </c>
      <c r="M567" s="35" t="s">
        <v>2251</v>
      </c>
      <c r="O567" s="35" t="s">
        <v>5325</v>
      </c>
      <c r="P567" s="37" t="s">
        <v>5326</v>
      </c>
      <c r="Q567" s="34" t="s">
        <v>3549</v>
      </c>
      <c r="R567" s="34" t="s">
        <v>3540</v>
      </c>
      <c r="S567" s="47">
        <v>42736</v>
      </c>
      <c r="T567" s="47">
        <v>0</v>
      </c>
      <c r="U567" s="47">
        <v>0</v>
      </c>
      <c r="V567" s="34">
        <v>4078500021845</v>
      </c>
      <c r="W567" s="34" t="s">
        <v>3546</v>
      </c>
      <c r="X567" s="34" t="s">
        <v>3551</v>
      </c>
      <c r="Y567" s="34" t="s">
        <v>3542</v>
      </c>
      <c r="Z567" s="34">
        <v>1</v>
      </c>
      <c r="AA567" s="34">
        <v>1</v>
      </c>
      <c r="AB567" s="34" t="s">
        <v>5327</v>
      </c>
      <c r="AC567" s="34">
        <v>1000</v>
      </c>
      <c r="AD567" s="34" t="s">
        <v>3573</v>
      </c>
      <c r="AE567" s="34" t="s">
        <v>5328</v>
      </c>
      <c r="AF567" s="34" t="s">
        <v>3616</v>
      </c>
      <c r="AG567" s="34" t="s">
        <v>4384</v>
      </c>
      <c r="AH567" s="34" t="s">
        <v>5329</v>
      </c>
      <c r="AI567" s="34" t="s">
        <v>3978</v>
      </c>
      <c r="AJ567" s="34" t="s">
        <v>3599</v>
      </c>
      <c r="AK567" s="34" t="s">
        <v>4272</v>
      </c>
      <c r="AL567" s="34" t="s">
        <v>5330</v>
      </c>
      <c r="AM567" s="40" t="s">
        <v>9</v>
      </c>
      <c r="AP567" s="34">
        <v>0</v>
      </c>
      <c r="AQ567" s="34">
        <v>17390</v>
      </c>
      <c r="AR567" s="34">
        <v>11884</v>
      </c>
      <c r="AT567" s="44">
        <v>1346900</v>
      </c>
      <c r="AU567" s="44"/>
      <c r="AV567" s="46">
        <f>ROUND(Товары[[#This Row],[РРЦ финальная, руб.]]/$AU$1,2)</f>
        <v>0</v>
      </c>
      <c r="AW567" s="45" t="str">
        <f>IFERROR(Товары[[#This Row],[РРЦ, евро]]/Товары[[#This Row],[IRP, Eur]],"-")</f>
        <v>-</v>
      </c>
      <c r="AX567" s="42">
        <f>IFERROR(VLOOKUP(Товары[[#This Row],[SubGroup]],'Структура цен DIY'!$B:$C,2,FALSE),0)</f>
        <v>0.18000000000000005</v>
      </c>
      <c r="AY567" s="44">
        <v>0</v>
      </c>
    </row>
    <row r="568" spans="1:51" x14ac:dyDescent="0.25">
      <c r="A568" s="34">
        <v>566</v>
      </c>
      <c r="B568" s="34" t="s">
        <v>50</v>
      </c>
      <c r="C568" s="110" t="str">
        <f>IFERROR(INDEX(Структура_ассортимента[SuperCategory],MATCH(Товары[[#This Row],[SubGroup]],Структура_ассортимента[Subgroup],0)),"")</f>
        <v>H</v>
      </c>
      <c r="D568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68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68" s="110" t="str">
        <f>IFERROR(INDEX(Структура_ассортимента[Product group],MATCH(Товары[[#This Row],[SubGroup]],Структура_ассортимента[Subgroup],0)),"")</f>
        <v>HEB_C</v>
      </c>
      <c r="G568" s="110" t="str">
        <f>IFERROR(INDEX(Структура_ассортимента[Product group name ENG],MATCH(Товары[[#This Row],[SubGroup]],Структура_ассортимента[Subgroup],0)),"")</f>
        <v>Handheld, Electric, Blowers</v>
      </c>
      <c r="H568" s="110" t="str">
        <f>IFERROR(INDEX(Структура_ассортимента[Generic Name (long)3],MATCH(Товары[[#This Row],[SubGroup]],Структура_ассортимента[Subgroup],0)),"")</f>
        <v>Воздуходувы электрические</v>
      </c>
      <c r="I568" s="36">
        <v>9332</v>
      </c>
      <c r="J568" s="36" t="str">
        <f>IFERROR(INDEX(Структура_ассортимента[Generic Name (long)],MATCH(Товары[[#This Row],[SubGroup]],Структура_ассортимента[Subgroup],0)),"")</f>
        <v>BLOWER, CORDED</v>
      </c>
      <c r="L568" s="36">
        <v>966786101</v>
      </c>
      <c r="M568" s="35" t="s">
        <v>2252</v>
      </c>
      <c r="O568" s="35" t="s">
        <v>5331</v>
      </c>
      <c r="P568" s="37" t="s">
        <v>5332</v>
      </c>
      <c r="Q568" s="34" t="s">
        <v>3549</v>
      </c>
      <c r="R568" s="34" t="s">
        <v>3540</v>
      </c>
      <c r="S568" s="47">
        <v>41122</v>
      </c>
      <c r="T568" s="47">
        <v>0</v>
      </c>
      <c r="U568" s="47">
        <v>0</v>
      </c>
      <c r="V568" s="34">
        <v>4078500962537</v>
      </c>
      <c r="W568" s="34" t="s">
        <v>3550</v>
      </c>
      <c r="X568" s="34" t="s">
        <v>3551</v>
      </c>
      <c r="Y568" s="34" t="s">
        <v>3542</v>
      </c>
      <c r="Z568" s="34">
        <v>1</v>
      </c>
      <c r="AA568" s="34" t="s">
        <v>5333</v>
      </c>
      <c r="AB568" s="34" t="s">
        <v>5334</v>
      </c>
      <c r="AC568" s="34" t="s">
        <v>5335</v>
      </c>
      <c r="AD568" s="34" t="s">
        <v>5335</v>
      </c>
      <c r="AE568" s="34" t="s">
        <v>4326</v>
      </c>
      <c r="AF568" s="34" t="s">
        <v>4174</v>
      </c>
      <c r="AG568" s="34" t="s">
        <v>4510</v>
      </c>
      <c r="AH568" s="34" t="s">
        <v>5336</v>
      </c>
      <c r="AI568" s="34" t="s">
        <v>5337</v>
      </c>
      <c r="AJ568" s="34" t="s">
        <v>5338</v>
      </c>
      <c r="AK568" s="34" t="s">
        <v>5339</v>
      </c>
      <c r="AL568" s="34" t="s">
        <v>3617</v>
      </c>
      <c r="AM568" s="40" t="s">
        <v>9</v>
      </c>
      <c r="AP568" s="34">
        <v>0</v>
      </c>
      <c r="AQ568" s="34">
        <v>11390</v>
      </c>
      <c r="AR568" s="34">
        <v>7783</v>
      </c>
      <c r="AT568" s="44">
        <v>882200</v>
      </c>
      <c r="AU568" s="44"/>
      <c r="AV568" s="46">
        <f>ROUND(Товары[[#This Row],[РРЦ финальная, руб.]]/$AU$1,2)</f>
        <v>0</v>
      </c>
      <c r="AW568" s="45" t="str">
        <f>IFERROR(Товары[[#This Row],[РРЦ, евро]]/Товары[[#This Row],[IRP, Eur]],"-")</f>
        <v>-</v>
      </c>
      <c r="AX568" s="42">
        <f>IFERROR(VLOOKUP(Товары[[#This Row],[SubGroup]],'Структура цен DIY'!$B:$C,2,FALSE),0)</f>
        <v>0.17999999999999994</v>
      </c>
      <c r="AY568" s="44">
        <v>0</v>
      </c>
    </row>
    <row r="569" spans="1:51" x14ac:dyDescent="0.25">
      <c r="A569" s="34">
        <v>567</v>
      </c>
      <c r="B569" s="34" t="s">
        <v>50</v>
      </c>
      <c r="C569" s="110" t="str">
        <f>IFERROR(INDEX(Структура_ассортимента[SuperCategory],MATCH(Товары[[#This Row],[SubGroup]],Структура_ассортимента[Subgroup],0)),"")</f>
        <v>H</v>
      </c>
      <c r="D569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69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69" s="110" t="str">
        <f>IFERROR(INDEX(Структура_ассортимента[Product group],MATCH(Товары[[#This Row],[SubGroup]],Структура_ассортимента[Subgroup],0)),"")</f>
        <v>HEB_C</v>
      </c>
      <c r="G569" s="110" t="str">
        <f>IFERROR(INDEX(Структура_ассортимента[Product group name ENG],MATCH(Товары[[#This Row],[SubGroup]],Структура_ассортимента[Subgroup],0)),"")</f>
        <v>Handheld, Electric, Blowers</v>
      </c>
      <c r="H569" s="110" t="str">
        <f>IFERROR(INDEX(Структура_ассортимента[Generic Name (long)3],MATCH(Товары[[#This Row],[SubGroup]],Структура_ассортимента[Subgroup],0)),"")</f>
        <v>Воздуходувы электрические</v>
      </c>
      <c r="I569" s="36">
        <v>9332</v>
      </c>
      <c r="J569" s="36" t="str">
        <f>IFERROR(INDEX(Структура_ассортимента[Generic Name (long)],MATCH(Товары[[#This Row],[SubGroup]],Структура_ассортимента[Subgroup],0)),"")</f>
        <v>BLOWER, CORDED</v>
      </c>
      <c r="L569" s="36">
        <v>967258501</v>
      </c>
      <c r="M569" s="35" t="s">
        <v>2253</v>
      </c>
      <c r="Q569" s="34" t="s">
        <v>3544</v>
      </c>
      <c r="R569" s="34" t="s">
        <v>3540</v>
      </c>
      <c r="S569" s="47">
        <v>41518</v>
      </c>
      <c r="T569" s="47">
        <v>0</v>
      </c>
      <c r="U569" s="47">
        <v>0</v>
      </c>
      <c r="V569" s="34">
        <v>4078500002554</v>
      </c>
      <c r="W569" s="34" t="s">
        <v>5317</v>
      </c>
      <c r="Y569" s="34" t="s">
        <v>3542</v>
      </c>
      <c r="Z569" s="34">
        <v>1</v>
      </c>
      <c r="AA569" s="34">
        <v>5100</v>
      </c>
      <c r="AB569" s="34">
        <v>6100</v>
      </c>
      <c r="AC569" s="34">
        <v>4800</v>
      </c>
      <c r="AD569" s="34">
        <v>4500</v>
      </c>
      <c r="AE569" s="34">
        <v>540</v>
      </c>
      <c r="AF569" s="34">
        <v>285</v>
      </c>
      <c r="AG569" s="34">
        <v>350</v>
      </c>
      <c r="AM569" s="40" t="s">
        <v>8094</v>
      </c>
      <c r="AT569" s="44">
        <v>0</v>
      </c>
      <c r="AU569" s="44"/>
      <c r="AV569" s="46">
        <f>ROUND(Товары[[#This Row],[РРЦ финальная, руб.]]/$AU$1,2)</f>
        <v>0</v>
      </c>
      <c r="AW569" s="45" t="str">
        <f>IFERROR(Товары[[#This Row],[РРЦ, евро]]/Товары[[#This Row],[IRP, Eur]],"-")</f>
        <v>-</v>
      </c>
      <c r="AX569" s="42">
        <f>IFERROR(VLOOKUP(Товары[[#This Row],[SubGroup]],'Структура цен DIY'!$B:$C,2,FALSE),0)</f>
        <v>0.17999999999999994</v>
      </c>
      <c r="AY569" s="44">
        <v>0</v>
      </c>
    </row>
    <row r="570" spans="1:51" x14ac:dyDescent="0.25">
      <c r="A570" s="34">
        <v>568</v>
      </c>
      <c r="B570" s="34" t="s">
        <v>50</v>
      </c>
      <c r="C570" s="110" t="str">
        <f>IFERROR(INDEX(Структура_ассортимента[SuperCategory],MATCH(Товары[[#This Row],[SubGroup]],Структура_ассортимента[Subgroup],0)),"")</f>
        <v>H</v>
      </c>
      <c r="D570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70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70" s="110" t="str">
        <f>IFERROR(INDEX(Структура_ассортимента[Product group],MATCH(Товары[[#This Row],[SubGroup]],Структура_ассортимента[Subgroup],0)),"")</f>
        <v>HEB_P</v>
      </c>
      <c r="G570" s="110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70" s="110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70" s="36">
        <v>8208</v>
      </c>
      <c r="J570" s="36" t="str">
        <f>IFERROR(INDEX(Структура_ассортимента[Generic Name (long)],MATCH(Товары[[#This Row],[SubGroup]],Структура_ассортимента[Subgroup],0)),"")</f>
        <v>BLOWER, BATTERY</v>
      </c>
      <c r="L570" s="36">
        <v>967853901</v>
      </c>
      <c r="M570" s="35" t="s">
        <v>2254</v>
      </c>
      <c r="O570" s="35" t="s">
        <v>5340</v>
      </c>
      <c r="P570" s="37" t="s">
        <v>5341</v>
      </c>
      <c r="Q570" s="34" t="s">
        <v>3549</v>
      </c>
      <c r="R570" s="34" t="s">
        <v>3540</v>
      </c>
      <c r="S570" s="47">
        <v>43466</v>
      </c>
      <c r="T570" s="47">
        <v>0</v>
      </c>
      <c r="U570" s="47">
        <v>0</v>
      </c>
      <c r="V570" s="34">
        <v>4078500042420</v>
      </c>
      <c r="W570" s="34" t="s">
        <v>3546</v>
      </c>
      <c r="X570" s="34" t="s">
        <v>3551</v>
      </c>
      <c r="Y570" s="34" t="s">
        <v>3542</v>
      </c>
      <c r="Z570" s="34">
        <v>1</v>
      </c>
      <c r="AA570" s="34" t="s">
        <v>5342</v>
      </c>
      <c r="AB570" s="34" t="s">
        <v>5343</v>
      </c>
      <c r="AC570" s="34" t="s">
        <v>5344</v>
      </c>
      <c r="AD570" s="34" t="s">
        <v>5345</v>
      </c>
      <c r="AE570" s="34" t="s">
        <v>3623</v>
      </c>
      <c r="AF570" s="34" t="s">
        <v>5346</v>
      </c>
      <c r="AG570" s="34" t="s">
        <v>3615</v>
      </c>
      <c r="AH570" s="34" t="s">
        <v>5347</v>
      </c>
      <c r="AI570" s="34" t="s">
        <v>3662</v>
      </c>
      <c r="AJ570" s="34" t="s">
        <v>5348</v>
      </c>
      <c r="AK570" s="34" t="s">
        <v>3731</v>
      </c>
      <c r="AL570" s="34" t="s">
        <v>4019</v>
      </c>
      <c r="AM570" s="40" t="s">
        <v>9</v>
      </c>
      <c r="AP570" s="34">
        <v>0</v>
      </c>
      <c r="AQ570" s="34">
        <v>29990</v>
      </c>
      <c r="AR570" s="34">
        <v>20493</v>
      </c>
      <c r="AT570" s="44">
        <v>2322900</v>
      </c>
      <c r="AU570" s="44"/>
      <c r="AV570" s="46">
        <f>ROUND(Товары[[#This Row],[РРЦ финальная, руб.]]/$AU$1,2)</f>
        <v>0</v>
      </c>
      <c r="AW570" s="45" t="str">
        <f>IFERROR(Товары[[#This Row],[РРЦ, евро]]/Товары[[#This Row],[IRP, Eur]],"-")</f>
        <v>-</v>
      </c>
      <c r="AX570" s="42">
        <f>IFERROR(VLOOKUP(Товары[[#This Row],[SubGroup]],'Структура цен DIY'!$B:$C,2,FALSE),0)</f>
        <v>0.17999999999999994</v>
      </c>
      <c r="AY570" s="44">
        <v>0</v>
      </c>
    </row>
    <row r="571" spans="1:51" x14ac:dyDescent="0.25">
      <c r="A571" s="34">
        <v>569</v>
      </c>
      <c r="B571" s="34" t="s">
        <v>50</v>
      </c>
      <c r="C571" s="110" t="str">
        <f>IFERROR(INDEX(Структура_ассортимента[SuperCategory],MATCH(Товары[[#This Row],[SubGroup]],Структура_ассортимента[Subgroup],0)),"")</f>
        <v>H</v>
      </c>
      <c r="D571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71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71" s="110" t="str">
        <f>IFERROR(INDEX(Структура_ассортимента[Product group],MATCH(Товары[[#This Row],[SubGroup]],Структура_ассортимента[Subgroup],0)),"")</f>
        <v>HEB_P</v>
      </c>
      <c r="G571" s="110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71" s="110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71" s="36">
        <v>8208</v>
      </c>
      <c r="J571" s="36" t="str">
        <f>IFERROR(INDEX(Структура_ассортимента[Generic Name (long)],MATCH(Товары[[#This Row],[SubGroup]],Структура_ассортимента[Subgroup],0)),"")</f>
        <v>BLOWER, BATTERY</v>
      </c>
      <c r="L571" s="36">
        <v>967854001</v>
      </c>
      <c r="M571" s="35" t="s">
        <v>2255</v>
      </c>
      <c r="O571" s="35" t="s">
        <v>5349</v>
      </c>
      <c r="P571" s="37" t="s">
        <v>5350</v>
      </c>
      <c r="Q571" s="34" t="s">
        <v>3549</v>
      </c>
      <c r="R571" s="34" t="s">
        <v>3540</v>
      </c>
      <c r="S571" s="47">
        <v>43466</v>
      </c>
      <c r="T571" s="47">
        <v>0</v>
      </c>
      <c r="U571" s="47">
        <v>0</v>
      </c>
      <c r="V571" s="34">
        <v>4078500042437</v>
      </c>
      <c r="W571" s="34" t="s">
        <v>3546</v>
      </c>
      <c r="X571" s="34" t="s">
        <v>3551</v>
      </c>
      <c r="Y571" s="34" t="s">
        <v>3542</v>
      </c>
      <c r="Z571" s="34">
        <v>1</v>
      </c>
      <c r="AA571" s="34" t="s">
        <v>5351</v>
      </c>
      <c r="AB571" s="34" t="s">
        <v>5352</v>
      </c>
      <c r="AC571" s="34" t="s">
        <v>5353</v>
      </c>
      <c r="AD571" s="34" t="s">
        <v>5354</v>
      </c>
      <c r="AE571" s="34" t="s">
        <v>3623</v>
      </c>
      <c r="AF571" s="34" t="s">
        <v>5346</v>
      </c>
      <c r="AG571" s="34" t="s">
        <v>3615</v>
      </c>
      <c r="AH571" s="34" t="s">
        <v>5355</v>
      </c>
      <c r="AI571" s="34" t="s">
        <v>3662</v>
      </c>
      <c r="AJ571" s="34" t="s">
        <v>5348</v>
      </c>
      <c r="AK571" s="34" t="s">
        <v>3731</v>
      </c>
      <c r="AL571" s="34" t="s">
        <v>4019</v>
      </c>
      <c r="AM571" s="40" t="s">
        <v>9</v>
      </c>
      <c r="AP571" s="34">
        <v>0</v>
      </c>
      <c r="AQ571" s="34">
        <v>17090</v>
      </c>
      <c r="AR571" s="34">
        <v>11678</v>
      </c>
      <c r="AT571" s="44">
        <v>1323700</v>
      </c>
      <c r="AU571" s="44"/>
      <c r="AV571" s="46">
        <f>ROUND(Товары[[#This Row],[РРЦ финальная, руб.]]/$AU$1,2)</f>
        <v>0</v>
      </c>
      <c r="AW571" s="45" t="str">
        <f>IFERROR(Товары[[#This Row],[РРЦ, евро]]/Товары[[#This Row],[IRP, Eur]],"-")</f>
        <v>-</v>
      </c>
      <c r="AX571" s="42">
        <f>IFERROR(VLOOKUP(Товары[[#This Row],[SubGroup]],'Структура цен DIY'!$B:$C,2,FALSE),0)</f>
        <v>0.17999999999999994</v>
      </c>
      <c r="AY571" s="44">
        <v>0</v>
      </c>
    </row>
    <row r="572" spans="1:51" x14ac:dyDescent="0.25">
      <c r="A572" s="34">
        <v>570</v>
      </c>
      <c r="B572" s="34" t="s">
        <v>50</v>
      </c>
      <c r="C572" s="110" t="str">
        <f>IFERROR(INDEX(Структура_ассортимента[SuperCategory],MATCH(Товары[[#This Row],[SubGroup]],Структура_ассортимента[Subgroup],0)),"")</f>
        <v>H</v>
      </c>
      <c r="D572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72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72" s="110" t="str">
        <f>IFERROR(INDEX(Структура_ассортимента[Product group],MATCH(Товары[[#This Row],[SubGroup]],Структура_ассортимента[Subgroup],0)),"")</f>
        <v>HEB_P</v>
      </c>
      <c r="G572" s="110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72" s="110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72" s="36">
        <v>8208</v>
      </c>
      <c r="J572" s="36" t="str">
        <f>IFERROR(INDEX(Структура_ассортимента[Generic Name (long)],MATCH(Товары[[#This Row],[SubGroup]],Структура_ассортимента[Subgroup],0)),"")</f>
        <v>BLOWER, BATTERY</v>
      </c>
      <c r="L572" s="36">
        <v>967276301</v>
      </c>
      <c r="M572" s="35" t="s">
        <v>2256</v>
      </c>
      <c r="O572" s="35" t="s">
        <v>5356</v>
      </c>
      <c r="P572" s="37" t="s">
        <v>5357</v>
      </c>
      <c r="Q572" s="34" t="s">
        <v>3652</v>
      </c>
      <c r="R572" s="34" t="s">
        <v>3540</v>
      </c>
      <c r="S572" s="47">
        <v>41670</v>
      </c>
      <c r="T572" s="47">
        <v>44196</v>
      </c>
      <c r="U572" s="47">
        <v>0</v>
      </c>
      <c r="V572" s="34">
        <v>4078500002707</v>
      </c>
      <c r="W572" s="34" t="s">
        <v>3546</v>
      </c>
      <c r="X572" s="34" t="s">
        <v>3551</v>
      </c>
      <c r="Y572" s="34" t="s">
        <v>3542</v>
      </c>
      <c r="Z572" s="34">
        <v>1</v>
      </c>
      <c r="AA572" s="34" t="s">
        <v>3970</v>
      </c>
      <c r="AB572" s="34" t="s">
        <v>3970</v>
      </c>
      <c r="AC572" s="34" t="s">
        <v>5358</v>
      </c>
      <c r="AD572" s="34" t="s">
        <v>5359</v>
      </c>
      <c r="AE572" s="34" t="s">
        <v>5360</v>
      </c>
      <c r="AF572" s="34" t="s">
        <v>4354</v>
      </c>
      <c r="AG572" s="34" t="s">
        <v>3997</v>
      </c>
      <c r="AH572" s="34" t="s">
        <v>5361</v>
      </c>
      <c r="AI572" s="34" t="s">
        <v>5362</v>
      </c>
      <c r="AJ572" s="34" t="s">
        <v>5363</v>
      </c>
      <c r="AK572" s="34" t="s">
        <v>3683</v>
      </c>
      <c r="AL572" s="34" t="s">
        <v>5364</v>
      </c>
      <c r="AM572" s="40" t="s">
        <v>9</v>
      </c>
      <c r="AP572" s="34">
        <v>0</v>
      </c>
      <c r="AQ572" s="34">
        <v>13790</v>
      </c>
      <c r="AR572" s="34">
        <v>9423</v>
      </c>
      <c r="AT572" s="44">
        <v>1068100</v>
      </c>
      <c r="AU572" s="44"/>
      <c r="AV572" s="46">
        <f>ROUND(Товары[[#This Row],[РРЦ финальная, руб.]]/$AU$1,2)</f>
        <v>0</v>
      </c>
      <c r="AW572" s="45" t="str">
        <f>IFERROR(Товары[[#This Row],[РРЦ, евро]]/Товары[[#This Row],[IRP, Eur]],"-")</f>
        <v>-</v>
      </c>
      <c r="AX572" s="42">
        <f>IFERROR(VLOOKUP(Товары[[#This Row],[SubGroup]],'Структура цен DIY'!$B:$C,2,FALSE),0)</f>
        <v>0.17999999999999994</v>
      </c>
      <c r="AY572" s="44">
        <v>0</v>
      </c>
    </row>
    <row r="573" spans="1:51" x14ac:dyDescent="0.25">
      <c r="A573" s="34">
        <v>571</v>
      </c>
      <c r="B573" s="34" t="s">
        <v>50</v>
      </c>
      <c r="C573" s="110" t="str">
        <f>IFERROR(INDEX(Структура_ассортимента[SuperCategory],MATCH(Товары[[#This Row],[SubGroup]],Структура_ассортимента[Subgroup],0)),"")</f>
        <v>H</v>
      </c>
      <c r="D573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73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73" s="110" t="str">
        <f>IFERROR(INDEX(Структура_ассортимента[Product group],MATCH(Товары[[#This Row],[SubGroup]],Структура_ассортимента[Subgroup],0)),"")</f>
        <v>HEB_P</v>
      </c>
      <c r="G573" s="110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73" s="110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73" s="36">
        <v>8208</v>
      </c>
      <c r="J573" s="36" t="str">
        <f>IFERROR(INDEX(Структура_ассортимента[Generic Name (long)],MATCH(Товары[[#This Row],[SubGroup]],Структура_ассортимента[Subgroup],0)),"")</f>
        <v>BLOWER, BATTERY</v>
      </c>
      <c r="L573" s="36">
        <v>967106601</v>
      </c>
      <c r="M573" s="35" t="s">
        <v>2257</v>
      </c>
      <c r="O573" s="35" t="s">
        <v>5365</v>
      </c>
      <c r="P573" s="37" t="s">
        <v>5366</v>
      </c>
      <c r="Q573" s="34" t="s">
        <v>3652</v>
      </c>
      <c r="R573" s="34" t="s">
        <v>3540</v>
      </c>
      <c r="S573" s="47">
        <v>42736</v>
      </c>
      <c r="T573" s="47">
        <v>44196</v>
      </c>
      <c r="U573" s="47">
        <v>0</v>
      </c>
      <c r="V573" s="34">
        <v>4078500025508</v>
      </c>
      <c r="W573" s="34" t="s">
        <v>3546</v>
      </c>
      <c r="X573" s="34" t="s">
        <v>3551</v>
      </c>
      <c r="Y573" s="34" t="s">
        <v>3542</v>
      </c>
      <c r="Z573" s="34">
        <v>1</v>
      </c>
      <c r="AA573" s="34">
        <v>2480</v>
      </c>
      <c r="AB573" s="34" t="s">
        <v>3573</v>
      </c>
      <c r="AC573" s="34">
        <v>2200</v>
      </c>
      <c r="AD573" s="34" t="s">
        <v>5367</v>
      </c>
      <c r="AE573" s="34" t="s">
        <v>5360</v>
      </c>
      <c r="AF573" s="34" t="s">
        <v>3968</v>
      </c>
      <c r="AG573" s="34" t="s">
        <v>3942</v>
      </c>
      <c r="AH573" s="34" t="s">
        <v>5368</v>
      </c>
      <c r="AI573" s="34" t="s">
        <v>5362</v>
      </c>
      <c r="AJ573" s="34" t="s">
        <v>5363</v>
      </c>
      <c r="AK573" s="34" t="s">
        <v>3683</v>
      </c>
      <c r="AL573" s="34" t="s">
        <v>5364</v>
      </c>
      <c r="AM573" s="40" t="s">
        <v>9</v>
      </c>
      <c r="AP573" s="34">
        <v>0</v>
      </c>
      <c r="AQ573" s="34">
        <v>5590</v>
      </c>
      <c r="AR573" s="34">
        <v>3820</v>
      </c>
      <c r="AT573" s="44">
        <v>433000</v>
      </c>
      <c r="AU573" s="44"/>
      <c r="AV573" s="46">
        <f>ROUND(Товары[[#This Row],[РРЦ финальная, руб.]]/$AU$1,2)</f>
        <v>0</v>
      </c>
      <c r="AW573" s="45" t="str">
        <f>IFERROR(Товары[[#This Row],[РРЦ, евро]]/Товары[[#This Row],[IRP, Eur]],"-")</f>
        <v>-</v>
      </c>
      <c r="AX573" s="42">
        <f>IFERROR(VLOOKUP(Товары[[#This Row],[SubGroup]],'Структура цен DIY'!$B:$C,2,FALSE),0)</f>
        <v>0.17999999999999994</v>
      </c>
      <c r="AY573" s="44">
        <v>0</v>
      </c>
    </row>
    <row r="574" spans="1:51" x14ac:dyDescent="0.25">
      <c r="A574" s="34">
        <v>572</v>
      </c>
      <c r="B574" s="34" t="s">
        <v>50</v>
      </c>
      <c r="C574" s="110" t="str">
        <f>IFERROR(INDEX(Структура_ассортимента[SuperCategory],MATCH(Товары[[#This Row],[SubGroup]],Структура_ассортимента[Subgroup],0)),"")</f>
        <v>H</v>
      </c>
      <c r="D574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74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74" s="110" t="str">
        <f>IFERROR(INDEX(Структура_ассортимента[Product group],MATCH(Товары[[#This Row],[SubGroup]],Структура_ассортимента[Subgroup],0)),"")</f>
        <v>HEB_P</v>
      </c>
      <c r="G574" s="110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74" s="110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74" s="36">
        <v>8208</v>
      </c>
      <c r="J574" s="36" t="str">
        <f>IFERROR(INDEX(Структура_ассортимента[Generic Name (long)],MATCH(Товары[[#This Row],[SubGroup]],Структура_ассортимента[Subgroup],0)),"")</f>
        <v>BLOWER, BATTERY</v>
      </c>
      <c r="L574" s="36">
        <v>967853701</v>
      </c>
      <c r="M574" s="35" t="s">
        <v>2258</v>
      </c>
      <c r="O574" s="35" t="s">
        <v>5369</v>
      </c>
      <c r="P574" s="37" t="s">
        <v>5370</v>
      </c>
      <c r="Q574" s="34" t="s">
        <v>3549</v>
      </c>
      <c r="R574" s="34" t="s">
        <v>3540</v>
      </c>
      <c r="S574" s="47">
        <v>43466</v>
      </c>
      <c r="T574" s="47">
        <v>0</v>
      </c>
      <c r="U574" s="47">
        <v>0</v>
      </c>
      <c r="V574" s="34">
        <v>4078500042444</v>
      </c>
      <c r="W574" s="34" t="s">
        <v>3546</v>
      </c>
      <c r="X574" s="34" t="s">
        <v>3551</v>
      </c>
      <c r="Y574" s="34" t="s">
        <v>3542</v>
      </c>
      <c r="Z574" s="34">
        <v>1</v>
      </c>
      <c r="AA574" s="34" t="s">
        <v>3970</v>
      </c>
      <c r="AB574" s="34" t="s">
        <v>4443</v>
      </c>
      <c r="AC574" s="34" t="s">
        <v>5371</v>
      </c>
      <c r="AD574" s="34" t="s">
        <v>3970</v>
      </c>
      <c r="AE574" s="34" t="s">
        <v>5372</v>
      </c>
      <c r="AF574" s="34" t="s">
        <v>5373</v>
      </c>
      <c r="AG574" s="34" t="s">
        <v>4394</v>
      </c>
      <c r="AH574" s="34" t="s">
        <v>5374</v>
      </c>
      <c r="AI574" s="34" t="s">
        <v>5375</v>
      </c>
      <c r="AJ574" s="34" t="s">
        <v>5376</v>
      </c>
      <c r="AK574" s="34" t="s">
        <v>5377</v>
      </c>
      <c r="AL574" s="34" t="s">
        <v>4214</v>
      </c>
      <c r="AM574" s="40" t="s">
        <v>9</v>
      </c>
      <c r="AP574" s="34">
        <v>0</v>
      </c>
      <c r="AQ574" s="34">
        <v>8590</v>
      </c>
      <c r="AR574" s="34">
        <v>5870</v>
      </c>
      <c r="AT574" s="44">
        <v>665300</v>
      </c>
      <c r="AU574" s="44"/>
      <c r="AV574" s="46">
        <f>ROUND(Товары[[#This Row],[РРЦ финальная, руб.]]/$AU$1,2)</f>
        <v>0</v>
      </c>
      <c r="AW574" s="45" t="str">
        <f>IFERROR(Товары[[#This Row],[РРЦ, евро]]/Товары[[#This Row],[IRP, Eur]],"-")</f>
        <v>-</v>
      </c>
      <c r="AX574" s="42">
        <f>IFERROR(VLOOKUP(Товары[[#This Row],[SubGroup]],'Структура цен DIY'!$B:$C,2,FALSE),0)</f>
        <v>0.17999999999999994</v>
      </c>
      <c r="AY574" s="44">
        <v>0</v>
      </c>
    </row>
    <row r="575" spans="1:51" x14ac:dyDescent="0.25">
      <c r="A575" s="34">
        <v>573</v>
      </c>
      <c r="B575" s="34" t="s">
        <v>50</v>
      </c>
      <c r="C575" s="110" t="str">
        <f>IFERROR(INDEX(Структура_ассортимента[SuperCategory],MATCH(Товары[[#This Row],[SubGroup]],Структура_ассортимента[Subgroup],0)),"")</f>
        <v>H</v>
      </c>
      <c r="D575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75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75" s="110" t="str">
        <f>IFERROR(INDEX(Структура_ассортимента[Product group],MATCH(Товары[[#This Row],[SubGroup]],Структура_ассортимента[Subgroup],0)),"")</f>
        <v>HEB_P</v>
      </c>
      <c r="G575" s="110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75" s="110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75" s="36">
        <v>8208</v>
      </c>
      <c r="J575" s="36" t="str">
        <f>IFERROR(INDEX(Структура_ассортимента[Generic Name (long)],MATCH(Товары[[#This Row],[SubGroup]],Структура_ассортимента[Subgroup],0)),"")</f>
        <v>BLOWER, BATTERY</v>
      </c>
      <c r="L575" s="36">
        <v>967853801</v>
      </c>
      <c r="M575" s="35" t="s">
        <v>2259</v>
      </c>
      <c r="O575" s="35" t="s">
        <v>5378</v>
      </c>
      <c r="P575" s="37" t="s">
        <v>5379</v>
      </c>
      <c r="Q575" s="34" t="s">
        <v>3549</v>
      </c>
      <c r="R575" s="34" t="s">
        <v>3540</v>
      </c>
      <c r="S575" s="47">
        <v>43466</v>
      </c>
      <c r="T575" s="47">
        <v>0</v>
      </c>
      <c r="U575" s="47">
        <v>0</v>
      </c>
      <c r="V575" s="34">
        <v>4078500042451</v>
      </c>
      <c r="W575" s="34" t="s">
        <v>3546</v>
      </c>
      <c r="X575" s="34" t="s">
        <v>3551</v>
      </c>
      <c r="Y575" s="34" t="s">
        <v>3542</v>
      </c>
      <c r="Z575" s="34">
        <v>1</v>
      </c>
      <c r="AA575" s="34" t="s">
        <v>4212</v>
      </c>
      <c r="AB575" s="34" t="s">
        <v>5380</v>
      </c>
      <c r="AC575" s="34" t="s">
        <v>5381</v>
      </c>
      <c r="AD575" s="34" t="s">
        <v>5382</v>
      </c>
      <c r="AE575" s="34" t="s">
        <v>5383</v>
      </c>
      <c r="AF575" s="34" t="s">
        <v>3902</v>
      </c>
      <c r="AG575" s="34" t="s">
        <v>4394</v>
      </c>
      <c r="AH575" s="34" t="s">
        <v>5384</v>
      </c>
      <c r="AI575" s="34" t="s">
        <v>5385</v>
      </c>
      <c r="AJ575" s="34" t="s">
        <v>5386</v>
      </c>
      <c r="AK575" s="34" t="s">
        <v>5387</v>
      </c>
      <c r="AL575" s="34" t="s">
        <v>4321</v>
      </c>
      <c r="AM575" s="40" t="s">
        <v>9</v>
      </c>
      <c r="AP575" s="34">
        <v>0</v>
      </c>
      <c r="AQ575" s="34">
        <v>9490</v>
      </c>
      <c r="AR575" s="34">
        <v>6485</v>
      </c>
      <c r="AT575" s="44">
        <v>735000</v>
      </c>
      <c r="AU575" s="44"/>
      <c r="AV575" s="46">
        <f>ROUND(Товары[[#This Row],[РРЦ финальная, руб.]]/$AU$1,2)</f>
        <v>0</v>
      </c>
      <c r="AW575" s="45" t="str">
        <f>IFERROR(Товары[[#This Row],[РРЦ, евро]]/Товары[[#This Row],[IRP, Eur]],"-")</f>
        <v>-</v>
      </c>
      <c r="AX575" s="42">
        <f>IFERROR(VLOOKUP(Товары[[#This Row],[SubGroup]],'Структура цен DIY'!$B:$C,2,FALSE),0)</f>
        <v>0.17999999999999994</v>
      </c>
      <c r="AY575" s="44">
        <v>0</v>
      </c>
    </row>
    <row r="576" spans="1:51" x14ac:dyDescent="0.25">
      <c r="A576" s="34">
        <v>574</v>
      </c>
      <c r="B576" s="34" t="s">
        <v>50</v>
      </c>
      <c r="C576" s="110" t="str">
        <f>IFERROR(INDEX(Структура_ассортимента[SuperCategory],MATCH(Товары[[#This Row],[SubGroup]],Структура_ассортимента[Subgroup],0)),"")</f>
        <v>H</v>
      </c>
      <c r="D576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76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76" s="110" t="str">
        <f>IFERROR(INDEX(Структура_ассортимента[Product group],MATCH(Товары[[#This Row],[SubGroup]],Структура_ассортимента[Subgroup],0)),"")</f>
        <v>HEB_P</v>
      </c>
      <c r="G576" s="110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76" s="110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76" s="36">
        <v>8208</v>
      </c>
      <c r="J576" s="36" t="str">
        <f>IFERROR(INDEX(Структура_ассортимента[Generic Name (long)],MATCH(Товары[[#This Row],[SubGroup]],Структура_ассортимента[Subgroup],0)),"")</f>
        <v>BLOWER, BATTERY</v>
      </c>
      <c r="L576" s="36">
        <v>967991701</v>
      </c>
      <c r="M576" s="35" t="s">
        <v>2260</v>
      </c>
      <c r="O576" s="35" t="s">
        <v>5388</v>
      </c>
      <c r="P576" s="37" t="s">
        <v>5389</v>
      </c>
      <c r="Q576" s="34" t="s">
        <v>3549</v>
      </c>
      <c r="R576" s="34" t="s">
        <v>3540</v>
      </c>
      <c r="S576" s="47">
        <v>44197</v>
      </c>
      <c r="T576" s="47">
        <v>0</v>
      </c>
      <c r="U576" s="47">
        <v>0</v>
      </c>
      <c r="V576" s="34">
        <v>4078500049429</v>
      </c>
      <c r="W576" s="34" t="s">
        <v>3546</v>
      </c>
      <c r="Y576" s="34" t="s">
        <v>3542</v>
      </c>
      <c r="Z576" s="34">
        <v>1</v>
      </c>
      <c r="AB576" s="34" t="s">
        <v>5390</v>
      </c>
      <c r="AD576" s="34" t="s">
        <v>5098</v>
      </c>
      <c r="AE576" s="34" t="s">
        <v>5360</v>
      </c>
      <c r="AF576" s="34" t="s">
        <v>4309</v>
      </c>
      <c r="AG576" s="34" t="s">
        <v>3662</v>
      </c>
      <c r="AH576" s="34" t="s">
        <v>5391</v>
      </c>
      <c r="AL576" s="34" t="s">
        <v>5392</v>
      </c>
      <c r="AM576" s="40" t="s">
        <v>233</v>
      </c>
      <c r="AT576" s="44">
        <v>0</v>
      </c>
      <c r="AU576" s="44"/>
      <c r="AV576" s="46">
        <f>ROUND(Товары[[#This Row],[РРЦ финальная, руб.]]/$AU$1,2)</f>
        <v>0</v>
      </c>
      <c r="AW576" s="45" t="str">
        <f>IFERROR(Товары[[#This Row],[РРЦ, евро]]/Товары[[#This Row],[IRP, Eur]],"-")</f>
        <v>-</v>
      </c>
      <c r="AX576" s="42">
        <f>IFERROR(VLOOKUP(Товары[[#This Row],[SubGroup]],'Структура цен DIY'!$B:$C,2,FALSE),0)</f>
        <v>0.17999999999999994</v>
      </c>
      <c r="AY576" s="44">
        <v>0</v>
      </c>
    </row>
    <row r="577" spans="1:51" x14ac:dyDescent="0.25">
      <c r="A577" s="34">
        <v>575</v>
      </c>
      <c r="B577" s="34" t="s">
        <v>50</v>
      </c>
      <c r="C577" s="110" t="str">
        <f>IFERROR(INDEX(Структура_ассортимента[SuperCategory],MATCH(Товары[[#This Row],[SubGroup]],Структура_ассортимента[Subgroup],0)),"")</f>
        <v>H</v>
      </c>
      <c r="D577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77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77" s="110" t="str">
        <f>IFERROR(INDEX(Структура_ассортимента[Product group],MATCH(Товары[[#This Row],[SubGroup]],Структура_ассортимента[Subgroup],0)),"")</f>
        <v>HEB_P</v>
      </c>
      <c r="G577" s="110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77" s="110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77" s="36">
        <v>8208</v>
      </c>
      <c r="J577" s="36" t="str">
        <f>IFERROR(INDEX(Структура_ассортимента[Generic Name (long)],MATCH(Товары[[#This Row],[SubGroup]],Структура_ассортимента[Subgroup],0)),"")</f>
        <v>BLOWER, BATTERY</v>
      </c>
      <c r="L577" s="36">
        <v>967991401</v>
      </c>
      <c r="M577" s="35" t="s">
        <v>2261</v>
      </c>
      <c r="O577" s="35" t="s">
        <v>5393</v>
      </c>
      <c r="P577" s="37" t="s">
        <v>5394</v>
      </c>
      <c r="Q577" s="34" t="s">
        <v>3549</v>
      </c>
      <c r="R577" s="34" t="s">
        <v>3540</v>
      </c>
      <c r="S577" s="47">
        <v>44197</v>
      </c>
      <c r="T577" s="47">
        <v>0</v>
      </c>
      <c r="U577" s="47">
        <v>0</v>
      </c>
      <c r="V577" s="34">
        <v>4078500049412</v>
      </c>
      <c r="W577" s="34" t="s">
        <v>3546</v>
      </c>
      <c r="Y577" s="34" t="s">
        <v>3542</v>
      </c>
      <c r="Z577" s="34">
        <v>1</v>
      </c>
      <c r="AB577" s="34" t="s">
        <v>5098</v>
      </c>
      <c r="AD577" s="34" t="s">
        <v>3970</v>
      </c>
      <c r="AE577" s="34" t="s">
        <v>5360</v>
      </c>
      <c r="AF577" s="34" t="s">
        <v>4309</v>
      </c>
      <c r="AG577" s="34" t="s">
        <v>3662</v>
      </c>
      <c r="AH577" s="34" t="s">
        <v>5391</v>
      </c>
      <c r="AI577" s="34" t="s">
        <v>5395</v>
      </c>
      <c r="AJ577" s="34" t="s">
        <v>4203</v>
      </c>
      <c r="AK577" s="34" t="s">
        <v>4458</v>
      </c>
      <c r="AL577" s="34" t="s">
        <v>5392</v>
      </c>
      <c r="AM577" s="40" t="s">
        <v>233</v>
      </c>
      <c r="AT577" s="44">
        <v>0</v>
      </c>
      <c r="AU577" s="44"/>
      <c r="AV577" s="46">
        <f>ROUND(Товары[[#This Row],[РРЦ финальная, руб.]]/$AU$1,2)</f>
        <v>0</v>
      </c>
      <c r="AW577" s="45" t="str">
        <f>IFERROR(Товары[[#This Row],[РРЦ, евро]]/Товары[[#This Row],[IRP, Eur]],"-")</f>
        <v>-</v>
      </c>
      <c r="AX577" s="42">
        <f>IFERROR(VLOOKUP(Товары[[#This Row],[SubGroup]],'Структура цен DIY'!$B:$C,2,FALSE),0)</f>
        <v>0.17999999999999994</v>
      </c>
      <c r="AY577" s="44">
        <v>0</v>
      </c>
    </row>
    <row r="578" spans="1:51" x14ac:dyDescent="0.25">
      <c r="A578" s="34">
        <v>576</v>
      </c>
      <c r="B578" s="34" t="s">
        <v>50</v>
      </c>
      <c r="C578" s="110" t="str">
        <f>IFERROR(INDEX(Структура_ассортимента[SuperCategory],MATCH(Товары[[#This Row],[SubGroup]],Структура_ассортимента[Subgroup],0)),"")</f>
        <v>H</v>
      </c>
      <c r="D578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78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78" s="110" t="str">
        <f>IFERROR(INDEX(Структура_ассортимента[Product group],MATCH(Товары[[#This Row],[SubGroup]],Структура_ассортимента[Subgroup],0)),"")</f>
        <v>HEB_P</v>
      </c>
      <c r="G578" s="110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78" s="110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78" s="36">
        <v>8208</v>
      </c>
      <c r="J578" s="36" t="str">
        <f>IFERROR(INDEX(Структура_ассортимента[Generic Name (long)],MATCH(Товары[[#This Row],[SubGroup]],Структура_ассортимента[Subgroup],0)),"")</f>
        <v>BLOWER, BATTERY</v>
      </c>
      <c r="L578" s="36">
        <v>970489101</v>
      </c>
      <c r="M578" s="35" t="s">
        <v>2262</v>
      </c>
      <c r="O578" s="35" t="s">
        <v>5396</v>
      </c>
      <c r="P578" s="37" t="s">
        <v>5397</v>
      </c>
      <c r="Q578" s="34" t="s">
        <v>3549</v>
      </c>
      <c r="R578" s="34" t="s">
        <v>3540</v>
      </c>
      <c r="S578" s="47">
        <v>44197</v>
      </c>
      <c r="T578" s="47">
        <v>0</v>
      </c>
      <c r="U578" s="47">
        <v>0</v>
      </c>
      <c r="V578" s="34">
        <v>4078500053471</v>
      </c>
      <c r="W578" s="34" t="s">
        <v>3546</v>
      </c>
      <c r="X578" s="34" t="s">
        <v>3551</v>
      </c>
      <c r="Y578" s="34" t="s">
        <v>3542</v>
      </c>
      <c r="Z578" s="34">
        <v>1</v>
      </c>
      <c r="AE578" s="34" t="s">
        <v>3912</v>
      </c>
      <c r="AF578" s="34" t="s">
        <v>3826</v>
      </c>
      <c r="AG578" s="34" t="s">
        <v>4117</v>
      </c>
      <c r="AL578" s="34" t="s">
        <v>4514</v>
      </c>
      <c r="AM578" s="40" t="s">
        <v>9</v>
      </c>
      <c r="AT578" s="44">
        <v>0</v>
      </c>
      <c r="AU578" s="44"/>
      <c r="AV578" s="46">
        <f>ROUND(Товары[[#This Row],[РРЦ финальная, руб.]]/$AU$1,2)</f>
        <v>0</v>
      </c>
      <c r="AW578" s="45" t="str">
        <f>IFERROR(Товары[[#This Row],[РРЦ, евро]]/Товары[[#This Row],[IRP, Eur]],"-")</f>
        <v>-</v>
      </c>
      <c r="AX578" s="42">
        <f>IFERROR(VLOOKUP(Товары[[#This Row],[SubGroup]],'Структура цен DIY'!$B:$C,2,FALSE),0)</f>
        <v>0.17999999999999994</v>
      </c>
      <c r="AY578" s="44">
        <v>0</v>
      </c>
    </row>
    <row r="579" spans="1:51" x14ac:dyDescent="0.25">
      <c r="A579" s="34">
        <v>577</v>
      </c>
      <c r="B579" s="34" t="s">
        <v>50</v>
      </c>
      <c r="C579" s="110" t="str">
        <f>IFERROR(INDEX(Структура_ассортимента[SuperCategory],MATCH(Товары[[#This Row],[SubGroup]],Структура_ассортимента[Subgroup],0)),"")</f>
        <v>H</v>
      </c>
      <c r="D579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79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79" s="110" t="str">
        <f>IFERROR(INDEX(Структура_ассортимента[Product group],MATCH(Товары[[#This Row],[SubGroup]],Структура_ассортимента[Subgroup],0)),"")</f>
        <v>HEB_P</v>
      </c>
      <c r="G579" s="110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79" s="110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79" s="36">
        <v>8208</v>
      </c>
      <c r="J579" s="36" t="str">
        <f>IFERROR(INDEX(Структура_ассортимента[Generic Name (long)],MATCH(Товары[[#This Row],[SubGroup]],Структура_ассортимента[Subgroup],0)),"")</f>
        <v>BLOWER, BATTERY</v>
      </c>
      <c r="L579" s="36">
        <v>970490601</v>
      </c>
      <c r="M579" s="35" t="s">
        <v>2263</v>
      </c>
      <c r="O579" s="35" t="s">
        <v>5398</v>
      </c>
      <c r="P579" s="37" t="s">
        <v>5399</v>
      </c>
      <c r="Q579" s="34" t="s">
        <v>3549</v>
      </c>
      <c r="R579" s="34" t="s">
        <v>3540</v>
      </c>
      <c r="S579" s="47">
        <v>44197</v>
      </c>
      <c r="T579" s="47">
        <v>0</v>
      </c>
      <c r="U579" s="47">
        <v>0</v>
      </c>
      <c r="V579" s="34">
        <v>4078500053488</v>
      </c>
      <c r="W579" s="34" t="s">
        <v>3546</v>
      </c>
      <c r="X579" s="34" t="s">
        <v>3551</v>
      </c>
      <c r="Y579" s="34" t="s">
        <v>3542</v>
      </c>
      <c r="Z579" s="34">
        <v>1</v>
      </c>
      <c r="AE579" s="34" t="s">
        <v>3912</v>
      </c>
      <c r="AF579" s="34" t="s">
        <v>3826</v>
      </c>
      <c r="AG579" s="34" t="s">
        <v>4117</v>
      </c>
      <c r="AL579" s="34" t="s">
        <v>4514</v>
      </c>
      <c r="AM579" s="40" t="s">
        <v>9</v>
      </c>
      <c r="AT579" s="44">
        <v>0</v>
      </c>
      <c r="AU579" s="44"/>
      <c r="AV579" s="46">
        <f>ROUND(Товары[[#This Row],[РРЦ финальная, руб.]]/$AU$1,2)</f>
        <v>0</v>
      </c>
      <c r="AW579" s="45" t="str">
        <f>IFERROR(Товары[[#This Row],[РРЦ, евро]]/Товары[[#This Row],[IRP, Eur]],"-")</f>
        <v>-</v>
      </c>
      <c r="AX579" s="42">
        <f>IFERROR(VLOOKUP(Товары[[#This Row],[SubGroup]],'Структура цен DIY'!$B:$C,2,FALSE),0)</f>
        <v>0.17999999999999994</v>
      </c>
      <c r="AY579" s="44">
        <v>0</v>
      </c>
    </row>
    <row r="580" spans="1:51" x14ac:dyDescent="0.25">
      <c r="A580" s="34">
        <v>578</v>
      </c>
      <c r="B580" s="34" t="s">
        <v>50</v>
      </c>
      <c r="C580" s="110" t="str">
        <f>IFERROR(INDEX(Структура_ассортимента[SuperCategory],MATCH(Товары[[#This Row],[SubGroup]],Структура_ассортимента[Subgroup],0)),"")</f>
        <v>H</v>
      </c>
      <c r="D580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80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80" s="110" t="str">
        <f>IFERROR(INDEX(Структура_ассортимента[Product group],MATCH(Товары[[#This Row],[SubGroup]],Структура_ассортимента[Subgroup],0)),"")</f>
        <v>HEB_P</v>
      </c>
      <c r="G580" s="110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80" s="110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80" s="36">
        <v>8208</v>
      </c>
      <c r="J580" s="36" t="str">
        <f>IFERROR(INDEX(Структура_ассортимента[Generic Name (long)],MATCH(Товары[[#This Row],[SubGroup]],Структура_ассортимента[Subgroup],0)),"")</f>
        <v>BLOWER, BATTERY</v>
      </c>
      <c r="L580" s="36">
        <v>970498901</v>
      </c>
      <c r="M580" s="35" t="s">
        <v>2264</v>
      </c>
      <c r="O580" s="35" t="s">
        <v>5400</v>
      </c>
      <c r="P580" s="37" t="s">
        <v>5401</v>
      </c>
      <c r="Q580" s="34" t="s">
        <v>3549</v>
      </c>
      <c r="R580" s="34" t="s">
        <v>3540</v>
      </c>
      <c r="S580" s="47">
        <v>44197</v>
      </c>
      <c r="T580" s="47">
        <v>0</v>
      </c>
      <c r="U580" s="47">
        <v>0</v>
      </c>
      <c r="V580" s="34">
        <v>4078500054690</v>
      </c>
      <c r="W580" s="34" t="s">
        <v>3543</v>
      </c>
      <c r="X580" s="34" t="s">
        <v>3551</v>
      </c>
      <c r="Y580" s="34" t="s">
        <v>3542</v>
      </c>
      <c r="Z580" s="34">
        <v>8</v>
      </c>
      <c r="AE580" s="34" t="s">
        <v>3912</v>
      </c>
      <c r="AF580" s="34" t="s">
        <v>3826</v>
      </c>
      <c r="AG580" s="34" t="s">
        <v>4117</v>
      </c>
      <c r="AM580" s="40" t="s">
        <v>11</v>
      </c>
      <c r="AT580" s="44">
        <v>0</v>
      </c>
      <c r="AU580" s="44"/>
      <c r="AV580" s="46">
        <f>ROUND(Товары[[#This Row],[РРЦ финальная, руб.]]/$AU$1,2)</f>
        <v>0</v>
      </c>
      <c r="AW580" s="45" t="str">
        <f>IFERROR(Товары[[#This Row],[РРЦ, евро]]/Товары[[#This Row],[IRP, Eur]],"-")</f>
        <v>-</v>
      </c>
      <c r="AX580" s="42">
        <f>IFERROR(VLOOKUP(Товары[[#This Row],[SubGroup]],'Структура цен DIY'!$B:$C,2,FALSE),0)</f>
        <v>0.17999999999999994</v>
      </c>
      <c r="AY580" s="44">
        <v>0</v>
      </c>
    </row>
    <row r="581" spans="1:51" x14ac:dyDescent="0.25">
      <c r="A581" s="34">
        <v>579</v>
      </c>
      <c r="B581" s="34" t="s">
        <v>50</v>
      </c>
      <c r="C581" s="110" t="str">
        <f>IFERROR(INDEX(Структура_ассортимента[SuperCategory],MATCH(Товары[[#This Row],[SubGroup]],Структура_ассортимента[Subgroup],0)),"")</f>
        <v>H</v>
      </c>
      <c r="D581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81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81" s="110" t="str">
        <f>IFERROR(INDEX(Структура_ассортимента[Product group],MATCH(Товары[[#This Row],[SubGroup]],Структура_ассортимента[Subgroup],0)),"")</f>
        <v>HEB_P</v>
      </c>
      <c r="G581" s="110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81" s="110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81" s="36">
        <v>8208</v>
      </c>
      <c r="J581" s="36" t="str">
        <f>IFERROR(INDEX(Структура_ассортимента[Generic Name (long)],MATCH(Товары[[#This Row],[SubGroup]],Структура_ассортимента[Subgroup],0)),"")</f>
        <v>BLOWER, BATTERY</v>
      </c>
      <c r="L581" s="36">
        <v>970489201</v>
      </c>
      <c r="M581" s="35" t="s">
        <v>2265</v>
      </c>
      <c r="O581" s="35" t="s">
        <v>5402</v>
      </c>
      <c r="P581" s="37" t="s">
        <v>5403</v>
      </c>
      <c r="Q581" s="34" t="s">
        <v>3549</v>
      </c>
      <c r="R581" s="34" t="s">
        <v>3540</v>
      </c>
      <c r="S581" s="47">
        <v>44197</v>
      </c>
      <c r="T581" s="47">
        <v>0</v>
      </c>
      <c r="U581" s="47">
        <v>0</v>
      </c>
      <c r="V581" s="34">
        <v>4078500053495</v>
      </c>
      <c r="W581" s="34" t="s">
        <v>3546</v>
      </c>
      <c r="X581" s="34" t="s">
        <v>3551</v>
      </c>
      <c r="Y581" s="34" t="s">
        <v>3542</v>
      </c>
      <c r="Z581" s="34">
        <v>1</v>
      </c>
      <c r="AE581" s="34" t="s">
        <v>3912</v>
      </c>
      <c r="AF581" s="34" t="s">
        <v>3826</v>
      </c>
      <c r="AG581" s="34" t="s">
        <v>4117</v>
      </c>
      <c r="AL581" s="34" t="s">
        <v>4514</v>
      </c>
      <c r="AM581" s="40" t="s">
        <v>9</v>
      </c>
      <c r="AT581" s="44">
        <v>0</v>
      </c>
      <c r="AU581" s="44"/>
      <c r="AV581" s="46">
        <f>ROUND(Товары[[#This Row],[РРЦ финальная, руб.]]/$AU$1,2)</f>
        <v>0</v>
      </c>
      <c r="AW581" s="45" t="str">
        <f>IFERROR(Товары[[#This Row],[РРЦ, евро]]/Товары[[#This Row],[IRP, Eur]],"-")</f>
        <v>-</v>
      </c>
      <c r="AX581" s="42">
        <f>IFERROR(VLOOKUP(Товары[[#This Row],[SubGroup]],'Структура цен DIY'!$B:$C,2,FALSE),0)</f>
        <v>0.17999999999999994</v>
      </c>
      <c r="AY581" s="44">
        <v>0</v>
      </c>
    </row>
    <row r="582" spans="1:51" x14ac:dyDescent="0.25">
      <c r="A582" s="34">
        <v>580</v>
      </c>
      <c r="B582" s="34" t="s">
        <v>50</v>
      </c>
      <c r="C582" s="110" t="str">
        <f>IFERROR(INDEX(Структура_ассортимента[SuperCategory],MATCH(Товары[[#This Row],[SubGroup]],Структура_ассортимента[Subgroup],0)),"")</f>
        <v>H</v>
      </c>
      <c r="D582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82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82" s="110" t="str">
        <f>IFERROR(INDEX(Структура_ассортимента[Product group],MATCH(Товары[[#This Row],[SubGroup]],Структура_ассортимента[Subgroup],0)),"")</f>
        <v>HEB_P</v>
      </c>
      <c r="G582" s="110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82" s="110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82" s="36">
        <v>8208</v>
      </c>
      <c r="J582" s="36" t="str">
        <f>IFERROR(INDEX(Структура_ассортимента[Generic Name (long)],MATCH(Товары[[#This Row],[SubGroup]],Структура_ассортимента[Subgroup],0)),"")</f>
        <v>BLOWER, BATTERY</v>
      </c>
      <c r="L582" s="36">
        <v>967667601</v>
      </c>
      <c r="M582" s="35" t="s">
        <v>2266</v>
      </c>
      <c r="O582" s="35" t="s">
        <v>5404</v>
      </c>
      <c r="P582" s="37" t="s">
        <v>5405</v>
      </c>
      <c r="Q582" s="34" t="s">
        <v>3549</v>
      </c>
      <c r="R582" s="34" t="s">
        <v>3540</v>
      </c>
      <c r="S582" s="47">
        <v>43101</v>
      </c>
      <c r="T582" s="47">
        <v>0</v>
      </c>
      <c r="U582" s="47">
        <v>0</v>
      </c>
      <c r="V582" s="34">
        <v>4078500031592</v>
      </c>
      <c r="W582" s="34" t="s">
        <v>3546</v>
      </c>
      <c r="X582" s="34" t="s">
        <v>3551</v>
      </c>
      <c r="Y582" s="34" t="s">
        <v>3542</v>
      </c>
      <c r="Z582" s="34">
        <v>1</v>
      </c>
      <c r="AB582" s="34" t="s">
        <v>5406</v>
      </c>
      <c r="AD582" s="34" t="s">
        <v>5407</v>
      </c>
      <c r="AE582" s="34" t="s">
        <v>4287</v>
      </c>
      <c r="AF582" s="34" t="s">
        <v>4202</v>
      </c>
      <c r="AG582" s="34" t="s">
        <v>4427</v>
      </c>
      <c r="AH582" s="34" t="s">
        <v>5408</v>
      </c>
      <c r="AI582" s="34" t="s">
        <v>5103</v>
      </c>
      <c r="AJ582" s="34" t="s">
        <v>4594</v>
      </c>
      <c r="AK582" s="34" t="s">
        <v>4309</v>
      </c>
      <c r="AL582" s="34" t="s">
        <v>3858</v>
      </c>
      <c r="AM582" s="40" t="s">
        <v>9</v>
      </c>
      <c r="AP582" s="34">
        <v>0</v>
      </c>
      <c r="AQ582" s="34">
        <v>33390</v>
      </c>
      <c r="AR582" s="34">
        <v>22817</v>
      </c>
      <c r="AT582" s="44">
        <v>2586200</v>
      </c>
      <c r="AU582" s="44"/>
      <c r="AV582" s="46">
        <f>ROUND(Товары[[#This Row],[РРЦ финальная, руб.]]/$AU$1,2)</f>
        <v>0</v>
      </c>
      <c r="AW582" s="45" t="str">
        <f>IFERROR(Товары[[#This Row],[РРЦ, евро]]/Товары[[#This Row],[IRP, Eur]],"-")</f>
        <v>-</v>
      </c>
      <c r="AX582" s="42">
        <f>IFERROR(VLOOKUP(Товары[[#This Row],[SubGroup]],'Структура цен DIY'!$B:$C,2,FALSE),0)</f>
        <v>0.17999999999999994</v>
      </c>
      <c r="AY582" s="44">
        <v>0</v>
      </c>
    </row>
    <row r="583" spans="1:51" x14ac:dyDescent="0.25">
      <c r="A583" s="34">
        <v>581</v>
      </c>
      <c r="B583" s="34" t="s">
        <v>50</v>
      </c>
      <c r="C583" s="110" t="str">
        <f>IFERROR(INDEX(Структура_ассортимента[SuperCategory],MATCH(Товары[[#This Row],[SubGroup]],Структура_ассортимента[Subgroup],0)),"")</f>
        <v>H</v>
      </c>
      <c r="D583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83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83" s="110" t="str">
        <f>IFERROR(INDEX(Структура_ассортимента[Product group],MATCH(Товары[[#This Row],[SubGroup]],Структура_ассортимента[Subgroup],0)),"")</f>
        <v>HEB_P</v>
      </c>
      <c r="G583" s="110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83" s="110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83" s="36">
        <v>8208</v>
      </c>
      <c r="J583" s="36" t="str">
        <f>IFERROR(INDEX(Структура_ассортимента[Generic Name (long)],MATCH(Товары[[#This Row],[SubGroup]],Структура_ассортимента[Subgroup],0)),"")</f>
        <v>BLOWER, BATTERY</v>
      </c>
      <c r="L583" s="36">
        <v>967667701</v>
      </c>
      <c r="M583" s="35" t="s">
        <v>2267</v>
      </c>
      <c r="O583" s="35" t="s">
        <v>5409</v>
      </c>
      <c r="P583" s="37" t="s">
        <v>5410</v>
      </c>
      <c r="Q583" s="34" t="s">
        <v>3549</v>
      </c>
      <c r="R583" s="34" t="s">
        <v>3540</v>
      </c>
      <c r="S583" s="47">
        <v>43101</v>
      </c>
      <c r="T583" s="47">
        <v>0</v>
      </c>
      <c r="U583" s="47">
        <v>0</v>
      </c>
      <c r="V583" s="34">
        <v>4078500031622</v>
      </c>
      <c r="W583" s="34" t="s">
        <v>3546</v>
      </c>
      <c r="X583" s="34" t="s">
        <v>3551</v>
      </c>
      <c r="Y583" s="34" t="s">
        <v>3542</v>
      </c>
      <c r="Z583" s="34">
        <v>1</v>
      </c>
      <c r="AA583" s="34" t="s">
        <v>5411</v>
      </c>
      <c r="AB583" s="34" t="s">
        <v>5412</v>
      </c>
      <c r="AC583" s="34" t="s">
        <v>5413</v>
      </c>
      <c r="AD583" s="34" t="s">
        <v>5413</v>
      </c>
      <c r="AE583" s="34" t="s">
        <v>4266</v>
      </c>
      <c r="AF583" s="34" t="s">
        <v>4202</v>
      </c>
      <c r="AG583" s="34" t="s">
        <v>3722</v>
      </c>
      <c r="AH583" s="34" t="s">
        <v>5414</v>
      </c>
      <c r="AI583" s="34" t="s">
        <v>5103</v>
      </c>
      <c r="AJ583" s="34" t="s">
        <v>4594</v>
      </c>
      <c r="AK583" s="34" t="s">
        <v>4309</v>
      </c>
      <c r="AL583" s="34" t="s">
        <v>3858</v>
      </c>
      <c r="AM583" s="40" t="s">
        <v>9</v>
      </c>
      <c r="AP583" s="34">
        <v>0</v>
      </c>
      <c r="AQ583" s="34">
        <v>18590</v>
      </c>
      <c r="AR583" s="34">
        <v>12703</v>
      </c>
      <c r="AT583" s="44">
        <v>1439900</v>
      </c>
      <c r="AU583" s="44"/>
      <c r="AV583" s="46">
        <f>ROUND(Товары[[#This Row],[РРЦ финальная, руб.]]/$AU$1,2)</f>
        <v>0</v>
      </c>
      <c r="AW583" s="45" t="str">
        <f>IFERROR(Товары[[#This Row],[РРЦ, евро]]/Товары[[#This Row],[IRP, Eur]],"-")</f>
        <v>-</v>
      </c>
      <c r="AX583" s="42">
        <f>IFERROR(VLOOKUP(Товары[[#This Row],[SubGroup]],'Структура цен DIY'!$B:$C,2,FALSE),0)</f>
        <v>0.17999999999999994</v>
      </c>
      <c r="AY583" s="44">
        <v>0</v>
      </c>
    </row>
    <row r="584" spans="1:51" x14ac:dyDescent="0.25">
      <c r="A584" s="34">
        <v>582</v>
      </c>
      <c r="B584" s="34" t="s">
        <v>50</v>
      </c>
      <c r="C584" s="110" t="str">
        <f>IFERROR(INDEX(Структура_ассортимента[SuperCategory],MATCH(Товары[[#This Row],[SubGroup]],Структура_ассортимента[Subgroup],0)),"")</f>
        <v>H</v>
      </c>
      <c r="D584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84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84" s="110" t="str">
        <f>IFERROR(INDEX(Структура_ассортимента[Product group],MATCH(Товары[[#This Row],[SubGroup]],Структура_ассортимента[Subgroup],0)),"")</f>
        <v>HEC_C</v>
      </c>
      <c r="G584" s="110" t="str">
        <f>IFERROR(INDEX(Структура_ассортимента[Product group name ENG],MATCH(Товары[[#This Row],[SubGroup]],Структура_ассортимента[Subgroup],0)),"")</f>
        <v>Handheld, Electric, Chainsaws</v>
      </c>
      <c r="H584" s="110" t="str">
        <f>IFERROR(INDEX(Структура_ассортимента[Generic Name (long)3],MATCH(Товары[[#This Row],[SubGroup]],Структура_ассортимента[Subgroup],0)),"")</f>
        <v>Пилы электрические</v>
      </c>
      <c r="I584" s="36">
        <v>9344</v>
      </c>
      <c r="J584" s="36" t="str">
        <f>IFERROR(INDEX(Структура_ассортимента[Generic Name (long)],MATCH(Товары[[#This Row],[SubGroup]],Структура_ассортимента[Subgroup],0)),"")</f>
        <v>CHAINSAW, CORDED</v>
      </c>
      <c r="L584" s="36">
        <v>967603001</v>
      </c>
      <c r="M584" s="35" t="s">
        <v>2268</v>
      </c>
      <c r="Q584" s="34" t="s">
        <v>3549</v>
      </c>
      <c r="R584" s="34" t="s">
        <v>3540</v>
      </c>
      <c r="S584" s="47">
        <v>42399</v>
      </c>
      <c r="T584" s="47">
        <v>0</v>
      </c>
      <c r="U584" s="47">
        <v>0</v>
      </c>
      <c r="V584" s="34">
        <v>4078500016483</v>
      </c>
      <c r="W584" s="34" t="s">
        <v>3546</v>
      </c>
      <c r="X584" s="34" t="s">
        <v>3551</v>
      </c>
      <c r="Y584" s="34" t="s">
        <v>3542</v>
      </c>
      <c r="Z584" s="34">
        <v>1</v>
      </c>
      <c r="AA584" s="34" t="s">
        <v>5415</v>
      </c>
      <c r="AB584" s="34" t="s">
        <v>5415</v>
      </c>
      <c r="AC584" s="34" t="s">
        <v>5416</v>
      </c>
      <c r="AD584" s="34" t="s">
        <v>5416</v>
      </c>
      <c r="AE584" s="34" t="s">
        <v>5417</v>
      </c>
      <c r="AF584" s="34" t="s">
        <v>3920</v>
      </c>
      <c r="AG584" s="34" t="s">
        <v>4471</v>
      </c>
      <c r="AH584" s="34" t="s">
        <v>5418</v>
      </c>
      <c r="AI584" s="34" t="s">
        <v>5419</v>
      </c>
      <c r="AJ584" s="34" t="s">
        <v>4505</v>
      </c>
      <c r="AK584" s="34" t="s">
        <v>4181</v>
      </c>
      <c r="AL584" s="34" t="s">
        <v>4321</v>
      </c>
      <c r="AM584" s="40" t="s">
        <v>8095</v>
      </c>
      <c r="AT584" s="44">
        <v>0</v>
      </c>
      <c r="AU584" s="44"/>
      <c r="AV584" s="46">
        <f>ROUND(Товары[[#This Row],[РРЦ финальная, руб.]]/$AU$1,2)</f>
        <v>0</v>
      </c>
      <c r="AW584" s="45" t="str">
        <f>IFERROR(Товары[[#This Row],[РРЦ, евро]]/Товары[[#This Row],[IRP, Eur]],"-")</f>
        <v>-</v>
      </c>
      <c r="AX584" s="42">
        <f>IFERROR(VLOOKUP(Товары[[#This Row],[SubGroup]],'Структура цен DIY'!$B:$C,2,FALSE),0)</f>
        <v>0</v>
      </c>
      <c r="AY584" s="44">
        <v>0</v>
      </c>
    </row>
    <row r="585" spans="1:51" x14ac:dyDescent="0.25">
      <c r="A585" s="34">
        <v>583</v>
      </c>
      <c r="B585" s="34" t="s">
        <v>50</v>
      </c>
      <c r="C585" s="110" t="str">
        <f>IFERROR(INDEX(Структура_ассортимента[SuperCategory],MATCH(Товары[[#This Row],[SubGroup]],Структура_ассортимента[Subgroup],0)),"")</f>
        <v>H</v>
      </c>
      <c r="D585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85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85" s="110" t="str">
        <f>IFERROR(INDEX(Структура_ассортимента[Product group],MATCH(Товары[[#This Row],[SubGroup]],Структура_ассортимента[Subgroup],0)),"")</f>
        <v>HEC_P</v>
      </c>
      <c r="G585" s="110" t="str">
        <f>IFERROR(INDEX(Структура_ассортимента[Product group name ENG],MATCH(Товары[[#This Row],[SubGroup]],Структура_ассортимента[Subgroup],0)),"")</f>
        <v>Handheld, Battery, Chainsaws</v>
      </c>
      <c r="H585" s="110" t="str">
        <f>IFERROR(INDEX(Структура_ассортимента[Generic Name (long)3],MATCH(Товары[[#This Row],[SubGroup]],Структура_ассортимента[Subgroup],0)),"")</f>
        <v>Пилы аккумуляторные</v>
      </c>
      <c r="I585" s="36">
        <v>9345</v>
      </c>
      <c r="J585" s="36" t="str">
        <f>IFERROR(INDEX(Структура_ассортимента[Generic Name (long)],MATCH(Товары[[#This Row],[SubGroup]],Структура_ассортимента[Subgroup],0)),"")</f>
        <v>CHAINSAW, BATTERY</v>
      </c>
      <c r="L585" s="36">
        <v>967246501</v>
      </c>
      <c r="M585" s="35" t="s">
        <v>2269</v>
      </c>
      <c r="Q585" s="34" t="s">
        <v>3549</v>
      </c>
      <c r="R585" s="34" t="s">
        <v>3540</v>
      </c>
      <c r="S585" s="47">
        <v>41699</v>
      </c>
      <c r="T585" s="47">
        <v>0</v>
      </c>
      <c r="U585" s="47">
        <v>0</v>
      </c>
      <c r="V585" s="34">
        <v>4078500886604</v>
      </c>
      <c r="W585" s="34" t="s">
        <v>3550</v>
      </c>
      <c r="X585" s="34" t="s">
        <v>3551</v>
      </c>
      <c r="Y585" s="34" t="s">
        <v>3542</v>
      </c>
      <c r="Z585" s="34">
        <v>1</v>
      </c>
      <c r="AA585" s="34" t="s">
        <v>5420</v>
      </c>
      <c r="AB585" s="34" t="s">
        <v>5421</v>
      </c>
      <c r="AC585" s="34" t="s">
        <v>5422</v>
      </c>
      <c r="AD585" s="34" t="s">
        <v>5422</v>
      </c>
      <c r="AE585" s="34" t="s">
        <v>5088</v>
      </c>
      <c r="AF585" s="34" t="s">
        <v>3826</v>
      </c>
      <c r="AG585" s="34" t="s">
        <v>3611</v>
      </c>
      <c r="AH585" s="34" t="s">
        <v>5423</v>
      </c>
      <c r="AI585" s="34" t="s">
        <v>5424</v>
      </c>
      <c r="AJ585" s="34" t="s">
        <v>3611</v>
      </c>
      <c r="AK585" s="34" t="s">
        <v>4499</v>
      </c>
      <c r="AL585" s="34" t="s">
        <v>3842</v>
      </c>
      <c r="AM585" s="40" t="s">
        <v>8095</v>
      </c>
      <c r="AT585" s="44">
        <v>0</v>
      </c>
      <c r="AU585" s="44"/>
      <c r="AV585" s="46">
        <f>ROUND(Товары[[#This Row],[РРЦ финальная, руб.]]/$AU$1,2)</f>
        <v>0</v>
      </c>
      <c r="AW585" s="45" t="str">
        <f>IFERROR(Товары[[#This Row],[РРЦ, евро]]/Товары[[#This Row],[IRP, Eur]],"-")</f>
        <v>-</v>
      </c>
      <c r="AX585" s="42">
        <f>IFERROR(VLOOKUP(Товары[[#This Row],[SubGroup]],'Структура цен DIY'!$B:$C,2,FALSE),0)</f>
        <v>0.17999999999999994</v>
      </c>
      <c r="AY585" s="44">
        <v>0</v>
      </c>
    </row>
    <row r="586" spans="1:51" x14ac:dyDescent="0.25">
      <c r="A586" s="34">
        <v>584</v>
      </c>
      <c r="B586" s="34" t="s">
        <v>50</v>
      </c>
      <c r="C586" s="110" t="str">
        <f>IFERROR(INDEX(Структура_ассортимента[SuperCategory],MATCH(Товары[[#This Row],[SubGroup]],Структура_ассортимента[Subgroup],0)),"")</f>
        <v>H</v>
      </c>
      <c r="D586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86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86" s="110" t="str">
        <f>IFERROR(INDEX(Структура_ассортимента[Product group],MATCH(Товары[[#This Row],[SubGroup]],Структура_ассортимента[Subgroup],0)),"")</f>
        <v>HEC_P</v>
      </c>
      <c r="G586" s="110" t="str">
        <f>IFERROR(INDEX(Структура_ассортимента[Product group name ENG],MATCH(Товары[[#This Row],[SubGroup]],Структура_ассортимента[Subgroup],0)),"")</f>
        <v>Handheld, Battery, Chainsaws</v>
      </c>
      <c r="H586" s="110" t="str">
        <f>IFERROR(INDEX(Структура_ассортимента[Generic Name (long)3],MATCH(Товары[[#This Row],[SubGroup]],Структура_ассортимента[Subgroup],0)),"")</f>
        <v>Пилы аккумуляторные</v>
      </c>
      <c r="I586" s="36">
        <v>9345</v>
      </c>
      <c r="J586" s="36" t="str">
        <f>IFERROR(INDEX(Структура_ассортимента[Generic Name (long)],MATCH(Товары[[#This Row],[SubGroup]],Структура_ассортимента[Subgroup],0)),"")</f>
        <v>CHAINSAW, BATTERY</v>
      </c>
      <c r="L586" s="36">
        <v>967107901</v>
      </c>
      <c r="M586" s="35" t="s">
        <v>2270</v>
      </c>
      <c r="Q586" s="34" t="s">
        <v>3549</v>
      </c>
      <c r="R586" s="34" t="s">
        <v>3540</v>
      </c>
      <c r="S586" s="47">
        <v>42736</v>
      </c>
      <c r="T586" s="47">
        <v>0</v>
      </c>
      <c r="U586" s="47">
        <v>0</v>
      </c>
      <c r="V586" s="34">
        <v>4078500025539</v>
      </c>
      <c r="W586" s="34" t="s">
        <v>3546</v>
      </c>
      <c r="X586" s="34" t="s">
        <v>3551</v>
      </c>
      <c r="Y586" s="34" t="s">
        <v>3542</v>
      </c>
      <c r="Z586" s="34">
        <v>1</v>
      </c>
      <c r="AA586" s="34">
        <v>4680</v>
      </c>
      <c r="AB586" s="34" t="s">
        <v>5425</v>
      </c>
      <c r="AC586" s="34">
        <v>3375</v>
      </c>
      <c r="AD586" s="34" t="s">
        <v>5426</v>
      </c>
      <c r="AE586" s="34" t="s">
        <v>5088</v>
      </c>
      <c r="AF586" s="34" t="s">
        <v>3826</v>
      </c>
      <c r="AG586" s="34" t="s">
        <v>3611</v>
      </c>
      <c r="AH586" s="34" t="s">
        <v>5423</v>
      </c>
      <c r="AI586" s="34" t="s">
        <v>5424</v>
      </c>
      <c r="AJ586" s="34" t="s">
        <v>3611</v>
      </c>
      <c r="AK586" s="34" t="s">
        <v>4499</v>
      </c>
      <c r="AL586" s="34" t="s">
        <v>3842</v>
      </c>
      <c r="AM586" s="40" t="s">
        <v>8095</v>
      </c>
      <c r="AT586" s="44">
        <v>0</v>
      </c>
      <c r="AU586" s="44"/>
      <c r="AV586" s="46">
        <f>ROUND(Товары[[#This Row],[РРЦ финальная, руб.]]/$AU$1,2)</f>
        <v>0</v>
      </c>
      <c r="AW586" s="45" t="str">
        <f>IFERROR(Товары[[#This Row],[РРЦ, евро]]/Товары[[#This Row],[IRP, Eur]],"-")</f>
        <v>-</v>
      </c>
      <c r="AX586" s="42">
        <f>IFERROR(VLOOKUP(Товары[[#This Row],[SubGroup]],'Структура цен DIY'!$B:$C,2,FALSE),0)</f>
        <v>0.17999999999999994</v>
      </c>
      <c r="AY586" s="44">
        <v>0</v>
      </c>
    </row>
    <row r="587" spans="1:51" x14ac:dyDescent="0.25">
      <c r="A587" s="34">
        <v>585</v>
      </c>
      <c r="B587" s="34" t="s">
        <v>50</v>
      </c>
      <c r="C587" s="110" t="str">
        <f>IFERROR(INDEX(Структура_ассортимента[SuperCategory],MATCH(Товары[[#This Row],[SubGroup]],Структура_ассортимента[Subgroup],0)),"")</f>
        <v>H</v>
      </c>
      <c r="D587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87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87" s="110" t="str">
        <f>IFERROR(INDEX(Структура_ассортимента[Product group],MATCH(Товары[[#This Row],[SubGroup]],Структура_ассортимента[Subgroup],0)),"")</f>
        <v>HEC_P</v>
      </c>
      <c r="G587" s="110" t="str">
        <f>IFERROR(INDEX(Структура_ассортимента[Product group name ENG],MATCH(Товары[[#This Row],[SubGroup]],Структура_ассортимента[Subgroup],0)),"")</f>
        <v>Handheld, Battery, Chainsaws</v>
      </c>
      <c r="H587" s="110" t="str">
        <f>IFERROR(INDEX(Структура_ассортимента[Generic Name (long)3],MATCH(Товары[[#This Row],[SubGroup]],Структура_ассортимента[Subgroup],0)),"")</f>
        <v>Пилы аккумуляторные</v>
      </c>
      <c r="I587" s="36">
        <v>9345</v>
      </c>
      <c r="J587" s="36" t="str">
        <f>IFERROR(INDEX(Структура_ассортимента[Generic Name (long)],MATCH(Товары[[#This Row],[SubGroup]],Структура_ассортимента[Subgroup],0)),"")</f>
        <v>CHAINSAW, BATTERY</v>
      </c>
      <c r="L587" s="36">
        <v>967292901</v>
      </c>
      <c r="M587" s="35" t="s">
        <v>2271</v>
      </c>
      <c r="O587" s="35" t="s">
        <v>5427</v>
      </c>
      <c r="P587" s="37" t="s">
        <v>5428</v>
      </c>
      <c r="Q587" s="34" t="s">
        <v>3549</v>
      </c>
      <c r="R587" s="34" t="s">
        <v>3540</v>
      </c>
      <c r="S587" s="47">
        <v>41821</v>
      </c>
      <c r="T587" s="47">
        <v>0</v>
      </c>
      <c r="U587" s="47">
        <v>0</v>
      </c>
      <c r="V587" s="34">
        <v>4078500004862</v>
      </c>
      <c r="W587" s="34" t="s">
        <v>3550</v>
      </c>
      <c r="X587" s="34" t="s">
        <v>3551</v>
      </c>
      <c r="Y587" s="34" t="s">
        <v>3542</v>
      </c>
      <c r="Z587" s="34">
        <v>1</v>
      </c>
      <c r="AA587" s="34" t="s">
        <v>5429</v>
      </c>
      <c r="AB587" s="34" t="s">
        <v>5429</v>
      </c>
      <c r="AC587" s="34" t="s">
        <v>5430</v>
      </c>
      <c r="AD587" s="34" t="s">
        <v>5430</v>
      </c>
      <c r="AE587" s="34" t="s">
        <v>5431</v>
      </c>
      <c r="AF587" s="34" t="s">
        <v>4203</v>
      </c>
      <c r="AG587" s="34" t="s">
        <v>3911</v>
      </c>
      <c r="AH587" s="34" t="s">
        <v>5432</v>
      </c>
      <c r="AL587" s="34" t="s">
        <v>5433</v>
      </c>
      <c r="AM587" s="40" t="s">
        <v>9</v>
      </c>
      <c r="AP587" s="34">
        <v>0</v>
      </c>
      <c r="AQ587" s="34">
        <v>26190</v>
      </c>
      <c r="AR587" s="34">
        <v>17897</v>
      </c>
      <c r="AT587" s="44">
        <v>2028500</v>
      </c>
      <c r="AU587" s="44"/>
      <c r="AV587" s="46">
        <f>ROUND(Товары[[#This Row],[РРЦ финальная, руб.]]/$AU$1,2)</f>
        <v>0</v>
      </c>
      <c r="AW587" s="45" t="str">
        <f>IFERROR(Товары[[#This Row],[РРЦ, евро]]/Товары[[#This Row],[IRP, Eur]],"-")</f>
        <v>-</v>
      </c>
      <c r="AX587" s="42">
        <f>IFERROR(VLOOKUP(Товары[[#This Row],[SubGroup]],'Структура цен DIY'!$B:$C,2,FALSE),0)</f>
        <v>0.17999999999999994</v>
      </c>
      <c r="AY587" s="44">
        <v>0</v>
      </c>
    </row>
    <row r="588" spans="1:51" x14ac:dyDescent="0.25">
      <c r="A588" s="34">
        <v>586</v>
      </c>
      <c r="B588" s="34" t="s">
        <v>50</v>
      </c>
      <c r="C588" s="110" t="str">
        <f>IFERROR(INDEX(Структура_ассортимента[SuperCategory],MATCH(Товары[[#This Row],[SubGroup]],Структура_ассортимента[Subgroup],0)),"")</f>
        <v>H</v>
      </c>
      <c r="D588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88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88" s="110" t="str">
        <f>IFERROR(INDEX(Структура_ассортимента[Product group],MATCH(Товары[[#This Row],[SubGroup]],Структура_ассортимента[Subgroup],0)),"")</f>
        <v>HEH_C</v>
      </c>
      <c r="G588" s="110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588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588" s="36">
        <v>9341</v>
      </c>
      <c r="J588" s="36" t="str">
        <f>IFERROR(INDEX(Структура_ассортимента[Generic Name (long)],MATCH(Товары[[#This Row],[SubGroup]],Структура_ассортимента[Subgroup],0)),"")</f>
        <v>HEDGE TRIMMER, CORDED</v>
      </c>
      <c r="L588" s="36">
        <v>967608201</v>
      </c>
      <c r="M588" s="35" t="s">
        <v>2272</v>
      </c>
      <c r="O588" s="35" t="s">
        <v>5434</v>
      </c>
      <c r="P588" s="37" t="s">
        <v>5435</v>
      </c>
      <c r="Q588" s="34" t="s">
        <v>3549</v>
      </c>
      <c r="R588" s="34" t="s">
        <v>3540</v>
      </c>
      <c r="S588" s="47">
        <v>42401</v>
      </c>
      <c r="T588" s="47">
        <v>0</v>
      </c>
      <c r="U588" s="47">
        <v>0</v>
      </c>
      <c r="V588" s="34">
        <v>4078500016568</v>
      </c>
      <c r="W588" s="34" t="s">
        <v>3546</v>
      </c>
      <c r="X588" s="34" t="s">
        <v>3551</v>
      </c>
      <c r="Y588" s="34" t="s">
        <v>3542</v>
      </c>
      <c r="Z588" s="34">
        <v>1</v>
      </c>
      <c r="AA588" s="34" t="s">
        <v>5436</v>
      </c>
      <c r="AB588" s="34" t="s">
        <v>5437</v>
      </c>
      <c r="AC588" s="34" t="s">
        <v>5438</v>
      </c>
      <c r="AD588" s="34" t="s">
        <v>5438</v>
      </c>
      <c r="AE588" s="34" t="s">
        <v>5439</v>
      </c>
      <c r="AF588" s="34" t="s">
        <v>3826</v>
      </c>
      <c r="AG588" s="34" t="s">
        <v>3698</v>
      </c>
      <c r="AH588" s="34" t="s">
        <v>5440</v>
      </c>
      <c r="AI588" s="34" t="s">
        <v>5441</v>
      </c>
      <c r="AJ588" s="34" t="s">
        <v>3989</v>
      </c>
      <c r="AK588" s="34" t="s">
        <v>4652</v>
      </c>
      <c r="AL588" s="34" t="s">
        <v>5442</v>
      </c>
      <c r="AM588" s="40" t="s">
        <v>9</v>
      </c>
      <c r="AP588" s="34">
        <v>0</v>
      </c>
      <c r="AQ588" s="34">
        <v>7890</v>
      </c>
      <c r="AR588" s="34">
        <v>5392</v>
      </c>
      <c r="AT588" s="44">
        <v>611100</v>
      </c>
      <c r="AU588" s="44"/>
      <c r="AV588" s="46">
        <f>ROUND(Товары[[#This Row],[РРЦ финальная, руб.]]/$AU$1,2)</f>
        <v>0</v>
      </c>
      <c r="AW588" s="45" t="str">
        <f>IFERROR(Товары[[#This Row],[РРЦ, евро]]/Товары[[#This Row],[IRP, Eur]],"-")</f>
        <v>-</v>
      </c>
      <c r="AX588" s="42">
        <f>IFERROR(VLOOKUP(Товары[[#This Row],[SubGroup]],'Структура цен DIY'!$B:$C,2,FALSE),0)</f>
        <v>0.17999999999999994</v>
      </c>
      <c r="AY588" s="44">
        <v>0</v>
      </c>
    </row>
    <row r="589" spans="1:51" x14ac:dyDescent="0.25">
      <c r="A589" s="34">
        <v>587</v>
      </c>
      <c r="B589" s="34" t="s">
        <v>50</v>
      </c>
      <c r="C589" s="110" t="str">
        <f>IFERROR(INDEX(Структура_ассортимента[SuperCategory],MATCH(Товары[[#This Row],[SubGroup]],Структура_ассортимента[Subgroup],0)),"")</f>
        <v>H</v>
      </c>
      <c r="D589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89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89" s="110" t="str">
        <f>IFERROR(INDEX(Структура_ассортимента[Product group],MATCH(Товары[[#This Row],[SubGroup]],Структура_ассортимента[Subgroup],0)),"")</f>
        <v>HEH_C</v>
      </c>
      <c r="G589" s="110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589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589" s="36">
        <v>9341</v>
      </c>
      <c r="J589" s="36" t="str">
        <f>IFERROR(INDEX(Структура_ассортимента[Generic Name (long)],MATCH(Товары[[#This Row],[SubGroup]],Структура_ассортимента[Subgroup],0)),"")</f>
        <v>HEDGE TRIMMER, CORDED</v>
      </c>
      <c r="L589" s="36">
        <v>967608301</v>
      </c>
      <c r="M589" s="35" t="s">
        <v>2273</v>
      </c>
      <c r="O589" s="35" t="s">
        <v>5443</v>
      </c>
      <c r="P589" s="37" t="s">
        <v>5444</v>
      </c>
      <c r="Q589" s="34" t="s">
        <v>3549</v>
      </c>
      <c r="R589" s="34" t="s">
        <v>3540</v>
      </c>
      <c r="S589" s="47">
        <v>42401</v>
      </c>
      <c r="T589" s="47">
        <v>0</v>
      </c>
      <c r="U589" s="47">
        <v>0</v>
      </c>
      <c r="V589" s="34">
        <v>4078500016575</v>
      </c>
      <c r="W589" s="34" t="s">
        <v>3546</v>
      </c>
      <c r="X589" s="34" t="s">
        <v>3551</v>
      </c>
      <c r="Y589" s="34" t="s">
        <v>3542</v>
      </c>
      <c r="Z589" s="34">
        <v>1</v>
      </c>
      <c r="AA589" s="34" t="s">
        <v>5445</v>
      </c>
      <c r="AB589" s="34" t="s">
        <v>5446</v>
      </c>
      <c r="AC589" s="34" t="s">
        <v>5447</v>
      </c>
      <c r="AD589" s="34" t="s">
        <v>5447</v>
      </c>
      <c r="AE589" s="34" t="s">
        <v>5448</v>
      </c>
      <c r="AF589" s="34" t="s">
        <v>3826</v>
      </c>
      <c r="AG589" s="34" t="s">
        <v>3698</v>
      </c>
      <c r="AH589" s="34" t="s">
        <v>5449</v>
      </c>
      <c r="AL589" s="34" t="s">
        <v>5442</v>
      </c>
      <c r="AM589" s="40" t="s">
        <v>9</v>
      </c>
      <c r="AP589" s="34">
        <v>0</v>
      </c>
      <c r="AQ589" s="34">
        <v>9090</v>
      </c>
      <c r="AR589" s="34">
        <v>6212</v>
      </c>
      <c r="AT589" s="44">
        <v>704100</v>
      </c>
      <c r="AU589" s="44"/>
      <c r="AV589" s="46">
        <f>ROUND(Товары[[#This Row],[РРЦ финальная, руб.]]/$AU$1,2)</f>
        <v>0</v>
      </c>
      <c r="AW589" s="45" t="str">
        <f>IFERROR(Товары[[#This Row],[РРЦ, евро]]/Товары[[#This Row],[IRP, Eur]],"-")</f>
        <v>-</v>
      </c>
      <c r="AX589" s="42">
        <f>IFERROR(VLOOKUP(Товары[[#This Row],[SubGroup]],'Структура цен DIY'!$B:$C,2,FALSE),0)</f>
        <v>0.17999999999999994</v>
      </c>
      <c r="AY589" s="44">
        <v>0</v>
      </c>
    </row>
    <row r="590" spans="1:51" x14ac:dyDescent="0.25">
      <c r="A590" s="34">
        <v>588</v>
      </c>
      <c r="B590" s="34" t="s">
        <v>50</v>
      </c>
      <c r="C590" s="110" t="str">
        <f>IFERROR(INDEX(Структура_ассортимента[SuperCategory],MATCH(Товары[[#This Row],[SubGroup]],Структура_ассортимента[Subgroup],0)),"")</f>
        <v>H</v>
      </c>
      <c r="D590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90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90" s="110" t="str">
        <f>IFERROR(INDEX(Структура_ассортимента[Product group],MATCH(Товары[[#This Row],[SubGroup]],Структура_ассортимента[Subgroup],0)),"")</f>
        <v>HEH_C</v>
      </c>
      <c r="G590" s="110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590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590" s="36">
        <v>9341</v>
      </c>
      <c r="J590" s="36" t="str">
        <f>IFERROR(INDEX(Структура_ассортимента[Generic Name (long)],MATCH(Товары[[#This Row],[SubGroup]],Структура_ассортимента[Subgroup],0)),"")</f>
        <v>HEDGE TRIMMER, CORDED</v>
      </c>
      <c r="L590" s="36">
        <v>967108001</v>
      </c>
      <c r="M590" s="35" t="s">
        <v>2274</v>
      </c>
      <c r="Q590" s="34" t="s">
        <v>3549</v>
      </c>
      <c r="R590" s="34" t="s">
        <v>3540</v>
      </c>
      <c r="S590" s="47">
        <v>42736</v>
      </c>
      <c r="T590" s="47">
        <v>0</v>
      </c>
      <c r="U590" s="47">
        <v>0</v>
      </c>
      <c r="V590" s="34">
        <v>4078500025331</v>
      </c>
      <c r="W590" s="34" t="s">
        <v>3543</v>
      </c>
      <c r="X590" s="34" t="s">
        <v>3579</v>
      </c>
      <c r="Y590" s="34" t="s">
        <v>3542</v>
      </c>
      <c r="Z590" s="34">
        <v>8</v>
      </c>
      <c r="AA590" s="34">
        <v>3730</v>
      </c>
      <c r="AB590" s="34" t="s">
        <v>5446</v>
      </c>
      <c r="AC590" s="34">
        <v>2700</v>
      </c>
      <c r="AD590" s="34" t="s">
        <v>5447</v>
      </c>
      <c r="AE590" s="34" t="s">
        <v>3955</v>
      </c>
      <c r="AF590" s="34" t="s">
        <v>3698</v>
      </c>
      <c r="AG590" s="34" t="s">
        <v>4859</v>
      </c>
      <c r="AH590" s="34" t="s">
        <v>5450</v>
      </c>
      <c r="AL590" s="34" t="s">
        <v>4321</v>
      </c>
      <c r="AM590" s="40" t="s">
        <v>8095</v>
      </c>
      <c r="AT590" s="44">
        <v>0</v>
      </c>
      <c r="AU590" s="44"/>
      <c r="AV590" s="46">
        <f>ROUND(Товары[[#This Row],[РРЦ финальная, руб.]]/$AU$1,2)</f>
        <v>0</v>
      </c>
      <c r="AW590" s="45" t="str">
        <f>IFERROR(Товары[[#This Row],[РРЦ, евро]]/Товары[[#This Row],[IRP, Eur]],"-")</f>
        <v>-</v>
      </c>
      <c r="AX590" s="42">
        <f>IFERROR(VLOOKUP(Товары[[#This Row],[SubGroup]],'Структура цен DIY'!$B:$C,2,FALSE),0)</f>
        <v>0.17999999999999994</v>
      </c>
      <c r="AY590" s="44">
        <v>0</v>
      </c>
    </row>
    <row r="591" spans="1:51" x14ac:dyDescent="0.25">
      <c r="A591" s="34">
        <v>589</v>
      </c>
      <c r="B591" s="34" t="s">
        <v>50</v>
      </c>
      <c r="C591" s="110" t="str">
        <f>IFERROR(INDEX(Структура_ассортимента[SuperCategory],MATCH(Товары[[#This Row],[SubGroup]],Структура_ассортимента[Subgroup],0)),"")</f>
        <v>H</v>
      </c>
      <c r="D591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91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91" s="110" t="str">
        <f>IFERROR(INDEX(Структура_ассортимента[Product group],MATCH(Товары[[#This Row],[SubGroup]],Структура_ассортимента[Subgroup],0)),"")</f>
        <v>HEH_C</v>
      </c>
      <c r="G591" s="110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591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591" s="36">
        <v>9341</v>
      </c>
      <c r="J591" s="36" t="str">
        <f>IFERROR(INDEX(Структура_ассортимента[Generic Name (long)],MATCH(Товары[[#This Row],[SubGroup]],Структура_ассортимента[Subgroup],0)),"")</f>
        <v>HEDGE TRIMMER, CORDED</v>
      </c>
      <c r="L591" s="36">
        <v>967691201</v>
      </c>
      <c r="M591" s="35" t="s">
        <v>2275</v>
      </c>
      <c r="O591" s="35" t="s">
        <v>5451</v>
      </c>
      <c r="P591" s="37" t="s">
        <v>5452</v>
      </c>
      <c r="Q591" s="34" t="s">
        <v>3549</v>
      </c>
      <c r="R591" s="34" t="s">
        <v>3540</v>
      </c>
      <c r="S591" s="47">
        <v>43040</v>
      </c>
      <c r="T591" s="47">
        <v>0</v>
      </c>
      <c r="U591" s="47">
        <v>0</v>
      </c>
      <c r="V591" s="34">
        <v>4078500034777</v>
      </c>
      <c r="W591" s="34" t="s">
        <v>3543</v>
      </c>
      <c r="X591" s="34" t="s">
        <v>3551</v>
      </c>
      <c r="Y591" s="34" t="s">
        <v>3542</v>
      </c>
      <c r="Z591" s="34">
        <v>8</v>
      </c>
      <c r="AA591" s="34">
        <v>8</v>
      </c>
      <c r="AB591" s="34" t="s">
        <v>5446</v>
      </c>
      <c r="AD591" s="34" t="s">
        <v>5447</v>
      </c>
      <c r="AE591" s="34" t="s">
        <v>3955</v>
      </c>
      <c r="AF591" s="34" t="s">
        <v>3698</v>
      </c>
      <c r="AG591" s="34" t="s">
        <v>4859</v>
      </c>
      <c r="AH591" s="34" t="s">
        <v>5450</v>
      </c>
      <c r="AL591" s="34" t="s">
        <v>4321</v>
      </c>
      <c r="AM591" s="40" t="s">
        <v>9</v>
      </c>
      <c r="AP591" s="34">
        <v>0</v>
      </c>
      <c r="AQ591" s="34">
        <v>8390</v>
      </c>
      <c r="AR591" s="34">
        <v>5733</v>
      </c>
      <c r="AT591" s="44">
        <v>649800</v>
      </c>
      <c r="AU591" s="44"/>
      <c r="AV591" s="46">
        <f>ROUND(Товары[[#This Row],[РРЦ финальная, руб.]]/$AU$1,2)</f>
        <v>0</v>
      </c>
      <c r="AW591" s="45" t="str">
        <f>IFERROR(Товары[[#This Row],[РРЦ, евро]]/Товары[[#This Row],[IRP, Eur]],"-")</f>
        <v>-</v>
      </c>
      <c r="AX591" s="42">
        <f>IFERROR(VLOOKUP(Товары[[#This Row],[SubGroup]],'Структура цен DIY'!$B:$C,2,FALSE),0)</f>
        <v>0.17999999999999994</v>
      </c>
      <c r="AY591" s="44">
        <v>0</v>
      </c>
    </row>
    <row r="592" spans="1:51" x14ac:dyDescent="0.25">
      <c r="A592" s="34">
        <v>590</v>
      </c>
      <c r="B592" s="34" t="s">
        <v>50</v>
      </c>
      <c r="C592" s="110" t="str">
        <f>IFERROR(INDEX(Структура_ассортимента[SuperCategory],MATCH(Товары[[#This Row],[SubGroup]],Структура_ассортимента[Subgroup],0)),"")</f>
        <v>H</v>
      </c>
      <c r="D592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92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92" s="110" t="str">
        <f>IFERROR(INDEX(Структура_ассортимента[Product group],MATCH(Товары[[#This Row],[SubGroup]],Структура_ассортимента[Subgroup],0)),"")</f>
        <v>HEH_C</v>
      </c>
      <c r="G592" s="110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592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592" s="36">
        <v>9341</v>
      </c>
      <c r="J592" s="36" t="str">
        <f>IFERROR(INDEX(Структура_ассортимента[Generic Name (long)],MATCH(Товары[[#This Row],[SubGroup]],Структура_ассортимента[Subgroup],0)),"")</f>
        <v>HEDGE TRIMMER, CORDED</v>
      </c>
      <c r="L592" s="36">
        <v>967608401</v>
      </c>
      <c r="M592" s="35" t="s">
        <v>2276</v>
      </c>
      <c r="O592" s="35" t="s">
        <v>5453</v>
      </c>
      <c r="P592" s="37" t="s">
        <v>5454</v>
      </c>
      <c r="Q592" s="34" t="s">
        <v>3549</v>
      </c>
      <c r="R592" s="34" t="s">
        <v>3540</v>
      </c>
      <c r="S592" s="47">
        <v>42401</v>
      </c>
      <c r="T592" s="47">
        <v>0</v>
      </c>
      <c r="U592" s="47">
        <v>0</v>
      </c>
      <c r="V592" s="34">
        <v>4078500016582</v>
      </c>
      <c r="W592" s="34" t="s">
        <v>3546</v>
      </c>
      <c r="X592" s="34" t="s">
        <v>3551</v>
      </c>
      <c r="Y592" s="34" t="s">
        <v>3542</v>
      </c>
      <c r="Z592" s="34">
        <v>1</v>
      </c>
      <c r="AA592" s="34" t="s">
        <v>5445</v>
      </c>
      <c r="AB592" s="34" t="s">
        <v>5455</v>
      </c>
      <c r="AC592" s="34" t="s">
        <v>5447</v>
      </c>
      <c r="AD592" s="34" t="s">
        <v>5447</v>
      </c>
      <c r="AE592" s="34" t="s">
        <v>5456</v>
      </c>
      <c r="AF592" s="34" t="s">
        <v>3698</v>
      </c>
      <c r="AG592" s="34" t="s">
        <v>3826</v>
      </c>
      <c r="AH592" s="34" t="s">
        <v>5457</v>
      </c>
      <c r="AL592" s="34" t="s">
        <v>5442</v>
      </c>
      <c r="AM592" s="40" t="s">
        <v>9</v>
      </c>
      <c r="AP592" s="34">
        <v>0</v>
      </c>
      <c r="AQ592" s="34">
        <v>14190</v>
      </c>
      <c r="AR592" s="34">
        <v>9697</v>
      </c>
      <c r="AT592" s="44">
        <v>1099100</v>
      </c>
      <c r="AU592" s="44"/>
      <c r="AV592" s="46">
        <f>ROUND(Товары[[#This Row],[РРЦ финальная, руб.]]/$AU$1,2)</f>
        <v>0</v>
      </c>
      <c r="AW592" s="45" t="str">
        <f>IFERROR(Товары[[#This Row],[РРЦ, евро]]/Товары[[#This Row],[IRP, Eur]],"-")</f>
        <v>-</v>
      </c>
      <c r="AX592" s="42">
        <f>IFERROR(VLOOKUP(Товары[[#This Row],[SubGroup]],'Структура цен DIY'!$B:$C,2,FALSE),0)</f>
        <v>0.17999999999999994</v>
      </c>
      <c r="AY592" s="44">
        <v>0</v>
      </c>
    </row>
    <row r="593" spans="1:51" x14ac:dyDescent="0.25">
      <c r="A593" s="34">
        <v>591</v>
      </c>
      <c r="B593" s="34" t="s">
        <v>50</v>
      </c>
      <c r="C593" s="110" t="str">
        <f>IFERROR(INDEX(Структура_ассортимента[SuperCategory],MATCH(Товары[[#This Row],[SubGroup]],Структура_ассортимента[Subgroup],0)),"")</f>
        <v>H</v>
      </c>
      <c r="D593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93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93" s="110" t="str">
        <f>IFERROR(INDEX(Структура_ассортимента[Product group],MATCH(Товары[[#This Row],[SubGroup]],Структура_ассортимента[Subgroup],0)),"")</f>
        <v>HEH_C</v>
      </c>
      <c r="G593" s="110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593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593" s="36">
        <v>9341</v>
      </c>
      <c r="J593" s="36" t="str">
        <f>IFERROR(INDEX(Структура_ассортимента[Generic Name (long)],MATCH(Товары[[#This Row],[SubGroup]],Структура_ассортимента[Subgroup],0)),"")</f>
        <v>HEDGE TRIMMER, CORDED</v>
      </c>
      <c r="L593" s="36">
        <v>967079501</v>
      </c>
      <c r="M593" s="35" t="s">
        <v>2277</v>
      </c>
      <c r="Q593" s="34" t="s">
        <v>3549</v>
      </c>
      <c r="R593" s="34" t="s">
        <v>3540</v>
      </c>
      <c r="S593" s="47">
        <v>42767</v>
      </c>
      <c r="T593" s="47">
        <v>0</v>
      </c>
      <c r="U593" s="47">
        <v>0</v>
      </c>
      <c r="V593" s="34">
        <v>4078500022798</v>
      </c>
      <c r="W593" s="34" t="s">
        <v>3546</v>
      </c>
      <c r="X593" s="34" t="s">
        <v>3551</v>
      </c>
      <c r="Y593" s="34" t="s">
        <v>3542</v>
      </c>
      <c r="Z593" s="34">
        <v>1</v>
      </c>
      <c r="AA593" s="34">
        <v>4000</v>
      </c>
      <c r="AB593" s="34" t="s">
        <v>5458</v>
      </c>
      <c r="AC593" s="34">
        <v>2800</v>
      </c>
      <c r="AD593" s="34" t="s">
        <v>5335</v>
      </c>
      <c r="AE593" s="34" t="s">
        <v>5459</v>
      </c>
      <c r="AF593" s="34" t="s">
        <v>4486</v>
      </c>
      <c r="AG593" s="34" t="s">
        <v>3828</v>
      </c>
      <c r="AH593" s="34" t="s">
        <v>5460</v>
      </c>
      <c r="AI593" s="34" t="s">
        <v>5461</v>
      </c>
      <c r="AJ593" s="34" t="s">
        <v>4205</v>
      </c>
      <c r="AK593" s="34" t="s">
        <v>3825</v>
      </c>
      <c r="AL593" s="34" t="s">
        <v>4609</v>
      </c>
      <c r="AM593" s="40" t="s">
        <v>8095</v>
      </c>
      <c r="AT593" s="44">
        <v>0</v>
      </c>
      <c r="AU593" s="44"/>
      <c r="AV593" s="46">
        <f>ROUND(Товары[[#This Row],[РРЦ финальная, руб.]]/$AU$1,2)</f>
        <v>0</v>
      </c>
      <c r="AW593" s="45" t="str">
        <f>IFERROR(Товары[[#This Row],[РРЦ, евро]]/Товары[[#This Row],[IRP, Eur]],"-")</f>
        <v>-</v>
      </c>
      <c r="AX593" s="42">
        <f>IFERROR(VLOOKUP(Товары[[#This Row],[SubGroup]],'Структура цен DIY'!$B:$C,2,FALSE),0)</f>
        <v>0.17999999999999994</v>
      </c>
      <c r="AY593" s="44">
        <v>0</v>
      </c>
    </row>
    <row r="594" spans="1:51" x14ac:dyDescent="0.25">
      <c r="A594" s="34">
        <v>592</v>
      </c>
      <c r="B594" s="34" t="s">
        <v>50</v>
      </c>
      <c r="C594" s="110" t="str">
        <f>IFERROR(INDEX(Структура_ассортимента[SuperCategory],MATCH(Товары[[#This Row],[SubGroup]],Структура_ассортимента[Subgroup],0)),"")</f>
        <v>H</v>
      </c>
      <c r="D594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94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94" s="110" t="str">
        <f>IFERROR(INDEX(Структура_ассортимента[Product group],MATCH(Товары[[#This Row],[SubGroup]],Структура_ассортимента[Subgroup],0)),"")</f>
        <v>HEH_C</v>
      </c>
      <c r="G594" s="110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594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594" s="36">
        <v>9341</v>
      </c>
      <c r="J594" s="36" t="str">
        <f>IFERROR(INDEX(Структура_ассортимента[Generic Name (long)],MATCH(Товары[[#This Row],[SubGroup]],Структура_ассортимента[Subgroup],0)),"")</f>
        <v>HEDGE TRIMMER, CORDED</v>
      </c>
      <c r="L594" s="36">
        <v>967602701</v>
      </c>
      <c r="M594" s="35" t="s">
        <v>2278</v>
      </c>
      <c r="Q594" s="34" t="s">
        <v>3549</v>
      </c>
      <c r="R594" s="34" t="s">
        <v>3540</v>
      </c>
      <c r="S594" s="47">
        <v>42399</v>
      </c>
      <c r="T594" s="47">
        <v>0</v>
      </c>
      <c r="U594" s="47">
        <v>0</v>
      </c>
      <c r="V594" s="34">
        <v>4078500016490</v>
      </c>
      <c r="W594" s="34" t="s">
        <v>3546</v>
      </c>
      <c r="X594" s="34" t="s">
        <v>3551</v>
      </c>
      <c r="Y594" s="34" t="s">
        <v>3542</v>
      </c>
      <c r="Z594" s="34">
        <v>1</v>
      </c>
      <c r="AA594" s="34" t="s">
        <v>5462</v>
      </c>
      <c r="AB594" s="34" t="s">
        <v>5462</v>
      </c>
      <c r="AC594" s="34" t="s">
        <v>5463</v>
      </c>
      <c r="AD594" s="34" t="s">
        <v>5463</v>
      </c>
      <c r="AE594" s="34" t="s">
        <v>5464</v>
      </c>
      <c r="AF594" s="34" t="s">
        <v>3920</v>
      </c>
      <c r="AG594" s="34" t="s">
        <v>5465</v>
      </c>
      <c r="AH594" s="34" t="s">
        <v>5466</v>
      </c>
      <c r="AI594" s="34" t="s">
        <v>5467</v>
      </c>
      <c r="AJ594" s="34" t="s">
        <v>3765</v>
      </c>
      <c r="AK594" s="34" t="s">
        <v>3616</v>
      </c>
      <c r="AL594" s="34" t="s">
        <v>4609</v>
      </c>
      <c r="AM594" s="40" t="s">
        <v>8095</v>
      </c>
      <c r="AT594" s="44">
        <v>0</v>
      </c>
      <c r="AU594" s="44"/>
      <c r="AV594" s="46">
        <f>ROUND(Товары[[#This Row],[РРЦ финальная, руб.]]/$AU$1,2)</f>
        <v>0</v>
      </c>
      <c r="AW594" s="45" t="str">
        <f>IFERROR(Товары[[#This Row],[РРЦ, евро]]/Товары[[#This Row],[IRP, Eur]],"-")</f>
        <v>-</v>
      </c>
      <c r="AX594" s="42">
        <f>IFERROR(VLOOKUP(Товары[[#This Row],[SubGroup]],'Структура цен DIY'!$B:$C,2,FALSE),0)</f>
        <v>0.17999999999999994</v>
      </c>
      <c r="AY594" s="44">
        <v>0</v>
      </c>
    </row>
    <row r="595" spans="1:51" x14ac:dyDescent="0.25">
      <c r="A595" s="34">
        <v>593</v>
      </c>
      <c r="B595" s="34" t="s">
        <v>50</v>
      </c>
      <c r="C595" s="110" t="str">
        <f>IFERROR(INDEX(Структура_ассортимента[SuperCategory],MATCH(Товары[[#This Row],[SubGroup]],Структура_ассортимента[Subgroup],0)),"")</f>
        <v>H</v>
      </c>
      <c r="D595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95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95" s="110" t="str">
        <f>IFERROR(INDEX(Структура_ассортимента[Product group],MATCH(Товары[[#This Row],[SubGroup]],Структура_ассортимента[Subgroup],0)),"")</f>
        <v>HEH_C</v>
      </c>
      <c r="G595" s="110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595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595" s="36">
        <v>9341</v>
      </c>
      <c r="J595" s="36" t="str">
        <f>IFERROR(INDEX(Структура_ассортимента[Generic Name (long)],MATCH(Товары[[#This Row],[SubGroup]],Структура_ассортимента[Subgroup],0)),"")</f>
        <v>HEDGE TRIMMER, CORDED</v>
      </c>
      <c r="L595" s="36">
        <v>967079301</v>
      </c>
      <c r="M595" s="35" t="s">
        <v>2279</v>
      </c>
      <c r="O595" s="35" t="s">
        <v>5468</v>
      </c>
      <c r="P595" s="37" t="s">
        <v>5469</v>
      </c>
      <c r="Q595" s="34" t="s">
        <v>3549</v>
      </c>
      <c r="R595" s="34" t="s">
        <v>3540</v>
      </c>
      <c r="S595" s="47">
        <v>42767</v>
      </c>
      <c r="T595" s="47">
        <v>0</v>
      </c>
      <c r="U595" s="47">
        <v>0</v>
      </c>
      <c r="V595" s="34">
        <v>4078500022774</v>
      </c>
      <c r="W595" s="34" t="s">
        <v>3546</v>
      </c>
      <c r="X595" s="34" t="s">
        <v>3551</v>
      </c>
      <c r="Y595" s="34" t="s">
        <v>3542</v>
      </c>
      <c r="Z595" s="34">
        <v>1</v>
      </c>
      <c r="AA595" s="34">
        <v>3800</v>
      </c>
      <c r="AB595" s="34" t="s">
        <v>5470</v>
      </c>
      <c r="AC595" s="34">
        <v>2600</v>
      </c>
      <c r="AD595" s="34" t="s">
        <v>5438</v>
      </c>
      <c r="AE595" s="34" t="s">
        <v>5471</v>
      </c>
      <c r="AF595" s="34" t="s">
        <v>4384</v>
      </c>
      <c r="AG595" s="34" t="s">
        <v>3828</v>
      </c>
      <c r="AH595" s="34" t="s">
        <v>5472</v>
      </c>
      <c r="AI595" s="34" t="s">
        <v>5237</v>
      </c>
      <c r="AJ595" s="34" t="s">
        <v>4205</v>
      </c>
      <c r="AK595" s="34" t="s">
        <v>3825</v>
      </c>
      <c r="AL595" s="34" t="s">
        <v>5473</v>
      </c>
      <c r="AM595" s="40" t="s">
        <v>9</v>
      </c>
      <c r="AP595" s="34">
        <v>0</v>
      </c>
      <c r="AQ595" s="34">
        <v>14090</v>
      </c>
      <c r="AR595" s="34">
        <v>9628</v>
      </c>
      <c r="AT595" s="44">
        <v>1091300</v>
      </c>
      <c r="AU595" s="44"/>
      <c r="AV595" s="46">
        <f>ROUND(Товары[[#This Row],[РРЦ финальная, руб.]]/$AU$1,2)</f>
        <v>0</v>
      </c>
      <c r="AW595" s="45" t="str">
        <f>IFERROR(Товары[[#This Row],[РРЦ, евро]]/Товары[[#This Row],[IRP, Eur]],"-")</f>
        <v>-</v>
      </c>
      <c r="AX595" s="42">
        <f>IFERROR(VLOOKUP(Товары[[#This Row],[SubGroup]],'Структура цен DIY'!$B:$C,2,FALSE),0)</f>
        <v>0.17999999999999994</v>
      </c>
      <c r="AY595" s="44">
        <v>0</v>
      </c>
    </row>
    <row r="596" spans="1:51" x14ac:dyDescent="0.25">
      <c r="A596" s="34">
        <v>594</v>
      </c>
      <c r="B596" s="34" t="s">
        <v>50</v>
      </c>
      <c r="C596" s="110" t="str">
        <f>IFERROR(INDEX(Структура_ассортимента[SuperCategory],MATCH(Товары[[#This Row],[SubGroup]],Структура_ассортимента[Subgroup],0)),"")</f>
        <v>H</v>
      </c>
      <c r="D596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96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96" s="110" t="str">
        <f>IFERROR(INDEX(Структура_ассортимента[Product group],MATCH(Товары[[#This Row],[SubGroup]],Структура_ассортимента[Subgroup],0)),"")</f>
        <v>HEH_C</v>
      </c>
      <c r="G596" s="110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596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596" s="36">
        <v>9341</v>
      </c>
      <c r="J596" s="36" t="str">
        <f>IFERROR(INDEX(Структура_ассортимента[Generic Name (long)],MATCH(Товары[[#This Row],[SubGroup]],Структура_ассортимента[Subgroup],0)),"")</f>
        <v>HEDGE TRIMMER, CORDED</v>
      </c>
      <c r="L596" s="36">
        <v>967079401</v>
      </c>
      <c r="M596" s="35" t="s">
        <v>2280</v>
      </c>
      <c r="O596" s="35" t="s">
        <v>5474</v>
      </c>
      <c r="P596" s="37" t="s">
        <v>5475</v>
      </c>
      <c r="Q596" s="34" t="s">
        <v>3549</v>
      </c>
      <c r="R596" s="34" t="s">
        <v>3540</v>
      </c>
      <c r="S596" s="47">
        <v>42767</v>
      </c>
      <c r="T596" s="47">
        <v>0</v>
      </c>
      <c r="U596" s="47">
        <v>0</v>
      </c>
      <c r="V596" s="34">
        <v>4078500022781</v>
      </c>
      <c r="W596" s="34" t="s">
        <v>3546</v>
      </c>
      <c r="X596" s="34" t="s">
        <v>3551</v>
      </c>
      <c r="Y596" s="34" t="s">
        <v>3542</v>
      </c>
      <c r="Z596" s="34">
        <v>1</v>
      </c>
      <c r="AA596" s="34">
        <v>3900</v>
      </c>
      <c r="AB596" s="34" t="s">
        <v>5415</v>
      </c>
      <c r="AC596" s="34">
        <v>2700</v>
      </c>
      <c r="AD596" s="34" t="s">
        <v>5422</v>
      </c>
      <c r="AE596" s="34" t="s">
        <v>5476</v>
      </c>
      <c r="AF596" s="34" t="s">
        <v>4384</v>
      </c>
      <c r="AG596" s="34" t="s">
        <v>3828</v>
      </c>
      <c r="AH596" s="34" t="s">
        <v>5477</v>
      </c>
      <c r="AI596" s="34" t="s">
        <v>5478</v>
      </c>
      <c r="AJ596" s="34" t="s">
        <v>4205</v>
      </c>
      <c r="AK596" s="34" t="s">
        <v>3825</v>
      </c>
      <c r="AL596" s="34" t="s">
        <v>5473</v>
      </c>
      <c r="AM596" s="40" t="s">
        <v>9</v>
      </c>
      <c r="AP596" s="34">
        <v>0</v>
      </c>
      <c r="AQ596" s="34">
        <v>15390</v>
      </c>
      <c r="AR596" s="34">
        <v>10517</v>
      </c>
      <c r="AT596" s="44">
        <v>1192000</v>
      </c>
      <c r="AU596" s="44"/>
      <c r="AV596" s="46">
        <f>ROUND(Товары[[#This Row],[РРЦ финальная, руб.]]/$AU$1,2)</f>
        <v>0</v>
      </c>
      <c r="AW596" s="45" t="str">
        <f>IFERROR(Товары[[#This Row],[РРЦ, евро]]/Товары[[#This Row],[IRP, Eur]],"-")</f>
        <v>-</v>
      </c>
      <c r="AX596" s="42">
        <f>IFERROR(VLOOKUP(Товары[[#This Row],[SubGroup]],'Структура цен DIY'!$B:$C,2,FALSE),0)</f>
        <v>0.17999999999999994</v>
      </c>
      <c r="AY596" s="44">
        <v>0</v>
      </c>
    </row>
    <row r="597" spans="1:51" x14ac:dyDescent="0.25">
      <c r="A597" s="34">
        <v>595</v>
      </c>
      <c r="B597" s="34" t="s">
        <v>50</v>
      </c>
      <c r="C597" s="110" t="str">
        <f>IFERROR(INDEX(Структура_ассортимента[SuperCategory],MATCH(Товары[[#This Row],[SubGroup]],Структура_ассортимента[Subgroup],0)),"")</f>
        <v>H</v>
      </c>
      <c r="D597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97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97" s="110" t="str">
        <f>IFERROR(INDEX(Структура_ассортимента[Product group],MATCH(Товары[[#This Row],[SubGroup]],Структура_ассортимента[Subgroup],0)),"")</f>
        <v>HEH_C</v>
      </c>
      <c r="G597" s="110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597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597" s="36">
        <v>9341</v>
      </c>
      <c r="J597" s="36" t="str">
        <f>IFERROR(INDEX(Структура_ассортимента[Generic Name (long)],MATCH(Товары[[#This Row],[SubGroup]],Структура_ассортимента[Subgroup],0)),"")</f>
        <v>HEDGE TRIMMER, CORDED</v>
      </c>
      <c r="L597" s="36">
        <v>966056401</v>
      </c>
      <c r="M597" s="35" t="s">
        <v>2281</v>
      </c>
      <c r="Q597" s="34" t="s">
        <v>3539</v>
      </c>
      <c r="R597" s="34" t="s">
        <v>3540</v>
      </c>
      <c r="S597" s="47">
        <v>40087</v>
      </c>
      <c r="T597" s="47">
        <v>0</v>
      </c>
      <c r="U597" s="47">
        <v>0</v>
      </c>
      <c r="V597" s="34">
        <v>4078500887007</v>
      </c>
      <c r="W597" s="34" t="s">
        <v>3647</v>
      </c>
      <c r="Y597" s="34" t="s">
        <v>3542</v>
      </c>
      <c r="Z597" s="34">
        <v>1</v>
      </c>
      <c r="AA597" s="34">
        <v>4770</v>
      </c>
      <c r="AB597" s="34">
        <v>4770</v>
      </c>
      <c r="AC597" s="34">
        <v>3500</v>
      </c>
      <c r="AD597" s="34">
        <v>3500</v>
      </c>
      <c r="AE597" s="34">
        <v>995</v>
      </c>
      <c r="AF597" s="34">
        <v>154</v>
      </c>
      <c r="AG597" s="34">
        <v>118</v>
      </c>
      <c r="AH597" s="34">
        <v>18081</v>
      </c>
      <c r="AM597" s="40" t="s">
        <v>8094</v>
      </c>
      <c r="AT597" s="44">
        <v>0</v>
      </c>
      <c r="AU597" s="44"/>
      <c r="AV597" s="46">
        <f>ROUND(Товары[[#This Row],[РРЦ финальная, руб.]]/$AU$1,2)</f>
        <v>0</v>
      </c>
      <c r="AW597" s="45" t="str">
        <f>IFERROR(Товары[[#This Row],[РРЦ, евро]]/Товары[[#This Row],[IRP, Eur]],"-")</f>
        <v>-</v>
      </c>
      <c r="AX597" s="42">
        <f>IFERROR(VLOOKUP(Товары[[#This Row],[SubGroup]],'Структура цен DIY'!$B:$C,2,FALSE),0)</f>
        <v>0.17999999999999994</v>
      </c>
      <c r="AY597" s="44">
        <v>0</v>
      </c>
    </row>
    <row r="598" spans="1:51" x14ac:dyDescent="0.25">
      <c r="A598" s="34">
        <v>596</v>
      </c>
      <c r="B598" s="34" t="s">
        <v>50</v>
      </c>
      <c r="C598" s="110" t="str">
        <f>IFERROR(INDEX(Структура_ассортимента[SuperCategory],MATCH(Товары[[#This Row],[SubGroup]],Структура_ассортимента[Subgroup],0)),"")</f>
        <v>H</v>
      </c>
      <c r="D598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98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98" s="110" t="str">
        <f>IFERROR(INDEX(Структура_ассортимента[Product group],MATCH(Товары[[#This Row],[SubGroup]],Структура_ассортимента[Subgroup],0)),"")</f>
        <v>HEH_C</v>
      </c>
      <c r="G598" s="110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598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598" s="36">
        <v>9341</v>
      </c>
      <c r="J598" s="36" t="str">
        <f>IFERROR(INDEX(Структура_ассортимента[Generic Name (long)],MATCH(Товары[[#This Row],[SubGroup]],Структура_ассортимента[Subgroup],0)),"")</f>
        <v>HEDGE TRIMMER, CORDED</v>
      </c>
      <c r="L598" s="36">
        <v>966056501</v>
      </c>
      <c r="M598" s="35" t="s">
        <v>2282</v>
      </c>
      <c r="Q598" s="34" t="s">
        <v>3539</v>
      </c>
      <c r="R598" s="34" t="s">
        <v>3540</v>
      </c>
      <c r="S598" s="47">
        <v>40087</v>
      </c>
      <c r="T598" s="47">
        <v>0</v>
      </c>
      <c r="U598" s="47">
        <v>0</v>
      </c>
      <c r="V598" s="34">
        <v>4078500887106</v>
      </c>
      <c r="W598" s="34" t="s">
        <v>3647</v>
      </c>
      <c r="Y598" s="34" t="s">
        <v>3542</v>
      </c>
      <c r="Z598" s="34">
        <v>1</v>
      </c>
      <c r="AA598" s="34">
        <v>5050</v>
      </c>
      <c r="AB598" s="34">
        <v>5050</v>
      </c>
      <c r="AC598" s="34">
        <v>4500</v>
      </c>
      <c r="AD598" s="34">
        <v>4500</v>
      </c>
      <c r="AE598" s="34">
        <v>995</v>
      </c>
      <c r="AF598" s="34">
        <v>154</v>
      </c>
      <c r="AG598" s="34">
        <v>118</v>
      </c>
      <c r="AH598" s="34">
        <v>18081</v>
      </c>
      <c r="AM598" s="40" t="s">
        <v>8094</v>
      </c>
      <c r="AT598" s="44">
        <v>0</v>
      </c>
      <c r="AU598" s="44"/>
      <c r="AV598" s="46">
        <f>ROUND(Товары[[#This Row],[РРЦ финальная, руб.]]/$AU$1,2)</f>
        <v>0</v>
      </c>
      <c r="AW598" s="45" t="str">
        <f>IFERROR(Товары[[#This Row],[РРЦ, евро]]/Товары[[#This Row],[IRP, Eur]],"-")</f>
        <v>-</v>
      </c>
      <c r="AX598" s="42">
        <f>IFERROR(VLOOKUP(Товары[[#This Row],[SubGroup]],'Структура цен DIY'!$B:$C,2,FALSE),0)</f>
        <v>0.17999999999999994</v>
      </c>
      <c r="AY598" s="44">
        <v>0</v>
      </c>
    </row>
    <row r="599" spans="1:51" x14ac:dyDescent="0.25">
      <c r="A599" s="34">
        <v>597</v>
      </c>
      <c r="B599" s="34" t="s">
        <v>50</v>
      </c>
      <c r="C599" s="110" t="str">
        <f>IFERROR(INDEX(Структура_ассортимента[SuperCategory],MATCH(Товары[[#This Row],[SubGroup]],Структура_ассортимента[Subgroup],0)),"")</f>
        <v>H</v>
      </c>
      <c r="D599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99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99" s="110" t="str">
        <f>IFERROR(INDEX(Структура_ассортимента[Product group],MATCH(Товары[[#This Row],[SubGroup]],Структура_ассортимента[Subgroup],0)),"")</f>
        <v>HEH_C</v>
      </c>
      <c r="G599" s="110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599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599" s="36">
        <v>9341</v>
      </c>
      <c r="J599" s="36" t="str">
        <f>IFERROR(INDEX(Структура_ассортимента[Generic Name (long)],MATCH(Товары[[#This Row],[SubGroup]],Структура_ассортимента[Subgroup],0)),"")</f>
        <v>HEDGE TRIMMER, CORDED</v>
      </c>
      <c r="L599" s="36">
        <v>966057001</v>
      </c>
      <c r="M599" s="35" t="s">
        <v>2283</v>
      </c>
      <c r="Q599" s="34" t="s">
        <v>4565</v>
      </c>
      <c r="R599" s="34" t="s">
        <v>3540</v>
      </c>
      <c r="S599" s="47">
        <v>40087</v>
      </c>
      <c r="T599" s="47">
        <v>42735</v>
      </c>
      <c r="U599" s="47">
        <v>42735</v>
      </c>
      <c r="V599" s="34">
        <v>4078500888004</v>
      </c>
      <c r="W599" s="34" t="s">
        <v>3545</v>
      </c>
      <c r="Y599" s="34" t="s">
        <v>3542</v>
      </c>
      <c r="Z599" s="34">
        <v>1</v>
      </c>
      <c r="AA599" s="34">
        <v>6970</v>
      </c>
      <c r="AB599" s="34">
        <v>6970</v>
      </c>
      <c r="AC599" s="34">
        <v>5840</v>
      </c>
      <c r="AD599" s="34">
        <v>5840</v>
      </c>
      <c r="AE599" s="34">
        <v>917</v>
      </c>
      <c r="AF599" s="34">
        <v>275</v>
      </c>
      <c r="AG599" s="34">
        <v>188</v>
      </c>
      <c r="AH599" s="34">
        <v>47409</v>
      </c>
      <c r="AM599" s="40" t="s">
        <v>8094</v>
      </c>
      <c r="AT599" s="44">
        <v>0</v>
      </c>
      <c r="AU599" s="44"/>
      <c r="AV599" s="46">
        <f>ROUND(Товары[[#This Row],[РРЦ финальная, руб.]]/$AU$1,2)</f>
        <v>0</v>
      </c>
      <c r="AW599" s="45" t="str">
        <f>IFERROR(Товары[[#This Row],[РРЦ, евро]]/Товары[[#This Row],[IRP, Eur]],"-")</f>
        <v>-</v>
      </c>
      <c r="AX599" s="42">
        <f>IFERROR(VLOOKUP(Товары[[#This Row],[SubGroup]],'Структура цен DIY'!$B:$C,2,FALSE),0)</f>
        <v>0.17999999999999994</v>
      </c>
      <c r="AY599" s="44">
        <v>0</v>
      </c>
    </row>
    <row r="600" spans="1:51" x14ac:dyDescent="0.25">
      <c r="A600" s="34">
        <v>598</v>
      </c>
      <c r="B600" s="34" t="s">
        <v>50</v>
      </c>
      <c r="C600" s="110" t="str">
        <f>IFERROR(INDEX(Структура_ассортимента[SuperCategory],MATCH(Товары[[#This Row],[SubGroup]],Структура_ассортимента[Subgroup],0)),"")</f>
        <v>H</v>
      </c>
      <c r="D600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00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00" s="110" t="str">
        <f>IFERROR(INDEX(Структура_ассортимента[Product group],MATCH(Товары[[#This Row],[SubGroup]],Структура_ассортимента[Subgroup],0)),"")</f>
        <v>HEH_C</v>
      </c>
      <c r="G600" s="110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600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600" s="36">
        <v>9341</v>
      </c>
      <c r="J600" s="36" t="str">
        <f>IFERROR(INDEX(Структура_ассортимента[Generic Name (long)],MATCH(Товары[[#This Row],[SubGroup]],Структура_ассортимента[Subgroup],0)),"")</f>
        <v>HEDGE TRIMMER, CORDED</v>
      </c>
      <c r="L600" s="36">
        <v>967192501</v>
      </c>
      <c r="M600" s="35" t="s">
        <v>2284</v>
      </c>
      <c r="Q600" s="34" t="s">
        <v>4565</v>
      </c>
      <c r="R600" s="34" t="s">
        <v>3540</v>
      </c>
      <c r="S600" s="47">
        <v>41306</v>
      </c>
      <c r="T600" s="47">
        <v>42735</v>
      </c>
      <c r="U600" s="47">
        <v>42735</v>
      </c>
      <c r="V600" s="34">
        <v>4078500887403</v>
      </c>
      <c r="W600" s="34" t="s">
        <v>3647</v>
      </c>
      <c r="Y600" s="34" t="s">
        <v>3542</v>
      </c>
      <c r="Z600" s="34">
        <v>1</v>
      </c>
      <c r="AA600" s="34">
        <v>4445</v>
      </c>
      <c r="AB600" s="34">
        <v>4445</v>
      </c>
      <c r="AC600" s="34">
        <v>2500</v>
      </c>
      <c r="AD600" s="34">
        <v>3555</v>
      </c>
      <c r="AE600" s="34">
        <v>1050</v>
      </c>
      <c r="AF600" s="34">
        <v>205</v>
      </c>
      <c r="AG600" s="34">
        <v>155</v>
      </c>
      <c r="AH600" s="34">
        <v>33364</v>
      </c>
      <c r="AM600" s="40" t="s">
        <v>8094</v>
      </c>
      <c r="AT600" s="44">
        <v>0</v>
      </c>
      <c r="AU600" s="44"/>
      <c r="AV600" s="46">
        <f>ROUND(Товары[[#This Row],[РРЦ финальная, руб.]]/$AU$1,2)</f>
        <v>0</v>
      </c>
      <c r="AW600" s="45" t="str">
        <f>IFERROR(Товары[[#This Row],[РРЦ, евро]]/Товары[[#This Row],[IRP, Eur]],"-")</f>
        <v>-</v>
      </c>
      <c r="AX600" s="42">
        <f>IFERROR(VLOOKUP(Товары[[#This Row],[SubGroup]],'Структура цен DIY'!$B:$C,2,FALSE),0)</f>
        <v>0.17999999999999994</v>
      </c>
      <c r="AY600" s="44">
        <v>0</v>
      </c>
    </row>
    <row r="601" spans="1:51" x14ac:dyDescent="0.25">
      <c r="A601" s="34">
        <v>599</v>
      </c>
      <c r="B601" s="34" t="s">
        <v>50</v>
      </c>
      <c r="C601" s="110" t="str">
        <f>IFERROR(INDEX(Структура_ассортимента[SuperCategory],MATCH(Товары[[#This Row],[SubGroup]],Структура_ассортимента[Subgroup],0)),"")</f>
        <v>H</v>
      </c>
      <c r="D601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01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01" s="110" t="str">
        <f>IFERROR(INDEX(Структура_ассортимента[Product group],MATCH(Товары[[#This Row],[SubGroup]],Структура_ассортимента[Subgroup],0)),"")</f>
        <v>HEH_P</v>
      </c>
      <c r="G601" s="110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01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01" s="36">
        <v>9346</v>
      </c>
      <c r="J601" s="36" t="str">
        <f>IFERROR(INDEX(Структура_ассортимента[Generic Name (long)],MATCH(Товары[[#This Row],[SubGroup]],Структура_ассортимента[Subgroup],0)),"")</f>
        <v>HEDGE TRIMMER, BATTERY</v>
      </c>
      <c r="L601" s="36">
        <v>967657201</v>
      </c>
      <c r="M601" s="35" t="s">
        <v>2285</v>
      </c>
      <c r="O601" s="35" t="s">
        <v>5479</v>
      </c>
      <c r="P601" s="37" t="s">
        <v>5480</v>
      </c>
      <c r="Q601" s="34" t="s">
        <v>3549</v>
      </c>
      <c r="R601" s="34" t="s">
        <v>3540</v>
      </c>
      <c r="S601" s="47">
        <v>43070</v>
      </c>
      <c r="T601" s="47">
        <v>0</v>
      </c>
      <c r="U601" s="47">
        <v>0</v>
      </c>
      <c r="V601" s="34">
        <v>4078500031172</v>
      </c>
      <c r="W601" s="34" t="s">
        <v>3546</v>
      </c>
      <c r="X601" s="34" t="s">
        <v>3551</v>
      </c>
      <c r="Y601" s="34" t="s">
        <v>3542</v>
      </c>
      <c r="Z601" s="34">
        <v>1</v>
      </c>
      <c r="AB601" s="34" t="s">
        <v>5481</v>
      </c>
      <c r="AD601" s="34" t="s">
        <v>5482</v>
      </c>
      <c r="AE601" s="34" t="s">
        <v>4594</v>
      </c>
      <c r="AF601" s="34" t="s">
        <v>5313</v>
      </c>
      <c r="AG601" s="34" t="s">
        <v>5328</v>
      </c>
      <c r="AH601" s="34" t="s">
        <v>5483</v>
      </c>
      <c r="AL601" s="34" t="s">
        <v>5473</v>
      </c>
      <c r="AM601" s="40" t="s">
        <v>9</v>
      </c>
      <c r="AP601" s="34">
        <v>0</v>
      </c>
      <c r="AQ601" s="34">
        <v>16290</v>
      </c>
      <c r="AR601" s="34">
        <v>11132</v>
      </c>
      <c r="AT601" s="44">
        <v>1261700</v>
      </c>
      <c r="AU601" s="44"/>
      <c r="AV601" s="46">
        <f>ROUND(Товары[[#This Row],[РРЦ финальная, руб.]]/$AU$1,2)</f>
        <v>0</v>
      </c>
      <c r="AW601" s="45" t="str">
        <f>IFERROR(Товары[[#This Row],[РРЦ, евро]]/Товары[[#This Row],[IRP, Eur]],"-")</f>
        <v>-</v>
      </c>
      <c r="AX601" s="42">
        <f>IFERROR(VLOOKUP(Товары[[#This Row],[SubGroup]],'Структура цен DIY'!$B:$C,2,FALSE),0)</f>
        <v>0.17999999999999994</v>
      </c>
      <c r="AY601" s="44">
        <v>0</v>
      </c>
    </row>
    <row r="602" spans="1:51" x14ac:dyDescent="0.25">
      <c r="A602" s="34">
        <v>600</v>
      </c>
      <c r="B602" s="34" t="s">
        <v>50</v>
      </c>
      <c r="C602" s="110" t="str">
        <f>IFERROR(INDEX(Структура_ассортимента[SuperCategory],MATCH(Товары[[#This Row],[SubGroup]],Структура_ассортимента[Subgroup],0)),"")</f>
        <v>H</v>
      </c>
      <c r="D602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02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02" s="110" t="str">
        <f>IFERROR(INDEX(Структура_ассортимента[Product group],MATCH(Товары[[#This Row],[SubGroup]],Структура_ассортимента[Subgroup],0)),"")</f>
        <v>HEH_P</v>
      </c>
      <c r="G602" s="110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02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02" s="36">
        <v>9346</v>
      </c>
      <c r="J602" s="36" t="str">
        <f>IFERROR(INDEX(Структура_ассортимента[Generic Name (long)],MATCH(Товары[[#This Row],[SubGroup]],Структура_ассортимента[Subgroup],0)),"")</f>
        <v>HEDGE TRIMMER, BATTERY</v>
      </c>
      <c r="L602" s="36">
        <v>967657401</v>
      </c>
      <c r="M602" s="35" t="s">
        <v>2286</v>
      </c>
      <c r="O602" s="35" t="s">
        <v>5484</v>
      </c>
      <c r="P602" s="37" t="s">
        <v>5485</v>
      </c>
      <c r="Q602" s="34" t="s">
        <v>3549</v>
      </c>
      <c r="R602" s="34" t="s">
        <v>3540</v>
      </c>
      <c r="S602" s="47">
        <v>43101</v>
      </c>
      <c r="T602" s="47">
        <v>0</v>
      </c>
      <c r="U602" s="47">
        <v>0</v>
      </c>
      <c r="V602" s="34">
        <v>4078500031165</v>
      </c>
      <c r="W602" s="34" t="s">
        <v>3546</v>
      </c>
      <c r="X602" s="34" t="s">
        <v>3551</v>
      </c>
      <c r="Y602" s="34" t="s">
        <v>3542</v>
      </c>
      <c r="Z602" s="34">
        <v>1</v>
      </c>
      <c r="AB602" s="34" t="s">
        <v>5486</v>
      </c>
      <c r="AD602" s="34" t="s">
        <v>5487</v>
      </c>
      <c r="AE602" s="34" t="s">
        <v>4594</v>
      </c>
      <c r="AF602" s="34" t="s">
        <v>5313</v>
      </c>
      <c r="AG602" s="34" t="s">
        <v>5328</v>
      </c>
      <c r="AH602" s="34" t="s">
        <v>5483</v>
      </c>
      <c r="AL602" s="34" t="s">
        <v>5473</v>
      </c>
      <c r="AM602" s="40" t="s">
        <v>9</v>
      </c>
      <c r="AP602" s="34">
        <v>0</v>
      </c>
      <c r="AQ602" s="34">
        <v>18090</v>
      </c>
      <c r="AR602" s="34">
        <v>12362</v>
      </c>
      <c r="AT602" s="44">
        <v>1401200</v>
      </c>
      <c r="AU602" s="44"/>
      <c r="AV602" s="46">
        <f>ROUND(Товары[[#This Row],[РРЦ финальная, руб.]]/$AU$1,2)</f>
        <v>0</v>
      </c>
      <c r="AW602" s="45" t="str">
        <f>IFERROR(Товары[[#This Row],[РРЦ, евро]]/Товары[[#This Row],[IRP, Eur]],"-")</f>
        <v>-</v>
      </c>
      <c r="AX602" s="42">
        <f>IFERROR(VLOOKUP(Товары[[#This Row],[SubGroup]],'Структура цен DIY'!$B:$C,2,FALSE),0)</f>
        <v>0.17999999999999994</v>
      </c>
      <c r="AY602" s="44">
        <v>0</v>
      </c>
    </row>
    <row r="603" spans="1:51" x14ac:dyDescent="0.25">
      <c r="A603" s="34">
        <v>601</v>
      </c>
      <c r="B603" s="34" t="s">
        <v>50</v>
      </c>
      <c r="C603" s="110" t="str">
        <f>IFERROR(INDEX(Структура_ассортимента[SuperCategory],MATCH(Товары[[#This Row],[SubGroup]],Структура_ассортимента[Subgroup],0)),"")</f>
        <v>H</v>
      </c>
      <c r="D603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03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03" s="110" t="str">
        <f>IFERROR(INDEX(Структура_ассортимента[Product group],MATCH(Товары[[#This Row],[SubGroup]],Структура_ассортимента[Subgroup],0)),"")</f>
        <v>HEH_P</v>
      </c>
      <c r="G603" s="110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03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03" s="36">
        <v>9346</v>
      </c>
      <c r="J603" s="36" t="str">
        <f>IFERROR(INDEX(Структура_ассортимента[Generic Name (long)],MATCH(Товары[[#This Row],[SubGroup]],Структура_ассортимента[Subgroup],0)),"")</f>
        <v>HEDGE TRIMMER, BATTERY</v>
      </c>
      <c r="L603" s="36">
        <v>967657301</v>
      </c>
      <c r="M603" s="35" t="s">
        <v>2287</v>
      </c>
      <c r="O603" s="35" t="s">
        <v>5488</v>
      </c>
      <c r="P603" s="37" t="s">
        <v>5489</v>
      </c>
      <c r="Q603" s="34" t="s">
        <v>3549</v>
      </c>
      <c r="R603" s="34" t="s">
        <v>3540</v>
      </c>
      <c r="S603" s="47">
        <v>43101</v>
      </c>
      <c r="T603" s="47">
        <v>0</v>
      </c>
      <c r="U603" s="47">
        <v>0</v>
      </c>
      <c r="V603" s="34">
        <v>4078500031141</v>
      </c>
      <c r="W603" s="34" t="s">
        <v>3546</v>
      </c>
      <c r="X603" s="34" t="s">
        <v>3551</v>
      </c>
      <c r="Y603" s="34" t="s">
        <v>3542</v>
      </c>
      <c r="Z603" s="34">
        <v>1</v>
      </c>
      <c r="AB603" s="34" t="s">
        <v>5490</v>
      </c>
      <c r="AD603" s="34" t="s">
        <v>5358</v>
      </c>
      <c r="AE603" s="34" t="s">
        <v>5491</v>
      </c>
      <c r="AF603" s="34" t="s">
        <v>4205</v>
      </c>
      <c r="AG603" s="34" t="s">
        <v>5328</v>
      </c>
      <c r="AH603" s="34" t="s">
        <v>5492</v>
      </c>
      <c r="AI603" s="34" t="s">
        <v>5493</v>
      </c>
      <c r="AJ603" s="34" t="s">
        <v>4205</v>
      </c>
      <c r="AK603" s="34" t="s">
        <v>3825</v>
      </c>
      <c r="AL603" s="34" t="s">
        <v>5473</v>
      </c>
      <c r="AM603" s="40" t="s">
        <v>9</v>
      </c>
      <c r="AP603" s="34">
        <v>0</v>
      </c>
      <c r="AQ603" s="34">
        <v>8390</v>
      </c>
      <c r="AR603" s="34">
        <v>5733</v>
      </c>
      <c r="AT603" s="44">
        <v>649800</v>
      </c>
      <c r="AU603" s="44"/>
      <c r="AV603" s="46">
        <f>ROUND(Товары[[#This Row],[РРЦ финальная, руб.]]/$AU$1,2)</f>
        <v>0</v>
      </c>
      <c r="AW603" s="45" t="str">
        <f>IFERROR(Товары[[#This Row],[РРЦ, евро]]/Товары[[#This Row],[IRP, Eur]],"-")</f>
        <v>-</v>
      </c>
      <c r="AX603" s="42">
        <f>IFERROR(VLOOKUP(Товары[[#This Row],[SubGroup]],'Структура цен DIY'!$B:$C,2,FALSE),0)</f>
        <v>0.17999999999999994</v>
      </c>
      <c r="AY603" s="44">
        <v>0</v>
      </c>
    </row>
    <row r="604" spans="1:51" x14ac:dyDescent="0.25">
      <c r="A604" s="34">
        <v>602</v>
      </c>
      <c r="B604" s="34" t="s">
        <v>50</v>
      </c>
      <c r="C604" s="110" t="str">
        <f>IFERROR(INDEX(Структура_ассортимента[SuperCategory],MATCH(Товары[[#This Row],[SubGroup]],Структура_ассортимента[Subgroup],0)),"")</f>
        <v>H</v>
      </c>
      <c r="D604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04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04" s="110" t="str">
        <f>IFERROR(INDEX(Структура_ассортимента[Product group],MATCH(Товары[[#This Row],[SubGroup]],Структура_ассортимента[Subgroup],0)),"")</f>
        <v>HEH_P</v>
      </c>
      <c r="G604" s="110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04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04" s="36">
        <v>9346</v>
      </c>
      <c r="J604" s="36" t="str">
        <f>IFERROR(INDEX(Структура_ассортимента[Generic Name (long)],MATCH(Товары[[#This Row],[SubGroup]],Структура_ассортимента[Subgroup],0)),"")</f>
        <v>HEDGE TRIMMER, BATTERY</v>
      </c>
      <c r="L604" s="36">
        <v>967657501</v>
      </c>
      <c r="M604" s="35" t="s">
        <v>2288</v>
      </c>
      <c r="O604" s="35" t="s">
        <v>5494</v>
      </c>
      <c r="P604" s="37" t="s">
        <v>5495</v>
      </c>
      <c r="Q604" s="34" t="s">
        <v>3549</v>
      </c>
      <c r="R604" s="34" t="s">
        <v>3540</v>
      </c>
      <c r="S604" s="47">
        <v>43101</v>
      </c>
      <c r="T604" s="47">
        <v>0</v>
      </c>
      <c r="U604" s="47">
        <v>0</v>
      </c>
      <c r="V604" s="34">
        <v>4078500031158</v>
      </c>
      <c r="W604" s="34" t="s">
        <v>3546</v>
      </c>
      <c r="X604" s="34" t="s">
        <v>3551</v>
      </c>
      <c r="Y604" s="34" t="s">
        <v>3542</v>
      </c>
      <c r="Z604" s="34">
        <v>1</v>
      </c>
      <c r="AB604" s="34" t="s">
        <v>5496</v>
      </c>
      <c r="AD604" s="34" t="s">
        <v>4877</v>
      </c>
      <c r="AE604" s="34" t="s">
        <v>5491</v>
      </c>
      <c r="AF604" s="34" t="s">
        <v>4205</v>
      </c>
      <c r="AG604" s="34" t="s">
        <v>5328</v>
      </c>
      <c r="AH604" s="34" t="s">
        <v>5492</v>
      </c>
      <c r="AI604" s="34" t="s">
        <v>5497</v>
      </c>
      <c r="AJ604" s="34" t="s">
        <v>4205</v>
      </c>
      <c r="AK604" s="34" t="s">
        <v>3825</v>
      </c>
      <c r="AL604" s="34" t="s">
        <v>5473</v>
      </c>
      <c r="AM604" s="40" t="s">
        <v>9</v>
      </c>
      <c r="AP604" s="34">
        <v>0</v>
      </c>
      <c r="AQ604" s="34">
        <v>10190</v>
      </c>
      <c r="AR604" s="34">
        <v>6963</v>
      </c>
      <c r="AT604" s="44">
        <v>789300</v>
      </c>
      <c r="AU604" s="44"/>
      <c r="AV604" s="46">
        <f>ROUND(Товары[[#This Row],[РРЦ финальная, руб.]]/$AU$1,2)</f>
        <v>0</v>
      </c>
      <c r="AW604" s="45" t="str">
        <f>IFERROR(Товары[[#This Row],[РРЦ, евро]]/Товары[[#This Row],[IRP, Eur]],"-")</f>
        <v>-</v>
      </c>
      <c r="AX604" s="42">
        <f>IFERROR(VLOOKUP(Товары[[#This Row],[SubGroup]],'Структура цен DIY'!$B:$C,2,FALSE),0)</f>
        <v>0.17999999999999994</v>
      </c>
      <c r="AY604" s="44">
        <v>0</v>
      </c>
    </row>
    <row r="605" spans="1:51" x14ac:dyDescent="0.25">
      <c r="A605" s="34">
        <v>603</v>
      </c>
      <c r="B605" s="34" t="s">
        <v>50</v>
      </c>
      <c r="C605" s="110" t="str">
        <f>IFERROR(INDEX(Структура_ассортимента[SuperCategory],MATCH(Товары[[#This Row],[SubGroup]],Структура_ассортимента[Subgroup],0)),"")</f>
        <v>H</v>
      </c>
      <c r="D605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05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05" s="110" t="str">
        <f>IFERROR(INDEX(Структура_ассортимента[Product group],MATCH(Товары[[#This Row],[SubGroup]],Структура_ассортимента[Subgroup],0)),"")</f>
        <v>HEH_P</v>
      </c>
      <c r="G605" s="110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05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05" s="36">
        <v>9346</v>
      </c>
      <c r="J605" s="36" t="str">
        <f>IFERROR(INDEX(Структура_ассортимента[Generic Name (long)],MATCH(Товары[[#This Row],[SubGroup]],Структура_ассортимента[Subgroup],0)),"")</f>
        <v>HEDGE TRIMMER, BATTERY</v>
      </c>
      <c r="L605" s="36">
        <v>967668001</v>
      </c>
      <c r="M605" s="35" t="s">
        <v>2289</v>
      </c>
      <c r="O605" s="35" t="s">
        <v>5498</v>
      </c>
      <c r="P605" s="37" t="s">
        <v>5499</v>
      </c>
      <c r="Q605" s="34" t="s">
        <v>3549</v>
      </c>
      <c r="R605" s="34" t="s">
        <v>3540</v>
      </c>
      <c r="S605" s="47">
        <v>43101</v>
      </c>
      <c r="T605" s="47">
        <v>0</v>
      </c>
      <c r="U605" s="47">
        <v>0</v>
      </c>
      <c r="V605" s="34">
        <v>4078500031578</v>
      </c>
      <c r="W605" s="34" t="s">
        <v>3546</v>
      </c>
      <c r="X605" s="34" t="s">
        <v>3551</v>
      </c>
      <c r="Y605" s="34" t="s">
        <v>3542</v>
      </c>
      <c r="Z605" s="34">
        <v>1</v>
      </c>
      <c r="AB605" s="34" t="s">
        <v>5500</v>
      </c>
      <c r="AD605" s="34" t="s">
        <v>5501</v>
      </c>
      <c r="AE605" s="34" t="s">
        <v>4607</v>
      </c>
      <c r="AF605" s="34" t="s">
        <v>4458</v>
      </c>
      <c r="AG605" s="34" t="s">
        <v>3989</v>
      </c>
      <c r="AH605" s="34" t="s">
        <v>5502</v>
      </c>
      <c r="AI605" s="34" t="s">
        <v>5503</v>
      </c>
      <c r="AJ605" s="34" t="s">
        <v>4257</v>
      </c>
      <c r="AK605" s="34" t="s">
        <v>3753</v>
      </c>
      <c r="AL605" s="34" t="s">
        <v>5504</v>
      </c>
      <c r="AM605" s="40" t="s">
        <v>9</v>
      </c>
      <c r="AP605" s="34">
        <v>0</v>
      </c>
      <c r="AQ605" s="34">
        <v>27790</v>
      </c>
      <c r="AR605" s="34">
        <v>18990</v>
      </c>
      <c r="AT605" s="44">
        <v>2152500</v>
      </c>
      <c r="AU605" s="44"/>
      <c r="AV605" s="46">
        <f>ROUND(Товары[[#This Row],[РРЦ финальная, руб.]]/$AU$1,2)</f>
        <v>0</v>
      </c>
      <c r="AW605" s="45" t="str">
        <f>IFERROR(Товары[[#This Row],[РРЦ, евро]]/Товары[[#This Row],[IRP, Eur]],"-")</f>
        <v>-</v>
      </c>
      <c r="AX605" s="42">
        <f>IFERROR(VLOOKUP(Товары[[#This Row],[SubGroup]],'Структура цен DIY'!$B:$C,2,FALSE),0)</f>
        <v>0.17999999999999994</v>
      </c>
      <c r="AY605" s="44">
        <v>0</v>
      </c>
    </row>
    <row r="606" spans="1:51" x14ac:dyDescent="0.25">
      <c r="A606" s="34">
        <v>604</v>
      </c>
      <c r="B606" s="34" t="s">
        <v>50</v>
      </c>
      <c r="C606" s="110" t="str">
        <f>IFERROR(INDEX(Структура_ассортимента[SuperCategory],MATCH(Товары[[#This Row],[SubGroup]],Структура_ассортимента[Subgroup],0)),"")</f>
        <v>H</v>
      </c>
      <c r="D606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06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06" s="110" t="str">
        <f>IFERROR(INDEX(Структура_ассортимента[Product group],MATCH(Товары[[#This Row],[SubGroup]],Структура_ассортимента[Subgroup],0)),"")</f>
        <v>HEH_P</v>
      </c>
      <c r="G606" s="110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06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06" s="36">
        <v>9346</v>
      </c>
      <c r="J606" s="36" t="str">
        <f>IFERROR(INDEX(Структура_ассортимента[Generic Name (long)],MATCH(Товары[[#This Row],[SubGroup]],Структура_ассортимента[Subgroup],0)),"")</f>
        <v>HEDGE TRIMMER, BATTERY</v>
      </c>
      <c r="L606" s="36">
        <v>967668101</v>
      </c>
      <c r="M606" s="35" t="s">
        <v>2290</v>
      </c>
      <c r="O606" s="35" t="s">
        <v>5505</v>
      </c>
      <c r="P606" s="37" t="s">
        <v>5506</v>
      </c>
      <c r="Q606" s="34" t="s">
        <v>3549</v>
      </c>
      <c r="R606" s="34" t="s">
        <v>3540</v>
      </c>
      <c r="S606" s="47">
        <v>43101</v>
      </c>
      <c r="T606" s="47">
        <v>0</v>
      </c>
      <c r="U606" s="47">
        <v>0</v>
      </c>
      <c r="V606" s="34">
        <v>4078500031585</v>
      </c>
      <c r="W606" s="34" t="s">
        <v>3546</v>
      </c>
      <c r="X606" s="34" t="s">
        <v>3551</v>
      </c>
      <c r="Y606" s="34" t="s">
        <v>3542</v>
      </c>
      <c r="Z606" s="34">
        <v>1</v>
      </c>
      <c r="AB606" s="34" t="s">
        <v>5507</v>
      </c>
      <c r="AD606" s="34" t="s">
        <v>5508</v>
      </c>
      <c r="AE606" s="34" t="s">
        <v>3757</v>
      </c>
      <c r="AF606" s="34" t="s">
        <v>3989</v>
      </c>
      <c r="AG606" s="34" t="s">
        <v>5509</v>
      </c>
      <c r="AH606" s="34" t="s">
        <v>5510</v>
      </c>
      <c r="AI606" s="34" t="s">
        <v>5503</v>
      </c>
      <c r="AJ606" s="34" t="s">
        <v>4257</v>
      </c>
      <c r="AK606" s="34" t="s">
        <v>3753</v>
      </c>
      <c r="AL606" s="34" t="s">
        <v>3842</v>
      </c>
      <c r="AM606" s="40" t="s">
        <v>9</v>
      </c>
      <c r="AP606" s="34">
        <v>0</v>
      </c>
      <c r="AQ606" s="34">
        <v>14890</v>
      </c>
      <c r="AR606" s="34">
        <v>10175</v>
      </c>
      <c r="AT606" s="44">
        <v>1153300</v>
      </c>
      <c r="AU606" s="44"/>
      <c r="AV606" s="46">
        <f>ROUND(Товары[[#This Row],[РРЦ финальная, руб.]]/$AU$1,2)</f>
        <v>0</v>
      </c>
      <c r="AW606" s="45" t="str">
        <f>IFERROR(Товары[[#This Row],[РРЦ, евро]]/Товары[[#This Row],[IRP, Eur]],"-")</f>
        <v>-</v>
      </c>
      <c r="AX606" s="42">
        <f>IFERROR(VLOOKUP(Товары[[#This Row],[SubGroup]],'Структура цен DIY'!$B:$C,2,FALSE),0)</f>
        <v>0.17999999999999994</v>
      </c>
      <c r="AY606" s="44">
        <v>0</v>
      </c>
    </row>
    <row r="607" spans="1:51" x14ac:dyDescent="0.25">
      <c r="A607" s="34">
        <v>605</v>
      </c>
      <c r="B607" s="34" t="s">
        <v>50</v>
      </c>
      <c r="C607" s="110" t="str">
        <f>IFERROR(INDEX(Структура_ассортимента[SuperCategory],MATCH(Товары[[#This Row],[SubGroup]],Структура_ассортимента[Subgroup],0)),"")</f>
        <v>H</v>
      </c>
      <c r="D607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07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07" s="110" t="str">
        <f>IFERROR(INDEX(Структура_ассортимента[Product group],MATCH(Товары[[#This Row],[SubGroup]],Структура_ассортимента[Subgroup],0)),"")</f>
        <v>HEH_P</v>
      </c>
      <c r="G607" s="110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07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07" s="36">
        <v>9346</v>
      </c>
      <c r="J607" s="36" t="str">
        <f>IFERROR(INDEX(Структура_ассортимента[Generic Name (long)],MATCH(Товары[[#This Row],[SubGroup]],Структура_ассортимента[Subgroup],0)),"")</f>
        <v>HEDGE TRIMMER, BATTERY</v>
      </c>
      <c r="L607" s="36">
        <v>967854201</v>
      </c>
      <c r="M607" s="35" t="s">
        <v>2291</v>
      </c>
      <c r="O607" s="35" t="s">
        <v>5511</v>
      </c>
      <c r="P607" s="37" t="s">
        <v>5512</v>
      </c>
      <c r="Q607" s="34" t="s">
        <v>3549</v>
      </c>
      <c r="R607" s="34" t="s">
        <v>3540</v>
      </c>
      <c r="S607" s="47">
        <v>43466</v>
      </c>
      <c r="T607" s="47">
        <v>0</v>
      </c>
      <c r="U607" s="47">
        <v>0</v>
      </c>
      <c r="V607" s="34">
        <v>4078500042475</v>
      </c>
      <c r="W607" s="34" t="s">
        <v>3546</v>
      </c>
      <c r="X607" s="34" t="s">
        <v>3551</v>
      </c>
      <c r="Y607" s="34" t="s">
        <v>3542</v>
      </c>
      <c r="Z607" s="34">
        <v>1</v>
      </c>
      <c r="AA607" s="34" t="s">
        <v>5513</v>
      </c>
      <c r="AB607" s="34" t="s">
        <v>5514</v>
      </c>
      <c r="AC607" s="34" t="s">
        <v>5513</v>
      </c>
      <c r="AD607" s="34" t="s">
        <v>5513</v>
      </c>
      <c r="AE607" s="34" t="s">
        <v>5515</v>
      </c>
      <c r="AF607" s="34" t="s">
        <v>3818</v>
      </c>
      <c r="AG607" s="34" t="s">
        <v>3911</v>
      </c>
      <c r="AH607" s="34" t="s">
        <v>5516</v>
      </c>
      <c r="AI607" s="34" t="s">
        <v>5515</v>
      </c>
      <c r="AJ607" s="34" t="s">
        <v>3698</v>
      </c>
      <c r="AK607" s="34" t="s">
        <v>3818</v>
      </c>
      <c r="AL607" s="34" t="s">
        <v>3842</v>
      </c>
      <c r="AM607" s="40" t="s">
        <v>9</v>
      </c>
      <c r="AP607" s="34">
        <v>0</v>
      </c>
      <c r="AQ607" s="34">
        <v>11690</v>
      </c>
      <c r="AR607" s="34">
        <v>7988</v>
      </c>
      <c r="AT607" s="44">
        <v>905400</v>
      </c>
      <c r="AU607" s="44"/>
      <c r="AV607" s="46">
        <f>ROUND(Товары[[#This Row],[РРЦ финальная, руб.]]/$AU$1,2)</f>
        <v>0</v>
      </c>
      <c r="AW607" s="45" t="str">
        <f>IFERROR(Товары[[#This Row],[РРЦ, евро]]/Товары[[#This Row],[IRP, Eur]],"-")</f>
        <v>-</v>
      </c>
      <c r="AX607" s="42">
        <f>IFERROR(VLOOKUP(Товары[[#This Row],[SubGroup]],'Структура цен DIY'!$B:$C,2,FALSE),0)</f>
        <v>0.17999999999999994</v>
      </c>
      <c r="AY607" s="44">
        <v>0</v>
      </c>
    </row>
    <row r="608" spans="1:51" x14ac:dyDescent="0.25">
      <c r="A608" s="34">
        <v>606</v>
      </c>
      <c r="B608" s="34" t="s">
        <v>50</v>
      </c>
      <c r="C608" s="110" t="str">
        <f>IFERROR(INDEX(Структура_ассортимента[SuperCategory],MATCH(Товары[[#This Row],[SubGroup]],Структура_ассортимента[Subgroup],0)),"")</f>
        <v>H</v>
      </c>
      <c r="D608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08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08" s="110" t="str">
        <f>IFERROR(INDEX(Структура_ассортимента[Product group],MATCH(Товары[[#This Row],[SubGroup]],Структура_ассортимента[Subgroup],0)),"")</f>
        <v>HEH_P</v>
      </c>
      <c r="G608" s="110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08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08" s="36">
        <v>9346</v>
      </c>
      <c r="J608" s="36" t="str">
        <f>IFERROR(INDEX(Структура_ассортимента[Generic Name (long)],MATCH(Товары[[#This Row],[SubGroup]],Структура_ассортимента[Subgroup],0)),"")</f>
        <v>HEDGE TRIMMER, BATTERY</v>
      </c>
      <c r="L608" s="36">
        <v>967246601</v>
      </c>
      <c r="M608" s="35" t="s">
        <v>2292</v>
      </c>
      <c r="O608" s="35" t="s">
        <v>5517</v>
      </c>
      <c r="P608" s="37" t="s">
        <v>5518</v>
      </c>
      <c r="Q608" s="34" t="s">
        <v>3549</v>
      </c>
      <c r="R608" s="34" t="s">
        <v>3540</v>
      </c>
      <c r="S608" s="47">
        <v>41699</v>
      </c>
      <c r="T608" s="47">
        <v>0</v>
      </c>
      <c r="U608" s="47">
        <v>0</v>
      </c>
      <c r="V608" s="34">
        <v>4078500888103</v>
      </c>
      <c r="W608" s="34" t="s">
        <v>3550</v>
      </c>
      <c r="X608" s="34" t="s">
        <v>3551</v>
      </c>
      <c r="Y608" s="34" t="s">
        <v>3542</v>
      </c>
      <c r="Z608" s="34">
        <v>1</v>
      </c>
      <c r="AA608" s="34" t="s">
        <v>5519</v>
      </c>
      <c r="AB608" s="34" t="s">
        <v>5519</v>
      </c>
      <c r="AC608" s="34" t="s">
        <v>5426</v>
      </c>
      <c r="AD608" s="34" t="s">
        <v>5426</v>
      </c>
      <c r="AE608" s="34" t="s">
        <v>5088</v>
      </c>
      <c r="AF608" s="34" t="s">
        <v>3826</v>
      </c>
      <c r="AG608" s="34" t="s">
        <v>3611</v>
      </c>
      <c r="AH608" s="34" t="s">
        <v>5423</v>
      </c>
      <c r="AI608" s="34" t="s">
        <v>5424</v>
      </c>
      <c r="AJ608" s="34" t="s">
        <v>3765</v>
      </c>
      <c r="AK608" s="34" t="s">
        <v>4646</v>
      </c>
      <c r="AL608" s="34" t="s">
        <v>3842</v>
      </c>
      <c r="AM608" s="40" t="s">
        <v>9</v>
      </c>
      <c r="AP608" s="34">
        <v>0</v>
      </c>
      <c r="AQ608" s="34">
        <v>15690</v>
      </c>
      <c r="AR608" s="34">
        <v>10722</v>
      </c>
      <c r="AT608" s="44">
        <v>1215300</v>
      </c>
      <c r="AU608" s="44"/>
      <c r="AV608" s="46">
        <f>ROUND(Товары[[#This Row],[РРЦ финальная, руб.]]/$AU$1,2)</f>
        <v>0</v>
      </c>
      <c r="AW608" s="45" t="str">
        <f>IFERROR(Товары[[#This Row],[РРЦ, евро]]/Товары[[#This Row],[IRP, Eur]],"-")</f>
        <v>-</v>
      </c>
      <c r="AX608" s="42">
        <f>IFERROR(VLOOKUP(Товары[[#This Row],[SubGroup]],'Структура цен DIY'!$B:$C,2,FALSE),0)</f>
        <v>0.17999999999999994</v>
      </c>
      <c r="AY608" s="44">
        <v>0</v>
      </c>
    </row>
    <row r="609" spans="1:51" x14ac:dyDescent="0.25">
      <c r="A609" s="34">
        <v>607</v>
      </c>
      <c r="B609" s="34" t="s">
        <v>50</v>
      </c>
      <c r="C609" s="110" t="str">
        <f>IFERROR(INDEX(Структура_ассортимента[SuperCategory],MATCH(Товары[[#This Row],[SubGroup]],Структура_ассортимента[Subgroup],0)),"")</f>
        <v>H</v>
      </c>
      <c r="D609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09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09" s="110" t="str">
        <f>IFERROR(INDEX(Структура_ассортимента[Product group],MATCH(Товары[[#This Row],[SubGroup]],Структура_ассортимента[Subgroup],0)),"")</f>
        <v>HEH_P</v>
      </c>
      <c r="G609" s="110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09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09" s="36">
        <v>9346</v>
      </c>
      <c r="J609" s="36" t="str">
        <f>IFERROR(INDEX(Структура_ассортимента[Generic Name (long)],MATCH(Товары[[#This Row],[SubGroup]],Структура_ассортимента[Subgroup],0)),"")</f>
        <v>HEDGE TRIMMER, BATTERY</v>
      </c>
      <c r="L609" s="36">
        <v>967107001</v>
      </c>
      <c r="M609" s="35" t="s">
        <v>2293</v>
      </c>
      <c r="O609" s="35" t="s">
        <v>5520</v>
      </c>
      <c r="P609" s="37" t="s">
        <v>5521</v>
      </c>
      <c r="Q609" s="34" t="s">
        <v>3549</v>
      </c>
      <c r="R609" s="34" t="s">
        <v>3540</v>
      </c>
      <c r="S609" s="47">
        <v>42736</v>
      </c>
      <c r="T609" s="47">
        <v>0</v>
      </c>
      <c r="U609" s="47">
        <v>0</v>
      </c>
      <c r="V609" s="34">
        <v>4078500025522</v>
      </c>
      <c r="W609" s="34" t="s">
        <v>3546</v>
      </c>
      <c r="X609" s="34" t="s">
        <v>3551</v>
      </c>
      <c r="Y609" s="34" t="s">
        <v>3542</v>
      </c>
      <c r="Z609" s="34">
        <v>1</v>
      </c>
      <c r="AB609" s="34" t="s">
        <v>5522</v>
      </c>
      <c r="AD609" s="34" t="s">
        <v>5482</v>
      </c>
      <c r="AE609" s="34" t="s">
        <v>5088</v>
      </c>
      <c r="AF609" s="34" t="s">
        <v>3826</v>
      </c>
      <c r="AG609" s="34" t="s">
        <v>3611</v>
      </c>
      <c r="AH609" s="34" t="s">
        <v>5423</v>
      </c>
      <c r="AI609" s="34" t="s">
        <v>5424</v>
      </c>
      <c r="AJ609" s="34" t="s">
        <v>3765</v>
      </c>
      <c r="AK609" s="34" t="s">
        <v>4646</v>
      </c>
      <c r="AL609" s="34" t="s">
        <v>3842</v>
      </c>
      <c r="AM609" s="40" t="s">
        <v>9</v>
      </c>
      <c r="AP609" s="34">
        <v>0</v>
      </c>
      <c r="AQ609" s="34">
        <v>9390</v>
      </c>
      <c r="AR609" s="34">
        <v>6417</v>
      </c>
      <c r="AT609" s="44">
        <v>727300</v>
      </c>
      <c r="AU609" s="44"/>
      <c r="AV609" s="46">
        <f>ROUND(Товары[[#This Row],[РРЦ финальная, руб.]]/$AU$1,2)</f>
        <v>0</v>
      </c>
      <c r="AW609" s="45" t="str">
        <f>IFERROR(Товары[[#This Row],[РРЦ, евро]]/Товары[[#This Row],[IRP, Eur]],"-")</f>
        <v>-</v>
      </c>
      <c r="AX609" s="42">
        <f>IFERROR(VLOOKUP(Товары[[#This Row],[SubGroup]],'Структура цен DIY'!$B:$C,2,FALSE),0)</f>
        <v>0.17999999999999994</v>
      </c>
      <c r="AY609" s="44">
        <v>0</v>
      </c>
    </row>
    <row r="610" spans="1:51" x14ac:dyDescent="0.25">
      <c r="A610" s="34">
        <v>608</v>
      </c>
      <c r="B610" s="34" t="s">
        <v>50</v>
      </c>
      <c r="C610" s="110" t="str">
        <f>IFERROR(INDEX(Структура_ассортимента[SuperCategory],MATCH(Товары[[#This Row],[SubGroup]],Структура_ассортимента[Subgroup],0)),"")</f>
        <v>H</v>
      </c>
      <c r="D610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10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10" s="110" t="str">
        <f>IFERROR(INDEX(Структура_ассортимента[Product group],MATCH(Товары[[#This Row],[SubGroup]],Структура_ассортимента[Subgroup],0)),"")</f>
        <v>HEH_P</v>
      </c>
      <c r="G610" s="110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10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10" s="36">
        <v>9346</v>
      </c>
      <c r="J610" s="36" t="str">
        <f>IFERROR(INDEX(Структура_ассортимента[Generic Name (long)],MATCH(Товары[[#This Row],[SubGroup]],Структура_ассортимента[Subgroup],0)),"")</f>
        <v>HEDGE TRIMMER, BATTERY</v>
      </c>
      <c r="L610" s="36">
        <v>966758601</v>
      </c>
      <c r="M610" s="35" t="s">
        <v>2294</v>
      </c>
      <c r="Q610" s="34" t="s">
        <v>3544</v>
      </c>
      <c r="R610" s="34" t="s">
        <v>3540</v>
      </c>
      <c r="S610" s="47">
        <v>40909</v>
      </c>
      <c r="T610" s="47">
        <v>0</v>
      </c>
      <c r="U610" s="47">
        <v>0</v>
      </c>
      <c r="V610" s="34">
        <v>4078500887205</v>
      </c>
      <c r="W610" s="34" t="s">
        <v>5317</v>
      </c>
      <c r="Y610" s="34" t="s">
        <v>3542</v>
      </c>
      <c r="Z610" s="34">
        <v>1</v>
      </c>
      <c r="AA610" s="34">
        <v>4700</v>
      </c>
      <c r="AB610" s="34">
        <v>4700</v>
      </c>
      <c r="AC610" s="34">
        <v>4200</v>
      </c>
      <c r="AD610" s="34">
        <v>4200</v>
      </c>
      <c r="AE610" s="34">
        <v>930</v>
      </c>
      <c r="AF610" s="34">
        <v>155</v>
      </c>
      <c r="AG610" s="34">
        <v>155</v>
      </c>
      <c r="AH610" s="34">
        <v>22343</v>
      </c>
      <c r="AM610" s="40" t="s">
        <v>8094</v>
      </c>
      <c r="AT610" s="44">
        <v>0</v>
      </c>
      <c r="AU610" s="44"/>
      <c r="AV610" s="46">
        <f>ROUND(Товары[[#This Row],[РРЦ финальная, руб.]]/$AU$1,2)</f>
        <v>0</v>
      </c>
      <c r="AW610" s="45" t="str">
        <f>IFERROR(Товары[[#This Row],[РРЦ, евро]]/Товары[[#This Row],[IRP, Eur]],"-")</f>
        <v>-</v>
      </c>
      <c r="AX610" s="42">
        <f>IFERROR(VLOOKUP(Товары[[#This Row],[SubGroup]],'Структура цен DIY'!$B:$C,2,FALSE),0)</f>
        <v>0.17999999999999994</v>
      </c>
      <c r="AY610" s="44">
        <v>0</v>
      </c>
    </row>
    <row r="611" spans="1:51" x14ac:dyDescent="0.25">
      <c r="A611" s="34">
        <v>609</v>
      </c>
      <c r="B611" s="34" t="s">
        <v>50</v>
      </c>
      <c r="C611" s="110" t="str">
        <f>IFERROR(INDEX(Структура_ассортимента[SuperCategory],MATCH(Товары[[#This Row],[SubGroup]],Структура_ассортимента[Subgroup],0)),"")</f>
        <v>H</v>
      </c>
      <c r="D611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11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11" s="110" t="str">
        <f>IFERROR(INDEX(Структура_ассортимента[Product group],MATCH(Товары[[#This Row],[SubGroup]],Структура_ассортимента[Subgroup],0)),"")</f>
        <v>HEH_P</v>
      </c>
      <c r="G611" s="110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11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11" s="36">
        <v>9346</v>
      </c>
      <c r="J611" s="36" t="str">
        <f>IFERROR(INDEX(Структура_ассортимента[Generic Name (long)],MATCH(Товары[[#This Row],[SubGroup]],Структура_ассортимента[Subgroup],0)),"")</f>
        <v>HEDGE TRIMMER, BATTERY</v>
      </c>
      <c r="L611" s="36">
        <v>967276201</v>
      </c>
      <c r="M611" s="35" t="s">
        <v>2295</v>
      </c>
      <c r="Q611" s="34" t="s">
        <v>3544</v>
      </c>
      <c r="R611" s="34" t="s">
        <v>3540</v>
      </c>
      <c r="S611" s="47">
        <v>0</v>
      </c>
      <c r="T611" s="47">
        <v>0</v>
      </c>
      <c r="U611" s="47">
        <v>0</v>
      </c>
      <c r="V611" s="34">
        <v>4078500002691</v>
      </c>
      <c r="W611" s="34" t="s">
        <v>3647</v>
      </c>
      <c r="Y611" s="34" t="s">
        <v>3542</v>
      </c>
      <c r="Z611" s="34">
        <v>1</v>
      </c>
      <c r="AA611" s="34">
        <v>4750</v>
      </c>
      <c r="AB611" s="34">
        <v>4750</v>
      </c>
      <c r="AC611" s="34">
        <v>4200</v>
      </c>
      <c r="AD611" s="34">
        <v>4200</v>
      </c>
      <c r="AE611" s="34">
        <v>990</v>
      </c>
      <c r="AF611" s="34">
        <v>155</v>
      </c>
      <c r="AG611" s="34">
        <v>123</v>
      </c>
      <c r="AH611" s="34">
        <v>18874</v>
      </c>
      <c r="AM611" s="40" t="s">
        <v>8094</v>
      </c>
      <c r="AT611" s="44">
        <v>0</v>
      </c>
      <c r="AU611" s="44"/>
      <c r="AV611" s="46">
        <f>ROUND(Товары[[#This Row],[РРЦ финальная, руб.]]/$AU$1,2)</f>
        <v>0</v>
      </c>
      <c r="AW611" s="45" t="str">
        <f>IFERROR(Товары[[#This Row],[РРЦ, евро]]/Товары[[#This Row],[IRP, Eur]],"-")</f>
        <v>-</v>
      </c>
      <c r="AX611" s="42">
        <f>IFERROR(VLOOKUP(Товары[[#This Row],[SubGroup]],'Структура цен DIY'!$B:$C,2,FALSE),0)</f>
        <v>0.17999999999999994</v>
      </c>
      <c r="AY611" s="44">
        <v>0</v>
      </c>
    </row>
    <row r="612" spans="1:51" x14ac:dyDescent="0.25">
      <c r="A612" s="34">
        <v>610</v>
      </c>
      <c r="B612" s="34" t="s">
        <v>50</v>
      </c>
      <c r="C612" s="110" t="str">
        <f>IFERROR(INDEX(Структура_ассортимента[SuperCategory],MATCH(Товары[[#This Row],[SubGroup]],Структура_ассортимента[Subgroup],0)),"")</f>
        <v>H</v>
      </c>
      <c r="D612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12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12" s="110" t="str">
        <f>IFERROR(INDEX(Структура_ассортимента[Product group],MATCH(Товары[[#This Row],[SubGroup]],Структура_ассортимента[Subgroup],0)),"")</f>
        <v>HEH_P</v>
      </c>
      <c r="G612" s="110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12" s="110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12" s="36">
        <v>9346</v>
      </c>
      <c r="J612" s="36" t="str">
        <f>IFERROR(INDEX(Структура_ассортимента[Generic Name (long)],MATCH(Товары[[#This Row],[SubGroup]],Структура_ассортимента[Subgroup],0)),"")</f>
        <v>HEDGE TRIMMER, BATTERY</v>
      </c>
      <c r="L612" s="36">
        <v>967106801</v>
      </c>
      <c r="M612" s="35" t="s">
        <v>2296</v>
      </c>
      <c r="Q612" s="34" t="s">
        <v>3544</v>
      </c>
      <c r="R612" s="34" t="s">
        <v>3540</v>
      </c>
      <c r="S612" s="47">
        <v>0</v>
      </c>
      <c r="T612" s="47">
        <v>0</v>
      </c>
      <c r="U612" s="47">
        <v>0</v>
      </c>
      <c r="V612" s="34">
        <v>4078500025515</v>
      </c>
      <c r="W612" s="34" t="s">
        <v>3647</v>
      </c>
      <c r="Y612" s="34" t="s">
        <v>3542</v>
      </c>
      <c r="Z612" s="34">
        <v>1</v>
      </c>
      <c r="AA612" s="34">
        <v>3740</v>
      </c>
      <c r="AC612" s="34">
        <v>3500</v>
      </c>
      <c r="AE612" s="34">
        <v>1100</v>
      </c>
      <c r="AF612" s="34">
        <v>275</v>
      </c>
      <c r="AG612" s="34">
        <v>175</v>
      </c>
      <c r="AH612" s="34" t="s">
        <v>5523</v>
      </c>
      <c r="AM612" s="40" t="s">
        <v>8094</v>
      </c>
      <c r="AT612" s="44">
        <v>0</v>
      </c>
      <c r="AU612" s="44"/>
      <c r="AV612" s="46">
        <f>ROUND(Товары[[#This Row],[РРЦ финальная, руб.]]/$AU$1,2)</f>
        <v>0</v>
      </c>
      <c r="AW612" s="45" t="str">
        <f>IFERROR(Товары[[#This Row],[РРЦ, евро]]/Товары[[#This Row],[IRP, Eur]],"-")</f>
        <v>-</v>
      </c>
      <c r="AX612" s="42">
        <f>IFERROR(VLOOKUP(Товары[[#This Row],[SubGroup]],'Структура цен DIY'!$B:$C,2,FALSE),0)</f>
        <v>0.17999999999999994</v>
      </c>
      <c r="AY612" s="44">
        <v>0</v>
      </c>
    </row>
    <row r="613" spans="1:51" x14ac:dyDescent="0.25">
      <c r="A613" s="34">
        <v>611</v>
      </c>
      <c r="B613" s="34" t="s">
        <v>50</v>
      </c>
      <c r="C613" s="110" t="str">
        <f>IFERROR(INDEX(Структура_ассортимента[SuperCategory],MATCH(Товары[[#This Row],[SubGroup]],Структура_ассортимента[Subgroup],0)),"")</f>
        <v>H</v>
      </c>
      <c r="D613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13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13" s="110" t="str">
        <f>IFERROR(INDEX(Структура_ассортимента[Product group],MATCH(Товары[[#This Row],[SubGroup]],Структура_ассортимента[Subgroup],0)),"")</f>
        <v>HET_C</v>
      </c>
      <c r="G613" s="110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13" s="110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13" s="36">
        <v>9321</v>
      </c>
      <c r="J613" s="36" t="str">
        <f>IFERROR(INDEX(Структура_ассортимента[Generic Name (long)],MATCH(Товары[[#This Row],[SubGroup]],Структура_ассортимента[Subgroup],0)),"")</f>
        <v>TRIMMER, CORDED</v>
      </c>
      <c r="L613" s="36">
        <v>967647401</v>
      </c>
      <c r="M613" s="35" t="s">
        <v>2297</v>
      </c>
      <c r="Q613" s="34" t="s">
        <v>3549</v>
      </c>
      <c r="R613" s="34" t="s">
        <v>3540</v>
      </c>
      <c r="S613" s="47">
        <v>42736</v>
      </c>
      <c r="T613" s="47">
        <v>0</v>
      </c>
      <c r="U613" s="47">
        <v>0</v>
      </c>
      <c r="V613" s="34">
        <v>4078500029759</v>
      </c>
      <c r="W613" s="34" t="s">
        <v>3546</v>
      </c>
      <c r="X613" s="34" t="s">
        <v>3551</v>
      </c>
      <c r="Y613" s="34" t="s">
        <v>3542</v>
      </c>
      <c r="Z613" s="34">
        <v>1</v>
      </c>
      <c r="AB613" s="34" t="s">
        <v>5447</v>
      </c>
      <c r="AD613" s="34" t="s">
        <v>5524</v>
      </c>
      <c r="AE613" s="34" t="s">
        <v>5525</v>
      </c>
      <c r="AF613" s="34" t="s">
        <v>3743</v>
      </c>
      <c r="AG613" s="34" t="s">
        <v>5526</v>
      </c>
      <c r="AH613" s="34" t="s">
        <v>5527</v>
      </c>
      <c r="AI613" s="34" t="s">
        <v>5528</v>
      </c>
      <c r="AJ613" s="34" t="s">
        <v>5529</v>
      </c>
      <c r="AK613" s="34" t="s">
        <v>5530</v>
      </c>
      <c r="AL613" s="34" t="s">
        <v>4513</v>
      </c>
      <c r="AM613" s="40" t="s">
        <v>8095</v>
      </c>
      <c r="AT613" s="44">
        <v>0</v>
      </c>
      <c r="AU613" s="44"/>
      <c r="AV613" s="46">
        <f>ROUND(Товары[[#This Row],[РРЦ финальная, руб.]]/$AU$1,2)</f>
        <v>0</v>
      </c>
      <c r="AW613" s="45" t="str">
        <f>IFERROR(Товары[[#This Row],[РРЦ, евро]]/Товары[[#This Row],[IRP, Eur]],"-")</f>
        <v>-</v>
      </c>
      <c r="AX613" s="42">
        <f>IFERROR(VLOOKUP(Товары[[#This Row],[SubGroup]],'Структура цен DIY'!$B:$C,2,FALSE),0)</f>
        <v>0.17999999999999994</v>
      </c>
      <c r="AY613" s="44">
        <v>0</v>
      </c>
    </row>
    <row r="614" spans="1:51" x14ac:dyDescent="0.25">
      <c r="A614" s="34">
        <v>612</v>
      </c>
      <c r="B614" s="34" t="s">
        <v>50</v>
      </c>
      <c r="C614" s="110" t="str">
        <f>IFERROR(INDEX(Структура_ассортимента[SuperCategory],MATCH(Товары[[#This Row],[SubGroup]],Структура_ассортимента[Subgroup],0)),"")</f>
        <v>H</v>
      </c>
      <c r="D614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14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14" s="110" t="str">
        <f>IFERROR(INDEX(Структура_ассортимента[Product group],MATCH(Товары[[#This Row],[SubGroup]],Структура_ассортимента[Subgroup],0)),"")</f>
        <v>HET_C</v>
      </c>
      <c r="G614" s="110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14" s="110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14" s="36">
        <v>9321</v>
      </c>
      <c r="J614" s="36" t="str">
        <f>IFERROR(INDEX(Структура_ассортимента[Generic Name (long)],MATCH(Товары[[#This Row],[SubGroup]],Структура_ассортимента[Subgroup],0)),"")</f>
        <v>TRIMMER, CORDED</v>
      </c>
      <c r="L614" s="36">
        <v>967623801</v>
      </c>
      <c r="M614" s="35" t="s">
        <v>2298</v>
      </c>
      <c r="O614" s="35" t="s">
        <v>5531</v>
      </c>
      <c r="P614" s="37" t="s">
        <v>5532</v>
      </c>
      <c r="Q614" s="34" t="s">
        <v>3549</v>
      </c>
      <c r="R614" s="34" t="s">
        <v>3540</v>
      </c>
      <c r="S614" s="47">
        <v>42415</v>
      </c>
      <c r="T614" s="47">
        <v>0</v>
      </c>
      <c r="U614" s="47">
        <v>0</v>
      </c>
      <c r="V614" s="34">
        <v>4078500016506</v>
      </c>
      <c r="W614" s="34" t="s">
        <v>3550</v>
      </c>
      <c r="X614" s="34" t="s">
        <v>3551</v>
      </c>
      <c r="Y614" s="34" t="s">
        <v>3542</v>
      </c>
      <c r="Z614" s="34">
        <v>1</v>
      </c>
      <c r="AA614" s="34" t="s">
        <v>5533</v>
      </c>
      <c r="AB614" s="34" t="s">
        <v>5534</v>
      </c>
      <c r="AC614" s="34" t="s">
        <v>5535</v>
      </c>
      <c r="AD614" s="34" t="s">
        <v>5535</v>
      </c>
      <c r="AE614" s="34" t="s">
        <v>5525</v>
      </c>
      <c r="AF614" s="34" t="s">
        <v>3743</v>
      </c>
      <c r="AG614" s="34" t="s">
        <v>5526</v>
      </c>
      <c r="AH614" s="34" t="s">
        <v>5527</v>
      </c>
      <c r="AI614" s="34" t="s">
        <v>5528</v>
      </c>
      <c r="AJ614" s="34" t="s">
        <v>5529</v>
      </c>
      <c r="AK614" s="34" t="s">
        <v>5530</v>
      </c>
      <c r="AL614" s="34" t="s">
        <v>4513</v>
      </c>
      <c r="AM614" s="40" t="s">
        <v>9</v>
      </c>
      <c r="AP614" s="34">
        <v>0</v>
      </c>
      <c r="AQ614" s="34">
        <v>4190</v>
      </c>
      <c r="AR614" s="34">
        <v>2863</v>
      </c>
      <c r="AT614" s="44">
        <v>324500</v>
      </c>
      <c r="AU614" s="44"/>
      <c r="AV614" s="46">
        <f>ROUND(Товары[[#This Row],[РРЦ финальная, руб.]]/$AU$1,2)</f>
        <v>0</v>
      </c>
      <c r="AW614" s="45" t="str">
        <f>IFERROR(Товары[[#This Row],[РРЦ, евро]]/Товары[[#This Row],[IRP, Eur]],"-")</f>
        <v>-</v>
      </c>
      <c r="AX614" s="42">
        <f>IFERROR(VLOOKUP(Товары[[#This Row],[SubGroup]],'Структура цен DIY'!$B:$C,2,FALSE),0)</f>
        <v>0.17999999999999994</v>
      </c>
      <c r="AY614" s="44">
        <v>0</v>
      </c>
    </row>
    <row r="615" spans="1:51" x14ac:dyDescent="0.25">
      <c r="A615" s="34">
        <v>613</v>
      </c>
      <c r="B615" s="34" t="s">
        <v>50</v>
      </c>
      <c r="C615" s="110" t="str">
        <f>IFERROR(INDEX(Структура_ассортимента[SuperCategory],MATCH(Товары[[#This Row],[SubGroup]],Структура_ассортимента[Subgroup],0)),"")</f>
        <v>H</v>
      </c>
      <c r="D615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15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15" s="110" t="str">
        <f>IFERROR(INDEX(Структура_ассортимента[Product group],MATCH(Товары[[#This Row],[SubGroup]],Структура_ассортимента[Subgroup],0)),"")</f>
        <v>HET_C</v>
      </c>
      <c r="G615" s="110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15" s="110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15" s="36">
        <v>9321</v>
      </c>
      <c r="J615" s="36" t="str">
        <f>IFERROR(INDEX(Структура_ассортимента[Generic Name (long)],MATCH(Товары[[#This Row],[SubGroup]],Структура_ассортимента[Subgroup],0)),"")</f>
        <v>TRIMMER, CORDED</v>
      </c>
      <c r="L615" s="36">
        <v>967623901</v>
      </c>
      <c r="M615" s="35" t="s">
        <v>2299</v>
      </c>
      <c r="O615" s="35" t="s">
        <v>5536</v>
      </c>
      <c r="P615" s="37" t="s">
        <v>5537</v>
      </c>
      <c r="Q615" s="34" t="s">
        <v>3549</v>
      </c>
      <c r="R615" s="34" t="s">
        <v>3540</v>
      </c>
      <c r="S615" s="47">
        <v>42415</v>
      </c>
      <c r="T615" s="47">
        <v>0</v>
      </c>
      <c r="U615" s="47">
        <v>0</v>
      </c>
      <c r="V615" s="34">
        <v>4078500016513</v>
      </c>
      <c r="W615" s="34" t="s">
        <v>3550</v>
      </c>
      <c r="X615" s="34" t="s">
        <v>3551</v>
      </c>
      <c r="Y615" s="34" t="s">
        <v>3542</v>
      </c>
      <c r="Z615" s="34">
        <v>1</v>
      </c>
      <c r="AA615" s="34" t="s">
        <v>5359</v>
      </c>
      <c r="AB615" s="34" t="s">
        <v>5538</v>
      </c>
      <c r="AC615" s="34" t="s">
        <v>5539</v>
      </c>
      <c r="AD615" s="34" t="s">
        <v>5539</v>
      </c>
      <c r="AE615" s="34" t="s">
        <v>4125</v>
      </c>
      <c r="AF615" s="34" t="s">
        <v>3743</v>
      </c>
      <c r="AG615" s="34" t="s">
        <v>3765</v>
      </c>
      <c r="AH615" s="34" t="s">
        <v>5540</v>
      </c>
      <c r="AI615" s="34" t="s">
        <v>3745</v>
      </c>
      <c r="AJ615" s="34" t="s">
        <v>5541</v>
      </c>
      <c r="AK615" s="34" t="s">
        <v>3942</v>
      </c>
      <c r="AL615" s="34" t="s">
        <v>4513</v>
      </c>
      <c r="AM615" s="40" t="s">
        <v>9</v>
      </c>
      <c r="AP615" s="34">
        <v>0</v>
      </c>
      <c r="AQ615" s="34">
        <v>4490</v>
      </c>
      <c r="AR615" s="34">
        <v>3068</v>
      </c>
      <c r="AT615" s="44">
        <v>347800</v>
      </c>
      <c r="AU615" s="44"/>
      <c r="AV615" s="46">
        <f>ROUND(Товары[[#This Row],[РРЦ финальная, руб.]]/$AU$1,2)</f>
        <v>0</v>
      </c>
      <c r="AW615" s="45" t="str">
        <f>IFERROR(Товары[[#This Row],[РРЦ, евро]]/Товары[[#This Row],[IRP, Eur]],"-")</f>
        <v>-</v>
      </c>
      <c r="AX615" s="42">
        <f>IFERROR(VLOOKUP(Товары[[#This Row],[SubGroup]],'Структура цен DIY'!$B:$C,2,FALSE),0)</f>
        <v>0.17999999999999994</v>
      </c>
      <c r="AY615" s="44">
        <v>0</v>
      </c>
    </row>
    <row r="616" spans="1:51" x14ac:dyDescent="0.25">
      <c r="A616" s="34">
        <v>614</v>
      </c>
      <c r="B616" s="34" t="s">
        <v>50</v>
      </c>
      <c r="C616" s="110" t="str">
        <f>IFERROR(INDEX(Структура_ассортимента[SuperCategory],MATCH(Товары[[#This Row],[SubGroup]],Структура_ассортимента[Subgroup],0)),"")</f>
        <v>H</v>
      </c>
      <c r="D616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16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16" s="110" t="str">
        <f>IFERROR(INDEX(Структура_ассортимента[Product group],MATCH(Товары[[#This Row],[SubGroup]],Структура_ассортимента[Subgroup],0)),"")</f>
        <v>HET_C</v>
      </c>
      <c r="G616" s="110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16" s="110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16" s="36">
        <v>9321</v>
      </c>
      <c r="J616" s="36" t="str">
        <f>IFERROR(INDEX(Структура_ассортимента[Generic Name (long)],MATCH(Товары[[#This Row],[SubGroup]],Структура_ассортимента[Subgroup],0)),"")</f>
        <v>TRIMMER, CORDED</v>
      </c>
      <c r="L616" s="36">
        <v>967815501</v>
      </c>
      <c r="M616" s="35" t="s">
        <v>2300</v>
      </c>
      <c r="Q616" s="34" t="s">
        <v>3549</v>
      </c>
      <c r="R616" s="34" t="s">
        <v>3540</v>
      </c>
      <c r="S616" s="47">
        <v>43101</v>
      </c>
      <c r="T616" s="47">
        <v>0</v>
      </c>
      <c r="U616" s="47">
        <v>0</v>
      </c>
      <c r="V616" s="34">
        <v>4078500039956</v>
      </c>
      <c r="W616" s="34" t="s">
        <v>3546</v>
      </c>
      <c r="X616" s="34" t="s">
        <v>3551</v>
      </c>
      <c r="Y616" s="34" t="s">
        <v>3542</v>
      </c>
      <c r="Z616" s="34">
        <v>1</v>
      </c>
      <c r="AB616" s="34" t="s">
        <v>5542</v>
      </c>
      <c r="AD616" s="34" t="s">
        <v>5539</v>
      </c>
      <c r="AE616" s="34" t="s">
        <v>4125</v>
      </c>
      <c r="AF616" s="34" t="s">
        <v>3743</v>
      </c>
      <c r="AG616" s="34" t="s">
        <v>3765</v>
      </c>
      <c r="AH616" s="34" t="s">
        <v>5540</v>
      </c>
      <c r="AI616" s="34" t="s">
        <v>3745</v>
      </c>
      <c r="AJ616" s="34" t="s">
        <v>5541</v>
      </c>
      <c r="AK616" s="34" t="s">
        <v>3942</v>
      </c>
      <c r="AL616" s="34" t="s">
        <v>4513</v>
      </c>
      <c r="AM616" s="40" t="s">
        <v>8095</v>
      </c>
      <c r="AT616" s="44">
        <v>0</v>
      </c>
      <c r="AU616" s="44"/>
      <c r="AV616" s="46">
        <f>ROUND(Товары[[#This Row],[РРЦ финальная, руб.]]/$AU$1,2)</f>
        <v>0</v>
      </c>
      <c r="AW616" s="45" t="str">
        <f>IFERROR(Товары[[#This Row],[РРЦ, евро]]/Товары[[#This Row],[IRP, Eur]],"-")</f>
        <v>-</v>
      </c>
      <c r="AX616" s="42">
        <f>IFERROR(VLOOKUP(Товары[[#This Row],[SubGroup]],'Структура цен DIY'!$B:$C,2,FALSE),0)</f>
        <v>0.17999999999999994</v>
      </c>
      <c r="AY616" s="44">
        <v>0</v>
      </c>
    </row>
    <row r="617" spans="1:51" x14ac:dyDescent="0.25">
      <c r="A617" s="34">
        <v>615</v>
      </c>
      <c r="B617" s="34" t="s">
        <v>50</v>
      </c>
      <c r="C617" s="110" t="str">
        <f>IFERROR(INDEX(Структура_ассортимента[SuperCategory],MATCH(Товары[[#This Row],[SubGroup]],Структура_ассортимента[Subgroup],0)),"")</f>
        <v>H</v>
      </c>
      <c r="D617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17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17" s="110" t="str">
        <f>IFERROR(INDEX(Структура_ассортимента[Product group],MATCH(Товары[[#This Row],[SubGroup]],Структура_ассортимента[Subgroup],0)),"")</f>
        <v>HET_C</v>
      </c>
      <c r="G617" s="110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17" s="110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17" s="36">
        <v>9321</v>
      </c>
      <c r="J617" s="36" t="str">
        <f>IFERROR(INDEX(Структура_ассортимента[Generic Name (long)],MATCH(Товары[[#This Row],[SubGroup]],Структура_ассортимента[Subgroup],0)),"")</f>
        <v>TRIMMER, CORDED</v>
      </c>
      <c r="L617" s="36">
        <v>967981101</v>
      </c>
      <c r="M617" s="35" t="s">
        <v>2301</v>
      </c>
      <c r="O617" s="35" t="s">
        <v>5543</v>
      </c>
      <c r="P617" s="37" t="s">
        <v>5544</v>
      </c>
      <c r="Q617" s="34" t="s">
        <v>3549</v>
      </c>
      <c r="R617" s="34" t="s">
        <v>3540</v>
      </c>
      <c r="S617" s="47">
        <v>43831</v>
      </c>
      <c r="T617" s="47">
        <v>0</v>
      </c>
      <c r="U617" s="47">
        <v>0</v>
      </c>
      <c r="V617" s="34">
        <v>4078500048590</v>
      </c>
      <c r="W617" s="34" t="s">
        <v>3546</v>
      </c>
      <c r="X617" s="34" t="s">
        <v>3551</v>
      </c>
      <c r="Y617" s="34" t="s">
        <v>3542</v>
      </c>
      <c r="Z617" s="34">
        <v>1</v>
      </c>
      <c r="AA617" s="34" t="s">
        <v>5508</v>
      </c>
      <c r="AB617" s="34" t="s">
        <v>5508</v>
      </c>
      <c r="AC617" s="34" t="s">
        <v>5438</v>
      </c>
      <c r="AD617" s="34" t="s">
        <v>5438</v>
      </c>
      <c r="AE617" s="34" t="s">
        <v>5545</v>
      </c>
      <c r="AF617" s="34" t="s">
        <v>3989</v>
      </c>
      <c r="AG617" s="34" t="s">
        <v>5546</v>
      </c>
      <c r="AH617" s="34" t="s">
        <v>5547</v>
      </c>
      <c r="AI617" s="34" t="s">
        <v>3655</v>
      </c>
      <c r="AJ617" s="34" t="s">
        <v>5548</v>
      </c>
      <c r="AK617" s="34" t="s">
        <v>3722</v>
      </c>
      <c r="AL617" s="34" t="s">
        <v>3842</v>
      </c>
      <c r="AM617" s="40" t="s">
        <v>10</v>
      </c>
      <c r="AP617" s="34">
        <v>0</v>
      </c>
      <c r="AQ617" s="34">
        <v>4490</v>
      </c>
      <c r="AR617" s="34">
        <v>3068</v>
      </c>
      <c r="AT617" s="44">
        <v>347800</v>
      </c>
      <c r="AU617" s="44"/>
      <c r="AV617" s="46">
        <f>ROUND(Товары[[#This Row],[РРЦ финальная, руб.]]/$AU$1,2)</f>
        <v>0</v>
      </c>
      <c r="AW617" s="45" t="str">
        <f>IFERROR(Товары[[#This Row],[РРЦ, евро]]/Товары[[#This Row],[IRP, Eur]],"-")</f>
        <v>-</v>
      </c>
      <c r="AX617" s="42">
        <f>IFERROR(VLOOKUP(Товары[[#This Row],[SubGroup]],'Структура цен DIY'!$B:$C,2,FALSE),0)</f>
        <v>0.17999999999999994</v>
      </c>
      <c r="AY617" s="44">
        <v>0</v>
      </c>
    </row>
    <row r="618" spans="1:51" x14ac:dyDescent="0.25">
      <c r="A618" s="34">
        <v>616</v>
      </c>
      <c r="B618" s="34" t="s">
        <v>50</v>
      </c>
      <c r="C618" s="110" t="str">
        <f>IFERROR(INDEX(Структура_ассортимента[SuperCategory],MATCH(Товары[[#This Row],[SubGroup]],Структура_ассортимента[Subgroup],0)),"")</f>
        <v>H</v>
      </c>
      <c r="D618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18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18" s="110" t="str">
        <f>IFERROR(INDEX(Структура_ассортимента[Product group],MATCH(Товары[[#This Row],[SubGroup]],Структура_ассортимента[Subgroup],0)),"")</f>
        <v>HET_C</v>
      </c>
      <c r="G618" s="110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18" s="110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18" s="36">
        <v>9321</v>
      </c>
      <c r="J618" s="36" t="str">
        <f>IFERROR(INDEX(Структура_ассортимента[Generic Name (long)],MATCH(Товары[[#This Row],[SubGroup]],Структура_ассортимента[Subgroup],0)),"")</f>
        <v>TRIMMER, CORDED</v>
      </c>
      <c r="L618" s="36">
        <v>967986301</v>
      </c>
      <c r="M618" s="35" t="s">
        <v>2302</v>
      </c>
      <c r="O618" s="35" t="s">
        <v>5549</v>
      </c>
      <c r="P618" s="37" t="s">
        <v>5550</v>
      </c>
      <c r="Q618" s="34" t="s">
        <v>3549</v>
      </c>
      <c r="R618" s="34" t="s">
        <v>3540</v>
      </c>
      <c r="S618" s="47">
        <v>43831</v>
      </c>
      <c r="T618" s="47">
        <v>0</v>
      </c>
      <c r="U618" s="47">
        <v>0</v>
      </c>
      <c r="V618" s="34">
        <v>4078500048989</v>
      </c>
      <c r="W618" s="34" t="s">
        <v>3546</v>
      </c>
      <c r="X618" s="34" t="s">
        <v>3551</v>
      </c>
      <c r="Y618" s="34" t="s">
        <v>3542</v>
      </c>
      <c r="Z618" s="34">
        <v>1</v>
      </c>
      <c r="AA618" s="34" t="s">
        <v>5436</v>
      </c>
      <c r="AB618" s="34" t="s">
        <v>5436</v>
      </c>
      <c r="AC618" s="34" t="s">
        <v>4449</v>
      </c>
      <c r="AD618" s="34" t="s">
        <v>4449</v>
      </c>
      <c r="AE618" s="34" t="s">
        <v>5545</v>
      </c>
      <c r="AF618" s="34" t="s">
        <v>3989</v>
      </c>
      <c r="AG618" s="34" t="s">
        <v>5546</v>
      </c>
      <c r="AH618" s="34" t="s">
        <v>5547</v>
      </c>
      <c r="AI618" s="34" t="s">
        <v>4510</v>
      </c>
      <c r="AJ618" s="34" t="s">
        <v>5548</v>
      </c>
      <c r="AK618" s="34" t="s">
        <v>3722</v>
      </c>
      <c r="AL618" s="34" t="s">
        <v>3842</v>
      </c>
      <c r="AM618" s="40" t="s">
        <v>10</v>
      </c>
      <c r="AP618" s="34">
        <v>0</v>
      </c>
      <c r="AQ618" s="34">
        <v>6490</v>
      </c>
      <c r="AR618" s="34">
        <v>4435</v>
      </c>
      <c r="AT618" s="44">
        <v>502700</v>
      </c>
      <c r="AU618" s="44"/>
      <c r="AV618" s="46">
        <f>ROUND(Товары[[#This Row],[РРЦ финальная, руб.]]/$AU$1,2)</f>
        <v>0</v>
      </c>
      <c r="AW618" s="45" t="str">
        <f>IFERROR(Товары[[#This Row],[РРЦ, евро]]/Товары[[#This Row],[IRP, Eur]],"-")</f>
        <v>-</v>
      </c>
      <c r="AX618" s="42">
        <f>IFERROR(VLOOKUP(Товары[[#This Row],[SubGroup]],'Структура цен DIY'!$B:$C,2,FALSE),0)</f>
        <v>0.17999999999999994</v>
      </c>
      <c r="AY618" s="44">
        <v>0</v>
      </c>
    </row>
    <row r="619" spans="1:51" x14ac:dyDescent="0.25">
      <c r="A619" s="34">
        <v>617</v>
      </c>
      <c r="B619" s="34" t="s">
        <v>50</v>
      </c>
      <c r="C619" s="110" t="str">
        <f>IFERROR(INDEX(Структура_ассортимента[SuperCategory],MATCH(Товары[[#This Row],[SubGroup]],Структура_ассортимента[Subgroup],0)),"")</f>
        <v>H</v>
      </c>
      <c r="D619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19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19" s="110" t="str">
        <f>IFERROR(INDEX(Структура_ассортимента[Product group],MATCH(Товары[[#This Row],[SubGroup]],Структура_ассортимента[Subgroup],0)),"")</f>
        <v>HET_C</v>
      </c>
      <c r="G619" s="110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19" s="110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19" s="36">
        <v>9321</v>
      </c>
      <c r="J619" s="36" t="str">
        <f>IFERROR(INDEX(Структура_ассортимента[Generic Name (long)],MATCH(Товары[[#This Row],[SubGroup]],Структура_ассортимента[Subgroup],0)),"")</f>
        <v>TRIMMER, CORDED</v>
      </c>
      <c r="L619" s="36">
        <v>967986401</v>
      </c>
      <c r="M619" s="35" t="s">
        <v>2303</v>
      </c>
      <c r="O619" s="35" t="s">
        <v>5551</v>
      </c>
      <c r="P619" s="37" t="s">
        <v>5552</v>
      </c>
      <c r="Q619" s="34" t="s">
        <v>3549</v>
      </c>
      <c r="R619" s="34" t="s">
        <v>3540</v>
      </c>
      <c r="S619" s="47">
        <v>43831</v>
      </c>
      <c r="T619" s="47">
        <v>0</v>
      </c>
      <c r="U619" s="47">
        <v>0</v>
      </c>
      <c r="V619" s="34">
        <v>4078500048996</v>
      </c>
      <c r="W619" s="34" t="s">
        <v>3546</v>
      </c>
      <c r="X619" s="34" t="s">
        <v>3551</v>
      </c>
      <c r="Y619" s="34" t="s">
        <v>3542</v>
      </c>
      <c r="Z619" s="34">
        <v>1</v>
      </c>
      <c r="AA619" s="34" t="s">
        <v>5553</v>
      </c>
      <c r="AB619" s="34" t="s">
        <v>5553</v>
      </c>
      <c r="AC619" s="34" t="s">
        <v>5358</v>
      </c>
      <c r="AD619" s="34" t="s">
        <v>5358</v>
      </c>
      <c r="AE619" s="34" t="s">
        <v>5545</v>
      </c>
      <c r="AF619" s="34" t="s">
        <v>3989</v>
      </c>
      <c r="AG619" s="34" t="s">
        <v>5546</v>
      </c>
      <c r="AH619" s="34" t="s">
        <v>5547</v>
      </c>
      <c r="AI619" s="34" t="s">
        <v>4510</v>
      </c>
      <c r="AJ619" s="34" t="s">
        <v>5548</v>
      </c>
      <c r="AK619" s="34" t="s">
        <v>3722</v>
      </c>
      <c r="AL619" s="34" t="s">
        <v>3842</v>
      </c>
      <c r="AM619" s="40" t="s">
        <v>10</v>
      </c>
      <c r="AP619" s="34">
        <v>0</v>
      </c>
      <c r="AQ619" s="34">
        <v>7790</v>
      </c>
      <c r="AR619" s="34">
        <v>5323</v>
      </c>
      <c r="AT619" s="44">
        <v>603400</v>
      </c>
      <c r="AU619" s="44"/>
      <c r="AV619" s="46">
        <f>ROUND(Товары[[#This Row],[РРЦ финальная, руб.]]/$AU$1,2)</f>
        <v>0</v>
      </c>
      <c r="AW619" s="45" t="str">
        <f>IFERROR(Товары[[#This Row],[РРЦ, евро]]/Товары[[#This Row],[IRP, Eur]],"-")</f>
        <v>-</v>
      </c>
      <c r="AX619" s="42">
        <f>IFERROR(VLOOKUP(Товары[[#This Row],[SubGroup]],'Структура цен DIY'!$B:$C,2,FALSE),0)</f>
        <v>0.17999999999999994</v>
      </c>
      <c r="AY619" s="44">
        <v>0</v>
      </c>
    </row>
    <row r="620" spans="1:51" x14ac:dyDescent="0.25">
      <c r="A620" s="34">
        <v>618</v>
      </c>
      <c r="B620" s="34" t="s">
        <v>50</v>
      </c>
      <c r="C620" s="110" t="str">
        <f>IFERROR(INDEX(Структура_ассортимента[SuperCategory],MATCH(Товары[[#This Row],[SubGroup]],Структура_ассортимента[Subgroup],0)),"")</f>
        <v>H</v>
      </c>
      <c r="D620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20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20" s="110" t="str">
        <f>IFERROR(INDEX(Структура_ассортимента[Product group],MATCH(Товары[[#This Row],[SubGroup]],Структура_ассортимента[Subgroup],0)),"")</f>
        <v>HET_P</v>
      </c>
      <c r="G620" s="110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20" s="110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20" s="36">
        <v>9322</v>
      </c>
      <c r="J620" s="36" t="str">
        <f>IFERROR(INDEX(Структура_ассортимента[Generic Name (long)],MATCH(Товары[[#This Row],[SubGroup]],Структура_ассортимента[Subgroup],0)),"")</f>
        <v>TRIMMER, BATTERY</v>
      </c>
      <c r="L620" s="36">
        <v>967243301</v>
      </c>
      <c r="M620" s="35" t="s">
        <v>2304</v>
      </c>
      <c r="Q620" s="34" t="s">
        <v>3539</v>
      </c>
      <c r="R620" s="34" t="s">
        <v>3540</v>
      </c>
      <c r="S620" s="47">
        <v>41713</v>
      </c>
      <c r="T620" s="47">
        <v>0</v>
      </c>
      <c r="U620" s="47">
        <v>0</v>
      </c>
      <c r="V620" s="34">
        <v>4078500001564</v>
      </c>
      <c r="W620" s="34" t="s">
        <v>5554</v>
      </c>
      <c r="Y620" s="34" t="s">
        <v>3542</v>
      </c>
      <c r="Z620" s="34">
        <v>1</v>
      </c>
      <c r="AA620" s="34">
        <v>6000</v>
      </c>
      <c r="AB620" s="34">
        <v>4115</v>
      </c>
      <c r="AD620" s="34">
        <v>2800</v>
      </c>
      <c r="AE620" s="34">
        <v>891</v>
      </c>
      <c r="AF620" s="34">
        <v>260</v>
      </c>
      <c r="AG620" s="34">
        <v>166</v>
      </c>
      <c r="AM620" s="40" t="s">
        <v>8094</v>
      </c>
      <c r="AT620" s="44">
        <v>0</v>
      </c>
      <c r="AU620" s="44"/>
      <c r="AV620" s="46">
        <f>ROUND(Товары[[#This Row],[РРЦ финальная, руб.]]/$AU$1,2)</f>
        <v>0</v>
      </c>
      <c r="AW620" s="45" t="str">
        <f>IFERROR(Товары[[#This Row],[РРЦ, евро]]/Товары[[#This Row],[IRP, Eur]],"-")</f>
        <v>-</v>
      </c>
      <c r="AX620" s="42">
        <f>IFERROR(VLOOKUP(Товары[[#This Row],[SubGroup]],'Структура цен DIY'!$B:$C,2,FALSE),0)</f>
        <v>0.17999999999999994</v>
      </c>
      <c r="AY620" s="44">
        <v>0</v>
      </c>
    </row>
    <row r="621" spans="1:51" x14ac:dyDescent="0.25">
      <c r="A621" s="34">
        <v>619</v>
      </c>
      <c r="B621" s="34" t="s">
        <v>50</v>
      </c>
      <c r="C621" s="110" t="str">
        <f>IFERROR(INDEX(Структура_ассортимента[SuperCategory],MATCH(Товары[[#This Row],[SubGroup]],Структура_ассортимента[Subgroup],0)),"")</f>
        <v>H</v>
      </c>
      <c r="D621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21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21" s="110" t="str">
        <f>IFERROR(INDEX(Структура_ассортимента[Product group],MATCH(Товары[[#This Row],[SubGroup]],Структура_ассортимента[Subgroup],0)),"")</f>
        <v>HET_C</v>
      </c>
      <c r="G621" s="110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21" s="110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21" s="36">
        <v>9321</v>
      </c>
      <c r="J621" s="36" t="str">
        <f>IFERROR(INDEX(Структура_ассортимента[Generic Name (long)],MATCH(Товары[[#This Row],[SubGroup]],Структура_ассортимента[Subgroup],0)),"")</f>
        <v>TRIMMER, CORDED</v>
      </c>
      <c r="L621" s="36">
        <v>901200801</v>
      </c>
      <c r="M621" s="35" t="s">
        <v>2305</v>
      </c>
      <c r="Q621" s="34" t="s">
        <v>3539</v>
      </c>
      <c r="R621" s="34" t="s">
        <v>3540</v>
      </c>
      <c r="S621" s="47">
        <v>39722</v>
      </c>
      <c r="T621" s="47">
        <v>0</v>
      </c>
      <c r="U621" s="47">
        <v>0</v>
      </c>
      <c r="V621" s="34">
        <v>4078500884594</v>
      </c>
      <c r="W621" s="34" t="s">
        <v>5317</v>
      </c>
      <c r="Y621" s="34" t="s">
        <v>3542</v>
      </c>
      <c r="Z621" s="34">
        <v>1</v>
      </c>
      <c r="AA621" s="34">
        <v>3700</v>
      </c>
      <c r="AB621" s="34">
        <v>2800</v>
      </c>
      <c r="AC621" s="34">
        <v>2020</v>
      </c>
      <c r="AD621" s="34">
        <v>2020</v>
      </c>
      <c r="AE621" s="34">
        <v>655</v>
      </c>
      <c r="AF621" s="34">
        <v>220</v>
      </c>
      <c r="AG621" s="34">
        <v>155</v>
      </c>
      <c r="AH621" s="34">
        <v>22336</v>
      </c>
      <c r="AM621" s="40" t="s">
        <v>8094</v>
      </c>
      <c r="AT621" s="44">
        <v>0</v>
      </c>
      <c r="AU621" s="44"/>
      <c r="AV621" s="46">
        <f>ROUND(Товары[[#This Row],[РРЦ финальная, руб.]]/$AU$1,2)</f>
        <v>0</v>
      </c>
      <c r="AW621" s="45" t="str">
        <f>IFERROR(Товары[[#This Row],[РРЦ, евро]]/Товары[[#This Row],[IRP, Eur]],"-")</f>
        <v>-</v>
      </c>
      <c r="AX621" s="42">
        <f>IFERROR(VLOOKUP(Товары[[#This Row],[SubGroup]],'Структура цен DIY'!$B:$C,2,FALSE),0)</f>
        <v>0.17999999999999994</v>
      </c>
      <c r="AY621" s="44">
        <v>0</v>
      </c>
    </row>
    <row r="622" spans="1:51" x14ac:dyDescent="0.25">
      <c r="A622" s="34">
        <v>620</v>
      </c>
      <c r="B622" s="34" t="s">
        <v>50</v>
      </c>
      <c r="C622" s="110" t="str">
        <f>IFERROR(INDEX(Структура_ассортимента[SuperCategory],MATCH(Товары[[#This Row],[SubGroup]],Структура_ассортимента[Subgroup],0)),"")</f>
        <v>H</v>
      </c>
      <c r="D622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22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22" s="110" t="str">
        <f>IFERROR(INDEX(Структура_ассортимента[Product group],MATCH(Товары[[#This Row],[SubGroup]],Структура_ассортимента[Subgroup],0)),"")</f>
        <v>HET_C</v>
      </c>
      <c r="G622" s="110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22" s="110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22" s="36">
        <v>9321</v>
      </c>
      <c r="J622" s="36" t="str">
        <f>IFERROR(INDEX(Структура_ассортимента[Generic Name (long)],MATCH(Товары[[#This Row],[SubGroup]],Структура_ассортимента[Subgroup],0)),"")</f>
        <v>TRIMMER, CORDED</v>
      </c>
      <c r="L622" s="36">
        <v>967242301</v>
      </c>
      <c r="M622" s="35" t="s">
        <v>2306</v>
      </c>
      <c r="P622" s="37" t="s">
        <v>5555</v>
      </c>
      <c r="Q622" s="34" t="s">
        <v>3713</v>
      </c>
      <c r="R622" s="34" t="s">
        <v>3540</v>
      </c>
      <c r="S622" s="47">
        <v>42037</v>
      </c>
      <c r="T622" s="47">
        <v>43830</v>
      </c>
      <c r="U622" s="47">
        <v>43830</v>
      </c>
      <c r="V622" s="34">
        <v>4078500001595</v>
      </c>
      <c r="W622" s="34" t="s">
        <v>3546</v>
      </c>
      <c r="Y622" s="34" t="s">
        <v>3542</v>
      </c>
      <c r="Z622" s="34">
        <v>1</v>
      </c>
      <c r="AA622" s="34" t="s">
        <v>5556</v>
      </c>
      <c r="AB622" s="34" t="s">
        <v>5556</v>
      </c>
      <c r="AC622" s="34" t="s">
        <v>4877</v>
      </c>
      <c r="AD622" s="34" t="s">
        <v>4877</v>
      </c>
      <c r="AE622" s="34" t="s">
        <v>5557</v>
      </c>
      <c r="AF622" s="34" t="s">
        <v>3942</v>
      </c>
      <c r="AG622" s="34" t="s">
        <v>5509</v>
      </c>
      <c r="AH622" s="34" t="s">
        <v>5558</v>
      </c>
      <c r="AL622" s="34" t="s">
        <v>5504</v>
      </c>
      <c r="AM622" s="40" t="s">
        <v>233</v>
      </c>
      <c r="AP622" s="34">
        <v>0</v>
      </c>
      <c r="AQ622" s="34">
        <v>5990</v>
      </c>
      <c r="AR622" s="34">
        <v>4093</v>
      </c>
      <c r="AT622" s="44">
        <v>464000</v>
      </c>
      <c r="AU622" s="44"/>
      <c r="AV622" s="46">
        <f>ROUND(Товары[[#This Row],[РРЦ финальная, руб.]]/$AU$1,2)</f>
        <v>0</v>
      </c>
      <c r="AW622" s="45" t="str">
        <f>IFERROR(Товары[[#This Row],[РРЦ, евро]]/Товары[[#This Row],[IRP, Eur]],"-")</f>
        <v>-</v>
      </c>
      <c r="AX622" s="42">
        <f>IFERROR(VLOOKUP(Товары[[#This Row],[SubGroup]],'Структура цен DIY'!$B:$C,2,FALSE),0)</f>
        <v>0.17999999999999994</v>
      </c>
      <c r="AY622" s="44">
        <v>0</v>
      </c>
    </row>
    <row r="623" spans="1:51" x14ac:dyDescent="0.25">
      <c r="A623" s="34">
        <v>621</v>
      </c>
      <c r="B623" s="34" t="s">
        <v>50</v>
      </c>
      <c r="C623" s="110" t="str">
        <f>IFERROR(INDEX(Структура_ассортимента[SuperCategory],MATCH(Товары[[#This Row],[SubGroup]],Структура_ассортимента[Subgroup],0)),"")</f>
        <v>H</v>
      </c>
      <c r="D623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23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23" s="110" t="str">
        <f>IFERROR(INDEX(Структура_ассортимента[Product group],MATCH(Товары[[#This Row],[SubGroup]],Структура_ассортимента[Subgroup],0)),"")</f>
        <v>HET_C</v>
      </c>
      <c r="G623" s="110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23" s="110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23" s="36">
        <v>9321</v>
      </c>
      <c r="J623" s="36" t="str">
        <f>IFERROR(INDEX(Структура_ассортимента[Generic Name (long)],MATCH(Товары[[#This Row],[SubGroup]],Структура_ассортимента[Subgroup],0)),"")</f>
        <v>TRIMMER, CORDED</v>
      </c>
      <c r="L623" s="36">
        <v>967242501</v>
      </c>
      <c r="M623" s="35" t="s">
        <v>2307</v>
      </c>
      <c r="P623" s="37" t="s">
        <v>5559</v>
      </c>
      <c r="Q623" s="34" t="s">
        <v>3713</v>
      </c>
      <c r="R623" s="34" t="s">
        <v>3540</v>
      </c>
      <c r="S623" s="47">
        <v>42037</v>
      </c>
      <c r="T623" s="47">
        <v>43830</v>
      </c>
      <c r="U623" s="47">
        <v>43830</v>
      </c>
      <c r="V623" s="34">
        <v>4078500001618</v>
      </c>
      <c r="W623" s="34" t="s">
        <v>3543</v>
      </c>
      <c r="Y623" s="34" t="s">
        <v>3542</v>
      </c>
      <c r="Z623" s="34">
        <v>1</v>
      </c>
      <c r="AA623" s="34" t="s">
        <v>5560</v>
      </c>
      <c r="AB623" s="34" t="s">
        <v>5560</v>
      </c>
      <c r="AC623" s="34" t="s">
        <v>5561</v>
      </c>
      <c r="AD623" s="34" t="s">
        <v>5561</v>
      </c>
      <c r="AE623" s="34" t="s">
        <v>5557</v>
      </c>
      <c r="AF623" s="34" t="s">
        <v>4203</v>
      </c>
      <c r="AG623" s="34" t="s">
        <v>3878</v>
      </c>
      <c r="AH623" s="34" t="s">
        <v>5562</v>
      </c>
      <c r="AL623" s="34" t="s">
        <v>5392</v>
      </c>
      <c r="AM623" s="40" t="s">
        <v>233</v>
      </c>
      <c r="AP623" s="34">
        <v>0</v>
      </c>
      <c r="AQ623" s="34">
        <v>7690</v>
      </c>
      <c r="AR623" s="34">
        <v>5255</v>
      </c>
      <c r="AT623" s="44">
        <v>595600</v>
      </c>
      <c r="AU623" s="44"/>
      <c r="AV623" s="46">
        <f>ROUND(Товары[[#This Row],[РРЦ финальная, руб.]]/$AU$1,2)</f>
        <v>0</v>
      </c>
      <c r="AW623" s="45" t="str">
        <f>IFERROR(Товары[[#This Row],[РРЦ, евро]]/Товары[[#This Row],[IRP, Eur]],"-")</f>
        <v>-</v>
      </c>
      <c r="AX623" s="42">
        <f>IFERROR(VLOOKUP(Товары[[#This Row],[SubGroup]],'Структура цен DIY'!$B:$C,2,FALSE),0)</f>
        <v>0.17999999999999994</v>
      </c>
      <c r="AY623" s="44">
        <v>0</v>
      </c>
    </row>
    <row r="624" spans="1:51" x14ac:dyDescent="0.25">
      <c r="A624" s="34">
        <v>622</v>
      </c>
      <c r="B624" s="34" t="s">
        <v>50</v>
      </c>
      <c r="C624" s="110" t="str">
        <f>IFERROR(INDEX(Структура_ассортимента[SuperCategory],MATCH(Товары[[#This Row],[SubGroup]],Структура_ассортимента[Subgroup],0)),"")</f>
        <v>H</v>
      </c>
      <c r="D624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24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24" s="110" t="str">
        <f>IFERROR(INDEX(Структура_ассортимента[Product group],MATCH(Товары[[#This Row],[SubGroup]],Структура_ассортимента[Subgroup],0)),"")</f>
        <v>HET_C</v>
      </c>
      <c r="G624" s="110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24" s="110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24" s="36">
        <v>9321</v>
      </c>
      <c r="J624" s="36" t="str">
        <f>IFERROR(INDEX(Структура_ассортимента[Generic Name (long)],MATCH(Товары[[#This Row],[SubGroup]],Структура_ассортимента[Subgroup],0)),"")</f>
        <v>TRIMMER, CORDED</v>
      </c>
      <c r="L624" s="36">
        <v>967335901</v>
      </c>
      <c r="M624" s="35" t="s">
        <v>2308</v>
      </c>
      <c r="Q624" s="34" t="s">
        <v>3544</v>
      </c>
      <c r="R624" s="34" t="s">
        <v>3540</v>
      </c>
      <c r="S624" s="47">
        <v>0</v>
      </c>
      <c r="T624" s="47">
        <v>0</v>
      </c>
      <c r="U624" s="47">
        <v>0</v>
      </c>
      <c r="V624" s="34">
        <v>4078500016049</v>
      </c>
      <c r="W624" s="34" t="s">
        <v>5554</v>
      </c>
      <c r="Y624" s="34" t="s">
        <v>3542</v>
      </c>
      <c r="Z624" s="34">
        <v>1</v>
      </c>
      <c r="AA624" s="34">
        <v>3845</v>
      </c>
      <c r="AB624" s="34">
        <v>3845</v>
      </c>
      <c r="AC624" s="34">
        <v>2800</v>
      </c>
      <c r="AD624" s="34">
        <v>2800</v>
      </c>
      <c r="AE624" s="34">
        <v>933</v>
      </c>
      <c r="AF624" s="34">
        <v>245</v>
      </c>
      <c r="AG624" s="34">
        <v>157</v>
      </c>
      <c r="AH624" s="34">
        <v>35888</v>
      </c>
      <c r="AM624" s="40" t="s">
        <v>8094</v>
      </c>
      <c r="AT624" s="44">
        <v>0</v>
      </c>
      <c r="AU624" s="44"/>
      <c r="AV624" s="46">
        <f>ROUND(Товары[[#This Row],[РРЦ финальная, руб.]]/$AU$1,2)</f>
        <v>0</v>
      </c>
      <c r="AW624" s="45" t="str">
        <f>IFERROR(Товары[[#This Row],[РРЦ, евро]]/Товары[[#This Row],[IRP, Eur]],"-")</f>
        <v>-</v>
      </c>
      <c r="AX624" s="42">
        <f>IFERROR(VLOOKUP(Товары[[#This Row],[SubGroup]],'Структура цен DIY'!$B:$C,2,FALSE),0)</f>
        <v>0.17999999999999994</v>
      </c>
      <c r="AY624" s="44">
        <v>0</v>
      </c>
    </row>
    <row r="625" spans="1:51" x14ac:dyDescent="0.25">
      <c r="A625" s="34">
        <v>623</v>
      </c>
      <c r="B625" s="34" t="s">
        <v>50</v>
      </c>
      <c r="C625" s="110" t="str">
        <f>IFERROR(INDEX(Структура_ассортимента[SuperCategory],MATCH(Товары[[#This Row],[SubGroup]],Структура_ассортимента[Subgroup],0)),"")</f>
        <v>H</v>
      </c>
      <c r="D625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25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25" s="110" t="str">
        <f>IFERROR(INDEX(Структура_ассортимента[Product group],MATCH(Товары[[#This Row],[SubGroup]],Структура_ассортимента[Subgroup],0)),"")</f>
        <v>HET_C</v>
      </c>
      <c r="G625" s="110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25" s="110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25" s="36">
        <v>9321</v>
      </c>
      <c r="J625" s="36" t="str">
        <f>IFERROR(INDEX(Структура_ассортимента[Generic Name (long)],MATCH(Товары[[#This Row],[SubGroup]],Структура_ассортимента[Subgroup],0)),"")</f>
        <v>TRIMMER, CORDED</v>
      </c>
      <c r="L625" s="36">
        <v>967242701</v>
      </c>
      <c r="M625" s="35" t="s">
        <v>2309</v>
      </c>
      <c r="Q625" s="34" t="s">
        <v>3544</v>
      </c>
      <c r="R625" s="34" t="s">
        <v>3540</v>
      </c>
      <c r="S625" s="47">
        <v>0</v>
      </c>
      <c r="T625" s="47">
        <v>0</v>
      </c>
      <c r="U625" s="47">
        <v>0</v>
      </c>
      <c r="V625" s="34">
        <v>4078500001632</v>
      </c>
      <c r="W625" s="34" t="s">
        <v>5554</v>
      </c>
      <c r="Y625" s="34" t="s">
        <v>3542</v>
      </c>
      <c r="Z625" s="34">
        <v>1</v>
      </c>
      <c r="AA625" s="34">
        <v>4000</v>
      </c>
      <c r="AB625" s="34">
        <v>4000</v>
      </c>
      <c r="AC625" s="34">
        <v>3000</v>
      </c>
      <c r="AD625" s="34">
        <v>3000</v>
      </c>
      <c r="AE625" s="34">
        <v>933</v>
      </c>
      <c r="AF625" s="34">
        <v>245</v>
      </c>
      <c r="AG625" s="34">
        <v>157</v>
      </c>
      <c r="AH625" s="34">
        <v>35888</v>
      </c>
      <c r="AM625" s="40" t="s">
        <v>8094</v>
      </c>
      <c r="AT625" s="44">
        <v>0</v>
      </c>
      <c r="AU625" s="44"/>
      <c r="AV625" s="46">
        <f>ROUND(Товары[[#This Row],[РРЦ финальная, руб.]]/$AU$1,2)</f>
        <v>0</v>
      </c>
      <c r="AW625" s="45" t="str">
        <f>IFERROR(Товары[[#This Row],[РРЦ, евро]]/Товары[[#This Row],[IRP, Eur]],"-")</f>
        <v>-</v>
      </c>
      <c r="AX625" s="42">
        <f>IFERROR(VLOOKUP(Товары[[#This Row],[SubGroup]],'Структура цен DIY'!$B:$C,2,FALSE),0)</f>
        <v>0.17999999999999994</v>
      </c>
      <c r="AY625" s="44">
        <v>0</v>
      </c>
    </row>
    <row r="626" spans="1:51" x14ac:dyDescent="0.25">
      <c r="A626" s="34">
        <v>624</v>
      </c>
      <c r="B626" s="34" t="s">
        <v>50</v>
      </c>
      <c r="C626" s="110" t="str">
        <f>IFERROR(INDEX(Структура_ассортимента[SuperCategory],MATCH(Товары[[#This Row],[SubGroup]],Структура_ассортимента[Subgroup],0)),"")</f>
        <v>H</v>
      </c>
      <c r="D626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26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26" s="110" t="str">
        <f>IFERROR(INDEX(Структура_ассортимента[Product group],MATCH(Товары[[#This Row],[SubGroup]],Структура_ассортимента[Subgroup],0)),"")</f>
        <v>HET_C</v>
      </c>
      <c r="G626" s="110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26" s="110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26" s="36">
        <v>9321</v>
      </c>
      <c r="J626" s="36" t="str">
        <f>IFERROR(INDEX(Структура_ассортимента[Generic Name (long)],MATCH(Товары[[#This Row],[SubGroup]],Структура_ассортимента[Subgroup],0)),"")</f>
        <v>TRIMMER, CORDED</v>
      </c>
      <c r="L626" s="36">
        <v>967242901</v>
      </c>
      <c r="M626" s="35" t="s">
        <v>2310</v>
      </c>
      <c r="Q626" s="34" t="s">
        <v>3544</v>
      </c>
      <c r="R626" s="34" t="s">
        <v>3540</v>
      </c>
      <c r="S626" s="47">
        <v>0</v>
      </c>
      <c r="T626" s="47">
        <v>0</v>
      </c>
      <c r="U626" s="47">
        <v>0</v>
      </c>
      <c r="V626" s="34">
        <v>4078500001656</v>
      </c>
      <c r="W626" s="34" t="s">
        <v>5554</v>
      </c>
      <c r="Y626" s="34" t="s">
        <v>3542</v>
      </c>
      <c r="Z626" s="34">
        <v>1</v>
      </c>
      <c r="AA626" s="34">
        <v>4000</v>
      </c>
      <c r="AB626" s="34">
        <v>4000</v>
      </c>
      <c r="AC626" s="34">
        <v>3000</v>
      </c>
      <c r="AD626" s="34">
        <v>3000</v>
      </c>
      <c r="AE626" s="34">
        <v>933</v>
      </c>
      <c r="AF626" s="34">
        <v>245</v>
      </c>
      <c r="AG626" s="34">
        <v>157</v>
      </c>
      <c r="AH626" s="34">
        <v>35888</v>
      </c>
      <c r="AM626" s="40" t="s">
        <v>8094</v>
      </c>
      <c r="AT626" s="44">
        <v>0</v>
      </c>
      <c r="AU626" s="44"/>
      <c r="AV626" s="46">
        <f>ROUND(Товары[[#This Row],[РРЦ финальная, руб.]]/$AU$1,2)</f>
        <v>0</v>
      </c>
      <c r="AW626" s="45" t="str">
        <f>IFERROR(Товары[[#This Row],[РРЦ, евро]]/Товары[[#This Row],[IRP, Eur]],"-")</f>
        <v>-</v>
      </c>
      <c r="AX626" s="42">
        <f>IFERROR(VLOOKUP(Товары[[#This Row],[SubGroup]],'Структура цен DIY'!$B:$C,2,FALSE),0)</f>
        <v>0.17999999999999994</v>
      </c>
      <c r="AY626" s="44">
        <v>0</v>
      </c>
    </row>
    <row r="627" spans="1:51" x14ac:dyDescent="0.25">
      <c r="A627" s="34">
        <v>625</v>
      </c>
      <c r="B627" s="34" t="s">
        <v>50</v>
      </c>
      <c r="C627" s="110" t="str">
        <f>IFERROR(INDEX(Структура_ассортимента[SuperCategory],MATCH(Товары[[#This Row],[SubGroup]],Структура_ассортимента[Subgroup],0)),"")</f>
        <v>H</v>
      </c>
      <c r="D627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27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27" s="110" t="str">
        <f>IFERROR(INDEX(Структура_ассортимента[Product group],MATCH(Товары[[#This Row],[SubGroup]],Структура_ассортимента[Subgroup],0)),"")</f>
        <v>HET_C</v>
      </c>
      <c r="G627" s="110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27" s="110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27" s="36">
        <v>9321</v>
      </c>
      <c r="J627" s="36" t="str">
        <f>IFERROR(INDEX(Структура_ассортимента[Generic Name (long)],MATCH(Товары[[#This Row],[SubGroup]],Структура_ассортимента[Subgroup],0)),"")</f>
        <v>TRIMMER, CORDED</v>
      </c>
      <c r="L627" s="36">
        <v>901201501</v>
      </c>
      <c r="M627" s="35" t="s">
        <v>2311</v>
      </c>
      <c r="Q627" s="34" t="s">
        <v>3544</v>
      </c>
      <c r="R627" s="34" t="s">
        <v>3540</v>
      </c>
      <c r="S627" s="47">
        <v>0</v>
      </c>
      <c r="T627" s="47">
        <v>0</v>
      </c>
      <c r="U627" s="47">
        <v>0</v>
      </c>
      <c r="V627" s="34">
        <v>4078500885102</v>
      </c>
      <c r="W627" s="34" t="s">
        <v>3647</v>
      </c>
      <c r="Y627" s="34" t="s">
        <v>3542</v>
      </c>
      <c r="Z627" s="34">
        <v>1</v>
      </c>
      <c r="AA627" s="34">
        <v>7110</v>
      </c>
      <c r="AB627" s="34">
        <v>7110</v>
      </c>
      <c r="AC627" s="34">
        <v>5000</v>
      </c>
      <c r="AD627" s="34">
        <v>5000</v>
      </c>
      <c r="AE627" s="34">
        <v>1470</v>
      </c>
      <c r="AF627" s="34">
        <v>280</v>
      </c>
      <c r="AG627" s="34">
        <v>130</v>
      </c>
      <c r="AH627" s="34">
        <v>53508</v>
      </c>
      <c r="AM627" s="40" t="s">
        <v>8094</v>
      </c>
      <c r="AT627" s="44">
        <v>0</v>
      </c>
      <c r="AU627" s="44"/>
      <c r="AV627" s="46">
        <f>ROUND(Товары[[#This Row],[РРЦ финальная, руб.]]/$AU$1,2)</f>
        <v>0</v>
      </c>
      <c r="AW627" s="45" t="str">
        <f>IFERROR(Товары[[#This Row],[РРЦ, евро]]/Товары[[#This Row],[IRP, Eur]],"-")</f>
        <v>-</v>
      </c>
      <c r="AX627" s="42">
        <f>IFERROR(VLOOKUP(Товары[[#This Row],[SubGroup]],'Структура цен DIY'!$B:$C,2,FALSE),0)</f>
        <v>0.17999999999999994</v>
      </c>
      <c r="AY627" s="44">
        <v>0</v>
      </c>
    </row>
    <row r="628" spans="1:51" x14ac:dyDescent="0.25">
      <c r="A628" s="34">
        <v>626</v>
      </c>
      <c r="B628" s="34" t="s">
        <v>50</v>
      </c>
      <c r="C628" s="110" t="str">
        <f>IFERROR(INDEX(Структура_ассортимента[SuperCategory],MATCH(Товары[[#This Row],[SubGroup]],Структура_ассортимента[Subgroup],0)),"")</f>
        <v>H</v>
      </c>
      <c r="D628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28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28" s="110" t="str">
        <f>IFERROR(INDEX(Структура_ассортимента[Product group],MATCH(Товары[[#This Row],[SubGroup]],Структура_ассортимента[Subgroup],0)),"")</f>
        <v>HET_C</v>
      </c>
      <c r="G628" s="110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28" s="110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28" s="36">
        <v>9321</v>
      </c>
      <c r="J628" s="36" t="str">
        <f>IFERROR(INDEX(Структура_ассортимента[Generic Name (long)],MATCH(Товары[[#This Row],[SubGroup]],Структура_ассортимента[Subgroup],0)),"")</f>
        <v>TRIMMER, CORDED</v>
      </c>
      <c r="L628" s="36">
        <v>966970901</v>
      </c>
      <c r="M628" s="35" t="s">
        <v>2312</v>
      </c>
      <c r="Q628" s="34" t="s">
        <v>3544</v>
      </c>
      <c r="R628" s="34" t="s">
        <v>3540</v>
      </c>
      <c r="S628" s="47">
        <v>0</v>
      </c>
      <c r="T628" s="47">
        <v>0</v>
      </c>
      <c r="U628" s="47">
        <v>0</v>
      </c>
      <c r="V628" s="34">
        <v>4078500885126</v>
      </c>
      <c r="W628" s="34" t="s">
        <v>3647</v>
      </c>
      <c r="Y628" s="34" t="s">
        <v>3542</v>
      </c>
      <c r="Z628" s="34">
        <v>1</v>
      </c>
      <c r="AA628" s="34">
        <v>7110</v>
      </c>
      <c r="AB628" s="34">
        <v>7110</v>
      </c>
      <c r="AC628" s="34">
        <v>5000</v>
      </c>
      <c r="AD628" s="34">
        <v>5000</v>
      </c>
      <c r="AE628" s="34">
        <v>1470</v>
      </c>
      <c r="AF628" s="34">
        <v>280</v>
      </c>
      <c r="AG628" s="34">
        <v>130</v>
      </c>
      <c r="AH628" s="34">
        <v>53508</v>
      </c>
      <c r="AM628" s="40" t="s">
        <v>8094</v>
      </c>
      <c r="AT628" s="44">
        <v>0</v>
      </c>
      <c r="AU628" s="44"/>
      <c r="AV628" s="46">
        <f>ROUND(Товары[[#This Row],[РРЦ финальная, руб.]]/$AU$1,2)</f>
        <v>0</v>
      </c>
      <c r="AW628" s="45" t="str">
        <f>IFERROR(Товары[[#This Row],[РРЦ, евро]]/Товары[[#This Row],[IRP, Eur]],"-")</f>
        <v>-</v>
      </c>
      <c r="AX628" s="42">
        <f>IFERROR(VLOOKUP(Товары[[#This Row],[SubGroup]],'Структура цен DIY'!$B:$C,2,FALSE),0)</f>
        <v>0.17999999999999994</v>
      </c>
      <c r="AY628" s="44">
        <v>0</v>
      </c>
    </row>
    <row r="629" spans="1:51" x14ac:dyDescent="0.25">
      <c r="A629" s="34">
        <v>627</v>
      </c>
      <c r="B629" s="34" t="s">
        <v>50</v>
      </c>
      <c r="C629" s="110" t="str">
        <f>IFERROR(INDEX(Структура_ассортимента[SuperCategory],MATCH(Товары[[#This Row],[SubGroup]],Структура_ассортимента[Subgroup],0)),"")</f>
        <v>H</v>
      </c>
      <c r="D629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29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29" s="110" t="str">
        <f>IFERROR(INDEX(Структура_ассортимента[Product group],MATCH(Товары[[#This Row],[SubGroup]],Структура_ассортимента[Subgroup],0)),"")</f>
        <v>HET_C</v>
      </c>
      <c r="G629" s="110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29" s="110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29" s="36">
        <v>9321</v>
      </c>
      <c r="J629" s="36" t="str">
        <f>IFERROR(INDEX(Структура_ассортимента[Generic Name (long)],MATCH(Товары[[#This Row],[SubGroup]],Структура_ассортимента[Subgroup],0)),"")</f>
        <v>TRIMMER, CORDED</v>
      </c>
      <c r="L629" s="36">
        <v>970459201</v>
      </c>
      <c r="M629" s="35" t="s">
        <v>2313</v>
      </c>
      <c r="Q629" s="34" t="s">
        <v>3652</v>
      </c>
      <c r="R629" s="34" t="s">
        <v>3540</v>
      </c>
      <c r="S629" s="47">
        <v>43831</v>
      </c>
      <c r="T629" s="47">
        <v>0</v>
      </c>
      <c r="U629" s="47">
        <v>43732</v>
      </c>
      <c r="V629" s="34">
        <v>4078500051446</v>
      </c>
      <c r="W629" s="34" t="s">
        <v>3546</v>
      </c>
      <c r="Y629" s="34" t="s">
        <v>3542</v>
      </c>
      <c r="Z629" s="34">
        <v>1</v>
      </c>
      <c r="AI629" s="34" t="s">
        <v>4510</v>
      </c>
      <c r="AJ629" s="34" t="s">
        <v>5548</v>
      </c>
      <c r="AK629" s="34" t="s">
        <v>3722</v>
      </c>
      <c r="AM629" s="40" t="s">
        <v>8095</v>
      </c>
      <c r="AT629" s="44">
        <v>0</v>
      </c>
      <c r="AU629" s="44"/>
      <c r="AV629" s="46">
        <f>ROUND(Товары[[#This Row],[РРЦ финальная, руб.]]/$AU$1,2)</f>
        <v>0</v>
      </c>
      <c r="AW629" s="45" t="str">
        <f>IFERROR(Товары[[#This Row],[РРЦ, евро]]/Товары[[#This Row],[IRP, Eur]],"-")</f>
        <v>-</v>
      </c>
      <c r="AX629" s="42">
        <f>IFERROR(VLOOKUP(Товары[[#This Row],[SubGroup]],'Структура цен DIY'!$B:$C,2,FALSE),0)</f>
        <v>0.17999999999999994</v>
      </c>
      <c r="AY629" s="44">
        <v>0</v>
      </c>
    </row>
    <row r="630" spans="1:51" x14ac:dyDescent="0.25">
      <c r="A630" s="34">
        <v>628</v>
      </c>
      <c r="B630" s="34" t="s">
        <v>50</v>
      </c>
      <c r="C630" s="110" t="str">
        <f>IFERROR(INDEX(Структура_ассортимента[SuperCategory],MATCH(Товары[[#This Row],[SubGroup]],Структура_ассортимента[Subgroup],0)),"")</f>
        <v>H</v>
      </c>
      <c r="D630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30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30" s="110" t="str">
        <f>IFERROR(INDEX(Структура_ассортимента[Product group],MATCH(Товары[[#This Row],[SubGroup]],Структура_ассортимента[Subgroup],0)),"")</f>
        <v>HET_P</v>
      </c>
      <c r="G630" s="110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30" s="110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30" s="36">
        <v>9322</v>
      </c>
      <c r="J630" s="36" t="str">
        <f>IFERROR(INDEX(Структура_ассортимента[Generic Name (long)],MATCH(Товары[[#This Row],[SubGroup]],Структура_ассортимента[Subgroup],0)),"")</f>
        <v>TRIMMER, BATTERY</v>
      </c>
      <c r="L630" s="36">
        <v>967107301</v>
      </c>
      <c r="M630" s="35" t="s">
        <v>2314</v>
      </c>
      <c r="P630" s="37" t="s">
        <v>5563</v>
      </c>
      <c r="Q630" s="34" t="s">
        <v>3713</v>
      </c>
      <c r="R630" s="34" t="s">
        <v>3540</v>
      </c>
      <c r="S630" s="47">
        <v>42736</v>
      </c>
      <c r="T630" s="47">
        <v>43830</v>
      </c>
      <c r="U630" s="47">
        <v>43830</v>
      </c>
      <c r="V630" s="34">
        <v>4078500025485</v>
      </c>
      <c r="W630" s="34" t="s">
        <v>3541</v>
      </c>
      <c r="Y630" s="34" t="s">
        <v>3542</v>
      </c>
      <c r="Z630" s="34">
        <v>1</v>
      </c>
      <c r="AA630" s="34">
        <v>3500</v>
      </c>
      <c r="AB630" s="34" t="s">
        <v>5564</v>
      </c>
      <c r="AC630" s="34">
        <v>2400</v>
      </c>
      <c r="AD630" s="34" t="s">
        <v>5565</v>
      </c>
      <c r="AE630" s="34" t="s">
        <v>5557</v>
      </c>
      <c r="AF630" s="34" t="s">
        <v>5566</v>
      </c>
      <c r="AG630" s="34" t="s">
        <v>3708</v>
      </c>
      <c r="AH630" s="34" t="s">
        <v>5567</v>
      </c>
      <c r="AL630" s="34" t="s">
        <v>5504</v>
      </c>
      <c r="AM630" s="40" t="s">
        <v>9</v>
      </c>
      <c r="AP630" s="34">
        <v>0</v>
      </c>
      <c r="AQ630" s="34">
        <v>6790</v>
      </c>
      <c r="AR630" s="34">
        <v>4640</v>
      </c>
      <c r="AT630" s="44">
        <v>525900</v>
      </c>
      <c r="AU630" s="44"/>
      <c r="AV630" s="46">
        <f>ROUND(Товары[[#This Row],[РРЦ финальная, руб.]]/$AU$1,2)</f>
        <v>0</v>
      </c>
      <c r="AW630" s="45" t="str">
        <f>IFERROR(Товары[[#This Row],[РРЦ, евро]]/Товары[[#This Row],[IRP, Eur]],"-")</f>
        <v>-</v>
      </c>
      <c r="AX630" s="42">
        <f>IFERROR(VLOOKUP(Товары[[#This Row],[SubGroup]],'Структура цен DIY'!$B:$C,2,FALSE),0)</f>
        <v>0.17999999999999994</v>
      </c>
      <c r="AY630" s="44">
        <v>0</v>
      </c>
    </row>
    <row r="631" spans="1:51" x14ac:dyDescent="0.25">
      <c r="A631" s="34">
        <v>629</v>
      </c>
      <c r="B631" s="34" t="s">
        <v>50</v>
      </c>
      <c r="C631" s="110" t="str">
        <f>IFERROR(INDEX(Структура_ассортимента[SuperCategory],MATCH(Товары[[#This Row],[SubGroup]],Структура_ассортимента[Subgroup],0)),"")</f>
        <v>H</v>
      </c>
      <c r="D631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31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31" s="110" t="str">
        <f>IFERROR(INDEX(Структура_ассортимента[Product group],MATCH(Товары[[#This Row],[SubGroup]],Структура_ассортимента[Subgroup],0)),"")</f>
        <v>HET_P</v>
      </c>
      <c r="G631" s="110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31" s="110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31" s="36">
        <v>9322</v>
      </c>
      <c r="J631" s="36" t="str">
        <f>IFERROR(INDEX(Структура_ассортимента[Generic Name (long)],MATCH(Товары[[#This Row],[SubGroup]],Структура_ассортимента[Subgroup],0)),"")</f>
        <v>TRIMMER, BATTERY</v>
      </c>
      <c r="L631" s="36">
        <v>967107101</v>
      </c>
      <c r="M631" s="35" t="s">
        <v>2315</v>
      </c>
      <c r="Q631" s="34" t="s">
        <v>3713</v>
      </c>
      <c r="R631" s="34" t="s">
        <v>3540</v>
      </c>
      <c r="S631" s="47">
        <v>42736</v>
      </c>
      <c r="T631" s="47">
        <v>43830</v>
      </c>
      <c r="U631" s="47">
        <v>43830</v>
      </c>
      <c r="V631" s="34">
        <v>4078500025492</v>
      </c>
      <c r="W631" s="34" t="s">
        <v>3541</v>
      </c>
      <c r="Y631" s="34" t="s">
        <v>3542</v>
      </c>
      <c r="Z631" s="34">
        <v>1</v>
      </c>
      <c r="AA631" s="34">
        <v>3800</v>
      </c>
      <c r="AB631" s="34" t="s">
        <v>5436</v>
      </c>
      <c r="AC631" s="34">
        <v>2700</v>
      </c>
      <c r="AD631" s="34" t="s">
        <v>5447</v>
      </c>
      <c r="AE631" s="34" t="s">
        <v>5568</v>
      </c>
      <c r="AF631" s="34" t="s">
        <v>4203</v>
      </c>
      <c r="AG631" s="34" t="s">
        <v>3878</v>
      </c>
      <c r="AH631" s="34" t="s">
        <v>5569</v>
      </c>
      <c r="AL631" s="34" t="s">
        <v>5392</v>
      </c>
      <c r="AM631" s="40" t="s">
        <v>8094</v>
      </c>
      <c r="AT631" s="44">
        <v>0</v>
      </c>
      <c r="AU631" s="44"/>
      <c r="AV631" s="46">
        <f>ROUND(Товары[[#This Row],[РРЦ финальная, руб.]]/$AU$1,2)</f>
        <v>0</v>
      </c>
      <c r="AW631" s="45" t="str">
        <f>IFERROR(Товары[[#This Row],[РРЦ, евро]]/Товары[[#This Row],[IRP, Eur]],"-")</f>
        <v>-</v>
      </c>
      <c r="AX631" s="42">
        <f>IFERROR(VLOOKUP(Товары[[#This Row],[SubGroup]],'Структура цен DIY'!$B:$C,2,FALSE),0)</f>
        <v>0.17999999999999994</v>
      </c>
      <c r="AY631" s="44">
        <v>0</v>
      </c>
    </row>
    <row r="632" spans="1:51" x14ac:dyDescent="0.25">
      <c r="A632" s="34">
        <v>630</v>
      </c>
      <c r="B632" s="34" t="s">
        <v>50</v>
      </c>
      <c r="C632" s="110" t="str">
        <f>IFERROR(INDEX(Структура_ассортимента[SuperCategory],MATCH(Товары[[#This Row],[SubGroup]],Структура_ассортимента[Subgroup],0)),"")</f>
        <v>H</v>
      </c>
      <c r="D632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32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32" s="110" t="str">
        <f>IFERROR(INDEX(Структура_ассортимента[Product group],MATCH(Товары[[#This Row],[SubGroup]],Структура_ассортимента[Subgroup],0)),"")</f>
        <v>HET_P</v>
      </c>
      <c r="G632" s="110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32" s="110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32" s="36">
        <v>9322</v>
      </c>
      <c r="J632" s="36" t="str">
        <f>IFERROR(INDEX(Структура_ассортимента[Generic Name (long)],MATCH(Товары[[#This Row],[SubGroup]],Структура_ассортимента[Subgroup],0)),"")</f>
        <v>TRIMMER, BATTERY</v>
      </c>
      <c r="L632" s="36">
        <v>967967601</v>
      </c>
      <c r="M632" s="35" t="s">
        <v>2316</v>
      </c>
      <c r="O632" s="35" t="s">
        <v>5570</v>
      </c>
      <c r="P632" s="37" t="s">
        <v>5571</v>
      </c>
      <c r="Q632" s="34" t="s">
        <v>3549</v>
      </c>
      <c r="R632" s="34" t="s">
        <v>3540</v>
      </c>
      <c r="S632" s="47">
        <v>43497</v>
      </c>
      <c r="T632" s="47">
        <v>0</v>
      </c>
      <c r="U632" s="47">
        <v>0</v>
      </c>
      <c r="V632" s="34">
        <v>4078500047647</v>
      </c>
      <c r="W632" s="34" t="s">
        <v>3546</v>
      </c>
      <c r="X632" s="34" t="s">
        <v>3551</v>
      </c>
      <c r="Y632" s="34" t="s">
        <v>3542</v>
      </c>
      <c r="Z632" s="34">
        <v>1</v>
      </c>
      <c r="AB632" s="34" t="s">
        <v>5572</v>
      </c>
      <c r="AD632" s="34" t="s">
        <v>5070</v>
      </c>
      <c r="AE632" s="34" t="s">
        <v>5573</v>
      </c>
      <c r="AF632" s="34" t="s">
        <v>3955</v>
      </c>
      <c r="AG632" s="34" t="s">
        <v>3911</v>
      </c>
      <c r="AH632" s="34" t="s">
        <v>5574</v>
      </c>
      <c r="AI632" s="34" t="s">
        <v>3955</v>
      </c>
      <c r="AJ632" s="34" t="s">
        <v>5575</v>
      </c>
      <c r="AK632" s="34" t="s">
        <v>3911</v>
      </c>
      <c r="AL632" s="34" t="s">
        <v>5473</v>
      </c>
      <c r="AM632" s="40" t="s">
        <v>10</v>
      </c>
      <c r="AP632" s="34">
        <v>0</v>
      </c>
      <c r="AQ632" s="34">
        <v>8290</v>
      </c>
      <c r="AR632" s="34">
        <v>5665</v>
      </c>
      <c r="AT632" s="44">
        <v>642100</v>
      </c>
      <c r="AU632" s="44"/>
      <c r="AV632" s="46">
        <f>ROUND(Товары[[#This Row],[РРЦ финальная, руб.]]/$AU$1,2)</f>
        <v>0</v>
      </c>
      <c r="AW632" s="45" t="str">
        <f>IFERROR(Товары[[#This Row],[РРЦ, евро]]/Товары[[#This Row],[IRP, Eur]],"-")</f>
        <v>-</v>
      </c>
      <c r="AX632" s="42">
        <f>IFERROR(VLOOKUP(Товары[[#This Row],[SubGroup]],'Структура цен DIY'!$B:$C,2,FALSE),0)</f>
        <v>0.17999999999999994</v>
      </c>
      <c r="AY632" s="44">
        <v>0</v>
      </c>
    </row>
    <row r="633" spans="1:51" x14ac:dyDescent="0.25">
      <c r="A633" s="34">
        <v>631</v>
      </c>
      <c r="B633" s="34" t="s">
        <v>50</v>
      </c>
      <c r="C633" s="110" t="str">
        <f>IFERROR(INDEX(Структура_ассортимента[SuperCategory],MATCH(Товары[[#This Row],[SubGroup]],Структура_ассортимента[Subgroup],0)),"")</f>
        <v>H</v>
      </c>
      <c r="D633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33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33" s="110" t="str">
        <f>IFERROR(INDEX(Структура_ассортимента[Product group],MATCH(Товары[[#This Row],[SubGroup]],Структура_ассортимента[Subgroup],0)),"")</f>
        <v>HET_P</v>
      </c>
      <c r="G633" s="110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33" s="110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33" s="36">
        <v>9322</v>
      </c>
      <c r="J633" s="36" t="str">
        <f>IFERROR(INDEX(Структура_ассортимента[Generic Name (long)],MATCH(Товары[[#This Row],[SubGroup]],Структура_ассортимента[Subgroup],0)),"")</f>
        <v>TRIMMER, BATTERY</v>
      </c>
      <c r="L633" s="36">
        <v>967854101</v>
      </c>
      <c r="M633" s="35" t="s">
        <v>2317</v>
      </c>
      <c r="O633" s="35" t="s">
        <v>5570</v>
      </c>
      <c r="P633" s="37" t="s">
        <v>5571</v>
      </c>
      <c r="Q633" s="34" t="s">
        <v>3549</v>
      </c>
      <c r="R633" s="34" t="s">
        <v>3540</v>
      </c>
      <c r="S633" s="47">
        <v>43466</v>
      </c>
      <c r="T633" s="47">
        <v>0</v>
      </c>
      <c r="U633" s="47">
        <v>0</v>
      </c>
      <c r="V633" s="34">
        <v>4078500042468</v>
      </c>
      <c r="W633" s="34" t="s">
        <v>3546</v>
      </c>
      <c r="X633" s="34" t="s">
        <v>3551</v>
      </c>
      <c r="Y633" s="34" t="s">
        <v>3542</v>
      </c>
      <c r="Z633" s="34">
        <v>1</v>
      </c>
      <c r="AA633" s="34" t="s">
        <v>5070</v>
      </c>
      <c r="AB633" s="34" t="s">
        <v>5572</v>
      </c>
      <c r="AC633" s="34" t="s">
        <v>5070</v>
      </c>
      <c r="AD633" s="34" t="s">
        <v>5070</v>
      </c>
      <c r="AE633" s="34" t="s">
        <v>5573</v>
      </c>
      <c r="AF633" s="34" t="s">
        <v>3955</v>
      </c>
      <c r="AG633" s="34" t="s">
        <v>3911</v>
      </c>
      <c r="AH633" s="34" t="s">
        <v>5574</v>
      </c>
      <c r="AI633" s="34" t="s">
        <v>3955</v>
      </c>
      <c r="AJ633" s="34" t="s">
        <v>5575</v>
      </c>
      <c r="AK633" s="34" t="s">
        <v>3911</v>
      </c>
      <c r="AL633" s="34" t="s">
        <v>5473</v>
      </c>
      <c r="AM633" s="40" t="s">
        <v>233</v>
      </c>
      <c r="AP633" s="34">
        <v>0</v>
      </c>
      <c r="AQ633" s="34">
        <v>8290</v>
      </c>
      <c r="AR633" s="34">
        <v>5665</v>
      </c>
      <c r="AT633" s="44">
        <v>642100</v>
      </c>
      <c r="AU633" s="44"/>
      <c r="AV633" s="46">
        <f>ROUND(Товары[[#This Row],[РРЦ финальная, руб.]]/$AU$1,2)</f>
        <v>0</v>
      </c>
      <c r="AW633" s="45" t="str">
        <f>IFERROR(Товары[[#This Row],[РРЦ, евро]]/Товары[[#This Row],[IRP, Eur]],"-")</f>
        <v>-</v>
      </c>
      <c r="AX633" s="42">
        <f>IFERROR(VLOOKUP(Товары[[#This Row],[SubGroup]],'Структура цен DIY'!$B:$C,2,FALSE),0)</f>
        <v>0.17999999999999994</v>
      </c>
      <c r="AY633" s="44">
        <v>0</v>
      </c>
    </row>
    <row r="634" spans="1:51" x14ac:dyDescent="0.25">
      <c r="A634" s="34">
        <v>632</v>
      </c>
      <c r="B634" s="34" t="s">
        <v>50</v>
      </c>
      <c r="C634" s="110" t="str">
        <f>IFERROR(INDEX(Структура_ассортимента[SuperCategory],MATCH(Товары[[#This Row],[SubGroup]],Структура_ассортимента[Subgroup],0)),"")</f>
        <v>H</v>
      </c>
      <c r="D634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34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34" s="110" t="str">
        <f>IFERROR(INDEX(Структура_ассортимента[Product group],MATCH(Товары[[#This Row],[SubGroup]],Структура_ассортимента[Subgroup],0)),"")</f>
        <v>HET_P</v>
      </c>
      <c r="G634" s="110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34" s="110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34" s="36">
        <v>9322</v>
      </c>
      <c r="J634" s="36" t="str">
        <f>IFERROR(INDEX(Структура_ассортимента[Generic Name (long)],MATCH(Товары[[#This Row],[SubGroup]],Структура_ассортимента[Subgroup],0)),"")</f>
        <v>TRIMMER, BATTERY</v>
      </c>
      <c r="L634" s="36">
        <v>967981301</v>
      </c>
      <c r="M634" s="35" t="s">
        <v>2318</v>
      </c>
      <c r="O634" s="35" t="s">
        <v>5576</v>
      </c>
      <c r="P634" s="37" t="s">
        <v>5577</v>
      </c>
      <c r="Q634" s="34" t="s">
        <v>3549</v>
      </c>
      <c r="R634" s="34" t="s">
        <v>3540</v>
      </c>
      <c r="S634" s="47">
        <v>43831</v>
      </c>
      <c r="T634" s="47">
        <v>0</v>
      </c>
      <c r="U634" s="47">
        <v>0</v>
      </c>
      <c r="V634" s="34">
        <v>4078500048606</v>
      </c>
      <c r="W634" s="34" t="s">
        <v>3546</v>
      </c>
      <c r="X634" s="34" t="s">
        <v>3551</v>
      </c>
      <c r="Y634" s="34" t="s">
        <v>3542</v>
      </c>
      <c r="Z634" s="34">
        <v>1</v>
      </c>
      <c r="AA634" s="34" t="s">
        <v>5426</v>
      </c>
      <c r="AB634" s="34" t="s">
        <v>5426</v>
      </c>
      <c r="AC634" s="34" t="s">
        <v>4211</v>
      </c>
      <c r="AD634" s="34" t="s">
        <v>4211</v>
      </c>
      <c r="AE634" s="34" t="s">
        <v>5545</v>
      </c>
      <c r="AF634" s="34" t="s">
        <v>3989</v>
      </c>
      <c r="AG634" s="34" t="s">
        <v>5546</v>
      </c>
      <c r="AH634" s="34" t="s">
        <v>5547</v>
      </c>
      <c r="AI634" s="34" t="s">
        <v>4203</v>
      </c>
      <c r="AJ634" s="34" t="s">
        <v>5548</v>
      </c>
      <c r="AK634" s="34" t="s">
        <v>3722</v>
      </c>
      <c r="AL634" s="34" t="s">
        <v>3842</v>
      </c>
      <c r="AM634" s="40" t="s">
        <v>9</v>
      </c>
      <c r="AP634" s="34">
        <v>0</v>
      </c>
      <c r="AQ634" s="34">
        <v>10790</v>
      </c>
      <c r="AR634" s="34">
        <v>7373</v>
      </c>
      <c r="AT634" s="44">
        <v>835700</v>
      </c>
      <c r="AU634" s="44"/>
      <c r="AV634" s="46">
        <f>ROUND(Товары[[#This Row],[РРЦ финальная, руб.]]/$AU$1,2)</f>
        <v>0</v>
      </c>
      <c r="AW634" s="45" t="str">
        <f>IFERROR(Товары[[#This Row],[РРЦ, евро]]/Товары[[#This Row],[IRP, Eur]],"-")</f>
        <v>-</v>
      </c>
      <c r="AX634" s="42">
        <f>IFERROR(VLOOKUP(Товары[[#This Row],[SubGroup]],'Структура цен DIY'!$B:$C,2,FALSE),0)</f>
        <v>0.17999999999999994</v>
      </c>
      <c r="AY634" s="44">
        <v>0</v>
      </c>
    </row>
    <row r="635" spans="1:51" x14ac:dyDescent="0.25">
      <c r="A635" s="34">
        <v>633</v>
      </c>
      <c r="B635" s="34" t="s">
        <v>50</v>
      </c>
      <c r="C635" s="110" t="str">
        <f>IFERROR(INDEX(Структура_ассортимента[SuperCategory],MATCH(Товары[[#This Row],[SubGroup]],Структура_ассортимента[Subgroup],0)),"")</f>
        <v>H</v>
      </c>
      <c r="D635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35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35" s="110" t="str">
        <f>IFERROR(INDEX(Структура_ассортимента[Product group],MATCH(Товары[[#This Row],[SubGroup]],Структура_ассортимента[Subgroup],0)),"")</f>
        <v>HET_P</v>
      </c>
      <c r="G635" s="110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35" s="110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35" s="36">
        <v>9322</v>
      </c>
      <c r="J635" s="36" t="str">
        <f>IFERROR(INDEX(Структура_ассортимента[Generic Name (long)],MATCH(Товары[[#This Row],[SubGroup]],Структура_ассортимента[Subgroup],0)),"")</f>
        <v>TRIMMER, BATTERY</v>
      </c>
      <c r="L635" s="36">
        <v>970463501</v>
      </c>
      <c r="M635" s="35" t="s">
        <v>2319</v>
      </c>
      <c r="Q635" s="34" t="s">
        <v>3549</v>
      </c>
      <c r="R635" s="34" t="s">
        <v>3540</v>
      </c>
      <c r="S635" s="47">
        <v>43831</v>
      </c>
      <c r="T635" s="47">
        <v>0</v>
      </c>
      <c r="U635" s="47">
        <v>0</v>
      </c>
      <c r="V635" s="34">
        <v>4078500051279</v>
      </c>
      <c r="W635" s="34" t="s">
        <v>3546</v>
      </c>
      <c r="X635" s="34" t="s">
        <v>3551</v>
      </c>
      <c r="Y635" s="34" t="s">
        <v>3542</v>
      </c>
      <c r="Z635" s="34">
        <v>1</v>
      </c>
      <c r="AB635" s="34" t="s">
        <v>5426</v>
      </c>
      <c r="AD635" s="34" t="s">
        <v>4211</v>
      </c>
      <c r="AE635" s="34" t="s">
        <v>5545</v>
      </c>
      <c r="AF635" s="34" t="s">
        <v>3989</v>
      </c>
      <c r="AG635" s="34" t="s">
        <v>5546</v>
      </c>
      <c r="AH635" s="34" t="s">
        <v>5547</v>
      </c>
      <c r="AI635" s="34" t="s">
        <v>4203</v>
      </c>
      <c r="AJ635" s="34" t="s">
        <v>5548</v>
      </c>
      <c r="AK635" s="34" t="s">
        <v>3722</v>
      </c>
      <c r="AL635" s="34" t="s">
        <v>3842</v>
      </c>
      <c r="AM635" s="40" t="s">
        <v>8095</v>
      </c>
      <c r="AT635" s="44">
        <v>0</v>
      </c>
      <c r="AU635" s="44"/>
      <c r="AV635" s="46">
        <f>ROUND(Товары[[#This Row],[РРЦ финальная, руб.]]/$AU$1,2)</f>
        <v>0</v>
      </c>
      <c r="AW635" s="45" t="str">
        <f>IFERROR(Товары[[#This Row],[РРЦ, евро]]/Товары[[#This Row],[IRP, Eur]],"-")</f>
        <v>-</v>
      </c>
      <c r="AX635" s="42">
        <f>IFERROR(VLOOKUP(Товары[[#This Row],[SubGroup]],'Структура цен DIY'!$B:$C,2,FALSE),0)</f>
        <v>0.17999999999999994</v>
      </c>
      <c r="AY635" s="44">
        <v>0</v>
      </c>
    </row>
    <row r="636" spans="1:51" x14ac:dyDescent="0.25">
      <c r="A636" s="34">
        <v>634</v>
      </c>
      <c r="B636" s="34" t="s">
        <v>50</v>
      </c>
      <c r="C636" s="110" t="str">
        <f>IFERROR(INDEX(Структура_ассортимента[SuperCategory],MATCH(Товары[[#This Row],[SubGroup]],Структура_ассортимента[Subgroup],0)),"")</f>
        <v>H</v>
      </c>
      <c r="D636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36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36" s="110" t="str">
        <f>IFERROR(INDEX(Структура_ассортимента[Product group],MATCH(Товары[[#This Row],[SubGroup]],Структура_ассортимента[Subgroup],0)),"")</f>
        <v>HET_P</v>
      </c>
      <c r="G636" s="110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36" s="110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36" s="36">
        <v>9322</v>
      </c>
      <c r="J636" s="36" t="str">
        <f>IFERROR(INDEX(Структура_ассортимента[Generic Name (long)],MATCH(Товары[[#This Row],[SubGroup]],Структура_ассортимента[Subgroup],0)),"")</f>
        <v>TRIMMER, BATTERY</v>
      </c>
      <c r="L636" s="36">
        <v>967981401</v>
      </c>
      <c r="M636" s="35" t="s">
        <v>2320</v>
      </c>
      <c r="O636" s="35" t="s">
        <v>5578</v>
      </c>
      <c r="P636" s="37" t="s">
        <v>5579</v>
      </c>
      <c r="Q636" s="34" t="s">
        <v>3549</v>
      </c>
      <c r="R636" s="34" t="s">
        <v>3540</v>
      </c>
      <c r="S636" s="47">
        <v>43831</v>
      </c>
      <c r="T636" s="47">
        <v>0</v>
      </c>
      <c r="U636" s="47">
        <v>0</v>
      </c>
      <c r="V636" s="34">
        <v>4078500048613</v>
      </c>
      <c r="W636" s="34" t="s">
        <v>3546</v>
      </c>
      <c r="X636" s="34" t="s">
        <v>3551</v>
      </c>
      <c r="Y636" s="34" t="s">
        <v>3542</v>
      </c>
      <c r="Z636" s="34">
        <v>1</v>
      </c>
      <c r="AA636" s="34" t="s">
        <v>5358</v>
      </c>
      <c r="AB636" s="34" t="s">
        <v>5358</v>
      </c>
      <c r="AC636" s="34" t="s">
        <v>4319</v>
      </c>
      <c r="AD636" s="34" t="s">
        <v>4319</v>
      </c>
      <c r="AE636" s="34" t="s">
        <v>5545</v>
      </c>
      <c r="AF636" s="34" t="s">
        <v>3989</v>
      </c>
      <c r="AG636" s="34" t="s">
        <v>5546</v>
      </c>
      <c r="AH636" s="34" t="s">
        <v>5547</v>
      </c>
      <c r="AI636" s="34" t="s">
        <v>4203</v>
      </c>
      <c r="AJ636" s="34" t="s">
        <v>5548</v>
      </c>
      <c r="AK636" s="34" t="s">
        <v>3722</v>
      </c>
      <c r="AL636" s="34" t="s">
        <v>3842</v>
      </c>
      <c r="AM636" s="40" t="s">
        <v>9</v>
      </c>
      <c r="AP636" s="34">
        <v>0</v>
      </c>
      <c r="AQ636" s="34">
        <v>5790</v>
      </c>
      <c r="AR636" s="34">
        <v>3957</v>
      </c>
      <c r="AT636" s="44">
        <v>448500</v>
      </c>
      <c r="AU636" s="44"/>
      <c r="AV636" s="46">
        <f>ROUND(Товары[[#This Row],[РРЦ финальная, руб.]]/$AU$1,2)</f>
        <v>0</v>
      </c>
      <c r="AW636" s="45" t="str">
        <f>IFERROR(Товары[[#This Row],[РРЦ, евро]]/Товары[[#This Row],[IRP, Eur]],"-")</f>
        <v>-</v>
      </c>
      <c r="AX636" s="42">
        <f>IFERROR(VLOOKUP(Товары[[#This Row],[SubGroup]],'Структура цен DIY'!$B:$C,2,FALSE),0)</f>
        <v>0.17999999999999994</v>
      </c>
      <c r="AY636" s="44">
        <v>0</v>
      </c>
    </row>
    <row r="637" spans="1:51" x14ac:dyDescent="0.25">
      <c r="A637" s="34">
        <v>635</v>
      </c>
      <c r="B637" s="34" t="s">
        <v>50</v>
      </c>
      <c r="C637" s="110" t="str">
        <f>IFERROR(INDEX(Структура_ассортимента[SuperCategory],MATCH(Товары[[#This Row],[SubGroup]],Структура_ассортимента[Subgroup],0)),"")</f>
        <v>H</v>
      </c>
      <c r="D637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37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37" s="110" t="str">
        <f>IFERROR(INDEX(Структура_ассортимента[Product group],MATCH(Товары[[#This Row],[SubGroup]],Структура_ассортимента[Subgroup],0)),"")</f>
        <v>HET_P</v>
      </c>
      <c r="G637" s="110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37" s="110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37" s="36">
        <v>9322</v>
      </c>
      <c r="J637" s="36" t="str">
        <f>IFERROR(INDEX(Структура_ассортимента[Generic Name (long)],MATCH(Товары[[#This Row],[SubGroup]],Структура_ассортимента[Subgroup],0)),"")</f>
        <v>TRIMMER, BATTERY</v>
      </c>
      <c r="L637" s="36">
        <v>967981501</v>
      </c>
      <c r="M637" s="35" t="s">
        <v>2321</v>
      </c>
      <c r="O637" s="35" t="s">
        <v>5580</v>
      </c>
      <c r="P637" s="37" t="s">
        <v>5581</v>
      </c>
      <c r="Q637" s="34" t="s">
        <v>3549</v>
      </c>
      <c r="R637" s="34" t="s">
        <v>3540</v>
      </c>
      <c r="S637" s="47">
        <v>43831</v>
      </c>
      <c r="T637" s="47">
        <v>0</v>
      </c>
      <c r="U637" s="47">
        <v>0</v>
      </c>
      <c r="V637" s="34">
        <v>4078500048620</v>
      </c>
      <c r="W637" s="34" t="s">
        <v>3546</v>
      </c>
      <c r="X637" s="34" t="s">
        <v>3551</v>
      </c>
      <c r="Y637" s="34" t="s">
        <v>3542</v>
      </c>
      <c r="Z637" s="34">
        <v>1</v>
      </c>
      <c r="AA637" s="34" t="s">
        <v>5508</v>
      </c>
      <c r="AB637" s="34" t="s">
        <v>5508</v>
      </c>
      <c r="AC637" s="34" t="s">
        <v>5438</v>
      </c>
      <c r="AD637" s="34" t="s">
        <v>5438</v>
      </c>
      <c r="AE637" s="34" t="s">
        <v>5545</v>
      </c>
      <c r="AF637" s="34" t="s">
        <v>3989</v>
      </c>
      <c r="AG637" s="34" t="s">
        <v>5546</v>
      </c>
      <c r="AH637" s="34" t="s">
        <v>5547</v>
      </c>
      <c r="AI637" s="34" t="s">
        <v>4203</v>
      </c>
      <c r="AJ637" s="34" t="s">
        <v>5548</v>
      </c>
      <c r="AK637" s="34" t="s">
        <v>3722</v>
      </c>
      <c r="AL637" s="34" t="s">
        <v>3842</v>
      </c>
      <c r="AM637" s="40" t="s">
        <v>9</v>
      </c>
      <c r="AP637" s="34">
        <v>0</v>
      </c>
      <c r="AQ637" s="34">
        <v>13090</v>
      </c>
      <c r="AR637" s="34">
        <v>8945</v>
      </c>
      <c r="AT637" s="44">
        <v>1013900</v>
      </c>
      <c r="AU637" s="44"/>
      <c r="AV637" s="46">
        <f>ROUND(Товары[[#This Row],[РРЦ финальная, руб.]]/$AU$1,2)</f>
        <v>0</v>
      </c>
      <c r="AW637" s="45" t="str">
        <f>IFERROR(Товары[[#This Row],[РРЦ, евро]]/Товары[[#This Row],[IRP, Eur]],"-")</f>
        <v>-</v>
      </c>
      <c r="AX637" s="42">
        <f>IFERROR(VLOOKUP(Товары[[#This Row],[SubGroup]],'Структура цен DIY'!$B:$C,2,FALSE),0)</f>
        <v>0.17999999999999994</v>
      </c>
      <c r="AY637" s="44">
        <v>0</v>
      </c>
    </row>
    <row r="638" spans="1:51" x14ac:dyDescent="0.25">
      <c r="A638" s="34">
        <v>636</v>
      </c>
      <c r="B638" s="34" t="s">
        <v>50</v>
      </c>
      <c r="C638" s="110" t="str">
        <f>IFERROR(INDEX(Структура_ассортимента[SuperCategory],MATCH(Товары[[#This Row],[SubGroup]],Структура_ассортимента[Subgroup],0)),"")</f>
        <v>H</v>
      </c>
      <c r="D638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38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38" s="110" t="str">
        <f>IFERROR(INDEX(Структура_ассортимента[Product group],MATCH(Товары[[#This Row],[SubGroup]],Структура_ассортимента[Subgroup],0)),"")</f>
        <v>HET_P</v>
      </c>
      <c r="G638" s="110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38" s="110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38" s="36">
        <v>9322</v>
      </c>
      <c r="J638" s="36" t="str">
        <f>IFERROR(INDEX(Структура_ассортимента[Generic Name (long)],MATCH(Товары[[#This Row],[SubGroup]],Структура_ассортимента[Subgroup],0)),"")</f>
        <v>TRIMMER, BATTERY</v>
      </c>
      <c r="L638" s="36">
        <v>967981601</v>
      </c>
      <c r="M638" s="35" t="s">
        <v>2322</v>
      </c>
      <c r="O638" s="35" t="s">
        <v>5582</v>
      </c>
      <c r="P638" s="37" t="s">
        <v>5583</v>
      </c>
      <c r="Q638" s="34" t="s">
        <v>3549</v>
      </c>
      <c r="R638" s="34" t="s">
        <v>3540</v>
      </c>
      <c r="S638" s="47">
        <v>43831</v>
      </c>
      <c r="T638" s="47">
        <v>0</v>
      </c>
      <c r="U638" s="47">
        <v>0</v>
      </c>
      <c r="V638" s="34">
        <v>4078500048637</v>
      </c>
      <c r="W638" s="34" t="s">
        <v>3546</v>
      </c>
      <c r="X638" s="34" t="s">
        <v>3551</v>
      </c>
      <c r="Y638" s="34" t="s">
        <v>3542</v>
      </c>
      <c r="Z638" s="34">
        <v>1</v>
      </c>
      <c r="AA638" s="34" t="s">
        <v>5584</v>
      </c>
      <c r="AB638" s="34" t="s">
        <v>5584</v>
      </c>
      <c r="AC638" s="34" t="s">
        <v>4246</v>
      </c>
      <c r="AD638" s="34" t="s">
        <v>4246</v>
      </c>
      <c r="AE638" s="34" t="s">
        <v>5545</v>
      </c>
      <c r="AF638" s="34" t="s">
        <v>3989</v>
      </c>
      <c r="AG638" s="34" t="s">
        <v>5546</v>
      </c>
      <c r="AH638" s="34" t="s">
        <v>5547</v>
      </c>
      <c r="AI638" s="34" t="s">
        <v>4203</v>
      </c>
      <c r="AJ638" s="34" t="s">
        <v>5548</v>
      </c>
      <c r="AK638" s="34" t="s">
        <v>3722</v>
      </c>
      <c r="AL638" s="34" t="s">
        <v>3842</v>
      </c>
      <c r="AM638" s="40" t="s">
        <v>9</v>
      </c>
      <c r="AP638" s="34">
        <v>0</v>
      </c>
      <c r="AQ638" s="34">
        <v>7690</v>
      </c>
      <c r="AR638" s="34">
        <v>5255</v>
      </c>
      <c r="AT638" s="44">
        <v>595600</v>
      </c>
      <c r="AU638" s="44"/>
      <c r="AV638" s="46">
        <f>ROUND(Товары[[#This Row],[РРЦ финальная, руб.]]/$AU$1,2)</f>
        <v>0</v>
      </c>
      <c r="AW638" s="45" t="str">
        <f>IFERROR(Товары[[#This Row],[РРЦ, евро]]/Товары[[#This Row],[IRP, Eur]],"-")</f>
        <v>-</v>
      </c>
      <c r="AX638" s="42">
        <f>IFERROR(VLOOKUP(Товары[[#This Row],[SubGroup]],'Структура цен DIY'!$B:$C,2,FALSE),0)</f>
        <v>0.17999999999999994</v>
      </c>
      <c r="AY638" s="44">
        <v>0</v>
      </c>
    </row>
    <row r="639" spans="1:51" x14ac:dyDescent="0.25">
      <c r="A639" s="34">
        <v>637</v>
      </c>
      <c r="B639" s="34" t="s">
        <v>50</v>
      </c>
      <c r="C639" s="110" t="str">
        <f>IFERROR(INDEX(Структура_ассортимента[SuperCategory],MATCH(Товары[[#This Row],[SubGroup]],Структура_ассортимента[Subgroup],0)),"")</f>
        <v>H</v>
      </c>
      <c r="D639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39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39" s="110" t="str">
        <f>IFERROR(INDEX(Структура_ассортимента[Product group],MATCH(Товары[[#This Row],[SubGroup]],Структура_ассортимента[Subgroup],0)),"")</f>
        <v>HET_P</v>
      </c>
      <c r="G639" s="110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39" s="110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39" s="36">
        <v>9322</v>
      </c>
      <c r="J639" s="36" t="str">
        <f>IFERROR(INDEX(Структура_ассортимента[Generic Name (long)],MATCH(Товары[[#This Row],[SubGroup]],Структура_ассортимента[Subgroup],0)),"")</f>
        <v>TRIMMER, BATTERY</v>
      </c>
      <c r="L639" s="36">
        <v>966788001</v>
      </c>
      <c r="M639" s="35" t="s">
        <v>2323</v>
      </c>
      <c r="Q639" s="34" t="s">
        <v>3544</v>
      </c>
      <c r="R639" s="34" t="s">
        <v>3540</v>
      </c>
      <c r="S639" s="47">
        <v>40909</v>
      </c>
      <c r="T639" s="47">
        <v>0</v>
      </c>
      <c r="U639" s="47">
        <v>0</v>
      </c>
      <c r="V639" s="34">
        <v>4078500884402</v>
      </c>
      <c r="W639" s="34" t="s">
        <v>5317</v>
      </c>
      <c r="Y639" s="34" t="s">
        <v>3542</v>
      </c>
      <c r="Z639" s="34">
        <v>1</v>
      </c>
      <c r="AA639" s="34">
        <v>6655</v>
      </c>
      <c r="AB639" s="34">
        <v>2930</v>
      </c>
      <c r="AC639" s="34">
        <v>2500</v>
      </c>
      <c r="AD639" s="34">
        <v>2500</v>
      </c>
      <c r="AE639" s="34">
        <v>655</v>
      </c>
      <c r="AF639" s="34">
        <v>215</v>
      </c>
      <c r="AG639" s="34">
        <v>138</v>
      </c>
      <c r="AH639" s="34">
        <v>19434</v>
      </c>
      <c r="AM639" s="40" t="s">
        <v>8094</v>
      </c>
      <c r="AT639" s="44">
        <v>0</v>
      </c>
      <c r="AU639" s="44"/>
      <c r="AV639" s="46">
        <f>ROUND(Товары[[#This Row],[РРЦ финальная, руб.]]/$AU$1,2)</f>
        <v>0</v>
      </c>
      <c r="AW639" s="45" t="str">
        <f>IFERROR(Товары[[#This Row],[РРЦ, евро]]/Товары[[#This Row],[IRP, Eur]],"-")</f>
        <v>-</v>
      </c>
      <c r="AX639" s="42">
        <f>IFERROR(VLOOKUP(Товары[[#This Row],[SubGroup]],'Структура цен DIY'!$B:$C,2,FALSE),0)</f>
        <v>0.17999999999999994</v>
      </c>
      <c r="AY639" s="44">
        <v>0</v>
      </c>
    </row>
    <row r="640" spans="1:51" x14ac:dyDescent="0.25">
      <c r="A640" s="34">
        <v>638</v>
      </c>
      <c r="B640" s="34" t="s">
        <v>50</v>
      </c>
      <c r="C640" s="110" t="str">
        <f>IFERROR(INDEX(Структура_ассортимента[SuperCategory],MATCH(Товары[[#This Row],[SubGroup]],Структура_ассортимента[Subgroup],0)),"")</f>
        <v>H</v>
      </c>
      <c r="D640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40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40" s="110" t="str">
        <f>IFERROR(INDEX(Структура_ассортимента[Product group],MATCH(Товары[[#This Row],[SubGroup]],Структура_ассортимента[Subgroup],0)),"")</f>
        <v>HET_P</v>
      </c>
      <c r="G640" s="110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40" s="110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40" s="36">
        <v>9322</v>
      </c>
      <c r="J640" s="36" t="str">
        <f>IFERROR(INDEX(Структура_ассортимента[Generic Name (long)],MATCH(Товары[[#This Row],[SubGroup]],Структура_ассортимента[Subgroup],0)),"")</f>
        <v>TRIMMER, BATTERY</v>
      </c>
      <c r="L640" s="36">
        <v>967243201</v>
      </c>
      <c r="M640" s="35" t="s">
        <v>2324</v>
      </c>
      <c r="P640" s="37" t="s">
        <v>5585</v>
      </c>
      <c r="Q640" s="34" t="s">
        <v>3544</v>
      </c>
      <c r="R640" s="34" t="s">
        <v>3540</v>
      </c>
      <c r="S640" s="47">
        <v>41713</v>
      </c>
      <c r="T640" s="47">
        <v>0</v>
      </c>
      <c r="U640" s="47">
        <v>0</v>
      </c>
      <c r="V640" s="34">
        <v>4078500001557</v>
      </c>
      <c r="W640" s="34" t="s">
        <v>5554</v>
      </c>
      <c r="Y640" s="34" t="s">
        <v>3542</v>
      </c>
      <c r="Z640" s="34">
        <v>1</v>
      </c>
      <c r="AA640" s="34">
        <v>6655</v>
      </c>
      <c r="AB640" s="34">
        <v>4150</v>
      </c>
      <c r="AD640" s="34">
        <v>2500</v>
      </c>
      <c r="AE640" s="34">
        <v>891</v>
      </c>
      <c r="AF640" s="34">
        <v>260</v>
      </c>
      <c r="AG640" s="34">
        <v>166</v>
      </c>
      <c r="AH640" s="34">
        <v>38456</v>
      </c>
      <c r="AM640" s="40" t="s">
        <v>9</v>
      </c>
      <c r="AP640" s="34">
        <v>0</v>
      </c>
      <c r="AQ640" s="34">
        <v>13990</v>
      </c>
      <c r="AR640" s="34">
        <v>9560</v>
      </c>
      <c r="AT640" s="44">
        <v>1083600</v>
      </c>
      <c r="AU640" s="44"/>
      <c r="AV640" s="46">
        <f>ROUND(Товары[[#This Row],[РРЦ финальная, руб.]]/$AU$1,2)</f>
        <v>0</v>
      </c>
      <c r="AW640" s="45" t="str">
        <f>IFERROR(Товары[[#This Row],[РРЦ, евро]]/Товары[[#This Row],[IRP, Eur]],"-")</f>
        <v>-</v>
      </c>
      <c r="AX640" s="42">
        <f>IFERROR(VLOOKUP(Товары[[#This Row],[SubGroup]],'Структура цен DIY'!$B:$C,2,FALSE),0)</f>
        <v>0.17999999999999994</v>
      </c>
      <c r="AY640" s="44">
        <v>0</v>
      </c>
    </row>
    <row r="641" spans="1:51" x14ac:dyDescent="0.25">
      <c r="A641" s="34">
        <v>639</v>
      </c>
      <c r="B641" s="34" t="s">
        <v>50</v>
      </c>
      <c r="C641" s="110" t="str">
        <f>IFERROR(INDEX(Структура_ассортимента[SuperCategory],MATCH(Товары[[#This Row],[SubGroup]],Структура_ассортимента[Subgroup],0)),"")</f>
        <v>H</v>
      </c>
      <c r="D641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41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41" s="110" t="str">
        <f>IFERROR(INDEX(Структура_ассортимента[Product group],MATCH(Товары[[#This Row],[SubGroup]],Структура_ассортимента[Subgroup],0)),"")</f>
        <v>HET_P</v>
      </c>
      <c r="G641" s="110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41" s="110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41" s="36">
        <v>9322</v>
      </c>
      <c r="J641" s="36" t="str">
        <f>IFERROR(INDEX(Структура_ассортимента[Generic Name (long)],MATCH(Товары[[#This Row],[SubGroup]],Структура_ассортимента[Subgroup],0)),"")</f>
        <v>TRIMMER, BATTERY</v>
      </c>
      <c r="L641" s="36">
        <v>967243401</v>
      </c>
      <c r="M641" s="35" t="s">
        <v>2325</v>
      </c>
      <c r="Q641" s="34" t="s">
        <v>3544</v>
      </c>
      <c r="R641" s="34" t="s">
        <v>3540</v>
      </c>
      <c r="S641" s="47">
        <v>41713</v>
      </c>
      <c r="T641" s="47">
        <v>0</v>
      </c>
      <c r="U641" s="47">
        <v>0</v>
      </c>
      <c r="V641" s="34">
        <v>4078500001571</v>
      </c>
      <c r="W641" s="34" t="s">
        <v>5554</v>
      </c>
      <c r="Y641" s="34" t="s">
        <v>3542</v>
      </c>
      <c r="Z641" s="34">
        <v>1</v>
      </c>
      <c r="AA641" s="34">
        <v>5000</v>
      </c>
      <c r="AB641" s="34">
        <v>4460</v>
      </c>
      <c r="AD641" s="34">
        <v>2800</v>
      </c>
      <c r="AE641" s="34">
        <v>891</v>
      </c>
      <c r="AF641" s="34">
        <v>260</v>
      </c>
      <c r="AG641" s="34">
        <v>166</v>
      </c>
      <c r="AH641" s="34">
        <v>38456</v>
      </c>
      <c r="AM641" s="40" t="s">
        <v>8094</v>
      </c>
      <c r="AT641" s="44">
        <v>0</v>
      </c>
      <c r="AU641" s="44"/>
      <c r="AV641" s="46">
        <f>ROUND(Товары[[#This Row],[РРЦ финальная, руб.]]/$AU$1,2)</f>
        <v>0</v>
      </c>
      <c r="AW641" s="45" t="str">
        <f>IFERROR(Товары[[#This Row],[РРЦ, евро]]/Товары[[#This Row],[IRP, Eur]],"-")</f>
        <v>-</v>
      </c>
      <c r="AX641" s="42">
        <f>IFERROR(VLOOKUP(Товары[[#This Row],[SubGroup]],'Структура цен DIY'!$B:$C,2,FALSE),0)</f>
        <v>0.17999999999999994</v>
      </c>
      <c r="AY641" s="44">
        <v>0</v>
      </c>
    </row>
    <row r="642" spans="1:51" x14ac:dyDescent="0.25">
      <c r="A642" s="34">
        <v>640</v>
      </c>
      <c r="B642" s="34" t="s">
        <v>50</v>
      </c>
      <c r="C642" s="110" t="str">
        <f>IFERROR(INDEX(Структура_ассортимента[SuperCategory],MATCH(Товары[[#This Row],[SubGroup]],Структура_ассортимента[Subgroup],0)),"")</f>
        <v>H</v>
      </c>
      <c r="D642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42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42" s="110" t="str">
        <f>IFERROR(INDEX(Структура_ассортимента[Product group],MATCH(Товары[[#This Row],[SubGroup]],Структура_ассортимента[Subgroup],0)),"")</f>
        <v>HET_P</v>
      </c>
      <c r="G642" s="110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42" s="110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42" s="36">
        <v>9322</v>
      </c>
      <c r="J642" s="36" t="str">
        <f>IFERROR(INDEX(Структура_ассортимента[Generic Name (long)],MATCH(Товары[[#This Row],[SubGroup]],Структура_ассортимента[Subgroup],0)),"")</f>
        <v>TRIMMER, BATTERY</v>
      </c>
      <c r="L642" s="36">
        <v>967286901</v>
      </c>
      <c r="M642" s="35" t="s">
        <v>2326</v>
      </c>
      <c r="Q642" s="34" t="s">
        <v>3544</v>
      </c>
      <c r="R642" s="34" t="s">
        <v>3540</v>
      </c>
      <c r="S642" s="47">
        <v>41713</v>
      </c>
      <c r="T642" s="47">
        <v>0</v>
      </c>
      <c r="U642" s="47">
        <v>0</v>
      </c>
      <c r="V642" s="34">
        <v>4078500004329</v>
      </c>
      <c r="W642" s="34" t="s">
        <v>5554</v>
      </c>
      <c r="Y642" s="34" t="s">
        <v>3542</v>
      </c>
      <c r="Z642" s="34">
        <v>1</v>
      </c>
      <c r="AA642" s="34">
        <v>3616</v>
      </c>
      <c r="AB642" s="34">
        <v>4460</v>
      </c>
      <c r="AC642" s="34">
        <v>2800</v>
      </c>
      <c r="AD642" s="34">
        <v>2800</v>
      </c>
      <c r="AE642" s="34">
        <v>891</v>
      </c>
      <c r="AF642" s="34">
        <v>260</v>
      </c>
      <c r="AG642" s="34">
        <v>166</v>
      </c>
      <c r="AH642" s="34">
        <v>38456</v>
      </c>
      <c r="AM642" s="40" t="s">
        <v>8094</v>
      </c>
      <c r="AT642" s="44">
        <v>0</v>
      </c>
      <c r="AU642" s="44"/>
      <c r="AV642" s="46">
        <f>ROUND(Товары[[#This Row],[РРЦ финальная, руб.]]/$AU$1,2)</f>
        <v>0</v>
      </c>
      <c r="AW642" s="45" t="str">
        <f>IFERROR(Товары[[#This Row],[РРЦ, евро]]/Товары[[#This Row],[IRP, Eur]],"-")</f>
        <v>-</v>
      </c>
      <c r="AX642" s="42">
        <f>IFERROR(VLOOKUP(Товары[[#This Row],[SubGroup]],'Структура цен DIY'!$B:$C,2,FALSE),0)</f>
        <v>0.17999999999999994</v>
      </c>
      <c r="AY642" s="44">
        <v>0</v>
      </c>
    </row>
    <row r="643" spans="1:51" x14ac:dyDescent="0.25">
      <c r="A643" s="34">
        <v>641</v>
      </c>
      <c r="B643" s="34" t="s">
        <v>50</v>
      </c>
      <c r="C643" s="110" t="str">
        <f>IFERROR(INDEX(Структура_ассортимента[SuperCategory],MATCH(Товары[[#This Row],[SubGroup]],Структура_ассортимента[Subgroup],0)),"")</f>
        <v>H</v>
      </c>
      <c r="D643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43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43" s="110" t="str">
        <f>IFERROR(INDEX(Структура_ассортимента[Product group],MATCH(Товары[[#This Row],[SubGroup]],Структура_ассортимента[Subgroup],0)),"")</f>
        <v>HET_P</v>
      </c>
      <c r="G643" s="110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43" s="110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43" s="36">
        <v>9322</v>
      </c>
      <c r="J643" s="36" t="str">
        <f>IFERROR(INDEX(Структура_ассортимента[Generic Name (long)],MATCH(Товары[[#This Row],[SubGroup]],Структура_ассортимента[Subgroup],0)),"")</f>
        <v>TRIMMER, BATTERY</v>
      </c>
      <c r="L643" s="36">
        <v>967667801</v>
      </c>
      <c r="M643" s="35" t="s">
        <v>2327</v>
      </c>
      <c r="O643" s="35" t="s">
        <v>5586</v>
      </c>
      <c r="P643" s="37" t="s">
        <v>5587</v>
      </c>
      <c r="Q643" s="34" t="s">
        <v>3549</v>
      </c>
      <c r="R643" s="34" t="s">
        <v>3540</v>
      </c>
      <c r="S643" s="47">
        <v>43101</v>
      </c>
      <c r="T643" s="47">
        <v>0</v>
      </c>
      <c r="U643" s="47">
        <v>0</v>
      </c>
      <c r="V643" s="34">
        <v>4078500031554</v>
      </c>
      <c r="W643" s="34" t="s">
        <v>3546</v>
      </c>
      <c r="X643" s="34" t="s">
        <v>3551</v>
      </c>
      <c r="Y643" s="34" t="s">
        <v>3542</v>
      </c>
      <c r="Z643" s="34">
        <v>1</v>
      </c>
      <c r="AB643" s="34" t="s">
        <v>5588</v>
      </c>
      <c r="AD643" s="34" t="s">
        <v>5335</v>
      </c>
      <c r="AE643" s="34" t="s">
        <v>5589</v>
      </c>
      <c r="AF643" s="34" t="s">
        <v>3743</v>
      </c>
      <c r="AG643" s="34" t="s">
        <v>3708</v>
      </c>
      <c r="AH643" s="34" t="s">
        <v>5590</v>
      </c>
      <c r="AI643" s="34" t="s">
        <v>5591</v>
      </c>
      <c r="AJ643" s="34" t="s">
        <v>4145</v>
      </c>
      <c r="AK643" s="34" t="s">
        <v>5592</v>
      </c>
      <c r="AL643" s="34" t="s">
        <v>4609</v>
      </c>
      <c r="AM643" s="40" t="s">
        <v>9</v>
      </c>
      <c r="AP643" s="34">
        <v>0</v>
      </c>
      <c r="AQ643" s="34">
        <v>25390</v>
      </c>
      <c r="AR643" s="34">
        <v>17350</v>
      </c>
      <c r="AT643" s="44">
        <v>1966600</v>
      </c>
      <c r="AU643" s="44"/>
      <c r="AV643" s="46">
        <f>ROUND(Товары[[#This Row],[РРЦ финальная, руб.]]/$AU$1,2)</f>
        <v>0</v>
      </c>
      <c r="AW643" s="45" t="str">
        <f>IFERROR(Товары[[#This Row],[РРЦ, евро]]/Товары[[#This Row],[IRP, Eur]],"-")</f>
        <v>-</v>
      </c>
      <c r="AX643" s="42">
        <f>IFERROR(VLOOKUP(Товары[[#This Row],[SubGroup]],'Структура цен DIY'!$B:$C,2,FALSE),0)</f>
        <v>0.17999999999999994</v>
      </c>
      <c r="AY643" s="44">
        <v>0</v>
      </c>
    </row>
    <row r="644" spans="1:51" x14ac:dyDescent="0.25">
      <c r="A644" s="34">
        <v>642</v>
      </c>
      <c r="B644" s="34" t="s">
        <v>50</v>
      </c>
      <c r="C644" s="110" t="str">
        <f>IFERROR(INDEX(Структура_ассортимента[SuperCategory],MATCH(Товары[[#This Row],[SubGroup]],Структура_ассортимента[Subgroup],0)),"")</f>
        <v>H</v>
      </c>
      <c r="D644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44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44" s="110" t="str">
        <f>IFERROR(INDEX(Структура_ассортимента[Product group],MATCH(Товары[[#This Row],[SubGroup]],Структура_ассортимента[Subgroup],0)),"")</f>
        <v>HET_P</v>
      </c>
      <c r="G644" s="110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44" s="110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44" s="36">
        <v>9322</v>
      </c>
      <c r="J644" s="36" t="str">
        <f>IFERROR(INDEX(Структура_ассортимента[Generic Name (long)],MATCH(Товары[[#This Row],[SubGroup]],Структура_ассортимента[Subgroup],0)),"")</f>
        <v>TRIMMER, BATTERY</v>
      </c>
      <c r="L644" s="36">
        <v>967667901</v>
      </c>
      <c r="M644" s="35" t="s">
        <v>2328</v>
      </c>
      <c r="O644" s="35" t="s">
        <v>5593</v>
      </c>
      <c r="P644" s="37" t="s">
        <v>5594</v>
      </c>
      <c r="Q644" s="34" t="s">
        <v>3549</v>
      </c>
      <c r="R644" s="34" t="s">
        <v>3540</v>
      </c>
      <c r="S644" s="47">
        <v>43101</v>
      </c>
      <c r="T644" s="47">
        <v>0</v>
      </c>
      <c r="U644" s="47">
        <v>0</v>
      </c>
      <c r="V644" s="34">
        <v>4078500031561</v>
      </c>
      <c r="W644" s="34" t="s">
        <v>3546</v>
      </c>
      <c r="X644" s="34" t="s">
        <v>3551</v>
      </c>
      <c r="Y644" s="34" t="s">
        <v>3542</v>
      </c>
      <c r="Z644" s="34">
        <v>1</v>
      </c>
      <c r="AB644" s="34" t="s">
        <v>5595</v>
      </c>
      <c r="AD644" s="34" t="s">
        <v>5596</v>
      </c>
      <c r="AE644" s="34" t="s">
        <v>5589</v>
      </c>
      <c r="AF644" s="34" t="s">
        <v>3743</v>
      </c>
      <c r="AG644" s="34" t="s">
        <v>3708</v>
      </c>
      <c r="AH644" s="34" t="s">
        <v>5590</v>
      </c>
      <c r="AL644" s="34" t="s">
        <v>4609</v>
      </c>
      <c r="AM644" s="40" t="s">
        <v>9</v>
      </c>
      <c r="AP644" s="34">
        <v>0</v>
      </c>
      <c r="AQ644" s="34">
        <v>12690</v>
      </c>
      <c r="AR644" s="34">
        <v>8672</v>
      </c>
      <c r="AT644" s="44">
        <v>982900</v>
      </c>
      <c r="AU644" s="44"/>
      <c r="AV644" s="46">
        <f>ROUND(Товары[[#This Row],[РРЦ финальная, руб.]]/$AU$1,2)</f>
        <v>0</v>
      </c>
      <c r="AW644" s="45" t="str">
        <f>IFERROR(Товары[[#This Row],[РРЦ, евро]]/Товары[[#This Row],[IRP, Eur]],"-")</f>
        <v>-</v>
      </c>
      <c r="AX644" s="42">
        <f>IFERROR(VLOOKUP(Товары[[#This Row],[SubGroup]],'Структура цен DIY'!$B:$C,2,FALSE),0)</f>
        <v>0.17999999999999994</v>
      </c>
      <c r="AY644" s="44">
        <v>0</v>
      </c>
    </row>
    <row r="645" spans="1:51" x14ac:dyDescent="0.25">
      <c r="A645" s="34">
        <v>643</v>
      </c>
      <c r="B645" s="34" t="s">
        <v>50</v>
      </c>
      <c r="C645" s="110" t="str">
        <f>IFERROR(INDEX(Структура_ассортимента[SuperCategory],MATCH(Товары[[#This Row],[SubGroup]],Структура_ассортимента[Subgroup],0)),"")</f>
        <v>H</v>
      </c>
      <c r="D645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45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45" s="110" t="str">
        <f>IFERROR(INDEX(Структура_ассортимента[Product group],MATCH(Товары[[#This Row],[SubGroup]],Структура_ассортимента[Subgroup],0)),"")</f>
        <v>HSP_C</v>
      </c>
      <c r="G645" s="110" t="str">
        <f>IFERROR(INDEX(Структура_ассортимента[Product group name ENG],MATCH(Товары[[#This Row],[SubGroup]],Структура_ассортимента[Subgroup],0)),"")</f>
        <v>Handheld, Spare Parts</v>
      </c>
      <c r="H645" s="110" t="str">
        <f>IFERROR(INDEX(Структура_ассортимента[Generic Name (long)3],MATCH(Товары[[#This Row],[SubGroup]],Структура_ассортимента[Subgroup],0)),"")</f>
        <v>Наборы аксессуаров</v>
      </c>
      <c r="I645" s="36">
        <v>2603</v>
      </c>
      <c r="J645" s="36" t="str">
        <f>IFERROR(INDEX(Структура_ассортимента[Generic Name (long)],MATCH(Товары[[#This Row],[SubGroup]],Структура_ассортимента[Subgroup],0)),"")</f>
        <v>KIT</v>
      </c>
      <c r="L645" s="36">
        <v>967909801</v>
      </c>
      <c r="M645" s="35" t="s">
        <v>2329</v>
      </c>
      <c r="O645" s="35" t="s">
        <v>5597</v>
      </c>
      <c r="P645" s="37" t="s">
        <v>5598</v>
      </c>
      <c r="Q645" s="34" t="s">
        <v>3549</v>
      </c>
      <c r="R645" s="34" t="s">
        <v>3540</v>
      </c>
      <c r="S645" s="47">
        <v>43466</v>
      </c>
      <c r="T645" s="47">
        <v>0</v>
      </c>
      <c r="U645" s="47">
        <v>0</v>
      </c>
      <c r="V645" s="34">
        <v>4078500044684</v>
      </c>
      <c r="W645" s="34" t="s">
        <v>3546</v>
      </c>
      <c r="X645" s="34" t="s">
        <v>3551</v>
      </c>
      <c r="Y645" s="34" t="s">
        <v>3542</v>
      </c>
      <c r="Z645" s="34">
        <v>1</v>
      </c>
      <c r="AA645" s="34" t="s">
        <v>3691</v>
      </c>
      <c r="AB645" s="34" t="s">
        <v>4517</v>
      </c>
      <c r="AC645" s="34" t="s">
        <v>4400</v>
      </c>
      <c r="AD645" s="34" t="s">
        <v>4095</v>
      </c>
      <c r="AE645" s="34" t="s">
        <v>4679</v>
      </c>
      <c r="AF645" s="34" t="s">
        <v>3588</v>
      </c>
      <c r="AG645" s="34" t="s">
        <v>4909</v>
      </c>
      <c r="AH645" s="34" t="s">
        <v>5599</v>
      </c>
      <c r="AL645" s="34" t="s">
        <v>3868</v>
      </c>
      <c r="AM645" s="40" t="s">
        <v>9</v>
      </c>
      <c r="AP645" s="34">
        <v>0</v>
      </c>
      <c r="AQ645" s="34">
        <v>1089</v>
      </c>
      <c r="AR645" s="34">
        <v>744</v>
      </c>
      <c r="AT645" s="44">
        <v>84300</v>
      </c>
      <c r="AU645" s="44"/>
      <c r="AV645" s="46">
        <f>ROUND(Товары[[#This Row],[РРЦ финальная, руб.]]/$AU$1,2)</f>
        <v>0</v>
      </c>
      <c r="AW645" s="45" t="str">
        <f>IFERROR(Товары[[#This Row],[РРЦ, евро]]/Товары[[#This Row],[IRP, Eur]],"-")</f>
        <v>-</v>
      </c>
      <c r="AX645" s="42">
        <f>IFERROR(VLOOKUP(Товары[[#This Row],[SubGroup]],'Структура цен DIY'!$B:$C,2,FALSE),0)</f>
        <v>0.18000000000000005</v>
      </c>
      <c r="AY645" s="44">
        <v>0</v>
      </c>
    </row>
    <row r="646" spans="1:51" x14ac:dyDescent="0.25">
      <c r="A646" s="34">
        <v>644</v>
      </c>
      <c r="B646" s="34" t="s">
        <v>50</v>
      </c>
      <c r="C646" s="110" t="str">
        <f>IFERROR(INDEX(Структура_ассортимента[SuperCategory],MATCH(Товары[[#This Row],[SubGroup]],Структура_ассортимента[Subgroup],0)),"")</f>
        <v>H</v>
      </c>
      <c r="D646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46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46" s="110" t="str">
        <f>IFERROR(INDEX(Структура_ассортимента[Product group],MATCH(Товары[[#This Row],[SubGroup]],Структура_ассортимента[Subgroup],0)),"")</f>
        <v>HSP_C</v>
      </c>
      <c r="G646" s="110" t="str">
        <f>IFERROR(INDEX(Структура_ассортимента[Product group name ENG],MATCH(Товары[[#This Row],[SubGroup]],Структура_ассортимента[Subgroup],0)),"")</f>
        <v>Handheld, Spare Parts</v>
      </c>
      <c r="H646" s="110" t="str">
        <f>IFERROR(INDEX(Структура_ассортимента[Generic Name (long)3],MATCH(Товары[[#This Row],[SubGroup]],Структура_ассортимента[Subgroup],0)),"")</f>
        <v>Наборы аксессуаров</v>
      </c>
      <c r="I646" s="36">
        <v>2603</v>
      </c>
      <c r="J646" s="36" t="str">
        <f>IFERROR(INDEX(Структура_ассортимента[Generic Name (long)],MATCH(Товары[[#This Row],[SubGroup]],Структура_ассортимента[Subgroup],0)),"")</f>
        <v>KIT</v>
      </c>
      <c r="L646" s="36">
        <v>967909901</v>
      </c>
      <c r="M646" s="35" t="s">
        <v>2330</v>
      </c>
      <c r="O646" s="35" t="s">
        <v>5600</v>
      </c>
      <c r="P646" s="37" t="s">
        <v>5601</v>
      </c>
      <c r="Q646" s="34" t="s">
        <v>3549</v>
      </c>
      <c r="R646" s="34" t="s">
        <v>3540</v>
      </c>
      <c r="S646" s="47">
        <v>43466</v>
      </c>
      <c r="T646" s="47">
        <v>0</v>
      </c>
      <c r="U646" s="47">
        <v>0</v>
      </c>
      <c r="V646" s="34">
        <v>4078500044691</v>
      </c>
      <c r="W646" s="34" t="s">
        <v>3546</v>
      </c>
      <c r="X646" s="34" t="s">
        <v>3551</v>
      </c>
      <c r="Y646" s="34" t="s">
        <v>3542</v>
      </c>
      <c r="Z646" s="34">
        <v>4</v>
      </c>
      <c r="AA646" s="34" t="s">
        <v>3719</v>
      </c>
      <c r="AB646" s="34" t="s">
        <v>3717</v>
      </c>
      <c r="AC646" s="34" t="s">
        <v>5602</v>
      </c>
      <c r="AD646" s="34" t="s">
        <v>5603</v>
      </c>
      <c r="AE646" s="34" t="s">
        <v>3800</v>
      </c>
      <c r="AF646" s="34" t="s">
        <v>3800</v>
      </c>
      <c r="AG646" s="34" t="s">
        <v>4943</v>
      </c>
      <c r="AH646" s="34" t="s">
        <v>5604</v>
      </c>
      <c r="AI646" s="34" t="s">
        <v>5006</v>
      </c>
      <c r="AJ646" s="34" t="s">
        <v>3800</v>
      </c>
      <c r="AK646" s="34" t="s">
        <v>5006</v>
      </c>
      <c r="AL646" s="34" t="s">
        <v>5605</v>
      </c>
      <c r="AM646" s="40" t="s">
        <v>9</v>
      </c>
      <c r="AP646" s="34">
        <v>0</v>
      </c>
      <c r="AQ646" s="34">
        <v>649</v>
      </c>
      <c r="AR646" s="34">
        <v>443</v>
      </c>
      <c r="AT646" s="44">
        <v>50300</v>
      </c>
      <c r="AU646" s="44"/>
      <c r="AV646" s="46">
        <f>ROUND(Товары[[#This Row],[РРЦ финальная, руб.]]/$AU$1,2)</f>
        <v>0</v>
      </c>
      <c r="AW646" s="45" t="str">
        <f>IFERROR(Товары[[#This Row],[РРЦ, евро]]/Товары[[#This Row],[IRP, Eur]],"-")</f>
        <v>-</v>
      </c>
      <c r="AX646" s="42">
        <f>IFERROR(VLOOKUP(Товары[[#This Row],[SubGroup]],'Структура цен DIY'!$B:$C,2,FALSE),0)</f>
        <v>0.18000000000000005</v>
      </c>
      <c r="AY646" s="44">
        <v>0</v>
      </c>
    </row>
    <row r="647" spans="1:51" x14ac:dyDescent="0.25">
      <c r="A647" s="34">
        <v>645</v>
      </c>
      <c r="B647" s="34" t="s">
        <v>50</v>
      </c>
      <c r="C647" s="110" t="str">
        <f>IFERROR(INDEX(Структура_ассортимента[SuperCategory],MATCH(Товары[[#This Row],[SubGroup]],Структура_ассортимента[Subgroup],0)),"")</f>
        <v>H</v>
      </c>
      <c r="D647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47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47" s="110" t="str">
        <f>IFERROR(INDEX(Структура_ассортимента[Product group],MATCH(Товары[[#This Row],[SubGroup]],Структура_ассортимента[Subgroup],0)),"")</f>
        <v>HSP_C</v>
      </c>
      <c r="G647" s="110" t="str">
        <f>IFERROR(INDEX(Структура_ассортимента[Product group name ENG],MATCH(Товары[[#This Row],[SubGroup]],Структура_ассортимента[Subgroup],0)),"")</f>
        <v>Handheld, Spare Parts</v>
      </c>
      <c r="H647" s="110" t="str">
        <f>IFERROR(INDEX(Структура_ассортимента[Generic Name (long)3],MATCH(Товары[[#This Row],[SubGroup]],Структура_ассортимента[Subgroup],0)),"")</f>
        <v>Наборы аксессуаров</v>
      </c>
      <c r="I647" s="36">
        <v>2603</v>
      </c>
      <c r="J647" s="36" t="str">
        <f>IFERROR(INDEX(Структура_ассортимента[Generic Name (long)],MATCH(Товары[[#This Row],[SubGroup]],Структура_ассортимента[Subgroup],0)),"")</f>
        <v>KIT</v>
      </c>
      <c r="L647" s="36">
        <v>967909701</v>
      </c>
      <c r="M647" s="35" t="s">
        <v>2331</v>
      </c>
      <c r="O647" s="35" t="s">
        <v>5606</v>
      </c>
      <c r="P647" s="37" t="s">
        <v>5607</v>
      </c>
      <c r="Q647" s="34" t="s">
        <v>3549</v>
      </c>
      <c r="R647" s="34" t="s">
        <v>3540</v>
      </c>
      <c r="S647" s="47">
        <v>43466</v>
      </c>
      <c r="T647" s="47">
        <v>43983</v>
      </c>
      <c r="U647" s="47">
        <v>0</v>
      </c>
      <c r="V647" s="34">
        <v>4078500044660</v>
      </c>
      <c r="W647" s="34" t="s">
        <v>3546</v>
      </c>
      <c r="X647" s="34" t="s">
        <v>3551</v>
      </c>
      <c r="Y647" s="34" t="s">
        <v>3542</v>
      </c>
      <c r="Z647" s="34">
        <v>2</v>
      </c>
      <c r="AA647" s="34" t="s">
        <v>4519</v>
      </c>
      <c r="AB647" s="34" t="s">
        <v>3892</v>
      </c>
      <c r="AC647" s="34" t="s">
        <v>4538</v>
      </c>
      <c r="AD647" s="34" t="s">
        <v>5608</v>
      </c>
      <c r="AE647" s="34" t="s">
        <v>4102</v>
      </c>
      <c r="AF647" s="34" t="s">
        <v>3708</v>
      </c>
      <c r="AG647" s="34" t="s">
        <v>4341</v>
      </c>
      <c r="AH647" s="34" t="s">
        <v>5609</v>
      </c>
      <c r="AI647" s="34" t="s">
        <v>3997</v>
      </c>
      <c r="AJ647" s="34" t="s">
        <v>5610</v>
      </c>
      <c r="AK647" s="34" t="s">
        <v>3997</v>
      </c>
      <c r="AL647" s="34" t="s">
        <v>4214</v>
      </c>
      <c r="AM647" s="40" t="s">
        <v>9</v>
      </c>
      <c r="AP647" s="34">
        <v>0</v>
      </c>
      <c r="AQ647" s="34">
        <v>1639</v>
      </c>
      <c r="AR647" s="34">
        <v>1120</v>
      </c>
      <c r="AT647" s="44">
        <v>126900</v>
      </c>
      <c r="AU647" s="44"/>
      <c r="AV647" s="46">
        <f>ROUND(Товары[[#This Row],[РРЦ финальная, руб.]]/$AU$1,2)</f>
        <v>0</v>
      </c>
      <c r="AW647" s="45" t="str">
        <f>IFERROR(Товары[[#This Row],[РРЦ, евро]]/Товары[[#This Row],[IRP, Eur]],"-")</f>
        <v>-</v>
      </c>
      <c r="AX647" s="42">
        <f>IFERROR(VLOOKUP(Товары[[#This Row],[SubGroup]],'Структура цен DIY'!$B:$C,2,FALSE),0)</f>
        <v>0.18000000000000005</v>
      </c>
      <c r="AY647" s="44">
        <v>0</v>
      </c>
    </row>
    <row r="648" spans="1:51" x14ac:dyDescent="0.25">
      <c r="A648" s="34">
        <v>646</v>
      </c>
      <c r="B648" s="34" t="s">
        <v>50</v>
      </c>
      <c r="C648" s="110" t="str">
        <f>IFERROR(INDEX(Структура_ассортимента[SuperCategory],MATCH(Товары[[#This Row],[SubGroup]],Структура_ассортимента[Subgroup],0)),"")</f>
        <v>H</v>
      </c>
      <c r="D648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48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48" s="110" t="str">
        <f>IFERROR(INDEX(Структура_ассортимента[Product group],MATCH(Товары[[#This Row],[SubGroup]],Структура_ассортимента[Subgroup],0)),"")</f>
        <v>HSP_C</v>
      </c>
      <c r="G648" s="110" t="str">
        <f>IFERROR(INDEX(Структура_ассортимента[Product group name ENG],MATCH(Товары[[#This Row],[SubGroup]],Структура_ассортимента[Subgroup],0)),"")</f>
        <v>Handheld, Spare Parts</v>
      </c>
      <c r="H648" s="110" t="str">
        <f>IFERROR(INDEX(Структура_ассортимента[Generic Name (long)3],MATCH(Товары[[#This Row],[SubGroup]],Структура_ассортимента[Subgroup],0)),"")</f>
        <v>Наборы аксессуаров</v>
      </c>
      <c r="I648" s="36">
        <v>2603</v>
      </c>
      <c r="J648" s="36" t="str">
        <f>IFERROR(INDEX(Структура_ассортимента[Generic Name (long)],MATCH(Товары[[#This Row],[SubGroup]],Структура_ассортимента[Subgroup],0)),"")</f>
        <v>KIT</v>
      </c>
      <c r="L648" s="36">
        <v>967910001</v>
      </c>
      <c r="M648" s="35" t="s">
        <v>2332</v>
      </c>
      <c r="O648" s="35" t="s">
        <v>5611</v>
      </c>
      <c r="P648" s="37" t="s">
        <v>5612</v>
      </c>
      <c r="Q648" s="34" t="s">
        <v>3549</v>
      </c>
      <c r="R648" s="34" t="s">
        <v>3540</v>
      </c>
      <c r="S648" s="47">
        <v>43466</v>
      </c>
      <c r="T648" s="47">
        <v>0</v>
      </c>
      <c r="U648" s="47">
        <v>0</v>
      </c>
      <c r="V648" s="34">
        <v>4078500044714</v>
      </c>
      <c r="W648" s="34" t="s">
        <v>3546</v>
      </c>
      <c r="X648" s="34" t="s">
        <v>3551</v>
      </c>
      <c r="Y648" s="34" t="s">
        <v>3542</v>
      </c>
      <c r="Z648" s="34">
        <v>4</v>
      </c>
      <c r="AA648" s="34" t="s">
        <v>4502</v>
      </c>
      <c r="AB648" s="34" t="s">
        <v>3671</v>
      </c>
      <c r="AC648" s="34" t="s">
        <v>4090</v>
      </c>
      <c r="AD648" s="34" t="s">
        <v>4090</v>
      </c>
      <c r="AE648" s="34" t="s">
        <v>4468</v>
      </c>
      <c r="AF648" s="34" t="s">
        <v>4468</v>
      </c>
      <c r="AG648" s="34" t="s">
        <v>5613</v>
      </c>
      <c r="AH648" s="34" t="s">
        <v>5614</v>
      </c>
      <c r="AI648" s="34" t="s">
        <v>4231</v>
      </c>
      <c r="AJ648" s="34" t="s">
        <v>3886</v>
      </c>
      <c r="AK648" s="34" t="s">
        <v>4231</v>
      </c>
      <c r="AL648" s="34" t="s">
        <v>5615</v>
      </c>
      <c r="AM648" s="40" t="s">
        <v>9</v>
      </c>
      <c r="AP648" s="34">
        <v>0</v>
      </c>
      <c r="AQ648" s="34">
        <v>869</v>
      </c>
      <c r="AR648" s="34">
        <v>594</v>
      </c>
      <c r="AT648" s="44">
        <v>67300</v>
      </c>
      <c r="AU648" s="44"/>
      <c r="AV648" s="46">
        <f>ROUND(Товары[[#This Row],[РРЦ финальная, руб.]]/$AU$1,2)</f>
        <v>0</v>
      </c>
      <c r="AW648" s="45" t="str">
        <f>IFERROR(Товары[[#This Row],[РРЦ, евро]]/Товары[[#This Row],[IRP, Eur]],"-")</f>
        <v>-</v>
      </c>
      <c r="AX648" s="42">
        <f>IFERROR(VLOOKUP(Товары[[#This Row],[SubGroup]],'Структура цен DIY'!$B:$C,2,FALSE),0)</f>
        <v>0.18000000000000005</v>
      </c>
      <c r="AY648" s="44">
        <v>0</v>
      </c>
    </row>
    <row r="649" spans="1:51" x14ac:dyDescent="0.25">
      <c r="A649" s="34">
        <v>647</v>
      </c>
      <c r="B649" s="34" t="s">
        <v>50</v>
      </c>
      <c r="C649" s="110" t="str">
        <f>IFERROR(INDEX(Структура_ассортимента[SuperCategory],MATCH(Товары[[#This Row],[SubGroup]],Структура_ассортимента[Subgroup],0)),"")</f>
        <v>H</v>
      </c>
      <c r="D649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49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49" s="110" t="str">
        <f>IFERROR(INDEX(Структура_ассортимента[Product group],MATCH(Товары[[#This Row],[SubGroup]],Структура_ассортимента[Subgroup],0)),"")</f>
        <v>HSP_C</v>
      </c>
      <c r="G649" s="110" t="str">
        <f>IFERROR(INDEX(Структура_ассортимента[Product group name ENG],MATCH(Товары[[#This Row],[SubGroup]],Структура_ассортимента[Subgroup],0)),"")</f>
        <v>Handheld, Spare Parts</v>
      </c>
      <c r="H649" s="110" t="str">
        <f>IFERROR(INDEX(Структура_ассортимента[Generic Name (long)3],MATCH(Товары[[#This Row],[SubGroup]],Структура_ассортимента[Subgroup],0)),"")</f>
        <v>Сменные цепи</v>
      </c>
      <c r="I649" s="36">
        <v>2600</v>
      </c>
      <c r="J649" s="36" t="str">
        <f>IFERROR(INDEX(Структура_ассортимента[Generic Name (long)],MATCH(Товары[[#This Row],[SubGroup]],Структура_ассортимента[Subgroup],0)),"")</f>
        <v>BAR &amp; CHAIN KIT</v>
      </c>
      <c r="L649" s="36">
        <v>585227301</v>
      </c>
      <c r="M649" s="35" t="s">
        <v>2333</v>
      </c>
      <c r="Q649" s="34" t="s">
        <v>3549</v>
      </c>
      <c r="R649" s="34" t="s">
        <v>3540</v>
      </c>
      <c r="S649" s="47">
        <v>36892</v>
      </c>
      <c r="T649" s="47">
        <v>0</v>
      </c>
      <c r="U649" s="47">
        <v>0</v>
      </c>
      <c r="V649" s="34">
        <v>4078500002622</v>
      </c>
      <c r="W649" s="34" t="s">
        <v>3546</v>
      </c>
      <c r="X649" s="34" t="s">
        <v>3551</v>
      </c>
      <c r="Y649" s="34" t="s">
        <v>3542</v>
      </c>
      <c r="Z649" s="34">
        <v>3</v>
      </c>
      <c r="AA649" s="34" t="s">
        <v>4576</v>
      </c>
      <c r="AB649" s="34" t="s">
        <v>4576</v>
      </c>
      <c r="AC649" s="34" t="s">
        <v>4502</v>
      </c>
      <c r="AD649" s="34" t="s">
        <v>4502</v>
      </c>
      <c r="AE649" s="34" t="s">
        <v>3590</v>
      </c>
      <c r="AF649" s="34" t="s">
        <v>3693</v>
      </c>
      <c r="AG649" s="34" t="s">
        <v>3656</v>
      </c>
      <c r="AH649" s="34" t="s">
        <v>4665</v>
      </c>
      <c r="AL649" s="34">
        <v>459</v>
      </c>
      <c r="AM649" s="40" t="s">
        <v>8095</v>
      </c>
      <c r="AT649" s="44">
        <v>0</v>
      </c>
      <c r="AU649" s="44"/>
      <c r="AV649" s="46">
        <f>ROUND(Товары[[#This Row],[РРЦ финальная, руб.]]/$AU$1,2)</f>
        <v>0</v>
      </c>
      <c r="AW649" s="45" t="str">
        <f>IFERROR(Товары[[#This Row],[РРЦ, евро]]/Товары[[#This Row],[IRP, Eur]],"-")</f>
        <v>-</v>
      </c>
      <c r="AX649" s="42">
        <f>IFERROR(VLOOKUP(Товары[[#This Row],[SubGroup]],'Структура цен DIY'!$B:$C,2,FALSE),0)</f>
        <v>0</v>
      </c>
      <c r="AY649" s="44">
        <v>0</v>
      </c>
    </row>
    <row r="650" spans="1:51" x14ac:dyDescent="0.25">
      <c r="A650" s="34">
        <v>648</v>
      </c>
      <c r="B650" s="34" t="s">
        <v>50</v>
      </c>
      <c r="C650" s="110" t="str">
        <f>IFERROR(INDEX(Структура_ассортимента[SuperCategory],MATCH(Товары[[#This Row],[SubGroup]],Структура_ассортимента[Subgroup],0)),"")</f>
        <v>H</v>
      </c>
      <c r="D650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50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50" s="110" t="str">
        <f>IFERROR(INDEX(Структура_ассортимента[Product group],MATCH(Товары[[#This Row],[SubGroup]],Структура_ассортимента[Subgroup],0)),"")</f>
        <v>HSP_C</v>
      </c>
      <c r="G650" s="110" t="str">
        <f>IFERROR(INDEX(Структура_ассортимента[Product group name ENG],MATCH(Товары[[#This Row],[SubGroup]],Структура_ассортимента[Subgroup],0)),"")</f>
        <v>Handheld, Spare Parts</v>
      </c>
      <c r="H650" s="110" t="str">
        <f>IFERROR(INDEX(Структура_ассортимента[Generic Name (long)3],MATCH(Товары[[#This Row],[SubGroup]],Структура_ассортимента[Subgroup],0)),"")</f>
        <v>Сменные цепи</v>
      </c>
      <c r="I650" s="36">
        <v>2600</v>
      </c>
      <c r="J650" s="36" t="str">
        <f>IFERROR(INDEX(Структура_ассортимента[Generic Name (long)],MATCH(Товары[[#This Row],[SubGroup]],Структура_ассортимента[Subgroup],0)),"")</f>
        <v>BAR &amp; CHAIN KIT</v>
      </c>
      <c r="L650" s="36">
        <v>585227201</v>
      </c>
      <c r="M650" s="35" t="s">
        <v>2334</v>
      </c>
      <c r="Q650" s="34" t="s">
        <v>3549</v>
      </c>
      <c r="R650" s="34" t="s">
        <v>3540</v>
      </c>
      <c r="S650" s="47">
        <v>36892</v>
      </c>
      <c r="T650" s="47">
        <v>0</v>
      </c>
      <c r="U650" s="47">
        <v>0</v>
      </c>
      <c r="V650" s="34">
        <v>4078500002646</v>
      </c>
      <c r="W650" s="34" t="s">
        <v>3546</v>
      </c>
      <c r="X650" s="34" t="s">
        <v>5616</v>
      </c>
      <c r="Y650" s="34" t="s">
        <v>3542</v>
      </c>
      <c r="Z650" s="34">
        <v>5</v>
      </c>
      <c r="AA650" s="34" t="s">
        <v>3721</v>
      </c>
      <c r="AB650" s="34" t="s">
        <v>3721</v>
      </c>
      <c r="AC650" s="34" t="s">
        <v>3670</v>
      </c>
      <c r="AD650" s="34" t="s">
        <v>3670</v>
      </c>
      <c r="AE650" s="34" t="s">
        <v>4893</v>
      </c>
      <c r="AF650" s="34" t="s">
        <v>3592</v>
      </c>
      <c r="AG650" s="34" t="s">
        <v>3672</v>
      </c>
      <c r="AH650" s="34" t="s">
        <v>5617</v>
      </c>
      <c r="AL650" s="34">
        <v>1275</v>
      </c>
      <c r="AM650" s="40" t="s">
        <v>8095</v>
      </c>
      <c r="AT650" s="44">
        <v>0</v>
      </c>
      <c r="AU650" s="44"/>
      <c r="AV650" s="46">
        <f>ROUND(Товары[[#This Row],[РРЦ финальная, руб.]]/$AU$1,2)</f>
        <v>0</v>
      </c>
      <c r="AW650" s="45" t="str">
        <f>IFERROR(Товары[[#This Row],[РРЦ, евро]]/Товары[[#This Row],[IRP, Eur]],"-")</f>
        <v>-</v>
      </c>
      <c r="AX650" s="42">
        <f>IFERROR(VLOOKUP(Товары[[#This Row],[SubGroup]],'Структура цен DIY'!$B:$C,2,FALSE),0)</f>
        <v>0</v>
      </c>
      <c r="AY650" s="44">
        <v>0</v>
      </c>
    </row>
    <row r="651" spans="1:51" x14ac:dyDescent="0.25">
      <c r="A651" s="34">
        <v>649</v>
      </c>
      <c r="B651" s="34" t="s">
        <v>50</v>
      </c>
      <c r="C651" s="110" t="str">
        <f>IFERROR(INDEX(Структура_ассортимента[SuperCategory],MATCH(Товары[[#This Row],[SubGroup]],Структура_ассортимента[Subgroup],0)),"")</f>
        <v>H</v>
      </c>
      <c r="D651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51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51" s="110" t="str">
        <f>IFERROR(INDEX(Структура_ассортимента[Product group],MATCH(Товары[[#This Row],[SubGroup]],Структура_ассортимента[Subgroup],0)),"")</f>
        <v>HSP_C</v>
      </c>
      <c r="G651" s="110" t="str">
        <f>IFERROR(INDEX(Структура_ассортимента[Product group name ENG],MATCH(Товары[[#This Row],[SubGroup]],Структура_ассортимента[Subgroup],0)),"")</f>
        <v>Handheld, Spare Parts</v>
      </c>
      <c r="H651" s="110" t="str">
        <f>IFERROR(INDEX(Структура_ассортимента[Generic Name (long)3],MATCH(Товары[[#This Row],[SubGroup]],Структура_ассортимента[Subgroup],0)),"")</f>
        <v>Сумки для хранения аксессуаров для садовой техники</v>
      </c>
      <c r="I651" s="36">
        <v>2602</v>
      </c>
      <c r="J651" s="36" t="str">
        <f>IFERROR(INDEX(Структура_ассортимента[Generic Name (long)],MATCH(Товары[[#This Row],[SubGroup]],Структура_ассортимента[Subgroup],0)),"")</f>
        <v>ACCESSORY BAG</v>
      </c>
      <c r="L651" s="36">
        <v>967089401</v>
      </c>
      <c r="M651" s="35" t="s">
        <v>2335</v>
      </c>
      <c r="Q651" s="34" t="s">
        <v>3549</v>
      </c>
      <c r="R651" s="34" t="s">
        <v>3540</v>
      </c>
      <c r="S651" s="47">
        <v>42736</v>
      </c>
      <c r="T651" s="47">
        <v>0</v>
      </c>
      <c r="U651" s="47">
        <v>0</v>
      </c>
      <c r="V651" s="34">
        <v>4078500023252</v>
      </c>
      <c r="W651" s="34" t="s">
        <v>3546</v>
      </c>
      <c r="X651" s="34" t="s">
        <v>3551</v>
      </c>
      <c r="Y651" s="34" t="s">
        <v>3542</v>
      </c>
      <c r="Z651" s="34">
        <v>4</v>
      </c>
      <c r="AA651" s="34">
        <v>2500</v>
      </c>
      <c r="AB651" s="34" t="s">
        <v>5618</v>
      </c>
      <c r="AC651" s="34">
        <v>2450</v>
      </c>
      <c r="AD651" s="34" t="s">
        <v>4715</v>
      </c>
      <c r="AE651" s="34" t="s">
        <v>5619</v>
      </c>
      <c r="AF651" s="34" t="s">
        <v>4324</v>
      </c>
      <c r="AG651" s="34" t="s">
        <v>4343</v>
      </c>
      <c r="AH651" s="34" t="s">
        <v>5620</v>
      </c>
      <c r="AI651" s="34" t="s">
        <v>3987</v>
      </c>
      <c r="AJ651" s="34" t="s">
        <v>5621</v>
      </c>
      <c r="AK651" s="34" t="s">
        <v>3988</v>
      </c>
      <c r="AL651" s="34" t="s">
        <v>4321</v>
      </c>
      <c r="AM651" s="40" t="s">
        <v>8095</v>
      </c>
      <c r="AT651" s="44">
        <v>0</v>
      </c>
      <c r="AU651" s="44"/>
      <c r="AV651" s="46">
        <f>ROUND(Товары[[#This Row],[РРЦ финальная, руб.]]/$AU$1,2)</f>
        <v>0</v>
      </c>
      <c r="AW651" s="45" t="str">
        <f>IFERROR(Товары[[#This Row],[РРЦ, евро]]/Товары[[#This Row],[IRP, Eur]],"-")</f>
        <v>-</v>
      </c>
      <c r="AX651" s="42">
        <f>IFERROR(VLOOKUP(Товары[[#This Row],[SubGroup]],'Структура цен DIY'!$B:$C,2,FALSE),0)</f>
        <v>0</v>
      </c>
      <c r="AY651" s="44">
        <v>0</v>
      </c>
    </row>
    <row r="652" spans="1:51" x14ac:dyDescent="0.25">
      <c r="A652" s="34">
        <v>650</v>
      </c>
      <c r="B652" s="34" t="s">
        <v>50</v>
      </c>
      <c r="C652" s="110" t="str">
        <f>IFERROR(INDEX(Структура_ассортимента[SuperCategory],MATCH(Товары[[#This Row],[SubGroup]],Структура_ассортимента[Subgroup],0)),"")</f>
        <v>H</v>
      </c>
      <c r="D652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52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52" s="110" t="str">
        <f>IFERROR(INDEX(Структура_ассортимента[Product group],MATCH(Товары[[#This Row],[SubGroup]],Структура_ассортимента[Subgroup],0)),"")</f>
        <v>HSP_C</v>
      </c>
      <c r="G652" s="110" t="str">
        <f>IFERROR(INDEX(Структура_ассортимента[Product group name ENG],MATCH(Товары[[#This Row],[SubGroup]],Структура_ассортимента[Subgroup],0)),"")</f>
        <v>Handheld, Spare Parts</v>
      </c>
      <c r="H652" s="110" t="str">
        <f>IFERROR(INDEX(Структура_ассортимента[Generic Name (long)3],MATCH(Товары[[#This Row],[SubGroup]],Структура_ассортимента[Subgroup],0)),"")</f>
        <v>Сумки для хранения аксессуаров для садовой техники</v>
      </c>
      <c r="I652" s="36">
        <v>2602</v>
      </c>
      <c r="J652" s="36" t="str">
        <f>IFERROR(INDEX(Структура_ассортимента[Generic Name (long)],MATCH(Товары[[#This Row],[SubGroup]],Структура_ассортимента[Subgroup],0)),"")</f>
        <v>ACCESSORY BAG</v>
      </c>
      <c r="L652" s="36">
        <v>967089501</v>
      </c>
      <c r="M652" s="35" t="s">
        <v>2336</v>
      </c>
      <c r="Q652" s="34" t="s">
        <v>3549</v>
      </c>
      <c r="R652" s="34" t="s">
        <v>3540</v>
      </c>
      <c r="S652" s="47">
        <v>42736</v>
      </c>
      <c r="T652" s="47">
        <v>0</v>
      </c>
      <c r="U652" s="47">
        <v>0</v>
      </c>
      <c r="V652" s="34">
        <v>4078500023221</v>
      </c>
      <c r="W652" s="34" t="s">
        <v>3546</v>
      </c>
      <c r="X652" s="34" t="s">
        <v>3551</v>
      </c>
      <c r="Y652" s="34" t="s">
        <v>3542</v>
      </c>
      <c r="Z652" s="34">
        <v>4</v>
      </c>
      <c r="AA652" s="34">
        <v>2500</v>
      </c>
      <c r="AB652" s="34" t="s">
        <v>5618</v>
      </c>
      <c r="AC652" s="34">
        <v>2450</v>
      </c>
      <c r="AD652" s="34" t="s">
        <v>4715</v>
      </c>
      <c r="AE652" s="34" t="s">
        <v>5619</v>
      </c>
      <c r="AF652" s="34" t="s">
        <v>4324</v>
      </c>
      <c r="AG652" s="34" t="s">
        <v>4343</v>
      </c>
      <c r="AH652" s="34" t="s">
        <v>5620</v>
      </c>
      <c r="AI652" s="34" t="s">
        <v>3942</v>
      </c>
      <c r="AJ652" s="34" t="s">
        <v>3623</v>
      </c>
      <c r="AK652" s="34" t="s">
        <v>4353</v>
      </c>
      <c r="AL652" s="34" t="s">
        <v>4321</v>
      </c>
      <c r="AM652" s="40" t="s">
        <v>8095</v>
      </c>
      <c r="AT652" s="44">
        <v>0</v>
      </c>
      <c r="AU652" s="44"/>
      <c r="AV652" s="46">
        <f>ROUND(Товары[[#This Row],[РРЦ финальная, руб.]]/$AU$1,2)</f>
        <v>0</v>
      </c>
      <c r="AW652" s="45" t="str">
        <f>IFERROR(Товары[[#This Row],[РРЦ, евро]]/Товары[[#This Row],[IRP, Eur]],"-")</f>
        <v>-</v>
      </c>
      <c r="AX652" s="42">
        <f>IFERROR(VLOOKUP(Товары[[#This Row],[SubGroup]],'Структура цен DIY'!$B:$C,2,FALSE),0)</f>
        <v>0</v>
      </c>
      <c r="AY652" s="44">
        <v>0</v>
      </c>
    </row>
    <row r="653" spans="1:51" x14ac:dyDescent="0.25">
      <c r="A653" s="34">
        <v>651</v>
      </c>
      <c r="B653" s="34" t="s">
        <v>50</v>
      </c>
      <c r="C653" s="110" t="str">
        <f>IFERROR(INDEX(Структура_ассортимента[SuperCategory],MATCH(Товары[[#This Row],[SubGroup]],Структура_ассортимента[Subgroup],0)),"")</f>
        <v>H</v>
      </c>
      <c r="D653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53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53" s="110" t="str">
        <f>IFERROR(INDEX(Структура_ассортимента[Product group],MATCH(Товары[[#This Row],[SubGroup]],Структура_ассортимента[Subgroup],0)),"")</f>
        <v>HSP_C</v>
      </c>
      <c r="G653" s="110" t="str">
        <f>IFERROR(INDEX(Структура_ассортимента[Product group name ENG],MATCH(Товары[[#This Row],[SubGroup]],Структура_ассортимента[Subgroup],0)),"")</f>
        <v>Handheld, Spare Parts</v>
      </c>
      <c r="H653" s="110" t="str">
        <f>IFERROR(INDEX(Структура_ассортимента[Generic Name (long)3],MATCH(Товары[[#This Row],[SubGroup]],Структура_ассортимента[Subgroup],0)),"")</f>
        <v>Сменные цепи</v>
      </c>
      <c r="I653" s="36">
        <v>2600</v>
      </c>
      <c r="J653" s="36" t="str">
        <f>IFERROR(INDEX(Структура_ассортимента[Generic Name (long)],MATCH(Товары[[#This Row],[SubGroup]],Структура_ассортимента[Subgroup],0)),"")</f>
        <v>BAR &amp; CHAIN KIT</v>
      </c>
      <c r="L653" s="36">
        <v>966055801</v>
      </c>
      <c r="M653" s="35" t="s">
        <v>2337</v>
      </c>
      <c r="Q653" s="34" t="s">
        <v>3549</v>
      </c>
      <c r="R653" s="34" t="s">
        <v>3540</v>
      </c>
      <c r="S653" s="47">
        <v>39862</v>
      </c>
      <c r="T653" s="47">
        <v>0</v>
      </c>
      <c r="U653" s="47">
        <v>0</v>
      </c>
      <c r="V653" s="34">
        <v>4078500600606</v>
      </c>
      <c r="W653" s="34" t="s">
        <v>3550</v>
      </c>
      <c r="X653" s="34" t="s">
        <v>5622</v>
      </c>
      <c r="Y653" s="34" t="s">
        <v>3542</v>
      </c>
      <c r="Z653" s="34">
        <v>4</v>
      </c>
      <c r="AA653" s="34" t="s">
        <v>5623</v>
      </c>
      <c r="AB653" s="34" t="s">
        <v>5623</v>
      </c>
      <c r="AC653" s="34" t="s">
        <v>4264</v>
      </c>
      <c r="AD653" s="34" t="s">
        <v>4264</v>
      </c>
      <c r="AE653" s="34" t="s">
        <v>3800</v>
      </c>
      <c r="AF653" s="34" t="s">
        <v>3800</v>
      </c>
      <c r="AG653" s="34" t="s">
        <v>5624</v>
      </c>
      <c r="AH653" s="34" t="s">
        <v>5625</v>
      </c>
      <c r="AL653" s="34" t="s">
        <v>4433</v>
      </c>
      <c r="AM653" s="40" t="s">
        <v>8095</v>
      </c>
      <c r="AT653" s="44">
        <v>0</v>
      </c>
      <c r="AU653" s="44"/>
      <c r="AV653" s="46">
        <f>ROUND(Товары[[#This Row],[РРЦ финальная, руб.]]/$AU$1,2)</f>
        <v>0</v>
      </c>
      <c r="AW653" s="45" t="str">
        <f>IFERROR(Товары[[#This Row],[РРЦ, евро]]/Товары[[#This Row],[IRP, Eur]],"-")</f>
        <v>-</v>
      </c>
      <c r="AX653" s="42">
        <f>IFERROR(VLOOKUP(Товары[[#This Row],[SubGroup]],'Структура цен DIY'!$B:$C,2,FALSE),0)</f>
        <v>0</v>
      </c>
      <c r="AY653" s="44">
        <v>0</v>
      </c>
    </row>
    <row r="654" spans="1:51" x14ac:dyDescent="0.25">
      <c r="A654" s="34">
        <v>652</v>
      </c>
      <c r="B654" s="34" t="s">
        <v>50</v>
      </c>
      <c r="C654" s="110" t="str">
        <f>IFERROR(INDEX(Структура_ассортимента[SuperCategory],MATCH(Товары[[#This Row],[SubGroup]],Структура_ассортимента[Subgroup],0)),"")</f>
        <v>H</v>
      </c>
      <c r="D654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54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54" s="110" t="str">
        <f>IFERROR(INDEX(Структура_ассортимента[Product group],MATCH(Товары[[#This Row],[SubGroup]],Структура_ассортимента[Subgroup],0)),"")</f>
        <v>HSP_C</v>
      </c>
      <c r="G654" s="110" t="str">
        <f>IFERROR(INDEX(Структура_ассортимента[Product group name ENG],MATCH(Товары[[#This Row],[SubGroup]],Структура_ассортимента[Subgroup],0)),"")</f>
        <v>Handheld, Spare Parts</v>
      </c>
      <c r="H654" s="110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54" s="36">
        <v>2601</v>
      </c>
      <c r="J654" s="36" t="str">
        <f>IFERROR(INDEX(Структура_ассортимента[Generic Name (long)],MATCH(Товары[[#This Row],[SubGroup]],Структура_ассортимента[Subgroup],0)),"")</f>
        <v>SPOOL &amp; LINE</v>
      </c>
      <c r="L654" s="36">
        <v>901086901</v>
      </c>
      <c r="M654" s="35" t="s">
        <v>2338</v>
      </c>
      <c r="O654" s="35" t="s">
        <v>5626</v>
      </c>
      <c r="P654" s="37" t="s">
        <v>5627</v>
      </c>
      <c r="Q654" s="34" t="s">
        <v>3549</v>
      </c>
      <c r="R654" s="34" t="s">
        <v>3540</v>
      </c>
      <c r="S654" s="47">
        <v>38991</v>
      </c>
      <c r="T654" s="47">
        <v>0</v>
      </c>
      <c r="U654" s="47">
        <v>0</v>
      </c>
      <c r="V654" s="34">
        <v>4078500536806</v>
      </c>
      <c r="W654" s="34" t="s">
        <v>3543</v>
      </c>
      <c r="X654" s="34" t="s">
        <v>3579</v>
      </c>
      <c r="Y654" s="34" t="s">
        <v>3542</v>
      </c>
      <c r="Z654" s="34">
        <v>6</v>
      </c>
      <c r="AA654" s="34" t="s">
        <v>5628</v>
      </c>
      <c r="AB654" s="34" t="s">
        <v>3776</v>
      </c>
      <c r="AC654" s="34" t="s">
        <v>5629</v>
      </c>
      <c r="AD654" s="34" t="s">
        <v>5629</v>
      </c>
      <c r="AE654" s="34" t="s">
        <v>3693</v>
      </c>
      <c r="AF654" s="34" t="s">
        <v>3576</v>
      </c>
      <c r="AG654" s="34" t="s">
        <v>4432</v>
      </c>
      <c r="AH654" s="34" t="s">
        <v>5630</v>
      </c>
      <c r="AL654" s="34">
        <v>936</v>
      </c>
      <c r="AM654" s="40" t="s">
        <v>9</v>
      </c>
      <c r="AP654" s="34">
        <v>0</v>
      </c>
      <c r="AQ654" s="34">
        <v>1089</v>
      </c>
      <c r="AR654" s="34">
        <v>635</v>
      </c>
      <c r="AT654" s="44">
        <v>84300</v>
      </c>
      <c r="AU654" s="44"/>
      <c r="AV654" s="46">
        <f>ROUND(Товары[[#This Row],[РРЦ финальная, руб.]]/$AU$1,2)</f>
        <v>0</v>
      </c>
      <c r="AW654" s="45" t="str">
        <f>IFERROR(Товары[[#This Row],[РРЦ, евро]]/Товары[[#This Row],[IRP, Eur]],"-")</f>
        <v>-</v>
      </c>
      <c r="AX654" s="42">
        <f>IFERROR(VLOOKUP(Товары[[#This Row],[SubGroup]],'Структура цен DIY'!$B:$C,2,FALSE),0)</f>
        <v>0.29999999999999993</v>
      </c>
      <c r="AY654" s="44">
        <v>0</v>
      </c>
    </row>
    <row r="655" spans="1:51" x14ac:dyDescent="0.25">
      <c r="A655" s="34">
        <v>653</v>
      </c>
      <c r="B655" s="34" t="s">
        <v>50</v>
      </c>
      <c r="C655" s="110" t="str">
        <f>IFERROR(INDEX(Структура_ассортимента[SuperCategory],MATCH(Товары[[#This Row],[SubGroup]],Структура_ассортимента[Subgroup],0)),"")</f>
        <v>H</v>
      </c>
      <c r="D655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55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55" s="110" t="str">
        <f>IFERROR(INDEX(Структура_ассортимента[Product group],MATCH(Товары[[#This Row],[SubGroup]],Структура_ассортимента[Subgroup],0)),"")</f>
        <v>HSP_C</v>
      </c>
      <c r="G655" s="110" t="str">
        <f>IFERROR(INDEX(Структура_ассортимента[Product group name ENG],MATCH(Товары[[#This Row],[SubGroup]],Структура_ассортимента[Subgroup],0)),"")</f>
        <v>Handheld, Spare Parts</v>
      </c>
      <c r="H655" s="110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55" s="36">
        <v>2601</v>
      </c>
      <c r="J655" s="36" t="str">
        <f>IFERROR(INDEX(Структура_ассортимента[Generic Name (long)],MATCH(Товары[[#This Row],[SubGroup]],Структура_ассортимента[Subgroup],0)),"")</f>
        <v>SPOOL &amp; LINE</v>
      </c>
      <c r="L655" s="36">
        <v>901082701</v>
      </c>
      <c r="M655" s="35" t="s">
        <v>2339</v>
      </c>
      <c r="O655" s="35" t="s">
        <v>5631</v>
      </c>
      <c r="P655" s="37" t="s">
        <v>5632</v>
      </c>
      <c r="Q655" s="34" t="s">
        <v>3549</v>
      </c>
      <c r="R655" s="34" t="s">
        <v>3540</v>
      </c>
      <c r="S655" s="47">
        <v>39722</v>
      </c>
      <c r="T655" s="47">
        <v>0</v>
      </c>
      <c r="U655" s="47">
        <v>0</v>
      </c>
      <c r="V655" s="34">
        <v>4078500530606</v>
      </c>
      <c r="W655" s="34" t="s">
        <v>3550</v>
      </c>
      <c r="X655" s="34" t="s">
        <v>3551</v>
      </c>
      <c r="Y655" s="34" t="s">
        <v>3542</v>
      </c>
      <c r="Z655" s="34">
        <v>6</v>
      </c>
      <c r="AA655" s="34" t="s">
        <v>3653</v>
      </c>
      <c r="AB655" s="34" t="s">
        <v>3653</v>
      </c>
      <c r="AC655" s="34" t="s">
        <v>5633</v>
      </c>
      <c r="AD655" s="34" t="s">
        <v>5633</v>
      </c>
      <c r="AE655" s="34" t="s">
        <v>3693</v>
      </c>
      <c r="AF655" s="34" t="s">
        <v>3576</v>
      </c>
      <c r="AG655" s="34" t="s">
        <v>4234</v>
      </c>
      <c r="AH655" s="34" t="s">
        <v>5634</v>
      </c>
      <c r="AI655" s="34" t="s">
        <v>4324</v>
      </c>
      <c r="AJ655" s="34" t="s">
        <v>3801</v>
      </c>
      <c r="AK655" s="34" t="s">
        <v>4324</v>
      </c>
      <c r="AL655" s="34">
        <v>1440</v>
      </c>
      <c r="AM655" s="40" t="s">
        <v>9</v>
      </c>
      <c r="AP655" s="34">
        <v>0</v>
      </c>
      <c r="AQ655" s="34">
        <v>979</v>
      </c>
      <c r="AR655" s="34">
        <v>571</v>
      </c>
      <c r="AT655" s="44">
        <v>75800</v>
      </c>
      <c r="AU655" s="44"/>
      <c r="AV655" s="46">
        <f>ROUND(Товары[[#This Row],[РРЦ финальная, руб.]]/$AU$1,2)</f>
        <v>0</v>
      </c>
      <c r="AW655" s="45" t="str">
        <f>IFERROR(Товары[[#This Row],[РРЦ, евро]]/Товары[[#This Row],[IRP, Eur]],"-")</f>
        <v>-</v>
      </c>
      <c r="AX655" s="42">
        <f>IFERROR(VLOOKUP(Товары[[#This Row],[SubGroup]],'Структура цен DIY'!$B:$C,2,FALSE),0)</f>
        <v>0.29999999999999993</v>
      </c>
      <c r="AY655" s="44">
        <v>0</v>
      </c>
    </row>
    <row r="656" spans="1:51" x14ac:dyDescent="0.25">
      <c r="A656" s="34">
        <v>654</v>
      </c>
      <c r="B656" s="34" t="s">
        <v>50</v>
      </c>
      <c r="C656" s="110" t="str">
        <f>IFERROR(INDEX(Структура_ассортимента[SuperCategory],MATCH(Товары[[#This Row],[SubGroup]],Структура_ассортимента[Subgroup],0)),"")</f>
        <v>H</v>
      </c>
      <c r="D656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56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56" s="110" t="str">
        <f>IFERROR(INDEX(Структура_ассортимента[Product group],MATCH(Товары[[#This Row],[SubGroup]],Структура_ассортимента[Subgroup],0)),"")</f>
        <v>HSP_C</v>
      </c>
      <c r="G656" s="110" t="str">
        <f>IFERROR(INDEX(Структура_ассортимента[Product group name ENG],MATCH(Товары[[#This Row],[SubGroup]],Структура_ассортимента[Subgroup],0)),"")</f>
        <v>Handheld, Spare Parts</v>
      </c>
      <c r="H656" s="110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56" s="36">
        <v>2601</v>
      </c>
      <c r="J656" s="36" t="str">
        <f>IFERROR(INDEX(Структура_ассортимента[Generic Name (long)],MATCH(Товары[[#This Row],[SubGroup]],Структура_ассортимента[Subgroup],0)),"")</f>
        <v>SPOOL &amp; LINE</v>
      </c>
      <c r="L656" s="36">
        <v>901082801</v>
      </c>
      <c r="M656" s="35" t="s">
        <v>2340</v>
      </c>
      <c r="O656" s="35" t="s">
        <v>5635</v>
      </c>
      <c r="P656" s="37" t="s">
        <v>5636</v>
      </c>
      <c r="Q656" s="34" t="s">
        <v>3549</v>
      </c>
      <c r="R656" s="34" t="s">
        <v>3540</v>
      </c>
      <c r="S656" s="47">
        <v>39722</v>
      </c>
      <c r="T656" s="47">
        <v>0</v>
      </c>
      <c r="U656" s="47">
        <v>0</v>
      </c>
      <c r="V656" s="34">
        <v>4078500530705</v>
      </c>
      <c r="W656" s="34" t="s">
        <v>3550</v>
      </c>
      <c r="X656" s="34" t="s">
        <v>3579</v>
      </c>
      <c r="Y656" s="34" t="s">
        <v>3542</v>
      </c>
      <c r="Z656" s="34">
        <v>6</v>
      </c>
      <c r="AA656" s="34" t="s">
        <v>3717</v>
      </c>
      <c r="AB656" s="34" t="s">
        <v>3717</v>
      </c>
      <c r="AC656" s="34" t="s">
        <v>3779</v>
      </c>
      <c r="AD656" s="34" t="s">
        <v>3779</v>
      </c>
      <c r="AE656" s="34" t="s">
        <v>3693</v>
      </c>
      <c r="AF656" s="34" t="s">
        <v>3576</v>
      </c>
      <c r="AG656" s="34" t="s">
        <v>4468</v>
      </c>
      <c r="AH656" s="34" t="s">
        <v>5637</v>
      </c>
      <c r="AL656" s="34">
        <v>1428</v>
      </c>
      <c r="AM656" s="40" t="s">
        <v>9</v>
      </c>
      <c r="AP656" s="34">
        <v>0</v>
      </c>
      <c r="AQ656" s="34">
        <v>1089</v>
      </c>
      <c r="AR656" s="34">
        <v>635</v>
      </c>
      <c r="AT656" s="44">
        <v>84300</v>
      </c>
      <c r="AU656" s="44"/>
      <c r="AV656" s="46">
        <f>ROUND(Товары[[#This Row],[РРЦ финальная, руб.]]/$AU$1,2)</f>
        <v>0</v>
      </c>
      <c r="AW656" s="45" t="str">
        <f>IFERROR(Товары[[#This Row],[РРЦ, евро]]/Товары[[#This Row],[IRP, Eur]],"-")</f>
        <v>-</v>
      </c>
      <c r="AX656" s="42">
        <f>IFERROR(VLOOKUP(Товары[[#This Row],[SubGroup]],'Структура цен DIY'!$B:$C,2,FALSE),0)</f>
        <v>0.29999999999999993</v>
      </c>
      <c r="AY656" s="44">
        <v>0</v>
      </c>
    </row>
    <row r="657" spans="1:51" x14ac:dyDescent="0.25">
      <c r="A657" s="34">
        <v>655</v>
      </c>
      <c r="B657" s="34" t="s">
        <v>50</v>
      </c>
      <c r="C657" s="110" t="str">
        <f>IFERROR(INDEX(Структура_ассортимента[SuperCategory],MATCH(Товары[[#This Row],[SubGroup]],Структура_ассортимента[Subgroup],0)),"")</f>
        <v>H</v>
      </c>
      <c r="D657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57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57" s="110" t="str">
        <f>IFERROR(INDEX(Структура_ассортимента[Product group],MATCH(Товары[[#This Row],[SubGroup]],Структура_ассортимента[Subgroup],0)),"")</f>
        <v>HSP_C</v>
      </c>
      <c r="G657" s="110" t="str">
        <f>IFERROR(INDEX(Структура_ассортимента[Product group name ENG],MATCH(Товары[[#This Row],[SubGroup]],Структура_ассортимента[Subgroup],0)),"")</f>
        <v>Handheld, Spare Parts</v>
      </c>
      <c r="H657" s="110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57" s="36">
        <v>2601</v>
      </c>
      <c r="J657" s="36" t="str">
        <f>IFERROR(INDEX(Структура_ассортимента[Generic Name (long)],MATCH(Товары[[#This Row],[SubGroup]],Структура_ассортимента[Subgroup],0)),"")</f>
        <v>SPOOL &amp; LINE</v>
      </c>
      <c r="L657" s="36">
        <v>901082901</v>
      </c>
      <c r="M657" s="35" t="s">
        <v>2341</v>
      </c>
      <c r="O657" s="35" t="s">
        <v>5638</v>
      </c>
      <c r="P657" s="37" t="s">
        <v>5639</v>
      </c>
      <c r="Q657" s="34" t="s">
        <v>3549</v>
      </c>
      <c r="R657" s="34" t="s">
        <v>3540</v>
      </c>
      <c r="S657" s="47">
        <v>39722</v>
      </c>
      <c r="T657" s="47">
        <v>0</v>
      </c>
      <c r="U657" s="47">
        <v>0</v>
      </c>
      <c r="V657" s="34">
        <v>4078500530804</v>
      </c>
      <c r="W657" s="34" t="s">
        <v>3550</v>
      </c>
      <c r="X657" s="34" t="s">
        <v>3551</v>
      </c>
      <c r="Y657" s="34" t="s">
        <v>3542</v>
      </c>
      <c r="Z657" s="34">
        <v>6</v>
      </c>
      <c r="AA657" s="34" t="s">
        <v>3671</v>
      </c>
      <c r="AB657" s="34" t="s">
        <v>3671</v>
      </c>
      <c r="AC657" s="34" t="s">
        <v>5640</v>
      </c>
      <c r="AD657" s="34" t="s">
        <v>5640</v>
      </c>
      <c r="AE657" s="34" t="s">
        <v>3911</v>
      </c>
      <c r="AF657" s="34" t="s">
        <v>5641</v>
      </c>
      <c r="AG657" s="34" t="s">
        <v>3931</v>
      </c>
      <c r="AH657" s="34" t="s">
        <v>5642</v>
      </c>
      <c r="AL657" s="34">
        <v>630</v>
      </c>
      <c r="AM657" s="40" t="s">
        <v>9</v>
      </c>
      <c r="AP657" s="34">
        <v>0</v>
      </c>
      <c r="AQ657" s="34">
        <v>1309</v>
      </c>
      <c r="AR657" s="34">
        <v>764</v>
      </c>
      <c r="AT657" s="44">
        <v>101400</v>
      </c>
      <c r="AU657" s="44"/>
      <c r="AV657" s="46">
        <f>ROUND(Товары[[#This Row],[РРЦ финальная, руб.]]/$AU$1,2)</f>
        <v>0</v>
      </c>
      <c r="AW657" s="45" t="str">
        <f>IFERROR(Товары[[#This Row],[РРЦ, евро]]/Товары[[#This Row],[IRP, Eur]],"-")</f>
        <v>-</v>
      </c>
      <c r="AX657" s="42">
        <f>IFERROR(VLOOKUP(Товары[[#This Row],[SubGroup]],'Структура цен DIY'!$B:$C,2,FALSE),0)</f>
        <v>0.29999999999999993</v>
      </c>
      <c r="AY657" s="44">
        <v>0</v>
      </c>
    </row>
    <row r="658" spans="1:51" x14ac:dyDescent="0.25">
      <c r="A658" s="34">
        <v>656</v>
      </c>
      <c r="B658" s="34" t="s">
        <v>50</v>
      </c>
      <c r="C658" s="110" t="str">
        <f>IFERROR(INDEX(Структура_ассортимента[SuperCategory],MATCH(Товары[[#This Row],[SubGroup]],Структура_ассортимента[Subgroup],0)),"")</f>
        <v>H</v>
      </c>
      <c r="D658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58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58" s="110" t="str">
        <f>IFERROR(INDEX(Структура_ассортимента[Product group],MATCH(Товары[[#This Row],[SubGroup]],Структура_ассортимента[Subgroup],0)),"")</f>
        <v>HSP_C</v>
      </c>
      <c r="G658" s="110" t="str">
        <f>IFERROR(INDEX(Структура_ассортимента[Product group name ENG],MATCH(Товары[[#This Row],[SubGroup]],Структура_ассортимента[Subgroup],0)),"")</f>
        <v>Handheld, Spare Parts</v>
      </c>
      <c r="H658" s="110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58" s="36">
        <v>2601</v>
      </c>
      <c r="J658" s="36" t="str">
        <f>IFERROR(INDEX(Структура_ассортимента[Generic Name (long)],MATCH(Товары[[#This Row],[SubGroup]],Структура_ассортимента[Subgroup],0)),"")</f>
        <v>SPOOL &amp; LINE</v>
      </c>
      <c r="L658" s="36">
        <v>901086101</v>
      </c>
      <c r="M658" s="35" t="s">
        <v>2342</v>
      </c>
      <c r="Q658" s="34" t="s">
        <v>3549</v>
      </c>
      <c r="R658" s="34" t="s">
        <v>3540</v>
      </c>
      <c r="S658" s="47">
        <v>37530</v>
      </c>
      <c r="T658" s="47">
        <v>0</v>
      </c>
      <c r="U658" s="47">
        <v>0</v>
      </c>
      <c r="V658" s="34">
        <v>4078500536400</v>
      </c>
      <c r="W658" s="34" t="s">
        <v>3550</v>
      </c>
      <c r="X658" s="34" t="s">
        <v>3579</v>
      </c>
      <c r="Y658" s="34" t="s">
        <v>3542</v>
      </c>
      <c r="Z658" s="34">
        <v>6</v>
      </c>
      <c r="AA658" s="34" t="s">
        <v>3653</v>
      </c>
      <c r="AB658" s="34" t="s">
        <v>3653</v>
      </c>
      <c r="AC658" s="34" t="s">
        <v>3779</v>
      </c>
      <c r="AD658" s="34" t="s">
        <v>3779</v>
      </c>
      <c r="AE658" s="34" t="s">
        <v>3693</v>
      </c>
      <c r="AF658" s="34" t="s">
        <v>3576</v>
      </c>
      <c r="AG658" s="34" t="s">
        <v>3791</v>
      </c>
      <c r="AH658" s="34" t="s">
        <v>5643</v>
      </c>
      <c r="AL658" s="34">
        <v>1470</v>
      </c>
      <c r="AM658" s="40" t="s">
        <v>8095</v>
      </c>
      <c r="AT658" s="44">
        <v>0</v>
      </c>
      <c r="AU658" s="44"/>
      <c r="AV658" s="46">
        <f>ROUND(Товары[[#This Row],[РРЦ финальная, руб.]]/$AU$1,2)</f>
        <v>0</v>
      </c>
      <c r="AW658" s="45" t="str">
        <f>IFERROR(Товары[[#This Row],[РРЦ, евро]]/Товары[[#This Row],[IRP, Eur]],"-")</f>
        <v>-</v>
      </c>
      <c r="AX658" s="42">
        <f>IFERROR(VLOOKUP(Товары[[#This Row],[SubGroup]],'Структура цен DIY'!$B:$C,2,FALSE),0)</f>
        <v>0.29999999999999993</v>
      </c>
      <c r="AY658" s="44">
        <v>0</v>
      </c>
    </row>
    <row r="659" spans="1:51" x14ac:dyDescent="0.25">
      <c r="A659" s="34">
        <v>657</v>
      </c>
      <c r="B659" s="34" t="s">
        <v>50</v>
      </c>
      <c r="C659" s="110" t="str">
        <f>IFERROR(INDEX(Структура_ассортимента[SuperCategory],MATCH(Товары[[#This Row],[SubGroup]],Структура_ассортимента[Subgroup],0)),"")</f>
        <v>H</v>
      </c>
      <c r="D659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59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59" s="110" t="str">
        <f>IFERROR(INDEX(Структура_ассортимента[Product group],MATCH(Товары[[#This Row],[SubGroup]],Структура_ассортимента[Subgroup],0)),"")</f>
        <v>HSP_C</v>
      </c>
      <c r="G659" s="110" t="str">
        <f>IFERROR(INDEX(Структура_ассортимента[Product group name ENG],MATCH(Товары[[#This Row],[SubGroup]],Структура_ассортимента[Subgroup],0)),"")</f>
        <v>Handheld, Spare Parts</v>
      </c>
      <c r="H659" s="110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59" s="36">
        <v>2601</v>
      </c>
      <c r="J659" s="36" t="str">
        <f>IFERROR(INDEX(Структура_ассортимента[Generic Name (long)],MATCH(Товары[[#This Row],[SubGroup]],Структура_ассортимента[Subgroup],0)),"")</f>
        <v>SPOOL &amp; LINE</v>
      </c>
      <c r="L659" s="36">
        <v>901086301</v>
      </c>
      <c r="M659" s="35" t="s">
        <v>2343</v>
      </c>
      <c r="Q659" s="34" t="s">
        <v>3549</v>
      </c>
      <c r="R659" s="34" t="s">
        <v>3540</v>
      </c>
      <c r="S659" s="47">
        <v>37530</v>
      </c>
      <c r="T659" s="47">
        <v>0</v>
      </c>
      <c r="U659" s="47">
        <v>0</v>
      </c>
      <c r="V659" s="34">
        <v>4078500536509</v>
      </c>
      <c r="W659" s="34" t="s">
        <v>3550</v>
      </c>
      <c r="X659" s="34" t="s">
        <v>3579</v>
      </c>
      <c r="Y659" s="34" t="s">
        <v>3542</v>
      </c>
      <c r="Z659" s="34">
        <v>6</v>
      </c>
      <c r="AA659" s="34" t="s">
        <v>3719</v>
      </c>
      <c r="AB659" s="34" t="s">
        <v>3719</v>
      </c>
      <c r="AC659" s="34" t="s">
        <v>3667</v>
      </c>
      <c r="AD659" s="34" t="s">
        <v>3667</v>
      </c>
      <c r="AE659" s="34" t="s">
        <v>3693</v>
      </c>
      <c r="AF659" s="34" t="s">
        <v>3576</v>
      </c>
      <c r="AG659" s="34" t="s">
        <v>3791</v>
      </c>
      <c r="AH659" s="34" t="s">
        <v>5643</v>
      </c>
      <c r="AL659" s="34">
        <v>1470</v>
      </c>
      <c r="AM659" s="40" t="s">
        <v>8095</v>
      </c>
      <c r="AT659" s="44">
        <v>0</v>
      </c>
      <c r="AU659" s="44"/>
      <c r="AV659" s="46">
        <f>ROUND(Товары[[#This Row],[РРЦ финальная, руб.]]/$AU$1,2)</f>
        <v>0</v>
      </c>
      <c r="AW659" s="45" t="str">
        <f>IFERROR(Товары[[#This Row],[РРЦ, евро]]/Товары[[#This Row],[IRP, Eur]],"-")</f>
        <v>-</v>
      </c>
      <c r="AX659" s="42">
        <f>IFERROR(VLOOKUP(Товары[[#This Row],[SubGroup]],'Структура цен DIY'!$B:$C,2,FALSE),0)</f>
        <v>0.29999999999999993</v>
      </c>
      <c r="AY659" s="44">
        <v>0</v>
      </c>
    </row>
    <row r="660" spans="1:51" x14ac:dyDescent="0.25">
      <c r="A660" s="34">
        <v>658</v>
      </c>
      <c r="B660" s="34" t="s">
        <v>50</v>
      </c>
      <c r="C660" s="110" t="str">
        <f>IFERROR(INDEX(Структура_ассортимента[SuperCategory],MATCH(Товары[[#This Row],[SubGroup]],Структура_ассортимента[Subgroup],0)),"")</f>
        <v>H</v>
      </c>
      <c r="D660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60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60" s="110" t="str">
        <f>IFERROR(INDEX(Структура_ассортимента[Product group],MATCH(Товары[[#This Row],[SubGroup]],Структура_ассортимента[Subgroup],0)),"")</f>
        <v>HSP_C</v>
      </c>
      <c r="G660" s="110" t="str">
        <f>IFERROR(INDEX(Структура_ассортимента[Product group name ENG],MATCH(Товары[[#This Row],[SubGroup]],Структура_ассортимента[Subgroup],0)),"")</f>
        <v>Handheld, Spare Parts</v>
      </c>
      <c r="H660" s="110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60" s="36">
        <v>2601</v>
      </c>
      <c r="J660" s="36" t="str">
        <f>IFERROR(INDEX(Структура_ассортимента[Generic Name (long)],MATCH(Товары[[#This Row],[SubGroup]],Структура_ассортимента[Subgroup],0)),"")</f>
        <v>SPOOL &amp; LINE</v>
      </c>
      <c r="L660" s="36">
        <v>901086501</v>
      </c>
      <c r="M660" s="35" t="s">
        <v>2344</v>
      </c>
      <c r="Q660" s="34" t="s">
        <v>3549</v>
      </c>
      <c r="R660" s="34" t="s">
        <v>3540</v>
      </c>
      <c r="S660" s="47">
        <v>37530</v>
      </c>
      <c r="T660" s="47">
        <v>0</v>
      </c>
      <c r="U660" s="47">
        <v>0</v>
      </c>
      <c r="V660" s="34">
        <v>4078500536608</v>
      </c>
      <c r="W660" s="34" t="s">
        <v>3550</v>
      </c>
      <c r="X660" s="34" t="s">
        <v>3579</v>
      </c>
      <c r="Y660" s="34" t="s">
        <v>3542</v>
      </c>
      <c r="Z660" s="34">
        <v>6</v>
      </c>
      <c r="AA660" s="34" t="s">
        <v>3729</v>
      </c>
      <c r="AB660" s="34" t="s">
        <v>3729</v>
      </c>
      <c r="AC660" s="34" t="s">
        <v>5644</v>
      </c>
      <c r="AD660" s="34" t="s">
        <v>5644</v>
      </c>
      <c r="AE660" s="34" t="s">
        <v>3693</v>
      </c>
      <c r="AF660" s="34" t="s">
        <v>3576</v>
      </c>
      <c r="AG660" s="34" t="s">
        <v>3791</v>
      </c>
      <c r="AH660" s="34" t="s">
        <v>5643</v>
      </c>
      <c r="AL660" s="34">
        <v>1470</v>
      </c>
      <c r="AM660" s="40" t="s">
        <v>8095</v>
      </c>
      <c r="AT660" s="44">
        <v>0</v>
      </c>
      <c r="AU660" s="44"/>
      <c r="AV660" s="46">
        <f>ROUND(Товары[[#This Row],[РРЦ финальная, руб.]]/$AU$1,2)</f>
        <v>0</v>
      </c>
      <c r="AW660" s="45" t="str">
        <f>IFERROR(Товары[[#This Row],[РРЦ, евро]]/Товары[[#This Row],[IRP, Eur]],"-")</f>
        <v>-</v>
      </c>
      <c r="AX660" s="42">
        <f>IFERROR(VLOOKUP(Товары[[#This Row],[SubGroup]],'Структура цен DIY'!$B:$C,2,FALSE),0)</f>
        <v>0.29999999999999993</v>
      </c>
      <c r="AY660" s="44">
        <v>0</v>
      </c>
    </row>
    <row r="661" spans="1:51" x14ac:dyDescent="0.25">
      <c r="A661" s="34">
        <v>659</v>
      </c>
      <c r="B661" s="34" t="s">
        <v>50</v>
      </c>
      <c r="C661" s="110" t="str">
        <f>IFERROR(INDEX(Структура_ассортимента[SuperCategory],MATCH(Товары[[#This Row],[SubGroup]],Структура_ассортимента[Subgroup],0)),"")</f>
        <v>H</v>
      </c>
      <c r="D661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61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61" s="110" t="str">
        <f>IFERROR(INDEX(Структура_ассортимента[Product group],MATCH(Товары[[#This Row],[SubGroup]],Структура_ассортимента[Subgroup],0)),"")</f>
        <v>HSP_C</v>
      </c>
      <c r="G661" s="110" t="str">
        <f>IFERROR(INDEX(Структура_ассортимента[Product group name ENG],MATCH(Товары[[#This Row],[SubGroup]],Структура_ассортимента[Subgroup],0)),"")</f>
        <v>Handheld, Spare Parts</v>
      </c>
      <c r="H661" s="110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61" s="36">
        <v>2601</v>
      </c>
      <c r="J661" s="36" t="str">
        <f>IFERROR(INDEX(Структура_ассортимента[Generic Name (long)],MATCH(Товары[[#This Row],[SubGroup]],Структура_ассортимента[Subgroup],0)),"")</f>
        <v>SPOOL &amp; LINE</v>
      </c>
      <c r="L661" s="36">
        <v>901086701</v>
      </c>
      <c r="M661" s="35" t="s">
        <v>2345</v>
      </c>
      <c r="Q661" s="34" t="s">
        <v>3549</v>
      </c>
      <c r="R661" s="34" t="s">
        <v>3540</v>
      </c>
      <c r="S661" s="47">
        <v>37530</v>
      </c>
      <c r="T661" s="47">
        <v>0</v>
      </c>
      <c r="U661" s="47">
        <v>0</v>
      </c>
      <c r="V661" s="34">
        <v>4078500536707</v>
      </c>
      <c r="W661" s="34" t="s">
        <v>3550</v>
      </c>
      <c r="X661" s="34" t="s">
        <v>3579</v>
      </c>
      <c r="Y661" s="34" t="s">
        <v>3542</v>
      </c>
      <c r="Z661" s="34">
        <v>6</v>
      </c>
      <c r="AA661" s="34" t="s">
        <v>5645</v>
      </c>
      <c r="AB661" s="34" t="s">
        <v>5645</v>
      </c>
      <c r="AC661" s="34" t="s">
        <v>5628</v>
      </c>
      <c r="AD661" s="34" t="s">
        <v>5628</v>
      </c>
      <c r="AE661" s="34" t="s">
        <v>3693</v>
      </c>
      <c r="AF661" s="34" t="s">
        <v>3576</v>
      </c>
      <c r="AG661" s="34" t="s">
        <v>3791</v>
      </c>
      <c r="AH661" s="34" t="s">
        <v>5643</v>
      </c>
      <c r="AL661" s="34">
        <v>1470</v>
      </c>
      <c r="AM661" s="40" t="s">
        <v>8095</v>
      </c>
      <c r="AT661" s="44">
        <v>0</v>
      </c>
      <c r="AU661" s="44"/>
      <c r="AV661" s="46">
        <f>ROUND(Товары[[#This Row],[РРЦ финальная, руб.]]/$AU$1,2)</f>
        <v>0</v>
      </c>
      <c r="AW661" s="45" t="str">
        <f>IFERROR(Товары[[#This Row],[РРЦ, евро]]/Товары[[#This Row],[IRP, Eur]],"-")</f>
        <v>-</v>
      </c>
      <c r="AX661" s="42">
        <f>IFERROR(VLOOKUP(Товары[[#This Row],[SubGroup]],'Структура цен DIY'!$B:$C,2,FALSE),0)</f>
        <v>0.29999999999999993</v>
      </c>
      <c r="AY661" s="44">
        <v>0</v>
      </c>
    </row>
    <row r="662" spans="1:51" x14ac:dyDescent="0.25">
      <c r="A662" s="34">
        <v>660</v>
      </c>
      <c r="B662" s="34" t="s">
        <v>50</v>
      </c>
      <c r="C662" s="110" t="str">
        <f>IFERROR(INDEX(Структура_ассортимента[SuperCategory],MATCH(Товары[[#This Row],[SubGroup]],Структура_ассортимента[Subgroup],0)),"")</f>
        <v>H</v>
      </c>
      <c r="D662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62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62" s="110" t="str">
        <f>IFERROR(INDEX(Структура_ассортимента[Product group],MATCH(Товары[[#This Row],[SubGroup]],Структура_ассортимента[Subgroup],0)),"")</f>
        <v>HSP_C</v>
      </c>
      <c r="G662" s="110" t="str">
        <f>IFERROR(INDEX(Структура_ассортимента[Product group name ENG],MATCH(Товары[[#This Row],[SubGroup]],Структура_ассортимента[Subgroup],0)),"")</f>
        <v>Handheld, Spare Parts</v>
      </c>
      <c r="H662" s="110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62" s="36">
        <v>2601</v>
      </c>
      <c r="J662" s="36" t="str">
        <f>IFERROR(INDEX(Структура_ассортимента[Generic Name (long)],MATCH(Товары[[#This Row],[SubGroup]],Структура_ассортимента[Subgroup],0)),"")</f>
        <v>SPOOL &amp; LINE</v>
      </c>
      <c r="L662" s="36">
        <v>901087001</v>
      </c>
      <c r="M662" s="35" t="s">
        <v>2346</v>
      </c>
      <c r="Q662" s="34" t="s">
        <v>3549</v>
      </c>
      <c r="R662" s="34" t="s">
        <v>3540</v>
      </c>
      <c r="S662" s="47">
        <v>36179</v>
      </c>
      <c r="T662" s="47">
        <v>0</v>
      </c>
      <c r="U662" s="47">
        <v>0</v>
      </c>
      <c r="V662" s="34">
        <v>4078500536905</v>
      </c>
      <c r="W662" s="34" t="s">
        <v>3550</v>
      </c>
      <c r="X662" s="34" t="s">
        <v>3579</v>
      </c>
      <c r="Y662" s="34" t="s">
        <v>3542</v>
      </c>
      <c r="Z662" s="34">
        <v>6</v>
      </c>
      <c r="AA662" s="34" t="s">
        <v>3653</v>
      </c>
      <c r="AB662" s="34" t="s">
        <v>3653</v>
      </c>
      <c r="AC662" s="34" t="s">
        <v>5633</v>
      </c>
      <c r="AD662" s="34" t="s">
        <v>5633</v>
      </c>
      <c r="AE662" s="34" t="s">
        <v>3693</v>
      </c>
      <c r="AF662" s="34" t="s">
        <v>3576</v>
      </c>
      <c r="AG662" s="34" t="s">
        <v>3791</v>
      </c>
      <c r="AH662" s="34" t="s">
        <v>5643</v>
      </c>
      <c r="AL662" s="34">
        <v>1428</v>
      </c>
      <c r="AM662" s="40" t="s">
        <v>8095</v>
      </c>
      <c r="AT662" s="44">
        <v>0</v>
      </c>
      <c r="AU662" s="44"/>
      <c r="AV662" s="46">
        <f>ROUND(Товары[[#This Row],[РРЦ финальная, руб.]]/$AU$1,2)</f>
        <v>0</v>
      </c>
      <c r="AW662" s="45" t="str">
        <f>IFERROR(Товары[[#This Row],[РРЦ, евро]]/Товары[[#This Row],[IRP, Eur]],"-")</f>
        <v>-</v>
      </c>
      <c r="AX662" s="42">
        <f>IFERROR(VLOOKUP(Товары[[#This Row],[SubGroup]],'Структура цен DIY'!$B:$C,2,FALSE),0)</f>
        <v>0.29999999999999993</v>
      </c>
      <c r="AY662" s="44">
        <v>0</v>
      </c>
    </row>
    <row r="663" spans="1:51" x14ac:dyDescent="0.25">
      <c r="A663" s="34">
        <v>661</v>
      </c>
      <c r="B663" s="34" t="s">
        <v>50</v>
      </c>
      <c r="C663" s="110" t="str">
        <f>IFERROR(INDEX(Структура_ассортимента[SuperCategory],MATCH(Товары[[#This Row],[SubGroup]],Структура_ассортимента[Subgroup],0)),"")</f>
        <v>H</v>
      </c>
      <c r="D663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63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63" s="110" t="str">
        <f>IFERROR(INDEX(Структура_ассортимента[Product group],MATCH(Товары[[#This Row],[SubGroup]],Структура_ассортимента[Subgroup],0)),"")</f>
        <v>HSP_C</v>
      </c>
      <c r="G663" s="110" t="str">
        <f>IFERROR(INDEX(Структура_ассортимента[Product group name ENG],MATCH(Товары[[#This Row],[SubGroup]],Структура_ассортимента[Subgroup],0)),"")</f>
        <v>Handheld, Spare Parts</v>
      </c>
      <c r="H663" s="110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63" s="36">
        <v>2601</v>
      </c>
      <c r="J663" s="36" t="str">
        <f>IFERROR(INDEX(Структура_ассортимента[Generic Name (long)],MATCH(Товары[[#This Row],[SubGroup]],Структура_ассортимента[Subgroup],0)),"")</f>
        <v>SPOOL &amp; LINE</v>
      </c>
      <c r="L663" s="36">
        <v>901087201</v>
      </c>
      <c r="M663" s="35" t="s">
        <v>2347</v>
      </c>
      <c r="Q663" s="34" t="s">
        <v>3549</v>
      </c>
      <c r="R663" s="34" t="s">
        <v>3540</v>
      </c>
      <c r="S663" s="47">
        <v>35339</v>
      </c>
      <c r="T663" s="47">
        <v>0</v>
      </c>
      <c r="U663" s="47">
        <v>0</v>
      </c>
      <c r="V663" s="34">
        <v>4078500537001</v>
      </c>
      <c r="W663" s="34" t="s">
        <v>3550</v>
      </c>
      <c r="X663" s="34" t="s">
        <v>3579</v>
      </c>
      <c r="Y663" s="34" t="s">
        <v>3542</v>
      </c>
      <c r="Z663" s="34">
        <v>5</v>
      </c>
      <c r="AA663" s="34" t="s">
        <v>5646</v>
      </c>
      <c r="AB663" s="34" t="s">
        <v>5646</v>
      </c>
      <c r="AC663" s="34" t="s">
        <v>5647</v>
      </c>
      <c r="AD663" s="34" t="s">
        <v>5647</v>
      </c>
      <c r="AE663" s="34" t="s">
        <v>3754</v>
      </c>
      <c r="AF663" s="34" t="s">
        <v>3672</v>
      </c>
      <c r="AG663" s="34" t="s">
        <v>4802</v>
      </c>
      <c r="AH663" s="34" t="s">
        <v>5648</v>
      </c>
      <c r="AL663" s="34">
        <v>3795</v>
      </c>
      <c r="AM663" s="40" t="s">
        <v>8095</v>
      </c>
      <c r="AT663" s="44">
        <v>0</v>
      </c>
      <c r="AU663" s="44"/>
      <c r="AV663" s="46">
        <f>ROUND(Товары[[#This Row],[РРЦ финальная, руб.]]/$AU$1,2)</f>
        <v>0</v>
      </c>
      <c r="AW663" s="45" t="str">
        <f>IFERROR(Товары[[#This Row],[РРЦ, евро]]/Товары[[#This Row],[IRP, Eur]],"-")</f>
        <v>-</v>
      </c>
      <c r="AX663" s="42">
        <f>IFERROR(VLOOKUP(Товары[[#This Row],[SubGroup]],'Структура цен DIY'!$B:$C,2,FALSE),0)</f>
        <v>0.29999999999999993</v>
      </c>
      <c r="AY663" s="44">
        <v>0</v>
      </c>
    </row>
    <row r="664" spans="1:51" x14ac:dyDescent="0.25">
      <c r="A664" s="34">
        <v>662</v>
      </c>
      <c r="B664" s="34" t="s">
        <v>50</v>
      </c>
      <c r="C664" s="110" t="str">
        <f>IFERROR(INDEX(Структура_ассортимента[SuperCategory],MATCH(Товары[[#This Row],[SubGroup]],Структура_ассортимента[Subgroup],0)),"")</f>
        <v>H</v>
      </c>
      <c r="D664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64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64" s="110" t="str">
        <f>IFERROR(INDEX(Структура_ассортимента[Product group],MATCH(Товары[[#This Row],[SubGroup]],Структура_ассортимента[Subgroup],0)),"")</f>
        <v>HSP_C</v>
      </c>
      <c r="G664" s="110" t="str">
        <f>IFERROR(INDEX(Структура_ассортимента[Product group name ENG],MATCH(Товары[[#This Row],[SubGroup]],Структура_ассортимента[Subgroup],0)),"")</f>
        <v>Handheld, Spare Parts</v>
      </c>
      <c r="H664" s="110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64" s="36">
        <v>2601</v>
      </c>
      <c r="J664" s="36" t="str">
        <f>IFERROR(INDEX(Структура_ассортимента[Generic Name (long)],MATCH(Товары[[#This Row],[SubGroup]],Структура_ассортимента[Subgroup],0)),"")</f>
        <v>SPOOL &amp; LINE</v>
      </c>
      <c r="L664" s="36">
        <v>901087401</v>
      </c>
      <c r="M664" s="35" t="s">
        <v>2348</v>
      </c>
      <c r="Q664" s="34" t="s">
        <v>3549</v>
      </c>
      <c r="R664" s="34" t="s">
        <v>3540</v>
      </c>
      <c r="S664" s="47">
        <v>33878</v>
      </c>
      <c r="T664" s="47">
        <v>0</v>
      </c>
      <c r="U664" s="47">
        <v>0</v>
      </c>
      <c r="V664" s="34">
        <v>4078500537100</v>
      </c>
      <c r="W664" s="34" t="s">
        <v>3543</v>
      </c>
      <c r="X664" s="34" t="s">
        <v>3579</v>
      </c>
      <c r="Y664" s="34" t="s">
        <v>3542</v>
      </c>
      <c r="Z664" s="34">
        <v>5</v>
      </c>
      <c r="AA664" s="34" t="s">
        <v>5649</v>
      </c>
      <c r="AB664" s="34" t="s">
        <v>5649</v>
      </c>
      <c r="AC664" s="34" t="s">
        <v>3719</v>
      </c>
      <c r="AD664" s="34" t="s">
        <v>3719</v>
      </c>
      <c r="AE664" s="34" t="s">
        <v>4659</v>
      </c>
      <c r="AF664" s="34" t="s">
        <v>4139</v>
      </c>
      <c r="AG664" s="34" t="s">
        <v>4432</v>
      </c>
      <c r="AH664" s="34" t="s">
        <v>5650</v>
      </c>
      <c r="AL664" s="34">
        <v>1800</v>
      </c>
      <c r="AM664" s="40" t="s">
        <v>8095</v>
      </c>
      <c r="AT664" s="44">
        <v>0</v>
      </c>
      <c r="AU664" s="44"/>
      <c r="AV664" s="46">
        <f>ROUND(Товары[[#This Row],[РРЦ финальная, руб.]]/$AU$1,2)</f>
        <v>0</v>
      </c>
      <c r="AW664" s="45" t="str">
        <f>IFERROR(Товары[[#This Row],[РРЦ, евро]]/Товары[[#This Row],[IRP, Eur]],"-")</f>
        <v>-</v>
      </c>
      <c r="AX664" s="42">
        <f>IFERROR(VLOOKUP(Товары[[#This Row],[SubGroup]],'Структура цен DIY'!$B:$C,2,FALSE),0)</f>
        <v>0.29999999999999993</v>
      </c>
      <c r="AY664" s="44">
        <v>0</v>
      </c>
    </row>
    <row r="665" spans="1:51" x14ac:dyDescent="0.25">
      <c r="A665" s="34">
        <v>663</v>
      </c>
      <c r="B665" s="34" t="s">
        <v>50</v>
      </c>
      <c r="C665" s="110" t="str">
        <f>IFERROR(INDEX(Структура_ассортимента[SuperCategory],MATCH(Товары[[#This Row],[SubGroup]],Структура_ассортимента[Subgroup],0)),"")</f>
        <v>H</v>
      </c>
      <c r="D665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65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65" s="110" t="str">
        <f>IFERROR(INDEX(Структура_ассортимента[Product group],MATCH(Товары[[#This Row],[SubGroup]],Структура_ассортимента[Subgroup],0)),"")</f>
        <v>HSP_C</v>
      </c>
      <c r="G665" s="110" t="str">
        <f>IFERROR(INDEX(Структура_ассортимента[Product group name ENG],MATCH(Товары[[#This Row],[SubGroup]],Структура_ассортимента[Subgroup],0)),"")</f>
        <v>Handheld, Spare Parts</v>
      </c>
      <c r="H665" s="110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65" s="36">
        <v>2601</v>
      </c>
      <c r="J665" s="36" t="str">
        <f>IFERROR(INDEX(Структура_ассортимента[Generic Name (long)],MATCH(Товары[[#This Row],[SubGroup]],Структура_ассортимента[Subgroup],0)),"")</f>
        <v>SPOOL &amp; LINE</v>
      </c>
      <c r="L665" s="36">
        <v>901087601</v>
      </c>
      <c r="M665" s="35" t="s">
        <v>2349</v>
      </c>
      <c r="Q665" s="34" t="s">
        <v>3549</v>
      </c>
      <c r="R665" s="34" t="s">
        <v>3540</v>
      </c>
      <c r="S665" s="47">
        <v>33878</v>
      </c>
      <c r="T665" s="47">
        <v>0</v>
      </c>
      <c r="U665" s="47">
        <v>0</v>
      </c>
      <c r="V665" s="34">
        <v>4078500537209</v>
      </c>
      <c r="W665" s="34" t="s">
        <v>3543</v>
      </c>
      <c r="X665" s="34" t="s">
        <v>3579</v>
      </c>
      <c r="Y665" s="34" t="s">
        <v>3542</v>
      </c>
      <c r="Z665" s="34">
        <v>5</v>
      </c>
      <c r="AA665" s="34" t="s">
        <v>3661</v>
      </c>
      <c r="AB665" s="34" t="s">
        <v>3661</v>
      </c>
      <c r="AC665" s="34" t="s">
        <v>5651</v>
      </c>
      <c r="AD665" s="34" t="s">
        <v>5651</v>
      </c>
      <c r="AE665" s="34" t="s">
        <v>4931</v>
      </c>
      <c r="AF665" s="34" t="s">
        <v>3561</v>
      </c>
      <c r="AG665" s="34" t="s">
        <v>4421</v>
      </c>
      <c r="AH665" s="34" t="s">
        <v>5652</v>
      </c>
      <c r="AL665" s="34">
        <v>1800</v>
      </c>
      <c r="AM665" s="40" t="s">
        <v>8095</v>
      </c>
      <c r="AT665" s="44">
        <v>0</v>
      </c>
      <c r="AU665" s="44"/>
      <c r="AV665" s="46">
        <f>ROUND(Товары[[#This Row],[РРЦ финальная, руб.]]/$AU$1,2)</f>
        <v>0</v>
      </c>
      <c r="AW665" s="45" t="str">
        <f>IFERROR(Товары[[#This Row],[РРЦ, евро]]/Товары[[#This Row],[IRP, Eur]],"-")</f>
        <v>-</v>
      </c>
      <c r="AX665" s="42">
        <f>IFERROR(VLOOKUP(Товары[[#This Row],[SubGroup]],'Структура цен DIY'!$B:$C,2,FALSE),0)</f>
        <v>0.29999999999999993</v>
      </c>
      <c r="AY665" s="44">
        <v>0</v>
      </c>
    </row>
    <row r="666" spans="1:51" x14ac:dyDescent="0.25">
      <c r="A666" s="34">
        <v>664</v>
      </c>
      <c r="B666" s="34" t="s">
        <v>50</v>
      </c>
      <c r="C666" s="110" t="str">
        <f>IFERROR(INDEX(Структура_ассортимента[SuperCategory],MATCH(Товары[[#This Row],[SubGroup]],Структура_ассортимента[Subgroup],0)),"")</f>
        <v>H</v>
      </c>
      <c r="D666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66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66" s="110" t="str">
        <f>IFERROR(INDEX(Структура_ассортимента[Product group],MATCH(Товары[[#This Row],[SubGroup]],Структура_ассортимента[Subgroup],0)),"")</f>
        <v>HSP_C</v>
      </c>
      <c r="G666" s="110" t="str">
        <f>IFERROR(INDEX(Структура_ассортимента[Product group name ENG],MATCH(Товары[[#This Row],[SubGroup]],Структура_ассортимента[Subgroup],0)),"")</f>
        <v>Handheld, Spare Parts</v>
      </c>
      <c r="H666" s="110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66" s="36">
        <v>2601</v>
      </c>
      <c r="J666" s="36" t="str">
        <f>IFERROR(INDEX(Структура_ассортимента[Generic Name (long)],MATCH(Товары[[#This Row],[SubGroup]],Структура_ассортимента[Subgroup],0)),"")</f>
        <v>SPOOL &amp; LINE</v>
      </c>
      <c r="L666" s="36">
        <v>900989001</v>
      </c>
      <c r="M666" s="35" t="s">
        <v>2350</v>
      </c>
      <c r="Q666" s="34" t="s">
        <v>3549</v>
      </c>
      <c r="R666" s="34" t="s">
        <v>3540</v>
      </c>
      <c r="S666" s="47">
        <v>36434</v>
      </c>
      <c r="T666" s="47">
        <v>0</v>
      </c>
      <c r="U666" s="47">
        <v>0</v>
      </c>
      <c r="V666" s="34">
        <v>4078500240604</v>
      </c>
      <c r="W666" s="34" t="s">
        <v>3550</v>
      </c>
      <c r="X666" s="34" t="s">
        <v>3579</v>
      </c>
      <c r="Y666" s="34" t="s">
        <v>3542</v>
      </c>
      <c r="Z666" s="34">
        <v>10</v>
      </c>
      <c r="AA666" s="34" t="s">
        <v>5653</v>
      </c>
      <c r="AB666" s="34" t="s">
        <v>5653</v>
      </c>
      <c r="AC666" s="34" t="s">
        <v>3654</v>
      </c>
      <c r="AD666" s="34" t="s">
        <v>3654</v>
      </c>
      <c r="AE666" s="34" t="s">
        <v>3611</v>
      </c>
      <c r="AF666" s="34" t="s">
        <v>4632</v>
      </c>
      <c r="AG666" s="34" t="s">
        <v>3672</v>
      </c>
      <c r="AH666" s="34" t="s">
        <v>5654</v>
      </c>
      <c r="AL666" s="34">
        <v>2500</v>
      </c>
      <c r="AM666" s="40" t="s">
        <v>8095</v>
      </c>
      <c r="AT666" s="44">
        <v>0</v>
      </c>
      <c r="AU666" s="44"/>
      <c r="AV666" s="46">
        <f>ROUND(Товары[[#This Row],[РРЦ финальная, руб.]]/$AU$1,2)</f>
        <v>0</v>
      </c>
      <c r="AW666" s="45" t="str">
        <f>IFERROR(Товары[[#This Row],[РРЦ, евро]]/Товары[[#This Row],[IRP, Eur]],"-")</f>
        <v>-</v>
      </c>
      <c r="AX666" s="42">
        <f>IFERROR(VLOOKUP(Товары[[#This Row],[SubGroup]],'Структура цен DIY'!$B:$C,2,FALSE),0)</f>
        <v>0.29999999999999993</v>
      </c>
      <c r="AY666" s="44">
        <v>0</v>
      </c>
    </row>
    <row r="667" spans="1:51" x14ac:dyDescent="0.25">
      <c r="A667" s="34">
        <v>665</v>
      </c>
      <c r="B667" s="34" t="s">
        <v>50</v>
      </c>
      <c r="C667" s="110" t="str">
        <f>IFERROR(INDEX(Структура_ассортимента[SuperCategory],MATCH(Товары[[#This Row],[SubGroup]],Структура_ассортимента[Subgroup],0)),"")</f>
        <v>H</v>
      </c>
      <c r="D667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67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67" s="110" t="str">
        <f>IFERROR(INDEX(Структура_ассортимента[Product group],MATCH(Товары[[#This Row],[SubGroup]],Структура_ассортимента[Subgroup],0)),"")</f>
        <v>HSP_C</v>
      </c>
      <c r="G667" s="110" t="str">
        <f>IFERROR(INDEX(Структура_ассортимента[Product group name ENG],MATCH(Товары[[#This Row],[SubGroup]],Структура_ассортимента[Subgroup],0)),"")</f>
        <v>Handheld, Spare Parts</v>
      </c>
      <c r="H667" s="110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67" s="36">
        <v>2601</v>
      </c>
      <c r="J667" s="36" t="str">
        <f>IFERROR(INDEX(Структура_ассортимента[Generic Name (long)],MATCH(Товары[[#This Row],[SubGroup]],Структура_ассортимента[Subgroup],0)),"")</f>
        <v>SPOOL &amp; LINE</v>
      </c>
      <c r="L667" s="36">
        <v>587083101</v>
      </c>
      <c r="M667" s="35" t="s">
        <v>2351</v>
      </c>
      <c r="Q667" s="34" t="s">
        <v>3549</v>
      </c>
      <c r="R667" s="34" t="s">
        <v>3540</v>
      </c>
      <c r="S667" s="47">
        <v>42005</v>
      </c>
      <c r="T667" s="47">
        <v>0</v>
      </c>
      <c r="U667" s="47">
        <v>0</v>
      </c>
      <c r="V667" s="34">
        <v>4078500012744</v>
      </c>
      <c r="W667" s="34" t="s">
        <v>3550</v>
      </c>
      <c r="X667" s="34" t="s">
        <v>3551</v>
      </c>
      <c r="Y667" s="34" t="s">
        <v>3542</v>
      </c>
      <c r="Z667" s="34">
        <v>6</v>
      </c>
      <c r="AA667" s="34" t="s">
        <v>3661</v>
      </c>
      <c r="AB667" s="34" t="s">
        <v>3661</v>
      </c>
      <c r="AC667" s="34" t="s">
        <v>3653</v>
      </c>
      <c r="AD667" s="34" t="s">
        <v>3653</v>
      </c>
      <c r="AE667" s="34" t="s">
        <v>3693</v>
      </c>
      <c r="AF667" s="34" t="s">
        <v>4681</v>
      </c>
      <c r="AG667" s="34" t="s">
        <v>3931</v>
      </c>
      <c r="AH667" s="34" t="s">
        <v>5655</v>
      </c>
      <c r="AL667" s="34" t="s">
        <v>5656</v>
      </c>
      <c r="AM667" s="40" t="s">
        <v>8095</v>
      </c>
      <c r="AT667" s="44">
        <v>0</v>
      </c>
      <c r="AU667" s="44"/>
      <c r="AV667" s="46">
        <f>ROUND(Товары[[#This Row],[РРЦ финальная, руб.]]/$AU$1,2)</f>
        <v>0</v>
      </c>
      <c r="AW667" s="45" t="str">
        <f>IFERROR(Товары[[#This Row],[РРЦ, евро]]/Товары[[#This Row],[IRP, Eur]],"-")</f>
        <v>-</v>
      </c>
      <c r="AX667" s="42">
        <f>IFERROR(VLOOKUP(Товары[[#This Row],[SubGroup]],'Структура цен DIY'!$B:$C,2,FALSE),0)</f>
        <v>0.29999999999999993</v>
      </c>
      <c r="AY667" s="44">
        <v>0</v>
      </c>
    </row>
    <row r="668" spans="1:51" x14ac:dyDescent="0.25">
      <c r="A668" s="34">
        <v>666</v>
      </c>
      <c r="B668" s="34" t="s">
        <v>50</v>
      </c>
      <c r="C668" s="110" t="str">
        <f>IFERROR(INDEX(Структура_ассортимента[SuperCategory],MATCH(Товары[[#This Row],[SubGroup]],Структура_ассортимента[Subgroup],0)),"")</f>
        <v>H</v>
      </c>
      <c r="D668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68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68" s="110" t="str">
        <f>IFERROR(INDEX(Структура_ассортимента[Product group],MATCH(Товары[[#This Row],[SubGroup]],Структура_ассортимента[Subgroup],0)),"")</f>
        <v>HSP_C</v>
      </c>
      <c r="G668" s="110" t="str">
        <f>IFERROR(INDEX(Структура_ассортимента[Product group name ENG],MATCH(Товары[[#This Row],[SubGroup]],Структура_ассортимента[Subgroup],0)),"")</f>
        <v>Handheld, Spare Parts</v>
      </c>
      <c r="H668" s="110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668" s="36">
        <v>2604</v>
      </c>
      <c r="J668" s="36" t="str">
        <f>IFERROR(INDEX(Структура_ассортимента[Generic Name (long)],MATCH(Товары[[#This Row],[SubGroup]],Структура_ассортимента[Subgroup],0)),"")</f>
        <v>BLADE-SET</v>
      </c>
      <c r="L668" s="36">
        <v>900986101</v>
      </c>
      <c r="M668" s="35" t="s">
        <v>2352</v>
      </c>
      <c r="Q668" s="34" t="s">
        <v>3549</v>
      </c>
      <c r="R668" s="34" t="s">
        <v>3540</v>
      </c>
      <c r="S668" s="47">
        <v>39356</v>
      </c>
      <c r="T668" s="47">
        <v>0</v>
      </c>
      <c r="U668" s="47">
        <v>0</v>
      </c>
      <c r="V668" s="34">
        <v>4078500234405</v>
      </c>
      <c r="W668" s="34" t="s">
        <v>3548</v>
      </c>
      <c r="X668" s="34" t="s">
        <v>3704</v>
      </c>
      <c r="Y668" s="34" t="s">
        <v>3542</v>
      </c>
      <c r="Z668" s="34">
        <v>5</v>
      </c>
      <c r="AA668" s="34" t="s">
        <v>5657</v>
      </c>
      <c r="AB668" s="34" t="s">
        <v>5657</v>
      </c>
      <c r="AC668" s="34" t="s">
        <v>4121</v>
      </c>
      <c r="AD668" s="34" t="s">
        <v>4121</v>
      </c>
      <c r="AE668" s="34" t="s">
        <v>5109</v>
      </c>
      <c r="AF668" s="34" t="s">
        <v>4811</v>
      </c>
      <c r="AG668" s="34" t="s">
        <v>4189</v>
      </c>
      <c r="AH668" s="34" t="s">
        <v>5658</v>
      </c>
      <c r="AL668" s="34">
        <v>1260</v>
      </c>
      <c r="AM668" s="40" t="s">
        <v>8095</v>
      </c>
      <c r="AT668" s="44">
        <v>0</v>
      </c>
      <c r="AU668" s="44"/>
      <c r="AV668" s="46">
        <f>ROUND(Товары[[#This Row],[РРЦ финальная, руб.]]/$AU$1,2)</f>
        <v>0</v>
      </c>
      <c r="AW668" s="45" t="str">
        <f>IFERROR(Товары[[#This Row],[РРЦ, евро]]/Товары[[#This Row],[IRP, Eur]],"-")</f>
        <v>-</v>
      </c>
      <c r="AX668" s="42">
        <f>IFERROR(VLOOKUP(Товары[[#This Row],[SubGroup]],'Структура цен DIY'!$B:$C,2,FALSE),0)</f>
        <v>0.25</v>
      </c>
      <c r="AY668" s="44">
        <v>0</v>
      </c>
    </row>
    <row r="669" spans="1:51" x14ac:dyDescent="0.25">
      <c r="A669" s="34">
        <v>667</v>
      </c>
      <c r="B669" s="34" t="s">
        <v>50</v>
      </c>
      <c r="C669" s="110" t="str">
        <f>IFERROR(INDEX(Структура_ассортимента[SuperCategory],MATCH(Товары[[#This Row],[SubGroup]],Структура_ассортимента[Subgroup],0)),"")</f>
        <v>H</v>
      </c>
      <c r="D669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69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69" s="110" t="str">
        <f>IFERROR(INDEX(Структура_ассортимента[Product group],MATCH(Товары[[#This Row],[SubGroup]],Структура_ассортимента[Subgroup],0)),"")</f>
        <v>HSP_C</v>
      </c>
      <c r="G669" s="110" t="str">
        <f>IFERROR(INDEX(Структура_ассортимента[Product group name ENG],MATCH(Товары[[#This Row],[SubGroup]],Структура_ассортимента[Subgroup],0)),"")</f>
        <v>Handheld, Spare Parts</v>
      </c>
      <c r="H669" s="110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669" s="36">
        <v>2604</v>
      </c>
      <c r="J669" s="36" t="str">
        <f>IFERROR(INDEX(Структура_ассортимента[Generic Name (long)],MATCH(Товары[[#This Row],[SubGroup]],Структура_ассортимента[Subgroup],0)),"")</f>
        <v>BLADE-SET</v>
      </c>
      <c r="L669" s="36">
        <v>900986201</v>
      </c>
      <c r="M669" s="35" t="s">
        <v>2353</v>
      </c>
      <c r="O669" s="35" t="s">
        <v>5659</v>
      </c>
      <c r="P669" s="37" t="s">
        <v>5660</v>
      </c>
      <c r="Q669" s="34" t="s">
        <v>3549</v>
      </c>
      <c r="R669" s="34" t="s">
        <v>3540</v>
      </c>
      <c r="S669" s="47">
        <v>36434</v>
      </c>
      <c r="T669" s="47">
        <v>0</v>
      </c>
      <c r="U669" s="47">
        <v>0</v>
      </c>
      <c r="V669" s="34">
        <v>4078500234504</v>
      </c>
      <c r="W669" s="34" t="s">
        <v>3548</v>
      </c>
      <c r="X669" s="34" t="s">
        <v>3704</v>
      </c>
      <c r="Y669" s="34" t="s">
        <v>3542</v>
      </c>
      <c r="Z669" s="34">
        <v>5</v>
      </c>
      <c r="AA669" s="34" t="s">
        <v>5657</v>
      </c>
      <c r="AB669" s="34" t="s">
        <v>5657</v>
      </c>
      <c r="AC669" s="34" t="s">
        <v>4121</v>
      </c>
      <c r="AD669" s="34" t="s">
        <v>4121</v>
      </c>
      <c r="AE669" s="34" t="s">
        <v>5109</v>
      </c>
      <c r="AF669" s="34" t="s">
        <v>4811</v>
      </c>
      <c r="AG669" s="34" t="s">
        <v>4189</v>
      </c>
      <c r="AH669" s="34" t="s">
        <v>5658</v>
      </c>
      <c r="AL669" s="34">
        <v>1260</v>
      </c>
      <c r="AM669" s="40" t="s">
        <v>9</v>
      </c>
      <c r="AP669" s="34">
        <v>0</v>
      </c>
      <c r="AQ669" s="34">
        <v>2629</v>
      </c>
      <c r="AR669" s="34">
        <v>1643</v>
      </c>
      <c r="AT669" s="44">
        <v>203600</v>
      </c>
      <c r="AU669" s="44"/>
      <c r="AV669" s="46">
        <f>ROUND(Товары[[#This Row],[РРЦ финальная, руб.]]/$AU$1,2)</f>
        <v>0</v>
      </c>
      <c r="AW669" s="45" t="str">
        <f>IFERROR(Товары[[#This Row],[РРЦ, евро]]/Товары[[#This Row],[IRP, Eur]],"-")</f>
        <v>-</v>
      </c>
      <c r="AX669" s="42">
        <f>IFERROR(VLOOKUP(Товары[[#This Row],[SubGroup]],'Структура цен DIY'!$B:$C,2,FALSE),0)</f>
        <v>0.25</v>
      </c>
      <c r="AY669" s="44">
        <v>0</v>
      </c>
    </row>
    <row r="670" spans="1:51" x14ac:dyDescent="0.25">
      <c r="A670" s="34">
        <v>668</v>
      </c>
      <c r="B670" s="34" t="s">
        <v>50</v>
      </c>
      <c r="C670" s="110" t="str">
        <f>IFERROR(INDEX(Структура_ассортимента[SuperCategory],MATCH(Товары[[#This Row],[SubGroup]],Структура_ассортимента[Subgroup],0)),"")</f>
        <v>H</v>
      </c>
      <c r="D670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70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70" s="110" t="str">
        <f>IFERROR(INDEX(Структура_ассортимента[Product group],MATCH(Товары[[#This Row],[SubGroup]],Структура_ассортимента[Subgroup],0)),"")</f>
        <v>HSP_C</v>
      </c>
      <c r="G670" s="110" t="str">
        <f>IFERROR(INDEX(Структура_ассортимента[Product group name ENG],MATCH(Товары[[#This Row],[SubGroup]],Структура_ассортимента[Subgroup],0)),"")</f>
        <v>Handheld, Spare Parts</v>
      </c>
      <c r="H670" s="110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670" s="36">
        <v>2604</v>
      </c>
      <c r="J670" s="36" t="str">
        <f>IFERROR(INDEX(Структура_ассортимента[Generic Name (long)],MATCH(Товары[[#This Row],[SubGroup]],Структура_ассортимента[Subgroup],0)),"")</f>
        <v>BLADE-SET</v>
      </c>
      <c r="L670" s="36">
        <v>900986301</v>
      </c>
      <c r="M670" s="35" t="s">
        <v>2354</v>
      </c>
      <c r="O670" s="35" t="s">
        <v>5661</v>
      </c>
      <c r="P670" s="37" t="s">
        <v>5662</v>
      </c>
      <c r="Q670" s="34" t="s">
        <v>3549</v>
      </c>
      <c r="R670" s="34" t="s">
        <v>3540</v>
      </c>
      <c r="S670" s="47">
        <v>36434</v>
      </c>
      <c r="T670" s="47">
        <v>0</v>
      </c>
      <c r="U670" s="47">
        <v>0</v>
      </c>
      <c r="V670" s="34">
        <v>4078500234603</v>
      </c>
      <c r="W670" s="34" t="s">
        <v>3548</v>
      </c>
      <c r="X670" s="34" t="s">
        <v>3704</v>
      </c>
      <c r="Y670" s="34" t="s">
        <v>3542</v>
      </c>
      <c r="Z670" s="34">
        <v>5</v>
      </c>
      <c r="AA670" s="34" t="s">
        <v>4147</v>
      </c>
      <c r="AB670" s="34" t="s">
        <v>4147</v>
      </c>
      <c r="AC670" s="34" t="s">
        <v>5663</v>
      </c>
      <c r="AD670" s="34" t="s">
        <v>5663</v>
      </c>
      <c r="AE670" s="34" t="s">
        <v>4394</v>
      </c>
      <c r="AF670" s="34" t="s">
        <v>4811</v>
      </c>
      <c r="AG670" s="34" t="s">
        <v>3781</v>
      </c>
      <c r="AH670" s="34" t="s">
        <v>5664</v>
      </c>
      <c r="AL670" s="34">
        <v>1260</v>
      </c>
      <c r="AM670" s="40" t="s">
        <v>9</v>
      </c>
      <c r="AP670" s="34">
        <v>0</v>
      </c>
      <c r="AQ670" s="34">
        <v>2959</v>
      </c>
      <c r="AR670" s="34">
        <v>1849</v>
      </c>
      <c r="AT670" s="44">
        <v>229200</v>
      </c>
      <c r="AU670" s="44"/>
      <c r="AV670" s="46">
        <f>ROUND(Товары[[#This Row],[РРЦ финальная, руб.]]/$AU$1,2)</f>
        <v>0</v>
      </c>
      <c r="AW670" s="45" t="str">
        <f>IFERROR(Товары[[#This Row],[РРЦ, евро]]/Товары[[#This Row],[IRP, Eur]],"-")</f>
        <v>-</v>
      </c>
      <c r="AX670" s="42">
        <f>IFERROR(VLOOKUP(Товары[[#This Row],[SubGroup]],'Структура цен DIY'!$B:$C,2,FALSE),0)</f>
        <v>0.25</v>
      </c>
      <c r="AY670" s="44">
        <v>0</v>
      </c>
    </row>
    <row r="671" spans="1:51" x14ac:dyDescent="0.25">
      <c r="A671" s="34">
        <v>669</v>
      </c>
      <c r="B671" s="34" t="s">
        <v>50</v>
      </c>
      <c r="C671" s="110" t="str">
        <f>IFERROR(INDEX(Структура_ассортимента[SuperCategory],MATCH(Товары[[#This Row],[SubGroup]],Структура_ассортимента[Subgroup],0)),"")</f>
        <v>H</v>
      </c>
      <c r="D671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71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71" s="110" t="str">
        <f>IFERROR(INDEX(Структура_ассортимента[Product group],MATCH(Товары[[#This Row],[SubGroup]],Структура_ассортимента[Subgroup],0)),"")</f>
        <v>HSP_C</v>
      </c>
      <c r="G671" s="110" t="str">
        <f>IFERROR(INDEX(Структура_ассортимента[Product group name ENG],MATCH(Товары[[#This Row],[SubGroup]],Структура_ассортимента[Subgroup],0)),"")</f>
        <v>Handheld, Spare Parts</v>
      </c>
      <c r="H671" s="110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671" s="36">
        <v>2604</v>
      </c>
      <c r="J671" s="36" t="str">
        <f>IFERROR(INDEX(Структура_ассортимента[Generic Name (long)],MATCH(Товары[[#This Row],[SubGroup]],Структура_ассортимента[Subgroup],0)),"")</f>
        <v>BLADE-SET</v>
      </c>
      <c r="L671" s="36">
        <v>966641301</v>
      </c>
      <c r="M671" s="35" t="s">
        <v>2355</v>
      </c>
      <c r="O671" s="35" t="s">
        <v>5665</v>
      </c>
      <c r="P671" s="37" t="s">
        <v>5666</v>
      </c>
      <c r="Q671" s="34" t="s">
        <v>3549</v>
      </c>
      <c r="R671" s="34" t="s">
        <v>3540</v>
      </c>
      <c r="S671" s="47">
        <v>40452</v>
      </c>
      <c r="T671" s="47">
        <v>0</v>
      </c>
      <c r="U671" s="47">
        <v>0</v>
      </c>
      <c r="V671" s="34">
        <v>4078500234009</v>
      </c>
      <c r="W671" s="34" t="s">
        <v>3547</v>
      </c>
      <c r="X671" s="34" t="s">
        <v>3704</v>
      </c>
      <c r="Y671" s="34" t="s">
        <v>3542</v>
      </c>
      <c r="Z671" s="34">
        <v>4</v>
      </c>
      <c r="AA671" s="34" t="s">
        <v>3928</v>
      </c>
      <c r="AB671" s="34" t="s">
        <v>3928</v>
      </c>
      <c r="AC671" s="34" t="s">
        <v>4002</v>
      </c>
      <c r="AD671" s="34" t="s">
        <v>4002</v>
      </c>
      <c r="AE671" s="34" t="s">
        <v>5667</v>
      </c>
      <c r="AF671" s="34" t="s">
        <v>5148</v>
      </c>
      <c r="AG671" s="34" t="s">
        <v>3968</v>
      </c>
      <c r="AH671" s="34" t="s">
        <v>5668</v>
      </c>
      <c r="AL671" s="34">
        <v>576</v>
      </c>
      <c r="AM671" s="40" t="s">
        <v>9</v>
      </c>
      <c r="AP671" s="34">
        <v>0</v>
      </c>
      <c r="AQ671" s="34">
        <v>2629</v>
      </c>
      <c r="AR671" s="34">
        <v>1643</v>
      </c>
      <c r="AT671" s="44">
        <v>203600</v>
      </c>
      <c r="AU671" s="44"/>
      <c r="AV671" s="46">
        <f>ROUND(Товары[[#This Row],[РРЦ финальная, руб.]]/$AU$1,2)</f>
        <v>0</v>
      </c>
      <c r="AW671" s="45" t="str">
        <f>IFERROR(Товары[[#This Row],[РРЦ, евро]]/Товары[[#This Row],[IRP, Eur]],"-")</f>
        <v>-</v>
      </c>
      <c r="AX671" s="42">
        <f>IFERROR(VLOOKUP(Товары[[#This Row],[SubGroup]],'Структура цен DIY'!$B:$C,2,FALSE),0)</f>
        <v>0.25</v>
      </c>
      <c r="AY671" s="44">
        <v>0</v>
      </c>
    </row>
    <row r="672" spans="1:51" x14ac:dyDescent="0.25">
      <c r="A672" s="34">
        <v>670</v>
      </c>
      <c r="B672" s="34" t="s">
        <v>50</v>
      </c>
      <c r="C672" s="110" t="str">
        <f>IFERROR(INDEX(Структура_ассортимента[SuperCategory],MATCH(Товары[[#This Row],[SubGroup]],Структура_ассортимента[Subgroup],0)),"")</f>
        <v>H</v>
      </c>
      <c r="D672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72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72" s="110" t="str">
        <f>IFERROR(INDEX(Структура_ассортимента[Product group],MATCH(Товары[[#This Row],[SubGroup]],Структура_ассортимента[Subgroup],0)),"")</f>
        <v>HSP_C</v>
      </c>
      <c r="G672" s="110" t="str">
        <f>IFERROR(INDEX(Структура_ассортимента[Product group name ENG],MATCH(Товары[[#This Row],[SubGroup]],Структура_ассортимента[Subgroup],0)),"")</f>
        <v>Handheld, Spare Parts</v>
      </c>
      <c r="H672" s="110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672" s="36">
        <v>2604</v>
      </c>
      <c r="J672" s="36" t="str">
        <f>IFERROR(INDEX(Структура_ассортимента[Generic Name (long)],MATCH(Товары[[#This Row],[SubGroup]],Структура_ассортимента[Subgroup],0)),"")</f>
        <v>BLADE-SET</v>
      </c>
      <c r="L672" s="36">
        <v>966641401</v>
      </c>
      <c r="M672" s="35" t="s">
        <v>2356</v>
      </c>
      <c r="O672" s="35" t="s">
        <v>5669</v>
      </c>
      <c r="P672" s="37" t="s">
        <v>5670</v>
      </c>
      <c r="Q672" s="34" t="s">
        <v>3549</v>
      </c>
      <c r="R672" s="34" t="s">
        <v>3540</v>
      </c>
      <c r="S672" s="47">
        <v>40452</v>
      </c>
      <c r="T672" s="47">
        <v>0</v>
      </c>
      <c r="U672" s="47">
        <v>0</v>
      </c>
      <c r="V672" s="34">
        <v>4078500234207</v>
      </c>
      <c r="W672" s="34" t="s">
        <v>3547</v>
      </c>
      <c r="X672" s="34" t="s">
        <v>3704</v>
      </c>
      <c r="Y672" s="34" t="s">
        <v>3542</v>
      </c>
      <c r="Z672" s="34">
        <v>4</v>
      </c>
      <c r="AA672" s="34" t="s">
        <v>3691</v>
      </c>
      <c r="AB672" s="34" t="s">
        <v>3691</v>
      </c>
      <c r="AC672" s="34" t="s">
        <v>4179</v>
      </c>
      <c r="AD672" s="34" t="s">
        <v>4179</v>
      </c>
      <c r="AE672" s="34" t="s">
        <v>4192</v>
      </c>
      <c r="AF672" s="34" t="s">
        <v>5148</v>
      </c>
      <c r="AG672" s="34" t="s">
        <v>4195</v>
      </c>
      <c r="AH672" s="34" t="s">
        <v>5671</v>
      </c>
      <c r="AL672" s="34">
        <v>456</v>
      </c>
      <c r="AM672" s="40" t="s">
        <v>9</v>
      </c>
      <c r="AP672" s="34">
        <v>0</v>
      </c>
      <c r="AQ672" s="34">
        <v>3179</v>
      </c>
      <c r="AR672" s="34">
        <v>1987</v>
      </c>
      <c r="AT672" s="44">
        <v>246200</v>
      </c>
      <c r="AU672" s="44"/>
      <c r="AV672" s="46">
        <f>ROUND(Товары[[#This Row],[РРЦ финальная, руб.]]/$AU$1,2)</f>
        <v>0</v>
      </c>
      <c r="AW672" s="45" t="str">
        <f>IFERROR(Товары[[#This Row],[РРЦ, евро]]/Товары[[#This Row],[IRP, Eur]],"-")</f>
        <v>-</v>
      </c>
      <c r="AX672" s="42">
        <f>IFERROR(VLOOKUP(Товары[[#This Row],[SubGroup]],'Структура цен DIY'!$B:$C,2,FALSE),0)</f>
        <v>0.25</v>
      </c>
      <c r="AY672" s="44">
        <v>0</v>
      </c>
    </row>
    <row r="673" spans="1:51" x14ac:dyDescent="0.25">
      <c r="A673" s="34">
        <v>671</v>
      </c>
      <c r="B673" s="34" t="s">
        <v>50</v>
      </c>
      <c r="C673" s="110" t="str">
        <f>IFERROR(INDEX(Структура_ассортимента[SuperCategory],MATCH(Товары[[#This Row],[SubGroup]],Структура_ассортимента[Subgroup],0)),"")</f>
        <v>H</v>
      </c>
      <c r="D673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73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73" s="110" t="str">
        <f>IFERROR(INDEX(Структура_ассортимента[Product group],MATCH(Товары[[#This Row],[SubGroup]],Структура_ассортимента[Subgroup],0)),"")</f>
        <v>HSP_C</v>
      </c>
      <c r="G673" s="110" t="str">
        <f>IFERROR(INDEX(Структура_ассортимента[Product group name ENG],MATCH(Товары[[#This Row],[SubGroup]],Структура_ассортимента[Subgroup],0)),"")</f>
        <v>Handheld, Spare Parts</v>
      </c>
      <c r="H673" s="110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673" s="36">
        <v>2604</v>
      </c>
      <c r="J673" s="36" t="str">
        <f>IFERROR(INDEX(Структура_ассортимента[Generic Name (long)],MATCH(Товары[[#This Row],[SubGroup]],Структура_ассортимента[Subgroup],0)),"")</f>
        <v>BLADE-SET</v>
      </c>
      <c r="L673" s="36">
        <v>966646101</v>
      </c>
      <c r="M673" s="35" t="s">
        <v>2357</v>
      </c>
      <c r="O673" s="35" t="s">
        <v>5672</v>
      </c>
      <c r="P673" s="37" t="s">
        <v>5673</v>
      </c>
      <c r="Q673" s="34" t="s">
        <v>3549</v>
      </c>
      <c r="R673" s="34" t="s">
        <v>3540</v>
      </c>
      <c r="S673" s="47">
        <v>40452</v>
      </c>
      <c r="T673" s="47">
        <v>0</v>
      </c>
      <c r="U673" s="47">
        <v>0</v>
      </c>
      <c r="V673" s="34">
        <v>4078500234306</v>
      </c>
      <c r="W673" s="34" t="s">
        <v>3547</v>
      </c>
      <c r="X673" s="34" t="s">
        <v>3704</v>
      </c>
      <c r="Y673" s="34" t="s">
        <v>3542</v>
      </c>
      <c r="Z673" s="34">
        <v>4</v>
      </c>
      <c r="AA673" s="34" t="s">
        <v>4576</v>
      </c>
      <c r="AB673" s="34" t="s">
        <v>4576</v>
      </c>
      <c r="AC673" s="34" t="s">
        <v>4389</v>
      </c>
      <c r="AD673" s="34" t="s">
        <v>4389</v>
      </c>
      <c r="AE673" s="34" t="s">
        <v>4192</v>
      </c>
      <c r="AF673" s="34" t="s">
        <v>5148</v>
      </c>
      <c r="AG673" s="34" t="s">
        <v>5674</v>
      </c>
      <c r="AH673" s="34" t="s">
        <v>5675</v>
      </c>
      <c r="AL673" s="34">
        <v>320</v>
      </c>
      <c r="AM673" s="40" t="s">
        <v>9</v>
      </c>
      <c r="AP673" s="34">
        <v>0</v>
      </c>
      <c r="AQ673" s="34">
        <v>3839</v>
      </c>
      <c r="AR673" s="34">
        <v>2399</v>
      </c>
      <c r="AT673" s="44">
        <v>297300</v>
      </c>
      <c r="AU673" s="44"/>
      <c r="AV673" s="46">
        <f>ROUND(Товары[[#This Row],[РРЦ финальная, руб.]]/$AU$1,2)</f>
        <v>0</v>
      </c>
      <c r="AW673" s="45" t="str">
        <f>IFERROR(Товары[[#This Row],[РРЦ, евро]]/Товары[[#This Row],[IRP, Eur]],"-")</f>
        <v>-</v>
      </c>
      <c r="AX673" s="42">
        <f>IFERROR(VLOOKUP(Товары[[#This Row],[SubGroup]],'Структура цен DIY'!$B:$C,2,FALSE),0)</f>
        <v>0.25</v>
      </c>
      <c r="AY673" s="44">
        <v>0</v>
      </c>
    </row>
    <row r="674" spans="1:51" x14ac:dyDescent="0.25">
      <c r="A674" s="34">
        <v>672</v>
      </c>
      <c r="B674" s="34" t="s">
        <v>50</v>
      </c>
      <c r="C674" s="110" t="str">
        <f>IFERROR(INDEX(Структура_ассортимента[SuperCategory],MATCH(Товары[[#This Row],[SubGroup]],Структура_ассортимента[Subgroup],0)),"")</f>
        <v>H</v>
      </c>
      <c r="D674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74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74" s="110" t="str">
        <f>IFERROR(INDEX(Структура_ассортимента[Product group],MATCH(Товары[[#This Row],[SubGroup]],Структура_ассортимента[Subgroup],0)),"")</f>
        <v>HSP_C</v>
      </c>
      <c r="G674" s="110" t="str">
        <f>IFERROR(INDEX(Структура_ассортимента[Product group name ENG],MATCH(Товары[[#This Row],[SubGroup]],Структура_ассортимента[Subgroup],0)),"")</f>
        <v>Handheld, Spare Parts</v>
      </c>
      <c r="H674" s="110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674" s="36">
        <v>2604</v>
      </c>
      <c r="J674" s="36" t="str">
        <f>IFERROR(INDEX(Структура_ассортимента[Generic Name (long)],MATCH(Товары[[#This Row],[SubGroup]],Структура_ассортимента[Subgroup],0)),"")</f>
        <v>BLADE-SET</v>
      </c>
      <c r="L674" s="36">
        <v>967857001</v>
      </c>
      <c r="M674" s="35" t="s">
        <v>2358</v>
      </c>
      <c r="O674" s="35" t="s">
        <v>5676</v>
      </c>
      <c r="P674" s="37" t="s">
        <v>5677</v>
      </c>
      <c r="Q674" s="34" t="s">
        <v>3549</v>
      </c>
      <c r="R674" s="34" t="s">
        <v>3540</v>
      </c>
      <c r="S674" s="47">
        <v>43466</v>
      </c>
      <c r="T674" s="47">
        <v>0</v>
      </c>
      <c r="U674" s="47">
        <v>0</v>
      </c>
      <c r="V674" s="34">
        <v>4078500042611</v>
      </c>
      <c r="W674" s="34" t="s">
        <v>3546</v>
      </c>
      <c r="X674" s="34" t="s">
        <v>3551</v>
      </c>
      <c r="Y674" s="34" t="s">
        <v>3542</v>
      </c>
      <c r="Z674" s="34">
        <v>3</v>
      </c>
      <c r="AA674" s="34" t="s">
        <v>5114</v>
      </c>
      <c r="AB674" s="34" t="s">
        <v>5114</v>
      </c>
      <c r="AC674" s="34" t="s">
        <v>5678</v>
      </c>
      <c r="AD674" s="34" t="s">
        <v>4764</v>
      </c>
      <c r="AE674" s="34" t="s">
        <v>5679</v>
      </c>
      <c r="AF674" s="34" t="s">
        <v>3818</v>
      </c>
      <c r="AG674" s="34" t="s">
        <v>5680</v>
      </c>
      <c r="AH674" s="34" t="s">
        <v>5681</v>
      </c>
      <c r="AI674" s="34" t="s">
        <v>5682</v>
      </c>
      <c r="AJ674" s="34" t="s">
        <v>5683</v>
      </c>
      <c r="AK674" s="34" t="s">
        <v>5684</v>
      </c>
      <c r="AL674" s="34" t="s">
        <v>4214</v>
      </c>
      <c r="AM674" s="40" t="s">
        <v>9</v>
      </c>
      <c r="AP674" s="34">
        <v>0</v>
      </c>
      <c r="AQ674" s="34">
        <v>3619</v>
      </c>
      <c r="AR674" s="34">
        <v>2111</v>
      </c>
      <c r="AT674" s="44">
        <v>280300</v>
      </c>
      <c r="AU674" s="44"/>
      <c r="AV674" s="46">
        <f>ROUND(Товары[[#This Row],[РРЦ финальная, руб.]]/$AU$1,2)</f>
        <v>0</v>
      </c>
      <c r="AW674" s="45" t="str">
        <f>IFERROR(Товары[[#This Row],[РРЦ, евро]]/Товары[[#This Row],[IRP, Eur]],"-")</f>
        <v>-</v>
      </c>
      <c r="AX674" s="42">
        <f>IFERROR(VLOOKUP(Товары[[#This Row],[SubGroup]],'Структура цен DIY'!$B:$C,2,FALSE),0)</f>
        <v>0.25</v>
      </c>
      <c r="AY674" s="44">
        <v>0</v>
      </c>
    </row>
    <row r="675" spans="1:51" x14ac:dyDescent="0.25">
      <c r="A675" s="34">
        <v>673</v>
      </c>
      <c r="B675" s="34" t="s">
        <v>50</v>
      </c>
      <c r="C675" s="110" t="str">
        <f>IFERROR(INDEX(Структура_ассортимента[SuperCategory],MATCH(Товары[[#This Row],[SubGroup]],Структура_ассортимента[Subgroup],0)),"")</f>
        <v>H</v>
      </c>
      <c r="D675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75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75" s="110" t="str">
        <f>IFERROR(INDEX(Структура_ассортимента[Product group],MATCH(Товары[[#This Row],[SubGroup]],Структура_ассортимента[Subgroup],0)),"")</f>
        <v>HSP_C</v>
      </c>
      <c r="G675" s="110" t="str">
        <f>IFERROR(INDEX(Структура_ассортимента[Product group name ENG],MATCH(Товары[[#This Row],[SubGroup]],Структура_ассортимента[Subgroup],0)),"")</f>
        <v>Handheld, Spare Parts</v>
      </c>
      <c r="H675" s="110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675" s="36">
        <v>2604</v>
      </c>
      <c r="J675" s="36" t="str">
        <f>IFERROR(INDEX(Структура_ассортимента[Generic Name (long)],MATCH(Товары[[#This Row],[SubGroup]],Структура_ассортимента[Subgroup],0)),"")</f>
        <v>BLADE-SET</v>
      </c>
      <c r="L675" s="36">
        <v>967857101</v>
      </c>
      <c r="M675" s="35" t="s">
        <v>2359</v>
      </c>
      <c r="O675" s="35" t="s">
        <v>5685</v>
      </c>
      <c r="P675" s="37" t="s">
        <v>5686</v>
      </c>
      <c r="Q675" s="34" t="s">
        <v>3549</v>
      </c>
      <c r="R675" s="34" t="s">
        <v>3540</v>
      </c>
      <c r="S675" s="47">
        <v>43466</v>
      </c>
      <c r="T675" s="47">
        <v>0</v>
      </c>
      <c r="U675" s="47">
        <v>0</v>
      </c>
      <c r="V675" s="34">
        <v>4078500042635</v>
      </c>
      <c r="W675" s="34" t="s">
        <v>3546</v>
      </c>
      <c r="X675" s="34" t="s">
        <v>3551</v>
      </c>
      <c r="Y675" s="34" t="s">
        <v>3542</v>
      </c>
      <c r="Z675" s="34">
        <v>5</v>
      </c>
      <c r="AA675" s="34" t="s">
        <v>3727</v>
      </c>
      <c r="AB675" s="34" t="s">
        <v>3727</v>
      </c>
      <c r="AC675" s="34" t="s">
        <v>3775</v>
      </c>
      <c r="AD675" s="34" t="s">
        <v>5633</v>
      </c>
      <c r="AE675" s="34" t="s">
        <v>4391</v>
      </c>
      <c r="AF675" s="34" t="s">
        <v>4335</v>
      </c>
      <c r="AG675" s="34" t="s">
        <v>4335</v>
      </c>
      <c r="AH675" s="34" t="s">
        <v>5687</v>
      </c>
      <c r="AI675" s="34" t="s">
        <v>4633</v>
      </c>
      <c r="AJ675" s="34" t="s">
        <v>5688</v>
      </c>
      <c r="AK675" s="34" t="s">
        <v>5689</v>
      </c>
      <c r="AL675" s="34" t="s">
        <v>5690</v>
      </c>
      <c r="AM675" s="40" t="s">
        <v>9</v>
      </c>
      <c r="AP675" s="34">
        <v>0</v>
      </c>
      <c r="AQ675" s="34">
        <v>979</v>
      </c>
      <c r="AR675" s="34">
        <v>571</v>
      </c>
      <c r="AT675" s="44">
        <v>75800</v>
      </c>
      <c r="AU675" s="44"/>
      <c r="AV675" s="46">
        <f>ROUND(Товары[[#This Row],[РРЦ финальная, руб.]]/$AU$1,2)</f>
        <v>0</v>
      </c>
      <c r="AW675" s="45" t="str">
        <f>IFERROR(Товары[[#This Row],[РРЦ, евро]]/Товары[[#This Row],[IRP, Eur]],"-")</f>
        <v>-</v>
      </c>
      <c r="AX675" s="42">
        <f>IFERROR(VLOOKUP(Товары[[#This Row],[SubGroup]],'Структура цен DIY'!$B:$C,2,FALSE),0)</f>
        <v>0.25</v>
      </c>
      <c r="AY675" s="44">
        <v>0</v>
      </c>
    </row>
    <row r="676" spans="1:51" x14ac:dyDescent="0.25">
      <c r="A676" s="34">
        <v>674</v>
      </c>
      <c r="B676" s="34" t="s">
        <v>50</v>
      </c>
      <c r="C676" s="110" t="str">
        <f>IFERROR(INDEX(Структура_ассортимента[SuperCategory],MATCH(Товары[[#This Row],[SubGroup]],Структура_ассортимента[Subgroup],0)),"")</f>
        <v>H</v>
      </c>
      <c r="D676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76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76" s="110" t="str">
        <f>IFERROR(INDEX(Структура_ассортимента[Product group],MATCH(Товары[[#This Row],[SubGroup]],Структура_ассортимента[Subgroup],0)),"")</f>
        <v>HSP_C</v>
      </c>
      <c r="G676" s="110" t="str">
        <f>IFERROR(INDEX(Структура_ассортимента[Product group name ENG],MATCH(Товары[[#This Row],[SubGroup]],Структура_ассортимента[Subgroup],0)),"")</f>
        <v>Handheld, Spare Parts</v>
      </c>
      <c r="H676" s="110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676" s="36">
        <v>2604</v>
      </c>
      <c r="J676" s="36" t="str">
        <f>IFERROR(INDEX(Структура_ассортимента[Generic Name (long)],MATCH(Товары[[#This Row],[SubGroup]],Структура_ассортимента[Subgroup],0)),"")</f>
        <v>BLADE-SET</v>
      </c>
      <c r="L676" s="36">
        <v>967909601</v>
      </c>
      <c r="M676" s="35" t="s">
        <v>2360</v>
      </c>
      <c r="O676" s="35" t="s">
        <v>5691</v>
      </c>
      <c r="P676" s="37" t="s">
        <v>5692</v>
      </c>
      <c r="Q676" s="34" t="s">
        <v>3549</v>
      </c>
      <c r="R676" s="34" t="s">
        <v>3540</v>
      </c>
      <c r="S676" s="47">
        <v>43466</v>
      </c>
      <c r="T676" s="47">
        <v>0</v>
      </c>
      <c r="U676" s="47">
        <v>0</v>
      </c>
      <c r="V676" s="34">
        <v>4078500044622</v>
      </c>
      <c r="W676" s="34" t="s">
        <v>3546</v>
      </c>
      <c r="X676" s="34" t="s">
        <v>3551</v>
      </c>
      <c r="Y676" s="34" t="s">
        <v>3542</v>
      </c>
      <c r="Z676" s="34">
        <v>4</v>
      </c>
      <c r="AA676" s="34" t="s">
        <v>3928</v>
      </c>
      <c r="AB676" s="34" t="s">
        <v>4400</v>
      </c>
      <c r="AC676" s="34" t="s">
        <v>5693</v>
      </c>
      <c r="AD676" s="34" t="s">
        <v>3734</v>
      </c>
      <c r="AE676" s="34" t="s">
        <v>4646</v>
      </c>
      <c r="AF676" s="34" t="s">
        <v>5148</v>
      </c>
      <c r="AG676" s="34" t="s">
        <v>3938</v>
      </c>
      <c r="AH676" s="34" t="s">
        <v>5694</v>
      </c>
      <c r="AI676" s="34" t="s">
        <v>4117</v>
      </c>
      <c r="AJ676" s="34" t="s">
        <v>5695</v>
      </c>
      <c r="AK676" s="34" t="s">
        <v>3629</v>
      </c>
      <c r="AL676" s="34" t="s">
        <v>4176</v>
      </c>
      <c r="AM676" s="40" t="s">
        <v>9</v>
      </c>
      <c r="AP676" s="34">
        <v>0</v>
      </c>
      <c r="AQ676" s="34">
        <v>2519</v>
      </c>
      <c r="AR676" s="34">
        <v>1469</v>
      </c>
      <c r="AT676" s="44">
        <v>195100</v>
      </c>
      <c r="AU676" s="44"/>
      <c r="AV676" s="46">
        <f>ROUND(Товары[[#This Row],[РРЦ финальная, руб.]]/$AU$1,2)</f>
        <v>0</v>
      </c>
      <c r="AW676" s="45" t="str">
        <f>IFERROR(Товары[[#This Row],[РРЦ, евро]]/Товары[[#This Row],[IRP, Eur]],"-")</f>
        <v>-</v>
      </c>
      <c r="AX676" s="42">
        <f>IFERROR(VLOOKUP(Товары[[#This Row],[SubGroup]],'Структура цен DIY'!$B:$C,2,FALSE),0)</f>
        <v>0.25</v>
      </c>
      <c r="AY676" s="44">
        <v>0</v>
      </c>
    </row>
    <row r="677" spans="1:51" x14ac:dyDescent="0.25">
      <c r="A677" s="34">
        <v>675</v>
      </c>
      <c r="B677" s="34" t="s">
        <v>50</v>
      </c>
      <c r="C677" s="110" t="str">
        <f>IFERROR(INDEX(Структура_ассортимента[SuperCategory],MATCH(Товары[[#This Row],[SubGroup]],Структура_ассортимента[Subgroup],0)),"")</f>
        <v>H</v>
      </c>
      <c r="D677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77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77" s="110" t="str">
        <f>IFERROR(INDEX(Структура_ассортимента[Product group],MATCH(Товары[[#This Row],[SubGroup]],Структура_ассортимента[Subgroup],0)),"")</f>
        <v>HSP_C</v>
      </c>
      <c r="G677" s="110" t="str">
        <f>IFERROR(INDEX(Структура_ассортимента[Product group name ENG],MATCH(Товары[[#This Row],[SubGroup]],Структура_ассортимента[Subgroup],0)),"")</f>
        <v>Handheld, Spare Parts</v>
      </c>
      <c r="H677" s="110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677" s="36">
        <v>2604</v>
      </c>
      <c r="J677" s="36" t="str">
        <f>IFERROR(INDEX(Структура_ассортимента[Generic Name (long)],MATCH(Товары[[#This Row],[SubGroup]],Структура_ассортимента[Subgroup],0)),"")</f>
        <v>BLADE-SET</v>
      </c>
      <c r="L677" s="36">
        <v>967909501</v>
      </c>
      <c r="M677" s="35" t="s">
        <v>2361</v>
      </c>
      <c r="O677" s="35" t="s">
        <v>5696</v>
      </c>
      <c r="P677" s="37" t="s">
        <v>5697</v>
      </c>
      <c r="Q677" s="34" t="s">
        <v>3549</v>
      </c>
      <c r="R677" s="34" t="s">
        <v>3540</v>
      </c>
      <c r="S677" s="47">
        <v>43466</v>
      </c>
      <c r="T677" s="47">
        <v>0</v>
      </c>
      <c r="U677" s="47">
        <v>0</v>
      </c>
      <c r="V677" s="34">
        <v>4078500044646</v>
      </c>
      <c r="W677" s="34" t="s">
        <v>3546</v>
      </c>
      <c r="X677" s="34" t="s">
        <v>3551</v>
      </c>
      <c r="Y677" s="34" t="s">
        <v>3542</v>
      </c>
      <c r="Z677" s="34">
        <v>4</v>
      </c>
      <c r="AA677" s="34" t="s">
        <v>4136</v>
      </c>
      <c r="AB677" s="34" t="s">
        <v>4417</v>
      </c>
      <c r="AC677" s="34" t="s">
        <v>4889</v>
      </c>
      <c r="AD677" s="34" t="s">
        <v>4179</v>
      </c>
      <c r="AE677" s="34" t="s">
        <v>3800</v>
      </c>
      <c r="AF677" s="34" t="s">
        <v>3791</v>
      </c>
      <c r="AG677" s="34" t="s">
        <v>5030</v>
      </c>
      <c r="AH677" s="34" t="s">
        <v>5698</v>
      </c>
      <c r="AI677" s="34" t="s">
        <v>3836</v>
      </c>
      <c r="AJ677" s="34" t="s">
        <v>5695</v>
      </c>
      <c r="AK677" s="34" t="s">
        <v>5699</v>
      </c>
      <c r="AL677" s="34" t="s">
        <v>5700</v>
      </c>
      <c r="AM677" s="40" t="s">
        <v>9</v>
      </c>
      <c r="AP677" s="34">
        <v>0</v>
      </c>
      <c r="AQ677" s="34">
        <v>2959</v>
      </c>
      <c r="AR677" s="34">
        <v>1726</v>
      </c>
      <c r="AT677" s="44">
        <v>229200</v>
      </c>
      <c r="AU677" s="44"/>
      <c r="AV677" s="46">
        <f>ROUND(Товары[[#This Row],[РРЦ финальная, руб.]]/$AU$1,2)</f>
        <v>0</v>
      </c>
      <c r="AW677" s="45" t="str">
        <f>IFERROR(Товары[[#This Row],[РРЦ, евро]]/Товары[[#This Row],[IRP, Eur]],"-")</f>
        <v>-</v>
      </c>
      <c r="AX677" s="42">
        <f>IFERROR(VLOOKUP(Товары[[#This Row],[SubGroup]],'Структура цен DIY'!$B:$C,2,FALSE),0)</f>
        <v>0.25</v>
      </c>
      <c r="AY677" s="44">
        <v>0</v>
      </c>
    </row>
    <row r="678" spans="1:51" x14ac:dyDescent="0.25">
      <c r="A678" s="34">
        <v>676</v>
      </c>
      <c r="B678" s="34" t="s">
        <v>50</v>
      </c>
      <c r="C678" s="110" t="str">
        <f>IFERROR(INDEX(Структура_ассортимента[SuperCategory],MATCH(Товары[[#This Row],[SubGroup]],Структура_ассортимента[Subgroup],0)),"")</f>
        <v>H</v>
      </c>
      <c r="D678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78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78" s="110" t="str">
        <f>IFERROR(INDEX(Структура_ассортимента[Product group],MATCH(Товары[[#This Row],[SubGroup]],Структура_ассортимента[Subgroup],0)),"")</f>
        <v>HSP_C</v>
      </c>
      <c r="G678" s="110" t="str">
        <f>IFERROR(INDEX(Структура_ассортимента[Product group name ENG],MATCH(Товары[[#This Row],[SubGroup]],Структура_ассортимента[Subgroup],0)),"")</f>
        <v>Handheld, Spare Parts</v>
      </c>
      <c r="H678" s="110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678" s="36">
        <v>2604</v>
      </c>
      <c r="J678" s="36" t="str">
        <f>IFERROR(INDEX(Структура_ассортимента[Generic Name (long)],MATCH(Товары[[#This Row],[SubGroup]],Структура_ассортимента[Subgroup],0)),"")</f>
        <v>BLADE-SET</v>
      </c>
      <c r="L678" s="36">
        <v>900986401</v>
      </c>
      <c r="M678" s="35" t="s">
        <v>2362</v>
      </c>
      <c r="Q678" s="34" t="s">
        <v>3549</v>
      </c>
      <c r="R678" s="34" t="s">
        <v>3540</v>
      </c>
      <c r="S678" s="47">
        <v>37165</v>
      </c>
      <c r="T678" s="47">
        <v>0</v>
      </c>
      <c r="U678" s="47">
        <v>0</v>
      </c>
      <c r="V678" s="34">
        <v>4078500236607</v>
      </c>
      <c r="W678" s="34" t="s">
        <v>3550</v>
      </c>
      <c r="X678" s="34" t="s">
        <v>3579</v>
      </c>
      <c r="Y678" s="34" t="s">
        <v>3542</v>
      </c>
      <c r="Z678" s="34">
        <v>12</v>
      </c>
      <c r="AA678" s="34" t="s">
        <v>4147</v>
      </c>
      <c r="AB678" s="34" t="s">
        <v>4147</v>
      </c>
      <c r="AC678" s="34" t="s">
        <v>3928</v>
      </c>
      <c r="AD678" s="34" t="s">
        <v>3928</v>
      </c>
      <c r="AE678" s="34" t="s">
        <v>4183</v>
      </c>
      <c r="AF678" s="34" t="s">
        <v>4351</v>
      </c>
      <c r="AG678" s="34" t="s">
        <v>4351</v>
      </c>
      <c r="AH678" s="34" t="s">
        <v>5701</v>
      </c>
      <c r="AL678" s="34">
        <v>1008</v>
      </c>
      <c r="AM678" s="40" t="s">
        <v>8095</v>
      </c>
      <c r="AT678" s="44">
        <v>0</v>
      </c>
      <c r="AU678" s="44"/>
      <c r="AV678" s="46">
        <f>ROUND(Товары[[#This Row],[РРЦ финальная, руб.]]/$AU$1,2)</f>
        <v>0</v>
      </c>
      <c r="AW678" s="45" t="str">
        <f>IFERROR(Товары[[#This Row],[РРЦ, евро]]/Товары[[#This Row],[IRP, Eur]],"-")</f>
        <v>-</v>
      </c>
      <c r="AX678" s="42">
        <f>IFERROR(VLOOKUP(Товары[[#This Row],[SubGroup]],'Структура цен DIY'!$B:$C,2,FALSE),0)</f>
        <v>0.25</v>
      </c>
      <c r="AY678" s="44">
        <v>0</v>
      </c>
    </row>
    <row r="679" spans="1:51" x14ac:dyDescent="0.25">
      <c r="A679" s="34">
        <v>677</v>
      </c>
      <c r="B679" s="34" t="s">
        <v>50</v>
      </c>
      <c r="C679" s="110" t="str">
        <f>IFERROR(INDEX(Структура_ассортимента[SuperCategory],MATCH(Товары[[#This Row],[SubGroup]],Структура_ассортимента[Subgroup],0)),"")</f>
        <v>H</v>
      </c>
      <c r="D679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79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79" s="110" t="str">
        <f>IFERROR(INDEX(Структура_ассортимента[Product group],MATCH(Товары[[#This Row],[SubGroup]],Структура_ассортимента[Subgroup],0)),"")</f>
        <v>HSP_C</v>
      </c>
      <c r="G679" s="110" t="str">
        <f>IFERROR(INDEX(Структура_ассортимента[Product group name ENG],MATCH(Товары[[#This Row],[SubGroup]],Структура_ассортимента[Subgroup],0)),"")</f>
        <v>Handheld, Spare Parts</v>
      </c>
      <c r="H679" s="110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79" s="36">
        <v>2601</v>
      </c>
      <c r="J679" s="36" t="str">
        <f>IFERROR(INDEX(Структура_ассортимента[Generic Name (long)],MATCH(Товары[[#This Row],[SubGroup]],Структура_ассортимента[Subgroup],0)),"")</f>
        <v>SPOOL &amp; LINE</v>
      </c>
      <c r="L679" s="36">
        <v>597771101</v>
      </c>
      <c r="M679" s="35" t="s">
        <v>2363</v>
      </c>
      <c r="Q679" s="34" t="s">
        <v>3549</v>
      </c>
      <c r="R679" s="34" t="s">
        <v>3540</v>
      </c>
      <c r="S679" s="47">
        <v>43831</v>
      </c>
      <c r="T679" s="47">
        <v>0</v>
      </c>
      <c r="U679" s="47">
        <v>0</v>
      </c>
      <c r="V679" s="34">
        <v>4078500048972</v>
      </c>
      <c r="W679" s="34" t="s">
        <v>3546</v>
      </c>
      <c r="X679" s="34" t="s">
        <v>3551</v>
      </c>
      <c r="Y679" s="34" t="s">
        <v>3542</v>
      </c>
      <c r="Z679" s="34">
        <v>1</v>
      </c>
      <c r="AB679" s="34" t="s">
        <v>4095</v>
      </c>
      <c r="AD679" s="34" t="s">
        <v>4101</v>
      </c>
      <c r="AE679" s="34" t="s">
        <v>3819</v>
      </c>
      <c r="AF679" s="34" t="s">
        <v>3556</v>
      </c>
      <c r="AG679" s="34" t="s">
        <v>4775</v>
      </c>
      <c r="AH679" s="34" t="s">
        <v>5702</v>
      </c>
      <c r="AI679" s="34" t="s">
        <v>4451</v>
      </c>
      <c r="AJ679" s="34" t="s">
        <v>4775</v>
      </c>
      <c r="AK679" s="34" t="s">
        <v>3560</v>
      </c>
      <c r="AL679" s="34" t="s">
        <v>5703</v>
      </c>
      <c r="AM679" s="40" t="s">
        <v>8095</v>
      </c>
      <c r="AT679" s="44">
        <v>0</v>
      </c>
      <c r="AU679" s="44"/>
      <c r="AV679" s="46">
        <f>ROUND(Товары[[#This Row],[РРЦ финальная, руб.]]/$AU$1,2)</f>
        <v>0</v>
      </c>
      <c r="AW679" s="45" t="str">
        <f>IFERROR(Товары[[#This Row],[РРЦ, евро]]/Товары[[#This Row],[IRP, Eur]],"-")</f>
        <v>-</v>
      </c>
      <c r="AX679" s="42">
        <f>IFERROR(VLOOKUP(Товары[[#This Row],[SubGroup]],'Структура цен DIY'!$B:$C,2,FALSE),0)</f>
        <v>0.29999999999999993</v>
      </c>
      <c r="AY679" s="44">
        <v>0</v>
      </c>
    </row>
    <row r="680" spans="1:51" x14ac:dyDescent="0.25">
      <c r="A680" s="34">
        <v>678</v>
      </c>
      <c r="B680" s="34" t="s">
        <v>50</v>
      </c>
      <c r="C680" s="110" t="str">
        <f>IFERROR(INDEX(Структура_ассортимента[SuperCategory],MATCH(Товары[[#This Row],[SubGroup]],Структура_ассортимента[Subgroup],0)),"")</f>
        <v>H</v>
      </c>
      <c r="D680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80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80" s="110" t="str">
        <f>IFERROR(INDEX(Структура_ассортимента[Product group],MATCH(Товары[[#This Row],[SubGroup]],Структура_ассортимента[Subgroup],0)),"")</f>
        <v>HSP_C</v>
      </c>
      <c r="G680" s="110" t="str">
        <f>IFERROR(INDEX(Структура_ассортимента[Product group name ENG],MATCH(Товары[[#This Row],[SubGroup]],Структура_ассортимента[Subgroup],0)),"")</f>
        <v>Handheld, Spare Parts</v>
      </c>
      <c r="H680" s="110" t="str">
        <f>IFERROR(INDEX(Структура_ассортимента[Generic Name (long)3],MATCH(Товары[[#This Row],[SubGroup]],Структура_ассортимента[Subgroup],0)),"")</f>
        <v>Сменные цепи</v>
      </c>
      <c r="I680" s="36">
        <v>2600</v>
      </c>
      <c r="J680" s="36" t="str">
        <f>IFERROR(INDEX(Структура_ассортимента[Generic Name (long)],MATCH(Товары[[#This Row],[SubGroup]],Структура_ассортимента[Subgroup],0)),"")</f>
        <v>BAR &amp; CHAIN KIT</v>
      </c>
      <c r="L680" s="36">
        <v>966055901</v>
      </c>
      <c r="M680" s="35" t="s">
        <v>2364</v>
      </c>
      <c r="Q680" s="34" t="s">
        <v>4565</v>
      </c>
      <c r="R680" s="34" t="s">
        <v>3540</v>
      </c>
      <c r="S680" s="47">
        <v>39814</v>
      </c>
      <c r="T680" s="47">
        <v>42735</v>
      </c>
      <c r="U680" s="47">
        <v>42735</v>
      </c>
      <c r="V680" s="34">
        <v>4078500600705</v>
      </c>
      <c r="W680" s="34" t="s">
        <v>3550</v>
      </c>
      <c r="Y680" s="34" t="s">
        <v>3542</v>
      </c>
      <c r="Z680" s="34">
        <v>5</v>
      </c>
      <c r="AA680" s="34">
        <v>180</v>
      </c>
      <c r="AB680" s="34">
        <v>195</v>
      </c>
      <c r="AC680" s="34">
        <v>180</v>
      </c>
      <c r="AD680" s="34">
        <v>180</v>
      </c>
      <c r="AE680" s="34">
        <v>168</v>
      </c>
      <c r="AF680" s="34">
        <v>93</v>
      </c>
      <c r="AG680" s="34">
        <v>30</v>
      </c>
      <c r="AH680" s="34">
        <v>0.46899999999999997</v>
      </c>
      <c r="AM680" s="40" t="s">
        <v>8094</v>
      </c>
      <c r="AT680" s="44">
        <v>0</v>
      </c>
      <c r="AU680" s="44"/>
      <c r="AV680" s="46">
        <f>ROUND(Товары[[#This Row],[РРЦ финальная, руб.]]/$AU$1,2)</f>
        <v>0</v>
      </c>
      <c r="AW680" s="45" t="str">
        <f>IFERROR(Товары[[#This Row],[РРЦ, евро]]/Товары[[#This Row],[IRP, Eur]],"-")</f>
        <v>-</v>
      </c>
      <c r="AX680" s="42">
        <f>IFERROR(VLOOKUP(Товары[[#This Row],[SubGroup]],'Структура цен DIY'!$B:$C,2,FALSE),0)</f>
        <v>0</v>
      </c>
      <c r="AY680" s="44">
        <v>0</v>
      </c>
    </row>
    <row r="681" spans="1:51" x14ac:dyDescent="0.25">
      <c r="A681" s="34">
        <v>679</v>
      </c>
      <c r="B681" s="34" t="s">
        <v>50</v>
      </c>
      <c r="C681" s="110" t="str">
        <f>IFERROR(INDEX(Структура_ассортимента[SuperCategory],MATCH(Товары[[#This Row],[SubGroup]],Структура_ассортимента[Subgroup],0)),"")</f>
        <v>H</v>
      </c>
      <c r="D681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81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81" s="110" t="str">
        <f>IFERROR(INDEX(Структура_ассортимента[Product group],MATCH(Товары[[#This Row],[SubGroup]],Структура_ассортимента[Subgroup],0)),"")</f>
        <v>HSP_C</v>
      </c>
      <c r="G681" s="110" t="str">
        <f>IFERROR(INDEX(Структура_ассортимента[Product group name ENG],MATCH(Товары[[#This Row],[SubGroup]],Структура_ассортимента[Subgroup],0)),"")</f>
        <v>Handheld, Spare Parts</v>
      </c>
      <c r="H681" s="110" t="str">
        <f>IFERROR(INDEX(Структура_ассортимента[Generic Name (long)3],MATCH(Товары[[#This Row],[SubGroup]],Структура_ассортимента[Subgroup],0)),"")</f>
        <v>Сменные цепи</v>
      </c>
      <c r="I681" s="36">
        <v>2600</v>
      </c>
      <c r="J681" s="36" t="str">
        <f>IFERROR(INDEX(Структура_ассортимента[Generic Name (long)],MATCH(Товары[[#This Row],[SubGroup]],Структура_ассортимента[Subgroup],0)),"")</f>
        <v>BAR &amp; CHAIN KIT</v>
      </c>
      <c r="L681" s="36">
        <v>966056001</v>
      </c>
      <c r="M681" s="35" t="s">
        <v>2365</v>
      </c>
      <c r="Q681" s="34" t="s">
        <v>4565</v>
      </c>
      <c r="R681" s="34" t="s">
        <v>3540</v>
      </c>
      <c r="S681" s="47">
        <v>39814</v>
      </c>
      <c r="T681" s="47">
        <v>42735</v>
      </c>
      <c r="U681" s="47">
        <v>42735</v>
      </c>
      <c r="V681" s="34">
        <v>4078500600804</v>
      </c>
      <c r="Y681" s="34" t="s">
        <v>3542</v>
      </c>
      <c r="Z681" s="34">
        <v>30</v>
      </c>
      <c r="AA681" s="34">
        <v>200</v>
      </c>
      <c r="AB681" s="34">
        <v>215</v>
      </c>
      <c r="AC681" s="34">
        <v>200</v>
      </c>
      <c r="AD681" s="34">
        <v>200</v>
      </c>
      <c r="AE681" s="34">
        <v>168</v>
      </c>
      <c r="AF681" s="34">
        <v>93</v>
      </c>
      <c r="AG681" s="34">
        <v>30</v>
      </c>
      <c r="AH681" s="34">
        <v>0.46899999999999997</v>
      </c>
      <c r="AM681" s="40" t="s">
        <v>8094</v>
      </c>
      <c r="AT681" s="44">
        <v>0</v>
      </c>
      <c r="AU681" s="44"/>
      <c r="AV681" s="46">
        <f>ROUND(Товары[[#This Row],[РРЦ финальная, руб.]]/$AU$1,2)</f>
        <v>0</v>
      </c>
      <c r="AW681" s="45" t="str">
        <f>IFERROR(Товары[[#This Row],[РРЦ, евро]]/Товары[[#This Row],[IRP, Eur]],"-")</f>
        <v>-</v>
      </c>
      <c r="AX681" s="42">
        <f>IFERROR(VLOOKUP(Товары[[#This Row],[SubGroup]],'Структура цен DIY'!$B:$C,2,FALSE),0)</f>
        <v>0</v>
      </c>
      <c r="AY681" s="44">
        <v>0</v>
      </c>
    </row>
    <row r="682" spans="1:51" x14ac:dyDescent="0.25">
      <c r="A682" s="34">
        <v>680</v>
      </c>
      <c r="B682" s="34" t="s">
        <v>50</v>
      </c>
      <c r="C682" s="110" t="str">
        <f>IFERROR(INDEX(Структура_ассортимента[SuperCategory],MATCH(Товары[[#This Row],[SubGroup]],Структура_ассортимента[Subgroup],0)),"")</f>
        <v>H</v>
      </c>
      <c r="D682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82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82" s="110" t="str">
        <f>IFERROR(INDEX(Структура_ассортимента[Product group],MATCH(Товары[[#This Row],[SubGroup]],Структура_ассортимента[Subgroup],0)),"")</f>
        <v>HSP_C</v>
      </c>
      <c r="G682" s="110" t="str">
        <f>IFERROR(INDEX(Структура_ассортимента[Product group name ENG],MATCH(Товары[[#This Row],[SubGroup]],Структура_ассортимента[Subgroup],0)),"")</f>
        <v>Handheld, Spare Parts</v>
      </c>
      <c r="H682" s="110" t="str">
        <f>IFERROR(INDEX(Структура_ассортимента[Generic Name (long)3],MATCH(Товары[[#This Row],[SubGroup]],Структура_ассортимента[Subgroup],0)),"")</f>
        <v>Сменные цепи</v>
      </c>
      <c r="I682" s="36">
        <v>2600</v>
      </c>
      <c r="J682" s="36" t="str">
        <f>IFERROR(INDEX(Структура_ассортимента[Generic Name (long)],MATCH(Товары[[#This Row],[SubGroup]],Структура_ассортимента[Subgroup],0)),"")</f>
        <v>BAR &amp; CHAIN KIT</v>
      </c>
      <c r="L682" s="36">
        <v>966056101</v>
      </c>
      <c r="M682" s="35" t="s">
        <v>2366</v>
      </c>
      <c r="Q682" s="34" t="s">
        <v>4565</v>
      </c>
      <c r="R682" s="34" t="s">
        <v>3540</v>
      </c>
      <c r="S682" s="47">
        <v>39814</v>
      </c>
      <c r="T682" s="47">
        <v>42735</v>
      </c>
      <c r="U682" s="47">
        <v>42735</v>
      </c>
      <c r="V682" s="34">
        <v>4078500600903</v>
      </c>
      <c r="W682" s="34" t="s">
        <v>3550</v>
      </c>
      <c r="Y682" s="34" t="s">
        <v>3542</v>
      </c>
      <c r="Z682" s="34">
        <v>3</v>
      </c>
      <c r="AA682" s="34">
        <v>785</v>
      </c>
      <c r="AB682" s="34">
        <v>835</v>
      </c>
      <c r="AC682" s="34">
        <v>785</v>
      </c>
      <c r="AD682" s="34">
        <v>785</v>
      </c>
      <c r="AE682" s="34">
        <v>600</v>
      </c>
      <c r="AF682" s="34">
        <v>130</v>
      </c>
      <c r="AG682" s="34">
        <v>10</v>
      </c>
      <c r="AH682" s="34">
        <v>0.78</v>
      </c>
      <c r="AM682" s="40" t="s">
        <v>8094</v>
      </c>
      <c r="AT682" s="44">
        <v>0</v>
      </c>
      <c r="AU682" s="44"/>
      <c r="AV682" s="46">
        <f>ROUND(Товары[[#This Row],[РРЦ финальная, руб.]]/$AU$1,2)</f>
        <v>0</v>
      </c>
      <c r="AW682" s="45" t="str">
        <f>IFERROR(Товары[[#This Row],[РРЦ, евро]]/Товары[[#This Row],[IRP, Eur]],"-")</f>
        <v>-</v>
      </c>
      <c r="AX682" s="42">
        <f>IFERROR(VLOOKUP(Товары[[#This Row],[SubGroup]],'Структура цен DIY'!$B:$C,2,FALSE),0)</f>
        <v>0</v>
      </c>
      <c r="AY682" s="44">
        <v>0</v>
      </c>
    </row>
    <row r="683" spans="1:51" x14ac:dyDescent="0.25">
      <c r="A683" s="34">
        <v>681</v>
      </c>
      <c r="B683" s="34" t="s">
        <v>50</v>
      </c>
      <c r="C683" s="110" t="str">
        <f>IFERROR(INDEX(Структура_ассортимента[SuperCategory],MATCH(Товары[[#This Row],[SubGroup]],Структура_ассортимента[Subgroup],0)),"")</f>
        <v>H</v>
      </c>
      <c r="D683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83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83" s="110" t="str">
        <f>IFERROR(INDEX(Структура_ассортимента[Product group],MATCH(Товары[[#This Row],[SubGroup]],Структура_ассортимента[Subgroup],0)),"")</f>
        <v>HSP_C</v>
      </c>
      <c r="G683" s="110" t="str">
        <f>IFERROR(INDEX(Структура_ассортимента[Product group name ENG],MATCH(Товары[[#This Row],[SubGroup]],Структура_ассортимента[Subgroup],0)),"")</f>
        <v>Handheld, Spare Parts</v>
      </c>
      <c r="H683" s="110" t="str">
        <f>IFERROR(INDEX(Структура_ассортимента[Generic Name (long)3],MATCH(Товары[[#This Row],[SubGroup]],Структура_ассортимента[Subgroup],0)),"")</f>
        <v>Сменные цепи</v>
      </c>
      <c r="I683" s="36">
        <v>2600</v>
      </c>
      <c r="J683" s="36" t="str">
        <f>IFERROR(INDEX(Структура_ассортимента[Generic Name (long)],MATCH(Товары[[#This Row],[SubGroup]],Структура_ассортимента[Subgroup],0)),"")</f>
        <v>BAR &amp; CHAIN KIT</v>
      </c>
      <c r="L683" s="36">
        <v>966056201</v>
      </c>
      <c r="M683" s="35" t="s">
        <v>2367</v>
      </c>
      <c r="Q683" s="34" t="s">
        <v>4565</v>
      </c>
      <c r="R683" s="34" t="s">
        <v>3540</v>
      </c>
      <c r="S683" s="47">
        <v>39814</v>
      </c>
      <c r="T683" s="47">
        <v>42735</v>
      </c>
      <c r="U683" s="47">
        <v>42735</v>
      </c>
      <c r="V683" s="34">
        <v>4078500601009</v>
      </c>
      <c r="W683" s="34" t="s">
        <v>3550</v>
      </c>
      <c r="Y683" s="34" t="s">
        <v>3542</v>
      </c>
      <c r="Z683" s="34">
        <v>3</v>
      </c>
      <c r="AA683" s="34">
        <v>865</v>
      </c>
      <c r="AB683" s="34">
        <v>913</v>
      </c>
      <c r="AC683" s="34">
        <v>865</v>
      </c>
      <c r="AD683" s="34">
        <v>865</v>
      </c>
      <c r="AE683" s="34">
        <v>600</v>
      </c>
      <c r="AF683" s="34">
        <v>130</v>
      </c>
      <c r="AG683" s="34">
        <v>10</v>
      </c>
      <c r="AH683" s="34">
        <v>0.78</v>
      </c>
      <c r="AM683" s="40" t="s">
        <v>8094</v>
      </c>
      <c r="AT683" s="44">
        <v>0</v>
      </c>
      <c r="AU683" s="44"/>
      <c r="AV683" s="46">
        <f>ROUND(Товары[[#This Row],[РРЦ финальная, руб.]]/$AU$1,2)</f>
        <v>0</v>
      </c>
      <c r="AW683" s="45" t="str">
        <f>IFERROR(Товары[[#This Row],[РРЦ, евро]]/Товары[[#This Row],[IRP, Eur]],"-")</f>
        <v>-</v>
      </c>
      <c r="AX683" s="42">
        <f>IFERROR(VLOOKUP(Товары[[#This Row],[SubGroup]],'Структура цен DIY'!$B:$C,2,FALSE),0)</f>
        <v>0</v>
      </c>
      <c r="AY683" s="44">
        <v>0</v>
      </c>
    </row>
    <row r="684" spans="1:51" x14ac:dyDescent="0.25">
      <c r="A684" s="34">
        <v>682</v>
      </c>
      <c r="B684" s="34" t="s">
        <v>50</v>
      </c>
      <c r="C684" s="110" t="str">
        <f>IFERROR(INDEX(Структура_ассортимента[SuperCategory],MATCH(Товары[[#This Row],[SubGroup]],Структура_ассортимента[Subgroup],0)),"")</f>
        <v>H</v>
      </c>
      <c r="D684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84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84" s="110" t="str">
        <f>IFERROR(INDEX(Структура_ассортимента[Product group],MATCH(Товары[[#This Row],[SubGroup]],Структура_ассортимента[Subgroup],0)),"")</f>
        <v>HSP_C</v>
      </c>
      <c r="G684" s="110" t="str">
        <f>IFERROR(INDEX(Структура_ассортимента[Product group name ENG],MATCH(Товары[[#This Row],[SubGroup]],Структура_ассортимента[Subgroup],0)),"")</f>
        <v>Handheld, Spare Parts</v>
      </c>
      <c r="H684" s="110" t="str">
        <f>IFERROR(INDEX(Структура_ассортимента[Generic Name (long)3],MATCH(Товары[[#This Row],[SubGroup]],Структура_ассортимента[Subgroup],0)),"")</f>
        <v>Сменные цепи</v>
      </c>
      <c r="I684" s="36">
        <v>2600</v>
      </c>
      <c r="J684" s="36" t="str">
        <f>IFERROR(INDEX(Структура_ассортимента[Generic Name (long)],MATCH(Товары[[#This Row],[SubGroup]],Структура_ассортимента[Subgroup],0)),"")</f>
        <v>BAR &amp; CHAIN KIT</v>
      </c>
      <c r="L684" s="36">
        <v>966479101</v>
      </c>
      <c r="M684" s="35" t="s">
        <v>2368</v>
      </c>
      <c r="Q684" s="34" t="s">
        <v>4565</v>
      </c>
      <c r="R684" s="34" t="s">
        <v>3540</v>
      </c>
      <c r="S684" s="47">
        <v>40179</v>
      </c>
      <c r="T684" s="47">
        <v>42735</v>
      </c>
      <c r="U684" s="47">
        <v>42735</v>
      </c>
      <c r="V684" s="34">
        <v>4078500601108</v>
      </c>
      <c r="Y684" s="34" t="s">
        <v>3542</v>
      </c>
      <c r="Z684" s="34">
        <v>30</v>
      </c>
      <c r="AA684" s="34">
        <v>100</v>
      </c>
      <c r="AB684" s="34">
        <v>118</v>
      </c>
      <c r="AC684" s="34">
        <v>100</v>
      </c>
      <c r="AD684" s="34">
        <v>100</v>
      </c>
      <c r="AE684" s="34">
        <v>168</v>
      </c>
      <c r="AF684" s="34">
        <v>93</v>
      </c>
      <c r="AG684" s="34">
        <v>30</v>
      </c>
      <c r="AH684" s="34">
        <v>0</v>
      </c>
      <c r="AM684" s="40" t="s">
        <v>8094</v>
      </c>
      <c r="AT684" s="44">
        <v>0</v>
      </c>
      <c r="AU684" s="44"/>
      <c r="AV684" s="46">
        <f>ROUND(Товары[[#This Row],[РРЦ финальная, руб.]]/$AU$1,2)</f>
        <v>0</v>
      </c>
      <c r="AW684" s="45" t="str">
        <f>IFERROR(Товары[[#This Row],[РРЦ, евро]]/Товары[[#This Row],[IRP, Eur]],"-")</f>
        <v>-</v>
      </c>
      <c r="AX684" s="42">
        <f>IFERROR(VLOOKUP(Товары[[#This Row],[SubGroup]],'Структура цен DIY'!$B:$C,2,FALSE),0)</f>
        <v>0</v>
      </c>
      <c r="AY684" s="44">
        <v>0</v>
      </c>
    </row>
    <row r="685" spans="1:51" x14ac:dyDescent="0.25">
      <c r="A685" s="34">
        <v>683</v>
      </c>
      <c r="B685" s="34" t="s">
        <v>50</v>
      </c>
      <c r="C685" s="110" t="str">
        <f>IFERROR(INDEX(Структура_ассортимента[SuperCategory],MATCH(Товары[[#This Row],[SubGroup]],Структура_ассортимента[Subgroup],0)),"")</f>
        <v>H</v>
      </c>
      <c r="D685" s="110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85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85" s="110" t="str">
        <f>IFERROR(INDEX(Структура_ассортимента[Product group],MATCH(Товары[[#This Row],[SubGroup]],Структура_ассортимента[Subgroup],0)),"")</f>
        <v>AET_P</v>
      </c>
      <c r="G685" s="110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685" s="110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685" s="36">
        <v>9323</v>
      </c>
      <c r="J685" s="36" t="str">
        <f>IFERROR(INDEX(Структура_ассортимента[Generic Name (long)],MATCH(Товары[[#This Row],[SubGroup]],Структура_ассортимента[Subgroup],0)),"")</f>
        <v>SHEAR, BATTERY</v>
      </c>
      <c r="L685" s="36">
        <v>967108101</v>
      </c>
      <c r="M685" s="35" t="s">
        <v>2369</v>
      </c>
      <c r="Q685" s="34" t="s">
        <v>4565</v>
      </c>
      <c r="R685" s="34" t="s">
        <v>3540</v>
      </c>
      <c r="S685" s="47">
        <v>0</v>
      </c>
      <c r="T685" s="47">
        <v>42735</v>
      </c>
      <c r="U685" s="47">
        <v>42735</v>
      </c>
      <c r="V685" s="34">
        <v>4078500025317</v>
      </c>
      <c r="W685" s="34" t="s">
        <v>3647</v>
      </c>
      <c r="Y685" s="34" t="s">
        <v>3542</v>
      </c>
      <c r="Z685" s="34">
        <v>28</v>
      </c>
      <c r="AA685" s="34">
        <v>1300</v>
      </c>
      <c r="AB685" s="34">
        <v>752</v>
      </c>
      <c r="AC685" s="34">
        <v>1000</v>
      </c>
      <c r="AD685" s="34">
        <v>550</v>
      </c>
      <c r="AE685" s="34">
        <v>330</v>
      </c>
      <c r="AF685" s="34">
        <v>125</v>
      </c>
      <c r="AG685" s="34">
        <v>97</v>
      </c>
      <c r="AH685" s="34" t="s">
        <v>5704</v>
      </c>
      <c r="AM685" s="40" t="s">
        <v>8094</v>
      </c>
      <c r="AT685" s="44">
        <v>0</v>
      </c>
      <c r="AU685" s="44"/>
      <c r="AV685" s="46">
        <f>ROUND(Товары[[#This Row],[РРЦ финальная, руб.]]/$AU$1,2)</f>
        <v>0</v>
      </c>
      <c r="AW685" s="45" t="str">
        <f>IFERROR(Товары[[#This Row],[РРЦ, евро]]/Товары[[#This Row],[IRP, Eur]],"-")</f>
        <v>-</v>
      </c>
      <c r="AX685" s="42">
        <f>IFERROR(VLOOKUP(Товары[[#This Row],[SubGroup]],'Структура цен DIY'!$B:$C,2,FALSE),0)</f>
        <v>0.17999999999999994</v>
      </c>
      <c r="AY685" s="44">
        <v>0</v>
      </c>
    </row>
    <row r="686" spans="1:51" x14ac:dyDescent="0.25">
      <c r="A686" s="34">
        <v>684</v>
      </c>
      <c r="B686" s="34" t="s">
        <v>50</v>
      </c>
      <c r="C686" s="110" t="str">
        <f>IFERROR(INDEX(Структура_ассортимента[SuperCategory],MATCH(Товары[[#This Row],[SubGroup]],Структура_ассортимента[Subgroup],0)),"")</f>
        <v>L</v>
      </c>
      <c r="D686" s="110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86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86" s="110" t="str">
        <f>IFERROR(INDEX(Структура_ассортимента[Product group],MATCH(Товары[[#This Row],[SubGroup]],Структура_ассортимента[Subgroup],0)),"")</f>
        <v>LBL_P</v>
      </c>
      <c r="G686" s="110" t="str">
        <f>IFERROR(INDEX(Структура_ассортимента[Product group name ENG],MATCH(Товары[[#This Row],[SubGroup]],Структура_ассортимента[Subgroup],0)),"")</f>
        <v>Lawn, Battery, Lawn Mowers</v>
      </c>
      <c r="H686" s="110" t="str">
        <f>IFERROR(INDEX(Структура_ассортимента[Generic Name (long)3],MATCH(Товары[[#This Row],[SubGroup]],Структура_ассортимента[Subgroup],0)),"")</f>
        <v>Газонокосилки аккумуляторные</v>
      </c>
      <c r="I686" s="36">
        <v>9314</v>
      </c>
      <c r="J686" s="36" t="str">
        <f>IFERROR(INDEX(Структура_ассортимента[Generic Name (long)],MATCH(Товары[[#This Row],[SubGroup]],Структура_ассортимента[Subgroup],0)),"")</f>
        <v>LAWN MOWER, BATTERY</v>
      </c>
      <c r="L686" s="36">
        <v>967263701</v>
      </c>
      <c r="M686" s="35" t="s">
        <v>2370</v>
      </c>
      <c r="Q686" s="34" t="s">
        <v>3713</v>
      </c>
      <c r="R686" s="34" t="s">
        <v>3540</v>
      </c>
      <c r="S686" s="47">
        <v>42736</v>
      </c>
      <c r="T686" s="47">
        <v>0</v>
      </c>
      <c r="U686" s="47">
        <v>0</v>
      </c>
      <c r="V686" s="34">
        <v>4078500025553</v>
      </c>
      <c r="W686" s="34" t="s">
        <v>3546</v>
      </c>
      <c r="Y686" s="34" t="s">
        <v>3542</v>
      </c>
      <c r="Z686" s="34">
        <v>1</v>
      </c>
      <c r="AA686" s="34">
        <v>13725</v>
      </c>
      <c r="AB686" s="34" t="s">
        <v>5705</v>
      </c>
      <c r="AC686" s="34">
        <v>11800</v>
      </c>
      <c r="AD686" s="34" t="s">
        <v>5706</v>
      </c>
      <c r="AE686" s="34" t="s">
        <v>4145</v>
      </c>
      <c r="AF686" s="34" t="s">
        <v>3688</v>
      </c>
      <c r="AG686" s="34" t="s">
        <v>3852</v>
      </c>
      <c r="AH686" s="34" t="s">
        <v>5707</v>
      </c>
      <c r="AL686" s="34" t="s">
        <v>4972</v>
      </c>
      <c r="AM686" s="40" t="s">
        <v>8094</v>
      </c>
      <c r="AT686" s="44">
        <v>0</v>
      </c>
      <c r="AU686" s="44"/>
      <c r="AV686" s="46">
        <f>ROUND(Товары[[#This Row],[РРЦ финальная, руб.]]/$AU$1,2)</f>
        <v>0</v>
      </c>
      <c r="AW686" s="45" t="str">
        <f>IFERROR(Товары[[#This Row],[РРЦ, евро]]/Товары[[#This Row],[IRP, Eur]],"-")</f>
        <v>-</v>
      </c>
      <c r="AX686" s="42">
        <f>IFERROR(VLOOKUP(Товары[[#This Row],[SubGroup]],'Структура цен DIY'!$B:$C,2,FALSE),0)</f>
        <v>0.17999563108916949</v>
      </c>
      <c r="AY686" s="44">
        <v>0</v>
      </c>
    </row>
    <row r="687" spans="1:51" x14ac:dyDescent="0.25">
      <c r="A687" s="34">
        <v>685</v>
      </c>
      <c r="B687" s="34" t="s">
        <v>50</v>
      </c>
      <c r="C687" s="110" t="str">
        <f>IFERROR(INDEX(Структура_ассортимента[SuperCategory],MATCH(Товары[[#This Row],[SubGroup]],Структура_ассортимента[Subgroup],0)),"")</f>
        <v>L</v>
      </c>
      <c r="D687" s="110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87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87" s="110" t="str">
        <f>IFERROR(INDEX(Структура_ассортимента[Product group],MATCH(Товары[[#This Row],[SubGroup]],Структура_ассортимента[Subgroup],0)),"")</f>
        <v>LBL_P</v>
      </c>
      <c r="G687" s="110" t="str">
        <f>IFERROR(INDEX(Структура_ассортимента[Product group name ENG],MATCH(Товары[[#This Row],[SubGroup]],Структура_ассортимента[Subgroup],0)),"")</f>
        <v>Lawn, Battery, Lawn Mowers</v>
      </c>
      <c r="H687" s="110" t="str">
        <f>IFERROR(INDEX(Структура_ассортимента[Generic Name (long)3],MATCH(Товары[[#This Row],[SubGroup]],Структура_ассортимента[Subgroup],0)),"")</f>
        <v>Газонокосилки аккумуляторные</v>
      </c>
      <c r="I687" s="36">
        <v>9314</v>
      </c>
      <c r="J687" s="36" t="str">
        <f>IFERROR(INDEX(Структура_ассортимента[Generic Name (long)],MATCH(Товары[[#This Row],[SubGroup]],Структура_ассортимента[Subgroup],0)),"")</f>
        <v>LAWN MOWER, BATTERY</v>
      </c>
      <c r="L687" s="36">
        <v>967263601</v>
      </c>
      <c r="M687" s="35" t="s">
        <v>2371</v>
      </c>
      <c r="Q687" s="34" t="s">
        <v>3713</v>
      </c>
      <c r="R687" s="34" t="s">
        <v>3540</v>
      </c>
      <c r="S687" s="47">
        <v>42736</v>
      </c>
      <c r="T687" s="47">
        <v>0</v>
      </c>
      <c r="U687" s="47">
        <v>0</v>
      </c>
      <c r="V687" s="34">
        <v>4078500025546</v>
      </c>
      <c r="W687" s="34" t="s">
        <v>3546</v>
      </c>
      <c r="Y687" s="34" t="s">
        <v>3542</v>
      </c>
      <c r="Z687" s="34">
        <v>1</v>
      </c>
      <c r="AA687" s="34">
        <v>10000</v>
      </c>
      <c r="AB687" s="34" t="s">
        <v>5708</v>
      </c>
      <c r="AC687" s="34">
        <v>9000</v>
      </c>
      <c r="AD687" s="34" t="s">
        <v>5709</v>
      </c>
      <c r="AE687" s="34" t="s">
        <v>4259</v>
      </c>
      <c r="AF687" s="34" t="s">
        <v>3722</v>
      </c>
      <c r="AG687" s="34" t="s">
        <v>3580</v>
      </c>
      <c r="AH687" s="34" t="s">
        <v>5710</v>
      </c>
      <c r="AL687" s="34" t="s">
        <v>4019</v>
      </c>
      <c r="AM687" s="40" t="s">
        <v>8094</v>
      </c>
      <c r="AT687" s="44">
        <v>0</v>
      </c>
      <c r="AU687" s="44"/>
      <c r="AV687" s="46">
        <f>ROUND(Товары[[#This Row],[РРЦ финальная, руб.]]/$AU$1,2)</f>
        <v>0</v>
      </c>
      <c r="AW687" s="45" t="str">
        <f>IFERROR(Товары[[#This Row],[РРЦ, евро]]/Товары[[#This Row],[IRP, Eur]],"-")</f>
        <v>-</v>
      </c>
      <c r="AX687" s="42">
        <f>IFERROR(VLOOKUP(Товары[[#This Row],[SubGroup]],'Структура цен DIY'!$B:$C,2,FALSE),0)</f>
        <v>0.17999563108916949</v>
      </c>
      <c r="AY687" s="44">
        <v>0</v>
      </c>
    </row>
    <row r="688" spans="1:51" x14ac:dyDescent="0.25">
      <c r="A688" s="34">
        <v>686</v>
      </c>
      <c r="B688" s="34" t="s">
        <v>50</v>
      </c>
      <c r="C688" s="110" t="str">
        <f>IFERROR(INDEX(Структура_ассортимента[SuperCategory],MATCH(Товары[[#This Row],[SubGroup]],Структура_ассортимента[Subgroup],0)),"")</f>
        <v>L</v>
      </c>
      <c r="D688" s="110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88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88" s="110" t="str">
        <f>IFERROR(INDEX(Структура_ассортимента[Product group],MATCH(Товары[[#This Row],[SubGroup]],Структура_ассортимента[Subgroup],0)),"")</f>
        <v>LBL_P</v>
      </c>
      <c r="G688" s="110" t="str">
        <f>IFERROR(INDEX(Структура_ассортимента[Product group name ENG],MATCH(Товары[[#This Row],[SubGroup]],Структура_ассортимента[Subgroup],0)),"")</f>
        <v>Lawn, Battery, Lawn Mowers</v>
      </c>
      <c r="H688" s="110" t="str">
        <f>IFERROR(INDEX(Структура_ассортимента[Generic Name (long)3],MATCH(Товары[[#This Row],[SubGroup]],Структура_ассортимента[Subgroup],0)),"")</f>
        <v>Газонокосилки аккумуляторные</v>
      </c>
      <c r="I688" s="36">
        <v>9314</v>
      </c>
      <c r="J688" s="36" t="str">
        <f>IFERROR(INDEX(Структура_ассортимента[Generic Name (long)],MATCH(Товары[[#This Row],[SubGroup]],Структура_ассортимента[Subgroup],0)),"")</f>
        <v>LAWN MOWER, BATTERY</v>
      </c>
      <c r="L688" s="36">
        <v>967656701</v>
      </c>
      <c r="M688" s="35" t="s">
        <v>2372</v>
      </c>
      <c r="O688" s="35" t="s">
        <v>5711</v>
      </c>
      <c r="P688" s="37" t="s">
        <v>5712</v>
      </c>
      <c r="Q688" s="34" t="s">
        <v>3549</v>
      </c>
      <c r="R688" s="34" t="s">
        <v>3540</v>
      </c>
      <c r="S688" s="47">
        <v>43101</v>
      </c>
      <c r="T688" s="47">
        <v>0</v>
      </c>
      <c r="U688" s="47">
        <v>0</v>
      </c>
      <c r="V688" s="34">
        <v>4078500031097</v>
      </c>
      <c r="W688" s="34" t="s">
        <v>3546</v>
      </c>
      <c r="X688" s="34" t="s">
        <v>3551</v>
      </c>
      <c r="Y688" s="34" t="s">
        <v>3542</v>
      </c>
      <c r="Z688" s="34">
        <v>1</v>
      </c>
      <c r="AB688" s="34" t="s">
        <v>5036</v>
      </c>
      <c r="AD688" s="34" t="s">
        <v>5713</v>
      </c>
      <c r="AE688" s="34" t="s">
        <v>5714</v>
      </c>
      <c r="AF688" s="34" t="s">
        <v>4326</v>
      </c>
      <c r="AG688" s="34" t="s">
        <v>3852</v>
      </c>
      <c r="AH688" s="34" t="s">
        <v>5715</v>
      </c>
      <c r="AI688" s="34" t="s">
        <v>5716</v>
      </c>
      <c r="AJ688" s="34" t="s">
        <v>5717</v>
      </c>
      <c r="AK688" s="34" t="s">
        <v>3853</v>
      </c>
      <c r="AL688" s="34" t="s">
        <v>4972</v>
      </c>
      <c r="AM688" s="40" t="s">
        <v>9</v>
      </c>
      <c r="AP688" s="34">
        <v>0</v>
      </c>
      <c r="AQ688" s="34">
        <v>38990</v>
      </c>
      <c r="AR688" s="34">
        <v>26643</v>
      </c>
      <c r="AT688" s="44">
        <v>3020000</v>
      </c>
      <c r="AU688" s="44"/>
      <c r="AV688" s="46">
        <f>ROUND(Товары[[#This Row],[РРЦ финальная, руб.]]/$AU$1,2)</f>
        <v>0</v>
      </c>
      <c r="AW688" s="45" t="str">
        <f>IFERROR(Товары[[#This Row],[РРЦ, евро]]/Товары[[#This Row],[IRP, Eur]],"-")</f>
        <v>-</v>
      </c>
      <c r="AX688" s="42">
        <f>IFERROR(VLOOKUP(Товары[[#This Row],[SubGroup]],'Структура цен DIY'!$B:$C,2,FALSE),0)</f>
        <v>0.17999563108916949</v>
      </c>
      <c r="AY688" s="44">
        <v>0</v>
      </c>
    </row>
    <row r="689" spans="1:51" x14ac:dyDescent="0.25">
      <c r="A689" s="34">
        <v>687</v>
      </c>
      <c r="B689" s="34" t="s">
        <v>50</v>
      </c>
      <c r="C689" s="110" t="str">
        <f>IFERROR(INDEX(Структура_ассортимента[SuperCategory],MATCH(Товары[[#This Row],[SubGroup]],Структура_ассортимента[Subgroup],0)),"")</f>
        <v>L</v>
      </c>
      <c r="D689" s="110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89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89" s="110" t="str">
        <f>IFERROR(INDEX(Структура_ассортимента[Product group],MATCH(Товары[[#This Row],[SubGroup]],Структура_ассортимента[Subgroup],0)),"")</f>
        <v>LBL_P</v>
      </c>
      <c r="G689" s="110" t="str">
        <f>IFERROR(INDEX(Структура_ассортимента[Product group name ENG],MATCH(Товары[[#This Row],[SubGroup]],Структура_ассортимента[Subgroup],0)),"")</f>
        <v>Lawn, Battery, Lawn Mowers</v>
      </c>
      <c r="H689" s="110" t="str">
        <f>IFERROR(INDEX(Структура_ассортимента[Generic Name (long)3],MATCH(Товары[[#This Row],[SubGroup]],Структура_ассортимента[Subgroup],0)),"")</f>
        <v>Газонокосилки аккумуляторные</v>
      </c>
      <c r="I689" s="36">
        <v>9314</v>
      </c>
      <c r="J689" s="36" t="str">
        <f>IFERROR(INDEX(Структура_ассортимента[Generic Name (long)],MATCH(Товары[[#This Row],[SubGroup]],Структура_ассортимента[Subgroup],0)),"")</f>
        <v>LAWN MOWER, BATTERY</v>
      </c>
      <c r="L689" s="36">
        <v>967656901</v>
      </c>
      <c r="M689" s="35" t="s">
        <v>2373</v>
      </c>
      <c r="O689" s="35" t="s">
        <v>5718</v>
      </c>
      <c r="P689" s="37" t="s">
        <v>5719</v>
      </c>
      <c r="Q689" s="34" t="s">
        <v>3549</v>
      </c>
      <c r="R689" s="34" t="s">
        <v>3540</v>
      </c>
      <c r="S689" s="47">
        <v>43101</v>
      </c>
      <c r="T689" s="47">
        <v>0</v>
      </c>
      <c r="U689" s="47">
        <v>0</v>
      </c>
      <c r="V689" s="34">
        <v>4078500031134</v>
      </c>
      <c r="W689" s="34" t="s">
        <v>3546</v>
      </c>
      <c r="X689" s="34" t="s">
        <v>3551</v>
      </c>
      <c r="Y689" s="34" t="s">
        <v>3542</v>
      </c>
      <c r="Z689" s="34">
        <v>1</v>
      </c>
      <c r="AB689" s="34" t="s">
        <v>5720</v>
      </c>
      <c r="AD689" s="34" t="s">
        <v>5721</v>
      </c>
      <c r="AE689" s="34" t="s">
        <v>5722</v>
      </c>
      <c r="AF689" s="34" t="s">
        <v>3684</v>
      </c>
      <c r="AG689" s="34" t="s">
        <v>3580</v>
      </c>
      <c r="AH689" s="34" t="s">
        <v>5723</v>
      </c>
      <c r="AL689" s="34" t="s">
        <v>4019</v>
      </c>
      <c r="AM689" s="40" t="s">
        <v>9</v>
      </c>
      <c r="AP689" s="34">
        <v>0</v>
      </c>
      <c r="AQ689" s="34">
        <v>27190</v>
      </c>
      <c r="AR689" s="34">
        <v>18580</v>
      </c>
      <c r="AT689" s="44">
        <v>2106000</v>
      </c>
      <c r="AU689" s="44"/>
      <c r="AV689" s="46">
        <f>ROUND(Товары[[#This Row],[РРЦ финальная, руб.]]/$AU$1,2)</f>
        <v>0</v>
      </c>
      <c r="AW689" s="45" t="str">
        <f>IFERROR(Товары[[#This Row],[РРЦ, евро]]/Товары[[#This Row],[IRP, Eur]],"-")</f>
        <v>-</v>
      </c>
      <c r="AX689" s="42">
        <f>IFERROR(VLOOKUP(Товары[[#This Row],[SubGroup]],'Структура цен DIY'!$B:$C,2,FALSE),0)</f>
        <v>0.17999563108916949</v>
      </c>
      <c r="AY689" s="44">
        <v>0</v>
      </c>
    </row>
    <row r="690" spans="1:51" x14ac:dyDescent="0.25">
      <c r="A690" s="34">
        <v>688</v>
      </c>
      <c r="B690" s="34" t="s">
        <v>50</v>
      </c>
      <c r="C690" s="110" t="str">
        <f>IFERROR(INDEX(Структура_ассортимента[SuperCategory],MATCH(Товары[[#This Row],[SubGroup]],Структура_ассортимента[Subgroup],0)),"")</f>
        <v>L</v>
      </c>
      <c r="D690" s="110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90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90" s="110" t="str">
        <f>IFERROR(INDEX(Структура_ассортимента[Product group],MATCH(Товары[[#This Row],[SubGroup]],Структура_ассортимента[Subgroup],0)),"")</f>
        <v>LBL_P</v>
      </c>
      <c r="G690" s="110" t="str">
        <f>IFERROR(INDEX(Структура_ассортимента[Product group name ENG],MATCH(Товары[[#This Row],[SubGroup]],Структура_ассортимента[Subgroup],0)),"")</f>
        <v>Lawn, Battery, Lawn Mowers</v>
      </c>
      <c r="H690" s="110" t="str">
        <f>IFERROR(INDEX(Структура_ассортимента[Generic Name (long)3],MATCH(Товары[[#This Row],[SubGroup]],Структура_ассортимента[Subgroup],0)),"")</f>
        <v>Газонокосилки аккумуляторные</v>
      </c>
      <c r="I690" s="36">
        <v>9314</v>
      </c>
      <c r="J690" s="36" t="str">
        <f>IFERROR(INDEX(Структура_ассортимента[Generic Name (long)],MATCH(Товары[[#This Row],[SubGroup]],Структура_ассортимента[Subgroup],0)),"")</f>
        <v>LAWN MOWER, BATTERY</v>
      </c>
      <c r="L690" s="36">
        <v>967666201</v>
      </c>
      <c r="M690" s="35" t="s">
        <v>2374</v>
      </c>
      <c r="O690" s="35" t="s">
        <v>5724</v>
      </c>
      <c r="P690" s="37" t="s">
        <v>5725</v>
      </c>
      <c r="Q690" s="34" t="s">
        <v>3549</v>
      </c>
      <c r="R690" s="34" t="s">
        <v>3540</v>
      </c>
      <c r="S690" s="47">
        <v>43101</v>
      </c>
      <c r="T690" s="47">
        <v>0</v>
      </c>
      <c r="U690" s="47">
        <v>0</v>
      </c>
      <c r="V690" s="34">
        <v>4078500031639</v>
      </c>
      <c r="W690" s="34" t="s">
        <v>3546</v>
      </c>
      <c r="X690" s="34" t="s">
        <v>3551</v>
      </c>
      <c r="Y690" s="34" t="s">
        <v>3542</v>
      </c>
      <c r="Z690" s="34">
        <v>1</v>
      </c>
      <c r="AB690" s="34" t="s">
        <v>5726</v>
      </c>
      <c r="AD690" s="34" t="s">
        <v>5721</v>
      </c>
      <c r="AE690" s="34" t="s">
        <v>5722</v>
      </c>
      <c r="AF690" s="34" t="s">
        <v>3684</v>
      </c>
      <c r="AG690" s="34" t="s">
        <v>3580</v>
      </c>
      <c r="AH690" s="34" t="s">
        <v>5723</v>
      </c>
      <c r="AI690" s="34" t="s">
        <v>4314</v>
      </c>
      <c r="AJ690" s="34" t="s">
        <v>5727</v>
      </c>
      <c r="AK690" s="34" t="s">
        <v>5728</v>
      </c>
      <c r="AL690" s="34" t="s">
        <v>4019</v>
      </c>
      <c r="AM690" s="40" t="s">
        <v>9</v>
      </c>
      <c r="AP690" s="34">
        <v>0</v>
      </c>
      <c r="AQ690" s="34">
        <v>18190</v>
      </c>
      <c r="AR690" s="34">
        <v>12430</v>
      </c>
      <c r="AT690" s="44">
        <v>1408900</v>
      </c>
      <c r="AU690" s="44"/>
      <c r="AV690" s="46">
        <f>ROUND(Товары[[#This Row],[РРЦ финальная, руб.]]/$AU$1,2)</f>
        <v>0</v>
      </c>
      <c r="AW690" s="45" t="str">
        <f>IFERROR(Товары[[#This Row],[РРЦ, евро]]/Товары[[#This Row],[IRP, Eur]],"-")</f>
        <v>-</v>
      </c>
      <c r="AX690" s="42">
        <f>IFERROR(VLOOKUP(Товары[[#This Row],[SubGroup]],'Структура цен DIY'!$B:$C,2,FALSE),0)</f>
        <v>0.17999563108916949</v>
      </c>
      <c r="AY690" s="44">
        <v>0</v>
      </c>
    </row>
    <row r="691" spans="1:51" x14ac:dyDescent="0.25">
      <c r="A691" s="34">
        <v>689</v>
      </c>
      <c r="B691" s="34" t="s">
        <v>50</v>
      </c>
      <c r="C691" s="110" t="str">
        <f>IFERROR(INDEX(Структура_ассортимента[SuperCategory],MATCH(Товары[[#This Row],[SubGroup]],Структура_ассортимента[Subgroup],0)),"")</f>
        <v>L</v>
      </c>
      <c r="D691" s="110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91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91" s="110" t="str">
        <f>IFERROR(INDEX(Структура_ассортимента[Product group],MATCH(Товары[[#This Row],[SubGroup]],Структура_ассортимента[Subgroup],0)),"")</f>
        <v>LBL_P</v>
      </c>
      <c r="G691" s="110" t="str">
        <f>IFERROR(INDEX(Структура_ассортимента[Product group name ENG],MATCH(Товары[[#This Row],[SubGroup]],Структура_ассортимента[Subgroup],0)),"")</f>
        <v>Lawn, Battery, Lawn Mowers</v>
      </c>
      <c r="H691" s="110" t="str">
        <f>IFERROR(INDEX(Структура_ассортимента[Generic Name (long)3],MATCH(Товары[[#This Row],[SubGroup]],Структура_ассортимента[Subgroup],0)),"")</f>
        <v>Газонокосилки аккумуляторные</v>
      </c>
      <c r="I691" s="36">
        <v>9314</v>
      </c>
      <c r="J691" s="36" t="str">
        <f>IFERROR(INDEX(Структура_ассортимента[Generic Name (long)],MATCH(Товары[[#This Row],[SubGroup]],Структура_ассортимента[Subgroup],0)),"")</f>
        <v>LAWN MOWER, BATTERY</v>
      </c>
      <c r="L691" s="36">
        <v>967656801</v>
      </c>
      <c r="M691" s="35" t="s">
        <v>2375</v>
      </c>
      <c r="Q691" s="34" t="s">
        <v>3713</v>
      </c>
      <c r="R691" s="34" t="s">
        <v>3540</v>
      </c>
      <c r="S691" s="47">
        <v>43101</v>
      </c>
      <c r="T691" s="47">
        <v>0</v>
      </c>
      <c r="U691" s="47">
        <v>0</v>
      </c>
      <c r="V691" s="34">
        <v>4078500031127</v>
      </c>
      <c r="W691" s="34" t="s">
        <v>3546</v>
      </c>
      <c r="Y691" s="34" t="s">
        <v>3542</v>
      </c>
      <c r="Z691" s="34">
        <v>1</v>
      </c>
      <c r="AB691" s="34" t="s">
        <v>5729</v>
      </c>
      <c r="AD691" s="34" t="s">
        <v>5730</v>
      </c>
      <c r="AE691" s="34" t="s">
        <v>4145</v>
      </c>
      <c r="AF691" s="34" t="s">
        <v>4326</v>
      </c>
      <c r="AG691" s="34" t="s">
        <v>3772</v>
      </c>
      <c r="AH691" s="34" t="s">
        <v>5715</v>
      </c>
      <c r="AL691" s="34" t="s">
        <v>4972</v>
      </c>
      <c r="AM691" s="40" t="s">
        <v>8094</v>
      </c>
      <c r="AT691" s="44">
        <v>0</v>
      </c>
      <c r="AU691" s="44"/>
      <c r="AV691" s="46">
        <f>ROUND(Товары[[#This Row],[РРЦ финальная, руб.]]/$AU$1,2)</f>
        <v>0</v>
      </c>
      <c r="AW691" s="45" t="str">
        <f>IFERROR(Товары[[#This Row],[РРЦ, евро]]/Товары[[#This Row],[IRP, Eur]],"-")</f>
        <v>-</v>
      </c>
      <c r="AX691" s="42">
        <f>IFERROR(VLOOKUP(Товары[[#This Row],[SubGroup]],'Структура цен DIY'!$B:$C,2,FALSE),0)</f>
        <v>0.17999563108916949</v>
      </c>
      <c r="AY691" s="44">
        <v>0</v>
      </c>
    </row>
    <row r="692" spans="1:51" x14ac:dyDescent="0.25">
      <c r="A692" s="34">
        <v>690</v>
      </c>
      <c r="B692" s="34" t="s">
        <v>50</v>
      </c>
      <c r="C692" s="110" t="str">
        <f>IFERROR(INDEX(Структура_ассортимента[SuperCategory],MATCH(Товары[[#This Row],[SubGroup]],Структура_ассортимента[Subgroup],0)),"")</f>
        <v>L</v>
      </c>
      <c r="D692" s="110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92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92" s="110" t="str">
        <f>IFERROR(INDEX(Структура_ассортимента[Product group],MATCH(Товары[[#This Row],[SubGroup]],Структура_ассортимента[Subgroup],0)),"")</f>
        <v>LBL_P</v>
      </c>
      <c r="G692" s="110" t="str">
        <f>IFERROR(INDEX(Структура_ассортимента[Product group name ENG],MATCH(Товары[[#This Row],[SubGroup]],Структура_ассортимента[Subgroup],0)),"")</f>
        <v>Lawn, Battery, Lawn Mowers</v>
      </c>
      <c r="H692" s="110" t="str">
        <f>IFERROR(INDEX(Структура_ассортимента[Generic Name (long)3],MATCH(Товары[[#This Row],[SubGroup]],Структура_ассортимента[Subgroup],0)),"")</f>
        <v>Газонокосилки аккумуляторные</v>
      </c>
      <c r="I692" s="36">
        <v>9314</v>
      </c>
      <c r="J692" s="36" t="str">
        <f>IFERROR(INDEX(Структура_ассортимента[Generic Name (long)],MATCH(Товары[[#This Row],[SubGroup]],Структура_ассортимента[Subgroup],0)),"")</f>
        <v>LAWN MOWER, BATTERY</v>
      </c>
      <c r="L692" s="36">
        <v>967991101</v>
      </c>
      <c r="M692" s="35" t="s">
        <v>2376</v>
      </c>
      <c r="O692" s="35" t="s">
        <v>5731</v>
      </c>
      <c r="P692" s="37" t="s">
        <v>5732</v>
      </c>
      <c r="Q692" s="34" t="s">
        <v>3549</v>
      </c>
      <c r="R692" s="34" t="s">
        <v>3540</v>
      </c>
      <c r="S692" s="47">
        <v>43831</v>
      </c>
      <c r="T692" s="47">
        <v>0</v>
      </c>
      <c r="U692" s="47">
        <v>0</v>
      </c>
      <c r="V692" s="34">
        <v>4078500049405</v>
      </c>
      <c r="W692" s="34" t="s">
        <v>3546</v>
      </c>
      <c r="X692" s="34" t="s">
        <v>3551</v>
      </c>
      <c r="Y692" s="34" t="s">
        <v>3542</v>
      </c>
      <c r="Z692" s="34">
        <v>1</v>
      </c>
      <c r="AB692" s="34" t="s">
        <v>5733</v>
      </c>
      <c r="AD692" s="34" t="s">
        <v>5734</v>
      </c>
      <c r="AE692" s="34" t="s">
        <v>5456</v>
      </c>
      <c r="AF692" s="34" t="s">
        <v>4891</v>
      </c>
      <c r="AG692" s="34" t="s">
        <v>3825</v>
      </c>
      <c r="AH692" s="34" t="s">
        <v>5735</v>
      </c>
      <c r="AI692" s="34" t="s">
        <v>3722</v>
      </c>
      <c r="AJ692" s="34" t="s">
        <v>5736</v>
      </c>
      <c r="AK692" s="34" t="s">
        <v>3610</v>
      </c>
      <c r="AL692" s="34" t="s">
        <v>3858</v>
      </c>
      <c r="AM692" s="40" t="s">
        <v>9</v>
      </c>
      <c r="AP692" s="34">
        <v>0</v>
      </c>
      <c r="AQ692" s="34">
        <v>21790</v>
      </c>
      <c r="AR692" s="34">
        <v>14890</v>
      </c>
      <c r="AT692" s="44">
        <v>1687700</v>
      </c>
      <c r="AU692" s="44"/>
      <c r="AV692" s="46">
        <f>ROUND(Товары[[#This Row],[РРЦ финальная, руб.]]/$AU$1,2)</f>
        <v>0</v>
      </c>
      <c r="AW692" s="45" t="str">
        <f>IFERROR(Товары[[#This Row],[РРЦ, евро]]/Товары[[#This Row],[IRP, Eur]],"-")</f>
        <v>-</v>
      </c>
      <c r="AX692" s="42">
        <f>IFERROR(VLOOKUP(Товары[[#This Row],[SubGroup]],'Структура цен DIY'!$B:$C,2,FALSE),0)</f>
        <v>0.17999563108916949</v>
      </c>
      <c r="AY692" s="44">
        <v>0</v>
      </c>
    </row>
    <row r="693" spans="1:51" x14ac:dyDescent="0.25">
      <c r="A693" s="34">
        <v>691</v>
      </c>
      <c r="B693" s="34" t="s">
        <v>50</v>
      </c>
      <c r="C693" s="110" t="str">
        <f>IFERROR(INDEX(Структура_ассортимента[SuperCategory],MATCH(Товары[[#This Row],[SubGroup]],Структура_ассортимента[Subgroup],0)),"")</f>
        <v>L</v>
      </c>
      <c r="D693" s="110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93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93" s="110" t="str">
        <f>IFERROR(INDEX(Структура_ассортимента[Product group],MATCH(Товары[[#This Row],[SubGroup]],Структура_ассортимента[Subgroup],0)),"")</f>
        <v>LBL_P</v>
      </c>
      <c r="G693" s="110" t="str">
        <f>IFERROR(INDEX(Структура_ассортимента[Product group name ENG],MATCH(Товары[[#This Row],[SubGroup]],Структура_ассортимента[Subgroup],0)),"")</f>
        <v>Lawn, Battery, Lawn Mowers</v>
      </c>
      <c r="H693" s="110" t="str">
        <f>IFERROR(INDEX(Структура_ассортимента[Generic Name (long)3],MATCH(Товары[[#This Row],[SubGroup]],Структура_ассортимента[Subgroup],0)),"")</f>
        <v>Газонокосилки аккумуляторные</v>
      </c>
      <c r="I693" s="36">
        <v>9314</v>
      </c>
      <c r="J693" s="36" t="str">
        <f>IFERROR(INDEX(Структура_ассортимента[Generic Name (long)],MATCH(Товары[[#This Row],[SubGroup]],Структура_ассортимента[Subgroup],0)),"")</f>
        <v>LAWN MOWER, BATTERY</v>
      </c>
      <c r="L693" s="36">
        <v>967991301</v>
      </c>
      <c r="M693" s="35" t="s">
        <v>2377</v>
      </c>
      <c r="O693" s="35" t="s">
        <v>5737</v>
      </c>
      <c r="P693" s="37" t="s">
        <v>5738</v>
      </c>
      <c r="Q693" s="34" t="s">
        <v>3549</v>
      </c>
      <c r="R693" s="34" t="s">
        <v>3540</v>
      </c>
      <c r="S693" s="47">
        <v>43831</v>
      </c>
      <c r="T693" s="47">
        <v>0</v>
      </c>
      <c r="U693" s="47">
        <v>0</v>
      </c>
      <c r="V693" s="34">
        <v>4078500048712</v>
      </c>
      <c r="W693" s="34" t="s">
        <v>3546</v>
      </c>
      <c r="X693" s="34" t="s">
        <v>3551</v>
      </c>
      <c r="Y693" s="34" t="s">
        <v>3542</v>
      </c>
      <c r="Z693" s="34">
        <v>1</v>
      </c>
      <c r="AB693" s="34" t="s">
        <v>5739</v>
      </c>
      <c r="AD693" s="34" t="s">
        <v>5739</v>
      </c>
      <c r="AE693" s="34" t="s">
        <v>5456</v>
      </c>
      <c r="AF693" s="34" t="s">
        <v>4891</v>
      </c>
      <c r="AG693" s="34" t="s">
        <v>3825</v>
      </c>
      <c r="AH693" s="34" t="s">
        <v>5735</v>
      </c>
      <c r="AI693" s="34" t="s">
        <v>3722</v>
      </c>
      <c r="AJ693" s="34" t="s">
        <v>5736</v>
      </c>
      <c r="AK693" s="34" t="s">
        <v>3610</v>
      </c>
      <c r="AL693" s="34" t="s">
        <v>3858</v>
      </c>
      <c r="AM693" s="40" t="s">
        <v>9</v>
      </c>
      <c r="AP693" s="34">
        <v>0</v>
      </c>
      <c r="AQ693" s="34">
        <v>13790</v>
      </c>
      <c r="AR693" s="34">
        <v>9423</v>
      </c>
      <c r="AT693" s="44">
        <v>1068100</v>
      </c>
      <c r="AU693" s="44"/>
      <c r="AV693" s="46">
        <f>ROUND(Товары[[#This Row],[РРЦ финальная, руб.]]/$AU$1,2)</f>
        <v>0</v>
      </c>
      <c r="AW693" s="45" t="str">
        <f>IFERROR(Товары[[#This Row],[РРЦ, евро]]/Товары[[#This Row],[IRP, Eur]],"-")</f>
        <v>-</v>
      </c>
      <c r="AX693" s="42">
        <f>IFERROR(VLOOKUP(Товары[[#This Row],[SubGroup]],'Структура цен DIY'!$B:$C,2,FALSE),0)</f>
        <v>0.17999563108916949</v>
      </c>
      <c r="AY693" s="44">
        <v>0</v>
      </c>
    </row>
    <row r="694" spans="1:51" x14ac:dyDescent="0.25">
      <c r="A694" s="34">
        <v>692</v>
      </c>
      <c r="B694" s="34" t="s">
        <v>50</v>
      </c>
      <c r="C694" s="110" t="str">
        <f>IFERROR(INDEX(Структура_ассортимента[SuperCategory],MATCH(Товары[[#This Row],[SubGroup]],Структура_ассортимента[Subgroup],0)),"")</f>
        <v>L</v>
      </c>
      <c r="D694" s="110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94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94" s="110" t="str">
        <f>IFERROR(INDEX(Структура_ассортимента[Product group],MATCH(Товары[[#This Row],[SubGroup]],Структура_ассортимента[Subgroup],0)),"")</f>
        <v>LBL_P</v>
      </c>
      <c r="G694" s="110" t="str">
        <f>IFERROR(INDEX(Структура_ассортимента[Product group name ENG],MATCH(Товары[[#This Row],[SubGroup]],Структура_ассортимента[Subgroup],0)),"")</f>
        <v>Lawn, Battery, Lawn Mowers</v>
      </c>
      <c r="H694" s="110" t="str">
        <f>IFERROR(INDEX(Структура_ассортимента[Generic Name (long)3],MATCH(Товары[[#This Row],[SubGroup]],Структура_ассортимента[Subgroup],0)),"")</f>
        <v>Газонокосилки аккумуляторные</v>
      </c>
      <c r="I694" s="36">
        <v>9314</v>
      </c>
      <c r="J694" s="36" t="str">
        <f>IFERROR(INDEX(Структура_ассортимента[Generic Name (long)],MATCH(Товары[[#This Row],[SubGroup]],Структура_ассортимента[Subgroup],0)),"")</f>
        <v>LAWN MOWER, BATTERY</v>
      </c>
      <c r="L694" s="36">
        <v>967085901</v>
      </c>
      <c r="M694" s="35" t="s">
        <v>2378</v>
      </c>
      <c r="O694" s="35" t="s">
        <v>5740</v>
      </c>
      <c r="P694" s="37" t="s">
        <v>5741</v>
      </c>
      <c r="Q694" s="34" t="s">
        <v>3549</v>
      </c>
      <c r="R694" s="34" t="s">
        <v>3540</v>
      </c>
      <c r="S694" s="47">
        <v>42767</v>
      </c>
      <c r="T694" s="47">
        <v>0</v>
      </c>
      <c r="U694" s="47">
        <v>0</v>
      </c>
      <c r="V694" s="34">
        <v>4078500022880</v>
      </c>
      <c r="W694" s="34" t="s">
        <v>3546</v>
      </c>
      <c r="X694" s="34" t="s">
        <v>3551</v>
      </c>
      <c r="Y694" s="34" t="s">
        <v>3542</v>
      </c>
      <c r="Z694" s="34">
        <v>1</v>
      </c>
      <c r="AA694" s="34" t="s">
        <v>5709</v>
      </c>
      <c r="AB694" s="34" t="s">
        <v>5742</v>
      </c>
      <c r="AC694" s="34" t="s">
        <v>4012</v>
      </c>
      <c r="AD694" s="34" t="s">
        <v>5743</v>
      </c>
      <c r="AE694" s="34" t="s">
        <v>4259</v>
      </c>
      <c r="AF694" s="34" t="s">
        <v>3722</v>
      </c>
      <c r="AG694" s="34" t="s">
        <v>3580</v>
      </c>
      <c r="AH694" s="34" t="s">
        <v>5710</v>
      </c>
      <c r="AI694" s="34" t="s">
        <v>5744</v>
      </c>
      <c r="AJ694" s="34" t="s">
        <v>5745</v>
      </c>
      <c r="AK694" s="34" t="s">
        <v>4936</v>
      </c>
      <c r="AL694" s="34" t="s">
        <v>4019</v>
      </c>
      <c r="AM694" s="40" t="s">
        <v>9</v>
      </c>
      <c r="AP694" s="34">
        <v>0</v>
      </c>
      <c r="AQ694" s="34">
        <v>30190</v>
      </c>
      <c r="AR694" s="34">
        <v>20630</v>
      </c>
      <c r="AT694" s="44">
        <v>2338400</v>
      </c>
      <c r="AU694" s="44"/>
      <c r="AV694" s="46">
        <f>ROUND(Товары[[#This Row],[РРЦ финальная, руб.]]/$AU$1,2)</f>
        <v>0</v>
      </c>
      <c r="AW694" s="45" t="str">
        <f>IFERROR(Товары[[#This Row],[РРЦ, евро]]/Товары[[#This Row],[IRP, Eur]],"-")</f>
        <v>-</v>
      </c>
      <c r="AX694" s="42">
        <f>IFERROR(VLOOKUP(Товары[[#This Row],[SubGroup]],'Структура цен DIY'!$B:$C,2,FALSE),0)</f>
        <v>0.17999563108916949</v>
      </c>
      <c r="AY694" s="44">
        <v>0</v>
      </c>
    </row>
    <row r="695" spans="1:51" x14ac:dyDescent="0.25">
      <c r="A695" s="34">
        <v>693</v>
      </c>
      <c r="B695" s="34" t="s">
        <v>50</v>
      </c>
      <c r="C695" s="110" t="str">
        <f>IFERROR(INDEX(Структура_ассортимента[SuperCategory],MATCH(Товары[[#This Row],[SubGroup]],Структура_ассортимента[Subgroup],0)),"")</f>
        <v>L</v>
      </c>
      <c r="D695" s="110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95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95" s="110" t="str">
        <f>IFERROR(INDEX(Структура_ассортимента[Product group],MATCH(Товары[[#This Row],[SubGroup]],Структура_ассортимента[Subgroup],0)),"")</f>
        <v>LBL_P</v>
      </c>
      <c r="G695" s="110" t="str">
        <f>IFERROR(INDEX(Структура_ассортимента[Product group name ENG],MATCH(Товары[[#This Row],[SubGroup]],Структура_ассортимента[Subgroup],0)),"")</f>
        <v>Lawn, Battery, Lawn Mowers</v>
      </c>
      <c r="H695" s="110" t="str">
        <f>IFERROR(INDEX(Структура_ассортимента[Generic Name (long)3],MATCH(Товары[[#This Row],[SubGroup]],Структура_ассортимента[Subgroup],0)),"")</f>
        <v>Газонокосилки аккумуляторные</v>
      </c>
      <c r="I695" s="36">
        <v>9314</v>
      </c>
      <c r="J695" s="36" t="str">
        <f>IFERROR(INDEX(Структура_ассортимента[Generic Name (long)],MATCH(Товары[[#This Row],[SubGroup]],Структура_ассортимента[Subgroup],0)),"")</f>
        <v>LAWN MOWER, BATTERY</v>
      </c>
      <c r="L695" s="36">
        <v>967109301</v>
      </c>
      <c r="M695" s="35" t="s">
        <v>2379</v>
      </c>
      <c r="O695" s="35" t="s">
        <v>5746</v>
      </c>
      <c r="P695" s="37" t="s">
        <v>5747</v>
      </c>
      <c r="Q695" s="34" t="s">
        <v>3549</v>
      </c>
      <c r="R695" s="34" t="s">
        <v>3540</v>
      </c>
      <c r="S695" s="47">
        <v>42736</v>
      </c>
      <c r="T695" s="47">
        <v>0</v>
      </c>
      <c r="U695" s="47">
        <v>0</v>
      </c>
      <c r="V695" s="34">
        <v>4078500025409</v>
      </c>
      <c r="W695" s="34" t="s">
        <v>3546</v>
      </c>
      <c r="X695" s="34" t="s">
        <v>3551</v>
      </c>
      <c r="Y695" s="34" t="s">
        <v>3542</v>
      </c>
      <c r="Z695" s="34">
        <v>1</v>
      </c>
      <c r="AA695" s="34">
        <v>13725</v>
      </c>
      <c r="AB695" s="34" t="s">
        <v>5748</v>
      </c>
      <c r="AC695" s="34">
        <v>11800</v>
      </c>
      <c r="AD695" s="34" t="s">
        <v>5749</v>
      </c>
      <c r="AE695" s="34" t="s">
        <v>3745</v>
      </c>
      <c r="AF695" s="34" t="s">
        <v>3688</v>
      </c>
      <c r="AG695" s="34" t="s">
        <v>3772</v>
      </c>
      <c r="AH695" s="34" t="s">
        <v>5750</v>
      </c>
      <c r="AI695" s="34" t="s">
        <v>5751</v>
      </c>
      <c r="AJ695" s="34" t="s">
        <v>5752</v>
      </c>
      <c r="AK695" s="34" t="s">
        <v>5753</v>
      </c>
      <c r="AL695" s="34" t="s">
        <v>4972</v>
      </c>
      <c r="AM695" s="40" t="s">
        <v>9</v>
      </c>
      <c r="AP695" s="34">
        <v>0</v>
      </c>
      <c r="AQ695" s="34">
        <v>50690</v>
      </c>
      <c r="AR695" s="34">
        <v>34639</v>
      </c>
      <c r="AT695" s="44">
        <v>3926200</v>
      </c>
      <c r="AU695" s="44"/>
      <c r="AV695" s="46">
        <f>ROUND(Товары[[#This Row],[РРЦ финальная, руб.]]/$AU$1,2)</f>
        <v>0</v>
      </c>
      <c r="AW695" s="45" t="str">
        <f>IFERROR(Товары[[#This Row],[РРЦ, евро]]/Товары[[#This Row],[IRP, Eur]],"-")</f>
        <v>-</v>
      </c>
      <c r="AX695" s="42">
        <f>IFERROR(VLOOKUP(Товары[[#This Row],[SubGroup]],'Структура цен DIY'!$B:$C,2,FALSE),0)</f>
        <v>0.17999563108916949</v>
      </c>
      <c r="AY695" s="44">
        <v>0</v>
      </c>
    </row>
    <row r="696" spans="1:51" x14ac:dyDescent="0.25">
      <c r="A696" s="34">
        <v>694</v>
      </c>
      <c r="B696" s="34" t="s">
        <v>50</v>
      </c>
      <c r="C696" s="110" t="str">
        <f>IFERROR(INDEX(Структура_ассортимента[SuperCategory],MATCH(Товары[[#This Row],[SubGroup]],Структура_ассортимента[Subgroup],0)),"")</f>
        <v>L</v>
      </c>
      <c r="D696" s="110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96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96" s="110" t="str">
        <f>IFERROR(INDEX(Структура_ассортимента[Product group],MATCH(Товары[[#This Row],[SubGroup]],Структура_ассортимента[Subgroup],0)),"")</f>
        <v>LEL_C</v>
      </c>
      <c r="G696" s="110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696" s="110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696" s="36">
        <v>9313</v>
      </c>
      <c r="J696" s="36" t="str">
        <f>IFERROR(INDEX(Структура_ассортимента[Generic Name (long)],MATCH(Товары[[#This Row],[SubGroup]],Структура_ассортимента[Subgroup],0)),"")</f>
        <v>LAWN MOWER</v>
      </c>
      <c r="L696" s="36">
        <v>967087201</v>
      </c>
      <c r="M696" s="35" t="s">
        <v>2380</v>
      </c>
      <c r="O696" s="35" t="s">
        <v>5754</v>
      </c>
      <c r="P696" s="37" t="s">
        <v>5755</v>
      </c>
      <c r="Q696" s="34" t="s">
        <v>3549</v>
      </c>
      <c r="R696" s="34" t="s">
        <v>3540</v>
      </c>
      <c r="S696" s="47">
        <v>42767</v>
      </c>
      <c r="T696" s="47">
        <v>0</v>
      </c>
      <c r="U696" s="47">
        <v>0</v>
      </c>
      <c r="V696" s="34">
        <v>4078500022873</v>
      </c>
      <c r="W696" s="34" t="s">
        <v>3546</v>
      </c>
      <c r="X696" s="34" t="s">
        <v>3551</v>
      </c>
      <c r="Y696" s="34" t="s">
        <v>3542</v>
      </c>
      <c r="Z696" s="34">
        <v>1</v>
      </c>
      <c r="AA696" s="34">
        <v>9815</v>
      </c>
      <c r="AB696" s="34" t="s">
        <v>5756</v>
      </c>
      <c r="AC696" s="34">
        <v>8300</v>
      </c>
      <c r="AD696" s="34" t="s">
        <v>5757</v>
      </c>
      <c r="AE696" s="34" t="s">
        <v>4018</v>
      </c>
      <c r="AF696" s="34" t="s">
        <v>3722</v>
      </c>
      <c r="AG696" s="34" t="s">
        <v>3580</v>
      </c>
      <c r="AH696" s="34" t="s">
        <v>5758</v>
      </c>
      <c r="AI696" s="34" t="s">
        <v>5759</v>
      </c>
      <c r="AJ696" s="34" t="s">
        <v>5760</v>
      </c>
      <c r="AK696" s="34" t="s">
        <v>4997</v>
      </c>
      <c r="AL696" s="34" t="s">
        <v>4019</v>
      </c>
      <c r="AM696" s="40" t="s">
        <v>9</v>
      </c>
      <c r="AP696" s="34">
        <v>0</v>
      </c>
      <c r="AQ696" s="34">
        <v>11590</v>
      </c>
      <c r="AR696" s="34">
        <v>7920</v>
      </c>
      <c r="AT696" s="44">
        <v>897700</v>
      </c>
      <c r="AU696" s="44"/>
      <c r="AV696" s="46">
        <f>ROUND(Товары[[#This Row],[РРЦ финальная, руб.]]/$AU$1,2)</f>
        <v>0</v>
      </c>
      <c r="AW696" s="45" t="str">
        <f>IFERROR(Товары[[#This Row],[РРЦ, евро]]/Товары[[#This Row],[IRP, Eur]],"-")</f>
        <v>-</v>
      </c>
      <c r="AX696" s="42">
        <f>IFERROR(VLOOKUP(Товары[[#This Row],[SubGroup]],'Структура цен DIY'!$B:$C,2,FALSE),0)</f>
        <v>0.17999999999999994</v>
      </c>
      <c r="AY696" s="44">
        <v>0</v>
      </c>
    </row>
    <row r="697" spans="1:51" x14ac:dyDescent="0.25">
      <c r="A697" s="34">
        <v>695</v>
      </c>
      <c r="B697" s="34" t="s">
        <v>50</v>
      </c>
      <c r="C697" s="110" t="str">
        <f>IFERROR(INDEX(Структура_ассортимента[SuperCategory],MATCH(Товары[[#This Row],[SubGroup]],Структура_ассортимента[Subgroup],0)),"")</f>
        <v>L</v>
      </c>
      <c r="D697" s="110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97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97" s="110" t="str">
        <f>IFERROR(INDEX(Структура_ассортимента[Product group],MATCH(Товары[[#This Row],[SubGroup]],Структура_ассортимента[Subgroup],0)),"")</f>
        <v>LEL_C</v>
      </c>
      <c r="G697" s="110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697" s="110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697" s="36">
        <v>9313</v>
      </c>
      <c r="J697" s="36" t="str">
        <f>IFERROR(INDEX(Структура_ассортимента[Generic Name (long)],MATCH(Товары[[#This Row],[SubGroup]],Структура_ассортимента[Subgroup],0)),"")</f>
        <v>LAWN MOWER</v>
      </c>
      <c r="L697" s="36">
        <v>967821301</v>
      </c>
      <c r="M697" s="35" t="s">
        <v>2381</v>
      </c>
      <c r="Q697" s="34" t="s">
        <v>3549</v>
      </c>
      <c r="R697" s="34" t="s">
        <v>3540</v>
      </c>
      <c r="S697" s="47">
        <v>43101</v>
      </c>
      <c r="T697" s="47">
        <v>0</v>
      </c>
      <c r="U697" s="47">
        <v>0</v>
      </c>
      <c r="V697" s="34">
        <v>4078500040006</v>
      </c>
      <c r="W697" s="34" t="s">
        <v>3546</v>
      </c>
      <c r="X697" s="34" t="s">
        <v>3551</v>
      </c>
      <c r="Y697" s="34" t="s">
        <v>3542</v>
      </c>
      <c r="Z697" s="34">
        <v>1</v>
      </c>
      <c r="AB697" s="34" t="s">
        <v>5761</v>
      </c>
      <c r="AD697" s="34" t="s">
        <v>4011</v>
      </c>
      <c r="AE697" s="34" t="s">
        <v>4018</v>
      </c>
      <c r="AF697" s="34" t="s">
        <v>3722</v>
      </c>
      <c r="AG697" s="34" t="s">
        <v>3580</v>
      </c>
      <c r="AH697" s="34" t="s">
        <v>5762</v>
      </c>
      <c r="AI697" s="34" t="s">
        <v>5759</v>
      </c>
      <c r="AJ697" s="34" t="s">
        <v>5760</v>
      </c>
      <c r="AK697" s="34" t="s">
        <v>4997</v>
      </c>
      <c r="AL697" s="34" t="s">
        <v>4019</v>
      </c>
      <c r="AM697" s="40" t="s">
        <v>8095</v>
      </c>
      <c r="AT697" s="44">
        <v>0</v>
      </c>
      <c r="AU697" s="44"/>
      <c r="AV697" s="46">
        <f>ROUND(Товары[[#This Row],[РРЦ финальная, руб.]]/$AU$1,2)</f>
        <v>0</v>
      </c>
      <c r="AW697" s="45" t="str">
        <f>IFERROR(Товары[[#This Row],[РРЦ, евро]]/Товары[[#This Row],[IRP, Eur]],"-")</f>
        <v>-</v>
      </c>
      <c r="AX697" s="42">
        <f>IFERROR(VLOOKUP(Товары[[#This Row],[SubGroup]],'Структура цен DIY'!$B:$C,2,FALSE),0)</f>
        <v>0.17999999999999994</v>
      </c>
      <c r="AY697" s="44">
        <v>0</v>
      </c>
    </row>
    <row r="698" spans="1:51" x14ac:dyDescent="0.25">
      <c r="A698" s="34">
        <v>696</v>
      </c>
      <c r="B698" s="34" t="s">
        <v>50</v>
      </c>
      <c r="C698" s="110" t="str">
        <f>IFERROR(INDEX(Структура_ассортимента[SuperCategory],MATCH(Товары[[#This Row],[SubGroup]],Структура_ассортимента[Subgroup],0)),"")</f>
        <v>L</v>
      </c>
      <c r="D698" s="110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98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98" s="110" t="str">
        <f>IFERROR(INDEX(Структура_ассортимента[Product group],MATCH(Товары[[#This Row],[SubGroup]],Структура_ассортимента[Subgroup],0)),"")</f>
        <v>LEL_C</v>
      </c>
      <c r="G698" s="110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698" s="110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698" s="36">
        <v>9313</v>
      </c>
      <c r="J698" s="36" t="str">
        <f>IFERROR(INDEX(Структура_ассортимента[Generic Name (long)],MATCH(Товары[[#This Row],[SubGroup]],Структура_ассортимента[Subgroup],0)),"")</f>
        <v>LAWN MOWER</v>
      </c>
      <c r="L698" s="36">
        <v>967087301</v>
      </c>
      <c r="M698" s="35" t="s">
        <v>2382</v>
      </c>
      <c r="O698" s="35" t="s">
        <v>5763</v>
      </c>
      <c r="P698" s="37" t="s">
        <v>5764</v>
      </c>
      <c r="Q698" s="34" t="s">
        <v>3549</v>
      </c>
      <c r="R698" s="34" t="s">
        <v>3540</v>
      </c>
      <c r="S698" s="47">
        <v>42767</v>
      </c>
      <c r="T698" s="47">
        <v>0</v>
      </c>
      <c r="U698" s="47">
        <v>0</v>
      </c>
      <c r="V698" s="34">
        <v>4078500022897</v>
      </c>
      <c r="W698" s="34" t="s">
        <v>3546</v>
      </c>
      <c r="X698" s="34" t="s">
        <v>3551</v>
      </c>
      <c r="Y698" s="34" t="s">
        <v>3542</v>
      </c>
      <c r="Z698" s="34">
        <v>1</v>
      </c>
      <c r="AA698" s="34">
        <v>12500</v>
      </c>
      <c r="AB698" s="34" t="s">
        <v>5765</v>
      </c>
      <c r="AC698" s="34">
        <v>10600</v>
      </c>
      <c r="AD698" s="34" t="s">
        <v>5708</v>
      </c>
      <c r="AE698" s="34" t="s">
        <v>5766</v>
      </c>
      <c r="AF698" s="34" t="s">
        <v>3857</v>
      </c>
      <c r="AG698" s="34" t="s">
        <v>4891</v>
      </c>
      <c r="AH698" s="34" t="s">
        <v>5767</v>
      </c>
      <c r="AI698" s="34" t="s">
        <v>5768</v>
      </c>
      <c r="AJ698" s="34" t="s">
        <v>5769</v>
      </c>
      <c r="AK698" s="34" t="s">
        <v>5728</v>
      </c>
      <c r="AL698" s="34" t="s">
        <v>4019</v>
      </c>
      <c r="AM698" s="40" t="s">
        <v>9</v>
      </c>
      <c r="AP698" s="34">
        <v>0</v>
      </c>
      <c r="AQ698" s="34">
        <v>16890</v>
      </c>
      <c r="AR698" s="34">
        <v>11541</v>
      </c>
      <c r="AT698" s="44">
        <v>1308200</v>
      </c>
      <c r="AU698" s="44"/>
      <c r="AV698" s="46">
        <f>ROUND(Товары[[#This Row],[РРЦ финальная, руб.]]/$AU$1,2)</f>
        <v>0</v>
      </c>
      <c r="AW698" s="45" t="str">
        <f>IFERROR(Товары[[#This Row],[РРЦ, евро]]/Товары[[#This Row],[IRP, Eur]],"-")</f>
        <v>-</v>
      </c>
      <c r="AX698" s="42">
        <f>IFERROR(VLOOKUP(Товары[[#This Row],[SubGroup]],'Структура цен DIY'!$B:$C,2,FALSE),0)</f>
        <v>0.17999999999999994</v>
      </c>
      <c r="AY698" s="44">
        <v>0</v>
      </c>
    </row>
    <row r="699" spans="1:51" x14ac:dyDescent="0.25">
      <c r="A699" s="34">
        <v>697</v>
      </c>
      <c r="B699" s="34" t="s">
        <v>50</v>
      </c>
      <c r="C699" s="110" t="str">
        <f>IFERROR(INDEX(Структура_ассортимента[SuperCategory],MATCH(Товары[[#This Row],[SubGroup]],Структура_ассортимента[Subgroup],0)),"")</f>
        <v>L</v>
      </c>
      <c r="D699" s="110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99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99" s="110" t="str">
        <f>IFERROR(INDEX(Структура_ассортимента[Product group],MATCH(Товары[[#This Row],[SubGroup]],Структура_ассортимента[Subgroup],0)),"")</f>
        <v>LEL_C</v>
      </c>
      <c r="G699" s="110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699" s="110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699" s="36">
        <v>9313</v>
      </c>
      <c r="J699" s="36" t="str">
        <f>IFERROR(INDEX(Структура_ассортимента[Generic Name (long)],MATCH(Товары[[#This Row],[SubGroup]],Структура_ассортимента[Subgroup],0)),"")</f>
        <v>LAWN MOWER</v>
      </c>
      <c r="L699" s="36">
        <v>967099001</v>
      </c>
      <c r="M699" s="35" t="s">
        <v>2383</v>
      </c>
      <c r="O699" s="35" t="s">
        <v>5770</v>
      </c>
      <c r="P699" s="37" t="s">
        <v>5771</v>
      </c>
      <c r="Q699" s="34" t="s">
        <v>3549</v>
      </c>
      <c r="R699" s="34" t="s">
        <v>3540</v>
      </c>
      <c r="S699" s="47">
        <v>42736</v>
      </c>
      <c r="T699" s="47">
        <v>0</v>
      </c>
      <c r="U699" s="47">
        <v>0</v>
      </c>
      <c r="V699" s="34">
        <v>4078500023924</v>
      </c>
      <c r="W699" s="34" t="s">
        <v>3546</v>
      </c>
      <c r="X699" s="34" t="s">
        <v>3551</v>
      </c>
      <c r="Y699" s="34" t="s">
        <v>3542</v>
      </c>
      <c r="Z699" s="34">
        <v>1</v>
      </c>
      <c r="AA699" s="34" t="s">
        <v>5772</v>
      </c>
      <c r="AB699" s="34" t="s">
        <v>5773</v>
      </c>
      <c r="AC699" s="34" t="s">
        <v>5430</v>
      </c>
      <c r="AD699" s="34" t="s">
        <v>4143</v>
      </c>
      <c r="AE699" s="34" t="s">
        <v>5774</v>
      </c>
      <c r="AF699" s="34" t="s">
        <v>4891</v>
      </c>
      <c r="AG699" s="34" t="s">
        <v>3662</v>
      </c>
      <c r="AH699" s="34" t="s">
        <v>5775</v>
      </c>
      <c r="AI699" s="34" t="s">
        <v>3757</v>
      </c>
      <c r="AJ699" s="34" t="s">
        <v>5776</v>
      </c>
      <c r="AK699" s="34" t="s">
        <v>4601</v>
      </c>
      <c r="AL699" s="34" t="s">
        <v>5777</v>
      </c>
      <c r="AM699" s="40" t="s">
        <v>9</v>
      </c>
      <c r="AP699" s="34">
        <v>0</v>
      </c>
      <c r="AQ699" s="34">
        <v>7890</v>
      </c>
      <c r="AR699" s="34">
        <v>5655</v>
      </c>
      <c r="AT699" s="44">
        <v>611100</v>
      </c>
      <c r="AU699" s="44"/>
      <c r="AV699" s="46">
        <f>ROUND(Товары[[#This Row],[РРЦ финальная, руб.]]/$AU$1,2)</f>
        <v>0</v>
      </c>
      <c r="AW699" s="45" t="str">
        <f>IFERROR(Товары[[#This Row],[РРЦ, евро]]/Товары[[#This Row],[IRP, Eur]],"-")</f>
        <v>-</v>
      </c>
      <c r="AX699" s="42">
        <f>IFERROR(VLOOKUP(Товары[[#This Row],[SubGroup]],'Структура цен DIY'!$B:$C,2,FALSE),0)</f>
        <v>0.17999999999999994</v>
      </c>
      <c r="AY699" s="44">
        <v>0</v>
      </c>
    </row>
    <row r="700" spans="1:51" x14ac:dyDescent="0.25">
      <c r="A700" s="34">
        <v>698</v>
      </c>
      <c r="B700" s="34" t="s">
        <v>50</v>
      </c>
      <c r="C700" s="110" t="str">
        <f>IFERROR(INDEX(Структура_ассортимента[SuperCategory],MATCH(Товары[[#This Row],[SubGroup]],Структура_ассортимента[Subgroup],0)),"")</f>
        <v>L</v>
      </c>
      <c r="D700" s="110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00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00" s="110" t="str">
        <f>IFERROR(INDEX(Структура_ассортимента[Product group],MATCH(Товары[[#This Row],[SubGroup]],Структура_ассортимента[Subgroup],0)),"")</f>
        <v>LEL_C</v>
      </c>
      <c r="G700" s="110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00" s="110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00" s="36">
        <v>9313</v>
      </c>
      <c r="J700" s="36" t="str">
        <f>IFERROR(INDEX(Структура_ассортимента[Generic Name (long)],MATCH(Товары[[#This Row],[SubGroup]],Структура_ассортимента[Subgroup],0)),"")</f>
        <v>LAWN MOWER</v>
      </c>
      <c r="L700" s="36">
        <v>967656601</v>
      </c>
      <c r="M700" s="35" t="s">
        <v>2384</v>
      </c>
      <c r="O700" s="35" t="s">
        <v>5778</v>
      </c>
      <c r="P700" s="37" t="s">
        <v>5779</v>
      </c>
      <c r="Q700" s="34" t="s">
        <v>3549</v>
      </c>
      <c r="R700" s="34" t="s">
        <v>3540</v>
      </c>
      <c r="S700" s="47">
        <v>43101</v>
      </c>
      <c r="T700" s="47">
        <v>0</v>
      </c>
      <c r="U700" s="47">
        <v>0</v>
      </c>
      <c r="V700" s="34">
        <v>4078500031073</v>
      </c>
      <c r="W700" s="34" t="s">
        <v>3546</v>
      </c>
      <c r="X700" s="34" t="s">
        <v>3551</v>
      </c>
      <c r="Y700" s="34" t="s">
        <v>3542</v>
      </c>
      <c r="Z700" s="34">
        <v>1</v>
      </c>
      <c r="AB700" s="34" t="s">
        <v>5780</v>
      </c>
      <c r="AD700" s="34" t="s">
        <v>5781</v>
      </c>
      <c r="AE700" s="34" t="s">
        <v>4145</v>
      </c>
      <c r="AF700" s="34" t="s">
        <v>4326</v>
      </c>
      <c r="AG700" s="34" t="s">
        <v>3772</v>
      </c>
      <c r="AH700" s="34" t="s">
        <v>5715</v>
      </c>
      <c r="AI700" s="34" t="s">
        <v>4873</v>
      </c>
      <c r="AJ700" s="34" t="s">
        <v>5782</v>
      </c>
      <c r="AK700" s="34" t="s">
        <v>3853</v>
      </c>
      <c r="AL700" s="34" t="s">
        <v>4972</v>
      </c>
      <c r="AM700" s="40" t="s">
        <v>9</v>
      </c>
      <c r="AP700" s="34">
        <v>0</v>
      </c>
      <c r="AQ700" s="34">
        <v>20090</v>
      </c>
      <c r="AR700" s="34">
        <v>13728</v>
      </c>
      <c r="AT700" s="44">
        <v>1556100</v>
      </c>
      <c r="AU700" s="44"/>
      <c r="AV700" s="46">
        <f>ROUND(Товары[[#This Row],[РРЦ финальная, руб.]]/$AU$1,2)</f>
        <v>0</v>
      </c>
      <c r="AW700" s="45" t="str">
        <f>IFERROR(Товары[[#This Row],[РРЦ, евро]]/Товары[[#This Row],[IRP, Eur]],"-")</f>
        <v>-</v>
      </c>
      <c r="AX700" s="42">
        <f>IFERROR(VLOOKUP(Товары[[#This Row],[SubGroup]],'Структура цен DIY'!$B:$C,2,FALSE),0)</f>
        <v>0.17999999999999994</v>
      </c>
      <c r="AY700" s="44">
        <v>0</v>
      </c>
    </row>
    <row r="701" spans="1:51" x14ac:dyDescent="0.25">
      <c r="A701" s="34">
        <v>699</v>
      </c>
      <c r="B701" s="34" t="s">
        <v>50</v>
      </c>
      <c r="C701" s="110" t="str">
        <f>IFERROR(INDEX(Структура_ассортимента[SuperCategory],MATCH(Товары[[#This Row],[SubGroup]],Структура_ассортимента[Subgroup],0)),"")</f>
        <v>L</v>
      </c>
      <c r="D701" s="110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01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01" s="110" t="str">
        <f>IFERROR(INDEX(Структура_ассортимента[Product group],MATCH(Товары[[#This Row],[SubGroup]],Структура_ассортимента[Subgroup],0)),"")</f>
        <v>LEL_C</v>
      </c>
      <c r="G701" s="110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01" s="110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01" s="36">
        <v>9313</v>
      </c>
      <c r="J701" s="36" t="str">
        <f>IFERROR(INDEX(Структура_ассортимента[Generic Name (long)],MATCH(Товары[[#This Row],[SubGroup]],Структура_ассортимента[Subgroup],0)),"")</f>
        <v>LAWN MOWER</v>
      </c>
      <c r="L701" s="36">
        <v>967815301</v>
      </c>
      <c r="M701" s="35" t="s">
        <v>2385</v>
      </c>
      <c r="Q701" s="34" t="s">
        <v>3549</v>
      </c>
      <c r="R701" s="34" t="s">
        <v>3540</v>
      </c>
      <c r="S701" s="47">
        <v>43114</v>
      </c>
      <c r="T701" s="47">
        <v>0</v>
      </c>
      <c r="U701" s="47">
        <v>0</v>
      </c>
      <c r="V701" s="34">
        <v>4078500039949</v>
      </c>
      <c r="W701" s="34" t="s">
        <v>3543</v>
      </c>
      <c r="X701" s="34" t="s">
        <v>3551</v>
      </c>
      <c r="Y701" s="34" t="s">
        <v>3542</v>
      </c>
      <c r="Z701" s="34">
        <v>1</v>
      </c>
      <c r="AB701" s="34" t="s">
        <v>5780</v>
      </c>
      <c r="AD701" s="34" t="s">
        <v>5781</v>
      </c>
      <c r="AE701" s="34" t="s">
        <v>4145</v>
      </c>
      <c r="AF701" s="34" t="s">
        <v>4326</v>
      </c>
      <c r="AG701" s="34" t="s">
        <v>3772</v>
      </c>
      <c r="AH701" s="34" t="s">
        <v>5715</v>
      </c>
      <c r="AI701" s="34" t="s">
        <v>4873</v>
      </c>
      <c r="AJ701" s="34" t="s">
        <v>5782</v>
      </c>
      <c r="AK701" s="34" t="s">
        <v>3853</v>
      </c>
      <c r="AL701" s="34" t="s">
        <v>4972</v>
      </c>
      <c r="AM701" s="40" t="s">
        <v>8095</v>
      </c>
      <c r="AT701" s="44">
        <v>0</v>
      </c>
      <c r="AU701" s="44"/>
      <c r="AV701" s="46">
        <f>ROUND(Товары[[#This Row],[РРЦ финальная, руб.]]/$AU$1,2)</f>
        <v>0</v>
      </c>
      <c r="AW701" s="45" t="str">
        <f>IFERROR(Товары[[#This Row],[РРЦ, евро]]/Товары[[#This Row],[IRP, Eur]],"-")</f>
        <v>-</v>
      </c>
      <c r="AX701" s="42">
        <f>IFERROR(VLOOKUP(Товары[[#This Row],[SubGroup]],'Структура цен DIY'!$B:$C,2,FALSE),0)</f>
        <v>0.17999999999999994</v>
      </c>
      <c r="AY701" s="44">
        <v>0</v>
      </c>
    </row>
    <row r="702" spans="1:51" x14ac:dyDescent="0.25">
      <c r="A702" s="34">
        <v>700</v>
      </c>
      <c r="B702" s="34" t="s">
        <v>50</v>
      </c>
      <c r="C702" s="110" t="str">
        <f>IFERROR(INDEX(Структура_ассортимента[SuperCategory],MATCH(Товары[[#This Row],[SubGroup]],Структура_ассортимента[Subgroup],0)),"")</f>
        <v>L</v>
      </c>
      <c r="D702" s="110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02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02" s="110" t="str">
        <f>IFERROR(INDEX(Структура_ассортимента[Product group],MATCH(Товары[[#This Row],[SubGroup]],Структура_ассортимента[Subgroup],0)),"")</f>
        <v>LEL_C</v>
      </c>
      <c r="G702" s="110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02" s="110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02" s="36">
        <v>9313</v>
      </c>
      <c r="J702" s="36" t="str">
        <f>IFERROR(INDEX(Структура_ассортимента[Generic Name (long)],MATCH(Товары[[#This Row],[SubGroup]],Структура_ассортимента[Subgroup],0)),"")</f>
        <v>LAWN MOWER</v>
      </c>
      <c r="L702" s="36">
        <v>967821401</v>
      </c>
      <c r="M702" s="35" t="s">
        <v>2386</v>
      </c>
      <c r="Q702" s="34" t="s">
        <v>3549</v>
      </c>
      <c r="R702" s="34" t="s">
        <v>3540</v>
      </c>
      <c r="S702" s="47">
        <v>43114</v>
      </c>
      <c r="T702" s="47">
        <v>0</v>
      </c>
      <c r="U702" s="47">
        <v>0</v>
      </c>
      <c r="V702" s="34">
        <v>4078500040013</v>
      </c>
      <c r="W702" s="34" t="s">
        <v>3543</v>
      </c>
      <c r="X702" s="34" t="s">
        <v>3551</v>
      </c>
      <c r="Y702" s="34" t="s">
        <v>3542</v>
      </c>
      <c r="Z702" s="34">
        <v>1</v>
      </c>
      <c r="AB702" s="34" t="s">
        <v>5783</v>
      </c>
      <c r="AD702" s="34" t="s">
        <v>5784</v>
      </c>
      <c r="AE702" s="34" t="s">
        <v>4145</v>
      </c>
      <c r="AF702" s="34" t="s">
        <v>4326</v>
      </c>
      <c r="AG702" s="34" t="s">
        <v>3772</v>
      </c>
      <c r="AH702" s="34" t="s">
        <v>5715</v>
      </c>
      <c r="AI702" s="34" t="s">
        <v>4873</v>
      </c>
      <c r="AJ702" s="34" t="s">
        <v>5782</v>
      </c>
      <c r="AK702" s="34" t="s">
        <v>3853</v>
      </c>
      <c r="AL702" s="34" t="s">
        <v>4972</v>
      </c>
      <c r="AM702" s="40" t="s">
        <v>8095</v>
      </c>
      <c r="AT702" s="44">
        <v>0</v>
      </c>
      <c r="AU702" s="44"/>
      <c r="AV702" s="46">
        <f>ROUND(Товары[[#This Row],[РРЦ финальная, руб.]]/$AU$1,2)</f>
        <v>0</v>
      </c>
      <c r="AW702" s="45" t="str">
        <f>IFERROR(Товары[[#This Row],[РРЦ, евро]]/Товары[[#This Row],[IRP, Eur]],"-")</f>
        <v>-</v>
      </c>
      <c r="AX702" s="42">
        <f>IFERROR(VLOOKUP(Товары[[#This Row],[SubGroup]],'Структура цен DIY'!$B:$C,2,FALSE),0)</f>
        <v>0.17999999999999994</v>
      </c>
      <c r="AY702" s="44">
        <v>0</v>
      </c>
    </row>
    <row r="703" spans="1:51" x14ac:dyDescent="0.25">
      <c r="A703" s="34">
        <v>701</v>
      </c>
      <c r="B703" s="34" t="s">
        <v>50</v>
      </c>
      <c r="C703" s="110" t="str">
        <f>IFERROR(INDEX(Структура_ассортимента[SuperCategory],MATCH(Товары[[#This Row],[SubGroup]],Структура_ассортимента[Subgroup],0)),"")</f>
        <v>L</v>
      </c>
      <c r="D703" s="110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03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03" s="110" t="str">
        <f>IFERROR(INDEX(Структура_ассортимента[Product group],MATCH(Товары[[#This Row],[SubGroup]],Структура_ассортимента[Subgroup],0)),"")</f>
        <v>LEL_C</v>
      </c>
      <c r="G703" s="110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03" s="110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03" s="36">
        <v>9313</v>
      </c>
      <c r="J703" s="36" t="str">
        <f>IFERROR(INDEX(Структура_ассортимента[Generic Name (long)],MATCH(Товары[[#This Row],[SubGroup]],Структура_ассортимента[Subgroup],0)),"")</f>
        <v>LAWN MOWER</v>
      </c>
      <c r="L703" s="36">
        <v>967657001</v>
      </c>
      <c r="M703" s="35" t="s">
        <v>2387</v>
      </c>
      <c r="O703" s="35" t="s">
        <v>5785</v>
      </c>
      <c r="P703" s="37" t="s">
        <v>5786</v>
      </c>
      <c r="Q703" s="34" t="s">
        <v>3549</v>
      </c>
      <c r="R703" s="34" t="s">
        <v>3540</v>
      </c>
      <c r="S703" s="47">
        <v>43101</v>
      </c>
      <c r="T703" s="47">
        <v>0</v>
      </c>
      <c r="U703" s="47">
        <v>0</v>
      </c>
      <c r="V703" s="34">
        <v>4078500031080</v>
      </c>
      <c r="W703" s="34" t="s">
        <v>3546</v>
      </c>
      <c r="X703" s="34" t="s">
        <v>3551</v>
      </c>
      <c r="Y703" s="34" t="s">
        <v>3542</v>
      </c>
      <c r="Z703" s="34">
        <v>1</v>
      </c>
      <c r="AB703" s="34" t="s">
        <v>5787</v>
      </c>
      <c r="AD703" s="34" t="s">
        <v>5788</v>
      </c>
      <c r="AE703" s="34" t="s">
        <v>4145</v>
      </c>
      <c r="AF703" s="34" t="s">
        <v>4326</v>
      </c>
      <c r="AG703" s="34" t="s">
        <v>3772</v>
      </c>
      <c r="AH703" s="34" t="s">
        <v>5715</v>
      </c>
      <c r="AI703" s="34" t="s">
        <v>4591</v>
      </c>
      <c r="AJ703" s="34" t="s">
        <v>5717</v>
      </c>
      <c r="AK703" s="34" t="s">
        <v>3853</v>
      </c>
      <c r="AL703" s="34" t="s">
        <v>4972</v>
      </c>
      <c r="AM703" s="40" t="s">
        <v>9</v>
      </c>
      <c r="AP703" s="34">
        <v>0</v>
      </c>
      <c r="AQ703" s="34">
        <v>26490</v>
      </c>
      <c r="AR703" s="34">
        <v>18102</v>
      </c>
      <c r="AT703" s="44">
        <v>2051800</v>
      </c>
      <c r="AU703" s="44"/>
      <c r="AV703" s="46">
        <f>ROUND(Товары[[#This Row],[РРЦ финальная, руб.]]/$AU$1,2)</f>
        <v>0</v>
      </c>
      <c r="AW703" s="45" t="str">
        <f>IFERROR(Товары[[#This Row],[РРЦ, евро]]/Товары[[#This Row],[IRP, Eur]],"-")</f>
        <v>-</v>
      </c>
      <c r="AX703" s="42">
        <f>IFERROR(VLOOKUP(Товары[[#This Row],[SubGroup]],'Структура цен DIY'!$B:$C,2,FALSE),0)</f>
        <v>0.17999999999999994</v>
      </c>
      <c r="AY703" s="44">
        <v>0</v>
      </c>
    </row>
    <row r="704" spans="1:51" x14ac:dyDescent="0.25">
      <c r="A704" s="34">
        <v>702</v>
      </c>
      <c r="B704" s="34" t="s">
        <v>50</v>
      </c>
      <c r="C704" s="110" t="str">
        <f>IFERROR(INDEX(Структура_ассортимента[SuperCategory],MATCH(Товары[[#This Row],[SubGroup]],Структура_ассортимента[Subgroup],0)),"")</f>
        <v>L</v>
      </c>
      <c r="D704" s="110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04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04" s="110" t="str">
        <f>IFERROR(INDEX(Структура_ассортимента[Product group],MATCH(Товары[[#This Row],[SubGroup]],Структура_ассортимента[Subgroup],0)),"")</f>
        <v>LEL_C</v>
      </c>
      <c r="G704" s="110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04" s="110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04" s="36">
        <v>9313</v>
      </c>
      <c r="J704" s="36" t="str">
        <f>IFERROR(INDEX(Структура_ассортимента[Generic Name (long)],MATCH(Товары[[#This Row],[SubGroup]],Структура_ассортимента[Subgroup],0)),"")</f>
        <v>LAWN MOWER</v>
      </c>
      <c r="L704" s="36">
        <v>967248801</v>
      </c>
      <c r="M704" s="35" t="s">
        <v>2388</v>
      </c>
      <c r="Q704" s="34" t="s">
        <v>3544</v>
      </c>
      <c r="R704" s="34" t="s">
        <v>3540</v>
      </c>
      <c r="S704" s="47">
        <v>41640</v>
      </c>
      <c r="T704" s="47">
        <v>0</v>
      </c>
      <c r="U704" s="47">
        <v>0</v>
      </c>
      <c r="V704" s="34">
        <v>4078500002424</v>
      </c>
      <c r="W704" s="34" t="s">
        <v>5789</v>
      </c>
      <c r="Y704" s="34" t="s">
        <v>3542</v>
      </c>
      <c r="Z704" s="34">
        <v>1</v>
      </c>
      <c r="AA704" s="34">
        <v>9815</v>
      </c>
      <c r="AB704" s="34">
        <v>9815</v>
      </c>
      <c r="AC704" s="34">
        <v>8500</v>
      </c>
      <c r="AD704" s="34">
        <v>8300</v>
      </c>
      <c r="AE704" s="34">
        <v>645</v>
      </c>
      <c r="AF704" s="34">
        <v>380</v>
      </c>
      <c r="AG704" s="34">
        <v>325</v>
      </c>
      <c r="AH704" s="34">
        <v>79658</v>
      </c>
      <c r="AL704" s="34">
        <v>15</v>
      </c>
      <c r="AM704" s="40" t="s">
        <v>8094</v>
      </c>
      <c r="AT704" s="44">
        <v>0</v>
      </c>
      <c r="AU704" s="44"/>
      <c r="AV704" s="46">
        <f>ROUND(Товары[[#This Row],[РРЦ финальная, руб.]]/$AU$1,2)</f>
        <v>0</v>
      </c>
      <c r="AW704" s="45" t="str">
        <f>IFERROR(Товары[[#This Row],[РРЦ, евро]]/Товары[[#This Row],[IRP, Eur]],"-")</f>
        <v>-</v>
      </c>
      <c r="AX704" s="42">
        <f>IFERROR(VLOOKUP(Товары[[#This Row],[SubGroup]],'Структура цен DIY'!$B:$C,2,FALSE),0)</f>
        <v>0.17999999999999994</v>
      </c>
      <c r="AY704" s="44">
        <v>0</v>
      </c>
    </row>
    <row r="705" spans="1:51" x14ac:dyDescent="0.25">
      <c r="A705" s="34">
        <v>703</v>
      </c>
      <c r="B705" s="34" t="s">
        <v>50</v>
      </c>
      <c r="C705" s="110" t="str">
        <f>IFERROR(INDEX(Структура_ассортимента[SuperCategory],MATCH(Товары[[#This Row],[SubGroup]],Структура_ассортимента[Subgroup],0)),"")</f>
        <v>L</v>
      </c>
      <c r="D705" s="110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05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05" s="110" t="str">
        <f>IFERROR(INDEX(Структура_ассортимента[Product group],MATCH(Товары[[#This Row],[SubGroup]],Структура_ассортимента[Subgroup],0)),"")</f>
        <v>LEL_C</v>
      </c>
      <c r="G705" s="110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05" s="110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05" s="36">
        <v>9313</v>
      </c>
      <c r="J705" s="36" t="str">
        <f>IFERROR(INDEX(Структура_ассортимента[Generic Name (long)],MATCH(Товары[[#This Row],[SubGroup]],Структура_ассортимента[Subgroup],0)),"")</f>
        <v>LAWN MOWER</v>
      </c>
      <c r="L705" s="36">
        <v>967249401</v>
      </c>
      <c r="M705" s="35" t="s">
        <v>2389</v>
      </c>
      <c r="Q705" s="34" t="s">
        <v>4565</v>
      </c>
      <c r="R705" s="34" t="s">
        <v>3540</v>
      </c>
      <c r="S705" s="47">
        <v>41640</v>
      </c>
      <c r="T705" s="47">
        <v>42735</v>
      </c>
      <c r="U705" s="47">
        <v>42735</v>
      </c>
      <c r="V705" s="34">
        <v>4078500407403</v>
      </c>
      <c r="W705" s="34" t="s">
        <v>5790</v>
      </c>
      <c r="Y705" s="34" t="s">
        <v>3542</v>
      </c>
      <c r="Z705" s="34">
        <v>1</v>
      </c>
      <c r="AA705" s="34">
        <v>12200</v>
      </c>
      <c r="AB705" s="34">
        <v>12500</v>
      </c>
      <c r="AC705" s="34">
        <v>10900</v>
      </c>
      <c r="AD705" s="34">
        <v>10600</v>
      </c>
      <c r="AE705" s="34">
        <v>790</v>
      </c>
      <c r="AF705" s="34">
        <v>413</v>
      </c>
      <c r="AG705" s="34">
        <v>410</v>
      </c>
      <c r="AH705" s="34">
        <v>133771</v>
      </c>
      <c r="AL705" s="34">
        <v>10</v>
      </c>
      <c r="AM705" s="40" t="s">
        <v>8094</v>
      </c>
      <c r="AT705" s="44">
        <v>0</v>
      </c>
      <c r="AU705" s="44"/>
      <c r="AV705" s="46">
        <f>ROUND(Товары[[#This Row],[РРЦ финальная, руб.]]/$AU$1,2)</f>
        <v>0</v>
      </c>
      <c r="AW705" s="45" t="str">
        <f>IFERROR(Товары[[#This Row],[РРЦ, евро]]/Товары[[#This Row],[IRP, Eur]],"-")</f>
        <v>-</v>
      </c>
      <c r="AX705" s="42">
        <f>IFERROR(VLOOKUP(Товары[[#This Row],[SubGroup]],'Структура цен DIY'!$B:$C,2,FALSE),0)</f>
        <v>0.17999999999999994</v>
      </c>
      <c r="AY705" s="44">
        <v>0</v>
      </c>
    </row>
    <row r="706" spans="1:51" x14ac:dyDescent="0.25">
      <c r="A706" s="34">
        <v>704</v>
      </c>
      <c r="B706" s="34" t="s">
        <v>50</v>
      </c>
      <c r="C706" s="110" t="str">
        <f>IFERROR(INDEX(Структура_ассортимента[SuperCategory],MATCH(Товары[[#This Row],[SubGroup]],Структура_ассортимента[Subgroup],0)),"")</f>
        <v>L</v>
      </c>
      <c r="D706" s="110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06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06" s="110" t="str">
        <f>IFERROR(INDEX(Структура_ассортимента[Product group],MATCH(Товары[[#This Row],[SubGroup]],Структура_ассортимента[Subgroup],0)),"")</f>
        <v>LEL_C</v>
      </c>
      <c r="G706" s="110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06" s="110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06" s="36">
        <v>9313</v>
      </c>
      <c r="J706" s="36" t="str">
        <f>IFERROR(INDEX(Структура_ассортимента[Generic Name (long)],MATCH(Товары[[#This Row],[SubGroup]],Структура_ассортимента[Subgroup],0)),"")</f>
        <v>LAWN MOWER</v>
      </c>
      <c r="L706" s="36">
        <v>967249501</v>
      </c>
      <c r="M706" s="35" t="s">
        <v>2390</v>
      </c>
      <c r="Q706" s="34" t="s">
        <v>3544</v>
      </c>
      <c r="R706" s="34" t="s">
        <v>3540</v>
      </c>
      <c r="S706" s="47">
        <v>41640</v>
      </c>
      <c r="T706" s="47">
        <v>0</v>
      </c>
      <c r="U706" s="47">
        <v>0</v>
      </c>
      <c r="V706" s="34">
        <v>4078500002455</v>
      </c>
      <c r="W706" s="34" t="s">
        <v>5790</v>
      </c>
      <c r="Y706" s="34" t="s">
        <v>3542</v>
      </c>
      <c r="Z706" s="34">
        <v>1</v>
      </c>
      <c r="AA706" s="34">
        <v>15040</v>
      </c>
      <c r="AB706" s="34">
        <v>14000</v>
      </c>
      <c r="AC706" s="34">
        <v>14300</v>
      </c>
      <c r="AD706" s="34">
        <v>11800</v>
      </c>
      <c r="AE706" s="34">
        <v>795</v>
      </c>
      <c r="AF706" s="34">
        <v>480</v>
      </c>
      <c r="AG706" s="34">
        <v>430</v>
      </c>
      <c r="AH706" s="34">
        <v>164088</v>
      </c>
      <c r="AL706" s="34">
        <v>10</v>
      </c>
      <c r="AM706" s="40" t="s">
        <v>8094</v>
      </c>
      <c r="AT706" s="44">
        <v>0</v>
      </c>
      <c r="AU706" s="44"/>
      <c r="AV706" s="46">
        <f>ROUND(Товары[[#This Row],[РРЦ финальная, руб.]]/$AU$1,2)</f>
        <v>0</v>
      </c>
      <c r="AW706" s="45" t="str">
        <f>IFERROR(Товары[[#This Row],[РРЦ, евро]]/Товары[[#This Row],[IRP, Eur]],"-")</f>
        <v>-</v>
      </c>
      <c r="AX706" s="42">
        <f>IFERROR(VLOOKUP(Товары[[#This Row],[SubGroup]],'Структура цен DIY'!$B:$C,2,FALSE),0)</f>
        <v>0.17999999999999994</v>
      </c>
      <c r="AY706" s="44">
        <v>0</v>
      </c>
    </row>
    <row r="707" spans="1:51" x14ac:dyDescent="0.25">
      <c r="A707" s="34">
        <v>705</v>
      </c>
      <c r="B707" s="34" t="s">
        <v>50</v>
      </c>
      <c r="C707" s="110" t="str">
        <f>IFERROR(INDEX(Структура_ассортимента[SuperCategory],MATCH(Товары[[#This Row],[SubGroup]],Структура_ассортимента[Subgroup],0)),"")</f>
        <v>L</v>
      </c>
      <c r="D707" s="110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07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07" s="110" t="str">
        <f>IFERROR(INDEX(Структура_ассортимента[Product group],MATCH(Товары[[#This Row],[SubGroup]],Структура_ассортимента[Subgroup],0)),"")</f>
        <v>LEL_C</v>
      </c>
      <c r="G707" s="110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07" s="110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07" s="36">
        <v>9313</v>
      </c>
      <c r="J707" s="36" t="str">
        <f>IFERROR(INDEX(Структура_ассортимента[Generic Name (long)],MATCH(Товары[[#This Row],[SubGroup]],Структура_ассортимента[Subgroup],0)),"")</f>
        <v>LAWN MOWER</v>
      </c>
      <c r="L707" s="36">
        <v>967249601</v>
      </c>
      <c r="M707" s="35" t="s">
        <v>2391</v>
      </c>
      <c r="Q707" s="34" t="s">
        <v>3544</v>
      </c>
      <c r="R707" s="34" t="s">
        <v>3540</v>
      </c>
      <c r="S707" s="47">
        <v>41640</v>
      </c>
      <c r="T707" s="47">
        <v>0</v>
      </c>
      <c r="U707" s="47">
        <v>0</v>
      </c>
      <c r="V707" s="34">
        <v>4078500002486</v>
      </c>
      <c r="W707" s="34" t="s">
        <v>5790</v>
      </c>
      <c r="Y707" s="34" t="s">
        <v>3542</v>
      </c>
      <c r="Z707" s="34">
        <v>1</v>
      </c>
      <c r="AA707" s="34">
        <v>17170</v>
      </c>
      <c r="AB707" s="34">
        <v>14500</v>
      </c>
      <c r="AC707" s="34">
        <v>13900</v>
      </c>
      <c r="AD707" s="34">
        <v>12200</v>
      </c>
      <c r="AE707" s="34">
        <v>795</v>
      </c>
      <c r="AF707" s="34">
        <v>550</v>
      </c>
      <c r="AG707" s="34">
        <v>425</v>
      </c>
      <c r="AH707" s="34">
        <v>185831</v>
      </c>
      <c r="AL707" s="34">
        <v>10</v>
      </c>
      <c r="AM707" s="40" t="s">
        <v>8094</v>
      </c>
      <c r="AT707" s="44">
        <v>0</v>
      </c>
      <c r="AU707" s="44"/>
      <c r="AV707" s="46">
        <f>ROUND(Товары[[#This Row],[РРЦ финальная, руб.]]/$AU$1,2)</f>
        <v>0</v>
      </c>
      <c r="AW707" s="45" t="str">
        <f>IFERROR(Товары[[#This Row],[РРЦ, евро]]/Товары[[#This Row],[IRP, Eur]],"-")</f>
        <v>-</v>
      </c>
      <c r="AX707" s="42">
        <f>IFERROR(VLOOKUP(Товары[[#This Row],[SubGroup]],'Структура цен DIY'!$B:$C,2,FALSE),0)</f>
        <v>0.17999999999999994</v>
      </c>
      <c r="AY707" s="44">
        <v>0</v>
      </c>
    </row>
    <row r="708" spans="1:51" x14ac:dyDescent="0.25">
      <c r="A708" s="34">
        <v>706</v>
      </c>
      <c r="B708" s="34" t="s">
        <v>50</v>
      </c>
      <c r="C708" s="110" t="str">
        <f>IFERROR(INDEX(Структура_ассортимента[SuperCategory],MATCH(Товары[[#This Row],[SubGroup]],Структура_ассортимента[Subgroup],0)),"")</f>
        <v>L</v>
      </c>
      <c r="D708" s="110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08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08" s="110" t="str">
        <f>IFERROR(INDEX(Структура_ассортимента[Product group],MATCH(Товары[[#This Row],[SubGroup]],Структура_ассортимента[Subgroup],0)),"")</f>
        <v>LEL_C</v>
      </c>
      <c r="G708" s="110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08" s="110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08" s="36">
        <v>9313</v>
      </c>
      <c r="J708" s="36" t="str">
        <f>IFERROR(INDEX(Структура_ассортимента[Generic Name (long)],MATCH(Товары[[#This Row],[SubGroup]],Структура_ассортимента[Subgroup],0)),"")</f>
        <v>LAWN MOWER</v>
      </c>
      <c r="L708" s="36">
        <v>966969001</v>
      </c>
      <c r="M708" s="35" t="s">
        <v>2392</v>
      </c>
      <c r="Q708" s="34" t="s">
        <v>4565</v>
      </c>
      <c r="R708" s="34" t="s">
        <v>3540</v>
      </c>
      <c r="S708" s="47">
        <v>0</v>
      </c>
      <c r="T708" s="47">
        <v>42735</v>
      </c>
      <c r="U708" s="47">
        <v>42735</v>
      </c>
      <c r="V708" s="34">
        <v>4078500403306</v>
      </c>
      <c r="W708" s="34" t="s">
        <v>5317</v>
      </c>
      <c r="Z708" s="34">
        <v>1</v>
      </c>
      <c r="AA708" s="34">
        <v>9815</v>
      </c>
      <c r="AB708" s="34">
        <v>9815</v>
      </c>
      <c r="AC708" s="34">
        <v>8500</v>
      </c>
      <c r="AD708" s="34">
        <v>8500</v>
      </c>
      <c r="AE708" s="34">
        <v>620</v>
      </c>
      <c r="AF708" s="34">
        <v>390</v>
      </c>
      <c r="AG708" s="34">
        <v>340</v>
      </c>
      <c r="AH708" s="34">
        <v>82212</v>
      </c>
      <c r="AM708" s="40" t="s">
        <v>8094</v>
      </c>
      <c r="AT708" s="44">
        <v>0</v>
      </c>
      <c r="AU708" s="44"/>
      <c r="AV708" s="46">
        <f>ROUND(Товары[[#This Row],[РРЦ финальная, руб.]]/$AU$1,2)</f>
        <v>0</v>
      </c>
      <c r="AW708" s="45" t="str">
        <f>IFERROR(Товары[[#This Row],[РРЦ, евро]]/Товары[[#This Row],[IRP, Eur]],"-")</f>
        <v>-</v>
      </c>
      <c r="AX708" s="42">
        <f>IFERROR(VLOOKUP(Товары[[#This Row],[SubGroup]],'Структура цен DIY'!$B:$C,2,FALSE),0)</f>
        <v>0.17999999999999994</v>
      </c>
      <c r="AY708" s="44">
        <v>0</v>
      </c>
    </row>
    <row r="709" spans="1:51" x14ac:dyDescent="0.25">
      <c r="A709" s="34">
        <v>707</v>
      </c>
      <c r="B709" s="34" t="s">
        <v>50</v>
      </c>
      <c r="C709" s="110" t="str">
        <f>IFERROR(INDEX(Структура_ассортимента[SuperCategory],MATCH(Товары[[#This Row],[SubGroup]],Структура_ассортимента[Subgroup],0)),"")</f>
        <v>L</v>
      </c>
      <c r="D709" s="110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09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09" s="110" t="str">
        <f>IFERROR(INDEX(Структура_ассортимента[Product group],MATCH(Товары[[#This Row],[SubGroup]],Структура_ассортимента[Subgroup],0)),"")</f>
        <v>LEL_C</v>
      </c>
      <c r="G709" s="110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09" s="110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09" s="36">
        <v>9313</v>
      </c>
      <c r="J709" s="36" t="str">
        <f>IFERROR(INDEX(Структура_ассортимента[Generic Name (long)],MATCH(Товары[[#This Row],[SubGroup]],Структура_ассортимента[Subgroup],0)),"")</f>
        <v>LAWN MOWER</v>
      </c>
      <c r="L709" s="36">
        <v>966553301</v>
      </c>
      <c r="M709" s="35" t="s">
        <v>2393</v>
      </c>
      <c r="Q709" s="34" t="s">
        <v>4565</v>
      </c>
      <c r="R709" s="34" t="s">
        <v>3540</v>
      </c>
      <c r="S709" s="47">
        <v>0</v>
      </c>
      <c r="T709" s="47">
        <v>42735</v>
      </c>
      <c r="U709" s="47">
        <v>42735</v>
      </c>
      <c r="V709" s="34">
        <v>4078500403771</v>
      </c>
      <c r="W709" s="34" t="s">
        <v>5791</v>
      </c>
      <c r="Z709" s="34">
        <v>1</v>
      </c>
      <c r="AA709" s="34">
        <v>13500</v>
      </c>
      <c r="AB709" s="34">
        <v>13500</v>
      </c>
      <c r="AC709" s="34">
        <v>11200</v>
      </c>
      <c r="AD709" s="34">
        <v>11200</v>
      </c>
      <c r="AE709" s="34">
        <v>795</v>
      </c>
      <c r="AF709" s="34">
        <v>480</v>
      </c>
      <c r="AG709" s="34">
        <v>430</v>
      </c>
      <c r="AH709" s="34">
        <v>164088</v>
      </c>
      <c r="AM709" s="40" t="s">
        <v>8094</v>
      </c>
      <c r="AT709" s="44">
        <v>0</v>
      </c>
      <c r="AU709" s="44"/>
      <c r="AV709" s="46">
        <f>ROUND(Товары[[#This Row],[РРЦ финальная, руб.]]/$AU$1,2)</f>
        <v>0</v>
      </c>
      <c r="AW709" s="45" t="str">
        <f>IFERROR(Товары[[#This Row],[РРЦ, евро]]/Товары[[#This Row],[IRP, Eur]],"-")</f>
        <v>-</v>
      </c>
      <c r="AX709" s="42">
        <f>IFERROR(VLOOKUP(Товары[[#This Row],[SubGroup]],'Структура цен DIY'!$B:$C,2,FALSE),0)</f>
        <v>0.17999999999999994</v>
      </c>
      <c r="AY709" s="44">
        <v>0</v>
      </c>
    </row>
    <row r="710" spans="1:51" x14ac:dyDescent="0.25">
      <c r="A710" s="34">
        <v>708</v>
      </c>
      <c r="B710" s="34" t="s">
        <v>50</v>
      </c>
      <c r="C710" s="110" t="str">
        <f>IFERROR(INDEX(Структура_ассортимента[SuperCategory],MATCH(Товары[[#This Row],[SubGroup]],Структура_ассортимента[Subgroup],0)),"")</f>
        <v>L</v>
      </c>
      <c r="D710" s="110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10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10" s="110" t="str">
        <f>IFERROR(INDEX(Структура_ассортимента[Product group],MATCH(Товары[[#This Row],[SubGroup]],Структура_ассортимента[Subgroup],0)),"")</f>
        <v>LEL_C</v>
      </c>
      <c r="G710" s="110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10" s="110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10" s="36">
        <v>9313</v>
      </c>
      <c r="J710" s="36" t="str">
        <f>IFERROR(INDEX(Структура_ассортимента[Generic Name (long)],MATCH(Товары[[#This Row],[SubGroup]],Структура_ассортимента[Subgroup],0)),"")</f>
        <v>LAWN MOWER</v>
      </c>
      <c r="L710" s="36">
        <v>966969702</v>
      </c>
      <c r="M710" s="35" t="s">
        <v>2394</v>
      </c>
      <c r="Q710" s="34" t="s">
        <v>4565</v>
      </c>
      <c r="R710" s="34" t="s">
        <v>3540</v>
      </c>
      <c r="S710" s="47">
        <v>0</v>
      </c>
      <c r="T710" s="47">
        <v>42735</v>
      </c>
      <c r="U710" s="47">
        <v>42735</v>
      </c>
      <c r="V710" s="34">
        <v>7393080485564</v>
      </c>
      <c r="W710" s="34" t="s">
        <v>5791</v>
      </c>
      <c r="Z710" s="34">
        <v>1</v>
      </c>
      <c r="AA710" s="34">
        <v>16906</v>
      </c>
      <c r="AB710" s="34">
        <v>17270</v>
      </c>
      <c r="AC710" s="34">
        <v>14000</v>
      </c>
      <c r="AD710" s="34">
        <v>14000</v>
      </c>
      <c r="AE710" s="34">
        <v>785</v>
      </c>
      <c r="AF710" s="34">
        <v>580</v>
      </c>
      <c r="AG710" s="34">
        <v>420</v>
      </c>
      <c r="AH710" s="34">
        <v>191226</v>
      </c>
      <c r="AM710" s="40" t="s">
        <v>8094</v>
      </c>
      <c r="AT710" s="44">
        <v>0</v>
      </c>
      <c r="AU710" s="44"/>
      <c r="AV710" s="46">
        <f>ROUND(Товары[[#This Row],[РРЦ финальная, руб.]]/$AU$1,2)</f>
        <v>0</v>
      </c>
      <c r="AW710" s="45" t="str">
        <f>IFERROR(Товары[[#This Row],[РРЦ, евро]]/Товары[[#This Row],[IRP, Eur]],"-")</f>
        <v>-</v>
      </c>
      <c r="AX710" s="42">
        <f>IFERROR(VLOOKUP(Товары[[#This Row],[SubGroup]],'Структура цен DIY'!$B:$C,2,FALSE),0)</f>
        <v>0.17999999999999994</v>
      </c>
      <c r="AY710" s="44">
        <v>0</v>
      </c>
    </row>
    <row r="711" spans="1:51" x14ac:dyDescent="0.25">
      <c r="A711" s="34">
        <v>709</v>
      </c>
      <c r="B711" s="34" t="s">
        <v>50</v>
      </c>
      <c r="C711" s="110" t="str">
        <f>IFERROR(INDEX(Структура_ассортимента[SuperCategory],MATCH(Товары[[#This Row],[SubGroup]],Структура_ассортимента[Subgroup],0)),"")</f>
        <v>L</v>
      </c>
      <c r="D711" s="110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11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11" s="110" t="str">
        <f>IFERROR(INDEX(Структура_ассортимента[Product group],MATCH(Товары[[#This Row],[SubGroup]],Структура_ассортимента[Subgroup],0)),"")</f>
        <v>LEL_C</v>
      </c>
      <c r="G711" s="110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11" s="110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11" s="36">
        <v>9313</v>
      </c>
      <c r="J711" s="36" t="str">
        <f>IFERROR(INDEX(Структура_ассортимента[Generic Name (long)],MATCH(Товары[[#This Row],[SubGroup]],Структура_ассортимента[Subgroup],0)),"")</f>
        <v>LAWN MOWER</v>
      </c>
      <c r="L711" s="36">
        <v>967249540</v>
      </c>
      <c r="M711" s="35" t="s">
        <v>2395</v>
      </c>
      <c r="Q711" s="34" t="s">
        <v>3544</v>
      </c>
      <c r="R711" s="34" t="s">
        <v>3540</v>
      </c>
      <c r="S711" s="47">
        <v>0</v>
      </c>
      <c r="T711" s="47">
        <v>0</v>
      </c>
      <c r="U711" s="47">
        <v>0</v>
      </c>
      <c r="V711" s="34">
        <v>4078500002479</v>
      </c>
      <c r="W711" s="34" t="s">
        <v>5790</v>
      </c>
      <c r="Y711" s="34" t="s">
        <v>3542</v>
      </c>
      <c r="Z711" s="34">
        <v>1</v>
      </c>
      <c r="AA711" s="34">
        <v>15040</v>
      </c>
      <c r="AB711" s="34">
        <v>14000</v>
      </c>
      <c r="AC711" s="34">
        <v>14300</v>
      </c>
      <c r="AD711" s="34">
        <v>11800</v>
      </c>
      <c r="AE711" s="34">
        <v>795</v>
      </c>
      <c r="AF711" s="34">
        <v>480</v>
      </c>
      <c r="AG711" s="34">
        <v>430</v>
      </c>
      <c r="AH711" s="34">
        <v>164088</v>
      </c>
      <c r="AL711" s="34">
        <v>10</v>
      </c>
      <c r="AM711" s="40" t="s">
        <v>8094</v>
      </c>
      <c r="AT711" s="44">
        <v>0</v>
      </c>
      <c r="AU711" s="44"/>
      <c r="AV711" s="46">
        <f>ROUND(Товары[[#This Row],[РРЦ финальная, руб.]]/$AU$1,2)</f>
        <v>0</v>
      </c>
      <c r="AW711" s="45" t="str">
        <f>IFERROR(Товары[[#This Row],[РРЦ, евро]]/Товары[[#This Row],[IRP, Eur]],"-")</f>
        <v>-</v>
      </c>
      <c r="AX711" s="42">
        <f>IFERROR(VLOOKUP(Товары[[#This Row],[SubGroup]],'Структура цен DIY'!$B:$C,2,FALSE),0)</f>
        <v>0.17999999999999994</v>
      </c>
      <c r="AY711" s="44">
        <v>0</v>
      </c>
    </row>
    <row r="712" spans="1:51" x14ac:dyDescent="0.25">
      <c r="A712" s="34">
        <v>710</v>
      </c>
      <c r="B712" s="34" t="s">
        <v>50</v>
      </c>
      <c r="C712" s="110" t="str">
        <f>IFERROR(INDEX(Структура_ассортимента[SuperCategory],MATCH(Товары[[#This Row],[SubGroup]],Структура_ассортимента[Subgroup],0)),"")</f>
        <v>L</v>
      </c>
      <c r="D712" s="110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12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12" s="110" t="str">
        <f>IFERROR(INDEX(Структура_ассортимента[Product group],MATCH(Товары[[#This Row],[SubGroup]],Структура_ассортимента[Subgroup],0)),"")</f>
        <v>LEL_C</v>
      </c>
      <c r="G712" s="110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12" s="110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12" s="36">
        <v>9313</v>
      </c>
      <c r="J712" s="36" t="str">
        <f>IFERROR(INDEX(Структура_ассортимента[Generic Name (long)],MATCH(Товары[[#This Row],[SubGroup]],Структура_ассортимента[Subgroup],0)),"")</f>
        <v>LAWN MOWER</v>
      </c>
      <c r="L712" s="36">
        <v>967249640</v>
      </c>
      <c r="M712" s="35" t="s">
        <v>2396</v>
      </c>
      <c r="Q712" s="34" t="s">
        <v>3544</v>
      </c>
      <c r="R712" s="34" t="s">
        <v>3540</v>
      </c>
      <c r="S712" s="47">
        <v>0</v>
      </c>
      <c r="T712" s="47">
        <v>0</v>
      </c>
      <c r="U712" s="47">
        <v>0</v>
      </c>
      <c r="V712" s="34">
        <v>4078500002509</v>
      </c>
      <c r="W712" s="34" t="s">
        <v>5790</v>
      </c>
      <c r="Y712" s="34" t="s">
        <v>3542</v>
      </c>
      <c r="Z712" s="34">
        <v>1</v>
      </c>
      <c r="AA712" s="34">
        <v>17170</v>
      </c>
      <c r="AB712" s="34">
        <v>14500</v>
      </c>
      <c r="AC712" s="34">
        <v>13900</v>
      </c>
      <c r="AD712" s="34">
        <v>12200</v>
      </c>
      <c r="AE712" s="34">
        <v>795</v>
      </c>
      <c r="AF712" s="34">
        <v>550</v>
      </c>
      <c r="AG712" s="34">
        <v>425</v>
      </c>
      <c r="AH712" s="34">
        <v>185831</v>
      </c>
      <c r="AL712" s="34">
        <v>10</v>
      </c>
      <c r="AM712" s="40" t="s">
        <v>8094</v>
      </c>
      <c r="AT712" s="44">
        <v>0</v>
      </c>
      <c r="AU712" s="44"/>
      <c r="AV712" s="46">
        <f>ROUND(Товары[[#This Row],[РРЦ финальная, руб.]]/$AU$1,2)</f>
        <v>0</v>
      </c>
      <c r="AW712" s="45" t="str">
        <f>IFERROR(Товары[[#This Row],[РРЦ, евро]]/Товары[[#This Row],[IRP, Eur]],"-")</f>
        <v>-</v>
      </c>
      <c r="AX712" s="42">
        <f>IFERROR(VLOOKUP(Товары[[#This Row],[SubGroup]],'Структура цен DIY'!$B:$C,2,FALSE),0)</f>
        <v>0.17999999999999994</v>
      </c>
      <c r="AY712" s="44">
        <v>0</v>
      </c>
    </row>
    <row r="713" spans="1:51" x14ac:dyDescent="0.25">
      <c r="A713" s="34">
        <v>711</v>
      </c>
      <c r="B713" s="34" t="s">
        <v>50</v>
      </c>
      <c r="C713" s="110" t="str">
        <f>IFERROR(INDEX(Структура_ассортимента[SuperCategory],MATCH(Товары[[#This Row],[SubGroup]],Структура_ассортимента[Subgroup],0)),"")</f>
        <v>L</v>
      </c>
      <c r="D713" s="110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13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13" s="110" t="str">
        <f>IFERROR(INDEX(Структура_ассортимента[Product group],MATCH(Товары[[#This Row],[SubGroup]],Структура_ассортимента[Subgroup],0)),"")</f>
        <v>LEP_C</v>
      </c>
      <c r="G713" s="110" t="str">
        <f>IFERROR(INDEX(Структура_ассортимента[Product group name ENG],MATCH(Товары[[#This Row],[SubGroup]],Структура_ассортимента[Subgroup],0)),"")</f>
        <v>Lawn, Electric, Other Products</v>
      </c>
      <c r="H713" s="110" t="str">
        <f>IFERROR(INDEX(Структура_ассортимента[Generic Name (long)3],MATCH(Товары[[#This Row],[SubGroup]],Структура_ассортимента[Subgroup],0)),"")</f>
        <v>Скарификаторы электрические, аккумуляторные</v>
      </c>
      <c r="I713" s="36">
        <v>9315</v>
      </c>
      <c r="J713" s="36" t="str">
        <f>IFERROR(INDEX(Структура_ассортимента[Generic Name (long)],MATCH(Товары[[#This Row],[SubGroup]],Структура_ассортимента[Subgroup],0)),"")</f>
        <v>SCARIFIER, TINE</v>
      </c>
      <c r="L713" s="36">
        <v>901060801</v>
      </c>
      <c r="M713" s="35" t="s">
        <v>2397</v>
      </c>
      <c r="O713" s="35" t="s">
        <v>5792</v>
      </c>
      <c r="P713" s="37" t="s">
        <v>5793</v>
      </c>
      <c r="Q713" s="34" t="s">
        <v>3549</v>
      </c>
      <c r="R713" s="34" t="s">
        <v>3540</v>
      </c>
      <c r="S713" s="47">
        <v>38261</v>
      </c>
      <c r="T713" s="47">
        <v>0</v>
      </c>
      <c r="U713" s="47">
        <v>0</v>
      </c>
      <c r="V713" s="34">
        <v>4078500406802</v>
      </c>
      <c r="W713" s="34" t="s">
        <v>3546</v>
      </c>
      <c r="X713" s="34" t="s">
        <v>3704</v>
      </c>
      <c r="Y713" s="34" t="s">
        <v>3542</v>
      </c>
      <c r="Z713" s="34">
        <v>1</v>
      </c>
      <c r="AA713" s="34" t="s">
        <v>5794</v>
      </c>
      <c r="AB713" s="34" t="s">
        <v>5795</v>
      </c>
      <c r="AC713" s="34" t="s">
        <v>5708</v>
      </c>
      <c r="AD713" s="34" t="s">
        <v>5796</v>
      </c>
      <c r="AE713" s="34" t="s">
        <v>3854</v>
      </c>
      <c r="AF713" s="34" t="s">
        <v>4202</v>
      </c>
      <c r="AG713" s="34" t="s">
        <v>4540</v>
      </c>
      <c r="AH713" s="34" t="s">
        <v>5797</v>
      </c>
      <c r="AL713" s="34" t="s">
        <v>3858</v>
      </c>
      <c r="AM713" s="40" t="s">
        <v>9</v>
      </c>
      <c r="AP713" s="34">
        <v>0</v>
      </c>
      <c r="AQ713" s="34">
        <v>18390</v>
      </c>
      <c r="AR713" s="34">
        <v>12567</v>
      </c>
      <c r="AT713" s="44">
        <v>1424400</v>
      </c>
      <c r="AU713" s="44"/>
      <c r="AV713" s="46">
        <f>ROUND(Товары[[#This Row],[РРЦ финальная, руб.]]/$AU$1,2)</f>
        <v>0</v>
      </c>
      <c r="AW713" s="45" t="str">
        <f>IFERROR(Товары[[#This Row],[РРЦ, евро]]/Товары[[#This Row],[IRP, Eur]],"-")</f>
        <v>-</v>
      </c>
      <c r="AX713" s="42">
        <f>IFERROR(VLOOKUP(Товары[[#This Row],[SubGroup]],'Структура цен DIY'!$B:$C,2,FALSE),0)</f>
        <v>0.17999999999999994</v>
      </c>
      <c r="AY713" s="44">
        <v>0</v>
      </c>
    </row>
    <row r="714" spans="1:51" x14ac:dyDescent="0.25">
      <c r="A714" s="34">
        <v>712</v>
      </c>
      <c r="B714" s="34" t="s">
        <v>50</v>
      </c>
      <c r="C714" s="110" t="str">
        <f>IFERROR(INDEX(Структура_ассортимента[SuperCategory],MATCH(Товары[[#This Row],[SubGroup]],Структура_ассортимента[Subgroup],0)),"")</f>
        <v>L</v>
      </c>
      <c r="D714" s="110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14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14" s="110" t="str">
        <f>IFERROR(INDEX(Структура_ассортимента[Product group],MATCH(Товары[[#This Row],[SubGroup]],Структура_ассортимента[Subgroup],0)),"")</f>
        <v>LEP_C</v>
      </c>
      <c r="G714" s="110" t="str">
        <f>IFERROR(INDEX(Структура_ассортимента[Product group name ENG],MATCH(Товары[[#This Row],[SubGroup]],Структура_ассортимента[Subgroup],0)),"")</f>
        <v>Lawn, Electric, Other Products</v>
      </c>
      <c r="H714" s="110" t="str">
        <f>IFERROR(INDEX(Структура_ассортимента[Generic Name (long)3],MATCH(Товары[[#This Row],[SubGroup]],Структура_ассортимента[Subgroup],0)),"")</f>
        <v>Скарификаторы электрические, аккумуляторные</v>
      </c>
      <c r="I714" s="36">
        <v>9315</v>
      </c>
      <c r="J714" s="36" t="str">
        <f>IFERROR(INDEX(Структура_ассортимента[Generic Name (long)],MATCH(Товары[[#This Row],[SubGroup]],Структура_ассортимента[Subgroup],0)),"")</f>
        <v>SCARIFIER, TINE</v>
      </c>
      <c r="L714" s="36">
        <v>967297501</v>
      </c>
      <c r="M714" s="35" t="s">
        <v>2398</v>
      </c>
      <c r="Q714" s="34" t="s">
        <v>3544</v>
      </c>
      <c r="R714" s="34" t="s">
        <v>3540</v>
      </c>
      <c r="S714" s="47">
        <v>0</v>
      </c>
      <c r="T714" s="47">
        <v>0</v>
      </c>
      <c r="U714" s="47">
        <v>0</v>
      </c>
      <c r="V714" s="34">
        <v>7393089056710</v>
      </c>
      <c r="W714" s="34" t="s">
        <v>3545</v>
      </c>
      <c r="Y714" s="34" t="s">
        <v>3542</v>
      </c>
      <c r="Z714" s="34">
        <v>1</v>
      </c>
      <c r="AA714" s="34">
        <v>11800</v>
      </c>
      <c r="AB714" s="34">
        <v>11800</v>
      </c>
      <c r="AC714" s="34">
        <v>10600</v>
      </c>
      <c r="AD714" s="34">
        <v>10600</v>
      </c>
      <c r="AE714" s="34">
        <v>580</v>
      </c>
      <c r="AF714" s="34">
        <v>390</v>
      </c>
      <c r="AG714" s="34">
        <v>475</v>
      </c>
      <c r="AH714" s="34">
        <v>107445</v>
      </c>
      <c r="AM714" s="40" t="s">
        <v>8094</v>
      </c>
      <c r="AT714" s="44">
        <v>0</v>
      </c>
      <c r="AU714" s="44"/>
      <c r="AV714" s="46">
        <f>ROUND(Товары[[#This Row],[РРЦ финальная, руб.]]/$AU$1,2)</f>
        <v>0</v>
      </c>
      <c r="AW714" s="45" t="str">
        <f>IFERROR(Товары[[#This Row],[РРЦ, евро]]/Товары[[#This Row],[IRP, Eur]],"-")</f>
        <v>-</v>
      </c>
      <c r="AX714" s="42">
        <f>IFERROR(VLOOKUP(Товары[[#This Row],[SubGroup]],'Структура цен DIY'!$B:$C,2,FALSE),0)</f>
        <v>0.17999999999999994</v>
      </c>
      <c r="AY714" s="44">
        <v>0</v>
      </c>
    </row>
    <row r="715" spans="1:51" x14ac:dyDescent="0.25">
      <c r="A715" s="34">
        <v>713</v>
      </c>
      <c r="B715" s="34" t="s">
        <v>50</v>
      </c>
      <c r="C715" s="110" t="str">
        <f>IFERROR(INDEX(Структура_ассортимента[SuperCategory],MATCH(Товары[[#This Row],[SubGroup]],Структура_ассортимента[Subgroup],0)),"")</f>
        <v>L</v>
      </c>
      <c r="D715" s="110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15" s="110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15" s="110" t="str">
        <f>IFERROR(INDEX(Структура_ассортимента[Product group],MATCH(Товары[[#This Row],[SubGroup]],Структура_ассортимента[Subgroup],0)),"")</f>
        <v>LEP_C</v>
      </c>
      <c r="G715" s="110" t="str">
        <f>IFERROR(INDEX(Структура_ассортимента[Product group name ENG],MATCH(Товары[[#This Row],[SubGroup]],Структура_ассортимента[Subgroup],0)),"")</f>
        <v>Lawn, Electric, Other Products</v>
      </c>
      <c r="H715" s="110" t="str">
        <f>IFERROR(INDEX(Структура_ассортимента[Generic Name (long)3],MATCH(Товары[[#This Row],[SubGroup]],Структура_ассортимента[Subgroup],0)),"")</f>
        <v>Скарификаторы электрические, аккумуляторные</v>
      </c>
      <c r="I715" s="36">
        <v>9315</v>
      </c>
      <c r="J715" s="36" t="str">
        <f>IFERROR(INDEX(Структура_ассортимента[Generic Name (long)],MATCH(Товары[[#This Row],[SubGroup]],Структура_ассортимента[Subgroup],0)),"")</f>
        <v>SCARIFIER, TINE</v>
      </c>
      <c r="L715" s="36">
        <v>901060701</v>
      </c>
      <c r="M715" s="35" t="s">
        <v>2399</v>
      </c>
      <c r="O715" s="35" t="s">
        <v>5798</v>
      </c>
      <c r="P715" s="37" t="s">
        <v>5799</v>
      </c>
      <c r="Q715" s="34" t="s">
        <v>3549</v>
      </c>
      <c r="R715" s="34" t="s">
        <v>3540</v>
      </c>
      <c r="S715" s="47">
        <v>38261</v>
      </c>
      <c r="T715" s="47">
        <v>0</v>
      </c>
      <c r="U715" s="47">
        <v>0</v>
      </c>
      <c r="V715" s="34">
        <v>4078500406604</v>
      </c>
      <c r="W715" s="34" t="s">
        <v>3546</v>
      </c>
      <c r="X715" s="34" t="s">
        <v>3704</v>
      </c>
      <c r="Y715" s="34" t="s">
        <v>3542</v>
      </c>
      <c r="Z715" s="34">
        <v>1</v>
      </c>
      <c r="AA715" s="34" t="s">
        <v>5800</v>
      </c>
      <c r="AB715" s="34" t="s">
        <v>5800</v>
      </c>
      <c r="AC715" s="34" t="s">
        <v>5801</v>
      </c>
      <c r="AD715" s="34" t="s">
        <v>5801</v>
      </c>
      <c r="AE715" s="34" t="s">
        <v>3854</v>
      </c>
      <c r="AF715" s="34" t="s">
        <v>4202</v>
      </c>
      <c r="AG715" s="34" t="s">
        <v>4540</v>
      </c>
      <c r="AH715" s="34" t="s">
        <v>5797</v>
      </c>
      <c r="AL715" s="34">
        <v>8</v>
      </c>
      <c r="AM715" s="40" t="s">
        <v>9</v>
      </c>
      <c r="AP715" s="34">
        <v>0</v>
      </c>
      <c r="AQ715" s="34">
        <v>13690</v>
      </c>
      <c r="AR715" s="34">
        <v>9355</v>
      </c>
      <c r="AT715" s="44">
        <v>1060400</v>
      </c>
      <c r="AU715" s="44"/>
      <c r="AV715" s="46">
        <f>ROUND(Товары[[#This Row],[РРЦ финальная, руб.]]/$AU$1,2)</f>
        <v>0</v>
      </c>
      <c r="AW715" s="45" t="str">
        <f>IFERROR(Товары[[#This Row],[РРЦ, евро]]/Товары[[#This Row],[IRP, Eur]],"-")</f>
        <v>-</v>
      </c>
      <c r="AX715" s="42">
        <f>IFERROR(VLOOKUP(Товары[[#This Row],[SubGroup]],'Структура цен DIY'!$B:$C,2,FALSE),0)</f>
        <v>0.17999999999999994</v>
      </c>
      <c r="AY715" s="44">
        <v>0</v>
      </c>
    </row>
    <row r="716" spans="1:51" x14ac:dyDescent="0.25">
      <c r="A716" s="34">
        <v>714</v>
      </c>
      <c r="B716" s="34" t="s">
        <v>56</v>
      </c>
      <c r="C716" s="110" t="str">
        <f>IFERROR(INDEX(Структура_ассортимента[SuperCategory],MATCH(Товары[[#This Row],[SubGroup]],Структура_ассортимента[Subgroup],0)),"")</f>
        <v>A</v>
      </c>
      <c r="D716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16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16" s="110" t="str">
        <f>IFERROR(INDEX(Структура_ассортимента[Product group],MATCH(Товары[[#This Row],[SubGroup]],Структура_ассортимента[Subgroup],0)),"")</f>
        <v>LML_C</v>
      </c>
      <c r="G716" s="110" t="str">
        <f>IFERROR(INDEX(Структура_ассортимента[Product group name ENG],MATCH(Товары[[#This Row],[SubGroup]],Структура_ассортимента[Subgroup],0)),"")</f>
        <v>Lawn (Walk behind), Manual, Lawn mowers</v>
      </c>
      <c r="H716" s="110" t="str">
        <f>IFERROR(INDEX(Структура_ассортимента[Generic Name (long)3],MATCH(Товары[[#This Row],[SubGroup]],Структура_ассортимента[Subgroup],0)),"")</f>
        <v>Барабанные газонокосилки механические</v>
      </c>
      <c r="I716" s="36">
        <v>9311</v>
      </c>
      <c r="J716" s="36" t="str">
        <f>IFERROR(INDEX(Структура_ассортимента[Generic Name (long)],MATCH(Товары[[#This Row],[SubGroup]],Структура_ассортимента[Subgroup],0)),"")</f>
        <v>LAWN MOWER, CYLINDER, MANUAL</v>
      </c>
      <c r="L716" s="36">
        <v>901058501</v>
      </c>
      <c r="M716" s="35" t="s">
        <v>2400</v>
      </c>
      <c r="O716" s="35" t="s">
        <v>5802</v>
      </c>
      <c r="P716" s="37" t="s">
        <v>5803</v>
      </c>
      <c r="Q716" s="34" t="s">
        <v>3549</v>
      </c>
      <c r="R716" s="34" t="s">
        <v>3540</v>
      </c>
      <c r="S716" s="47">
        <v>38261</v>
      </c>
      <c r="T716" s="47">
        <v>0</v>
      </c>
      <c r="U716" s="47">
        <v>0</v>
      </c>
      <c r="V716" s="34">
        <v>4078500402903</v>
      </c>
      <c r="W716" s="34" t="s">
        <v>3547</v>
      </c>
      <c r="X716" s="34" t="s">
        <v>3704</v>
      </c>
      <c r="Y716" s="34" t="s">
        <v>3542</v>
      </c>
      <c r="Z716" s="34">
        <v>1</v>
      </c>
      <c r="AA716" s="34" t="s">
        <v>3982</v>
      </c>
      <c r="AB716" s="34" t="s">
        <v>3982</v>
      </c>
      <c r="AC716" s="34" t="s">
        <v>5804</v>
      </c>
      <c r="AD716" s="34" t="s">
        <v>5804</v>
      </c>
      <c r="AE716" s="34" t="s">
        <v>4727</v>
      </c>
      <c r="AF716" s="34" t="s">
        <v>3958</v>
      </c>
      <c r="AG716" s="34" t="s">
        <v>4324</v>
      </c>
      <c r="AH716" s="34" t="s">
        <v>5805</v>
      </c>
      <c r="AI716" s="34" t="s">
        <v>3963</v>
      </c>
      <c r="AJ716" s="34" t="s">
        <v>5806</v>
      </c>
      <c r="AK716" s="34" t="s">
        <v>5807</v>
      </c>
      <c r="AL716" s="34">
        <v>40</v>
      </c>
      <c r="AM716" s="40" t="s">
        <v>9</v>
      </c>
      <c r="AP716" s="34">
        <v>0</v>
      </c>
      <c r="AQ716" s="34">
        <v>3490</v>
      </c>
      <c r="AR716" s="34">
        <v>2385</v>
      </c>
      <c r="AT716" s="44">
        <v>270300</v>
      </c>
      <c r="AU716" s="44"/>
      <c r="AV716" s="46">
        <f>ROUND(Товары[[#This Row],[РРЦ финальная, руб.]]/$AU$1,2)</f>
        <v>0</v>
      </c>
      <c r="AW716" s="45" t="str">
        <f>IFERROR(Товары[[#This Row],[РРЦ, евро]]/Товары[[#This Row],[IRP, Eur]],"-")</f>
        <v>-</v>
      </c>
      <c r="AX716" s="42">
        <f>IFERROR(VLOOKUP(Товары[[#This Row],[SubGroup]],'Структура цен DIY'!$B:$C,2,FALSE),0)</f>
        <v>0.17999999999999994</v>
      </c>
      <c r="AY716" s="44">
        <v>0</v>
      </c>
    </row>
    <row r="717" spans="1:51" x14ac:dyDescent="0.25">
      <c r="A717" s="34">
        <v>715</v>
      </c>
      <c r="B717" s="34" t="s">
        <v>56</v>
      </c>
      <c r="C717" s="110" t="str">
        <f>IFERROR(INDEX(Структура_ассортимента[SuperCategory],MATCH(Товары[[#This Row],[SubGroup]],Структура_ассортимента[Subgroup],0)),"")</f>
        <v>A</v>
      </c>
      <c r="D717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17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17" s="110" t="str">
        <f>IFERROR(INDEX(Структура_ассортимента[Product group],MATCH(Товары[[#This Row],[SubGroup]],Структура_ассортимента[Subgroup],0)),"")</f>
        <v>LML_C</v>
      </c>
      <c r="G717" s="110" t="str">
        <f>IFERROR(INDEX(Структура_ассортимента[Product group name ENG],MATCH(Товары[[#This Row],[SubGroup]],Структура_ассортимента[Subgroup],0)),"")</f>
        <v>Lawn (Walk behind), Manual, Lawn mowers</v>
      </c>
      <c r="H717" s="110" t="str">
        <f>IFERROR(INDEX(Структура_ассортимента[Generic Name (long)3],MATCH(Товары[[#This Row],[SubGroup]],Структура_ассортимента[Subgroup],0)),"")</f>
        <v>Барабанные газонокосилки механические</v>
      </c>
      <c r="I717" s="36">
        <v>9311</v>
      </c>
      <c r="J717" s="36" t="str">
        <f>IFERROR(INDEX(Структура_ассортимента[Generic Name (long)],MATCH(Товары[[#This Row],[SubGroup]],Структура_ассортимента[Subgroup],0)),"")</f>
        <v>LAWN MOWER, CYLINDER, MANUAL</v>
      </c>
      <c r="L717" s="36">
        <v>965863701</v>
      </c>
      <c r="M717" s="35" t="s">
        <v>2401</v>
      </c>
      <c r="Q717" s="34" t="s">
        <v>3713</v>
      </c>
      <c r="R717" s="34" t="s">
        <v>3540</v>
      </c>
      <c r="S717" s="47">
        <v>39722</v>
      </c>
      <c r="T717" s="47">
        <v>0</v>
      </c>
      <c r="U717" s="47">
        <v>0</v>
      </c>
      <c r="V717" s="34">
        <v>4078500402507</v>
      </c>
      <c r="W717" s="34" t="s">
        <v>3703</v>
      </c>
      <c r="Y717" s="34" t="s">
        <v>3542</v>
      </c>
      <c r="Z717" s="34">
        <v>1</v>
      </c>
      <c r="AA717" s="34" t="s">
        <v>5788</v>
      </c>
      <c r="AB717" s="34" t="s">
        <v>5788</v>
      </c>
      <c r="AC717" s="34" t="s">
        <v>5808</v>
      </c>
      <c r="AD717" s="34" t="s">
        <v>5808</v>
      </c>
      <c r="AE717" s="34" t="s">
        <v>3912</v>
      </c>
      <c r="AF717" s="34" t="s">
        <v>3857</v>
      </c>
      <c r="AG717" s="34" t="s">
        <v>4341</v>
      </c>
      <c r="AH717" s="34" t="s">
        <v>5809</v>
      </c>
      <c r="AL717" s="34">
        <v>8</v>
      </c>
      <c r="AM717" s="40" t="s">
        <v>8094</v>
      </c>
      <c r="AT717" s="44">
        <v>0</v>
      </c>
      <c r="AU717" s="44"/>
      <c r="AV717" s="46">
        <f>ROUND(Товары[[#This Row],[РРЦ финальная, руб.]]/$AU$1,2)</f>
        <v>0</v>
      </c>
      <c r="AW717" s="45" t="str">
        <f>IFERROR(Товары[[#This Row],[РРЦ, евро]]/Товары[[#This Row],[IRP, Eur]],"-")</f>
        <v>-</v>
      </c>
      <c r="AX717" s="42">
        <f>IFERROR(VLOOKUP(Товары[[#This Row],[SubGroup]],'Структура цен DIY'!$B:$C,2,FALSE),0)</f>
        <v>0.17999999999999994</v>
      </c>
      <c r="AY717" s="44">
        <v>0</v>
      </c>
    </row>
    <row r="718" spans="1:51" x14ac:dyDescent="0.25">
      <c r="A718" s="34">
        <v>716</v>
      </c>
      <c r="B718" s="34" t="s">
        <v>56</v>
      </c>
      <c r="C718" s="110" t="str">
        <f>IFERROR(INDEX(Структура_ассортимента[SuperCategory],MATCH(Товары[[#This Row],[SubGroup]],Структура_ассортимента[Subgroup],0)),"")</f>
        <v>A</v>
      </c>
      <c r="D718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18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18" s="110" t="str">
        <f>IFERROR(INDEX(Структура_ассортимента[Product group],MATCH(Товары[[#This Row],[SubGroup]],Структура_ассортимента[Subgroup],0)),"")</f>
        <v>LML_C</v>
      </c>
      <c r="G718" s="110" t="str">
        <f>IFERROR(INDEX(Структура_ассортимента[Product group name ENG],MATCH(Товары[[#This Row],[SubGroup]],Структура_ассортимента[Subgroup],0)),"")</f>
        <v>Lawn (Walk behind), Manual, Lawn mowers</v>
      </c>
      <c r="H718" s="110" t="str">
        <f>IFERROR(INDEX(Структура_ассортимента[Generic Name (long)3],MATCH(Товары[[#This Row],[SubGroup]],Структура_ассортимента[Subgroup],0)),"")</f>
        <v>Барабанные газонокосилки механические</v>
      </c>
      <c r="I718" s="36">
        <v>9311</v>
      </c>
      <c r="J718" s="36" t="str">
        <f>IFERROR(INDEX(Структура_ассортимента[Generic Name (long)],MATCH(Товары[[#This Row],[SubGroup]],Структура_ассортимента[Subgroup],0)),"")</f>
        <v>LAWN MOWER, CYLINDER, MANUAL</v>
      </c>
      <c r="L718" s="36">
        <v>965885801</v>
      </c>
      <c r="M718" s="35" t="s">
        <v>2402</v>
      </c>
      <c r="Q718" s="34" t="s">
        <v>3713</v>
      </c>
      <c r="R718" s="34" t="s">
        <v>3540</v>
      </c>
      <c r="S718" s="47">
        <v>39722</v>
      </c>
      <c r="T718" s="47">
        <v>0</v>
      </c>
      <c r="U718" s="47">
        <v>0</v>
      </c>
      <c r="V718" s="34">
        <v>4078500402552</v>
      </c>
      <c r="W718" s="34" t="s">
        <v>3550</v>
      </c>
      <c r="Y718" s="34" t="s">
        <v>3542</v>
      </c>
      <c r="Z718" s="34">
        <v>1</v>
      </c>
      <c r="AA718" s="34" t="s">
        <v>5810</v>
      </c>
      <c r="AB718" s="34" t="s">
        <v>5811</v>
      </c>
      <c r="AC718" s="34" t="s">
        <v>5808</v>
      </c>
      <c r="AD718" s="34" t="s">
        <v>5808</v>
      </c>
      <c r="AE718" s="34" t="s">
        <v>3912</v>
      </c>
      <c r="AF718" s="34" t="s">
        <v>4202</v>
      </c>
      <c r="AG718" s="34" t="s">
        <v>4341</v>
      </c>
      <c r="AH718" s="34" t="s">
        <v>5812</v>
      </c>
      <c r="AL718" s="34" t="s">
        <v>3858</v>
      </c>
      <c r="AM718" s="40" t="s">
        <v>8094</v>
      </c>
      <c r="AT718" s="44">
        <v>0</v>
      </c>
      <c r="AU718" s="44"/>
      <c r="AV718" s="46">
        <f>ROUND(Товары[[#This Row],[РРЦ финальная, руб.]]/$AU$1,2)</f>
        <v>0</v>
      </c>
      <c r="AW718" s="45" t="str">
        <f>IFERROR(Товары[[#This Row],[РРЦ, евро]]/Товары[[#This Row],[IRP, Eur]],"-")</f>
        <v>-</v>
      </c>
      <c r="AX718" s="42">
        <f>IFERROR(VLOOKUP(Товары[[#This Row],[SubGroup]],'Структура цен DIY'!$B:$C,2,FALSE),0)</f>
        <v>0.17999999999999994</v>
      </c>
      <c r="AY718" s="44">
        <v>0</v>
      </c>
    </row>
    <row r="719" spans="1:51" x14ac:dyDescent="0.25">
      <c r="A719" s="34">
        <v>717</v>
      </c>
      <c r="B719" s="34" t="s">
        <v>56</v>
      </c>
      <c r="C719" s="110" t="str">
        <f>IFERROR(INDEX(Структура_ассортимента[SuperCategory],MATCH(Товары[[#This Row],[SubGroup]],Структура_ассортимента[Subgroup],0)),"")</f>
        <v>A</v>
      </c>
      <c r="D719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19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19" s="110" t="str">
        <f>IFERROR(INDEX(Структура_ассортимента[Product group],MATCH(Товары[[#This Row],[SubGroup]],Структура_ассортимента[Subgroup],0)),"")</f>
        <v>LML_C</v>
      </c>
      <c r="G719" s="110" t="str">
        <f>IFERROR(INDEX(Структура_ассортимента[Product group name ENG],MATCH(Товары[[#This Row],[SubGroup]],Структура_ассортимента[Subgroup],0)),"")</f>
        <v>Lawn (Walk behind), Manual, Lawn mowers</v>
      </c>
      <c r="H719" s="110" t="str">
        <f>IFERROR(INDEX(Структура_ассортимента[Generic Name (long)3],MATCH(Товары[[#This Row],[SubGroup]],Структура_ассортимента[Subgroup],0)),"")</f>
        <v>Барабанные газонокосилки механические</v>
      </c>
      <c r="I719" s="36">
        <v>9311</v>
      </c>
      <c r="J719" s="36" t="str">
        <f>IFERROR(INDEX(Структура_ассортимента[Generic Name (long)],MATCH(Товары[[#This Row],[SubGroup]],Структура_ассортимента[Subgroup],0)),"")</f>
        <v>LAWN MOWER, CYLINDER, MANUAL</v>
      </c>
      <c r="L719" s="36">
        <v>967302501</v>
      </c>
      <c r="M719" s="35" t="s">
        <v>2403</v>
      </c>
      <c r="O719" s="35" t="s">
        <v>5813</v>
      </c>
      <c r="P719" s="37" t="s">
        <v>5814</v>
      </c>
      <c r="Q719" s="34" t="s">
        <v>3549</v>
      </c>
      <c r="R719" s="34" t="s">
        <v>3540</v>
      </c>
      <c r="S719" s="47">
        <v>42005</v>
      </c>
      <c r="T719" s="47">
        <v>0</v>
      </c>
      <c r="U719" s="47">
        <v>0</v>
      </c>
      <c r="V719" s="34">
        <v>4078500007580</v>
      </c>
      <c r="W719" s="34" t="s">
        <v>3703</v>
      </c>
      <c r="X719" s="34" t="s">
        <v>3704</v>
      </c>
      <c r="Y719" s="34" t="s">
        <v>3542</v>
      </c>
      <c r="Z719" s="34">
        <v>1</v>
      </c>
      <c r="AA719" s="34" t="s">
        <v>5815</v>
      </c>
      <c r="AB719" s="34" t="s">
        <v>5815</v>
      </c>
      <c r="AC719" s="34" t="s">
        <v>5743</v>
      </c>
      <c r="AD719" s="34" t="s">
        <v>5743</v>
      </c>
      <c r="AE719" s="34" t="s">
        <v>5816</v>
      </c>
      <c r="AF719" s="34" t="s">
        <v>5817</v>
      </c>
      <c r="AG719" s="34" t="s">
        <v>5285</v>
      </c>
      <c r="AH719" s="34" t="s">
        <v>5818</v>
      </c>
      <c r="AI719" s="34" t="s">
        <v>5819</v>
      </c>
      <c r="AJ719" s="34" t="s">
        <v>5820</v>
      </c>
      <c r="AK719" s="34" t="s">
        <v>5821</v>
      </c>
      <c r="AL719" s="34" t="s">
        <v>3617</v>
      </c>
      <c r="AM719" s="40" t="s">
        <v>9</v>
      </c>
      <c r="AP719" s="34">
        <v>0</v>
      </c>
      <c r="AQ719" s="34">
        <v>8890</v>
      </c>
      <c r="AR719" s="34">
        <v>6075</v>
      </c>
      <c r="AT719" s="44">
        <v>688600</v>
      </c>
      <c r="AU719" s="44"/>
      <c r="AV719" s="46">
        <f>ROUND(Товары[[#This Row],[РРЦ финальная, руб.]]/$AU$1,2)</f>
        <v>0</v>
      </c>
      <c r="AW719" s="45" t="str">
        <f>IFERROR(Товары[[#This Row],[РРЦ, евро]]/Товары[[#This Row],[IRP, Eur]],"-")</f>
        <v>-</v>
      </c>
      <c r="AX719" s="42">
        <f>IFERROR(VLOOKUP(Товары[[#This Row],[SubGroup]],'Структура цен DIY'!$B:$C,2,FALSE),0)</f>
        <v>0.17999999999999994</v>
      </c>
      <c r="AY719" s="44">
        <v>0</v>
      </c>
    </row>
    <row r="720" spans="1:51" x14ac:dyDescent="0.25">
      <c r="A720" s="34">
        <v>718</v>
      </c>
      <c r="B720" s="34" t="s">
        <v>56</v>
      </c>
      <c r="C720" s="110" t="str">
        <f>IFERROR(INDEX(Структура_ассортимента[SuperCategory],MATCH(Товары[[#This Row],[SubGroup]],Структура_ассортимента[Subgroup],0)),"")</f>
        <v>A</v>
      </c>
      <c r="D720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20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20" s="110" t="str">
        <f>IFERROR(INDEX(Структура_ассортимента[Product group],MATCH(Товары[[#This Row],[SubGroup]],Структура_ассортимента[Subgroup],0)),"")</f>
        <v>LML_C</v>
      </c>
      <c r="G720" s="110" t="str">
        <f>IFERROR(INDEX(Структура_ассортимента[Product group name ENG],MATCH(Товары[[#This Row],[SubGroup]],Структура_ассортимента[Subgroup],0)),"")</f>
        <v>Lawn (Walk behind), Manual, Lawn mowers</v>
      </c>
      <c r="H720" s="110" t="str">
        <f>IFERROR(INDEX(Структура_ассортимента[Generic Name (long)3],MATCH(Товары[[#This Row],[SubGroup]],Структура_ассортимента[Subgroup],0)),"")</f>
        <v>Барабанные газонокосилки механические</v>
      </c>
      <c r="I720" s="36">
        <v>9311</v>
      </c>
      <c r="J720" s="36" t="str">
        <f>IFERROR(INDEX(Структура_ассортимента[Generic Name (long)],MATCH(Товары[[#This Row],[SubGroup]],Структура_ассортимента[Subgroup],0)),"")</f>
        <v>LAWN MOWER, CYLINDER, MANUAL</v>
      </c>
      <c r="L720" s="36">
        <v>967335201</v>
      </c>
      <c r="M720" s="35" t="s">
        <v>2404</v>
      </c>
      <c r="O720" s="35" t="s">
        <v>5822</v>
      </c>
      <c r="P720" s="37" t="s">
        <v>5823</v>
      </c>
      <c r="Q720" s="34" t="s">
        <v>3549</v>
      </c>
      <c r="R720" s="34" t="s">
        <v>3540</v>
      </c>
      <c r="S720" s="47">
        <v>42005</v>
      </c>
      <c r="T720" s="47">
        <v>0</v>
      </c>
      <c r="U720" s="47">
        <v>0</v>
      </c>
      <c r="V720" s="34">
        <v>4078500016032</v>
      </c>
      <c r="W720" s="34" t="s">
        <v>3703</v>
      </c>
      <c r="X720" s="34" t="s">
        <v>3704</v>
      </c>
      <c r="Y720" s="34" t="s">
        <v>3542</v>
      </c>
      <c r="Z720" s="34">
        <v>1</v>
      </c>
      <c r="AA720" s="34" t="s">
        <v>5824</v>
      </c>
      <c r="AB720" s="34" t="s">
        <v>5824</v>
      </c>
      <c r="AC720" s="34" t="s">
        <v>5825</v>
      </c>
      <c r="AD720" s="34" t="s">
        <v>5825</v>
      </c>
      <c r="AE720" s="34" t="s">
        <v>3854</v>
      </c>
      <c r="AF720" s="34" t="s">
        <v>4202</v>
      </c>
      <c r="AG720" s="34" t="s">
        <v>5042</v>
      </c>
      <c r="AH720" s="34" t="s">
        <v>5826</v>
      </c>
      <c r="AI720" s="34" t="s">
        <v>5728</v>
      </c>
      <c r="AJ720" s="34" t="s">
        <v>5099</v>
      </c>
      <c r="AK720" s="34" t="s">
        <v>5816</v>
      </c>
      <c r="AL720" s="34" t="s">
        <v>3617</v>
      </c>
      <c r="AM720" s="40" t="s">
        <v>233</v>
      </c>
      <c r="AT720" s="44">
        <v>0</v>
      </c>
      <c r="AU720" s="44"/>
      <c r="AV720" s="46">
        <f>ROUND(Товары[[#This Row],[РРЦ финальная, руб.]]/$AU$1,2)</f>
        <v>0</v>
      </c>
      <c r="AW720" s="45" t="str">
        <f>IFERROR(Товары[[#This Row],[РРЦ, евро]]/Товары[[#This Row],[IRP, Eur]],"-")</f>
        <v>-</v>
      </c>
      <c r="AX720" s="42">
        <f>IFERROR(VLOOKUP(Товары[[#This Row],[SubGroup]],'Структура цен DIY'!$B:$C,2,FALSE),0)</f>
        <v>0.17999999999999994</v>
      </c>
      <c r="AY720" s="44">
        <v>0</v>
      </c>
    </row>
    <row r="721" spans="1:51" x14ac:dyDescent="0.25">
      <c r="A721" s="34">
        <v>719</v>
      </c>
      <c r="B721" s="34" t="s">
        <v>56</v>
      </c>
      <c r="C721" s="110" t="str">
        <f>IFERROR(INDEX(Структура_ассортимента[SuperCategory],MATCH(Товары[[#This Row],[SubGroup]],Структура_ассортимента[Subgroup],0)),"")</f>
        <v>A</v>
      </c>
      <c r="D721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21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21" s="110" t="str">
        <f>IFERROR(INDEX(Структура_ассортимента[Product group],MATCH(Товары[[#This Row],[SubGroup]],Структура_ассортимента[Subgroup],0)),"")</f>
        <v>LML_C</v>
      </c>
      <c r="G721" s="110" t="str">
        <f>IFERROR(INDEX(Структура_ассортимента[Product group name ENG],MATCH(Товары[[#This Row],[SubGroup]],Структура_ассортимента[Subgroup],0)),"")</f>
        <v>Lawn (Walk behind), Manual, Lawn mowers</v>
      </c>
      <c r="H721" s="110" t="str">
        <f>IFERROR(INDEX(Структура_ассортимента[Generic Name (long)3],MATCH(Товары[[#This Row],[SubGroup]],Структура_ассортимента[Subgroup],0)),"")</f>
        <v>Барабанные газонокосилки механические</v>
      </c>
      <c r="I721" s="36">
        <v>9311</v>
      </c>
      <c r="J721" s="36" t="str">
        <f>IFERROR(INDEX(Структура_ассортимента[Generic Name (long)],MATCH(Товары[[#This Row],[SubGroup]],Структура_ассортимента[Subgroup],0)),"")</f>
        <v>LAWN MOWER, CYLINDER, MANUAL</v>
      </c>
      <c r="L721" s="36">
        <v>967302601</v>
      </c>
      <c r="M721" s="35" t="s">
        <v>2405</v>
      </c>
      <c r="O721" s="35" t="s">
        <v>5827</v>
      </c>
      <c r="P721" s="37" t="s">
        <v>5828</v>
      </c>
      <c r="Q721" s="34" t="s">
        <v>3549</v>
      </c>
      <c r="R721" s="34" t="s">
        <v>3540</v>
      </c>
      <c r="S721" s="47">
        <v>42005</v>
      </c>
      <c r="T721" s="47">
        <v>0</v>
      </c>
      <c r="U721" s="47">
        <v>0</v>
      </c>
      <c r="V721" s="34">
        <v>4078500005074</v>
      </c>
      <c r="W721" s="34" t="s">
        <v>3703</v>
      </c>
      <c r="X721" s="34" t="s">
        <v>3704</v>
      </c>
      <c r="Y721" s="34" t="s">
        <v>3542</v>
      </c>
      <c r="Z721" s="34">
        <v>1</v>
      </c>
      <c r="AA721" s="34" t="s">
        <v>5708</v>
      </c>
      <c r="AB721" s="34" t="s">
        <v>5708</v>
      </c>
      <c r="AC721" s="34" t="s">
        <v>5829</v>
      </c>
      <c r="AD721" s="34" t="s">
        <v>5829</v>
      </c>
      <c r="AE721" s="34" t="s">
        <v>4287</v>
      </c>
      <c r="AF721" s="34" t="s">
        <v>4202</v>
      </c>
      <c r="AG721" s="34" t="s">
        <v>5042</v>
      </c>
      <c r="AH721" s="34" t="s">
        <v>5830</v>
      </c>
      <c r="AI721" s="34" t="s">
        <v>5728</v>
      </c>
      <c r="AJ721" s="34" t="s">
        <v>5099</v>
      </c>
      <c r="AK721" s="34" t="s">
        <v>5816</v>
      </c>
      <c r="AL721" s="34" t="s">
        <v>3617</v>
      </c>
      <c r="AM721" s="40" t="s">
        <v>9</v>
      </c>
      <c r="AP721" s="34">
        <v>0</v>
      </c>
      <c r="AQ721" s="34">
        <v>12090</v>
      </c>
      <c r="AR721" s="34">
        <v>8262</v>
      </c>
      <c r="AT721" s="44">
        <v>936400</v>
      </c>
      <c r="AU721" s="44"/>
      <c r="AV721" s="46">
        <f>ROUND(Товары[[#This Row],[РРЦ финальная, руб.]]/$AU$1,2)</f>
        <v>0</v>
      </c>
      <c r="AW721" s="45" t="str">
        <f>IFERROR(Товары[[#This Row],[РРЦ, евро]]/Товары[[#This Row],[IRP, Eur]],"-")</f>
        <v>-</v>
      </c>
      <c r="AX721" s="42">
        <f>IFERROR(VLOOKUP(Товары[[#This Row],[SubGroup]],'Структура цен DIY'!$B:$C,2,FALSE),0)</f>
        <v>0.17999999999999994</v>
      </c>
      <c r="AY721" s="44">
        <v>0</v>
      </c>
    </row>
    <row r="722" spans="1:51" x14ac:dyDescent="0.25">
      <c r="A722" s="34">
        <v>720</v>
      </c>
      <c r="B722" s="34" t="s">
        <v>56</v>
      </c>
      <c r="C722" s="110" t="str">
        <f>IFERROR(INDEX(Структура_ассортимента[SuperCategory],MATCH(Товары[[#This Row],[SubGroup]],Структура_ассортимента[Subgroup],0)),"")</f>
        <v>A</v>
      </c>
      <c r="D722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22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22" s="110" t="str">
        <f>IFERROR(INDEX(Структура_ассортимента[Product group],MATCH(Товары[[#This Row],[SubGroup]],Структура_ассортимента[Subgroup],0)),"")</f>
        <v>LML_C</v>
      </c>
      <c r="G722" s="110" t="str">
        <f>IFERROR(INDEX(Структура_ассортимента[Product group name ENG],MATCH(Товары[[#This Row],[SubGroup]],Структура_ассортимента[Subgroup],0)),"")</f>
        <v>Lawn (Walk behind), Manual, Lawn mowers</v>
      </c>
      <c r="H722" s="110" t="str">
        <f>IFERROR(INDEX(Структура_ассортимента[Generic Name (long)3],MATCH(Товары[[#This Row],[SubGroup]],Структура_ассортимента[Subgroup],0)),"")</f>
        <v>Барабанные газонокосилки механические</v>
      </c>
      <c r="I722" s="36">
        <v>9311</v>
      </c>
      <c r="J722" s="36" t="str">
        <f>IFERROR(INDEX(Структура_ассортимента[Generic Name (long)],MATCH(Товары[[#This Row],[SubGroup]],Структура_ассортимента[Subgroup],0)),"")</f>
        <v>LAWN MOWER, CYLINDER, MANUAL</v>
      </c>
      <c r="L722" s="36">
        <v>967093401</v>
      </c>
      <c r="M722" s="35" t="s">
        <v>2406</v>
      </c>
      <c r="O722" s="35" t="s">
        <v>5831</v>
      </c>
      <c r="P722" s="37" t="s">
        <v>5832</v>
      </c>
      <c r="Q722" s="34" t="s">
        <v>3549</v>
      </c>
      <c r="R722" s="34" t="s">
        <v>3540</v>
      </c>
      <c r="S722" s="47">
        <v>42736</v>
      </c>
      <c r="T722" s="47">
        <v>0</v>
      </c>
      <c r="U722" s="47">
        <v>0</v>
      </c>
      <c r="V722" s="34">
        <v>4078500023351</v>
      </c>
      <c r="W722" s="34" t="s">
        <v>3703</v>
      </c>
      <c r="X722" s="34" t="s">
        <v>3704</v>
      </c>
      <c r="Y722" s="34" t="s">
        <v>3542</v>
      </c>
      <c r="Z722" s="34">
        <v>1</v>
      </c>
      <c r="AA722" s="34" t="s">
        <v>4593</v>
      </c>
      <c r="AB722" s="34" t="s">
        <v>5833</v>
      </c>
      <c r="AC722" s="34" t="s">
        <v>4593</v>
      </c>
      <c r="AD722" s="34" t="s">
        <v>5834</v>
      </c>
      <c r="AE722" s="34" t="s">
        <v>5816</v>
      </c>
      <c r="AF722" s="34" t="s">
        <v>5817</v>
      </c>
      <c r="AG722" s="34" t="s">
        <v>5285</v>
      </c>
      <c r="AH722" s="34" t="s">
        <v>5818</v>
      </c>
      <c r="AI722" s="34" t="s">
        <v>5835</v>
      </c>
      <c r="AJ722" s="34" t="s">
        <v>5836</v>
      </c>
      <c r="AK722" s="34" t="s">
        <v>3958</v>
      </c>
      <c r="AL722" s="34" t="s">
        <v>3617</v>
      </c>
      <c r="AM722" s="40" t="s">
        <v>9</v>
      </c>
      <c r="AP722" s="34">
        <v>0</v>
      </c>
      <c r="AQ722" s="34">
        <v>6990</v>
      </c>
      <c r="AR722" s="34">
        <v>4776</v>
      </c>
      <c r="AT722" s="44">
        <v>541400</v>
      </c>
      <c r="AU722" s="44"/>
      <c r="AV722" s="46">
        <f>ROUND(Товары[[#This Row],[РРЦ финальная, руб.]]/$AU$1,2)</f>
        <v>0</v>
      </c>
      <c r="AW722" s="45" t="str">
        <f>IFERROR(Товары[[#This Row],[РРЦ, евро]]/Товары[[#This Row],[IRP, Eur]],"-")</f>
        <v>-</v>
      </c>
      <c r="AX722" s="42">
        <f>IFERROR(VLOOKUP(Товары[[#This Row],[SubGroup]],'Структура цен DIY'!$B:$C,2,FALSE),0)</f>
        <v>0.17999999999999994</v>
      </c>
      <c r="AY722" s="44">
        <v>0</v>
      </c>
    </row>
    <row r="723" spans="1:51" x14ac:dyDescent="0.25">
      <c r="A723" s="34">
        <v>721</v>
      </c>
      <c r="B723" s="34" t="s">
        <v>56</v>
      </c>
      <c r="C723" s="110" t="str">
        <f>IFERROR(INDEX(Структура_ассортимента[SuperCategory],MATCH(Товары[[#This Row],[SubGroup]],Структура_ассортимента[Subgroup],0)),"")</f>
        <v/>
      </c>
      <c r="D723" s="110" t="str">
        <f>IFERROR(INDEX(Структура_ассортимента[SuperCategory Name ENG],MATCH(Товары[[#This Row],[SubGroup]],Структура_ассортимента[Subgroup],0)),"")</f>
        <v/>
      </c>
      <c r="E723" s="110" t="str">
        <f>IFERROR(INDEX(Структура_ассортимента[SuperCategory Name RUS],MATCH(Товары[[#This Row],[SubGroup]],Структура_ассортимента[Subgroup],0)),"")</f>
        <v/>
      </c>
      <c r="F723" s="110" t="str">
        <f>IFERROR(INDEX(Структура_ассортимента[Product group],MATCH(Товары[[#This Row],[SubGroup]],Структура_ассортимента[Subgroup],0)),"")</f>
        <v/>
      </c>
      <c r="G723" s="110" t="str">
        <f>IFERROR(INDEX(Структура_ассортимента[Product group name ENG],MATCH(Товары[[#This Row],[SubGroup]],Структура_ассортимента[Subgroup],0)),"")</f>
        <v/>
      </c>
      <c r="H723" s="110" t="str">
        <f>IFERROR(INDEX(Структура_ассортимента[Generic Name (long)3],MATCH(Товары[[#This Row],[SubGroup]],Структура_ассортимента[Subgroup],0)),"")</f>
        <v/>
      </c>
      <c r="I723" s="36">
        <v>8059</v>
      </c>
      <c r="J723" s="36" t="str">
        <f>IFERROR(INDEX(Структура_ассортимента[Generic Name (long)],MATCH(Товары[[#This Row],[SubGroup]],Структура_ассортимента[Subgroup],0)),"")</f>
        <v/>
      </c>
      <c r="L723" s="36">
        <v>964914055</v>
      </c>
      <c r="M723" s="35" t="s">
        <v>2407</v>
      </c>
      <c r="Q723" s="34" t="s">
        <v>3539</v>
      </c>
      <c r="R723" s="34" t="s">
        <v>3540</v>
      </c>
      <c r="S723" s="47">
        <v>37158</v>
      </c>
      <c r="T723" s="47">
        <v>0</v>
      </c>
      <c r="U723" s="47">
        <v>0</v>
      </c>
      <c r="V723" s="34">
        <v>7391439810197</v>
      </c>
      <c r="W723" s="34" t="s">
        <v>3703</v>
      </c>
      <c r="Y723" s="34" t="s">
        <v>3542</v>
      </c>
      <c r="Z723" s="34">
        <v>1</v>
      </c>
      <c r="AA723" s="34">
        <v>8200</v>
      </c>
      <c r="AB723" s="34">
        <v>10300</v>
      </c>
      <c r="AC723" s="34">
        <v>7450</v>
      </c>
      <c r="AD723" s="34">
        <v>9100</v>
      </c>
      <c r="AE723" s="34">
        <v>590</v>
      </c>
      <c r="AF723" s="34">
        <v>250</v>
      </c>
      <c r="AG723" s="34">
        <v>320</v>
      </c>
      <c r="AH723" s="34">
        <v>47.2</v>
      </c>
      <c r="AM723" s="40" t="s">
        <v>8094</v>
      </c>
      <c r="AT723" s="44">
        <v>0</v>
      </c>
      <c r="AU723" s="44"/>
      <c r="AV723" s="46">
        <f>ROUND(Товары[[#This Row],[РРЦ финальная, руб.]]/$AU$1,2)</f>
        <v>0</v>
      </c>
      <c r="AW723" s="45" t="str">
        <f>IFERROR(Товары[[#This Row],[РРЦ, евро]]/Товары[[#This Row],[IRP, Eur]],"-")</f>
        <v>-</v>
      </c>
      <c r="AX723" s="42">
        <f>IFERROR(VLOOKUP(Товары[[#This Row],[SubGroup]],'Структура цен DIY'!$B:$C,2,FALSE),0)</f>
        <v>0</v>
      </c>
      <c r="AY723" s="44">
        <v>0</v>
      </c>
    </row>
    <row r="724" spans="1:51" x14ac:dyDescent="0.25">
      <c r="A724" s="34">
        <v>722</v>
      </c>
      <c r="B724" s="34" t="s">
        <v>56</v>
      </c>
      <c r="C724" s="110" t="str">
        <f>IFERROR(INDEX(Структура_ассортимента[SuperCategory],MATCH(Товары[[#This Row],[SubGroup]],Структура_ассортимента[Subgroup],0)),"")</f>
        <v/>
      </c>
      <c r="D724" s="110" t="str">
        <f>IFERROR(INDEX(Структура_ассортимента[SuperCategory Name ENG],MATCH(Товары[[#This Row],[SubGroup]],Структура_ассортимента[Subgroup],0)),"")</f>
        <v/>
      </c>
      <c r="E724" s="110" t="str">
        <f>IFERROR(INDEX(Структура_ассортимента[SuperCategory Name RUS],MATCH(Товары[[#This Row],[SubGroup]],Структура_ассортимента[Subgroup],0)),"")</f>
        <v/>
      </c>
      <c r="F724" s="110" t="str">
        <f>IFERROR(INDEX(Структура_ассортимента[Product group],MATCH(Товары[[#This Row],[SubGroup]],Структура_ассортимента[Subgroup],0)),"")</f>
        <v/>
      </c>
      <c r="G724" s="110" t="str">
        <f>IFERROR(INDEX(Структура_ассортимента[Product group name ENG],MATCH(Товары[[#This Row],[SubGroup]],Структура_ассортимента[Subgroup],0)),"")</f>
        <v/>
      </c>
      <c r="H724" s="110" t="str">
        <f>IFERROR(INDEX(Структура_ассортимента[Generic Name (long)3],MATCH(Товары[[#This Row],[SubGroup]],Структура_ассортимента[Subgroup],0)),"")</f>
        <v/>
      </c>
      <c r="I724" s="36">
        <v>8059</v>
      </c>
      <c r="J724" s="36" t="str">
        <f>IFERROR(INDEX(Структура_ассортимента[Generic Name (long)],MATCH(Товары[[#This Row],[SubGroup]],Структура_ассортимента[Subgroup],0)),"")</f>
        <v/>
      </c>
      <c r="L724" s="36">
        <v>964914070</v>
      </c>
      <c r="M724" s="35" t="s">
        <v>2408</v>
      </c>
      <c r="Q724" s="34" t="s">
        <v>3539</v>
      </c>
      <c r="R724" s="34" t="s">
        <v>3540</v>
      </c>
      <c r="S724" s="47">
        <v>38649</v>
      </c>
      <c r="T724" s="47">
        <v>0</v>
      </c>
      <c r="U724" s="47">
        <v>0</v>
      </c>
      <c r="V724" s="34">
        <v>7391439811798</v>
      </c>
      <c r="W724" s="34" t="s">
        <v>3703</v>
      </c>
      <c r="Y724" s="34" t="s">
        <v>3542</v>
      </c>
      <c r="Z724" s="34">
        <v>1</v>
      </c>
      <c r="AA724" s="34">
        <v>8800</v>
      </c>
      <c r="AB724" s="34">
        <v>8800</v>
      </c>
      <c r="AC724" s="34">
        <v>8050</v>
      </c>
      <c r="AD724" s="34">
        <v>8050</v>
      </c>
      <c r="AE724" s="34">
        <v>590</v>
      </c>
      <c r="AF724" s="34">
        <v>250</v>
      </c>
      <c r="AG724" s="34">
        <v>320</v>
      </c>
      <c r="AH724" s="34">
        <v>47.2</v>
      </c>
      <c r="AM724" s="40" t="s">
        <v>8094</v>
      </c>
      <c r="AT724" s="44">
        <v>0</v>
      </c>
      <c r="AU724" s="44"/>
      <c r="AV724" s="46">
        <f>ROUND(Товары[[#This Row],[РРЦ финальная, руб.]]/$AU$1,2)</f>
        <v>0</v>
      </c>
      <c r="AW724" s="45" t="str">
        <f>IFERROR(Товары[[#This Row],[РРЦ, евро]]/Товары[[#This Row],[IRP, Eur]],"-")</f>
        <v>-</v>
      </c>
      <c r="AX724" s="42">
        <f>IFERROR(VLOOKUP(Товары[[#This Row],[SubGroup]],'Структура цен DIY'!$B:$C,2,FALSE),0)</f>
        <v>0</v>
      </c>
      <c r="AY724" s="44">
        <v>0</v>
      </c>
    </row>
    <row r="725" spans="1:51" x14ac:dyDescent="0.25">
      <c r="A725" s="34">
        <v>723</v>
      </c>
      <c r="B725" s="34" t="s">
        <v>56</v>
      </c>
      <c r="C725" s="110" t="str">
        <f>IFERROR(INDEX(Структура_ассортимента[SuperCategory],MATCH(Товары[[#This Row],[SubGroup]],Структура_ассортимента[Subgroup],0)),"")</f>
        <v/>
      </c>
      <c r="D725" s="110" t="str">
        <f>IFERROR(INDEX(Структура_ассортимента[SuperCategory Name ENG],MATCH(Товары[[#This Row],[SubGroup]],Структура_ассортимента[Subgroup],0)),"")</f>
        <v/>
      </c>
      <c r="E725" s="110" t="str">
        <f>IFERROR(INDEX(Структура_ассортимента[SuperCategory Name RUS],MATCH(Товары[[#This Row],[SubGroup]],Структура_ассортимента[Subgroup],0)),"")</f>
        <v/>
      </c>
      <c r="F725" s="110" t="str">
        <f>IFERROR(INDEX(Структура_ассортимента[Product group],MATCH(Товары[[#This Row],[SubGroup]],Структура_ассортимента[Subgroup],0)),"")</f>
        <v/>
      </c>
      <c r="G725" s="110" t="str">
        <f>IFERROR(INDEX(Структура_ассортимента[Product group name ENG],MATCH(Товары[[#This Row],[SubGroup]],Структура_ассортимента[Subgroup],0)),"")</f>
        <v/>
      </c>
      <c r="H725" s="110" t="str">
        <f>IFERROR(INDEX(Структура_ассортимента[Generic Name (long)3],MATCH(Товары[[#This Row],[SubGroup]],Структура_ассортимента[Subgroup],0)),"")</f>
        <v/>
      </c>
      <c r="I725" s="36">
        <v>8059</v>
      </c>
      <c r="J725" s="36" t="str">
        <f>IFERROR(INDEX(Структура_ассортимента[Generic Name (long)],MATCH(Товары[[#This Row],[SubGroup]],Структура_ассортимента[Subgroup],0)),"")</f>
        <v/>
      </c>
      <c r="L725" s="36">
        <v>964934028</v>
      </c>
      <c r="M725" s="35" t="s">
        <v>2409</v>
      </c>
      <c r="Q725" s="34" t="s">
        <v>3539</v>
      </c>
      <c r="R725" s="34" t="s">
        <v>3540</v>
      </c>
      <c r="S725" s="47">
        <v>33499</v>
      </c>
      <c r="T725" s="47">
        <v>0</v>
      </c>
      <c r="U725" s="47">
        <v>0</v>
      </c>
      <c r="V725" s="34">
        <v>7391439810364</v>
      </c>
      <c r="W725" s="34" t="s">
        <v>3703</v>
      </c>
      <c r="Y725" s="34" t="s">
        <v>3542</v>
      </c>
      <c r="Z725" s="34">
        <v>1</v>
      </c>
      <c r="AA725" s="34">
        <v>8200</v>
      </c>
      <c r="AB725" s="34">
        <v>8800</v>
      </c>
      <c r="AC725" s="34">
        <v>7450</v>
      </c>
      <c r="AD725" s="34">
        <v>8050</v>
      </c>
      <c r="AE725" s="34">
        <v>590</v>
      </c>
      <c r="AF725" s="34">
        <v>250</v>
      </c>
      <c r="AG725" s="34">
        <v>320</v>
      </c>
      <c r="AH725" s="34">
        <v>47.2</v>
      </c>
      <c r="AM725" s="40" t="s">
        <v>8094</v>
      </c>
      <c r="AT725" s="44">
        <v>0</v>
      </c>
      <c r="AU725" s="44"/>
      <c r="AV725" s="46">
        <f>ROUND(Товары[[#This Row],[РРЦ финальная, руб.]]/$AU$1,2)</f>
        <v>0</v>
      </c>
      <c r="AW725" s="45" t="str">
        <f>IFERROR(Товары[[#This Row],[РРЦ, евро]]/Товары[[#This Row],[IRP, Eur]],"-")</f>
        <v>-</v>
      </c>
      <c r="AX725" s="42">
        <f>IFERROR(VLOOKUP(Товары[[#This Row],[SubGroup]],'Структура цен DIY'!$B:$C,2,FALSE),0)</f>
        <v>0</v>
      </c>
      <c r="AY725" s="44">
        <v>0</v>
      </c>
    </row>
    <row r="726" spans="1:51" x14ac:dyDescent="0.25">
      <c r="A726" s="34">
        <v>724</v>
      </c>
      <c r="B726" s="34" t="s">
        <v>56</v>
      </c>
      <c r="C726" s="110" t="str">
        <f>IFERROR(INDEX(Структура_ассортимента[SuperCategory],MATCH(Товары[[#This Row],[SubGroup]],Структура_ассортимента[Subgroup],0)),"")</f>
        <v/>
      </c>
      <c r="D726" s="110" t="str">
        <f>IFERROR(INDEX(Структура_ассортимента[SuperCategory Name ENG],MATCH(Товары[[#This Row],[SubGroup]],Структура_ассортимента[Subgroup],0)),"")</f>
        <v/>
      </c>
      <c r="E726" s="110" t="str">
        <f>IFERROR(INDEX(Структура_ассортимента[SuperCategory Name RUS],MATCH(Товары[[#This Row],[SubGroup]],Структура_ассортимента[Subgroup],0)),"")</f>
        <v/>
      </c>
      <c r="F726" s="110" t="str">
        <f>IFERROR(INDEX(Структура_ассортимента[Product group],MATCH(Товары[[#This Row],[SubGroup]],Структура_ассортимента[Subgroup],0)),"")</f>
        <v/>
      </c>
      <c r="G726" s="110" t="str">
        <f>IFERROR(INDEX(Структура_ассортимента[Product group name ENG],MATCH(Товары[[#This Row],[SubGroup]],Структура_ассортимента[Subgroup],0)),"")</f>
        <v/>
      </c>
      <c r="H726" s="110" t="str">
        <f>IFERROR(INDEX(Структура_ассортимента[Generic Name (long)3],MATCH(Товары[[#This Row],[SubGroup]],Структура_ассортимента[Subgroup],0)),"")</f>
        <v/>
      </c>
      <c r="I726" s="36">
        <v>8059</v>
      </c>
      <c r="J726" s="36" t="str">
        <f>IFERROR(INDEX(Структура_ассортимента[Generic Name (long)],MATCH(Товары[[#This Row],[SubGroup]],Структура_ассортимента[Subgroup],0)),"")</f>
        <v/>
      </c>
      <c r="L726" s="36">
        <v>964944017</v>
      </c>
      <c r="M726" s="35" t="s">
        <v>2410</v>
      </c>
      <c r="Q726" s="34" t="s">
        <v>3539</v>
      </c>
      <c r="R726" s="34" t="s">
        <v>3540</v>
      </c>
      <c r="S726" s="47">
        <v>38307</v>
      </c>
      <c r="T726" s="47">
        <v>0</v>
      </c>
      <c r="U726" s="47">
        <v>0</v>
      </c>
      <c r="V726" s="34">
        <v>7391439811781</v>
      </c>
      <c r="W726" s="34" t="s">
        <v>3703</v>
      </c>
      <c r="Y726" s="34" t="s">
        <v>3542</v>
      </c>
      <c r="Z726" s="34">
        <v>1</v>
      </c>
      <c r="AA726" s="34">
        <v>9500</v>
      </c>
      <c r="AB726" s="34">
        <v>9500</v>
      </c>
      <c r="AC726" s="34">
        <v>8750</v>
      </c>
      <c r="AD726" s="34">
        <v>8750</v>
      </c>
      <c r="AE726" s="34">
        <v>590</v>
      </c>
      <c r="AF726" s="34">
        <v>250</v>
      </c>
      <c r="AG726" s="34">
        <v>320</v>
      </c>
      <c r="AH726" s="34">
        <v>47.2</v>
      </c>
      <c r="AM726" s="40" t="s">
        <v>8094</v>
      </c>
      <c r="AT726" s="44">
        <v>0</v>
      </c>
      <c r="AU726" s="44"/>
      <c r="AV726" s="46">
        <f>ROUND(Товары[[#This Row],[РРЦ финальная, руб.]]/$AU$1,2)</f>
        <v>0</v>
      </c>
      <c r="AW726" s="45" t="str">
        <f>IFERROR(Товары[[#This Row],[РРЦ, евро]]/Товары[[#This Row],[IRP, Eur]],"-")</f>
        <v>-</v>
      </c>
      <c r="AX726" s="42">
        <f>IFERROR(VLOOKUP(Товары[[#This Row],[SubGroup]],'Структура цен DIY'!$B:$C,2,FALSE),0)</f>
        <v>0</v>
      </c>
      <c r="AY726" s="44">
        <v>0</v>
      </c>
    </row>
    <row r="727" spans="1:51" x14ac:dyDescent="0.25">
      <c r="A727" s="34">
        <v>725</v>
      </c>
      <c r="B727" s="34" t="s">
        <v>56</v>
      </c>
      <c r="C727" s="110" t="str">
        <f>IFERROR(INDEX(Структура_ассортимента[SuperCategory],MATCH(Товары[[#This Row],[SubGroup]],Структура_ассортимента[Subgroup],0)),"")</f>
        <v/>
      </c>
      <c r="D727" s="110" t="str">
        <f>IFERROR(INDEX(Структура_ассортимента[SuperCategory Name ENG],MATCH(Товары[[#This Row],[SubGroup]],Структура_ассортимента[Subgroup],0)),"")</f>
        <v/>
      </c>
      <c r="E727" s="110" t="str">
        <f>IFERROR(INDEX(Структура_ассортимента[SuperCategory Name RUS],MATCH(Товары[[#This Row],[SubGroup]],Структура_ассортимента[Subgroup],0)),"")</f>
        <v/>
      </c>
      <c r="F727" s="110" t="str">
        <f>IFERROR(INDEX(Структура_ассортимента[Product group],MATCH(Товары[[#This Row],[SubGroup]],Структура_ассортимента[Subgroup],0)),"")</f>
        <v/>
      </c>
      <c r="G727" s="110" t="str">
        <f>IFERROR(INDEX(Структура_ассортимента[Product group name ENG],MATCH(Товары[[#This Row],[SubGroup]],Структура_ассортимента[Subgroup],0)),"")</f>
        <v/>
      </c>
      <c r="H727" s="110" t="str">
        <f>IFERROR(INDEX(Структура_ассортимента[Generic Name (long)3],MATCH(Товары[[#This Row],[SubGroup]],Структура_ассортимента[Subgroup],0)),"")</f>
        <v/>
      </c>
      <c r="I727" s="36">
        <v>8059</v>
      </c>
      <c r="J727" s="36" t="str">
        <f>IFERROR(INDEX(Структура_ассортимента[Generic Name (long)],MATCH(Товары[[#This Row],[SubGroup]],Структура_ассортимента[Subgroup],0)),"")</f>
        <v/>
      </c>
      <c r="L727" s="36">
        <v>964914052</v>
      </c>
      <c r="M727" s="35" t="s">
        <v>2411</v>
      </c>
      <c r="Q727" s="34" t="s">
        <v>3539</v>
      </c>
      <c r="R727" s="34" t="s">
        <v>3540</v>
      </c>
      <c r="S727" s="47">
        <v>31847</v>
      </c>
      <c r="T727" s="47">
        <v>0</v>
      </c>
      <c r="U727" s="47">
        <v>0</v>
      </c>
      <c r="V727" s="34">
        <v>7391883038109</v>
      </c>
      <c r="W727" s="34" t="s">
        <v>3703</v>
      </c>
      <c r="Y727" s="34" t="s">
        <v>3542</v>
      </c>
      <c r="Z727" s="34">
        <v>1</v>
      </c>
      <c r="AA727" s="34">
        <v>9000</v>
      </c>
      <c r="AB727" s="34">
        <v>9000</v>
      </c>
      <c r="AC727" s="34">
        <v>8250</v>
      </c>
      <c r="AD727" s="34">
        <v>8250</v>
      </c>
      <c r="AE727" s="34">
        <v>590</v>
      </c>
      <c r="AF727" s="34">
        <v>250</v>
      </c>
      <c r="AG727" s="34">
        <v>320</v>
      </c>
      <c r="AH727" s="34">
        <v>47.2</v>
      </c>
      <c r="AM727" s="40" t="s">
        <v>8094</v>
      </c>
      <c r="AT727" s="44">
        <v>0</v>
      </c>
      <c r="AU727" s="44"/>
      <c r="AV727" s="46">
        <f>ROUND(Товары[[#This Row],[РРЦ финальная, руб.]]/$AU$1,2)</f>
        <v>0</v>
      </c>
      <c r="AW727" s="45" t="str">
        <f>IFERROR(Товары[[#This Row],[РРЦ, евро]]/Товары[[#This Row],[IRP, Eur]],"-")</f>
        <v>-</v>
      </c>
      <c r="AX727" s="42">
        <f>IFERROR(VLOOKUP(Товары[[#This Row],[SubGroup]],'Структура цен DIY'!$B:$C,2,FALSE),0)</f>
        <v>0</v>
      </c>
      <c r="AY727" s="44">
        <v>0</v>
      </c>
    </row>
    <row r="728" spans="1:51" x14ac:dyDescent="0.25">
      <c r="A728" s="34">
        <v>726</v>
      </c>
      <c r="B728" s="34" t="s">
        <v>56</v>
      </c>
      <c r="C728" s="110" t="str">
        <f>IFERROR(INDEX(Структура_ассортимента[SuperCategory],MATCH(Товары[[#This Row],[SubGroup]],Структура_ассортимента[Subgroup],0)),"")</f>
        <v/>
      </c>
      <c r="D728" s="110" t="str">
        <f>IFERROR(INDEX(Структура_ассортимента[SuperCategory Name ENG],MATCH(Товары[[#This Row],[SubGroup]],Структура_ассортимента[Subgroup],0)),"")</f>
        <v/>
      </c>
      <c r="E728" s="110" t="str">
        <f>IFERROR(INDEX(Структура_ассортимента[SuperCategory Name RUS],MATCH(Товары[[#This Row],[SubGroup]],Структура_ассортимента[Subgroup],0)),"")</f>
        <v/>
      </c>
      <c r="F728" s="110" t="str">
        <f>IFERROR(INDEX(Структура_ассортимента[Product group],MATCH(Товары[[#This Row],[SubGroup]],Структура_ассортимента[Subgroup],0)),"")</f>
        <v/>
      </c>
      <c r="G728" s="110" t="str">
        <f>IFERROR(INDEX(Структура_ассортимента[Product group name ENG],MATCH(Товары[[#This Row],[SubGroup]],Структура_ассортимента[Subgroup],0)),"")</f>
        <v/>
      </c>
      <c r="H728" s="110" t="str">
        <f>IFERROR(INDEX(Структура_ассортимента[Generic Name (long)3],MATCH(Товары[[#This Row],[SubGroup]],Структура_ассортимента[Subgroup],0)),"")</f>
        <v/>
      </c>
      <c r="I728" s="36">
        <v>8059</v>
      </c>
      <c r="J728" s="36" t="str">
        <f>IFERROR(INDEX(Структура_ассортимента[Generic Name (long)],MATCH(Товары[[#This Row],[SubGroup]],Структура_ассортимента[Subgroup],0)),"")</f>
        <v/>
      </c>
      <c r="L728" s="36">
        <v>964944001</v>
      </c>
      <c r="M728" s="35" t="s">
        <v>2412</v>
      </c>
      <c r="Q728" s="34" t="s">
        <v>3539</v>
      </c>
      <c r="R728" s="34" t="s">
        <v>3540</v>
      </c>
      <c r="S728" s="47">
        <v>36428</v>
      </c>
      <c r="T728" s="47">
        <v>0</v>
      </c>
      <c r="U728" s="47">
        <v>0</v>
      </c>
      <c r="V728" s="34">
        <v>7391883041215</v>
      </c>
      <c r="W728" s="34" t="s">
        <v>3703</v>
      </c>
      <c r="Y728" s="34" t="s">
        <v>3542</v>
      </c>
      <c r="Z728" s="34">
        <v>1</v>
      </c>
      <c r="AA728" s="34">
        <v>10100</v>
      </c>
      <c r="AB728" s="34">
        <v>10100</v>
      </c>
      <c r="AC728" s="34">
        <v>9350</v>
      </c>
      <c r="AD728" s="34">
        <v>9350</v>
      </c>
      <c r="AE728" s="34">
        <v>600</v>
      </c>
      <c r="AF728" s="34">
        <v>390</v>
      </c>
      <c r="AG728" s="34">
        <v>290</v>
      </c>
      <c r="AH728" s="34">
        <v>67.86</v>
      </c>
      <c r="AM728" s="40" t="s">
        <v>8094</v>
      </c>
      <c r="AT728" s="44">
        <v>0</v>
      </c>
      <c r="AU728" s="44"/>
      <c r="AV728" s="46">
        <f>ROUND(Товары[[#This Row],[РРЦ финальная, руб.]]/$AU$1,2)</f>
        <v>0</v>
      </c>
      <c r="AW728" s="45" t="str">
        <f>IFERROR(Товары[[#This Row],[РРЦ, евро]]/Товары[[#This Row],[IRP, Eur]],"-")</f>
        <v>-</v>
      </c>
      <c r="AX728" s="42">
        <f>IFERROR(VLOOKUP(Товары[[#This Row],[SubGroup]],'Структура цен DIY'!$B:$C,2,FALSE),0)</f>
        <v>0</v>
      </c>
      <c r="AY728" s="44">
        <v>0</v>
      </c>
    </row>
    <row r="729" spans="1:51" x14ac:dyDescent="0.25">
      <c r="A729" s="34">
        <v>727</v>
      </c>
      <c r="B729" s="34" t="s">
        <v>56</v>
      </c>
      <c r="C729" s="110" t="str">
        <f>IFERROR(INDEX(Структура_ассортимента[SuperCategory],MATCH(Товары[[#This Row],[SubGroup]],Структура_ассортимента[Subgroup],0)),"")</f>
        <v/>
      </c>
      <c r="D729" s="110" t="str">
        <f>IFERROR(INDEX(Структура_ассортимента[SuperCategory Name ENG],MATCH(Товары[[#This Row],[SubGroup]],Структура_ассортимента[Subgroup],0)),"")</f>
        <v/>
      </c>
      <c r="E729" s="110" t="str">
        <f>IFERROR(INDEX(Структура_ассортимента[SuperCategory Name RUS],MATCH(Товары[[#This Row],[SubGroup]],Структура_ассортимента[Subgroup],0)),"")</f>
        <v/>
      </c>
      <c r="F729" s="110" t="str">
        <f>IFERROR(INDEX(Структура_ассортимента[Product group],MATCH(Товары[[#This Row],[SubGroup]],Структура_ассортимента[Subgroup],0)),"")</f>
        <v/>
      </c>
      <c r="G729" s="110" t="str">
        <f>IFERROR(INDEX(Структура_ассортимента[Product group name ENG],MATCH(Товары[[#This Row],[SubGroup]],Структура_ассортимента[Subgroup],0)),"")</f>
        <v/>
      </c>
      <c r="H729" s="110" t="str">
        <f>IFERROR(INDEX(Структура_ассортимента[Generic Name (long)3],MATCH(Товары[[#This Row],[SubGroup]],Структура_ассортимента[Subgroup],0)),"")</f>
        <v/>
      </c>
      <c r="I729" s="36">
        <v>8059</v>
      </c>
      <c r="J729" s="36" t="str">
        <f>IFERROR(INDEX(Структура_ассортимента[Generic Name (long)],MATCH(Товары[[#This Row],[SubGroup]],Структура_ассортимента[Subgroup],0)),"")</f>
        <v/>
      </c>
      <c r="L729" s="36">
        <v>964954003</v>
      </c>
      <c r="M729" s="35" t="s">
        <v>2413</v>
      </c>
      <c r="Q729" s="34" t="s">
        <v>3539</v>
      </c>
      <c r="R729" s="34" t="s">
        <v>3540</v>
      </c>
      <c r="S729" s="47">
        <v>36251</v>
      </c>
      <c r="T729" s="47">
        <v>0</v>
      </c>
      <c r="U729" s="47">
        <v>0</v>
      </c>
      <c r="V729" s="34">
        <v>7391439811484</v>
      </c>
      <c r="W729" s="34" t="s">
        <v>3703</v>
      </c>
      <c r="Y729" s="34" t="s">
        <v>3542</v>
      </c>
      <c r="Z729" s="34">
        <v>1</v>
      </c>
      <c r="AA729" s="34">
        <v>9500</v>
      </c>
      <c r="AB729" s="34">
        <v>9500</v>
      </c>
      <c r="AC729" s="34">
        <v>8500</v>
      </c>
      <c r="AD729" s="34">
        <v>8500</v>
      </c>
      <c r="AE729" s="34">
        <v>590</v>
      </c>
      <c r="AF729" s="34">
        <v>250</v>
      </c>
      <c r="AG729" s="34">
        <v>345</v>
      </c>
      <c r="AH729" s="34">
        <v>50.887999999999998</v>
      </c>
      <c r="AM729" s="40" t="s">
        <v>8094</v>
      </c>
      <c r="AT729" s="44">
        <v>0</v>
      </c>
      <c r="AU729" s="44"/>
      <c r="AV729" s="46">
        <f>ROUND(Товары[[#This Row],[РРЦ финальная, руб.]]/$AU$1,2)</f>
        <v>0</v>
      </c>
      <c r="AW729" s="45" t="str">
        <f>IFERROR(Товары[[#This Row],[РРЦ, евро]]/Товары[[#This Row],[IRP, Eur]],"-")</f>
        <v>-</v>
      </c>
      <c r="AX729" s="42">
        <f>IFERROR(VLOOKUP(Товары[[#This Row],[SubGroup]],'Структура цен DIY'!$B:$C,2,FALSE),0)</f>
        <v>0</v>
      </c>
      <c r="AY729" s="44">
        <v>0</v>
      </c>
    </row>
    <row r="730" spans="1:51" x14ac:dyDescent="0.25">
      <c r="A730" s="34">
        <v>728</v>
      </c>
      <c r="B730" s="34" t="s">
        <v>56</v>
      </c>
      <c r="C730" s="110" t="str">
        <f>IFERROR(INDEX(Структура_ассортимента[SuperCategory],MATCH(Товары[[#This Row],[SubGroup]],Структура_ассортимента[Subgroup],0)),"")</f>
        <v/>
      </c>
      <c r="D730" s="110" t="str">
        <f>IFERROR(INDEX(Структура_ассортимента[SuperCategory Name ENG],MATCH(Товары[[#This Row],[SubGroup]],Структура_ассортимента[Subgroup],0)),"")</f>
        <v/>
      </c>
      <c r="E730" s="110" t="str">
        <f>IFERROR(INDEX(Структура_ассортимента[SuperCategory Name RUS],MATCH(Товары[[#This Row],[SubGroup]],Структура_ассортимента[Subgroup],0)),"")</f>
        <v/>
      </c>
      <c r="F730" s="110" t="str">
        <f>IFERROR(INDEX(Структура_ассортимента[Product group],MATCH(Товары[[#This Row],[SubGroup]],Структура_ассортимента[Subgroup],0)),"")</f>
        <v/>
      </c>
      <c r="G730" s="110" t="str">
        <f>IFERROR(INDEX(Структура_ассортимента[Product group name ENG],MATCH(Товары[[#This Row],[SubGroup]],Структура_ассортимента[Subgroup],0)),"")</f>
        <v/>
      </c>
      <c r="H730" s="110" t="str">
        <f>IFERROR(INDEX(Структура_ассортимента[Generic Name (long)3],MATCH(Товары[[#This Row],[SubGroup]],Структура_ассортимента[Subgroup],0)),"")</f>
        <v/>
      </c>
      <c r="I730" s="36">
        <v>8059</v>
      </c>
      <c r="J730" s="36" t="str">
        <f>IFERROR(INDEX(Структура_ассортимента[Generic Name (long)],MATCH(Товары[[#This Row],[SubGroup]],Структура_ассортимента[Subgroup],0)),"")</f>
        <v/>
      </c>
      <c r="L730" s="36">
        <v>964944015</v>
      </c>
      <c r="M730" s="35" t="s">
        <v>2414</v>
      </c>
      <c r="Q730" s="34" t="s">
        <v>3539</v>
      </c>
      <c r="R730" s="34" t="s">
        <v>3540</v>
      </c>
      <c r="S730" s="47">
        <v>37523</v>
      </c>
      <c r="T730" s="47">
        <v>0</v>
      </c>
      <c r="U730" s="47">
        <v>0</v>
      </c>
      <c r="V730" s="34">
        <v>7391439811682</v>
      </c>
      <c r="W730" s="34" t="s">
        <v>3703</v>
      </c>
      <c r="Y730" s="34" t="s">
        <v>3542</v>
      </c>
      <c r="Z730" s="34">
        <v>1</v>
      </c>
      <c r="AA730" s="34">
        <v>10100</v>
      </c>
      <c r="AB730" s="34">
        <v>10100</v>
      </c>
      <c r="AC730" s="34">
        <v>9100</v>
      </c>
      <c r="AD730" s="34">
        <v>9100</v>
      </c>
      <c r="AE730" s="34">
        <v>600</v>
      </c>
      <c r="AF730" s="34">
        <v>390</v>
      </c>
      <c r="AG730" s="34">
        <v>290</v>
      </c>
      <c r="AH730" s="34">
        <v>67.86</v>
      </c>
      <c r="AM730" s="40" t="s">
        <v>8094</v>
      </c>
      <c r="AT730" s="44">
        <v>0</v>
      </c>
      <c r="AU730" s="44"/>
      <c r="AV730" s="46">
        <f>ROUND(Товары[[#This Row],[РРЦ финальная, руб.]]/$AU$1,2)</f>
        <v>0</v>
      </c>
      <c r="AW730" s="45" t="str">
        <f>IFERROR(Товары[[#This Row],[РРЦ, евро]]/Товары[[#This Row],[IRP, Eur]],"-")</f>
        <v>-</v>
      </c>
      <c r="AX730" s="42">
        <f>IFERROR(VLOOKUP(Товары[[#This Row],[SubGroup]],'Структура цен DIY'!$B:$C,2,FALSE),0)</f>
        <v>0</v>
      </c>
      <c r="AY730" s="44">
        <v>0</v>
      </c>
    </row>
    <row r="731" spans="1:51" x14ac:dyDescent="0.25">
      <c r="A731" s="34">
        <v>729</v>
      </c>
      <c r="B731" s="34" t="s">
        <v>56</v>
      </c>
      <c r="C731" s="110" t="str">
        <f>IFERROR(INDEX(Структура_ассортимента[SuperCategory],MATCH(Товары[[#This Row],[SubGroup]],Структура_ассортимента[Subgroup],0)),"")</f>
        <v/>
      </c>
      <c r="D731" s="110" t="str">
        <f>IFERROR(INDEX(Структура_ассортимента[SuperCategory Name ENG],MATCH(Товары[[#This Row],[SubGroup]],Структура_ассортимента[Subgroup],0)),"")</f>
        <v/>
      </c>
      <c r="E731" s="110" t="str">
        <f>IFERROR(INDEX(Структура_ассортимента[SuperCategory Name RUS],MATCH(Товары[[#This Row],[SubGroup]],Структура_ассортимента[Subgroup],0)),"")</f>
        <v/>
      </c>
      <c r="F731" s="110" t="str">
        <f>IFERROR(INDEX(Структура_ассортимента[Product group],MATCH(Товары[[#This Row],[SubGroup]],Структура_ассортимента[Subgroup],0)),"")</f>
        <v/>
      </c>
      <c r="G731" s="110" t="str">
        <f>IFERROR(INDEX(Структура_ассортимента[Product group name ENG],MATCH(Товары[[#This Row],[SubGroup]],Структура_ассортимента[Subgroup],0)),"")</f>
        <v/>
      </c>
      <c r="H731" s="110" t="str">
        <f>IFERROR(INDEX(Структура_ассортимента[Generic Name (long)3],MATCH(Товары[[#This Row],[SubGroup]],Структура_ассортимента[Subgroup],0)),"")</f>
        <v/>
      </c>
      <c r="I731" s="36">
        <v>8059</v>
      </c>
      <c r="J731" s="36" t="str">
        <f>IFERROR(INDEX(Структура_ассортимента[Generic Name (long)],MATCH(Товары[[#This Row],[SubGroup]],Структура_ассортимента[Subgroup],0)),"")</f>
        <v/>
      </c>
      <c r="L731" s="36">
        <v>964901030</v>
      </c>
      <c r="M731" s="35" t="s">
        <v>2415</v>
      </c>
      <c r="Q731" s="34" t="s">
        <v>3539</v>
      </c>
      <c r="R731" s="34" t="s">
        <v>3540</v>
      </c>
      <c r="S731" s="47">
        <v>39083</v>
      </c>
      <c r="T731" s="47">
        <v>0</v>
      </c>
      <c r="U731" s="47">
        <v>0</v>
      </c>
      <c r="V731" s="34">
        <v>7391439811828</v>
      </c>
      <c r="Y731" s="34" t="s">
        <v>3542</v>
      </c>
      <c r="Z731" s="34">
        <v>1</v>
      </c>
      <c r="AA731" s="34">
        <v>2000</v>
      </c>
      <c r="AB731" s="34">
        <v>2000</v>
      </c>
      <c r="AC731" s="34">
        <v>1800</v>
      </c>
      <c r="AD731" s="34">
        <v>1800</v>
      </c>
      <c r="AE731" s="34">
        <v>560</v>
      </c>
      <c r="AF731" s="34">
        <v>490</v>
      </c>
      <c r="AG731" s="34">
        <v>80</v>
      </c>
      <c r="AH731" s="34">
        <v>21952</v>
      </c>
      <c r="AM731" s="40" t="s">
        <v>8094</v>
      </c>
      <c r="AT731" s="44">
        <v>0</v>
      </c>
      <c r="AU731" s="44"/>
      <c r="AV731" s="46">
        <f>ROUND(Товары[[#This Row],[РРЦ финальная, руб.]]/$AU$1,2)</f>
        <v>0</v>
      </c>
      <c r="AW731" s="45" t="str">
        <f>IFERROR(Товары[[#This Row],[РРЦ, евро]]/Товары[[#This Row],[IRP, Eur]],"-")</f>
        <v>-</v>
      </c>
      <c r="AX731" s="42">
        <f>IFERROR(VLOOKUP(Товары[[#This Row],[SubGroup]],'Структура цен DIY'!$B:$C,2,FALSE),0)</f>
        <v>0</v>
      </c>
      <c r="AY731" s="44">
        <v>0</v>
      </c>
    </row>
    <row r="732" spans="1:51" x14ac:dyDescent="0.25">
      <c r="A732" s="34">
        <v>730</v>
      </c>
      <c r="B732" s="34" t="s">
        <v>56</v>
      </c>
      <c r="C732" s="110" t="str">
        <f>IFERROR(INDEX(Структура_ассортимента[SuperCategory],MATCH(Товары[[#This Row],[SubGroup]],Структура_ассортимента[Subgroup],0)),"")</f>
        <v/>
      </c>
      <c r="D732" s="110" t="str">
        <f>IFERROR(INDEX(Структура_ассортимента[SuperCategory Name ENG],MATCH(Товары[[#This Row],[SubGroup]],Структура_ассортимента[Subgroup],0)),"")</f>
        <v/>
      </c>
      <c r="E732" s="110" t="str">
        <f>IFERROR(INDEX(Структура_ассортимента[SuperCategory Name RUS],MATCH(Товары[[#This Row],[SubGroup]],Структура_ассортимента[Subgroup],0)),"")</f>
        <v/>
      </c>
      <c r="F732" s="110" t="str">
        <f>IFERROR(INDEX(Структура_ассортимента[Product group],MATCH(Товары[[#This Row],[SubGroup]],Структура_ассортимента[Subgroup],0)),"")</f>
        <v/>
      </c>
      <c r="G732" s="110" t="str">
        <f>IFERROR(INDEX(Структура_ассортимента[Product group name ENG],MATCH(Товары[[#This Row],[SubGroup]],Структура_ассортимента[Subgroup],0)),"")</f>
        <v/>
      </c>
      <c r="H732" s="110" t="str">
        <f>IFERROR(INDEX(Структура_ассортимента[Generic Name (long)3],MATCH(Товары[[#This Row],[SubGroup]],Структура_ассортимента[Subgroup],0)),"")</f>
        <v/>
      </c>
      <c r="I732" s="36">
        <v>8059</v>
      </c>
      <c r="J732" s="36" t="str">
        <f>IFERROR(INDEX(Структура_ассортимента[Generic Name (long)],MATCH(Товары[[#This Row],[SubGroup]],Структура_ассортимента[Subgroup],0)),"")</f>
        <v/>
      </c>
      <c r="L732" s="36">
        <v>964934051</v>
      </c>
      <c r="M732" s="35" t="s">
        <v>2416</v>
      </c>
      <c r="Q732" s="34" t="s">
        <v>3539</v>
      </c>
      <c r="R732" s="34" t="s">
        <v>3540</v>
      </c>
      <c r="S732" s="47">
        <v>2</v>
      </c>
      <c r="T732" s="47">
        <v>0</v>
      </c>
      <c r="U732" s="47">
        <v>0</v>
      </c>
      <c r="V732" s="34">
        <v>7391439811873</v>
      </c>
      <c r="W732" s="34" t="s">
        <v>3703</v>
      </c>
      <c r="Y732" s="34" t="s">
        <v>3542</v>
      </c>
      <c r="Z732" s="34">
        <v>1</v>
      </c>
      <c r="AA732" s="34">
        <v>1</v>
      </c>
      <c r="AB732" s="34">
        <v>1</v>
      </c>
      <c r="AC732" s="34">
        <v>1</v>
      </c>
      <c r="AD732" s="34">
        <v>1</v>
      </c>
      <c r="AM732" s="40" t="s">
        <v>8094</v>
      </c>
      <c r="AT732" s="44">
        <v>0</v>
      </c>
      <c r="AU732" s="44"/>
      <c r="AV732" s="46">
        <f>ROUND(Товары[[#This Row],[РРЦ финальная, руб.]]/$AU$1,2)</f>
        <v>0</v>
      </c>
      <c r="AW732" s="45" t="str">
        <f>IFERROR(Товары[[#This Row],[РРЦ, евро]]/Товары[[#This Row],[IRP, Eur]],"-")</f>
        <v>-</v>
      </c>
      <c r="AX732" s="42">
        <f>IFERROR(VLOOKUP(Товары[[#This Row],[SubGroup]],'Структура цен DIY'!$B:$C,2,FALSE),0)</f>
        <v>0</v>
      </c>
      <c r="AY732" s="44">
        <v>0</v>
      </c>
    </row>
    <row r="733" spans="1:51" x14ac:dyDescent="0.25">
      <c r="A733" s="34">
        <v>731</v>
      </c>
      <c r="B733" s="34" t="s">
        <v>56</v>
      </c>
      <c r="C733" s="110" t="str">
        <f>IFERROR(INDEX(Структура_ассортимента[SuperCategory],MATCH(Товары[[#This Row],[SubGroup]],Структура_ассортимента[Subgroup],0)),"")</f>
        <v>A</v>
      </c>
      <c r="D733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33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33" s="110" t="str">
        <f>IFERROR(INDEX(Структура_ассортимента[Product group],MATCH(Товары[[#This Row],[SubGroup]],Структура_ассортимента[Subgroup],0)),"")</f>
        <v>LML_C</v>
      </c>
      <c r="G733" s="110" t="str">
        <f>IFERROR(INDEX(Структура_ассортимента[Product group name ENG],MATCH(Товары[[#This Row],[SubGroup]],Структура_ассортимента[Subgroup],0)),"")</f>
        <v>Lawn (Walk behind), Manual, Lawn mowers</v>
      </c>
      <c r="H733" s="110" t="str">
        <f>IFERROR(INDEX(Структура_ассортимента[Generic Name (long)3],MATCH(Товары[[#This Row],[SubGroup]],Структура_ассортимента[Subgroup],0)),"")</f>
        <v>Барабанные газонокосилки механические</v>
      </c>
      <c r="I733" s="36">
        <v>9311</v>
      </c>
      <c r="J733" s="36" t="str">
        <f>IFERROR(INDEX(Структура_ассортимента[Generic Name (long)],MATCH(Товары[[#This Row],[SubGroup]],Структура_ассортимента[Subgroup],0)),"")</f>
        <v>LAWN MOWER, CYLINDER, MANUAL</v>
      </c>
      <c r="L733" s="36">
        <v>967339301</v>
      </c>
      <c r="M733" s="35" t="s">
        <v>2417</v>
      </c>
      <c r="Q733" s="34" t="s">
        <v>3544</v>
      </c>
      <c r="R733" s="34" t="s">
        <v>3540</v>
      </c>
      <c r="S733" s="47">
        <v>0</v>
      </c>
      <c r="T733" s="47">
        <v>0</v>
      </c>
      <c r="U733" s="47">
        <v>0</v>
      </c>
      <c r="V733" s="34">
        <v>4078500016155</v>
      </c>
      <c r="W733" s="34" t="s">
        <v>3550</v>
      </c>
      <c r="Y733" s="34" t="s">
        <v>3542</v>
      </c>
      <c r="Z733" s="34">
        <v>1</v>
      </c>
      <c r="AA733" s="34">
        <v>11000</v>
      </c>
      <c r="AC733" s="34">
        <v>9400</v>
      </c>
      <c r="AE733" s="34">
        <v>575</v>
      </c>
      <c r="AF733" s="34">
        <v>393</v>
      </c>
      <c r="AG733" s="34">
        <v>285</v>
      </c>
      <c r="AM733" s="40" t="s">
        <v>8094</v>
      </c>
      <c r="AT733" s="44">
        <v>0</v>
      </c>
      <c r="AU733" s="44"/>
      <c r="AV733" s="46">
        <f>ROUND(Товары[[#This Row],[РРЦ финальная, руб.]]/$AU$1,2)</f>
        <v>0</v>
      </c>
      <c r="AW733" s="45" t="str">
        <f>IFERROR(Товары[[#This Row],[РРЦ, евро]]/Товары[[#This Row],[IRP, Eur]],"-")</f>
        <v>-</v>
      </c>
      <c r="AX733" s="42">
        <f>IFERROR(VLOOKUP(Товары[[#This Row],[SubGroup]],'Структура цен DIY'!$B:$C,2,FALSE),0)</f>
        <v>0.17999999999999994</v>
      </c>
      <c r="AY733" s="44">
        <v>0</v>
      </c>
    </row>
    <row r="734" spans="1:51" x14ac:dyDescent="0.25">
      <c r="A734" s="34">
        <v>732</v>
      </c>
      <c r="B734" s="34" t="s">
        <v>56</v>
      </c>
      <c r="C734" s="110" t="str">
        <f>IFERROR(INDEX(Структура_ассортимента[SuperCategory],MATCH(Товары[[#This Row],[SubGroup]],Структура_ассортимента[Subgroup],0)),"")</f>
        <v>A</v>
      </c>
      <c r="D734" s="110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34" s="110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34" s="110" t="str">
        <f>IFERROR(INDEX(Структура_ассортимента[Product group],MATCH(Товары[[#This Row],[SubGroup]],Структура_ассортимента[Subgroup],0)),"")</f>
        <v>LML_C</v>
      </c>
      <c r="G734" s="110" t="str">
        <f>IFERROR(INDEX(Структура_ассортимента[Product group name ENG],MATCH(Товары[[#This Row],[SubGroup]],Структура_ассортимента[Subgroup],0)),"")</f>
        <v>Lawn (Walk behind), Manual, Lawn mowers</v>
      </c>
      <c r="H734" s="110" t="str">
        <f>IFERROR(INDEX(Структура_ассортимента[Generic Name (long)3],MATCH(Товары[[#This Row],[SubGroup]],Структура_ассортимента[Subgroup],0)),"")</f>
        <v>Барабанные газонокосилки механические</v>
      </c>
      <c r="I734" s="36">
        <v>9311</v>
      </c>
      <c r="J734" s="36" t="str">
        <f>IFERROR(INDEX(Структура_ассортимента[Generic Name (long)],MATCH(Товары[[#This Row],[SubGroup]],Структура_ассортимента[Subgroup],0)),"")</f>
        <v>LAWN MOWER, CYLINDER, MANUAL</v>
      </c>
      <c r="L734" s="36">
        <v>967339401</v>
      </c>
      <c r="M734" s="35" t="s">
        <v>2418</v>
      </c>
      <c r="Q734" s="34" t="s">
        <v>3544</v>
      </c>
      <c r="R734" s="34" t="s">
        <v>3540</v>
      </c>
      <c r="S734" s="47">
        <v>0</v>
      </c>
      <c r="T734" s="47">
        <v>0</v>
      </c>
      <c r="U734" s="47">
        <v>0</v>
      </c>
      <c r="V734" s="34">
        <v>4078500016162</v>
      </c>
      <c r="W734" s="34" t="s">
        <v>3550</v>
      </c>
      <c r="Y734" s="34" t="s">
        <v>3542</v>
      </c>
      <c r="Z734" s="34">
        <v>1</v>
      </c>
      <c r="AA734" s="34">
        <v>11400</v>
      </c>
      <c r="AC734" s="34">
        <v>9900</v>
      </c>
      <c r="AE734" s="34">
        <v>570</v>
      </c>
      <c r="AF734" s="34">
        <v>390</v>
      </c>
      <c r="AG734" s="34">
        <v>310</v>
      </c>
      <c r="AM734" s="40" t="s">
        <v>8094</v>
      </c>
      <c r="AT734" s="44">
        <v>0</v>
      </c>
      <c r="AU734" s="44"/>
      <c r="AV734" s="46">
        <f>ROUND(Товары[[#This Row],[РРЦ финальная, руб.]]/$AU$1,2)</f>
        <v>0</v>
      </c>
      <c r="AW734" s="45" t="str">
        <f>IFERROR(Товары[[#This Row],[РРЦ, евро]]/Товары[[#This Row],[IRP, Eur]],"-")</f>
        <v>-</v>
      </c>
      <c r="AX734" s="42">
        <f>IFERROR(VLOOKUP(Товары[[#This Row],[SubGroup]],'Структура цен DIY'!$B:$C,2,FALSE),0)</f>
        <v>0.17999999999999994</v>
      </c>
      <c r="AY734" s="44">
        <v>0</v>
      </c>
    </row>
    <row r="735" spans="1:51" x14ac:dyDescent="0.25">
      <c r="A735" s="34">
        <v>733</v>
      </c>
      <c r="B735" s="34" t="s">
        <v>52</v>
      </c>
      <c r="C735" s="110" t="str">
        <f>IFERROR(INDEX(Структура_ассортимента[SuperCategory],MATCH(Товары[[#This Row],[SubGroup]],Структура_ассортимента[Subgroup],0)),"")</f>
        <v>R</v>
      </c>
      <c r="D735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35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35" s="110" t="str">
        <f>IFERROR(INDEX(Структура_ассортимента[Product group],MATCH(Товары[[#This Row],[SubGroup]],Структура_ассортимента[Subgroup],0)),"")</f>
        <v>LRL_C</v>
      </c>
      <c r="G735" s="110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35" s="110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35" s="36">
        <v>1230</v>
      </c>
      <c r="J735" s="36" t="str">
        <f>IFERROR(INDEX(Структура_ассортимента[Generic Name (long)],MATCH(Товары[[#This Row],[SubGroup]],Структура_ассортимента[Subgroup],0)),"")</f>
        <v>LAWN MOWER, ROBOTIC</v>
      </c>
      <c r="L735" s="36">
        <v>967264602</v>
      </c>
      <c r="M735" s="35" t="s">
        <v>2419</v>
      </c>
      <c r="Q735" s="34" t="s">
        <v>3713</v>
      </c>
      <c r="R735" s="34" t="s">
        <v>3540</v>
      </c>
      <c r="S735" s="47">
        <v>42856</v>
      </c>
      <c r="T735" s="47">
        <v>0</v>
      </c>
      <c r="U735" s="47">
        <v>0</v>
      </c>
      <c r="V735" s="34">
        <v>4078500025881</v>
      </c>
      <c r="W735" s="34" t="s">
        <v>5837</v>
      </c>
      <c r="Y735" s="34" t="s">
        <v>3542</v>
      </c>
      <c r="Z735" s="34">
        <v>1</v>
      </c>
      <c r="AB735" s="34" t="s">
        <v>5838</v>
      </c>
      <c r="AD735" s="34" t="s">
        <v>5709</v>
      </c>
      <c r="AE735" s="34" t="s">
        <v>5714</v>
      </c>
      <c r="AF735" s="34" t="s">
        <v>4266</v>
      </c>
      <c r="AG735" s="34" t="s">
        <v>5048</v>
      </c>
      <c r="AH735" s="34" t="s">
        <v>5839</v>
      </c>
      <c r="AL735" s="34" t="s">
        <v>4972</v>
      </c>
      <c r="AM735" s="40" t="s">
        <v>8094</v>
      </c>
      <c r="AT735" s="44">
        <v>0</v>
      </c>
      <c r="AU735" s="44"/>
      <c r="AV735" s="46">
        <f>ROUND(Товары[[#This Row],[РРЦ финальная, руб.]]/$AU$1,2)</f>
        <v>0</v>
      </c>
      <c r="AW735" s="45" t="str">
        <f>IFERROR(Товары[[#This Row],[РРЦ, евро]]/Товары[[#This Row],[IRP, Eur]],"-")</f>
        <v>-</v>
      </c>
      <c r="AX735" s="42">
        <f>IFERROR(VLOOKUP(Товары[[#This Row],[SubGroup]],'Структура цен DIY'!$B:$C,2,FALSE),0)</f>
        <v>0.25000000000000011</v>
      </c>
      <c r="AY735" s="44">
        <v>0</v>
      </c>
    </row>
    <row r="736" spans="1:51" x14ac:dyDescent="0.25">
      <c r="A736" s="34">
        <v>734</v>
      </c>
      <c r="B736" s="34" t="s">
        <v>52</v>
      </c>
      <c r="C736" s="110" t="str">
        <f>IFERROR(INDEX(Структура_ассортимента[SuperCategory],MATCH(Товары[[#This Row],[SubGroup]],Структура_ассортимента[Subgroup],0)),"")</f>
        <v>R</v>
      </c>
      <c r="D736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36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36" s="110" t="str">
        <f>IFERROR(INDEX(Структура_ассортимента[Product group],MATCH(Товары[[#This Row],[SubGroup]],Структура_ассортимента[Subgroup],0)),"")</f>
        <v>LRL_C</v>
      </c>
      <c r="G736" s="110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36" s="110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36" s="36">
        <v>1230</v>
      </c>
      <c r="J736" s="36" t="str">
        <f>IFERROR(INDEX(Структура_ассортимента[Generic Name (long)],MATCH(Товары[[#This Row],[SubGroup]],Структура_ассортимента[Subgroup],0)),"")</f>
        <v>LAWN MOWER, ROBOTIC</v>
      </c>
      <c r="L736" s="36">
        <v>967646811</v>
      </c>
      <c r="M736" s="35" t="s">
        <v>2420</v>
      </c>
      <c r="P736" s="37" t="s">
        <v>5840</v>
      </c>
      <c r="Q736" s="34" t="s">
        <v>3713</v>
      </c>
      <c r="R736" s="34" t="s">
        <v>3540</v>
      </c>
      <c r="S736" s="47">
        <v>43132</v>
      </c>
      <c r="T736" s="47">
        <v>0</v>
      </c>
      <c r="U736" s="47">
        <v>0</v>
      </c>
      <c r="V736" s="34">
        <v>4078500032575</v>
      </c>
      <c r="W736" s="34" t="s">
        <v>3543</v>
      </c>
      <c r="Y736" s="34" t="s">
        <v>3542</v>
      </c>
      <c r="Z736" s="34">
        <v>1</v>
      </c>
      <c r="AA736" s="34" t="s">
        <v>4967</v>
      </c>
      <c r="AB736" s="34" t="s">
        <v>5841</v>
      </c>
      <c r="AC736" s="34" t="s">
        <v>5842</v>
      </c>
      <c r="AD736" s="34" t="s">
        <v>5843</v>
      </c>
      <c r="AE736" s="34" t="s">
        <v>5165</v>
      </c>
      <c r="AF736" s="34" t="s">
        <v>4420</v>
      </c>
      <c r="AG736" s="34" t="s">
        <v>5048</v>
      </c>
      <c r="AH736" s="34" t="s">
        <v>5844</v>
      </c>
      <c r="AI736" s="34" t="s">
        <v>4323</v>
      </c>
      <c r="AJ736" s="34" t="s">
        <v>3743</v>
      </c>
      <c r="AK736" s="34" t="s">
        <v>3722</v>
      </c>
      <c r="AL736" s="34" t="s">
        <v>4972</v>
      </c>
      <c r="AM736" s="40" t="s">
        <v>233</v>
      </c>
      <c r="AP736" s="34">
        <v>0</v>
      </c>
      <c r="AQ736" s="34">
        <v>69290</v>
      </c>
      <c r="AR736" s="34">
        <v>43306</v>
      </c>
      <c r="AT736" s="44">
        <v>5366800</v>
      </c>
      <c r="AU736" s="44"/>
      <c r="AV736" s="46">
        <f>ROUND(Товары[[#This Row],[РРЦ финальная, руб.]]/$AU$1,2)</f>
        <v>0</v>
      </c>
      <c r="AW736" s="45" t="str">
        <f>IFERROR(Товары[[#This Row],[РРЦ, евро]]/Товары[[#This Row],[IRP, Eur]],"-")</f>
        <v>-</v>
      </c>
      <c r="AX736" s="42">
        <f>IFERROR(VLOOKUP(Товары[[#This Row],[SubGroup]],'Структура цен DIY'!$B:$C,2,FALSE),0)</f>
        <v>0.25000000000000011</v>
      </c>
      <c r="AY736" s="44">
        <v>0</v>
      </c>
    </row>
    <row r="737" spans="1:51" x14ac:dyDescent="0.25">
      <c r="A737" s="34">
        <v>735</v>
      </c>
      <c r="B737" s="34" t="s">
        <v>52</v>
      </c>
      <c r="C737" s="110" t="str">
        <f>IFERROR(INDEX(Структура_ассортимента[SuperCategory],MATCH(Товары[[#This Row],[SubGroup]],Структура_ассортимента[Subgroup],0)),"")</f>
        <v>R</v>
      </c>
      <c r="D737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37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37" s="110" t="str">
        <f>IFERROR(INDEX(Структура_ассортимента[Product group],MATCH(Товары[[#This Row],[SubGroup]],Структура_ассортимента[Subgroup],0)),"")</f>
        <v>LRL_C</v>
      </c>
      <c r="G737" s="110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37" s="110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37" s="36">
        <v>1230</v>
      </c>
      <c r="J737" s="36" t="str">
        <f>IFERROR(INDEX(Структура_ассортимента[Generic Name (long)],MATCH(Товары[[#This Row],[SubGroup]],Структура_ассортимента[Subgroup],0)),"")</f>
        <v>LAWN MOWER, ROBOTIC</v>
      </c>
      <c r="L737" s="36">
        <v>967647011</v>
      </c>
      <c r="M737" s="35" t="s">
        <v>2421</v>
      </c>
      <c r="Q737" s="34" t="s">
        <v>3713</v>
      </c>
      <c r="R737" s="34" t="s">
        <v>3540</v>
      </c>
      <c r="S737" s="47">
        <v>43466</v>
      </c>
      <c r="T737" s="47">
        <v>0</v>
      </c>
      <c r="U737" s="47">
        <v>0</v>
      </c>
      <c r="V737" s="34">
        <v>4078500046688</v>
      </c>
      <c r="W737" s="34" t="s">
        <v>3543</v>
      </c>
      <c r="Y737" s="34" t="s">
        <v>3542</v>
      </c>
      <c r="Z737" s="34">
        <v>1</v>
      </c>
      <c r="AA737" s="34" t="s">
        <v>4967</v>
      </c>
      <c r="AB737" s="34" t="s">
        <v>5841</v>
      </c>
      <c r="AC737" s="34" t="s">
        <v>5842</v>
      </c>
      <c r="AD737" s="34" t="s">
        <v>5845</v>
      </c>
      <c r="AE737" s="34" t="s">
        <v>5165</v>
      </c>
      <c r="AF737" s="34" t="s">
        <v>4420</v>
      </c>
      <c r="AG737" s="34" t="s">
        <v>5048</v>
      </c>
      <c r="AH737" s="34" t="s">
        <v>5844</v>
      </c>
      <c r="AI737" s="34" t="s">
        <v>4323</v>
      </c>
      <c r="AJ737" s="34" t="s">
        <v>3743</v>
      </c>
      <c r="AK737" s="34" t="s">
        <v>3722</v>
      </c>
      <c r="AL737" s="34" t="s">
        <v>3658</v>
      </c>
      <c r="AM737" s="40" t="s">
        <v>8094</v>
      </c>
      <c r="AT737" s="44">
        <v>0</v>
      </c>
      <c r="AU737" s="44"/>
      <c r="AV737" s="46">
        <f>ROUND(Товары[[#This Row],[РРЦ финальная, руб.]]/$AU$1,2)</f>
        <v>0</v>
      </c>
      <c r="AW737" s="45" t="str">
        <f>IFERROR(Товары[[#This Row],[РРЦ, евро]]/Товары[[#This Row],[IRP, Eur]],"-")</f>
        <v>-</v>
      </c>
      <c r="AX737" s="42">
        <f>IFERROR(VLOOKUP(Товары[[#This Row],[SubGroup]],'Структура цен DIY'!$B:$C,2,FALSE),0)</f>
        <v>0.25000000000000011</v>
      </c>
      <c r="AY737" s="44">
        <v>0</v>
      </c>
    </row>
    <row r="738" spans="1:51" x14ac:dyDescent="0.25">
      <c r="A738" s="34">
        <v>736</v>
      </c>
      <c r="B738" s="34" t="s">
        <v>52</v>
      </c>
      <c r="C738" s="110" t="str">
        <f>IFERROR(INDEX(Структура_ассортимента[SuperCategory],MATCH(Товары[[#This Row],[SubGroup]],Структура_ассортимента[Subgroup],0)),"")</f>
        <v>R</v>
      </c>
      <c r="D738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38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38" s="110" t="str">
        <f>IFERROR(INDEX(Структура_ассортимента[Product group],MATCH(Товары[[#This Row],[SubGroup]],Структура_ассортимента[Subgroup],0)),"")</f>
        <v>LRL_C</v>
      </c>
      <c r="G738" s="110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38" s="110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38" s="36">
        <v>1230</v>
      </c>
      <c r="J738" s="36" t="str">
        <f>IFERROR(INDEX(Структура_ассортимента[Generic Name (long)],MATCH(Товары[[#This Row],[SubGroup]],Структура_ассортимента[Subgroup],0)),"")</f>
        <v>LAWN MOWER, ROBOTIC</v>
      </c>
      <c r="L738" s="36">
        <v>967647211</v>
      </c>
      <c r="M738" s="35" t="s">
        <v>2422</v>
      </c>
      <c r="P738" s="37" t="s">
        <v>5846</v>
      </c>
      <c r="Q738" s="34" t="s">
        <v>3713</v>
      </c>
      <c r="R738" s="34" t="s">
        <v>3540</v>
      </c>
      <c r="S738" s="47">
        <v>43132</v>
      </c>
      <c r="T738" s="47">
        <v>0</v>
      </c>
      <c r="U738" s="47">
        <v>0</v>
      </c>
      <c r="V738" s="34">
        <v>4078500032674</v>
      </c>
      <c r="W738" s="34" t="s">
        <v>3543</v>
      </c>
      <c r="Y738" s="34" t="s">
        <v>3542</v>
      </c>
      <c r="Z738" s="34">
        <v>1</v>
      </c>
      <c r="AA738" s="34" t="s">
        <v>4967</v>
      </c>
      <c r="AB738" s="34" t="s">
        <v>5841</v>
      </c>
      <c r="AC738" s="34" t="s">
        <v>5842</v>
      </c>
      <c r="AD738" s="34" t="s">
        <v>5843</v>
      </c>
      <c r="AE738" s="34" t="s">
        <v>5165</v>
      </c>
      <c r="AF738" s="34" t="s">
        <v>4420</v>
      </c>
      <c r="AG738" s="34" t="s">
        <v>5048</v>
      </c>
      <c r="AH738" s="34" t="s">
        <v>5844</v>
      </c>
      <c r="AI738" s="34" t="s">
        <v>4323</v>
      </c>
      <c r="AJ738" s="34" t="s">
        <v>3743</v>
      </c>
      <c r="AK738" s="34" t="s">
        <v>3722</v>
      </c>
      <c r="AL738" s="34" t="s">
        <v>4972</v>
      </c>
      <c r="AM738" s="40" t="s">
        <v>233</v>
      </c>
      <c r="AP738" s="34">
        <v>0</v>
      </c>
      <c r="AQ738" s="34">
        <v>78290</v>
      </c>
      <c r="AR738" s="34">
        <v>48931</v>
      </c>
      <c r="AT738" s="44">
        <v>6063900</v>
      </c>
      <c r="AU738" s="44"/>
      <c r="AV738" s="46">
        <f>ROUND(Товары[[#This Row],[РРЦ финальная, руб.]]/$AU$1,2)</f>
        <v>0</v>
      </c>
      <c r="AW738" s="45" t="str">
        <f>IFERROR(Товары[[#This Row],[РРЦ, евро]]/Товары[[#This Row],[IRP, Eur]],"-")</f>
        <v>-</v>
      </c>
      <c r="AX738" s="42">
        <f>IFERROR(VLOOKUP(Товары[[#This Row],[SubGroup]],'Структура цен DIY'!$B:$C,2,FALSE),0)</f>
        <v>0.25000000000000011</v>
      </c>
      <c r="AY738" s="44">
        <v>0</v>
      </c>
    </row>
    <row r="739" spans="1:51" x14ac:dyDescent="0.25">
      <c r="A739" s="34">
        <v>737</v>
      </c>
      <c r="B739" s="34" t="s">
        <v>52</v>
      </c>
      <c r="C739" s="110" t="str">
        <f>IFERROR(INDEX(Структура_ассортимента[SuperCategory],MATCH(Товары[[#This Row],[SubGroup]],Структура_ассортимента[Subgroup],0)),"")</f>
        <v>R</v>
      </c>
      <c r="D739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39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39" s="110" t="str">
        <f>IFERROR(INDEX(Структура_ассортимента[Product group],MATCH(Товары[[#This Row],[SubGroup]],Структура_ассортимента[Subgroup],0)),"")</f>
        <v>LRL_C</v>
      </c>
      <c r="G739" s="110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39" s="110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39" s="36">
        <v>1230</v>
      </c>
      <c r="J739" s="36" t="str">
        <f>IFERROR(INDEX(Структура_ассортимента[Generic Name (long)],MATCH(Товары[[#This Row],[SubGroup]],Структура_ассортимента[Subgroup],0)),"")</f>
        <v>LAWN MOWER, ROBOTIC</v>
      </c>
      <c r="L739" s="36">
        <v>967647202</v>
      </c>
      <c r="M739" s="35" t="s">
        <v>2423</v>
      </c>
      <c r="Q739" s="34" t="s">
        <v>3549</v>
      </c>
      <c r="R739" s="34" t="s">
        <v>3540</v>
      </c>
      <c r="S739" s="47">
        <v>43132</v>
      </c>
      <c r="T739" s="47">
        <v>0</v>
      </c>
      <c r="U739" s="47">
        <v>0</v>
      </c>
      <c r="V739" s="34">
        <v>4078500039239</v>
      </c>
      <c r="W739" s="34" t="s">
        <v>3541</v>
      </c>
      <c r="X739" s="34" t="s">
        <v>3704</v>
      </c>
      <c r="Y739" s="34" t="s">
        <v>3542</v>
      </c>
      <c r="Z739" s="34">
        <v>1</v>
      </c>
      <c r="AA739" s="34" t="s">
        <v>4967</v>
      </c>
      <c r="AB739" s="34" t="s">
        <v>5847</v>
      </c>
      <c r="AC739" s="34" t="s">
        <v>5842</v>
      </c>
      <c r="AD739" s="34" t="s">
        <v>5848</v>
      </c>
      <c r="AE739" s="34" t="s">
        <v>5165</v>
      </c>
      <c r="AF739" s="34" t="s">
        <v>4420</v>
      </c>
      <c r="AG739" s="34" t="s">
        <v>5048</v>
      </c>
      <c r="AH739" s="34" t="s">
        <v>5844</v>
      </c>
      <c r="AI739" s="34" t="s">
        <v>4323</v>
      </c>
      <c r="AJ739" s="34" t="s">
        <v>3743</v>
      </c>
      <c r="AK739" s="34" t="s">
        <v>3722</v>
      </c>
      <c r="AL739" s="34" t="s">
        <v>4972</v>
      </c>
      <c r="AM739" s="40" t="s">
        <v>8095</v>
      </c>
      <c r="AT739" s="44">
        <v>0</v>
      </c>
      <c r="AU739" s="44"/>
      <c r="AV739" s="46">
        <f>ROUND(Товары[[#This Row],[РРЦ финальная, руб.]]/$AU$1,2)</f>
        <v>0</v>
      </c>
      <c r="AW739" s="45" t="str">
        <f>IFERROR(Товары[[#This Row],[РРЦ, евро]]/Товары[[#This Row],[IRP, Eur]],"-")</f>
        <v>-</v>
      </c>
      <c r="AX739" s="42">
        <f>IFERROR(VLOOKUP(Товары[[#This Row],[SubGroup]],'Структура цен DIY'!$B:$C,2,FALSE),0)</f>
        <v>0.25000000000000011</v>
      </c>
      <c r="AY739" s="44">
        <v>0</v>
      </c>
    </row>
    <row r="740" spans="1:51" x14ac:dyDescent="0.25">
      <c r="A740" s="34">
        <v>738</v>
      </c>
      <c r="B740" s="34" t="s">
        <v>52</v>
      </c>
      <c r="C740" s="110" t="str">
        <f>IFERROR(INDEX(Структура_ассортимента[SuperCategory],MATCH(Товары[[#This Row],[SubGroup]],Структура_ассортимента[Subgroup],0)),"")</f>
        <v>R</v>
      </c>
      <c r="D740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40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40" s="110" t="str">
        <f>IFERROR(INDEX(Структура_ассортимента[Product group],MATCH(Товары[[#This Row],[SubGroup]],Структура_ассортимента[Subgroup],0)),"")</f>
        <v>LRL_C</v>
      </c>
      <c r="G740" s="110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40" s="110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40" s="36">
        <v>1230</v>
      </c>
      <c r="J740" s="36" t="str">
        <f>IFERROR(INDEX(Структура_ассортимента[Generic Name (long)],MATCH(Товары[[#This Row],[SubGroup]],Структура_ассортимента[Subgroup],0)),"")</f>
        <v>LAWN MOWER, ROBOTIC</v>
      </c>
      <c r="L740" s="36">
        <v>967647307</v>
      </c>
      <c r="M740" s="35" t="s">
        <v>2424</v>
      </c>
      <c r="Q740" s="34" t="s">
        <v>3713</v>
      </c>
      <c r="R740" s="34" t="s">
        <v>3540</v>
      </c>
      <c r="S740" s="47">
        <v>43132</v>
      </c>
      <c r="T740" s="47">
        <v>0</v>
      </c>
      <c r="U740" s="47">
        <v>0</v>
      </c>
      <c r="V740" s="34">
        <v>4078500032773</v>
      </c>
      <c r="W740" s="34" t="s">
        <v>3543</v>
      </c>
      <c r="Y740" s="34" t="s">
        <v>3542</v>
      </c>
      <c r="Z740" s="34">
        <v>1</v>
      </c>
      <c r="AA740" s="34" t="s">
        <v>4967</v>
      </c>
      <c r="AB740" s="34" t="s">
        <v>5849</v>
      </c>
      <c r="AC740" s="34" t="s">
        <v>5842</v>
      </c>
      <c r="AD740" s="34" t="s">
        <v>5850</v>
      </c>
      <c r="AE740" s="34" t="s">
        <v>5165</v>
      </c>
      <c r="AF740" s="34" t="s">
        <v>4420</v>
      </c>
      <c r="AG740" s="34" t="s">
        <v>5048</v>
      </c>
      <c r="AH740" s="34" t="s">
        <v>5844</v>
      </c>
      <c r="AI740" s="34" t="s">
        <v>4323</v>
      </c>
      <c r="AJ740" s="34" t="s">
        <v>3743</v>
      </c>
      <c r="AK740" s="34" t="s">
        <v>3722</v>
      </c>
      <c r="AL740" s="34" t="s">
        <v>4972</v>
      </c>
      <c r="AM740" s="40" t="s">
        <v>8094</v>
      </c>
      <c r="AT740" s="44">
        <v>0</v>
      </c>
      <c r="AU740" s="44"/>
      <c r="AV740" s="46">
        <f>ROUND(Товары[[#This Row],[РРЦ финальная, руб.]]/$AU$1,2)</f>
        <v>0</v>
      </c>
      <c r="AW740" s="45" t="str">
        <f>IFERROR(Товары[[#This Row],[РРЦ, евро]]/Товары[[#This Row],[IRP, Eur]],"-")</f>
        <v>-</v>
      </c>
      <c r="AX740" s="42">
        <f>IFERROR(VLOOKUP(Товары[[#This Row],[SubGroup]],'Структура цен DIY'!$B:$C,2,FALSE),0)</f>
        <v>0.25000000000000011</v>
      </c>
      <c r="AY740" s="44">
        <v>0</v>
      </c>
    </row>
    <row r="741" spans="1:51" x14ac:dyDescent="0.25">
      <c r="A741" s="34">
        <v>739</v>
      </c>
      <c r="B741" s="34" t="s">
        <v>52</v>
      </c>
      <c r="C741" s="110" t="str">
        <f>IFERROR(INDEX(Структура_ассортимента[SuperCategory],MATCH(Товары[[#This Row],[SubGroup]],Структура_ассортимента[Subgroup],0)),"")</f>
        <v>R</v>
      </c>
      <c r="D741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41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41" s="110" t="str">
        <f>IFERROR(INDEX(Структура_ассортимента[Product group],MATCH(Товары[[#This Row],[SubGroup]],Структура_ассортимента[Subgroup],0)),"")</f>
        <v>LRL_C</v>
      </c>
      <c r="G741" s="110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41" s="110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41" s="36">
        <v>1230</v>
      </c>
      <c r="J741" s="36" t="str">
        <f>IFERROR(INDEX(Структура_ассортимента[Generic Name (long)],MATCH(Товары[[#This Row],[SubGroup]],Структура_ассортимента[Subgroup],0)),"")</f>
        <v>LAWN MOWER, ROBOTIC</v>
      </c>
      <c r="L741" s="36">
        <v>967647311</v>
      </c>
      <c r="M741" s="35" t="s">
        <v>2425</v>
      </c>
      <c r="Q741" s="34" t="s">
        <v>3713</v>
      </c>
      <c r="R741" s="34" t="s">
        <v>3540</v>
      </c>
      <c r="S741" s="47">
        <v>43132</v>
      </c>
      <c r="T741" s="47">
        <v>0</v>
      </c>
      <c r="U741" s="47">
        <v>0</v>
      </c>
      <c r="V741" s="34">
        <v>4078500032780</v>
      </c>
      <c r="W741" s="34" t="s">
        <v>3543</v>
      </c>
      <c r="Y741" s="34" t="s">
        <v>3542</v>
      </c>
      <c r="Z741" s="34">
        <v>1</v>
      </c>
      <c r="AA741" s="34" t="s">
        <v>4967</v>
      </c>
      <c r="AB741" s="34" t="s">
        <v>5849</v>
      </c>
      <c r="AC741" s="34" t="s">
        <v>5842</v>
      </c>
      <c r="AD741" s="34" t="s">
        <v>5850</v>
      </c>
      <c r="AE741" s="34" t="s">
        <v>5165</v>
      </c>
      <c r="AF741" s="34" t="s">
        <v>4420</v>
      </c>
      <c r="AG741" s="34" t="s">
        <v>5048</v>
      </c>
      <c r="AH741" s="34" t="s">
        <v>5844</v>
      </c>
      <c r="AI741" s="34" t="s">
        <v>4323</v>
      </c>
      <c r="AJ741" s="34" t="s">
        <v>3743</v>
      </c>
      <c r="AK741" s="34" t="s">
        <v>3722</v>
      </c>
      <c r="AL741" s="34" t="s">
        <v>4972</v>
      </c>
      <c r="AM741" s="40" t="s">
        <v>8094</v>
      </c>
      <c r="AT741" s="44">
        <v>0</v>
      </c>
      <c r="AU741" s="44"/>
      <c r="AV741" s="46">
        <f>ROUND(Товары[[#This Row],[РРЦ финальная, руб.]]/$AU$1,2)</f>
        <v>0</v>
      </c>
      <c r="AW741" s="45" t="str">
        <f>IFERROR(Товары[[#This Row],[РРЦ, евро]]/Товары[[#This Row],[IRP, Eur]],"-")</f>
        <v>-</v>
      </c>
      <c r="AX741" s="42">
        <f>IFERROR(VLOOKUP(Товары[[#This Row],[SubGroup]],'Структура цен DIY'!$B:$C,2,FALSE),0)</f>
        <v>0.25000000000000011</v>
      </c>
      <c r="AY741" s="44">
        <v>0</v>
      </c>
    </row>
    <row r="742" spans="1:51" x14ac:dyDescent="0.25">
      <c r="A742" s="34">
        <v>740</v>
      </c>
      <c r="B742" s="34" t="s">
        <v>52</v>
      </c>
      <c r="C742" s="110" t="str">
        <f>IFERROR(INDEX(Структура_ассортимента[SuperCategory],MATCH(Товары[[#This Row],[SubGroup]],Структура_ассортимента[Subgroup],0)),"")</f>
        <v>R</v>
      </c>
      <c r="D742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42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42" s="110" t="str">
        <f>IFERROR(INDEX(Структура_ассортимента[Product group],MATCH(Товары[[#This Row],[SubGroup]],Структура_ассортимента[Subgroup],0)),"")</f>
        <v>LRL_C</v>
      </c>
      <c r="G742" s="110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42" s="110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42" s="36">
        <v>1230</v>
      </c>
      <c r="J742" s="36" t="str">
        <f>IFERROR(INDEX(Структура_ассортимента[Generic Name (long)],MATCH(Товары[[#This Row],[SubGroup]],Структура_ассортимента[Subgroup],0)),"")</f>
        <v>LAWN MOWER, ROBOTIC</v>
      </c>
      <c r="L742" s="36">
        <v>967647302</v>
      </c>
      <c r="M742" s="35" t="s">
        <v>2426</v>
      </c>
      <c r="Q742" s="34" t="s">
        <v>3549</v>
      </c>
      <c r="R742" s="34" t="s">
        <v>3540</v>
      </c>
      <c r="S742" s="47">
        <v>43132</v>
      </c>
      <c r="T742" s="47">
        <v>0</v>
      </c>
      <c r="U742" s="47">
        <v>0</v>
      </c>
      <c r="V742" s="34">
        <v>4078500039246</v>
      </c>
      <c r="W742" s="34" t="s">
        <v>3541</v>
      </c>
      <c r="X742" s="34" t="s">
        <v>3704</v>
      </c>
      <c r="Y742" s="34" t="s">
        <v>3542</v>
      </c>
      <c r="Z742" s="34">
        <v>1</v>
      </c>
      <c r="AA742" s="34" t="s">
        <v>4967</v>
      </c>
      <c r="AB742" s="34" t="s">
        <v>5851</v>
      </c>
      <c r="AC742" s="34" t="s">
        <v>5842</v>
      </c>
      <c r="AD742" s="34" t="s">
        <v>5852</v>
      </c>
      <c r="AE742" s="34" t="s">
        <v>5165</v>
      </c>
      <c r="AF742" s="34" t="s">
        <v>4420</v>
      </c>
      <c r="AG742" s="34" t="s">
        <v>5048</v>
      </c>
      <c r="AH742" s="34" t="s">
        <v>5844</v>
      </c>
      <c r="AI742" s="34" t="s">
        <v>4323</v>
      </c>
      <c r="AJ742" s="34" t="s">
        <v>3743</v>
      </c>
      <c r="AK742" s="34" t="s">
        <v>3722</v>
      </c>
      <c r="AL742" s="34" t="s">
        <v>4972</v>
      </c>
      <c r="AM742" s="40" t="s">
        <v>8095</v>
      </c>
      <c r="AT742" s="44">
        <v>0</v>
      </c>
      <c r="AU742" s="44"/>
      <c r="AV742" s="46">
        <f>ROUND(Товары[[#This Row],[РРЦ финальная, руб.]]/$AU$1,2)</f>
        <v>0</v>
      </c>
      <c r="AW742" s="45" t="str">
        <f>IFERROR(Товары[[#This Row],[РРЦ, евро]]/Товары[[#This Row],[IRP, Eur]],"-")</f>
        <v>-</v>
      </c>
      <c r="AX742" s="42">
        <f>IFERROR(VLOOKUP(Товары[[#This Row],[SubGroup]],'Структура цен DIY'!$B:$C,2,FALSE),0)</f>
        <v>0.25000000000000011</v>
      </c>
      <c r="AY742" s="44">
        <v>0</v>
      </c>
    </row>
    <row r="743" spans="1:51" x14ac:dyDescent="0.25">
      <c r="A743" s="34">
        <v>741</v>
      </c>
      <c r="B743" s="34" t="s">
        <v>52</v>
      </c>
      <c r="C743" s="110" t="str">
        <f>IFERROR(INDEX(Структура_ассортимента[SuperCategory],MATCH(Товары[[#This Row],[SubGroup]],Структура_ассортимента[Subgroup],0)),"")</f>
        <v>R</v>
      </c>
      <c r="D743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43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43" s="110" t="str">
        <f>IFERROR(INDEX(Структура_ассортимента[Product group],MATCH(Товары[[#This Row],[SubGroup]],Структура_ассортимента[Subgroup],0)),"")</f>
        <v>LRL_C</v>
      </c>
      <c r="G743" s="110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43" s="110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43" s="36">
        <v>1230</v>
      </c>
      <c r="J743" s="36" t="str">
        <f>IFERROR(INDEX(Структура_ассортимента[Generic Name (long)],MATCH(Товары[[#This Row],[SubGroup]],Структура_ассортимента[Subgroup],0)),"")</f>
        <v>LAWN MOWER, ROBOTIC</v>
      </c>
      <c r="L743" s="36">
        <v>967799107</v>
      </c>
      <c r="M743" s="35" t="s">
        <v>2427</v>
      </c>
      <c r="Q743" s="34" t="s">
        <v>3713</v>
      </c>
      <c r="R743" s="34" t="s">
        <v>3540</v>
      </c>
      <c r="S743" s="47">
        <v>43132</v>
      </c>
      <c r="T743" s="47">
        <v>0</v>
      </c>
      <c r="U743" s="47">
        <v>0</v>
      </c>
      <c r="V743" s="34">
        <v>4078500039284</v>
      </c>
      <c r="W743" s="34" t="s">
        <v>3543</v>
      </c>
      <c r="Y743" s="34" t="s">
        <v>3542</v>
      </c>
      <c r="Z743" s="34">
        <v>1</v>
      </c>
      <c r="AA743" s="34" t="s">
        <v>4967</v>
      </c>
      <c r="AB743" s="34" t="s">
        <v>5841</v>
      </c>
      <c r="AC743" s="34" t="s">
        <v>5842</v>
      </c>
      <c r="AD743" s="34" t="s">
        <v>5843</v>
      </c>
      <c r="AE743" s="34" t="s">
        <v>5165</v>
      </c>
      <c r="AF743" s="34" t="s">
        <v>4420</v>
      </c>
      <c r="AG743" s="34" t="s">
        <v>5048</v>
      </c>
      <c r="AH743" s="34" t="s">
        <v>5844</v>
      </c>
      <c r="AI743" s="34" t="s">
        <v>4323</v>
      </c>
      <c r="AJ743" s="34" t="s">
        <v>3743</v>
      </c>
      <c r="AK743" s="34" t="s">
        <v>3722</v>
      </c>
      <c r="AL743" s="34" t="s">
        <v>4972</v>
      </c>
      <c r="AM743" s="40" t="s">
        <v>8094</v>
      </c>
      <c r="AT743" s="44">
        <v>0</v>
      </c>
      <c r="AU743" s="44"/>
      <c r="AV743" s="46">
        <f>ROUND(Товары[[#This Row],[РРЦ финальная, руб.]]/$AU$1,2)</f>
        <v>0</v>
      </c>
      <c r="AW743" s="45" t="str">
        <f>IFERROR(Товары[[#This Row],[РРЦ, евро]]/Товары[[#This Row],[IRP, Eur]],"-")</f>
        <v>-</v>
      </c>
      <c r="AX743" s="42">
        <f>IFERROR(VLOOKUP(Товары[[#This Row],[SubGroup]],'Структура цен DIY'!$B:$C,2,FALSE),0)</f>
        <v>0.25000000000000011</v>
      </c>
      <c r="AY743" s="44">
        <v>0</v>
      </c>
    </row>
    <row r="744" spans="1:51" x14ac:dyDescent="0.25">
      <c r="A744" s="34">
        <v>742</v>
      </c>
      <c r="B744" s="34" t="s">
        <v>52</v>
      </c>
      <c r="C744" s="110" t="str">
        <f>IFERROR(INDEX(Структура_ассортимента[SuperCategory],MATCH(Товары[[#This Row],[SubGroup]],Структура_ассортимента[Subgroup],0)),"")</f>
        <v>R</v>
      </c>
      <c r="D744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44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44" s="110" t="str">
        <f>IFERROR(INDEX(Структура_ассортимента[Product group],MATCH(Товары[[#This Row],[SubGroup]],Структура_ассортимента[Subgroup],0)),"")</f>
        <v>LRL_C</v>
      </c>
      <c r="G744" s="110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44" s="110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44" s="36">
        <v>1230</v>
      </c>
      <c r="J744" s="36" t="str">
        <f>IFERROR(INDEX(Структура_ассортимента[Generic Name (long)],MATCH(Товары[[#This Row],[SubGroup]],Структура_ассортимента[Subgroup],0)),"")</f>
        <v>LAWN MOWER, ROBOTIC</v>
      </c>
      <c r="L744" s="36">
        <v>967799111</v>
      </c>
      <c r="M744" s="35" t="s">
        <v>2428</v>
      </c>
      <c r="Q744" s="34" t="s">
        <v>3713</v>
      </c>
      <c r="R744" s="34" t="s">
        <v>3540</v>
      </c>
      <c r="S744" s="47">
        <v>43132</v>
      </c>
      <c r="T744" s="47">
        <v>0</v>
      </c>
      <c r="U744" s="47">
        <v>0</v>
      </c>
      <c r="V744" s="34">
        <v>4078500041898</v>
      </c>
      <c r="W744" s="34" t="s">
        <v>3543</v>
      </c>
      <c r="Y744" s="34" t="s">
        <v>3542</v>
      </c>
      <c r="Z744" s="34">
        <v>1</v>
      </c>
      <c r="AA744" s="34" t="s">
        <v>4967</v>
      </c>
      <c r="AB744" s="34" t="s">
        <v>5841</v>
      </c>
      <c r="AC744" s="34" t="s">
        <v>5842</v>
      </c>
      <c r="AD744" s="34" t="s">
        <v>5843</v>
      </c>
      <c r="AE744" s="34" t="s">
        <v>5165</v>
      </c>
      <c r="AF744" s="34" t="s">
        <v>4420</v>
      </c>
      <c r="AG744" s="34" t="s">
        <v>5048</v>
      </c>
      <c r="AH744" s="34" t="s">
        <v>5844</v>
      </c>
      <c r="AI744" s="34" t="s">
        <v>4323</v>
      </c>
      <c r="AJ744" s="34" t="s">
        <v>3743</v>
      </c>
      <c r="AK744" s="34" t="s">
        <v>3722</v>
      </c>
      <c r="AL744" s="34" t="s">
        <v>4972</v>
      </c>
      <c r="AM744" s="40" t="s">
        <v>8094</v>
      </c>
      <c r="AT744" s="44">
        <v>0</v>
      </c>
      <c r="AU744" s="44"/>
      <c r="AV744" s="46">
        <f>ROUND(Товары[[#This Row],[РРЦ финальная, руб.]]/$AU$1,2)</f>
        <v>0</v>
      </c>
      <c r="AW744" s="45" t="str">
        <f>IFERROR(Товары[[#This Row],[РРЦ, евро]]/Товары[[#This Row],[IRP, Eur]],"-")</f>
        <v>-</v>
      </c>
      <c r="AX744" s="42">
        <f>IFERROR(VLOOKUP(Товары[[#This Row],[SubGroup]],'Структура цен DIY'!$B:$C,2,FALSE),0)</f>
        <v>0.25000000000000011</v>
      </c>
      <c r="AY744" s="44">
        <v>0</v>
      </c>
    </row>
    <row r="745" spans="1:51" x14ac:dyDescent="0.25">
      <c r="A745" s="34">
        <v>743</v>
      </c>
      <c r="B745" s="34" t="s">
        <v>52</v>
      </c>
      <c r="C745" s="110" t="str">
        <f>IFERROR(INDEX(Структура_ассортимента[SuperCategory],MATCH(Товары[[#This Row],[SubGroup]],Структура_ассортимента[Subgroup],0)),"")</f>
        <v>R</v>
      </c>
      <c r="D745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45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45" s="110" t="str">
        <f>IFERROR(INDEX(Структура_ассортимента[Product group],MATCH(Товары[[#This Row],[SubGroup]],Структура_ассортимента[Subgroup],0)),"")</f>
        <v>LRL_C</v>
      </c>
      <c r="G745" s="110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45" s="110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45" s="36">
        <v>1230</v>
      </c>
      <c r="J745" s="36" t="str">
        <f>IFERROR(INDEX(Структура_ассортимента[Generic Name (long)],MATCH(Товары[[#This Row],[SubGroup]],Структура_ассортимента[Subgroup],0)),"")</f>
        <v>LAWN MOWER, ROBOTIC</v>
      </c>
      <c r="L745" s="36">
        <v>967820007</v>
      </c>
      <c r="M745" s="35" t="s">
        <v>2429</v>
      </c>
      <c r="Q745" s="34" t="s">
        <v>3549</v>
      </c>
      <c r="R745" s="34" t="s">
        <v>3540</v>
      </c>
      <c r="S745" s="47">
        <v>43132</v>
      </c>
      <c r="T745" s="47">
        <v>0</v>
      </c>
      <c r="U745" s="47">
        <v>0</v>
      </c>
      <c r="V745" s="34">
        <v>4078500040075</v>
      </c>
      <c r="W745" s="34" t="s">
        <v>3541</v>
      </c>
      <c r="X745" s="34" t="s">
        <v>3704</v>
      </c>
      <c r="Y745" s="34" t="s">
        <v>3542</v>
      </c>
      <c r="Z745" s="34">
        <v>1</v>
      </c>
      <c r="AA745" s="34" t="s">
        <v>4967</v>
      </c>
      <c r="AB745" s="34" t="s">
        <v>5841</v>
      </c>
      <c r="AC745" s="34" t="s">
        <v>5842</v>
      </c>
      <c r="AD745" s="34" t="s">
        <v>5843</v>
      </c>
      <c r="AE745" s="34" t="s">
        <v>5165</v>
      </c>
      <c r="AF745" s="34" t="s">
        <v>4420</v>
      </c>
      <c r="AG745" s="34" t="s">
        <v>5048</v>
      </c>
      <c r="AH745" s="34" t="s">
        <v>5844</v>
      </c>
      <c r="AI745" s="34" t="s">
        <v>4323</v>
      </c>
      <c r="AJ745" s="34" t="s">
        <v>3743</v>
      </c>
      <c r="AK745" s="34" t="s">
        <v>3722</v>
      </c>
      <c r="AL745" s="34" t="s">
        <v>4972</v>
      </c>
      <c r="AM745" s="40" t="s">
        <v>8095</v>
      </c>
      <c r="AT745" s="44">
        <v>0</v>
      </c>
      <c r="AU745" s="44"/>
      <c r="AV745" s="46">
        <f>ROUND(Товары[[#This Row],[РРЦ финальная, руб.]]/$AU$1,2)</f>
        <v>0</v>
      </c>
      <c r="AW745" s="45" t="str">
        <f>IFERROR(Товары[[#This Row],[РРЦ, евро]]/Товары[[#This Row],[IRP, Eur]],"-")</f>
        <v>-</v>
      </c>
      <c r="AX745" s="42">
        <f>IFERROR(VLOOKUP(Товары[[#This Row],[SubGroup]],'Структура цен DIY'!$B:$C,2,FALSE),0)</f>
        <v>0.25000000000000011</v>
      </c>
      <c r="AY745" s="44">
        <v>0</v>
      </c>
    </row>
    <row r="746" spans="1:51" x14ac:dyDescent="0.25">
      <c r="A746" s="34">
        <v>744</v>
      </c>
      <c r="B746" s="34" t="s">
        <v>52</v>
      </c>
      <c r="C746" s="110" t="str">
        <f>IFERROR(INDEX(Структура_ассортимента[SuperCategory],MATCH(Товары[[#This Row],[SubGroup]],Структура_ассортимента[Subgroup],0)),"")</f>
        <v>R</v>
      </c>
      <c r="D746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46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46" s="110" t="str">
        <f>IFERROR(INDEX(Структура_ассортимента[Product group],MATCH(Товары[[#This Row],[SubGroup]],Структура_ассортимента[Subgroup],0)),"")</f>
        <v>LRL_C</v>
      </c>
      <c r="G746" s="110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46" s="110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46" s="36">
        <v>1230</v>
      </c>
      <c r="J746" s="36" t="str">
        <f>IFERROR(INDEX(Структура_ассортимента[Generic Name (long)],MATCH(Товары[[#This Row],[SubGroup]],Структура_ассортимента[Subgroup],0)),"")</f>
        <v>LAWN MOWER, ROBOTIC</v>
      </c>
      <c r="L746" s="36">
        <v>967820011</v>
      </c>
      <c r="M746" s="35" t="s">
        <v>2430</v>
      </c>
      <c r="Q746" s="34" t="s">
        <v>3713</v>
      </c>
      <c r="R746" s="34" t="s">
        <v>3540</v>
      </c>
      <c r="S746" s="47">
        <v>43132</v>
      </c>
      <c r="T746" s="47">
        <v>0</v>
      </c>
      <c r="U746" s="47">
        <v>0</v>
      </c>
      <c r="V746" s="34">
        <v>4078500040082</v>
      </c>
      <c r="W746" s="34" t="s">
        <v>3543</v>
      </c>
      <c r="Y746" s="34" t="s">
        <v>3542</v>
      </c>
      <c r="Z746" s="34">
        <v>1</v>
      </c>
      <c r="AA746" s="34" t="s">
        <v>4967</v>
      </c>
      <c r="AB746" s="34" t="s">
        <v>5841</v>
      </c>
      <c r="AC746" s="34" t="s">
        <v>5842</v>
      </c>
      <c r="AD746" s="34" t="s">
        <v>5843</v>
      </c>
      <c r="AE746" s="34" t="s">
        <v>5165</v>
      </c>
      <c r="AF746" s="34" t="s">
        <v>4420</v>
      </c>
      <c r="AG746" s="34" t="s">
        <v>5048</v>
      </c>
      <c r="AH746" s="34" t="s">
        <v>5844</v>
      </c>
      <c r="AI746" s="34" t="s">
        <v>4323</v>
      </c>
      <c r="AJ746" s="34" t="s">
        <v>3743</v>
      </c>
      <c r="AK746" s="34" t="s">
        <v>3722</v>
      </c>
      <c r="AL746" s="34" t="s">
        <v>4972</v>
      </c>
      <c r="AM746" s="40" t="s">
        <v>8094</v>
      </c>
      <c r="AT746" s="44">
        <v>0</v>
      </c>
      <c r="AU746" s="44"/>
      <c r="AV746" s="46">
        <f>ROUND(Товары[[#This Row],[РРЦ финальная, руб.]]/$AU$1,2)</f>
        <v>0</v>
      </c>
      <c r="AW746" s="45" t="str">
        <f>IFERROR(Товары[[#This Row],[РРЦ, евро]]/Товары[[#This Row],[IRP, Eur]],"-")</f>
        <v>-</v>
      </c>
      <c r="AX746" s="42">
        <f>IFERROR(VLOOKUP(Товары[[#This Row],[SubGroup]],'Структура цен DIY'!$B:$C,2,FALSE),0)</f>
        <v>0.25000000000000011</v>
      </c>
      <c r="AY746" s="44">
        <v>0</v>
      </c>
    </row>
    <row r="747" spans="1:51" x14ac:dyDescent="0.25">
      <c r="A747" s="34">
        <v>745</v>
      </c>
      <c r="B747" s="34" t="s">
        <v>52</v>
      </c>
      <c r="C747" s="110" t="str">
        <f>IFERROR(INDEX(Структура_ассортимента[SuperCategory],MATCH(Товары[[#This Row],[SubGroup]],Структура_ассортимента[Subgroup],0)),"")</f>
        <v>R</v>
      </c>
      <c r="D747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47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47" s="110" t="str">
        <f>IFERROR(INDEX(Структура_ассортимента[Product group],MATCH(Товары[[#This Row],[SubGroup]],Структура_ассортимента[Subgroup],0)),"")</f>
        <v>LRL_C</v>
      </c>
      <c r="G747" s="110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47" s="110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47" s="36">
        <v>1230</v>
      </c>
      <c r="J747" s="36" t="str">
        <f>IFERROR(INDEX(Структура_ассортимента[Generic Name (long)],MATCH(Товары[[#This Row],[SubGroup]],Структура_ассортимента[Subgroup],0)),"")</f>
        <v>LAWN MOWER, ROBOTIC</v>
      </c>
      <c r="L747" s="36">
        <v>967820207</v>
      </c>
      <c r="M747" s="35" t="s">
        <v>2431</v>
      </c>
      <c r="Q747" s="34" t="s">
        <v>3713</v>
      </c>
      <c r="R747" s="34" t="s">
        <v>3540</v>
      </c>
      <c r="S747" s="47">
        <v>43132</v>
      </c>
      <c r="T747" s="47">
        <v>0</v>
      </c>
      <c r="U747" s="47">
        <v>0</v>
      </c>
      <c r="V747" s="34">
        <v>4078500040129</v>
      </c>
      <c r="W747" s="34" t="s">
        <v>3543</v>
      </c>
      <c r="Y747" s="34" t="s">
        <v>3542</v>
      </c>
      <c r="Z747" s="34">
        <v>1</v>
      </c>
      <c r="AA747" s="34" t="s">
        <v>4967</v>
      </c>
      <c r="AB747" s="34" t="s">
        <v>5849</v>
      </c>
      <c r="AC747" s="34" t="s">
        <v>5842</v>
      </c>
      <c r="AD747" s="34" t="s">
        <v>5850</v>
      </c>
      <c r="AE747" s="34" t="s">
        <v>5165</v>
      </c>
      <c r="AF747" s="34" t="s">
        <v>4420</v>
      </c>
      <c r="AG747" s="34" t="s">
        <v>5048</v>
      </c>
      <c r="AH747" s="34" t="s">
        <v>5844</v>
      </c>
      <c r="AI747" s="34" t="s">
        <v>4323</v>
      </c>
      <c r="AJ747" s="34" t="s">
        <v>3743</v>
      </c>
      <c r="AK747" s="34" t="s">
        <v>3722</v>
      </c>
      <c r="AL747" s="34" t="s">
        <v>4972</v>
      </c>
      <c r="AM747" s="40" t="s">
        <v>8094</v>
      </c>
      <c r="AT747" s="44">
        <v>0</v>
      </c>
      <c r="AU747" s="44"/>
      <c r="AV747" s="46">
        <f>ROUND(Товары[[#This Row],[РРЦ финальная, руб.]]/$AU$1,2)</f>
        <v>0</v>
      </c>
      <c r="AW747" s="45" t="str">
        <f>IFERROR(Товары[[#This Row],[РРЦ, евро]]/Товары[[#This Row],[IRP, Eur]],"-")</f>
        <v>-</v>
      </c>
      <c r="AX747" s="42">
        <f>IFERROR(VLOOKUP(Товары[[#This Row],[SubGroup]],'Структура цен DIY'!$B:$C,2,FALSE),0)</f>
        <v>0.25000000000000011</v>
      </c>
      <c r="AY747" s="44">
        <v>0</v>
      </c>
    </row>
    <row r="748" spans="1:51" x14ac:dyDescent="0.25">
      <c r="A748" s="34">
        <v>746</v>
      </c>
      <c r="B748" s="34" t="s">
        <v>52</v>
      </c>
      <c r="C748" s="110" t="str">
        <f>IFERROR(INDEX(Структура_ассортимента[SuperCategory],MATCH(Товары[[#This Row],[SubGroup]],Структура_ассортимента[Subgroup],0)),"")</f>
        <v>R</v>
      </c>
      <c r="D748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48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48" s="110" t="str">
        <f>IFERROR(INDEX(Структура_ассортимента[Product group],MATCH(Товары[[#This Row],[SubGroup]],Структура_ассортимента[Subgroup],0)),"")</f>
        <v>LRL_C</v>
      </c>
      <c r="G748" s="110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48" s="110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48" s="36">
        <v>1230</v>
      </c>
      <c r="J748" s="36" t="str">
        <f>IFERROR(INDEX(Структура_ассортимента[Generic Name (long)],MATCH(Товары[[#This Row],[SubGroup]],Структура_ассортимента[Subgroup],0)),"")</f>
        <v>LAWN MOWER, ROBOTIC</v>
      </c>
      <c r="L748" s="36">
        <v>967820211</v>
      </c>
      <c r="M748" s="35" t="s">
        <v>2432</v>
      </c>
      <c r="Q748" s="34" t="s">
        <v>3713</v>
      </c>
      <c r="R748" s="34" t="s">
        <v>3540</v>
      </c>
      <c r="S748" s="47">
        <v>43132</v>
      </c>
      <c r="T748" s="47">
        <v>0</v>
      </c>
      <c r="U748" s="47">
        <v>0</v>
      </c>
      <c r="V748" s="34">
        <v>4078500040136</v>
      </c>
      <c r="W748" s="34" t="s">
        <v>3543</v>
      </c>
      <c r="Y748" s="34" t="s">
        <v>3542</v>
      </c>
      <c r="Z748" s="34">
        <v>1</v>
      </c>
      <c r="AA748" s="34" t="s">
        <v>4967</v>
      </c>
      <c r="AB748" s="34" t="s">
        <v>5849</v>
      </c>
      <c r="AC748" s="34" t="s">
        <v>5842</v>
      </c>
      <c r="AD748" s="34" t="s">
        <v>5850</v>
      </c>
      <c r="AE748" s="34" t="s">
        <v>5165</v>
      </c>
      <c r="AF748" s="34" t="s">
        <v>4420</v>
      </c>
      <c r="AG748" s="34" t="s">
        <v>5048</v>
      </c>
      <c r="AH748" s="34" t="s">
        <v>5844</v>
      </c>
      <c r="AI748" s="34" t="s">
        <v>4323</v>
      </c>
      <c r="AJ748" s="34" t="s">
        <v>3743</v>
      </c>
      <c r="AK748" s="34" t="s">
        <v>3722</v>
      </c>
      <c r="AL748" s="34" t="s">
        <v>4972</v>
      </c>
      <c r="AM748" s="40" t="s">
        <v>8094</v>
      </c>
      <c r="AT748" s="44">
        <v>0</v>
      </c>
      <c r="AU748" s="44"/>
      <c r="AV748" s="46">
        <f>ROUND(Товары[[#This Row],[РРЦ финальная, руб.]]/$AU$1,2)</f>
        <v>0</v>
      </c>
      <c r="AW748" s="45" t="str">
        <f>IFERROR(Товары[[#This Row],[РРЦ, евро]]/Товары[[#This Row],[IRP, Eur]],"-")</f>
        <v>-</v>
      </c>
      <c r="AX748" s="42">
        <f>IFERROR(VLOOKUP(Товары[[#This Row],[SubGroup]],'Структура цен DIY'!$B:$C,2,FALSE),0)</f>
        <v>0.25000000000000011</v>
      </c>
      <c r="AY748" s="44">
        <v>0</v>
      </c>
    </row>
    <row r="749" spans="1:51" x14ac:dyDescent="0.25">
      <c r="A749" s="34">
        <v>747</v>
      </c>
      <c r="B749" s="34" t="s">
        <v>52</v>
      </c>
      <c r="C749" s="110" t="str">
        <f>IFERROR(INDEX(Структура_ассортимента[SuperCategory],MATCH(Товары[[#This Row],[SubGroup]],Структура_ассортимента[Subgroup],0)),"")</f>
        <v>R</v>
      </c>
      <c r="D749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49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49" s="110" t="str">
        <f>IFERROR(INDEX(Структура_ассортимента[Product group],MATCH(Товары[[#This Row],[SubGroup]],Структура_ассортимента[Subgroup],0)),"")</f>
        <v>LRL_C</v>
      </c>
      <c r="G749" s="110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49" s="110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49" s="36">
        <v>1230</v>
      </c>
      <c r="J749" s="36" t="str">
        <f>IFERROR(INDEX(Структура_ассортимента[Generic Name (long)],MATCH(Товары[[#This Row],[SubGroup]],Структура_ассортимента[Subgroup],0)),"")</f>
        <v>LAWN MOWER, ROBOTIC</v>
      </c>
      <c r="L749" s="36">
        <v>967950907</v>
      </c>
      <c r="M749" s="35" t="s">
        <v>2433</v>
      </c>
      <c r="Q749" s="34" t="s">
        <v>3713</v>
      </c>
      <c r="R749" s="34" t="s">
        <v>3540</v>
      </c>
      <c r="S749" s="47">
        <v>43466</v>
      </c>
      <c r="T749" s="47">
        <v>43830</v>
      </c>
      <c r="U749" s="47">
        <v>43830</v>
      </c>
      <c r="V749" s="34">
        <v>4078500046633</v>
      </c>
      <c r="W749" s="34" t="s">
        <v>3543</v>
      </c>
      <c r="Y749" s="34" t="s">
        <v>3542</v>
      </c>
      <c r="Z749" s="34">
        <v>1</v>
      </c>
      <c r="AA749" s="34" t="s">
        <v>5853</v>
      </c>
      <c r="AB749" s="34" t="s">
        <v>5854</v>
      </c>
      <c r="AC749" s="34" t="s">
        <v>5855</v>
      </c>
      <c r="AD749" s="34" t="s">
        <v>5854</v>
      </c>
      <c r="AE749" s="34" t="s">
        <v>5856</v>
      </c>
      <c r="AF749" s="34" t="s">
        <v>5856</v>
      </c>
      <c r="AG749" s="34" t="s">
        <v>5856</v>
      </c>
      <c r="AH749" s="34" t="s">
        <v>5857</v>
      </c>
      <c r="AI749" s="34" t="s">
        <v>4323</v>
      </c>
      <c r="AJ749" s="34" t="s">
        <v>3743</v>
      </c>
      <c r="AK749" s="34" t="s">
        <v>3722</v>
      </c>
      <c r="AL749" s="34" t="s">
        <v>3658</v>
      </c>
      <c r="AM749" s="40" t="s">
        <v>8094</v>
      </c>
      <c r="AT749" s="44">
        <v>0</v>
      </c>
      <c r="AU749" s="44"/>
      <c r="AV749" s="46">
        <f>ROUND(Товары[[#This Row],[РРЦ финальная, руб.]]/$AU$1,2)</f>
        <v>0</v>
      </c>
      <c r="AW749" s="45" t="str">
        <f>IFERROR(Товары[[#This Row],[РРЦ, евро]]/Товары[[#This Row],[IRP, Eur]],"-")</f>
        <v>-</v>
      </c>
      <c r="AX749" s="42">
        <f>IFERROR(VLOOKUP(Товары[[#This Row],[SubGroup]],'Структура цен DIY'!$B:$C,2,FALSE),0)</f>
        <v>0.25000000000000011</v>
      </c>
      <c r="AY749" s="44">
        <v>0</v>
      </c>
    </row>
    <row r="750" spans="1:51" x14ac:dyDescent="0.25">
      <c r="A750" s="34">
        <v>748</v>
      </c>
      <c r="B750" s="34" t="s">
        <v>52</v>
      </c>
      <c r="C750" s="110" t="str">
        <f>IFERROR(INDEX(Структура_ассортимента[SuperCategory],MATCH(Товары[[#This Row],[SubGroup]],Структура_ассортимента[Subgroup],0)),"")</f>
        <v>R</v>
      </c>
      <c r="D750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50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50" s="110" t="str">
        <f>IFERROR(INDEX(Структура_ассортимента[Product group],MATCH(Товары[[#This Row],[SubGroup]],Структура_ассортимента[Subgroup],0)),"")</f>
        <v>LRL_C</v>
      </c>
      <c r="G750" s="110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50" s="110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50" s="36">
        <v>1230</v>
      </c>
      <c r="J750" s="36" t="str">
        <f>IFERROR(INDEX(Структура_ассортимента[Generic Name (long)],MATCH(Товары[[#This Row],[SubGroup]],Структура_ассортимента[Subgroup],0)),"")</f>
        <v>LAWN MOWER, ROBOTIC</v>
      </c>
      <c r="L750" s="36">
        <v>967950911</v>
      </c>
      <c r="M750" s="35" t="s">
        <v>2434</v>
      </c>
      <c r="Q750" s="34" t="s">
        <v>3713</v>
      </c>
      <c r="R750" s="34" t="s">
        <v>3540</v>
      </c>
      <c r="S750" s="47">
        <v>43466</v>
      </c>
      <c r="T750" s="47">
        <v>43830</v>
      </c>
      <c r="U750" s="47">
        <v>43830</v>
      </c>
      <c r="V750" s="34">
        <v>4078500046640</v>
      </c>
      <c r="W750" s="34" t="s">
        <v>3543</v>
      </c>
      <c r="Y750" s="34" t="s">
        <v>3542</v>
      </c>
      <c r="Z750" s="34">
        <v>1</v>
      </c>
      <c r="AA750" s="34" t="s">
        <v>5853</v>
      </c>
      <c r="AB750" s="34" t="s">
        <v>5854</v>
      </c>
      <c r="AC750" s="34" t="s">
        <v>5855</v>
      </c>
      <c r="AD750" s="34" t="s">
        <v>5854</v>
      </c>
      <c r="AE750" s="34" t="s">
        <v>5856</v>
      </c>
      <c r="AF750" s="34" t="s">
        <v>5856</v>
      </c>
      <c r="AG750" s="34" t="s">
        <v>5856</v>
      </c>
      <c r="AH750" s="34" t="s">
        <v>5857</v>
      </c>
      <c r="AI750" s="34" t="s">
        <v>4323</v>
      </c>
      <c r="AJ750" s="34" t="s">
        <v>3743</v>
      </c>
      <c r="AK750" s="34" t="s">
        <v>3722</v>
      </c>
      <c r="AL750" s="34" t="s">
        <v>3658</v>
      </c>
      <c r="AM750" s="40" t="s">
        <v>8094</v>
      </c>
      <c r="AT750" s="44">
        <v>0</v>
      </c>
      <c r="AU750" s="44"/>
      <c r="AV750" s="46">
        <f>ROUND(Товары[[#This Row],[РРЦ финальная, руб.]]/$AU$1,2)</f>
        <v>0</v>
      </c>
      <c r="AW750" s="45" t="str">
        <f>IFERROR(Товары[[#This Row],[РРЦ, евро]]/Товары[[#This Row],[IRP, Eur]],"-")</f>
        <v>-</v>
      </c>
      <c r="AX750" s="42">
        <f>IFERROR(VLOOKUP(Товары[[#This Row],[SubGroup]],'Структура цен DIY'!$B:$C,2,FALSE),0)</f>
        <v>0.25000000000000011</v>
      </c>
      <c r="AY750" s="44">
        <v>0</v>
      </c>
    </row>
    <row r="751" spans="1:51" x14ac:dyDescent="0.25">
      <c r="A751" s="34">
        <v>749</v>
      </c>
      <c r="B751" s="34" t="s">
        <v>52</v>
      </c>
      <c r="C751" s="110" t="str">
        <f>IFERROR(INDEX(Структура_ассортимента[SuperCategory],MATCH(Товары[[#This Row],[SubGroup]],Структура_ассортимента[Subgroup],0)),"")</f>
        <v>R</v>
      </c>
      <c r="D751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51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51" s="110" t="str">
        <f>IFERROR(INDEX(Структура_ассортимента[Product group],MATCH(Товары[[#This Row],[SubGroup]],Структура_ассортимента[Subgroup],0)),"")</f>
        <v>LRL_C</v>
      </c>
      <c r="G751" s="110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51" s="110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51" s="36">
        <v>1230</v>
      </c>
      <c r="J751" s="36" t="str">
        <f>IFERROR(INDEX(Структура_ассортимента[Generic Name (long)],MATCH(Товары[[#This Row],[SubGroup]],Структура_ассортимента[Subgroup],0)),"")</f>
        <v>LAWN MOWER, ROBOTIC</v>
      </c>
      <c r="L751" s="36">
        <v>967845307</v>
      </c>
      <c r="M751" s="35" t="s">
        <v>2435</v>
      </c>
      <c r="O751" s="35" t="s">
        <v>5858</v>
      </c>
      <c r="P751" s="37" t="s">
        <v>5859</v>
      </c>
      <c r="Q751" s="34" t="s">
        <v>3549</v>
      </c>
      <c r="R751" s="34" t="s">
        <v>3540</v>
      </c>
      <c r="S751" s="47">
        <v>43488</v>
      </c>
      <c r="T751" s="47">
        <v>0</v>
      </c>
      <c r="U751" s="47">
        <v>0</v>
      </c>
      <c r="V751" s="34">
        <v>4078500043625</v>
      </c>
      <c r="W751" s="34" t="s">
        <v>3543</v>
      </c>
      <c r="X751" s="34" t="s">
        <v>5860</v>
      </c>
      <c r="Y751" s="34" t="s">
        <v>3542</v>
      </c>
      <c r="Z751" s="34">
        <v>1</v>
      </c>
      <c r="AA751" s="34" t="s">
        <v>5853</v>
      </c>
      <c r="AB751" s="34" t="s">
        <v>5861</v>
      </c>
      <c r="AC751" s="34" t="s">
        <v>4967</v>
      </c>
      <c r="AD751" s="34" t="s">
        <v>5862</v>
      </c>
      <c r="AE751" s="34" t="s">
        <v>4882</v>
      </c>
      <c r="AF751" s="34" t="s">
        <v>4731</v>
      </c>
      <c r="AG751" s="34" t="s">
        <v>5674</v>
      </c>
      <c r="AH751" s="34" t="s">
        <v>5863</v>
      </c>
      <c r="AI751" s="34" t="s">
        <v>4145</v>
      </c>
      <c r="AJ751" s="34" t="s">
        <v>5674</v>
      </c>
      <c r="AK751" s="34" t="s">
        <v>4731</v>
      </c>
      <c r="AL751" s="34" t="s">
        <v>4972</v>
      </c>
      <c r="AM751" s="40" t="s">
        <v>10</v>
      </c>
      <c r="AP751" s="34">
        <v>0</v>
      </c>
      <c r="AQ751" s="34">
        <v>90990</v>
      </c>
      <c r="AR751" s="34">
        <v>56869</v>
      </c>
      <c r="AT751" s="44">
        <v>7047600</v>
      </c>
      <c r="AU751" s="44"/>
      <c r="AV751" s="46">
        <f>ROUND(Товары[[#This Row],[РРЦ финальная, руб.]]/$AU$1,2)</f>
        <v>0</v>
      </c>
      <c r="AW751" s="45" t="str">
        <f>IFERROR(Товары[[#This Row],[РРЦ, евро]]/Товары[[#This Row],[IRP, Eur]],"-")</f>
        <v>-</v>
      </c>
      <c r="AX751" s="42">
        <f>IFERROR(VLOOKUP(Товары[[#This Row],[SubGroup]],'Структура цен DIY'!$B:$C,2,FALSE),0)</f>
        <v>0.25000000000000011</v>
      </c>
      <c r="AY751" s="44">
        <v>0</v>
      </c>
    </row>
    <row r="752" spans="1:51" x14ac:dyDescent="0.25">
      <c r="A752" s="34">
        <v>750</v>
      </c>
      <c r="B752" s="34" t="s">
        <v>52</v>
      </c>
      <c r="C752" s="110" t="str">
        <f>IFERROR(INDEX(Структура_ассортимента[SuperCategory],MATCH(Товары[[#This Row],[SubGroup]],Структура_ассортимента[Subgroup],0)),"")</f>
        <v>R</v>
      </c>
      <c r="D752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52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52" s="110" t="str">
        <f>IFERROR(INDEX(Структура_ассортимента[Product group],MATCH(Товары[[#This Row],[SubGroup]],Структура_ассортимента[Subgroup],0)),"")</f>
        <v>LRL_C</v>
      </c>
      <c r="G752" s="110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52" s="110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52" s="36">
        <v>1230</v>
      </c>
      <c r="J752" s="36" t="str">
        <f>IFERROR(INDEX(Структура_ассортимента[Generic Name (long)],MATCH(Товары[[#This Row],[SubGroup]],Структура_ассортимента[Subgroup],0)),"")</f>
        <v>LAWN MOWER, ROBOTIC</v>
      </c>
      <c r="L752" s="36">
        <v>967845311</v>
      </c>
      <c r="M752" s="35" t="s">
        <v>2436</v>
      </c>
      <c r="P752" s="37" t="s">
        <v>5859</v>
      </c>
      <c r="Q752" s="34" t="s">
        <v>3713</v>
      </c>
      <c r="R752" s="34" t="s">
        <v>3540</v>
      </c>
      <c r="S752" s="47">
        <v>43488</v>
      </c>
      <c r="T752" s="47">
        <v>0</v>
      </c>
      <c r="U752" s="47">
        <v>0</v>
      </c>
      <c r="V752" s="34">
        <v>4078500043632</v>
      </c>
      <c r="W752" s="34" t="s">
        <v>3543</v>
      </c>
      <c r="Y752" s="34" t="s">
        <v>3542</v>
      </c>
      <c r="Z752" s="34">
        <v>1</v>
      </c>
      <c r="AA752" s="34" t="s">
        <v>5853</v>
      </c>
      <c r="AB752" s="34" t="s">
        <v>5788</v>
      </c>
      <c r="AC752" s="34" t="s">
        <v>4967</v>
      </c>
      <c r="AD752" s="34" t="s">
        <v>5810</v>
      </c>
      <c r="AE752" s="34" t="s">
        <v>4439</v>
      </c>
      <c r="AF752" s="34" t="s">
        <v>4223</v>
      </c>
      <c r="AG752" s="34" t="s">
        <v>5048</v>
      </c>
      <c r="AH752" s="34" t="s">
        <v>5864</v>
      </c>
      <c r="AI752" s="34" t="s">
        <v>4145</v>
      </c>
      <c r="AJ752" s="34" t="s">
        <v>5674</v>
      </c>
      <c r="AK752" s="34" t="s">
        <v>4731</v>
      </c>
      <c r="AL752" s="34" t="s">
        <v>3658</v>
      </c>
      <c r="AM752" s="40" t="s">
        <v>233</v>
      </c>
      <c r="AP752" s="34">
        <v>0</v>
      </c>
      <c r="AQ752" s="34">
        <v>90990</v>
      </c>
      <c r="AR752" s="34">
        <v>56869</v>
      </c>
      <c r="AT752" s="44">
        <v>7047600</v>
      </c>
      <c r="AU752" s="44"/>
      <c r="AV752" s="46">
        <f>ROUND(Товары[[#This Row],[РРЦ финальная, руб.]]/$AU$1,2)</f>
        <v>0</v>
      </c>
      <c r="AW752" s="45" t="str">
        <f>IFERROR(Товары[[#This Row],[РРЦ, евро]]/Товары[[#This Row],[IRP, Eur]],"-")</f>
        <v>-</v>
      </c>
      <c r="AX752" s="42">
        <f>IFERROR(VLOOKUP(Товары[[#This Row],[SubGroup]],'Структура цен DIY'!$B:$C,2,FALSE),0)</f>
        <v>0.25000000000000011</v>
      </c>
      <c r="AY752" s="44">
        <v>0</v>
      </c>
    </row>
    <row r="753" spans="1:51" x14ac:dyDescent="0.25">
      <c r="A753" s="34">
        <v>751</v>
      </c>
      <c r="B753" s="34" t="s">
        <v>52</v>
      </c>
      <c r="C753" s="110" t="str">
        <f>IFERROR(INDEX(Структура_ассортимента[SuperCategory],MATCH(Товары[[#This Row],[SubGroup]],Структура_ассортимента[Subgroup],0)),"")</f>
        <v>R</v>
      </c>
      <c r="D753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53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53" s="110" t="str">
        <f>IFERROR(INDEX(Структура_ассортимента[Product group],MATCH(Товары[[#This Row],[SubGroup]],Структура_ассортимента[Subgroup],0)),"")</f>
        <v>LRL_C</v>
      </c>
      <c r="G753" s="110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53" s="110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53" s="36">
        <v>1230</v>
      </c>
      <c r="J753" s="36" t="str">
        <f>IFERROR(INDEX(Структура_ассортимента[Generic Name (long)],MATCH(Товары[[#This Row],[SubGroup]],Структура_ассортимента[Subgroup],0)),"")</f>
        <v>LAWN MOWER, ROBOTIC</v>
      </c>
      <c r="L753" s="36">
        <v>967845111</v>
      </c>
      <c r="M753" s="35" t="s">
        <v>2437</v>
      </c>
      <c r="P753" s="37" t="s">
        <v>5865</v>
      </c>
      <c r="Q753" s="34" t="s">
        <v>3713</v>
      </c>
      <c r="R753" s="34" t="s">
        <v>3540</v>
      </c>
      <c r="S753" s="47">
        <v>43488</v>
      </c>
      <c r="T753" s="47">
        <v>0</v>
      </c>
      <c r="U753" s="47">
        <v>0</v>
      </c>
      <c r="V753" s="34">
        <v>4078500043731</v>
      </c>
      <c r="W753" s="34" t="s">
        <v>3543</v>
      </c>
      <c r="Y753" s="34" t="s">
        <v>3542</v>
      </c>
      <c r="Z753" s="34">
        <v>1</v>
      </c>
      <c r="AA753" s="34" t="s">
        <v>5853</v>
      </c>
      <c r="AC753" s="34" t="s">
        <v>4967</v>
      </c>
      <c r="AE753" s="34" t="s">
        <v>5856</v>
      </c>
      <c r="AF753" s="34" t="s">
        <v>5856</v>
      </c>
      <c r="AG753" s="34" t="s">
        <v>5856</v>
      </c>
      <c r="AH753" s="34" t="s">
        <v>5857</v>
      </c>
      <c r="AI753" s="34" t="s">
        <v>3854</v>
      </c>
      <c r="AJ753" s="34" t="s">
        <v>3743</v>
      </c>
      <c r="AK753" s="34" t="s">
        <v>4202</v>
      </c>
      <c r="AL753" s="34" t="s">
        <v>3658</v>
      </c>
      <c r="AM753" s="40" t="s">
        <v>233</v>
      </c>
      <c r="AP753" s="34">
        <v>0</v>
      </c>
      <c r="AQ753" s="34">
        <v>106890</v>
      </c>
      <c r="AR753" s="34">
        <v>66806</v>
      </c>
      <c r="AT753" s="44">
        <v>8279100</v>
      </c>
      <c r="AU753" s="44"/>
      <c r="AV753" s="46">
        <f>ROUND(Товары[[#This Row],[РРЦ финальная, руб.]]/$AU$1,2)</f>
        <v>0</v>
      </c>
      <c r="AW753" s="45" t="str">
        <f>IFERROR(Товары[[#This Row],[РРЦ, евро]]/Товары[[#This Row],[IRP, Eur]],"-")</f>
        <v>-</v>
      </c>
      <c r="AX753" s="42">
        <f>IFERROR(VLOOKUP(Товары[[#This Row],[SubGroup]],'Структура цен DIY'!$B:$C,2,FALSE),0)</f>
        <v>0.25000000000000011</v>
      </c>
      <c r="AY753" s="44">
        <v>0</v>
      </c>
    </row>
    <row r="754" spans="1:51" x14ac:dyDescent="0.25">
      <c r="A754" s="34">
        <v>752</v>
      </c>
      <c r="B754" s="34" t="s">
        <v>52</v>
      </c>
      <c r="C754" s="110" t="str">
        <f>IFERROR(INDEX(Структура_ассортимента[SuperCategory],MATCH(Товары[[#This Row],[SubGroup]],Структура_ассортимента[Subgroup],0)),"")</f>
        <v>R</v>
      </c>
      <c r="D754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54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54" s="110" t="str">
        <f>IFERROR(INDEX(Структура_ассортимента[Product group],MATCH(Товары[[#This Row],[SubGroup]],Структура_ассортимента[Subgroup],0)),"")</f>
        <v>LRL_C</v>
      </c>
      <c r="G754" s="110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54" s="110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54" s="36">
        <v>1230</v>
      </c>
      <c r="J754" s="36" t="str">
        <f>IFERROR(INDEX(Структура_ассортимента[Generic Name (long)],MATCH(Товары[[#This Row],[SubGroup]],Структура_ассортимента[Subgroup],0)),"")</f>
        <v>LAWN MOWER, ROBOTIC</v>
      </c>
      <c r="L754" s="36">
        <v>967845107</v>
      </c>
      <c r="M754" s="35" t="s">
        <v>2438</v>
      </c>
      <c r="O754" s="35" t="s">
        <v>5866</v>
      </c>
      <c r="P754" s="37" t="s">
        <v>5865</v>
      </c>
      <c r="Q754" s="34" t="s">
        <v>3549</v>
      </c>
      <c r="R754" s="34" t="s">
        <v>3540</v>
      </c>
      <c r="S754" s="47">
        <v>43488</v>
      </c>
      <c r="T754" s="47">
        <v>0</v>
      </c>
      <c r="U754" s="47">
        <v>0</v>
      </c>
      <c r="V754" s="34">
        <v>4078500043724</v>
      </c>
      <c r="W754" s="34" t="s">
        <v>3543</v>
      </c>
      <c r="X754" s="34" t="s">
        <v>5860</v>
      </c>
      <c r="Y754" s="34" t="s">
        <v>3542</v>
      </c>
      <c r="Z754" s="34">
        <v>1</v>
      </c>
      <c r="AA754" s="34" t="s">
        <v>5853</v>
      </c>
      <c r="AB754" s="34" t="s">
        <v>5861</v>
      </c>
      <c r="AC754" s="34" t="s">
        <v>4967</v>
      </c>
      <c r="AD754" s="34" t="s">
        <v>5862</v>
      </c>
      <c r="AE754" s="34" t="s">
        <v>4882</v>
      </c>
      <c r="AF754" s="34" t="s">
        <v>4731</v>
      </c>
      <c r="AG754" s="34" t="s">
        <v>5674</v>
      </c>
      <c r="AH754" s="34" t="s">
        <v>5863</v>
      </c>
      <c r="AI754" s="34" t="s">
        <v>3854</v>
      </c>
      <c r="AJ754" s="34" t="s">
        <v>3743</v>
      </c>
      <c r="AK754" s="34" t="s">
        <v>4202</v>
      </c>
      <c r="AL754" s="34" t="s">
        <v>4972</v>
      </c>
      <c r="AM754" s="40" t="s">
        <v>10</v>
      </c>
      <c r="AP754" s="34">
        <v>0</v>
      </c>
      <c r="AQ754" s="34">
        <v>106890</v>
      </c>
      <c r="AR754" s="34">
        <v>66806</v>
      </c>
      <c r="AT754" s="44">
        <v>8279100</v>
      </c>
      <c r="AU754" s="44"/>
      <c r="AV754" s="46">
        <f>ROUND(Товары[[#This Row],[РРЦ финальная, руб.]]/$AU$1,2)</f>
        <v>0</v>
      </c>
      <c r="AW754" s="45" t="str">
        <f>IFERROR(Товары[[#This Row],[РРЦ, евро]]/Товары[[#This Row],[IRP, Eur]],"-")</f>
        <v>-</v>
      </c>
      <c r="AX754" s="42">
        <f>IFERROR(VLOOKUP(Товары[[#This Row],[SubGroup]],'Структура цен DIY'!$B:$C,2,FALSE),0)</f>
        <v>0.25000000000000011</v>
      </c>
      <c r="AY754" s="44">
        <v>0</v>
      </c>
    </row>
    <row r="755" spans="1:51" x14ac:dyDescent="0.25">
      <c r="A755" s="34">
        <v>753</v>
      </c>
      <c r="B755" s="34" t="s">
        <v>52</v>
      </c>
      <c r="C755" s="110" t="str">
        <f>IFERROR(INDEX(Структура_ассортимента[SuperCategory],MATCH(Товары[[#This Row],[SubGroup]],Структура_ассортимента[Subgroup],0)),"")</f>
        <v>R</v>
      </c>
      <c r="D755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55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55" s="110" t="str">
        <f>IFERROR(INDEX(Структура_ассортимента[Product group],MATCH(Товары[[#This Row],[SubGroup]],Структура_ассортимента[Subgroup],0)),"")</f>
        <v>LRL_C</v>
      </c>
      <c r="G755" s="110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55" s="110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55" s="36">
        <v>1230</v>
      </c>
      <c r="J755" s="36" t="str">
        <f>IFERROR(INDEX(Структура_ассортимента[Generic Name (long)],MATCH(Товары[[#This Row],[SubGroup]],Структура_ассортимента[Subgroup],0)),"")</f>
        <v>LAWN MOWER, ROBOTIC</v>
      </c>
      <c r="L755" s="36">
        <v>967845207</v>
      </c>
      <c r="M755" s="35" t="s">
        <v>2439</v>
      </c>
      <c r="O755" s="35" t="s">
        <v>5867</v>
      </c>
      <c r="P755" s="37" t="s">
        <v>5868</v>
      </c>
      <c r="Q755" s="34" t="s">
        <v>3549</v>
      </c>
      <c r="R755" s="34" t="s">
        <v>3540</v>
      </c>
      <c r="S755" s="47">
        <v>43488</v>
      </c>
      <c r="T755" s="47">
        <v>0</v>
      </c>
      <c r="U755" s="47">
        <v>0</v>
      </c>
      <c r="V755" s="34">
        <v>4078500043830</v>
      </c>
      <c r="W755" s="34" t="s">
        <v>3543</v>
      </c>
      <c r="X755" s="34" t="s">
        <v>5860</v>
      </c>
      <c r="Y755" s="34" t="s">
        <v>3542</v>
      </c>
      <c r="Z755" s="34">
        <v>1</v>
      </c>
      <c r="AA755" s="34" t="s">
        <v>5853</v>
      </c>
      <c r="AB755" s="34" t="s">
        <v>5861</v>
      </c>
      <c r="AC755" s="34" t="s">
        <v>4967</v>
      </c>
      <c r="AD755" s="34" t="s">
        <v>5862</v>
      </c>
      <c r="AE755" s="34" t="s">
        <v>4882</v>
      </c>
      <c r="AF755" s="34" t="s">
        <v>4731</v>
      </c>
      <c r="AG755" s="34" t="s">
        <v>5674</v>
      </c>
      <c r="AH755" s="34" t="s">
        <v>5863</v>
      </c>
      <c r="AI755" s="34" t="s">
        <v>3854</v>
      </c>
      <c r="AJ755" s="34" t="s">
        <v>3743</v>
      </c>
      <c r="AK755" s="34" t="s">
        <v>4202</v>
      </c>
      <c r="AL755" s="34" t="s">
        <v>4972</v>
      </c>
      <c r="AM755" s="40" t="s">
        <v>10</v>
      </c>
      <c r="AP755" s="34">
        <v>0</v>
      </c>
      <c r="AQ755" s="34">
        <v>123390</v>
      </c>
      <c r="AR755" s="34">
        <v>77119</v>
      </c>
      <c r="AT755" s="44">
        <v>9557100</v>
      </c>
      <c r="AU755" s="44"/>
      <c r="AV755" s="46">
        <f>ROUND(Товары[[#This Row],[РРЦ финальная, руб.]]/$AU$1,2)</f>
        <v>0</v>
      </c>
      <c r="AW755" s="45" t="str">
        <f>IFERROR(Товары[[#This Row],[РРЦ, евро]]/Товары[[#This Row],[IRP, Eur]],"-")</f>
        <v>-</v>
      </c>
      <c r="AX755" s="42">
        <f>IFERROR(VLOOKUP(Товары[[#This Row],[SubGroup]],'Структура цен DIY'!$B:$C,2,FALSE),0)</f>
        <v>0.25000000000000011</v>
      </c>
      <c r="AY755" s="44">
        <v>0</v>
      </c>
    </row>
    <row r="756" spans="1:51" x14ac:dyDescent="0.25">
      <c r="A756" s="34">
        <v>754</v>
      </c>
      <c r="B756" s="34" t="s">
        <v>52</v>
      </c>
      <c r="C756" s="110" t="str">
        <f>IFERROR(INDEX(Структура_ассортимента[SuperCategory],MATCH(Товары[[#This Row],[SubGroup]],Структура_ассортимента[Subgroup],0)),"")</f>
        <v>R</v>
      </c>
      <c r="D756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56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56" s="110" t="str">
        <f>IFERROR(INDEX(Структура_ассортимента[Product group],MATCH(Товары[[#This Row],[SubGroup]],Структура_ассортимента[Subgroup],0)),"")</f>
        <v>LRL_C</v>
      </c>
      <c r="G756" s="110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56" s="110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56" s="36">
        <v>1230</v>
      </c>
      <c r="J756" s="36" t="str">
        <f>IFERROR(INDEX(Структура_ассортимента[Generic Name (long)],MATCH(Товары[[#This Row],[SubGroup]],Структура_ассортимента[Subgroup],0)),"")</f>
        <v>LAWN MOWER, ROBOTIC</v>
      </c>
      <c r="L756" s="36">
        <v>967845211</v>
      </c>
      <c r="M756" s="35" t="s">
        <v>2440</v>
      </c>
      <c r="P756" s="37" t="s">
        <v>5868</v>
      </c>
      <c r="Q756" s="34" t="s">
        <v>3713</v>
      </c>
      <c r="R756" s="34" t="s">
        <v>3540</v>
      </c>
      <c r="S756" s="47">
        <v>43488</v>
      </c>
      <c r="T756" s="47">
        <v>0</v>
      </c>
      <c r="U756" s="47">
        <v>0</v>
      </c>
      <c r="V756" s="34">
        <v>4078500043847</v>
      </c>
      <c r="W756" s="34" t="s">
        <v>3543</v>
      </c>
      <c r="Y756" s="34" t="s">
        <v>3542</v>
      </c>
      <c r="Z756" s="34">
        <v>1</v>
      </c>
      <c r="AA756" s="34" t="s">
        <v>5853</v>
      </c>
      <c r="AB756" s="34" t="s">
        <v>5854</v>
      </c>
      <c r="AC756" s="34" t="s">
        <v>4967</v>
      </c>
      <c r="AD756" s="34" t="s">
        <v>5854</v>
      </c>
      <c r="AE756" s="34" t="s">
        <v>5856</v>
      </c>
      <c r="AF756" s="34" t="s">
        <v>5856</v>
      </c>
      <c r="AG756" s="34" t="s">
        <v>5856</v>
      </c>
      <c r="AH756" s="34" t="s">
        <v>5857</v>
      </c>
      <c r="AI756" s="34" t="s">
        <v>3854</v>
      </c>
      <c r="AJ756" s="34" t="s">
        <v>3743</v>
      </c>
      <c r="AK756" s="34" t="s">
        <v>4202</v>
      </c>
      <c r="AL756" s="34" t="s">
        <v>3658</v>
      </c>
      <c r="AM756" s="40" t="s">
        <v>233</v>
      </c>
      <c r="AP756" s="34">
        <v>0</v>
      </c>
      <c r="AQ756" s="34">
        <v>123390</v>
      </c>
      <c r="AR756" s="34">
        <v>77119</v>
      </c>
      <c r="AT756" s="44">
        <v>9557100</v>
      </c>
      <c r="AU756" s="44"/>
      <c r="AV756" s="46">
        <f>ROUND(Товары[[#This Row],[РРЦ финальная, руб.]]/$AU$1,2)</f>
        <v>0</v>
      </c>
      <c r="AW756" s="45" t="str">
        <f>IFERROR(Товары[[#This Row],[РРЦ, евро]]/Товары[[#This Row],[IRP, Eur]],"-")</f>
        <v>-</v>
      </c>
      <c r="AX756" s="42">
        <f>IFERROR(VLOOKUP(Товары[[#This Row],[SubGroup]],'Структура цен DIY'!$B:$C,2,FALSE),0)</f>
        <v>0.25000000000000011</v>
      </c>
      <c r="AY756" s="44">
        <v>0</v>
      </c>
    </row>
    <row r="757" spans="1:51" x14ac:dyDescent="0.25">
      <c r="A757" s="34">
        <v>755</v>
      </c>
      <c r="B757" s="34" t="s">
        <v>52</v>
      </c>
      <c r="C757" s="110" t="str">
        <f>IFERROR(INDEX(Структура_ассортимента[SuperCategory],MATCH(Товары[[#This Row],[SubGroup]],Структура_ассортимента[Subgroup],0)),"")</f>
        <v>R</v>
      </c>
      <c r="D757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57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57" s="110" t="str">
        <f>IFERROR(INDEX(Структура_ассортимента[Product group],MATCH(Товары[[#This Row],[SubGroup]],Структура_ассортимента[Subgroup],0)),"")</f>
        <v>LRL_C</v>
      </c>
      <c r="G757" s="110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57" s="110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57" s="36">
        <v>1230</v>
      </c>
      <c r="J757" s="36" t="str">
        <f>IFERROR(INDEX(Структура_ассортимента[Generic Name (long)],MATCH(Товары[[#This Row],[SubGroup]],Структура_ассортимента[Subgroup],0)),"")</f>
        <v>LAWN MOWER, ROBOTIC</v>
      </c>
      <c r="L757" s="36">
        <v>967845202</v>
      </c>
      <c r="M757" s="35" t="s">
        <v>2441</v>
      </c>
      <c r="Q757" s="34" t="s">
        <v>3549</v>
      </c>
      <c r="R757" s="34" t="s">
        <v>3540</v>
      </c>
      <c r="S757" s="47">
        <v>43488</v>
      </c>
      <c r="T757" s="47">
        <v>0</v>
      </c>
      <c r="U757" s="47">
        <v>0</v>
      </c>
      <c r="V757" s="34">
        <v>4078500046800</v>
      </c>
      <c r="W757" s="34" t="s">
        <v>5837</v>
      </c>
      <c r="X757" s="34" t="s">
        <v>5860</v>
      </c>
      <c r="Y757" s="34" t="s">
        <v>3542</v>
      </c>
      <c r="Z757" s="34">
        <v>1</v>
      </c>
      <c r="AA757" s="34" t="s">
        <v>5853</v>
      </c>
      <c r="AB757" s="34" t="s">
        <v>5861</v>
      </c>
      <c r="AC757" s="34" t="s">
        <v>4967</v>
      </c>
      <c r="AD757" s="34" t="s">
        <v>5862</v>
      </c>
      <c r="AE757" s="34" t="s">
        <v>4882</v>
      </c>
      <c r="AF757" s="34" t="s">
        <v>4731</v>
      </c>
      <c r="AG757" s="34" t="s">
        <v>5674</v>
      </c>
      <c r="AH757" s="34" t="s">
        <v>5863</v>
      </c>
      <c r="AI757" s="34" t="s">
        <v>3854</v>
      </c>
      <c r="AJ757" s="34" t="s">
        <v>3743</v>
      </c>
      <c r="AK757" s="34" t="s">
        <v>4202</v>
      </c>
      <c r="AL757" s="34" t="s">
        <v>4972</v>
      </c>
      <c r="AM757" s="40" t="s">
        <v>8095</v>
      </c>
      <c r="AT757" s="44">
        <v>0</v>
      </c>
      <c r="AU757" s="44"/>
      <c r="AV757" s="46">
        <f>ROUND(Товары[[#This Row],[РРЦ финальная, руб.]]/$AU$1,2)</f>
        <v>0</v>
      </c>
      <c r="AW757" s="45" t="str">
        <f>IFERROR(Товары[[#This Row],[РРЦ, евро]]/Товары[[#This Row],[IRP, Eur]],"-")</f>
        <v>-</v>
      </c>
      <c r="AX757" s="42">
        <f>IFERROR(VLOOKUP(Товары[[#This Row],[SubGroup]],'Структура цен DIY'!$B:$C,2,FALSE),0)</f>
        <v>0.25000000000000011</v>
      </c>
      <c r="AY757" s="44">
        <v>0</v>
      </c>
    </row>
    <row r="758" spans="1:51" x14ac:dyDescent="0.25">
      <c r="A758" s="34">
        <v>756</v>
      </c>
      <c r="B758" s="34" t="s">
        <v>52</v>
      </c>
      <c r="C758" s="110" t="str">
        <f>IFERROR(INDEX(Структура_ассортимента[SuperCategory],MATCH(Товары[[#This Row],[SubGroup]],Структура_ассортимента[Subgroup],0)),"")</f>
        <v>R</v>
      </c>
      <c r="D758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58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58" s="110" t="str">
        <f>IFERROR(INDEX(Структура_ассортимента[Product group],MATCH(Товары[[#This Row],[SubGroup]],Структура_ассортимента[Subgroup],0)),"")</f>
        <v>LRL_C</v>
      </c>
      <c r="G758" s="110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58" s="110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58" s="36">
        <v>1230</v>
      </c>
      <c r="J758" s="36" t="str">
        <f>IFERROR(INDEX(Структура_ассортимента[Generic Name (long)],MATCH(Товары[[#This Row],[SubGroup]],Структура_ассортимента[Subgroup],0)),"")</f>
        <v>LAWN MOWER, ROBOTIC</v>
      </c>
      <c r="L758" s="36">
        <v>967845707</v>
      </c>
      <c r="M758" s="35" t="s">
        <v>2442</v>
      </c>
      <c r="Q758" s="34" t="s">
        <v>3713</v>
      </c>
      <c r="R758" s="34" t="s">
        <v>3540</v>
      </c>
      <c r="S758" s="47">
        <v>43488</v>
      </c>
      <c r="T758" s="47">
        <v>0</v>
      </c>
      <c r="U758" s="47">
        <v>0</v>
      </c>
      <c r="V758" s="34">
        <v>4078500043946</v>
      </c>
      <c r="W758" s="34" t="s">
        <v>3543</v>
      </c>
      <c r="Y758" s="34" t="s">
        <v>3542</v>
      </c>
      <c r="Z758" s="34">
        <v>1</v>
      </c>
      <c r="AA758" s="34" t="s">
        <v>5853</v>
      </c>
      <c r="AB758" s="34" t="s">
        <v>5854</v>
      </c>
      <c r="AC758" s="34" t="s">
        <v>4967</v>
      </c>
      <c r="AD758" s="34" t="s">
        <v>5854</v>
      </c>
      <c r="AE758" s="34" t="s">
        <v>5856</v>
      </c>
      <c r="AF758" s="34" t="s">
        <v>5856</v>
      </c>
      <c r="AG758" s="34" t="s">
        <v>5856</v>
      </c>
      <c r="AH758" s="34" t="s">
        <v>5857</v>
      </c>
      <c r="AI758" s="34" t="s">
        <v>4287</v>
      </c>
      <c r="AJ758" s="34" t="s">
        <v>3942</v>
      </c>
      <c r="AK758" s="34" t="s">
        <v>3742</v>
      </c>
      <c r="AL758" s="34" t="s">
        <v>3658</v>
      </c>
      <c r="AM758" s="40" t="s">
        <v>8094</v>
      </c>
      <c r="AT758" s="44">
        <v>0</v>
      </c>
      <c r="AU758" s="44"/>
      <c r="AV758" s="46">
        <f>ROUND(Товары[[#This Row],[РРЦ финальная, руб.]]/$AU$1,2)</f>
        <v>0</v>
      </c>
      <c r="AW758" s="45" t="str">
        <f>IFERROR(Товары[[#This Row],[РРЦ, евро]]/Товары[[#This Row],[IRP, Eur]],"-")</f>
        <v>-</v>
      </c>
      <c r="AX758" s="42">
        <f>IFERROR(VLOOKUP(Товары[[#This Row],[SubGroup]],'Структура цен DIY'!$B:$C,2,FALSE),0)</f>
        <v>0.25000000000000011</v>
      </c>
      <c r="AY758" s="44">
        <v>0</v>
      </c>
    </row>
    <row r="759" spans="1:51" x14ac:dyDescent="0.25">
      <c r="A759" s="34">
        <v>757</v>
      </c>
      <c r="B759" s="34" t="s">
        <v>52</v>
      </c>
      <c r="C759" s="110" t="str">
        <f>IFERROR(INDEX(Структура_ассортимента[SuperCategory],MATCH(Товары[[#This Row],[SubGroup]],Структура_ассортимента[Subgroup],0)),"")</f>
        <v>R</v>
      </c>
      <c r="D759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59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59" s="110" t="str">
        <f>IFERROR(INDEX(Структура_ассортимента[Product group],MATCH(Товары[[#This Row],[SubGroup]],Структура_ассортимента[Subgroup],0)),"")</f>
        <v>LRL_C</v>
      </c>
      <c r="G759" s="110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59" s="110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59" s="36">
        <v>1230</v>
      </c>
      <c r="J759" s="36" t="str">
        <f>IFERROR(INDEX(Структура_ассортимента[Generic Name (long)],MATCH(Товары[[#This Row],[SubGroup]],Структура_ассортимента[Subgroup],0)),"")</f>
        <v>LAWN MOWER, ROBOTIC</v>
      </c>
      <c r="L759" s="36">
        <v>967845711</v>
      </c>
      <c r="M759" s="35" t="s">
        <v>2443</v>
      </c>
      <c r="Q759" s="34" t="s">
        <v>3713</v>
      </c>
      <c r="R759" s="34" t="s">
        <v>3540</v>
      </c>
      <c r="S759" s="47">
        <v>43488</v>
      </c>
      <c r="T759" s="47">
        <v>0</v>
      </c>
      <c r="U759" s="47">
        <v>0</v>
      </c>
      <c r="V759" s="34">
        <v>4078500043953</v>
      </c>
      <c r="W759" s="34" t="s">
        <v>3543</v>
      </c>
      <c r="Y759" s="34" t="s">
        <v>3542</v>
      </c>
      <c r="Z759" s="34">
        <v>1</v>
      </c>
      <c r="AA759" s="34" t="s">
        <v>5853</v>
      </c>
      <c r="AB759" s="34" t="s">
        <v>5854</v>
      </c>
      <c r="AC759" s="34" t="s">
        <v>4967</v>
      </c>
      <c r="AD759" s="34" t="s">
        <v>5854</v>
      </c>
      <c r="AE759" s="34" t="s">
        <v>5856</v>
      </c>
      <c r="AF759" s="34" t="s">
        <v>5856</v>
      </c>
      <c r="AG759" s="34" t="s">
        <v>5856</v>
      </c>
      <c r="AH759" s="34" t="s">
        <v>5857</v>
      </c>
      <c r="AI759" s="34" t="s">
        <v>4287</v>
      </c>
      <c r="AJ759" s="34" t="s">
        <v>3942</v>
      </c>
      <c r="AK759" s="34" t="s">
        <v>3742</v>
      </c>
      <c r="AL759" s="34" t="s">
        <v>3658</v>
      </c>
      <c r="AM759" s="40" t="s">
        <v>8094</v>
      </c>
      <c r="AT759" s="44">
        <v>0</v>
      </c>
      <c r="AU759" s="44"/>
      <c r="AV759" s="46">
        <f>ROUND(Товары[[#This Row],[РРЦ финальная, руб.]]/$AU$1,2)</f>
        <v>0</v>
      </c>
      <c r="AW759" s="45" t="str">
        <f>IFERROR(Товары[[#This Row],[РРЦ, евро]]/Товары[[#This Row],[IRP, Eur]],"-")</f>
        <v>-</v>
      </c>
      <c r="AX759" s="42">
        <f>IFERROR(VLOOKUP(Товары[[#This Row],[SubGroup]],'Структура цен DIY'!$B:$C,2,FALSE),0)</f>
        <v>0.25000000000000011</v>
      </c>
      <c r="AY759" s="44">
        <v>0</v>
      </c>
    </row>
    <row r="760" spans="1:51" x14ac:dyDescent="0.25">
      <c r="A760" s="34">
        <v>758</v>
      </c>
      <c r="B760" s="34" t="s">
        <v>52</v>
      </c>
      <c r="C760" s="110" t="str">
        <f>IFERROR(INDEX(Структура_ассортимента[SuperCategory],MATCH(Товары[[#This Row],[SubGroup]],Структура_ассортимента[Subgroup],0)),"")</f>
        <v>R</v>
      </c>
      <c r="D760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60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60" s="110" t="str">
        <f>IFERROR(INDEX(Структура_ассортимента[Product group],MATCH(Товары[[#This Row],[SubGroup]],Структура_ассортимента[Subgroup],0)),"")</f>
        <v>LRL_C</v>
      </c>
      <c r="G760" s="110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60" s="110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60" s="36">
        <v>1230</v>
      </c>
      <c r="J760" s="36" t="str">
        <f>IFERROR(INDEX(Структура_ассортимента[Generic Name (long)],MATCH(Товары[[#This Row],[SubGroup]],Структура_ассортимента[Subgroup],0)),"")</f>
        <v>LAWN MOWER, ROBOTIC</v>
      </c>
      <c r="L760" s="36">
        <v>967845507</v>
      </c>
      <c r="M760" s="35" t="s">
        <v>2444</v>
      </c>
      <c r="Q760" s="34" t="s">
        <v>3713</v>
      </c>
      <c r="R760" s="34" t="s">
        <v>3540</v>
      </c>
      <c r="S760" s="47">
        <v>43488</v>
      </c>
      <c r="T760" s="47">
        <v>0</v>
      </c>
      <c r="U760" s="47">
        <v>0</v>
      </c>
      <c r="V760" s="34">
        <v>4078500044042</v>
      </c>
      <c r="W760" s="34" t="s">
        <v>3543</v>
      </c>
      <c r="Y760" s="34" t="s">
        <v>3542</v>
      </c>
      <c r="Z760" s="34">
        <v>1</v>
      </c>
      <c r="AA760" s="34" t="s">
        <v>5853</v>
      </c>
      <c r="AB760" s="34" t="s">
        <v>5854</v>
      </c>
      <c r="AC760" s="34" t="s">
        <v>4967</v>
      </c>
      <c r="AD760" s="34" t="s">
        <v>5854</v>
      </c>
      <c r="AE760" s="34" t="s">
        <v>5856</v>
      </c>
      <c r="AF760" s="34" t="s">
        <v>5856</v>
      </c>
      <c r="AG760" s="34" t="s">
        <v>5856</v>
      </c>
      <c r="AH760" s="34" t="s">
        <v>5857</v>
      </c>
      <c r="AI760" s="34" t="s">
        <v>4287</v>
      </c>
      <c r="AJ760" s="34" t="s">
        <v>3942</v>
      </c>
      <c r="AK760" s="34" t="s">
        <v>3742</v>
      </c>
      <c r="AL760" s="34" t="s">
        <v>3658</v>
      </c>
      <c r="AM760" s="40" t="s">
        <v>8094</v>
      </c>
      <c r="AT760" s="44">
        <v>0</v>
      </c>
      <c r="AU760" s="44"/>
      <c r="AV760" s="46">
        <f>ROUND(Товары[[#This Row],[РРЦ финальная, руб.]]/$AU$1,2)</f>
        <v>0</v>
      </c>
      <c r="AW760" s="45" t="str">
        <f>IFERROR(Товары[[#This Row],[РРЦ, евро]]/Товары[[#This Row],[IRP, Eur]],"-")</f>
        <v>-</v>
      </c>
      <c r="AX760" s="42">
        <f>IFERROR(VLOOKUP(Товары[[#This Row],[SubGroup]],'Структура цен DIY'!$B:$C,2,FALSE),0)</f>
        <v>0.25000000000000011</v>
      </c>
      <c r="AY760" s="44">
        <v>0</v>
      </c>
    </row>
    <row r="761" spans="1:51" x14ac:dyDescent="0.25">
      <c r="A761" s="34">
        <v>759</v>
      </c>
      <c r="B761" s="34" t="s">
        <v>52</v>
      </c>
      <c r="C761" s="110" t="str">
        <f>IFERROR(INDEX(Структура_ассортимента[SuperCategory],MATCH(Товары[[#This Row],[SubGroup]],Структура_ассортимента[Subgroup],0)),"")</f>
        <v>R</v>
      </c>
      <c r="D761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61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61" s="110" t="str">
        <f>IFERROR(INDEX(Структура_ассортимента[Product group],MATCH(Товары[[#This Row],[SubGroup]],Структура_ассортимента[Subgroup],0)),"")</f>
        <v>LRL_C</v>
      </c>
      <c r="G761" s="110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61" s="110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61" s="36">
        <v>1230</v>
      </c>
      <c r="J761" s="36" t="str">
        <f>IFERROR(INDEX(Структура_ассортимента[Generic Name (long)],MATCH(Товары[[#This Row],[SubGroup]],Структура_ассортимента[Subgroup],0)),"")</f>
        <v>LAWN MOWER, ROBOTIC</v>
      </c>
      <c r="L761" s="36">
        <v>967845511</v>
      </c>
      <c r="M761" s="35" t="s">
        <v>2445</v>
      </c>
      <c r="Q761" s="34" t="s">
        <v>3713</v>
      </c>
      <c r="R761" s="34" t="s">
        <v>3540</v>
      </c>
      <c r="S761" s="47">
        <v>43488</v>
      </c>
      <c r="T761" s="47">
        <v>0</v>
      </c>
      <c r="U761" s="47">
        <v>0</v>
      </c>
      <c r="V761" s="34">
        <v>4078500044059</v>
      </c>
      <c r="W761" s="34" t="s">
        <v>3543</v>
      </c>
      <c r="Y761" s="34" t="s">
        <v>3542</v>
      </c>
      <c r="Z761" s="34">
        <v>1</v>
      </c>
      <c r="AA761" s="34" t="s">
        <v>5853</v>
      </c>
      <c r="AB761" s="34" t="s">
        <v>5854</v>
      </c>
      <c r="AC761" s="34" t="s">
        <v>4967</v>
      </c>
      <c r="AD761" s="34" t="s">
        <v>5854</v>
      </c>
      <c r="AE761" s="34" t="s">
        <v>5856</v>
      </c>
      <c r="AF761" s="34" t="s">
        <v>5856</v>
      </c>
      <c r="AG761" s="34" t="s">
        <v>5856</v>
      </c>
      <c r="AH761" s="34" t="s">
        <v>5857</v>
      </c>
      <c r="AI761" s="34" t="s">
        <v>4287</v>
      </c>
      <c r="AJ761" s="34" t="s">
        <v>3942</v>
      </c>
      <c r="AK761" s="34" t="s">
        <v>3742</v>
      </c>
      <c r="AL761" s="34" t="s">
        <v>3658</v>
      </c>
      <c r="AM761" s="40" t="s">
        <v>8094</v>
      </c>
      <c r="AT761" s="44">
        <v>0</v>
      </c>
      <c r="AU761" s="44"/>
      <c r="AV761" s="46">
        <f>ROUND(Товары[[#This Row],[РРЦ финальная, руб.]]/$AU$1,2)</f>
        <v>0</v>
      </c>
      <c r="AW761" s="45" t="str">
        <f>IFERROR(Товары[[#This Row],[РРЦ, евро]]/Товары[[#This Row],[IRP, Eur]],"-")</f>
        <v>-</v>
      </c>
      <c r="AX761" s="42">
        <f>IFERROR(VLOOKUP(Товары[[#This Row],[SubGroup]],'Структура цен DIY'!$B:$C,2,FALSE),0)</f>
        <v>0.25000000000000011</v>
      </c>
      <c r="AY761" s="44">
        <v>0</v>
      </c>
    </row>
    <row r="762" spans="1:51" x14ac:dyDescent="0.25">
      <c r="A762" s="34">
        <v>760</v>
      </c>
      <c r="B762" s="34" t="s">
        <v>52</v>
      </c>
      <c r="C762" s="110" t="str">
        <f>IFERROR(INDEX(Структура_ассортимента[SuperCategory],MATCH(Товары[[#This Row],[SubGroup]],Структура_ассортимента[Subgroup],0)),"")</f>
        <v>R</v>
      </c>
      <c r="D762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62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62" s="110" t="str">
        <f>IFERROR(INDEX(Структура_ассортимента[Product group],MATCH(Товары[[#This Row],[SubGroup]],Структура_ассортимента[Subgroup],0)),"")</f>
        <v>LRL_C</v>
      </c>
      <c r="G762" s="110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62" s="110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62" s="36">
        <v>1230</v>
      </c>
      <c r="J762" s="36" t="str">
        <f>IFERROR(INDEX(Структура_ассортимента[Generic Name (long)],MATCH(Товары[[#This Row],[SubGroup]],Структура_ассортимента[Subgroup],0)),"")</f>
        <v>LAWN MOWER, ROBOTIC</v>
      </c>
      <c r="L762" s="36">
        <v>967845607</v>
      </c>
      <c r="M762" s="35" t="s">
        <v>2446</v>
      </c>
      <c r="Q762" s="34" t="s">
        <v>3713</v>
      </c>
      <c r="R762" s="34" t="s">
        <v>3540</v>
      </c>
      <c r="S762" s="47">
        <v>43488</v>
      </c>
      <c r="T762" s="47">
        <v>0</v>
      </c>
      <c r="U762" s="47">
        <v>0</v>
      </c>
      <c r="V762" s="34">
        <v>4078500044141</v>
      </c>
      <c r="W762" s="34" t="s">
        <v>3543</v>
      </c>
      <c r="Y762" s="34" t="s">
        <v>3542</v>
      </c>
      <c r="Z762" s="34">
        <v>1</v>
      </c>
      <c r="AA762" s="34" t="s">
        <v>5853</v>
      </c>
      <c r="AB762" s="34" t="s">
        <v>5854</v>
      </c>
      <c r="AC762" s="34" t="s">
        <v>4967</v>
      </c>
      <c r="AD762" s="34" t="s">
        <v>5854</v>
      </c>
      <c r="AE762" s="34" t="s">
        <v>5856</v>
      </c>
      <c r="AF762" s="34" t="s">
        <v>5856</v>
      </c>
      <c r="AG762" s="34" t="s">
        <v>5856</v>
      </c>
      <c r="AH762" s="34" t="s">
        <v>5857</v>
      </c>
      <c r="AI762" s="34" t="s">
        <v>4287</v>
      </c>
      <c r="AJ762" s="34" t="s">
        <v>3942</v>
      </c>
      <c r="AK762" s="34" t="s">
        <v>3742</v>
      </c>
      <c r="AL762" s="34" t="s">
        <v>3658</v>
      </c>
      <c r="AM762" s="40" t="s">
        <v>8094</v>
      </c>
      <c r="AT762" s="44">
        <v>0</v>
      </c>
      <c r="AU762" s="44"/>
      <c r="AV762" s="46">
        <f>ROUND(Товары[[#This Row],[РРЦ финальная, руб.]]/$AU$1,2)</f>
        <v>0</v>
      </c>
      <c r="AW762" s="45" t="str">
        <f>IFERROR(Товары[[#This Row],[РРЦ, евро]]/Товары[[#This Row],[IRP, Eur]],"-")</f>
        <v>-</v>
      </c>
      <c r="AX762" s="42">
        <f>IFERROR(VLOOKUP(Товары[[#This Row],[SubGroup]],'Структура цен DIY'!$B:$C,2,FALSE),0)</f>
        <v>0.25000000000000011</v>
      </c>
      <c r="AY762" s="44">
        <v>0</v>
      </c>
    </row>
    <row r="763" spans="1:51" x14ac:dyDescent="0.25">
      <c r="A763" s="34">
        <v>761</v>
      </c>
      <c r="B763" s="34" t="s">
        <v>52</v>
      </c>
      <c r="C763" s="110" t="str">
        <f>IFERROR(INDEX(Структура_ассортимента[SuperCategory],MATCH(Товары[[#This Row],[SubGroup]],Структура_ассортимента[Subgroup],0)),"")</f>
        <v>R</v>
      </c>
      <c r="D763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63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63" s="110" t="str">
        <f>IFERROR(INDEX(Структура_ассортимента[Product group],MATCH(Товары[[#This Row],[SubGroup]],Структура_ассортимента[Subgroup],0)),"")</f>
        <v>LRL_C</v>
      </c>
      <c r="G763" s="110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63" s="110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63" s="36">
        <v>1230</v>
      </c>
      <c r="J763" s="36" t="str">
        <f>IFERROR(INDEX(Структура_ассортимента[Generic Name (long)],MATCH(Товары[[#This Row],[SubGroup]],Структура_ассортимента[Subgroup],0)),"")</f>
        <v>LAWN MOWER, ROBOTIC</v>
      </c>
      <c r="L763" s="36">
        <v>967845611</v>
      </c>
      <c r="M763" s="35" t="s">
        <v>2447</v>
      </c>
      <c r="Q763" s="34" t="s">
        <v>3713</v>
      </c>
      <c r="R763" s="34" t="s">
        <v>3540</v>
      </c>
      <c r="S763" s="47">
        <v>43488</v>
      </c>
      <c r="T763" s="47">
        <v>0</v>
      </c>
      <c r="U763" s="47">
        <v>0</v>
      </c>
      <c r="V763" s="34">
        <v>4078500044158</v>
      </c>
      <c r="W763" s="34" t="s">
        <v>3543</v>
      </c>
      <c r="Y763" s="34" t="s">
        <v>3542</v>
      </c>
      <c r="Z763" s="34">
        <v>1</v>
      </c>
      <c r="AA763" s="34" t="s">
        <v>5853</v>
      </c>
      <c r="AB763" s="34" t="s">
        <v>5854</v>
      </c>
      <c r="AC763" s="34" t="s">
        <v>4967</v>
      </c>
      <c r="AD763" s="34" t="s">
        <v>5854</v>
      </c>
      <c r="AE763" s="34" t="s">
        <v>5856</v>
      </c>
      <c r="AF763" s="34" t="s">
        <v>5856</v>
      </c>
      <c r="AG763" s="34" t="s">
        <v>5856</v>
      </c>
      <c r="AH763" s="34" t="s">
        <v>5857</v>
      </c>
      <c r="AI763" s="34" t="s">
        <v>4287</v>
      </c>
      <c r="AJ763" s="34" t="s">
        <v>3942</v>
      </c>
      <c r="AK763" s="34" t="s">
        <v>3742</v>
      </c>
      <c r="AL763" s="34" t="s">
        <v>3658</v>
      </c>
      <c r="AM763" s="40" t="s">
        <v>8094</v>
      </c>
      <c r="AT763" s="44">
        <v>0</v>
      </c>
      <c r="AU763" s="44"/>
      <c r="AV763" s="46">
        <f>ROUND(Товары[[#This Row],[РРЦ финальная, руб.]]/$AU$1,2)</f>
        <v>0</v>
      </c>
      <c r="AW763" s="45" t="str">
        <f>IFERROR(Товары[[#This Row],[РРЦ, евро]]/Товары[[#This Row],[IRP, Eur]],"-")</f>
        <v>-</v>
      </c>
      <c r="AX763" s="42">
        <f>IFERROR(VLOOKUP(Товары[[#This Row],[SubGroup]],'Структура цен DIY'!$B:$C,2,FALSE),0)</f>
        <v>0.25000000000000011</v>
      </c>
      <c r="AY763" s="44">
        <v>0</v>
      </c>
    </row>
    <row r="764" spans="1:51" x14ac:dyDescent="0.25">
      <c r="A764" s="34">
        <v>762</v>
      </c>
      <c r="B764" s="34" t="s">
        <v>52</v>
      </c>
      <c r="C764" s="110" t="str">
        <f>IFERROR(INDEX(Структура_ассортимента[SuperCategory],MATCH(Товары[[#This Row],[SubGroup]],Структура_ассортимента[Subgroup],0)),"")</f>
        <v>R</v>
      </c>
      <c r="D764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64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64" s="110" t="str">
        <f>IFERROR(INDEX(Структура_ассортимента[Product group],MATCH(Товары[[#This Row],[SubGroup]],Структура_ассортимента[Subgroup],0)),"")</f>
        <v>LRL_C</v>
      </c>
      <c r="G764" s="110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64" s="110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64" s="36">
        <v>1230</v>
      </c>
      <c r="J764" s="36" t="str">
        <f>IFERROR(INDEX(Структура_ассортимента[Generic Name (long)],MATCH(Товары[[#This Row],[SubGroup]],Структура_ассортимента[Subgroup],0)),"")</f>
        <v>LAWN MOWER, ROBOTIC</v>
      </c>
      <c r="L764" s="36">
        <v>967845602</v>
      </c>
      <c r="M764" s="35" t="s">
        <v>2448</v>
      </c>
      <c r="Q764" s="34" t="s">
        <v>3549</v>
      </c>
      <c r="R764" s="34" t="s">
        <v>3540</v>
      </c>
      <c r="S764" s="47">
        <v>43488</v>
      </c>
      <c r="T764" s="47">
        <v>0</v>
      </c>
      <c r="U764" s="47">
        <v>0</v>
      </c>
      <c r="V764" s="34">
        <v>4078500046817</v>
      </c>
      <c r="W764" s="34" t="s">
        <v>5837</v>
      </c>
      <c r="X764" s="34" t="s">
        <v>5860</v>
      </c>
      <c r="Y764" s="34" t="s">
        <v>3542</v>
      </c>
      <c r="Z764" s="34">
        <v>1</v>
      </c>
      <c r="AA764" s="34" t="s">
        <v>5853</v>
      </c>
      <c r="AB764" s="34" t="s">
        <v>5869</v>
      </c>
      <c r="AC764" s="34" t="s">
        <v>4967</v>
      </c>
      <c r="AD764" s="34" t="s">
        <v>4012</v>
      </c>
      <c r="AE764" s="34" t="s">
        <v>4882</v>
      </c>
      <c r="AF764" s="34" t="s">
        <v>4731</v>
      </c>
      <c r="AG764" s="34" t="s">
        <v>5674</v>
      </c>
      <c r="AH764" s="34" t="s">
        <v>5863</v>
      </c>
      <c r="AI764" s="34" t="s">
        <v>4287</v>
      </c>
      <c r="AJ764" s="34" t="s">
        <v>3942</v>
      </c>
      <c r="AK764" s="34" t="s">
        <v>3742</v>
      </c>
      <c r="AL764" s="34" t="s">
        <v>4972</v>
      </c>
      <c r="AM764" s="40" t="s">
        <v>8095</v>
      </c>
      <c r="AT764" s="44">
        <v>0</v>
      </c>
      <c r="AU764" s="44"/>
      <c r="AV764" s="46">
        <f>ROUND(Товары[[#This Row],[РРЦ финальная, руб.]]/$AU$1,2)</f>
        <v>0</v>
      </c>
      <c r="AW764" s="45" t="str">
        <f>IFERROR(Товары[[#This Row],[РРЦ, евро]]/Товары[[#This Row],[IRP, Eur]],"-")</f>
        <v>-</v>
      </c>
      <c r="AX764" s="42">
        <f>IFERROR(VLOOKUP(Товары[[#This Row],[SubGroup]],'Структура цен DIY'!$B:$C,2,FALSE),0)</f>
        <v>0.25000000000000011</v>
      </c>
      <c r="AY764" s="44">
        <v>0</v>
      </c>
    </row>
    <row r="765" spans="1:51" x14ac:dyDescent="0.25">
      <c r="A765" s="34">
        <v>763</v>
      </c>
      <c r="B765" s="34" t="s">
        <v>52</v>
      </c>
      <c r="C765" s="110" t="str">
        <f>IFERROR(INDEX(Структура_ассортимента[SuperCategory],MATCH(Товары[[#This Row],[SubGroup]],Структура_ассортимента[Subgroup],0)),"")</f>
        <v>R</v>
      </c>
      <c r="D765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65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65" s="110" t="str">
        <f>IFERROR(INDEX(Структура_ассортимента[Product group],MATCH(Товары[[#This Row],[SubGroup]],Структура_ассортимента[Subgroup],0)),"")</f>
        <v>LRL_C</v>
      </c>
      <c r="G765" s="110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65" s="110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65" s="36">
        <v>1230</v>
      </c>
      <c r="J765" s="36" t="str">
        <f>IFERROR(INDEX(Структура_ассортимента[Generic Name (long)],MATCH(Товары[[#This Row],[SubGroup]],Структура_ассортимента[Subgroup],0)),"")</f>
        <v>LAWN MOWER, ROBOTIC</v>
      </c>
      <c r="L765" s="36">
        <v>967951607</v>
      </c>
      <c r="M765" s="35" t="s">
        <v>2449</v>
      </c>
      <c r="Q765" s="34" t="s">
        <v>3549</v>
      </c>
      <c r="R765" s="34" t="s">
        <v>3540</v>
      </c>
      <c r="S765" s="47">
        <v>43488</v>
      </c>
      <c r="T765" s="47">
        <v>0</v>
      </c>
      <c r="U765" s="47">
        <v>0</v>
      </c>
      <c r="V765" s="34">
        <v>4078500047432</v>
      </c>
      <c r="W765" s="34" t="s">
        <v>3543</v>
      </c>
      <c r="X765" s="34" t="s">
        <v>5860</v>
      </c>
      <c r="Y765" s="34" t="s">
        <v>3542</v>
      </c>
      <c r="Z765" s="34">
        <v>1</v>
      </c>
      <c r="AA765" s="34" t="s">
        <v>5853</v>
      </c>
      <c r="AB765" s="34" t="s">
        <v>5854</v>
      </c>
      <c r="AC765" s="34" t="s">
        <v>4967</v>
      </c>
      <c r="AD765" s="34" t="s">
        <v>5854</v>
      </c>
      <c r="AE765" s="34" t="s">
        <v>5856</v>
      </c>
      <c r="AF765" s="34" t="s">
        <v>5856</v>
      </c>
      <c r="AG765" s="34" t="s">
        <v>5856</v>
      </c>
      <c r="AH765" s="34" t="s">
        <v>5857</v>
      </c>
      <c r="AI765" s="34" t="s">
        <v>3854</v>
      </c>
      <c r="AJ765" s="34" t="s">
        <v>3743</v>
      </c>
      <c r="AK765" s="34" t="s">
        <v>4202</v>
      </c>
      <c r="AL765" s="34" t="s">
        <v>3658</v>
      </c>
      <c r="AM765" s="40" t="s">
        <v>8095</v>
      </c>
      <c r="AT765" s="44">
        <v>0</v>
      </c>
      <c r="AU765" s="44"/>
      <c r="AV765" s="46">
        <f>ROUND(Товары[[#This Row],[РРЦ финальная, руб.]]/$AU$1,2)</f>
        <v>0</v>
      </c>
      <c r="AW765" s="45" t="str">
        <f>IFERROR(Товары[[#This Row],[РРЦ, евро]]/Товары[[#This Row],[IRP, Eur]],"-")</f>
        <v>-</v>
      </c>
      <c r="AX765" s="42">
        <f>IFERROR(VLOOKUP(Товары[[#This Row],[SubGroup]],'Структура цен DIY'!$B:$C,2,FALSE),0)</f>
        <v>0.25000000000000011</v>
      </c>
      <c r="AY765" s="44">
        <v>0</v>
      </c>
    </row>
    <row r="766" spans="1:51" x14ac:dyDescent="0.25">
      <c r="A766" s="34">
        <v>764</v>
      </c>
      <c r="B766" s="34" t="s">
        <v>52</v>
      </c>
      <c r="C766" s="110" t="str">
        <f>IFERROR(INDEX(Структура_ассортимента[SuperCategory],MATCH(Товары[[#This Row],[SubGroup]],Структура_ассортимента[Subgroup],0)),"")</f>
        <v>R</v>
      </c>
      <c r="D766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66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66" s="110" t="str">
        <f>IFERROR(INDEX(Структура_ассортимента[Product group],MATCH(Товары[[#This Row],[SubGroup]],Структура_ассортимента[Subgroup],0)),"")</f>
        <v>LRL_C</v>
      </c>
      <c r="G766" s="110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66" s="110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66" s="36">
        <v>1230</v>
      </c>
      <c r="J766" s="36" t="str">
        <f>IFERROR(INDEX(Структура_ассортимента[Generic Name (long)],MATCH(Товары[[#This Row],[SubGroup]],Структура_ассортимента[Subgroup],0)),"")</f>
        <v>LAWN MOWER, ROBOTIC</v>
      </c>
      <c r="L766" s="36">
        <v>967965407</v>
      </c>
      <c r="M766" s="35" t="s">
        <v>2450</v>
      </c>
      <c r="Q766" s="34" t="s">
        <v>3713</v>
      </c>
      <c r="R766" s="34" t="s">
        <v>3540</v>
      </c>
      <c r="S766" s="47">
        <v>43488</v>
      </c>
      <c r="T766" s="47">
        <v>0</v>
      </c>
      <c r="U766" s="47">
        <v>0</v>
      </c>
      <c r="V766" s="34">
        <v>4078500047555</v>
      </c>
      <c r="W766" s="34" t="s">
        <v>3543</v>
      </c>
      <c r="Y766" s="34" t="s">
        <v>3542</v>
      </c>
      <c r="Z766" s="34">
        <v>1</v>
      </c>
      <c r="AI766" s="34" t="s">
        <v>3854</v>
      </c>
      <c r="AJ766" s="34" t="s">
        <v>3743</v>
      </c>
      <c r="AK766" s="34" t="s">
        <v>4202</v>
      </c>
      <c r="AM766" s="40" t="s">
        <v>8094</v>
      </c>
      <c r="AT766" s="44">
        <v>0</v>
      </c>
      <c r="AU766" s="44"/>
      <c r="AV766" s="46">
        <f>ROUND(Товары[[#This Row],[РРЦ финальная, руб.]]/$AU$1,2)</f>
        <v>0</v>
      </c>
      <c r="AW766" s="45" t="str">
        <f>IFERROR(Товары[[#This Row],[РРЦ, евро]]/Товары[[#This Row],[IRP, Eur]],"-")</f>
        <v>-</v>
      </c>
      <c r="AX766" s="42">
        <f>IFERROR(VLOOKUP(Товары[[#This Row],[SubGroup]],'Структура цен DIY'!$B:$C,2,FALSE),0)</f>
        <v>0.25000000000000011</v>
      </c>
      <c r="AY766" s="44">
        <v>0</v>
      </c>
    </row>
    <row r="767" spans="1:51" x14ac:dyDescent="0.25">
      <c r="A767" s="34">
        <v>765</v>
      </c>
      <c r="B767" s="34" t="s">
        <v>52</v>
      </c>
      <c r="C767" s="110" t="str">
        <f>IFERROR(INDEX(Структура_ассортимента[SuperCategory],MATCH(Товары[[#This Row],[SubGroup]],Структура_ассортимента[Subgroup],0)),"")</f>
        <v>R</v>
      </c>
      <c r="D767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67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67" s="110" t="str">
        <f>IFERROR(INDEX(Структура_ассортимента[Product group],MATCH(Товары[[#This Row],[SubGroup]],Структура_ассортимента[Subgroup],0)),"")</f>
        <v>LRL_C</v>
      </c>
      <c r="G767" s="110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67" s="110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67" s="36">
        <v>1230</v>
      </c>
      <c r="J767" s="36" t="str">
        <f>IFERROR(INDEX(Структура_ассортимента[Generic Name (long)],MATCH(Товары[[#This Row],[SubGroup]],Структура_ассортимента[Subgroup],0)),"")</f>
        <v>LAWN MOWER, ROBOTIC</v>
      </c>
      <c r="L767" s="36">
        <v>967646807</v>
      </c>
      <c r="M767" s="35" t="s">
        <v>2451</v>
      </c>
      <c r="O767" s="35" t="s">
        <v>5870</v>
      </c>
      <c r="P767" s="37" t="s">
        <v>5840</v>
      </c>
      <c r="Q767" s="34" t="s">
        <v>3549</v>
      </c>
      <c r="R767" s="34" t="s">
        <v>3540</v>
      </c>
      <c r="S767" s="47">
        <v>43132</v>
      </c>
      <c r="T767" s="47">
        <v>0</v>
      </c>
      <c r="U767" s="47">
        <v>0</v>
      </c>
      <c r="V767" s="34">
        <v>4078500032568</v>
      </c>
      <c r="W767" s="34" t="s">
        <v>3541</v>
      </c>
      <c r="X767" s="34" t="s">
        <v>3704</v>
      </c>
      <c r="Y767" s="34" t="s">
        <v>3542</v>
      </c>
      <c r="Z767" s="34">
        <v>1</v>
      </c>
      <c r="AA767" s="34" t="s">
        <v>4967</v>
      </c>
      <c r="AB767" s="34" t="s">
        <v>5871</v>
      </c>
      <c r="AC767" s="34" t="s">
        <v>5842</v>
      </c>
      <c r="AD767" s="34" t="s">
        <v>5843</v>
      </c>
      <c r="AE767" s="34" t="s">
        <v>5165</v>
      </c>
      <c r="AF767" s="34" t="s">
        <v>4420</v>
      </c>
      <c r="AG767" s="34" t="s">
        <v>5048</v>
      </c>
      <c r="AH767" s="34" t="s">
        <v>5844</v>
      </c>
      <c r="AI767" s="34" t="s">
        <v>4323</v>
      </c>
      <c r="AJ767" s="34" t="s">
        <v>3743</v>
      </c>
      <c r="AK767" s="34" t="s">
        <v>3722</v>
      </c>
      <c r="AL767" s="34" t="s">
        <v>4972</v>
      </c>
      <c r="AM767" s="40" t="s">
        <v>10</v>
      </c>
      <c r="AP767" s="34">
        <v>0</v>
      </c>
      <c r="AQ767" s="34">
        <v>69290</v>
      </c>
      <c r="AR767" s="34">
        <v>43306</v>
      </c>
      <c r="AT767" s="44">
        <v>5366800</v>
      </c>
      <c r="AU767" s="44"/>
      <c r="AV767" s="46">
        <f>ROUND(Товары[[#This Row],[РРЦ финальная, руб.]]/$AU$1,2)</f>
        <v>0</v>
      </c>
      <c r="AW767" s="45" t="str">
        <f>IFERROR(Товары[[#This Row],[РРЦ, евро]]/Товары[[#This Row],[IRP, Eur]],"-")</f>
        <v>-</v>
      </c>
      <c r="AX767" s="42">
        <f>IFERROR(VLOOKUP(Товары[[#This Row],[SubGroup]],'Структура цен DIY'!$B:$C,2,FALSE),0)</f>
        <v>0.25000000000000011</v>
      </c>
      <c r="AY767" s="44">
        <v>0</v>
      </c>
    </row>
    <row r="768" spans="1:51" x14ac:dyDescent="0.25">
      <c r="A768" s="34">
        <v>766</v>
      </c>
      <c r="B768" s="34" t="s">
        <v>52</v>
      </c>
      <c r="C768" s="110" t="str">
        <f>IFERROR(INDEX(Структура_ассортимента[SuperCategory],MATCH(Товары[[#This Row],[SubGroup]],Структура_ассортимента[Subgroup],0)),"")</f>
        <v>R</v>
      </c>
      <c r="D768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68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68" s="110" t="str">
        <f>IFERROR(INDEX(Структура_ассортимента[Product group],MATCH(Товары[[#This Row],[SubGroup]],Структура_ассортимента[Subgroup],0)),"")</f>
        <v>LRL_C</v>
      </c>
      <c r="G768" s="110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68" s="110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68" s="36">
        <v>1230</v>
      </c>
      <c r="J768" s="36" t="str">
        <f>IFERROR(INDEX(Структура_ассортимента[Generic Name (long)],MATCH(Товары[[#This Row],[SubGroup]],Структура_ассортимента[Subgroup],0)),"")</f>
        <v>LAWN MOWER, ROBOTIC</v>
      </c>
      <c r="L768" s="36">
        <v>967647207</v>
      </c>
      <c r="M768" s="35" t="s">
        <v>2452</v>
      </c>
      <c r="O768" s="35" t="s">
        <v>5872</v>
      </c>
      <c r="P768" s="37" t="s">
        <v>5846</v>
      </c>
      <c r="Q768" s="34" t="s">
        <v>3549</v>
      </c>
      <c r="R768" s="34" t="s">
        <v>3540</v>
      </c>
      <c r="S768" s="47">
        <v>43132</v>
      </c>
      <c r="T768" s="47">
        <v>0</v>
      </c>
      <c r="U768" s="47">
        <v>0</v>
      </c>
      <c r="V768" s="34">
        <v>4078500032650</v>
      </c>
      <c r="W768" s="34" t="s">
        <v>3541</v>
      </c>
      <c r="X768" s="34" t="s">
        <v>3704</v>
      </c>
      <c r="Y768" s="34" t="s">
        <v>3542</v>
      </c>
      <c r="Z768" s="34">
        <v>1</v>
      </c>
      <c r="AA768" s="34" t="s">
        <v>4967</v>
      </c>
      <c r="AB768" s="34" t="s">
        <v>5841</v>
      </c>
      <c r="AC768" s="34" t="s">
        <v>5842</v>
      </c>
      <c r="AD768" s="34" t="s">
        <v>5843</v>
      </c>
      <c r="AE768" s="34" t="s">
        <v>5165</v>
      </c>
      <c r="AF768" s="34" t="s">
        <v>4420</v>
      </c>
      <c r="AG768" s="34" t="s">
        <v>5048</v>
      </c>
      <c r="AH768" s="34" t="s">
        <v>5844</v>
      </c>
      <c r="AI768" s="34" t="s">
        <v>4323</v>
      </c>
      <c r="AJ768" s="34" t="s">
        <v>3743</v>
      </c>
      <c r="AK768" s="34" t="s">
        <v>3722</v>
      </c>
      <c r="AL768" s="34" t="s">
        <v>4972</v>
      </c>
      <c r="AM768" s="40" t="s">
        <v>10</v>
      </c>
      <c r="AP768" s="34">
        <v>0</v>
      </c>
      <c r="AQ768" s="34">
        <v>78290</v>
      </c>
      <c r="AR768" s="34">
        <v>48931</v>
      </c>
      <c r="AT768" s="44">
        <v>6063900</v>
      </c>
      <c r="AU768" s="44"/>
      <c r="AV768" s="46">
        <f>ROUND(Товары[[#This Row],[РРЦ финальная, руб.]]/$AU$1,2)</f>
        <v>0</v>
      </c>
      <c r="AW768" s="45" t="str">
        <f>IFERROR(Товары[[#This Row],[РРЦ, евро]]/Товары[[#This Row],[IRP, Eur]],"-")</f>
        <v>-</v>
      </c>
      <c r="AX768" s="42">
        <f>IFERROR(VLOOKUP(Товары[[#This Row],[SubGroup]],'Структура цен DIY'!$B:$C,2,FALSE),0)</f>
        <v>0.25000000000000011</v>
      </c>
      <c r="AY768" s="44">
        <v>0</v>
      </c>
    </row>
    <row r="769" spans="1:51" x14ac:dyDescent="0.25">
      <c r="A769" s="34">
        <v>767</v>
      </c>
      <c r="B769" s="34" t="s">
        <v>52</v>
      </c>
      <c r="C769" s="110" t="str">
        <f>IFERROR(INDEX(Структура_ассортимента[SuperCategory],MATCH(Товары[[#This Row],[SubGroup]],Структура_ассортимента[Subgroup],0)),"")</f>
        <v>R</v>
      </c>
      <c r="D769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69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69" s="110" t="str">
        <f>IFERROR(INDEX(Структура_ассортимента[Product group],MATCH(Товары[[#This Row],[SubGroup]],Структура_ассортимента[Subgroup],0)),"")</f>
        <v>LRL_C</v>
      </c>
      <c r="G769" s="110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69" s="110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69" s="36">
        <v>1230</v>
      </c>
      <c r="J769" s="36" t="str">
        <f>IFERROR(INDEX(Структура_ассортимента[Generic Name (long)],MATCH(Товары[[#This Row],[SubGroup]],Структура_ассортимента[Subgroup],0)),"")</f>
        <v>LAWN MOWER, ROBOTIC</v>
      </c>
      <c r="L769" s="36">
        <v>967647007</v>
      </c>
      <c r="M769" s="35" t="s">
        <v>2453</v>
      </c>
      <c r="Q769" s="34" t="s">
        <v>3549</v>
      </c>
      <c r="R769" s="34" t="s">
        <v>3540</v>
      </c>
      <c r="S769" s="47">
        <v>43831</v>
      </c>
      <c r="T769" s="47">
        <v>0</v>
      </c>
      <c r="U769" s="47">
        <v>0</v>
      </c>
      <c r="V769" s="34">
        <v>4078500050661</v>
      </c>
      <c r="W769" s="34" t="s">
        <v>3541</v>
      </c>
      <c r="X769" s="34" t="s">
        <v>3704</v>
      </c>
      <c r="Y769" s="34" t="s">
        <v>3542</v>
      </c>
      <c r="Z769" s="34">
        <v>1</v>
      </c>
      <c r="AA769" s="34" t="s">
        <v>4967</v>
      </c>
      <c r="AB769" s="34" t="s">
        <v>4967</v>
      </c>
      <c r="AC769" s="34" t="s">
        <v>5842</v>
      </c>
      <c r="AD769" s="34" t="s">
        <v>5842</v>
      </c>
      <c r="AE769" s="34" t="s">
        <v>4439</v>
      </c>
      <c r="AF769" s="34" t="s">
        <v>4223</v>
      </c>
      <c r="AG769" s="34" t="s">
        <v>5048</v>
      </c>
      <c r="AH769" s="34" t="s">
        <v>5873</v>
      </c>
      <c r="AI769" s="34" t="s">
        <v>4323</v>
      </c>
      <c r="AJ769" s="34" t="s">
        <v>3743</v>
      </c>
      <c r="AK769" s="34" t="s">
        <v>3722</v>
      </c>
      <c r="AM769" s="40" t="s">
        <v>8095</v>
      </c>
      <c r="AT769" s="44">
        <v>0</v>
      </c>
      <c r="AU769" s="44"/>
      <c r="AV769" s="46">
        <f>ROUND(Товары[[#This Row],[РРЦ финальная, руб.]]/$AU$1,2)</f>
        <v>0</v>
      </c>
      <c r="AW769" s="45" t="str">
        <f>IFERROR(Товары[[#This Row],[РРЦ, евро]]/Товары[[#This Row],[IRP, Eur]],"-")</f>
        <v>-</v>
      </c>
      <c r="AX769" s="42">
        <f>IFERROR(VLOOKUP(Товары[[#This Row],[SubGroup]],'Структура цен DIY'!$B:$C,2,FALSE),0)</f>
        <v>0.25000000000000011</v>
      </c>
      <c r="AY769" s="44">
        <v>0</v>
      </c>
    </row>
    <row r="770" spans="1:51" x14ac:dyDescent="0.25">
      <c r="A770" s="34">
        <v>768</v>
      </c>
      <c r="B770" s="34" t="s">
        <v>52</v>
      </c>
      <c r="C770" s="110" t="str">
        <f>IFERROR(INDEX(Структура_ассортимента[SuperCategory],MATCH(Товары[[#This Row],[SubGroup]],Структура_ассортимента[Subgroup],0)),"")</f>
        <v>R</v>
      </c>
      <c r="D770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70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70" s="110" t="str">
        <f>IFERROR(INDEX(Структура_ассортимента[Product group],MATCH(Товары[[#This Row],[SubGroup]],Структура_ассортимента[Subgroup],0)),"")</f>
        <v>LRL_C</v>
      </c>
      <c r="G770" s="110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70" s="110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70" s="36">
        <v>1230</v>
      </c>
      <c r="J770" s="36" t="str">
        <f>IFERROR(INDEX(Структура_ассортимента[Generic Name (long)],MATCH(Товары[[#This Row],[SubGroup]],Структура_ассортимента[Subgroup],0)),"")</f>
        <v>LAWN MOWER, ROBOTIC</v>
      </c>
      <c r="L770" s="36">
        <v>970462807</v>
      </c>
      <c r="M770" s="35" t="s">
        <v>2454</v>
      </c>
      <c r="O770" s="35" t="s">
        <v>5874</v>
      </c>
      <c r="P770" s="37" t="s">
        <v>5875</v>
      </c>
      <c r="Q770" s="34" t="s">
        <v>3549</v>
      </c>
      <c r="R770" s="34" t="s">
        <v>3540</v>
      </c>
      <c r="S770" s="47">
        <v>44228</v>
      </c>
      <c r="T770" s="47">
        <v>0</v>
      </c>
      <c r="U770" s="47">
        <v>0</v>
      </c>
      <c r="V770" s="34">
        <v>4078500053099</v>
      </c>
      <c r="W770" s="34" t="s">
        <v>3543</v>
      </c>
      <c r="Y770" s="34" t="s">
        <v>3542</v>
      </c>
      <c r="Z770" s="34">
        <v>1</v>
      </c>
      <c r="AM770" s="40" t="s">
        <v>11</v>
      </c>
      <c r="AT770" s="44">
        <v>0</v>
      </c>
      <c r="AU770" s="44"/>
      <c r="AV770" s="46">
        <f>ROUND(Товары[[#This Row],[РРЦ финальная, руб.]]/$AU$1,2)</f>
        <v>0</v>
      </c>
      <c r="AW770" s="45" t="str">
        <f>IFERROR(Товары[[#This Row],[РРЦ, евро]]/Товары[[#This Row],[IRP, Eur]],"-")</f>
        <v>-</v>
      </c>
      <c r="AX770" s="42">
        <f>IFERROR(VLOOKUP(Товары[[#This Row],[SubGroup]],'Структура цен DIY'!$B:$C,2,FALSE),0)</f>
        <v>0.25000000000000011</v>
      </c>
      <c r="AY770" s="44">
        <v>0</v>
      </c>
    </row>
    <row r="771" spans="1:51" x14ac:dyDescent="0.25">
      <c r="A771" s="34">
        <v>769</v>
      </c>
      <c r="B771" s="34" t="s">
        <v>52</v>
      </c>
      <c r="C771" s="110" t="str">
        <f>IFERROR(INDEX(Структура_ассортимента[SuperCategory],MATCH(Товары[[#This Row],[SubGroup]],Структура_ассортимента[Subgroup],0)),"")</f>
        <v>R</v>
      </c>
      <c r="D771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71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71" s="110" t="str">
        <f>IFERROR(INDEX(Структура_ассортимента[Product group],MATCH(Товары[[#This Row],[SubGroup]],Структура_ассортимента[Subgroup],0)),"")</f>
        <v>LRL_C</v>
      </c>
      <c r="G771" s="110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71" s="110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71" s="36">
        <v>1230</v>
      </c>
      <c r="J771" s="36" t="str">
        <f>IFERROR(INDEX(Структура_ассортимента[Generic Name (long)],MATCH(Товары[[#This Row],[SubGroup]],Структура_ассортимента[Subgroup],0)),"")</f>
        <v>LAWN MOWER, ROBOTIC</v>
      </c>
      <c r="L771" s="36">
        <v>970462907</v>
      </c>
      <c r="M771" s="35" t="s">
        <v>2455</v>
      </c>
      <c r="O771" s="35" t="s">
        <v>5876</v>
      </c>
      <c r="P771" s="37" t="s">
        <v>5877</v>
      </c>
      <c r="Q771" s="34" t="s">
        <v>3549</v>
      </c>
      <c r="R771" s="34" t="s">
        <v>3540</v>
      </c>
      <c r="S771" s="47">
        <v>44228</v>
      </c>
      <c r="T771" s="47">
        <v>0</v>
      </c>
      <c r="U771" s="47">
        <v>0</v>
      </c>
      <c r="V771" s="34">
        <v>4078500053174</v>
      </c>
      <c r="W771" s="34" t="s">
        <v>3543</v>
      </c>
      <c r="Y771" s="34" t="s">
        <v>3542</v>
      </c>
      <c r="Z771" s="34">
        <v>1</v>
      </c>
      <c r="AM771" s="40" t="s">
        <v>11</v>
      </c>
      <c r="AT771" s="44">
        <v>0</v>
      </c>
      <c r="AU771" s="44"/>
      <c r="AV771" s="46">
        <f>ROUND(Товары[[#This Row],[РРЦ финальная, руб.]]/$AU$1,2)</f>
        <v>0</v>
      </c>
      <c r="AW771" s="45" t="str">
        <f>IFERROR(Товары[[#This Row],[РРЦ, евро]]/Товары[[#This Row],[IRP, Eur]],"-")</f>
        <v>-</v>
      </c>
      <c r="AX771" s="42">
        <f>IFERROR(VLOOKUP(Товары[[#This Row],[SubGroup]],'Структура цен DIY'!$B:$C,2,FALSE),0)</f>
        <v>0.25000000000000011</v>
      </c>
      <c r="AY771" s="44">
        <v>0</v>
      </c>
    </row>
    <row r="772" spans="1:51" x14ac:dyDescent="0.25">
      <c r="A772" s="34">
        <v>770</v>
      </c>
      <c r="B772" s="34" t="s">
        <v>52</v>
      </c>
      <c r="C772" s="110" t="str">
        <f>IFERROR(INDEX(Структура_ассортимента[SuperCategory],MATCH(Товары[[#This Row],[SubGroup]],Структура_ассортимента[Subgroup],0)),"")</f>
        <v>R</v>
      </c>
      <c r="D772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72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72" s="110" t="str">
        <f>IFERROR(INDEX(Структура_ассортимента[Product group],MATCH(Товары[[#This Row],[SubGroup]],Структура_ассортимента[Subgroup],0)),"")</f>
        <v>LRL_C</v>
      </c>
      <c r="G772" s="110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72" s="110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72" s="36">
        <v>1230</v>
      </c>
      <c r="J772" s="36" t="str">
        <f>IFERROR(INDEX(Структура_ассортимента[Generic Name (long)],MATCH(Товары[[#This Row],[SubGroup]],Структура_ассортимента[Subgroup],0)),"")</f>
        <v>LAWN MOWER, ROBOTIC</v>
      </c>
      <c r="L772" s="36">
        <v>967317507</v>
      </c>
      <c r="M772" s="35" t="s">
        <v>2456</v>
      </c>
      <c r="Q772" s="34" t="s">
        <v>4565</v>
      </c>
      <c r="R772" s="34" t="s">
        <v>3540</v>
      </c>
      <c r="S772" s="47">
        <v>0</v>
      </c>
      <c r="T772" s="47">
        <v>42735</v>
      </c>
      <c r="U772" s="47">
        <v>42735</v>
      </c>
      <c r="V772" s="34">
        <v>4078500012478</v>
      </c>
      <c r="W772" s="34" t="s">
        <v>5791</v>
      </c>
      <c r="Y772" s="34" t="s">
        <v>3542</v>
      </c>
      <c r="Z772" s="34">
        <v>1</v>
      </c>
      <c r="AA772" s="34">
        <v>17700</v>
      </c>
      <c r="AB772" s="34">
        <v>18835</v>
      </c>
      <c r="AC772" s="34">
        <v>11000</v>
      </c>
      <c r="AD772" s="34">
        <v>15335</v>
      </c>
      <c r="AE772" s="34">
        <v>780</v>
      </c>
      <c r="AF772" s="34">
        <v>520</v>
      </c>
      <c r="AG772" s="34">
        <v>370</v>
      </c>
      <c r="AH772" s="34">
        <v>150072</v>
      </c>
      <c r="AM772" s="40" t="s">
        <v>8094</v>
      </c>
      <c r="AT772" s="44">
        <v>0</v>
      </c>
      <c r="AU772" s="44"/>
      <c r="AV772" s="46">
        <f>ROUND(Товары[[#This Row],[РРЦ финальная, руб.]]/$AU$1,2)</f>
        <v>0</v>
      </c>
      <c r="AW772" s="45" t="str">
        <f>IFERROR(Товары[[#This Row],[РРЦ, евро]]/Товары[[#This Row],[IRP, Eur]],"-")</f>
        <v>-</v>
      </c>
      <c r="AX772" s="42">
        <f>IFERROR(VLOOKUP(Товары[[#This Row],[SubGroup]],'Структура цен DIY'!$B:$C,2,FALSE),0)</f>
        <v>0.25000000000000011</v>
      </c>
      <c r="AY772" s="44">
        <v>0</v>
      </c>
    </row>
    <row r="773" spans="1:51" x14ac:dyDescent="0.25">
      <c r="A773" s="34">
        <v>771</v>
      </c>
      <c r="B773" s="34" t="s">
        <v>52</v>
      </c>
      <c r="C773" s="110" t="str">
        <f>IFERROR(INDEX(Структура_ассортимента[SuperCategory],MATCH(Товары[[#This Row],[SubGroup]],Структура_ассортимента[Subgroup],0)),"")</f>
        <v>R</v>
      </c>
      <c r="D773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73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73" s="110" t="str">
        <f>IFERROR(INDEX(Структура_ассортимента[Product group],MATCH(Товары[[#This Row],[SubGroup]],Структура_ассортимента[Subgroup],0)),"")</f>
        <v>LRL_C</v>
      </c>
      <c r="G773" s="110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73" s="110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73" s="36">
        <v>1230</v>
      </c>
      <c r="J773" s="36" t="str">
        <f>IFERROR(INDEX(Структура_ассортимента[Generic Name (long)],MATCH(Товары[[#This Row],[SubGroup]],Структура_ассортимента[Subgroup],0)),"")</f>
        <v>LAWN MOWER, ROBOTIC</v>
      </c>
      <c r="L773" s="36">
        <v>967271212</v>
      </c>
      <c r="M773" s="35" t="s">
        <v>2457</v>
      </c>
      <c r="Q773" s="34" t="s">
        <v>3544</v>
      </c>
      <c r="R773" s="34" t="s">
        <v>3540</v>
      </c>
      <c r="S773" s="47">
        <v>42736</v>
      </c>
      <c r="T773" s="47">
        <v>0</v>
      </c>
      <c r="U773" s="47">
        <v>0</v>
      </c>
      <c r="V773" s="34">
        <v>4078500031189</v>
      </c>
      <c r="W773" s="34" t="s">
        <v>5791</v>
      </c>
      <c r="Z773" s="34">
        <v>1</v>
      </c>
      <c r="AE773" s="34">
        <v>780</v>
      </c>
      <c r="AF773" s="34">
        <v>520</v>
      </c>
      <c r="AG773" s="34">
        <v>370</v>
      </c>
      <c r="AH773" s="34">
        <v>150072</v>
      </c>
      <c r="AM773" s="40" t="s">
        <v>8094</v>
      </c>
      <c r="AT773" s="44">
        <v>0</v>
      </c>
      <c r="AU773" s="44"/>
      <c r="AV773" s="46">
        <f>ROUND(Товары[[#This Row],[РРЦ финальная, руб.]]/$AU$1,2)</f>
        <v>0</v>
      </c>
      <c r="AW773" s="45" t="str">
        <f>IFERROR(Товары[[#This Row],[РРЦ, евро]]/Товары[[#This Row],[IRP, Eur]],"-")</f>
        <v>-</v>
      </c>
      <c r="AX773" s="42">
        <f>IFERROR(VLOOKUP(Товары[[#This Row],[SubGroup]],'Структура цен DIY'!$B:$C,2,FALSE),0)</f>
        <v>0.25000000000000011</v>
      </c>
      <c r="AY773" s="44">
        <v>0</v>
      </c>
    </row>
    <row r="774" spans="1:51" x14ac:dyDescent="0.25">
      <c r="A774" s="34">
        <v>772</v>
      </c>
      <c r="B774" s="34" t="s">
        <v>52</v>
      </c>
      <c r="C774" s="110" t="str">
        <f>IFERROR(INDEX(Структура_ассортимента[SuperCategory],MATCH(Товары[[#This Row],[SubGroup]],Структура_ассортимента[Subgroup],0)),"")</f>
        <v>R</v>
      </c>
      <c r="D774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74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74" s="110" t="str">
        <f>IFERROR(INDEX(Структура_ассортимента[Product group],MATCH(Товары[[#This Row],[SubGroup]],Структура_ассортимента[Subgroup],0)),"")</f>
        <v>LRL_C</v>
      </c>
      <c r="G774" s="110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74" s="110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74" s="36">
        <v>1230</v>
      </c>
      <c r="J774" s="36" t="str">
        <f>IFERROR(INDEX(Структура_ассортимента[Generic Name (long)],MATCH(Товары[[#This Row],[SubGroup]],Структура_ассортимента[Subgroup],0)),"")</f>
        <v>LAWN MOWER, ROBOTIC</v>
      </c>
      <c r="L774" s="36">
        <v>967270207</v>
      </c>
      <c r="M774" s="35" t="s">
        <v>2458</v>
      </c>
      <c r="Q774" s="34" t="s">
        <v>3544</v>
      </c>
      <c r="R774" s="34" t="s">
        <v>3540</v>
      </c>
      <c r="S774" s="47">
        <v>42736</v>
      </c>
      <c r="T774" s="47">
        <v>0</v>
      </c>
      <c r="U774" s="47">
        <v>0</v>
      </c>
      <c r="V774" s="34" t="s">
        <v>5878</v>
      </c>
      <c r="W774" s="34" t="s">
        <v>5791</v>
      </c>
      <c r="Z774" s="34">
        <v>1</v>
      </c>
      <c r="AE774" s="34">
        <v>780</v>
      </c>
      <c r="AF774" s="34">
        <v>520</v>
      </c>
      <c r="AG774" s="34">
        <v>370</v>
      </c>
      <c r="AH774" s="34">
        <v>150072</v>
      </c>
      <c r="AM774" s="40" t="s">
        <v>8094</v>
      </c>
      <c r="AT774" s="44">
        <v>0</v>
      </c>
      <c r="AU774" s="44"/>
      <c r="AV774" s="46">
        <f>ROUND(Товары[[#This Row],[РРЦ финальная, руб.]]/$AU$1,2)</f>
        <v>0</v>
      </c>
      <c r="AW774" s="45" t="str">
        <f>IFERROR(Товары[[#This Row],[РРЦ, евро]]/Товары[[#This Row],[IRP, Eur]],"-")</f>
        <v>-</v>
      </c>
      <c r="AX774" s="42">
        <f>IFERROR(VLOOKUP(Товары[[#This Row],[SubGroup]],'Структура цен DIY'!$B:$C,2,FALSE),0)</f>
        <v>0.25000000000000011</v>
      </c>
      <c r="AY774" s="44">
        <v>0</v>
      </c>
    </row>
    <row r="775" spans="1:51" x14ac:dyDescent="0.25">
      <c r="A775" s="34">
        <v>773</v>
      </c>
      <c r="B775" s="34" t="s">
        <v>52</v>
      </c>
      <c r="C775" s="110" t="str">
        <f>IFERROR(INDEX(Структура_ассортимента[SuperCategory],MATCH(Товары[[#This Row],[SubGroup]],Структура_ассортимента[Subgroup],0)),"")</f>
        <v>R</v>
      </c>
      <c r="D775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75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75" s="110" t="str">
        <f>IFERROR(INDEX(Структура_ассортимента[Product group],MATCH(Товары[[#This Row],[SubGroup]],Структура_ассортимента[Subgroup],0)),"")</f>
        <v>LRL_P</v>
      </c>
      <c r="G775" s="110" t="str">
        <f>IFERROR(INDEX(Структура_ассортимента[Product group name ENG],MATCH(Товары[[#This Row],[SubGroup]],Структура_ассортимента[Subgroup],0)),"")</f>
        <v>Robotic, Spare Parts</v>
      </c>
      <c r="H775" s="110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75" s="36">
        <v>1238</v>
      </c>
      <c r="J775" s="36" t="str">
        <f>IFERROR(INDEX(Структура_ассортимента[Generic Name (long)],MATCH(Товары[[#This Row],[SubGroup]],Структура_ассортимента[Subgroup],0)),"")</f>
        <v>HOUSING</v>
      </c>
      <c r="L775" s="36">
        <v>966809501</v>
      </c>
      <c r="M775" s="35" t="s">
        <v>2459</v>
      </c>
      <c r="O775" s="35" t="s">
        <v>5879</v>
      </c>
      <c r="P775" s="37" t="s">
        <v>5880</v>
      </c>
      <c r="Q775" s="34" t="s">
        <v>3549</v>
      </c>
      <c r="R775" s="34" t="s">
        <v>3540</v>
      </c>
      <c r="S775" s="47">
        <v>40817</v>
      </c>
      <c r="T775" s="47">
        <v>0</v>
      </c>
      <c r="U775" s="47">
        <v>0</v>
      </c>
      <c r="V775" s="34">
        <v>4078500408707</v>
      </c>
      <c r="W775" s="34" t="s">
        <v>3546</v>
      </c>
      <c r="X775" s="34" t="s">
        <v>5860</v>
      </c>
      <c r="Y775" s="34" t="s">
        <v>3542</v>
      </c>
      <c r="Z775" s="34">
        <v>5</v>
      </c>
      <c r="AA775" s="34">
        <v>40</v>
      </c>
      <c r="AB775" s="34" t="s">
        <v>5603</v>
      </c>
      <c r="AC775" s="34">
        <v>40</v>
      </c>
      <c r="AD775" s="34" t="s">
        <v>3776</v>
      </c>
      <c r="AE775" s="34" t="s">
        <v>3693</v>
      </c>
      <c r="AF775" s="34" t="s">
        <v>3576</v>
      </c>
      <c r="AG775" s="34" t="s">
        <v>4260</v>
      </c>
      <c r="AH775" s="34" t="s">
        <v>5881</v>
      </c>
      <c r="AL775" s="34">
        <v>1470</v>
      </c>
      <c r="AM775" s="40" t="s">
        <v>9</v>
      </c>
      <c r="AP775" s="34">
        <v>0</v>
      </c>
      <c r="AQ775" s="34">
        <v>1639</v>
      </c>
      <c r="AR775" s="34">
        <v>888</v>
      </c>
      <c r="AT775" s="44">
        <v>126900</v>
      </c>
      <c r="AU775" s="44"/>
      <c r="AV775" s="46">
        <f>ROUND(Товары[[#This Row],[РРЦ финальная, руб.]]/$AU$1,2)</f>
        <v>0</v>
      </c>
      <c r="AW775" s="45" t="str">
        <f>IFERROR(Товары[[#This Row],[РРЦ, евро]]/Товары[[#This Row],[IRP, Eur]],"-")</f>
        <v>-</v>
      </c>
      <c r="AX775" s="42">
        <f>IFERROR(VLOOKUP(Товары[[#This Row],[SubGroup]],'Структура цен DIY'!$B:$C,2,FALSE),0)</f>
        <v>0.35</v>
      </c>
      <c r="AY775" s="44">
        <v>0</v>
      </c>
    </row>
    <row r="776" spans="1:51" x14ac:dyDescent="0.25">
      <c r="A776" s="34">
        <v>774</v>
      </c>
      <c r="B776" s="34" t="s">
        <v>52</v>
      </c>
      <c r="C776" s="110" t="str">
        <f>IFERROR(INDEX(Структура_ассортимента[SuperCategory],MATCH(Товары[[#This Row],[SubGroup]],Структура_ассортимента[Subgroup],0)),"")</f>
        <v>R</v>
      </c>
      <c r="D776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76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76" s="110" t="str">
        <f>IFERROR(INDEX(Структура_ассортимента[Product group],MATCH(Товары[[#This Row],[SubGroup]],Структура_ассортимента[Subgroup],0)),"")</f>
        <v>LRL_P</v>
      </c>
      <c r="G776" s="110" t="str">
        <f>IFERROR(INDEX(Структура_ассортимента[Product group name ENG],MATCH(Товары[[#This Row],[SubGroup]],Структура_ассортимента[Subgroup],0)),"")</f>
        <v>Robotic, Spare Parts</v>
      </c>
      <c r="H776" s="110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76" s="36">
        <v>1238</v>
      </c>
      <c r="J776" s="36" t="str">
        <f>IFERROR(INDEX(Структура_ассортимента[Generic Name (long)],MATCH(Товары[[#This Row],[SubGroup]],Структура_ассортимента[Subgroup],0)),"")</f>
        <v>HOUSING</v>
      </c>
      <c r="L776" s="36">
        <v>966809601</v>
      </c>
      <c r="M776" s="35" t="s">
        <v>2460</v>
      </c>
      <c r="P776" s="37" t="s">
        <v>5882</v>
      </c>
      <c r="Q776" s="34" t="s">
        <v>3713</v>
      </c>
      <c r="R776" s="34" t="s">
        <v>3540</v>
      </c>
      <c r="S776" s="47">
        <v>40817</v>
      </c>
      <c r="T776" s="47">
        <v>43738</v>
      </c>
      <c r="U776" s="47">
        <v>43738</v>
      </c>
      <c r="V776" s="34">
        <v>4078500408806</v>
      </c>
      <c r="W776" s="34" t="s">
        <v>5837</v>
      </c>
      <c r="Y776" s="34" t="s">
        <v>3542</v>
      </c>
      <c r="Z776" s="34">
        <v>1</v>
      </c>
      <c r="AA776" s="34" t="s">
        <v>5883</v>
      </c>
      <c r="AB776" s="34" t="s">
        <v>5883</v>
      </c>
      <c r="AC776" s="34" t="s">
        <v>5884</v>
      </c>
      <c r="AD776" s="34" t="s">
        <v>5884</v>
      </c>
      <c r="AE776" s="34" t="s">
        <v>3942</v>
      </c>
      <c r="AF776" s="34" t="s">
        <v>3877</v>
      </c>
      <c r="AG776" s="34" t="s">
        <v>4139</v>
      </c>
      <c r="AH776" s="34" t="s">
        <v>5885</v>
      </c>
      <c r="AL776" s="34">
        <v>120</v>
      </c>
      <c r="AM776" s="40" t="s">
        <v>233</v>
      </c>
      <c r="AP776" s="34">
        <v>0</v>
      </c>
      <c r="AQ776" s="34">
        <v>7192</v>
      </c>
      <c r="AR776" s="34">
        <v>3896</v>
      </c>
      <c r="AT776" s="44">
        <v>557100</v>
      </c>
      <c r="AU776" s="44"/>
      <c r="AV776" s="46">
        <f>ROUND(Товары[[#This Row],[РРЦ финальная, руб.]]/$AU$1,2)</f>
        <v>0</v>
      </c>
      <c r="AW776" s="45" t="str">
        <f>IFERROR(Товары[[#This Row],[РРЦ, евро]]/Товары[[#This Row],[IRP, Eur]],"-")</f>
        <v>-</v>
      </c>
      <c r="AX776" s="42">
        <f>IFERROR(VLOOKUP(Товары[[#This Row],[SubGroup]],'Структура цен DIY'!$B:$C,2,FALSE),0)</f>
        <v>0.35</v>
      </c>
      <c r="AY776" s="44">
        <v>0</v>
      </c>
    </row>
    <row r="777" spans="1:51" x14ac:dyDescent="0.25">
      <c r="A777" s="34">
        <v>775</v>
      </c>
      <c r="B777" s="34" t="s">
        <v>52</v>
      </c>
      <c r="C777" s="110" t="str">
        <f>IFERROR(INDEX(Структура_ассортимента[SuperCategory],MATCH(Товары[[#This Row],[SubGroup]],Структура_ассортимента[Subgroup],0)),"")</f>
        <v>R</v>
      </c>
      <c r="D777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77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77" s="110" t="str">
        <f>IFERROR(INDEX(Структура_ассортимента[Product group],MATCH(Товары[[#This Row],[SubGroup]],Структура_ассортимента[Subgroup],0)),"")</f>
        <v>LRL_P</v>
      </c>
      <c r="G777" s="110" t="str">
        <f>IFERROR(INDEX(Структура_ассортимента[Product group name ENG],MATCH(Товары[[#This Row],[SubGroup]],Структура_ассортимента[Subgroup],0)),"")</f>
        <v>Robotic, Spare Parts</v>
      </c>
      <c r="H777" s="110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77" s="36">
        <v>1238</v>
      </c>
      <c r="J777" s="36" t="str">
        <f>IFERROR(INDEX(Структура_ассортимента[Generic Name (long)],MATCH(Товары[[#This Row],[SubGroup]],Структура_ассортимента[Subgroup],0)),"")</f>
        <v>HOUSING</v>
      </c>
      <c r="L777" s="36">
        <v>966809701</v>
      </c>
      <c r="M777" s="35" t="s">
        <v>2461</v>
      </c>
      <c r="O777" s="35" t="s">
        <v>5886</v>
      </c>
      <c r="P777" s="37" t="s">
        <v>5887</v>
      </c>
      <c r="Q777" s="34" t="s">
        <v>3549</v>
      </c>
      <c r="R777" s="34" t="s">
        <v>3540</v>
      </c>
      <c r="S777" s="47">
        <v>40817</v>
      </c>
      <c r="T777" s="47">
        <v>0</v>
      </c>
      <c r="U777" s="47">
        <v>0</v>
      </c>
      <c r="V777" s="34">
        <v>4078500408905</v>
      </c>
      <c r="W777" s="34" t="s">
        <v>5837</v>
      </c>
      <c r="X777" s="34" t="s">
        <v>5860</v>
      </c>
      <c r="Y777" s="34" t="s">
        <v>3542</v>
      </c>
      <c r="Z777" s="34">
        <v>5</v>
      </c>
      <c r="AA777" s="34" t="s">
        <v>5629</v>
      </c>
      <c r="AB777" s="34" t="s">
        <v>5629</v>
      </c>
      <c r="AC777" s="34" t="s">
        <v>5888</v>
      </c>
      <c r="AD777" s="34" t="s">
        <v>5888</v>
      </c>
      <c r="AE777" s="34" t="s">
        <v>3693</v>
      </c>
      <c r="AF777" s="34" t="s">
        <v>3576</v>
      </c>
      <c r="AG777" s="34" t="s">
        <v>4260</v>
      </c>
      <c r="AH777" s="34" t="s">
        <v>5881</v>
      </c>
      <c r="AL777" s="34" t="s">
        <v>5889</v>
      </c>
      <c r="AM777" s="40" t="s">
        <v>9</v>
      </c>
      <c r="AP777" s="34">
        <v>0</v>
      </c>
      <c r="AQ777" s="34">
        <v>1199</v>
      </c>
      <c r="AR777" s="34">
        <v>649</v>
      </c>
      <c r="AT777" s="44">
        <v>92900</v>
      </c>
      <c r="AU777" s="44"/>
      <c r="AV777" s="46">
        <f>ROUND(Товары[[#This Row],[РРЦ финальная, руб.]]/$AU$1,2)</f>
        <v>0</v>
      </c>
      <c r="AW777" s="45" t="str">
        <f>IFERROR(Товары[[#This Row],[РРЦ, евро]]/Товары[[#This Row],[IRP, Eur]],"-")</f>
        <v>-</v>
      </c>
      <c r="AX777" s="42">
        <f>IFERROR(VLOOKUP(Товары[[#This Row],[SubGroup]],'Структура цен DIY'!$B:$C,2,FALSE),0)</f>
        <v>0.35</v>
      </c>
      <c r="AY777" s="44">
        <v>0</v>
      </c>
    </row>
    <row r="778" spans="1:51" x14ac:dyDescent="0.25">
      <c r="A778" s="34">
        <v>776</v>
      </c>
      <c r="B778" s="34" t="s">
        <v>52</v>
      </c>
      <c r="C778" s="110" t="str">
        <f>IFERROR(INDEX(Структура_ассортимента[SuperCategory],MATCH(Товары[[#This Row],[SubGroup]],Структура_ассортимента[Subgroup],0)),"")</f>
        <v>R</v>
      </c>
      <c r="D778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78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78" s="110" t="str">
        <f>IFERROR(INDEX(Структура_ассортимента[Product group],MATCH(Товары[[#This Row],[SubGroup]],Структура_ассортимента[Subgroup],0)),"")</f>
        <v>LRL_P</v>
      </c>
      <c r="G778" s="110" t="str">
        <f>IFERROR(INDEX(Структура_ассортимента[Product group name ENG],MATCH(Товары[[#This Row],[SubGroup]],Структура_ассортимента[Subgroup],0)),"")</f>
        <v>Robotic, Spare Parts</v>
      </c>
      <c r="H778" s="110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78" s="36">
        <v>1238</v>
      </c>
      <c r="J778" s="36" t="str">
        <f>IFERROR(INDEX(Структура_ассортимента[Generic Name (long)],MATCH(Товары[[#This Row],[SubGroup]],Структура_ассортимента[Subgroup],0)),"")</f>
        <v>HOUSING</v>
      </c>
      <c r="L778" s="36">
        <v>966809801</v>
      </c>
      <c r="M778" s="35" t="s">
        <v>2462</v>
      </c>
      <c r="O778" s="35" t="s">
        <v>5890</v>
      </c>
      <c r="P778" s="37" t="s">
        <v>5891</v>
      </c>
      <c r="Q778" s="34" t="s">
        <v>3549</v>
      </c>
      <c r="R778" s="34" t="s">
        <v>3540</v>
      </c>
      <c r="S778" s="47">
        <v>40817</v>
      </c>
      <c r="T778" s="47">
        <v>0</v>
      </c>
      <c r="U778" s="47">
        <v>0</v>
      </c>
      <c r="V778" s="34">
        <v>4078500409001</v>
      </c>
      <c r="W778" s="34" t="s">
        <v>5837</v>
      </c>
      <c r="X778" s="34" t="s">
        <v>5860</v>
      </c>
      <c r="Y778" s="34" t="s">
        <v>3542</v>
      </c>
      <c r="Z778" s="34">
        <v>2</v>
      </c>
      <c r="AA778" s="34" t="s">
        <v>4496</v>
      </c>
      <c r="AB778" s="34" t="s">
        <v>4625</v>
      </c>
      <c r="AC778" s="34" t="s">
        <v>4800</v>
      </c>
      <c r="AD778" s="34" t="s">
        <v>4502</v>
      </c>
      <c r="AE778" s="34" t="s">
        <v>3590</v>
      </c>
      <c r="AF778" s="34" t="s">
        <v>4102</v>
      </c>
      <c r="AG778" s="34" t="s">
        <v>4260</v>
      </c>
      <c r="AH778" s="34" t="s">
        <v>5892</v>
      </c>
      <c r="AL778" s="34" t="s">
        <v>5047</v>
      </c>
      <c r="AM778" s="40" t="s">
        <v>9</v>
      </c>
      <c r="AP778" s="34">
        <v>0</v>
      </c>
      <c r="AQ778" s="34">
        <v>1419</v>
      </c>
      <c r="AR778" s="34">
        <v>769</v>
      </c>
      <c r="AT778" s="44">
        <v>109900</v>
      </c>
      <c r="AU778" s="44"/>
      <c r="AV778" s="46">
        <f>ROUND(Товары[[#This Row],[РРЦ финальная, руб.]]/$AU$1,2)</f>
        <v>0</v>
      </c>
      <c r="AW778" s="45" t="str">
        <f>IFERROR(Товары[[#This Row],[РРЦ, евро]]/Товары[[#This Row],[IRP, Eur]],"-")</f>
        <v>-</v>
      </c>
      <c r="AX778" s="42">
        <f>IFERROR(VLOOKUP(Товары[[#This Row],[SubGroup]],'Структура цен DIY'!$B:$C,2,FALSE),0)</f>
        <v>0.35</v>
      </c>
      <c r="AY778" s="44">
        <v>0</v>
      </c>
    </row>
    <row r="779" spans="1:51" x14ac:dyDescent="0.25">
      <c r="A779" s="34">
        <v>777</v>
      </c>
      <c r="B779" s="34" t="s">
        <v>52</v>
      </c>
      <c r="C779" s="110" t="str">
        <f>IFERROR(INDEX(Структура_ассортимента[SuperCategory],MATCH(Товары[[#This Row],[SubGroup]],Структура_ассортимента[Subgroup],0)),"")</f>
        <v>R</v>
      </c>
      <c r="D779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79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79" s="110" t="str">
        <f>IFERROR(INDEX(Структура_ассортимента[Product group],MATCH(Товары[[#This Row],[SubGroup]],Структура_ассортимента[Subgroup],0)),"")</f>
        <v>LRL_P</v>
      </c>
      <c r="G779" s="110" t="str">
        <f>IFERROR(INDEX(Структура_ассортимента[Product group name ENG],MATCH(Товары[[#This Row],[SubGroup]],Структура_ассортимента[Subgroup],0)),"")</f>
        <v>Robotic, Spare Parts</v>
      </c>
      <c r="H779" s="110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79" s="36">
        <v>1238</v>
      </c>
      <c r="J779" s="36" t="str">
        <f>IFERROR(INDEX(Структура_ассортимента[Generic Name (long)],MATCH(Товары[[#This Row],[SubGroup]],Структура_ассортимента[Subgroup],0)),"")</f>
        <v>HOUSING</v>
      </c>
      <c r="L779" s="36">
        <v>586801702</v>
      </c>
      <c r="M779" s="35" t="s">
        <v>2463</v>
      </c>
      <c r="Q779" s="34" t="s">
        <v>3652</v>
      </c>
      <c r="R779" s="34" t="s">
        <v>3540</v>
      </c>
      <c r="S779" s="47">
        <v>43101</v>
      </c>
      <c r="T779" s="47">
        <v>0</v>
      </c>
      <c r="U779" s="47">
        <v>0</v>
      </c>
      <c r="V779" s="34">
        <v>4078500034739</v>
      </c>
      <c r="W779" s="34" t="s">
        <v>5837</v>
      </c>
      <c r="X779" s="34" t="s">
        <v>5860</v>
      </c>
      <c r="Y779" s="34" t="s">
        <v>3542</v>
      </c>
      <c r="Z779" s="34">
        <v>1</v>
      </c>
      <c r="AA779" s="34" t="s">
        <v>5358</v>
      </c>
      <c r="AB779" s="34" t="s">
        <v>5436</v>
      </c>
      <c r="AC779" s="34" t="s">
        <v>4858</v>
      </c>
      <c r="AD779" s="34" t="s">
        <v>5893</v>
      </c>
      <c r="AE779" s="34" t="s">
        <v>4727</v>
      </c>
      <c r="AF779" s="34" t="s">
        <v>3857</v>
      </c>
      <c r="AG779" s="34" t="s">
        <v>4540</v>
      </c>
      <c r="AH779" s="34" t="s">
        <v>5894</v>
      </c>
      <c r="AL779" s="34" t="s">
        <v>4972</v>
      </c>
      <c r="AM779" s="40" t="s">
        <v>8095</v>
      </c>
      <c r="AT779" s="44">
        <v>0</v>
      </c>
      <c r="AU779" s="44"/>
      <c r="AV779" s="46">
        <f>ROUND(Товары[[#This Row],[РРЦ финальная, руб.]]/$AU$1,2)</f>
        <v>0</v>
      </c>
      <c r="AW779" s="45" t="str">
        <f>IFERROR(Товары[[#This Row],[РРЦ, евро]]/Товары[[#This Row],[IRP, Eur]],"-")</f>
        <v>-</v>
      </c>
      <c r="AX779" s="42">
        <f>IFERROR(VLOOKUP(Товары[[#This Row],[SubGroup]],'Структура цен DIY'!$B:$C,2,FALSE),0)</f>
        <v>0.35</v>
      </c>
      <c r="AY779" s="44">
        <v>0</v>
      </c>
    </row>
    <row r="780" spans="1:51" x14ac:dyDescent="0.25">
      <c r="A780" s="34">
        <v>778</v>
      </c>
      <c r="B780" s="34" t="s">
        <v>52</v>
      </c>
      <c r="C780" s="110" t="str">
        <f>IFERROR(INDEX(Структура_ассортимента[SuperCategory],MATCH(Товары[[#This Row],[SubGroup]],Структура_ассортимента[Subgroup],0)),"")</f>
        <v>R</v>
      </c>
      <c r="D780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80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80" s="110" t="str">
        <f>IFERROR(INDEX(Структура_ассортимента[Product group],MATCH(Товары[[#This Row],[SubGroup]],Структура_ассортимента[Subgroup],0)),"")</f>
        <v>LRL_P</v>
      </c>
      <c r="G780" s="110" t="str">
        <f>IFERROR(INDEX(Структура_ассортимента[Product group name ENG],MATCH(Товары[[#This Row],[SubGroup]],Структура_ассортимента[Subgroup],0)),"")</f>
        <v>Robotic, Spare Parts</v>
      </c>
      <c r="H780" s="110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80" s="36">
        <v>1238</v>
      </c>
      <c r="J780" s="36" t="str">
        <f>IFERROR(INDEX(Структура_ассортимента[Generic Name (long)],MATCH(Товары[[#This Row],[SubGroup]],Структура_ассортимента[Subgroup],0)),"")</f>
        <v>HOUSING</v>
      </c>
      <c r="L780" s="36">
        <v>588977301</v>
      </c>
      <c r="M780" s="35" t="s">
        <v>2464</v>
      </c>
      <c r="O780" s="35" t="s">
        <v>5895</v>
      </c>
      <c r="P780" s="37" t="s">
        <v>5896</v>
      </c>
      <c r="Q780" s="34" t="s">
        <v>3549</v>
      </c>
      <c r="R780" s="34" t="s">
        <v>3540</v>
      </c>
      <c r="S780" s="47">
        <v>42408</v>
      </c>
      <c r="T780" s="47">
        <v>0</v>
      </c>
      <c r="U780" s="47">
        <v>0</v>
      </c>
      <c r="V780" s="34">
        <v>4078500017312</v>
      </c>
      <c r="W780" s="34" t="s">
        <v>5837</v>
      </c>
      <c r="X780" s="34" t="s">
        <v>5860</v>
      </c>
      <c r="Y780" s="34" t="s">
        <v>3542</v>
      </c>
      <c r="Z780" s="34">
        <v>1</v>
      </c>
      <c r="AA780" s="34" t="s">
        <v>5709</v>
      </c>
      <c r="AB780" s="34" t="s">
        <v>5897</v>
      </c>
      <c r="AC780" s="34" t="s">
        <v>4012</v>
      </c>
      <c r="AD780" s="34" t="s">
        <v>5898</v>
      </c>
      <c r="AE780" s="34" t="s">
        <v>5766</v>
      </c>
      <c r="AF780" s="34" t="s">
        <v>4731</v>
      </c>
      <c r="AG780" s="34" t="s">
        <v>3857</v>
      </c>
      <c r="AH780" s="34" t="s">
        <v>5899</v>
      </c>
      <c r="AL780" s="34" t="s">
        <v>4972</v>
      </c>
      <c r="AM780" s="40" t="s">
        <v>233</v>
      </c>
      <c r="AT780" s="44">
        <v>0</v>
      </c>
      <c r="AU780" s="44"/>
      <c r="AV780" s="46">
        <f>ROUND(Товары[[#This Row],[РРЦ финальная, руб.]]/$AU$1,2)</f>
        <v>0</v>
      </c>
      <c r="AW780" s="45" t="str">
        <f>IFERROR(Товары[[#This Row],[РРЦ, евро]]/Товары[[#This Row],[IRP, Eur]],"-")</f>
        <v>-</v>
      </c>
      <c r="AX780" s="42">
        <f>IFERROR(VLOOKUP(Товары[[#This Row],[SubGroup]],'Структура цен DIY'!$B:$C,2,FALSE),0)</f>
        <v>0.35</v>
      </c>
      <c r="AY780" s="44">
        <v>0</v>
      </c>
    </row>
    <row r="781" spans="1:51" x14ac:dyDescent="0.25">
      <c r="A781" s="34">
        <v>779</v>
      </c>
      <c r="B781" s="34" t="s">
        <v>52</v>
      </c>
      <c r="C781" s="110" t="str">
        <f>IFERROR(INDEX(Структура_ассортимента[SuperCategory],MATCH(Товары[[#This Row],[SubGroup]],Структура_ассортимента[Subgroup],0)),"")</f>
        <v>R</v>
      </c>
      <c r="D781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81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81" s="110" t="str">
        <f>IFERROR(INDEX(Структура_ассортимента[Product group],MATCH(Товары[[#This Row],[SubGroup]],Структура_ассортимента[Subgroup],0)),"")</f>
        <v>LRL_P</v>
      </c>
      <c r="G781" s="110" t="str">
        <f>IFERROR(INDEX(Структура_ассортимента[Product group name ENG],MATCH(Товары[[#This Row],[SubGroup]],Структура_ассортимента[Subgroup],0)),"")</f>
        <v>Robotic, Spare Parts</v>
      </c>
      <c r="H781" s="110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81" s="36">
        <v>1238</v>
      </c>
      <c r="J781" s="36" t="str">
        <f>IFERROR(INDEX(Структура_ассортимента[Generic Name (long)],MATCH(Товары[[#This Row],[SubGroup]],Структура_ассортимента[Subgroup],0)),"")</f>
        <v>HOUSING</v>
      </c>
      <c r="L781" s="36">
        <v>967933201</v>
      </c>
      <c r="M781" s="35" t="s">
        <v>2465</v>
      </c>
      <c r="O781" s="35" t="s">
        <v>5900</v>
      </c>
      <c r="P781" s="37" t="s">
        <v>5901</v>
      </c>
      <c r="Q781" s="34" t="s">
        <v>3549</v>
      </c>
      <c r="R781" s="34" t="s">
        <v>3540</v>
      </c>
      <c r="S781" s="47">
        <v>43497</v>
      </c>
      <c r="T781" s="47">
        <v>0</v>
      </c>
      <c r="U781" s="47">
        <v>0</v>
      </c>
      <c r="V781" s="34">
        <v>4078500046107</v>
      </c>
      <c r="W781" s="34" t="s">
        <v>3541</v>
      </c>
      <c r="X781" s="34" t="s">
        <v>3704</v>
      </c>
      <c r="Y781" s="34" t="s">
        <v>3542</v>
      </c>
      <c r="Z781" s="34">
        <v>1</v>
      </c>
      <c r="AA781" s="34" t="s">
        <v>5734</v>
      </c>
      <c r="AB781" s="34" t="s">
        <v>5519</v>
      </c>
      <c r="AC781" s="34" t="s">
        <v>4858</v>
      </c>
      <c r="AD781" s="34" t="s">
        <v>5519</v>
      </c>
      <c r="AE781" s="34" t="s">
        <v>4145</v>
      </c>
      <c r="AF781" s="34" t="s">
        <v>4731</v>
      </c>
      <c r="AG781" s="34" t="s">
        <v>5674</v>
      </c>
      <c r="AH781" s="34" t="s">
        <v>5902</v>
      </c>
      <c r="AI781" s="34" t="s">
        <v>4557</v>
      </c>
      <c r="AJ781" s="34" t="s">
        <v>5903</v>
      </c>
      <c r="AK781" s="34" t="s">
        <v>5904</v>
      </c>
      <c r="AL781" s="34" t="s">
        <v>3617</v>
      </c>
      <c r="AM781" s="40" t="s">
        <v>9</v>
      </c>
      <c r="AP781" s="34">
        <v>0</v>
      </c>
      <c r="AQ781" s="34">
        <v>15609</v>
      </c>
      <c r="AR781" s="34">
        <v>8455</v>
      </c>
      <c r="AT781" s="44">
        <v>1209000</v>
      </c>
      <c r="AU781" s="44"/>
      <c r="AV781" s="46">
        <f>ROUND(Товары[[#This Row],[РРЦ финальная, руб.]]/$AU$1,2)</f>
        <v>0</v>
      </c>
      <c r="AW781" s="45" t="str">
        <f>IFERROR(Товары[[#This Row],[РРЦ, евро]]/Товары[[#This Row],[IRP, Eur]],"-")</f>
        <v>-</v>
      </c>
      <c r="AX781" s="42">
        <f>IFERROR(VLOOKUP(Товары[[#This Row],[SubGroup]],'Структура цен DIY'!$B:$C,2,FALSE),0)</f>
        <v>0.35</v>
      </c>
      <c r="AY781" s="44">
        <v>0</v>
      </c>
    </row>
    <row r="782" spans="1:51" x14ac:dyDescent="0.25">
      <c r="A782" s="34">
        <v>780</v>
      </c>
      <c r="B782" s="34" t="s">
        <v>52</v>
      </c>
      <c r="C782" s="110" t="str">
        <f>IFERROR(INDEX(Структура_ассортимента[SuperCategory],MATCH(Товары[[#This Row],[SubGroup]],Структура_ассортимента[Subgroup],0)),"")</f>
        <v>R</v>
      </c>
      <c r="D782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82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82" s="110" t="str">
        <f>IFERROR(INDEX(Структура_ассортимента[Product group],MATCH(Товары[[#This Row],[SubGroup]],Структура_ассортимента[Subgroup],0)),"")</f>
        <v>LRL_P</v>
      </c>
      <c r="G782" s="110" t="str">
        <f>IFERROR(INDEX(Структура_ассортимента[Product group name ENG],MATCH(Товары[[#This Row],[SubGroup]],Структура_ассортимента[Subgroup],0)),"")</f>
        <v>Robotic, Spare Parts</v>
      </c>
      <c r="H782" s="110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82" s="36">
        <v>1238</v>
      </c>
      <c r="J782" s="36" t="str">
        <f>IFERROR(INDEX(Структура_ассортимента[Generic Name (long)],MATCH(Товары[[#This Row],[SubGroup]],Структура_ассортимента[Subgroup],0)),"")</f>
        <v>HOUSING</v>
      </c>
      <c r="L782" s="36">
        <v>967104301</v>
      </c>
      <c r="M782" s="35" t="s">
        <v>2466</v>
      </c>
      <c r="Q782" s="34" t="s">
        <v>3549</v>
      </c>
      <c r="R782" s="34" t="s">
        <v>3540</v>
      </c>
      <c r="S782" s="47">
        <v>42736</v>
      </c>
      <c r="T782" s="47">
        <v>0</v>
      </c>
      <c r="U782" s="47">
        <v>0</v>
      </c>
      <c r="V782" s="34">
        <v>4078500024969</v>
      </c>
      <c r="W782" s="34" t="s">
        <v>3543</v>
      </c>
      <c r="X782" s="34" t="s">
        <v>3579</v>
      </c>
      <c r="Y782" s="34" t="s">
        <v>3542</v>
      </c>
      <c r="Z782" s="34">
        <v>1</v>
      </c>
      <c r="AA782" s="34">
        <v>800</v>
      </c>
      <c r="AB782" s="34" t="s">
        <v>5905</v>
      </c>
      <c r="AC782" s="34">
        <v>780</v>
      </c>
      <c r="AD782" s="34" t="s">
        <v>4732</v>
      </c>
      <c r="AE782" s="34" t="s">
        <v>5906</v>
      </c>
      <c r="AF782" s="34" t="s">
        <v>3591</v>
      </c>
      <c r="AG782" s="34" t="s">
        <v>4785</v>
      </c>
      <c r="AH782" s="34" t="s">
        <v>5907</v>
      </c>
      <c r="AL782" s="34" t="s">
        <v>5908</v>
      </c>
      <c r="AM782" s="40" t="s">
        <v>8095</v>
      </c>
      <c r="AT782" s="44">
        <v>0</v>
      </c>
      <c r="AU782" s="44"/>
      <c r="AV782" s="46">
        <f>ROUND(Товары[[#This Row],[РРЦ финальная, руб.]]/$AU$1,2)</f>
        <v>0</v>
      </c>
      <c r="AW782" s="45" t="str">
        <f>IFERROR(Товары[[#This Row],[РРЦ, евро]]/Товары[[#This Row],[IRP, Eur]],"-")</f>
        <v>-</v>
      </c>
      <c r="AX782" s="42">
        <f>IFERROR(VLOOKUP(Товары[[#This Row],[SubGroup]],'Структура цен DIY'!$B:$C,2,FALSE),0)</f>
        <v>0.35</v>
      </c>
      <c r="AY782" s="44">
        <v>0</v>
      </c>
    </row>
    <row r="783" spans="1:51" x14ac:dyDescent="0.25">
      <c r="A783" s="34">
        <v>781</v>
      </c>
      <c r="B783" s="34" t="s">
        <v>52</v>
      </c>
      <c r="C783" s="110" t="str">
        <f>IFERROR(INDEX(Структура_ассортимента[SuperCategory],MATCH(Товары[[#This Row],[SubGroup]],Структура_ассортимента[Subgroup],0)),"")</f>
        <v>R</v>
      </c>
      <c r="D783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83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83" s="110" t="str">
        <f>IFERROR(INDEX(Структура_ассортимента[Product group],MATCH(Товары[[#This Row],[SubGroup]],Структура_ассортимента[Subgroup],0)),"")</f>
        <v>LRL_P</v>
      </c>
      <c r="G783" s="110" t="str">
        <f>IFERROR(INDEX(Структура_ассортимента[Product group name ENG],MATCH(Товары[[#This Row],[SubGroup]],Структура_ассортимента[Subgroup],0)),"")</f>
        <v>Robotic, Spare Parts</v>
      </c>
      <c r="H783" s="110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83" s="36">
        <v>1238</v>
      </c>
      <c r="J783" s="36" t="str">
        <f>IFERROR(INDEX(Структура_ассортимента[Generic Name (long)],MATCH(Товары[[#This Row],[SubGroup]],Структура_ассортимента[Subgroup],0)),"")</f>
        <v>HOUSING</v>
      </c>
      <c r="L783" s="36">
        <v>967104901</v>
      </c>
      <c r="M783" s="35" t="s">
        <v>2467</v>
      </c>
      <c r="P783" s="37" t="s">
        <v>5909</v>
      </c>
      <c r="Q783" s="34" t="s">
        <v>3713</v>
      </c>
      <c r="R783" s="34" t="s">
        <v>3540</v>
      </c>
      <c r="S783" s="47">
        <v>42736</v>
      </c>
      <c r="T783" s="47">
        <v>43738</v>
      </c>
      <c r="U783" s="47">
        <v>43738</v>
      </c>
      <c r="V783" s="34">
        <v>4078500024976</v>
      </c>
      <c r="W783" s="34" t="s">
        <v>3546</v>
      </c>
      <c r="Y783" s="34" t="s">
        <v>3542</v>
      </c>
      <c r="Z783" s="34">
        <v>1</v>
      </c>
      <c r="AA783" s="34">
        <v>0</v>
      </c>
      <c r="AB783" s="34" t="s">
        <v>3996</v>
      </c>
      <c r="AC783" s="34">
        <v>0</v>
      </c>
      <c r="AD783" s="34" t="s">
        <v>5910</v>
      </c>
      <c r="AE783" s="34" t="s">
        <v>3968</v>
      </c>
      <c r="AF783" s="34" t="s">
        <v>3556</v>
      </c>
      <c r="AG783" s="34" t="s">
        <v>3931</v>
      </c>
      <c r="AH783" s="34" t="s">
        <v>5911</v>
      </c>
      <c r="AL783" s="34" t="s">
        <v>5912</v>
      </c>
      <c r="AM783" s="40" t="s">
        <v>233</v>
      </c>
      <c r="AP783" s="34">
        <v>0</v>
      </c>
      <c r="AQ783" s="34">
        <v>1408</v>
      </c>
      <c r="AR783" s="34">
        <v>763</v>
      </c>
      <c r="AT783" s="44">
        <v>109100</v>
      </c>
      <c r="AU783" s="44"/>
      <c r="AV783" s="46">
        <f>ROUND(Товары[[#This Row],[РРЦ финальная, руб.]]/$AU$1,2)</f>
        <v>0</v>
      </c>
      <c r="AW783" s="45" t="str">
        <f>IFERROR(Товары[[#This Row],[РРЦ, евро]]/Товары[[#This Row],[IRP, Eur]],"-")</f>
        <v>-</v>
      </c>
      <c r="AX783" s="42">
        <f>IFERROR(VLOOKUP(Товары[[#This Row],[SubGroup]],'Структура цен DIY'!$B:$C,2,FALSE),0)</f>
        <v>0.35</v>
      </c>
      <c r="AY783" s="44">
        <v>0</v>
      </c>
    </row>
    <row r="784" spans="1:51" x14ac:dyDescent="0.25">
      <c r="A784" s="34">
        <v>782</v>
      </c>
      <c r="B784" s="34" t="s">
        <v>52</v>
      </c>
      <c r="C784" s="110" t="str">
        <f>IFERROR(INDEX(Структура_ассортимента[SuperCategory],MATCH(Товары[[#This Row],[SubGroup]],Структура_ассортимента[Subgroup],0)),"")</f>
        <v>R</v>
      </c>
      <c r="D784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84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84" s="110" t="str">
        <f>IFERROR(INDEX(Структура_ассортимента[Product group],MATCH(Товары[[#This Row],[SubGroup]],Структура_ассортимента[Subgroup],0)),"")</f>
        <v>LRL_P</v>
      </c>
      <c r="G784" s="110" t="str">
        <f>IFERROR(INDEX(Структура_ассортимента[Product group name ENG],MATCH(Товары[[#This Row],[SubGroup]],Структура_ассортимента[Subgroup],0)),"")</f>
        <v>Robotic, Spare Parts</v>
      </c>
      <c r="H784" s="110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84" s="36">
        <v>1238</v>
      </c>
      <c r="J784" s="36" t="str">
        <f>IFERROR(INDEX(Структура_ассортимента[Generic Name (long)],MATCH(Товары[[#This Row],[SubGroup]],Структура_ассортимента[Subgroup],0)),"")</f>
        <v>HOUSING</v>
      </c>
      <c r="L784" s="36">
        <v>967104701</v>
      </c>
      <c r="M784" s="35" t="s">
        <v>2468</v>
      </c>
      <c r="O784" s="35" t="s">
        <v>5913</v>
      </c>
      <c r="P784" s="37" t="s">
        <v>5914</v>
      </c>
      <c r="Q784" s="34" t="s">
        <v>3549</v>
      </c>
      <c r="R784" s="34" t="s">
        <v>3540</v>
      </c>
      <c r="S784" s="47">
        <v>42736</v>
      </c>
      <c r="T784" s="47">
        <v>0</v>
      </c>
      <c r="U784" s="47">
        <v>0</v>
      </c>
      <c r="V784" s="34">
        <v>4078500024983</v>
      </c>
      <c r="W784" s="34" t="s">
        <v>3546</v>
      </c>
      <c r="X784" s="34" t="s">
        <v>3551</v>
      </c>
      <c r="Y784" s="34" t="s">
        <v>3542</v>
      </c>
      <c r="Z784" s="34">
        <v>1</v>
      </c>
      <c r="AA784" s="34">
        <v>500</v>
      </c>
      <c r="AB784" s="34" t="s">
        <v>4554</v>
      </c>
      <c r="AC784" s="34">
        <v>480</v>
      </c>
      <c r="AD784" s="34" t="s">
        <v>3598</v>
      </c>
      <c r="AE784" s="34" t="s">
        <v>4334</v>
      </c>
      <c r="AF784" s="34" t="s">
        <v>3662</v>
      </c>
      <c r="AG784" s="34" t="s">
        <v>3800</v>
      </c>
      <c r="AH784" s="34" t="s">
        <v>5915</v>
      </c>
      <c r="AL784" s="34" t="s">
        <v>5442</v>
      </c>
      <c r="AM784" s="40" t="s">
        <v>9</v>
      </c>
      <c r="AP784" s="34">
        <v>0</v>
      </c>
      <c r="AQ784" s="34">
        <v>4609</v>
      </c>
      <c r="AR784" s="34">
        <v>2497</v>
      </c>
      <c r="AT784" s="44">
        <v>357000</v>
      </c>
      <c r="AU784" s="44"/>
      <c r="AV784" s="46">
        <f>ROUND(Товары[[#This Row],[РРЦ финальная, руб.]]/$AU$1,2)</f>
        <v>0</v>
      </c>
      <c r="AW784" s="45" t="str">
        <f>IFERROR(Товары[[#This Row],[РРЦ, евро]]/Товары[[#This Row],[IRP, Eur]],"-")</f>
        <v>-</v>
      </c>
      <c r="AX784" s="42">
        <f>IFERROR(VLOOKUP(Товары[[#This Row],[SubGroup]],'Структура цен DIY'!$B:$C,2,FALSE),0)</f>
        <v>0.35</v>
      </c>
      <c r="AY784" s="44">
        <v>0</v>
      </c>
    </row>
    <row r="785" spans="1:51" x14ac:dyDescent="0.25">
      <c r="A785" s="34">
        <v>783</v>
      </c>
      <c r="B785" s="34" t="s">
        <v>52</v>
      </c>
      <c r="C785" s="110" t="str">
        <f>IFERROR(INDEX(Структура_ассортимента[SuperCategory],MATCH(Товары[[#This Row],[SubGroup]],Структура_ассортимента[Subgroup],0)),"")</f>
        <v>R</v>
      </c>
      <c r="D785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85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85" s="110" t="str">
        <f>IFERROR(INDEX(Структура_ассортимента[Product group],MATCH(Товары[[#This Row],[SubGroup]],Структура_ассортимента[Subgroup],0)),"")</f>
        <v>LRL_P</v>
      </c>
      <c r="G785" s="110" t="str">
        <f>IFERROR(INDEX(Структура_ассортимента[Product group name ENG],MATCH(Товары[[#This Row],[SubGroup]],Структура_ассортимента[Subgroup],0)),"")</f>
        <v>Robotic, Spare Parts</v>
      </c>
      <c r="H785" s="110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85" s="36">
        <v>1238</v>
      </c>
      <c r="J785" s="36" t="str">
        <f>IFERROR(INDEX(Структура_ассортимента[Generic Name (long)],MATCH(Товары[[#This Row],[SubGroup]],Структура_ассортимента[Subgroup],0)),"")</f>
        <v>HOUSING</v>
      </c>
      <c r="L785" s="36">
        <v>967104501</v>
      </c>
      <c r="M785" s="35" t="s">
        <v>2469</v>
      </c>
      <c r="Q785" s="34" t="s">
        <v>3549</v>
      </c>
      <c r="R785" s="34" t="s">
        <v>3540</v>
      </c>
      <c r="S785" s="47">
        <v>42736</v>
      </c>
      <c r="T785" s="47">
        <v>0</v>
      </c>
      <c r="U785" s="47">
        <v>0</v>
      </c>
      <c r="V785" s="34">
        <v>4078500024990</v>
      </c>
      <c r="W785" s="34" t="s">
        <v>3546</v>
      </c>
      <c r="X785" s="34" t="s">
        <v>3787</v>
      </c>
      <c r="Y785" s="34" t="s">
        <v>3542</v>
      </c>
      <c r="Z785" s="34">
        <v>1</v>
      </c>
      <c r="AA785" s="34">
        <v>150</v>
      </c>
      <c r="AB785" s="34" t="s">
        <v>4179</v>
      </c>
      <c r="AC785" s="34">
        <v>145</v>
      </c>
      <c r="AD785" s="34" t="s">
        <v>4152</v>
      </c>
      <c r="AE785" s="34" t="s">
        <v>5916</v>
      </c>
      <c r="AF785" s="34" t="s">
        <v>5917</v>
      </c>
      <c r="AG785" s="34" t="s">
        <v>4239</v>
      </c>
      <c r="AH785" s="34" t="s">
        <v>5918</v>
      </c>
      <c r="AI785" s="34" t="s">
        <v>5919</v>
      </c>
      <c r="AJ785" s="34" t="s">
        <v>4239</v>
      </c>
      <c r="AK785" s="34" t="s">
        <v>3911</v>
      </c>
      <c r="AL785" s="34" t="s">
        <v>4433</v>
      </c>
      <c r="AM785" s="40" t="s">
        <v>8095</v>
      </c>
      <c r="AT785" s="44">
        <v>0</v>
      </c>
      <c r="AU785" s="44"/>
      <c r="AV785" s="46">
        <f>ROUND(Товары[[#This Row],[РРЦ финальная, руб.]]/$AU$1,2)</f>
        <v>0</v>
      </c>
      <c r="AW785" s="45" t="str">
        <f>IFERROR(Товары[[#This Row],[РРЦ, евро]]/Товары[[#This Row],[IRP, Eur]],"-")</f>
        <v>-</v>
      </c>
      <c r="AX785" s="42">
        <f>IFERROR(VLOOKUP(Товары[[#This Row],[SubGroup]],'Структура цен DIY'!$B:$C,2,FALSE),0)</f>
        <v>0.35</v>
      </c>
      <c r="AY785" s="44">
        <v>0</v>
      </c>
    </row>
    <row r="786" spans="1:51" x14ac:dyDescent="0.25">
      <c r="A786" s="34">
        <v>784</v>
      </c>
      <c r="B786" s="34" t="s">
        <v>52</v>
      </c>
      <c r="C786" s="110" t="str">
        <f>IFERROR(INDEX(Структура_ассортимента[SuperCategory],MATCH(Товары[[#This Row],[SubGroup]],Структура_ассортимента[Subgroup],0)),"")</f>
        <v>R</v>
      </c>
      <c r="D786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86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86" s="110" t="str">
        <f>IFERROR(INDEX(Структура_ассортимента[Product group],MATCH(Товары[[#This Row],[SubGroup]],Структура_ассортимента[Subgroup],0)),"")</f>
        <v>LRL_P</v>
      </c>
      <c r="G786" s="110" t="str">
        <f>IFERROR(INDEX(Структура_ассортимента[Product group name ENG],MATCH(Товары[[#This Row],[SubGroup]],Структура_ассортимента[Subgroup],0)),"")</f>
        <v>Robotic, Spare Parts</v>
      </c>
      <c r="H786" s="110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86" s="36">
        <v>1238</v>
      </c>
      <c r="J786" s="36" t="str">
        <f>IFERROR(INDEX(Структура_ассортимента[Generic Name (long)],MATCH(Товары[[#This Row],[SubGroup]],Структура_ассортимента[Subgroup],0)),"")</f>
        <v>HOUSING</v>
      </c>
      <c r="L786" s="36">
        <v>967104601</v>
      </c>
      <c r="M786" s="35" t="s">
        <v>2470</v>
      </c>
      <c r="Q786" s="34" t="s">
        <v>3549</v>
      </c>
      <c r="R786" s="34" t="s">
        <v>3540</v>
      </c>
      <c r="S786" s="47">
        <v>42736</v>
      </c>
      <c r="T786" s="47">
        <v>0</v>
      </c>
      <c r="U786" s="47">
        <v>0</v>
      </c>
      <c r="V786" s="34">
        <v>4078500025003</v>
      </c>
      <c r="W786" s="34" t="s">
        <v>3546</v>
      </c>
      <c r="X786" s="34" t="s">
        <v>3579</v>
      </c>
      <c r="Y786" s="34" t="s">
        <v>3542</v>
      </c>
      <c r="Z786" s="34">
        <v>1</v>
      </c>
      <c r="AA786" s="34">
        <v>1300</v>
      </c>
      <c r="AB786" s="34" t="s">
        <v>5920</v>
      </c>
      <c r="AC786" s="34">
        <v>1250</v>
      </c>
      <c r="AD786" s="34" t="s">
        <v>5921</v>
      </c>
      <c r="AE786" s="34" t="s">
        <v>4936</v>
      </c>
      <c r="AF786" s="34" t="s">
        <v>3818</v>
      </c>
      <c r="AG786" s="34" t="s">
        <v>3753</v>
      </c>
      <c r="AH786" s="34" t="s">
        <v>5922</v>
      </c>
      <c r="AL786" s="34" t="s">
        <v>4214</v>
      </c>
      <c r="AM786" s="40" t="s">
        <v>8095</v>
      </c>
      <c r="AT786" s="44">
        <v>0</v>
      </c>
      <c r="AU786" s="44"/>
      <c r="AV786" s="46">
        <f>ROUND(Товары[[#This Row],[РРЦ финальная, руб.]]/$AU$1,2)</f>
        <v>0</v>
      </c>
      <c r="AW786" s="45" t="str">
        <f>IFERROR(Товары[[#This Row],[РРЦ, евро]]/Товары[[#This Row],[IRP, Eur]],"-")</f>
        <v>-</v>
      </c>
      <c r="AX786" s="42">
        <f>IFERROR(VLOOKUP(Товары[[#This Row],[SubGroup]],'Структура цен DIY'!$B:$C,2,FALSE),0)</f>
        <v>0.35</v>
      </c>
      <c r="AY786" s="44">
        <v>0</v>
      </c>
    </row>
    <row r="787" spans="1:51" x14ac:dyDescent="0.25">
      <c r="A787" s="34">
        <v>785</v>
      </c>
      <c r="B787" s="34" t="s">
        <v>52</v>
      </c>
      <c r="C787" s="110" t="str">
        <f>IFERROR(INDEX(Структура_ассортимента[SuperCategory],MATCH(Товары[[#This Row],[SubGroup]],Структура_ассортимента[Subgroup],0)),"")</f>
        <v>R</v>
      </c>
      <c r="D787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87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87" s="110" t="str">
        <f>IFERROR(INDEX(Структура_ассортимента[Product group],MATCH(Товары[[#This Row],[SubGroup]],Структура_ассортимента[Subgroup],0)),"")</f>
        <v>LRL_P</v>
      </c>
      <c r="G787" s="110" t="str">
        <f>IFERROR(INDEX(Структура_ассортимента[Product group name ENG],MATCH(Товары[[#This Row],[SubGroup]],Структура_ассортимента[Subgroup],0)),"")</f>
        <v>Robotic, Spare Parts</v>
      </c>
      <c r="H787" s="110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87" s="36">
        <v>1238</v>
      </c>
      <c r="J787" s="36" t="str">
        <f>IFERROR(INDEX(Структура_ассортимента[Generic Name (long)],MATCH(Товары[[#This Row],[SubGroup]],Структура_ассортимента[Subgroup],0)),"")</f>
        <v>HOUSING</v>
      </c>
      <c r="L787" s="36">
        <v>967104801</v>
      </c>
      <c r="M787" s="35" t="s">
        <v>2471</v>
      </c>
      <c r="Q787" s="34" t="s">
        <v>3713</v>
      </c>
      <c r="R787" s="34" t="s">
        <v>3540</v>
      </c>
      <c r="S787" s="47">
        <v>42736</v>
      </c>
      <c r="T787" s="47">
        <v>43738</v>
      </c>
      <c r="U787" s="47">
        <v>43738</v>
      </c>
      <c r="V787" s="34">
        <v>4078500025010</v>
      </c>
      <c r="W787" s="34" t="s">
        <v>3546</v>
      </c>
      <c r="Y787" s="34" t="s">
        <v>3542</v>
      </c>
      <c r="Z787" s="34">
        <v>1</v>
      </c>
      <c r="AA787" s="34">
        <v>650</v>
      </c>
      <c r="AB787" s="34" t="s">
        <v>5923</v>
      </c>
      <c r="AC787" s="34">
        <v>620</v>
      </c>
      <c r="AD787" s="34" t="s">
        <v>4664</v>
      </c>
      <c r="AE787" s="34" t="s">
        <v>3920</v>
      </c>
      <c r="AF787" s="34" t="s">
        <v>3865</v>
      </c>
      <c r="AG787" s="34" t="s">
        <v>5924</v>
      </c>
      <c r="AH787" s="34" t="s">
        <v>5925</v>
      </c>
      <c r="AL787" s="34" t="s">
        <v>4822</v>
      </c>
      <c r="AM787" s="40" t="s">
        <v>8094</v>
      </c>
      <c r="AT787" s="44">
        <v>0</v>
      </c>
      <c r="AU787" s="44"/>
      <c r="AV787" s="46">
        <f>ROUND(Товары[[#This Row],[РРЦ финальная, руб.]]/$AU$1,2)</f>
        <v>0</v>
      </c>
      <c r="AW787" s="45" t="str">
        <f>IFERROR(Товары[[#This Row],[РРЦ, евро]]/Товары[[#This Row],[IRP, Eur]],"-")</f>
        <v>-</v>
      </c>
      <c r="AX787" s="42">
        <f>IFERROR(VLOOKUP(Товары[[#This Row],[SubGroup]],'Структура цен DIY'!$B:$C,2,FALSE),0)</f>
        <v>0.35</v>
      </c>
      <c r="AY787" s="44">
        <v>0</v>
      </c>
    </row>
    <row r="788" spans="1:51" x14ac:dyDescent="0.25">
      <c r="A788" s="34">
        <v>786</v>
      </c>
      <c r="B788" s="34" t="s">
        <v>52</v>
      </c>
      <c r="C788" s="110" t="str">
        <f>IFERROR(INDEX(Структура_ассортимента[SuperCategory],MATCH(Товары[[#This Row],[SubGroup]],Структура_ассортимента[Subgroup],0)),"")</f>
        <v>R</v>
      </c>
      <c r="D788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88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88" s="110" t="str">
        <f>IFERROR(INDEX(Структура_ассортимента[Product group],MATCH(Товары[[#This Row],[SubGroup]],Структура_ассортимента[Subgroup],0)),"")</f>
        <v>LRL_P</v>
      </c>
      <c r="G788" s="110" t="str">
        <f>IFERROR(INDEX(Структура_ассортимента[Product group name ENG],MATCH(Товары[[#This Row],[SubGroup]],Структура_ассортимента[Subgroup],0)),"")</f>
        <v>Robotic, Spare Parts</v>
      </c>
      <c r="H788" s="110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88" s="36">
        <v>1238</v>
      </c>
      <c r="J788" s="36" t="str">
        <f>IFERROR(INDEX(Структура_ассортимента[Generic Name (long)],MATCH(Товары[[#This Row],[SubGroup]],Структура_ассортимента[Subgroup],0)),"")</f>
        <v>HOUSING</v>
      </c>
      <c r="L788" s="36">
        <v>592615801</v>
      </c>
      <c r="M788" s="35" t="s">
        <v>2472</v>
      </c>
      <c r="Q788" s="34" t="s">
        <v>3549</v>
      </c>
      <c r="R788" s="34" t="s">
        <v>3540</v>
      </c>
      <c r="S788" s="47">
        <v>43160</v>
      </c>
      <c r="T788" s="47">
        <v>0</v>
      </c>
      <c r="U788" s="47">
        <v>0</v>
      </c>
      <c r="V788" s="34">
        <v>4078500036436</v>
      </c>
      <c r="W788" s="34" t="s">
        <v>3546</v>
      </c>
      <c r="X788" s="34" t="s">
        <v>5860</v>
      </c>
      <c r="Y788" s="34" t="s">
        <v>3542</v>
      </c>
      <c r="Z788" s="34">
        <v>1</v>
      </c>
      <c r="AB788" s="34" t="s">
        <v>3671</v>
      </c>
      <c r="AD788" s="34" t="s">
        <v>3670</v>
      </c>
      <c r="AE788" s="34" t="s">
        <v>4633</v>
      </c>
      <c r="AF788" s="34" t="s">
        <v>3587</v>
      </c>
      <c r="AG788" s="34" t="s">
        <v>4218</v>
      </c>
      <c r="AH788" s="34" t="s">
        <v>5926</v>
      </c>
      <c r="AL788" s="34" t="s">
        <v>5927</v>
      </c>
      <c r="AM788" s="40" t="s">
        <v>8095</v>
      </c>
      <c r="AT788" s="44">
        <v>0</v>
      </c>
      <c r="AU788" s="44"/>
      <c r="AV788" s="46">
        <f>ROUND(Товары[[#This Row],[РРЦ финальная, руб.]]/$AU$1,2)</f>
        <v>0</v>
      </c>
      <c r="AW788" s="45" t="str">
        <f>IFERROR(Товары[[#This Row],[РРЦ, евро]]/Товары[[#This Row],[IRP, Eur]],"-")</f>
        <v>-</v>
      </c>
      <c r="AX788" s="42">
        <f>IFERROR(VLOOKUP(Товары[[#This Row],[SubGroup]],'Структура цен DIY'!$B:$C,2,FALSE),0)</f>
        <v>0.35</v>
      </c>
      <c r="AY788" s="44">
        <v>0</v>
      </c>
    </row>
    <row r="789" spans="1:51" x14ac:dyDescent="0.25">
      <c r="A789" s="34">
        <v>787</v>
      </c>
      <c r="B789" s="34" t="s">
        <v>52</v>
      </c>
      <c r="C789" s="110" t="str">
        <f>IFERROR(INDEX(Структура_ассортимента[SuperCategory],MATCH(Товары[[#This Row],[SubGroup]],Структура_ассортимента[Subgroup],0)),"")</f>
        <v>R</v>
      </c>
      <c r="D789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89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89" s="110" t="str">
        <f>IFERROR(INDEX(Структура_ассортимента[Product group],MATCH(Товары[[#This Row],[SubGroup]],Структура_ассортимента[Subgroup],0)),"")</f>
        <v>LRL_P</v>
      </c>
      <c r="G789" s="110" t="str">
        <f>IFERROR(INDEX(Структура_ассортимента[Product group name ENG],MATCH(Товары[[#This Row],[SubGroup]],Структура_ассортимента[Subgroup],0)),"")</f>
        <v>Robotic, Spare Parts</v>
      </c>
      <c r="H789" s="110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89" s="36">
        <v>1238</v>
      </c>
      <c r="J789" s="36" t="str">
        <f>IFERROR(INDEX(Структура_ассортимента[Generic Name (long)],MATCH(Товары[[#This Row],[SubGroup]],Структура_ассортимента[Subgroup],0)),"")</f>
        <v>HOUSING</v>
      </c>
      <c r="L789" s="36">
        <v>592616601</v>
      </c>
      <c r="M789" s="35" t="s">
        <v>2473</v>
      </c>
      <c r="Q789" s="34" t="s">
        <v>3652</v>
      </c>
      <c r="R789" s="34" t="s">
        <v>3540</v>
      </c>
      <c r="S789" s="47">
        <v>43101</v>
      </c>
      <c r="T789" s="47">
        <v>0</v>
      </c>
      <c r="U789" s="47">
        <v>0</v>
      </c>
      <c r="V789" s="34">
        <v>4078500036443</v>
      </c>
      <c r="W789" s="34" t="s">
        <v>3548</v>
      </c>
      <c r="X789" s="34" t="s">
        <v>3579</v>
      </c>
      <c r="Y789" s="34" t="s">
        <v>3542</v>
      </c>
      <c r="Z789" s="34">
        <v>1</v>
      </c>
      <c r="AB789" s="34" t="s">
        <v>3876</v>
      </c>
      <c r="AD789" s="34" t="s">
        <v>4732</v>
      </c>
      <c r="AE789" s="34" t="s">
        <v>4688</v>
      </c>
      <c r="AF789" s="34" t="s">
        <v>3825</v>
      </c>
      <c r="AG789" s="34" t="s">
        <v>4181</v>
      </c>
      <c r="AH789" s="34" t="s">
        <v>5928</v>
      </c>
      <c r="AI789" s="34" t="s">
        <v>3742</v>
      </c>
      <c r="AJ789" s="34" t="s">
        <v>3877</v>
      </c>
      <c r="AK789" s="34" t="s">
        <v>3683</v>
      </c>
      <c r="AL789" s="34" t="s">
        <v>5929</v>
      </c>
      <c r="AM789" s="40" t="s">
        <v>8095</v>
      </c>
      <c r="AT789" s="44">
        <v>0</v>
      </c>
      <c r="AU789" s="44"/>
      <c r="AV789" s="46">
        <f>ROUND(Товары[[#This Row],[РРЦ финальная, руб.]]/$AU$1,2)</f>
        <v>0</v>
      </c>
      <c r="AW789" s="45" t="str">
        <f>IFERROR(Товары[[#This Row],[РРЦ, евро]]/Товары[[#This Row],[IRP, Eur]],"-")</f>
        <v>-</v>
      </c>
      <c r="AX789" s="42">
        <f>IFERROR(VLOOKUP(Товары[[#This Row],[SubGroup]],'Структура цен DIY'!$B:$C,2,FALSE),0)</f>
        <v>0.35</v>
      </c>
      <c r="AY789" s="44">
        <v>0</v>
      </c>
    </row>
    <row r="790" spans="1:51" x14ac:dyDescent="0.25">
      <c r="A790" s="34">
        <v>788</v>
      </c>
      <c r="B790" s="34" t="s">
        <v>52</v>
      </c>
      <c r="C790" s="110" t="str">
        <f>IFERROR(INDEX(Структура_ассортимента[SuperCategory],MATCH(Товары[[#This Row],[SubGroup]],Структура_ассортимента[Subgroup],0)),"")</f>
        <v>R</v>
      </c>
      <c r="D790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90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90" s="110" t="str">
        <f>IFERROR(INDEX(Структура_ассортимента[Product group],MATCH(Товары[[#This Row],[SubGroup]],Структура_ассортимента[Subgroup],0)),"")</f>
        <v>LRL_P</v>
      </c>
      <c r="G790" s="110" t="str">
        <f>IFERROR(INDEX(Структура_ассортимента[Product group name ENG],MATCH(Товары[[#This Row],[SubGroup]],Структура_ассортимента[Subgroup],0)),"")</f>
        <v>Robotic, Spare Parts</v>
      </c>
      <c r="H790" s="110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90" s="36">
        <v>1238</v>
      </c>
      <c r="J790" s="36" t="str">
        <f>IFERROR(INDEX(Структура_ассортимента[Generic Name (long)],MATCH(Товары[[#This Row],[SubGroup]],Структура_ассортимента[Subgroup],0)),"")</f>
        <v>HOUSING</v>
      </c>
      <c r="L790" s="36">
        <v>967104802</v>
      </c>
      <c r="M790" s="35" t="s">
        <v>2474</v>
      </c>
      <c r="Q790" s="34" t="s">
        <v>3549</v>
      </c>
      <c r="R790" s="34" t="s">
        <v>3540</v>
      </c>
      <c r="S790" s="47">
        <v>43739</v>
      </c>
      <c r="T790" s="47">
        <v>0</v>
      </c>
      <c r="U790" s="47">
        <v>0</v>
      </c>
      <c r="V790" s="34">
        <v>4078500048187</v>
      </c>
      <c r="W790" s="34" t="s">
        <v>3546</v>
      </c>
      <c r="X790" s="34" t="s">
        <v>3551</v>
      </c>
      <c r="Y790" s="34" t="s">
        <v>3542</v>
      </c>
      <c r="Z790" s="34">
        <v>1</v>
      </c>
      <c r="AB790" s="34" t="s">
        <v>5923</v>
      </c>
      <c r="AD790" s="34" t="s">
        <v>4664</v>
      </c>
      <c r="AE790" s="34" t="s">
        <v>3920</v>
      </c>
      <c r="AF790" s="34" t="s">
        <v>3865</v>
      </c>
      <c r="AG790" s="34" t="s">
        <v>5924</v>
      </c>
      <c r="AH790" s="34" t="s">
        <v>5925</v>
      </c>
      <c r="AM790" s="40" t="s">
        <v>8095</v>
      </c>
      <c r="AT790" s="44">
        <v>0</v>
      </c>
      <c r="AU790" s="44"/>
      <c r="AV790" s="46">
        <f>ROUND(Товары[[#This Row],[РРЦ финальная, руб.]]/$AU$1,2)</f>
        <v>0</v>
      </c>
      <c r="AW790" s="45" t="str">
        <f>IFERROR(Товары[[#This Row],[РРЦ, евро]]/Товары[[#This Row],[IRP, Eur]],"-")</f>
        <v>-</v>
      </c>
      <c r="AX790" s="42">
        <f>IFERROR(VLOOKUP(Товары[[#This Row],[SubGroup]],'Структура цен DIY'!$B:$C,2,FALSE),0)</f>
        <v>0.35</v>
      </c>
      <c r="AY790" s="44">
        <v>0</v>
      </c>
    </row>
    <row r="791" spans="1:51" x14ac:dyDescent="0.25">
      <c r="A791" s="34">
        <v>789</v>
      </c>
      <c r="B791" s="34" t="s">
        <v>52</v>
      </c>
      <c r="C791" s="110" t="str">
        <f>IFERROR(INDEX(Структура_ассортимента[SuperCategory],MATCH(Товары[[#This Row],[SubGroup]],Структура_ассортимента[Subgroup],0)),"")</f>
        <v>R</v>
      </c>
      <c r="D791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91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91" s="110" t="str">
        <f>IFERROR(INDEX(Структура_ассортимента[Product group],MATCH(Товары[[#This Row],[SubGroup]],Структура_ассортимента[Subgroup],0)),"")</f>
        <v>LRL_P</v>
      </c>
      <c r="G791" s="110" t="str">
        <f>IFERROR(INDEX(Структура_ассортимента[Product group name ENG],MATCH(Товары[[#This Row],[SubGroup]],Структура_ассортимента[Subgroup],0)),"")</f>
        <v>Robotic, Spare Parts</v>
      </c>
      <c r="H791" s="110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91" s="36">
        <v>1238</v>
      </c>
      <c r="J791" s="36" t="str">
        <f>IFERROR(INDEX(Структура_ассортимента[Generic Name (long)],MATCH(Товары[[#This Row],[SubGroup]],Структура_ассортимента[Subgroup],0)),"")</f>
        <v>HOUSING</v>
      </c>
      <c r="L791" s="36">
        <v>967104902</v>
      </c>
      <c r="M791" s="35" t="s">
        <v>2475</v>
      </c>
      <c r="Q791" s="34" t="s">
        <v>3549</v>
      </c>
      <c r="R791" s="34" t="s">
        <v>3540</v>
      </c>
      <c r="S791" s="47">
        <v>43739</v>
      </c>
      <c r="T791" s="47">
        <v>0</v>
      </c>
      <c r="U791" s="47">
        <v>0</v>
      </c>
      <c r="V791" s="34">
        <v>4078500048194</v>
      </c>
      <c r="W791" s="34" t="s">
        <v>3546</v>
      </c>
      <c r="X791" s="34" t="s">
        <v>3551</v>
      </c>
      <c r="Y791" s="34" t="s">
        <v>3542</v>
      </c>
      <c r="Z791" s="34">
        <v>1</v>
      </c>
      <c r="AB791" s="34" t="s">
        <v>3996</v>
      </c>
      <c r="AD791" s="34" t="s">
        <v>5910</v>
      </c>
      <c r="AE791" s="34" t="s">
        <v>3968</v>
      </c>
      <c r="AF791" s="34" t="s">
        <v>3556</v>
      </c>
      <c r="AG791" s="34" t="s">
        <v>3931</v>
      </c>
      <c r="AH791" s="34" t="s">
        <v>5930</v>
      </c>
      <c r="AM791" s="40" t="s">
        <v>8095</v>
      </c>
      <c r="AT791" s="44">
        <v>0</v>
      </c>
      <c r="AU791" s="44"/>
      <c r="AV791" s="46">
        <f>ROUND(Товары[[#This Row],[РРЦ финальная, руб.]]/$AU$1,2)</f>
        <v>0</v>
      </c>
      <c r="AW791" s="45" t="str">
        <f>IFERROR(Товары[[#This Row],[РРЦ, евро]]/Товары[[#This Row],[IRP, Eur]],"-")</f>
        <v>-</v>
      </c>
      <c r="AX791" s="42">
        <f>IFERROR(VLOOKUP(Товары[[#This Row],[SubGroup]],'Структура цен DIY'!$B:$C,2,FALSE),0)</f>
        <v>0.35</v>
      </c>
      <c r="AY791" s="44">
        <v>0</v>
      </c>
    </row>
    <row r="792" spans="1:51" x14ac:dyDescent="0.25">
      <c r="A792" s="34">
        <v>790</v>
      </c>
      <c r="B792" s="34" t="s">
        <v>52</v>
      </c>
      <c r="C792" s="110" t="str">
        <f>IFERROR(INDEX(Структура_ассортимента[SuperCategory],MATCH(Товары[[#This Row],[SubGroup]],Структура_ассортимента[Subgroup],0)),"")</f>
        <v>R</v>
      </c>
      <c r="D792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92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92" s="110" t="str">
        <f>IFERROR(INDEX(Структура_ассортимента[Product group],MATCH(Товары[[#This Row],[SubGroup]],Структура_ассортимента[Subgroup],0)),"")</f>
        <v>LRL_P</v>
      </c>
      <c r="G792" s="110" t="str">
        <f>IFERROR(INDEX(Структура_ассортимента[Product group name ENG],MATCH(Товары[[#This Row],[SubGroup]],Структура_ассортимента[Subgroup],0)),"")</f>
        <v>Robotic, Spare Parts</v>
      </c>
      <c r="H792" s="110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92" s="36">
        <v>1238</v>
      </c>
      <c r="J792" s="36" t="str">
        <f>IFERROR(INDEX(Структура_ассортимента[Generic Name (long)],MATCH(Товары[[#This Row],[SubGroup]],Структура_ассортимента[Subgroup],0)),"")</f>
        <v>HOUSING</v>
      </c>
      <c r="L792" s="36">
        <v>966809602</v>
      </c>
      <c r="M792" s="35" t="s">
        <v>2476</v>
      </c>
      <c r="O792" s="35" t="s">
        <v>5931</v>
      </c>
      <c r="P792" s="37" t="s">
        <v>5932</v>
      </c>
      <c r="Q792" s="34" t="s">
        <v>3549</v>
      </c>
      <c r="R792" s="34" t="s">
        <v>3540</v>
      </c>
      <c r="S792" s="47">
        <v>43739</v>
      </c>
      <c r="T792" s="47">
        <v>0</v>
      </c>
      <c r="U792" s="47">
        <v>0</v>
      </c>
      <c r="V792" s="34">
        <v>4078500048170</v>
      </c>
      <c r="W792" s="34" t="s">
        <v>5837</v>
      </c>
      <c r="X792" s="34" t="s">
        <v>5860</v>
      </c>
      <c r="Y792" s="34" t="s">
        <v>3542</v>
      </c>
      <c r="Z792" s="34">
        <v>1</v>
      </c>
      <c r="AB792" s="34" t="s">
        <v>5883</v>
      </c>
      <c r="AD792" s="34" t="s">
        <v>5884</v>
      </c>
      <c r="AE792" s="34" t="s">
        <v>3942</v>
      </c>
      <c r="AF792" s="34" t="s">
        <v>3877</v>
      </c>
      <c r="AG792" s="34" t="s">
        <v>4139</v>
      </c>
      <c r="AH792" s="34" t="s">
        <v>5885</v>
      </c>
      <c r="AM792" s="40" t="s">
        <v>10</v>
      </c>
      <c r="AP792" s="34">
        <v>0</v>
      </c>
      <c r="AQ792" s="34">
        <v>6589</v>
      </c>
      <c r="AR792" s="34">
        <v>3569</v>
      </c>
      <c r="AT792" s="44">
        <v>510300</v>
      </c>
      <c r="AU792" s="44"/>
      <c r="AV792" s="46">
        <f>ROUND(Товары[[#This Row],[РРЦ финальная, руб.]]/$AU$1,2)</f>
        <v>0</v>
      </c>
      <c r="AW792" s="45" t="str">
        <f>IFERROR(Товары[[#This Row],[РРЦ, евро]]/Товары[[#This Row],[IRP, Eur]],"-")</f>
        <v>-</v>
      </c>
      <c r="AX792" s="42">
        <f>IFERROR(VLOOKUP(Товары[[#This Row],[SubGroup]],'Структура цен DIY'!$B:$C,2,FALSE),0)</f>
        <v>0.35</v>
      </c>
      <c r="AY792" s="44">
        <v>0</v>
      </c>
    </row>
    <row r="793" spans="1:51" x14ac:dyDescent="0.25">
      <c r="A793" s="34">
        <v>791</v>
      </c>
      <c r="B793" s="34" t="s">
        <v>52</v>
      </c>
      <c r="C793" s="110" t="str">
        <f>IFERROR(INDEX(Структура_ассортимента[SuperCategory],MATCH(Товары[[#This Row],[SubGroup]],Структура_ассортимента[Subgroup],0)),"")</f>
        <v>R</v>
      </c>
      <c r="D793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93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93" s="110" t="str">
        <f>IFERROR(INDEX(Структура_ассортимента[Product group],MATCH(Товары[[#This Row],[SubGroup]],Структура_ассортимента[Subgroup],0)),"")</f>
        <v>LRL_P</v>
      </c>
      <c r="G793" s="110" t="str">
        <f>IFERROR(INDEX(Структура_ассортимента[Product group name ENG],MATCH(Товары[[#This Row],[SubGroup]],Структура_ассортимента[Subgroup],0)),"")</f>
        <v>Robotic, Spare Parts</v>
      </c>
      <c r="H793" s="110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93" s="36">
        <v>1238</v>
      </c>
      <c r="J793" s="36" t="str">
        <f>IFERROR(INDEX(Структура_ассортимента[Generic Name (long)],MATCH(Товары[[#This Row],[SubGroup]],Структура_ассортимента[Subgroup],0)),"")</f>
        <v>HOUSING</v>
      </c>
      <c r="L793" s="36">
        <v>970502701</v>
      </c>
      <c r="M793" s="35" t="s">
        <v>2477</v>
      </c>
      <c r="Q793" s="34" t="s">
        <v>3549</v>
      </c>
      <c r="R793" s="34" t="s">
        <v>3540</v>
      </c>
      <c r="S793" s="47">
        <v>44197</v>
      </c>
      <c r="T793" s="47">
        <v>0</v>
      </c>
      <c r="U793" s="47">
        <v>0</v>
      </c>
      <c r="V793" s="34">
        <v>4078500054782</v>
      </c>
      <c r="W793" s="34" t="s">
        <v>3548</v>
      </c>
      <c r="Y793" s="34" t="s">
        <v>3542</v>
      </c>
      <c r="Z793" s="34">
        <v>1</v>
      </c>
      <c r="AM793" s="40" t="s">
        <v>8095</v>
      </c>
      <c r="AT793" s="44">
        <v>0</v>
      </c>
      <c r="AU793" s="44"/>
      <c r="AV793" s="46">
        <f>ROUND(Товары[[#This Row],[РРЦ финальная, руб.]]/$AU$1,2)</f>
        <v>0</v>
      </c>
      <c r="AW793" s="45" t="str">
        <f>IFERROR(Товары[[#This Row],[РРЦ, евро]]/Товары[[#This Row],[IRP, Eur]],"-")</f>
        <v>-</v>
      </c>
      <c r="AX793" s="42">
        <f>IFERROR(VLOOKUP(Товары[[#This Row],[SubGroup]],'Структура цен DIY'!$B:$C,2,FALSE),0)</f>
        <v>0.35</v>
      </c>
      <c r="AY793" s="44">
        <v>0</v>
      </c>
    </row>
    <row r="794" spans="1:51" x14ac:dyDescent="0.25">
      <c r="A794" s="34">
        <v>792</v>
      </c>
      <c r="B794" s="34" t="s">
        <v>52</v>
      </c>
      <c r="C794" s="110" t="str">
        <f>IFERROR(INDEX(Структура_ассортимента[SuperCategory],MATCH(Товары[[#This Row],[SubGroup]],Структура_ассортимента[Subgroup],0)),"")</f>
        <v>R</v>
      </c>
      <c r="D794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94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94" s="110" t="str">
        <f>IFERROR(INDEX(Структура_ассортимента[Product group],MATCH(Товары[[#This Row],[SubGroup]],Структура_ассортимента[Subgroup],0)),"")</f>
        <v>LRL_P</v>
      </c>
      <c r="G794" s="110" t="str">
        <f>IFERROR(INDEX(Структура_ассортимента[Product group name ENG],MATCH(Товары[[#This Row],[SubGroup]],Структура_ассортимента[Subgroup],0)),"")</f>
        <v>Robotic, Spare Parts</v>
      </c>
      <c r="H794" s="110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94" s="36">
        <v>1238</v>
      </c>
      <c r="J794" s="36" t="str">
        <f>IFERROR(INDEX(Структура_ассортимента[Generic Name (long)],MATCH(Товары[[#This Row],[SubGroup]],Структура_ассортимента[Subgroup],0)),"")</f>
        <v>HOUSING</v>
      </c>
      <c r="L794" s="36">
        <v>586801701</v>
      </c>
      <c r="M794" s="35" t="s">
        <v>2478</v>
      </c>
      <c r="Q794" s="34" t="s">
        <v>3544</v>
      </c>
      <c r="R794" s="34" t="s">
        <v>3540</v>
      </c>
      <c r="S794" s="47">
        <v>0</v>
      </c>
      <c r="T794" s="47">
        <v>0</v>
      </c>
      <c r="U794" s="47">
        <v>0</v>
      </c>
      <c r="V794" s="34">
        <v>4078500010108</v>
      </c>
      <c r="W794" s="34" t="s">
        <v>5791</v>
      </c>
      <c r="Y794" s="34" t="s">
        <v>3542</v>
      </c>
      <c r="Z794" s="34">
        <v>1</v>
      </c>
      <c r="AB794" s="34">
        <v>5047</v>
      </c>
      <c r="AD794" s="34">
        <v>2800</v>
      </c>
      <c r="AE794" s="34">
        <v>730</v>
      </c>
      <c r="AF794" s="34">
        <v>550</v>
      </c>
      <c r="AG794" s="34">
        <v>380</v>
      </c>
      <c r="AH794" s="34" t="s">
        <v>5933</v>
      </c>
      <c r="AM794" s="40" t="s">
        <v>8094</v>
      </c>
      <c r="AT794" s="44">
        <v>0</v>
      </c>
      <c r="AU794" s="44"/>
      <c r="AV794" s="46">
        <f>ROUND(Товары[[#This Row],[РРЦ финальная, руб.]]/$AU$1,2)</f>
        <v>0</v>
      </c>
      <c r="AW794" s="45" t="str">
        <f>IFERROR(Товары[[#This Row],[РРЦ, евро]]/Товары[[#This Row],[IRP, Eur]],"-")</f>
        <v>-</v>
      </c>
      <c r="AX794" s="42">
        <f>IFERROR(VLOOKUP(Товары[[#This Row],[SubGroup]],'Структура цен DIY'!$B:$C,2,FALSE),0)</f>
        <v>0.35</v>
      </c>
      <c r="AY794" s="44">
        <v>0</v>
      </c>
    </row>
    <row r="795" spans="1:51" x14ac:dyDescent="0.25">
      <c r="A795" s="34">
        <v>793</v>
      </c>
      <c r="B795" s="34" t="s">
        <v>50</v>
      </c>
      <c r="C795" s="110" t="str">
        <f>IFERROR(INDEX(Структура_ассортимента[SuperCategory],MATCH(Товары[[#This Row],[SubGroup]],Структура_ассортимента[Subgroup],0)),"")</f>
        <v>R</v>
      </c>
      <c r="D795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95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95" s="110" t="str">
        <f>IFERROR(INDEX(Структура_ассортимента[Product group],MATCH(Товары[[#This Row],[SubGroup]],Структура_ассортимента[Subgroup],0)),"")</f>
        <v>LSP_C</v>
      </c>
      <c r="G795" s="110">
        <f>IFERROR(INDEX(Структура_ассортимента[Product group name ENG],MATCH(Товары[[#This Row],[SubGroup]],Структура_ассортимента[Subgroup],0)),"")</f>
        <v>0</v>
      </c>
      <c r="H795" s="110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795" s="36">
        <v>7898</v>
      </c>
      <c r="J795" s="36" t="str">
        <f>IFERROR(INDEX(Структура_ассортимента[Generic Name (long)],MATCH(Товары[[#This Row],[SubGroup]],Структура_ассортимента[Subgroup],0)),"")</f>
        <v>MOWER BLADE</v>
      </c>
      <c r="L795" s="36">
        <v>901060601</v>
      </c>
      <c r="M795" s="35" t="s">
        <v>2479</v>
      </c>
      <c r="O795" s="35" t="s">
        <v>5934</v>
      </c>
      <c r="P795" s="37" t="s">
        <v>5935</v>
      </c>
      <c r="Q795" s="34" t="s">
        <v>3549</v>
      </c>
      <c r="R795" s="34" t="s">
        <v>3540</v>
      </c>
      <c r="S795" s="47">
        <v>38261</v>
      </c>
      <c r="T795" s="47">
        <v>0</v>
      </c>
      <c r="U795" s="47">
        <v>0</v>
      </c>
      <c r="V795" s="34">
        <v>4078500406505</v>
      </c>
      <c r="W795" s="34" t="s">
        <v>3546</v>
      </c>
      <c r="X795" s="34" t="s">
        <v>3704</v>
      </c>
      <c r="Y795" s="34" t="s">
        <v>3542</v>
      </c>
      <c r="Z795" s="34">
        <v>1</v>
      </c>
      <c r="AA795" s="34" t="s">
        <v>5936</v>
      </c>
      <c r="AB795" s="34" t="s">
        <v>5936</v>
      </c>
      <c r="AC795" s="34" t="s">
        <v>4606</v>
      </c>
      <c r="AD795" s="34" t="s">
        <v>4606</v>
      </c>
      <c r="AE795" s="34" t="s">
        <v>4992</v>
      </c>
      <c r="AF795" s="34" t="s">
        <v>4202</v>
      </c>
      <c r="AG795" s="34" t="s">
        <v>3800</v>
      </c>
      <c r="AH795" s="34" t="s">
        <v>5937</v>
      </c>
      <c r="AI795" s="34" t="s">
        <v>4922</v>
      </c>
      <c r="AJ795" s="34" t="s">
        <v>4997</v>
      </c>
      <c r="AK795" s="34" t="s">
        <v>4941</v>
      </c>
      <c r="AL795" s="34">
        <v>57</v>
      </c>
      <c r="AM795" s="40" t="s">
        <v>9</v>
      </c>
      <c r="AP795" s="34">
        <v>0</v>
      </c>
      <c r="AQ795" s="34">
        <v>4890</v>
      </c>
      <c r="AR795" s="34">
        <v>3342</v>
      </c>
      <c r="AT795" s="44">
        <v>378800</v>
      </c>
      <c r="AU795" s="44"/>
      <c r="AV795" s="46">
        <f>ROUND(Товары[[#This Row],[РРЦ финальная, руб.]]/$AU$1,2)</f>
        <v>0</v>
      </c>
      <c r="AW795" s="45" t="str">
        <f>IFERROR(Товары[[#This Row],[РРЦ, евро]]/Товары[[#This Row],[IRP, Eur]],"-")</f>
        <v>-</v>
      </c>
      <c r="AX795" s="42">
        <f>IFERROR(VLOOKUP(Товары[[#This Row],[SubGroup]],'Структура цен DIY'!$B:$C,2,FALSE),0)</f>
        <v>0.28999999999999998</v>
      </c>
      <c r="AY795" s="44">
        <v>0</v>
      </c>
    </row>
    <row r="796" spans="1:51" x14ac:dyDescent="0.25">
      <c r="A796" s="34">
        <v>794</v>
      </c>
      <c r="B796" s="34" t="s">
        <v>50</v>
      </c>
      <c r="C796" s="110" t="str">
        <f>IFERROR(INDEX(Структура_ассортимента[SuperCategory],MATCH(Товары[[#This Row],[SubGroup]],Структура_ассортимента[Subgroup],0)),"")</f>
        <v>R</v>
      </c>
      <c r="D796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96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96" s="110" t="str">
        <f>IFERROR(INDEX(Структура_ассортимента[Product group],MATCH(Товары[[#This Row],[SubGroup]],Структура_ассортимента[Subgroup],0)),"")</f>
        <v>LSP_C</v>
      </c>
      <c r="G796" s="110">
        <f>IFERROR(INDEX(Структура_ассортимента[Product group name ENG],MATCH(Товары[[#This Row],[SubGroup]],Структура_ассортимента[Subgroup],0)),"")</f>
        <v>0</v>
      </c>
      <c r="H796" s="110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796" s="36">
        <v>7898</v>
      </c>
      <c r="J796" s="36" t="str">
        <f>IFERROR(INDEX(Структура_ассортимента[Generic Name (long)],MATCH(Товары[[#This Row],[SubGroup]],Структура_ассортимента[Subgroup],0)),"")</f>
        <v>MOWER BLADE</v>
      </c>
      <c r="L796" s="36">
        <v>966970001</v>
      </c>
      <c r="M796" s="35" t="s">
        <v>2480</v>
      </c>
      <c r="O796" s="35" t="s">
        <v>5938</v>
      </c>
      <c r="P796" s="37" t="s">
        <v>5939</v>
      </c>
      <c r="Q796" s="34" t="s">
        <v>3549</v>
      </c>
      <c r="R796" s="34" t="s">
        <v>3540</v>
      </c>
      <c r="S796" s="47">
        <v>39722</v>
      </c>
      <c r="T796" s="47">
        <v>0</v>
      </c>
      <c r="U796" s="47">
        <v>0</v>
      </c>
      <c r="V796" s="34">
        <v>4078500408004</v>
      </c>
      <c r="W796" s="34" t="s">
        <v>3550</v>
      </c>
      <c r="X796" s="34" t="s">
        <v>3551</v>
      </c>
      <c r="Y796" s="34" t="s">
        <v>3542</v>
      </c>
      <c r="Z796" s="34">
        <v>3</v>
      </c>
      <c r="AA796" s="34" t="s">
        <v>5940</v>
      </c>
      <c r="AB796" s="34" t="s">
        <v>5940</v>
      </c>
      <c r="AC796" s="34" t="s">
        <v>4517</v>
      </c>
      <c r="AD796" s="34" t="s">
        <v>4517</v>
      </c>
      <c r="AE796" s="34" t="s">
        <v>5048</v>
      </c>
      <c r="AF796" s="34" t="s">
        <v>4181</v>
      </c>
      <c r="AG796" s="34" t="s">
        <v>4231</v>
      </c>
      <c r="AH796" s="34" t="s">
        <v>5941</v>
      </c>
      <c r="AL796" s="34">
        <v>1020</v>
      </c>
      <c r="AM796" s="40" t="s">
        <v>9</v>
      </c>
      <c r="AP796" s="34">
        <v>0</v>
      </c>
      <c r="AQ796" s="34">
        <v>2079</v>
      </c>
      <c r="AR796" s="34">
        <v>1230</v>
      </c>
      <c r="AT796" s="44">
        <v>161000</v>
      </c>
      <c r="AU796" s="44"/>
      <c r="AV796" s="46">
        <f>ROUND(Товары[[#This Row],[РРЦ финальная, руб.]]/$AU$1,2)</f>
        <v>0</v>
      </c>
      <c r="AW796" s="45" t="str">
        <f>IFERROR(Товары[[#This Row],[РРЦ, евро]]/Товары[[#This Row],[IRP, Eur]],"-")</f>
        <v>-</v>
      </c>
      <c r="AX796" s="42">
        <f>IFERROR(VLOOKUP(Товары[[#This Row],[SubGroup]],'Структура цен DIY'!$B:$C,2,FALSE),0)</f>
        <v>0.28999999999999998</v>
      </c>
      <c r="AY796" s="44">
        <v>0</v>
      </c>
    </row>
    <row r="797" spans="1:51" x14ac:dyDescent="0.25">
      <c r="A797" s="34">
        <v>795</v>
      </c>
      <c r="B797" s="34" t="s">
        <v>50</v>
      </c>
      <c r="C797" s="110" t="str">
        <f>IFERROR(INDEX(Структура_ассортимента[SuperCategory],MATCH(Товары[[#This Row],[SubGroup]],Структура_ассортимента[Subgroup],0)),"")</f>
        <v>R</v>
      </c>
      <c r="D797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97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97" s="110" t="str">
        <f>IFERROR(INDEX(Структура_ассортимента[Product group],MATCH(Товары[[#This Row],[SubGroup]],Структура_ассортимента[Subgroup],0)),"")</f>
        <v>LSP_C</v>
      </c>
      <c r="G797" s="110">
        <f>IFERROR(INDEX(Структура_ассортимента[Product group name ENG],MATCH(Товары[[#This Row],[SubGroup]],Структура_ассортимента[Subgroup],0)),"")</f>
        <v>0</v>
      </c>
      <c r="H797" s="110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797" s="36">
        <v>7898</v>
      </c>
      <c r="J797" s="36" t="str">
        <f>IFERROR(INDEX(Структура_ассортимента[Generic Name (long)],MATCH(Товары[[#This Row],[SubGroup]],Структура_ассортимента[Subgroup],0)),"")</f>
        <v>MOWER BLADE</v>
      </c>
      <c r="L797" s="36">
        <v>966970101</v>
      </c>
      <c r="M797" s="35" t="s">
        <v>2481</v>
      </c>
      <c r="O797" s="35" t="s">
        <v>5942</v>
      </c>
      <c r="P797" s="37" t="s">
        <v>5943</v>
      </c>
      <c r="Q797" s="34" t="s">
        <v>3549</v>
      </c>
      <c r="R797" s="34" t="s">
        <v>3540</v>
      </c>
      <c r="S797" s="47">
        <v>39722</v>
      </c>
      <c r="T797" s="47">
        <v>0</v>
      </c>
      <c r="U797" s="47">
        <v>0</v>
      </c>
      <c r="V797" s="34">
        <v>4078500408103</v>
      </c>
      <c r="W797" s="34" t="s">
        <v>3550</v>
      </c>
      <c r="X797" s="34" t="s">
        <v>5860</v>
      </c>
      <c r="Y797" s="34" t="s">
        <v>3542</v>
      </c>
      <c r="Z797" s="34">
        <v>3</v>
      </c>
      <c r="AA797" s="34" t="s">
        <v>3751</v>
      </c>
      <c r="AB797" s="34" t="s">
        <v>3751</v>
      </c>
      <c r="AC797" s="34" t="s">
        <v>4140</v>
      </c>
      <c r="AD797" s="34" t="s">
        <v>4140</v>
      </c>
      <c r="AE797" s="34" t="s">
        <v>3940</v>
      </c>
      <c r="AF797" s="34" t="s">
        <v>4139</v>
      </c>
      <c r="AG797" s="34" t="s">
        <v>4111</v>
      </c>
      <c r="AH797" s="34" t="s">
        <v>5944</v>
      </c>
      <c r="AL797" s="34">
        <v>759</v>
      </c>
      <c r="AM797" s="40" t="s">
        <v>9</v>
      </c>
      <c r="AP797" s="34">
        <v>0</v>
      </c>
      <c r="AQ797" s="34">
        <v>2519</v>
      </c>
      <c r="AR797" s="34">
        <v>1490</v>
      </c>
      <c r="AT797" s="44">
        <v>195100</v>
      </c>
      <c r="AU797" s="44"/>
      <c r="AV797" s="46">
        <f>ROUND(Товары[[#This Row],[РРЦ финальная, руб.]]/$AU$1,2)</f>
        <v>0</v>
      </c>
      <c r="AW797" s="45" t="str">
        <f>IFERROR(Товары[[#This Row],[РРЦ, евро]]/Товары[[#This Row],[IRP, Eur]],"-")</f>
        <v>-</v>
      </c>
      <c r="AX797" s="42">
        <f>IFERROR(VLOOKUP(Товары[[#This Row],[SubGroup]],'Структура цен DIY'!$B:$C,2,FALSE),0)</f>
        <v>0.28999999999999998</v>
      </c>
      <c r="AY797" s="44">
        <v>0</v>
      </c>
    </row>
    <row r="798" spans="1:51" x14ac:dyDescent="0.25">
      <c r="A798" s="34">
        <v>796</v>
      </c>
      <c r="B798" s="34" t="s">
        <v>50</v>
      </c>
      <c r="C798" s="110" t="str">
        <f>IFERROR(INDEX(Структура_ассортимента[SuperCategory],MATCH(Товары[[#This Row],[SubGroup]],Структура_ассортимента[Subgroup],0)),"")</f>
        <v>R</v>
      </c>
      <c r="D798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98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98" s="110" t="str">
        <f>IFERROR(INDEX(Структура_ассортимента[Product group],MATCH(Товары[[#This Row],[SubGroup]],Структура_ассортимента[Subgroup],0)),"")</f>
        <v>LSP_C</v>
      </c>
      <c r="G798" s="110">
        <f>IFERROR(INDEX(Структура_ассортимента[Product group name ENG],MATCH(Товары[[#This Row],[SubGroup]],Структура_ассортимента[Subgroup],0)),"")</f>
        <v>0</v>
      </c>
      <c r="H798" s="110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798" s="36">
        <v>7898</v>
      </c>
      <c r="J798" s="36" t="str">
        <f>IFERROR(INDEX(Структура_ассортимента[Generic Name (long)],MATCH(Товары[[#This Row],[SubGroup]],Структура_ассортимента[Subgroup],0)),"")</f>
        <v>MOWER BLADE</v>
      </c>
      <c r="L798" s="36">
        <v>966970201</v>
      </c>
      <c r="M798" s="35" t="s">
        <v>2482</v>
      </c>
      <c r="O798" s="35" t="s">
        <v>5945</v>
      </c>
      <c r="P798" s="37" t="s">
        <v>5946</v>
      </c>
      <c r="Q798" s="34" t="s">
        <v>3549</v>
      </c>
      <c r="R798" s="34" t="s">
        <v>3540</v>
      </c>
      <c r="S798" s="47">
        <v>39722</v>
      </c>
      <c r="T798" s="47">
        <v>0</v>
      </c>
      <c r="U798" s="47">
        <v>0</v>
      </c>
      <c r="V798" s="34">
        <v>4078500408202</v>
      </c>
      <c r="W798" s="34" t="s">
        <v>3550</v>
      </c>
      <c r="X798" s="34" t="s">
        <v>5860</v>
      </c>
      <c r="Y798" s="34" t="s">
        <v>3542</v>
      </c>
      <c r="Z798" s="34">
        <v>3</v>
      </c>
      <c r="AA798" s="34" t="s">
        <v>4625</v>
      </c>
      <c r="AB798" s="34" t="s">
        <v>4625</v>
      </c>
      <c r="AC798" s="34" t="s">
        <v>3691</v>
      </c>
      <c r="AD798" s="34" t="s">
        <v>3691</v>
      </c>
      <c r="AE798" s="34" t="s">
        <v>3940</v>
      </c>
      <c r="AF798" s="34" t="s">
        <v>4139</v>
      </c>
      <c r="AG798" s="34" t="s">
        <v>4111</v>
      </c>
      <c r="AH798" s="34" t="s">
        <v>5944</v>
      </c>
      <c r="AL798" s="34">
        <v>759</v>
      </c>
      <c r="AM798" s="40" t="s">
        <v>9</v>
      </c>
      <c r="AP798" s="34">
        <v>0</v>
      </c>
      <c r="AQ798" s="34">
        <v>2739</v>
      </c>
      <c r="AR798" s="34">
        <v>1621</v>
      </c>
      <c r="AT798" s="44">
        <v>212100</v>
      </c>
      <c r="AU798" s="44"/>
      <c r="AV798" s="46">
        <f>ROUND(Товары[[#This Row],[РРЦ финальная, руб.]]/$AU$1,2)</f>
        <v>0</v>
      </c>
      <c r="AW798" s="45" t="str">
        <f>IFERROR(Товары[[#This Row],[РРЦ, евро]]/Товары[[#This Row],[IRP, Eur]],"-")</f>
        <v>-</v>
      </c>
      <c r="AX798" s="42">
        <f>IFERROR(VLOOKUP(Товары[[#This Row],[SubGroup]],'Структура цен DIY'!$B:$C,2,FALSE),0)</f>
        <v>0.28999999999999998</v>
      </c>
      <c r="AY798" s="44">
        <v>0</v>
      </c>
    </row>
    <row r="799" spans="1:51" x14ac:dyDescent="0.25">
      <c r="A799" s="34">
        <v>797</v>
      </c>
      <c r="B799" s="34" t="s">
        <v>50</v>
      </c>
      <c r="C799" s="110" t="str">
        <f>IFERROR(INDEX(Структура_ассортимента[SuperCategory],MATCH(Товары[[#This Row],[SubGroup]],Структура_ассортимента[Subgroup],0)),"")</f>
        <v>R</v>
      </c>
      <c r="D799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99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99" s="110" t="str">
        <f>IFERROR(INDEX(Структура_ассортимента[Product group],MATCH(Товары[[#This Row],[SubGroup]],Структура_ассортимента[Subgroup],0)),"")</f>
        <v>LSP_C</v>
      </c>
      <c r="G799" s="110">
        <f>IFERROR(INDEX(Структура_ассортимента[Product group name ENG],MATCH(Товары[[#This Row],[SubGroup]],Структура_ассортимента[Subgroup],0)),"")</f>
        <v>0</v>
      </c>
      <c r="H799" s="110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799" s="36">
        <v>7898</v>
      </c>
      <c r="J799" s="36" t="str">
        <f>IFERROR(INDEX(Структура_ассортимента[Generic Name (long)],MATCH(Товары[[#This Row],[SubGroup]],Структура_ассортимента[Subgroup],0)),"")</f>
        <v>MOWER BLADE</v>
      </c>
      <c r="L799" s="36">
        <v>585207001</v>
      </c>
      <c r="M799" s="35" t="s">
        <v>2483</v>
      </c>
      <c r="O799" s="35" t="s">
        <v>5947</v>
      </c>
      <c r="P799" s="37" t="s">
        <v>5948</v>
      </c>
      <c r="Q799" s="34" t="s">
        <v>3549</v>
      </c>
      <c r="R799" s="34" t="s">
        <v>3540</v>
      </c>
      <c r="S799" s="47">
        <v>41640</v>
      </c>
      <c r="T799" s="47">
        <v>0</v>
      </c>
      <c r="U799" s="47">
        <v>0</v>
      </c>
      <c r="V799" s="34">
        <v>4078500002585</v>
      </c>
      <c r="W799" s="34" t="s">
        <v>3546</v>
      </c>
      <c r="X799" s="34" t="s">
        <v>5860</v>
      </c>
      <c r="Y799" s="34" t="s">
        <v>3542</v>
      </c>
      <c r="Z799" s="34">
        <v>3</v>
      </c>
      <c r="AA799" s="34" t="s">
        <v>4419</v>
      </c>
      <c r="AB799" s="34" t="s">
        <v>5949</v>
      </c>
      <c r="AC799" s="34" t="s">
        <v>4159</v>
      </c>
      <c r="AD799" s="34" t="s">
        <v>4417</v>
      </c>
      <c r="AE799" s="34" t="s">
        <v>4688</v>
      </c>
      <c r="AF799" s="34" t="s">
        <v>4659</v>
      </c>
      <c r="AG799" s="34" t="s">
        <v>5950</v>
      </c>
      <c r="AH799" s="34" t="s">
        <v>5951</v>
      </c>
      <c r="AL799" s="34" t="s">
        <v>5952</v>
      </c>
      <c r="AM799" s="40" t="s">
        <v>9</v>
      </c>
      <c r="AP799" s="34">
        <v>0</v>
      </c>
      <c r="AQ799" s="34">
        <v>2409</v>
      </c>
      <c r="AR799" s="34">
        <v>1425</v>
      </c>
      <c r="AT799" s="44">
        <v>186600</v>
      </c>
      <c r="AU799" s="44"/>
      <c r="AV799" s="46">
        <f>ROUND(Товары[[#This Row],[РРЦ финальная, руб.]]/$AU$1,2)</f>
        <v>0</v>
      </c>
      <c r="AW799" s="45" t="str">
        <f>IFERROR(Товары[[#This Row],[РРЦ, евро]]/Товары[[#This Row],[IRP, Eur]],"-")</f>
        <v>-</v>
      </c>
      <c r="AX799" s="42">
        <f>IFERROR(VLOOKUP(Товары[[#This Row],[SubGroup]],'Структура цен DIY'!$B:$C,2,FALSE),0)</f>
        <v>0.28999999999999998</v>
      </c>
      <c r="AY799" s="44">
        <v>0</v>
      </c>
    </row>
    <row r="800" spans="1:51" x14ac:dyDescent="0.25">
      <c r="A800" s="34">
        <v>798</v>
      </c>
      <c r="B800" s="34" t="s">
        <v>50</v>
      </c>
      <c r="C800" s="110" t="str">
        <f>IFERROR(INDEX(Структура_ассортимента[SuperCategory],MATCH(Товары[[#This Row],[SubGroup]],Структура_ассортимента[Subgroup],0)),"")</f>
        <v>R</v>
      </c>
      <c r="D800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800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800" s="110" t="str">
        <f>IFERROR(INDEX(Структура_ассортимента[Product group],MATCH(Товары[[#This Row],[SubGroup]],Структура_ассортимента[Subgroup],0)),"")</f>
        <v>LSP_C</v>
      </c>
      <c r="G800" s="110">
        <f>IFERROR(INDEX(Структура_ассортимента[Product group name ENG],MATCH(Товары[[#This Row],[SubGroup]],Структура_ассортимента[Subgroup],0)),"")</f>
        <v>0</v>
      </c>
      <c r="H800" s="110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800" s="36">
        <v>7898</v>
      </c>
      <c r="J800" s="36" t="str">
        <f>IFERROR(INDEX(Структура_ассортимента[Generic Name (long)],MATCH(Товары[[#This Row],[SubGroup]],Структура_ассортимента[Subgroup],0)),"")</f>
        <v>MOWER BLADE</v>
      </c>
      <c r="L800" s="36">
        <v>585206901</v>
      </c>
      <c r="M800" s="35" t="s">
        <v>2484</v>
      </c>
      <c r="O800" s="35" t="s">
        <v>5953</v>
      </c>
      <c r="P800" s="37" t="s">
        <v>5946</v>
      </c>
      <c r="Q800" s="34" t="s">
        <v>3549</v>
      </c>
      <c r="R800" s="34" t="s">
        <v>3540</v>
      </c>
      <c r="S800" s="47">
        <v>41640</v>
      </c>
      <c r="T800" s="47">
        <v>0</v>
      </c>
      <c r="U800" s="47">
        <v>0</v>
      </c>
      <c r="V800" s="34">
        <v>4078500002608</v>
      </c>
      <c r="W800" s="34" t="s">
        <v>3546</v>
      </c>
      <c r="X800" s="34" t="s">
        <v>5860</v>
      </c>
      <c r="Y800" s="34" t="s">
        <v>3542</v>
      </c>
      <c r="Z800" s="34">
        <v>3</v>
      </c>
      <c r="AA800" s="34" t="s">
        <v>5954</v>
      </c>
      <c r="AB800" s="34" t="s">
        <v>5955</v>
      </c>
      <c r="AC800" s="34" t="s">
        <v>3691</v>
      </c>
      <c r="AD800" s="34" t="s">
        <v>3691</v>
      </c>
      <c r="AE800" s="34" t="s">
        <v>4992</v>
      </c>
      <c r="AF800" s="34" t="s">
        <v>4659</v>
      </c>
      <c r="AG800" s="34" t="s">
        <v>4111</v>
      </c>
      <c r="AH800" s="34" t="s">
        <v>4975</v>
      </c>
      <c r="AL800" s="34" t="s">
        <v>5952</v>
      </c>
      <c r="AM800" s="40" t="s">
        <v>9</v>
      </c>
      <c r="AP800" s="34">
        <v>0</v>
      </c>
      <c r="AQ800" s="34">
        <v>2739</v>
      </c>
      <c r="AR800" s="34">
        <v>1621</v>
      </c>
      <c r="AT800" s="44">
        <v>212100</v>
      </c>
      <c r="AU800" s="44"/>
      <c r="AV800" s="46">
        <f>ROUND(Товары[[#This Row],[РРЦ финальная, руб.]]/$AU$1,2)</f>
        <v>0</v>
      </c>
      <c r="AW800" s="45" t="str">
        <f>IFERROR(Товары[[#This Row],[РРЦ, евро]]/Товары[[#This Row],[IRP, Eur]],"-")</f>
        <v>-</v>
      </c>
      <c r="AX800" s="42">
        <f>IFERROR(VLOOKUP(Товары[[#This Row],[SubGroup]],'Структура цен DIY'!$B:$C,2,FALSE),0)</f>
        <v>0.28999999999999998</v>
      </c>
      <c r="AY800" s="44">
        <v>0</v>
      </c>
    </row>
    <row r="801" spans="1:51" x14ac:dyDescent="0.25">
      <c r="A801" s="34">
        <v>799</v>
      </c>
      <c r="B801" s="34" t="s">
        <v>50</v>
      </c>
      <c r="C801" s="110" t="str">
        <f>IFERROR(INDEX(Структура_ассортимента[SuperCategory],MATCH(Товары[[#This Row],[SubGroup]],Структура_ассортимента[Subgroup],0)),"")</f>
        <v>R</v>
      </c>
      <c r="D801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801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801" s="110" t="str">
        <f>IFERROR(INDEX(Структура_ассортимента[Product group],MATCH(Товары[[#This Row],[SubGroup]],Структура_ассортимента[Subgroup],0)),"")</f>
        <v>LSP_C</v>
      </c>
      <c r="G801" s="110">
        <f>IFERROR(INDEX(Структура_ассортимента[Product group name ENG],MATCH(Товары[[#This Row],[SubGroup]],Структура_ассортимента[Subgroup],0)),"")</f>
        <v>0</v>
      </c>
      <c r="H801" s="110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801" s="36">
        <v>7898</v>
      </c>
      <c r="J801" s="36" t="str">
        <f>IFERROR(INDEX(Структура_ассортимента[Generic Name (long)],MATCH(Товары[[#This Row],[SubGroup]],Структура_ассортимента[Subgroup],0)),"")</f>
        <v>MOWER BLADE</v>
      </c>
      <c r="L801" s="36">
        <v>967101901</v>
      </c>
      <c r="M801" s="35" t="s">
        <v>2485</v>
      </c>
      <c r="O801" s="35" t="s">
        <v>5956</v>
      </c>
      <c r="P801" s="37" t="s">
        <v>5957</v>
      </c>
      <c r="Q801" s="34" t="s">
        <v>3549</v>
      </c>
      <c r="R801" s="34" t="s">
        <v>3540</v>
      </c>
      <c r="S801" s="47">
        <v>42767</v>
      </c>
      <c r="T801" s="47">
        <v>0</v>
      </c>
      <c r="U801" s="47">
        <v>0</v>
      </c>
      <c r="V801" s="34">
        <v>4078500024303</v>
      </c>
      <c r="W801" s="34" t="s">
        <v>3546</v>
      </c>
      <c r="X801" s="34" t="s">
        <v>3551</v>
      </c>
      <c r="Y801" s="34" t="s">
        <v>3542</v>
      </c>
      <c r="Z801" s="34">
        <v>3</v>
      </c>
      <c r="AA801" s="34">
        <v>249</v>
      </c>
      <c r="AB801" s="34" t="s">
        <v>4919</v>
      </c>
      <c r="AC801" s="34">
        <v>195</v>
      </c>
      <c r="AD801" s="34" t="s">
        <v>4002</v>
      </c>
      <c r="AE801" s="34" t="s">
        <v>4891</v>
      </c>
      <c r="AF801" s="34" t="s">
        <v>4720</v>
      </c>
      <c r="AG801" s="34" t="s">
        <v>4231</v>
      </c>
      <c r="AH801" s="34" t="s">
        <v>5958</v>
      </c>
      <c r="AL801" s="34" t="s">
        <v>5959</v>
      </c>
      <c r="AM801" s="40" t="s">
        <v>9</v>
      </c>
      <c r="AP801" s="34">
        <v>0</v>
      </c>
      <c r="AQ801" s="34">
        <v>1969</v>
      </c>
      <c r="AR801" s="34">
        <v>1165</v>
      </c>
      <c r="AT801" s="44">
        <v>152500</v>
      </c>
      <c r="AU801" s="44"/>
      <c r="AV801" s="46">
        <f>ROUND(Товары[[#This Row],[РРЦ финальная, руб.]]/$AU$1,2)</f>
        <v>0</v>
      </c>
      <c r="AW801" s="45" t="str">
        <f>IFERROR(Товары[[#This Row],[РРЦ, евро]]/Товары[[#This Row],[IRP, Eur]],"-")</f>
        <v>-</v>
      </c>
      <c r="AX801" s="42">
        <f>IFERROR(VLOOKUP(Товары[[#This Row],[SubGroup]],'Структура цен DIY'!$B:$C,2,FALSE),0)</f>
        <v>0.28999999999999998</v>
      </c>
      <c r="AY801" s="44">
        <v>0</v>
      </c>
    </row>
    <row r="802" spans="1:51" x14ac:dyDescent="0.25">
      <c r="A802" s="34">
        <v>800</v>
      </c>
      <c r="B802" s="34" t="s">
        <v>50</v>
      </c>
      <c r="C802" s="110" t="str">
        <f>IFERROR(INDEX(Структура_ассортимента[SuperCategory],MATCH(Товары[[#This Row],[SubGroup]],Структура_ассортимента[Subgroup],0)),"")</f>
        <v>R</v>
      </c>
      <c r="D802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802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802" s="110" t="str">
        <f>IFERROR(INDEX(Структура_ассортимента[Product group],MATCH(Товары[[#This Row],[SubGroup]],Структура_ассортимента[Subgroup],0)),"")</f>
        <v>LSP_C</v>
      </c>
      <c r="G802" s="110">
        <f>IFERROR(INDEX(Структура_ассортимента[Product group name ENG],MATCH(Товары[[#This Row],[SubGroup]],Структура_ассортимента[Subgroup],0)),"")</f>
        <v>0</v>
      </c>
      <c r="H802" s="110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802" s="36">
        <v>7898</v>
      </c>
      <c r="J802" s="36" t="str">
        <f>IFERROR(INDEX(Структура_ассортимента[Generic Name (long)],MATCH(Товары[[#This Row],[SubGroup]],Структура_ассортимента[Subgroup],0)),"")</f>
        <v>MOWER BLADE</v>
      </c>
      <c r="L802" s="36">
        <v>967101701</v>
      </c>
      <c r="M802" s="35" t="s">
        <v>2486</v>
      </c>
      <c r="O802" s="35" t="s">
        <v>5960</v>
      </c>
      <c r="P802" s="37" t="s">
        <v>5961</v>
      </c>
      <c r="Q802" s="34" t="s">
        <v>3549</v>
      </c>
      <c r="R802" s="34" t="s">
        <v>3540</v>
      </c>
      <c r="S802" s="47">
        <v>42767</v>
      </c>
      <c r="T802" s="47">
        <v>0</v>
      </c>
      <c r="U802" s="47">
        <v>0</v>
      </c>
      <c r="V802" s="34">
        <v>4078500024099</v>
      </c>
      <c r="W802" s="34" t="s">
        <v>3546</v>
      </c>
      <c r="X802" s="34" t="s">
        <v>3551</v>
      </c>
      <c r="Y802" s="34" t="s">
        <v>3542</v>
      </c>
      <c r="Z802" s="34">
        <v>3</v>
      </c>
      <c r="AA802" s="34">
        <v>249</v>
      </c>
      <c r="AB802" s="34" t="s">
        <v>5940</v>
      </c>
      <c r="AC802" s="34">
        <v>195</v>
      </c>
      <c r="AD802" s="34" t="s">
        <v>4517</v>
      </c>
      <c r="AE802" s="34" t="s">
        <v>5048</v>
      </c>
      <c r="AF802" s="34" t="s">
        <v>3886</v>
      </c>
      <c r="AG802" s="34" t="s">
        <v>4234</v>
      </c>
      <c r="AH802" s="34" t="s">
        <v>5962</v>
      </c>
      <c r="AL802" s="34" t="s">
        <v>5963</v>
      </c>
      <c r="AM802" s="40" t="s">
        <v>9</v>
      </c>
      <c r="AP802" s="34">
        <v>0</v>
      </c>
      <c r="AQ802" s="34">
        <v>1749</v>
      </c>
      <c r="AR802" s="34">
        <v>1035</v>
      </c>
      <c r="AT802" s="44">
        <v>135500</v>
      </c>
      <c r="AU802" s="44"/>
      <c r="AV802" s="46">
        <f>ROUND(Товары[[#This Row],[РРЦ финальная, руб.]]/$AU$1,2)</f>
        <v>0</v>
      </c>
      <c r="AW802" s="45" t="str">
        <f>IFERROR(Товары[[#This Row],[РРЦ, евро]]/Товары[[#This Row],[IRP, Eur]],"-")</f>
        <v>-</v>
      </c>
      <c r="AX802" s="42">
        <f>IFERROR(VLOOKUP(Товары[[#This Row],[SubGroup]],'Структура цен DIY'!$B:$C,2,FALSE),0)</f>
        <v>0.28999999999999998</v>
      </c>
      <c r="AY802" s="44">
        <v>0</v>
      </c>
    </row>
    <row r="803" spans="1:51" x14ac:dyDescent="0.25">
      <c r="A803" s="34">
        <v>801</v>
      </c>
      <c r="B803" s="34" t="s">
        <v>50</v>
      </c>
      <c r="C803" s="110" t="str">
        <f>IFERROR(INDEX(Структура_ассортимента[SuperCategory],MATCH(Товары[[#This Row],[SubGroup]],Структура_ассортимента[Subgroup],0)),"")</f>
        <v>R</v>
      </c>
      <c r="D803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803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803" s="110" t="str">
        <f>IFERROR(INDEX(Структура_ассортимента[Product group],MATCH(Товары[[#This Row],[SubGroup]],Структура_ассортимента[Subgroup],0)),"")</f>
        <v>LSP_C</v>
      </c>
      <c r="G803" s="110">
        <f>IFERROR(INDEX(Структура_ассортимента[Product group name ENG],MATCH(Товары[[#This Row],[SubGroup]],Структура_ассортимента[Subgroup],0)),"")</f>
        <v>0</v>
      </c>
      <c r="H803" s="110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803" s="36">
        <v>7898</v>
      </c>
      <c r="J803" s="36" t="str">
        <f>IFERROR(INDEX(Структура_ассортимента[Generic Name (long)],MATCH(Товары[[#This Row],[SubGroup]],Структура_ассортимента[Subgroup],0)),"")</f>
        <v>MOWER BLADE</v>
      </c>
      <c r="L803" s="36">
        <v>967101801</v>
      </c>
      <c r="M803" s="35" t="s">
        <v>2487</v>
      </c>
      <c r="O803" s="35" t="s">
        <v>5964</v>
      </c>
      <c r="P803" s="37" t="s">
        <v>5965</v>
      </c>
      <c r="Q803" s="34" t="s">
        <v>3549</v>
      </c>
      <c r="R803" s="34" t="s">
        <v>3540</v>
      </c>
      <c r="S803" s="47">
        <v>42767</v>
      </c>
      <c r="T803" s="47">
        <v>0</v>
      </c>
      <c r="U803" s="47">
        <v>0</v>
      </c>
      <c r="V803" s="34">
        <v>4078500024075</v>
      </c>
      <c r="W803" s="34" t="s">
        <v>3546</v>
      </c>
      <c r="X803" s="34" t="s">
        <v>3551</v>
      </c>
      <c r="Y803" s="34" t="s">
        <v>3542</v>
      </c>
      <c r="Z803" s="34">
        <v>3</v>
      </c>
      <c r="AA803" s="34">
        <v>270</v>
      </c>
      <c r="AB803" s="34" t="s">
        <v>4179</v>
      </c>
      <c r="AC803" s="34">
        <v>230</v>
      </c>
      <c r="AD803" s="34" t="s">
        <v>4152</v>
      </c>
      <c r="AE803" s="34" t="s">
        <v>5966</v>
      </c>
      <c r="AF803" s="34" t="s">
        <v>3711</v>
      </c>
      <c r="AG803" s="34" t="s">
        <v>4218</v>
      </c>
      <c r="AH803" s="34" t="s">
        <v>5967</v>
      </c>
      <c r="AL803" s="34" t="s">
        <v>5304</v>
      </c>
      <c r="AM803" s="40" t="s">
        <v>9</v>
      </c>
      <c r="AP803" s="34">
        <v>0</v>
      </c>
      <c r="AQ803" s="34">
        <v>2079</v>
      </c>
      <c r="AR803" s="34">
        <v>1230</v>
      </c>
      <c r="AT803" s="44">
        <v>161000</v>
      </c>
      <c r="AU803" s="44"/>
      <c r="AV803" s="46">
        <f>ROUND(Товары[[#This Row],[РРЦ финальная, руб.]]/$AU$1,2)</f>
        <v>0</v>
      </c>
      <c r="AW803" s="45" t="str">
        <f>IFERROR(Товары[[#This Row],[РРЦ, евро]]/Товары[[#This Row],[IRP, Eur]],"-")</f>
        <v>-</v>
      </c>
      <c r="AX803" s="42">
        <f>IFERROR(VLOOKUP(Товары[[#This Row],[SubGroup]],'Структура цен DIY'!$B:$C,2,FALSE),0)</f>
        <v>0.28999999999999998</v>
      </c>
      <c r="AY803" s="44">
        <v>0</v>
      </c>
    </row>
    <row r="804" spans="1:51" x14ac:dyDescent="0.25">
      <c r="A804" s="34">
        <v>802</v>
      </c>
      <c r="B804" s="34" t="s">
        <v>50</v>
      </c>
      <c r="C804" s="110" t="str">
        <f>IFERROR(INDEX(Структура_ассортимента[SuperCategory],MATCH(Товары[[#This Row],[SubGroup]],Структура_ассортимента[Subgroup],0)),"")</f>
        <v>R</v>
      </c>
      <c r="D804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804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804" s="110" t="str">
        <f>IFERROR(INDEX(Структура_ассортимента[Product group],MATCH(Товары[[#This Row],[SubGroup]],Структура_ассортимента[Subgroup],0)),"")</f>
        <v>LSP_C</v>
      </c>
      <c r="G804" s="110">
        <f>IFERROR(INDEX(Структура_ассортимента[Product group name ENG],MATCH(Товары[[#This Row],[SubGroup]],Структура_ассортимента[Subgroup],0)),"")</f>
        <v>0</v>
      </c>
      <c r="H804" s="110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804" s="36">
        <v>7898</v>
      </c>
      <c r="J804" s="36" t="str">
        <f>IFERROR(INDEX(Структура_ассортимента[Generic Name (long)],MATCH(Товары[[#This Row],[SubGroup]],Структура_ассортимента[Subgroup],0)),"")</f>
        <v>MOWER BLADE</v>
      </c>
      <c r="L804" s="36">
        <v>967263501</v>
      </c>
      <c r="M804" s="35" t="s">
        <v>2488</v>
      </c>
      <c r="O804" s="35" t="s">
        <v>5968</v>
      </c>
      <c r="P804" s="37" t="s">
        <v>5969</v>
      </c>
      <c r="Q804" s="34" t="s">
        <v>3549</v>
      </c>
      <c r="R804" s="34" t="s">
        <v>3540</v>
      </c>
      <c r="S804" s="47">
        <v>42736</v>
      </c>
      <c r="T804" s="47">
        <v>0</v>
      </c>
      <c r="U804" s="47">
        <v>0</v>
      </c>
      <c r="V804" s="34">
        <v>4078500025560</v>
      </c>
      <c r="W804" s="34" t="s">
        <v>3546</v>
      </c>
      <c r="X804" s="34" t="s">
        <v>3551</v>
      </c>
      <c r="Y804" s="34" t="s">
        <v>3542</v>
      </c>
      <c r="Z804" s="34">
        <v>3</v>
      </c>
      <c r="AA804" s="34">
        <v>335</v>
      </c>
      <c r="AB804" s="34" t="s">
        <v>3751</v>
      </c>
      <c r="AC804" s="34">
        <v>300</v>
      </c>
      <c r="AD804" s="34" t="s">
        <v>4939</v>
      </c>
      <c r="AE804" s="34" t="s">
        <v>4913</v>
      </c>
      <c r="AF804" s="34" t="s">
        <v>3711</v>
      </c>
      <c r="AG804" s="34" t="s">
        <v>3808</v>
      </c>
      <c r="AH804" s="34" t="s">
        <v>5970</v>
      </c>
      <c r="AL804" s="34" t="s">
        <v>5971</v>
      </c>
      <c r="AM804" s="40" t="s">
        <v>9</v>
      </c>
      <c r="AP804" s="34">
        <v>0</v>
      </c>
      <c r="AQ804" s="34">
        <v>2189</v>
      </c>
      <c r="AR804" s="34">
        <v>1295</v>
      </c>
      <c r="AT804" s="44">
        <v>169500</v>
      </c>
      <c r="AU804" s="44"/>
      <c r="AV804" s="46">
        <f>ROUND(Товары[[#This Row],[РРЦ финальная, руб.]]/$AU$1,2)</f>
        <v>0</v>
      </c>
      <c r="AW804" s="45" t="str">
        <f>IFERROR(Товары[[#This Row],[РРЦ, евро]]/Товары[[#This Row],[IRP, Eur]],"-")</f>
        <v>-</v>
      </c>
      <c r="AX804" s="42">
        <f>IFERROR(VLOOKUP(Товары[[#This Row],[SubGroup]],'Структура цен DIY'!$B:$C,2,FALSE),0)</f>
        <v>0.28999999999999998</v>
      </c>
      <c r="AY804" s="44">
        <v>0</v>
      </c>
    </row>
    <row r="805" spans="1:51" x14ac:dyDescent="0.25">
      <c r="A805" s="34">
        <v>803</v>
      </c>
      <c r="B805" s="34" t="s">
        <v>50</v>
      </c>
      <c r="C805" s="110" t="str">
        <f>IFERROR(INDEX(Структура_ассортимента[SuperCategory],MATCH(Товары[[#This Row],[SubGroup]],Структура_ассортимента[Subgroup],0)),"")</f>
        <v>R</v>
      </c>
      <c r="D805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805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805" s="110" t="str">
        <f>IFERROR(INDEX(Структура_ассортимента[Product group],MATCH(Товары[[#This Row],[SubGroup]],Структура_ассортимента[Subgroup],0)),"")</f>
        <v>LSP_C</v>
      </c>
      <c r="G805" s="110">
        <f>IFERROR(INDEX(Структура_ассортимента[Product group name ENG],MATCH(Товары[[#This Row],[SubGroup]],Структура_ассортимента[Subgroup],0)),"")</f>
        <v>0</v>
      </c>
      <c r="H805" s="110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805" s="36">
        <v>7898</v>
      </c>
      <c r="J805" s="36" t="str">
        <f>IFERROR(INDEX(Структура_ассортимента[Generic Name (long)],MATCH(Товары[[#This Row],[SubGroup]],Структура_ассортимента[Subgroup],0)),"")</f>
        <v>MOWER BLADE</v>
      </c>
      <c r="L805" s="36">
        <v>591185901</v>
      </c>
      <c r="M805" s="35" t="s">
        <v>2489</v>
      </c>
      <c r="O805" s="35" t="s">
        <v>5972</v>
      </c>
      <c r="P805" s="37" t="s">
        <v>5973</v>
      </c>
      <c r="Q805" s="34" t="s">
        <v>3549</v>
      </c>
      <c r="R805" s="34" t="s">
        <v>3540</v>
      </c>
      <c r="S805" s="47">
        <v>43101</v>
      </c>
      <c r="T805" s="47">
        <v>0</v>
      </c>
      <c r="U805" s="47">
        <v>0</v>
      </c>
      <c r="V805" s="34">
        <v>4078500035156</v>
      </c>
      <c r="W805" s="34" t="s">
        <v>3546</v>
      </c>
      <c r="X805" s="34" t="s">
        <v>3551</v>
      </c>
      <c r="Y805" s="34" t="s">
        <v>3542</v>
      </c>
      <c r="Z805" s="34">
        <v>3</v>
      </c>
      <c r="AB805" s="34" t="s">
        <v>5955</v>
      </c>
      <c r="AD805" s="34" t="s">
        <v>4389</v>
      </c>
      <c r="AE805" s="34" t="s">
        <v>4920</v>
      </c>
      <c r="AF805" s="34" t="s">
        <v>4632</v>
      </c>
      <c r="AG805" s="34" t="s">
        <v>4111</v>
      </c>
      <c r="AH805" s="34" t="s">
        <v>5974</v>
      </c>
      <c r="AL805" s="34" t="s">
        <v>5952</v>
      </c>
      <c r="AM805" s="40" t="s">
        <v>9</v>
      </c>
      <c r="AP805" s="34">
        <v>0</v>
      </c>
      <c r="AQ805" s="34">
        <v>1969</v>
      </c>
      <c r="AR805" s="34">
        <v>1165</v>
      </c>
      <c r="AT805" s="44">
        <v>152500</v>
      </c>
      <c r="AU805" s="44"/>
      <c r="AV805" s="46">
        <f>ROUND(Товары[[#This Row],[РРЦ финальная, руб.]]/$AU$1,2)</f>
        <v>0</v>
      </c>
      <c r="AW805" s="45" t="str">
        <f>IFERROR(Товары[[#This Row],[РРЦ, евро]]/Товары[[#This Row],[IRP, Eur]],"-")</f>
        <v>-</v>
      </c>
      <c r="AX805" s="42">
        <f>IFERROR(VLOOKUP(Товары[[#This Row],[SubGroup]],'Структура цен DIY'!$B:$C,2,FALSE),0)</f>
        <v>0.28999999999999998</v>
      </c>
      <c r="AY805" s="44">
        <v>0</v>
      </c>
    </row>
    <row r="806" spans="1:51" x14ac:dyDescent="0.25">
      <c r="A806" s="34">
        <v>804</v>
      </c>
      <c r="B806" s="34" t="s">
        <v>50</v>
      </c>
      <c r="C806" s="110" t="str">
        <f>IFERROR(INDEX(Структура_ассортимента[SuperCategory],MATCH(Товары[[#This Row],[SubGroup]],Структура_ассортимента[Subgroup],0)),"")</f>
        <v>R</v>
      </c>
      <c r="D806" s="110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806" s="110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806" s="110" t="str">
        <f>IFERROR(INDEX(Структура_ассортимента[Product group],MATCH(Товары[[#This Row],[SubGroup]],Структура_ассортимента[Subgroup],0)),"")</f>
        <v>LSP_C</v>
      </c>
      <c r="G806" s="110">
        <f>IFERROR(INDEX(Структура_ассортимента[Product group name ENG],MATCH(Товары[[#This Row],[SubGroup]],Структура_ассортимента[Subgroup],0)),"")</f>
        <v>0</v>
      </c>
      <c r="H806" s="110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806" s="36">
        <v>7898</v>
      </c>
      <c r="J806" s="36" t="str">
        <f>IFERROR(INDEX(Структура_ассортимента[Generic Name (long)],MATCH(Товары[[#This Row],[SubGroup]],Структура_ассортимента[Subgroup],0)),"")</f>
        <v>MOWER BLADE</v>
      </c>
      <c r="L806" s="36">
        <v>970449101</v>
      </c>
      <c r="M806" s="35" t="s">
        <v>2490</v>
      </c>
      <c r="Q806" s="34" t="s">
        <v>3549</v>
      </c>
      <c r="R806" s="34" t="s">
        <v>3540</v>
      </c>
      <c r="S806" s="47">
        <v>43831</v>
      </c>
      <c r="T806" s="47">
        <v>0</v>
      </c>
      <c r="U806" s="47">
        <v>0</v>
      </c>
      <c r="V806" s="34">
        <v>4078500050197</v>
      </c>
      <c r="W806" s="34" t="s">
        <v>3546</v>
      </c>
      <c r="X806" s="34" t="s">
        <v>3551</v>
      </c>
      <c r="Y806" s="34" t="s">
        <v>3542</v>
      </c>
      <c r="Z806" s="34">
        <v>3</v>
      </c>
      <c r="AB806" s="34" t="s">
        <v>5955</v>
      </c>
      <c r="AD806" s="34" t="s">
        <v>4389</v>
      </c>
      <c r="AH806" s="34" t="s">
        <v>4076</v>
      </c>
      <c r="AI806" s="34" t="s">
        <v>3825</v>
      </c>
      <c r="AJ806" s="34" t="s">
        <v>3656</v>
      </c>
      <c r="AK806" s="34" t="s">
        <v>3672</v>
      </c>
      <c r="AM806" s="40" t="s">
        <v>8095</v>
      </c>
      <c r="AT806" s="44">
        <v>0</v>
      </c>
      <c r="AU806" s="44"/>
      <c r="AV806" s="46">
        <f>ROUND(Товары[[#This Row],[РРЦ финальная, руб.]]/$AU$1,2)</f>
        <v>0</v>
      </c>
      <c r="AW806" s="45" t="str">
        <f>IFERROR(Товары[[#This Row],[РРЦ, евро]]/Товары[[#This Row],[IRP, Eur]],"-")</f>
        <v>-</v>
      </c>
      <c r="AX806" s="42">
        <f>IFERROR(VLOOKUP(Товары[[#This Row],[SubGroup]],'Структура цен DIY'!$B:$C,2,FALSE),0)</f>
        <v>0.28999999999999998</v>
      </c>
      <c r="AY806" s="44">
        <v>0</v>
      </c>
    </row>
    <row r="807" spans="1:51" x14ac:dyDescent="0.25">
      <c r="A807" s="34">
        <v>805</v>
      </c>
      <c r="B807" s="34" t="s">
        <v>49</v>
      </c>
      <c r="C807" s="110" t="str">
        <f>IFERROR(INDEX(Структура_ассортимента[SuperCategory],MATCH(Товары[[#This Row],[SubGroup]],Структура_ассортимента[Subgroup],0)),"")</f>
        <v>W</v>
      </c>
      <c r="D80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0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07" s="110" t="str">
        <f>IFERROR(INDEX(Структура_ассортимента[Product group],MATCH(Товары[[#This Row],[SubGroup]],Структура_ассортимента[Subgroup],0)),"")</f>
        <v>WMT_C</v>
      </c>
      <c r="G807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07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07" s="36">
        <v>9015</v>
      </c>
      <c r="J807" s="36" t="str">
        <f>IFERROR(INDEX(Структура_ассортимента[Generic Name (long)],MATCH(Товары[[#This Row],[SubGroup]],Структура_ассортимента[Subgroup],0)),"")</f>
        <v>WALL HOSE BRACKET</v>
      </c>
      <c r="L807" s="36">
        <v>901006601</v>
      </c>
      <c r="M807" s="35" t="s">
        <v>2491</v>
      </c>
      <c r="Q807" s="34" t="s">
        <v>3544</v>
      </c>
      <c r="R807" s="34" t="s">
        <v>3540</v>
      </c>
      <c r="S807" s="47">
        <v>39399</v>
      </c>
      <c r="T807" s="47">
        <v>0</v>
      </c>
      <c r="U807" s="47">
        <v>0</v>
      </c>
      <c r="V807" s="34">
        <v>4078500267199</v>
      </c>
      <c r="W807" s="34" t="s">
        <v>3543</v>
      </c>
      <c r="Y807" s="34" t="s">
        <v>3542</v>
      </c>
      <c r="Z807" s="34">
        <v>4</v>
      </c>
      <c r="AA807" s="34">
        <v>9580</v>
      </c>
      <c r="AB807" s="34">
        <v>9580</v>
      </c>
      <c r="AC807" s="34">
        <v>8680</v>
      </c>
      <c r="AD807" s="34">
        <v>8680</v>
      </c>
      <c r="AE807" s="34">
        <v>860</v>
      </c>
      <c r="AF807" s="34">
        <v>490</v>
      </c>
      <c r="AG807" s="34">
        <v>540</v>
      </c>
      <c r="AH807" s="34">
        <v>227.55600000000001</v>
      </c>
      <c r="AL807" s="34">
        <v>12</v>
      </c>
      <c r="AM807" s="40" t="s">
        <v>8094</v>
      </c>
      <c r="AT807" s="44">
        <v>0</v>
      </c>
      <c r="AU807" s="44"/>
      <c r="AV807" s="46">
        <f>ROUND(Товары[[#This Row],[РРЦ финальная, руб.]]/$AU$1,2)</f>
        <v>0</v>
      </c>
      <c r="AW807" s="45" t="str">
        <f>IFERROR(Товары[[#This Row],[РРЦ, евро]]/Товары[[#This Row],[IRP, Eur]],"-")</f>
        <v>-</v>
      </c>
      <c r="AX807" s="42">
        <f>IFERROR(VLOOKUP(Товары[[#This Row],[SubGroup]],'Структура цен DIY'!$B:$C,2,FALSE),0)</f>
        <v>0.25</v>
      </c>
      <c r="AY807" s="44">
        <v>0</v>
      </c>
    </row>
    <row r="808" spans="1:51" x14ac:dyDescent="0.25">
      <c r="A808" s="34">
        <v>806</v>
      </c>
      <c r="B808" s="34" t="s">
        <v>49</v>
      </c>
      <c r="C808" s="110" t="str">
        <f>IFERROR(INDEX(Структура_ассортимента[SuperCategory],MATCH(Товары[[#This Row],[SubGroup]],Структура_ассортимента[Subgroup],0)),"")</f>
        <v>W</v>
      </c>
      <c r="D80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0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08" s="110" t="str">
        <f>IFERROR(INDEX(Структура_ассортимента[Product group],MATCH(Товары[[#This Row],[SubGroup]],Структура_ассортимента[Subgroup],0)),"")</f>
        <v>WMT_C</v>
      </c>
      <c r="G808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08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08" s="36">
        <v>9015</v>
      </c>
      <c r="J808" s="36" t="str">
        <f>IFERROR(INDEX(Структура_ассортимента[Generic Name (long)],MATCH(Товары[[#This Row],[SubGroup]],Структура_ассортимента[Subgroup],0)),"")</f>
        <v>WALL HOSE BRACKET</v>
      </c>
      <c r="L808" s="36">
        <v>901008201</v>
      </c>
      <c r="M808" s="35" t="s">
        <v>2492</v>
      </c>
      <c r="Q808" s="34" t="s">
        <v>3544</v>
      </c>
      <c r="R808" s="34" t="s">
        <v>3540</v>
      </c>
      <c r="S808" s="47">
        <v>38991</v>
      </c>
      <c r="T808" s="47">
        <v>0</v>
      </c>
      <c r="U808" s="47">
        <v>0</v>
      </c>
      <c r="V808" s="34">
        <v>4078500268202</v>
      </c>
      <c r="W808" s="34" t="s">
        <v>3543</v>
      </c>
      <c r="Y808" s="34" t="s">
        <v>3542</v>
      </c>
      <c r="Z808" s="34">
        <v>4</v>
      </c>
      <c r="AA808" s="34">
        <v>8500</v>
      </c>
      <c r="AB808" s="34">
        <v>8500</v>
      </c>
      <c r="AC808" s="34">
        <v>8000</v>
      </c>
      <c r="AD808" s="34">
        <v>8000</v>
      </c>
      <c r="AE808" s="34">
        <v>560</v>
      </c>
      <c r="AF808" s="34">
        <v>360</v>
      </c>
      <c r="AG808" s="34">
        <v>280</v>
      </c>
      <c r="AH808" s="34">
        <v>56.448</v>
      </c>
      <c r="AM808" s="40" t="s">
        <v>8094</v>
      </c>
      <c r="AT808" s="44">
        <v>0</v>
      </c>
      <c r="AU808" s="44"/>
      <c r="AV808" s="46">
        <f>ROUND(Товары[[#This Row],[РРЦ финальная, руб.]]/$AU$1,2)</f>
        <v>0</v>
      </c>
      <c r="AW808" s="45" t="str">
        <f>IFERROR(Товары[[#This Row],[РРЦ, евро]]/Товары[[#This Row],[IRP, Eur]],"-")</f>
        <v>-</v>
      </c>
      <c r="AX808" s="42">
        <f>IFERROR(VLOOKUP(Товары[[#This Row],[SubGroup]],'Структура цен DIY'!$B:$C,2,FALSE),0)</f>
        <v>0.25</v>
      </c>
      <c r="AY808" s="44">
        <v>0</v>
      </c>
    </row>
    <row r="809" spans="1:51" x14ac:dyDescent="0.25">
      <c r="A809" s="34">
        <v>807</v>
      </c>
      <c r="B809" s="34" t="s">
        <v>49</v>
      </c>
      <c r="C809" s="110" t="str">
        <f>IFERROR(INDEX(Структура_ассортимента[SuperCategory],MATCH(Товары[[#This Row],[SubGroup]],Структура_ассортимента[Subgroup],0)),"")</f>
        <v>W</v>
      </c>
      <c r="D80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0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09" s="110" t="str">
        <f>IFERROR(INDEX(Структура_ассортимента[Product group],MATCH(Товары[[#This Row],[SubGroup]],Структура_ассортимента[Subgroup],0)),"")</f>
        <v>WMT_C</v>
      </c>
      <c r="G809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09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09" s="36">
        <v>9015</v>
      </c>
      <c r="J809" s="36" t="str">
        <f>IFERROR(INDEX(Структура_ассортимента[Generic Name (long)],MATCH(Товары[[#This Row],[SubGroup]],Структура_ассортимента[Subgroup],0)),"")</f>
        <v>WALL HOSE BRACKET</v>
      </c>
      <c r="L809" s="36">
        <v>967324801</v>
      </c>
      <c r="M809" s="35" t="s">
        <v>2493</v>
      </c>
      <c r="Q809" s="34" t="s">
        <v>3544</v>
      </c>
      <c r="R809" s="34" t="s">
        <v>3540</v>
      </c>
      <c r="S809" s="47">
        <v>42005</v>
      </c>
      <c r="T809" s="47">
        <v>0</v>
      </c>
      <c r="U809" s="47">
        <v>0</v>
      </c>
      <c r="V809" s="34">
        <v>4078500013420</v>
      </c>
      <c r="Y809" s="34" t="s">
        <v>3542</v>
      </c>
      <c r="AA809" s="34">
        <v>3720</v>
      </c>
      <c r="AB809" s="34">
        <v>3720</v>
      </c>
      <c r="AC809" s="34">
        <v>3700</v>
      </c>
      <c r="AD809" s="34">
        <v>3700</v>
      </c>
      <c r="AE809" s="34">
        <v>470</v>
      </c>
      <c r="AF809" s="34">
        <v>435</v>
      </c>
      <c r="AG809" s="34">
        <v>310</v>
      </c>
      <c r="AH809" s="34" t="s">
        <v>5975</v>
      </c>
      <c r="AL809" s="34">
        <v>12</v>
      </c>
      <c r="AM809" s="40" t="s">
        <v>8094</v>
      </c>
      <c r="AT809" s="44">
        <v>0</v>
      </c>
      <c r="AU809" s="44"/>
      <c r="AV809" s="46">
        <f>ROUND(Товары[[#This Row],[РРЦ финальная, руб.]]/$AU$1,2)</f>
        <v>0</v>
      </c>
      <c r="AW809" s="45" t="str">
        <f>IFERROR(Товары[[#This Row],[РРЦ, евро]]/Товары[[#This Row],[IRP, Eur]],"-")</f>
        <v>-</v>
      </c>
      <c r="AX809" s="42">
        <f>IFERROR(VLOOKUP(Товары[[#This Row],[SubGroup]],'Структура цен DIY'!$B:$C,2,FALSE),0)</f>
        <v>0.25</v>
      </c>
      <c r="AY809" s="44">
        <v>0</v>
      </c>
    </row>
    <row r="810" spans="1:51" x14ac:dyDescent="0.25">
      <c r="A810" s="34">
        <v>808</v>
      </c>
      <c r="B810" s="34" t="s">
        <v>49</v>
      </c>
      <c r="C810" s="110" t="str">
        <f>IFERROR(INDEX(Структура_ассортимента[SuperCategory],MATCH(Товары[[#This Row],[SubGroup]],Структура_ассортимента[Subgroup],0)),"")</f>
        <v>W</v>
      </c>
      <c r="D81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1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10" s="110" t="str">
        <f>IFERROR(INDEX(Структура_ассортимента[Product group],MATCH(Товары[[#This Row],[SubGroup]],Структура_ассортимента[Subgroup],0)),"")</f>
        <v>WMT_C</v>
      </c>
      <c r="G810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10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10" s="36">
        <v>9015</v>
      </c>
      <c r="J810" s="36" t="str">
        <f>IFERROR(INDEX(Структура_ассортимента[Generic Name (long)],MATCH(Товары[[#This Row],[SubGroup]],Структура_ассортимента[Subgroup],0)),"")</f>
        <v>WALL HOSE BRACKET</v>
      </c>
      <c r="L810" s="36">
        <v>901009701</v>
      </c>
      <c r="M810" s="35" t="s">
        <v>2494</v>
      </c>
      <c r="Q810" s="34" t="s">
        <v>3544</v>
      </c>
      <c r="R810" s="34" t="s">
        <v>3540</v>
      </c>
      <c r="S810" s="47">
        <v>38991</v>
      </c>
      <c r="T810" s="47">
        <v>0</v>
      </c>
      <c r="U810" s="47">
        <v>0</v>
      </c>
      <c r="V810" s="34">
        <v>4078500269209</v>
      </c>
      <c r="W810" s="34" t="s">
        <v>3543</v>
      </c>
      <c r="Y810" s="34" t="s">
        <v>3542</v>
      </c>
      <c r="Z810" s="34">
        <v>6</v>
      </c>
      <c r="AA810" s="34">
        <v>5255</v>
      </c>
      <c r="AB810" s="34">
        <v>5255</v>
      </c>
      <c r="AC810" s="34">
        <v>4800</v>
      </c>
      <c r="AD810" s="34">
        <v>4800</v>
      </c>
      <c r="AE810" s="34">
        <v>470</v>
      </c>
      <c r="AF810" s="34">
        <v>435</v>
      </c>
      <c r="AG810" s="34">
        <v>310</v>
      </c>
      <c r="AH810" s="34">
        <v>63.38</v>
      </c>
      <c r="AL810" s="34">
        <v>18</v>
      </c>
      <c r="AM810" s="40" t="s">
        <v>8094</v>
      </c>
      <c r="AT810" s="44">
        <v>0</v>
      </c>
      <c r="AU810" s="44"/>
      <c r="AV810" s="46">
        <f>ROUND(Товары[[#This Row],[РРЦ финальная, руб.]]/$AU$1,2)</f>
        <v>0</v>
      </c>
      <c r="AW810" s="45" t="str">
        <f>IFERROR(Товары[[#This Row],[РРЦ, евро]]/Товары[[#This Row],[IRP, Eur]],"-")</f>
        <v>-</v>
      </c>
      <c r="AX810" s="42">
        <f>IFERROR(VLOOKUP(Товары[[#This Row],[SubGroup]],'Структура цен DIY'!$B:$C,2,FALSE),0)</f>
        <v>0.25</v>
      </c>
      <c r="AY810" s="44">
        <v>0</v>
      </c>
    </row>
    <row r="811" spans="1:51" x14ac:dyDescent="0.25">
      <c r="A811" s="34">
        <v>809</v>
      </c>
      <c r="B811" s="34" t="s">
        <v>49</v>
      </c>
      <c r="C811" s="110" t="str">
        <f>IFERROR(INDEX(Структура_ассортимента[SuperCategory],MATCH(Товары[[#This Row],[SubGroup]],Структура_ассортимента[Subgroup],0)),"")</f>
        <v>W</v>
      </c>
      <c r="D81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1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11" s="110" t="str">
        <f>IFERROR(INDEX(Структура_ассортимента[Product group],MATCH(Товары[[#This Row],[SubGroup]],Структура_ассортимента[Subgroup],0)),"")</f>
        <v>WMT_C</v>
      </c>
      <c r="G811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11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11" s="36">
        <v>9015</v>
      </c>
      <c r="J811" s="36" t="str">
        <f>IFERROR(INDEX(Структура_ассортимента[Generic Name (long)],MATCH(Товары[[#This Row],[SubGroup]],Структура_ассортимента[Subgroup],0)),"")</f>
        <v>WALL HOSE BRACKET</v>
      </c>
      <c r="L811" s="36">
        <v>901010101</v>
      </c>
      <c r="M811" s="35" t="s">
        <v>2495</v>
      </c>
      <c r="Q811" s="34" t="s">
        <v>4565</v>
      </c>
      <c r="R811" s="34" t="s">
        <v>3540</v>
      </c>
      <c r="S811" s="47">
        <v>38991</v>
      </c>
      <c r="T811" s="47">
        <v>42735</v>
      </c>
      <c r="U811" s="47">
        <v>42735</v>
      </c>
      <c r="V811" s="34">
        <v>4078500269292</v>
      </c>
      <c r="W811" s="34" t="s">
        <v>3543</v>
      </c>
      <c r="Y811" s="34" t="s">
        <v>3542</v>
      </c>
      <c r="Z811" s="34">
        <v>6</v>
      </c>
      <c r="AA811" s="34">
        <v>6000</v>
      </c>
      <c r="AB811" s="34">
        <v>6000</v>
      </c>
      <c r="AC811" s="34">
        <v>6000</v>
      </c>
      <c r="AD811" s="34">
        <v>6000</v>
      </c>
      <c r="AE811" s="34">
        <v>530</v>
      </c>
      <c r="AF811" s="34">
        <v>375</v>
      </c>
      <c r="AG811" s="34">
        <v>300</v>
      </c>
      <c r="AH811" s="34">
        <v>59.625</v>
      </c>
      <c r="AM811" s="40" t="s">
        <v>8094</v>
      </c>
      <c r="AT811" s="44">
        <v>0</v>
      </c>
      <c r="AU811" s="44"/>
      <c r="AV811" s="46">
        <f>ROUND(Товары[[#This Row],[РРЦ финальная, руб.]]/$AU$1,2)</f>
        <v>0</v>
      </c>
      <c r="AW811" s="45" t="str">
        <f>IFERROR(Товары[[#This Row],[РРЦ, евро]]/Товары[[#This Row],[IRP, Eur]],"-")</f>
        <v>-</v>
      </c>
      <c r="AX811" s="42">
        <f>IFERROR(VLOOKUP(Товары[[#This Row],[SubGroup]],'Структура цен DIY'!$B:$C,2,FALSE),0)</f>
        <v>0.25</v>
      </c>
      <c r="AY811" s="44">
        <v>0</v>
      </c>
    </row>
    <row r="812" spans="1:51" x14ac:dyDescent="0.25">
      <c r="A812" s="34">
        <v>810</v>
      </c>
      <c r="B812" s="34" t="s">
        <v>49</v>
      </c>
      <c r="C812" s="110" t="str">
        <f>IFERROR(INDEX(Структура_ассортимента[SuperCategory],MATCH(Товары[[#This Row],[SubGroup]],Структура_ассортимента[Subgroup],0)),"")</f>
        <v>W</v>
      </c>
      <c r="D81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1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12" s="110" t="str">
        <f>IFERROR(INDEX(Структура_ассортимента[Product group],MATCH(Товары[[#This Row],[SubGroup]],Структура_ассортимента[Subgroup],0)),"")</f>
        <v>WMT_C</v>
      </c>
      <c r="G812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12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12" s="36">
        <v>9015</v>
      </c>
      <c r="J812" s="36" t="str">
        <f>IFERROR(INDEX(Структура_ассортимента[Generic Name (long)],MATCH(Товары[[#This Row],[SubGroup]],Структура_ассортимента[Subgroup],0)),"")</f>
        <v>WALL HOSE BRACKET</v>
      </c>
      <c r="L812" s="36">
        <v>966620601</v>
      </c>
      <c r="M812" s="35" t="s">
        <v>2496</v>
      </c>
      <c r="Q812" s="34" t="s">
        <v>3544</v>
      </c>
      <c r="R812" s="34" t="s">
        <v>3540</v>
      </c>
      <c r="S812" s="47">
        <v>40452</v>
      </c>
      <c r="T812" s="47">
        <v>0</v>
      </c>
      <c r="U812" s="47">
        <v>0</v>
      </c>
      <c r="V812" s="34">
        <v>4078500800006</v>
      </c>
      <c r="W812" s="34" t="s">
        <v>3543</v>
      </c>
      <c r="Y812" s="34" t="s">
        <v>3542</v>
      </c>
      <c r="Z812" s="34">
        <v>1</v>
      </c>
      <c r="AA812" s="34">
        <v>3940</v>
      </c>
      <c r="AB812" s="34">
        <v>3940</v>
      </c>
      <c r="AC812" s="34">
        <v>3800</v>
      </c>
      <c r="AD812" s="34">
        <v>3800</v>
      </c>
      <c r="AE812" s="34">
        <v>396</v>
      </c>
      <c r="AF812" s="34">
        <v>196</v>
      </c>
      <c r="AG812" s="34">
        <v>685</v>
      </c>
      <c r="AH812" s="34">
        <v>53.167000000000002</v>
      </c>
      <c r="AM812" s="40" t="s">
        <v>8094</v>
      </c>
      <c r="AT812" s="44">
        <v>0</v>
      </c>
      <c r="AU812" s="44"/>
      <c r="AV812" s="46">
        <f>ROUND(Товары[[#This Row],[РРЦ финальная, руб.]]/$AU$1,2)</f>
        <v>0</v>
      </c>
      <c r="AW812" s="45" t="str">
        <f>IFERROR(Товары[[#This Row],[РРЦ, евро]]/Товары[[#This Row],[IRP, Eur]],"-")</f>
        <v>-</v>
      </c>
      <c r="AX812" s="42">
        <f>IFERROR(VLOOKUP(Товары[[#This Row],[SubGroup]],'Структура цен DIY'!$B:$C,2,FALSE),0)</f>
        <v>0.25</v>
      </c>
      <c r="AY812" s="44">
        <v>0</v>
      </c>
    </row>
    <row r="813" spans="1:51" x14ac:dyDescent="0.25">
      <c r="A813" s="34">
        <v>811</v>
      </c>
      <c r="B813" s="34" t="s">
        <v>49</v>
      </c>
      <c r="C813" s="110" t="str">
        <f>IFERROR(INDEX(Структура_ассортимента[SuperCategory],MATCH(Товары[[#This Row],[SubGroup]],Структура_ассортимента[Subgroup],0)),"")</f>
        <v>W</v>
      </c>
      <c r="D81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1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13" s="110" t="str">
        <f>IFERROR(INDEX(Структура_ассортимента[Product group],MATCH(Товары[[#This Row],[SubGroup]],Структура_ассортимента[Subgroup],0)),"")</f>
        <v>WMT_C</v>
      </c>
      <c r="G813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13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13" s="36">
        <v>9015</v>
      </c>
      <c r="J813" s="36" t="str">
        <f>IFERROR(INDEX(Структура_ассортимента[Generic Name (long)],MATCH(Товары[[#This Row],[SubGroup]],Структура_ассортимента[Subgroup],0)),"")</f>
        <v>WALL HOSE BRACKET</v>
      </c>
      <c r="L813" s="36">
        <v>966620701</v>
      </c>
      <c r="M813" s="35" t="s">
        <v>2497</v>
      </c>
      <c r="Q813" s="34" t="s">
        <v>3544</v>
      </c>
      <c r="R813" s="34" t="s">
        <v>3540</v>
      </c>
      <c r="S813" s="47">
        <v>40452</v>
      </c>
      <c r="T813" s="47">
        <v>0</v>
      </c>
      <c r="U813" s="47">
        <v>0</v>
      </c>
      <c r="V813" s="34">
        <v>4078500800105</v>
      </c>
      <c r="W813" s="34" t="s">
        <v>3543</v>
      </c>
      <c r="Y813" s="34" t="s">
        <v>3542</v>
      </c>
      <c r="Z813" s="34">
        <v>2</v>
      </c>
      <c r="AA813" s="34">
        <v>6105</v>
      </c>
      <c r="AB813" s="34">
        <v>6105</v>
      </c>
      <c r="AC813" s="34">
        <v>5900</v>
      </c>
      <c r="AD813" s="34">
        <v>5900</v>
      </c>
      <c r="AE813" s="34">
        <v>460</v>
      </c>
      <c r="AF813" s="34">
        <v>370</v>
      </c>
      <c r="AG813" s="34">
        <v>940</v>
      </c>
      <c r="AH813" s="34">
        <v>159.988</v>
      </c>
      <c r="AL813" s="34">
        <v>8</v>
      </c>
      <c r="AM813" s="40" t="s">
        <v>8094</v>
      </c>
      <c r="AT813" s="44">
        <v>0</v>
      </c>
      <c r="AU813" s="44"/>
      <c r="AV813" s="46">
        <f>ROUND(Товары[[#This Row],[РРЦ финальная, руб.]]/$AU$1,2)</f>
        <v>0</v>
      </c>
      <c r="AW813" s="45" t="str">
        <f>IFERROR(Товары[[#This Row],[РРЦ, евро]]/Товары[[#This Row],[IRP, Eur]],"-")</f>
        <v>-</v>
      </c>
      <c r="AX813" s="42">
        <f>IFERROR(VLOOKUP(Товары[[#This Row],[SubGroup]],'Структура цен DIY'!$B:$C,2,FALSE),0)</f>
        <v>0.25</v>
      </c>
      <c r="AY813" s="44">
        <v>0</v>
      </c>
    </row>
    <row r="814" spans="1:51" x14ac:dyDescent="0.25">
      <c r="A814" s="34">
        <v>812</v>
      </c>
      <c r="B814" s="34" t="s">
        <v>49</v>
      </c>
      <c r="C814" s="110" t="str">
        <f>IFERROR(INDEX(Структура_ассортимента[SuperCategory],MATCH(Товары[[#This Row],[SubGroup]],Структура_ассортимента[Subgroup],0)),"")</f>
        <v>W</v>
      </c>
      <c r="D81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1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14" s="110" t="str">
        <f>IFERROR(INDEX(Структура_ассортимента[Product group],MATCH(Товары[[#This Row],[SubGroup]],Структура_ассортимента[Subgroup],0)),"")</f>
        <v>WMT_C</v>
      </c>
      <c r="G814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14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14" s="36">
        <v>9015</v>
      </c>
      <c r="J814" s="36" t="str">
        <f>IFERROR(INDEX(Структура_ассортимента[Generic Name (long)],MATCH(Товары[[#This Row],[SubGroup]],Структура_ассортимента[Subgroup],0)),"")</f>
        <v>WALL HOSE BRACKET</v>
      </c>
      <c r="L814" s="36">
        <v>966698501</v>
      </c>
      <c r="M814" s="35" t="s">
        <v>2498</v>
      </c>
      <c r="Q814" s="34" t="s">
        <v>3544</v>
      </c>
      <c r="R814" s="34" t="s">
        <v>3540</v>
      </c>
      <c r="S814" s="47">
        <v>40452</v>
      </c>
      <c r="T814" s="47">
        <v>0</v>
      </c>
      <c r="U814" s="47">
        <v>0</v>
      </c>
      <c r="V814" s="34">
        <v>4078500800174</v>
      </c>
      <c r="W814" s="34" t="s">
        <v>3543</v>
      </c>
      <c r="Y814" s="34" t="s">
        <v>3542</v>
      </c>
      <c r="Z814" s="34">
        <v>1</v>
      </c>
      <c r="AA814" s="34">
        <v>6862</v>
      </c>
      <c r="AB814" s="34">
        <v>6862</v>
      </c>
      <c r="AC814" s="34">
        <v>6000</v>
      </c>
      <c r="AD814" s="34">
        <v>6000</v>
      </c>
      <c r="AE814" s="34">
        <v>396</v>
      </c>
      <c r="AF814" s="34">
        <v>201</v>
      </c>
      <c r="AG814" s="34">
        <v>700</v>
      </c>
      <c r="AH814" s="34">
        <v>55.716999999999999</v>
      </c>
      <c r="AL814" s="34">
        <v>8</v>
      </c>
      <c r="AM814" s="40" t="s">
        <v>8094</v>
      </c>
      <c r="AT814" s="44">
        <v>0</v>
      </c>
      <c r="AU814" s="44"/>
      <c r="AV814" s="46">
        <f>ROUND(Товары[[#This Row],[РРЦ финальная, руб.]]/$AU$1,2)</f>
        <v>0</v>
      </c>
      <c r="AW814" s="45" t="str">
        <f>IFERROR(Товары[[#This Row],[РРЦ, евро]]/Товары[[#This Row],[IRP, Eur]],"-")</f>
        <v>-</v>
      </c>
      <c r="AX814" s="42">
        <f>IFERROR(VLOOKUP(Товары[[#This Row],[SubGroup]],'Структура цен DIY'!$B:$C,2,FALSE),0)</f>
        <v>0.25</v>
      </c>
      <c r="AY814" s="44">
        <v>0</v>
      </c>
    </row>
    <row r="815" spans="1:51" x14ac:dyDescent="0.25">
      <c r="A815" s="34">
        <v>813</v>
      </c>
      <c r="B815" s="34" t="s">
        <v>49</v>
      </c>
      <c r="C815" s="110" t="str">
        <f>IFERROR(INDEX(Структура_ассортимента[SuperCategory],MATCH(Товары[[#This Row],[SubGroup]],Структура_ассортимента[Subgroup],0)),"")</f>
        <v>W</v>
      </c>
      <c r="D81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1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15" s="110" t="str">
        <f>IFERROR(INDEX(Структура_ассортимента[Product group],MATCH(Товары[[#This Row],[SubGroup]],Структура_ассортимента[Subgroup],0)),"")</f>
        <v>WMT_C</v>
      </c>
      <c r="G815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15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15" s="36">
        <v>9015</v>
      </c>
      <c r="J815" s="36" t="str">
        <f>IFERROR(INDEX(Структура_ассортимента[Generic Name (long)],MATCH(Товары[[#This Row],[SubGroup]],Структура_ассортимента[Subgroup],0)),"")</f>
        <v>WALL HOSE BRACKET</v>
      </c>
      <c r="L815" s="36">
        <v>966620801</v>
      </c>
      <c r="M815" s="35" t="s">
        <v>2499</v>
      </c>
      <c r="Q815" s="34" t="s">
        <v>3544</v>
      </c>
      <c r="R815" s="34" t="s">
        <v>3540</v>
      </c>
      <c r="S815" s="47">
        <v>40452</v>
      </c>
      <c r="T815" s="47">
        <v>0</v>
      </c>
      <c r="U815" s="47">
        <v>0</v>
      </c>
      <c r="V815" s="34">
        <v>4078500800303</v>
      </c>
      <c r="W815" s="34" t="s">
        <v>3543</v>
      </c>
      <c r="Y815" s="34" t="s">
        <v>3542</v>
      </c>
      <c r="Z815" s="34">
        <v>1</v>
      </c>
      <c r="AA815" s="34">
        <v>3940</v>
      </c>
      <c r="AB815" s="34">
        <v>3940</v>
      </c>
      <c r="AC815" s="34">
        <v>3400</v>
      </c>
      <c r="AD815" s="34">
        <v>3400</v>
      </c>
      <c r="AE815" s="34">
        <v>396</v>
      </c>
      <c r="AF815" s="34">
        <v>196</v>
      </c>
      <c r="AG815" s="34">
        <v>685</v>
      </c>
      <c r="AH815" s="34">
        <v>53.167000000000002</v>
      </c>
      <c r="AM815" s="40" t="s">
        <v>8094</v>
      </c>
      <c r="AT815" s="44">
        <v>0</v>
      </c>
      <c r="AU815" s="44"/>
      <c r="AV815" s="46">
        <f>ROUND(Товары[[#This Row],[РРЦ финальная, руб.]]/$AU$1,2)</f>
        <v>0</v>
      </c>
      <c r="AW815" s="45" t="str">
        <f>IFERROR(Товары[[#This Row],[РРЦ, евро]]/Товары[[#This Row],[IRP, Eur]],"-")</f>
        <v>-</v>
      </c>
      <c r="AX815" s="42">
        <f>IFERROR(VLOOKUP(Товары[[#This Row],[SubGroup]],'Структура цен DIY'!$B:$C,2,FALSE),0)</f>
        <v>0.25</v>
      </c>
      <c r="AY815" s="44">
        <v>0</v>
      </c>
    </row>
    <row r="816" spans="1:51" x14ac:dyDescent="0.25">
      <c r="A816" s="34">
        <v>814</v>
      </c>
      <c r="B816" s="34" t="s">
        <v>49</v>
      </c>
      <c r="C816" s="110" t="str">
        <f>IFERROR(INDEX(Структура_ассортимента[SuperCategory],MATCH(Товары[[#This Row],[SubGroup]],Структура_ассортимента[Subgroup],0)),"")</f>
        <v>W</v>
      </c>
      <c r="D81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1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16" s="110" t="str">
        <f>IFERROR(INDEX(Структура_ассортимента[Product group],MATCH(Товары[[#This Row],[SubGroup]],Структура_ассортимента[Subgroup],0)),"")</f>
        <v>WMT_C</v>
      </c>
      <c r="G816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16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16" s="36">
        <v>9015</v>
      </c>
      <c r="J816" s="36" t="str">
        <f>IFERROR(INDEX(Структура_ассортимента[Generic Name (long)],MATCH(Товары[[#This Row],[SubGroup]],Структура_ассортимента[Subgroup],0)),"")</f>
        <v>WALL HOSE BRACKET</v>
      </c>
      <c r="L816" s="36">
        <v>966620901</v>
      </c>
      <c r="M816" s="35" t="s">
        <v>2500</v>
      </c>
      <c r="Q816" s="34" t="s">
        <v>3544</v>
      </c>
      <c r="R816" s="34" t="s">
        <v>3540</v>
      </c>
      <c r="S816" s="47">
        <v>40452</v>
      </c>
      <c r="T816" s="47">
        <v>0</v>
      </c>
      <c r="U816" s="47">
        <v>0</v>
      </c>
      <c r="V816" s="34">
        <v>4078500800402</v>
      </c>
      <c r="W816" s="34" t="s">
        <v>3543</v>
      </c>
      <c r="Y816" s="34" t="s">
        <v>3542</v>
      </c>
      <c r="Z816" s="34">
        <v>2</v>
      </c>
      <c r="AA816" s="34">
        <v>7136</v>
      </c>
      <c r="AB816" s="34">
        <v>7136</v>
      </c>
      <c r="AC816" s="34">
        <v>6010</v>
      </c>
      <c r="AD816" s="34">
        <v>6010</v>
      </c>
      <c r="AE816" s="34">
        <v>460</v>
      </c>
      <c r="AF816" s="34">
        <v>370</v>
      </c>
      <c r="AG816" s="34">
        <v>940</v>
      </c>
      <c r="AH816" s="34">
        <v>159.988</v>
      </c>
      <c r="AM816" s="40" t="s">
        <v>8094</v>
      </c>
      <c r="AT816" s="44">
        <v>0</v>
      </c>
      <c r="AU816" s="44"/>
      <c r="AV816" s="46">
        <f>ROUND(Товары[[#This Row],[РРЦ финальная, руб.]]/$AU$1,2)</f>
        <v>0</v>
      </c>
      <c r="AW816" s="45" t="str">
        <f>IFERROR(Товары[[#This Row],[РРЦ, евро]]/Товары[[#This Row],[IRP, Eur]],"-")</f>
        <v>-</v>
      </c>
      <c r="AX816" s="42">
        <f>IFERROR(VLOOKUP(Товары[[#This Row],[SubGroup]],'Структура цен DIY'!$B:$C,2,FALSE),0)</f>
        <v>0.25</v>
      </c>
      <c r="AY816" s="44">
        <v>0</v>
      </c>
    </row>
    <row r="817" spans="1:51" x14ac:dyDescent="0.25">
      <c r="A817" s="34">
        <v>815</v>
      </c>
      <c r="B817" s="34" t="s">
        <v>49</v>
      </c>
      <c r="C817" s="110" t="str">
        <f>IFERROR(INDEX(Структура_ассортимента[SuperCategory],MATCH(Товары[[#This Row],[SubGroup]],Структура_ассортимента[Subgroup],0)),"")</f>
        <v>W</v>
      </c>
      <c r="D81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1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17" s="110" t="str">
        <f>IFERROR(INDEX(Структура_ассортимента[Product group],MATCH(Товары[[#This Row],[SubGroup]],Структура_ассортимента[Subgroup],0)),"")</f>
        <v>WMT_C</v>
      </c>
      <c r="G817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17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17" s="36">
        <v>9015</v>
      </c>
      <c r="J817" s="36" t="str">
        <f>IFERROR(INDEX(Структура_ассортимента[Generic Name (long)],MATCH(Товары[[#This Row],[SubGroup]],Структура_ассортимента[Subgroup],0)),"")</f>
        <v>WALL HOSE BRACKET</v>
      </c>
      <c r="L817" s="36">
        <v>966707701</v>
      </c>
      <c r="M817" s="35" t="s">
        <v>2501</v>
      </c>
      <c r="Q817" s="34" t="s">
        <v>3544</v>
      </c>
      <c r="R817" s="34" t="s">
        <v>3540</v>
      </c>
      <c r="S817" s="47">
        <v>40452</v>
      </c>
      <c r="T817" s="47">
        <v>0</v>
      </c>
      <c r="U817" s="47">
        <v>0</v>
      </c>
      <c r="V817" s="34">
        <v>4078500800488</v>
      </c>
      <c r="W817" s="34" t="s">
        <v>3543</v>
      </c>
      <c r="Y817" s="34" t="s">
        <v>3542</v>
      </c>
      <c r="Z817" s="34">
        <v>2</v>
      </c>
      <c r="AA817" s="34">
        <v>8740</v>
      </c>
      <c r="AB817" s="34">
        <v>8740</v>
      </c>
      <c r="AC817" s="34">
        <v>7010</v>
      </c>
      <c r="AD817" s="34">
        <v>7010</v>
      </c>
      <c r="AE817" s="34">
        <v>460</v>
      </c>
      <c r="AF817" s="34">
        <v>370</v>
      </c>
      <c r="AG817" s="34">
        <v>940</v>
      </c>
      <c r="AH817" s="34">
        <v>159.988</v>
      </c>
      <c r="AM817" s="40" t="s">
        <v>8094</v>
      </c>
      <c r="AT817" s="44">
        <v>0</v>
      </c>
      <c r="AU817" s="44"/>
      <c r="AV817" s="46">
        <f>ROUND(Товары[[#This Row],[РРЦ финальная, руб.]]/$AU$1,2)</f>
        <v>0</v>
      </c>
      <c r="AW817" s="45" t="str">
        <f>IFERROR(Товары[[#This Row],[РРЦ, евро]]/Товары[[#This Row],[IRP, Eur]],"-")</f>
        <v>-</v>
      </c>
      <c r="AX817" s="42">
        <f>IFERROR(VLOOKUP(Товары[[#This Row],[SubGroup]],'Структура цен DIY'!$B:$C,2,FALSE),0)</f>
        <v>0.25</v>
      </c>
      <c r="AY817" s="44">
        <v>0</v>
      </c>
    </row>
    <row r="818" spans="1:51" x14ac:dyDescent="0.25">
      <c r="A818" s="34">
        <v>816</v>
      </c>
      <c r="B818" s="34" t="s">
        <v>49</v>
      </c>
      <c r="C818" s="110" t="str">
        <f>IFERROR(INDEX(Структура_ассортимента[SuperCategory],MATCH(Товары[[#This Row],[SubGroup]],Структура_ассортимента[Subgroup],0)),"")</f>
        <v>W</v>
      </c>
      <c r="D81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1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18" s="110" t="str">
        <f>IFERROR(INDEX(Структура_ассортимента[Product group],MATCH(Товары[[#This Row],[SubGroup]],Структура_ассортимента[Subgroup],0)),"")</f>
        <v>WMT_C</v>
      </c>
      <c r="G818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18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18" s="36">
        <v>9015</v>
      </c>
      <c r="J818" s="36" t="str">
        <f>IFERROR(INDEX(Структура_ассортимента[Generic Name (long)],MATCH(Товары[[#This Row],[SubGroup]],Структура_ассортимента[Subgroup],0)),"")</f>
        <v>WALL HOSE BRACKET</v>
      </c>
      <c r="L818" s="36">
        <v>966621001</v>
      </c>
      <c r="M818" s="35" t="s">
        <v>2502</v>
      </c>
      <c r="Q818" s="34" t="s">
        <v>3544</v>
      </c>
      <c r="R818" s="34" t="s">
        <v>3540</v>
      </c>
      <c r="S818" s="47">
        <v>40452</v>
      </c>
      <c r="T818" s="47">
        <v>0</v>
      </c>
      <c r="U818" s="47">
        <v>0</v>
      </c>
      <c r="V818" s="34">
        <v>4078500800600</v>
      </c>
      <c r="W818" s="34" t="s">
        <v>3543</v>
      </c>
      <c r="Y818" s="34" t="s">
        <v>3542</v>
      </c>
      <c r="Z818" s="34">
        <v>1</v>
      </c>
      <c r="AA818" s="34">
        <v>4910</v>
      </c>
      <c r="AB818" s="34">
        <v>4910</v>
      </c>
      <c r="AC818" s="34">
        <v>4150</v>
      </c>
      <c r="AD818" s="34">
        <v>4150</v>
      </c>
      <c r="AE818" s="34">
        <v>486</v>
      </c>
      <c r="AF818" s="34">
        <v>196</v>
      </c>
      <c r="AG818" s="34">
        <v>685</v>
      </c>
      <c r="AH818" s="34">
        <v>65.25</v>
      </c>
      <c r="AM818" s="40" t="s">
        <v>8094</v>
      </c>
      <c r="AT818" s="44">
        <v>0</v>
      </c>
      <c r="AU818" s="44"/>
      <c r="AV818" s="46">
        <f>ROUND(Товары[[#This Row],[РРЦ финальная, руб.]]/$AU$1,2)</f>
        <v>0</v>
      </c>
      <c r="AW818" s="45" t="str">
        <f>IFERROR(Товары[[#This Row],[РРЦ, евро]]/Товары[[#This Row],[IRP, Eur]],"-")</f>
        <v>-</v>
      </c>
      <c r="AX818" s="42">
        <f>IFERROR(VLOOKUP(Товары[[#This Row],[SubGroup]],'Структура цен DIY'!$B:$C,2,FALSE),0)</f>
        <v>0.25</v>
      </c>
      <c r="AY818" s="44">
        <v>0</v>
      </c>
    </row>
    <row r="819" spans="1:51" x14ac:dyDescent="0.25">
      <c r="A819" s="34">
        <v>817</v>
      </c>
      <c r="B819" s="34" t="s">
        <v>49</v>
      </c>
      <c r="C819" s="110" t="str">
        <f>IFERROR(INDEX(Структура_ассортимента[SuperCategory],MATCH(Товары[[#This Row],[SubGroup]],Структура_ассортимента[Subgroup],0)),"")</f>
        <v>W</v>
      </c>
      <c r="D81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1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19" s="110" t="str">
        <f>IFERROR(INDEX(Структура_ассортимента[Product group],MATCH(Товары[[#This Row],[SubGroup]],Структура_ассортимента[Subgroup],0)),"")</f>
        <v>WMT_C</v>
      </c>
      <c r="G819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19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19" s="36">
        <v>9015</v>
      </c>
      <c r="J819" s="36" t="str">
        <f>IFERROR(INDEX(Структура_ассортимента[Generic Name (long)],MATCH(Товары[[#This Row],[SubGroup]],Структура_ассортимента[Subgroup],0)),"")</f>
        <v>WALL HOSE BRACKET</v>
      </c>
      <c r="L819" s="36">
        <v>966714701</v>
      </c>
      <c r="M819" s="35" t="s">
        <v>2503</v>
      </c>
      <c r="Q819" s="34" t="s">
        <v>3544</v>
      </c>
      <c r="R819" s="34" t="s">
        <v>3540</v>
      </c>
      <c r="S819" s="47">
        <v>40452</v>
      </c>
      <c r="T819" s="47">
        <v>0</v>
      </c>
      <c r="U819" s="47">
        <v>0</v>
      </c>
      <c r="V819" s="34">
        <v>4078500800679</v>
      </c>
      <c r="W819" s="34" t="s">
        <v>3543</v>
      </c>
      <c r="Y819" s="34" t="s">
        <v>3542</v>
      </c>
      <c r="Z819" s="34">
        <v>1</v>
      </c>
      <c r="AA819" s="34">
        <v>11965</v>
      </c>
      <c r="AB819" s="34">
        <v>11965</v>
      </c>
      <c r="AC819" s="34">
        <v>10150</v>
      </c>
      <c r="AD819" s="34">
        <v>10150</v>
      </c>
      <c r="AE819" s="34">
        <v>949</v>
      </c>
      <c r="AF819" s="34">
        <v>390</v>
      </c>
      <c r="AG819" s="34">
        <v>473</v>
      </c>
      <c r="AH819" s="34">
        <v>175.06200000000001</v>
      </c>
      <c r="AM819" s="40" t="s">
        <v>8094</v>
      </c>
      <c r="AT819" s="44">
        <v>0</v>
      </c>
      <c r="AU819" s="44"/>
      <c r="AV819" s="46">
        <f>ROUND(Товары[[#This Row],[РРЦ финальная, руб.]]/$AU$1,2)</f>
        <v>0</v>
      </c>
      <c r="AW819" s="45" t="str">
        <f>IFERROR(Товары[[#This Row],[РРЦ, евро]]/Товары[[#This Row],[IRP, Eur]],"-")</f>
        <v>-</v>
      </c>
      <c r="AX819" s="42">
        <f>IFERROR(VLOOKUP(Товары[[#This Row],[SubGroup]],'Структура цен DIY'!$B:$C,2,FALSE),0)</f>
        <v>0.25</v>
      </c>
      <c r="AY819" s="44">
        <v>0</v>
      </c>
    </row>
    <row r="820" spans="1:51" x14ac:dyDescent="0.25">
      <c r="A820" s="34">
        <v>818</v>
      </c>
      <c r="B820" s="34" t="s">
        <v>49</v>
      </c>
      <c r="C820" s="110" t="str">
        <f>IFERROR(INDEX(Структура_ассортимента[SuperCategory],MATCH(Товары[[#This Row],[SubGroup]],Структура_ассортимента[Subgroup],0)),"")</f>
        <v>W</v>
      </c>
      <c r="D82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2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20" s="110" t="str">
        <f>IFERROR(INDEX(Структура_ассортимента[Product group],MATCH(Товары[[#This Row],[SubGroup]],Структура_ассортимента[Subgroup],0)),"")</f>
        <v>WMT_C</v>
      </c>
      <c r="G820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20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20" s="36">
        <v>9015</v>
      </c>
      <c r="J820" s="36" t="str">
        <f>IFERROR(INDEX(Структура_ассортимента[Generic Name (long)],MATCH(Товары[[#This Row],[SubGroup]],Структура_ассортимента[Subgroup],0)),"")</f>
        <v>WALL HOSE BRACKET</v>
      </c>
      <c r="L820" s="36">
        <v>966621101</v>
      </c>
      <c r="M820" s="35" t="s">
        <v>2504</v>
      </c>
      <c r="Q820" s="34" t="s">
        <v>3544</v>
      </c>
      <c r="R820" s="34" t="s">
        <v>3540</v>
      </c>
      <c r="S820" s="47">
        <v>40452</v>
      </c>
      <c r="T820" s="47">
        <v>0</v>
      </c>
      <c r="U820" s="47">
        <v>0</v>
      </c>
      <c r="V820" s="34">
        <v>4078500801102</v>
      </c>
      <c r="W820" s="34" t="s">
        <v>3543</v>
      </c>
      <c r="Y820" s="34" t="s">
        <v>3542</v>
      </c>
      <c r="Z820" s="34">
        <v>1</v>
      </c>
      <c r="AA820" s="34">
        <v>2410</v>
      </c>
      <c r="AB820" s="34">
        <v>2410</v>
      </c>
      <c r="AC820" s="34">
        <v>2055</v>
      </c>
      <c r="AD820" s="34">
        <v>2055</v>
      </c>
      <c r="AE820" s="34">
        <v>398</v>
      </c>
      <c r="AF820" s="34">
        <v>138</v>
      </c>
      <c r="AG820" s="34">
        <v>386</v>
      </c>
      <c r="AH820" s="34">
        <v>21.201000000000001</v>
      </c>
      <c r="AM820" s="40" t="s">
        <v>8094</v>
      </c>
      <c r="AT820" s="44">
        <v>0</v>
      </c>
      <c r="AU820" s="44"/>
      <c r="AV820" s="46">
        <f>ROUND(Товары[[#This Row],[РРЦ финальная, руб.]]/$AU$1,2)</f>
        <v>0</v>
      </c>
      <c r="AW820" s="45" t="str">
        <f>IFERROR(Товары[[#This Row],[РРЦ, евро]]/Товары[[#This Row],[IRP, Eur]],"-")</f>
        <v>-</v>
      </c>
      <c r="AX820" s="42">
        <f>IFERROR(VLOOKUP(Товары[[#This Row],[SubGroup]],'Структура цен DIY'!$B:$C,2,FALSE),0)</f>
        <v>0.25</v>
      </c>
      <c r="AY820" s="44">
        <v>0</v>
      </c>
    </row>
    <row r="821" spans="1:51" x14ac:dyDescent="0.25">
      <c r="A821" s="34">
        <v>819</v>
      </c>
      <c r="B821" s="34" t="s">
        <v>49</v>
      </c>
      <c r="C821" s="110" t="str">
        <f>IFERROR(INDEX(Структура_ассортимента[SuperCategory],MATCH(Товары[[#This Row],[SubGroup]],Структура_ассортимента[Subgroup],0)),"")</f>
        <v>W</v>
      </c>
      <c r="D82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2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21" s="110" t="str">
        <f>IFERROR(INDEX(Структура_ассортимента[Product group],MATCH(Товары[[#This Row],[SubGroup]],Структура_ассортимента[Subgroup],0)),"")</f>
        <v>WMA_C</v>
      </c>
      <c r="G821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21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21" s="36">
        <v>9022</v>
      </c>
      <c r="J821" s="36" t="str">
        <f>IFERROR(INDEX(Структура_ассортимента[Generic Name (long)],MATCH(Товары[[#This Row],[SubGroup]],Структура_ассортимента[Subgroup],0)),"")</f>
        <v>GARDEN SHOWER</v>
      </c>
      <c r="L821" s="36">
        <v>901144801</v>
      </c>
      <c r="M821" s="35" t="s">
        <v>2505</v>
      </c>
      <c r="Q821" s="34" t="s">
        <v>4565</v>
      </c>
      <c r="R821" s="34" t="s">
        <v>3540</v>
      </c>
      <c r="S821" s="47">
        <v>37895</v>
      </c>
      <c r="T821" s="47">
        <v>42735</v>
      </c>
      <c r="U821" s="47">
        <v>42735</v>
      </c>
      <c r="V821" s="34">
        <v>4078500810005</v>
      </c>
      <c r="W821" s="34" t="s">
        <v>3543</v>
      </c>
      <c r="Y821" s="34" t="s">
        <v>3542</v>
      </c>
      <c r="Z821" s="34">
        <v>5</v>
      </c>
      <c r="AA821" s="34">
        <v>220</v>
      </c>
      <c r="AB821" s="34">
        <v>220</v>
      </c>
      <c r="AC821" s="34">
        <v>210</v>
      </c>
      <c r="AD821" s="34">
        <v>210</v>
      </c>
      <c r="AE821" s="34">
        <v>235</v>
      </c>
      <c r="AF821" s="34">
        <v>200</v>
      </c>
      <c r="AG821" s="34">
        <v>37</v>
      </c>
      <c r="AH821" s="34">
        <v>1.7390000000000001</v>
      </c>
      <c r="AM821" s="40" t="s">
        <v>8094</v>
      </c>
      <c r="AT821" s="44">
        <v>0</v>
      </c>
      <c r="AU821" s="44"/>
      <c r="AV821" s="46">
        <f>ROUND(Товары[[#This Row],[РРЦ финальная, руб.]]/$AU$1,2)</f>
        <v>0</v>
      </c>
      <c r="AW821" s="45" t="str">
        <f>IFERROR(Товары[[#This Row],[РРЦ, евро]]/Товары[[#This Row],[IRP, Eur]],"-")</f>
        <v>-</v>
      </c>
      <c r="AX821" s="42">
        <f>IFERROR(VLOOKUP(Товары[[#This Row],[SubGroup]],'Структура цен DIY'!$B:$C,2,FALSE),0)</f>
        <v>0.28000000000000003</v>
      </c>
      <c r="AY821" s="44">
        <v>0</v>
      </c>
    </row>
    <row r="822" spans="1:51" x14ac:dyDescent="0.25">
      <c r="A822" s="34">
        <v>820</v>
      </c>
      <c r="B822" s="34" t="s">
        <v>49</v>
      </c>
      <c r="C822" s="110" t="str">
        <f>IFERROR(INDEX(Структура_ассортимента[SuperCategory],MATCH(Товары[[#This Row],[SubGroup]],Структура_ассортимента[Subgroup],0)),"")</f>
        <v>W</v>
      </c>
      <c r="D82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2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22" s="110" t="str">
        <f>IFERROR(INDEX(Структура_ассортимента[Product group],MATCH(Товары[[#This Row],[SubGroup]],Структура_ассортимента[Subgroup],0)),"")</f>
        <v>WMA_C</v>
      </c>
      <c r="G822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22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22" s="36">
        <v>9022</v>
      </c>
      <c r="J822" s="36" t="str">
        <f>IFERROR(INDEX(Структура_ассортимента[Generic Name (long)],MATCH(Товары[[#This Row],[SubGroup]],Структура_ассортимента[Subgroup],0)),"")</f>
        <v>GARDEN SHOWER</v>
      </c>
      <c r="L822" s="36">
        <v>901145201</v>
      </c>
      <c r="M822" s="35" t="s">
        <v>2506</v>
      </c>
      <c r="P822" s="37" t="s">
        <v>5976</v>
      </c>
      <c r="Q822" s="34" t="s">
        <v>4565</v>
      </c>
      <c r="R822" s="34" t="s">
        <v>3540</v>
      </c>
      <c r="S822" s="47">
        <v>37895</v>
      </c>
      <c r="T822" s="47">
        <v>42735</v>
      </c>
      <c r="U822" s="47">
        <v>42735</v>
      </c>
      <c r="V822" s="34">
        <v>4078500810104</v>
      </c>
      <c r="W822" s="34" t="s">
        <v>3543</v>
      </c>
      <c r="Y822" s="34" t="s">
        <v>3542</v>
      </c>
      <c r="Z822" s="34">
        <v>5</v>
      </c>
      <c r="AA822" s="34">
        <v>306</v>
      </c>
      <c r="AB822" s="34">
        <v>306</v>
      </c>
      <c r="AC822" s="34">
        <v>275</v>
      </c>
      <c r="AD822" s="34">
        <v>275</v>
      </c>
      <c r="AE822" s="34">
        <v>235</v>
      </c>
      <c r="AF822" s="34">
        <v>215</v>
      </c>
      <c r="AG822" s="34">
        <v>40</v>
      </c>
      <c r="AH822" s="34">
        <v>2.0209999999999999</v>
      </c>
      <c r="AM822" s="40" t="s">
        <v>233</v>
      </c>
      <c r="AT822" s="44">
        <v>0</v>
      </c>
      <c r="AU822" s="44"/>
      <c r="AV822" s="46">
        <f>ROUND(Товары[[#This Row],[РРЦ финальная, руб.]]/$AU$1,2)</f>
        <v>0</v>
      </c>
      <c r="AW822" s="45" t="str">
        <f>IFERROR(Товары[[#This Row],[РРЦ, евро]]/Товары[[#This Row],[IRP, Eur]],"-")</f>
        <v>-</v>
      </c>
      <c r="AX822" s="42">
        <f>IFERROR(VLOOKUP(Товары[[#This Row],[SubGroup]],'Структура цен DIY'!$B:$C,2,FALSE),0)</f>
        <v>0.28000000000000003</v>
      </c>
      <c r="AY822" s="44">
        <v>0</v>
      </c>
    </row>
    <row r="823" spans="1:51" x14ac:dyDescent="0.25">
      <c r="A823" s="34">
        <v>821</v>
      </c>
      <c r="B823" s="34" t="s">
        <v>49</v>
      </c>
      <c r="C823" s="110" t="str">
        <f>IFERROR(INDEX(Структура_ассортимента[SuperCategory],MATCH(Товары[[#This Row],[SubGroup]],Структура_ассортимента[Subgroup],0)),"")</f>
        <v>W</v>
      </c>
      <c r="D82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2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23" s="110" t="str">
        <f>IFERROR(INDEX(Структура_ассортимента[Product group],MATCH(Товары[[#This Row],[SubGroup]],Структура_ассортимента[Subgroup],0)),"")</f>
        <v>WMA_C</v>
      </c>
      <c r="G823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23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23" s="36">
        <v>9022</v>
      </c>
      <c r="J823" s="36" t="str">
        <f>IFERROR(INDEX(Структура_ассортимента[Generic Name (long)],MATCH(Товары[[#This Row],[SubGroup]],Структура_ассортимента[Subgroup],0)),"")</f>
        <v>GARDEN SHOWER</v>
      </c>
      <c r="L823" s="36">
        <v>901146901</v>
      </c>
      <c r="M823" s="35" t="s">
        <v>2507</v>
      </c>
      <c r="Q823" s="34" t="s">
        <v>4565</v>
      </c>
      <c r="R823" s="34" t="s">
        <v>3540</v>
      </c>
      <c r="S823" s="47">
        <v>37895</v>
      </c>
      <c r="T823" s="47">
        <v>42735</v>
      </c>
      <c r="U823" s="47">
        <v>42735</v>
      </c>
      <c r="V823" s="34">
        <v>4078500810401</v>
      </c>
      <c r="W823" s="34" t="s">
        <v>3543</v>
      </c>
      <c r="Y823" s="34" t="s">
        <v>3542</v>
      </c>
      <c r="Z823" s="34">
        <v>5</v>
      </c>
      <c r="AA823" s="34">
        <v>265</v>
      </c>
      <c r="AB823" s="34">
        <v>265</v>
      </c>
      <c r="AC823" s="34">
        <v>263</v>
      </c>
      <c r="AD823" s="34">
        <v>263</v>
      </c>
      <c r="AE823" s="34">
        <v>235</v>
      </c>
      <c r="AF823" s="34">
        <v>200</v>
      </c>
      <c r="AG823" s="34">
        <v>45</v>
      </c>
      <c r="AH823" s="34">
        <v>2.1150000000000002</v>
      </c>
      <c r="AM823" s="40" t="s">
        <v>8094</v>
      </c>
      <c r="AT823" s="44">
        <v>0</v>
      </c>
      <c r="AU823" s="44"/>
      <c r="AV823" s="46">
        <f>ROUND(Товары[[#This Row],[РРЦ финальная, руб.]]/$AU$1,2)</f>
        <v>0</v>
      </c>
      <c r="AW823" s="45" t="str">
        <f>IFERROR(Товары[[#This Row],[РРЦ, евро]]/Товары[[#This Row],[IRP, Eur]],"-")</f>
        <v>-</v>
      </c>
      <c r="AX823" s="42">
        <f>IFERROR(VLOOKUP(Товары[[#This Row],[SubGroup]],'Структура цен DIY'!$B:$C,2,FALSE),0)</f>
        <v>0.28000000000000003</v>
      </c>
      <c r="AY823" s="44">
        <v>0</v>
      </c>
    </row>
    <row r="824" spans="1:51" x14ac:dyDescent="0.25">
      <c r="A824" s="34">
        <v>822</v>
      </c>
      <c r="B824" s="34" t="s">
        <v>49</v>
      </c>
      <c r="C824" s="110" t="str">
        <f>IFERROR(INDEX(Структура_ассортимента[SuperCategory],MATCH(Товары[[#This Row],[SubGroup]],Структура_ассортимента[Subgroup],0)),"")</f>
        <v>W</v>
      </c>
      <c r="D82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2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24" s="110" t="str">
        <f>IFERROR(INDEX(Структура_ассортимента[Product group],MATCH(Товары[[#This Row],[SubGroup]],Структура_ассортимента[Subgroup],0)),"")</f>
        <v>WMA_C</v>
      </c>
      <c r="G824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24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24" s="36">
        <v>9022</v>
      </c>
      <c r="J824" s="36" t="str">
        <f>IFERROR(INDEX(Структура_ассортимента[Generic Name (long)],MATCH(Товары[[#This Row],[SubGroup]],Структура_ассортимента[Subgroup],0)),"")</f>
        <v>GARDEN SHOWER</v>
      </c>
      <c r="L824" s="36">
        <v>901147101</v>
      </c>
      <c r="M824" s="35" t="s">
        <v>2508</v>
      </c>
      <c r="Q824" s="34" t="s">
        <v>4565</v>
      </c>
      <c r="R824" s="34" t="s">
        <v>3540</v>
      </c>
      <c r="S824" s="47">
        <v>37895</v>
      </c>
      <c r="T824" s="47">
        <v>42735</v>
      </c>
      <c r="U824" s="47">
        <v>42735</v>
      </c>
      <c r="V824" s="34">
        <v>4078500810609</v>
      </c>
      <c r="W824" s="34" t="s">
        <v>3543</v>
      </c>
      <c r="Y824" s="34" t="s">
        <v>3542</v>
      </c>
      <c r="Z824" s="34">
        <v>5</v>
      </c>
      <c r="AA824" s="34">
        <v>275</v>
      </c>
      <c r="AB824" s="34">
        <v>275</v>
      </c>
      <c r="AC824" s="34">
        <v>240</v>
      </c>
      <c r="AD824" s="34">
        <v>240</v>
      </c>
      <c r="AE824" s="34">
        <v>235</v>
      </c>
      <c r="AF824" s="34">
        <v>200</v>
      </c>
      <c r="AG824" s="34">
        <v>65</v>
      </c>
      <c r="AH824" s="34">
        <v>2.35</v>
      </c>
      <c r="AM824" s="40" t="s">
        <v>8094</v>
      </c>
      <c r="AT824" s="44">
        <v>0</v>
      </c>
      <c r="AU824" s="44"/>
      <c r="AV824" s="46">
        <f>ROUND(Товары[[#This Row],[РРЦ финальная, руб.]]/$AU$1,2)</f>
        <v>0</v>
      </c>
      <c r="AW824" s="45" t="str">
        <f>IFERROR(Товары[[#This Row],[РРЦ, евро]]/Товары[[#This Row],[IRP, Eur]],"-")</f>
        <v>-</v>
      </c>
      <c r="AX824" s="42">
        <f>IFERROR(VLOOKUP(Товары[[#This Row],[SubGroup]],'Структура цен DIY'!$B:$C,2,FALSE),0)</f>
        <v>0.28000000000000003</v>
      </c>
      <c r="AY824" s="44">
        <v>0</v>
      </c>
    </row>
    <row r="825" spans="1:51" x14ac:dyDescent="0.25">
      <c r="A825" s="34">
        <v>823</v>
      </c>
      <c r="B825" s="34" t="s">
        <v>49</v>
      </c>
      <c r="C825" s="110" t="str">
        <f>IFERROR(INDEX(Структура_ассортимента[SuperCategory],MATCH(Товары[[#This Row],[SubGroup]],Структура_ассортимента[Subgroup],0)),"")</f>
        <v>W</v>
      </c>
      <c r="D82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2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25" s="110" t="str">
        <f>IFERROR(INDEX(Структура_ассортимента[Product group],MATCH(Товары[[#This Row],[SubGroup]],Структура_ассортимента[Subgroup],0)),"")</f>
        <v>WMA_C</v>
      </c>
      <c r="G825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25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25" s="36">
        <v>9022</v>
      </c>
      <c r="J825" s="36" t="str">
        <f>IFERROR(INDEX(Структура_ассортимента[Generic Name (long)],MATCH(Товары[[#This Row],[SubGroup]],Структура_ассортимента[Subgroup],0)),"")</f>
        <v>GARDEN SHOWER</v>
      </c>
      <c r="L825" s="36">
        <v>901147401</v>
      </c>
      <c r="M825" s="35" t="s">
        <v>2509</v>
      </c>
      <c r="Q825" s="34" t="s">
        <v>4565</v>
      </c>
      <c r="R825" s="34" t="s">
        <v>3540</v>
      </c>
      <c r="S825" s="47">
        <v>37895</v>
      </c>
      <c r="T825" s="47">
        <v>42735</v>
      </c>
      <c r="U825" s="47">
        <v>42735</v>
      </c>
      <c r="V825" s="34">
        <v>4078500810708</v>
      </c>
      <c r="W825" s="34" t="s">
        <v>3543</v>
      </c>
      <c r="Y825" s="34" t="s">
        <v>3542</v>
      </c>
      <c r="Z825" s="34">
        <v>5</v>
      </c>
      <c r="AA825" s="34">
        <v>375</v>
      </c>
      <c r="AB825" s="34">
        <v>375</v>
      </c>
      <c r="AC825" s="34">
        <v>370</v>
      </c>
      <c r="AD825" s="34">
        <v>370</v>
      </c>
      <c r="AE825" s="34">
        <v>235</v>
      </c>
      <c r="AF825" s="34">
        <v>215</v>
      </c>
      <c r="AG825" s="34">
        <v>67</v>
      </c>
      <c r="AH825" s="34">
        <v>3.3849999999999998</v>
      </c>
      <c r="AM825" s="40" t="s">
        <v>8094</v>
      </c>
      <c r="AT825" s="44">
        <v>0</v>
      </c>
      <c r="AU825" s="44"/>
      <c r="AV825" s="46">
        <f>ROUND(Товары[[#This Row],[РРЦ финальная, руб.]]/$AU$1,2)</f>
        <v>0</v>
      </c>
      <c r="AW825" s="45" t="str">
        <f>IFERROR(Товары[[#This Row],[РРЦ, евро]]/Товары[[#This Row],[IRP, Eur]],"-")</f>
        <v>-</v>
      </c>
      <c r="AX825" s="42">
        <f>IFERROR(VLOOKUP(Товары[[#This Row],[SubGroup]],'Структура цен DIY'!$B:$C,2,FALSE),0)</f>
        <v>0.28000000000000003</v>
      </c>
      <c r="AY825" s="44">
        <v>0</v>
      </c>
    </row>
    <row r="826" spans="1:51" x14ac:dyDescent="0.25">
      <c r="A826" s="34">
        <v>824</v>
      </c>
      <c r="B826" s="34" t="s">
        <v>49</v>
      </c>
      <c r="C826" s="110" t="str">
        <f>IFERROR(INDEX(Структура_ассортимента[SuperCategory],MATCH(Товары[[#This Row],[SubGroup]],Структура_ассортимента[Subgroup],0)),"")</f>
        <v>W</v>
      </c>
      <c r="D82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2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26" s="110" t="str">
        <f>IFERROR(INDEX(Структура_ассортимента[Product group],MATCH(Товары[[#This Row],[SubGroup]],Структура_ассортимента[Subgroup],0)),"")</f>
        <v>WMS_C</v>
      </c>
      <c r="G826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826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826" s="36">
        <v>9021</v>
      </c>
      <c r="J826" s="36" t="str">
        <f>IFERROR(INDEX(Структура_ассортимента[Generic Name (long)],MATCH(Товары[[#This Row],[SubGroup]],Структура_ассортимента[Subgroup],0)),"")</f>
        <v>WATERING SET</v>
      </c>
      <c r="L826" s="36">
        <v>965874901</v>
      </c>
      <c r="M826" s="35" t="s">
        <v>2510</v>
      </c>
      <c r="Q826" s="34" t="s">
        <v>3544</v>
      </c>
      <c r="R826" s="34" t="s">
        <v>3540</v>
      </c>
      <c r="S826" s="47">
        <v>39722</v>
      </c>
      <c r="T826" s="47">
        <v>0</v>
      </c>
      <c r="U826" s="47">
        <v>0</v>
      </c>
      <c r="V826" s="34">
        <v>4078500814201</v>
      </c>
      <c r="W826" s="34" t="s">
        <v>3543</v>
      </c>
      <c r="Y826" s="34" t="s">
        <v>3542</v>
      </c>
      <c r="Z826" s="34">
        <v>30</v>
      </c>
      <c r="AA826" s="34">
        <v>277</v>
      </c>
      <c r="AB826" s="34">
        <v>277</v>
      </c>
      <c r="AC826" s="34">
        <v>182</v>
      </c>
      <c r="AD826" s="34">
        <v>182</v>
      </c>
      <c r="AE826" s="34">
        <v>440</v>
      </c>
      <c r="AF826" s="34">
        <v>175</v>
      </c>
      <c r="AG826" s="34">
        <v>65</v>
      </c>
      <c r="AH826" s="34">
        <v>5.0049999999999999</v>
      </c>
      <c r="AM826" s="40" t="s">
        <v>8094</v>
      </c>
      <c r="AT826" s="44">
        <v>0</v>
      </c>
      <c r="AU826" s="44"/>
      <c r="AV826" s="46">
        <f>ROUND(Товары[[#This Row],[РРЦ финальная, руб.]]/$AU$1,2)</f>
        <v>0</v>
      </c>
      <c r="AW826" s="45" t="str">
        <f>IFERROR(Товары[[#This Row],[РРЦ, евро]]/Товары[[#This Row],[IRP, Eur]],"-")</f>
        <v>-</v>
      </c>
      <c r="AX826" s="42">
        <f>IFERROR(VLOOKUP(Товары[[#This Row],[SubGroup]],'Структура цен DIY'!$B:$C,2,FALSE),0)</f>
        <v>0.28999999999999998</v>
      </c>
      <c r="AY826" s="44">
        <v>0</v>
      </c>
    </row>
    <row r="827" spans="1:51" x14ac:dyDescent="0.25">
      <c r="A827" s="34">
        <v>825</v>
      </c>
      <c r="B827" s="34" t="s">
        <v>49</v>
      </c>
      <c r="C827" s="110" t="str">
        <f>IFERROR(INDEX(Структура_ассортимента[SuperCategory],MATCH(Товары[[#This Row],[SubGroup]],Структура_ассортимента[Subgroup],0)),"")</f>
        <v>W</v>
      </c>
      <c r="D82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2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27" s="110" t="str">
        <f>IFERROR(INDEX(Структура_ассортимента[Product group],MATCH(Товары[[#This Row],[SubGroup]],Структура_ассортимента[Subgroup],0)),"")</f>
        <v>WMS_C</v>
      </c>
      <c r="G827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827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827" s="36">
        <v>9021</v>
      </c>
      <c r="J827" s="36" t="str">
        <f>IFERROR(INDEX(Структура_ассортимента[Generic Name (long)],MATCH(Товары[[#This Row],[SubGroup]],Структура_ассортимента[Subgroup],0)),"")</f>
        <v>WATERING SET</v>
      </c>
      <c r="L827" s="36">
        <v>965890001</v>
      </c>
      <c r="M827" s="35" t="s">
        <v>2511</v>
      </c>
      <c r="Q827" s="34" t="s">
        <v>3544</v>
      </c>
      <c r="R827" s="34" t="s">
        <v>3540</v>
      </c>
      <c r="S827" s="47">
        <v>39722</v>
      </c>
      <c r="T827" s="47">
        <v>0</v>
      </c>
      <c r="U827" s="47">
        <v>0</v>
      </c>
      <c r="V827" s="34">
        <v>4078500814270</v>
      </c>
      <c r="W827" s="34" t="s">
        <v>3543</v>
      </c>
      <c r="Y827" s="34" t="s">
        <v>3542</v>
      </c>
      <c r="Z827" s="34">
        <v>15</v>
      </c>
      <c r="AA827" s="34">
        <v>390</v>
      </c>
      <c r="AB827" s="34">
        <v>390</v>
      </c>
      <c r="AC827" s="34">
        <v>182</v>
      </c>
      <c r="AD827" s="34">
        <v>182</v>
      </c>
      <c r="AE827" s="34">
        <v>310</v>
      </c>
      <c r="AF827" s="34">
        <v>142</v>
      </c>
      <c r="AG827" s="34">
        <v>75</v>
      </c>
      <c r="AH827" s="34">
        <v>3.302</v>
      </c>
      <c r="AM827" s="40" t="s">
        <v>8094</v>
      </c>
      <c r="AT827" s="44">
        <v>0</v>
      </c>
      <c r="AU827" s="44"/>
      <c r="AV827" s="46">
        <f>ROUND(Товары[[#This Row],[РРЦ финальная, руб.]]/$AU$1,2)</f>
        <v>0</v>
      </c>
      <c r="AW827" s="45" t="str">
        <f>IFERROR(Товары[[#This Row],[РРЦ, евро]]/Товары[[#This Row],[IRP, Eur]],"-")</f>
        <v>-</v>
      </c>
      <c r="AX827" s="42">
        <f>IFERROR(VLOOKUP(Товары[[#This Row],[SubGroup]],'Структура цен DIY'!$B:$C,2,FALSE),0)</f>
        <v>0.28999999999999998</v>
      </c>
      <c r="AY827" s="44">
        <v>0</v>
      </c>
    </row>
    <row r="828" spans="1:51" x14ac:dyDescent="0.25">
      <c r="A828" s="34">
        <v>826</v>
      </c>
      <c r="B828" s="34" t="s">
        <v>49</v>
      </c>
      <c r="C828" s="110" t="str">
        <f>IFERROR(INDEX(Структура_ассортимента[SuperCategory],MATCH(Товары[[#This Row],[SubGroup]],Структура_ассортимента[Subgroup],0)),"")</f>
        <v>W</v>
      </c>
      <c r="D82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2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28" s="110" t="str">
        <f>IFERROR(INDEX(Структура_ассортимента[Product group],MATCH(Товары[[#This Row],[SubGroup]],Структура_ассортимента[Subgroup],0)),"")</f>
        <v>WMA_C</v>
      </c>
      <c r="G828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28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28" s="36">
        <v>9022</v>
      </c>
      <c r="J828" s="36" t="str">
        <f>IFERROR(INDEX(Структура_ассортимента[Generic Name (long)],MATCH(Товары[[#This Row],[SubGroup]],Структура_ассортимента[Subgroup],0)),"")</f>
        <v>GARDEN SHOWER</v>
      </c>
      <c r="L828" s="36">
        <v>901154601</v>
      </c>
      <c r="M828" s="35" t="s">
        <v>2512</v>
      </c>
      <c r="Q828" s="34" t="s">
        <v>4565</v>
      </c>
      <c r="R828" s="34" t="s">
        <v>3540</v>
      </c>
      <c r="S828" s="47">
        <v>38991</v>
      </c>
      <c r="T828" s="47">
        <v>42735</v>
      </c>
      <c r="U828" s="47">
        <v>42735</v>
      </c>
      <c r="V828" s="34">
        <v>4078500815307</v>
      </c>
      <c r="W828" s="34" t="s">
        <v>3543</v>
      </c>
      <c r="Y828" s="34" t="s">
        <v>3542</v>
      </c>
      <c r="Z828" s="34">
        <v>5</v>
      </c>
      <c r="AA828" s="34">
        <v>248</v>
      </c>
      <c r="AB828" s="34">
        <v>248</v>
      </c>
      <c r="AC828" s="34">
        <v>230</v>
      </c>
      <c r="AD828" s="34">
        <v>230</v>
      </c>
      <c r="AE828" s="34">
        <v>218</v>
      </c>
      <c r="AF828" s="34">
        <v>177</v>
      </c>
      <c r="AG828" s="34">
        <v>45</v>
      </c>
      <c r="AH828" s="34">
        <v>1.736</v>
      </c>
      <c r="AM828" s="40" t="s">
        <v>8094</v>
      </c>
      <c r="AT828" s="44">
        <v>0</v>
      </c>
      <c r="AU828" s="44"/>
      <c r="AV828" s="46">
        <f>ROUND(Товары[[#This Row],[РРЦ финальная, руб.]]/$AU$1,2)</f>
        <v>0</v>
      </c>
      <c r="AW828" s="45" t="str">
        <f>IFERROR(Товары[[#This Row],[РРЦ, евро]]/Товары[[#This Row],[IRP, Eur]],"-")</f>
        <v>-</v>
      </c>
      <c r="AX828" s="42">
        <f>IFERROR(VLOOKUP(Товары[[#This Row],[SubGroup]],'Структура цен DIY'!$B:$C,2,FALSE),0)</f>
        <v>0.28000000000000003</v>
      </c>
      <c r="AY828" s="44">
        <v>0</v>
      </c>
    </row>
    <row r="829" spans="1:51" x14ac:dyDescent="0.25">
      <c r="A829" s="34">
        <v>827</v>
      </c>
      <c r="B829" s="34" t="s">
        <v>49</v>
      </c>
      <c r="C829" s="110" t="str">
        <f>IFERROR(INDEX(Структура_ассортимента[SuperCategory],MATCH(Товары[[#This Row],[SubGroup]],Структура_ассортимента[Subgroup],0)),"")</f>
        <v>W</v>
      </c>
      <c r="D82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2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29" s="110" t="str">
        <f>IFERROR(INDEX(Структура_ассортимента[Product group],MATCH(Товары[[#This Row],[SubGroup]],Структура_ассортимента[Subgroup],0)),"")</f>
        <v>WMA_C</v>
      </c>
      <c r="G829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29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29" s="36">
        <v>9022</v>
      </c>
      <c r="J829" s="36" t="str">
        <f>IFERROR(INDEX(Структура_ассортимента[Generic Name (long)],MATCH(Товары[[#This Row],[SubGroup]],Структура_ассортимента[Subgroup],0)),"")</f>
        <v>GARDEN SHOWER</v>
      </c>
      <c r="L829" s="36">
        <v>901154801</v>
      </c>
      <c r="M829" s="35" t="s">
        <v>2513</v>
      </c>
      <c r="Q829" s="34" t="s">
        <v>4565</v>
      </c>
      <c r="R829" s="34" t="s">
        <v>3540</v>
      </c>
      <c r="S829" s="47">
        <v>38991</v>
      </c>
      <c r="T829" s="47">
        <v>42735</v>
      </c>
      <c r="U829" s="47">
        <v>42735</v>
      </c>
      <c r="V829" s="34">
        <v>4078500815406</v>
      </c>
      <c r="W829" s="34" t="s">
        <v>3543</v>
      </c>
      <c r="Y829" s="34" t="s">
        <v>3542</v>
      </c>
      <c r="Z829" s="34">
        <v>5</v>
      </c>
      <c r="AA829" s="34">
        <v>270</v>
      </c>
      <c r="AB829" s="34">
        <v>270</v>
      </c>
      <c r="AC829" s="34">
        <v>220</v>
      </c>
      <c r="AD829" s="34">
        <v>220</v>
      </c>
      <c r="AE829" s="34">
        <v>218</v>
      </c>
      <c r="AF829" s="34">
        <v>177</v>
      </c>
      <c r="AG829" s="34">
        <v>60</v>
      </c>
      <c r="AH829" s="34">
        <v>2.3149999999999999</v>
      </c>
      <c r="AM829" s="40" t="s">
        <v>8094</v>
      </c>
      <c r="AT829" s="44">
        <v>0</v>
      </c>
      <c r="AU829" s="44"/>
      <c r="AV829" s="46">
        <f>ROUND(Товары[[#This Row],[РРЦ финальная, руб.]]/$AU$1,2)</f>
        <v>0</v>
      </c>
      <c r="AW829" s="45" t="str">
        <f>IFERROR(Товары[[#This Row],[РРЦ, евро]]/Товары[[#This Row],[IRP, Eur]],"-")</f>
        <v>-</v>
      </c>
      <c r="AX829" s="42">
        <f>IFERROR(VLOOKUP(Товары[[#This Row],[SubGroup]],'Структура цен DIY'!$B:$C,2,FALSE),0)</f>
        <v>0.28000000000000003</v>
      </c>
      <c r="AY829" s="44">
        <v>0</v>
      </c>
    </row>
    <row r="830" spans="1:51" x14ac:dyDescent="0.25">
      <c r="A830" s="34">
        <v>828</v>
      </c>
      <c r="B830" s="34" t="s">
        <v>49</v>
      </c>
      <c r="C830" s="110" t="str">
        <f>IFERROR(INDEX(Структура_ассортимента[SuperCategory],MATCH(Товары[[#This Row],[SubGroup]],Структура_ассортимента[Subgroup],0)),"")</f>
        <v>W</v>
      </c>
      <c r="D83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3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30" s="110" t="str">
        <f>IFERROR(INDEX(Структура_ассортимента[Product group],MATCH(Товары[[#This Row],[SubGroup]],Структура_ассортимента[Subgroup],0)),"")</f>
        <v>WMA_C</v>
      </c>
      <c r="G830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30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30" s="36">
        <v>9022</v>
      </c>
      <c r="J830" s="36" t="str">
        <f>IFERROR(INDEX(Структура_ассортимента[Generic Name (long)],MATCH(Товары[[#This Row],[SubGroup]],Структура_ассортимента[Subgroup],0)),"")</f>
        <v>GARDEN SHOWER</v>
      </c>
      <c r="L830" s="36">
        <v>901155001</v>
      </c>
      <c r="M830" s="35" t="s">
        <v>2514</v>
      </c>
      <c r="Q830" s="34" t="s">
        <v>4565</v>
      </c>
      <c r="R830" s="34" t="s">
        <v>3540</v>
      </c>
      <c r="S830" s="47">
        <v>38991</v>
      </c>
      <c r="T830" s="47">
        <v>42735</v>
      </c>
      <c r="U830" s="47">
        <v>42735</v>
      </c>
      <c r="V830" s="34">
        <v>4078500815505</v>
      </c>
      <c r="W830" s="34" t="s">
        <v>3543</v>
      </c>
      <c r="Y830" s="34" t="s">
        <v>3542</v>
      </c>
      <c r="Z830" s="34">
        <v>5</v>
      </c>
      <c r="AA830" s="34">
        <v>570</v>
      </c>
      <c r="AB830" s="34">
        <v>570</v>
      </c>
      <c r="AC830" s="34">
        <v>335</v>
      </c>
      <c r="AD830" s="34">
        <v>335</v>
      </c>
      <c r="AE830" s="34">
        <v>915</v>
      </c>
      <c r="AF830" s="34">
        <v>160</v>
      </c>
      <c r="AG830" s="34">
        <v>67</v>
      </c>
      <c r="AH830" s="34">
        <v>9.8089999999999993</v>
      </c>
      <c r="AM830" s="40" t="s">
        <v>8094</v>
      </c>
      <c r="AT830" s="44">
        <v>0</v>
      </c>
      <c r="AU830" s="44"/>
      <c r="AV830" s="46">
        <f>ROUND(Товары[[#This Row],[РРЦ финальная, руб.]]/$AU$1,2)</f>
        <v>0</v>
      </c>
      <c r="AW830" s="45" t="str">
        <f>IFERROR(Товары[[#This Row],[РРЦ, евро]]/Товары[[#This Row],[IRP, Eur]],"-")</f>
        <v>-</v>
      </c>
      <c r="AX830" s="42">
        <f>IFERROR(VLOOKUP(Товары[[#This Row],[SubGroup]],'Структура цен DIY'!$B:$C,2,FALSE),0)</f>
        <v>0.28000000000000003</v>
      </c>
      <c r="AY830" s="44">
        <v>0</v>
      </c>
    </row>
    <row r="831" spans="1:51" x14ac:dyDescent="0.25">
      <c r="A831" s="34">
        <v>829</v>
      </c>
      <c r="B831" s="34" t="s">
        <v>49</v>
      </c>
      <c r="C831" s="110" t="str">
        <f>IFERROR(INDEX(Структура_ассортимента[SuperCategory],MATCH(Товары[[#This Row],[SubGroup]],Структура_ассортимента[Subgroup],0)),"")</f>
        <v>W</v>
      </c>
      <c r="D83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3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31" s="110" t="str">
        <f>IFERROR(INDEX(Структура_ассортимента[Product group],MATCH(Товары[[#This Row],[SubGroup]],Структура_ассортимента[Subgroup],0)),"")</f>
        <v>WMA_C</v>
      </c>
      <c r="G831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31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31" s="36">
        <v>9022</v>
      </c>
      <c r="J831" s="36" t="str">
        <f>IFERROR(INDEX(Структура_ассортимента[Generic Name (long)],MATCH(Товары[[#This Row],[SubGroup]],Структура_ассортимента[Subgroup],0)),"")</f>
        <v>GARDEN SHOWER</v>
      </c>
      <c r="L831" s="36">
        <v>901155101</v>
      </c>
      <c r="M831" s="35" t="s">
        <v>2515</v>
      </c>
      <c r="Q831" s="34" t="s">
        <v>4565</v>
      </c>
      <c r="R831" s="34" t="s">
        <v>3540</v>
      </c>
      <c r="S831" s="47">
        <v>38838</v>
      </c>
      <c r="T831" s="47">
        <v>42735</v>
      </c>
      <c r="U831" s="47">
        <v>42735</v>
      </c>
      <c r="V831" s="34">
        <v>4078500815703</v>
      </c>
      <c r="W831" s="34" t="s">
        <v>3543</v>
      </c>
      <c r="Y831" s="34" t="s">
        <v>3542</v>
      </c>
      <c r="Z831" s="34">
        <v>24</v>
      </c>
      <c r="AA831" s="34">
        <v>419</v>
      </c>
      <c r="AB831" s="34">
        <v>419</v>
      </c>
      <c r="AC831" s="34">
        <v>374</v>
      </c>
      <c r="AD831" s="34">
        <v>374</v>
      </c>
      <c r="AE831" s="34">
        <v>240</v>
      </c>
      <c r="AF831" s="34">
        <v>180</v>
      </c>
      <c r="AG831" s="34">
        <v>50</v>
      </c>
      <c r="AH831" s="34">
        <v>2.16</v>
      </c>
      <c r="AM831" s="40" t="s">
        <v>8094</v>
      </c>
      <c r="AT831" s="44">
        <v>0</v>
      </c>
      <c r="AU831" s="44"/>
      <c r="AV831" s="46">
        <f>ROUND(Товары[[#This Row],[РРЦ финальная, руб.]]/$AU$1,2)</f>
        <v>0</v>
      </c>
      <c r="AW831" s="45" t="str">
        <f>IFERROR(Товары[[#This Row],[РРЦ, евро]]/Товары[[#This Row],[IRP, Eur]],"-")</f>
        <v>-</v>
      </c>
      <c r="AX831" s="42">
        <f>IFERROR(VLOOKUP(Товары[[#This Row],[SubGroup]],'Структура цен DIY'!$B:$C,2,FALSE),0)</f>
        <v>0.28000000000000003</v>
      </c>
      <c r="AY831" s="44">
        <v>0</v>
      </c>
    </row>
    <row r="832" spans="1:51" x14ac:dyDescent="0.25">
      <c r="A832" s="34">
        <v>830</v>
      </c>
      <c r="B832" s="34" t="s">
        <v>49</v>
      </c>
      <c r="C832" s="110" t="str">
        <f>IFERROR(INDEX(Структура_ассортимента[SuperCategory],MATCH(Товары[[#This Row],[SubGroup]],Структура_ассортимента[Subgroup],0)),"")</f>
        <v>W</v>
      </c>
      <c r="D83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3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32" s="110" t="str">
        <f>IFERROR(INDEX(Структура_ассортимента[Product group],MATCH(Товары[[#This Row],[SubGroup]],Структура_ассортимента[Subgroup],0)),"")</f>
        <v>WMA_C</v>
      </c>
      <c r="G832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32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32" s="36">
        <v>9022</v>
      </c>
      <c r="J832" s="36" t="str">
        <f>IFERROR(INDEX(Структура_ассортимента[Generic Name (long)],MATCH(Товары[[#This Row],[SubGroup]],Структура_ассортимента[Subgroup],0)),"")</f>
        <v>GARDEN SHOWER</v>
      </c>
      <c r="L832" s="36">
        <v>901155301</v>
      </c>
      <c r="M832" s="35" t="s">
        <v>2516</v>
      </c>
      <c r="Q832" s="34" t="s">
        <v>4565</v>
      </c>
      <c r="R832" s="34" t="s">
        <v>3540</v>
      </c>
      <c r="S832" s="47">
        <v>38838</v>
      </c>
      <c r="T832" s="47">
        <v>42735</v>
      </c>
      <c r="U832" s="47">
        <v>42735</v>
      </c>
      <c r="V832" s="34">
        <v>4078500815802</v>
      </c>
      <c r="W832" s="34" t="s">
        <v>3543</v>
      </c>
      <c r="Y832" s="34" t="s">
        <v>3542</v>
      </c>
      <c r="Z832" s="34">
        <v>24</v>
      </c>
      <c r="AA832" s="34">
        <v>440</v>
      </c>
      <c r="AB832" s="34">
        <v>440</v>
      </c>
      <c r="AC832" s="34">
        <v>381</v>
      </c>
      <c r="AD832" s="34">
        <v>381</v>
      </c>
      <c r="AE832" s="34">
        <v>240</v>
      </c>
      <c r="AF832" s="34">
        <v>180</v>
      </c>
      <c r="AG832" s="34">
        <v>65</v>
      </c>
      <c r="AH832" s="34">
        <v>2.8079999999999998</v>
      </c>
      <c r="AM832" s="40" t="s">
        <v>8094</v>
      </c>
      <c r="AT832" s="44">
        <v>0</v>
      </c>
      <c r="AU832" s="44"/>
      <c r="AV832" s="46">
        <f>ROUND(Товары[[#This Row],[РРЦ финальная, руб.]]/$AU$1,2)</f>
        <v>0</v>
      </c>
      <c r="AW832" s="45" t="str">
        <f>IFERROR(Товары[[#This Row],[РРЦ, евро]]/Товары[[#This Row],[IRP, Eur]],"-")</f>
        <v>-</v>
      </c>
      <c r="AX832" s="42">
        <f>IFERROR(VLOOKUP(Товары[[#This Row],[SubGroup]],'Структура цен DIY'!$B:$C,2,FALSE),0)</f>
        <v>0.28000000000000003</v>
      </c>
      <c r="AY832" s="44">
        <v>0</v>
      </c>
    </row>
    <row r="833" spans="1:51" x14ac:dyDescent="0.25">
      <c r="A833" s="34">
        <v>831</v>
      </c>
      <c r="B833" s="34" t="s">
        <v>49</v>
      </c>
      <c r="C833" s="110" t="str">
        <f>IFERROR(INDEX(Структура_ассортимента[SuperCategory],MATCH(Товары[[#This Row],[SubGroup]],Структура_ассортимента[Subgroup],0)),"")</f>
        <v>W</v>
      </c>
      <c r="D83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3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33" s="110" t="str">
        <f>IFERROR(INDEX(Структура_ассортимента[Product group],MATCH(Товары[[#This Row],[SubGroup]],Структура_ассортимента[Subgroup],0)),"")</f>
        <v>WMO_C</v>
      </c>
      <c r="G833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833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33" s="36">
        <v>9011</v>
      </c>
      <c r="J833" s="36" t="str">
        <f>IFERROR(INDEX(Структура_ассортимента[Generic Name (long)],MATCH(Товары[[#This Row],[SubGroup]],Структура_ассортимента[Subgroup],0)),"")</f>
        <v>TAP CONNECTOR</v>
      </c>
      <c r="L833" s="36">
        <v>901155801</v>
      </c>
      <c r="M833" s="35" t="s">
        <v>2517</v>
      </c>
      <c r="P833" s="37" t="s">
        <v>5977</v>
      </c>
      <c r="Q833" s="34" t="s">
        <v>3544</v>
      </c>
      <c r="R833" s="34" t="s">
        <v>3540</v>
      </c>
      <c r="S833" s="47">
        <v>38991</v>
      </c>
      <c r="T833" s="47">
        <v>0</v>
      </c>
      <c r="U833" s="47">
        <v>0</v>
      </c>
      <c r="V833" s="34">
        <v>4078500816601</v>
      </c>
      <c r="W833" s="34" t="s">
        <v>3543</v>
      </c>
      <c r="Y833" s="34" t="s">
        <v>3542</v>
      </c>
      <c r="Z833" s="34">
        <v>12</v>
      </c>
      <c r="AA833" s="34">
        <v>69</v>
      </c>
      <c r="AB833" s="34">
        <v>69</v>
      </c>
      <c r="AC833" s="34">
        <v>63</v>
      </c>
      <c r="AD833" s="34">
        <v>63</v>
      </c>
      <c r="AE833" s="34">
        <v>130</v>
      </c>
      <c r="AF833" s="34">
        <v>80</v>
      </c>
      <c r="AG833" s="34">
        <v>41</v>
      </c>
      <c r="AH833" s="34">
        <v>0.42599999999999999</v>
      </c>
      <c r="AM833" s="40" t="s">
        <v>233</v>
      </c>
      <c r="AT833" s="44">
        <v>0</v>
      </c>
      <c r="AU833" s="44"/>
      <c r="AV833" s="46">
        <f>ROUND(Товары[[#This Row],[РРЦ финальная, руб.]]/$AU$1,2)</f>
        <v>0</v>
      </c>
      <c r="AW833" s="45" t="str">
        <f>IFERROR(Товары[[#This Row],[РРЦ, евро]]/Товары[[#This Row],[IRP, Eur]],"-")</f>
        <v>-</v>
      </c>
      <c r="AX833" s="42">
        <f>IFERROR(VLOOKUP(Товары[[#This Row],[SubGroup]],'Структура цен DIY'!$B:$C,2,FALSE),0)</f>
        <v>0.26</v>
      </c>
      <c r="AY833" s="44">
        <v>0</v>
      </c>
    </row>
    <row r="834" spans="1:51" x14ac:dyDescent="0.25">
      <c r="A834" s="34">
        <v>832</v>
      </c>
      <c r="B834" s="34" t="s">
        <v>49</v>
      </c>
      <c r="C834" s="110" t="str">
        <f>IFERROR(INDEX(Структура_ассортимента[SuperCategory],MATCH(Товары[[#This Row],[SubGroup]],Структура_ассортимента[Subgroup],0)),"")</f>
        <v>W</v>
      </c>
      <c r="D83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3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34" s="110" t="str">
        <f>IFERROR(INDEX(Структура_ассортимента[Product group],MATCH(Товары[[#This Row],[SubGroup]],Структура_ассортимента[Subgroup],0)),"")</f>
        <v>WMO_C</v>
      </c>
      <c r="G834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834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34" s="36">
        <v>9011</v>
      </c>
      <c r="J834" s="36" t="str">
        <f>IFERROR(INDEX(Структура_ассортимента[Generic Name (long)],MATCH(Товары[[#This Row],[SubGroup]],Структура_ассортимента[Subgroup],0)),"")</f>
        <v>TAP CONNECTOR</v>
      </c>
      <c r="L834" s="36">
        <v>901156201</v>
      </c>
      <c r="M834" s="35" t="s">
        <v>2518</v>
      </c>
      <c r="Q834" s="34" t="s">
        <v>3544</v>
      </c>
      <c r="R834" s="34" t="s">
        <v>3540</v>
      </c>
      <c r="S834" s="47">
        <v>39356</v>
      </c>
      <c r="T834" s="47">
        <v>0</v>
      </c>
      <c r="U834" s="47">
        <v>0</v>
      </c>
      <c r="V834" s="34">
        <v>40785455</v>
      </c>
      <c r="W834" s="34" t="s">
        <v>3543</v>
      </c>
      <c r="Y834" s="34" t="s">
        <v>3542</v>
      </c>
      <c r="Z834" s="34">
        <v>10</v>
      </c>
      <c r="AA834" s="34">
        <v>60</v>
      </c>
      <c r="AB834" s="34">
        <v>60</v>
      </c>
      <c r="AC834" s="34">
        <v>53</v>
      </c>
      <c r="AD834" s="34">
        <v>53</v>
      </c>
      <c r="AE834" s="34">
        <v>58</v>
      </c>
      <c r="AF834" s="34">
        <v>35</v>
      </c>
      <c r="AG834" s="34">
        <v>35</v>
      </c>
      <c r="AH834" s="34">
        <v>7.0999999999999994E-2</v>
      </c>
      <c r="AM834" s="40" t="s">
        <v>8094</v>
      </c>
      <c r="AT834" s="44">
        <v>0</v>
      </c>
      <c r="AU834" s="44"/>
      <c r="AV834" s="46">
        <f>ROUND(Товары[[#This Row],[РРЦ финальная, руб.]]/$AU$1,2)</f>
        <v>0</v>
      </c>
      <c r="AW834" s="45" t="str">
        <f>IFERROR(Товары[[#This Row],[РРЦ, евро]]/Товары[[#This Row],[IRP, Eur]],"-")</f>
        <v>-</v>
      </c>
      <c r="AX834" s="42">
        <f>IFERROR(VLOOKUP(Товары[[#This Row],[SubGroup]],'Структура цен DIY'!$B:$C,2,FALSE),0)</f>
        <v>0.26</v>
      </c>
      <c r="AY834" s="44">
        <v>0</v>
      </c>
    </row>
    <row r="835" spans="1:51" x14ac:dyDescent="0.25">
      <c r="A835" s="34">
        <v>833</v>
      </c>
      <c r="B835" s="34" t="s">
        <v>49</v>
      </c>
      <c r="C835" s="110" t="str">
        <f>IFERROR(INDEX(Структура_ассортимента[SuperCategory],MATCH(Товары[[#This Row],[SubGroup]],Структура_ассортимента[Subgroup],0)),"")</f>
        <v>W</v>
      </c>
      <c r="D83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3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35" s="110" t="str">
        <f>IFERROR(INDEX(Структура_ассортимента[Product group],MATCH(Товары[[#This Row],[SubGroup]],Структура_ассортимента[Subgroup],0)),"")</f>
        <v>WMO_C</v>
      </c>
      <c r="G835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835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35" s="36">
        <v>9011</v>
      </c>
      <c r="J835" s="36" t="str">
        <f>IFERROR(INDEX(Структура_ассортимента[Generic Name (long)],MATCH(Товары[[#This Row],[SubGroup]],Структура_ассортимента[Subgroup],0)),"")</f>
        <v>TAP CONNECTOR</v>
      </c>
      <c r="L835" s="36">
        <v>901156301</v>
      </c>
      <c r="M835" s="35" t="s">
        <v>2519</v>
      </c>
      <c r="Q835" s="34" t="s">
        <v>3544</v>
      </c>
      <c r="R835" s="34" t="s">
        <v>3540</v>
      </c>
      <c r="S835" s="47">
        <v>38991</v>
      </c>
      <c r="T835" s="47">
        <v>0</v>
      </c>
      <c r="U835" s="47">
        <v>0</v>
      </c>
      <c r="V835" s="34">
        <v>40785363</v>
      </c>
      <c r="W835" s="34" t="s">
        <v>3543</v>
      </c>
      <c r="Y835" s="34" t="s">
        <v>3542</v>
      </c>
      <c r="Z835" s="34">
        <v>10</v>
      </c>
      <c r="AA835" s="34">
        <v>86</v>
      </c>
      <c r="AB835" s="34">
        <v>86</v>
      </c>
      <c r="AC835" s="34">
        <v>63</v>
      </c>
      <c r="AD835" s="34">
        <v>63</v>
      </c>
      <c r="AE835" s="34">
        <v>72</v>
      </c>
      <c r="AF835" s="34">
        <v>42</v>
      </c>
      <c r="AG835" s="34">
        <v>42</v>
      </c>
      <c r="AH835" s="34">
        <v>0.127</v>
      </c>
      <c r="AM835" s="40" t="s">
        <v>8094</v>
      </c>
      <c r="AT835" s="44">
        <v>0</v>
      </c>
      <c r="AU835" s="44"/>
      <c r="AV835" s="46">
        <f>ROUND(Товары[[#This Row],[РРЦ финальная, руб.]]/$AU$1,2)</f>
        <v>0</v>
      </c>
      <c r="AW835" s="45" t="str">
        <f>IFERROR(Товары[[#This Row],[РРЦ, евро]]/Товары[[#This Row],[IRP, Eur]],"-")</f>
        <v>-</v>
      </c>
      <c r="AX835" s="42">
        <f>IFERROR(VLOOKUP(Товары[[#This Row],[SubGroup]],'Структура цен DIY'!$B:$C,2,FALSE),0)</f>
        <v>0.26</v>
      </c>
      <c r="AY835" s="44">
        <v>0</v>
      </c>
    </row>
    <row r="836" spans="1:51" x14ac:dyDescent="0.25">
      <c r="A836" s="34">
        <v>834</v>
      </c>
      <c r="B836" s="34" t="s">
        <v>49</v>
      </c>
      <c r="C836" s="110" t="str">
        <f>IFERROR(INDEX(Структура_ассортимента[SuperCategory],MATCH(Товары[[#This Row],[SubGroup]],Структура_ассортимента[Subgroup],0)),"")</f>
        <v>W</v>
      </c>
      <c r="D83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3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36" s="110" t="str">
        <f>IFERROR(INDEX(Структура_ассортимента[Product group],MATCH(Товары[[#This Row],[SubGroup]],Структура_ассортимента[Subgroup],0)),"")</f>
        <v>WMO_C</v>
      </c>
      <c r="G836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836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36" s="36">
        <v>9011</v>
      </c>
      <c r="J836" s="36" t="str">
        <f>IFERROR(INDEX(Структура_ассортимента[Generic Name (long)],MATCH(Товары[[#This Row],[SubGroup]],Структура_ассортимента[Subgroup],0)),"")</f>
        <v>TAP CONNECTOR</v>
      </c>
      <c r="L836" s="36">
        <v>901156401</v>
      </c>
      <c r="M836" s="35" t="s">
        <v>2520</v>
      </c>
      <c r="Q836" s="34" t="s">
        <v>3544</v>
      </c>
      <c r="R836" s="34" t="s">
        <v>3540</v>
      </c>
      <c r="S836" s="47">
        <v>38991</v>
      </c>
      <c r="T836" s="47">
        <v>0</v>
      </c>
      <c r="U836" s="47">
        <v>0</v>
      </c>
      <c r="V836" s="34">
        <v>4078500816700</v>
      </c>
      <c r="W836" s="34" t="s">
        <v>3543</v>
      </c>
      <c r="Y836" s="34" t="s">
        <v>3542</v>
      </c>
      <c r="Z836" s="34">
        <v>12</v>
      </c>
      <c r="AA836" s="34">
        <v>95</v>
      </c>
      <c r="AB836" s="34">
        <v>95</v>
      </c>
      <c r="AC836" s="34">
        <v>90</v>
      </c>
      <c r="AD836" s="34">
        <v>90</v>
      </c>
      <c r="AE836" s="34">
        <v>130</v>
      </c>
      <c r="AF836" s="34">
        <v>80</v>
      </c>
      <c r="AG836" s="34">
        <v>41</v>
      </c>
      <c r="AH836" s="34">
        <v>0.42599999999999999</v>
      </c>
      <c r="AM836" s="40" t="s">
        <v>8094</v>
      </c>
      <c r="AT836" s="44">
        <v>0</v>
      </c>
      <c r="AU836" s="44"/>
      <c r="AV836" s="46">
        <f>ROUND(Товары[[#This Row],[РРЦ финальная, руб.]]/$AU$1,2)</f>
        <v>0</v>
      </c>
      <c r="AW836" s="45" t="str">
        <f>IFERROR(Товары[[#This Row],[РРЦ, евро]]/Товары[[#This Row],[IRP, Eur]],"-")</f>
        <v>-</v>
      </c>
      <c r="AX836" s="42">
        <f>IFERROR(VLOOKUP(Товары[[#This Row],[SubGroup]],'Структура цен DIY'!$B:$C,2,FALSE),0)</f>
        <v>0.26</v>
      </c>
      <c r="AY836" s="44">
        <v>0</v>
      </c>
    </row>
    <row r="837" spans="1:51" x14ac:dyDescent="0.25">
      <c r="A837" s="34">
        <v>835</v>
      </c>
      <c r="B837" s="34" t="s">
        <v>49</v>
      </c>
      <c r="C837" s="110" t="str">
        <f>IFERROR(INDEX(Структура_ассортимента[SuperCategory],MATCH(Товары[[#This Row],[SubGroup]],Структура_ассортимента[Subgroup],0)),"")</f>
        <v>W</v>
      </c>
      <c r="D83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3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37" s="110" t="str">
        <f>IFERROR(INDEX(Структура_ассортимента[Product group],MATCH(Товары[[#This Row],[SubGroup]],Структура_ассортимента[Subgroup],0)),"")</f>
        <v>WMO_C</v>
      </c>
      <c r="G837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837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37" s="36">
        <v>9011</v>
      </c>
      <c r="J837" s="36" t="str">
        <f>IFERROR(INDEX(Структура_ассортимента[Generic Name (long)],MATCH(Товары[[#This Row],[SubGroup]],Структура_ассортимента[Subgroup],0)),"")</f>
        <v>TAP CONNECTOR</v>
      </c>
      <c r="L837" s="36">
        <v>901156701</v>
      </c>
      <c r="M837" s="35" t="s">
        <v>2521</v>
      </c>
      <c r="Q837" s="34" t="s">
        <v>3544</v>
      </c>
      <c r="R837" s="34" t="s">
        <v>3540</v>
      </c>
      <c r="S837" s="47">
        <v>39356</v>
      </c>
      <c r="T837" s="47">
        <v>0</v>
      </c>
      <c r="U837" s="47">
        <v>0</v>
      </c>
      <c r="V837" s="34">
        <v>40785448</v>
      </c>
      <c r="W837" s="34" t="s">
        <v>3543</v>
      </c>
      <c r="Y837" s="34" t="s">
        <v>3542</v>
      </c>
      <c r="Z837" s="34">
        <v>10</v>
      </c>
      <c r="AA837" s="34">
        <v>84</v>
      </c>
      <c r="AB837" s="34">
        <v>84</v>
      </c>
      <c r="AC837" s="34">
        <v>82</v>
      </c>
      <c r="AD837" s="34">
        <v>82</v>
      </c>
      <c r="AE837" s="34">
        <v>63</v>
      </c>
      <c r="AF837" s="34">
        <v>42</v>
      </c>
      <c r="AG837" s="34">
        <v>42</v>
      </c>
      <c r="AH837" s="34">
        <v>0.111</v>
      </c>
      <c r="AM837" s="40" t="s">
        <v>8094</v>
      </c>
      <c r="AT837" s="44">
        <v>0</v>
      </c>
      <c r="AU837" s="44"/>
      <c r="AV837" s="46">
        <f>ROUND(Товары[[#This Row],[РРЦ финальная, руб.]]/$AU$1,2)</f>
        <v>0</v>
      </c>
      <c r="AW837" s="45" t="str">
        <f>IFERROR(Товары[[#This Row],[РРЦ, евро]]/Товары[[#This Row],[IRP, Eur]],"-")</f>
        <v>-</v>
      </c>
      <c r="AX837" s="42">
        <f>IFERROR(VLOOKUP(Товары[[#This Row],[SubGroup]],'Структура цен DIY'!$B:$C,2,FALSE),0)</f>
        <v>0.26</v>
      </c>
      <c r="AY837" s="44">
        <v>0</v>
      </c>
    </row>
    <row r="838" spans="1:51" x14ac:dyDescent="0.25">
      <c r="A838" s="34">
        <v>836</v>
      </c>
      <c r="B838" s="34" t="s">
        <v>49</v>
      </c>
      <c r="C838" s="110" t="str">
        <f>IFERROR(INDEX(Структура_ассортимента[SuperCategory],MATCH(Товары[[#This Row],[SubGroup]],Структура_ассортимента[Subgroup],0)),"")</f>
        <v>W</v>
      </c>
      <c r="D83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3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38" s="110" t="str">
        <f>IFERROR(INDEX(Структура_ассортимента[Product group],MATCH(Товары[[#This Row],[SubGroup]],Структура_ассортимента[Subgroup],0)),"")</f>
        <v>WMO_C</v>
      </c>
      <c r="G838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838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38" s="36">
        <v>9011</v>
      </c>
      <c r="J838" s="36" t="str">
        <f>IFERROR(INDEX(Структура_ассортимента[Generic Name (long)],MATCH(Товары[[#This Row],[SubGroup]],Структура_ассортимента[Subgroup],0)),"")</f>
        <v>TAP CONNECTOR</v>
      </c>
      <c r="L838" s="36">
        <v>901156801</v>
      </c>
      <c r="M838" s="35" t="s">
        <v>2522</v>
      </c>
      <c r="Q838" s="34" t="s">
        <v>3544</v>
      </c>
      <c r="R838" s="34" t="s">
        <v>3540</v>
      </c>
      <c r="S838" s="47">
        <v>38991</v>
      </c>
      <c r="T838" s="47">
        <v>0</v>
      </c>
      <c r="U838" s="47">
        <v>0</v>
      </c>
      <c r="V838" s="34">
        <v>40785370</v>
      </c>
      <c r="W838" s="34" t="s">
        <v>3543</v>
      </c>
      <c r="Y838" s="34" t="s">
        <v>3542</v>
      </c>
      <c r="Z838" s="34">
        <v>10</v>
      </c>
      <c r="AA838" s="34">
        <v>127</v>
      </c>
      <c r="AB838" s="34">
        <v>127</v>
      </c>
      <c r="AC838" s="34">
        <v>100</v>
      </c>
      <c r="AD838" s="34">
        <v>100</v>
      </c>
      <c r="AE838" s="34">
        <v>77</v>
      </c>
      <c r="AF838" s="34">
        <v>50</v>
      </c>
      <c r="AG838" s="34">
        <v>50</v>
      </c>
      <c r="AH838" s="34">
        <v>0.193</v>
      </c>
      <c r="AM838" s="40" t="s">
        <v>8094</v>
      </c>
      <c r="AT838" s="44">
        <v>0</v>
      </c>
      <c r="AU838" s="44"/>
      <c r="AV838" s="46">
        <f>ROUND(Товары[[#This Row],[РРЦ финальная, руб.]]/$AU$1,2)</f>
        <v>0</v>
      </c>
      <c r="AW838" s="45" t="str">
        <f>IFERROR(Товары[[#This Row],[РРЦ, евро]]/Товары[[#This Row],[IRP, Eur]],"-")</f>
        <v>-</v>
      </c>
      <c r="AX838" s="42">
        <f>IFERROR(VLOOKUP(Товары[[#This Row],[SubGroup]],'Структура цен DIY'!$B:$C,2,FALSE),0)</f>
        <v>0.26</v>
      </c>
      <c r="AY838" s="44">
        <v>0</v>
      </c>
    </row>
    <row r="839" spans="1:51" x14ac:dyDescent="0.25">
      <c r="A839" s="34">
        <v>837</v>
      </c>
      <c r="B839" s="34" t="s">
        <v>49</v>
      </c>
      <c r="C839" s="110" t="str">
        <f>IFERROR(INDEX(Структура_ассортимента[SuperCategory],MATCH(Товары[[#This Row],[SubGroup]],Структура_ассортимента[Subgroup],0)),"")</f>
        <v>W</v>
      </c>
      <c r="D83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3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39" s="110" t="str">
        <f>IFERROR(INDEX(Структура_ассортимента[Product group],MATCH(Товары[[#This Row],[SubGroup]],Структура_ассортимента[Subgroup],0)),"")</f>
        <v>WMO_C</v>
      </c>
      <c r="G839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839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39" s="36">
        <v>9011</v>
      </c>
      <c r="J839" s="36" t="str">
        <f>IFERROR(INDEX(Структура_ассортимента[Generic Name (long)],MATCH(Товары[[#This Row],[SubGroup]],Структура_ассортимента[Subgroup],0)),"")</f>
        <v>TAP CONNECTOR</v>
      </c>
      <c r="L839" s="36">
        <v>901156901</v>
      </c>
      <c r="M839" s="35" t="s">
        <v>2523</v>
      </c>
      <c r="P839" s="37" t="s">
        <v>5978</v>
      </c>
      <c r="Q839" s="34" t="s">
        <v>3544</v>
      </c>
      <c r="R839" s="34" t="s">
        <v>3540</v>
      </c>
      <c r="S839" s="47">
        <v>38991</v>
      </c>
      <c r="T839" s="47">
        <v>0</v>
      </c>
      <c r="U839" s="47">
        <v>0</v>
      </c>
      <c r="V839" s="34">
        <v>4078500816809</v>
      </c>
      <c r="W839" s="34" t="s">
        <v>3543</v>
      </c>
      <c r="Y839" s="34" t="s">
        <v>3542</v>
      </c>
      <c r="Z839" s="34">
        <v>12</v>
      </c>
      <c r="AA839" s="34">
        <v>78</v>
      </c>
      <c r="AB839" s="34">
        <v>78</v>
      </c>
      <c r="AC839" s="34">
        <v>64</v>
      </c>
      <c r="AD839" s="34">
        <v>64</v>
      </c>
      <c r="AE839" s="34">
        <v>130</v>
      </c>
      <c r="AF839" s="34">
        <v>80</v>
      </c>
      <c r="AG839" s="34">
        <v>41</v>
      </c>
      <c r="AH839" s="34">
        <v>0.42599999999999999</v>
      </c>
      <c r="AM839" s="40" t="s">
        <v>233</v>
      </c>
      <c r="AT839" s="44">
        <v>0</v>
      </c>
      <c r="AU839" s="44"/>
      <c r="AV839" s="46">
        <f>ROUND(Товары[[#This Row],[РРЦ финальная, руб.]]/$AU$1,2)</f>
        <v>0</v>
      </c>
      <c r="AW839" s="45" t="str">
        <f>IFERROR(Товары[[#This Row],[РРЦ, евро]]/Товары[[#This Row],[IRP, Eur]],"-")</f>
        <v>-</v>
      </c>
      <c r="AX839" s="42">
        <f>IFERROR(VLOOKUP(Товары[[#This Row],[SubGroup]],'Структура цен DIY'!$B:$C,2,FALSE),0)</f>
        <v>0.26</v>
      </c>
      <c r="AY839" s="44">
        <v>0</v>
      </c>
    </row>
    <row r="840" spans="1:51" x14ac:dyDescent="0.25">
      <c r="A840" s="34">
        <v>838</v>
      </c>
      <c r="B840" s="34" t="s">
        <v>49</v>
      </c>
      <c r="C840" s="110" t="str">
        <f>IFERROR(INDEX(Структура_ассортимента[SuperCategory],MATCH(Товары[[#This Row],[SubGroup]],Структура_ассортимента[Subgroup],0)),"")</f>
        <v>W</v>
      </c>
      <c r="D84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4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40" s="110" t="str">
        <f>IFERROR(INDEX(Структура_ассортимента[Product group],MATCH(Товары[[#This Row],[SubGroup]],Структура_ассортимента[Subgroup],0)),"")</f>
        <v>WMO_C</v>
      </c>
      <c r="G840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840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40" s="36">
        <v>9011</v>
      </c>
      <c r="J840" s="36" t="str">
        <f>IFERROR(INDEX(Структура_ассортимента[Generic Name (long)],MATCH(Товары[[#This Row],[SubGroup]],Структура_ассортимента[Subgroup],0)),"")</f>
        <v>TAP CONNECTOR</v>
      </c>
      <c r="L840" s="36">
        <v>901157301</v>
      </c>
      <c r="M840" s="35" t="s">
        <v>2524</v>
      </c>
      <c r="Q840" s="34" t="s">
        <v>3544</v>
      </c>
      <c r="R840" s="34" t="s">
        <v>3540</v>
      </c>
      <c r="S840" s="47">
        <v>39356</v>
      </c>
      <c r="T840" s="47">
        <v>0</v>
      </c>
      <c r="U840" s="47">
        <v>0</v>
      </c>
      <c r="V840" s="34">
        <v>40785431</v>
      </c>
      <c r="W840" s="34" t="s">
        <v>3543</v>
      </c>
      <c r="Y840" s="34" t="s">
        <v>3542</v>
      </c>
      <c r="Z840" s="34">
        <v>10</v>
      </c>
      <c r="AA840" s="34">
        <v>60</v>
      </c>
      <c r="AB840" s="34">
        <v>59</v>
      </c>
      <c r="AC840" s="34">
        <v>55</v>
      </c>
      <c r="AD840" s="34">
        <v>55</v>
      </c>
      <c r="AE840" s="34">
        <v>58</v>
      </c>
      <c r="AF840" s="34">
        <v>35</v>
      </c>
      <c r="AG840" s="34">
        <v>35</v>
      </c>
      <c r="AH840" s="34">
        <v>7.0999999999999994E-2</v>
      </c>
      <c r="AM840" s="40" t="s">
        <v>8094</v>
      </c>
      <c r="AT840" s="44">
        <v>0</v>
      </c>
      <c r="AU840" s="44"/>
      <c r="AV840" s="46">
        <f>ROUND(Товары[[#This Row],[РРЦ финальная, руб.]]/$AU$1,2)</f>
        <v>0</v>
      </c>
      <c r="AW840" s="45" t="str">
        <f>IFERROR(Товары[[#This Row],[РРЦ, евро]]/Товары[[#This Row],[IRP, Eur]],"-")</f>
        <v>-</v>
      </c>
      <c r="AX840" s="42">
        <f>IFERROR(VLOOKUP(Товары[[#This Row],[SubGroup]],'Структура цен DIY'!$B:$C,2,FALSE),0)</f>
        <v>0.26</v>
      </c>
      <c r="AY840" s="44">
        <v>0</v>
      </c>
    </row>
    <row r="841" spans="1:51" x14ac:dyDescent="0.25">
      <c r="A841" s="34">
        <v>839</v>
      </c>
      <c r="B841" s="34" t="s">
        <v>49</v>
      </c>
      <c r="C841" s="110" t="str">
        <f>IFERROR(INDEX(Структура_ассортимента[SuperCategory],MATCH(Товары[[#This Row],[SubGroup]],Структура_ассортимента[Subgroup],0)),"")</f>
        <v>W</v>
      </c>
      <c r="D84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4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41" s="110" t="str">
        <f>IFERROR(INDEX(Структура_ассортимента[Product group],MATCH(Товары[[#This Row],[SubGroup]],Структура_ассортимента[Subgroup],0)),"")</f>
        <v>WMO_C</v>
      </c>
      <c r="G841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841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41" s="36">
        <v>9011</v>
      </c>
      <c r="J841" s="36" t="str">
        <f>IFERROR(INDEX(Структура_ассортимента[Generic Name (long)],MATCH(Товары[[#This Row],[SubGroup]],Структура_ассортимента[Subgroup],0)),"")</f>
        <v>TAP CONNECTOR</v>
      </c>
      <c r="L841" s="36">
        <v>901157401</v>
      </c>
      <c r="M841" s="35" t="s">
        <v>2525</v>
      </c>
      <c r="Q841" s="34" t="s">
        <v>3544</v>
      </c>
      <c r="R841" s="34" t="s">
        <v>3540</v>
      </c>
      <c r="S841" s="47">
        <v>38991</v>
      </c>
      <c r="T841" s="47">
        <v>0</v>
      </c>
      <c r="U841" s="47">
        <v>0</v>
      </c>
      <c r="V841" s="34">
        <v>40785387</v>
      </c>
      <c r="W841" s="34" t="s">
        <v>3543</v>
      </c>
      <c r="Y841" s="34" t="s">
        <v>3542</v>
      </c>
      <c r="Z841" s="34">
        <v>10</v>
      </c>
      <c r="AA841" s="34">
        <v>101</v>
      </c>
      <c r="AB841" s="34">
        <v>101</v>
      </c>
      <c r="AC841" s="34">
        <v>96</v>
      </c>
      <c r="AD841" s="34">
        <v>96</v>
      </c>
      <c r="AE841" s="34">
        <v>72</v>
      </c>
      <c r="AF841" s="34">
        <v>42</v>
      </c>
      <c r="AG841" s="34">
        <v>42</v>
      </c>
      <c r="AH841" s="34">
        <v>0.127</v>
      </c>
      <c r="AM841" s="40" t="s">
        <v>8094</v>
      </c>
      <c r="AT841" s="44">
        <v>0</v>
      </c>
      <c r="AU841" s="44"/>
      <c r="AV841" s="46">
        <f>ROUND(Товары[[#This Row],[РРЦ финальная, руб.]]/$AU$1,2)</f>
        <v>0</v>
      </c>
      <c r="AW841" s="45" t="str">
        <f>IFERROR(Товары[[#This Row],[РРЦ, евро]]/Товары[[#This Row],[IRP, Eur]],"-")</f>
        <v>-</v>
      </c>
      <c r="AX841" s="42">
        <f>IFERROR(VLOOKUP(Товары[[#This Row],[SubGroup]],'Структура цен DIY'!$B:$C,2,FALSE),0)</f>
        <v>0.26</v>
      </c>
      <c r="AY841" s="44">
        <v>0</v>
      </c>
    </row>
    <row r="842" spans="1:51" x14ac:dyDescent="0.25">
      <c r="A842" s="34">
        <v>840</v>
      </c>
      <c r="B842" s="34" t="s">
        <v>49</v>
      </c>
      <c r="C842" s="110" t="str">
        <f>IFERROR(INDEX(Структура_ассортимента[SuperCategory],MATCH(Товары[[#This Row],[SubGroup]],Структура_ассортимента[Subgroup],0)),"")</f>
        <v>W</v>
      </c>
      <c r="D84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4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42" s="110" t="str">
        <f>IFERROR(INDEX(Структура_ассортимента[Product group],MATCH(Товары[[#This Row],[SubGroup]],Структура_ассортимента[Subgroup],0)),"")</f>
        <v>WMO_C</v>
      </c>
      <c r="G842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842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42" s="36">
        <v>9011</v>
      </c>
      <c r="J842" s="36" t="str">
        <f>IFERROR(INDEX(Структура_ассортимента[Generic Name (long)],MATCH(Товары[[#This Row],[SubGroup]],Структура_ассортимента[Subgroup],0)),"")</f>
        <v>TAP CONNECTOR</v>
      </c>
      <c r="L842" s="36">
        <v>901157501</v>
      </c>
      <c r="M842" s="35" t="s">
        <v>2526</v>
      </c>
      <c r="P842" s="37" t="s">
        <v>5979</v>
      </c>
      <c r="Q842" s="34" t="s">
        <v>3544</v>
      </c>
      <c r="R842" s="34" t="s">
        <v>3540</v>
      </c>
      <c r="S842" s="47">
        <v>38991</v>
      </c>
      <c r="T842" s="47">
        <v>0</v>
      </c>
      <c r="U842" s="47">
        <v>0</v>
      </c>
      <c r="V842" s="34">
        <v>4078500816908</v>
      </c>
      <c r="W842" s="34" t="s">
        <v>3543</v>
      </c>
      <c r="Y842" s="34" t="s">
        <v>3542</v>
      </c>
      <c r="Z842" s="34">
        <v>12</v>
      </c>
      <c r="AA842" s="34">
        <v>97</v>
      </c>
      <c r="AB842" s="34">
        <v>97</v>
      </c>
      <c r="AC842" s="34">
        <v>85</v>
      </c>
      <c r="AD842" s="34">
        <v>85</v>
      </c>
      <c r="AE842" s="34">
        <v>130</v>
      </c>
      <c r="AF842" s="34">
        <v>80</v>
      </c>
      <c r="AG842" s="34">
        <v>41</v>
      </c>
      <c r="AH842" s="34">
        <v>0.42599999999999999</v>
      </c>
      <c r="AM842" s="40" t="s">
        <v>233</v>
      </c>
      <c r="AT842" s="44">
        <v>0</v>
      </c>
      <c r="AU842" s="44"/>
      <c r="AV842" s="46">
        <f>ROUND(Товары[[#This Row],[РРЦ финальная, руб.]]/$AU$1,2)</f>
        <v>0</v>
      </c>
      <c r="AW842" s="45" t="str">
        <f>IFERROR(Товары[[#This Row],[РРЦ, евро]]/Товары[[#This Row],[IRP, Eur]],"-")</f>
        <v>-</v>
      </c>
      <c r="AX842" s="42">
        <f>IFERROR(VLOOKUP(Товары[[#This Row],[SubGroup]],'Структура цен DIY'!$B:$C,2,FALSE),0)</f>
        <v>0.26</v>
      </c>
      <c r="AY842" s="44">
        <v>0</v>
      </c>
    </row>
    <row r="843" spans="1:51" x14ac:dyDescent="0.25">
      <c r="A843" s="34">
        <v>841</v>
      </c>
      <c r="B843" s="34" t="s">
        <v>49</v>
      </c>
      <c r="C843" s="110" t="str">
        <f>IFERROR(INDEX(Структура_ассортимента[SuperCategory],MATCH(Товары[[#This Row],[SubGroup]],Структура_ассортимента[Subgroup],0)),"")</f>
        <v>W</v>
      </c>
      <c r="D84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4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43" s="110" t="str">
        <f>IFERROR(INDEX(Структура_ассортимента[Product group],MATCH(Товары[[#This Row],[SubGroup]],Структура_ассортимента[Subgroup],0)),"")</f>
        <v>WMO_C</v>
      </c>
      <c r="G843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843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43" s="36">
        <v>9011</v>
      </c>
      <c r="J843" s="36" t="str">
        <f>IFERROR(INDEX(Структура_ассортимента[Generic Name (long)],MATCH(Товары[[#This Row],[SubGroup]],Структура_ассортимента[Subgroup],0)),"")</f>
        <v>TAP CONNECTOR</v>
      </c>
      <c r="L843" s="36">
        <v>901157801</v>
      </c>
      <c r="M843" s="35" t="s">
        <v>2527</v>
      </c>
      <c r="Q843" s="34" t="s">
        <v>3544</v>
      </c>
      <c r="R843" s="34" t="s">
        <v>3540</v>
      </c>
      <c r="S843" s="47">
        <v>39356</v>
      </c>
      <c r="T843" s="47">
        <v>0</v>
      </c>
      <c r="U843" s="47">
        <v>0</v>
      </c>
      <c r="V843" s="34">
        <v>40785462</v>
      </c>
      <c r="W843" s="34" t="s">
        <v>3543</v>
      </c>
      <c r="Y843" s="34" t="s">
        <v>3542</v>
      </c>
      <c r="Z843" s="34">
        <v>10</v>
      </c>
      <c r="AA843" s="34">
        <v>76</v>
      </c>
      <c r="AB843" s="34">
        <v>76</v>
      </c>
      <c r="AC843" s="34">
        <v>70</v>
      </c>
      <c r="AD843" s="34">
        <v>70</v>
      </c>
      <c r="AE843" s="34">
        <v>63</v>
      </c>
      <c r="AF843" s="34">
        <v>42</v>
      </c>
      <c r="AG843" s="34">
        <v>42</v>
      </c>
      <c r="AH843" s="34">
        <v>0.111</v>
      </c>
      <c r="AM843" s="40" t="s">
        <v>8094</v>
      </c>
      <c r="AT843" s="44">
        <v>0</v>
      </c>
      <c r="AU843" s="44"/>
      <c r="AV843" s="46">
        <f>ROUND(Товары[[#This Row],[РРЦ финальная, руб.]]/$AU$1,2)</f>
        <v>0</v>
      </c>
      <c r="AW843" s="45" t="str">
        <f>IFERROR(Товары[[#This Row],[РРЦ, евро]]/Товары[[#This Row],[IRP, Eur]],"-")</f>
        <v>-</v>
      </c>
      <c r="AX843" s="42">
        <f>IFERROR(VLOOKUP(Товары[[#This Row],[SubGroup]],'Структура цен DIY'!$B:$C,2,FALSE),0)</f>
        <v>0.26</v>
      </c>
      <c r="AY843" s="44">
        <v>0</v>
      </c>
    </row>
    <row r="844" spans="1:51" x14ac:dyDescent="0.25">
      <c r="A844" s="34">
        <v>842</v>
      </c>
      <c r="B844" s="34" t="s">
        <v>49</v>
      </c>
      <c r="C844" s="110" t="str">
        <f>IFERROR(INDEX(Структура_ассортимента[SuperCategory],MATCH(Товары[[#This Row],[SubGroup]],Структура_ассортимента[Subgroup],0)),"")</f>
        <v>W</v>
      </c>
      <c r="D84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4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44" s="110" t="str">
        <f>IFERROR(INDEX(Структура_ассортимента[Product group],MATCH(Товары[[#This Row],[SubGroup]],Структура_ассортимента[Subgroup],0)),"")</f>
        <v>WMA_C</v>
      </c>
      <c r="G844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44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44" s="36">
        <v>9022</v>
      </c>
      <c r="J844" s="36" t="str">
        <f>IFERROR(INDEX(Структура_ассортимента[Generic Name (long)],MATCH(Товары[[#This Row],[SubGroup]],Структура_ассортимента[Subgroup],0)),"")</f>
        <v>GARDEN SHOWER</v>
      </c>
      <c r="L844" s="36">
        <v>901160101</v>
      </c>
      <c r="M844" s="35" t="s">
        <v>2528</v>
      </c>
      <c r="Q844" s="34" t="s">
        <v>4565</v>
      </c>
      <c r="R844" s="34" t="s">
        <v>3540</v>
      </c>
      <c r="S844" s="47">
        <v>39356</v>
      </c>
      <c r="T844" s="47">
        <v>42735</v>
      </c>
      <c r="U844" s="47">
        <v>42735</v>
      </c>
      <c r="V844" s="34">
        <v>4078500818599</v>
      </c>
      <c r="W844" s="34" t="s">
        <v>3543</v>
      </c>
      <c r="Y844" s="34" t="s">
        <v>3542</v>
      </c>
      <c r="Z844" s="34">
        <v>50</v>
      </c>
      <c r="AA844" s="34">
        <v>132</v>
      </c>
      <c r="AB844" s="34">
        <v>132</v>
      </c>
      <c r="AC844" s="34">
        <v>115</v>
      </c>
      <c r="AD844" s="34">
        <v>115</v>
      </c>
      <c r="AE844" s="34">
        <v>238</v>
      </c>
      <c r="AF844" s="34">
        <v>178</v>
      </c>
      <c r="AG844" s="34">
        <v>60</v>
      </c>
      <c r="AH844" s="34">
        <v>2.5419999999999998</v>
      </c>
      <c r="AM844" s="40" t="s">
        <v>8094</v>
      </c>
      <c r="AT844" s="44">
        <v>0</v>
      </c>
      <c r="AU844" s="44"/>
      <c r="AV844" s="46">
        <f>ROUND(Товары[[#This Row],[РРЦ финальная, руб.]]/$AU$1,2)</f>
        <v>0</v>
      </c>
      <c r="AW844" s="45" t="str">
        <f>IFERROR(Товары[[#This Row],[РРЦ, евро]]/Товары[[#This Row],[IRP, Eur]],"-")</f>
        <v>-</v>
      </c>
      <c r="AX844" s="42">
        <f>IFERROR(VLOOKUP(Товары[[#This Row],[SubGroup]],'Структура цен DIY'!$B:$C,2,FALSE),0)</f>
        <v>0.28000000000000003</v>
      </c>
      <c r="AY844" s="44">
        <v>0</v>
      </c>
    </row>
    <row r="845" spans="1:51" x14ac:dyDescent="0.25">
      <c r="A845" s="34">
        <v>843</v>
      </c>
      <c r="B845" s="34" t="s">
        <v>49</v>
      </c>
      <c r="C845" s="110" t="str">
        <f>IFERROR(INDEX(Структура_ассортимента[SuperCategory],MATCH(Товары[[#This Row],[SubGroup]],Структура_ассортимента[Subgroup],0)),"")</f>
        <v>W</v>
      </c>
      <c r="D84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4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45" s="110" t="str">
        <f>IFERROR(INDEX(Структура_ассортимента[Product group],MATCH(Товары[[#This Row],[SubGroup]],Структура_ассортимента[Subgroup],0)),"")</f>
        <v>WMO_C</v>
      </c>
      <c r="G845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845" s="110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845" s="36">
        <v>9012</v>
      </c>
      <c r="J845" s="36" t="str">
        <f>IFERROR(INDEX(Структура_ассортимента[Generic Name (long)],MATCH(Товары[[#This Row],[SubGroup]],Структура_ассортимента[Subgroup],0)),"")</f>
        <v>PROMOTION SET</v>
      </c>
      <c r="L845" s="36">
        <v>901160301</v>
      </c>
      <c r="M845" s="35" t="s">
        <v>2529</v>
      </c>
      <c r="Q845" s="34" t="s">
        <v>4565</v>
      </c>
      <c r="R845" s="34" t="s">
        <v>3540</v>
      </c>
      <c r="S845" s="47">
        <v>38991</v>
      </c>
      <c r="T845" s="47">
        <v>42735</v>
      </c>
      <c r="U845" s="47">
        <v>42735</v>
      </c>
      <c r="V845" s="34">
        <v>4078500819107</v>
      </c>
      <c r="W845" s="34" t="s">
        <v>3543</v>
      </c>
      <c r="Y845" s="34" t="s">
        <v>3542</v>
      </c>
      <c r="Z845" s="34">
        <v>6</v>
      </c>
      <c r="AA845" s="34">
        <v>420</v>
      </c>
      <c r="AB845" s="34">
        <v>420</v>
      </c>
      <c r="AC845" s="34">
        <v>363</v>
      </c>
      <c r="AD845" s="34">
        <v>363</v>
      </c>
      <c r="AE845" s="34">
        <v>180</v>
      </c>
      <c r="AF845" s="34">
        <v>240</v>
      </c>
      <c r="AG845" s="34">
        <v>45</v>
      </c>
      <c r="AH845" s="34">
        <v>1.944</v>
      </c>
      <c r="AM845" s="40" t="s">
        <v>8094</v>
      </c>
      <c r="AT845" s="44">
        <v>0</v>
      </c>
      <c r="AU845" s="44"/>
      <c r="AV845" s="46">
        <f>ROUND(Товары[[#This Row],[РРЦ финальная, руб.]]/$AU$1,2)</f>
        <v>0</v>
      </c>
      <c r="AW845" s="45" t="str">
        <f>IFERROR(Товары[[#This Row],[РРЦ, евро]]/Товары[[#This Row],[IRP, Eur]],"-")</f>
        <v>-</v>
      </c>
      <c r="AX845" s="42">
        <f>IFERROR(VLOOKUP(Товары[[#This Row],[SubGroup]],'Структура цен DIY'!$B:$C,2,FALSE),0)</f>
        <v>0.26861476238624882</v>
      </c>
      <c r="AY845" s="44">
        <v>0</v>
      </c>
    </row>
    <row r="846" spans="1:51" x14ac:dyDescent="0.25">
      <c r="A846" s="34">
        <v>844</v>
      </c>
      <c r="B846" s="34" t="s">
        <v>49</v>
      </c>
      <c r="C846" s="110" t="str">
        <f>IFERROR(INDEX(Структура_ассортимента[SuperCategory],MATCH(Товары[[#This Row],[SubGroup]],Структура_ассортимента[Subgroup],0)),"")</f>
        <v>W</v>
      </c>
      <c r="D84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4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46" s="110" t="str">
        <f>IFERROR(INDEX(Структура_ассортимента[Product group],MATCH(Товары[[#This Row],[SubGroup]],Структура_ассортимента[Subgroup],0)),"")</f>
        <v>WMO_C</v>
      </c>
      <c r="G846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846" s="110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846" s="36">
        <v>9012</v>
      </c>
      <c r="J846" s="36" t="str">
        <f>IFERROR(INDEX(Структура_ассортимента[Generic Name (long)],MATCH(Товары[[#This Row],[SubGroup]],Структура_ассортимента[Subgroup],0)),"")</f>
        <v>PROMOTION SET</v>
      </c>
      <c r="L846" s="36">
        <v>901160501</v>
      </c>
      <c r="M846" s="35" t="s">
        <v>2530</v>
      </c>
      <c r="Q846" s="34" t="s">
        <v>4565</v>
      </c>
      <c r="R846" s="34" t="s">
        <v>3540</v>
      </c>
      <c r="S846" s="47">
        <v>38991</v>
      </c>
      <c r="T846" s="47">
        <v>42735</v>
      </c>
      <c r="U846" s="47">
        <v>42735</v>
      </c>
      <c r="V846" s="34">
        <v>4078500819206</v>
      </c>
      <c r="W846" s="34" t="s">
        <v>3543</v>
      </c>
      <c r="Y846" s="34" t="s">
        <v>3542</v>
      </c>
      <c r="Z846" s="34">
        <v>24</v>
      </c>
      <c r="AA846" s="34">
        <v>490</v>
      </c>
      <c r="AB846" s="34">
        <v>490</v>
      </c>
      <c r="AC846" s="34">
        <v>400</v>
      </c>
      <c r="AD846" s="34">
        <v>400</v>
      </c>
      <c r="AE846" s="34">
        <v>180</v>
      </c>
      <c r="AF846" s="34">
        <v>240</v>
      </c>
      <c r="AG846" s="34">
        <v>45</v>
      </c>
      <c r="AH846" s="34">
        <v>1.944</v>
      </c>
      <c r="AM846" s="40" t="s">
        <v>8094</v>
      </c>
      <c r="AT846" s="44">
        <v>0</v>
      </c>
      <c r="AU846" s="44"/>
      <c r="AV846" s="46">
        <f>ROUND(Товары[[#This Row],[РРЦ финальная, руб.]]/$AU$1,2)</f>
        <v>0</v>
      </c>
      <c r="AW846" s="45" t="str">
        <f>IFERROR(Товары[[#This Row],[РРЦ, евро]]/Товары[[#This Row],[IRP, Eur]],"-")</f>
        <v>-</v>
      </c>
      <c r="AX846" s="42">
        <f>IFERROR(VLOOKUP(Товары[[#This Row],[SubGroup]],'Структура цен DIY'!$B:$C,2,FALSE),0)</f>
        <v>0.26861476238624882</v>
      </c>
      <c r="AY846" s="44">
        <v>0</v>
      </c>
    </row>
    <row r="847" spans="1:51" x14ac:dyDescent="0.25">
      <c r="A847" s="34">
        <v>845</v>
      </c>
      <c r="B847" s="34" t="s">
        <v>49</v>
      </c>
      <c r="C847" s="110" t="str">
        <f>IFERROR(INDEX(Структура_ассортимента[SuperCategory],MATCH(Товары[[#This Row],[SubGroup]],Структура_ассортимента[Subgroup],0)),"")</f>
        <v>W</v>
      </c>
      <c r="D84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4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47" s="110" t="str">
        <f>IFERROR(INDEX(Структура_ассортимента[Product group],MATCH(Товары[[#This Row],[SubGroup]],Структура_ассортимента[Subgroup],0)),"")</f>
        <v>WMH_C</v>
      </c>
      <c r="G847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847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847" s="36">
        <v>9014</v>
      </c>
      <c r="J847" s="36" t="str">
        <f>IFERROR(INDEX(Структура_ассортимента[Generic Name (long)],MATCH(Товары[[#This Row],[SubGroup]],Структура_ассортимента[Subgroup],0)),"")</f>
        <v>GARDEN HOSE</v>
      </c>
      <c r="L847" s="36">
        <v>967244301</v>
      </c>
      <c r="M847" s="35" t="s">
        <v>2531</v>
      </c>
      <c r="Q847" s="34" t="s">
        <v>4565</v>
      </c>
      <c r="R847" s="34" t="s">
        <v>3540</v>
      </c>
      <c r="S847" s="47">
        <v>41640</v>
      </c>
      <c r="T847" s="47">
        <v>42429</v>
      </c>
      <c r="U847" s="47">
        <v>42429</v>
      </c>
      <c r="V847" s="34">
        <v>4078500001724</v>
      </c>
      <c r="W847" s="34" t="s">
        <v>3550</v>
      </c>
      <c r="Y847" s="34" t="s">
        <v>5980</v>
      </c>
      <c r="Z847" s="34">
        <v>1</v>
      </c>
      <c r="AA847" s="34">
        <v>4845</v>
      </c>
      <c r="AB847" s="34">
        <v>4845</v>
      </c>
      <c r="AC847" s="34">
        <v>4500</v>
      </c>
      <c r="AD847" s="34">
        <v>4500</v>
      </c>
      <c r="AE847" s="34">
        <v>350</v>
      </c>
      <c r="AF847" s="34">
        <v>350</v>
      </c>
      <c r="AG847" s="34">
        <v>150</v>
      </c>
      <c r="AH847" s="34">
        <v>18.516999999999999</v>
      </c>
      <c r="AM847" s="40" t="s">
        <v>8094</v>
      </c>
      <c r="AT847" s="44">
        <v>0</v>
      </c>
      <c r="AU847" s="44"/>
      <c r="AV847" s="46">
        <f>ROUND(Товары[[#This Row],[РРЦ финальная, руб.]]/$AU$1,2)</f>
        <v>0</v>
      </c>
      <c r="AW847" s="45" t="str">
        <f>IFERROR(Товары[[#This Row],[РРЦ, евро]]/Товары[[#This Row],[IRP, Eur]],"-")</f>
        <v>-</v>
      </c>
      <c r="AX847" s="42">
        <f>IFERROR(VLOOKUP(Товары[[#This Row],[SubGroup]],'Структура цен DIY'!$B:$C,2,FALSE),0)</f>
        <v>0.26</v>
      </c>
      <c r="AY847" s="44">
        <v>0</v>
      </c>
    </row>
    <row r="848" spans="1:51" x14ac:dyDescent="0.25">
      <c r="A848" s="34">
        <v>846</v>
      </c>
      <c r="B848" s="34" t="s">
        <v>49</v>
      </c>
      <c r="C848" s="110" t="str">
        <f>IFERROR(INDEX(Структура_ассортимента[SuperCategory],MATCH(Товары[[#This Row],[SubGroup]],Структура_ассортимента[Subgroup],0)),"")</f>
        <v>W</v>
      </c>
      <c r="D84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4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48" s="110" t="str">
        <f>IFERROR(INDEX(Структура_ассортимента[Product group],MATCH(Товары[[#This Row],[SubGroup]],Структура_ассортимента[Subgroup],0)),"")</f>
        <v>WMH_C</v>
      </c>
      <c r="G848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848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848" s="36">
        <v>9014</v>
      </c>
      <c r="J848" s="36" t="str">
        <f>IFERROR(INDEX(Структура_ассортимента[Generic Name (long)],MATCH(Товары[[#This Row],[SubGroup]],Структура_ассортимента[Subgroup],0)),"")</f>
        <v>GARDEN HOSE</v>
      </c>
      <c r="L848" s="36">
        <v>967255801</v>
      </c>
      <c r="M848" s="35" t="s">
        <v>2532</v>
      </c>
      <c r="Q848" s="34" t="s">
        <v>3544</v>
      </c>
      <c r="R848" s="34" t="s">
        <v>3540</v>
      </c>
      <c r="S848" s="47">
        <v>41640</v>
      </c>
      <c r="T848" s="47">
        <v>0</v>
      </c>
      <c r="U848" s="47">
        <v>0</v>
      </c>
      <c r="V848" s="34">
        <v>4078500002530</v>
      </c>
      <c r="W848" s="34" t="s">
        <v>3543</v>
      </c>
      <c r="Y848" s="34" t="s">
        <v>3542</v>
      </c>
      <c r="Z848" s="34">
        <v>5</v>
      </c>
      <c r="AA848" s="34">
        <v>310</v>
      </c>
      <c r="AB848" s="34">
        <v>310</v>
      </c>
      <c r="AC848" s="34">
        <v>270</v>
      </c>
      <c r="AD848" s="34">
        <v>270</v>
      </c>
      <c r="AE848" s="34">
        <v>363</v>
      </c>
      <c r="AF848" s="34">
        <v>160</v>
      </c>
      <c r="AG848" s="34">
        <v>35</v>
      </c>
      <c r="AH848" s="34">
        <v>2.0329999999999999</v>
      </c>
      <c r="AL848" s="34">
        <v>200</v>
      </c>
      <c r="AM848" s="40" t="s">
        <v>8094</v>
      </c>
      <c r="AT848" s="44">
        <v>0</v>
      </c>
      <c r="AU848" s="44"/>
      <c r="AV848" s="46">
        <f>ROUND(Товары[[#This Row],[РРЦ финальная, руб.]]/$AU$1,2)</f>
        <v>0</v>
      </c>
      <c r="AW848" s="45" t="str">
        <f>IFERROR(Товары[[#This Row],[РРЦ, евро]]/Товары[[#This Row],[IRP, Eur]],"-")</f>
        <v>-</v>
      </c>
      <c r="AX848" s="42">
        <f>IFERROR(VLOOKUP(Товары[[#This Row],[SubGroup]],'Структура цен DIY'!$B:$C,2,FALSE),0)</f>
        <v>0.26</v>
      </c>
      <c r="AY848" s="44">
        <v>0</v>
      </c>
    </row>
    <row r="849" spans="1:51" x14ac:dyDescent="0.25">
      <c r="A849" s="34">
        <v>847</v>
      </c>
      <c r="B849" s="34" t="s">
        <v>49</v>
      </c>
      <c r="C849" s="110" t="str">
        <f>IFERROR(INDEX(Структура_ассортимента[SuperCategory],MATCH(Товары[[#This Row],[SubGroup]],Структура_ассортимента[Subgroup],0)),"")</f>
        <v>W</v>
      </c>
      <c r="D84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4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49" s="110" t="str">
        <f>IFERROR(INDEX(Структура_ассортимента[Product group],MATCH(Товары[[#This Row],[SubGroup]],Структура_ассортимента[Subgroup],0)),"")</f>
        <v>WMH_C</v>
      </c>
      <c r="G849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849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849" s="36">
        <v>9014</v>
      </c>
      <c r="J849" s="36" t="str">
        <f>IFERROR(INDEX(Структура_ассортимента[Generic Name (long)],MATCH(Товары[[#This Row],[SubGroup]],Структура_ассортимента[Subgroup],0)),"")</f>
        <v>GARDEN HOSE</v>
      </c>
      <c r="L849" s="36">
        <v>967249201</v>
      </c>
      <c r="M849" s="35" t="s">
        <v>2533</v>
      </c>
      <c r="Q849" s="34" t="s">
        <v>4565</v>
      </c>
      <c r="R849" s="34" t="s">
        <v>3540</v>
      </c>
      <c r="S849" s="47">
        <v>41640</v>
      </c>
      <c r="T849" s="47">
        <v>42735</v>
      </c>
      <c r="U849" s="47">
        <v>42735</v>
      </c>
      <c r="V849" s="34">
        <v>4078500002011</v>
      </c>
      <c r="W849" s="34" t="s">
        <v>3550</v>
      </c>
      <c r="Y849" s="34" t="s">
        <v>5981</v>
      </c>
      <c r="Z849" s="34">
        <v>50</v>
      </c>
      <c r="AA849" s="34">
        <v>186</v>
      </c>
      <c r="AB849" s="34">
        <v>186</v>
      </c>
      <c r="AC849" s="34">
        <v>175</v>
      </c>
      <c r="AD849" s="34">
        <v>175</v>
      </c>
      <c r="AE849" s="34">
        <v>20</v>
      </c>
      <c r="AF849" s="34">
        <v>20</v>
      </c>
      <c r="AG849" s="34">
        <v>1000</v>
      </c>
      <c r="AH849" s="34">
        <v>0.4</v>
      </c>
      <c r="AM849" s="40" t="s">
        <v>8094</v>
      </c>
      <c r="AT849" s="44">
        <v>0</v>
      </c>
      <c r="AU849" s="44"/>
      <c r="AV849" s="46">
        <f>ROUND(Товары[[#This Row],[РРЦ финальная, руб.]]/$AU$1,2)</f>
        <v>0</v>
      </c>
      <c r="AW849" s="45" t="str">
        <f>IFERROR(Товары[[#This Row],[РРЦ, евро]]/Товары[[#This Row],[IRP, Eur]],"-")</f>
        <v>-</v>
      </c>
      <c r="AX849" s="42">
        <f>IFERROR(VLOOKUP(Товары[[#This Row],[SubGroup]],'Структура цен DIY'!$B:$C,2,FALSE),0)</f>
        <v>0.26</v>
      </c>
      <c r="AY849" s="44">
        <v>0</v>
      </c>
    </row>
    <row r="850" spans="1:51" x14ac:dyDescent="0.25">
      <c r="A850" s="34">
        <v>848</v>
      </c>
      <c r="B850" s="34" t="s">
        <v>49</v>
      </c>
      <c r="C850" s="110" t="str">
        <f>IFERROR(INDEX(Структура_ассортимента[SuperCategory],MATCH(Товары[[#This Row],[SubGroup]],Структура_ассортимента[Subgroup],0)),"")</f>
        <v>W</v>
      </c>
      <c r="D85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5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50" s="110" t="str">
        <f>IFERROR(INDEX(Структура_ассортимента[Product group],MATCH(Товары[[#This Row],[SubGroup]],Структура_ассортимента[Subgroup],0)),"")</f>
        <v>WMS_C</v>
      </c>
      <c r="G850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850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850" s="36">
        <v>9021</v>
      </c>
      <c r="J850" s="36" t="str">
        <f>IFERROR(INDEX(Структура_ассортимента[Generic Name (long)],MATCH(Товары[[#This Row],[SubGroup]],Структура_ассортимента[Subgroup],0)),"")</f>
        <v>WATERING SET</v>
      </c>
      <c r="L850" s="36">
        <v>900970501</v>
      </c>
      <c r="M850" s="35" t="s">
        <v>2534</v>
      </c>
      <c r="Q850" s="34" t="s">
        <v>4565</v>
      </c>
      <c r="R850" s="34" t="s">
        <v>3540</v>
      </c>
      <c r="S850" s="47">
        <v>37530</v>
      </c>
      <c r="T850" s="47">
        <v>42735</v>
      </c>
      <c r="U850" s="47">
        <v>42735</v>
      </c>
      <c r="V850" s="34">
        <v>4078500197397</v>
      </c>
      <c r="W850" s="34" t="s">
        <v>3543</v>
      </c>
      <c r="Y850" s="34" t="s">
        <v>3542</v>
      </c>
      <c r="Z850" s="34">
        <v>4</v>
      </c>
      <c r="AA850" s="34">
        <v>975</v>
      </c>
      <c r="AB850" s="34">
        <v>975</v>
      </c>
      <c r="AC850" s="34">
        <v>960</v>
      </c>
      <c r="AD850" s="34">
        <v>960</v>
      </c>
      <c r="AE850" s="34">
        <v>530</v>
      </c>
      <c r="AF850" s="34">
        <v>168</v>
      </c>
      <c r="AG850" s="34">
        <v>100</v>
      </c>
      <c r="AH850" s="34">
        <v>8.9039999999999999</v>
      </c>
      <c r="AM850" s="40" t="s">
        <v>8094</v>
      </c>
      <c r="AT850" s="44">
        <v>0</v>
      </c>
      <c r="AU850" s="44"/>
      <c r="AV850" s="46">
        <f>ROUND(Товары[[#This Row],[РРЦ финальная, руб.]]/$AU$1,2)</f>
        <v>0</v>
      </c>
      <c r="AW850" s="45" t="str">
        <f>IFERROR(Товары[[#This Row],[РРЦ, евро]]/Товары[[#This Row],[IRP, Eur]],"-")</f>
        <v>-</v>
      </c>
      <c r="AX850" s="42">
        <f>IFERROR(VLOOKUP(Товары[[#This Row],[SubGroup]],'Структура цен DIY'!$B:$C,2,FALSE),0)</f>
        <v>0.28999999999999998</v>
      </c>
      <c r="AY850" s="44">
        <v>0</v>
      </c>
    </row>
    <row r="851" spans="1:51" x14ac:dyDescent="0.25">
      <c r="A851" s="34">
        <v>849</v>
      </c>
      <c r="B851" s="34" t="s">
        <v>49</v>
      </c>
      <c r="C851" s="110" t="str">
        <f>IFERROR(INDEX(Структура_ассортимента[SuperCategory],MATCH(Товары[[#This Row],[SubGroup]],Структура_ассортимента[Subgroup],0)),"")</f>
        <v>W</v>
      </c>
      <c r="D85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5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51" s="110" t="str">
        <f>IFERROR(INDEX(Структура_ассортимента[Product group],MATCH(Товары[[#This Row],[SubGroup]],Структура_ассортимента[Subgroup],0)),"")</f>
        <v>WMS_C</v>
      </c>
      <c r="G851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851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851" s="36">
        <v>9021</v>
      </c>
      <c r="J851" s="36" t="str">
        <f>IFERROR(INDEX(Структура_ассортимента[Generic Name (long)],MATCH(Товары[[#This Row],[SubGroup]],Структура_ассортимента[Subgroup],0)),"")</f>
        <v>WATERING SET</v>
      </c>
      <c r="L851" s="36">
        <v>900970901</v>
      </c>
      <c r="M851" s="35" t="s">
        <v>2535</v>
      </c>
      <c r="Q851" s="34" t="s">
        <v>4565</v>
      </c>
      <c r="R851" s="34" t="s">
        <v>3540</v>
      </c>
      <c r="S851" s="47">
        <v>37530</v>
      </c>
      <c r="T851" s="47">
        <v>42735</v>
      </c>
      <c r="U851" s="47">
        <v>42735</v>
      </c>
      <c r="V851" s="34">
        <v>4078500197595</v>
      </c>
      <c r="W851" s="34" t="s">
        <v>3543</v>
      </c>
      <c r="Y851" s="34" t="s">
        <v>3542</v>
      </c>
      <c r="Z851" s="34">
        <v>4</v>
      </c>
      <c r="AA851" s="34">
        <v>1005</v>
      </c>
      <c r="AB851" s="34">
        <v>1005</v>
      </c>
      <c r="AC851" s="34">
        <v>980</v>
      </c>
      <c r="AD851" s="34">
        <v>980</v>
      </c>
      <c r="AE851" s="34">
        <v>544</v>
      </c>
      <c r="AF851" s="34">
        <v>167</v>
      </c>
      <c r="AG851" s="34">
        <v>98</v>
      </c>
      <c r="AH851" s="34">
        <v>8.9030000000000005</v>
      </c>
      <c r="AM851" s="40" t="s">
        <v>8094</v>
      </c>
      <c r="AT851" s="44">
        <v>0</v>
      </c>
      <c r="AU851" s="44"/>
      <c r="AV851" s="46">
        <f>ROUND(Товары[[#This Row],[РРЦ финальная, руб.]]/$AU$1,2)</f>
        <v>0</v>
      </c>
      <c r="AW851" s="45" t="str">
        <f>IFERROR(Товары[[#This Row],[РРЦ, евро]]/Товары[[#This Row],[IRP, Eur]],"-")</f>
        <v>-</v>
      </c>
      <c r="AX851" s="42">
        <f>IFERROR(VLOOKUP(Товары[[#This Row],[SubGroup]],'Структура цен DIY'!$B:$C,2,FALSE),0)</f>
        <v>0.28999999999999998</v>
      </c>
      <c r="AY851" s="44">
        <v>0</v>
      </c>
    </row>
    <row r="852" spans="1:51" x14ac:dyDescent="0.25">
      <c r="A852" s="34">
        <v>850</v>
      </c>
      <c r="B852" s="34" t="s">
        <v>49</v>
      </c>
      <c r="C852" s="110" t="str">
        <f>IFERROR(INDEX(Структура_ассортимента[SuperCategory],MATCH(Товары[[#This Row],[SubGroup]],Структура_ассортимента[Subgroup],0)),"")</f>
        <v>W</v>
      </c>
      <c r="D85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5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52" s="110" t="str">
        <f>IFERROR(INDEX(Структура_ассортимента[Product group],MATCH(Товары[[#This Row],[SubGroup]],Структура_ассортимента[Subgroup],0)),"")</f>
        <v>WMS_C</v>
      </c>
      <c r="G852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852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852" s="36">
        <v>9021</v>
      </c>
      <c r="J852" s="36" t="str">
        <f>IFERROR(INDEX(Структура_ассортимента[Generic Name (long)],MATCH(Товары[[#This Row],[SubGroup]],Структура_ассортимента[Subgroup],0)),"")</f>
        <v>WATERING SET</v>
      </c>
      <c r="L852" s="36">
        <v>900971201</v>
      </c>
      <c r="M852" s="35" t="s">
        <v>2536</v>
      </c>
      <c r="Q852" s="34" t="s">
        <v>4565</v>
      </c>
      <c r="R852" s="34" t="s">
        <v>3540</v>
      </c>
      <c r="S852" s="47">
        <v>36110</v>
      </c>
      <c r="T852" s="47">
        <v>42735</v>
      </c>
      <c r="U852" s="47">
        <v>42735</v>
      </c>
      <c r="V852" s="34">
        <v>4078500197793</v>
      </c>
      <c r="W852" s="34" t="s">
        <v>3543</v>
      </c>
      <c r="Y852" s="34" t="s">
        <v>3542</v>
      </c>
      <c r="Z852" s="34">
        <v>4</v>
      </c>
      <c r="AA852" s="34">
        <v>1110</v>
      </c>
      <c r="AB852" s="34">
        <v>1110</v>
      </c>
      <c r="AC852" s="34">
        <v>1000</v>
      </c>
      <c r="AD852" s="34">
        <v>1000</v>
      </c>
      <c r="AE852" s="34">
        <v>585</v>
      </c>
      <c r="AF852" s="34">
        <v>170</v>
      </c>
      <c r="AG852" s="34">
        <v>104</v>
      </c>
      <c r="AH852" s="34">
        <v>10.343</v>
      </c>
      <c r="AM852" s="40" t="s">
        <v>8094</v>
      </c>
      <c r="AT852" s="44">
        <v>0</v>
      </c>
      <c r="AU852" s="44"/>
      <c r="AV852" s="46">
        <f>ROUND(Товары[[#This Row],[РРЦ финальная, руб.]]/$AU$1,2)</f>
        <v>0</v>
      </c>
      <c r="AW852" s="45" t="str">
        <f>IFERROR(Товары[[#This Row],[РРЦ, евро]]/Товары[[#This Row],[IRP, Eur]],"-")</f>
        <v>-</v>
      </c>
      <c r="AX852" s="42">
        <f>IFERROR(VLOOKUP(Товары[[#This Row],[SubGroup]],'Структура цен DIY'!$B:$C,2,FALSE),0)</f>
        <v>0.28999999999999998</v>
      </c>
      <c r="AY852" s="44">
        <v>0</v>
      </c>
    </row>
    <row r="853" spans="1:51" x14ac:dyDescent="0.25">
      <c r="A853" s="34">
        <v>851</v>
      </c>
      <c r="B853" s="34" t="s">
        <v>49</v>
      </c>
      <c r="C853" s="110" t="str">
        <f>IFERROR(INDEX(Структура_ассортимента[SuperCategory],MATCH(Товары[[#This Row],[SubGroup]],Структура_ассортимента[Subgroup],0)),"")</f>
        <v>W</v>
      </c>
      <c r="D85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5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53" s="110" t="str">
        <f>IFERROR(INDEX(Структура_ассортимента[Product group],MATCH(Товары[[#This Row],[SubGroup]],Структура_ассортимента[Subgroup],0)),"")</f>
        <v>WMS_C</v>
      </c>
      <c r="G853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853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853" s="36">
        <v>9021</v>
      </c>
      <c r="J853" s="36" t="str">
        <f>IFERROR(INDEX(Структура_ассортимента[Generic Name (long)],MATCH(Товары[[#This Row],[SubGroup]],Структура_ассортимента[Subgroup],0)),"")</f>
        <v>WATERING SET</v>
      </c>
      <c r="L853" s="36">
        <v>966678501</v>
      </c>
      <c r="M853" s="35" t="s">
        <v>2537</v>
      </c>
      <c r="Q853" s="34" t="s">
        <v>4565</v>
      </c>
      <c r="R853" s="34" t="s">
        <v>3540</v>
      </c>
      <c r="S853" s="47">
        <v>40452</v>
      </c>
      <c r="T853" s="47">
        <v>42735</v>
      </c>
      <c r="U853" s="47">
        <v>42735</v>
      </c>
      <c r="V853" s="34">
        <v>4078500208192</v>
      </c>
      <c r="W853" s="34" t="s">
        <v>3543</v>
      </c>
      <c r="Y853" s="34" t="s">
        <v>3542</v>
      </c>
      <c r="Z853" s="34">
        <v>60</v>
      </c>
      <c r="AA853" s="34">
        <v>405</v>
      </c>
      <c r="AB853" s="34">
        <v>405</v>
      </c>
      <c r="AC853" s="34">
        <v>280</v>
      </c>
      <c r="AD853" s="34">
        <v>280</v>
      </c>
      <c r="AE853" s="34">
        <v>395</v>
      </c>
      <c r="AF853" s="34">
        <v>116</v>
      </c>
      <c r="AG853" s="34">
        <v>80</v>
      </c>
      <c r="AH853" s="34">
        <v>3.6659999999999999</v>
      </c>
      <c r="AM853" s="40" t="s">
        <v>8094</v>
      </c>
      <c r="AT853" s="44">
        <v>0</v>
      </c>
      <c r="AU853" s="44"/>
      <c r="AV853" s="46">
        <f>ROUND(Товары[[#This Row],[РРЦ финальная, руб.]]/$AU$1,2)</f>
        <v>0</v>
      </c>
      <c r="AW853" s="45" t="str">
        <f>IFERROR(Товары[[#This Row],[РРЦ, евро]]/Товары[[#This Row],[IRP, Eur]],"-")</f>
        <v>-</v>
      </c>
      <c r="AX853" s="42">
        <f>IFERROR(VLOOKUP(Товары[[#This Row],[SubGroup]],'Структура цен DIY'!$B:$C,2,FALSE),0)</f>
        <v>0.28999999999999998</v>
      </c>
      <c r="AY853" s="44">
        <v>0</v>
      </c>
    </row>
    <row r="854" spans="1:51" x14ac:dyDescent="0.25">
      <c r="A854" s="34">
        <v>852</v>
      </c>
      <c r="B854" s="34" t="s">
        <v>49</v>
      </c>
      <c r="C854" s="110" t="str">
        <f>IFERROR(INDEX(Структура_ассортимента[SuperCategory],MATCH(Товары[[#This Row],[SubGroup]],Структура_ассортимента[Subgroup],0)),"")</f>
        <v>W</v>
      </c>
      <c r="D85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5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54" s="110" t="str">
        <f>IFERROR(INDEX(Структура_ассортимента[Product group],MATCH(Товары[[#This Row],[SubGroup]],Структура_ассортимента[Subgroup],0)),"")</f>
        <v>WMS_C</v>
      </c>
      <c r="G854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854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854" s="36">
        <v>9021</v>
      </c>
      <c r="J854" s="36" t="str">
        <f>IFERROR(INDEX(Структура_ассортимента[Generic Name (long)],MATCH(Товары[[#This Row],[SubGroup]],Структура_ассортимента[Subgroup],0)),"")</f>
        <v>WATERING SET</v>
      </c>
      <c r="L854" s="36">
        <v>966678601</v>
      </c>
      <c r="M854" s="35" t="s">
        <v>2538</v>
      </c>
      <c r="Q854" s="34" t="s">
        <v>4565</v>
      </c>
      <c r="R854" s="34" t="s">
        <v>3540</v>
      </c>
      <c r="S854" s="47">
        <v>40452</v>
      </c>
      <c r="T854" s="47">
        <v>42735</v>
      </c>
      <c r="U854" s="47">
        <v>42735</v>
      </c>
      <c r="V854" s="34">
        <v>4078500208291</v>
      </c>
      <c r="W854" s="34" t="s">
        <v>3543</v>
      </c>
      <c r="Y854" s="34" t="s">
        <v>3542</v>
      </c>
      <c r="Z854" s="34">
        <v>10</v>
      </c>
      <c r="AA854" s="34">
        <v>350</v>
      </c>
      <c r="AB854" s="34">
        <v>350</v>
      </c>
      <c r="AC854" s="34">
        <v>275</v>
      </c>
      <c r="AD854" s="34">
        <v>275</v>
      </c>
      <c r="AE854" s="34">
        <v>395</v>
      </c>
      <c r="AF854" s="34">
        <v>116</v>
      </c>
      <c r="AG854" s="34">
        <v>80</v>
      </c>
      <c r="AH854" s="34">
        <v>3.6659999999999999</v>
      </c>
      <c r="AM854" s="40" t="s">
        <v>8094</v>
      </c>
      <c r="AT854" s="44">
        <v>0</v>
      </c>
      <c r="AU854" s="44"/>
      <c r="AV854" s="46">
        <f>ROUND(Товары[[#This Row],[РРЦ финальная, руб.]]/$AU$1,2)</f>
        <v>0</v>
      </c>
      <c r="AW854" s="45" t="str">
        <f>IFERROR(Товары[[#This Row],[РРЦ, евро]]/Товары[[#This Row],[IRP, Eur]],"-")</f>
        <v>-</v>
      </c>
      <c r="AX854" s="42">
        <f>IFERROR(VLOOKUP(Товары[[#This Row],[SubGroup]],'Структура цен DIY'!$B:$C,2,FALSE),0)</f>
        <v>0.28999999999999998</v>
      </c>
      <c r="AY854" s="44">
        <v>0</v>
      </c>
    </row>
    <row r="855" spans="1:51" x14ac:dyDescent="0.25">
      <c r="A855" s="34">
        <v>853</v>
      </c>
      <c r="B855" s="34" t="s">
        <v>49</v>
      </c>
      <c r="C855" s="110" t="str">
        <f>IFERROR(INDEX(Структура_ассортимента[SuperCategory],MATCH(Товары[[#This Row],[SubGroup]],Структура_ассортимента[Subgroup],0)),"")</f>
        <v>W</v>
      </c>
      <c r="D85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5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55" s="110" t="str">
        <f>IFERROR(INDEX(Структура_ассортимента[Product group],MATCH(Товары[[#This Row],[SubGroup]],Структура_ассортимента[Subgroup],0)),"")</f>
        <v>WMS_C</v>
      </c>
      <c r="G855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855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855" s="36">
        <v>9021</v>
      </c>
      <c r="J855" s="36" t="str">
        <f>IFERROR(INDEX(Структура_ассортимента[Generic Name (long)],MATCH(Товары[[#This Row],[SubGroup]],Структура_ассортимента[Subgroup],0)),"")</f>
        <v>WATERING SET</v>
      </c>
      <c r="L855" s="36">
        <v>966678701</v>
      </c>
      <c r="M855" s="35" t="s">
        <v>2539</v>
      </c>
      <c r="Q855" s="34" t="s">
        <v>4565</v>
      </c>
      <c r="R855" s="34" t="s">
        <v>3540</v>
      </c>
      <c r="S855" s="47">
        <v>40452</v>
      </c>
      <c r="T855" s="47">
        <v>42735</v>
      </c>
      <c r="U855" s="47">
        <v>42735</v>
      </c>
      <c r="V855" s="34">
        <v>4078500208390</v>
      </c>
      <c r="W855" s="34" t="s">
        <v>3543</v>
      </c>
      <c r="Y855" s="34" t="s">
        <v>3542</v>
      </c>
      <c r="Z855" s="34">
        <v>5</v>
      </c>
      <c r="AA855" s="34">
        <v>428</v>
      </c>
      <c r="AB855" s="34">
        <v>428</v>
      </c>
      <c r="AC855" s="34">
        <v>310</v>
      </c>
      <c r="AD855" s="34">
        <v>310</v>
      </c>
      <c r="AE855" s="34">
        <v>395</v>
      </c>
      <c r="AF855" s="34">
        <v>117</v>
      </c>
      <c r="AG855" s="34">
        <v>86</v>
      </c>
      <c r="AH855" s="34">
        <v>3.9740000000000002</v>
      </c>
      <c r="AM855" s="40" t="s">
        <v>8094</v>
      </c>
      <c r="AT855" s="44">
        <v>0</v>
      </c>
      <c r="AU855" s="44"/>
      <c r="AV855" s="46">
        <f>ROUND(Товары[[#This Row],[РРЦ финальная, руб.]]/$AU$1,2)</f>
        <v>0</v>
      </c>
      <c r="AW855" s="45" t="str">
        <f>IFERROR(Товары[[#This Row],[РРЦ, евро]]/Товары[[#This Row],[IRP, Eur]],"-")</f>
        <v>-</v>
      </c>
      <c r="AX855" s="42">
        <f>IFERROR(VLOOKUP(Товары[[#This Row],[SubGroup]],'Структура цен DIY'!$B:$C,2,FALSE),0)</f>
        <v>0.28999999999999998</v>
      </c>
      <c r="AY855" s="44">
        <v>0</v>
      </c>
    </row>
    <row r="856" spans="1:51" x14ac:dyDescent="0.25">
      <c r="A856" s="34">
        <v>854</v>
      </c>
      <c r="B856" s="34" t="s">
        <v>49</v>
      </c>
      <c r="C856" s="110" t="str">
        <f>IFERROR(INDEX(Структура_ассортимента[SuperCategory],MATCH(Товары[[#This Row],[SubGroup]],Структура_ассортимента[Subgroup],0)),"")</f>
        <v>W</v>
      </c>
      <c r="D85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5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56" s="110" t="str">
        <f>IFERROR(INDEX(Структура_ассортимента[Product group],MATCH(Товары[[#This Row],[SubGroup]],Структура_ассортимента[Subgroup],0)),"")</f>
        <v>WMS_C</v>
      </c>
      <c r="G856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856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856" s="36">
        <v>9021</v>
      </c>
      <c r="J856" s="36" t="str">
        <f>IFERROR(INDEX(Структура_ассортимента[Generic Name (long)],MATCH(Товары[[#This Row],[SubGroup]],Структура_ассортимента[Subgroup],0)),"")</f>
        <v>WATERING SET</v>
      </c>
      <c r="L856" s="36">
        <v>966687201</v>
      </c>
      <c r="M856" s="35" t="s">
        <v>2540</v>
      </c>
      <c r="Q856" s="34" t="s">
        <v>4565</v>
      </c>
      <c r="R856" s="34" t="s">
        <v>3540</v>
      </c>
      <c r="S856" s="47">
        <v>40452</v>
      </c>
      <c r="T856" s="47">
        <v>42735</v>
      </c>
      <c r="U856" s="47">
        <v>42735</v>
      </c>
      <c r="V856" s="34">
        <v>4078500208499</v>
      </c>
      <c r="W856" s="34" t="s">
        <v>3543</v>
      </c>
      <c r="Y856" s="34" t="s">
        <v>3542</v>
      </c>
      <c r="Z856" s="34">
        <v>5</v>
      </c>
      <c r="AA856" s="34">
        <v>520</v>
      </c>
      <c r="AB856" s="34">
        <v>520</v>
      </c>
      <c r="AC856" s="34">
        <v>365</v>
      </c>
      <c r="AD856" s="34">
        <v>365</v>
      </c>
      <c r="AE856" s="34">
        <v>504</v>
      </c>
      <c r="AF856" s="34">
        <v>117</v>
      </c>
      <c r="AG856" s="34">
        <v>85</v>
      </c>
      <c r="AH856" s="34">
        <v>5.0119999999999996</v>
      </c>
      <c r="AM856" s="40" t="s">
        <v>8094</v>
      </c>
      <c r="AT856" s="44">
        <v>0</v>
      </c>
      <c r="AU856" s="44"/>
      <c r="AV856" s="46">
        <f>ROUND(Товары[[#This Row],[РРЦ финальная, руб.]]/$AU$1,2)</f>
        <v>0</v>
      </c>
      <c r="AW856" s="45" t="str">
        <f>IFERROR(Товары[[#This Row],[РРЦ, евро]]/Товары[[#This Row],[IRP, Eur]],"-")</f>
        <v>-</v>
      </c>
      <c r="AX856" s="42">
        <f>IFERROR(VLOOKUP(Товары[[#This Row],[SubGroup]],'Структура цен DIY'!$B:$C,2,FALSE),0)</f>
        <v>0.28999999999999998</v>
      </c>
      <c r="AY856" s="44">
        <v>0</v>
      </c>
    </row>
    <row r="857" spans="1:51" x14ac:dyDescent="0.25">
      <c r="A857" s="34">
        <v>855</v>
      </c>
      <c r="B857" s="34" t="s">
        <v>49</v>
      </c>
      <c r="C857" s="110" t="str">
        <f>IFERROR(INDEX(Структура_ассортимента[SuperCategory],MATCH(Товары[[#This Row],[SubGroup]],Структура_ассортимента[Subgroup],0)),"")</f>
        <v>W</v>
      </c>
      <c r="D85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5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57" s="110" t="str">
        <f>IFERROR(INDEX(Структура_ассортимента[Product group],MATCH(Товары[[#This Row],[SubGroup]],Структура_ассортимента[Subgroup],0)),"")</f>
        <v>WMT_C</v>
      </c>
      <c r="G857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57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57" s="36">
        <v>9015</v>
      </c>
      <c r="J857" s="36" t="str">
        <f>IFERROR(INDEX(Структура_ассортимента[Generic Name (long)],MATCH(Товары[[#This Row],[SubGroup]],Структура_ассортимента[Subgroup],0)),"")</f>
        <v>WALL HOSE BRACKET</v>
      </c>
      <c r="L857" s="36">
        <v>901007801</v>
      </c>
      <c r="M857" s="35" t="s">
        <v>2541</v>
      </c>
      <c r="Q857" s="34" t="s">
        <v>3544</v>
      </c>
      <c r="R857" s="34" t="s">
        <v>3540</v>
      </c>
      <c r="S857" s="47">
        <v>38626</v>
      </c>
      <c r="T857" s="47">
        <v>0</v>
      </c>
      <c r="U857" s="47">
        <v>0</v>
      </c>
      <c r="V857" s="34">
        <v>4078500268103</v>
      </c>
      <c r="W857" s="34" t="s">
        <v>3543</v>
      </c>
      <c r="Y857" s="34" t="s">
        <v>3542</v>
      </c>
      <c r="Z857" s="34">
        <v>4</v>
      </c>
      <c r="AA857" s="34">
        <v>4801</v>
      </c>
      <c r="AB857" s="34">
        <v>4801</v>
      </c>
      <c r="AC857" s="34">
        <v>4500</v>
      </c>
      <c r="AD857" s="34">
        <v>4500</v>
      </c>
      <c r="AE857" s="34">
        <v>560</v>
      </c>
      <c r="AF857" s="34">
        <v>360</v>
      </c>
      <c r="AG857" s="34">
        <v>280</v>
      </c>
      <c r="AH857" s="34">
        <v>56.448</v>
      </c>
      <c r="AM857" s="40" t="s">
        <v>8094</v>
      </c>
      <c r="AT857" s="44">
        <v>0</v>
      </c>
      <c r="AU857" s="44"/>
      <c r="AV857" s="46">
        <f>ROUND(Товары[[#This Row],[РРЦ финальная, руб.]]/$AU$1,2)</f>
        <v>0</v>
      </c>
      <c r="AW857" s="45" t="str">
        <f>IFERROR(Товары[[#This Row],[РРЦ, евро]]/Товары[[#This Row],[IRP, Eur]],"-")</f>
        <v>-</v>
      </c>
      <c r="AX857" s="42">
        <f>IFERROR(VLOOKUP(Товары[[#This Row],[SubGroup]],'Структура цен DIY'!$B:$C,2,FALSE),0)</f>
        <v>0.25</v>
      </c>
      <c r="AY857" s="44">
        <v>0</v>
      </c>
    </row>
    <row r="858" spans="1:51" x14ac:dyDescent="0.25">
      <c r="A858" s="34">
        <v>856</v>
      </c>
      <c r="B858" s="34" t="s">
        <v>49</v>
      </c>
      <c r="C858" s="110" t="str">
        <f>IFERROR(INDEX(Структура_ассортимента[SuperCategory],MATCH(Товары[[#This Row],[SubGroup]],Структура_ассортимента[Subgroup],0)),"")</f>
        <v>W</v>
      </c>
      <c r="D85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5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58" s="110" t="str">
        <f>IFERROR(INDEX(Структура_ассортимента[Product group],MATCH(Товары[[#This Row],[SubGroup]],Структура_ассортимента[Subgroup],0)),"")</f>
        <v>WMO_C</v>
      </c>
      <c r="G858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858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58" s="36">
        <v>9011</v>
      </c>
      <c r="J858" s="36" t="str">
        <f>IFERROR(INDEX(Структура_ассортимента[Generic Name (long)],MATCH(Товары[[#This Row],[SubGroup]],Структура_ассортимента[Subgroup],0)),"")</f>
        <v>TAP CONNECTOR</v>
      </c>
      <c r="L858" s="36">
        <v>901027701</v>
      </c>
      <c r="M858" s="35" t="s">
        <v>2542</v>
      </c>
      <c r="Q858" s="34" t="s">
        <v>3544</v>
      </c>
      <c r="R858" s="34" t="s">
        <v>3540</v>
      </c>
      <c r="S858" s="47">
        <v>36069</v>
      </c>
      <c r="T858" s="47">
        <v>0</v>
      </c>
      <c r="U858" s="47">
        <v>0</v>
      </c>
      <c r="V858" s="34">
        <v>4078500292122</v>
      </c>
      <c r="W858" s="34" t="s">
        <v>3543</v>
      </c>
      <c r="Y858" s="34" t="s">
        <v>3542</v>
      </c>
      <c r="Z858" s="34">
        <v>12</v>
      </c>
      <c r="AA858" s="34">
        <v>16</v>
      </c>
      <c r="AB858" s="34">
        <v>16</v>
      </c>
      <c r="AC858" s="34">
        <v>11</v>
      </c>
      <c r="AD858" s="34">
        <v>11</v>
      </c>
      <c r="AE858" s="34">
        <v>130</v>
      </c>
      <c r="AF858" s="34">
        <v>80</v>
      </c>
      <c r="AG858" s="34">
        <v>30</v>
      </c>
      <c r="AH858" s="34">
        <v>0.312</v>
      </c>
      <c r="AM858" s="40" t="s">
        <v>8094</v>
      </c>
      <c r="AT858" s="44">
        <v>0</v>
      </c>
      <c r="AU858" s="44"/>
      <c r="AV858" s="46">
        <f>ROUND(Товары[[#This Row],[РРЦ финальная, руб.]]/$AU$1,2)</f>
        <v>0</v>
      </c>
      <c r="AW858" s="45" t="str">
        <f>IFERROR(Товары[[#This Row],[РРЦ, евро]]/Товары[[#This Row],[IRP, Eur]],"-")</f>
        <v>-</v>
      </c>
      <c r="AX858" s="42">
        <f>IFERROR(VLOOKUP(Товары[[#This Row],[SubGroup]],'Структура цен DIY'!$B:$C,2,FALSE),0)</f>
        <v>0.26</v>
      </c>
      <c r="AY858" s="44">
        <v>0</v>
      </c>
    </row>
    <row r="859" spans="1:51" x14ac:dyDescent="0.25">
      <c r="A859" s="34">
        <v>857</v>
      </c>
      <c r="B859" s="34" t="s">
        <v>49</v>
      </c>
      <c r="C859" s="110" t="str">
        <f>IFERROR(INDEX(Структура_ассортимента[SuperCategory],MATCH(Товары[[#This Row],[SubGroup]],Структура_ассортимента[Subgroup],0)),"")</f>
        <v>W</v>
      </c>
      <c r="D85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5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59" s="110" t="str">
        <f>IFERROR(INDEX(Структура_ассортимента[Product group],MATCH(Товары[[#This Row],[SubGroup]],Структура_ассортимента[Subgroup],0)),"")</f>
        <v>WMO_C</v>
      </c>
      <c r="G859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859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59" s="36">
        <v>9011</v>
      </c>
      <c r="J859" s="36" t="str">
        <f>IFERROR(INDEX(Структура_ассортимента[Generic Name (long)],MATCH(Товары[[#This Row],[SubGroup]],Структура_ассортимента[Subgroup],0)),"")</f>
        <v>TAP CONNECTOR</v>
      </c>
      <c r="L859" s="36">
        <v>901030201</v>
      </c>
      <c r="M859" s="35" t="s">
        <v>2543</v>
      </c>
      <c r="Q859" s="34" t="s">
        <v>3544</v>
      </c>
      <c r="R859" s="34" t="s">
        <v>3540</v>
      </c>
      <c r="S859" s="47">
        <v>36069</v>
      </c>
      <c r="T859" s="47">
        <v>0</v>
      </c>
      <c r="U859" s="47">
        <v>0</v>
      </c>
      <c r="V859" s="34">
        <v>4078500293495</v>
      </c>
      <c r="W859" s="34" t="s">
        <v>3543</v>
      </c>
      <c r="Y859" s="34" t="s">
        <v>3542</v>
      </c>
      <c r="Z859" s="34">
        <v>12</v>
      </c>
      <c r="AA859" s="34">
        <v>28</v>
      </c>
      <c r="AB859" s="34">
        <v>28</v>
      </c>
      <c r="AC859" s="34">
        <v>26</v>
      </c>
      <c r="AD859" s="34">
        <v>26</v>
      </c>
      <c r="AE859" s="34">
        <v>130</v>
      </c>
      <c r="AF859" s="34">
        <v>80</v>
      </c>
      <c r="AG859" s="34">
        <v>21</v>
      </c>
      <c r="AH859" s="34">
        <v>0.218</v>
      </c>
      <c r="AM859" s="40" t="s">
        <v>8094</v>
      </c>
      <c r="AT859" s="44">
        <v>0</v>
      </c>
      <c r="AU859" s="44"/>
      <c r="AV859" s="46">
        <f>ROUND(Товары[[#This Row],[РРЦ финальная, руб.]]/$AU$1,2)</f>
        <v>0</v>
      </c>
      <c r="AW859" s="45" t="str">
        <f>IFERROR(Товары[[#This Row],[РРЦ, евро]]/Товары[[#This Row],[IRP, Eur]],"-")</f>
        <v>-</v>
      </c>
      <c r="AX859" s="42">
        <f>IFERROR(VLOOKUP(Товары[[#This Row],[SubGroup]],'Структура цен DIY'!$B:$C,2,FALSE),0)</f>
        <v>0.26</v>
      </c>
      <c r="AY859" s="44">
        <v>0</v>
      </c>
    </row>
    <row r="860" spans="1:51" x14ac:dyDescent="0.25">
      <c r="A860" s="34">
        <v>858</v>
      </c>
      <c r="B860" s="34" t="s">
        <v>49</v>
      </c>
      <c r="C860" s="110" t="str">
        <f>IFERROR(INDEX(Структура_ассортимента[SuperCategory],MATCH(Товары[[#This Row],[SubGroup]],Структура_ассортимента[Subgroup],0)),"")</f>
        <v>W</v>
      </c>
      <c r="D86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6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60" s="110" t="str">
        <f>IFERROR(INDEX(Структура_ассортимента[Product group],MATCH(Товары[[#This Row],[SubGroup]],Структура_ассортимента[Subgroup],0)),"")</f>
        <v>WMO_C</v>
      </c>
      <c r="G860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860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60" s="36">
        <v>9011</v>
      </c>
      <c r="J860" s="36" t="str">
        <f>IFERROR(INDEX(Структура_ассортимента[Generic Name (long)],MATCH(Товары[[#This Row],[SubGroup]],Структура_ассортимента[Subgroup],0)),"")</f>
        <v>TAP CONNECTOR</v>
      </c>
      <c r="L860" s="36">
        <v>901030901</v>
      </c>
      <c r="M860" s="35" t="s">
        <v>2544</v>
      </c>
      <c r="Q860" s="34" t="s">
        <v>3544</v>
      </c>
      <c r="R860" s="34" t="s">
        <v>3540</v>
      </c>
      <c r="S860" s="47">
        <v>37895</v>
      </c>
      <c r="T860" s="47">
        <v>0</v>
      </c>
      <c r="U860" s="47">
        <v>0</v>
      </c>
      <c r="V860" s="34">
        <v>4078500294294</v>
      </c>
      <c r="W860" s="34" t="s">
        <v>3543</v>
      </c>
      <c r="Y860" s="34" t="s">
        <v>3542</v>
      </c>
      <c r="Z860" s="34">
        <v>12</v>
      </c>
      <c r="AA860" s="34">
        <v>67</v>
      </c>
      <c r="AB860" s="34">
        <v>67</v>
      </c>
      <c r="AC860" s="34">
        <v>54</v>
      </c>
      <c r="AD860" s="34">
        <v>54</v>
      </c>
      <c r="AE860" s="34">
        <v>220</v>
      </c>
      <c r="AF860" s="34">
        <v>105</v>
      </c>
      <c r="AG860" s="34">
        <v>40</v>
      </c>
      <c r="AH860" s="34">
        <v>0.92400000000000004</v>
      </c>
      <c r="AM860" s="40" t="s">
        <v>8094</v>
      </c>
      <c r="AT860" s="44">
        <v>0</v>
      </c>
      <c r="AU860" s="44"/>
      <c r="AV860" s="46">
        <f>ROUND(Товары[[#This Row],[РРЦ финальная, руб.]]/$AU$1,2)</f>
        <v>0</v>
      </c>
      <c r="AW860" s="45" t="str">
        <f>IFERROR(Товары[[#This Row],[РРЦ, евро]]/Товары[[#This Row],[IRP, Eur]],"-")</f>
        <v>-</v>
      </c>
      <c r="AX860" s="42">
        <f>IFERROR(VLOOKUP(Товары[[#This Row],[SubGroup]],'Структура цен DIY'!$B:$C,2,FALSE),0)</f>
        <v>0.26</v>
      </c>
      <c r="AY860" s="44">
        <v>0</v>
      </c>
    </row>
    <row r="861" spans="1:51" x14ac:dyDescent="0.25">
      <c r="A861" s="34">
        <v>859</v>
      </c>
      <c r="B861" s="34" t="s">
        <v>49</v>
      </c>
      <c r="C861" s="110" t="str">
        <f>IFERROR(INDEX(Структура_ассортимента[SuperCategory],MATCH(Товары[[#This Row],[SubGroup]],Структура_ассортимента[Subgroup],0)),"")</f>
        <v>W</v>
      </c>
      <c r="D86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6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61" s="110" t="str">
        <f>IFERROR(INDEX(Структура_ассортимента[Product group],MATCH(Товары[[#This Row],[SubGroup]],Структура_ассортимента[Subgroup],0)),"")</f>
        <v>WMO_C</v>
      </c>
      <c r="G861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861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61" s="36">
        <v>9011</v>
      </c>
      <c r="J861" s="36" t="str">
        <f>IFERROR(INDEX(Структура_ассортимента[Generic Name (long)],MATCH(Товары[[#This Row],[SubGroup]],Структура_ассортимента[Subgroup],0)),"")</f>
        <v>TAP CONNECTOR</v>
      </c>
      <c r="L861" s="36">
        <v>901031201</v>
      </c>
      <c r="M861" s="35" t="s">
        <v>2545</v>
      </c>
      <c r="Q861" s="34" t="s">
        <v>3544</v>
      </c>
      <c r="R861" s="34" t="s">
        <v>3540</v>
      </c>
      <c r="S861" s="47">
        <v>38626</v>
      </c>
      <c r="T861" s="47">
        <v>0</v>
      </c>
      <c r="U861" s="47">
        <v>0</v>
      </c>
      <c r="V861" s="34">
        <v>4078500294393</v>
      </c>
      <c r="W861" s="34" t="s">
        <v>3543</v>
      </c>
      <c r="Y861" s="34" t="s">
        <v>3542</v>
      </c>
      <c r="Z861" s="34">
        <v>6</v>
      </c>
      <c r="AA861" s="34">
        <v>76</v>
      </c>
      <c r="AB861" s="34">
        <v>76</v>
      </c>
      <c r="AC861" s="34">
        <v>61</v>
      </c>
      <c r="AD861" s="34">
        <v>61</v>
      </c>
      <c r="AE861" s="34">
        <v>220</v>
      </c>
      <c r="AF861" s="34">
        <v>105</v>
      </c>
      <c r="AG861" s="34">
        <v>48</v>
      </c>
      <c r="AH861" s="34">
        <v>1.109</v>
      </c>
      <c r="AM861" s="40" t="s">
        <v>8094</v>
      </c>
      <c r="AT861" s="44">
        <v>0</v>
      </c>
      <c r="AU861" s="44"/>
      <c r="AV861" s="46">
        <f>ROUND(Товары[[#This Row],[РРЦ финальная, руб.]]/$AU$1,2)</f>
        <v>0</v>
      </c>
      <c r="AW861" s="45" t="str">
        <f>IFERROR(Товары[[#This Row],[РРЦ, евро]]/Товары[[#This Row],[IRP, Eur]],"-")</f>
        <v>-</v>
      </c>
      <c r="AX861" s="42">
        <f>IFERROR(VLOOKUP(Товары[[#This Row],[SubGroup]],'Структура цен DIY'!$B:$C,2,FALSE),0)</f>
        <v>0.26</v>
      </c>
      <c r="AY861" s="44">
        <v>0</v>
      </c>
    </row>
    <row r="862" spans="1:51" x14ac:dyDescent="0.25">
      <c r="A862" s="34">
        <v>860</v>
      </c>
      <c r="B862" s="34" t="s">
        <v>49</v>
      </c>
      <c r="C862" s="110" t="str">
        <f>IFERROR(INDEX(Структура_ассортимента[SuperCategory],MATCH(Товары[[#This Row],[SubGroup]],Структура_ассортимента[Subgroup],0)),"")</f>
        <v>W</v>
      </c>
      <c r="D86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6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62" s="110" t="str">
        <f>IFERROR(INDEX(Структура_ассортимента[Product group],MATCH(Товары[[#This Row],[SubGroup]],Структура_ассортимента[Subgroup],0)),"")</f>
        <v>WMO_C</v>
      </c>
      <c r="G862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862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62" s="36">
        <v>9011</v>
      </c>
      <c r="J862" s="36" t="str">
        <f>IFERROR(INDEX(Структура_ассортимента[Generic Name (long)],MATCH(Товары[[#This Row],[SubGroup]],Структура_ассортимента[Subgroup],0)),"")</f>
        <v>TAP CONNECTOR</v>
      </c>
      <c r="L862" s="36">
        <v>901031501</v>
      </c>
      <c r="M862" s="35" t="s">
        <v>2546</v>
      </c>
      <c r="Q862" s="34" t="s">
        <v>3544</v>
      </c>
      <c r="R862" s="34" t="s">
        <v>3540</v>
      </c>
      <c r="S862" s="47">
        <v>38626</v>
      </c>
      <c r="T862" s="47">
        <v>0</v>
      </c>
      <c r="U862" s="47">
        <v>0</v>
      </c>
      <c r="V862" s="34">
        <v>4078500297691</v>
      </c>
      <c r="W862" s="34" t="s">
        <v>3543</v>
      </c>
      <c r="Y862" s="34" t="s">
        <v>3542</v>
      </c>
      <c r="Z862" s="34">
        <v>6</v>
      </c>
      <c r="AA862" s="34">
        <v>72</v>
      </c>
      <c r="AB862" s="34">
        <v>72</v>
      </c>
      <c r="AC862" s="34">
        <v>66</v>
      </c>
      <c r="AD862" s="34">
        <v>66</v>
      </c>
      <c r="AE862" s="34">
        <v>220</v>
      </c>
      <c r="AF862" s="34">
        <v>105</v>
      </c>
      <c r="AG862" s="34">
        <v>48</v>
      </c>
      <c r="AH862" s="34">
        <v>1.109</v>
      </c>
      <c r="AM862" s="40" t="s">
        <v>8094</v>
      </c>
      <c r="AT862" s="44">
        <v>0</v>
      </c>
      <c r="AU862" s="44"/>
      <c r="AV862" s="46">
        <f>ROUND(Товары[[#This Row],[РРЦ финальная, руб.]]/$AU$1,2)</f>
        <v>0</v>
      </c>
      <c r="AW862" s="45" t="str">
        <f>IFERROR(Товары[[#This Row],[РРЦ, евро]]/Товары[[#This Row],[IRP, Eur]],"-")</f>
        <v>-</v>
      </c>
      <c r="AX862" s="42">
        <f>IFERROR(VLOOKUP(Товары[[#This Row],[SubGroup]],'Структура цен DIY'!$B:$C,2,FALSE),0)</f>
        <v>0.26</v>
      </c>
      <c r="AY862" s="44">
        <v>0</v>
      </c>
    </row>
    <row r="863" spans="1:51" x14ac:dyDescent="0.25">
      <c r="A863" s="34">
        <v>861</v>
      </c>
      <c r="B863" s="34" t="s">
        <v>49</v>
      </c>
      <c r="C863" s="110" t="str">
        <f>IFERROR(INDEX(Структура_ассортимента[SuperCategory],MATCH(Товары[[#This Row],[SubGroup]],Структура_ассортимента[Subgroup],0)),"")</f>
        <v>W</v>
      </c>
      <c r="D86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6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63" s="110" t="str">
        <f>IFERROR(INDEX(Структура_ассортимента[Product group],MATCH(Товары[[#This Row],[SubGroup]],Структура_ассортимента[Subgroup],0)),"")</f>
        <v>WMO_C</v>
      </c>
      <c r="G863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863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63" s="36">
        <v>9011</v>
      </c>
      <c r="J863" s="36" t="str">
        <f>IFERROR(INDEX(Структура_ассортимента[Generic Name (long)],MATCH(Товары[[#This Row],[SubGroup]],Структура_ассортимента[Subgroup],0)),"")</f>
        <v>TAP CONNECTOR</v>
      </c>
      <c r="L863" s="36">
        <v>901031801</v>
      </c>
      <c r="M863" s="35" t="s">
        <v>2547</v>
      </c>
      <c r="Q863" s="34" t="s">
        <v>3544</v>
      </c>
      <c r="R863" s="34" t="s">
        <v>3540</v>
      </c>
      <c r="S863" s="47">
        <v>38626</v>
      </c>
      <c r="T863" s="47">
        <v>0</v>
      </c>
      <c r="U863" s="47">
        <v>0</v>
      </c>
      <c r="V863" s="34">
        <v>4078500297790</v>
      </c>
      <c r="W863" s="34" t="s">
        <v>3543</v>
      </c>
      <c r="Y863" s="34" t="s">
        <v>3542</v>
      </c>
      <c r="Z863" s="34">
        <v>6</v>
      </c>
      <c r="AA863" s="34">
        <v>90</v>
      </c>
      <c r="AB863" s="34">
        <v>90</v>
      </c>
      <c r="AC863" s="34">
        <v>78</v>
      </c>
      <c r="AD863" s="34">
        <v>78</v>
      </c>
      <c r="AE863" s="34">
        <v>220</v>
      </c>
      <c r="AF863" s="34">
        <v>105</v>
      </c>
      <c r="AG863" s="34">
        <v>49</v>
      </c>
      <c r="AH863" s="34">
        <v>1.1319999999999999</v>
      </c>
      <c r="AM863" s="40" t="s">
        <v>8094</v>
      </c>
      <c r="AT863" s="44">
        <v>0</v>
      </c>
      <c r="AU863" s="44"/>
      <c r="AV863" s="46">
        <f>ROUND(Товары[[#This Row],[РРЦ финальная, руб.]]/$AU$1,2)</f>
        <v>0</v>
      </c>
      <c r="AW863" s="45" t="str">
        <f>IFERROR(Товары[[#This Row],[РРЦ, евро]]/Товары[[#This Row],[IRP, Eur]],"-")</f>
        <v>-</v>
      </c>
      <c r="AX863" s="42">
        <f>IFERROR(VLOOKUP(Товары[[#This Row],[SubGroup]],'Структура цен DIY'!$B:$C,2,FALSE),0)</f>
        <v>0.26</v>
      </c>
      <c r="AY863" s="44">
        <v>0</v>
      </c>
    </row>
    <row r="864" spans="1:51" x14ac:dyDescent="0.25">
      <c r="A864" s="34">
        <v>862</v>
      </c>
      <c r="B864" s="34" t="s">
        <v>49</v>
      </c>
      <c r="C864" s="110" t="str">
        <f>IFERROR(INDEX(Структура_ассортимента[SuperCategory],MATCH(Товары[[#This Row],[SubGroup]],Структура_ассортимента[Subgroup],0)),"")</f>
        <v>W</v>
      </c>
      <c r="D86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6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64" s="110" t="str">
        <f>IFERROR(INDEX(Структура_ассортимента[Product group],MATCH(Товары[[#This Row],[SubGroup]],Структура_ассортимента[Subgroup],0)),"")</f>
        <v>WMA_C</v>
      </c>
      <c r="G864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64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64" s="36">
        <v>9022</v>
      </c>
      <c r="J864" s="36" t="str">
        <f>IFERROR(INDEX(Структура_ассортимента[Generic Name (long)],MATCH(Товары[[#This Row],[SubGroup]],Структура_ассортимента[Subgroup],0)),"")</f>
        <v>GARDEN SHOWER</v>
      </c>
      <c r="L864" s="36">
        <v>901145001</v>
      </c>
      <c r="M864" s="35" t="s">
        <v>2548</v>
      </c>
      <c r="Q864" s="34" t="s">
        <v>4565</v>
      </c>
      <c r="R864" s="34" t="s">
        <v>3540</v>
      </c>
      <c r="S864" s="47">
        <v>37895</v>
      </c>
      <c r="T864" s="47">
        <v>42735</v>
      </c>
      <c r="U864" s="47">
        <v>42735</v>
      </c>
      <c r="V864" s="34">
        <v>4078500810098</v>
      </c>
      <c r="W864" s="34" t="s">
        <v>3543</v>
      </c>
      <c r="Y864" s="34" t="s">
        <v>3542</v>
      </c>
      <c r="Z864" s="34">
        <v>5</v>
      </c>
      <c r="AA864" s="34">
        <v>200</v>
      </c>
      <c r="AB864" s="34">
        <v>200</v>
      </c>
      <c r="AC864" s="34">
        <v>190</v>
      </c>
      <c r="AD864" s="34">
        <v>190</v>
      </c>
      <c r="AE864" s="34">
        <v>235</v>
      </c>
      <c r="AF864" s="34">
        <v>200</v>
      </c>
      <c r="AG864" s="34">
        <v>40</v>
      </c>
      <c r="AH864" s="34">
        <v>1.88</v>
      </c>
      <c r="AM864" s="40" t="s">
        <v>8094</v>
      </c>
      <c r="AT864" s="44">
        <v>0</v>
      </c>
      <c r="AU864" s="44"/>
      <c r="AV864" s="46">
        <f>ROUND(Товары[[#This Row],[РРЦ финальная, руб.]]/$AU$1,2)</f>
        <v>0</v>
      </c>
      <c r="AW864" s="45" t="str">
        <f>IFERROR(Товары[[#This Row],[РРЦ, евро]]/Товары[[#This Row],[IRP, Eur]],"-")</f>
        <v>-</v>
      </c>
      <c r="AX864" s="42">
        <f>IFERROR(VLOOKUP(Товары[[#This Row],[SubGroup]],'Структура цен DIY'!$B:$C,2,FALSE),0)</f>
        <v>0.28000000000000003</v>
      </c>
      <c r="AY864" s="44">
        <v>0</v>
      </c>
    </row>
    <row r="865" spans="1:51" x14ac:dyDescent="0.25">
      <c r="A865" s="34">
        <v>863</v>
      </c>
      <c r="B865" s="34" t="s">
        <v>49</v>
      </c>
      <c r="C865" s="110" t="str">
        <f>IFERROR(INDEX(Структура_ассортимента[SuperCategory],MATCH(Товары[[#This Row],[SubGroup]],Структура_ассортимента[Subgroup],0)),"")</f>
        <v>W</v>
      </c>
      <c r="D86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6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65" s="110" t="str">
        <f>IFERROR(INDEX(Структура_ассортимента[Product group],MATCH(Товары[[#This Row],[SubGroup]],Структура_ассортимента[Subgroup],0)),"")</f>
        <v>WMA_C</v>
      </c>
      <c r="G865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65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65" s="36">
        <v>9022</v>
      </c>
      <c r="J865" s="36" t="str">
        <f>IFERROR(INDEX(Структура_ассортимента[Generic Name (long)],MATCH(Товары[[#This Row],[SubGroup]],Структура_ассортимента[Subgroup],0)),"")</f>
        <v>GARDEN SHOWER</v>
      </c>
      <c r="L865" s="36">
        <v>901147301</v>
      </c>
      <c r="M865" s="35" t="s">
        <v>2549</v>
      </c>
      <c r="Q865" s="34" t="s">
        <v>4565</v>
      </c>
      <c r="R865" s="34" t="s">
        <v>3540</v>
      </c>
      <c r="S865" s="47">
        <v>37895</v>
      </c>
      <c r="T865" s="47">
        <v>42735</v>
      </c>
      <c r="U865" s="47">
        <v>42735</v>
      </c>
      <c r="V865" s="34">
        <v>4078500810692</v>
      </c>
      <c r="W865" s="34" t="s">
        <v>3543</v>
      </c>
      <c r="Y865" s="34" t="s">
        <v>3542</v>
      </c>
      <c r="Z865" s="34">
        <v>5</v>
      </c>
      <c r="AA865" s="34">
        <v>275</v>
      </c>
      <c r="AB865" s="34">
        <v>275</v>
      </c>
      <c r="AC865" s="34">
        <v>240</v>
      </c>
      <c r="AD865" s="34">
        <v>240</v>
      </c>
      <c r="AE865" s="34">
        <v>235</v>
      </c>
      <c r="AF865" s="34">
        <v>200</v>
      </c>
      <c r="AG865" s="34">
        <v>65</v>
      </c>
      <c r="AH865" s="34">
        <v>2.35</v>
      </c>
      <c r="AM865" s="40" t="s">
        <v>8094</v>
      </c>
      <c r="AT865" s="44">
        <v>0</v>
      </c>
      <c r="AU865" s="44"/>
      <c r="AV865" s="46">
        <f>ROUND(Товары[[#This Row],[РРЦ финальная, руб.]]/$AU$1,2)</f>
        <v>0</v>
      </c>
      <c r="AW865" s="45" t="str">
        <f>IFERROR(Товары[[#This Row],[РРЦ, евро]]/Товары[[#This Row],[IRP, Eur]],"-")</f>
        <v>-</v>
      </c>
      <c r="AX865" s="42">
        <f>IFERROR(VLOOKUP(Товары[[#This Row],[SubGroup]],'Структура цен DIY'!$B:$C,2,FALSE),0)</f>
        <v>0.28000000000000003</v>
      </c>
      <c r="AY865" s="44">
        <v>0</v>
      </c>
    </row>
    <row r="866" spans="1:51" x14ac:dyDescent="0.25">
      <c r="A866" s="34">
        <v>864</v>
      </c>
      <c r="B866" s="34" t="s">
        <v>49</v>
      </c>
      <c r="C866" s="110" t="str">
        <f>IFERROR(INDEX(Структура_ассортимента[SuperCategory],MATCH(Товары[[#This Row],[SubGroup]],Структура_ассортимента[Subgroup],0)),"")</f>
        <v>W</v>
      </c>
      <c r="D86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6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66" s="110" t="str">
        <f>IFERROR(INDEX(Структура_ассортимента[Product group],MATCH(Товары[[#This Row],[SubGroup]],Структура_ассортимента[Subgroup],0)),"")</f>
        <v>WMA_C</v>
      </c>
      <c r="G866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66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66" s="36">
        <v>9022</v>
      </c>
      <c r="J866" s="36" t="str">
        <f>IFERROR(INDEX(Структура_ассортимента[Generic Name (long)],MATCH(Товары[[#This Row],[SubGroup]],Структура_ассортимента[Subgroup],0)),"")</f>
        <v>GARDEN SHOWER</v>
      </c>
      <c r="L866" s="36">
        <v>901149501</v>
      </c>
      <c r="M866" s="35" t="s">
        <v>2550</v>
      </c>
      <c r="Q866" s="34" t="s">
        <v>3544</v>
      </c>
      <c r="R866" s="34" t="s">
        <v>3540</v>
      </c>
      <c r="S866" s="47">
        <v>0</v>
      </c>
      <c r="T866" s="47">
        <v>0</v>
      </c>
      <c r="U866" s="47">
        <v>0</v>
      </c>
      <c r="W866" s="34" t="s">
        <v>3543</v>
      </c>
      <c r="Y866" s="34" t="s">
        <v>3542</v>
      </c>
      <c r="Z866" s="34">
        <v>48</v>
      </c>
      <c r="AA866" s="34">
        <v>0</v>
      </c>
      <c r="AC866" s="34">
        <v>0</v>
      </c>
      <c r="AE866" s="34">
        <v>218</v>
      </c>
      <c r="AF866" s="34">
        <v>177</v>
      </c>
      <c r="AG866" s="34">
        <v>37</v>
      </c>
      <c r="AH866" s="34">
        <v>0</v>
      </c>
      <c r="AM866" s="40" t="s">
        <v>8094</v>
      </c>
      <c r="AT866" s="44">
        <v>0</v>
      </c>
      <c r="AU866" s="44"/>
      <c r="AV866" s="46">
        <f>ROUND(Товары[[#This Row],[РРЦ финальная, руб.]]/$AU$1,2)</f>
        <v>0</v>
      </c>
      <c r="AW866" s="45" t="str">
        <f>IFERROR(Товары[[#This Row],[РРЦ, евро]]/Товары[[#This Row],[IRP, Eur]],"-")</f>
        <v>-</v>
      </c>
      <c r="AX866" s="42">
        <f>IFERROR(VLOOKUP(Товары[[#This Row],[SubGroup]],'Структура цен DIY'!$B:$C,2,FALSE),0)</f>
        <v>0.28000000000000003</v>
      </c>
      <c r="AY866" s="44">
        <v>0</v>
      </c>
    </row>
    <row r="867" spans="1:51" x14ac:dyDescent="0.25">
      <c r="A867" s="34">
        <v>865</v>
      </c>
      <c r="B867" s="34" t="s">
        <v>49</v>
      </c>
      <c r="C867" s="110" t="str">
        <f>IFERROR(INDEX(Структура_ассортимента[SuperCategory],MATCH(Товары[[#This Row],[SubGroup]],Структура_ассортимента[Subgroup],0)),"")</f>
        <v>W</v>
      </c>
      <c r="D86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6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67" s="110" t="str">
        <f>IFERROR(INDEX(Структура_ассортимента[Product group],MATCH(Товары[[#This Row],[SubGroup]],Структура_ассортимента[Subgroup],0)),"")</f>
        <v>WMA_C</v>
      </c>
      <c r="G867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67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67" s="36">
        <v>9022</v>
      </c>
      <c r="J867" s="36" t="str">
        <f>IFERROR(INDEX(Структура_ассортимента[Generic Name (long)],MATCH(Товары[[#This Row],[SubGroup]],Структура_ассортимента[Subgroup],0)),"")</f>
        <v>GARDEN SHOWER</v>
      </c>
      <c r="L867" s="36">
        <v>901152001</v>
      </c>
      <c r="M867" s="35" t="s">
        <v>2551</v>
      </c>
      <c r="Q867" s="34" t="s">
        <v>3544</v>
      </c>
      <c r="R867" s="34" t="s">
        <v>3540</v>
      </c>
      <c r="S867" s="47">
        <v>0</v>
      </c>
      <c r="T867" s="47">
        <v>0</v>
      </c>
      <c r="U867" s="47">
        <v>0</v>
      </c>
      <c r="W867" s="34" t="s">
        <v>3543</v>
      </c>
      <c r="Y867" s="34" t="s">
        <v>3542</v>
      </c>
      <c r="Z867" s="34">
        <v>24</v>
      </c>
      <c r="AA867" s="34">
        <v>0</v>
      </c>
      <c r="AC867" s="34">
        <v>0</v>
      </c>
      <c r="AE867" s="34">
        <v>180</v>
      </c>
      <c r="AF867" s="34">
        <v>285</v>
      </c>
      <c r="AG867" s="34">
        <v>30</v>
      </c>
      <c r="AH867" s="34">
        <v>0</v>
      </c>
      <c r="AM867" s="40" t="s">
        <v>8094</v>
      </c>
      <c r="AT867" s="44">
        <v>0</v>
      </c>
      <c r="AU867" s="44"/>
      <c r="AV867" s="46">
        <f>ROUND(Товары[[#This Row],[РРЦ финальная, руб.]]/$AU$1,2)</f>
        <v>0</v>
      </c>
      <c r="AW867" s="45" t="str">
        <f>IFERROR(Товары[[#This Row],[РРЦ, евро]]/Товары[[#This Row],[IRP, Eur]],"-")</f>
        <v>-</v>
      </c>
      <c r="AX867" s="42">
        <f>IFERROR(VLOOKUP(Товары[[#This Row],[SubGroup]],'Структура цен DIY'!$B:$C,2,FALSE),0)</f>
        <v>0.28000000000000003</v>
      </c>
      <c r="AY867" s="44">
        <v>0</v>
      </c>
    </row>
    <row r="868" spans="1:51" x14ac:dyDescent="0.25">
      <c r="A868" s="34">
        <v>866</v>
      </c>
      <c r="B868" s="34" t="s">
        <v>49</v>
      </c>
      <c r="C868" s="110" t="str">
        <f>IFERROR(INDEX(Структура_ассортимента[SuperCategory],MATCH(Товары[[#This Row],[SubGroup]],Структура_ассортимента[Subgroup],0)),"")</f>
        <v>W</v>
      </c>
      <c r="D86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6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68" s="110" t="str">
        <f>IFERROR(INDEX(Структура_ассортимента[Product group],MATCH(Товары[[#This Row],[SubGroup]],Структура_ассортимента[Subgroup],0)),"")</f>
        <v>WMO_C</v>
      </c>
      <c r="G868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868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68" s="36">
        <v>9011</v>
      </c>
      <c r="J868" s="36" t="str">
        <f>IFERROR(INDEX(Структура_ассортимента[Generic Name (long)],MATCH(Товары[[#This Row],[SubGroup]],Структура_ассортимента[Subgroup],0)),"")</f>
        <v>TAP CONNECTOR</v>
      </c>
      <c r="L868" s="36">
        <v>901157901</v>
      </c>
      <c r="M868" s="35" t="s">
        <v>2552</v>
      </c>
      <c r="Q868" s="34" t="s">
        <v>3544</v>
      </c>
      <c r="R868" s="34" t="s">
        <v>3540</v>
      </c>
      <c r="S868" s="47">
        <v>38991</v>
      </c>
      <c r="T868" s="47">
        <v>0</v>
      </c>
      <c r="U868" s="47">
        <v>0</v>
      </c>
      <c r="V868" s="34">
        <v>40785394</v>
      </c>
      <c r="W868" s="34" t="s">
        <v>3543</v>
      </c>
      <c r="Y868" s="34" t="s">
        <v>3542</v>
      </c>
      <c r="Z868" s="34">
        <v>10</v>
      </c>
      <c r="AA868" s="34">
        <v>122</v>
      </c>
      <c r="AB868" s="34">
        <v>122</v>
      </c>
      <c r="AC868" s="34">
        <v>100</v>
      </c>
      <c r="AD868" s="34">
        <v>100</v>
      </c>
      <c r="AE868" s="34">
        <v>77</v>
      </c>
      <c r="AF868" s="34">
        <v>50</v>
      </c>
      <c r="AG868" s="34">
        <v>50</v>
      </c>
      <c r="AH868" s="34">
        <v>0.193</v>
      </c>
      <c r="AM868" s="40" t="s">
        <v>8094</v>
      </c>
      <c r="AT868" s="44">
        <v>0</v>
      </c>
      <c r="AU868" s="44"/>
      <c r="AV868" s="46">
        <f>ROUND(Товары[[#This Row],[РРЦ финальная, руб.]]/$AU$1,2)</f>
        <v>0</v>
      </c>
      <c r="AW868" s="45" t="str">
        <f>IFERROR(Товары[[#This Row],[РРЦ, евро]]/Товары[[#This Row],[IRP, Eur]],"-")</f>
        <v>-</v>
      </c>
      <c r="AX868" s="42">
        <f>IFERROR(VLOOKUP(Товары[[#This Row],[SubGroup]],'Структура цен DIY'!$B:$C,2,FALSE),0)</f>
        <v>0.26</v>
      </c>
      <c r="AY868" s="44">
        <v>0</v>
      </c>
    </row>
    <row r="869" spans="1:51" x14ac:dyDescent="0.25">
      <c r="A869" s="34">
        <v>867</v>
      </c>
      <c r="B869" s="34" t="s">
        <v>49</v>
      </c>
      <c r="C869" s="110" t="str">
        <f>IFERROR(INDEX(Структура_ассортимента[SuperCategory],MATCH(Товары[[#This Row],[SubGroup]],Структура_ассортимента[Subgroup],0)),"")</f>
        <v>W</v>
      </c>
      <c r="D86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6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69" s="110" t="str">
        <f>IFERROR(INDEX(Структура_ассортимента[Product group],MATCH(Товары[[#This Row],[SubGroup]],Структура_ассортимента[Subgroup],0)),"")</f>
        <v>WMA_C</v>
      </c>
      <c r="G869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69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69" s="36">
        <v>9022</v>
      </c>
      <c r="J869" s="36" t="str">
        <f>IFERROR(INDEX(Структура_ассортимента[Generic Name (long)],MATCH(Товары[[#This Row],[SubGroup]],Структура_ассортимента[Subgroup],0)),"")</f>
        <v>GARDEN SHOWER</v>
      </c>
      <c r="L869" s="36">
        <v>967191701</v>
      </c>
      <c r="M869" s="35" t="s">
        <v>2553</v>
      </c>
      <c r="Q869" s="34" t="s">
        <v>3544</v>
      </c>
      <c r="R869" s="34" t="s">
        <v>3540</v>
      </c>
      <c r="S869" s="47">
        <v>0</v>
      </c>
      <c r="T869" s="47">
        <v>0</v>
      </c>
      <c r="U869" s="47">
        <v>0</v>
      </c>
      <c r="W869" s="34" t="s">
        <v>3543</v>
      </c>
      <c r="Y869" s="34" t="s">
        <v>3542</v>
      </c>
      <c r="Z869" s="34">
        <v>36</v>
      </c>
      <c r="AA869" s="34">
        <v>0</v>
      </c>
      <c r="AC869" s="34">
        <v>0</v>
      </c>
      <c r="AE869" s="34">
        <v>218</v>
      </c>
      <c r="AF869" s="34">
        <v>177</v>
      </c>
      <c r="AG869" s="34">
        <v>36</v>
      </c>
      <c r="AH869" s="34">
        <v>0</v>
      </c>
      <c r="AM869" s="40" t="s">
        <v>8094</v>
      </c>
      <c r="AT869" s="44">
        <v>0</v>
      </c>
      <c r="AU869" s="44"/>
      <c r="AV869" s="46">
        <f>ROUND(Товары[[#This Row],[РРЦ финальная, руб.]]/$AU$1,2)</f>
        <v>0</v>
      </c>
      <c r="AW869" s="45" t="str">
        <f>IFERROR(Товары[[#This Row],[РРЦ, евро]]/Товары[[#This Row],[IRP, Eur]],"-")</f>
        <v>-</v>
      </c>
      <c r="AX869" s="42">
        <f>IFERROR(VLOOKUP(Товары[[#This Row],[SubGroup]],'Структура цен DIY'!$B:$C,2,FALSE),0)</f>
        <v>0.28000000000000003</v>
      </c>
      <c r="AY869" s="44">
        <v>0</v>
      </c>
    </row>
    <row r="870" spans="1:51" x14ac:dyDescent="0.25">
      <c r="A870" s="34">
        <v>868</v>
      </c>
      <c r="B870" s="34" t="s">
        <v>49</v>
      </c>
      <c r="C870" s="110" t="str">
        <f>IFERROR(INDEX(Структура_ассортимента[SuperCategory],MATCH(Товары[[#This Row],[SubGroup]],Структура_ассортимента[Subgroup],0)),"")</f>
        <v>W</v>
      </c>
      <c r="D87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7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70" s="110" t="str">
        <f>IFERROR(INDEX(Структура_ассортимента[Product group],MATCH(Товары[[#This Row],[SubGroup]],Структура_ассортимента[Subgroup],0)),"")</f>
        <v>WMA_C</v>
      </c>
      <c r="G870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70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70" s="36">
        <v>9022</v>
      </c>
      <c r="J870" s="36" t="str">
        <f>IFERROR(INDEX(Структура_ассортимента[Generic Name (long)],MATCH(Товары[[#This Row],[SubGroup]],Структура_ассортимента[Subgroup],0)),"")</f>
        <v>GARDEN SHOWER</v>
      </c>
      <c r="L870" s="36">
        <v>901159701</v>
      </c>
      <c r="M870" s="35" t="s">
        <v>2554</v>
      </c>
      <c r="Q870" s="34" t="s">
        <v>3544</v>
      </c>
      <c r="R870" s="34" t="s">
        <v>3540</v>
      </c>
      <c r="S870" s="47">
        <v>41387</v>
      </c>
      <c r="T870" s="47">
        <v>0</v>
      </c>
      <c r="U870" s="47">
        <v>0</v>
      </c>
      <c r="V870" s="34">
        <v>4078500818407</v>
      </c>
      <c r="W870" s="34" t="s">
        <v>3543</v>
      </c>
      <c r="Y870" s="34" t="s">
        <v>3542</v>
      </c>
      <c r="Z870" s="34">
        <v>30</v>
      </c>
      <c r="AA870" s="34">
        <v>0</v>
      </c>
      <c r="AC870" s="34">
        <v>0</v>
      </c>
      <c r="AE870" s="34">
        <v>218</v>
      </c>
      <c r="AF870" s="34">
        <v>177</v>
      </c>
      <c r="AG870" s="34">
        <v>36</v>
      </c>
      <c r="AH870" s="34">
        <v>0</v>
      </c>
      <c r="AM870" s="40" t="s">
        <v>8094</v>
      </c>
      <c r="AT870" s="44">
        <v>0</v>
      </c>
      <c r="AU870" s="44"/>
      <c r="AV870" s="46">
        <f>ROUND(Товары[[#This Row],[РРЦ финальная, руб.]]/$AU$1,2)</f>
        <v>0</v>
      </c>
      <c r="AW870" s="45" t="str">
        <f>IFERROR(Товары[[#This Row],[РРЦ, евро]]/Товары[[#This Row],[IRP, Eur]],"-")</f>
        <v>-</v>
      </c>
      <c r="AX870" s="42">
        <f>IFERROR(VLOOKUP(Товары[[#This Row],[SubGroup]],'Структура цен DIY'!$B:$C,2,FALSE),0)</f>
        <v>0.28000000000000003</v>
      </c>
      <c r="AY870" s="44">
        <v>0</v>
      </c>
    </row>
    <row r="871" spans="1:51" x14ac:dyDescent="0.25">
      <c r="A871" s="34">
        <v>869</v>
      </c>
      <c r="B871" s="34" t="s">
        <v>49</v>
      </c>
      <c r="C871" s="110" t="str">
        <f>IFERROR(INDEX(Структура_ассортимента[SuperCategory],MATCH(Товары[[#This Row],[SubGroup]],Структура_ассортимента[Subgroup],0)),"")</f>
        <v>W</v>
      </c>
      <c r="D87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7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71" s="110" t="str">
        <f>IFERROR(INDEX(Структура_ассортимента[Product group],MATCH(Товары[[#This Row],[SubGroup]],Структура_ассортимента[Subgroup],0)),"")</f>
        <v>WMA_C</v>
      </c>
      <c r="G871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71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71" s="36">
        <v>9022</v>
      </c>
      <c r="J871" s="36" t="str">
        <f>IFERROR(INDEX(Структура_ассортимента[Generic Name (long)],MATCH(Товары[[#This Row],[SubGroup]],Структура_ассортимента[Subgroup],0)),"")</f>
        <v>GARDEN SHOWER</v>
      </c>
      <c r="L871" s="36">
        <v>901160001</v>
      </c>
      <c r="M871" s="35" t="s">
        <v>2555</v>
      </c>
      <c r="Q871" s="34" t="s">
        <v>4565</v>
      </c>
      <c r="R871" s="34" t="s">
        <v>3540</v>
      </c>
      <c r="S871" s="47">
        <v>39356</v>
      </c>
      <c r="T871" s="47">
        <v>42735</v>
      </c>
      <c r="U871" s="47">
        <v>42735</v>
      </c>
      <c r="V871" s="34">
        <v>4078500818544</v>
      </c>
      <c r="W871" s="34" t="s">
        <v>3543</v>
      </c>
      <c r="Y871" s="34" t="s">
        <v>3542</v>
      </c>
      <c r="Z871" s="34">
        <v>24</v>
      </c>
      <c r="AA871" s="34">
        <v>236</v>
      </c>
      <c r="AB871" s="34">
        <v>236</v>
      </c>
      <c r="AC871" s="34">
        <v>116</v>
      </c>
      <c r="AD871" s="34">
        <v>116</v>
      </c>
      <c r="AE871" s="34">
        <v>238</v>
      </c>
      <c r="AF871" s="34">
        <v>178</v>
      </c>
      <c r="AG871" s="34">
        <v>60</v>
      </c>
      <c r="AH871" s="34">
        <v>2.5419999999999998</v>
      </c>
      <c r="AM871" s="40" t="s">
        <v>8094</v>
      </c>
      <c r="AT871" s="44">
        <v>0</v>
      </c>
      <c r="AU871" s="44"/>
      <c r="AV871" s="46">
        <f>ROUND(Товары[[#This Row],[РРЦ финальная, руб.]]/$AU$1,2)</f>
        <v>0</v>
      </c>
      <c r="AW871" s="45" t="str">
        <f>IFERROR(Товары[[#This Row],[РРЦ, евро]]/Товары[[#This Row],[IRP, Eur]],"-")</f>
        <v>-</v>
      </c>
      <c r="AX871" s="42">
        <f>IFERROR(VLOOKUP(Товары[[#This Row],[SubGroup]],'Структура цен DIY'!$B:$C,2,FALSE),0)</f>
        <v>0.28000000000000003</v>
      </c>
      <c r="AY871" s="44">
        <v>0</v>
      </c>
    </row>
    <row r="872" spans="1:51" x14ac:dyDescent="0.25">
      <c r="A872" s="34">
        <v>870</v>
      </c>
      <c r="B872" s="34" t="s">
        <v>49</v>
      </c>
      <c r="C872" s="110" t="str">
        <f>IFERROR(INDEX(Структура_ассортимента[SuperCategory],MATCH(Товары[[#This Row],[SubGroup]],Структура_ассортимента[Subgroup],0)),"")</f>
        <v>W</v>
      </c>
      <c r="D87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7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72" s="110" t="str">
        <f>IFERROR(INDEX(Структура_ассортимента[Product group],MATCH(Товары[[#This Row],[SubGroup]],Структура_ассортимента[Subgroup],0)),"")</f>
        <v>WMO_C</v>
      </c>
      <c r="G872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872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72" s="36">
        <v>9011</v>
      </c>
      <c r="J872" s="36" t="str">
        <f>IFERROR(INDEX(Структура_ассортимента[Generic Name (long)],MATCH(Товары[[#This Row],[SubGroup]],Структура_ассортимента[Subgroup],0)),"")</f>
        <v>TAP CONNECTOR</v>
      </c>
      <c r="L872" s="36">
        <v>966781001</v>
      </c>
      <c r="M872" s="35" t="s">
        <v>2556</v>
      </c>
      <c r="Q872" s="34" t="s">
        <v>3544</v>
      </c>
      <c r="R872" s="34" t="s">
        <v>3540</v>
      </c>
      <c r="S872" s="47">
        <v>40817</v>
      </c>
      <c r="T872" s="47">
        <v>0</v>
      </c>
      <c r="U872" s="47">
        <v>0</v>
      </c>
      <c r="V872" s="34">
        <v>4078500818841</v>
      </c>
      <c r="W872" s="34" t="s">
        <v>3543</v>
      </c>
      <c r="Y872" s="34" t="s">
        <v>3542</v>
      </c>
      <c r="Z872" s="34">
        <v>4</v>
      </c>
      <c r="AA872" s="34">
        <v>117</v>
      </c>
      <c r="AB872" s="34">
        <v>117</v>
      </c>
      <c r="AC872" s="34">
        <v>96</v>
      </c>
      <c r="AD872" s="34">
        <v>96</v>
      </c>
      <c r="AE872" s="34">
        <v>240</v>
      </c>
      <c r="AF872" s="34">
        <v>180</v>
      </c>
      <c r="AG872" s="34">
        <v>66</v>
      </c>
      <c r="AH872" s="34">
        <v>2.851</v>
      </c>
      <c r="AM872" s="40" t="s">
        <v>8094</v>
      </c>
      <c r="AT872" s="44">
        <v>0</v>
      </c>
      <c r="AU872" s="44"/>
      <c r="AV872" s="46">
        <f>ROUND(Товары[[#This Row],[РРЦ финальная, руб.]]/$AU$1,2)</f>
        <v>0</v>
      </c>
      <c r="AW872" s="45" t="str">
        <f>IFERROR(Товары[[#This Row],[РРЦ, евро]]/Товары[[#This Row],[IRP, Eur]],"-")</f>
        <v>-</v>
      </c>
      <c r="AX872" s="42">
        <f>IFERROR(VLOOKUP(Товары[[#This Row],[SubGroup]],'Структура цен DIY'!$B:$C,2,FALSE),0)</f>
        <v>0.26</v>
      </c>
      <c r="AY872" s="44">
        <v>0</v>
      </c>
    </row>
    <row r="873" spans="1:51" x14ac:dyDescent="0.25">
      <c r="A873" s="34">
        <v>871</v>
      </c>
      <c r="B873" s="34" t="s">
        <v>49</v>
      </c>
      <c r="C873" s="110" t="str">
        <f>IFERROR(INDEX(Структура_ассортимента[SuperCategory],MATCH(Товары[[#This Row],[SubGroup]],Структура_ассортимента[Subgroup],0)),"")</f>
        <v>W</v>
      </c>
      <c r="D87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7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73" s="110" t="str">
        <f>IFERROR(INDEX(Структура_ассортимента[Product group],MATCH(Товары[[#This Row],[SubGroup]],Структура_ассортимента[Subgroup],0)),"")</f>
        <v>WMT_C</v>
      </c>
      <c r="G873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73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73" s="36">
        <v>9015</v>
      </c>
      <c r="J873" s="36" t="str">
        <f>IFERROR(INDEX(Структура_ассортимента[Generic Name (long)],MATCH(Товары[[#This Row],[SubGroup]],Структура_ассортимента[Subgroup],0)),"")</f>
        <v>WALL HOSE BRACKET</v>
      </c>
      <c r="L873" s="36">
        <v>966731801</v>
      </c>
      <c r="M873" s="35" t="s">
        <v>2557</v>
      </c>
      <c r="Q873" s="34" t="s">
        <v>4565</v>
      </c>
      <c r="R873" s="34" t="s">
        <v>3540</v>
      </c>
      <c r="S873" s="47">
        <v>40544</v>
      </c>
      <c r="T873" s="47">
        <v>0</v>
      </c>
      <c r="U873" s="47">
        <v>0</v>
      </c>
      <c r="V873" s="34">
        <v>4078500268035</v>
      </c>
      <c r="W873" s="34" t="s">
        <v>3543</v>
      </c>
      <c r="Y873" s="34" t="s">
        <v>3542</v>
      </c>
      <c r="Z873" s="34">
        <v>4</v>
      </c>
      <c r="AA873" s="34">
        <v>9500</v>
      </c>
      <c r="AB873" s="34">
        <v>9500</v>
      </c>
      <c r="AC873" s="34">
        <v>9000</v>
      </c>
      <c r="AD873" s="34">
        <v>9000</v>
      </c>
      <c r="AE873" s="34">
        <v>860</v>
      </c>
      <c r="AF873" s="34">
        <v>410</v>
      </c>
      <c r="AG873" s="34">
        <v>540</v>
      </c>
      <c r="AH873" s="34">
        <v>190.404</v>
      </c>
      <c r="AM873" s="40" t="s">
        <v>8094</v>
      </c>
      <c r="AT873" s="44">
        <v>0</v>
      </c>
      <c r="AU873" s="44"/>
      <c r="AV873" s="46">
        <f>ROUND(Товары[[#This Row],[РРЦ финальная, руб.]]/$AU$1,2)</f>
        <v>0</v>
      </c>
      <c r="AW873" s="45" t="str">
        <f>IFERROR(Товары[[#This Row],[РРЦ, евро]]/Товары[[#This Row],[IRP, Eur]],"-")</f>
        <v>-</v>
      </c>
      <c r="AX873" s="42">
        <f>IFERROR(VLOOKUP(Товары[[#This Row],[SubGroup]],'Структура цен DIY'!$B:$C,2,FALSE),0)</f>
        <v>0.25</v>
      </c>
      <c r="AY873" s="44">
        <v>0</v>
      </c>
    </row>
    <row r="874" spans="1:51" x14ac:dyDescent="0.25">
      <c r="A874" s="34">
        <v>872</v>
      </c>
      <c r="B874" s="34" t="s">
        <v>49</v>
      </c>
      <c r="C874" s="110" t="str">
        <f>IFERROR(INDEX(Структура_ассортимента[SuperCategory],MATCH(Товары[[#This Row],[SubGroup]],Структура_ассортимента[Subgroup],0)),"")</f>
        <v>W</v>
      </c>
      <c r="D87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7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74" s="110" t="str">
        <f>IFERROR(INDEX(Структура_ассортимента[Product group],MATCH(Товары[[#This Row],[SubGroup]],Структура_ассортимента[Subgroup],0)),"")</f>
        <v>WMT_C</v>
      </c>
      <c r="G874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74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74" s="36">
        <v>9015</v>
      </c>
      <c r="J874" s="36" t="str">
        <f>IFERROR(INDEX(Структура_ассортимента[Generic Name (long)],MATCH(Товары[[#This Row],[SubGroup]],Структура_ассортимента[Subgroup],0)),"")</f>
        <v>WALL HOSE BRACKET</v>
      </c>
      <c r="L874" s="36">
        <v>901008001</v>
      </c>
      <c r="M874" s="35" t="s">
        <v>2558</v>
      </c>
      <c r="Q874" s="34" t="s">
        <v>3544</v>
      </c>
      <c r="R874" s="34" t="s">
        <v>3540</v>
      </c>
      <c r="S874" s="47">
        <v>38626</v>
      </c>
      <c r="T874" s="47">
        <v>0</v>
      </c>
      <c r="U874" s="47">
        <v>0</v>
      </c>
      <c r="V874" s="34">
        <v>4078500268141</v>
      </c>
      <c r="W874" s="34" t="s">
        <v>3543</v>
      </c>
      <c r="Y874" s="34" t="s">
        <v>3542</v>
      </c>
      <c r="Z874" s="34">
        <v>4</v>
      </c>
      <c r="AA874" s="34">
        <v>8875</v>
      </c>
      <c r="AB874" s="34">
        <v>8875</v>
      </c>
      <c r="AC874" s="34">
        <v>7875</v>
      </c>
      <c r="AD874" s="34">
        <v>7875</v>
      </c>
      <c r="AE874" s="34">
        <v>560</v>
      </c>
      <c r="AF874" s="34">
        <v>360</v>
      </c>
      <c r="AG874" s="34">
        <v>280</v>
      </c>
      <c r="AH874" s="34">
        <v>56.448</v>
      </c>
      <c r="AM874" s="40" t="s">
        <v>8094</v>
      </c>
      <c r="AT874" s="44">
        <v>0</v>
      </c>
      <c r="AU874" s="44"/>
      <c r="AV874" s="46">
        <f>ROUND(Товары[[#This Row],[РРЦ финальная, руб.]]/$AU$1,2)</f>
        <v>0</v>
      </c>
      <c r="AW874" s="45" t="str">
        <f>IFERROR(Товары[[#This Row],[РРЦ, евро]]/Товары[[#This Row],[IRP, Eur]],"-")</f>
        <v>-</v>
      </c>
      <c r="AX874" s="42">
        <f>IFERROR(VLOOKUP(Товары[[#This Row],[SubGroup]],'Структура цен DIY'!$B:$C,2,FALSE),0)</f>
        <v>0.25</v>
      </c>
      <c r="AY874" s="44">
        <v>0</v>
      </c>
    </row>
    <row r="875" spans="1:51" x14ac:dyDescent="0.25">
      <c r="A875" s="34">
        <v>873</v>
      </c>
      <c r="B875" s="34" t="s">
        <v>49</v>
      </c>
      <c r="C875" s="110" t="str">
        <f>IFERROR(INDEX(Структура_ассортимента[SuperCategory],MATCH(Товары[[#This Row],[SubGroup]],Структура_ассортимента[Subgroup],0)),"")</f>
        <v>W</v>
      </c>
      <c r="D87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7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75" s="110" t="str">
        <f>IFERROR(INDEX(Структура_ассортимента[Product group],MATCH(Товары[[#This Row],[SubGroup]],Структура_ассортимента[Subgroup],0)),"")</f>
        <v>WMT_C</v>
      </c>
      <c r="G875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75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75" s="36">
        <v>9015</v>
      </c>
      <c r="J875" s="36" t="str">
        <f>IFERROR(INDEX(Структура_ассортимента[Generic Name (long)],MATCH(Товары[[#This Row],[SubGroup]],Структура_ассортимента[Subgroup],0)),"")</f>
        <v>WALL HOSE BRACKET</v>
      </c>
      <c r="L875" s="36">
        <v>966735601</v>
      </c>
      <c r="M875" s="35" t="s">
        <v>2559</v>
      </c>
      <c r="Q875" s="34" t="s">
        <v>4565</v>
      </c>
      <c r="R875" s="34" t="s">
        <v>3540</v>
      </c>
      <c r="S875" s="47">
        <v>40544</v>
      </c>
      <c r="T875" s="47">
        <v>0</v>
      </c>
      <c r="U875" s="47">
        <v>0</v>
      </c>
      <c r="V875" s="34">
        <v>4078500937818</v>
      </c>
      <c r="W875" s="34" t="s">
        <v>3543</v>
      </c>
      <c r="Y875" s="34" t="s">
        <v>3542</v>
      </c>
      <c r="Z875" s="34">
        <v>2</v>
      </c>
      <c r="AA875" s="34">
        <v>6791</v>
      </c>
      <c r="AB875" s="34">
        <v>6791</v>
      </c>
      <c r="AC875" s="34">
        <v>5660</v>
      </c>
      <c r="AD875" s="34">
        <v>5660</v>
      </c>
      <c r="AE875" s="34">
        <v>460</v>
      </c>
      <c r="AF875" s="34">
        <v>370</v>
      </c>
      <c r="AG875" s="34">
        <v>940</v>
      </c>
      <c r="AH875" s="34">
        <v>159.988</v>
      </c>
      <c r="AL875" s="34">
        <v>8</v>
      </c>
      <c r="AM875" s="40" t="s">
        <v>8094</v>
      </c>
      <c r="AT875" s="44">
        <v>0</v>
      </c>
      <c r="AU875" s="44"/>
      <c r="AV875" s="46">
        <f>ROUND(Товары[[#This Row],[РРЦ финальная, руб.]]/$AU$1,2)</f>
        <v>0</v>
      </c>
      <c r="AW875" s="45" t="str">
        <f>IFERROR(Товары[[#This Row],[РРЦ, евро]]/Товары[[#This Row],[IRP, Eur]],"-")</f>
        <v>-</v>
      </c>
      <c r="AX875" s="42">
        <f>IFERROR(VLOOKUP(Товары[[#This Row],[SubGroup]],'Структура цен DIY'!$B:$C,2,FALSE),0)</f>
        <v>0.25</v>
      </c>
      <c r="AY875" s="44">
        <v>0</v>
      </c>
    </row>
    <row r="876" spans="1:51" x14ac:dyDescent="0.25">
      <c r="A876" s="34">
        <v>874</v>
      </c>
      <c r="B876" s="34" t="s">
        <v>49</v>
      </c>
      <c r="C876" s="110" t="str">
        <f>IFERROR(INDEX(Структура_ассортимента[SuperCategory],MATCH(Товары[[#This Row],[SubGroup]],Структура_ассортимента[Subgroup],0)),"")</f>
        <v>W</v>
      </c>
      <c r="D87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7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76" s="110" t="str">
        <f>IFERROR(INDEX(Структура_ассортимента[Product group],MATCH(Товары[[#This Row],[SubGroup]],Структура_ассортимента[Subgroup],0)),"")</f>
        <v>WMT_C</v>
      </c>
      <c r="G876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76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76" s="36">
        <v>9015</v>
      </c>
      <c r="J876" s="36" t="str">
        <f>IFERROR(INDEX(Структура_ассортимента[Generic Name (long)],MATCH(Товары[[#This Row],[SubGroup]],Структура_ассортимента[Subgroup],0)),"")</f>
        <v>WALL HOSE BRACKET</v>
      </c>
      <c r="L876" s="36">
        <v>967302701</v>
      </c>
      <c r="M876" s="35" t="s">
        <v>2560</v>
      </c>
      <c r="Q876" s="34" t="s">
        <v>3544</v>
      </c>
      <c r="R876" s="34" t="s">
        <v>3540</v>
      </c>
      <c r="S876" s="47">
        <v>41640</v>
      </c>
      <c r="T876" s="47">
        <v>0</v>
      </c>
      <c r="U876" s="47">
        <v>0</v>
      </c>
      <c r="V876" s="34">
        <v>4078500004961</v>
      </c>
      <c r="W876" s="34" t="s">
        <v>3543</v>
      </c>
      <c r="Y876" s="34" t="s">
        <v>3542</v>
      </c>
      <c r="Z876" s="34">
        <v>1</v>
      </c>
      <c r="AA876" s="34">
        <v>1</v>
      </c>
      <c r="AC876" s="34">
        <v>0</v>
      </c>
      <c r="AE876" s="34">
        <v>960</v>
      </c>
      <c r="AF876" s="34">
        <v>380</v>
      </c>
      <c r="AG876" s="34">
        <v>490</v>
      </c>
      <c r="AH876" s="34">
        <v>0</v>
      </c>
      <c r="AM876" s="40" t="s">
        <v>8094</v>
      </c>
      <c r="AT876" s="44">
        <v>0</v>
      </c>
      <c r="AU876" s="44"/>
      <c r="AV876" s="46">
        <f>ROUND(Товары[[#This Row],[РРЦ финальная, руб.]]/$AU$1,2)</f>
        <v>0</v>
      </c>
      <c r="AW876" s="45" t="str">
        <f>IFERROR(Товары[[#This Row],[РРЦ, евро]]/Товары[[#This Row],[IRP, Eur]],"-")</f>
        <v>-</v>
      </c>
      <c r="AX876" s="42">
        <f>IFERROR(VLOOKUP(Товары[[#This Row],[SubGroup]],'Структура цен DIY'!$B:$C,2,FALSE),0)</f>
        <v>0.25</v>
      </c>
      <c r="AY876" s="44">
        <v>0</v>
      </c>
    </row>
    <row r="877" spans="1:51" x14ac:dyDescent="0.25">
      <c r="A877" s="34">
        <v>875</v>
      </c>
      <c r="B877" s="34" t="s">
        <v>49</v>
      </c>
      <c r="C877" s="110" t="str">
        <f>IFERROR(INDEX(Структура_ассортимента[SuperCategory],MATCH(Товары[[#This Row],[SubGroup]],Структура_ассортимента[Subgroup],0)),"")</f>
        <v>W</v>
      </c>
      <c r="D87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7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77" s="110" t="str">
        <f>IFERROR(INDEX(Структура_ассортимента[Product group],MATCH(Товары[[#This Row],[SubGroup]],Структура_ассортимента[Subgroup],0)),"")</f>
        <v>WMH_C</v>
      </c>
      <c r="G877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877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877" s="36">
        <v>9014</v>
      </c>
      <c r="J877" s="36" t="str">
        <f>IFERROR(INDEX(Структура_ассортимента[Generic Name (long)],MATCH(Товары[[#This Row],[SubGroup]],Структура_ассортимента[Subgroup],0)),"")</f>
        <v>GARDEN HOSE</v>
      </c>
      <c r="L877" s="36">
        <v>967343401</v>
      </c>
      <c r="M877" s="35" t="s">
        <v>2561</v>
      </c>
      <c r="Q877" s="34" t="s">
        <v>3544</v>
      </c>
      <c r="R877" s="34" t="s">
        <v>3540</v>
      </c>
      <c r="S877" s="47">
        <v>42005</v>
      </c>
      <c r="T877" s="47">
        <v>0</v>
      </c>
      <c r="U877" s="47">
        <v>0</v>
      </c>
      <c r="V877" s="34">
        <v>4078500016322</v>
      </c>
      <c r="W877" s="34" t="s">
        <v>3550</v>
      </c>
      <c r="Y877" s="34" t="s">
        <v>5981</v>
      </c>
      <c r="AA877" s="34">
        <v>0</v>
      </c>
      <c r="AC877" s="34">
        <v>0</v>
      </c>
      <c r="AE877" s="34">
        <v>1000</v>
      </c>
      <c r="AF877" s="34">
        <v>30</v>
      </c>
      <c r="AG877" s="34">
        <v>30</v>
      </c>
      <c r="AH877" s="34">
        <v>0</v>
      </c>
      <c r="AL877" s="34">
        <v>1620</v>
      </c>
      <c r="AM877" s="40" t="s">
        <v>8094</v>
      </c>
      <c r="AT877" s="44">
        <v>0</v>
      </c>
      <c r="AU877" s="44"/>
      <c r="AV877" s="46">
        <f>ROUND(Товары[[#This Row],[РРЦ финальная, руб.]]/$AU$1,2)</f>
        <v>0</v>
      </c>
      <c r="AW877" s="45" t="str">
        <f>IFERROR(Товары[[#This Row],[РРЦ, евро]]/Товары[[#This Row],[IRP, Eur]],"-")</f>
        <v>-</v>
      </c>
      <c r="AX877" s="42">
        <f>IFERROR(VLOOKUP(Товары[[#This Row],[SubGroup]],'Структура цен DIY'!$B:$C,2,FALSE),0)</f>
        <v>0.26</v>
      </c>
      <c r="AY877" s="44">
        <v>0</v>
      </c>
    </row>
    <row r="878" spans="1:51" x14ac:dyDescent="0.25">
      <c r="A878" s="34">
        <v>876</v>
      </c>
      <c r="B878" s="34" t="s">
        <v>49</v>
      </c>
      <c r="C878" s="110" t="str">
        <f>IFERROR(INDEX(Структура_ассортимента[SuperCategory],MATCH(Товары[[#This Row],[SubGroup]],Структура_ассортимента[Subgroup],0)),"")</f>
        <v>W</v>
      </c>
      <c r="D87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7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78" s="110" t="str">
        <f>IFERROR(INDEX(Структура_ассортимента[Product group],MATCH(Товары[[#This Row],[SubGroup]],Структура_ассортимента[Subgroup],0)),"")</f>
        <v>WMH_C</v>
      </c>
      <c r="G878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878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878" s="36">
        <v>9014</v>
      </c>
      <c r="J878" s="36" t="str">
        <f>IFERROR(INDEX(Структура_ассортимента[Generic Name (long)],MATCH(Товары[[#This Row],[SubGroup]],Структура_ассортимента[Subgroup],0)),"")</f>
        <v>GARDEN HOSE</v>
      </c>
      <c r="L878" s="36">
        <v>967343501</v>
      </c>
      <c r="M878" s="35" t="s">
        <v>2562</v>
      </c>
      <c r="Q878" s="34" t="s">
        <v>3544</v>
      </c>
      <c r="R878" s="34" t="s">
        <v>3540</v>
      </c>
      <c r="S878" s="47">
        <v>42005</v>
      </c>
      <c r="T878" s="47">
        <v>0</v>
      </c>
      <c r="U878" s="47">
        <v>0</v>
      </c>
      <c r="V878" s="34">
        <v>4078500016315</v>
      </c>
      <c r="W878" s="34" t="s">
        <v>3550</v>
      </c>
      <c r="Y878" s="34" t="s">
        <v>5981</v>
      </c>
      <c r="AA878" s="34">
        <v>0</v>
      </c>
      <c r="AC878" s="34">
        <v>0</v>
      </c>
      <c r="AE878" s="34">
        <v>1000</v>
      </c>
      <c r="AF878" s="34">
        <v>30</v>
      </c>
      <c r="AG878" s="34">
        <v>30</v>
      </c>
      <c r="AH878" s="34">
        <v>0</v>
      </c>
      <c r="AL878" s="34">
        <v>810</v>
      </c>
      <c r="AM878" s="40" t="s">
        <v>8094</v>
      </c>
      <c r="AT878" s="44">
        <v>0</v>
      </c>
      <c r="AU878" s="44"/>
      <c r="AV878" s="46">
        <f>ROUND(Товары[[#This Row],[РРЦ финальная, руб.]]/$AU$1,2)</f>
        <v>0</v>
      </c>
      <c r="AW878" s="45" t="str">
        <f>IFERROR(Товары[[#This Row],[РРЦ, евро]]/Товары[[#This Row],[IRP, Eur]],"-")</f>
        <v>-</v>
      </c>
      <c r="AX878" s="42">
        <f>IFERROR(VLOOKUP(Товары[[#This Row],[SubGroup]],'Структура цен DIY'!$B:$C,2,FALSE),0)</f>
        <v>0.26</v>
      </c>
      <c r="AY878" s="44">
        <v>0</v>
      </c>
    </row>
    <row r="879" spans="1:51" x14ac:dyDescent="0.25">
      <c r="A879" s="34">
        <v>877</v>
      </c>
      <c r="B879" s="34" t="s">
        <v>49</v>
      </c>
      <c r="C879" s="110" t="str">
        <f>IFERROR(INDEX(Структура_ассортимента[SuperCategory],MATCH(Товары[[#This Row],[SubGroup]],Структура_ассортимента[Subgroup],0)),"")</f>
        <v>W</v>
      </c>
      <c r="D87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7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79" s="110" t="str">
        <f>IFERROR(INDEX(Структура_ассортимента[Product group],MATCH(Товары[[#This Row],[SubGroup]],Структура_ассортимента[Subgroup],0)),"")</f>
        <v>WMO_C</v>
      </c>
      <c r="G879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879" s="110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879" s="36">
        <v>9012</v>
      </c>
      <c r="J879" s="36" t="str">
        <f>IFERROR(INDEX(Структура_ассортимента[Generic Name (long)],MATCH(Товары[[#This Row],[SubGroup]],Структура_ассортимента[Subgroup],0)),"")</f>
        <v>PROMOTION SET</v>
      </c>
      <c r="L879" s="36">
        <v>967107501</v>
      </c>
      <c r="M879" s="35" t="s">
        <v>2563</v>
      </c>
      <c r="Q879" s="34" t="s">
        <v>3544</v>
      </c>
      <c r="R879" s="34" t="s">
        <v>3540</v>
      </c>
      <c r="S879" s="47">
        <v>42736</v>
      </c>
      <c r="T879" s="47">
        <v>0</v>
      </c>
      <c r="U879" s="47">
        <v>0</v>
      </c>
      <c r="V879" s="34">
        <v>4078500025089</v>
      </c>
      <c r="W879" s="34" t="s">
        <v>5982</v>
      </c>
      <c r="Y879" s="34" t="s">
        <v>3542</v>
      </c>
      <c r="Z879" s="34">
        <v>6</v>
      </c>
      <c r="AA879" s="34">
        <v>0</v>
      </c>
      <c r="AC879" s="34">
        <v>0</v>
      </c>
      <c r="AE879" s="34">
        <v>215</v>
      </c>
      <c r="AF879" s="34">
        <v>0</v>
      </c>
      <c r="AG879" s="34">
        <v>0</v>
      </c>
      <c r="AH879" s="34">
        <v>0</v>
      </c>
      <c r="AM879" s="40" t="s">
        <v>8094</v>
      </c>
      <c r="AT879" s="44">
        <v>0</v>
      </c>
      <c r="AU879" s="44"/>
      <c r="AV879" s="46">
        <f>ROUND(Товары[[#This Row],[РРЦ финальная, руб.]]/$AU$1,2)</f>
        <v>0</v>
      </c>
      <c r="AW879" s="45" t="str">
        <f>IFERROR(Товары[[#This Row],[РРЦ, евро]]/Товары[[#This Row],[IRP, Eur]],"-")</f>
        <v>-</v>
      </c>
      <c r="AX879" s="42">
        <f>IFERROR(VLOOKUP(Товары[[#This Row],[SubGroup]],'Структура цен DIY'!$B:$C,2,FALSE),0)</f>
        <v>0.26861476238624882</v>
      </c>
      <c r="AY879" s="44">
        <v>0</v>
      </c>
    </row>
    <row r="880" spans="1:51" x14ac:dyDescent="0.25">
      <c r="A880" s="34">
        <v>878</v>
      </c>
      <c r="B880" s="34" t="s">
        <v>49</v>
      </c>
      <c r="C880" s="110" t="str">
        <f>IFERROR(INDEX(Структура_ассортимента[SuperCategory],MATCH(Товары[[#This Row],[SubGroup]],Структура_ассортимента[Subgroup],0)),"")</f>
        <v>W</v>
      </c>
      <c r="D88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8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80" s="110" t="str">
        <f>IFERROR(INDEX(Структура_ассортимента[Product group],MATCH(Товары[[#This Row],[SubGroup]],Структура_ассортимента[Subgroup],0)),"")</f>
        <v>WMA_C</v>
      </c>
      <c r="G880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80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80" s="36">
        <v>9022</v>
      </c>
      <c r="J880" s="36" t="str">
        <f>IFERROR(INDEX(Структура_ассортимента[Generic Name (long)],MATCH(Товары[[#This Row],[SubGroup]],Структура_ассортимента[Subgroup],0)),"")</f>
        <v>GARDEN SHOWER</v>
      </c>
      <c r="L880" s="36">
        <v>967099801</v>
      </c>
      <c r="M880" s="35" t="s">
        <v>2564</v>
      </c>
      <c r="Q880" s="34" t="s">
        <v>4565</v>
      </c>
      <c r="R880" s="34" t="s">
        <v>3540</v>
      </c>
      <c r="S880" s="47">
        <v>42736</v>
      </c>
      <c r="T880" s="47">
        <v>0</v>
      </c>
      <c r="U880" s="47">
        <v>0</v>
      </c>
      <c r="V880" s="34">
        <v>4078500024266</v>
      </c>
      <c r="W880" s="34" t="s">
        <v>5982</v>
      </c>
      <c r="Y880" s="34" t="s">
        <v>3542</v>
      </c>
      <c r="Z880" s="34">
        <v>36</v>
      </c>
      <c r="AM880" s="40" t="s">
        <v>8094</v>
      </c>
      <c r="AT880" s="44">
        <v>0</v>
      </c>
      <c r="AU880" s="44"/>
      <c r="AV880" s="46">
        <f>ROUND(Товары[[#This Row],[РРЦ финальная, руб.]]/$AU$1,2)</f>
        <v>0</v>
      </c>
      <c r="AW880" s="45" t="str">
        <f>IFERROR(Товары[[#This Row],[РРЦ, евро]]/Товары[[#This Row],[IRP, Eur]],"-")</f>
        <v>-</v>
      </c>
      <c r="AX880" s="42">
        <f>IFERROR(VLOOKUP(Товары[[#This Row],[SubGroup]],'Структура цен DIY'!$B:$C,2,FALSE),0)</f>
        <v>0.28000000000000003</v>
      </c>
      <c r="AY880" s="44">
        <v>0</v>
      </c>
    </row>
    <row r="881" spans="1:51" x14ac:dyDescent="0.25">
      <c r="A881" s="34">
        <v>879</v>
      </c>
      <c r="B881" s="34" t="s">
        <v>49</v>
      </c>
      <c r="C881" s="110" t="str">
        <f>IFERROR(INDEX(Структура_ассортимента[SuperCategory],MATCH(Товары[[#This Row],[SubGroup]],Структура_ассортимента[Subgroup],0)),"")</f>
        <v>W</v>
      </c>
      <c r="D88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8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81" s="110" t="str">
        <f>IFERROR(INDEX(Структура_ассортимента[Product group],MATCH(Товары[[#This Row],[SubGroup]],Структура_ассортимента[Subgroup],0)),"")</f>
        <v>WMA_C</v>
      </c>
      <c r="G881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81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81" s="36">
        <v>9022</v>
      </c>
      <c r="J881" s="36" t="str">
        <f>IFERROR(INDEX(Структура_ассортимента[Generic Name (long)],MATCH(Товары[[#This Row],[SubGroup]],Структура_ассортимента[Subgroup],0)),"")</f>
        <v>GARDEN SHOWER</v>
      </c>
      <c r="L881" s="36">
        <v>967106201</v>
      </c>
      <c r="M881" s="35" t="s">
        <v>2565</v>
      </c>
      <c r="Q881" s="34" t="s">
        <v>3544</v>
      </c>
      <c r="R881" s="34" t="s">
        <v>3540</v>
      </c>
      <c r="S881" s="47">
        <v>42736</v>
      </c>
      <c r="T881" s="47">
        <v>0</v>
      </c>
      <c r="U881" s="47">
        <v>0</v>
      </c>
      <c r="V881" s="34">
        <v>4078500025102</v>
      </c>
      <c r="W881" s="34" t="s">
        <v>5982</v>
      </c>
      <c r="Y881" s="34" t="s">
        <v>3542</v>
      </c>
      <c r="Z881" s="34">
        <v>24</v>
      </c>
      <c r="AA881" s="34">
        <v>0</v>
      </c>
      <c r="AC881" s="34">
        <v>0</v>
      </c>
      <c r="AE881" s="34">
        <v>0</v>
      </c>
      <c r="AF881" s="34">
        <v>0</v>
      </c>
      <c r="AG881" s="34">
        <v>0</v>
      </c>
      <c r="AH881" s="34">
        <v>0</v>
      </c>
      <c r="AL881" s="34">
        <v>96</v>
      </c>
      <c r="AM881" s="40" t="s">
        <v>8094</v>
      </c>
      <c r="AT881" s="44">
        <v>0</v>
      </c>
      <c r="AU881" s="44"/>
      <c r="AV881" s="46">
        <f>ROUND(Товары[[#This Row],[РРЦ финальная, руб.]]/$AU$1,2)</f>
        <v>0</v>
      </c>
      <c r="AW881" s="45" t="str">
        <f>IFERROR(Товары[[#This Row],[РРЦ, евро]]/Товары[[#This Row],[IRP, Eur]],"-")</f>
        <v>-</v>
      </c>
      <c r="AX881" s="42">
        <f>IFERROR(VLOOKUP(Товары[[#This Row],[SubGroup]],'Структура цен DIY'!$B:$C,2,FALSE),0)</f>
        <v>0.28000000000000003</v>
      </c>
      <c r="AY881" s="44">
        <v>0</v>
      </c>
    </row>
    <row r="882" spans="1:51" x14ac:dyDescent="0.25">
      <c r="A882" s="34">
        <v>880</v>
      </c>
      <c r="B882" s="34" t="s">
        <v>49</v>
      </c>
      <c r="C882" s="110" t="str">
        <f>IFERROR(INDEX(Структура_ассортимента[SuperCategory],MATCH(Товары[[#This Row],[SubGroup]],Структура_ассортимента[Subgroup],0)),"")</f>
        <v>W</v>
      </c>
      <c r="D88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8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82" s="110" t="str">
        <f>IFERROR(INDEX(Структура_ассортимента[Product group],MATCH(Товары[[#This Row],[SubGroup]],Структура_ассортимента[Subgroup],0)),"")</f>
        <v>WMA_C</v>
      </c>
      <c r="G882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82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82" s="36">
        <v>9022</v>
      </c>
      <c r="J882" s="36" t="str">
        <f>IFERROR(INDEX(Структура_ассортимента[Generic Name (long)],MATCH(Товары[[#This Row],[SubGroup]],Структура_ассортимента[Subgroup],0)),"")</f>
        <v>GARDEN SHOWER</v>
      </c>
      <c r="L882" s="36">
        <v>967106301</v>
      </c>
      <c r="M882" s="35" t="s">
        <v>2566</v>
      </c>
      <c r="Q882" s="34" t="s">
        <v>3544</v>
      </c>
      <c r="R882" s="34" t="s">
        <v>3540</v>
      </c>
      <c r="S882" s="47">
        <v>42736</v>
      </c>
      <c r="T882" s="47">
        <v>0</v>
      </c>
      <c r="U882" s="47">
        <v>0</v>
      </c>
      <c r="V882" s="34">
        <v>4078500025126</v>
      </c>
      <c r="W882" s="34" t="s">
        <v>5982</v>
      </c>
      <c r="Y882" s="34" t="s">
        <v>3542</v>
      </c>
      <c r="Z882" s="34">
        <v>6</v>
      </c>
      <c r="AA882" s="34">
        <v>0</v>
      </c>
      <c r="AC882" s="34">
        <v>0</v>
      </c>
      <c r="AE882" s="34">
        <v>0</v>
      </c>
      <c r="AF882" s="34">
        <v>0</v>
      </c>
      <c r="AG882" s="34">
        <v>0</v>
      </c>
      <c r="AH882" s="34">
        <v>0</v>
      </c>
      <c r="AM882" s="40" t="s">
        <v>8094</v>
      </c>
      <c r="AT882" s="44">
        <v>0</v>
      </c>
      <c r="AU882" s="44"/>
      <c r="AV882" s="46">
        <f>ROUND(Товары[[#This Row],[РРЦ финальная, руб.]]/$AU$1,2)</f>
        <v>0</v>
      </c>
      <c r="AW882" s="45" t="str">
        <f>IFERROR(Товары[[#This Row],[РРЦ, евро]]/Товары[[#This Row],[IRP, Eur]],"-")</f>
        <v>-</v>
      </c>
      <c r="AX882" s="42">
        <f>IFERROR(VLOOKUP(Товары[[#This Row],[SubGroup]],'Структура цен DIY'!$B:$C,2,FALSE),0)</f>
        <v>0.28000000000000003</v>
      </c>
      <c r="AY882" s="44">
        <v>0</v>
      </c>
    </row>
    <row r="883" spans="1:51" x14ac:dyDescent="0.25">
      <c r="A883" s="34">
        <v>881</v>
      </c>
      <c r="B883" s="34" t="s">
        <v>49</v>
      </c>
      <c r="C883" s="110" t="str">
        <f>IFERROR(INDEX(Структура_ассортимента[SuperCategory],MATCH(Товары[[#This Row],[SubGroup]],Структура_ассортимента[Subgroup],0)),"")</f>
        <v>W</v>
      </c>
      <c r="D88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8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83" s="110" t="str">
        <f>IFERROR(INDEX(Структура_ассортимента[Product group],MATCH(Товары[[#This Row],[SubGroup]],Структура_ассортимента[Subgroup],0)),"")</f>
        <v>WMO_C</v>
      </c>
      <c r="G883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883" s="110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883" s="36">
        <v>9012</v>
      </c>
      <c r="J883" s="36" t="str">
        <f>IFERROR(INDEX(Структура_ассортимента[Generic Name (long)],MATCH(Товары[[#This Row],[SubGroup]],Структура_ассортимента[Subgroup],0)),"")</f>
        <v>PROMOTION SET</v>
      </c>
      <c r="L883" s="36">
        <v>967704301</v>
      </c>
      <c r="M883" s="35" t="s">
        <v>2567</v>
      </c>
      <c r="Q883" s="34" t="s">
        <v>3544</v>
      </c>
      <c r="R883" s="34" t="s">
        <v>3540</v>
      </c>
      <c r="S883" s="47">
        <v>43101</v>
      </c>
      <c r="T883" s="47">
        <v>0</v>
      </c>
      <c r="U883" s="47">
        <v>0</v>
      </c>
      <c r="V883" s="34">
        <v>4078500035927</v>
      </c>
      <c r="W883" s="34" t="s">
        <v>3543</v>
      </c>
      <c r="Z883" s="34">
        <v>30</v>
      </c>
      <c r="AA883" s="34">
        <v>0</v>
      </c>
      <c r="AC883" s="34">
        <v>0</v>
      </c>
      <c r="AE883" s="34">
        <v>0</v>
      </c>
      <c r="AF883" s="34">
        <v>0</v>
      </c>
      <c r="AG883" s="34">
        <v>0</v>
      </c>
      <c r="AH883" s="34">
        <v>0</v>
      </c>
      <c r="AM883" s="40" t="s">
        <v>8094</v>
      </c>
      <c r="AT883" s="44">
        <v>0</v>
      </c>
      <c r="AU883" s="44"/>
      <c r="AV883" s="46">
        <f>ROUND(Товары[[#This Row],[РРЦ финальная, руб.]]/$AU$1,2)</f>
        <v>0</v>
      </c>
      <c r="AW883" s="45" t="str">
        <f>IFERROR(Товары[[#This Row],[РРЦ, евро]]/Товары[[#This Row],[IRP, Eur]],"-")</f>
        <v>-</v>
      </c>
      <c r="AX883" s="42">
        <f>IFERROR(VLOOKUP(Товары[[#This Row],[SubGroup]],'Структура цен DIY'!$B:$C,2,FALSE),0)</f>
        <v>0.26861476238624882</v>
      </c>
      <c r="AY883" s="44">
        <v>0</v>
      </c>
    </row>
    <row r="884" spans="1:51" x14ac:dyDescent="0.25">
      <c r="A884" s="34">
        <v>882</v>
      </c>
      <c r="B884" s="34" t="s">
        <v>49</v>
      </c>
      <c r="C884" s="110" t="str">
        <f>IFERROR(INDEX(Структура_ассортимента[SuperCategory],MATCH(Товары[[#This Row],[SubGroup]],Структура_ассортимента[Subgroup],0)),"")</f>
        <v>W</v>
      </c>
      <c r="D88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8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84" s="110" t="str">
        <f>IFERROR(INDEX(Структура_ассортимента[Product group],MATCH(Товары[[#This Row],[SubGroup]],Структура_ассортимента[Subgroup],0)),"")</f>
        <v>WMO_C</v>
      </c>
      <c r="G884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884" s="110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884" s="36">
        <v>9012</v>
      </c>
      <c r="J884" s="36" t="str">
        <f>IFERROR(INDEX(Структура_ассортимента[Generic Name (long)],MATCH(Товары[[#This Row],[SubGroup]],Структура_ассортимента[Subgroup],0)),"")</f>
        <v>PROMOTION SET</v>
      </c>
      <c r="L884" s="36">
        <v>967704501</v>
      </c>
      <c r="M884" s="35" t="s">
        <v>2568</v>
      </c>
      <c r="P884" s="37" t="s">
        <v>5983</v>
      </c>
      <c r="Q884" s="34" t="s">
        <v>3544</v>
      </c>
      <c r="R884" s="34" t="s">
        <v>3540</v>
      </c>
      <c r="S884" s="47">
        <v>0</v>
      </c>
      <c r="T884" s="47">
        <v>0</v>
      </c>
      <c r="U884" s="47">
        <v>0</v>
      </c>
      <c r="V884" s="34">
        <v>4078500035880</v>
      </c>
      <c r="W884" s="34" t="s">
        <v>3543</v>
      </c>
      <c r="Z884" s="34">
        <v>50</v>
      </c>
      <c r="AA884" s="34">
        <v>0</v>
      </c>
      <c r="AC884" s="34">
        <v>0</v>
      </c>
      <c r="AE884" s="34">
        <v>0</v>
      </c>
      <c r="AF884" s="34">
        <v>0</v>
      </c>
      <c r="AG884" s="34">
        <v>0</v>
      </c>
      <c r="AH884" s="34">
        <v>0</v>
      </c>
      <c r="AM884" s="40" t="s">
        <v>233</v>
      </c>
      <c r="AT884" s="44">
        <v>0</v>
      </c>
      <c r="AU884" s="44"/>
      <c r="AV884" s="46">
        <f>ROUND(Товары[[#This Row],[РРЦ финальная, руб.]]/$AU$1,2)</f>
        <v>0</v>
      </c>
      <c r="AW884" s="45" t="str">
        <f>IFERROR(Товары[[#This Row],[РРЦ, евро]]/Товары[[#This Row],[IRP, Eur]],"-")</f>
        <v>-</v>
      </c>
      <c r="AX884" s="42">
        <f>IFERROR(VLOOKUP(Товары[[#This Row],[SubGroup]],'Структура цен DIY'!$B:$C,2,FALSE),0)</f>
        <v>0.26861476238624882</v>
      </c>
      <c r="AY884" s="44">
        <v>0</v>
      </c>
    </row>
    <row r="885" spans="1:51" x14ac:dyDescent="0.25">
      <c r="A885" s="34">
        <v>883</v>
      </c>
      <c r="B885" s="34" t="s">
        <v>49</v>
      </c>
      <c r="C885" s="110" t="str">
        <f>IFERROR(INDEX(Структура_ассортимента[SuperCategory],MATCH(Товары[[#This Row],[SubGroup]],Структура_ассортимента[Subgroup],0)),"")</f>
        <v>W</v>
      </c>
      <c r="D88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8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85" s="110" t="str">
        <f>IFERROR(INDEX(Структура_ассортимента[Product group],MATCH(Товары[[#This Row],[SubGroup]],Структура_ассортимента[Subgroup],0)),"")</f>
        <v>WMT_C</v>
      </c>
      <c r="G885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85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85" s="36">
        <v>9015</v>
      </c>
      <c r="J885" s="36" t="str">
        <f>IFERROR(INDEX(Структура_ассортимента[Generic Name (long)],MATCH(Товары[[#This Row],[SubGroup]],Структура_ассортимента[Subgroup],0)),"")</f>
        <v>WALL HOSE BRACKET</v>
      </c>
      <c r="L885" s="36">
        <v>967689501</v>
      </c>
      <c r="M885" s="35" t="s">
        <v>2569</v>
      </c>
      <c r="Q885" s="34" t="s">
        <v>3544</v>
      </c>
      <c r="R885" s="34" t="s">
        <v>3540</v>
      </c>
      <c r="S885" s="47">
        <v>0</v>
      </c>
      <c r="T885" s="47">
        <v>0</v>
      </c>
      <c r="U885" s="47">
        <v>0</v>
      </c>
      <c r="V885" s="34">
        <v>4078500034579</v>
      </c>
      <c r="W885" s="34" t="s">
        <v>3550</v>
      </c>
      <c r="Y885" s="34" t="s">
        <v>3542</v>
      </c>
      <c r="Z885" s="34">
        <v>1</v>
      </c>
      <c r="AA885" s="34">
        <v>17300</v>
      </c>
      <c r="AB885" s="34">
        <v>17300</v>
      </c>
      <c r="AC885" s="34">
        <v>16000</v>
      </c>
      <c r="AD885" s="34">
        <v>16000</v>
      </c>
      <c r="AE885" s="34">
        <v>685</v>
      </c>
      <c r="AF885" s="34">
        <v>285</v>
      </c>
      <c r="AG885" s="34">
        <v>560</v>
      </c>
      <c r="AH885" s="34">
        <v>109326</v>
      </c>
      <c r="AL885" s="34">
        <v>12</v>
      </c>
      <c r="AM885" s="40" t="s">
        <v>8094</v>
      </c>
      <c r="AT885" s="44">
        <v>0</v>
      </c>
      <c r="AU885" s="44"/>
      <c r="AV885" s="46">
        <f>ROUND(Товары[[#This Row],[РРЦ финальная, руб.]]/$AU$1,2)</f>
        <v>0</v>
      </c>
      <c r="AW885" s="45" t="str">
        <f>IFERROR(Товары[[#This Row],[РРЦ, евро]]/Товары[[#This Row],[IRP, Eur]],"-")</f>
        <v>-</v>
      </c>
      <c r="AX885" s="42">
        <f>IFERROR(VLOOKUP(Товары[[#This Row],[SubGroup]],'Структура цен DIY'!$B:$C,2,FALSE),0)</f>
        <v>0.25</v>
      </c>
      <c r="AY885" s="44">
        <v>0</v>
      </c>
    </row>
    <row r="886" spans="1:51" x14ac:dyDescent="0.25">
      <c r="A886" s="34">
        <v>884</v>
      </c>
      <c r="B886" s="34" t="s">
        <v>49</v>
      </c>
      <c r="C886" s="110" t="str">
        <f>IFERROR(INDEX(Структура_ассортимента[SuperCategory],MATCH(Товары[[#This Row],[SubGroup]],Структура_ассортимента[Subgroup],0)),"")</f>
        <v>W</v>
      </c>
      <c r="D88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8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86" s="110" t="str">
        <f>IFERROR(INDEX(Структура_ассортимента[Product group],MATCH(Товары[[#This Row],[SubGroup]],Структура_ассортимента[Subgroup],0)),"")</f>
        <v>WMT_C</v>
      </c>
      <c r="G886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86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86" s="36">
        <v>9015</v>
      </c>
      <c r="J886" s="36" t="str">
        <f>IFERROR(INDEX(Структура_ассортимента[Generic Name (long)],MATCH(Товары[[#This Row],[SubGroup]],Структура_ассортимента[Subgroup],0)),"")</f>
        <v>WALL HOSE BRACKET</v>
      </c>
      <c r="L886" s="36">
        <v>967690001</v>
      </c>
      <c r="M886" s="35" t="s">
        <v>2570</v>
      </c>
      <c r="Q886" s="34" t="s">
        <v>3544</v>
      </c>
      <c r="R886" s="34" t="s">
        <v>3540</v>
      </c>
      <c r="S886" s="47">
        <v>0</v>
      </c>
      <c r="T886" s="47">
        <v>0</v>
      </c>
      <c r="U886" s="47">
        <v>0</v>
      </c>
      <c r="V886" s="34">
        <v>4078500034586</v>
      </c>
      <c r="W886" s="34" t="s">
        <v>3550</v>
      </c>
      <c r="Y886" s="34" t="s">
        <v>3542</v>
      </c>
      <c r="Z886" s="34">
        <v>1</v>
      </c>
      <c r="AA886" s="34">
        <v>14800</v>
      </c>
      <c r="AC886" s="34">
        <v>13500</v>
      </c>
      <c r="AE886" s="34">
        <v>685</v>
      </c>
      <c r="AF886" s="34">
        <v>285</v>
      </c>
      <c r="AG886" s="34">
        <v>560</v>
      </c>
      <c r="AH886" s="34">
        <v>109326</v>
      </c>
      <c r="AL886" s="34">
        <v>12</v>
      </c>
      <c r="AM886" s="40" t="s">
        <v>8094</v>
      </c>
      <c r="AT886" s="44">
        <v>0</v>
      </c>
      <c r="AU886" s="44"/>
      <c r="AV886" s="46">
        <f>ROUND(Товары[[#This Row],[РРЦ финальная, руб.]]/$AU$1,2)</f>
        <v>0</v>
      </c>
      <c r="AW886" s="45" t="str">
        <f>IFERROR(Товары[[#This Row],[РРЦ, евро]]/Товары[[#This Row],[IRP, Eur]],"-")</f>
        <v>-</v>
      </c>
      <c r="AX886" s="42">
        <f>IFERROR(VLOOKUP(Товары[[#This Row],[SubGroup]],'Структура цен DIY'!$B:$C,2,FALSE),0)</f>
        <v>0.25</v>
      </c>
      <c r="AY886" s="44">
        <v>0</v>
      </c>
    </row>
    <row r="887" spans="1:51" x14ac:dyDescent="0.25">
      <c r="A887" s="34">
        <v>885</v>
      </c>
      <c r="B887" s="34" t="s">
        <v>49</v>
      </c>
      <c r="C887" s="110" t="str">
        <f>IFERROR(INDEX(Структура_ассортимента[SuperCategory],MATCH(Товары[[#This Row],[SubGroup]],Структура_ассортимента[Subgroup],0)),"")</f>
        <v>W</v>
      </c>
      <c r="D88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8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87" s="110" t="str">
        <f>IFERROR(INDEX(Структура_ассортимента[Product group],MATCH(Товары[[#This Row],[SubGroup]],Структура_ассортимента[Subgroup],0)),"")</f>
        <v>WMT_C</v>
      </c>
      <c r="G887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87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87" s="36">
        <v>9015</v>
      </c>
      <c r="J887" s="36" t="str">
        <f>IFERROR(INDEX(Структура_ассортимента[Generic Name (long)],MATCH(Товары[[#This Row],[SubGroup]],Структура_ассортимента[Subgroup],0)),"")</f>
        <v>WALL HOSE BRACKET</v>
      </c>
      <c r="L887" s="36">
        <v>967690301</v>
      </c>
      <c r="M887" s="35" t="s">
        <v>2571</v>
      </c>
      <c r="Q887" s="34" t="s">
        <v>3544</v>
      </c>
      <c r="R887" s="34" t="s">
        <v>3540</v>
      </c>
      <c r="S887" s="47">
        <v>0</v>
      </c>
      <c r="T887" s="47">
        <v>0</v>
      </c>
      <c r="U887" s="47">
        <v>0</v>
      </c>
      <c r="V887" s="34">
        <v>4078500034616</v>
      </c>
      <c r="W887" s="34" t="s">
        <v>3550</v>
      </c>
      <c r="Y887" s="34" t="s">
        <v>3542</v>
      </c>
      <c r="Z887" s="34">
        <v>1</v>
      </c>
      <c r="AA887" s="34">
        <v>14035</v>
      </c>
      <c r="AC887" s="34">
        <v>11650</v>
      </c>
      <c r="AE887" s="34">
        <v>685</v>
      </c>
      <c r="AF887" s="34">
        <v>285</v>
      </c>
      <c r="AG887" s="34">
        <v>560</v>
      </c>
      <c r="AH887" s="34">
        <v>109326</v>
      </c>
      <c r="AL887" s="34">
        <v>12</v>
      </c>
      <c r="AM887" s="40" t="s">
        <v>8094</v>
      </c>
      <c r="AT887" s="44">
        <v>0</v>
      </c>
      <c r="AU887" s="44"/>
      <c r="AV887" s="46">
        <f>ROUND(Товары[[#This Row],[РРЦ финальная, руб.]]/$AU$1,2)</f>
        <v>0</v>
      </c>
      <c r="AW887" s="45" t="str">
        <f>IFERROR(Товары[[#This Row],[РРЦ, евро]]/Товары[[#This Row],[IRP, Eur]],"-")</f>
        <v>-</v>
      </c>
      <c r="AX887" s="42">
        <f>IFERROR(VLOOKUP(Товары[[#This Row],[SubGroup]],'Структура цен DIY'!$B:$C,2,FALSE),0)</f>
        <v>0.25</v>
      </c>
      <c r="AY887" s="44">
        <v>0</v>
      </c>
    </row>
    <row r="888" spans="1:51" x14ac:dyDescent="0.25">
      <c r="A888" s="34">
        <v>886</v>
      </c>
      <c r="B888" s="34" t="s">
        <v>49</v>
      </c>
      <c r="C888" s="110" t="str">
        <f>IFERROR(INDEX(Структура_ассортимента[SuperCategory],MATCH(Товары[[#This Row],[SubGroup]],Структура_ассортимента[Subgroup],0)),"")</f>
        <v>W</v>
      </c>
      <c r="D88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8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88" s="110" t="str">
        <f>IFERROR(INDEX(Структура_ассортимента[Product group],MATCH(Товары[[#This Row],[SubGroup]],Структура_ассортимента[Subgroup],0)),"")</f>
        <v>WMT_C</v>
      </c>
      <c r="G888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88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88" s="36">
        <v>9015</v>
      </c>
      <c r="J888" s="36" t="str">
        <f>IFERROR(INDEX(Структура_ассортимента[Generic Name (long)],MATCH(Товары[[#This Row],[SubGroup]],Структура_ассортимента[Subgroup],0)),"")</f>
        <v>WALL HOSE BRACKET</v>
      </c>
      <c r="L888" s="36">
        <v>967679401</v>
      </c>
      <c r="M888" s="35" t="s">
        <v>2572</v>
      </c>
      <c r="Q888" s="34" t="s">
        <v>3544</v>
      </c>
      <c r="R888" s="34" t="s">
        <v>3540</v>
      </c>
      <c r="S888" s="47">
        <v>0</v>
      </c>
      <c r="T888" s="47">
        <v>0</v>
      </c>
      <c r="U888" s="47">
        <v>0</v>
      </c>
      <c r="V888" s="34">
        <v>4078500034128</v>
      </c>
      <c r="W888" s="34" t="s">
        <v>3543</v>
      </c>
      <c r="Y888" s="34" t="s">
        <v>3542</v>
      </c>
      <c r="Z888" s="34">
        <v>6</v>
      </c>
      <c r="AA888" s="34">
        <v>0</v>
      </c>
      <c r="AC888" s="34">
        <v>0</v>
      </c>
      <c r="AE888" s="34">
        <v>340</v>
      </c>
      <c r="AF888" s="34">
        <v>440</v>
      </c>
      <c r="AG888" s="34">
        <v>460</v>
      </c>
      <c r="AH888" s="34">
        <v>68816</v>
      </c>
      <c r="AL888" s="34">
        <v>12</v>
      </c>
      <c r="AM888" s="40" t="s">
        <v>8094</v>
      </c>
      <c r="AT888" s="44">
        <v>0</v>
      </c>
      <c r="AU888" s="44"/>
      <c r="AV888" s="46">
        <f>ROUND(Товары[[#This Row],[РРЦ финальная, руб.]]/$AU$1,2)</f>
        <v>0</v>
      </c>
      <c r="AW888" s="45" t="str">
        <f>IFERROR(Товары[[#This Row],[РРЦ, евро]]/Товары[[#This Row],[IRP, Eur]],"-")</f>
        <v>-</v>
      </c>
      <c r="AX888" s="42">
        <f>IFERROR(VLOOKUP(Товары[[#This Row],[SubGroup]],'Структура цен DIY'!$B:$C,2,FALSE),0)</f>
        <v>0.25</v>
      </c>
      <c r="AY888" s="44">
        <v>0</v>
      </c>
    </row>
    <row r="889" spans="1:51" x14ac:dyDescent="0.25">
      <c r="A889" s="34">
        <v>887</v>
      </c>
      <c r="B889" s="34" t="s">
        <v>49</v>
      </c>
      <c r="C889" s="110" t="str">
        <f>IFERROR(INDEX(Структура_ассортимента[SuperCategory],MATCH(Товары[[#This Row],[SubGroup]],Структура_ассортимента[Subgroup],0)),"")</f>
        <v>W</v>
      </c>
      <c r="D88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8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89" s="110" t="str">
        <f>IFERROR(INDEX(Структура_ассортимента[Product group],MATCH(Товары[[#This Row],[SubGroup]],Структура_ассортимента[Subgroup],0)),"")</f>
        <v>WMT_C</v>
      </c>
      <c r="G889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89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89" s="36">
        <v>9015</v>
      </c>
      <c r="J889" s="36" t="str">
        <f>IFERROR(INDEX(Структура_ассортимента[Generic Name (long)],MATCH(Товары[[#This Row],[SubGroup]],Структура_ассортимента[Subgroup],0)),"")</f>
        <v>WALL HOSE BRACKET</v>
      </c>
      <c r="L889" s="36">
        <v>967679501</v>
      </c>
      <c r="M889" s="35" t="s">
        <v>2573</v>
      </c>
      <c r="Q889" s="34" t="s">
        <v>3544</v>
      </c>
      <c r="R889" s="34" t="s">
        <v>3540</v>
      </c>
      <c r="S889" s="47">
        <v>0</v>
      </c>
      <c r="T889" s="47">
        <v>0</v>
      </c>
      <c r="U889" s="47">
        <v>0</v>
      </c>
      <c r="V889" s="34">
        <v>4078500034210</v>
      </c>
      <c r="W889" s="34" t="s">
        <v>3543</v>
      </c>
      <c r="Y889" s="34" t="s">
        <v>3542</v>
      </c>
      <c r="Z889" s="34">
        <v>18</v>
      </c>
      <c r="AA889" s="34">
        <v>0</v>
      </c>
      <c r="AC889" s="34">
        <v>0</v>
      </c>
      <c r="AE889" s="34">
        <v>340</v>
      </c>
      <c r="AF889" s="34">
        <v>440</v>
      </c>
      <c r="AG889" s="34">
        <v>460</v>
      </c>
      <c r="AH889" s="34">
        <v>68816</v>
      </c>
      <c r="AL889" s="34">
        <v>18</v>
      </c>
      <c r="AM889" s="40" t="s">
        <v>8094</v>
      </c>
      <c r="AT889" s="44">
        <v>0</v>
      </c>
      <c r="AU889" s="44"/>
      <c r="AV889" s="46">
        <f>ROUND(Товары[[#This Row],[РРЦ финальная, руб.]]/$AU$1,2)</f>
        <v>0</v>
      </c>
      <c r="AW889" s="45" t="str">
        <f>IFERROR(Товары[[#This Row],[РРЦ, евро]]/Товары[[#This Row],[IRP, Eur]],"-")</f>
        <v>-</v>
      </c>
      <c r="AX889" s="42">
        <f>IFERROR(VLOOKUP(Товары[[#This Row],[SubGroup]],'Структура цен DIY'!$B:$C,2,FALSE),0)</f>
        <v>0.25</v>
      </c>
      <c r="AY889" s="44">
        <v>0</v>
      </c>
    </row>
    <row r="890" spans="1:51" x14ac:dyDescent="0.25">
      <c r="A890" s="34">
        <v>888</v>
      </c>
      <c r="B890" s="34" t="s">
        <v>49</v>
      </c>
      <c r="C890" s="110" t="str">
        <f>IFERROR(INDEX(Структура_ассортимента[SuperCategory],MATCH(Товары[[#This Row],[SubGroup]],Структура_ассортимента[Subgroup],0)),"")</f>
        <v>W</v>
      </c>
      <c r="D89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9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90" s="110" t="str">
        <f>IFERROR(INDEX(Структура_ассортимента[Product group],MATCH(Товары[[#This Row],[SubGroup]],Структура_ассортимента[Subgroup],0)),"")</f>
        <v>WMA_C</v>
      </c>
      <c r="G890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90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90" s="36">
        <v>9022</v>
      </c>
      <c r="J890" s="36" t="str">
        <f>IFERROR(INDEX(Структура_ассортимента[Generic Name (long)],MATCH(Товары[[#This Row],[SubGroup]],Структура_ассортимента[Subgroup],0)),"")</f>
        <v>GARDEN SHOWER</v>
      </c>
      <c r="L890" s="36">
        <v>967835901</v>
      </c>
      <c r="M890" s="35" t="s">
        <v>2574</v>
      </c>
      <c r="Q890" s="34" t="s">
        <v>3544</v>
      </c>
      <c r="R890" s="34" t="s">
        <v>3540</v>
      </c>
      <c r="S890" s="47">
        <v>0</v>
      </c>
      <c r="T890" s="47">
        <v>0</v>
      </c>
      <c r="U890" s="47">
        <v>0</v>
      </c>
      <c r="V890" s="34" t="s">
        <v>4593</v>
      </c>
      <c r="W890" s="34" t="s">
        <v>3543</v>
      </c>
      <c r="Y890" s="34" t="s">
        <v>3542</v>
      </c>
      <c r="Z890" s="34">
        <v>10</v>
      </c>
      <c r="AA890" s="34">
        <v>200</v>
      </c>
      <c r="AC890" s="34">
        <v>180</v>
      </c>
      <c r="AE890" s="34">
        <v>218</v>
      </c>
      <c r="AF890" s="34">
        <v>177</v>
      </c>
      <c r="AG890" s="34">
        <v>36</v>
      </c>
      <c r="AH890" s="34">
        <v>1389</v>
      </c>
      <c r="AM890" s="40" t="s">
        <v>8094</v>
      </c>
      <c r="AT890" s="44">
        <v>0</v>
      </c>
      <c r="AU890" s="44"/>
      <c r="AV890" s="46">
        <f>ROUND(Товары[[#This Row],[РРЦ финальная, руб.]]/$AU$1,2)</f>
        <v>0</v>
      </c>
      <c r="AW890" s="45" t="str">
        <f>IFERROR(Товары[[#This Row],[РРЦ, евро]]/Товары[[#This Row],[IRP, Eur]],"-")</f>
        <v>-</v>
      </c>
      <c r="AX890" s="42">
        <f>IFERROR(VLOOKUP(Товары[[#This Row],[SubGroup]],'Структура цен DIY'!$B:$C,2,FALSE),0)</f>
        <v>0.28000000000000003</v>
      </c>
      <c r="AY890" s="44">
        <v>0</v>
      </c>
    </row>
    <row r="891" spans="1:51" x14ac:dyDescent="0.25">
      <c r="A891" s="34">
        <v>889</v>
      </c>
      <c r="B891" s="34" t="s">
        <v>49</v>
      </c>
      <c r="C891" s="110" t="str">
        <f>IFERROR(INDEX(Структура_ассортимента[SuperCategory],MATCH(Товары[[#This Row],[SubGroup]],Структура_ассортимента[Subgroup],0)),"")</f>
        <v>W</v>
      </c>
      <c r="D89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9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91" s="110" t="str">
        <f>IFERROR(INDEX(Структура_ассортимента[Product group],MATCH(Товары[[#This Row],[SubGroup]],Структура_ассортимента[Subgroup],0)),"")</f>
        <v>WMA_C</v>
      </c>
      <c r="G891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91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91" s="36">
        <v>9022</v>
      </c>
      <c r="J891" s="36" t="str">
        <f>IFERROR(INDEX(Структура_ассортимента[Generic Name (long)],MATCH(Товары[[#This Row],[SubGroup]],Структура_ассортимента[Subgroup],0)),"")</f>
        <v>GARDEN SHOWER</v>
      </c>
      <c r="L891" s="36">
        <v>967687001</v>
      </c>
      <c r="M891" s="35" t="s">
        <v>2575</v>
      </c>
      <c r="O891" s="35" t="s">
        <v>5984</v>
      </c>
      <c r="P891" s="37" t="s">
        <v>5985</v>
      </c>
      <c r="Q891" s="34" t="s">
        <v>3549</v>
      </c>
      <c r="R891" s="34" t="s">
        <v>3540</v>
      </c>
      <c r="S891" s="47">
        <v>43101</v>
      </c>
      <c r="T891" s="47">
        <v>0</v>
      </c>
      <c r="U891" s="47">
        <v>0</v>
      </c>
      <c r="V891" s="34">
        <v>4078500034272</v>
      </c>
      <c r="W891" s="34" t="s">
        <v>3543</v>
      </c>
      <c r="X891" s="34" t="s">
        <v>3579</v>
      </c>
      <c r="Y891" s="34" t="s">
        <v>3542</v>
      </c>
      <c r="Z891" s="34">
        <v>10</v>
      </c>
      <c r="AA891" s="34">
        <v>0</v>
      </c>
      <c r="AB891" s="34" t="s">
        <v>3730</v>
      </c>
      <c r="AC891" s="34">
        <v>-2146826246</v>
      </c>
      <c r="AD891" s="34" t="s">
        <v>3670</v>
      </c>
      <c r="AE891" s="34" t="s">
        <v>4645</v>
      </c>
      <c r="AF891" s="34" t="s">
        <v>3968</v>
      </c>
      <c r="AG891" s="34" t="s">
        <v>4221</v>
      </c>
      <c r="AH891" s="34" t="s">
        <v>5986</v>
      </c>
      <c r="AL891" s="34" t="s">
        <v>5304</v>
      </c>
      <c r="AM891" s="40" t="s">
        <v>9</v>
      </c>
      <c r="AP891" s="34">
        <v>0</v>
      </c>
      <c r="AQ891" s="34">
        <v>1089</v>
      </c>
      <c r="AR891" s="34">
        <v>653</v>
      </c>
      <c r="AT891" s="44">
        <v>84300</v>
      </c>
      <c r="AU891" s="44"/>
      <c r="AV891" s="46">
        <f>ROUND(Товары[[#This Row],[РРЦ финальная, руб.]]/$AU$1,2)</f>
        <v>0</v>
      </c>
      <c r="AW891" s="45" t="str">
        <f>IFERROR(Товары[[#This Row],[РРЦ, евро]]/Товары[[#This Row],[IRP, Eur]],"-")</f>
        <v>-</v>
      </c>
      <c r="AX891" s="42">
        <f>IFERROR(VLOOKUP(Товары[[#This Row],[SubGroup]],'Структура цен DIY'!$B:$C,2,FALSE),0)</f>
        <v>0.28000000000000003</v>
      </c>
      <c r="AY891" s="44">
        <v>0</v>
      </c>
    </row>
    <row r="892" spans="1:51" x14ac:dyDescent="0.25">
      <c r="A892" s="34">
        <v>890</v>
      </c>
      <c r="B892" s="34" t="s">
        <v>49</v>
      </c>
      <c r="C892" s="110" t="str">
        <f>IFERROR(INDEX(Структура_ассортимента[SuperCategory],MATCH(Товары[[#This Row],[SubGroup]],Структура_ассортимента[Subgroup],0)),"")</f>
        <v>W</v>
      </c>
      <c r="D89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9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92" s="110" t="str">
        <f>IFERROR(INDEX(Структура_ассортимента[Product group],MATCH(Товары[[#This Row],[SubGroup]],Структура_ассортимента[Subgroup],0)),"")</f>
        <v>WMA_C</v>
      </c>
      <c r="G892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92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92" s="36">
        <v>9022</v>
      </c>
      <c r="J892" s="36" t="str">
        <f>IFERROR(INDEX(Структура_ассортимента[Generic Name (long)],MATCH(Товары[[#This Row],[SubGroup]],Структура_ассортимента[Subgroup],0)),"")</f>
        <v>GARDEN SHOWER</v>
      </c>
      <c r="L892" s="36">
        <v>967687201</v>
      </c>
      <c r="M892" s="35" t="s">
        <v>2576</v>
      </c>
      <c r="O892" s="35" t="s">
        <v>5987</v>
      </c>
      <c r="P892" s="37" t="s">
        <v>5988</v>
      </c>
      <c r="Q892" s="34" t="s">
        <v>3549</v>
      </c>
      <c r="R892" s="34" t="s">
        <v>3540</v>
      </c>
      <c r="S892" s="47">
        <v>43101</v>
      </c>
      <c r="T892" s="47">
        <v>0</v>
      </c>
      <c r="U892" s="47">
        <v>0</v>
      </c>
      <c r="V892" s="34">
        <v>4078500034371</v>
      </c>
      <c r="W892" s="34" t="s">
        <v>3543</v>
      </c>
      <c r="X892" s="34" t="s">
        <v>3579</v>
      </c>
      <c r="Y892" s="34" t="s">
        <v>3542</v>
      </c>
      <c r="Z892" s="34">
        <v>5</v>
      </c>
      <c r="AA892" s="34">
        <v>0</v>
      </c>
      <c r="AB892" s="34" t="s">
        <v>4152</v>
      </c>
      <c r="AC892" s="34">
        <v>0</v>
      </c>
      <c r="AD892" s="34" t="s">
        <v>3734</v>
      </c>
      <c r="AE892" s="34" t="s">
        <v>5906</v>
      </c>
      <c r="AF892" s="34" t="s">
        <v>3968</v>
      </c>
      <c r="AG892" s="34" t="s">
        <v>4402</v>
      </c>
      <c r="AH892" s="34" t="s">
        <v>5989</v>
      </c>
      <c r="AL892" s="34" t="s">
        <v>4903</v>
      </c>
      <c r="AM892" s="40" t="s">
        <v>9</v>
      </c>
      <c r="AP892" s="34">
        <v>0</v>
      </c>
      <c r="AQ892" s="34">
        <v>1199</v>
      </c>
      <c r="AR892" s="34">
        <v>719</v>
      </c>
      <c r="AT892" s="44">
        <v>92900</v>
      </c>
      <c r="AU892" s="44"/>
      <c r="AV892" s="46">
        <f>ROUND(Товары[[#This Row],[РРЦ финальная, руб.]]/$AU$1,2)</f>
        <v>0</v>
      </c>
      <c r="AW892" s="45" t="str">
        <f>IFERROR(Товары[[#This Row],[РРЦ, евро]]/Товары[[#This Row],[IRP, Eur]],"-")</f>
        <v>-</v>
      </c>
      <c r="AX892" s="42">
        <f>IFERROR(VLOOKUP(Товары[[#This Row],[SubGroup]],'Структура цен DIY'!$B:$C,2,FALSE),0)</f>
        <v>0.28000000000000003</v>
      </c>
      <c r="AY892" s="44">
        <v>0</v>
      </c>
    </row>
    <row r="893" spans="1:51" x14ac:dyDescent="0.25">
      <c r="A893" s="34">
        <v>891</v>
      </c>
      <c r="B893" s="34" t="s">
        <v>49</v>
      </c>
      <c r="C893" s="110" t="str">
        <f>IFERROR(INDEX(Структура_ассортимента[SuperCategory],MATCH(Товары[[#This Row],[SubGroup]],Структура_ассортимента[Subgroup],0)),"")</f>
        <v>W</v>
      </c>
      <c r="D89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9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93" s="110" t="str">
        <f>IFERROR(INDEX(Структура_ассортимента[Product group],MATCH(Товары[[#This Row],[SubGroup]],Структура_ассортимента[Subgroup],0)),"")</f>
        <v>WMA_C</v>
      </c>
      <c r="G893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93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93" s="36">
        <v>9022</v>
      </c>
      <c r="J893" s="36" t="str">
        <f>IFERROR(INDEX(Структура_ассортимента[Generic Name (long)],MATCH(Товары[[#This Row],[SubGroup]],Структура_ассортимента[Subgroup],0)),"")</f>
        <v>GARDEN SHOWER</v>
      </c>
      <c r="L893" s="36">
        <v>967687301</v>
      </c>
      <c r="M893" s="35" t="s">
        <v>2577</v>
      </c>
      <c r="O893" s="35" t="s">
        <v>5990</v>
      </c>
      <c r="P893" s="37" t="s">
        <v>5991</v>
      </c>
      <c r="Q893" s="34" t="s">
        <v>3549</v>
      </c>
      <c r="R893" s="34" t="s">
        <v>3540</v>
      </c>
      <c r="S893" s="47">
        <v>43101</v>
      </c>
      <c r="T893" s="47">
        <v>0</v>
      </c>
      <c r="U893" s="47">
        <v>0</v>
      </c>
      <c r="V893" s="34">
        <v>4078500034425</v>
      </c>
      <c r="W893" s="34" t="s">
        <v>3543</v>
      </c>
      <c r="X893" s="34" t="s">
        <v>3579</v>
      </c>
      <c r="Y893" s="34" t="s">
        <v>3542</v>
      </c>
      <c r="Z893" s="34">
        <v>5</v>
      </c>
      <c r="AA893" s="34">
        <v>0</v>
      </c>
      <c r="AB893" s="34" t="s">
        <v>3806</v>
      </c>
      <c r="AC893" s="34">
        <v>0</v>
      </c>
      <c r="AD893" s="34" t="s">
        <v>4101</v>
      </c>
      <c r="AE893" s="34" t="s">
        <v>5906</v>
      </c>
      <c r="AF893" s="34" t="s">
        <v>3968</v>
      </c>
      <c r="AG893" s="34" t="s">
        <v>4402</v>
      </c>
      <c r="AH893" s="34" t="s">
        <v>5989</v>
      </c>
      <c r="AL893" s="34" t="s">
        <v>4903</v>
      </c>
      <c r="AM893" s="40" t="s">
        <v>9</v>
      </c>
      <c r="AP893" s="34">
        <v>0</v>
      </c>
      <c r="AQ893" s="34">
        <v>1089</v>
      </c>
      <c r="AR893" s="34">
        <v>653</v>
      </c>
      <c r="AT893" s="44">
        <v>84300</v>
      </c>
      <c r="AU893" s="44"/>
      <c r="AV893" s="46">
        <f>ROUND(Товары[[#This Row],[РРЦ финальная, руб.]]/$AU$1,2)</f>
        <v>0</v>
      </c>
      <c r="AW893" s="45" t="str">
        <f>IFERROR(Товары[[#This Row],[РРЦ, евро]]/Товары[[#This Row],[IRP, Eur]],"-")</f>
        <v>-</v>
      </c>
      <c r="AX893" s="42">
        <f>IFERROR(VLOOKUP(Товары[[#This Row],[SubGroup]],'Структура цен DIY'!$B:$C,2,FALSE),0)</f>
        <v>0.28000000000000003</v>
      </c>
      <c r="AY893" s="44">
        <v>0</v>
      </c>
    </row>
    <row r="894" spans="1:51" x14ac:dyDescent="0.25">
      <c r="A894" s="34">
        <v>892</v>
      </c>
      <c r="B894" s="34" t="s">
        <v>49</v>
      </c>
      <c r="C894" s="110" t="str">
        <f>IFERROR(INDEX(Структура_ассортимента[SuperCategory],MATCH(Товары[[#This Row],[SubGroup]],Структура_ассортимента[Subgroup],0)),"")</f>
        <v>W</v>
      </c>
      <c r="D89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9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94" s="110" t="str">
        <f>IFERROR(INDEX(Структура_ассортимента[Product group],MATCH(Товары[[#This Row],[SubGroup]],Структура_ассортимента[Subgroup],0)),"")</f>
        <v>WMA_C</v>
      </c>
      <c r="G894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94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94" s="36">
        <v>9161</v>
      </c>
      <c r="J894" s="36" t="str">
        <f>IFERROR(INDEX(Структура_ассортимента[Generic Name (long)],MATCH(Товары[[#This Row],[SubGroup]],Структура_ассортимента[Subgroup],0)),"")</f>
        <v>BRUSH</v>
      </c>
      <c r="L894" s="36">
        <v>901089701</v>
      </c>
      <c r="M894" s="35" t="s">
        <v>2578</v>
      </c>
      <c r="Q894" s="34" t="s">
        <v>3549</v>
      </c>
      <c r="R894" s="34" t="s">
        <v>3540</v>
      </c>
      <c r="S894" s="47">
        <v>39356</v>
      </c>
      <c r="T894" s="47">
        <v>0</v>
      </c>
      <c r="U894" s="47">
        <v>0</v>
      </c>
      <c r="V894" s="34">
        <v>4078500555203</v>
      </c>
      <c r="W894" s="34" t="s">
        <v>3543</v>
      </c>
      <c r="X894" s="34" t="s">
        <v>3579</v>
      </c>
      <c r="Y894" s="34" t="s">
        <v>3542</v>
      </c>
      <c r="Z894" s="34">
        <v>2</v>
      </c>
      <c r="AA894" s="34" t="s">
        <v>5992</v>
      </c>
      <c r="AB894" s="34" t="s">
        <v>5992</v>
      </c>
      <c r="AC894" s="34" t="s">
        <v>5130</v>
      </c>
      <c r="AD894" s="34" t="s">
        <v>5130</v>
      </c>
      <c r="AE894" s="34" t="s">
        <v>5993</v>
      </c>
      <c r="AF894" s="34" t="s">
        <v>4458</v>
      </c>
      <c r="AG894" s="34" t="s">
        <v>3754</v>
      </c>
      <c r="AH894" s="34" t="s">
        <v>5994</v>
      </c>
      <c r="AI894" s="34" t="s">
        <v>3687</v>
      </c>
      <c r="AJ894" s="34" t="s">
        <v>4546</v>
      </c>
      <c r="AK894" s="34" t="s">
        <v>4346</v>
      </c>
      <c r="AL894" s="34">
        <v>72</v>
      </c>
      <c r="AM894" s="40" t="s">
        <v>8095</v>
      </c>
      <c r="AT894" s="44">
        <v>0</v>
      </c>
      <c r="AU894" s="44"/>
      <c r="AV894" s="46">
        <f>ROUND(Товары[[#This Row],[РРЦ финальная, руб.]]/$AU$1,2)</f>
        <v>0</v>
      </c>
      <c r="AW894" s="45" t="str">
        <f>IFERROR(Товары[[#This Row],[РРЦ, евро]]/Товары[[#This Row],[IRP, Eur]],"-")</f>
        <v>-</v>
      </c>
      <c r="AX894" s="42">
        <f>IFERROR(VLOOKUP(Товары[[#This Row],[SubGroup]],'Структура цен DIY'!$B:$C,2,FALSE),0)</f>
        <v>0</v>
      </c>
      <c r="AY894" s="44">
        <v>0</v>
      </c>
    </row>
    <row r="895" spans="1:51" x14ac:dyDescent="0.25">
      <c r="A895" s="34">
        <v>893</v>
      </c>
      <c r="B895" s="34" t="s">
        <v>49</v>
      </c>
      <c r="C895" s="110" t="str">
        <f>IFERROR(INDEX(Структура_ассортимента[SuperCategory],MATCH(Товары[[#This Row],[SubGroup]],Структура_ассортимента[Subgroup],0)),"")</f>
        <v>W</v>
      </c>
      <c r="D89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9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95" s="110" t="str">
        <f>IFERROR(INDEX(Структура_ассортимента[Product group],MATCH(Товары[[#This Row],[SubGroup]],Структура_ассортимента[Subgroup],0)),"")</f>
        <v>WMA_C</v>
      </c>
      <c r="G895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95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95" s="36">
        <v>9161</v>
      </c>
      <c r="J895" s="36" t="str">
        <f>IFERROR(INDEX(Структура_ассортимента[Generic Name (long)],MATCH(Товары[[#This Row],[SubGroup]],Структура_ассортимента[Subgroup],0)),"")</f>
        <v>BRUSH</v>
      </c>
      <c r="L895" s="36">
        <v>901090101</v>
      </c>
      <c r="M895" s="35" t="s">
        <v>2579</v>
      </c>
      <c r="Q895" s="34" t="s">
        <v>3549</v>
      </c>
      <c r="R895" s="34" t="s">
        <v>3540</v>
      </c>
      <c r="S895" s="47">
        <v>39356</v>
      </c>
      <c r="T895" s="47">
        <v>0</v>
      </c>
      <c r="U895" s="47">
        <v>0</v>
      </c>
      <c r="V895" s="34">
        <v>4078500555609</v>
      </c>
      <c r="W895" s="34" t="s">
        <v>3543</v>
      </c>
      <c r="X895" s="34" t="s">
        <v>3579</v>
      </c>
      <c r="Y895" s="34" t="s">
        <v>3542</v>
      </c>
      <c r="Z895" s="34">
        <v>2</v>
      </c>
      <c r="AA895" s="34" t="s">
        <v>5995</v>
      </c>
      <c r="AB895" s="34" t="s">
        <v>5995</v>
      </c>
      <c r="AC895" s="34" t="s">
        <v>5949</v>
      </c>
      <c r="AD895" s="34" t="s">
        <v>5949</v>
      </c>
      <c r="AE895" s="34" t="s">
        <v>5165</v>
      </c>
      <c r="AF895" s="34" t="s">
        <v>4458</v>
      </c>
      <c r="AG895" s="34" t="s">
        <v>4324</v>
      </c>
      <c r="AH895" s="34" t="s">
        <v>5996</v>
      </c>
      <c r="AI895" s="34" t="s">
        <v>5997</v>
      </c>
      <c r="AJ895" s="34" t="s">
        <v>4324</v>
      </c>
      <c r="AK895" s="34" t="s">
        <v>4351</v>
      </c>
      <c r="AL895" s="34">
        <v>144</v>
      </c>
      <c r="AM895" s="40" t="s">
        <v>8095</v>
      </c>
      <c r="AT895" s="44">
        <v>0</v>
      </c>
      <c r="AU895" s="44"/>
      <c r="AV895" s="46">
        <f>ROUND(Товары[[#This Row],[РРЦ финальная, руб.]]/$AU$1,2)</f>
        <v>0</v>
      </c>
      <c r="AW895" s="45" t="str">
        <f>IFERROR(Товары[[#This Row],[РРЦ, евро]]/Товары[[#This Row],[IRP, Eur]],"-")</f>
        <v>-</v>
      </c>
      <c r="AX895" s="42">
        <f>IFERROR(VLOOKUP(Товары[[#This Row],[SubGroup]],'Структура цен DIY'!$B:$C,2,FALSE),0)</f>
        <v>0</v>
      </c>
      <c r="AY895" s="44">
        <v>0</v>
      </c>
    </row>
    <row r="896" spans="1:51" x14ac:dyDescent="0.25">
      <c r="A896" s="34">
        <v>894</v>
      </c>
      <c r="B896" s="34" t="s">
        <v>49</v>
      </c>
      <c r="C896" s="110" t="str">
        <f>IFERROR(INDEX(Структура_ассортимента[SuperCategory],MATCH(Товары[[#This Row],[SubGroup]],Структура_ассортимента[Subgroup],0)),"")</f>
        <v>W</v>
      </c>
      <c r="D89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9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96" s="110" t="str">
        <f>IFERROR(INDEX(Структура_ассортимента[Product group],MATCH(Товары[[#This Row],[SubGroup]],Структура_ассортимента[Subgroup],0)),"")</f>
        <v>WMA_C</v>
      </c>
      <c r="G896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96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96" s="36">
        <v>9161</v>
      </c>
      <c r="J896" s="36" t="str">
        <f>IFERROR(INDEX(Структура_ассортимента[Generic Name (long)],MATCH(Товары[[#This Row],[SubGroup]],Структура_ассортимента[Subgroup],0)),"")</f>
        <v>BRUSH</v>
      </c>
      <c r="L896" s="36">
        <v>901089501</v>
      </c>
      <c r="M896" s="35" t="s">
        <v>2580</v>
      </c>
      <c r="Q896" s="34" t="s">
        <v>3549</v>
      </c>
      <c r="R896" s="34" t="s">
        <v>3540</v>
      </c>
      <c r="S896" s="47">
        <v>39356</v>
      </c>
      <c r="T896" s="47">
        <v>0</v>
      </c>
      <c r="U896" s="47">
        <v>0</v>
      </c>
      <c r="V896" s="34">
        <v>4078500555005</v>
      </c>
      <c r="W896" s="34" t="s">
        <v>3543</v>
      </c>
      <c r="X896" s="34" t="s">
        <v>3579</v>
      </c>
      <c r="Y896" s="34" t="s">
        <v>3542</v>
      </c>
      <c r="Z896" s="34">
        <v>2</v>
      </c>
      <c r="AA896" s="34" t="s">
        <v>5998</v>
      </c>
      <c r="AB896" s="34" t="s">
        <v>5312</v>
      </c>
      <c r="AC896" s="34" t="s">
        <v>3861</v>
      </c>
      <c r="AD896" s="34" t="s">
        <v>3861</v>
      </c>
      <c r="AE896" s="34" t="s">
        <v>5999</v>
      </c>
      <c r="AF896" s="34" t="s">
        <v>4458</v>
      </c>
      <c r="AG896" s="34" t="s">
        <v>3754</v>
      </c>
      <c r="AH896" s="34" t="s">
        <v>6000</v>
      </c>
      <c r="AI896" s="34" t="s">
        <v>3774</v>
      </c>
      <c r="AJ896" s="34" t="s">
        <v>4546</v>
      </c>
      <c r="AK896" s="34" t="s">
        <v>4346</v>
      </c>
      <c r="AL896" s="34" t="s">
        <v>4453</v>
      </c>
      <c r="AM896" s="40" t="s">
        <v>8095</v>
      </c>
      <c r="AT896" s="44">
        <v>0</v>
      </c>
      <c r="AU896" s="44"/>
      <c r="AV896" s="46">
        <f>ROUND(Товары[[#This Row],[РРЦ финальная, руб.]]/$AU$1,2)</f>
        <v>0</v>
      </c>
      <c r="AW896" s="45" t="str">
        <f>IFERROR(Товары[[#This Row],[РРЦ, евро]]/Товары[[#This Row],[IRP, Eur]],"-")</f>
        <v>-</v>
      </c>
      <c r="AX896" s="42">
        <f>IFERROR(VLOOKUP(Товары[[#This Row],[SubGroup]],'Структура цен DIY'!$B:$C,2,FALSE),0)</f>
        <v>0</v>
      </c>
      <c r="AY896" s="44">
        <v>0</v>
      </c>
    </row>
    <row r="897" spans="1:51" x14ac:dyDescent="0.25">
      <c r="A897" s="34">
        <v>895</v>
      </c>
      <c r="B897" s="34" t="s">
        <v>49</v>
      </c>
      <c r="C897" s="110" t="str">
        <f>IFERROR(INDEX(Структура_ассортимента[SuperCategory],MATCH(Товары[[#This Row],[SubGroup]],Структура_ассортимента[Subgroup],0)),"")</f>
        <v>W</v>
      </c>
      <c r="D89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9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97" s="110" t="str">
        <f>IFERROR(INDEX(Структура_ассортимента[Product group],MATCH(Товары[[#This Row],[SubGroup]],Структура_ассортимента[Subgroup],0)),"")</f>
        <v>WMA_C</v>
      </c>
      <c r="G897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97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97" s="36">
        <v>9161</v>
      </c>
      <c r="J897" s="36" t="str">
        <f>IFERROR(INDEX(Структура_ассортимента[Generic Name (long)],MATCH(Товары[[#This Row],[SubGroup]],Структура_ассортимента[Subgroup],0)),"")</f>
        <v>BRUSH</v>
      </c>
      <c r="L897" s="36">
        <v>901089901</v>
      </c>
      <c r="M897" s="35" t="s">
        <v>2581</v>
      </c>
      <c r="Q897" s="34" t="s">
        <v>3549</v>
      </c>
      <c r="R897" s="34" t="s">
        <v>3540</v>
      </c>
      <c r="S897" s="47">
        <v>39356</v>
      </c>
      <c r="T897" s="47">
        <v>0</v>
      </c>
      <c r="U897" s="47">
        <v>0</v>
      </c>
      <c r="V897" s="34">
        <v>4078500555401</v>
      </c>
      <c r="W897" s="34" t="s">
        <v>3543</v>
      </c>
      <c r="X897" s="34" t="s">
        <v>3579</v>
      </c>
      <c r="Y897" s="34" t="s">
        <v>3542</v>
      </c>
      <c r="Z897" s="34">
        <v>2</v>
      </c>
      <c r="AA897" s="34" t="s">
        <v>6001</v>
      </c>
      <c r="AB897" s="34" t="s">
        <v>6001</v>
      </c>
      <c r="AC897" s="34" t="s">
        <v>6002</v>
      </c>
      <c r="AD897" s="34" t="s">
        <v>6002</v>
      </c>
      <c r="AE897" s="34" t="s">
        <v>6003</v>
      </c>
      <c r="AF897" s="34" t="s">
        <v>4458</v>
      </c>
      <c r="AG897" s="34" t="s">
        <v>3754</v>
      </c>
      <c r="AH897" s="34" t="s">
        <v>6004</v>
      </c>
      <c r="AI897" s="34" t="s">
        <v>6005</v>
      </c>
      <c r="AJ897" s="34" t="s">
        <v>4980</v>
      </c>
      <c r="AK897" s="34" t="s">
        <v>4181</v>
      </c>
      <c r="AL897" s="34">
        <v>80</v>
      </c>
      <c r="AM897" s="40" t="s">
        <v>8095</v>
      </c>
      <c r="AT897" s="44">
        <v>0</v>
      </c>
      <c r="AU897" s="44"/>
      <c r="AV897" s="46">
        <f>ROUND(Товары[[#This Row],[РРЦ финальная, руб.]]/$AU$1,2)</f>
        <v>0</v>
      </c>
      <c r="AW897" s="45" t="str">
        <f>IFERROR(Товары[[#This Row],[РРЦ, евро]]/Товары[[#This Row],[IRP, Eur]],"-")</f>
        <v>-</v>
      </c>
      <c r="AX897" s="42">
        <f>IFERROR(VLOOKUP(Товары[[#This Row],[SubGroup]],'Структура цен DIY'!$B:$C,2,FALSE),0)</f>
        <v>0</v>
      </c>
      <c r="AY897" s="44">
        <v>0</v>
      </c>
    </row>
    <row r="898" spans="1:51" x14ac:dyDescent="0.25">
      <c r="A898" s="34">
        <v>896</v>
      </c>
      <c r="B898" s="34" t="s">
        <v>49</v>
      </c>
      <c r="C898" s="110" t="str">
        <f>IFERROR(INDEX(Структура_ассортимента[SuperCategory],MATCH(Товары[[#This Row],[SubGroup]],Структура_ассортимента[Subgroup],0)),"")</f>
        <v>W</v>
      </c>
      <c r="D89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9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98" s="110" t="str">
        <f>IFERROR(INDEX(Структура_ассортимента[Product group],MATCH(Товары[[#This Row],[SubGroup]],Структура_ассортимента[Subgroup],0)),"")</f>
        <v>WMA_C</v>
      </c>
      <c r="G898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98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98" s="36">
        <v>9161</v>
      </c>
      <c r="J898" s="36" t="str">
        <f>IFERROR(INDEX(Структура_ассортимента[Generic Name (long)],MATCH(Товары[[#This Row],[SubGroup]],Структура_ассортимента[Subgroup],0)),"")</f>
        <v>BRUSH</v>
      </c>
      <c r="L898" s="36">
        <v>900883101</v>
      </c>
      <c r="M898" s="35" t="s">
        <v>2582</v>
      </c>
      <c r="Q898" s="34" t="s">
        <v>3549</v>
      </c>
      <c r="R898" s="34" t="s">
        <v>3540</v>
      </c>
      <c r="S898" s="47">
        <v>33147</v>
      </c>
      <c r="T898" s="47">
        <v>0</v>
      </c>
      <c r="U898" s="47">
        <v>0</v>
      </c>
      <c r="V898" s="34">
        <v>4078500099004</v>
      </c>
      <c r="W898" s="34" t="s">
        <v>3550</v>
      </c>
      <c r="X898" s="34" t="s">
        <v>3579</v>
      </c>
      <c r="Y898" s="34" t="s">
        <v>3542</v>
      </c>
      <c r="Z898" s="34">
        <v>10</v>
      </c>
      <c r="AA898" s="34" t="s">
        <v>3691</v>
      </c>
      <c r="AB898" s="34" t="s">
        <v>3691</v>
      </c>
      <c r="AC898" s="34" t="s">
        <v>4007</v>
      </c>
      <c r="AD898" s="34" t="s">
        <v>4007</v>
      </c>
      <c r="AE898" s="34" t="s">
        <v>6006</v>
      </c>
      <c r="AF898" s="34" t="s">
        <v>4909</v>
      </c>
      <c r="AG898" s="34" t="s">
        <v>4133</v>
      </c>
      <c r="AH898" s="34" t="s">
        <v>6007</v>
      </c>
      <c r="AL898" s="34">
        <v>420</v>
      </c>
      <c r="AM898" s="40" t="s">
        <v>8095</v>
      </c>
      <c r="AT898" s="44">
        <v>0</v>
      </c>
      <c r="AU898" s="44"/>
      <c r="AV898" s="46">
        <f>ROUND(Товары[[#This Row],[РРЦ финальная, руб.]]/$AU$1,2)</f>
        <v>0</v>
      </c>
      <c r="AW898" s="45" t="str">
        <f>IFERROR(Товары[[#This Row],[РРЦ, евро]]/Товары[[#This Row],[IRP, Eur]],"-")</f>
        <v>-</v>
      </c>
      <c r="AX898" s="42">
        <f>IFERROR(VLOOKUP(Товары[[#This Row],[SubGroup]],'Структура цен DIY'!$B:$C,2,FALSE),0)</f>
        <v>0</v>
      </c>
      <c r="AY898" s="44">
        <v>0</v>
      </c>
    </row>
    <row r="899" spans="1:51" x14ac:dyDescent="0.25">
      <c r="A899" s="34">
        <v>897</v>
      </c>
      <c r="B899" s="34" t="s">
        <v>49</v>
      </c>
      <c r="C899" s="110" t="str">
        <f>IFERROR(INDEX(Структура_ассортимента[SuperCategory],MATCH(Товары[[#This Row],[SubGroup]],Структура_ассортимента[Subgroup],0)),"")</f>
        <v>W</v>
      </c>
      <c r="D89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9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99" s="110" t="str">
        <f>IFERROR(INDEX(Структура_ассортимента[Product group],MATCH(Товары[[#This Row],[SubGroup]],Структура_ассортимента[Subgroup],0)),"")</f>
        <v>WMA_C</v>
      </c>
      <c r="G899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99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99" s="36">
        <v>9161</v>
      </c>
      <c r="J899" s="36" t="str">
        <f>IFERROR(INDEX(Структура_ассортимента[Generic Name (long)],MATCH(Товары[[#This Row],[SubGroup]],Структура_ассортимента[Subgroup],0)),"")</f>
        <v>BRUSH</v>
      </c>
      <c r="L899" s="36">
        <v>900882401</v>
      </c>
      <c r="M899" s="35" t="s">
        <v>2583</v>
      </c>
      <c r="Q899" s="34" t="s">
        <v>3549</v>
      </c>
      <c r="R899" s="34" t="s">
        <v>3540</v>
      </c>
      <c r="S899" s="47">
        <v>36434</v>
      </c>
      <c r="T899" s="47">
        <v>0</v>
      </c>
      <c r="U899" s="47">
        <v>0</v>
      </c>
      <c r="V899" s="34">
        <v>4078500098403</v>
      </c>
      <c r="W899" s="34" t="s">
        <v>3550</v>
      </c>
      <c r="X899" s="34" t="s">
        <v>3579</v>
      </c>
      <c r="Y899" s="34" t="s">
        <v>3542</v>
      </c>
      <c r="Z899" s="34">
        <v>3</v>
      </c>
      <c r="AA899" s="34" t="s">
        <v>6008</v>
      </c>
      <c r="AB899" s="34" t="s">
        <v>6008</v>
      </c>
      <c r="AC899" s="34" t="s">
        <v>3990</v>
      </c>
      <c r="AD899" s="34" t="s">
        <v>3990</v>
      </c>
      <c r="AE899" s="34" t="s">
        <v>6009</v>
      </c>
      <c r="AF899" s="34" t="s">
        <v>4943</v>
      </c>
      <c r="AG899" s="34" t="s">
        <v>4139</v>
      </c>
      <c r="AH899" s="34" t="s">
        <v>6010</v>
      </c>
      <c r="AI899" s="34" t="s">
        <v>3574</v>
      </c>
      <c r="AJ899" s="34" t="s">
        <v>5641</v>
      </c>
      <c r="AK899" s="34" t="s">
        <v>4381</v>
      </c>
      <c r="AL899" s="34">
        <v>240</v>
      </c>
      <c r="AM899" s="40" t="s">
        <v>8095</v>
      </c>
      <c r="AT899" s="44">
        <v>0</v>
      </c>
      <c r="AU899" s="44"/>
      <c r="AV899" s="46">
        <f>ROUND(Товары[[#This Row],[РРЦ финальная, руб.]]/$AU$1,2)</f>
        <v>0</v>
      </c>
      <c r="AW899" s="45" t="str">
        <f>IFERROR(Товары[[#This Row],[РРЦ, евро]]/Товары[[#This Row],[IRP, Eur]],"-")</f>
        <v>-</v>
      </c>
      <c r="AX899" s="42">
        <f>IFERROR(VLOOKUP(Товары[[#This Row],[SubGroup]],'Структура цен DIY'!$B:$C,2,FALSE),0)</f>
        <v>0</v>
      </c>
      <c r="AY899" s="44">
        <v>0</v>
      </c>
    </row>
    <row r="900" spans="1:51" x14ac:dyDescent="0.25">
      <c r="A900" s="34">
        <v>898</v>
      </c>
      <c r="B900" s="34" t="s">
        <v>49</v>
      </c>
      <c r="C900" s="110" t="str">
        <f>IFERROR(INDEX(Структура_ассортимента[SuperCategory],MATCH(Товары[[#This Row],[SubGroup]],Структура_ассортимента[Subgroup],0)),"")</f>
        <v>W</v>
      </c>
      <c r="D90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0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00" s="110" t="str">
        <f>IFERROR(INDEX(Структура_ассортимента[Product group],MATCH(Товары[[#This Row],[SubGroup]],Структура_ассортимента[Subgroup],0)),"")</f>
        <v>WMA_C</v>
      </c>
      <c r="G900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00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00" s="36">
        <v>9161</v>
      </c>
      <c r="J900" s="36" t="str">
        <f>IFERROR(INDEX(Структура_ассортимента[Generic Name (long)],MATCH(Товары[[#This Row],[SubGroup]],Структура_ассортимента[Subgroup],0)),"")</f>
        <v>BRUSH</v>
      </c>
      <c r="L900" s="36">
        <v>900882801</v>
      </c>
      <c r="M900" s="35" t="s">
        <v>2584</v>
      </c>
      <c r="Q900" s="34" t="s">
        <v>3549</v>
      </c>
      <c r="R900" s="34" t="s">
        <v>3540</v>
      </c>
      <c r="S900" s="47">
        <v>35704</v>
      </c>
      <c r="T900" s="47">
        <v>0</v>
      </c>
      <c r="U900" s="47">
        <v>0</v>
      </c>
      <c r="V900" s="34">
        <v>4078500098809</v>
      </c>
      <c r="W900" s="34" t="s">
        <v>3550</v>
      </c>
      <c r="X900" s="34" t="s">
        <v>3579</v>
      </c>
      <c r="Y900" s="34" t="s">
        <v>3542</v>
      </c>
      <c r="Z900" s="34">
        <v>5</v>
      </c>
      <c r="AA900" s="34" t="s">
        <v>6011</v>
      </c>
      <c r="AB900" s="34" t="s">
        <v>6011</v>
      </c>
      <c r="AC900" s="34" t="s">
        <v>3728</v>
      </c>
      <c r="AD900" s="34" t="s">
        <v>3728</v>
      </c>
      <c r="AE900" s="34" t="s">
        <v>6012</v>
      </c>
      <c r="AF900" s="34" t="s">
        <v>4335</v>
      </c>
      <c r="AG900" s="34" t="s">
        <v>6013</v>
      </c>
      <c r="AH900" s="34" t="s">
        <v>6014</v>
      </c>
      <c r="AI900" s="34" t="s">
        <v>4979</v>
      </c>
      <c r="AJ900" s="34" t="s">
        <v>4549</v>
      </c>
      <c r="AK900" s="34" t="s">
        <v>4324</v>
      </c>
      <c r="AL900" s="34">
        <v>405</v>
      </c>
      <c r="AM900" s="40" t="s">
        <v>8095</v>
      </c>
      <c r="AT900" s="44">
        <v>0</v>
      </c>
      <c r="AU900" s="44"/>
      <c r="AV900" s="46">
        <f>ROUND(Товары[[#This Row],[РРЦ финальная, руб.]]/$AU$1,2)</f>
        <v>0</v>
      </c>
      <c r="AW900" s="45" t="str">
        <f>IFERROR(Товары[[#This Row],[РРЦ, евро]]/Товары[[#This Row],[IRP, Eur]],"-")</f>
        <v>-</v>
      </c>
      <c r="AX900" s="42">
        <f>IFERROR(VLOOKUP(Товары[[#This Row],[SubGroup]],'Структура цен DIY'!$B:$C,2,FALSE),0)</f>
        <v>0</v>
      </c>
      <c r="AY900" s="44">
        <v>0</v>
      </c>
    </row>
    <row r="901" spans="1:51" x14ac:dyDescent="0.25">
      <c r="A901" s="34">
        <v>899</v>
      </c>
      <c r="B901" s="34" t="s">
        <v>49</v>
      </c>
      <c r="C901" s="110" t="str">
        <f>IFERROR(INDEX(Структура_ассортимента[SuperCategory],MATCH(Товары[[#This Row],[SubGroup]],Структура_ассортимента[Subgroup],0)),"")</f>
        <v>W</v>
      </c>
      <c r="D90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0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01" s="110" t="str">
        <f>IFERROR(INDEX(Структура_ассортимента[Product group],MATCH(Товары[[#This Row],[SubGroup]],Структура_ассортимента[Subgroup],0)),"")</f>
        <v>WMA_C</v>
      </c>
      <c r="G901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01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01" s="36">
        <v>9161</v>
      </c>
      <c r="J901" s="36" t="str">
        <f>IFERROR(INDEX(Структура_ассортимента[Generic Name (long)],MATCH(Товары[[#This Row],[SubGroup]],Структура_ассортимента[Subgroup],0)),"")</f>
        <v>BRUSH</v>
      </c>
      <c r="L901" s="36">
        <v>901091601</v>
      </c>
      <c r="M901" s="35" t="s">
        <v>2585</v>
      </c>
      <c r="Q901" s="34" t="s">
        <v>3549</v>
      </c>
      <c r="R901" s="34" t="s">
        <v>3540</v>
      </c>
      <c r="S901" s="47">
        <v>39356</v>
      </c>
      <c r="T901" s="47">
        <v>0</v>
      </c>
      <c r="U901" s="47">
        <v>0</v>
      </c>
      <c r="V901" s="34">
        <v>4078500557207</v>
      </c>
      <c r="W901" s="34" t="s">
        <v>3543</v>
      </c>
      <c r="X901" s="34" t="s">
        <v>3579</v>
      </c>
      <c r="Y901" s="34" t="s">
        <v>3542</v>
      </c>
      <c r="Z901" s="34">
        <v>3</v>
      </c>
      <c r="AA901" s="34" t="s">
        <v>6015</v>
      </c>
      <c r="AB901" s="34" t="s">
        <v>3690</v>
      </c>
      <c r="AC901" s="34" t="s">
        <v>4159</v>
      </c>
      <c r="AD901" s="34" t="s">
        <v>3691</v>
      </c>
      <c r="AE901" s="34" t="s">
        <v>5346</v>
      </c>
      <c r="AF901" s="34" t="s">
        <v>3560</v>
      </c>
      <c r="AG901" s="34" t="s">
        <v>4549</v>
      </c>
      <c r="AH901" s="34" t="s">
        <v>6016</v>
      </c>
      <c r="AI901" s="34" t="s">
        <v>6017</v>
      </c>
      <c r="AJ901" s="34" t="s">
        <v>3693</v>
      </c>
      <c r="AK901" s="34" t="s">
        <v>4909</v>
      </c>
      <c r="AL901" s="34" t="s">
        <v>3562</v>
      </c>
      <c r="AM901" s="40" t="s">
        <v>8095</v>
      </c>
      <c r="AT901" s="44">
        <v>0</v>
      </c>
      <c r="AU901" s="44"/>
      <c r="AV901" s="46">
        <f>ROUND(Товары[[#This Row],[РРЦ финальная, руб.]]/$AU$1,2)</f>
        <v>0</v>
      </c>
      <c r="AW901" s="45" t="str">
        <f>IFERROR(Товары[[#This Row],[РРЦ, евро]]/Товары[[#This Row],[IRP, Eur]],"-")</f>
        <v>-</v>
      </c>
      <c r="AX901" s="42">
        <f>IFERROR(VLOOKUP(Товары[[#This Row],[SubGroup]],'Структура цен DIY'!$B:$C,2,FALSE),0)</f>
        <v>0</v>
      </c>
      <c r="AY901" s="44">
        <v>0</v>
      </c>
    </row>
    <row r="902" spans="1:51" x14ac:dyDescent="0.25">
      <c r="A902" s="34">
        <v>900</v>
      </c>
      <c r="B902" s="34" t="s">
        <v>49</v>
      </c>
      <c r="C902" s="110" t="str">
        <f>IFERROR(INDEX(Структура_ассортимента[SuperCategory],MATCH(Товары[[#This Row],[SubGroup]],Структура_ассортимента[Subgroup],0)),"")</f>
        <v>W</v>
      </c>
      <c r="D90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0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02" s="110" t="str">
        <f>IFERROR(INDEX(Структура_ассортимента[Product group],MATCH(Товары[[#This Row],[SubGroup]],Структура_ассортимента[Subgroup],0)),"")</f>
        <v>WMA_C</v>
      </c>
      <c r="G902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02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02" s="36">
        <v>9161</v>
      </c>
      <c r="J902" s="36" t="str">
        <f>IFERROR(INDEX(Структура_ассортимента[Generic Name (long)],MATCH(Товары[[#This Row],[SubGroup]],Структура_ассортимента[Subgroup],0)),"")</f>
        <v>BRUSH</v>
      </c>
      <c r="L902" s="36">
        <v>901091701</v>
      </c>
      <c r="M902" s="35" t="s">
        <v>2586</v>
      </c>
      <c r="Q902" s="34" t="s">
        <v>3549</v>
      </c>
      <c r="R902" s="34" t="s">
        <v>3540</v>
      </c>
      <c r="S902" s="47">
        <v>39356</v>
      </c>
      <c r="T902" s="47">
        <v>0</v>
      </c>
      <c r="U902" s="47">
        <v>0</v>
      </c>
      <c r="V902" s="34">
        <v>4078500557405</v>
      </c>
      <c r="W902" s="34" t="s">
        <v>3543</v>
      </c>
      <c r="X902" s="34" t="s">
        <v>3579</v>
      </c>
      <c r="Y902" s="34" t="s">
        <v>3542</v>
      </c>
      <c r="Z902" s="34">
        <v>3</v>
      </c>
      <c r="AA902" s="34" t="s">
        <v>6018</v>
      </c>
      <c r="AB902" s="34" t="s">
        <v>6018</v>
      </c>
      <c r="AC902" s="34" t="s">
        <v>4147</v>
      </c>
      <c r="AD902" s="34" t="s">
        <v>4147</v>
      </c>
      <c r="AE902" s="34" t="s">
        <v>5346</v>
      </c>
      <c r="AF902" s="34" t="s">
        <v>3560</v>
      </c>
      <c r="AG902" s="34" t="s">
        <v>4549</v>
      </c>
      <c r="AH902" s="34" t="s">
        <v>6016</v>
      </c>
      <c r="AI902" s="34" t="s">
        <v>5042</v>
      </c>
      <c r="AJ902" s="34" t="s">
        <v>3611</v>
      </c>
      <c r="AK902" s="34" t="s">
        <v>4943</v>
      </c>
      <c r="AL902" s="34">
        <v>144</v>
      </c>
      <c r="AM902" s="40" t="s">
        <v>8095</v>
      </c>
      <c r="AT902" s="44">
        <v>0</v>
      </c>
      <c r="AU902" s="44"/>
      <c r="AV902" s="46">
        <f>ROUND(Товары[[#This Row],[РРЦ финальная, руб.]]/$AU$1,2)</f>
        <v>0</v>
      </c>
      <c r="AW902" s="45" t="str">
        <f>IFERROR(Товары[[#This Row],[РРЦ, евро]]/Товары[[#This Row],[IRP, Eur]],"-")</f>
        <v>-</v>
      </c>
      <c r="AX902" s="42">
        <f>IFERROR(VLOOKUP(Товары[[#This Row],[SubGroup]],'Структура цен DIY'!$B:$C,2,FALSE),0)</f>
        <v>0</v>
      </c>
      <c r="AY902" s="44">
        <v>0</v>
      </c>
    </row>
    <row r="903" spans="1:51" x14ac:dyDescent="0.25">
      <c r="A903" s="34">
        <v>901</v>
      </c>
      <c r="B903" s="34" t="s">
        <v>49</v>
      </c>
      <c r="C903" s="110" t="str">
        <f>IFERROR(INDEX(Структура_ассортимента[SuperCategory],MATCH(Товары[[#This Row],[SubGroup]],Структура_ассортимента[Subgroup],0)),"")</f>
        <v>W</v>
      </c>
      <c r="D90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0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03" s="110" t="str">
        <f>IFERROR(INDEX(Структура_ассортимента[Product group],MATCH(Товары[[#This Row],[SubGroup]],Структура_ассортимента[Subgroup],0)),"")</f>
        <v>WMA_C</v>
      </c>
      <c r="G903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03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03" s="36">
        <v>9161</v>
      </c>
      <c r="J903" s="36" t="str">
        <f>IFERROR(INDEX(Структура_ассортимента[Generic Name (long)],MATCH(Товары[[#This Row],[SubGroup]],Структура_ассортимента[Subgroup],0)),"")</f>
        <v>BRUSH</v>
      </c>
      <c r="L903" s="36">
        <v>900882701</v>
      </c>
      <c r="M903" s="35" t="s">
        <v>2587</v>
      </c>
      <c r="Q903" s="34" t="s">
        <v>3549</v>
      </c>
      <c r="R903" s="34" t="s">
        <v>3540</v>
      </c>
      <c r="S903" s="47">
        <v>36434</v>
      </c>
      <c r="T903" s="47">
        <v>0</v>
      </c>
      <c r="U903" s="47">
        <v>0</v>
      </c>
      <c r="V903" s="34">
        <v>4078500098700</v>
      </c>
      <c r="W903" s="34" t="s">
        <v>3550</v>
      </c>
      <c r="X903" s="34" t="s">
        <v>3579</v>
      </c>
      <c r="Y903" s="34" t="s">
        <v>3542</v>
      </c>
      <c r="Z903" s="34">
        <v>5</v>
      </c>
      <c r="AA903" s="34" t="s">
        <v>6019</v>
      </c>
      <c r="AB903" s="34" t="s">
        <v>6019</v>
      </c>
      <c r="AC903" s="34" t="s">
        <v>6020</v>
      </c>
      <c r="AD903" s="34" t="s">
        <v>6020</v>
      </c>
      <c r="AE903" s="34" t="s">
        <v>3590</v>
      </c>
      <c r="AF903" s="34" t="s">
        <v>3800</v>
      </c>
      <c r="AG903" s="34" t="s">
        <v>4324</v>
      </c>
      <c r="AH903" s="34" t="s">
        <v>6021</v>
      </c>
      <c r="AI903" s="34" t="s">
        <v>4615</v>
      </c>
      <c r="AJ903" s="34" t="s">
        <v>4633</v>
      </c>
      <c r="AK903" s="34" t="s">
        <v>4153</v>
      </c>
      <c r="AL903" s="34">
        <v>405</v>
      </c>
      <c r="AM903" s="40" t="s">
        <v>8095</v>
      </c>
      <c r="AT903" s="44">
        <v>0</v>
      </c>
      <c r="AU903" s="44"/>
      <c r="AV903" s="46">
        <f>ROUND(Товары[[#This Row],[РРЦ финальная, руб.]]/$AU$1,2)</f>
        <v>0</v>
      </c>
      <c r="AW903" s="45" t="str">
        <f>IFERROR(Товары[[#This Row],[РРЦ, евро]]/Товары[[#This Row],[IRP, Eur]],"-")</f>
        <v>-</v>
      </c>
      <c r="AX903" s="42">
        <f>IFERROR(VLOOKUP(Товары[[#This Row],[SubGroup]],'Структура цен DIY'!$B:$C,2,FALSE),0)</f>
        <v>0</v>
      </c>
      <c r="AY903" s="44">
        <v>0</v>
      </c>
    </row>
    <row r="904" spans="1:51" x14ac:dyDescent="0.25">
      <c r="A904" s="34">
        <v>902</v>
      </c>
      <c r="B904" s="34" t="s">
        <v>49</v>
      </c>
      <c r="C904" s="110" t="str">
        <f>IFERROR(INDEX(Структура_ассортимента[SuperCategory],MATCH(Товары[[#This Row],[SubGroup]],Структура_ассортимента[Subgroup],0)),"")</f>
        <v>W</v>
      </c>
      <c r="D90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0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04" s="110" t="str">
        <f>IFERROR(INDEX(Структура_ассортимента[Product group],MATCH(Товары[[#This Row],[SubGroup]],Структура_ассортимента[Subgroup],0)),"")</f>
        <v>WMA_C</v>
      </c>
      <c r="G904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04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04" s="36">
        <v>9161</v>
      </c>
      <c r="J904" s="36" t="str">
        <f>IFERROR(INDEX(Структура_ассортимента[Generic Name (long)],MATCH(Товары[[#This Row],[SubGroup]],Структура_ассортимента[Subgroup],0)),"")</f>
        <v>BRUSH</v>
      </c>
      <c r="L904" s="36">
        <v>901090301</v>
      </c>
      <c r="M904" s="35" t="s">
        <v>2588</v>
      </c>
      <c r="Q904" s="34" t="s">
        <v>3549</v>
      </c>
      <c r="R904" s="34" t="s">
        <v>3540</v>
      </c>
      <c r="S904" s="47">
        <v>39356</v>
      </c>
      <c r="T904" s="47">
        <v>0</v>
      </c>
      <c r="U904" s="47">
        <v>0</v>
      </c>
      <c r="V904" s="34">
        <v>4078500556002</v>
      </c>
      <c r="W904" s="34" t="s">
        <v>3543</v>
      </c>
      <c r="X904" s="34" t="s">
        <v>3579</v>
      </c>
      <c r="Y904" s="34" t="s">
        <v>3542</v>
      </c>
      <c r="Z904" s="34">
        <v>2</v>
      </c>
      <c r="AA904" s="34" t="s">
        <v>3862</v>
      </c>
      <c r="AB904" s="34" t="s">
        <v>3862</v>
      </c>
      <c r="AC904" s="34" t="s">
        <v>6022</v>
      </c>
      <c r="AD904" s="34" t="s">
        <v>6022</v>
      </c>
      <c r="AE904" s="34" t="s">
        <v>3975</v>
      </c>
      <c r="AF904" s="34" t="s">
        <v>3698</v>
      </c>
      <c r="AG904" s="34" t="s">
        <v>3576</v>
      </c>
      <c r="AH904" s="34" t="s">
        <v>6023</v>
      </c>
      <c r="AI904" s="34" t="s">
        <v>3865</v>
      </c>
      <c r="AJ904" s="34" t="s">
        <v>3560</v>
      </c>
      <c r="AK904" s="34" t="s">
        <v>6024</v>
      </c>
      <c r="AL904" s="34">
        <v>120</v>
      </c>
      <c r="AM904" s="40" t="s">
        <v>8095</v>
      </c>
      <c r="AT904" s="44">
        <v>0</v>
      </c>
      <c r="AU904" s="44"/>
      <c r="AV904" s="46">
        <f>ROUND(Товары[[#This Row],[РРЦ финальная, руб.]]/$AU$1,2)</f>
        <v>0</v>
      </c>
      <c r="AW904" s="45" t="str">
        <f>IFERROR(Товары[[#This Row],[РРЦ, евро]]/Товары[[#This Row],[IRP, Eur]],"-")</f>
        <v>-</v>
      </c>
      <c r="AX904" s="42">
        <f>IFERROR(VLOOKUP(Товары[[#This Row],[SubGroup]],'Структура цен DIY'!$B:$C,2,FALSE),0)</f>
        <v>0</v>
      </c>
      <c r="AY904" s="44">
        <v>0</v>
      </c>
    </row>
    <row r="905" spans="1:51" x14ac:dyDescent="0.25">
      <c r="A905" s="34">
        <v>903</v>
      </c>
      <c r="B905" s="34" t="s">
        <v>49</v>
      </c>
      <c r="C905" s="110" t="str">
        <f>IFERROR(INDEX(Структура_ассортимента[SuperCategory],MATCH(Товары[[#This Row],[SubGroup]],Структура_ассортимента[Subgroup],0)),"")</f>
        <v>W</v>
      </c>
      <c r="D90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0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05" s="110" t="str">
        <f>IFERROR(INDEX(Структура_ассортимента[Product group],MATCH(Товары[[#This Row],[SubGroup]],Структура_ассортимента[Subgroup],0)),"")</f>
        <v>WMA_C</v>
      </c>
      <c r="G905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05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05" s="36">
        <v>9161</v>
      </c>
      <c r="J905" s="36" t="str">
        <f>IFERROR(INDEX(Структура_ассортимента[Generic Name (long)],MATCH(Товары[[#This Row],[SubGroup]],Структура_ассортимента[Subgroup],0)),"")</f>
        <v>BRUSH</v>
      </c>
      <c r="L905" s="36">
        <v>901090501</v>
      </c>
      <c r="M905" s="35" t="s">
        <v>2589</v>
      </c>
      <c r="Q905" s="34" t="s">
        <v>3549</v>
      </c>
      <c r="R905" s="34" t="s">
        <v>3540</v>
      </c>
      <c r="S905" s="47">
        <v>39356</v>
      </c>
      <c r="T905" s="47">
        <v>0</v>
      </c>
      <c r="U905" s="47">
        <v>0</v>
      </c>
      <c r="V905" s="34">
        <v>4078500556200</v>
      </c>
      <c r="W905" s="34" t="s">
        <v>3543</v>
      </c>
      <c r="X905" s="34" t="s">
        <v>3579</v>
      </c>
      <c r="Y905" s="34" t="s">
        <v>3542</v>
      </c>
      <c r="Z905" s="34">
        <v>2</v>
      </c>
      <c r="AA905" s="34" t="s">
        <v>4664</v>
      </c>
      <c r="AB905" s="34" t="s">
        <v>4664</v>
      </c>
      <c r="AC905" s="34" t="s">
        <v>4410</v>
      </c>
      <c r="AD905" s="34" t="s">
        <v>4410</v>
      </c>
      <c r="AE905" s="34" t="s">
        <v>3975</v>
      </c>
      <c r="AF905" s="34" t="s">
        <v>3698</v>
      </c>
      <c r="AG905" s="34" t="s">
        <v>3886</v>
      </c>
      <c r="AH905" s="34" t="s">
        <v>6025</v>
      </c>
      <c r="AI905" s="34" t="s">
        <v>4901</v>
      </c>
      <c r="AJ905" s="34" t="s">
        <v>3566</v>
      </c>
      <c r="AK905" s="34" t="s">
        <v>3655</v>
      </c>
      <c r="AL905" s="34">
        <v>120</v>
      </c>
      <c r="AM905" s="40" t="s">
        <v>8095</v>
      </c>
      <c r="AT905" s="44">
        <v>0</v>
      </c>
      <c r="AU905" s="44"/>
      <c r="AV905" s="46">
        <f>ROUND(Товары[[#This Row],[РРЦ финальная, руб.]]/$AU$1,2)</f>
        <v>0</v>
      </c>
      <c r="AW905" s="45" t="str">
        <f>IFERROR(Товары[[#This Row],[РРЦ, евро]]/Товары[[#This Row],[IRP, Eur]],"-")</f>
        <v>-</v>
      </c>
      <c r="AX905" s="42">
        <f>IFERROR(VLOOKUP(Товары[[#This Row],[SubGroup]],'Структура цен DIY'!$B:$C,2,FALSE),0)</f>
        <v>0</v>
      </c>
      <c r="AY905" s="44">
        <v>0</v>
      </c>
    </row>
    <row r="906" spans="1:51" x14ac:dyDescent="0.25">
      <c r="A906" s="34">
        <v>904</v>
      </c>
      <c r="B906" s="34" t="s">
        <v>49</v>
      </c>
      <c r="C906" s="110" t="str">
        <f>IFERROR(INDEX(Структура_ассортимента[SuperCategory],MATCH(Товары[[#This Row],[SubGroup]],Структура_ассортимента[Subgroup],0)),"")</f>
        <v>W</v>
      </c>
      <c r="D90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0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06" s="110" t="str">
        <f>IFERROR(INDEX(Структура_ассортимента[Product group],MATCH(Товары[[#This Row],[SubGroup]],Структура_ассортимента[Subgroup],0)),"")</f>
        <v>WMA_C</v>
      </c>
      <c r="G906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06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06" s="36">
        <v>9161</v>
      </c>
      <c r="J906" s="36" t="str">
        <f>IFERROR(INDEX(Структура_ассортимента[Generic Name (long)],MATCH(Товары[[#This Row],[SubGroup]],Структура_ассортимента[Subgroup],0)),"")</f>
        <v>BRUSH</v>
      </c>
      <c r="L906" s="36">
        <v>901090701</v>
      </c>
      <c r="M906" s="35" t="s">
        <v>2590</v>
      </c>
      <c r="Q906" s="34" t="s">
        <v>3549</v>
      </c>
      <c r="R906" s="34" t="s">
        <v>3540</v>
      </c>
      <c r="S906" s="47">
        <v>39356</v>
      </c>
      <c r="T906" s="47">
        <v>0</v>
      </c>
      <c r="U906" s="47">
        <v>0</v>
      </c>
      <c r="V906" s="34">
        <v>4078500556408</v>
      </c>
      <c r="W906" s="34" t="s">
        <v>3543</v>
      </c>
      <c r="X906" s="34" t="s">
        <v>3579</v>
      </c>
      <c r="Y906" s="34" t="s">
        <v>3542</v>
      </c>
      <c r="Z906" s="34">
        <v>2</v>
      </c>
      <c r="AA906" s="34" t="s">
        <v>4853</v>
      </c>
      <c r="AB906" s="34" t="s">
        <v>4853</v>
      </c>
      <c r="AC906" s="34" t="s">
        <v>3690</v>
      </c>
      <c r="AD906" s="34" t="s">
        <v>3690</v>
      </c>
      <c r="AE906" s="34" t="s">
        <v>3580</v>
      </c>
      <c r="AF906" s="34" t="s">
        <v>6026</v>
      </c>
      <c r="AG906" s="34" t="s">
        <v>3711</v>
      </c>
      <c r="AH906" s="34" t="s">
        <v>6027</v>
      </c>
      <c r="AI906" s="34" t="s">
        <v>5042</v>
      </c>
      <c r="AJ906" s="34" t="s">
        <v>4633</v>
      </c>
      <c r="AK906" s="34" t="s">
        <v>3574</v>
      </c>
      <c r="AL906" s="34">
        <v>108</v>
      </c>
      <c r="AM906" s="40" t="s">
        <v>8095</v>
      </c>
      <c r="AT906" s="44">
        <v>0</v>
      </c>
      <c r="AU906" s="44"/>
      <c r="AV906" s="46">
        <f>ROUND(Товары[[#This Row],[РРЦ финальная, руб.]]/$AU$1,2)</f>
        <v>0</v>
      </c>
      <c r="AW906" s="45" t="str">
        <f>IFERROR(Товары[[#This Row],[РРЦ, евро]]/Товары[[#This Row],[IRP, Eur]],"-")</f>
        <v>-</v>
      </c>
      <c r="AX906" s="42">
        <f>IFERROR(VLOOKUP(Товары[[#This Row],[SubGroup]],'Структура цен DIY'!$B:$C,2,FALSE),0)</f>
        <v>0</v>
      </c>
      <c r="AY906" s="44">
        <v>0</v>
      </c>
    </row>
    <row r="907" spans="1:51" x14ac:dyDescent="0.25">
      <c r="A907" s="34">
        <v>905</v>
      </c>
      <c r="B907" s="34" t="s">
        <v>49</v>
      </c>
      <c r="C907" s="110" t="str">
        <f>IFERROR(INDEX(Структура_ассортимента[SuperCategory],MATCH(Товары[[#This Row],[SubGroup]],Структура_ассортимента[Subgroup],0)),"")</f>
        <v>W</v>
      </c>
      <c r="D90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0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07" s="110" t="str">
        <f>IFERROR(INDEX(Структура_ассортимента[Product group],MATCH(Товары[[#This Row],[SubGroup]],Структура_ассортимента[Subgroup],0)),"")</f>
        <v>WMA_C</v>
      </c>
      <c r="G907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07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07" s="36">
        <v>9161</v>
      </c>
      <c r="J907" s="36" t="str">
        <f>IFERROR(INDEX(Структура_ассортимента[Generic Name (long)],MATCH(Товары[[#This Row],[SubGroup]],Структура_ассортимента[Subgroup],0)),"")</f>
        <v>BRUSH</v>
      </c>
      <c r="L907" s="36">
        <v>901090901</v>
      </c>
      <c r="M907" s="35" t="s">
        <v>2591</v>
      </c>
      <c r="Q907" s="34" t="s">
        <v>3549</v>
      </c>
      <c r="R907" s="34" t="s">
        <v>3540</v>
      </c>
      <c r="S907" s="47">
        <v>39356</v>
      </c>
      <c r="T907" s="47">
        <v>0</v>
      </c>
      <c r="U907" s="47">
        <v>0</v>
      </c>
      <c r="V907" s="34">
        <v>4078500556507</v>
      </c>
      <c r="W907" s="34" t="s">
        <v>3543</v>
      </c>
      <c r="X907" s="34" t="s">
        <v>3579</v>
      </c>
      <c r="Y907" s="34" t="s">
        <v>3542</v>
      </c>
      <c r="Z907" s="34">
        <v>4</v>
      </c>
      <c r="AA907" s="34" t="s">
        <v>6028</v>
      </c>
      <c r="AB907" s="34" t="s">
        <v>6028</v>
      </c>
      <c r="AC907" s="34" t="s">
        <v>3727</v>
      </c>
      <c r="AD907" s="34" t="s">
        <v>3727</v>
      </c>
      <c r="AE907" s="34" t="s">
        <v>3942</v>
      </c>
      <c r="AF907" s="34" t="s">
        <v>3968</v>
      </c>
      <c r="AG907" s="34" t="s">
        <v>4260</v>
      </c>
      <c r="AH907" s="34" t="s">
        <v>6029</v>
      </c>
      <c r="AL907" s="34">
        <v>360</v>
      </c>
      <c r="AM907" s="40" t="s">
        <v>8095</v>
      </c>
      <c r="AT907" s="44">
        <v>0</v>
      </c>
      <c r="AU907" s="44"/>
      <c r="AV907" s="46">
        <f>ROUND(Товары[[#This Row],[РРЦ финальная, руб.]]/$AU$1,2)</f>
        <v>0</v>
      </c>
      <c r="AW907" s="45" t="str">
        <f>IFERROR(Товары[[#This Row],[РРЦ, евро]]/Товары[[#This Row],[IRP, Eur]],"-")</f>
        <v>-</v>
      </c>
      <c r="AX907" s="42">
        <f>IFERROR(VLOOKUP(Товары[[#This Row],[SubGroup]],'Структура цен DIY'!$B:$C,2,FALSE),0)</f>
        <v>0</v>
      </c>
      <c r="AY907" s="44">
        <v>0</v>
      </c>
    </row>
    <row r="908" spans="1:51" x14ac:dyDescent="0.25">
      <c r="A908" s="34">
        <v>906</v>
      </c>
      <c r="B908" s="34" t="s">
        <v>49</v>
      </c>
      <c r="C908" s="110" t="str">
        <f>IFERROR(INDEX(Структура_ассортимента[SuperCategory],MATCH(Товары[[#This Row],[SubGroup]],Структура_ассортимента[Subgroup],0)),"")</f>
        <v>W</v>
      </c>
      <c r="D90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0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08" s="110" t="str">
        <f>IFERROR(INDEX(Структура_ассортимента[Product group],MATCH(Товары[[#This Row],[SubGroup]],Структура_ассортимента[Subgroup],0)),"")</f>
        <v>WMA_C</v>
      </c>
      <c r="G908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08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08" s="36">
        <v>9161</v>
      </c>
      <c r="J908" s="36" t="str">
        <f>IFERROR(INDEX(Структура_ассортимента[Generic Name (long)],MATCH(Товары[[#This Row],[SubGroup]],Структура_ассортимента[Subgroup],0)),"")</f>
        <v>BRUSH</v>
      </c>
      <c r="L908" s="36">
        <v>901091201</v>
      </c>
      <c r="M908" s="35" t="s">
        <v>2592</v>
      </c>
      <c r="Q908" s="34" t="s">
        <v>3549</v>
      </c>
      <c r="R908" s="34" t="s">
        <v>3540</v>
      </c>
      <c r="S908" s="47">
        <v>39356</v>
      </c>
      <c r="T908" s="47">
        <v>0</v>
      </c>
      <c r="U908" s="47">
        <v>0</v>
      </c>
      <c r="V908" s="34">
        <v>4078500556804</v>
      </c>
      <c r="W908" s="34" t="s">
        <v>3543</v>
      </c>
      <c r="X908" s="34" t="s">
        <v>3579</v>
      </c>
      <c r="Y908" s="34" t="s">
        <v>3542</v>
      </c>
      <c r="Z908" s="34">
        <v>2</v>
      </c>
      <c r="AA908" s="34" t="s">
        <v>6030</v>
      </c>
      <c r="AB908" s="34" t="s">
        <v>6030</v>
      </c>
      <c r="AC908" s="34" t="s">
        <v>6031</v>
      </c>
      <c r="AD908" s="34" t="s">
        <v>6031</v>
      </c>
      <c r="AE908" s="34" t="s">
        <v>3975</v>
      </c>
      <c r="AF908" s="34" t="s">
        <v>3818</v>
      </c>
      <c r="AG908" s="34" t="s">
        <v>3560</v>
      </c>
      <c r="AH908" s="34" t="s">
        <v>6032</v>
      </c>
      <c r="AI908" s="34" t="s">
        <v>3911</v>
      </c>
      <c r="AJ908" s="34" t="s">
        <v>3560</v>
      </c>
      <c r="AK908" s="34" t="s">
        <v>4785</v>
      </c>
      <c r="AL908" s="34">
        <v>120</v>
      </c>
      <c r="AM908" s="40" t="s">
        <v>8095</v>
      </c>
      <c r="AT908" s="44">
        <v>0</v>
      </c>
      <c r="AU908" s="44"/>
      <c r="AV908" s="46">
        <f>ROUND(Товары[[#This Row],[РРЦ финальная, руб.]]/$AU$1,2)</f>
        <v>0</v>
      </c>
      <c r="AW908" s="45" t="str">
        <f>IFERROR(Товары[[#This Row],[РРЦ, евро]]/Товары[[#This Row],[IRP, Eur]],"-")</f>
        <v>-</v>
      </c>
      <c r="AX908" s="42">
        <f>IFERROR(VLOOKUP(Товары[[#This Row],[SubGroup]],'Структура цен DIY'!$B:$C,2,FALSE),0)</f>
        <v>0</v>
      </c>
      <c r="AY908" s="44">
        <v>0</v>
      </c>
    </row>
    <row r="909" spans="1:51" x14ac:dyDescent="0.25">
      <c r="A909" s="34">
        <v>907</v>
      </c>
      <c r="B909" s="34" t="s">
        <v>49</v>
      </c>
      <c r="C909" s="110" t="str">
        <f>IFERROR(INDEX(Структура_ассортимента[SuperCategory],MATCH(Товары[[#This Row],[SubGroup]],Структура_ассортимента[Subgroup],0)),"")</f>
        <v>W</v>
      </c>
      <c r="D90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0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09" s="110" t="str">
        <f>IFERROR(INDEX(Структура_ассортимента[Product group],MATCH(Товары[[#This Row],[SubGroup]],Структура_ассортимента[Subgroup],0)),"")</f>
        <v>WMA_C</v>
      </c>
      <c r="G909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09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09" s="36">
        <v>9161</v>
      </c>
      <c r="J909" s="36" t="str">
        <f>IFERROR(INDEX(Структура_ассортимента[Generic Name (long)],MATCH(Товары[[#This Row],[SubGroup]],Структура_ассортимента[Subgroup],0)),"")</f>
        <v>BRUSH</v>
      </c>
      <c r="L909" s="36">
        <v>901091401</v>
      </c>
      <c r="M909" s="35" t="s">
        <v>2593</v>
      </c>
      <c r="Q909" s="34" t="s">
        <v>3549</v>
      </c>
      <c r="R909" s="34" t="s">
        <v>3540</v>
      </c>
      <c r="S909" s="47">
        <v>39356</v>
      </c>
      <c r="T909" s="47">
        <v>0</v>
      </c>
      <c r="U909" s="47">
        <v>0</v>
      </c>
      <c r="V909" s="34">
        <v>4078500557009</v>
      </c>
      <c r="W909" s="34" t="s">
        <v>3543</v>
      </c>
      <c r="X909" s="34" t="s">
        <v>3579</v>
      </c>
      <c r="Y909" s="34" t="s">
        <v>3542</v>
      </c>
      <c r="Z909" s="34">
        <v>2</v>
      </c>
      <c r="AA909" s="34" t="s">
        <v>6033</v>
      </c>
      <c r="AB909" s="34" t="s">
        <v>6033</v>
      </c>
      <c r="AC909" s="34" t="s">
        <v>6034</v>
      </c>
      <c r="AD909" s="34" t="s">
        <v>6034</v>
      </c>
      <c r="AE909" s="34" t="s">
        <v>3975</v>
      </c>
      <c r="AF909" s="34" t="s">
        <v>3818</v>
      </c>
      <c r="AG909" s="34" t="s">
        <v>3556</v>
      </c>
      <c r="AH909" s="34" t="s">
        <v>6035</v>
      </c>
      <c r="AI909" s="34" t="s">
        <v>4588</v>
      </c>
      <c r="AJ909" s="34" t="s">
        <v>4499</v>
      </c>
      <c r="AK909" s="34" t="s">
        <v>5028</v>
      </c>
      <c r="AL909" s="34">
        <v>120</v>
      </c>
      <c r="AM909" s="40" t="s">
        <v>8095</v>
      </c>
      <c r="AT909" s="44">
        <v>0</v>
      </c>
      <c r="AU909" s="44"/>
      <c r="AV909" s="46">
        <f>ROUND(Товары[[#This Row],[РРЦ финальная, руб.]]/$AU$1,2)</f>
        <v>0</v>
      </c>
      <c r="AW909" s="45" t="str">
        <f>IFERROR(Товары[[#This Row],[РРЦ, евро]]/Товары[[#This Row],[IRP, Eur]],"-")</f>
        <v>-</v>
      </c>
      <c r="AX909" s="42">
        <f>IFERROR(VLOOKUP(Товары[[#This Row],[SubGroup]],'Структура цен DIY'!$B:$C,2,FALSE),0)</f>
        <v>0</v>
      </c>
      <c r="AY909" s="44">
        <v>0</v>
      </c>
    </row>
    <row r="910" spans="1:51" x14ac:dyDescent="0.25">
      <c r="A910" s="34">
        <v>908</v>
      </c>
      <c r="B910" s="34" t="s">
        <v>49</v>
      </c>
      <c r="C910" s="110" t="str">
        <f>IFERROR(INDEX(Структура_ассортимента[SuperCategory],MATCH(Товары[[#This Row],[SubGroup]],Структура_ассортимента[Subgroup],0)),"")</f>
        <v>W</v>
      </c>
      <c r="D91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1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10" s="110" t="str">
        <f>IFERROR(INDEX(Структура_ассортимента[Product group],MATCH(Товары[[#This Row],[SubGroup]],Структура_ассортимента[Subgroup],0)),"")</f>
        <v>WMA_C</v>
      </c>
      <c r="G910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10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10" s="36">
        <v>9161</v>
      </c>
      <c r="J910" s="36" t="str">
        <f>IFERROR(INDEX(Структура_ассортимента[Generic Name (long)],MATCH(Товары[[#This Row],[SubGroup]],Структура_ассортимента[Subgroup],0)),"")</f>
        <v>BRUSH</v>
      </c>
      <c r="L910" s="36">
        <v>900888601</v>
      </c>
      <c r="M910" s="35" t="s">
        <v>2594</v>
      </c>
      <c r="Q910" s="34" t="s">
        <v>3549</v>
      </c>
      <c r="R910" s="34" t="s">
        <v>3540</v>
      </c>
      <c r="S910" s="47">
        <v>36434</v>
      </c>
      <c r="T910" s="47">
        <v>0</v>
      </c>
      <c r="U910" s="47">
        <v>0</v>
      </c>
      <c r="V910" s="34">
        <v>4078500103404</v>
      </c>
      <c r="W910" s="34" t="s">
        <v>3543</v>
      </c>
      <c r="X910" s="34" t="s">
        <v>3579</v>
      </c>
      <c r="Y910" s="34" t="s">
        <v>3542</v>
      </c>
      <c r="Z910" s="34">
        <v>4</v>
      </c>
      <c r="AA910" s="34" t="s">
        <v>4764</v>
      </c>
      <c r="AB910" s="34" t="s">
        <v>4764</v>
      </c>
      <c r="AC910" s="34" t="s">
        <v>3864</v>
      </c>
      <c r="AD910" s="34" t="s">
        <v>3864</v>
      </c>
      <c r="AE910" s="34" t="s">
        <v>4223</v>
      </c>
      <c r="AF910" s="34" t="s">
        <v>3968</v>
      </c>
      <c r="AG910" s="34" t="s">
        <v>3800</v>
      </c>
      <c r="AH910" s="34" t="s">
        <v>6036</v>
      </c>
      <c r="AL910" s="34" t="s">
        <v>6037</v>
      </c>
      <c r="AM910" s="40" t="s">
        <v>8095</v>
      </c>
      <c r="AT910" s="44">
        <v>0</v>
      </c>
      <c r="AU910" s="44"/>
      <c r="AV910" s="46">
        <f>ROUND(Товары[[#This Row],[РРЦ финальная, руб.]]/$AU$1,2)</f>
        <v>0</v>
      </c>
      <c r="AW910" s="45" t="str">
        <f>IFERROR(Товары[[#This Row],[РРЦ, евро]]/Товары[[#This Row],[IRP, Eur]],"-")</f>
        <v>-</v>
      </c>
      <c r="AX910" s="42">
        <f>IFERROR(VLOOKUP(Товары[[#This Row],[SubGroup]],'Структура цен DIY'!$B:$C,2,FALSE),0)</f>
        <v>0</v>
      </c>
      <c r="AY910" s="44">
        <v>0</v>
      </c>
    </row>
    <row r="911" spans="1:51" x14ac:dyDescent="0.25">
      <c r="A911" s="34">
        <v>909</v>
      </c>
      <c r="B911" s="34" t="s">
        <v>49</v>
      </c>
      <c r="C911" s="110" t="str">
        <f>IFERROR(INDEX(Структура_ассортимента[SuperCategory],MATCH(Товары[[#This Row],[SubGroup]],Структура_ассортимента[Subgroup],0)),"")</f>
        <v>W</v>
      </c>
      <c r="D91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1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11" s="110" t="str">
        <f>IFERROR(INDEX(Структура_ассортимента[Product group],MATCH(Товары[[#This Row],[SubGroup]],Структура_ассортимента[Subgroup],0)),"")</f>
        <v>WMA_C</v>
      </c>
      <c r="G911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11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11" s="36">
        <v>9161</v>
      </c>
      <c r="J911" s="36" t="str">
        <f>IFERROR(INDEX(Структура_ассортимента[Generic Name (long)],MATCH(Товары[[#This Row],[SubGroup]],Структура_ассортимента[Subgroup],0)),"")</f>
        <v>BRUSH</v>
      </c>
      <c r="L911" s="36">
        <v>901091801</v>
      </c>
      <c r="M911" s="35" t="s">
        <v>2595</v>
      </c>
      <c r="Q911" s="34" t="s">
        <v>3549</v>
      </c>
      <c r="R911" s="34" t="s">
        <v>3540</v>
      </c>
      <c r="S911" s="47">
        <v>39356</v>
      </c>
      <c r="T911" s="47">
        <v>0</v>
      </c>
      <c r="U911" s="47">
        <v>0</v>
      </c>
      <c r="V911" s="34">
        <v>4078500558006</v>
      </c>
      <c r="W911" s="34" t="s">
        <v>3543</v>
      </c>
      <c r="X911" s="34" t="s">
        <v>3579</v>
      </c>
      <c r="Y911" s="34" t="s">
        <v>3542</v>
      </c>
      <c r="Z911" s="34">
        <v>4</v>
      </c>
      <c r="AA911" s="34" t="s">
        <v>3573</v>
      </c>
      <c r="AB911" s="34" t="s">
        <v>3573</v>
      </c>
      <c r="AC911" s="34" t="s">
        <v>3900</v>
      </c>
      <c r="AD911" s="34" t="s">
        <v>3900</v>
      </c>
      <c r="AE911" s="34" t="s">
        <v>5769</v>
      </c>
      <c r="AF911" s="34" t="s">
        <v>5028</v>
      </c>
      <c r="AG911" s="34" t="s">
        <v>3566</v>
      </c>
      <c r="AH911" s="34" t="s">
        <v>6038</v>
      </c>
      <c r="AL911" s="34">
        <v>36</v>
      </c>
      <c r="AM911" s="40" t="s">
        <v>8095</v>
      </c>
      <c r="AT911" s="44">
        <v>0</v>
      </c>
      <c r="AU911" s="44"/>
      <c r="AV911" s="46">
        <f>ROUND(Товары[[#This Row],[РРЦ финальная, руб.]]/$AU$1,2)</f>
        <v>0</v>
      </c>
      <c r="AW911" s="45" t="str">
        <f>IFERROR(Товары[[#This Row],[РРЦ, евро]]/Товары[[#This Row],[IRP, Eur]],"-")</f>
        <v>-</v>
      </c>
      <c r="AX911" s="42">
        <f>IFERROR(VLOOKUP(Товары[[#This Row],[SubGroup]],'Структура цен DIY'!$B:$C,2,FALSE),0)</f>
        <v>0</v>
      </c>
      <c r="AY911" s="44">
        <v>0</v>
      </c>
    </row>
    <row r="912" spans="1:51" x14ac:dyDescent="0.25">
      <c r="A912" s="34">
        <v>910</v>
      </c>
      <c r="B912" s="34" t="s">
        <v>49</v>
      </c>
      <c r="C912" s="110" t="str">
        <f>IFERROR(INDEX(Структура_ассортимента[SuperCategory],MATCH(Товары[[#This Row],[SubGroup]],Структура_ассортимента[Subgroup],0)),"")</f>
        <v>W</v>
      </c>
      <c r="D91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1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12" s="110" t="str">
        <f>IFERROR(INDEX(Структура_ассортимента[Product group],MATCH(Товары[[#This Row],[SubGroup]],Структура_ассортимента[Subgroup],0)),"")</f>
        <v>WMA_C</v>
      </c>
      <c r="G912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12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12" s="36">
        <v>9161</v>
      </c>
      <c r="J912" s="36" t="str">
        <f>IFERROR(INDEX(Структура_ассортимента[Generic Name (long)],MATCH(Товары[[#This Row],[SubGroup]],Структура_ассортимента[Subgroup],0)),"")</f>
        <v>BRUSH</v>
      </c>
      <c r="L912" s="36">
        <v>901092001</v>
      </c>
      <c r="M912" s="35" t="s">
        <v>2596</v>
      </c>
      <c r="Q912" s="34" t="s">
        <v>3549</v>
      </c>
      <c r="R912" s="34" t="s">
        <v>3540</v>
      </c>
      <c r="S912" s="47">
        <v>39356</v>
      </c>
      <c r="T912" s="47">
        <v>0</v>
      </c>
      <c r="U912" s="47">
        <v>0</v>
      </c>
      <c r="V912" s="34">
        <v>4078500558600</v>
      </c>
      <c r="W912" s="34" t="s">
        <v>3543</v>
      </c>
      <c r="X912" s="34" t="s">
        <v>3579</v>
      </c>
      <c r="Y912" s="34" t="s">
        <v>3542</v>
      </c>
      <c r="Z912" s="34">
        <v>4</v>
      </c>
      <c r="AA912" s="34" t="s">
        <v>6039</v>
      </c>
      <c r="AB912" s="34" t="s">
        <v>6039</v>
      </c>
      <c r="AC912" s="34" t="s">
        <v>6040</v>
      </c>
      <c r="AD912" s="34" t="s">
        <v>6040</v>
      </c>
      <c r="AE912" s="34" t="s">
        <v>6041</v>
      </c>
      <c r="AF912" s="34" t="s">
        <v>3655</v>
      </c>
      <c r="AG912" s="34" t="s">
        <v>3557</v>
      </c>
      <c r="AH912" s="34" t="s">
        <v>6042</v>
      </c>
      <c r="AL912" s="34">
        <v>80</v>
      </c>
      <c r="AM912" s="40" t="s">
        <v>8095</v>
      </c>
      <c r="AT912" s="44">
        <v>0</v>
      </c>
      <c r="AU912" s="44"/>
      <c r="AV912" s="46">
        <f>ROUND(Товары[[#This Row],[РРЦ финальная, руб.]]/$AU$1,2)</f>
        <v>0</v>
      </c>
      <c r="AW912" s="45" t="str">
        <f>IFERROR(Товары[[#This Row],[РРЦ, евро]]/Товары[[#This Row],[IRP, Eur]],"-")</f>
        <v>-</v>
      </c>
      <c r="AX912" s="42">
        <f>IFERROR(VLOOKUP(Товары[[#This Row],[SubGroup]],'Структура цен DIY'!$B:$C,2,FALSE),0)</f>
        <v>0</v>
      </c>
      <c r="AY912" s="44">
        <v>0</v>
      </c>
    </row>
    <row r="913" spans="1:51" x14ac:dyDescent="0.25">
      <c r="A913" s="34">
        <v>911</v>
      </c>
      <c r="B913" s="34" t="s">
        <v>49</v>
      </c>
      <c r="C913" s="110" t="str">
        <f>IFERROR(INDEX(Структура_ассортимента[SuperCategory],MATCH(Товары[[#This Row],[SubGroup]],Структура_ассортимента[Subgroup],0)),"")</f>
        <v>W</v>
      </c>
      <c r="D91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1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13" s="110" t="str">
        <f>IFERROR(INDEX(Структура_ассортимента[Product group],MATCH(Товары[[#This Row],[SubGroup]],Структура_ассортимента[Subgroup],0)),"")</f>
        <v>WMA_C</v>
      </c>
      <c r="G913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13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13" s="36">
        <v>9161</v>
      </c>
      <c r="J913" s="36" t="str">
        <f>IFERROR(INDEX(Структура_ассортимента[Generic Name (long)],MATCH(Товары[[#This Row],[SubGroup]],Структура_ассортимента[Subgroup],0)),"")</f>
        <v>BRUSH</v>
      </c>
      <c r="L913" s="36">
        <v>901095101</v>
      </c>
      <c r="M913" s="35" t="s">
        <v>2597</v>
      </c>
      <c r="Q913" s="34" t="s">
        <v>3549</v>
      </c>
      <c r="R913" s="34" t="s">
        <v>3540</v>
      </c>
      <c r="S913" s="47">
        <v>36434</v>
      </c>
      <c r="T913" s="47">
        <v>0</v>
      </c>
      <c r="U913" s="47">
        <v>0</v>
      </c>
      <c r="V913" s="34">
        <v>4078500608602</v>
      </c>
      <c r="W913" s="34" t="s">
        <v>3543</v>
      </c>
      <c r="X913" s="34" t="s">
        <v>3579</v>
      </c>
      <c r="Y913" s="34" t="s">
        <v>3542</v>
      </c>
      <c r="Z913" s="34">
        <v>6</v>
      </c>
      <c r="AA913" s="34" t="s">
        <v>4502</v>
      </c>
      <c r="AB913" s="34" t="s">
        <v>4502</v>
      </c>
      <c r="AC913" s="34" t="s">
        <v>4170</v>
      </c>
      <c r="AD913" s="34" t="s">
        <v>4170</v>
      </c>
      <c r="AE913" s="34" t="s">
        <v>4582</v>
      </c>
      <c r="AF913" s="34" t="s">
        <v>3818</v>
      </c>
      <c r="AG913" s="34" t="s">
        <v>5680</v>
      </c>
      <c r="AH913" s="34" t="s">
        <v>6043</v>
      </c>
      <c r="AL913" s="34">
        <v>210</v>
      </c>
      <c r="AM913" s="40" t="s">
        <v>8095</v>
      </c>
      <c r="AT913" s="44">
        <v>0</v>
      </c>
      <c r="AU913" s="44"/>
      <c r="AV913" s="46">
        <f>ROUND(Товары[[#This Row],[РРЦ финальная, руб.]]/$AU$1,2)</f>
        <v>0</v>
      </c>
      <c r="AW913" s="45" t="str">
        <f>IFERROR(Товары[[#This Row],[РРЦ, евро]]/Товары[[#This Row],[IRP, Eur]],"-")</f>
        <v>-</v>
      </c>
      <c r="AX913" s="42">
        <f>IFERROR(VLOOKUP(Товары[[#This Row],[SubGroup]],'Структура цен DIY'!$B:$C,2,FALSE),0)</f>
        <v>0</v>
      </c>
      <c r="AY913" s="44">
        <v>0</v>
      </c>
    </row>
    <row r="914" spans="1:51" x14ac:dyDescent="0.25">
      <c r="A914" s="34">
        <v>912</v>
      </c>
      <c r="B914" s="34" t="s">
        <v>49</v>
      </c>
      <c r="C914" s="110" t="str">
        <f>IFERROR(INDEX(Структура_ассортимента[SuperCategory],MATCH(Товары[[#This Row],[SubGroup]],Структура_ассортимента[Subgroup],0)),"")</f>
        <v>W</v>
      </c>
      <c r="D91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1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14" s="110" t="str">
        <f>IFERROR(INDEX(Структура_ассортимента[Product group],MATCH(Товары[[#This Row],[SubGroup]],Структура_ассортимента[Subgroup],0)),"")</f>
        <v>WMA_C</v>
      </c>
      <c r="G914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14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14" s="36">
        <v>9161</v>
      </c>
      <c r="J914" s="36" t="str">
        <f>IFERROR(INDEX(Структура_ассортимента[Generic Name (long)],MATCH(Товары[[#This Row],[SubGroup]],Структура_ассортимента[Subgroup],0)),"")</f>
        <v>BRUSH</v>
      </c>
      <c r="L914" s="36">
        <v>900944201</v>
      </c>
      <c r="M914" s="35" t="s">
        <v>2598</v>
      </c>
      <c r="Q914" s="34" t="s">
        <v>3549</v>
      </c>
      <c r="R914" s="34" t="s">
        <v>3540</v>
      </c>
      <c r="S914" s="47">
        <v>36434</v>
      </c>
      <c r="T914" s="47">
        <v>0</v>
      </c>
      <c r="U914" s="47">
        <v>0</v>
      </c>
      <c r="V914" s="34">
        <v>4078500168007</v>
      </c>
      <c r="W914" s="34" t="s">
        <v>3543</v>
      </c>
      <c r="X914" s="34" t="s">
        <v>3579</v>
      </c>
      <c r="Y914" s="34" t="s">
        <v>3542</v>
      </c>
      <c r="Z914" s="34">
        <v>10</v>
      </c>
      <c r="AA914" s="34" t="s">
        <v>4115</v>
      </c>
      <c r="AB914" s="34" t="s">
        <v>3728</v>
      </c>
      <c r="AC914" s="34" t="s">
        <v>3996</v>
      </c>
      <c r="AD914" s="34" t="s">
        <v>6044</v>
      </c>
      <c r="AE914" s="34" t="s">
        <v>3753</v>
      </c>
      <c r="AF914" s="34" t="s">
        <v>4621</v>
      </c>
      <c r="AG914" s="34" t="s">
        <v>6045</v>
      </c>
      <c r="AH914" s="34" t="s">
        <v>6046</v>
      </c>
      <c r="AL914" s="34" t="s">
        <v>6047</v>
      </c>
      <c r="AM914" s="40" t="s">
        <v>8095</v>
      </c>
      <c r="AT914" s="44">
        <v>0</v>
      </c>
      <c r="AU914" s="44"/>
      <c r="AV914" s="46">
        <f>ROUND(Товары[[#This Row],[РРЦ финальная, руб.]]/$AU$1,2)</f>
        <v>0</v>
      </c>
      <c r="AW914" s="45" t="str">
        <f>IFERROR(Товары[[#This Row],[РРЦ, евро]]/Товары[[#This Row],[IRP, Eur]],"-")</f>
        <v>-</v>
      </c>
      <c r="AX914" s="42">
        <f>IFERROR(VLOOKUP(Товары[[#This Row],[SubGroup]],'Структура цен DIY'!$B:$C,2,FALSE),0)</f>
        <v>0</v>
      </c>
      <c r="AY914" s="44">
        <v>0</v>
      </c>
    </row>
    <row r="915" spans="1:51" x14ac:dyDescent="0.25">
      <c r="A915" s="34">
        <v>913</v>
      </c>
      <c r="B915" s="34" t="s">
        <v>49</v>
      </c>
      <c r="C915" s="110" t="str">
        <f>IFERROR(INDEX(Структура_ассортимента[SuperCategory],MATCH(Товары[[#This Row],[SubGroup]],Структура_ассортимента[Subgroup],0)),"")</f>
        <v>W</v>
      </c>
      <c r="D91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1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15" s="110" t="str">
        <f>IFERROR(INDEX(Структура_ассортимента[Product group],MATCH(Товары[[#This Row],[SubGroup]],Структура_ассортимента[Subgroup],0)),"")</f>
        <v>WMA_C</v>
      </c>
      <c r="G915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15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15" s="36">
        <v>9161</v>
      </c>
      <c r="J915" s="36" t="str">
        <f>IFERROR(INDEX(Структура_ассортимента[Generic Name (long)],MATCH(Товары[[#This Row],[SubGroup]],Структура_ассортимента[Subgroup],0)),"")</f>
        <v>BRUSH</v>
      </c>
      <c r="L915" s="36">
        <v>900883001</v>
      </c>
      <c r="M915" s="35" t="s">
        <v>2599</v>
      </c>
      <c r="Q915" s="34" t="s">
        <v>3549</v>
      </c>
      <c r="R915" s="34" t="s">
        <v>3540</v>
      </c>
      <c r="S915" s="47">
        <v>33878</v>
      </c>
      <c r="T915" s="47">
        <v>0</v>
      </c>
      <c r="U915" s="47">
        <v>0</v>
      </c>
      <c r="V915" s="34">
        <v>4078500098946</v>
      </c>
      <c r="W915" s="34" t="s">
        <v>3543</v>
      </c>
      <c r="X915" s="34" t="s">
        <v>3579</v>
      </c>
      <c r="Y915" s="34" t="s">
        <v>3542</v>
      </c>
      <c r="Z915" s="34">
        <v>10</v>
      </c>
      <c r="AA915" s="34" t="s">
        <v>6048</v>
      </c>
      <c r="AB915" s="34" t="s">
        <v>6048</v>
      </c>
      <c r="AC915" s="34" t="s">
        <v>3653</v>
      </c>
      <c r="AD915" s="34" t="s">
        <v>3653</v>
      </c>
      <c r="AE915" s="34" t="s">
        <v>3825</v>
      </c>
      <c r="AF915" s="34" t="s">
        <v>3576</v>
      </c>
      <c r="AG915" s="34" t="s">
        <v>6049</v>
      </c>
      <c r="AH915" s="34" t="s">
        <v>6050</v>
      </c>
      <c r="AL915" s="34">
        <v>1320</v>
      </c>
      <c r="AM915" s="40" t="s">
        <v>8095</v>
      </c>
      <c r="AT915" s="44">
        <v>0</v>
      </c>
      <c r="AU915" s="44"/>
      <c r="AV915" s="46">
        <f>ROUND(Товары[[#This Row],[РРЦ финальная, руб.]]/$AU$1,2)</f>
        <v>0</v>
      </c>
      <c r="AW915" s="45" t="str">
        <f>IFERROR(Товары[[#This Row],[РРЦ, евро]]/Товары[[#This Row],[IRP, Eur]],"-")</f>
        <v>-</v>
      </c>
      <c r="AX915" s="42">
        <f>IFERROR(VLOOKUP(Товары[[#This Row],[SubGroup]],'Структура цен DIY'!$B:$C,2,FALSE),0)</f>
        <v>0</v>
      </c>
      <c r="AY915" s="44">
        <v>0</v>
      </c>
    </row>
    <row r="916" spans="1:51" x14ac:dyDescent="0.25">
      <c r="A916" s="34">
        <v>914</v>
      </c>
      <c r="B916" s="34" t="s">
        <v>49</v>
      </c>
      <c r="C916" s="110" t="str">
        <f>IFERROR(INDEX(Структура_ассортимента[SuperCategory],MATCH(Товары[[#This Row],[SubGroup]],Структура_ассортимента[Subgroup],0)),"")</f>
        <v>W</v>
      </c>
      <c r="D91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1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16" s="110" t="str">
        <f>IFERROR(INDEX(Структура_ассортимента[Product group],MATCH(Товары[[#This Row],[SubGroup]],Структура_ассортимента[Subgroup],0)),"")</f>
        <v>WMA_C</v>
      </c>
      <c r="G916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16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16" s="36">
        <v>9161</v>
      </c>
      <c r="J916" s="36" t="str">
        <f>IFERROR(INDEX(Структура_ассортимента[Generic Name (long)],MATCH(Товары[[#This Row],[SubGroup]],Структура_ассортимента[Subgroup],0)),"")</f>
        <v>BRUSH</v>
      </c>
      <c r="L916" s="36">
        <v>900882901</v>
      </c>
      <c r="M916" s="35" t="s">
        <v>2600</v>
      </c>
      <c r="Q916" s="34" t="s">
        <v>3549</v>
      </c>
      <c r="R916" s="34" t="s">
        <v>3540</v>
      </c>
      <c r="S916" s="47">
        <v>36434</v>
      </c>
      <c r="T916" s="47">
        <v>0</v>
      </c>
      <c r="U916" s="47">
        <v>0</v>
      </c>
      <c r="V916" s="34">
        <v>4078500098908</v>
      </c>
      <c r="W916" s="34" t="s">
        <v>3543</v>
      </c>
      <c r="X916" s="34" t="s">
        <v>3579</v>
      </c>
      <c r="Y916" s="34" t="s">
        <v>3542</v>
      </c>
      <c r="Z916" s="34">
        <v>10</v>
      </c>
      <c r="AA916" s="34" t="s">
        <v>6051</v>
      </c>
      <c r="AB916" s="34" t="s">
        <v>6051</v>
      </c>
      <c r="AC916" s="34" t="s">
        <v>5603</v>
      </c>
      <c r="AD916" s="34" t="s">
        <v>5603</v>
      </c>
      <c r="AE916" s="34" t="s">
        <v>3707</v>
      </c>
      <c r="AF916" s="34" t="s">
        <v>4659</v>
      </c>
      <c r="AG916" s="34" t="s">
        <v>6052</v>
      </c>
      <c r="AH916" s="34" t="s">
        <v>6053</v>
      </c>
      <c r="AL916" s="34">
        <v>5400</v>
      </c>
      <c r="AM916" s="40" t="s">
        <v>8095</v>
      </c>
      <c r="AT916" s="44">
        <v>0</v>
      </c>
      <c r="AU916" s="44"/>
      <c r="AV916" s="46">
        <f>ROUND(Товары[[#This Row],[РРЦ финальная, руб.]]/$AU$1,2)</f>
        <v>0</v>
      </c>
      <c r="AW916" s="45" t="str">
        <f>IFERROR(Товары[[#This Row],[РРЦ, евро]]/Товары[[#This Row],[IRP, Eur]],"-")</f>
        <v>-</v>
      </c>
      <c r="AX916" s="42">
        <f>IFERROR(VLOOKUP(Товары[[#This Row],[SubGroup]],'Структура цен DIY'!$B:$C,2,FALSE),0)</f>
        <v>0</v>
      </c>
      <c r="AY916" s="44">
        <v>0</v>
      </c>
    </row>
    <row r="917" spans="1:51" x14ac:dyDescent="0.25">
      <c r="A917" s="34">
        <v>915</v>
      </c>
      <c r="B917" s="34" t="s">
        <v>49</v>
      </c>
      <c r="C917" s="110" t="str">
        <f>IFERROR(INDEX(Структура_ассортимента[SuperCategory],MATCH(Товары[[#This Row],[SubGroup]],Структура_ассортимента[Subgroup],0)),"")</f>
        <v>W</v>
      </c>
      <c r="D91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1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17" s="110" t="str">
        <f>IFERROR(INDEX(Структура_ассортимента[Product group],MATCH(Товары[[#This Row],[SubGroup]],Структура_ассортимента[Subgroup],0)),"")</f>
        <v>WMA_C</v>
      </c>
      <c r="G917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17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17" s="36">
        <v>9022</v>
      </c>
      <c r="J917" s="36" t="str">
        <f>IFERROR(INDEX(Структура_ассортимента[Generic Name (long)],MATCH(Товары[[#This Row],[SubGroup]],Структура_ассортимента[Subgroup],0)),"")</f>
        <v>GARDEN SHOWER</v>
      </c>
      <c r="L917" s="36">
        <v>967305901</v>
      </c>
      <c r="M917" s="35" t="s">
        <v>2601</v>
      </c>
      <c r="O917" s="35" t="s">
        <v>6054</v>
      </c>
      <c r="P917" s="37" t="s">
        <v>6055</v>
      </c>
      <c r="Q917" s="34" t="s">
        <v>3549</v>
      </c>
      <c r="R917" s="34" t="s">
        <v>3540</v>
      </c>
      <c r="S917" s="47">
        <v>42005</v>
      </c>
      <c r="T917" s="47">
        <v>0</v>
      </c>
      <c r="U917" s="47">
        <v>0</v>
      </c>
      <c r="V917" s="34">
        <v>4078500010733</v>
      </c>
      <c r="W917" s="34" t="s">
        <v>3543</v>
      </c>
      <c r="X917" s="34" t="s">
        <v>3579</v>
      </c>
      <c r="Y917" s="34" t="s">
        <v>3542</v>
      </c>
      <c r="Z917" s="34">
        <v>24</v>
      </c>
      <c r="AA917" s="34" t="s">
        <v>6048</v>
      </c>
      <c r="AB917" s="34" t="s">
        <v>6048</v>
      </c>
      <c r="AC917" s="34" t="s">
        <v>3714</v>
      </c>
      <c r="AD917" s="34" t="s">
        <v>3714</v>
      </c>
      <c r="AE917" s="34" t="s">
        <v>4257</v>
      </c>
      <c r="AF917" s="34" t="s">
        <v>3576</v>
      </c>
      <c r="AG917" s="34" t="s">
        <v>3791</v>
      </c>
      <c r="AH917" s="34" t="s">
        <v>6056</v>
      </c>
      <c r="AI917" s="34" t="s">
        <v>4656</v>
      </c>
      <c r="AJ917" s="34" t="s">
        <v>4780</v>
      </c>
      <c r="AK917" s="34" t="s">
        <v>3699</v>
      </c>
      <c r="AL917" s="34" t="s">
        <v>4965</v>
      </c>
      <c r="AM917" s="40" t="s">
        <v>9</v>
      </c>
      <c r="AP917" s="34">
        <v>0</v>
      </c>
      <c r="AQ917" s="34">
        <v>759</v>
      </c>
      <c r="AR917" s="34">
        <v>455</v>
      </c>
      <c r="AT917" s="44">
        <v>58800</v>
      </c>
      <c r="AU917" s="44"/>
      <c r="AV917" s="46">
        <f>ROUND(Товары[[#This Row],[РРЦ финальная, руб.]]/$AU$1,2)</f>
        <v>0</v>
      </c>
      <c r="AW917" s="45" t="str">
        <f>IFERROR(Товары[[#This Row],[РРЦ, евро]]/Товары[[#This Row],[IRP, Eur]],"-")</f>
        <v>-</v>
      </c>
      <c r="AX917" s="42">
        <f>IFERROR(VLOOKUP(Товары[[#This Row],[SubGroup]],'Структура цен DIY'!$B:$C,2,FALSE),0)</f>
        <v>0.28000000000000003</v>
      </c>
      <c r="AY917" s="44">
        <v>0</v>
      </c>
    </row>
    <row r="918" spans="1:51" x14ac:dyDescent="0.25">
      <c r="A918" s="34">
        <v>916</v>
      </c>
      <c r="B918" s="34" t="s">
        <v>49</v>
      </c>
      <c r="C918" s="110" t="str">
        <f>IFERROR(INDEX(Структура_ассортимента[SuperCategory],MATCH(Товары[[#This Row],[SubGroup]],Структура_ассортимента[Subgroup],0)),"")</f>
        <v>W</v>
      </c>
      <c r="D91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1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18" s="110" t="str">
        <f>IFERROR(INDEX(Структура_ассортимента[Product group],MATCH(Товары[[#This Row],[SubGroup]],Структура_ассортимента[Subgroup],0)),"")</f>
        <v>WMA_C</v>
      </c>
      <c r="G918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18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18" s="36">
        <v>9022</v>
      </c>
      <c r="J918" s="36" t="str">
        <f>IFERROR(INDEX(Структура_ассортимента[Generic Name (long)],MATCH(Товары[[#This Row],[SubGroup]],Структура_ассортимента[Subgroup],0)),"")</f>
        <v>GARDEN SHOWER</v>
      </c>
      <c r="L918" s="36">
        <v>967306101</v>
      </c>
      <c r="M918" s="35" t="s">
        <v>2602</v>
      </c>
      <c r="Q918" s="34" t="s">
        <v>3549</v>
      </c>
      <c r="R918" s="34" t="s">
        <v>3540</v>
      </c>
      <c r="S918" s="47">
        <v>42005</v>
      </c>
      <c r="T918" s="47">
        <v>0</v>
      </c>
      <c r="U918" s="47">
        <v>0</v>
      </c>
      <c r="V918" s="34">
        <v>4078500010672</v>
      </c>
      <c r="W918" s="34" t="s">
        <v>3543</v>
      </c>
      <c r="X918" s="34" t="s">
        <v>3579</v>
      </c>
      <c r="Y918" s="34" t="s">
        <v>3542</v>
      </c>
      <c r="Z918" s="34">
        <v>30</v>
      </c>
      <c r="AA918" s="34" t="s">
        <v>5645</v>
      </c>
      <c r="AB918" s="34" t="s">
        <v>5645</v>
      </c>
      <c r="AC918" s="34" t="s">
        <v>3714</v>
      </c>
      <c r="AD918" s="34" t="s">
        <v>3714</v>
      </c>
      <c r="AE918" s="34" t="s">
        <v>4231</v>
      </c>
      <c r="AF918" s="34" t="s">
        <v>4231</v>
      </c>
      <c r="AG918" s="34" t="s">
        <v>5328</v>
      </c>
      <c r="AH918" s="34" t="s">
        <v>6057</v>
      </c>
      <c r="AI918" s="34" t="s">
        <v>4656</v>
      </c>
      <c r="AJ918" s="34" t="s">
        <v>4780</v>
      </c>
      <c r="AK918" s="34" t="s">
        <v>3699</v>
      </c>
      <c r="AL918" s="34" t="s">
        <v>6058</v>
      </c>
      <c r="AM918" s="40" t="s">
        <v>8095</v>
      </c>
      <c r="AT918" s="44">
        <v>0</v>
      </c>
      <c r="AU918" s="44"/>
      <c r="AV918" s="46">
        <f>ROUND(Товары[[#This Row],[РРЦ финальная, руб.]]/$AU$1,2)</f>
        <v>0</v>
      </c>
      <c r="AW918" s="45" t="str">
        <f>IFERROR(Товары[[#This Row],[РРЦ, евро]]/Товары[[#This Row],[IRP, Eur]],"-")</f>
        <v>-</v>
      </c>
      <c r="AX918" s="42">
        <f>IFERROR(VLOOKUP(Товары[[#This Row],[SubGroup]],'Структура цен DIY'!$B:$C,2,FALSE),0)</f>
        <v>0.28000000000000003</v>
      </c>
      <c r="AY918" s="44">
        <v>0</v>
      </c>
    </row>
    <row r="919" spans="1:51" x14ac:dyDescent="0.25">
      <c r="A919" s="34">
        <v>917</v>
      </c>
      <c r="B919" s="34" t="s">
        <v>49</v>
      </c>
      <c r="C919" s="110" t="str">
        <f>IFERROR(INDEX(Структура_ассортимента[SuperCategory],MATCH(Товары[[#This Row],[SubGroup]],Структура_ассортимента[Subgroup],0)),"")</f>
        <v>W</v>
      </c>
      <c r="D91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1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19" s="110" t="str">
        <f>IFERROR(INDEX(Структура_ассортимента[Product group],MATCH(Товары[[#This Row],[SubGroup]],Структура_ассортимента[Subgroup],0)),"")</f>
        <v>WMA_C</v>
      </c>
      <c r="G919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19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19" s="36">
        <v>9022</v>
      </c>
      <c r="J919" s="36" t="str">
        <f>IFERROR(INDEX(Структура_ассортимента[Generic Name (long)],MATCH(Товары[[#This Row],[SubGroup]],Структура_ассортимента[Subgroup],0)),"")</f>
        <v>GARDEN SHOWER</v>
      </c>
      <c r="L919" s="36">
        <v>967306201</v>
      </c>
      <c r="M919" s="35" t="s">
        <v>2603</v>
      </c>
      <c r="Q919" s="34" t="s">
        <v>3549</v>
      </c>
      <c r="R919" s="34" t="s">
        <v>3540</v>
      </c>
      <c r="S919" s="47">
        <v>42005</v>
      </c>
      <c r="T919" s="47">
        <v>0</v>
      </c>
      <c r="U919" s="47">
        <v>0</v>
      </c>
      <c r="V919" s="34">
        <v>4078500010658</v>
      </c>
      <c r="W919" s="34" t="s">
        <v>3543</v>
      </c>
      <c r="X919" s="34" t="s">
        <v>3579</v>
      </c>
      <c r="Y919" s="34" t="s">
        <v>3542</v>
      </c>
      <c r="Z919" s="34">
        <v>35</v>
      </c>
      <c r="AA919" s="34" t="s">
        <v>3653</v>
      </c>
      <c r="AB919" s="34" t="s">
        <v>3653</v>
      </c>
      <c r="AC919" s="34" t="s">
        <v>3714</v>
      </c>
      <c r="AD919" s="34" t="s">
        <v>3714</v>
      </c>
      <c r="AE919" s="34" t="s">
        <v>4231</v>
      </c>
      <c r="AF919" s="34" t="s">
        <v>4231</v>
      </c>
      <c r="AG919" s="34" t="s">
        <v>5328</v>
      </c>
      <c r="AH919" s="34" t="s">
        <v>6057</v>
      </c>
      <c r="AI919" s="34" t="s">
        <v>4656</v>
      </c>
      <c r="AJ919" s="34" t="s">
        <v>4780</v>
      </c>
      <c r="AK919" s="34" t="s">
        <v>3699</v>
      </c>
      <c r="AL919" s="34" t="s">
        <v>6059</v>
      </c>
      <c r="AM919" s="40" t="s">
        <v>8095</v>
      </c>
      <c r="AT919" s="44">
        <v>0</v>
      </c>
      <c r="AU919" s="44"/>
      <c r="AV919" s="46">
        <f>ROUND(Товары[[#This Row],[РРЦ финальная, руб.]]/$AU$1,2)</f>
        <v>0</v>
      </c>
      <c r="AW919" s="45" t="str">
        <f>IFERROR(Товары[[#This Row],[РРЦ, евро]]/Товары[[#This Row],[IRP, Eur]],"-")</f>
        <v>-</v>
      </c>
      <c r="AX919" s="42">
        <f>IFERROR(VLOOKUP(Товары[[#This Row],[SubGroup]],'Структура цен DIY'!$B:$C,2,FALSE),0)</f>
        <v>0.28000000000000003</v>
      </c>
      <c r="AY919" s="44">
        <v>0</v>
      </c>
    </row>
    <row r="920" spans="1:51" x14ac:dyDescent="0.25">
      <c r="A920" s="34">
        <v>918</v>
      </c>
      <c r="B920" s="34" t="s">
        <v>49</v>
      </c>
      <c r="C920" s="110" t="str">
        <f>IFERROR(INDEX(Структура_ассортимента[SuperCategory],MATCH(Товары[[#This Row],[SubGroup]],Структура_ассортимента[Subgroup],0)),"")</f>
        <v>W</v>
      </c>
      <c r="D92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2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20" s="110" t="str">
        <f>IFERROR(INDEX(Структура_ассортимента[Product group],MATCH(Товары[[#This Row],[SubGroup]],Структура_ассортимента[Subgroup],0)),"")</f>
        <v>WMA_C</v>
      </c>
      <c r="G920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20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20" s="36">
        <v>9022</v>
      </c>
      <c r="J920" s="36" t="str">
        <f>IFERROR(INDEX(Структура_ассортимента[Generic Name (long)],MATCH(Товары[[#This Row],[SubGroup]],Структура_ассортимента[Subgroup],0)),"")</f>
        <v>GARDEN SHOWER</v>
      </c>
      <c r="L920" s="36">
        <v>967306301</v>
      </c>
      <c r="M920" s="35" t="s">
        <v>2604</v>
      </c>
      <c r="O920" s="35" t="s">
        <v>6060</v>
      </c>
      <c r="P920" s="37" t="s">
        <v>5985</v>
      </c>
      <c r="Q920" s="34" t="s">
        <v>3549</v>
      </c>
      <c r="R920" s="34" t="s">
        <v>3540</v>
      </c>
      <c r="S920" s="47">
        <v>42005</v>
      </c>
      <c r="T920" s="47">
        <v>0</v>
      </c>
      <c r="U920" s="47">
        <v>0</v>
      </c>
      <c r="V920" s="34">
        <v>4078500010757</v>
      </c>
      <c r="W920" s="34" t="s">
        <v>3543</v>
      </c>
      <c r="X920" s="34" t="s">
        <v>3579</v>
      </c>
      <c r="Y920" s="34" t="s">
        <v>3542</v>
      </c>
      <c r="Z920" s="34">
        <v>10</v>
      </c>
      <c r="AA920" s="34" t="s">
        <v>6061</v>
      </c>
      <c r="AB920" s="34" t="s">
        <v>6061</v>
      </c>
      <c r="AC920" s="34" t="s">
        <v>4002</v>
      </c>
      <c r="AD920" s="34" t="s">
        <v>4002</v>
      </c>
      <c r="AE920" s="34" t="s">
        <v>3825</v>
      </c>
      <c r="AF920" s="34" t="s">
        <v>3920</v>
      </c>
      <c r="AG920" s="34" t="s">
        <v>4780</v>
      </c>
      <c r="AH920" s="34" t="s">
        <v>4928</v>
      </c>
      <c r="AI920" s="34" t="s">
        <v>4394</v>
      </c>
      <c r="AJ920" s="34" t="s">
        <v>3683</v>
      </c>
      <c r="AK920" s="34" t="s">
        <v>4956</v>
      </c>
      <c r="AL920" s="34" t="s">
        <v>6062</v>
      </c>
      <c r="AM920" s="40" t="s">
        <v>9</v>
      </c>
      <c r="AP920" s="34">
        <v>0</v>
      </c>
      <c r="AQ920" s="34">
        <v>1199</v>
      </c>
      <c r="AR920" s="34">
        <v>719</v>
      </c>
      <c r="AT920" s="44">
        <v>92900</v>
      </c>
      <c r="AU920" s="44"/>
      <c r="AV920" s="46">
        <f>ROUND(Товары[[#This Row],[РРЦ финальная, руб.]]/$AU$1,2)</f>
        <v>0</v>
      </c>
      <c r="AW920" s="45" t="str">
        <f>IFERROR(Товары[[#This Row],[РРЦ, евро]]/Товары[[#This Row],[IRP, Eur]],"-")</f>
        <v>-</v>
      </c>
      <c r="AX920" s="42">
        <f>IFERROR(VLOOKUP(Товары[[#This Row],[SubGroup]],'Структура цен DIY'!$B:$C,2,FALSE),0)</f>
        <v>0.28000000000000003</v>
      </c>
      <c r="AY920" s="44">
        <v>0</v>
      </c>
    </row>
    <row r="921" spans="1:51" x14ac:dyDescent="0.25">
      <c r="A921" s="34">
        <v>919</v>
      </c>
      <c r="B921" s="34" t="s">
        <v>49</v>
      </c>
      <c r="C921" s="110" t="str">
        <f>IFERROR(INDEX(Структура_ассортимента[SuperCategory],MATCH(Товары[[#This Row],[SubGroup]],Структура_ассортимента[Subgroup],0)),"")</f>
        <v>W</v>
      </c>
      <c r="D92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2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21" s="110" t="str">
        <f>IFERROR(INDEX(Структура_ассортимента[Product group],MATCH(Товары[[#This Row],[SubGroup]],Структура_ассортимента[Subgroup],0)),"")</f>
        <v>WMA_C</v>
      </c>
      <c r="G921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21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21" s="36">
        <v>9022</v>
      </c>
      <c r="J921" s="36" t="str">
        <f>IFERROR(INDEX(Структура_ассортимента[Generic Name (long)],MATCH(Товары[[#This Row],[SubGroup]],Структура_ассортимента[Subgroup],0)),"")</f>
        <v>GARDEN SHOWER</v>
      </c>
      <c r="L921" s="36">
        <v>967306501</v>
      </c>
      <c r="M921" s="35" t="s">
        <v>2605</v>
      </c>
      <c r="Q921" s="34" t="s">
        <v>3549</v>
      </c>
      <c r="R921" s="34" t="s">
        <v>3540</v>
      </c>
      <c r="S921" s="47">
        <v>42005</v>
      </c>
      <c r="T921" s="47">
        <v>0</v>
      </c>
      <c r="U921" s="47">
        <v>0</v>
      </c>
      <c r="V921" s="34">
        <v>4078500010498</v>
      </c>
      <c r="W921" s="34" t="s">
        <v>3543</v>
      </c>
      <c r="X921" s="34" t="s">
        <v>3579</v>
      </c>
      <c r="Y921" s="34" t="s">
        <v>3542</v>
      </c>
      <c r="Z921" s="34">
        <v>20</v>
      </c>
      <c r="AA921" s="34" t="s">
        <v>4419</v>
      </c>
      <c r="AB921" s="34" t="s">
        <v>6063</v>
      </c>
      <c r="AC921" s="34" t="s">
        <v>6064</v>
      </c>
      <c r="AD921" s="34" t="s">
        <v>4122</v>
      </c>
      <c r="AE921" s="34" t="s">
        <v>5109</v>
      </c>
      <c r="AF921" s="34" t="s">
        <v>4956</v>
      </c>
      <c r="AG921" s="34" t="s">
        <v>3683</v>
      </c>
      <c r="AH921" s="34" t="s">
        <v>6065</v>
      </c>
      <c r="AI921" s="34" t="s">
        <v>4394</v>
      </c>
      <c r="AJ921" s="34" t="s">
        <v>3683</v>
      </c>
      <c r="AK921" s="34" t="s">
        <v>4956</v>
      </c>
      <c r="AL921" s="34" t="s">
        <v>3737</v>
      </c>
      <c r="AM921" s="40" t="s">
        <v>8095</v>
      </c>
      <c r="AT921" s="44">
        <v>0</v>
      </c>
      <c r="AU921" s="44"/>
      <c r="AV921" s="46">
        <f>ROUND(Товары[[#This Row],[РРЦ финальная, руб.]]/$AU$1,2)</f>
        <v>0</v>
      </c>
      <c r="AW921" s="45" t="str">
        <f>IFERROR(Товары[[#This Row],[РРЦ, евро]]/Товары[[#This Row],[IRP, Eur]],"-")</f>
        <v>-</v>
      </c>
      <c r="AX921" s="42">
        <f>IFERROR(VLOOKUP(Товары[[#This Row],[SubGroup]],'Структура цен DIY'!$B:$C,2,FALSE),0)</f>
        <v>0.28000000000000003</v>
      </c>
      <c r="AY921" s="44">
        <v>0</v>
      </c>
    </row>
    <row r="922" spans="1:51" x14ac:dyDescent="0.25">
      <c r="A922" s="34">
        <v>920</v>
      </c>
      <c r="B922" s="34" t="s">
        <v>49</v>
      </c>
      <c r="C922" s="110" t="str">
        <f>IFERROR(INDEX(Структура_ассортимента[SuperCategory],MATCH(Товары[[#This Row],[SubGroup]],Структура_ассортимента[Subgroup],0)),"")</f>
        <v>W</v>
      </c>
      <c r="D92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2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22" s="110" t="str">
        <f>IFERROR(INDEX(Структура_ассортимента[Product group],MATCH(Товары[[#This Row],[SubGroup]],Структура_ассортимента[Subgroup],0)),"")</f>
        <v>WMA_C</v>
      </c>
      <c r="G922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22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22" s="36">
        <v>9022</v>
      </c>
      <c r="J922" s="36" t="str">
        <f>IFERROR(INDEX(Структура_ассортимента[Generic Name (long)],MATCH(Товары[[#This Row],[SubGroup]],Структура_ассортимента[Subgroup],0)),"")</f>
        <v>GARDEN SHOWER</v>
      </c>
      <c r="L922" s="36">
        <v>967306601</v>
      </c>
      <c r="M922" s="35" t="s">
        <v>2606</v>
      </c>
      <c r="Q922" s="34" t="s">
        <v>3549</v>
      </c>
      <c r="R922" s="34" t="s">
        <v>3540</v>
      </c>
      <c r="S922" s="47">
        <v>42005</v>
      </c>
      <c r="T922" s="47">
        <v>0</v>
      </c>
      <c r="U922" s="47">
        <v>0</v>
      </c>
      <c r="V922" s="34">
        <v>4078500010474</v>
      </c>
      <c r="W922" s="34" t="s">
        <v>3543</v>
      </c>
      <c r="X922" s="34" t="s">
        <v>3579</v>
      </c>
      <c r="Y922" s="34" t="s">
        <v>3542</v>
      </c>
      <c r="Z922" s="34">
        <v>20</v>
      </c>
      <c r="AA922" s="34" t="s">
        <v>6066</v>
      </c>
      <c r="AB922" s="34" t="s">
        <v>4100</v>
      </c>
      <c r="AC922" s="34" t="s">
        <v>6064</v>
      </c>
      <c r="AD922" s="34" t="s">
        <v>4100</v>
      </c>
      <c r="AE922" s="34" t="s">
        <v>5109</v>
      </c>
      <c r="AF922" s="34" t="s">
        <v>4956</v>
      </c>
      <c r="AG922" s="34" t="s">
        <v>3683</v>
      </c>
      <c r="AH922" s="34" t="s">
        <v>6065</v>
      </c>
      <c r="AI922" s="34" t="s">
        <v>4394</v>
      </c>
      <c r="AJ922" s="34" t="s">
        <v>3683</v>
      </c>
      <c r="AK922" s="34" t="s">
        <v>4956</v>
      </c>
      <c r="AL922" s="34" t="s">
        <v>4965</v>
      </c>
      <c r="AM922" s="40" t="s">
        <v>8095</v>
      </c>
      <c r="AT922" s="44">
        <v>0</v>
      </c>
      <c r="AU922" s="44"/>
      <c r="AV922" s="46">
        <f>ROUND(Товары[[#This Row],[РРЦ финальная, руб.]]/$AU$1,2)</f>
        <v>0</v>
      </c>
      <c r="AW922" s="45" t="str">
        <f>IFERROR(Товары[[#This Row],[РРЦ, евро]]/Товары[[#This Row],[IRP, Eur]],"-")</f>
        <v>-</v>
      </c>
      <c r="AX922" s="42">
        <f>IFERROR(VLOOKUP(Товары[[#This Row],[SubGroup]],'Структура цен DIY'!$B:$C,2,FALSE),0)</f>
        <v>0.28000000000000003</v>
      </c>
      <c r="AY922" s="44">
        <v>0</v>
      </c>
    </row>
    <row r="923" spans="1:51" x14ac:dyDescent="0.25">
      <c r="A923" s="34">
        <v>921</v>
      </c>
      <c r="B923" s="34" t="s">
        <v>49</v>
      </c>
      <c r="C923" s="110" t="str">
        <f>IFERROR(INDEX(Структура_ассортимента[SuperCategory],MATCH(Товары[[#This Row],[SubGroup]],Структура_ассортимента[Subgroup],0)),"")</f>
        <v>W</v>
      </c>
      <c r="D92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2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23" s="110" t="str">
        <f>IFERROR(INDEX(Структура_ассортимента[Product group],MATCH(Товары[[#This Row],[SubGroup]],Структура_ассортимента[Subgroup],0)),"")</f>
        <v>WMA_C</v>
      </c>
      <c r="G923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23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23" s="36">
        <v>9022</v>
      </c>
      <c r="J923" s="36" t="str">
        <f>IFERROR(INDEX(Структура_ассортимента[Generic Name (long)],MATCH(Товары[[#This Row],[SubGroup]],Структура_ассортимента[Subgroup],0)),"")</f>
        <v>GARDEN SHOWER</v>
      </c>
      <c r="L923" s="36">
        <v>967325201</v>
      </c>
      <c r="M923" s="35" t="s">
        <v>2607</v>
      </c>
      <c r="Q923" s="34" t="s">
        <v>3549</v>
      </c>
      <c r="R923" s="34" t="s">
        <v>3540</v>
      </c>
      <c r="S923" s="47">
        <v>42005</v>
      </c>
      <c r="T923" s="47">
        <v>0</v>
      </c>
      <c r="U923" s="47">
        <v>0</v>
      </c>
      <c r="V923" s="34">
        <v>4078500013482</v>
      </c>
      <c r="W923" s="34" t="s">
        <v>3543</v>
      </c>
      <c r="X923" s="34" t="s">
        <v>3579</v>
      </c>
      <c r="Y923" s="34" t="s">
        <v>3542</v>
      </c>
      <c r="Z923" s="34">
        <v>24</v>
      </c>
      <c r="AA923" s="34" t="s">
        <v>6061</v>
      </c>
      <c r="AB923" s="34" t="s">
        <v>6067</v>
      </c>
      <c r="AC923" s="34" t="s">
        <v>4002</v>
      </c>
      <c r="AD923" s="34" t="s">
        <v>4136</v>
      </c>
      <c r="AE923" s="34" t="s">
        <v>3825</v>
      </c>
      <c r="AF923" s="34" t="s">
        <v>3920</v>
      </c>
      <c r="AG923" s="34" t="s">
        <v>4780</v>
      </c>
      <c r="AH923" s="34" t="s">
        <v>4928</v>
      </c>
      <c r="AI923" s="34" t="s">
        <v>4394</v>
      </c>
      <c r="AJ923" s="34" t="s">
        <v>3683</v>
      </c>
      <c r="AK923" s="34" t="s">
        <v>4956</v>
      </c>
      <c r="AL923" s="34" t="s">
        <v>3747</v>
      </c>
      <c r="AM923" s="40" t="s">
        <v>8095</v>
      </c>
      <c r="AT923" s="44">
        <v>0</v>
      </c>
      <c r="AU923" s="44"/>
      <c r="AV923" s="46">
        <f>ROUND(Товары[[#This Row],[РРЦ финальная, руб.]]/$AU$1,2)</f>
        <v>0</v>
      </c>
      <c r="AW923" s="45" t="str">
        <f>IFERROR(Товары[[#This Row],[РРЦ, евро]]/Товары[[#This Row],[IRP, Eur]],"-")</f>
        <v>-</v>
      </c>
      <c r="AX923" s="42">
        <f>IFERROR(VLOOKUP(Товары[[#This Row],[SubGroup]],'Структура цен DIY'!$B:$C,2,FALSE),0)</f>
        <v>0.28000000000000003</v>
      </c>
      <c r="AY923" s="44">
        <v>0</v>
      </c>
    </row>
    <row r="924" spans="1:51" x14ac:dyDescent="0.25">
      <c r="A924" s="34">
        <v>922</v>
      </c>
      <c r="B924" s="34" t="s">
        <v>49</v>
      </c>
      <c r="C924" s="110" t="str">
        <f>IFERROR(INDEX(Структура_ассортимента[SuperCategory],MATCH(Товары[[#This Row],[SubGroup]],Структура_ассортимента[Subgroup],0)),"")</f>
        <v>W</v>
      </c>
      <c r="D92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2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24" s="110" t="str">
        <f>IFERROR(INDEX(Структура_ассортимента[Product group],MATCH(Товары[[#This Row],[SubGroup]],Структура_ассортимента[Subgroup],0)),"")</f>
        <v>WMA_C</v>
      </c>
      <c r="G924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24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24" s="36">
        <v>9022</v>
      </c>
      <c r="J924" s="36" t="str">
        <f>IFERROR(INDEX(Структура_ассортимента[Generic Name (long)],MATCH(Товары[[#This Row],[SubGroup]],Структура_ассортимента[Subgroup],0)),"")</f>
        <v>GARDEN SHOWER</v>
      </c>
      <c r="L924" s="36">
        <v>967705201</v>
      </c>
      <c r="M924" s="35" t="s">
        <v>2608</v>
      </c>
      <c r="Q924" s="34" t="s">
        <v>3549</v>
      </c>
      <c r="R924" s="34" t="s">
        <v>3540</v>
      </c>
      <c r="S924" s="47">
        <v>43101</v>
      </c>
      <c r="T924" s="47">
        <v>0</v>
      </c>
      <c r="U924" s="47">
        <v>0</v>
      </c>
      <c r="V924" s="34">
        <v>4078500035521</v>
      </c>
      <c r="W924" s="34" t="s">
        <v>3543</v>
      </c>
      <c r="X924" s="34" t="s">
        <v>3579</v>
      </c>
      <c r="Y924" s="34" t="s">
        <v>3542</v>
      </c>
      <c r="Z924" s="34">
        <v>24</v>
      </c>
      <c r="AA924" s="34">
        <v>0</v>
      </c>
      <c r="AB924" s="34" t="s">
        <v>6067</v>
      </c>
      <c r="AC924" s="34">
        <v>0</v>
      </c>
      <c r="AD924" s="34" t="s">
        <v>4136</v>
      </c>
      <c r="AE924" s="34" t="s">
        <v>3825</v>
      </c>
      <c r="AF924" s="34" t="s">
        <v>3920</v>
      </c>
      <c r="AG924" s="34" t="s">
        <v>4780</v>
      </c>
      <c r="AH924" s="34" t="s">
        <v>4928</v>
      </c>
      <c r="AI924" s="34" t="s">
        <v>4394</v>
      </c>
      <c r="AJ924" s="34" t="s">
        <v>3683</v>
      </c>
      <c r="AK924" s="34" t="s">
        <v>4956</v>
      </c>
      <c r="AL924" s="34" t="s">
        <v>3747</v>
      </c>
      <c r="AM924" s="40" t="s">
        <v>8095</v>
      </c>
      <c r="AT924" s="44">
        <v>0</v>
      </c>
      <c r="AU924" s="44"/>
      <c r="AV924" s="46">
        <f>ROUND(Товары[[#This Row],[РРЦ финальная, руб.]]/$AU$1,2)</f>
        <v>0</v>
      </c>
      <c r="AW924" s="45" t="str">
        <f>IFERROR(Товары[[#This Row],[РРЦ, евро]]/Товары[[#This Row],[IRP, Eur]],"-")</f>
        <v>-</v>
      </c>
      <c r="AX924" s="42">
        <f>IFERROR(VLOOKUP(Товары[[#This Row],[SubGroup]],'Структура цен DIY'!$B:$C,2,FALSE),0)</f>
        <v>0.28000000000000003</v>
      </c>
      <c r="AY924" s="44">
        <v>0</v>
      </c>
    </row>
    <row r="925" spans="1:51" x14ac:dyDescent="0.25">
      <c r="A925" s="34">
        <v>923</v>
      </c>
      <c r="B925" s="34" t="s">
        <v>49</v>
      </c>
      <c r="C925" s="110" t="str">
        <f>IFERROR(INDEX(Структура_ассортимента[SuperCategory],MATCH(Товары[[#This Row],[SubGroup]],Структура_ассортимента[Subgroup],0)),"")</f>
        <v>W</v>
      </c>
      <c r="D92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2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25" s="110" t="str">
        <f>IFERROR(INDEX(Структура_ассортимента[Product group],MATCH(Товары[[#This Row],[SubGroup]],Структура_ассортимента[Subgroup],0)),"")</f>
        <v>WMA_C</v>
      </c>
      <c r="G925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25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25" s="36">
        <v>9022</v>
      </c>
      <c r="J925" s="36" t="str">
        <f>IFERROR(INDEX(Структура_ассортимента[Generic Name (long)],MATCH(Товары[[#This Row],[SubGroup]],Структура_ассортимента[Subgroup],0)),"")</f>
        <v>GARDEN SHOWER</v>
      </c>
      <c r="L925" s="36">
        <v>967306701</v>
      </c>
      <c r="M925" s="35" t="s">
        <v>2609</v>
      </c>
      <c r="O925" s="35" t="s">
        <v>6068</v>
      </c>
      <c r="P925" s="37" t="s">
        <v>6069</v>
      </c>
      <c r="Q925" s="34" t="s">
        <v>3549</v>
      </c>
      <c r="R925" s="34" t="s">
        <v>3540</v>
      </c>
      <c r="S925" s="47">
        <v>42005</v>
      </c>
      <c r="T925" s="47">
        <v>0</v>
      </c>
      <c r="U925" s="47">
        <v>0</v>
      </c>
      <c r="V925" s="34">
        <v>4078500010634</v>
      </c>
      <c r="W925" s="34" t="s">
        <v>3543</v>
      </c>
      <c r="X925" s="34" t="s">
        <v>3579</v>
      </c>
      <c r="Y925" s="34" t="s">
        <v>3542</v>
      </c>
      <c r="Z925" s="34">
        <v>6</v>
      </c>
      <c r="AA925" s="34" t="s">
        <v>5640</v>
      </c>
      <c r="AB925" s="34" t="s">
        <v>5640</v>
      </c>
      <c r="AC925" s="34" t="s">
        <v>3727</v>
      </c>
      <c r="AD925" s="34" t="s">
        <v>3727</v>
      </c>
      <c r="AE925" s="34" t="s">
        <v>3825</v>
      </c>
      <c r="AF925" s="34" t="s">
        <v>5613</v>
      </c>
      <c r="AG925" s="34" t="s">
        <v>3711</v>
      </c>
      <c r="AH925" s="34" t="s">
        <v>6070</v>
      </c>
      <c r="AI925" s="34" t="s">
        <v>3708</v>
      </c>
      <c r="AJ925" s="34" t="s">
        <v>4802</v>
      </c>
      <c r="AK925" s="34" t="s">
        <v>4802</v>
      </c>
      <c r="AL925" s="34" t="s">
        <v>6071</v>
      </c>
      <c r="AM925" s="40" t="s">
        <v>9</v>
      </c>
      <c r="AP925" s="34">
        <v>0</v>
      </c>
      <c r="AQ925" s="34">
        <v>1089</v>
      </c>
      <c r="AR925" s="34">
        <v>653</v>
      </c>
      <c r="AT925" s="44">
        <v>84300</v>
      </c>
      <c r="AU925" s="44"/>
      <c r="AV925" s="46">
        <f>ROUND(Товары[[#This Row],[РРЦ финальная, руб.]]/$AU$1,2)</f>
        <v>0</v>
      </c>
      <c r="AW925" s="45" t="str">
        <f>IFERROR(Товары[[#This Row],[РРЦ, евро]]/Товары[[#This Row],[IRP, Eur]],"-")</f>
        <v>-</v>
      </c>
      <c r="AX925" s="42">
        <f>IFERROR(VLOOKUP(Товары[[#This Row],[SubGroup]],'Структура цен DIY'!$B:$C,2,FALSE),0)</f>
        <v>0.28000000000000003</v>
      </c>
      <c r="AY925" s="44">
        <v>0</v>
      </c>
    </row>
    <row r="926" spans="1:51" x14ac:dyDescent="0.25">
      <c r="A926" s="34">
        <v>924</v>
      </c>
      <c r="B926" s="34" t="s">
        <v>49</v>
      </c>
      <c r="C926" s="110" t="str">
        <f>IFERROR(INDEX(Структура_ассортимента[SuperCategory],MATCH(Товары[[#This Row],[SubGroup]],Структура_ассортимента[Subgroup],0)),"")</f>
        <v>W</v>
      </c>
      <c r="D92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2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26" s="110" t="str">
        <f>IFERROR(INDEX(Структура_ассортимента[Product group],MATCH(Товары[[#This Row],[SubGroup]],Структура_ассортимента[Subgroup],0)),"")</f>
        <v>WMA_C</v>
      </c>
      <c r="G926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26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26" s="36">
        <v>9022</v>
      </c>
      <c r="J926" s="36" t="str">
        <f>IFERROR(INDEX(Структура_ассортимента[Generic Name (long)],MATCH(Товары[[#This Row],[SubGroup]],Структура_ассортимента[Subgroup],0)),"")</f>
        <v>GARDEN SHOWER</v>
      </c>
      <c r="L926" s="36">
        <v>967306801</v>
      </c>
      <c r="M926" s="35" t="s">
        <v>2610</v>
      </c>
      <c r="Q926" s="34" t="s">
        <v>3549</v>
      </c>
      <c r="R926" s="34" t="s">
        <v>3540</v>
      </c>
      <c r="S926" s="47">
        <v>42005</v>
      </c>
      <c r="T926" s="47">
        <v>0</v>
      </c>
      <c r="U926" s="47">
        <v>0</v>
      </c>
      <c r="V926" s="34">
        <v>4078500010610</v>
      </c>
      <c r="W926" s="34" t="s">
        <v>3543</v>
      </c>
      <c r="X926" s="34" t="s">
        <v>3579</v>
      </c>
      <c r="Y926" s="34" t="s">
        <v>3542</v>
      </c>
      <c r="Z926" s="34">
        <v>10</v>
      </c>
      <c r="AA926" s="34" t="s">
        <v>6072</v>
      </c>
      <c r="AB926" s="34" t="s">
        <v>6072</v>
      </c>
      <c r="AC926" s="34" t="s">
        <v>6073</v>
      </c>
      <c r="AD926" s="34" t="s">
        <v>6073</v>
      </c>
      <c r="AE926" s="34" t="s">
        <v>4802</v>
      </c>
      <c r="AF926" s="34" t="s">
        <v>4802</v>
      </c>
      <c r="AG926" s="34" t="s">
        <v>3708</v>
      </c>
      <c r="AH926" s="34" t="s">
        <v>6074</v>
      </c>
      <c r="AI926" s="34" t="s">
        <v>3708</v>
      </c>
      <c r="AJ926" s="34" t="s">
        <v>4802</v>
      </c>
      <c r="AK926" s="34" t="s">
        <v>4802</v>
      </c>
      <c r="AL926" s="34" t="s">
        <v>3737</v>
      </c>
      <c r="AM926" s="40" t="s">
        <v>8095</v>
      </c>
      <c r="AT926" s="44">
        <v>0</v>
      </c>
      <c r="AU926" s="44"/>
      <c r="AV926" s="46">
        <f>ROUND(Товары[[#This Row],[РРЦ финальная, руб.]]/$AU$1,2)</f>
        <v>0</v>
      </c>
      <c r="AW926" s="45" t="str">
        <f>IFERROR(Товары[[#This Row],[РРЦ, евро]]/Товары[[#This Row],[IRP, Eur]],"-")</f>
        <v>-</v>
      </c>
      <c r="AX926" s="42">
        <f>IFERROR(VLOOKUP(Товары[[#This Row],[SubGroup]],'Структура цен DIY'!$B:$C,2,FALSE),0)</f>
        <v>0.28000000000000003</v>
      </c>
      <c r="AY926" s="44">
        <v>0</v>
      </c>
    </row>
    <row r="927" spans="1:51" x14ac:dyDescent="0.25">
      <c r="A927" s="34">
        <v>925</v>
      </c>
      <c r="B927" s="34" t="s">
        <v>49</v>
      </c>
      <c r="C927" s="110" t="str">
        <f>IFERROR(INDEX(Структура_ассортимента[SuperCategory],MATCH(Товары[[#This Row],[SubGroup]],Структура_ассортимента[Subgroup],0)),"")</f>
        <v>W</v>
      </c>
      <c r="D92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2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27" s="110" t="str">
        <f>IFERROR(INDEX(Структура_ассортимента[Product group],MATCH(Товары[[#This Row],[SubGroup]],Структура_ассортимента[Subgroup],0)),"")</f>
        <v>WMA_C</v>
      </c>
      <c r="G927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27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27" s="36">
        <v>9022</v>
      </c>
      <c r="J927" s="36" t="str">
        <f>IFERROR(INDEX(Структура_ассортимента[Generic Name (long)],MATCH(Товары[[#This Row],[SubGroup]],Структура_ассортимента[Subgroup],0)),"")</f>
        <v>GARDEN SHOWER</v>
      </c>
      <c r="L927" s="36">
        <v>967306901</v>
      </c>
      <c r="M927" s="35" t="s">
        <v>2611</v>
      </c>
      <c r="Q927" s="34" t="s">
        <v>3549</v>
      </c>
      <c r="R927" s="34" t="s">
        <v>3540</v>
      </c>
      <c r="S927" s="47">
        <v>42005</v>
      </c>
      <c r="T927" s="47">
        <v>0</v>
      </c>
      <c r="U927" s="47">
        <v>0</v>
      </c>
      <c r="V927" s="34">
        <v>4078500010597</v>
      </c>
      <c r="W927" s="34" t="s">
        <v>3543</v>
      </c>
      <c r="X927" s="34" t="s">
        <v>3579</v>
      </c>
      <c r="Y927" s="34" t="s">
        <v>3542</v>
      </c>
      <c r="Z927" s="34">
        <v>10</v>
      </c>
      <c r="AA927" s="34" t="s">
        <v>6075</v>
      </c>
      <c r="AB927" s="34" t="s">
        <v>6075</v>
      </c>
      <c r="AC927" s="34" t="s">
        <v>6073</v>
      </c>
      <c r="AD927" s="34" t="s">
        <v>6073</v>
      </c>
      <c r="AE927" s="34" t="s">
        <v>4802</v>
      </c>
      <c r="AF927" s="34" t="s">
        <v>4802</v>
      </c>
      <c r="AG927" s="34" t="s">
        <v>3708</v>
      </c>
      <c r="AH927" s="34" t="s">
        <v>6074</v>
      </c>
      <c r="AI927" s="34" t="s">
        <v>3708</v>
      </c>
      <c r="AJ927" s="34" t="s">
        <v>4802</v>
      </c>
      <c r="AK927" s="34" t="s">
        <v>4802</v>
      </c>
      <c r="AL927" s="34" t="s">
        <v>6076</v>
      </c>
      <c r="AM927" s="40" t="s">
        <v>8095</v>
      </c>
      <c r="AT927" s="44">
        <v>0</v>
      </c>
      <c r="AU927" s="44"/>
      <c r="AV927" s="46">
        <f>ROUND(Товары[[#This Row],[РРЦ финальная, руб.]]/$AU$1,2)</f>
        <v>0</v>
      </c>
      <c r="AW927" s="45" t="str">
        <f>IFERROR(Товары[[#This Row],[РРЦ, евро]]/Товары[[#This Row],[IRP, Eur]],"-")</f>
        <v>-</v>
      </c>
      <c r="AX927" s="42">
        <f>IFERROR(VLOOKUP(Товары[[#This Row],[SubGroup]],'Структура цен DIY'!$B:$C,2,FALSE),0)</f>
        <v>0.28000000000000003</v>
      </c>
      <c r="AY927" s="44">
        <v>0</v>
      </c>
    </row>
    <row r="928" spans="1:51" x14ac:dyDescent="0.25">
      <c r="A928" s="34">
        <v>926</v>
      </c>
      <c r="B928" s="34" t="s">
        <v>49</v>
      </c>
      <c r="C928" s="110" t="str">
        <f>IFERROR(INDEX(Структура_ассортимента[SuperCategory],MATCH(Товары[[#This Row],[SubGroup]],Структура_ассортимента[Subgroup],0)),"")</f>
        <v>W</v>
      </c>
      <c r="D92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2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28" s="110" t="str">
        <f>IFERROR(INDEX(Структура_ассортимента[Product group],MATCH(Товары[[#This Row],[SubGroup]],Структура_ассортимента[Subgroup],0)),"")</f>
        <v>WMA_C</v>
      </c>
      <c r="G928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28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28" s="36">
        <v>9022</v>
      </c>
      <c r="J928" s="36" t="str">
        <f>IFERROR(INDEX(Структура_ассортимента[Generic Name (long)],MATCH(Товары[[#This Row],[SubGroup]],Структура_ассортимента[Subgroup],0)),"")</f>
        <v>GARDEN SHOWER</v>
      </c>
      <c r="L928" s="36">
        <v>967307001</v>
      </c>
      <c r="M928" s="35" t="s">
        <v>2612</v>
      </c>
      <c r="O928" s="35" t="s">
        <v>6077</v>
      </c>
      <c r="P928" s="37" t="s">
        <v>5991</v>
      </c>
      <c r="Q928" s="34" t="s">
        <v>3549</v>
      </c>
      <c r="R928" s="34" t="s">
        <v>3540</v>
      </c>
      <c r="S928" s="47">
        <v>42005</v>
      </c>
      <c r="T928" s="47">
        <v>0</v>
      </c>
      <c r="U928" s="47">
        <v>0</v>
      </c>
      <c r="V928" s="34">
        <v>4078500010795</v>
      </c>
      <c r="W928" s="34" t="s">
        <v>3543</v>
      </c>
      <c r="X928" s="34" t="s">
        <v>3579</v>
      </c>
      <c r="Y928" s="34" t="s">
        <v>3542</v>
      </c>
      <c r="Z928" s="34">
        <v>5</v>
      </c>
      <c r="AA928" s="34" t="s">
        <v>4987</v>
      </c>
      <c r="AB928" s="34" t="s">
        <v>6078</v>
      </c>
      <c r="AC928" s="34" t="s">
        <v>4002</v>
      </c>
      <c r="AD928" s="34" t="s">
        <v>6079</v>
      </c>
      <c r="AE928" s="34" t="s">
        <v>4160</v>
      </c>
      <c r="AF928" s="34" t="s">
        <v>3955</v>
      </c>
      <c r="AG928" s="34" t="s">
        <v>4942</v>
      </c>
      <c r="AH928" s="34" t="s">
        <v>6080</v>
      </c>
      <c r="AI928" s="34" t="s">
        <v>3920</v>
      </c>
      <c r="AJ928" s="34" t="s">
        <v>4728</v>
      </c>
      <c r="AK928" s="34" t="s">
        <v>4802</v>
      </c>
      <c r="AL928" s="34" t="s">
        <v>4822</v>
      </c>
      <c r="AM928" s="40" t="s">
        <v>9</v>
      </c>
      <c r="AP928" s="34">
        <v>0</v>
      </c>
      <c r="AQ928" s="34">
        <v>1309</v>
      </c>
      <c r="AR928" s="34">
        <v>785</v>
      </c>
      <c r="AT928" s="44">
        <v>101400</v>
      </c>
      <c r="AU928" s="44"/>
      <c r="AV928" s="46">
        <f>ROUND(Товары[[#This Row],[РРЦ финальная, руб.]]/$AU$1,2)</f>
        <v>0</v>
      </c>
      <c r="AW928" s="45" t="str">
        <f>IFERROR(Товары[[#This Row],[РРЦ, евро]]/Товары[[#This Row],[IRP, Eur]],"-")</f>
        <v>-</v>
      </c>
      <c r="AX928" s="42">
        <f>IFERROR(VLOOKUP(Товары[[#This Row],[SubGroup]],'Структура цен DIY'!$B:$C,2,FALSE),0)</f>
        <v>0.28000000000000003</v>
      </c>
      <c r="AY928" s="44">
        <v>0</v>
      </c>
    </row>
    <row r="929" spans="1:51" x14ac:dyDescent="0.25">
      <c r="A929" s="34">
        <v>927</v>
      </c>
      <c r="B929" s="34" t="s">
        <v>49</v>
      </c>
      <c r="C929" s="110" t="str">
        <f>IFERROR(INDEX(Структура_ассортимента[SuperCategory],MATCH(Товары[[#This Row],[SubGroup]],Структура_ассортимента[Subgroup],0)),"")</f>
        <v>W</v>
      </c>
      <c r="D92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2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29" s="110" t="str">
        <f>IFERROR(INDEX(Структура_ассортимента[Product group],MATCH(Товары[[#This Row],[SubGroup]],Структура_ассортимента[Subgroup],0)),"")</f>
        <v>WMA_C</v>
      </c>
      <c r="G929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29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29" s="36">
        <v>9022</v>
      </c>
      <c r="J929" s="36" t="str">
        <f>IFERROR(INDEX(Структура_ассортимента[Generic Name (long)],MATCH(Товары[[#This Row],[SubGroup]],Структура_ассортимента[Subgroup],0)),"")</f>
        <v>GARDEN SHOWER</v>
      </c>
      <c r="L929" s="36">
        <v>967307101</v>
      </c>
      <c r="M929" s="35" t="s">
        <v>2613</v>
      </c>
      <c r="Q929" s="34" t="s">
        <v>3549</v>
      </c>
      <c r="R929" s="34" t="s">
        <v>3540</v>
      </c>
      <c r="S929" s="47">
        <v>42005</v>
      </c>
      <c r="T929" s="47">
        <v>0</v>
      </c>
      <c r="U929" s="47">
        <v>0</v>
      </c>
      <c r="V929" s="34">
        <v>4078500010771</v>
      </c>
      <c r="W929" s="34" t="s">
        <v>3543</v>
      </c>
      <c r="X929" s="34" t="s">
        <v>3579</v>
      </c>
      <c r="Y929" s="34" t="s">
        <v>3542</v>
      </c>
      <c r="Z929" s="34">
        <v>15</v>
      </c>
      <c r="AA929" s="34" t="s">
        <v>6064</v>
      </c>
      <c r="AB929" s="34" t="s">
        <v>6081</v>
      </c>
      <c r="AC929" s="34" t="s">
        <v>4573</v>
      </c>
      <c r="AD929" s="34" t="s">
        <v>6081</v>
      </c>
      <c r="AE929" s="34" t="s">
        <v>3920</v>
      </c>
      <c r="AF929" s="34" t="s">
        <v>4802</v>
      </c>
      <c r="AG929" s="34" t="s">
        <v>4640</v>
      </c>
      <c r="AH929" s="34" t="s">
        <v>6082</v>
      </c>
      <c r="AI929" s="34" t="s">
        <v>3920</v>
      </c>
      <c r="AJ929" s="34" t="s">
        <v>4728</v>
      </c>
      <c r="AK929" s="34" t="s">
        <v>4802</v>
      </c>
      <c r="AL929" s="34" t="s">
        <v>3737</v>
      </c>
      <c r="AM929" s="40" t="s">
        <v>8095</v>
      </c>
      <c r="AT929" s="44">
        <v>0</v>
      </c>
      <c r="AU929" s="44"/>
      <c r="AV929" s="46">
        <f>ROUND(Товары[[#This Row],[РРЦ финальная, руб.]]/$AU$1,2)</f>
        <v>0</v>
      </c>
      <c r="AW929" s="45" t="str">
        <f>IFERROR(Товары[[#This Row],[РРЦ, евро]]/Товары[[#This Row],[IRP, Eur]],"-")</f>
        <v>-</v>
      </c>
      <c r="AX929" s="42">
        <f>IFERROR(VLOOKUP(Товары[[#This Row],[SubGroup]],'Структура цен DIY'!$B:$C,2,FALSE),0)</f>
        <v>0.28000000000000003</v>
      </c>
      <c r="AY929" s="44">
        <v>0</v>
      </c>
    </row>
    <row r="930" spans="1:51" x14ac:dyDescent="0.25">
      <c r="A930" s="34">
        <v>928</v>
      </c>
      <c r="B930" s="34" t="s">
        <v>49</v>
      </c>
      <c r="C930" s="110" t="str">
        <f>IFERROR(INDEX(Структура_ассортимента[SuperCategory],MATCH(Товары[[#This Row],[SubGroup]],Структура_ассортимента[Subgroup],0)),"")</f>
        <v>W</v>
      </c>
      <c r="D93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3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30" s="110" t="str">
        <f>IFERROR(INDEX(Структура_ассортимента[Product group],MATCH(Товары[[#This Row],[SubGroup]],Структура_ассортимента[Subgroup],0)),"")</f>
        <v>WMA_C</v>
      </c>
      <c r="G930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30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30" s="36">
        <v>9022</v>
      </c>
      <c r="J930" s="36" t="str">
        <f>IFERROR(INDEX(Структура_ассортимента[Generic Name (long)],MATCH(Товары[[#This Row],[SubGroup]],Структура_ассортимента[Subgroup],0)),"")</f>
        <v>GARDEN SHOWER</v>
      </c>
      <c r="L930" s="36">
        <v>967330701</v>
      </c>
      <c r="M930" s="35" t="s">
        <v>2614</v>
      </c>
      <c r="Q930" s="34" t="s">
        <v>3549</v>
      </c>
      <c r="R930" s="34" t="s">
        <v>3540</v>
      </c>
      <c r="S930" s="47">
        <v>42005</v>
      </c>
      <c r="T930" s="47">
        <v>0</v>
      </c>
      <c r="U930" s="47">
        <v>0</v>
      </c>
      <c r="V930" s="34">
        <v>4078500015509</v>
      </c>
      <c r="W930" s="34" t="s">
        <v>3543</v>
      </c>
      <c r="X930" s="34" t="s">
        <v>3579</v>
      </c>
      <c r="Y930" s="34" t="s">
        <v>3542</v>
      </c>
      <c r="Z930" s="34">
        <v>24</v>
      </c>
      <c r="AA930" s="34" t="s">
        <v>4987</v>
      </c>
      <c r="AB930" s="34" t="s">
        <v>4159</v>
      </c>
      <c r="AC930" s="34" t="s">
        <v>4002</v>
      </c>
      <c r="AD930" s="34" t="s">
        <v>4006</v>
      </c>
      <c r="AE930" s="34" t="s">
        <v>4160</v>
      </c>
      <c r="AF930" s="34" t="s">
        <v>3955</v>
      </c>
      <c r="AG930" s="34" t="s">
        <v>4942</v>
      </c>
      <c r="AH930" s="34" t="s">
        <v>6080</v>
      </c>
      <c r="AI930" s="34" t="s">
        <v>3920</v>
      </c>
      <c r="AJ930" s="34" t="s">
        <v>4728</v>
      </c>
      <c r="AK930" s="34" t="s">
        <v>4802</v>
      </c>
      <c r="AL930" s="34" t="s">
        <v>3981</v>
      </c>
      <c r="AM930" s="40" t="s">
        <v>8095</v>
      </c>
      <c r="AT930" s="44">
        <v>0</v>
      </c>
      <c r="AU930" s="44"/>
      <c r="AV930" s="46">
        <f>ROUND(Товары[[#This Row],[РРЦ финальная, руб.]]/$AU$1,2)</f>
        <v>0</v>
      </c>
      <c r="AW930" s="45" t="str">
        <f>IFERROR(Товары[[#This Row],[РРЦ, евро]]/Товары[[#This Row],[IRP, Eur]],"-")</f>
        <v>-</v>
      </c>
      <c r="AX930" s="42">
        <f>IFERROR(VLOOKUP(Товары[[#This Row],[SubGroup]],'Структура цен DIY'!$B:$C,2,FALSE),0)</f>
        <v>0.28000000000000003</v>
      </c>
      <c r="AY930" s="44">
        <v>0</v>
      </c>
    </row>
    <row r="931" spans="1:51" x14ac:dyDescent="0.25">
      <c r="A931" s="34">
        <v>929</v>
      </c>
      <c r="B931" s="34" t="s">
        <v>49</v>
      </c>
      <c r="C931" s="110" t="str">
        <f>IFERROR(INDEX(Структура_ассортимента[SuperCategory],MATCH(Товары[[#This Row],[SubGroup]],Структура_ассортимента[Subgroup],0)),"")</f>
        <v>W</v>
      </c>
      <c r="D93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3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31" s="110" t="str">
        <f>IFERROR(INDEX(Структура_ассортимента[Product group],MATCH(Товары[[#This Row],[SubGroup]],Структура_ассортимента[Subgroup],0)),"")</f>
        <v>WMA_C</v>
      </c>
      <c r="G931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31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31" s="36">
        <v>9022</v>
      </c>
      <c r="J931" s="36" t="str">
        <f>IFERROR(INDEX(Структура_ассортимента[Generic Name (long)],MATCH(Товары[[#This Row],[SubGroup]],Структура_ассортимента[Subgroup],0)),"")</f>
        <v>GARDEN SHOWER</v>
      </c>
      <c r="L931" s="36">
        <v>967307201</v>
      </c>
      <c r="M931" s="35" t="s">
        <v>2615</v>
      </c>
      <c r="O931" s="35" t="s">
        <v>6083</v>
      </c>
      <c r="P931" s="37" t="s">
        <v>6084</v>
      </c>
      <c r="Q931" s="34" t="s">
        <v>3549</v>
      </c>
      <c r="R931" s="34" t="s">
        <v>3540</v>
      </c>
      <c r="S931" s="47">
        <v>42005</v>
      </c>
      <c r="T931" s="47">
        <v>0</v>
      </c>
      <c r="U931" s="47">
        <v>0</v>
      </c>
      <c r="V931" s="34">
        <v>4078500010511</v>
      </c>
      <c r="W931" s="34" t="s">
        <v>3543</v>
      </c>
      <c r="X931" s="34" t="s">
        <v>3579</v>
      </c>
      <c r="Y931" s="34" t="s">
        <v>3542</v>
      </c>
      <c r="Z931" s="34">
        <v>5</v>
      </c>
      <c r="AA931" s="34" t="s">
        <v>4140</v>
      </c>
      <c r="AB931" s="34" t="s">
        <v>6085</v>
      </c>
      <c r="AC931" s="34" t="s">
        <v>4147</v>
      </c>
      <c r="AD931" s="34" t="s">
        <v>4147</v>
      </c>
      <c r="AE931" s="34" t="s">
        <v>3743</v>
      </c>
      <c r="AF931" s="34" t="s">
        <v>3743</v>
      </c>
      <c r="AG931" s="34" t="s">
        <v>4659</v>
      </c>
      <c r="AH931" s="34" t="s">
        <v>6086</v>
      </c>
      <c r="AI931" s="34" t="s">
        <v>5363</v>
      </c>
      <c r="AJ931" s="34" t="s">
        <v>4220</v>
      </c>
      <c r="AK931" s="34" t="s">
        <v>5003</v>
      </c>
      <c r="AL931" s="34" t="s">
        <v>4822</v>
      </c>
      <c r="AM931" s="40" t="s">
        <v>233</v>
      </c>
      <c r="AT931" s="44">
        <v>0</v>
      </c>
      <c r="AU931" s="44"/>
      <c r="AV931" s="46">
        <f>ROUND(Товары[[#This Row],[РРЦ финальная, руб.]]/$AU$1,2)</f>
        <v>0</v>
      </c>
      <c r="AW931" s="45" t="str">
        <f>IFERROR(Товары[[#This Row],[РРЦ, евро]]/Товары[[#This Row],[IRP, Eur]],"-")</f>
        <v>-</v>
      </c>
      <c r="AX931" s="42">
        <f>IFERROR(VLOOKUP(Товары[[#This Row],[SubGroup]],'Структура цен DIY'!$B:$C,2,FALSE),0)</f>
        <v>0.28000000000000003</v>
      </c>
      <c r="AY931" s="44">
        <v>0</v>
      </c>
    </row>
    <row r="932" spans="1:51" x14ac:dyDescent="0.25">
      <c r="A932" s="34">
        <v>930</v>
      </c>
      <c r="B932" s="34" t="s">
        <v>49</v>
      </c>
      <c r="C932" s="110" t="str">
        <f>IFERROR(INDEX(Структура_ассортимента[SuperCategory],MATCH(Товары[[#This Row],[SubGroup]],Структура_ассортимента[Subgroup],0)),"")</f>
        <v>W</v>
      </c>
      <c r="D93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3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32" s="110" t="str">
        <f>IFERROR(INDEX(Структура_ассортимента[Product group],MATCH(Товары[[#This Row],[SubGroup]],Структура_ассортимента[Subgroup],0)),"")</f>
        <v>WMA_C</v>
      </c>
      <c r="G932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32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32" s="36">
        <v>9022</v>
      </c>
      <c r="J932" s="36" t="str">
        <f>IFERROR(INDEX(Структура_ассортимента[Generic Name (long)],MATCH(Товары[[#This Row],[SubGroup]],Структура_ассортимента[Subgroup],0)),"")</f>
        <v>GARDEN SHOWER</v>
      </c>
      <c r="L932" s="36">
        <v>967307401</v>
      </c>
      <c r="M932" s="35" t="s">
        <v>2616</v>
      </c>
      <c r="Q932" s="34" t="s">
        <v>3549</v>
      </c>
      <c r="R932" s="34" t="s">
        <v>3540</v>
      </c>
      <c r="S932" s="47">
        <v>42005</v>
      </c>
      <c r="T932" s="47">
        <v>0</v>
      </c>
      <c r="U932" s="47">
        <v>0</v>
      </c>
      <c r="V932" s="34">
        <v>4078500010573</v>
      </c>
      <c r="W932" s="34" t="s">
        <v>3543</v>
      </c>
      <c r="X932" s="34" t="s">
        <v>3579</v>
      </c>
      <c r="Y932" s="34" t="s">
        <v>3542</v>
      </c>
      <c r="Z932" s="34">
        <v>15</v>
      </c>
      <c r="AA932" s="34" t="s">
        <v>6087</v>
      </c>
      <c r="AB932" s="34" t="s">
        <v>4179</v>
      </c>
      <c r="AC932" s="34" t="s">
        <v>6088</v>
      </c>
      <c r="AD932" s="34" t="s">
        <v>6066</v>
      </c>
      <c r="AE932" s="34" t="s">
        <v>3743</v>
      </c>
      <c r="AF932" s="34" t="s">
        <v>3743</v>
      </c>
      <c r="AG932" s="34" t="s">
        <v>4659</v>
      </c>
      <c r="AH932" s="34" t="s">
        <v>6086</v>
      </c>
      <c r="AI932" s="34" t="s">
        <v>5363</v>
      </c>
      <c r="AJ932" s="34" t="s">
        <v>4220</v>
      </c>
      <c r="AK932" s="34" t="s">
        <v>5003</v>
      </c>
      <c r="AL932" s="34" t="s">
        <v>4635</v>
      </c>
      <c r="AM932" s="40" t="s">
        <v>8095</v>
      </c>
      <c r="AT932" s="44">
        <v>0</v>
      </c>
      <c r="AU932" s="44"/>
      <c r="AV932" s="46">
        <f>ROUND(Товары[[#This Row],[РРЦ финальная, руб.]]/$AU$1,2)</f>
        <v>0</v>
      </c>
      <c r="AW932" s="45" t="str">
        <f>IFERROR(Товары[[#This Row],[РРЦ, евро]]/Товары[[#This Row],[IRP, Eur]],"-")</f>
        <v>-</v>
      </c>
      <c r="AX932" s="42">
        <f>IFERROR(VLOOKUP(Товары[[#This Row],[SubGroup]],'Структура цен DIY'!$B:$C,2,FALSE),0)</f>
        <v>0.28000000000000003</v>
      </c>
      <c r="AY932" s="44">
        <v>0</v>
      </c>
    </row>
    <row r="933" spans="1:51" x14ac:dyDescent="0.25">
      <c r="A933" s="34">
        <v>931</v>
      </c>
      <c r="B933" s="34" t="s">
        <v>49</v>
      </c>
      <c r="C933" s="110" t="str">
        <f>IFERROR(INDEX(Структура_ассортимента[SuperCategory],MATCH(Товары[[#This Row],[SubGroup]],Структура_ассортимента[Subgroup],0)),"")</f>
        <v>W</v>
      </c>
      <c r="D93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3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33" s="110" t="str">
        <f>IFERROR(INDEX(Структура_ассортимента[Product group],MATCH(Товары[[#This Row],[SubGroup]],Структура_ассортимента[Subgroup],0)),"")</f>
        <v>WMA_C</v>
      </c>
      <c r="G933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33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33" s="36">
        <v>9022</v>
      </c>
      <c r="J933" s="36" t="str">
        <f>IFERROR(INDEX(Структура_ассортимента[Generic Name (long)],MATCH(Товары[[#This Row],[SubGroup]],Структура_ассортимента[Subgroup],0)),"")</f>
        <v>GARDEN SHOWER</v>
      </c>
      <c r="L933" s="36">
        <v>967633701</v>
      </c>
      <c r="M933" s="35" t="s">
        <v>2617</v>
      </c>
      <c r="Q933" s="34" t="s">
        <v>3549</v>
      </c>
      <c r="R933" s="34" t="s">
        <v>3540</v>
      </c>
      <c r="S933" s="47">
        <v>42370</v>
      </c>
      <c r="T933" s="47">
        <v>0</v>
      </c>
      <c r="U933" s="47">
        <v>0</v>
      </c>
      <c r="V933" s="34">
        <v>4078500017916</v>
      </c>
      <c r="W933" s="34" t="s">
        <v>3543</v>
      </c>
      <c r="X933" s="34" t="s">
        <v>3579</v>
      </c>
      <c r="Y933" s="34" t="s">
        <v>3542</v>
      </c>
      <c r="Z933" s="34">
        <v>48</v>
      </c>
      <c r="AA933" s="34" t="s">
        <v>3552</v>
      </c>
      <c r="AB933" s="34" t="s">
        <v>4895</v>
      </c>
      <c r="AC933" s="34" t="s">
        <v>3552</v>
      </c>
      <c r="AD933" s="34" t="s">
        <v>4147</v>
      </c>
      <c r="AE933" s="34" t="s">
        <v>3743</v>
      </c>
      <c r="AF933" s="34" t="s">
        <v>3743</v>
      </c>
      <c r="AG933" s="34" t="s">
        <v>4659</v>
      </c>
      <c r="AH933" s="34" t="s">
        <v>6086</v>
      </c>
      <c r="AI933" s="34" t="s">
        <v>5363</v>
      </c>
      <c r="AJ933" s="34" t="s">
        <v>4220</v>
      </c>
      <c r="AK933" s="34" t="s">
        <v>5003</v>
      </c>
      <c r="AL933" s="34" t="s">
        <v>3868</v>
      </c>
      <c r="AM933" s="40" t="s">
        <v>8095</v>
      </c>
      <c r="AT933" s="44">
        <v>0</v>
      </c>
      <c r="AU933" s="44"/>
      <c r="AV933" s="46">
        <f>ROUND(Товары[[#This Row],[РРЦ финальная, руб.]]/$AU$1,2)</f>
        <v>0</v>
      </c>
      <c r="AW933" s="45" t="str">
        <f>IFERROR(Товары[[#This Row],[РРЦ, евро]]/Товары[[#This Row],[IRP, Eur]],"-")</f>
        <v>-</v>
      </c>
      <c r="AX933" s="42">
        <f>IFERROR(VLOOKUP(Товары[[#This Row],[SubGroup]],'Структура цен DIY'!$B:$C,2,FALSE),0)</f>
        <v>0.28000000000000003</v>
      </c>
      <c r="AY933" s="44">
        <v>0</v>
      </c>
    </row>
    <row r="934" spans="1:51" x14ac:dyDescent="0.25">
      <c r="A934" s="34">
        <v>932</v>
      </c>
      <c r="B934" s="34" t="s">
        <v>49</v>
      </c>
      <c r="C934" s="110" t="str">
        <f>IFERROR(INDEX(Структура_ассортимента[SuperCategory],MATCH(Товары[[#This Row],[SubGroup]],Структура_ассортимента[Subgroup],0)),"")</f>
        <v>W</v>
      </c>
      <c r="D93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3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34" s="110" t="str">
        <f>IFERROR(INDEX(Структура_ассортимента[Product group],MATCH(Товары[[#This Row],[SubGroup]],Структура_ассортимента[Subgroup],0)),"")</f>
        <v>WMA_C</v>
      </c>
      <c r="G934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34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34" s="36">
        <v>9022</v>
      </c>
      <c r="J934" s="36" t="str">
        <f>IFERROR(INDEX(Структура_ассортимента[Generic Name (long)],MATCH(Товары[[#This Row],[SubGroup]],Структура_ассортимента[Subgroup],0)),"")</f>
        <v>GARDEN SHOWER</v>
      </c>
      <c r="L934" s="36">
        <v>967706301</v>
      </c>
      <c r="M934" s="35" t="s">
        <v>2618</v>
      </c>
      <c r="Q934" s="34" t="s">
        <v>3549</v>
      </c>
      <c r="R934" s="34" t="s">
        <v>3540</v>
      </c>
      <c r="S934" s="47">
        <v>43126</v>
      </c>
      <c r="T934" s="47">
        <v>0</v>
      </c>
      <c r="U934" s="47">
        <v>0</v>
      </c>
      <c r="V934" s="34">
        <v>4078500035446</v>
      </c>
      <c r="W934" s="34" t="s">
        <v>3543</v>
      </c>
      <c r="X934" s="34" t="s">
        <v>3579</v>
      </c>
      <c r="Y934" s="34" t="s">
        <v>3542</v>
      </c>
      <c r="Z934" s="34">
        <v>48</v>
      </c>
      <c r="AA934" s="34">
        <v>0</v>
      </c>
      <c r="AB934" s="34" t="s">
        <v>4140</v>
      </c>
      <c r="AC934" s="34">
        <v>0</v>
      </c>
      <c r="AD934" s="34" t="s">
        <v>4147</v>
      </c>
      <c r="AE934" s="34" t="s">
        <v>3743</v>
      </c>
      <c r="AF934" s="34" t="s">
        <v>3743</v>
      </c>
      <c r="AG934" s="34" t="s">
        <v>4659</v>
      </c>
      <c r="AH934" s="34" t="s">
        <v>6086</v>
      </c>
      <c r="AI934" s="34" t="s">
        <v>5363</v>
      </c>
      <c r="AJ934" s="34" t="s">
        <v>4220</v>
      </c>
      <c r="AK934" s="34" t="s">
        <v>5003</v>
      </c>
      <c r="AL934" s="34" t="s">
        <v>3868</v>
      </c>
      <c r="AM934" s="40" t="s">
        <v>8095</v>
      </c>
      <c r="AT934" s="44">
        <v>0</v>
      </c>
      <c r="AU934" s="44"/>
      <c r="AV934" s="46">
        <f>ROUND(Товары[[#This Row],[РРЦ финальная, руб.]]/$AU$1,2)</f>
        <v>0</v>
      </c>
      <c r="AW934" s="45" t="str">
        <f>IFERROR(Товары[[#This Row],[РРЦ, евро]]/Товары[[#This Row],[IRP, Eur]],"-")</f>
        <v>-</v>
      </c>
      <c r="AX934" s="42">
        <f>IFERROR(VLOOKUP(Товары[[#This Row],[SubGroup]],'Структура цен DIY'!$B:$C,2,FALSE),0)</f>
        <v>0.28000000000000003</v>
      </c>
      <c r="AY934" s="44">
        <v>0</v>
      </c>
    </row>
    <row r="935" spans="1:51" x14ac:dyDescent="0.25">
      <c r="A935" s="34">
        <v>933</v>
      </c>
      <c r="B935" s="34" t="s">
        <v>49</v>
      </c>
      <c r="C935" s="110" t="str">
        <f>IFERROR(INDEX(Структура_ассортимента[SuperCategory],MATCH(Товары[[#This Row],[SubGroup]],Структура_ассортимента[Subgroup],0)),"")</f>
        <v>W</v>
      </c>
      <c r="D93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3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35" s="110" t="str">
        <f>IFERROR(INDEX(Структура_ассортимента[Product group],MATCH(Товары[[#This Row],[SubGroup]],Структура_ассортимента[Subgroup],0)),"")</f>
        <v>WMA_C</v>
      </c>
      <c r="G935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35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35" s="36">
        <v>9022</v>
      </c>
      <c r="J935" s="36" t="str">
        <f>IFERROR(INDEX(Структура_ассортимента[Generic Name (long)],MATCH(Товары[[#This Row],[SubGroup]],Структура_ассортимента[Subgroup],0)),"")</f>
        <v>GARDEN SHOWER</v>
      </c>
      <c r="L935" s="36">
        <v>967633601</v>
      </c>
      <c r="M935" s="35" t="s">
        <v>2619</v>
      </c>
      <c r="Q935" s="34" t="s">
        <v>3713</v>
      </c>
      <c r="R935" s="34" t="s">
        <v>3540</v>
      </c>
      <c r="S935" s="47">
        <v>42370</v>
      </c>
      <c r="T935" s="47">
        <v>43830</v>
      </c>
      <c r="U935" s="47">
        <v>43830</v>
      </c>
      <c r="V935" s="34">
        <v>4078500017930</v>
      </c>
      <c r="W935" s="34" t="s">
        <v>3543</v>
      </c>
      <c r="Y935" s="34" t="s">
        <v>3542</v>
      </c>
      <c r="Z935" s="34">
        <v>48</v>
      </c>
      <c r="AA935" s="34" t="s">
        <v>3552</v>
      </c>
      <c r="AB935" s="34" t="s">
        <v>4106</v>
      </c>
      <c r="AC935" s="34" t="s">
        <v>3552</v>
      </c>
      <c r="AD935" s="34" t="s">
        <v>4120</v>
      </c>
      <c r="AE935" s="34" t="s">
        <v>4160</v>
      </c>
      <c r="AF935" s="34" t="s">
        <v>3955</v>
      </c>
      <c r="AG935" s="34" t="s">
        <v>4942</v>
      </c>
      <c r="AH935" s="34" t="s">
        <v>6080</v>
      </c>
      <c r="AL935" s="34" t="s">
        <v>3868</v>
      </c>
      <c r="AM935" s="40" t="s">
        <v>8094</v>
      </c>
      <c r="AT935" s="44">
        <v>0</v>
      </c>
      <c r="AU935" s="44"/>
      <c r="AV935" s="46">
        <f>ROUND(Товары[[#This Row],[РРЦ финальная, руб.]]/$AU$1,2)</f>
        <v>0</v>
      </c>
      <c r="AW935" s="45" t="str">
        <f>IFERROR(Товары[[#This Row],[РРЦ, евро]]/Товары[[#This Row],[IRP, Eur]],"-")</f>
        <v>-</v>
      </c>
      <c r="AX935" s="42">
        <f>IFERROR(VLOOKUP(Товары[[#This Row],[SubGroup]],'Структура цен DIY'!$B:$C,2,FALSE),0)</f>
        <v>0.28000000000000003</v>
      </c>
      <c r="AY935" s="44">
        <v>0</v>
      </c>
    </row>
    <row r="936" spans="1:51" x14ac:dyDescent="0.25">
      <c r="A936" s="34">
        <v>934</v>
      </c>
      <c r="B936" s="34" t="s">
        <v>49</v>
      </c>
      <c r="C936" s="110" t="str">
        <f>IFERROR(INDEX(Структура_ассортимента[SuperCategory],MATCH(Товары[[#This Row],[SubGroup]],Структура_ассортимента[Subgroup],0)),"")</f>
        <v>W</v>
      </c>
      <c r="D93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3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36" s="110" t="str">
        <f>IFERROR(INDEX(Структура_ассортимента[Product group],MATCH(Товары[[#This Row],[SubGroup]],Структура_ассортимента[Subgroup],0)),"")</f>
        <v>WMA_C</v>
      </c>
      <c r="G936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36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36" s="36">
        <v>9022</v>
      </c>
      <c r="J936" s="36" t="str">
        <f>IFERROR(INDEX(Структура_ассортимента[Generic Name (long)],MATCH(Товары[[#This Row],[SubGroup]],Структура_ассортимента[Subgroup],0)),"")</f>
        <v>GARDEN SHOWER</v>
      </c>
      <c r="L936" s="36">
        <v>967099901</v>
      </c>
      <c r="M936" s="35" t="s">
        <v>2620</v>
      </c>
      <c r="O936" s="35" t="s">
        <v>6089</v>
      </c>
      <c r="P936" s="37" t="s">
        <v>6090</v>
      </c>
      <c r="Q936" s="34" t="s">
        <v>3549</v>
      </c>
      <c r="R936" s="34" t="s">
        <v>3540</v>
      </c>
      <c r="S936" s="47">
        <v>42736</v>
      </c>
      <c r="T936" s="47">
        <v>0</v>
      </c>
      <c r="U936" s="47">
        <v>0</v>
      </c>
      <c r="V936" s="34">
        <v>4078500024143</v>
      </c>
      <c r="W936" s="34" t="s">
        <v>3543</v>
      </c>
      <c r="X936" s="34" t="s">
        <v>3579</v>
      </c>
      <c r="Y936" s="34" t="s">
        <v>3542</v>
      </c>
      <c r="Z936" s="34">
        <v>54</v>
      </c>
      <c r="AA936" s="34">
        <v>0</v>
      </c>
      <c r="AB936" s="34" t="s">
        <v>3691</v>
      </c>
      <c r="AC936" s="34">
        <v>0</v>
      </c>
      <c r="AD936" s="34" t="s">
        <v>4854</v>
      </c>
      <c r="AE936" s="34" t="s">
        <v>3825</v>
      </c>
      <c r="AF936" s="34" t="s">
        <v>3826</v>
      </c>
      <c r="AG936" s="34" t="s">
        <v>4351</v>
      </c>
      <c r="AH936" s="34" t="s">
        <v>6091</v>
      </c>
      <c r="AL936" s="34" t="s">
        <v>6092</v>
      </c>
      <c r="AM936" s="40" t="s">
        <v>9</v>
      </c>
      <c r="AP936" s="34">
        <v>0</v>
      </c>
      <c r="AQ936" s="34">
        <v>1089</v>
      </c>
      <c r="AR936" s="34">
        <v>654</v>
      </c>
      <c r="AT936" s="44">
        <v>84300</v>
      </c>
      <c r="AU936" s="44"/>
      <c r="AV936" s="46">
        <f>ROUND(Товары[[#This Row],[РРЦ финальная, руб.]]/$AU$1,2)</f>
        <v>0</v>
      </c>
      <c r="AW936" s="45" t="str">
        <f>IFERROR(Товары[[#This Row],[РРЦ, евро]]/Товары[[#This Row],[IRP, Eur]],"-")</f>
        <v>-</v>
      </c>
      <c r="AX936" s="42">
        <f>IFERROR(VLOOKUP(Товары[[#This Row],[SubGroup]],'Структура цен DIY'!$B:$C,2,FALSE),0)</f>
        <v>0.28000000000000003</v>
      </c>
      <c r="AY936" s="44">
        <v>0</v>
      </c>
    </row>
    <row r="937" spans="1:51" x14ac:dyDescent="0.25">
      <c r="A937" s="34">
        <v>935</v>
      </c>
      <c r="B937" s="34" t="s">
        <v>49</v>
      </c>
      <c r="C937" s="110" t="str">
        <f>IFERROR(INDEX(Структура_ассортимента[SuperCategory],MATCH(Товары[[#This Row],[SubGroup]],Структура_ассортимента[Subgroup],0)),"")</f>
        <v>W</v>
      </c>
      <c r="D93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3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37" s="110" t="str">
        <f>IFERROR(INDEX(Структура_ассортимента[Product group],MATCH(Товары[[#This Row],[SubGroup]],Структура_ассортимента[Subgroup],0)),"")</f>
        <v>WMA_C</v>
      </c>
      <c r="G937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37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37" s="36">
        <v>9022</v>
      </c>
      <c r="J937" s="36" t="str">
        <f>IFERROR(INDEX(Структура_ассортимента[Generic Name (long)],MATCH(Товары[[#This Row],[SubGroup]],Структура_ассортимента[Subgroup],0)),"")</f>
        <v>GARDEN SHOWER</v>
      </c>
      <c r="L937" s="36">
        <v>967706201</v>
      </c>
      <c r="M937" s="35" t="s">
        <v>2621</v>
      </c>
      <c r="O937" s="35" t="s">
        <v>6093</v>
      </c>
      <c r="P937" s="37" t="s">
        <v>6094</v>
      </c>
      <c r="Q937" s="34" t="s">
        <v>3549</v>
      </c>
      <c r="R937" s="34" t="s">
        <v>3540</v>
      </c>
      <c r="S937" s="47">
        <v>43101</v>
      </c>
      <c r="T937" s="47">
        <v>0</v>
      </c>
      <c r="U937" s="47">
        <v>0</v>
      </c>
      <c r="V937" s="34">
        <v>4078500035743</v>
      </c>
      <c r="W937" s="34" t="s">
        <v>3543</v>
      </c>
      <c r="X937" s="34" t="s">
        <v>3579</v>
      </c>
      <c r="Y937" s="34" t="s">
        <v>3542</v>
      </c>
      <c r="Z937" s="34">
        <v>48</v>
      </c>
      <c r="AA937" s="34">
        <v>0</v>
      </c>
      <c r="AB937" s="34" t="s">
        <v>4140</v>
      </c>
      <c r="AC937" s="34">
        <v>0</v>
      </c>
      <c r="AD937" s="34" t="s">
        <v>4147</v>
      </c>
      <c r="AE937" s="34" t="s">
        <v>3743</v>
      </c>
      <c r="AF937" s="34" t="s">
        <v>3743</v>
      </c>
      <c r="AG937" s="34" t="s">
        <v>4659</v>
      </c>
      <c r="AH937" s="34" t="s">
        <v>6086</v>
      </c>
      <c r="AI937" s="34" t="s">
        <v>3920</v>
      </c>
      <c r="AJ937" s="34" t="s">
        <v>4728</v>
      </c>
      <c r="AK937" s="34" t="s">
        <v>4802</v>
      </c>
      <c r="AL937" s="34" t="s">
        <v>3868</v>
      </c>
      <c r="AM937" s="40" t="s">
        <v>9</v>
      </c>
      <c r="AP937" s="34">
        <v>0</v>
      </c>
      <c r="AQ937" s="34">
        <v>1089</v>
      </c>
      <c r="AR937" s="34">
        <v>653</v>
      </c>
      <c r="AT937" s="44">
        <v>84300</v>
      </c>
      <c r="AU937" s="44"/>
      <c r="AV937" s="46">
        <f>ROUND(Товары[[#This Row],[РРЦ финальная, руб.]]/$AU$1,2)</f>
        <v>0</v>
      </c>
      <c r="AW937" s="45" t="str">
        <f>IFERROR(Товары[[#This Row],[РРЦ, евро]]/Товары[[#This Row],[IRP, Eur]],"-")</f>
        <v>-</v>
      </c>
      <c r="AX937" s="42">
        <f>IFERROR(VLOOKUP(Товары[[#This Row],[SubGroup]],'Структура цен DIY'!$B:$C,2,FALSE),0)</f>
        <v>0.28000000000000003</v>
      </c>
      <c r="AY937" s="44">
        <v>0</v>
      </c>
    </row>
    <row r="938" spans="1:51" x14ac:dyDescent="0.25">
      <c r="A938" s="34">
        <v>936</v>
      </c>
      <c r="B938" s="34" t="s">
        <v>49</v>
      </c>
      <c r="C938" s="110" t="str">
        <f>IFERROR(INDEX(Структура_ассортимента[SuperCategory],MATCH(Товары[[#This Row],[SubGroup]],Структура_ассортимента[Subgroup],0)),"")</f>
        <v>W</v>
      </c>
      <c r="D93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3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38" s="110" t="str">
        <f>IFERROR(INDEX(Структура_ассортимента[Product group],MATCH(Товары[[#This Row],[SubGroup]],Структура_ассортимента[Subgroup],0)),"")</f>
        <v>WMA_C</v>
      </c>
      <c r="G938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38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38" s="36">
        <v>9022</v>
      </c>
      <c r="J938" s="36" t="str">
        <f>IFERROR(INDEX(Структура_ассортимента[Generic Name (long)],MATCH(Товары[[#This Row],[SubGroup]],Структура_ассортимента[Subgroup],0)),"")</f>
        <v>GARDEN SHOWER</v>
      </c>
      <c r="L938" s="36">
        <v>967307801</v>
      </c>
      <c r="M938" s="35" t="s">
        <v>2622</v>
      </c>
      <c r="Q938" s="34" t="s">
        <v>3549</v>
      </c>
      <c r="R938" s="34" t="s">
        <v>3540</v>
      </c>
      <c r="S938" s="47">
        <v>42005</v>
      </c>
      <c r="T938" s="47">
        <v>0</v>
      </c>
      <c r="U938" s="47">
        <v>0</v>
      </c>
      <c r="V938" s="34">
        <v>4078500010368</v>
      </c>
      <c r="W938" s="34" t="s">
        <v>3543</v>
      </c>
      <c r="X938" s="34" t="s">
        <v>3704</v>
      </c>
      <c r="Y938" s="34" t="s">
        <v>3542</v>
      </c>
      <c r="Z938" s="34">
        <v>6</v>
      </c>
      <c r="AA938" s="34" t="s">
        <v>4136</v>
      </c>
      <c r="AB938" s="34" t="s">
        <v>4136</v>
      </c>
      <c r="AC938" s="34" t="s">
        <v>4180</v>
      </c>
      <c r="AD938" s="34" t="s">
        <v>4180</v>
      </c>
      <c r="AE938" s="34" t="s">
        <v>6095</v>
      </c>
      <c r="AF938" s="34" t="s">
        <v>3968</v>
      </c>
      <c r="AG938" s="34" t="s">
        <v>4942</v>
      </c>
      <c r="AH938" s="34" t="s">
        <v>6096</v>
      </c>
      <c r="AI938" s="34" t="s">
        <v>6097</v>
      </c>
      <c r="AJ938" s="34" t="s">
        <v>3693</v>
      </c>
      <c r="AK938" s="34" t="s">
        <v>4802</v>
      </c>
      <c r="AL938" s="34" t="s">
        <v>3981</v>
      </c>
      <c r="AM938" s="40" t="s">
        <v>8095</v>
      </c>
      <c r="AT938" s="44">
        <v>0</v>
      </c>
      <c r="AU938" s="44"/>
      <c r="AV938" s="46">
        <f>ROUND(Товары[[#This Row],[РРЦ финальная, руб.]]/$AU$1,2)</f>
        <v>0</v>
      </c>
      <c r="AW938" s="45" t="str">
        <f>IFERROR(Товары[[#This Row],[РРЦ, евро]]/Товары[[#This Row],[IRP, Eur]],"-")</f>
        <v>-</v>
      </c>
      <c r="AX938" s="42">
        <f>IFERROR(VLOOKUP(Товары[[#This Row],[SubGroup]],'Структура цен DIY'!$B:$C,2,FALSE),0)</f>
        <v>0.28000000000000003</v>
      </c>
      <c r="AY938" s="44">
        <v>0</v>
      </c>
    </row>
    <row r="939" spans="1:51" x14ac:dyDescent="0.25">
      <c r="A939" s="34">
        <v>937</v>
      </c>
      <c r="B939" s="34" t="s">
        <v>49</v>
      </c>
      <c r="C939" s="110" t="str">
        <f>IFERROR(INDEX(Структура_ассортимента[SuperCategory],MATCH(Товары[[#This Row],[SubGroup]],Структура_ассортимента[Subgroup],0)),"")</f>
        <v>W</v>
      </c>
      <c r="D93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3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39" s="110" t="str">
        <f>IFERROR(INDEX(Структура_ассортимента[Product group],MATCH(Товары[[#This Row],[SubGroup]],Структура_ассортимента[Subgroup],0)),"")</f>
        <v>WMA_C</v>
      </c>
      <c r="G939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39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39" s="36">
        <v>9022</v>
      </c>
      <c r="J939" s="36" t="str">
        <f>IFERROR(INDEX(Структура_ассортимента[Generic Name (long)],MATCH(Товары[[#This Row],[SubGroup]],Структура_ассортимента[Subgroup],0)),"")</f>
        <v>GARDEN SHOWER</v>
      </c>
      <c r="L939" s="36">
        <v>967305601</v>
      </c>
      <c r="M939" s="35" t="s">
        <v>2623</v>
      </c>
      <c r="O939" s="35" t="s">
        <v>6098</v>
      </c>
      <c r="P939" s="37" t="s">
        <v>6099</v>
      </c>
      <c r="Q939" s="34" t="s">
        <v>3549</v>
      </c>
      <c r="R939" s="34" t="s">
        <v>3540</v>
      </c>
      <c r="S939" s="47">
        <v>42005</v>
      </c>
      <c r="T939" s="47">
        <v>0</v>
      </c>
      <c r="U939" s="47">
        <v>0</v>
      </c>
      <c r="V939" s="34">
        <v>4078500010245</v>
      </c>
      <c r="W939" s="34" t="s">
        <v>3543</v>
      </c>
      <c r="X939" s="34" t="s">
        <v>3704</v>
      </c>
      <c r="Y939" s="34" t="s">
        <v>3542</v>
      </c>
      <c r="Z939" s="34">
        <v>6</v>
      </c>
      <c r="AA939" s="34" t="s">
        <v>6100</v>
      </c>
      <c r="AB939" s="34" t="s">
        <v>6066</v>
      </c>
      <c r="AC939" s="34" t="s">
        <v>6101</v>
      </c>
      <c r="AD939" s="34" t="s">
        <v>4987</v>
      </c>
      <c r="AE939" s="34" t="s">
        <v>5348</v>
      </c>
      <c r="AF939" s="34" t="s">
        <v>3818</v>
      </c>
      <c r="AG939" s="34" t="s">
        <v>4324</v>
      </c>
      <c r="AH939" s="34" t="s">
        <v>4716</v>
      </c>
      <c r="AI939" s="34" t="s">
        <v>5244</v>
      </c>
      <c r="AJ939" s="34" t="s">
        <v>3944</v>
      </c>
      <c r="AK939" s="34" t="s">
        <v>4802</v>
      </c>
      <c r="AL939" s="34" t="s">
        <v>3562</v>
      </c>
      <c r="AM939" s="40" t="s">
        <v>9</v>
      </c>
      <c r="AP939" s="34">
        <v>0</v>
      </c>
      <c r="AQ939" s="34">
        <v>1859</v>
      </c>
      <c r="AR939" s="34">
        <v>1115</v>
      </c>
      <c r="AT939" s="44">
        <v>144000</v>
      </c>
      <c r="AU939" s="44"/>
      <c r="AV939" s="46">
        <f>ROUND(Товары[[#This Row],[РРЦ финальная, руб.]]/$AU$1,2)</f>
        <v>0</v>
      </c>
      <c r="AW939" s="45" t="str">
        <f>IFERROR(Товары[[#This Row],[РРЦ, евро]]/Товары[[#This Row],[IRP, Eur]],"-")</f>
        <v>-</v>
      </c>
      <c r="AX939" s="42">
        <f>IFERROR(VLOOKUP(Товары[[#This Row],[SubGroup]],'Структура цен DIY'!$B:$C,2,FALSE),0)</f>
        <v>0.28000000000000003</v>
      </c>
      <c r="AY939" s="44">
        <v>0</v>
      </c>
    </row>
    <row r="940" spans="1:51" x14ac:dyDescent="0.25">
      <c r="A940" s="34">
        <v>938</v>
      </c>
      <c r="B940" s="34" t="s">
        <v>49</v>
      </c>
      <c r="C940" s="110" t="str">
        <f>IFERROR(INDEX(Структура_ассортимента[SuperCategory],MATCH(Товары[[#This Row],[SubGroup]],Структура_ассортимента[Subgroup],0)),"")</f>
        <v>W</v>
      </c>
      <c r="D94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4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40" s="110" t="str">
        <f>IFERROR(INDEX(Структура_ассортимента[Product group],MATCH(Товары[[#This Row],[SubGroup]],Структура_ассортимента[Subgroup],0)),"")</f>
        <v>WMA_C</v>
      </c>
      <c r="G940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40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40" s="36">
        <v>9022</v>
      </c>
      <c r="J940" s="36" t="str">
        <f>IFERROR(INDEX(Структура_ассортимента[Generic Name (long)],MATCH(Товары[[#This Row],[SubGroup]],Структура_ассортимента[Subgroup],0)),"")</f>
        <v>GARDEN SHOWER</v>
      </c>
      <c r="L940" s="36">
        <v>967320901</v>
      </c>
      <c r="M940" s="35" t="s">
        <v>2624</v>
      </c>
      <c r="Q940" s="34" t="s">
        <v>3549</v>
      </c>
      <c r="R940" s="34" t="s">
        <v>3540</v>
      </c>
      <c r="S940" s="47">
        <v>42005</v>
      </c>
      <c r="T940" s="47">
        <v>0</v>
      </c>
      <c r="U940" s="47">
        <v>0</v>
      </c>
      <c r="V940" s="34">
        <v>4078500012805</v>
      </c>
      <c r="W940" s="34" t="s">
        <v>3543</v>
      </c>
      <c r="X940" s="34" t="s">
        <v>3704</v>
      </c>
      <c r="Y940" s="34" t="s">
        <v>3542</v>
      </c>
      <c r="Z940" s="34">
        <v>24</v>
      </c>
      <c r="AA940" s="34" t="s">
        <v>6102</v>
      </c>
      <c r="AB940" s="34" t="s">
        <v>6066</v>
      </c>
      <c r="AC940" s="34" t="s">
        <v>6101</v>
      </c>
      <c r="AD940" s="34" t="s">
        <v>4987</v>
      </c>
      <c r="AE940" s="34" t="s">
        <v>5348</v>
      </c>
      <c r="AF940" s="34" t="s">
        <v>3818</v>
      </c>
      <c r="AG940" s="34" t="s">
        <v>4324</v>
      </c>
      <c r="AH940" s="34" t="s">
        <v>4716</v>
      </c>
      <c r="AI940" s="34" t="s">
        <v>5244</v>
      </c>
      <c r="AJ940" s="34" t="s">
        <v>3944</v>
      </c>
      <c r="AK940" s="34" t="s">
        <v>4802</v>
      </c>
      <c r="AL940" s="34" t="s">
        <v>3981</v>
      </c>
      <c r="AM940" s="40" t="s">
        <v>8095</v>
      </c>
      <c r="AT940" s="44">
        <v>0</v>
      </c>
      <c r="AU940" s="44"/>
      <c r="AV940" s="46">
        <f>ROUND(Товары[[#This Row],[РРЦ финальная, руб.]]/$AU$1,2)</f>
        <v>0</v>
      </c>
      <c r="AW940" s="45" t="str">
        <f>IFERROR(Товары[[#This Row],[РРЦ, евро]]/Товары[[#This Row],[IRP, Eur]],"-")</f>
        <v>-</v>
      </c>
      <c r="AX940" s="42">
        <f>IFERROR(VLOOKUP(Товары[[#This Row],[SubGroup]],'Структура цен DIY'!$B:$C,2,FALSE),0)</f>
        <v>0.28000000000000003</v>
      </c>
      <c r="AY940" s="44">
        <v>0</v>
      </c>
    </row>
    <row r="941" spans="1:51" x14ac:dyDescent="0.25">
      <c r="A941" s="34">
        <v>939</v>
      </c>
      <c r="B941" s="34" t="s">
        <v>49</v>
      </c>
      <c r="C941" s="110" t="str">
        <f>IFERROR(INDEX(Структура_ассортимента[SuperCategory],MATCH(Товары[[#This Row],[SubGroup]],Структура_ассортимента[Subgroup],0)),"")</f>
        <v>W</v>
      </c>
      <c r="D94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4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41" s="110" t="str">
        <f>IFERROR(INDEX(Структура_ассортимента[Product group],MATCH(Товары[[#This Row],[SubGroup]],Структура_ассортимента[Subgroup],0)),"")</f>
        <v>WMA_C</v>
      </c>
      <c r="G941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41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41" s="36">
        <v>9022</v>
      </c>
      <c r="J941" s="36" t="str">
        <f>IFERROR(INDEX(Структура_ассортимента[Generic Name (long)],MATCH(Товары[[#This Row],[SubGroup]],Структура_ассортимента[Subgroup],0)),"")</f>
        <v>GARDEN SHOWER</v>
      </c>
      <c r="L941" s="36">
        <v>967706601</v>
      </c>
      <c r="M941" s="35" t="s">
        <v>2625</v>
      </c>
      <c r="O941" s="35" t="s">
        <v>6103</v>
      </c>
      <c r="P941" s="37" t="s">
        <v>6104</v>
      </c>
      <c r="Q941" s="34" t="s">
        <v>3549</v>
      </c>
      <c r="R941" s="34" t="s">
        <v>3540</v>
      </c>
      <c r="S941" s="47">
        <v>43101</v>
      </c>
      <c r="T941" s="47">
        <v>0</v>
      </c>
      <c r="U941" s="47">
        <v>0</v>
      </c>
      <c r="V941" s="34">
        <v>4078500035415</v>
      </c>
      <c r="W941" s="34" t="s">
        <v>3543</v>
      </c>
      <c r="X941" s="34" t="s">
        <v>3704</v>
      </c>
      <c r="Y941" s="34" t="s">
        <v>3542</v>
      </c>
      <c r="Z941" s="34">
        <v>24</v>
      </c>
      <c r="AA941" s="34">
        <v>0</v>
      </c>
      <c r="AB941" s="34" t="s">
        <v>6066</v>
      </c>
      <c r="AC941" s="34">
        <v>0</v>
      </c>
      <c r="AD941" s="34" t="s">
        <v>4987</v>
      </c>
      <c r="AE941" s="34" t="s">
        <v>5348</v>
      </c>
      <c r="AF941" s="34" t="s">
        <v>3818</v>
      </c>
      <c r="AG941" s="34" t="s">
        <v>4324</v>
      </c>
      <c r="AH941" s="34" t="s">
        <v>4716</v>
      </c>
      <c r="AI941" s="34" t="s">
        <v>5244</v>
      </c>
      <c r="AJ941" s="34" t="s">
        <v>3944</v>
      </c>
      <c r="AK941" s="34" t="s">
        <v>4802</v>
      </c>
      <c r="AL941" s="34" t="s">
        <v>3981</v>
      </c>
      <c r="AM941" s="40" t="s">
        <v>9</v>
      </c>
      <c r="AP941" s="34">
        <v>0</v>
      </c>
      <c r="AQ941" s="34">
        <v>1859</v>
      </c>
      <c r="AR941" s="34">
        <v>1115</v>
      </c>
      <c r="AT941" s="44">
        <v>144000</v>
      </c>
      <c r="AU941" s="44"/>
      <c r="AV941" s="46">
        <f>ROUND(Товары[[#This Row],[РРЦ финальная, руб.]]/$AU$1,2)</f>
        <v>0</v>
      </c>
      <c r="AW941" s="45" t="str">
        <f>IFERROR(Товары[[#This Row],[РРЦ, евро]]/Товары[[#This Row],[IRP, Eur]],"-")</f>
        <v>-</v>
      </c>
      <c r="AX941" s="42">
        <f>IFERROR(VLOOKUP(Товары[[#This Row],[SubGroup]],'Структура цен DIY'!$B:$C,2,FALSE),0)</f>
        <v>0.28000000000000003</v>
      </c>
      <c r="AY941" s="44">
        <v>0</v>
      </c>
    </row>
    <row r="942" spans="1:51" x14ac:dyDescent="0.25">
      <c r="A942" s="34">
        <v>940</v>
      </c>
      <c r="B942" s="34" t="s">
        <v>49</v>
      </c>
      <c r="C942" s="110" t="str">
        <f>IFERROR(INDEX(Структура_ассортимента[SuperCategory],MATCH(Товары[[#This Row],[SubGroup]],Структура_ассортимента[Subgroup],0)),"")</f>
        <v>W</v>
      </c>
      <c r="D94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4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42" s="110" t="str">
        <f>IFERROR(INDEX(Структура_ассортимента[Product group],MATCH(Товары[[#This Row],[SubGroup]],Структура_ассортимента[Subgroup],0)),"")</f>
        <v>WMA_C</v>
      </c>
      <c r="G942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42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42" s="36">
        <v>9022</v>
      </c>
      <c r="J942" s="36" t="str">
        <f>IFERROR(INDEX(Структура_ассортимента[Generic Name (long)],MATCH(Товары[[#This Row],[SubGroup]],Структура_ассортимента[Subgroup],0)),"")</f>
        <v>GARDEN SHOWER</v>
      </c>
      <c r="L942" s="36">
        <v>900880801</v>
      </c>
      <c r="M942" s="35" t="s">
        <v>2626</v>
      </c>
      <c r="O942" s="35" t="s">
        <v>6105</v>
      </c>
      <c r="P942" s="37" t="s">
        <v>6106</v>
      </c>
      <c r="Q942" s="34" t="s">
        <v>3549</v>
      </c>
      <c r="R942" s="34" t="s">
        <v>3540</v>
      </c>
      <c r="S942" s="47">
        <v>37530</v>
      </c>
      <c r="T942" s="47">
        <v>0</v>
      </c>
      <c r="U942" s="47">
        <v>0</v>
      </c>
      <c r="V942" s="34">
        <v>4078500096102</v>
      </c>
      <c r="W942" s="34" t="s">
        <v>3543</v>
      </c>
      <c r="X942" s="34" t="s">
        <v>3704</v>
      </c>
      <c r="Y942" s="34" t="s">
        <v>3542</v>
      </c>
      <c r="Z942" s="34">
        <v>2</v>
      </c>
      <c r="AA942" s="34" t="s">
        <v>5179</v>
      </c>
      <c r="AB942" s="34" t="s">
        <v>5179</v>
      </c>
      <c r="AC942" s="34" t="s">
        <v>4715</v>
      </c>
      <c r="AD942" s="34" t="s">
        <v>4715</v>
      </c>
      <c r="AE942" s="34" t="s">
        <v>5072</v>
      </c>
      <c r="AF942" s="34" t="s">
        <v>3942</v>
      </c>
      <c r="AG942" s="34" t="s">
        <v>3754</v>
      </c>
      <c r="AH942" s="34" t="s">
        <v>6107</v>
      </c>
      <c r="AL942" s="34">
        <v>72</v>
      </c>
      <c r="AM942" s="40" t="s">
        <v>233</v>
      </c>
      <c r="AT942" s="44">
        <v>0</v>
      </c>
      <c r="AU942" s="44"/>
      <c r="AV942" s="46">
        <f>ROUND(Товары[[#This Row],[РРЦ финальная, руб.]]/$AU$1,2)</f>
        <v>0</v>
      </c>
      <c r="AW942" s="45" t="str">
        <f>IFERROR(Товары[[#This Row],[РРЦ, евро]]/Товары[[#This Row],[IRP, Eur]],"-")</f>
        <v>-</v>
      </c>
      <c r="AX942" s="42">
        <f>IFERROR(VLOOKUP(Товары[[#This Row],[SubGroup]],'Структура цен DIY'!$B:$C,2,FALSE),0)</f>
        <v>0.28000000000000003</v>
      </c>
      <c r="AY942" s="44">
        <v>0</v>
      </c>
    </row>
    <row r="943" spans="1:51" x14ac:dyDescent="0.25">
      <c r="A943" s="34">
        <v>941</v>
      </c>
      <c r="B943" s="34" t="s">
        <v>49</v>
      </c>
      <c r="C943" s="110" t="str">
        <f>IFERROR(INDEX(Структура_ассортимента[SuperCategory],MATCH(Товары[[#This Row],[SubGroup]],Структура_ассортимента[Subgroup],0)),"")</f>
        <v>W</v>
      </c>
      <c r="D94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4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43" s="110" t="str">
        <f>IFERROR(INDEX(Структура_ассортимента[Product group],MATCH(Товары[[#This Row],[SubGroup]],Структура_ассортимента[Subgroup],0)),"")</f>
        <v>WMA_C</v>
      </c>
      <c r="G943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43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43" s="36">
        <v>9022</v>
      </c>
      <c r="J943" s="36" t="str">
        <f>IFERROR(INDEX(Структура_ассортимента[Generic Name (long)],MATCH(Товары[[#This Row],[SubGroup]],Структура_ассортимента[Subgroup],0)),"")</f>
        <v>GARDEN SHOWER</v>
      </c>
      <c r="L943" s="36">
        <v>900880501</v>
      </c>
      <c r="M943" s="35" t="s">
        <v>2627</v>
      </c>
      <c r="Q943" s="34" t="s">
        <v>3549</v>
      </c>
      <c r="R943" s="34" t="s">
        <v>3540</v>
      </c>
      <c r="S943" s="47">
        <v>37530</v>
      </c>
      <c r="T943" s="47">
        <v>0</v>
      </c>
      <c r="U943" s="47">
        <v>0</v>
      </c>
      <c r="V943" s="34">
        <v>4078500095907</v>
      </c>
      <c r="W943" s="34" t="s">
        <v>3543</v>
      </c>
      <c r="X943" s="34" t="s">
        <v>3704</v>
      </c>
      <c r="Y943" s="34" t="s">
        <v>3542</v>
      </c>
      <c r="Z943" s="34">
        <v>2</v>
      </c>
      <c r="AA943" s="34" t="s">
        <v>6108</v>
      </c>
      <c r="AB943" s="34" t="s">
        <v>6108</v>
      </c>
      <c r="AC943" s="34" t="s">
        <v>4708</v>
      </c>
      <c r="AD943" s="34" t="s">
        <v>4708</v>
      </c>
      <c r="AE943" s="34" t="s">
        <v>5072</v>
      </c>
      <c r="AF943" s="34" t="s">
        <v>3942</v>
      </c>
      <c r="AG943" s="34" t="s">
        <v>3754</v>
      </c>
      <c r="AH943" s="34" t="s">
        <v>6107</v>
      </c>
      <c r="AL943" s="34">
        <v>76</v>
      </c>
      <c r="AM943" s="40" t="s">
        <v>8095</v>
      </c>
      <c r="AT943" s="44">
        <v>0</v>
      </c>
      <c r="AU943" s="44"/>
      <c r="AV943" s="46">
        <f>ROUND(Товары[[#This Row],[РРЦ финальная, руб.]]/$AU$1,2)</f>
        <v>0</v>
      </c>
      <c r="AW943" s="45" t="str">
        <f>IFERROR(Товары[[#This Row],[РРЦ, евро]]/Товары[[#This Row],[IRP, Eur]],"-")</f>
        <v>-</v>
      </c>
      <c r="AX943" s="42">
        <f>IFERROR(VLOOKUP(Товары[[#This Row],[SubGroup]],'Структура цен DIY'!$B:$C,2,FALSE),0)</f>
        <v>0.28000000000000003</v>
      </c>
      <c r="AY943" s="44">
        <v>0</v>
      </c>
    </row>
    <row r="944" spans="1:51" x14ac:dyDescent="0.25">
      <c r="A944" s="34">
        <v>942</v>
      </c>
      <c r="B944" s="34" t="s">
        <v>49</v>
      </c>
      <c r="C944" s="110" t="str">
        <f>IFERROR(INDEX(Структура_ассортимента[SuperCategory],MATCH(Товары[[#This Row],[SubGroup]],Структура_ассортимента[Subgroup],0)),"")</f>
        <v>W</v>
      </c>
      <c r="D94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4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44" s="110" t="str">
        <f>IFERROR(INDEX(Структура_ассортимента[Product group],MATCH(Товары[[#This Row],[SubGroup]],Структура_ассортимента[Subgroup],0)),"")</f>
        <v>WMA_C</v>
      </c>
      <c r="G944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44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44" s="36">
        <v>9022</v>
      </c>
      <c r="J944" s="36" t="str">
        <f>IFERROR(INDEX(Структура_ассортимента[Generic Name (long)],MATCH(Товары[[#This Row],[SubGroup]],Структура_ассортимента[Subgroup],0)),"")</f>
        <v>GARDEN SHOWER</v>
      </c>
      <c r="L944" s="36">
        <v>900880601</v>
      </c>
      <c r="M944" s="35" t="s">
        <v>2628</v>
      </c>
      <c r="Q944" s="34" t="s">
        <v>3549</v>
      </c>
      <c r="R944" s="34" t="s">
        <v>3540</v>
      </c>
      <c r="S944" s="47">
        <v>37530</v>
      </c>
      <c r="T944" s="47">
        <v>0</v>
      </c>
      <c r="U944" s="47">
        <v>0</v>
      </c>
      <c r="V944" s="34">
        <v>4078500096003</v>
      </c>
      <c r="W944" s="34" t="s">
        <v>3543</v>
      </c>
      <c r="X944" s="34" t="s">
        <v>3704</v>
      </c>
      <c r="Y944" s="34" t="s">
        <v>3542</v>
      </c>
      <c r="Z944" s="34">
        <v>2</v>
      </c>
      <c r="AA944" s="34" t="s">
        <v>6109</v>
      </c>
      <c r="AB944" s="34" t="s">
        <v>6109</v>
      </c>
      <c r="AC944" s="34" t="s">
        <v>6110</v>
      </c>
      <c r="AD944" s="34" t="s">
        <v>6110</v>
      </c>
      <c r="AE944" s="34" t="s">
        <v>6111</v>
      </c>
      <c r="AF944" s="34" t="s">
        <v>3711</v>
      </c>
      <c r="AG944" s="34" t="s">
        <v>4257</v>
      </c>
      <c r="AH944" s="34" t="s">
        <v>6112</v>
      </c>
      <c r="AL944" s="34" t="s">
        <v>6113</v>
      </c>
      <c r="AM944" s="40" t="s">
        <v>8095</v>
      </c>
      <c r="AT944" s="44">
        <v>0</v>
      </c>
      <c r="AU944" s="44"/>
      <c r="AV944" s="46">
        <f>ROUND(Товары[[#This Row],[РРЦ финальная, руб.]]/$AU$1,2)</f>
        <v>0</v>
      </c>
      <c r="AW944" s="45" t="str">
        <f>IFERROR(Товары[[#This Row],[РРЦ, евро]]/Товары[[#This Row],[IRP, Eur]],"-")</f>
        <v>-</v>
      </c>
      <c r="AX944" s="42">
        <f>IFERROR(VLOOKUP(Товары[[#This Row],[SubGroup]],'Структура цен DIY'!$B:$C,2,FALSE),0)</f>
        <v>0.28000000000000003</v>
      </c>
      <c r="AY944" s="44">
        <v>0</v>
      </c>
    </row>
    <row r="945" spans="1:51" x14ac:dyDescent="0.25">
      <c r="A945" s="34">
        <v>943</v>
      </c>
      <c r="B945" s="34" t="s">
        <v>49</v>
      </c>
      <c r="C945" s="110" t="str">
        <f>IFERROR(INDEX(Структура_ассортимента[SuperCategory],MATCH(Товары[[#This Row],[SubGroup]],Структура_ассортимента[Subgroup],0)),"")</f>
        <v>W</v>
      </c>
      <c r="D94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4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45" s="110" t="str">
        <f>IFERROR(INDEX(Структура_ассортимента[Product group],MATCH(Товары[[#This Row],[SubGroup]],Структура_ассортимента[Subgroup],0)),"")</f>
        <v>WMA_C</v>
      </c>
      <c r="G945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45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45" s="36">
        <v>9022</v>
      </c>
      <c r="J945" s="36" t="str">
        <f>IFERROR(INDEX(Структура_ассортимента[Generic Name (long)],MATCH(Товары[[#This Row],[SubGroup]],Структура_ассортимента[Subgroup],0)),"")</f>
        <v>GARDEN SHOWER</v>
      </c>
      <c r="L945" s="36">
        <v>900880301</v>
      </c>
      <c r="M945" s="35" t="s">
        <v>2629</v>
      </c>
      <c r="Q945" s="34" t="s">
        <v>3549</v>
      </c>
      <c r="R945" s="34" t="s">
        <v>3540</v>
      </c>
      <c r="S945" s="47">
        <v>32884</v>
      </c>
      <c r="T945" s="47">
        <v>0</v>
      </c>
      <c r="U945" s="47">
        <v>0</v>
      </c>
      <c r="V945" s="34">
        <v>4078500095808</v>
      </c>
      <c r="W945" s="34" t="s">
        <v>3543</v>
      </c>
      <c r="X945" s="34" t="s">
        <v>3704</v>
      </c>
      <c r="Y945" s="34" t="s">
        <v>3542</v>
      </c>
      <c r="Z945" s="34">
        <v>10</v>
      </c>
      <c r="AA945" s="34" t="s">
        <v>3621</v>
      </c>
      <c r="AB945" s="34" t="s">
        <v>3621</v>
      </c>
      <c r="AC945" s="34" t="s">
        <v>5230</v>
      </c>
      <c r="AD945" s="34" t="s">
        <v>5230</v>
      </c>
      <c r="AE945" s="34" t="s">
        <v>6114</v>
      </c>
      <c r="AF945" s="34" t="s">
        <v>4679</v>
      </c>
      <c r="AG945" s="34" t="s">
        <v>3800</v>
      </c>
      <c r="AH945" s="34" t="s">
        <v>6115</v>
      </c>
      <c r="AI945" s="34" t="s">
        <v>6116</v>
      </c>
      <c r="AJ945" s="34" t="s">
        <v>5566</v>
      </c>
      <c r="AK945" s="34" t="s">
        <v>4775</v>
      </c>
      <c r="AL945" s="34">
        <v>90</v>
      </c>
      <c r="AM945" s="40" t="s">
        <v>8095</v>
      </c>
      <c r="AT945" s="44">
        <v>0</v>
      </c>
      <c r="AU945" s="44"/>
      <c r="AV945" s="46">
        <f>ROUND(Товары[[#This Row],[РРЦ финальная, руб.]]/$AU$1,2)</f>
        <v>0</v>
      </c>
      <c r="AW945" s="45" t="str">
        <f>IFERROR(Товары[[#This Row],[РРЦ, евро]]/Товары[[#This Row],[IRP, Eur]],"-")</f>
        <v>-</v>
      </c>
      <c r="AX945" s="42">
        <f>IFERROR(VLOOKUP(Товары[[#This Row],[SubGroup]],'Структура цен DIY'!$B:$C,2,FALSE),0)</f>
        <v>0.28000000000000003</v>
      </c>
      <c r="AY945" s="44">
        <v>0</v>
      </c>
    </row>
    <row r="946" spans="1:51" x14ac:dyDescent="0.25">
      <c r="A946" s="34">
        <v>944</v>
      </c>
      <c r="B946" s="34" t="s">
        <v>49</v>
      </c>
      <c r="C946" s="110" t="str">
        <f>IFERROR(INDEX(Структура_ассортимента[SuperCategory],MATCH(Товары[[#This Row],[SubGroup]],Структура_ассортимента[Subgroup],0)),"")</f>
        <v>W</v>
      </c>
      <c r="D94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4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46" s="110" t="str">
        <f>IFERROR(INDEX(Структура_ассортимента[Product group],MATCH(Товары[[#This Row],[SubGroup]],Структура_ассортимента[Subgroup],0)),"")</f>
        <v>WMA_C</v>
      </c>
      <c r="G946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46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46" s="36">
        <v>9022</v>
      </c>
      <c r="J946" s="36" t="str">
        <f>IFERROR(INDEX(Структура_ассортимента[Generic Name (long)],MATCH(Товары[[#This Row],[SubGroup]],Структура_ассортимента[Subgroup],0)),"")</f>
        <v>GARDEN SHOWER</v>
      </c>
      <c r="L946" s="36">
        <v>967632801</v>
      </c>
      <c r="M946" s="35" t="s">
        <v>2630</v>
      </c>
      <c r="O946" s="35" t="s">
        <v>6117</v>
      </c>
      <c r="P946" s="37" t="s">
        <v>6118</v>
      </c>
      <c r="Q946" s="34" t="s">
        <v>3549</v>
      </c>
      <c r="R946" s="34" t="s">
        <v>3540</v>
      </c>
      <c r="S946" s="47">
        <v>42370</v>
      </c>
      <c r="T946" s="47">
        <v>0</v>
      </c>
      <c r="U946" s="47">
        <v>0</v>
      </c>
      <c r="V946" s="34">
        <v>4078500017244</v>
      </c>
      <c r="W946" s="34" t="s">
        <v>3543</v>
      </c>
      <c r="X946" s="34" t="s">
        <v>3579</v>
      </c>
      <c r="Y946" s="34" t="s">
        <v>3542</v>
      </c>
      <c r="Z946" s="34">
        <v>5</v>
      </c>
      <c r="AA946" s="34" t="s">
        <v>3552</v>
      </c>
      <c r="AB946" s="34" t="s">
        <v>4147</v>
      </c>
      <c r="AC946" s="34" t="s">
        <v>3552</v>
      </c>
      <c r="AD946" s="34" t="s">
        <v>4819</v>
      </c>
      <c r="AE946" s="34" t="s">
        <v>3662</v>
      </c>
      <c r="AF946" s="34" t="s">
        <v>4160</v>
      </c>
      <c r="AG946" s="34" t="s">
        <v>4335</v>
      </c>
      <c r="AH946" s="34" t="s">
        <v>6119</v>
      </c>
      <c r="AI946" s="34" t="s">
        <v>6120</v>
      </c>
      <c r="AJ946" s="34" t="s">
        <v>3624</v>
      </c>
      <c r="AK946" s="34" t="s">
        <v>5680</v>
      </c>
      <c r="AL946" s="34" t="s">
        <v>3747</v>
      </c>
      <c r="AM946" s="40" t="s">
        <v>9</v>
      </c>
      <c r="AP946" s="34">
        <v>0</v>
      </c>
      <c r="AQ946" s="34">
        <v>1969</v>
      </c>
      <c r="AR946" s="34">
        <v>1181</v>
      </c>
      <c r="AT946" s="44">
        <v>152500</v>
      </c>
      <c r="AU946" s="44"/>
      <c r="AV946" s="46">
        <f>ROUND(Товары[[#This Row],[РРЦ финальная, руб.]]/$AU$1,2)</f>
        <v>0</v>
      </c>
      <c r="AW946" s="45" t="str">
        <f>IFERROR(Товары[[#This Row],[РРЦ, евро]]/Товары[[#This Row],[IRP, Eur]],"-")</f>
        <v>-</v>
      </c>
      <c r="AX946" s="42">
        <f>IFERROR(VLOOKUP(Товары[[#This Row],[SubGroup]],'Структура цен DIY'!$B:$C,2,FALSE),0)</f>
        <v>0.28000000000000003</v>
      </c>
      <c r="AY946" s="44">
        <v>0</v>
      </c>
    </row>
    <row r="947" spans="1:51" x14ac:dyDescent="0.25">
      <c r="A947" s="34">
        <v>945</v>
      </c>
      <c r="B947" s="34" t="s">
        <v>49</v>
      </c>
      <c r="C947" s="110" t="str">
        <f>IFERROR(INDEX(Структура_ассортимента[SuperCategory],MATCH(Товары[[#This Row],[SubGroup]],Структура_ассортимента[Subgroup],0)),"")</f>
        <v>W</v>
      </c>
      <c r="D94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4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47" s="110" t="str">
        <f>IFERROR(INDEX(Структура_ассортимента[Product group],MATCH(Товары[[#This Row],[SubGroup]],Структура_ассортимента[Subgroup],0)),"")</f>
        <v>WMA_C</v>
      </c>
      <c r="G947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47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47" s="36">
        <v>9022</v>
      </c>
      <c r="J947" s="36" t="str">
        <f>IFERROR(INDEX(Структура_ассортимента[Generic Name (long)],MATCH(Товары[[#This Row],[SubGroup]],Структура_ассортимента[Subgroup],0)),"")</f>
        <v>GARDEN SHOWER</v>
      </c>
      <c r="L947" s="36">
        <v>967632701</v>
      </c>
      <c r="M947" s="35" t="s">
        <v>2631</v>
      </c>
      <c r="Q947" s="34" t="s">
        <v>3549</v>
      </c>
      <c r="R947" s="34" t="s">
        <v>3540</v>
      </c>
      <c r="S947" s="47">
        <v>42370</v>
      </c>
      <c r="T947" s="47">
        <v>0</v>
      </c>
      <c r="U947" s="47">
        <v>0</v>
      </c>
      <c r="V947" s="34">
        <v>4078500017336</v>
      </c>
      <c r="W947" s="34" t="s">
        <v>3543</v>
      </c>
      <c r="X947" s="34" t="s">
        <v>3579</v>
      </c>
      <c r="Y947" s="34" t="s">
        <v>3542</v>
      </c>
      <c r="Z947" s="34">
        <v>4</v>
      </c>
      <c r="AA947" s="34" t="s">
        <v>3552</v>
      </c>
      <c r="AB947" s="34" t="s">
        <v>3691</v>
      </c>
      <c r="AC947" s="34" t="s">
        <v>3552</v>
      </c>
      <c r="AD947" s="34" t="s">
        <v>4854</v>
      </c>
      <c r="AE947" s="34" t="s">
        <v>3825</v>
      </c>
      <c r="AF947" s="34" t="s">
        <v>3825</v>
      </c>
      <c r="AG947" s="34" t="s">
        <v>4923</v>
      </c>
      <c r="AH947" s="34" t="s">
        <v>6121</v>
      </c>
      <c r="AI947" s="34" t="s">
        <v>4226</v>
      </c>
      <c r="AJ947" s="34" t="s">
        <v>3989</v>
      </c>
      <c r="AK947" s="34" t="s">
        <v>3999</v>
      </c>
      <c r="AL947" s="34" t="s">
        <v>4268</v>
      </c>
      <c r="AM947" s="40" t="s">
        <v>8095</v>
      </c>
      <c r="AT947" s="44">
        <v>0</v>
      </c>
      <c r="AU947" s="44"/>
      <c r="AV947" s="46">
        <f>ROUND(Товары[[#This Row],[РРЦ финальная, руб.]]/$AU$1,2)</f>
        <v>0</v>
      </c>
      <c r="AW947" s="45" t="str">
        <f>IFERROR(Товары[[#This Row],[РРЦ, евро]]/Товары[[#This Row],[IRP, Eur]],"-")</f>
        <v>-</v>
      </c>
      <c r="AX947" s="42">
        <f>IFERROR(VLOOKUP(Товары[[#This Row],[SubGroup]],'Структура цен DIY'!$B:$C,2,FALSE),0)</f>
        <v>0.28000000000000003</v>
      </c>
      <c r="AY947" s="44">
        <v>0</v>
      </c>
    </row>
    <row r="948" spans="1:51" x14ac:dyDescent="0.25">
      <c r="A948" s="34">
        <v>946</v>
      </c>
      <c r="B948" s="34" t="s">
        <v>49</v>
      </c>
      <c r="C948" s="110" t="str">
        <f>IFERROR(INDEX(Структура_ассортимента[SuperCategory],MATCH(Товары[[#This Row],[SubGroup]],Структура_ассортимента[Subgroup],0)),"")</f>
        <v>W</v>
      </c>
      <c r="D94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4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48" s="110" t="str">
        <f>IFERROR(INDEX(Структура_ассортимента[Product group],MATCH(Товары[[#This Row],[SubGroup]],Структура_ассортимента[Subgroup],0)),"")</f>
        <v>WMA_C</v>
      </c>
      <c r="G948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48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48" s="36">
        <v>9022</v>
      </c>
      <c r="J948" s="36" t="str">
        <f>IFERROR(INDEX(Структура_ассортимента[Generic Name (long)],MATCH(Товары[[#This Row],[SubGroup]],Структура_ассортимента[Subgroup],0)),"")</f>
        <v>GARDEN SHOWER</v>
      </c>
      <c r="L948" s="36">
        <v>967633801</v>
      </c>
      <c r="M948" s="35" t="s">
        <v>2632</v>
      </c>
      <c r="Q948" s="34" t="s">
        <v>3549</v>
      </c>
      <c r="R948" s="34" t="s">
        <v>3540</v>
      </c>
      <c r="S948" s="47">
        <v>42370</v>
      </c>
      <c r="T948" s="47">
        <v>0</v>
      </c>
      <c r="U948" s="47">
        <v>0</v>
      </c>
      <c r="V948" s="34">
        <v>4078500017893</v>
      </c>
      <c r="W948" s="34" t="s">
        <v>3543</v>
      </c>
      <c r="X948" s="34" t="s">
        <v>3579</v>
      </c>
      <c r="Y948" s="34" t="s">
        <v>3542</v>
      </c>
      <c r="Z948" s="34">
        <v>36</v>
      </c>
      <c r="AA948" s="34" t="s">
        <v>3552</v>
      </c>
      <c r="AB948" s="34" t="s">
        <v>3691</v>
      </c>
      <c r="AC948" s="34" t="s">
        <v>3552</v>
      </c>
      <c r="AD948" s="34" t="s">
        <v>4854</v>
      </c>
      <c r="AE948" s="34" t="s">
        <v>4160</v>
      </c>
      <c r="AF948" s="34" t="s">
        <v>3743</v>
      </c>
      <c r="AG948" s="34" t="s">
        <v>3707</v>
      </c>
      <c r="AH948" s="34" t="s">
        <v>6122</v>
      </c>
      <c r="AI948" s="34" t="s">
        <v>4226</v>
      </c>
      <c r="AJ948" s="34" t="s">
        <v>3989</v>
      </c>
      <c r="AK948" s="34" t="s">
        <v>3999</v>
      </c>
      <c r="AL948" s="34" t="s">
        <v>3562</v>
      </c>
      <c r="AM948" s="40" t="s">
        <v>8095</v>
      </c>
      <c r="AT948" s="44">
        <v>0</v>
      </c>
      <c r="AU948" s="44"/>
      <c r="AV948" s="46">
        <f>ROUND(Товары[[#This Row],[РРЦ финальная, руб.]]/$AU$1,2)</f>
        <v>0</v>
      </c>
      <c r="AW948" s="45" t="str">
        <f>IFERROR(Товары[[#This Row],[РРЦ, евро]]/Товары[[#This Row],[IRP, Eur]],"-")</f>
        <v>-</v>
      </c>
      <c r="AX948" s="42">
        <f>IFERROR(VLOOKUP(Товары[[#This Row],[SubGroup]],'Структура цен DIY'!$B:$C,2,FALSE),0)</f>
        <v>0.28000000000000003</v>
      </c>
      <c r="AY948" s="44">
        <v>0</v>
      </c>
    </row>
    <row r="949" spans="1:51" x14ac:dyDescent="0.25">
      <c r="A949" s="34">
        <v>947</v>
      </c>
      <c r="B949" s="34" t="s">
        <v>49</v>
      </c>
      <c r="C949" s="110" t="str">
        <f>IFERROR(INDEX(Структура_ассортимента[SuperCategory],MATCH(Товары[[#This Row],[SubGroup]],Структура_ассортимента[Subgroup],0)),"")</f>
        <v>W</v>
      </c>
      <c r="D94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4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49" s="110" t="str">
        <f>IFERROR(INDEX(Структура_ассортимента[Product group],MATCH(Товары[[#This Row],[SubGroup]],Структура_ассортимента[Subgroup],0)),"")</f>
        <v>WMA_C</v>
      </c>
      <c r="G949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49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49" s="36">
        <v>9022</v>
      </c>
      <c r="J949" s="36" t="str">
        <f>IFERROR(INDEX(Структура_ассортимента[Generic Name (long)],MATCH(Товары[[#This Row],[SubGroup]],Структура_ассортимента[Subgroup],0)),"")</f>
        <v>GARDEN SHOWER</v>
      </c>
      <c r="L949" s="36">
        <v>967633001</v>
      </c>
      <c r="M949" s="35" t="s">
        <v>2633</v>
      </c>
      <c r="O949" s="35" t="s">
        <v>6123</v>
      </c>
      <c r="P949" s="37" t="s">
        <v>6124</v>
      </c>
      <c r="Q949" s="34" t="s">
        <v>3549</v>
      </c>
      <c r="R949" s="34" t="s">
        <v>3540</v>
      </c>
      <c r="S949" s="47">
        <v>42370</v>
      </c>
      <c r="T949" s="47">
        <v>0</v>
      </c>
      <c r="U949" s="47">
        <v>0</v>
      </c>
      <c r="V949" s="34">
        <v>4078500017282</v>
      </c>
      <c r="W949" s="34" t="s">
        <v>3543</v>
      </c>
      <c r="X949" s="34" t="s">
        <v>3579</v>
      </c>
      <c r="Y949" s="34" t="s">
        <v>3542</v>
      </c>
      <c r="Z949" s="34">
        <v>6</v>
      </c>
      <c r="AA949" s="34" t="s">
        <v>3552</v>
      </c>
      <c r="AB949" s="34" t="s">
        <v>4576</v>
      </c>
      <c r="AC949" s="34" t="s">
        <v>3552</v>
      </c>
      <c r="AD949" s="34" t="s">
        <v>4389</v>
      </c>
      <c r="AE949" s="34" t="s">
        <v>5557</v>
      </c>
      <c r="AF949" s="34" t="s">
        <v>3968</v>
      </c>
      <c r="AG949" s="34" t="s">
        <v>4335</v>
      </c>
      <c r="AH949" s="34" t="s">
        <v>6125</v>
      </c>
      <c r="AI949" s="34" t="s">
        <v>6126</v>
      </c>
      <c r="AJ949" s="34" t="s">
        <v>3599</v>
      </c>
      <c r="AK949" s="34" t="s">
        <v>5680</v>
      </c>
      <c r="AL949" s="34" t="s">
        <v>3981</v>
      </c>
      <c r="AM949" s="40" t="s">
        <v>9</v>
      </c>
      <c r="AP949" s="34">
        <v>0</v>
      </c>
      <c r="AQ949" s="34">
        <v>2849</v>
      </c>
      <c r="AR949" s="34">
        <v>1709</v>
      </c>
      <c r="AT949" s="44">
        <v>220700</v>
      </c>
      <c r="AU949" s="44"/>
      <c r="AV949" s="46">
        <f>ROUND(Товары[[#This Row],[РРЦ финальная, руб.]]/$AU$1,2)</f>
        <v>0</v>
      </c>
      <c r="AW949" s="45" t="str">
        <f>IFERROR(Товары[[#This Row],[РРЦ, евро]]/Товары[[#This Row],[IRP, Eur]],"-")</f>
        <v>-</v>
      </c>
      <c r="AX949" s="42">
        <f>IFERROR(VLOOKUP(Товары[[#This Row],[SubGroup]],'Структура цен DIY'!$B:$C,2,FALSE),0)</f>
        <v>0.28000000000000003</v>
      </c>
      <c r="AY949" s="44">
        <v>0</v>
      </c>
    </row>
    <row r="950" spans="1:51" x14ac:dyDescent="0.25">
      <c r="A950" s="34">
        <v>948</v>
      </c>
      <c r="B950" s="34" t="s">
        <v>49</v>
      </c>
      <c r="C950" s="110" t="str">
        <f>IFERROR(INDEX(Структура_ассортимента[SuperCategory],MATCH(Товары[[#This Row],[SubGroup]],Структура_ассортимента[Subgroup],0)),"")</f>
        <v>W</v>
      </c>
      <c r="D95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5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50" s="110" t="str">
        <f>IFERROR(INDEX(Структура_ассортимента[Product group],MATCH(Товары[[#This Row],[SubGroup]],Структура_ассортимента[Subgroup],0)),"")</f>
        <v>WMA_C</v>
      </c>
      <c r="G950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50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50" s="36">
        <v>9022</v>
      </c>
      <c r="J950" s="36" t="str">
        <f>IFERROR(INDEX(Структура_ассортимента[Generic Name (long)],MATCH(Товары[[#This Row],[SubGroup]],Структура_ассортимента[Subgroup],0)),"")</f>
        <v>GARDEN SHOWER</v>
      </c>
      <c r="L950" s="36">
        <v>967632901</v>
      </c>
      <c r="M950" s="35" t="s">
        <v>2634</v>
      </c>
      <c r="Q950" s="34" t="s">
        <v>3549</v>
      </c>
      <c r="R950" s="34" t="s">
        <v>3540</v>
      </c>
      <c r="S950" s="47">
        <v>42370</v>
      </c>
      <c r="T950" s="47">
        <v>0</v>
      </c>
      <c r="U950" s="47">
        <v>0</v>
      </c>
      <c r="V950" s="34">
        <v>4078500017268</v>
      </c>
      <c r="W950" s="34" t="s">
        <v>3543</v>
      </c>
      <c r="X950" s="34" t="s">
        <v>3579</v>
      </c>
      <c r="Y950" s="34" t="s">
        <v>3542</v>
      </c>
      <c r="Z950" s="34">
        <v>6</v>
      </c>
      <c r="AA950" s="34" t="s">
        <v>3552</v>
      </c>
      <c r="AB950" s="34" t="s">
        <v>4576</v>
      </c>
      <c r="AC950" s="34" t="s">
        <v>3552</v>
      </c>
      <c r="AD950" s="34" t="s">
        <v>4801</v>
      </c>
      <c r="AE950" s="34" t="s">
        <v>5038</v>
      </c>
      <c r="AF950" s="34" t="s">
        <v>3968</v>
      </c>
      <c r="AG950" s="34" t="s">
        <v>4324</v>
      </c>
      <c r="AH950" s="34" t="s">
        <v>6127</v>
      </c>
      <c r="AI950" s="34" t="s">
        <v>6126</v>
      </c>
      <c r="AJ950" s="34" t="s">
        <v>3599</v>
      </c>
      <c r="AK950" s="34" t="s">
        <v>5680</v>
      </c>
      <c r="AL950" s="34" t="s">
        <v>3981</v>
      </c>
      <c r="AM950" s="40" t="s">
        <v>8095</v>
      </c>
      <c r="AT950" s="44">
        <v>0</v>
      </c>
      <c r="AU950" s="44"/>
      <c r="AV950" s="46">
        <f>ROUND(Товары[[#This Row],[РРЦ финальная, руб.]]/$AU$1,2)</f>
        <v>0</v>
      </c>
      <c r="AW950" s="45" t="str">
        <f>IFERROR(Товары[[#This Row],[РРЦ, евро]]/Товары[[#This Row],[IRP, Eur]],"-")</f>
        <v>-</v>
      </c>
      <c r="AX950" s="42">
        <f>IFERROR(VLOOKUP(Товары[[#This Row],[SubGroup]],'Структура цен DIY'!$B:$C,2,FALSE),0)</f>
        <v>0.28000000000000003</v>
      </c>
      <c r="AY950" s="44">
        <v>0</v>
      </c>
    </row>
    <row r="951" spans="1:51" x14ac:dyDescent="0.25">
      <c r="A951" s="34">
        <v>949</v>
      </c>
      <c r="B951" s="34" t="s">
        <v>49</v>
      </c>
      <c r="C951" s="110" t="str">
        <f>IFERROR(INDEX(Структура_ассортимента[SuperCategory],MATCH(Товары[[#This Row],[SubGroup]],Структура_ассортимента[Subgroup],0)),"")</f>
        <v>W</v>
      </c>
      <c r="D95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5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51" s="110" t="str">
        <f>IFERROR(INDEX(Структура_ассортимента[Product group],MATCH(Товары[[#This Row],[SubGroup]],Структура_ассортимента[Subgroup],0)),"")</f>
        <v>WMA_C</v>
      </c>
      <c r="G951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51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51" s="36">
        <v>9022</v>
      </c>
      <c r="J951" s="36" t="str">
        <f>IFERROR(INDEX(Структура_ассортимента[Generic Name (long)],MATCH(Товары[[#This Row],[SubGroup]],Структура_ассортимента[Subgroup],0)),"")</f>
        <v>GARDEN SHOWER</v>
      </c>
      <c r="L951" s="36">
        <v>967099701</v>
      </c>
      <c r="M951" s="35" t="s">
        <v>2635</v>
      </c>
      <c r="O951" s="35" t="s">
        <v>6128</v>
      </c>
      <c r="P951" s="37" t="s">
        <v>6129</v>
      </c>
      <c r="Q951" s="34" t="s">
        <v>3549</v>
      </c>
      <c r="R951" s="34" t="s">
        <v>3540</v>
      </c>
      <c r="S951" s="47">
        <v>42736</v>
      </c>
      <c r="T951" s="47">
        <v>0</v>
      </c>
      <c r="U951" s="47">
        <v>0</v>
      </c>
      <c r="V951" s="34">
        <v>4078500024280</v>
      </c>
      <c r="W951" s="34" t="s">
        <v>3543</v>
      </c>
      <c r="X951" s="34" t="s">
        <v>3579</v>
      </c>
      <c r="Y951" s="34" t="s">
        <v>3542</v>
      </c>
      <c r="Z951" s="34">
        <v>5</v>
      </c>
      <c r="AA951" s="34">
        <v>0</v>
      </c>
      <c r="AB951" s="34" t="s">
        <v>4006</v>
      </c>
      <c r="AC951" s="34">
        <v>0</v>
      </c>
      <c r="AD951" s="34" t="s">
        <v>6130</v>
      </c>
      <c r="AE951" s="34" t="s">
        <v>3826</v>
      </c>
      <c r="AF951" s="34" t="s">
        <v>3825</v>
      </c>
      <c r="AG951" s="34" t="s">
        <v>4351</v>
      </c>
      <c r="AH951" s="34" t="s">
        <v>6091</v>
      </c>
      <c r="AI951" s="34" t="s">
        <v>4394</v>
      </c>
      <c r="AJ951" s="34" t="s">
        <v>3683</v>
      </c>
      <c r="AK951" s="34" t="s">
        <v>4956</v>
      </c>
      <c r="AL951" s="34" t="s">
        <v>5971</v>
      </c>
      <c r="AM951" s="40" t="s">
        <v>9</v>
      </c>
      <c r="AP951" s="34">
        <v>0</v>
      </c>
      <c r="AQ951" s="34">
        <v>1529</v>
      </c>
      <c r="AR951" s="34">
        <v>917</v>
      </c>
      <c r="AT951" s="44">
        <v>118400</v>
      </c>
      <c r="AU951" s="44"/>
      <c r="AV951" s="46">
        <f>ROUND(Товары[[#This Row],[РРЦ финальная, руб.]]/$AU$1,2)</f>
        <v>0</v>
      </c>
      <c r="AW951" s="45" t="str">
        <f>IFERROR(Товары[[#This Row],[РРЦ, евро]]/Товары[[#This Row],[IRP, Eur]],"-")</f>
        <v>-</v>
      </c>
      <c r="AX951" s="42">
        <f>IFERROR(VLOOKUP(Товары[[#This Row],[SubGroup]],'Структура цен DIY'!$B:$C,2,FALSE),0)</f>
        <v>0.28000000000000003</v>
      </c>
      <c r="AY951" s="44">
        <v>0</v>
      </c>
    </row>
    <row r="952" spans="1:51" x14ac:dyDescent="0.25">
      <c r="A952" s="34">
        <v>950</v>
      </c>
      <c r="B952" s="34" t="s">
        <v>49</v>
      </c>
      <c r="C952" s="110" t="str">
        <f>IFERROR(INDEX(Структура_ассортимента[SuperCategory],MATCH(Товары[[#This Row],[SubGroup]],Структура_ассортимента[Subgroup],0)),"")</f>
        <v>W</v>
      </c>
      <c r="D95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5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52" s="110" t="str">
        <f>IFERROR(INDEX(Структура_ассортимента[Product group],MATCH(Товары[[#This Row],[SubGroup]],Структура_ассортимента[Subgroup],0)),"")</f>
        <v>WMA_C</v>
      </c>
      <c r="G952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52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52" s="36">
        <v>9022</v>
      </c>
      <c r="J952" s="36" t="str">
        <f>IFERROR(INDEX(Структура_ассортимента[Generic Name (long)],MATCH(Товары[[#This Row],[SubGroup]],Структура_ассортимента[Subgroup],0)),"")</f>
        <v>GARDEN SHOWER</v>
      </c>
      <c r="L952" s="36">
        <v>967705901</v>
      </c>
      <c r="M952" s="35" t="s">
        <v>2636</v>
      </c>
      <c r="P952" s="37" t="s">
        <v>6131</v>
      </c>
      <c r="Q952" s="34" t="s">
        <v>3713</v>
      </c>
      <c r="R952" s="34" t="s">
        <v>3540</v>
      </c>
      <c r="S952" s="47">
        <v>43101</v>
      </c>
      <c r="T952" s="47">
        <v>43830</v>
      </c>
      <c r="U952" s="47">
        <v>43830</v>
      </c>
      <c r="V952" s="34">
        <v>4078500035781</v>
      </c>
      <c r="W952" s="34" t="s">
        <v>3543</v>
      </c>
      <c r="Y952" s="34" t="s">
        <v>3542</v>
      </c>
      <c r="Z952" s="34">
        <v>36</v>
      </c>
      <c r="AA952" s="34">
        <v>0</v>
      </c>
      <c r="AB952" s="34" t="s">
        <v>3691</v>
      </c>
      <c r="AC952" s="34">
        <v>0</v>
      </c>
      <c r="AD952" s="34" t="s">
        <v>4854</v>
      </c>
      <c r="AE952" s="34" t="s">
        <v>3826</v>
      </c>
      <c r="AF952" s="34" t="s">
        <v>3825</v>
      </c>
      <c r="AG952" s="34" t="s">
        <v>4351</v>
      </c>
      <c r="AH952" s="34" t="s">
        <v>6091</v>
      </c>
      <c r="AL952" s="34" t="s">
        <v>3562</v>
      </c>
      <c r="AM952" s="40" t="s">
        <v>233</v>
      </c>
      <c r="AP952" s="34">
        <v>0</v>
      </c>
      <c r="AQ952" s="34">
        <v>1529</v>
      </c>
      <c r="AR952" s="34">
        <v>917</v>
      </c>
      <c r="AT952" s="44">
        <v>118400</v>
      </c>
      <c r="AU952" s="44"/>
      <c r="AV952" s="46">
        <f>ROUND(Товары[[#This Row],[РРЦ финальная, руб.]]/$AU$1,2)</f>
        <v>0</v>
      </c>
      <c r="AW952" s="45" t="str">
        <f>IFERROR(Товары[[#This Row],[РРЦ, евро]]/Товары[[#This Row],[IRP, Eur]],"-")</f>
        <v>-</v>
      </c>
      <c r="AX952" s="42">
        <f>IFERROR(VLOOKUP(Товары[[#This Row],[SubGroup]],'Структура цен DIY'!$B:$C,2,FALSE),0)</f>
        <v>0.28000000000000003</v>
      </c>
      <c r="AY952" s="44">
        <v>0</v>
      </c>
    </row>
    <row r="953" spans="1:51" x14ac:dyDescent="0.25">
      <c r="A953" s="34">
        <v>951</v>
      </c>
      <c r="B953" s="34" t="s">
        <v>49</v>
      </c>
      <c r="C953" s="110" t="str">
        <f>IFERROR(INDEX(Структура_ассортимента[SuperCategory],MATCH(Товары[[#This Row],[SubGroup]],Структура_ассортимента[Subgroup],0)),"")</f>
        <v>W</v>
      </c>
      <c r="D95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5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53" s="110" t="str">
        <f>IFERROR(INDEX(Структура_ассортимента[Product group],MATCH(Товары[[#This Row],[SubGroup]],Структура_ассортимента[Subgroup],0)),"")</f>
        <v>WMA_C</v>
      </c>
      <c r="G953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53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53" s="36">
        <v>9022</v>
      </c>
      <c r="J953" s="36" t="str">
        <f>IFERROR(INDEX(Структура_ассортимента[Generic Name (long)],MATCH(Товары[[#This Row],[SubGroup]],Структура_ассортимента[Subgroup],0)),"")</f>
        <v>GARDEN SHOWER</v>
      </c>
      <c r="L953" s="36">
        <v>967102101</v>
      </c>
      <c r="M953" s="35" t="s">
        <v>2637</v>
      </c>
      <c r="O953" s="35" t="s">
        <v>6132</v>
      </c>
      <c r="P953" s="37" t="s">
        <v>6133</v>
      </c>
      <c r="Q953" s="34" t="s">
        <v>3549</v>
      </c>
      <c r="R953" s="34" t="s">
        <v>3540</v>
      </c>
      <c r="S953" s="47">
        <v>42736</v>
      </c>
      <c r="T953" s="47">
        <v>0</v>
      </c>
      <c r="U953" s="47">
        <v>0</v>
      </c>
      <c r="V953" s="34">
        <v>4078500024242</v>
      </c>
      <c r="W953" s="34" t="s">
        <v>3543</v>
      </c>
      <c r="X953" s="34" t="s">
        <v>3579</v>
      </c>
      <c r="Y953" s="34" t="s">
        <v>3542</v>
      </c>
      <c r="Z953" s="34">
        <v>5</v>
      </c>
      <c r="AA953" s="34">
        <v>0</v>
      </c>
      <c r="AB953" s="34" t="s">
        <v>6066</v>
      </c>
      <c r="AC953" s="34">
        <v>0</v>
      </c>
      <c r="AD953" s="34" t="s">
        <v>6134</v>
      </c>
      <c r="AE953" s="34" t="s">
        <v>3826</v>
      </c>
      <c r="AF953" s="34" t="s">
        <v>3825</v>
      </c>
      <c r="AG953" s="34" t="s">
        <v>4351</v>
      </c>
      <c r="AH953" s="34" t="s">
        <v>6091</v>
      </c>
      <c r="AI953" s="34" t="s">
        <v>3939</v>
      </c>
      <c r="AJ953" s="34" t="s">
        <v>3683</v>
      </c>
      <c r="AK953" s="34" t="s">
        <v>4956</v>
      </c>
      <c r="AL953" s="34" t="s">
        <v>5971</v>
      </c>
      <c r="AM953" s="40" t="s">
        <v>9</v>
      </c>
      <c r="AP953" s="34">
        <v>0</v>
      </c>
      <c r="AQ953" s="34">
        <v>2299</v>
      </c>
      <c r="AR953" s="34">
        <v>1381</v>
      </c>
      <c r="AT953" s="44">
        <v>178100</v>
      </c>
      <c r="AU953" s="44"/>
      <c r="AV953" s="46">
        <f>ROUND(Товары[[#This Row],[РРЦ финальная, руб.]]/$AU$1,2)</f>
        <v>0</v>
      </c>
      <c r="AW953" s="45" t="str">
        <f>IFERROR(Товары[[#This Row],[РРЦ, евро]]/Товары[[#This Row],[IRP, Eur]],"-")</f>
        <v>-</v>
      </c>
      <c r="AX953" s="42">
        <f>IFERROR(VLOOKUP(Товары[[#This Row],[SubGroup]],'Структура цен DIY'!$B:$C,2,FALSE),0)</f>
        <v>0.28000000000000003</v>
      </c>
      <c r="AY953" s="44">
        <v>0</v>
      </c>
    </row>
    <row r="954" spans="1:51" x14ac:dyDescent="0.25">
      <c r="A954" s="34">
        <v>952</v>
      </c>
      <c r="B954" s="34" t="s">
        <v>49</v>
      </c>
      <c r="C954" s="110" t="str">
        <f>IFERROR(INDEX(Структура_ассортимента[SuperCategory],MATCH(Товары[[#This Row],[SubGroup]],Структура_ассортимента[Subgroup],0)),"")</f>
        <v>W</v>
      </c>
      <c r="D95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5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54" s="110" t="str">
        <f>IFERROR(INDEX(Структура_ассортимента[Product group],MATCH(Товары[[#This Row],[SubGroup]],Структура_ассортимента[Subgroup],0)),"")</f>
        <v>WMA_C</v>
      </c>
      <c r="G954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54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54" s="36">
        <v>9022</v>
      </c>
      <c r="J954" s="36" t="str">
        <f>IFERROR(INDEX(Структура_ассортимента[Generic Name (long)],MATCH(Товары[[#This Row],[SubGroup]],Структура_ассортимента[Subgroup],0)),"")</f>
        <v>GARDEN SHOWER</v>
      </c>
      <c r="L954" s="36">
        <v>967102201</v>
      </c>
      <c r="M954" s="35" t="s">
        <v>2638</v>
      </c>
      <c r="O954" s="35" t="s">
        <v>6135</v>
      </c>
      <c r="P954" s="37" t="s">
        <v>6118</v>
      </c>
      <c r="Q954" s="34" t="s">
        <v>3549</v>
      </c>
      <c r="R954" s="34" t="s">
        <v>3540</v>
      </c>
      <c r="S954" s="47">
        <v>42736</v>
      </c>
      <c r="T954" s="47">
        <v>0</v>
      </c>
      <c r="U954" s="47">
        <v>0</v>
      </c>
      <c r="V954" s="34">
        <v>4078500024228</v>
      </c>
      <c r="W954" s="34" t="s">
        <v>3543</v>
      </c>
      <c r="X954" s="34" t="s">
        <v>3579</v>
      </c>
      <c r="Y954" s="34" t="s">
        <v>3542</v>
      </c>
      <c r="Z954" s="34">
        <v>4</v>
      </c>
      <c r="AA954" s="34">
        <v>0</v>
      </c>
      <c r="AB954" s="34" t="s">
        <v>6031</v>
      </c>
      <c r="AC954" s="34">
        <v>0</v>
      </c>
      <c r="AD954" s="34" t="s">
        <v>4136</v>
      </c>
      <c r="AE954" s="34" t="s">
        <v>3753</v>
      </c>
      <c r="AF954" s="34" t="s">
        <v>3825</v>
      </c>
      <c r="AG954" s="34" t="s">
        <v>3557</v>
      </c>
      <c r="AH954" s="34" t="s">
        <v>4784</v>
      </c>
      <c r="AI954" s="34" t="s">
        <v>3955</v>
      </c>
      <c r="AJ954" s="34" t="s">
        <v>3938</v>
      </c>
      <c r="AK954" s="34" t="s">
        <v>4923</v>
      </c>
      <c r="AL954" s="34" t="s">
        <v>4268</v>
      </c>
      <c r="AM954" s="40" t="s">
        <v>9</v>
      </c>
      <c r="AP954" s="34">
        <v>0</v>
      </c>
      <c r="AQ954" s="34">
        <v>2519</v>
      </c>
      <c r="AR954" s="34">
        <v>1512</v>
      </c>
      <c r="AT954" s="44">
        <v>195100</v>
      </c>
      <c r="AU954" s="44"/>
      <c r="AV954" s="46">
        <f>ROUND(Товары[[#This Row],[РРЦ финальная, руб.]]/$AU$1,2)</f>
        <v>0</v>
      </c>
      <c r="AW954" s="45" t="str">
        <f>IFERROR(Товары[[#This Row],[РРЦ, евро]]/Товары[[#This Row],[IRP, Eur]],"-")</f>
        <v>-</v>
      </c>
      <c r="AX954" s="42">
        <f>IFERROR(VLOOKUP(Товары[[#This Row],[SubGroup]],'Структура цен DIY'!$B:$C,2,FALSE),0)</f>
        <v>0.28000000000000003</v>
      </c>
      <c r="AY954" s="44">
        <v>0</v>
      </c>
    </row>
    <row r="955" spans="1:51" x14ac:dyDescent="0.25">
      <c r="A955" s="34">
        <v>953</v>
      </c>
      <c r="B955" s="34" t="s">
        <v>49</v>
      </c>
      <c r="C955" s="110" t="str">
        <f>IFERROR(INDEX(Структура_ассортимента[SuperCategory],MATCH(Товары[[#This Row],[SubGroup]],Структура_ассортимента[Subgroup],0)),"")</f>
        <v>W</v>
      </c>
      <c r="D95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5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55" s="110" t="str">
        <f>IFERROR(INDEX(Структура_ассортимента[Product group],MATCH(Товары[[#This Row],[SubGroup]],Структура_ассортимента[Subgroup],0)),"")</f>
        <v>WMA_C</v>
      </c>
      <c r="G955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55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55" s="36">
        <v>9022</v>
      </c>
      <c r="J955" s="36" t="str">
        <f>IFERROR(INDEX(Структура_ассортимента[Generic Name (long)],MATCH(Товары[[#This Row],[SubGroup]],Структура_ассортимента[Subgroup],0)),"")</f>
        <v>GARDEN SHOWER</v>
      </c>
      <c r="L955" s="36">
        <v>967102301</v>
      </c>
      <c r="M955" s="35" t="s">
        <v>2639</v>
      </c>
      <c r="Q955" s="34" t="s">
        <v>3549</v>
      </c>
      <c r="R955" s="34" t="s">
        <v>3540</v>
      </c>
      <c r="S955" s="47">
        <v>42736</v>
      </c>
      <c r="T955" s="47">
        <v>0</v>
      </c>
      <c r="U955" s="47">
        <v>0</v>
      </c>
      <c r="V955" s="34">
        <v>4078500024204</v>
      </c>
      <c r="W955" s="34" t="s">
        <v>3543</v>
      </c>
      <c r="X955" s="34" t="s">
        <v>3579</v>
      </c>
      <c r="Y955" s="34" t="s">
        <v>3542</v>
      </c>
      <c r="Z955" s="34">
        <v>36</v>
      </c>
      <c r="AB955" s="34" t="s">
        <v>3691</v>
      </c>
      <c r="AD955" s="34" t="s">
        <v>4854</v>
      </c>
      <c r="AE955" s="34" t="s">
        <v>3753</v>
      </c>
      <c r="AF955" s="34" t="s">
        <v>3825</v>
      </c>
      <c r="AG955" s="34" t="s">
        <v>3557</v>
      </c>
      <c r="AH955" s="34" t="s">
        <v>4784</v>
      </c>
      <c r="AI955" s="34" t="s">
        <v>3955</v>
      </c>
      <c r="AJ955" s="34" t="s">
        <v>3938</v>
      </c>
      <c r="AK955" s="34" t="s">
        <v>4923</v>
      </c>
      <c r="AL955" s="34" t="s">
        <v>3562</v>
      </c>
      <c r="AM955" s="40" t="s">
        <v>8095</v>
      </c>
      <c r="AT955" s="44">
        <v>0</v>
      </c>
      <c r="AU955" s="44"/>
      <c r="AV955" s="46">
        <f>ROUND(Товары[[#This Row],[РРЦ финальная, руб.]]/$AU$1,2)</f>
        <v>0</v>
      </c>
      <c r="AW955" s="45" t="str">
        <f>IFERROR(Товары[[#This Row],[РРЦ, евро]]/Товары[[#This Row],[IRP, Eur]],"-")</f>
        <v>-</v>
      </c>
      <c r="AX955" s="42">
        <f>IFERROR(VLOOKUP(Товары[[#This Row],[SubGroup]],'Структура цен DIY'!$B:$C,2,FALSE),0)</f>
        <v>0.28000000000000003</v>
      </c>
      <c r="AY955" s="44">
        <v>0</v>
      </c>
    </row>
    <row r="956" spans="1:51" x14ac:dyDescent="0.25">
      <c r="A956" s="34">
        <v>954</v>
      </c>
      <c r="B956" s="34" t="s">
        <v>49</v>
      </c>
      <c r="C956" s="110" t="str">
        <f>IFERROR(INDEX(Структура_ассортимента[SuperCategory],MATCH(Товары[[#This Row],[SubGroup]],Структура_ассортимента[Subgroup],0)),"")</f>
        <v>W</v>
      </c>
      <c r="D95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5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56" s="110" t="str">
        <f>IFERROR(INDEX(Структура_ассортимента[Product group],MATCH(Товары[[#This Row],[SubGroup]],Структура_ассортимента[Subgroup],0)),"")</f>
        <v>WMA_C</v>
      </c>
      <c r="G956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56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56" s="36">
        <v>9022</v>
      </c>
      <c r="J956" s="36" t="str">
        <f>IFERROR(INDEX(Структура_ассортимента[Generic Name (long)],MATCH(Товары[[#This Row],[SubGroup]],Структура_ассортимента[Subgroup],0)),"")</f>
        <v>GARDEN SHOWER</v>
      </c>
      <c r="L956" s="36">
        <v>967706401</v>
      </c>
      <c r="M956" s="35" t="s">
        <v>2640</v>
      </c>
      <c r="O956" s="35" t="s">
        <v>6136</v>
      </c>
      <c r="P956" s="37" t="s">
        <v>6137</v>
      </c>
      <c r="Q956" s="34" t="s">
        <v>3549</v>
      </c>
      <c r="R956" s="34" t="s">
        <v>3540</v>
      </c>
      <c r="S956" s="47">
        <v>43125</v>
      </c>
      <c r="T956" s="47">
        <v>0</v>
      </c>
      <c r="U956" s="47">
        <v>0</v>
      </c>
      <c r="V956" s="34">
        <v>4078500035767</v>
      </c>
      <c r="W956" s="34" t="s">
        <v>3543</v>
      </c>
      <c r="X956" s="34" t="s">
        <v>3579</v>
      </c>
      <c r="Y956" s="34" t="s">
        <v>3542</v>
      </c>
      <c r="Z956" s="34">
        <v>36</v>
      </c>
      <c r="AA956" s="34">
        <v>0</v>
      </c>
      <c r="AB956" s="34" t="s">
        <v>3691</v>
      </c>
      <c r="AC956" s="34">
        <v>0</v>
      </c>
      <c r="AD956" s="34" t="s">
        <v>4854</v>
      </c>
      <c r="AE956" s="34" t="s">
        <v>3655</v>
      </c>
      <c r="AF956" s="34" t="s">
        <v>3968</v>
      </c>
      <c r="AG956" s="34" t="s">
        <v>4231</v>
      </c>
      <c r="AH956" s="34" t="s">
        <v>6138</v>
      </c>
      <c r="AI956" s="34" t="s">
        <v>3955</v>
      </c>
      <c r="AJ956" s="34" t="s">
        <v>3938</v>
      </c>
      <c r="AK956" s="34" t="s">
        <v>4923</v>
      </c>
      <c r="AL956" s="34" t="s">
        <v>3562</v>
      </c>
      <c r="AM956" s="40" t="s">
        <v>9</v>
      </c>
      <c r="AP956" s="34">
        <v>0</v>
      </c>
      <c r="AQ956" s="34">
        <v>2519</v>
      </c>
      <c r="AR956" s="34">
        <v>1512</v>
      </c>
      <c r="AT956" s="44">
        <v>195100</v>
      </c>
      <c r="AU956" s="44"/>
      <c r="AV956" s="46">
        <f>ROUND(Товары[[#This Row],[РРЦ финальная, руб.]]/$AU$1,2)</f>
        <v>0</v>
      </c>
      <c r="AW956" s="45" t="str">
        <f>IFERROR(Товары[[#This Row],[РРЦ, евро]]/Товары[[#This Row],[IRP, Eur]],"-")</f>
        <v>-</v>
      </c>
      <c r="AX956" s="42">
        <f>IFERROR(VLOOKUP(Товары[[#This Row],[SubGroup]],'Структура цен DIY'!$B:$C,2,FALSE),0)</f>
        <v>0.28000000000000003</v>
      </c>
      <c r="AY956" s="44">
        <v>0</v>
      </c>
    </row>
    <row r="957" spans="1:51" x14ac:dyDescent="0.25">
      <c r="A957" s="34">
        <v>955</v>
      </c>
      <c r="B957" s="34" t="s">
        <v>49</v>
      </c>
      <c r="C957" s="110" t="str">
        <f>IFERROR(INDEX(Структура_ассортимента[SuperCategory],MATCH(Товары[[#This Row],[SubGroup]],Структура_ассортимента[Subgroup],0)),"")</f>
        <v>W</v>
      </c>
      <c r="D95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5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57" s="110" t="str">
        <f>IFERROR(INDEX(Структура_ассортимента[Product group],MATCH(Товары[[#This Row],[SubGroup]],Структура_ассортимента[Subgroup],0)),"")</f>
        <v>WMA_C</v>
      </c>
      <c r="G957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57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57" s="36">
        <v>9022</v>
      </c>
      <c r="J957" s="36" t="str">
        <f>IFERROR(INDEX(Структура_ассортимента[Generic Name (long)],MATCH(Товары[[#This Row],[SubGroup]],Структура_ассортимента[Subgroup],0)),"")</f>
        <v>GARDEN SHOWER</v>
      </c>
      <c r="L957" s="36">
        <v>967102401</v>
      </c>
      <c r="M957" s="35" t="s">
        <v>2641</v>
      </c>
      <c r="O957" s="35" t="s">
        <v>6139</v>
      </c>
      <c r="P957" s="37" t="s">
        <v>6140</v>
      </c>
      <c r="Q957" s="34" t="s">
        <v>3549</v>
      </c>
      <c r="R957" s="34" t="s">
        <v>3540</v>
      </c>
      <c r="S957" s="47">
        <v>42736</v>
      </c>
      <c r="T957" s="47">
        <v>0</v>
      </c>
      <c r="U957" s="47">
        <v>0</v>
      </c>
      <c r="V957" s="34">
        <v>4078500024181</v>
      </c>
      <c r="W957" s="34" t="s">
        <v>3543</v>
      </c>
      <c r="X957" s="34" t="s">
        <v>3579</v>
      </c>
      <c r="Y957" s="34" t="s">
        <v>3542</v>
      </c>
      <c r="Z957" s="34">
        <v>4</v>
      </c>
      <c r="AA957" s="34">
        <v>0</v>
      </c>
      <c r="AB957" s="34" t="s">
        <v>3691</v>
      </c>
      <c r="AC957" s="34">
        <v>0</v>
      </c>
      <c r="AD957" s="34" t="s">
        <v>4854</v>
      </c>
      <c r="AE957" s="34" t="s">
        <v>3753</v>
      </c>
      <c r="AF957" s="34" t="s">
        <v>3825</v>
      </c>
      <c r="AG957" s="34" t="s">
        <v>3557</v>
      </c>
      <c r="AH957" s="34" t="s">
        <v>4784</v>
      </c>
      <c r="AI957" s="34" t="s">
        <v>3955</v>
      </c>
      <c r="AJ957" s="34" t="s">
        <v>3938</v>
      </c>
      <c r="AK957" s="34" t="s">
        <v>4923</v>
      </c>
      <c r="AL957" s="34" t="s">
        <v>4268</v>
      </c>
      <c r="AM957" s="40" t="s">
        <v>9</v>
      </c>
      <c r="AP957" s="34">
        <v>0</v>
      </c>
      <c r="AQ957" s="34">
        <v>3729</v>
      </c>
      <c r="AR957" s="34">
        <v>2239</v>
      </c>
      <c r="AT957" s="44">
        <v>288800</v>
      </c>
      <c r="AU957" s="44"/>
      <c r="AV957" s="46">
        <f>ROUND(Товары[[#This Row],[РРЦ финальная, руб.]]/$AU$1,2)</f>
        <v>0</v>
      </c>
      <c r="AW957" s="45" t="str">
        <f>IFERROR(Товары[[#This Row],[РРЦ, евро]]/Товары[[#This Row],[IRP, Eur]],"-")</f>
        <v>-</v>
      </c>
      <c r="AX957" s="42">
        <f>IFERROR(VLOOKUP(Товары[[#This Row],[SubGroup]],'Структура цен DIY'!$B:$C,2,FALSE),0)</f>
        <v>0.28000000000000003</v>
      </c>
      <c r="AY957" s="44">
        <v>0</v>
      </c>
    </row>
    <row r="958" spans="1:51" x14ac:dyDescent="0.25">
      <c r="A958" s="34">
        <v>956</v>
      </c>
      <c r="B958" s="34" t="s">
        <v>49</v>
      </c>
      <c r="C958" s="110" t="str">
        <f>IFERROR(INDEX(Структура_ассортимента[SuperCategory],MATCH(Товары[[#This Row],[SubGroup]],Структура_ассортимента[Subgroup],0)),"")</f>
        <v>W</v>
      </c>
      <c r="D95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5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58" s="110" t="str">
        <f>IFERROR(INDEX(Структура_ассортимента[Product group],MATCH(Товары[[#This Row],[SubGroup]],Структура_ассортимента[Subgroup],0)),"")</f>
        <v>WMA_C</v>
      </c>
      <c r="G958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58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58" s="36">
        <v>9022</v>
      </c>
      <c r="J958" s="36" t="str">
        <f>IFERROR(INDEX(Структура_ассортимента[Generic Name (long)],MATCH(Товары[[#This Row],[SubGroup]],Структура_ассортимента[Subgroup],0)),"")</f>
        <v>GARDEN SHOWER</v>
      </c>
      <c r="L958" s="36">
        <v>967102501</v>
      </c>
      <c r="M958" s="35" t="s">
        <v>2642</v>
      </c>
      <c r="O958" s="35" t="s">
        <v>6141</v>
      </c>
      <c r="P958" s="37" t="s">
        <v>6142</v>
      </c>
      <c r="Q958" s="34" t="s">
        <v>3549</v>
      </c>
      <c r="R958" s="34" t="s">
        <v>3540</v>
      </c>
      <c r="S958" s="47">
        <v>42736</v>
      </c>
      <c r="T958" s="47">
        <v>0</v>
      </c>
      <c r="U958" s="47">
        <v>0</v>
      </c>
      <c r="V958" s="34">
        <v>4078500024167</v>
      </c>
      <c r="W958" s="34" t="s">
        <v>3543</v>
      </c>
      <c r="X958" s="34" t="s">
        <v>3579</v>
      </c>
      <c r="Y958" s="34" t="s">
        <v>3542</v>
      </c>
      <c r="Z958" s="34">
        <v>6</v>
      </c>
      <c r="AA958" s="34">
        <v>0</v>
      </c>
      <c r="AB958" s="34" t="s">
        <v>4678</v>
      </c>
      <c r="AC958" s="34">
        <v>0</v>
      </c>
      <c r="AD958" s="34" t="s">
        <v>5954</v>
      </c>
      <c r="AE958" s="34" t="s">
        <v>5456</v>
      </c>
      <c r="AF958" s="34" t="s">
        <v>3968</v>
      </c>
      <c r="AG958" s="34" t="s">
        <v>4335</v>
      </c>
      <c r="AH958" s="34" t="s">
        <v>6143</v>
      </c>
      <c r="AI958" s="34" t="s">
        <v>6144</v>
      </c>
      <c r="AJ958" s="34" t="s">
        <v>5904</v>
      </c>
      <c r="AK958" s="34" t="s">
        <v>5680</v>
      </c>
      <c r="AL958" s="34" t="s">
        <v>3830</v>
      </c>
      <c r="AM958" s="40" t="s">
        <v>9</v>
      </c>
      <c r="AP958" s="34">
        <v>0</v>
      </c>
      <c r="AQ958" s="34">
        <v>3399</v>
      </c>
      <c r="AR958" s="34">
        <v>2039</v>
      </c>
      <c r="AT958" s="44">
        <v>263300</v>
      </c>
      <c r="AU958" s="44"/>
      <c r="AV958" s="46">
        <f>ROUND(Товары[[#This Row],[РРЦ финальная, руб.]]/$AU$1,2)</f>
        <v>0</v>
      </c>
      <c r="AW958" s="45" t="str">
        <f>IFERROR(Товары[[#This Row],[РРЦ, евро]]/Товары[[#This Row],[IRP, Eur]],"-")</f>
        <v>-</v>
      </c>
      <c r="AX958" s="42">
        <f>IFERROR(VLOOKUP(Товары[[#This Row],[SubGroup]],'Структура цен DIY'!$B:$C,2,FALSE),0)</f>
        <v>0.28000000000000003</v>
      </c>
      <c r="AY958" s="44">
        <v>0</v>
      </c>
    </row>
    <row r="959" spans="1:51" x14ac:dyDescent="0.25">
      <c r="A959" s="34">
        <v>957</v>
      </c>
      <c r="B959" s="34" t="s">
        <v>49</v>
      </c>
      <c r="C959" s="110" t="str">
        <f>IFERROR(INDEX(Структура_ассортимента[SuperCategory],MATCH(Товары[[#This Row],[SubGroup]],Структура_ассортимента[Subgroup],0)),"")</f>
        <v>W</v>
      </c>
      <c r="D95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5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59" s="110" t="str">
        <f>IFERROR(INDEX(Структура_ассортимента[Product group],MATCH(Товары[[#This Row],[SubGroup]],Структура_ассортимента[Subgroup],0)),"")</f>
        <v>WMA_C</v>
      </c>
      <c r="G959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59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59" s="36">
        <v>9022</v>
      </c>
      <c r="J959" s="36" t="str">
        <f>IFERROR(INDEX(Структура_ассортимента[Generic Name (long)],MATCH(Товары[[#This Row],[SubGroup]],Структура_ассортимента[Subgroup],0)),"")</f>
        <v>GARDEN SHOWER</v>
      </c>
      <c r="L959" s="36">
        <v>967106401</v>
      </c>
      <c r="M959" s="35" t="s">
        <v>2643</v>
      </c>
      <c r="O959" s="35" t="s">
        <v>6145</v>
      </c>
      <c r="P959" s="37" t="s">
        <v>6118</v>
      </c>
      <c r="Q959" s="34" t="s">
        <v>3549</v>
      </c>
      <c r="R959" s="34" t="s">
        <v>3540</v>
      </c>
      <c r="S959" s="47">
        <v>42478</v>
      </c>
      <c r="T959" s="47">
        <v>0</v>
      </c>
      <c r="U959" s="47">
        <v>0</v>
      </c>
      <c r="V959" s="34">
        <v>4078500025140</v>
      </c>
      <c r="W959" s="34" t="s">
        <v>3543</v>
      </c>
      <c r="X959" s="34" t="s">
        <v>3579</v>
      </c>
      <c r="Y959" s="34" t="s">
        <v>3542</v>
      </c>
      <c r="Z959" s="34">
        <v>5</v>
      </c>
      <c r="AA959" s="34">
        <v>0</v>
      </c>
      <c r="AB959" s="34" t="s">
        <v>4147</v>
      </c>
      <c r="AC959" s="34">
        <v>0</v>
      </c>
      <c r="AD959" s="34" t="s">
        <v>4819</v>
      </c>
      <c r="AE959" s="34" t="s">
        <v>3662</v>
      </c>
      <c r="AF959" s="34" t="s">
        <v>3825</v>
      </c>
      <c r="AG959" s="34" t="s">
        <v>4335</v>
      </c>
      <c r="AH959" s="34" t="s">
        <v>6146</v>
      </c>
      <c r="AI959" s="34" t="s">
        <v>6120</v>
      </c>
      <c r="AJ959" s="34" t="s">
        <v>3624</v>
      </c>
      <c r="AK959" s="34" t="s">
        <v>5680</v>
      </c>
      <c r="AL959" s="34" t="s">
        <v>3747</v>
      </c>
      <c r="AM959" s="40" t="s">
        <v>9</v>
      </c>
      <c r="AP959" s="34">
        <v>0</v>
      </c>
      <c r="AQ959" s="34">
        <v>1969</v>
      </c>
      <c r="AR959" s="34">
        <v>1181</v>
      </c>
      <c r="AT959" s="44">
        <v>152500</v>
      </c>
      <c r="AU959" s="44"/>
      <c r="AV959" s="46">
        <f>ROUND(Товары[[#This Row],[РРЦ финальная, руб.]]/$AU$1,2)</f>
        <v>0</v>
      </c>
      <c r="AW959" s="45" t="str">
        <f>IFERROR(Товары[[#This Row],[РРЦ, евро]]/Товары[[#This Row],[IRP, Eur]],"-")</f>
        <v>-</v>
      </c>
      <c r="AX959" s="42">
        <f>IFERROR(VLOOKUP(Товары[[#This Row],[SubGroup]],'Структура цен DIY'!$B:$C,2,FALSE),0)</f>
        <v>0.28000000000000003</v>
      </c>
      <c r="AY959" s="44">
        <v>0</v>
      </c>
    </row>
    <row r="960" spans="1:51" x14ac:dyDescent="0.25">
      <c r="A960" s="34">
        <v>958</v>
      </c>
      <c r="B960" s="34" t="s">
        <v>49</v>
      </c>
      <c r="C960" s="110" t="str">
        <f>IFERROR(INDEX(Структура_ассортимента[SuperCategory],MATCH(Товары[[#This Row],[SubGroup]],Структура_ассортимента[Subgroup],0)),"")</f>
        <v>W</v>
      </c>
      <c r="D96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6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60" s="110" t="str">
        <f>IFERROR(INDEX(Структура_ассортимента[Product group],MATCH(Товары[[#This Row],[SubGroup]],Структура_ассортимента[Subgroup],0)),"")</f>
        <v>WMA_C</v>
      </c>
      <c r="G960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60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60" s="36">
        <v>9022</v>
      </c>
      <c r="J960" s="36" t="str">
        <f>IFERROR(INDEX(Структура_ассортимента[Generic Name (long)],MATCH(Товары[[#This Row],[SubGroup]],Структура_ассортимента[Subgroup],0)),"")</f>
        <v>GARDEN SHOWER</v>
      </c>
      <c r="L960" s="36">
        <v>967674201</v>
      </c>
      <c r="M960" s="35" t="s">
        <v>2644</v>
      </c>
      <c r="O960" s="35" t="s">
        <v>6147</v>
      </c>
      <c r="P960" s="37" t="s">
        <v>6148</v>
      </c>
      <c r="Q960" s="34" t="s">
        <v>3549</v>
      </c>
      <c r="R960" s="34" t="s">
        <v>3540</v>
      </c>
      <c r="S960" s="47">
        <v>43101</v>
      </c>
      <c r="T960" s="47">
        <v>0</v>
      </c>
      <c r="U960" s="47">
        <v>0</v>
      </c>
      <c r="V960" s="34">
        <v>4078500032964</v>
      </c>
      <c r="W960" s="34" t="s">
        <v>3543</v>
      </c>
      <c r="X960" s="34" t="s">
        <v>3579</v>
      </c>
      <c r="Y960" s="34" t="s">
        <v>3542</v>
      </c>
      <c r="Z960" s="34">
        <v>6</v>
      </c>
      <c r="AA960" s="34">
        <v>385</v>
      </c>
      <c r="AB960" s="34" t="s">
        <v>4638</v>
      </c>
      <c r="AC960" s="34">
        <v>353</v>
      </c>
      <c r="AD960" s="34" t="s">
        <v>6149</v>
      </c>
      <c r="AE960" s="34" t="s">
        <v>5285</v>
      </c>
      <c r="AF960" s="34" t="s">
        <v>3968</v>
      </c>
      <c r="AG960" s="34" t="s">
        <v>4472</v>
      </c>
      <c r="AH960" s="34" t="s">
        <v>6150</v>
      </c>
      <c r="AL960" s="34" t="s">
        <v>4433</v>
      </c>
      <c r="AM960" s="40" t="s">
        <v>9</v>
      </c>
      <c r="AP960" s="34">
        <v>0</v>
      </c>
      <c r="AQ960" s="34">
        <v>2739</v>
      </c>
      <c r="AR960" s="34">
        <v>1643</v>
      </c>
      <c r="AT960" s="44">
        <v>212100</v>
      </c>
      <c r="AU960" s="44"/>
      <c r="AV960" s="46">
        <f>ROUND(Товары[[#This Row],[РРЦ финальная, руб.]]/$AU$1,2)</f>
        <v>0</v>
      </c>
      <c r="AW960" s="45" t="str">
        <f>IFERROR(Товары[[#This Row],[РРЦ, евро]]/Товары[[#This Row],[IRP, Eur]],"-")</f>
        <v>-</v>
      </c>
      <c r="AX960" s="42">
        <f>IFERROR(VLOOKUP(Товары[[#This Row],[SubGroup]],'Структура цен DIY'!$B:$C,2,FALSE),0)</f>
        <v>0.28000000000000003</v>
      </c>
      <c r="AY960" s="44">
        <v>0</v>
      </c>
    </row>
    <row r="961" spans="1:51" x14ac:dyDescent="0.25">
      <c r="A961" s="34">
        <v>959</v>
      </c>
      <c r="B961" s="34" t="s">
        <v>49</v>
      </c>
      <c r="C961" s="110" t="str">
        <f>IFERROR(INDEX(Структура_ассортимента[SuperCategory],MATCH(Товары[[#This Row],[SubGroup]],Структура_ассортимента[Subgroup],0)),"")</f>
        <v>W</v>
      </c>
      <c r="D96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6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61" s="110" t="str">
        <f>IFERROR(INDEX(Структура_ассортимента[Product group],MATCH(Товары[[#This Row],[SubGroup]],Структура_ассортимента[Subgroup],0)),"")</f>
        <v>WMA_C</v>
      </c>
      <c r="G961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61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61" s="36">
        <v>9022</v>
      </c>
      <c r="J961" s="36" t="str">
        <f>IFERROR(INDEX(Структура_ассортимента[Generic Name (long)],MATCH(Товары[[#This Row],[SubGroup]],Структура_ассортимента[Subgroup],0)),"")</f>
        <v>GARDEN SHOWER</v>
      </c>
      <c r="L961" s="36">
        <v>967674301</v>
      </c>
      <c r="M961" s="35" t="s">
        <v>2645</v>
      </c>
      <c r="Q961" s="34" t="s">
        <v>3549</v>
      </c>
      <c r="R961" s="34" t="s">
        <v>3540</v>
      </c>
      <c r="S961" s="47">
        <v>43101</v>
      </c>
      <c r="T961" s="47">
        <v>0</v>
      </c>
      <c r="U961" s="47">
        <v>0</v>
      </c>
      <c r="V961" s="34">
        <v>4078500032988</v>
      </c>
      <c r="W961" s="34" t="s">
        <v>3543</v>
      </c>
      <c r="X961" s="34" t="s">
        <v>3579</v>
      </c>
      <c r="Y961" s="34" t="s">
        <v>3542</v>
      </c>
      <c r="Z961" s="34">
        <v>24</v>
      </c>
      <c r="AA961" s="34">
        <v>390</v>
      </c>
      <c r="AB961" s="34" t="s">
        <v>4638</v>
      </c>
      <c r="AC961" s="34">
        <v>363</v>
      </c>
      <c r="AD961" s="34" t="s">
        <v>6149</v>
      </c>
      <c r="AE961" s="34" t="s">
        <v>5285</v>
      </c>
      <c r="AF961" s="34" t="s">
        <v>3968</v>
      </c>
      <c r="AG961" s="34" t="s">
        <v>4472</v>
      </c>
      <c r="AH961" s="34" t="s">
        <v>6150</v>
      </c>
      <c r="AL961" s="34" t="s">
        <v>3747</v>
      </c>
      <c r="AM961" s="40" t="s">
        <v>8095</v>
      </c>
      <c r="AT961" s="44">
        <v>0</v>
      </c>
      <c r="AU961" s="44"/>
      <c r="AV961" s="46">
        <f>ROUND(Товары[[#This Row],[РРЦ финальная, руб.]]/$AU$1,2)</f>
        <v>0</v>
      </c>
      <c r="AW961" s="45" t="str">
        <f>IFERROR(Товары[[#This Row],[РРЦ, евро]]/Товары[[#This Row],[IRP, Eur]],"-")</f>
        <v>-</v>
      </c>
      <c r="AX961" s="42">
        <f>IFERROR(VLOOKUP(Товары[[#This Row],[SubGroup]],'Структура цен DIY'!$B:$C,2,FALSE),0)</f>
        <v>0.28000000000000003</v>
      </c>
      <c r="AY961" s="44">
        <v>0</v>
      </c>
    </row>
    <row r="962" spans="1:51" x14ac:dyDescent="0.25">
      <c r="A962" s="34">
        <v>960</v>
      </c>
      <c r="B962" s="34" t="s">
        <v>49</v>
      </c>
      <c r="C962" s="110" t="str">
        <f>IFERROR(INDEX(Структура_ассортимента[SuperCategory],MATCH(Товары[[#This Row],[SubGroup]],Структура_ассортимента[Subgroup],0)),"")</f>
        <v>W</v>
      </c>
      <c r="D96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6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62" s="110" t="str">
        <f>IFERROR(INDEX(Структура_ассортимента[Product group],MATCH(Товары[[#This Row],[SubGroup]],Структура_ассортимента[Subgroup],0)),"")</f>
        <v>WMA_C</v>
      </c>
      <c r="G962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62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62" s="36">
        <v>9022</v>
      </c>
      <c r="J962" s="36" t="str">
        <f>IFERROR(INDEX(Структура_ассортимента[Generic Name (long)],MATCH(Товары[[#This Row],[SubGroup]],Структура_ассортимента[Subgroup],0)),"")</f>
        <v>GARDEN SHOWER</v>
      </c>
      <c r="L962" s="36">
        <v>967687101</v>
      </c>
      <c r="M962" s="35" t="s">
        <v>2646</v>
      </c>
      <c r="O962" s="35" t="s">
        <v>6151</v>
      </c>
      <c r="P962" s="37" t="s">
        <v>6152</v>
      </c>
      <c r="Q962" s="34" t="s">
        <v>3549</v>
      </c>
      <c r="R962" s="34" t="s">
        <v>3540</v>
      </c>
      <c r="S962" s="47">
        <v>43101</v>
      </c>
      <c r="T962" s="47">
        <v>0</v>
      </c>
      <c r="U962" s="47">
        <v>0</v>
      </c>
      <c r="V962" s="34">
        <v>4078500034296</v>
      </c>
      <c r="W962" s="34" t="s">
        <v>3543</v>
      </c>
      <c r="X962" s="34" t="s">
        <v>3579</v>
      </c>
      <c r="Y962" s="34" t="s">
        <v>3542</v>
      </c>
      <c r="Z962" s="34">
        <v>48</v>
      </c>
      <c r="AA962" s="34">
        <v>169</v>
      </c>
      <c r="AB962" s="34" t="s">
        <v>3730</v>
      </c>
      <c r="AC962" s="34">
        <v>119</v>
      </c>
      <c r="AD962" s="34" t="s">
        <v>3670</v>
      </c>
      <c r="AE962" s="34" t="s">
        <v>4645</v>
      </c>
      <c r="AF962" s="34" t="s">
        <v>3968</v>
      </c>
      <c r="AG962" s="34" t="s">
        <v>4221</v>
      </c>
      <c r="AH962" s="34" t="s">
        <v>5986</v>
      </c>
      <c r="AL962" s="34" t="s">
        <v>3868</v>
      </c>
      <c r="AM962" s="40" t="s">
        <v>9</v>
      </c>
      <c r="AP962" s="34">
        <v>0</v>
      </c>
      <c r="AQ962" s="34">
        <v>1199</v>
      </c>
      <c r="AR962" s="34">
        <v>719</v>
      </c>
      <c r="AT962" s="44">
        <v>92900</v>
      </c>
      <c r="AU962" s="44"/>
      <c r="AV962" s="46">
        <f>ROUND(Товары[[#This Row],[РРЦ финальная, руб.]]/$AU$1,2)</f>
        <v>0</v>
      </c>
      <c r="AW962" s="45" t="str">
        <f>IFERROR(Товары[[#This Row],[РРЦ, евро]]/Товары[[#This Row],[IRP, Eur]],"-")</f>
        <v>-</v>
      </c>
      <c r="AX962" s="42">
        <f>IFERROR(VLOOKUP(Товары[[#This Row],[SubGroup]],'Структура цен DIY'!$B:$C,2,FALSE),0)</f>
        <v>0.28000000000000003</v>
      </c>
      <c r="AY962" s="44">
        <v>0</v>
      </c>
    </row>
    <row r="963" spans="1:51" x14ac:dyDescent="0.25">
      <c r="A963" s="34">
        <v>961</v>
      </c>
      <c r="B963" s="34" t="s">
        <v>49</v>
      </c>
      <c r="C963" s="110" t="str">
        <f>IFERROR(INDEX(Структура_ассортимента[SuperCategory],MATCH(Товары[[#This Row],[SubGroup]],Структура_ассортимента[Subgroup],0)),"")</f>
        <v>W</v>
      </c>
      <c r="D96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6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63" s="110" t="str">
        <f>IFERROR(INDEX(Структура_ассортимента[Product group],MATCH(Товары[[#This Row],[SubGroup]],Структура_ассортимента[Subgroup],0)),"")</f>
        <v>WMA_C</v>
      </c>
      <c r="G963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63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63" s="36">
        <v>9022</v>
      </c>
      <c r="J963" s="36" t="str">
        <f>IFERROR(INDEX(Структура_ассортимента[Generic Name (long)],MATCH(Товары[[#This Row],[SubGroup]],Структура_ассортимента[Subgroup],0)),"")</f>
        <v>GARDEN SHOWER</v>
      </c>
      <c r="L963" s="36">
        <v>967687401</v>
      </c>
      <c r="M963" s="35" t="s">
        <v>2647</v>
      </c>
      <c r="O963" s="35" t="s">
        <v>6153</v>
      </c>
      <c r="P963" s="37" t="s">
        <v>6154</v>
      </c>
      <c r="Q963" s="34" t="s">
        <v>3549</v>
      </c>
      <c r="R963" s="34" t="s">
        <v>3540</v>
      </c>
      <c r="S963" s="47">
        <v>43101</v>
      </c>
      <c r="T963" s="47">
        <v>0</v>
      </c>
      <c r="U963" s="47">
        <v>0</v>
      </c>
      <c r="V963" s="34">
        <v>4078500034449</v>
      </c>
      <c r="W963" s="34" t="s">
        <v>3543</v>
      </c>
      <c r="X963" s="34" t="s">
        <v>3579</v>
      </c>
      <c r="Y963" s="34" t="s">
        <v>3542</v>
      </c>
      <c r="Z963" s="34">
        <v>36</v>
      </c>
      <c r="AA963" s="34">
        <v>291</v>
      </c>
      <c r="AB963" s="34" t="s">
        <v>3806</v>
      </c>
      <c r="AC963" s="34">
        <v>241</v>
      </c>
      <c r="AD963" s="34" t="s">
        <v>4101</v>
      </c>
      <c r="AE963" s="34" t="s">
        <v>5906</v>
      </c>
      <c r="AF963" s="34" t="s">
        <v>3968</v>
      </c>
      <c r="AG963" s="34" t="s">
        <v>4402</v>
      </c>
      <c r="AH963" s="34" t="s">
        <v>5989</v>
      </c>
      <c r="AL963" s="34" t="s">
        <v>3562</v>
      </c>
      <c r="AM963" s="40" t="s">
        <v>9</v>
      </c>
      <c r="AP963" s="34">
        <v>0</v>
      </c>
      <c r="AQ963" s="34">
        <v>1199</v>
      </c>
      <c r="AR963" s="34">
        <v>719</v>
      </c>
      <c r="AT963" s="44">
        <v>92900</v>
      </c>
      <c r="AU963" s="44"/>
      <c r="AV963" s="46">
        <f>ROUND(Товары[[#This Row],[РРЦ финальная, руб.]]/$AU$1,2)</f>
        <v>0</v>
      </c>
      <c r="AW963" s="45" t="str">
        <f>IFERROR(Товары[[#This Row],[РРЦ, евро]]/Товары[[#This Row],[IRP, Eur]],"-")</f>
        <v>-</v>
      </c>
      <c r="AX963" s="42">
        <f>IFERROR(VLOOKUP(Товары[[#This Row],[SubGroup]],'Структура цен DIY'!$B:$C,2,FALSE),0)</f>
        <v>0.28000000000000003</v>
      </c>
      <c r="AY963" s="44">
        <v>0</v>
      </c>
    </row>
    <row r="964" spans="1:51" x14ac:dyDescent="0.25">
      <c r="A964" s="34">
        <v>962</v>
      </c>
      <c r="B964" s="34" t="s">
        <v>49</v>
      </c>
      <c r="C964" s="110" t="str">
        <f>IFERROR(INDEX(Структура_ассортимента[SuperCategory],MATCH(Товары[[#This Row],[SubGroup]],Структура_ассортимента[Subgroup],0)),"")</f>
        <v>W</v>
      </c>
      <c r="D96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6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64" s="110" t="str">
        <f>IFERROR(INDEX(Структура_ассортимента[Product group],MATCH(Товары[[#This Row],[SubGroup]],Структура_ассортимента[Subgroup],0)),"")</f>
        <v>WMA_C</v>
      </c>
      <c r="G964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64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64" s="36">
        <v>9022</v>
      </c>
      <c r="J964" s="36" t="str">
        <f>IFERROR(INDEX(Структура_ассортимента[Generic Name (long)],MATCH(Товары[[#This Row],[SubGroup]],Структура_ассортимента[Subgroup],0)),"")</f>
        <v>GARDEN SHOWER</v>
      </c>
      <c r="L964" s="36">
        <v>967687501</v>
      </c>
      <c r="M964" s="35" t="s">
        <v>2648</v>
      </c>
      <c r="Q964" s="34" t="s">
        <v>3549</v>
      </c>
      <c r="R964" s="34" t="s">
        <v>3540</v>
      </c>
      <c r="S964" s="47">
        <v>43101</v>
      </c>
      <c r="T964" s="47">
        <v>0</v>
      </c>
      <c r="U964" s="47">
        <v>0</v>
      </c>
      <c r="V964" s="34">
        <v>4078500034463</v>
      </c>
      <c r="W964" s="34" t="s">
        <v>3543</v>
      </c>
      <c r="X964" s="34" t="s">
        <v>3579</v>
      </c>
      <c r="Y964" s="34" t="s">
        <v>3542</v>
      </c>
      <c r="Z964" s="34">
        <v>36</v>
      </c>
      <c r="AA964" s="34">
        <v>291</v>
      </c>
      <c r="AB964" s="34" t="s">
        <v>3806</v>
      </c>
      <c r="AC964" s="34">
        <v>241</v>
      </c>
      <c r="AD964" s="34" t="s">
        <v>4101</v>
      </c>
      <c r="AE964" s="34" t="s">
        <v>5906</v>
      </c>
      <c r="AF964" s="34" t="s">
        <v>3968</v>
      </c>
      <c r="AG964" s="34" t="s">
        <v>4402</v>
      </c>
      <c r="AH964" s="34" t="s">
        <v>5989</v>
      </c>
      <c r="AL964" s="34" t="s">
        <v>3562</v>
      </c>
      <c r="AM964" s="40" t="s">
        <v>8095</v>
      </c>
      <c r="AT964" s="44">
        <v>0</v>
      </c>
      <c r="AU964" s="44"/>
      <c r="AV964" s="46">
        <f>ROUND(Товары[[#This Row],[РРЦ финальная, руб.]]/$AU$1,2)</f>
        <v>0</v>
      </c>
      <c r="AW964" s="45" t="str">
        <f>IFERROR(Товары[[#This Row],[РРЦ, евро]]/Товары[[#This Row],[IRP, Eur]],"-")</f>
        <v>-</v>
      </c>
      <c r="AX964" s="42">
        <f>IFERROR(VLOOKUP(Товары[[#This Row],[SubGroup]],'Структура цен DIY'!$B:$C,2,FALSE),0)</f>
        <v>0.28000000000000003</v>
      </c>
      <c r="AY964" s="44">
        <v>0</v>
      </c>
    </row>
    <row r="965" spans="1:51" x14ac:dyDescent="0.25">
      <c r="A965" s="34">
        <v>963</v>
      </c>
      <c r="B965" s="34" t="s">
        <v>49</v>
      </c>
      <c r="C965" s="110" t="str">
        <f>IFERROR(INDEX(Структура_ассортимента[SuperCategory],MATCH(Товары[[#This Row],[SubGroup]],Структура_ассортимента[Subgroup],0)),"")</f>
        <v>W</v>
      </c>
      <c r="D96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6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65" s="110" t="str">
        <f>IFERROR(INDEX(Структура_ассортимента[Product group],MATCH(Товары[[#This Row],[SubGroup]],Структура_ассортимента[Subgroup],0)),"")</f>
        <v>WMA_C</v>
      </c>
      <c r="G965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65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65" s="36">
        <v>9022</v>
      </c>
      <c r="J965" s="36" t="str">
        <f>IFERROR(INDEX(Структура_ассортимента[Generic Name (long)],MATCH(Товары[[#This Row],[SubGroup]],Структура_ассортимента[Subgroup],0)),"")</f>
        <v>GARDEN SHOWER</v>
      </c>
      <c r="L965" s="36">
        <v>967688401</v>
      </c>
      <c r="M965" s="35" t="s">
        <v>2649</v>
      </c>
      <c r="O965" s="35" t="s">
        <v>6155</v>
      </c>
      <c r="P965" s="37" t="s">
        <v>6156</v>
      </c>
      <c r="Q965" s="34" t="s">
        <v>3549</v>
      </c>
      <c r="R965" s="34" t="s">
        <v>3540</v>
      </c>
      <c r="S965" s="47">
        <v>43101</v>
      </c>
      <c r="T965" s="47">
        <v>0</v>
      </c>
      <c r="U965" s="47">
        <v>0</v>
      </c>
      <c r="V965" s="34">
        <v>4078500034401</v>
      </c>
      <c r="W965" s="34" t="s">
        <v>3543</v>
      </c>
      <c r="X965" s="34" t="s">
        <v>3579</v>
      </c>
      <c r="Y965" s="34" t="s">
        <v>3542</v>
      </c>
      <c r="Z965" s="34">
        <v>36</v>
      </c>
      <c r="AA965" s="34">
        <v>240</v>
      </c>
      <c r="AB965" s="34" t="s">
        <v>4152</v>
      </c>
      <c r="AC965" s="34">
        <v>190</v>
      </c>
      <c r="AD965" s="34" t="s">
        <v>3734</v>
      </c>
      <c r="AE965" s="34" t="s">
        <v>5906</v>
      </c>
      <c r="AF965" s="34" t="s">
        <v>3968</v>
      </c>
      <c r="AG965" s="34" t="s">
        <v>4402</v>
      </c>
      <c r="AH965" s="34" t="s">
        <v>5989</v>
      </c>
      <c r="AL965" s="34" t="s">
        <v>3562</v>
      </c>
      <c r="AM965" s="40" t="s">
        <v>9</v>
      </c>
      <c r="AP965" s="34">
        <v>0</v>
      </c>
      <c r="AQ965" s="34">
        <v>1309</v>
      </c>
      <c r="AR965" s="34">
        <v>785</v>
      </c>
      <c r="AT965" s="44">
        <v>101400</v>
      </c>
      <c r="AU965" s="44"/>
      <c r="AV965" s="46">
        <f>ROUND(Товары[[#This Row],[РРЦ финальная, руб.]]/$AU$1,2)</f>
        <v>0</v>
      </c>
      <c r="AW965" s="45" t="str">
        <f>IFERROR(Товары[[#This Row],[РРЦ, евро]]/Товары[[#This Row],[IRP, Eur]],"-")</f>
        <v>-</v>
      </c>
      <c r="AX965" s="42">
        <f>IFERROR(VLOOKUP(Товары[[#This Row],[SubGroup]],'Структура цен DIY'!$B:$C,2,FALSE),0)</f>
        <v>0.28000000000000003</v>
      </c>
      <c r="AY965" s="44">
        <v>0</v>
      </c>
    </row>
    <row r="966" spans="1:51" x14ac:dyDescent="0.25">
      <c r="A966" s="34">
        <v>964</v>
      </c>
      <c r="B966" s="34" t="s">
        <v>49</v>
      </c>
      <c r="C966" s="110" t="str">
        <f>IFERROR(INDEX(Структура_ассортимента[SuperCategory],MATCH(Товары[[#This Row],[SubGroup]],Структура_ассортимента[Subgroup],0)),"")</f>
        <v>W</v>
      </c>
      <c r="D96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6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66" s="110" t="str">
        <f>IFERROR(INDEX(Структура_ассортимента[Product group],MATCH(Товары[[#This Row],[SubGroup]],Структура_ассортимента[Subgroup],0)),"")</f>
        <v>WMA_C</v>
      </c>
      <c r="G966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66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66" s="36">
        <v>9022</v>
      </c>
      <c r="J966" s="36" t="str">
        <f>IFERROR(INDEX(Структура_ассортимента[Generic Name (long)],MATCH(Товары[[#This Row],[SubGroup]],Структура_ассортимента[Subgroup],0)),"")</f>
        <v>GARDEN SHOWER</v>
      </c>
      <c r="L966" s="36">
        <v>967909001</v>
      </c>
      <c r="M966" s="35" t="s">
        <v>2650</v>
      </c>
      <c r="O966" s="35" t="s">
        <v>6157</v>
      </c>
      <c r="P966" s="37" t="s">
        <v>6158</v>
      </c>
      <c r="Q966" s="34" t="s">
        <v>3549</v>
      </c>
      <c r="R966" s="34" t="s">
        <v>3540</v>
      </c>
      <c r="S966" s="47">
        <v>43466</v>
      </c>
      <c r="T966" s="47">
        <v>0</v>
      </c>
      <c r="U966" s="47">
        <v>0</v>
      </c>
      <c r="V966" s="34">
        <v>4078500044561</v>
      </c>
      <c r="W966" s="34" t="s">
        <v>3543</v>
      </c>
      <c r="X966" s="34" t="s">
        <v>3579</v>
      </c>
      <c r="Y966" s="34" t="s">
        <v>3542</v>
      </c>
      <c r="Z966" s="34">
        <v>5</v>
      </c>
      <c r="AA966" s="34" t="s">
        <v>3928</v>
      </c>
      <c r="AB966" s="34" t="s">
        <v>3928</v>
      </c>
      <c r="AC966" s="34" t="s">
        <v>4006</v>
      </c>
      <c r="AD966" s="34" t="s">
        <v>4002</v>
      </c>
      <c r="AE966" s="34" t="s">
        <v>3826</v>
      </c>
      <c r="AF966" s="34" t="s">
        <v>3825</v>
      </c>
      <c r="AG966" s="34" t="s">
        <v>4351</v>
      </c>
      <c r="AH966" s="34" t="s">
        <v>6159</v>
      </c>
      <c r="AI966" s="34" t="s">
        <v>3865</v>
      </c>
      <c r="AJ966" s="34" t="s">
        <v>3826</v>
      </c>
      <c r="AK966" s="34" t="s">
        <v>4239</v>
      </c>
      <c r="AL966" s="34" t="s">
        <v>5044</v>
      </c>
      <c r="AM966" s="40" t="s">
        <v>9</v>
      </c>
      <c r="AP966" s="34">
        <v>0</v>
      </c>
      <c r="AQ966" s="34">
        <v>1969</v>
      </c>
      <c r="AR966" s="34">
        <v>1181</v>
      </c>
      <c r="AT966" s="44">
        <v>152500</v>
      </c>
      <c r="AU966" s="44"/>
      <c r="AV966" s="46">
        <f>ROUND(Товары[[#This Row],[РРЦ финальная, руб.]]/$AU$1,2)</f>
        <v>0</v>
      </c>
      <c r="AW966" s="45" t="str">
        <f>IFERROR(Товары[[#This Row],[РРЦ, евро]]/Товары[[#This Row],[IRP, Eur]],"-")</f>
        <v>-</v>
      </c>
      <c r="AX966" s="42">
        <f>IFERROR(VLOOKUP(Товары[[#This Row],[SubGroup]],'Структура цен DIY'!$B:$C,2,FALSE),0)</f>
        <v>0.28000000000000003</v>
      </c>
      <c r="AY966" s="44">
        <v>0</v>
      </c>
    </row>
    <row r="967" spans="1:51" x14ac:dyDescent="0.25">
      <c r="A967" s="34">
        <v>965</v>
      </c>
      <c r="B967" s="34" t="s">
        <v>49</v>
      </c>
      <c r="C967" s="110" t="str">
        <f>IFERROR(INDEX(Структура_ассортимента[SuperCategory],MATCH(Товары[[#This Row],[SubGroup]],Структура_ассортимента[Subgroup],0)),"")</f>
        <v>W</v>
      </c>
      <c r="D96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6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67" s="110" t="str">
        <f>IFERROR(INDEX(Структура_ассортимента[Product group],MATCH(Товары[[#This Row],[SubGroup]],Структура_ассортимента[Subgroup],0)),"")</f>
        <v>WMA_C</v>
      </c>
      <c r="G967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67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67" s="36">
        <v>9022</v>
      </c>
      <c r="J967" s="36" t="str">
        <f>IFERROR(INDEX(Структура_ассортимента[Generic Name (long)],MATCH(Товары[[#This Row],[SubGroup]],Структура_ассортимента[Subgroup],0)),"")</f>
        <v>GARDEN SHOWER</v>
      </c>
      <c r="L967" s="36">
        <v>967909201</v>
      </c>
      <c r="M967" s="35" t="s">
        <v>2651</v>
      </c>
      <c r="O967" s="35" t="s">
        <v>6157</v>
      </c>
      <c r="P967" s="37" t="s">
        <v>6160</v>
      </c>
      <c r="Q967" s="34" t="s">
        <v>3549</v>
      </c>
      <c r="R967" s="34" t="s">
        <v>3540</v>
      </c>
      <c r="S967" s="47">
        <v>43466</v>
      </c>
      <c r="T967" s="47">
        <v>0</v>
      </c>
      <c r="U967" s="47">
        <v>0</v>
      </c>
      <c r="V967" s="34">
        <v>4078500044585</v>
      </c>
      <c r="W967" s="34" t="s">
        <v>3543</v>
      </c>
      <c r="X967" s="34" t="s">
        <v>3579</v>
      </c>
      <c r="Y967" s="34" t="s">
        <v>3542</v>
      </c>
      <c r="Z967" s="34">
        <v>36</v>
      </c>
      <c r="AA967" s="34" t="s">
        <v>6161</v>
      </c>
      <c r="AB967" s="34" t="s">
        <v>6162</v>
      </c>
      <c r="AC967" s="34" t="s">
        <v>4006</v>
      </c>
      <c r="AD967" s="34" t="s">
        <v>4006</v>
      </c>
      <c r="AE967" s="34" t="s">
        <v>3825</v>
      </c>
      <c r="AF967" s="34" t="s">
        <v>3826</v>
      </c>
      <c r="AG967" s="34" t="s">
        <v>4351</v>
      </c>
      <c r="AH967" s="34" t="s">
        <v>6091</v>
      </c>
      <c r="AI967" s="34" t="s">
        <v>3865</v>
      </c>
      <c r="AJ967" s="34" t="s">
        <v>3826</v>
      </c>
      <c r="AK967" s="34" t="s">
        <v>4239</v>
      </c>
      <c r="AL967" s="34" t="s">
        <v>3562</v>
      </c>
      <c r="AM967" s="40" t="s">
        <v>9</v>
      </c>
      <c r="AP967" s="34">
        <v>0</v>
      </c>
      <c r="AQ967" s="34">
        <v>1969</v>
      </c>
      <c r="AR967" s="34">
        <v>1116</v>
      </c>
      <c r="AT967" s="44">
        <v>152500</v>
      </c>
      <c r="AU967" s="44"/>
      <c r="AV967" s="46">
        <f>ROUND(Товары[[#This Row],[РРЦ финальная, руб.]]/$AU$1,2)</f>
        <v>0</v>
      </c>
      <c r="AW967" s="45" t="str">
        <f>IFERROR(Товары[[#This Row],[РРЦ, евро]]/Товары[[#This Row],[IRP, Eur]],"-")</f>
        <v>-</v>
      </c>
      <c r="AX967" s="42">
        <f>IFERROR(VLOOKUP(Товары[[#This Row],[SubGroup]],'Структура цен DIY'!$B:$C,2,FALSE),0)</f>
        <v>0.28000000000000003</v>
      </c>
      <c r="AY967" s="44">
        <v>0</v>
      </c>
    </row>
    <row r="968" spans="1:51" x14ac:dyDescent="0.25">
      <c r="A968" s="34">
        <v>966</v>
      </c>
      <c r="B968" s="34" t="s">
        <v>49</v>
      </c>
      <c r="C968" s="110" t="str">
        <f>IFERROR(INDEX(Структура_ассортимента[SuperCategory],MATCH(Товары[[#This Row],[SubGroup]],Структура_ассортимента[Subgroup],0)),"")</f>
        <v>W</v>
      </c>
      <c r="D96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6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68" s="110" t="str">
        <f>IFERROR(INDEX(Структура_ассортимента[Product group],MATCH(Товары[[#This Row],[SubGroup]],Структура_ассортимента[Subgroup],0)),"")</f>
        <v>WMA_C</v>
      </c>
      <c r="G968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68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68" s="36">
        <v>9022</v>
      </c>
      <c r="J968" s="36" t="str">
        <f>IFERROR(INDEX(Структура_ассортимента[Generic Name (long)],MATCH(Товары[[#This Row],[SubGroup]],Структура_ассортимента[Subgroup],0)),"")</f>
        <v>GARDEN SHOWER</v>
      </c>
      <c r="L968" s="36">
        <v>967909101</v>
      </c>
      <c r="M968" s="35" t="s">
        <v>2652</v>
      </c>
      <c r="O968" s="35" t="s">
        <v>6163</v>
      </c>
      <c r="P968" s="37" t="s">
        <v>6164</v>
      </c>
      <c r="Q968" s="34" t="s">
        <v>3549</v>
      </c>
      <c r="R968" s="34" t="s">
        <v>3540</v>
      </c>
      <c r="S968" s="47">
        <v>43466</v>
      </c>
      <c r="T968" s="47">
        <v>0</v>
      </c>
      <c r="U968" s="47">
        <v>0</v>
      </c>
      <c r="V968" s="34">
        <v>4078500044608</v>
      </c>
      <c r="W968" s="34" t="s">
        <v>3546</v>
      </c>
      <c r="X968" s="34" t="s">
        <v>3787</v>
      </c>
      <c r="Y968" s="34" t="s">
        <v>3542</v>
      </c>
      <c r="Z968" s="34">
        <v>5</v>
      </c>
      <c r="AA968" s="34" t="s">
        <v>6165</v>
      </c>
      <c r="AB968" s="34" t="s">
        <v>6166</v>
      </c>
      <c r="AC968" s="34" t="s">
        <v>4101</v>
      </c>
      <c r="AD968" s="34" t="s">
        <v>3996</v>
      </c>
      <c r="AE968" s="34" t="s">
        <v>4160</v>
      </c>
      <c r="AF968" s="34" t="s">
        <v>3708</v>
      </c>
      <c r="AG968" s="34" t="s">
        <v>4181</v>
      </c>
      <c r="AH968" s="34" t="s">
        <v>6167</v>
      </c>
      <c r="AI968" s="34" t="s">
        <v>3616</v>
      </c>
      <c r="AJ968" s="34" t="s">
        <v>4728</v>
      </c>
      <c r="AK968" s="34" t="s">
        <v>3791</v>
      </c>
      <c r="AL968" s="34" t="s">
        <v>5304</v>
      </c>
      <c r="AM968" s="40" t="s">
        <v>9</v>
      </c>
      <c r="AP968" s="34">
        <v>0</v>
      </c>
      <c r="AQ968" s="34">
        <v>1309</v>
      </c>
      <c r="AR968" s="34">
        <v>785</v>
      </c>
      <c r="AT968" s="44">
        <v>101400</v>
      </c>
      <c r="AU968" s="44"/>
      <c r="AV968" s="46">
        <f>ROUND(Товары[[#This Row],[РРЦ финальная, руб.]]/$AU$1,2)</f>
        <v>0</v>
      </c>
      <c r="AW968" s="45" t="str">
        <f>IFERROR(Товары[[#This Row],[РРЦ, евро]]/Товары[[#This Row],[IRP, Eur]],"-")</f>
        <v>-</v>
      </c>
      <c r="AX968" s="42">
        <f>IFERROR(VLOOKUP(Товары[[#This Row],[SubGroup]],'Структура цен DIY'!$B:$C,2,FALSE),0)</f>
        <v>0.28000000000000003</v>
      </c>
      <c r="AY968" s="44">
        <v>0</v>
      </c>
    </row>
    <row r="969" spans="1:51" x14ac:dyDescent="0.25">
      <c r="A969" s="34">
        <v>967</v>
      </c>
      <c r="B969" s="34" t="s">
        <v>49</v>
      </c>
      <c r="C969" s="110" t="str">
        <f>IFERROR(INDEX(Структура_ассортимента[SuperCategory],MATCH(Товары[[#This Row],[SubGroup]],Структура_ассортимента[Subgroup],0)),"")</f>
        <v>W</v>
      </c>
      <c r="D96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6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69" s="110" t="str">
        <f>IFERROR(INDEX(Структура_ассортимента[Product group],MATCH(Товары[[#This Row],[SubGroup]],Структура_ассортимента[Subgroup],0)),"")</f>
        <v>WMH_C</v>
      </c>
      <c r="G969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969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969" s="36">
        <v>9014</v>
      </c>
      <c r="J969" s="36" t="str">
        <f>IFERROR(INDEX(Структура_ассортимента[Generic Name (long)],MATCH(Товары[[#This Row],[SubGroup]],Структура_ассортимента[Subgroup],0)),"")</f>
        <v>GARDEN HOSE</v>
      </c>
      <c r="L969" s="36">
        <v>967298301</v>
      </c>
      <c r="M969" s="35" t="s">
        <v>2653</v>
      </c>
      <c r="O969" s="35" t="s">
        <v>6168</v>
      </c>
      <c r="P969" s="37" t="s">
        <v>6169</v>
      </c>
      <c r="Q969" s="34" t="s">
        <v>3549</v>
      </c>
      <c r="R969" s="34" t="s">
        <v>3540</v>
      </c>
      <c r="S969" s="47">
        <v>41673</v>
      </c>
      <c r="T969" s="47">
        <v>0</v>
      </c>
      <c r="U969" s="47">
        <v>0</v>
      </c>
      <c r="V969" s="34">
        <v>4078500004886</v>
      </c>
      <c r="W969" s="34" t="s">
        <v>3546</v>
      </c>
      <c r="X969" s="34" t="s">
        <v>4868</v>
      </c>
      <c r="Y969" s="34" t="s">
        <v>3542</v>
      </c>
      <c r="Z969" s="34">
        <v>1</v>
      </c>
      <c r="AA969" s="34" t="s">
        <v>5436</v>
      </c>
      <c r="AB969" s="34" t="s">
        <v>5436</v>
      </c>
      <c r="AC969" s="34" t="s">
        <v>6170</v>
      </c>
      <c r="AD969" s="34" t="s">
        <v>6170</v>
      </c>
      <c r="AE969" s="34" t="s">
        <v>4510</v>
      </c>
      <c r="AF969" s="34" t="s">
        <v>4510</v>
      </c>
      <c r="AG969" s="34" t="s">
        <v>3886</v>
      </c>
      <c r="AH969" s="34" t="s">
        <v>6171</v>
      </c>
      <c r="AL969" s="34" t="s">
        <v>4397</v>
      </c>
      <c r="AM969" s="40" t="s">
        <v>9</v>
      </c>
      <c r="AP969" s="34">
        <v>0</v>
      </c>
      <c r="AQ969" s="34">
        <v>2739</v>
      </c>
      <c r="AR969" s="34">
        <v>1894</v>
      </c>
      <c r="AT969" s="44">
        <v>212100</v>
      </c>
      <c r="AU969" s="44"/>
      <c r="AV969" s="46">
        <f>ROUND(Товары[[#This Row],[РРЦ финальная, руб.]]/$AU$1,2)</f>
        <v>0</v>
      </c>
      <c r="AW969" s="45" t="str">
        <f>IFERROR(Товары[[#This Row],[РРЦ, евро]]/Товары[[#This Row],[IRP, Eur]],"-")</f>
        <v>-</v>
      </c>
      <c r="AX969" s="42">
        <f>IFERROR(VLOOKUP(Товары[[#This Row],[SubGroup]],'Структура цен DIY'!$B:$C,2,FALSE),0)</f>
        <v>0.26</v>
      </c>
      <c r="AY969" s="44">
        <v>0</v>
      </c>
    </row>
    <row r="970" spans="1:51" x14ac:dyDescent="0.25">
      <c r="A970" s="34">
        <v>968</v>
      </c>
      <c r="B970" s="34" t="s">
        <v>49</v>
      </c>
      <c r="C970" s="110" t="str">
        <f>IFERROR(INDEX(Структура_ассортимента[SuperCategory],MATCH(Товары[[#This Row],[SubGroup]],Структура_ассортимента[Subgroup],0)),"")</f>
        <v>W</v>
      </c>
      <c r="D97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7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70" s="110" t="str">
        <f>IFERROR(INDEX(Структура_ассортимента[Product group],MATCH(Товары[[#This Row],[SubGroup]],Структура_ассортимента[Subgroup],0)),"")</f>
        <v>WMH_C</v>
      </c>
      <c r="G970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970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970" s="36">
        <v>9014</v>
      </c>
      <c r="J970" s="36" t="str">
        <f>IFERROR(INDEX(Структура_ассортимента[Generic Name (long)],MATCH(Товары[[#This Row],[SubGroup]],Структура_ассортимента[Subgroup],0)),"")</f>
        <v>GARDEN HOSE</v>
      </c>
      <c r="L970" s="36">
        <v>967298401</v>
      </c>
      <c r="M970" s="35" t="s">
        <v>2654</v>
      </c>
      <c r="O970" s="35" t="s">
        <v>6172</v>
      </c>
      <c r="P970" s="37" t="s">
        <v>6173</v>
      </c>
      <c r="Q970" s="34" t="s">
        <v>3549</v>
      </c>
      <c r="R970" s="34" t="s">
        <v>3540</v>
      </c>
      <c r="S970" s="47">
        <v>41673</v>
      </c>
      <c r="T970" s="47">
        <v>0</v>
      </c>
      <c r="U970" s="47">
        <v>0</v>
      </c>
      <c r="V970" s="34">
        <v>4078500004893</v>
      </c>
      <c r="W970" s="34" t="s">
        <v>3546</v>
      </c>
      <c r="X970" s="34" t="s">
        <v>4868</v>
      </c>
      <c r="Y970" s="34" t="s">
        <v>3542</v>
      </c>
      <c r="Z970" s="34">
        <v>1</v>
      </c>
      <c r="AA970" s="34" t="s">
        <v>6174</v>
      </c>
      <c r="AB970" s="34" t="s">
        <v>6174</v>
      </c>
      <c r="AC970" s="34" t="s">
        <v>6175</v>
      </c>
      <c r="AD970" s="34" t="s">
        <v>6175</v>
      </c>
      <c r="AE970" s="34" t="s">
        <v>4202</v>
      </c>
      <c r="AF970" s="34" t="s">
        <v>4202</v>
      </c>
      <c r="AG970" s="34" t="s">
        <v>3955</v>
      </c>
      <c r="AH970" s="34" t="s">
        <v>6176</v>
      </c>
      <c r="AL970" s="34" t="s">
        <v>4513</v>
      </c>
      <c r="AM970" s="40" t="s">
        <v>9</v>
      </c>
      <c r="AP970" s="34">
        <v>0</v>
      </c>
      <c r="AQ970" s="34">
        <v>2419</v>
      </c>
      <c r="AR970" s="34">
        <v>1653</v>
      </c>
      <c r="AT970" s="44">
        <v>187400</v>
      </c>
      <c r="AU970" s="44"/>
      <c r="AV970" s="46">
        <f>ROUND(Товары[[#This Row],[РРЦ финальная, руб.]]/$AU$1,2)</f>
        <v>0</v>
      </c>
      <c r="AW970" s="45" t="str">
        <f>IFERROR(Товары[[#This Row],[РРЦ, евро]]/Товары[[#This Row],[IRP, Eur]],"-")</f>
        <v>-</v>
      </c>
      <c r="AX970" s="42">
        <f>IFERROR(VLOOKUP(Товары[[#This Row],[SubGroup]],'Структура цен DIY'!$B:$C,2,FALSE),0)</f>
        <v>0.26</v>
      </c>
      <c r="AY970" s="44">
        <v>0</v>
      </c>
    </row>
    <row r="971" spans="1:51" x14ac:dyDescent="0.25">
      <c r="A971" s="34">
        <v>969</v>
      </c>
      <c r="B971" s="34" t="s">
        <v>49</v>
      </c>
      <c r="C971" s="110" t="str">
        <f>IFERROR(INDEX(Структура_ассортимента[SuperCategory],MATCH(Товары[[#This Row],[SubGroup]],Структура_ассортимента[Subgroup],0)),"")</f>
        <v>W</v>
      </c>
      <c r="D97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7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71" s="110" t="str">
        <f>IFERROR(INDEX(Структура_ассортимента[Product group],MATCH(Товары[[#This Row],[SubGroup]],Структура_ассортимента[Subgroup],0)),"")</f>
        <v>WMH_C</v>
      </c>
      <c r="G971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971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971" s="36">
        <v>9014</v>
      </c>
      <c r="J971" s="36" t="str">
        <f>IFERROR(INDEX(Структура_ассортимента[Generic Name (long)],MATCH(Товары[[#This Row],[SubGroup]],Структура_ассортимента[Subgroup],0)),"")</f>
        <v>GARDEN HOSE</v>
      </c>
      <c r="L971" s="36">
        <v>967298201</v>
      </c>
      <c r="M971" s="35" t="s">
        <v>2655</v>
      </c>
      <c r="O971" s="35" t="s">
        <v>6177</v>
      </c>
      <c r="P971" s="37" t="s">
        <v>6178</v>
      </c>
      <c r="Q971" s="34" t="s">
        <v>3549</v>
      </c>
      <c r="R971" s="34" t="s">
        <v>3540</v>
      </c>
      <c r="S971" s="47">
        <v>41673</v>
      </c>
      <c r="T971" s="47">
        <v>0</v>
      </c>
      <c r="U971" s="47">
        <v>0</v>
      </c>
      <c r="V971" s="34">
        <v>4078500004879</v>
      </c>
      <c r="W971" s="34" t="s">
        <v>3546</v>
      </c>
      <c r="X971" s="34" t="s">
        <v>4868</v>
      </c>
      <c r="Y971" s="34" t="s">
        <v>3542</v>
      </c>
      <c r="Z971" s="34">
        <v>1</v>
      </c>
      <c r="AA971" s="34" t="s">
        <v>6179</v>
      </c>
      <c r="AB971" s="34" t="s">
        <v>6179</v>
      </c>
      <c r="AC971" s="34" t="s">
        <v>6180</v>
      </c>
      <c r="AD971" s="34" t="s">
        <v>6180</v>
      </c>
      <c r="AE971" s="34" t="s">
        <v>4891</v>
      </c>
      <c r="AF971" s="34" t="s">
        <v>4891</v>
      </c>
      <c r="AG971" s="34" t="s">
        <v>4549</v>
      </c>
      <c r="AH971" s="34" t="s">
        <v>6181</v>
      </c>
      <c r="AL971" s="34" t="s">
        <v>6182</v>
      </c>
      <c r="AM971" s="40" t="s">
        <v>9</v>
      </c>
      <c r="AP971" s="34">
        <v>0</v>
      </c>
      <c r="AQ971" s="34">
        <v>1264</v>
      </c>
      <c r="AR971" s="34">
        <v>822</v>
      </c>
      <c r="AT971" s="44">
        <v>97900</v>
      </c>
      <c r="AU971" s="44"/>
      <c r="AV971" s="46">
        <f>ROUND(Товары[[#This Row],[РРЦ финальная, руб.]]/$AU$1,2)</f>
        <v>0</v>
      </c>
      <c r="AW971" s="45" t="str">
        <f>IFERROR(Товары[[#This Row],[РРЦ, евро]]/Товары[[#This Row],[IRP, Eur]],"-")</f>
        <v>-</v>
      </c>
      <c r="AX971" s="42">
        <f>IFERROR(VLOOKUP(Товары[[#This Row],[SubGroup]],'Структура цен DIY'!$B:$C,2,FALSE),0)</f>
        <v>0.26</v>
      </c>
      <c r="AY971" s="44">
        <v>0</v>
      </c>
    </row>
    <row r="972" spans="1:51" x14ac:dyDescent="0.25">
      <c r="A972" s="34">
        <v>970</v>
      </c>
      <c r="B972" s="34" t="s">
        <v>49</v>
      </c>
      <c r="C972" s="110" t="str">
        <f>IFERROR(INDEX(Структура_ассортимента[SuperCategory],MATCH(Товары[[#This Row],[SubGroup]],Структура_ассортимента[Subgroup],0)),"")</f>
        <v>W</v>
      </c>
      <c r="D97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7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72" s="110" t="str">
        <f>IFERROR(INDEX(Структура_ассортимента[Product group],MATCH(Товары[[#This Row],[SubGroup]],Структура_ассортимента[Subgroup],0)),"")</f>
        <v>WMH_C</v>
      </c>
      <c r="G972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972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972" s="36">
        <v>9014</v>
      </c>
      <c r="J972" s="36" t="str">
        <f>IFERROR(INDEX(Структура_ассортимента[Generic Name (long)],MATCH(Товары[[#This Row],[SubGroup]],Структура_ассортимента[Subgroup],0)),"")</f>
        <v>GARDEN HOSE</v>
      </c>
      <c r="L972" s="36">
        <v>967650701</v>
      </c>
      <c r="M972" s="35" t="s">
        <v>2656</v>
      </c>
      <c r="Q972" s="34" t="s">
        <v>3549</v>
      </c>
      <c r="R972" s="34" t="s">
        <v>3540</v>
      </c>
      <c r="S972" s="47">
        <v>42736</v>
      </c>
      <c r="T972" s="47">
        <v>0</v>
      </c>
      <c r="U972" s="47">
        <v>0</v>
      </c>
      <c r="V972" s="34">
        <v>4078500029988</v>
      </c>
      <c r="W972" s="34" t="s">
        <v>3546</v>
      </c>
      <c r="X972" s="34" t="s">
        <v>4868</v>
      </c>
      <c r="Y972" s="34" t="s">
        <v>3542</v>
      </c>
      <c r="Z972" s="34">
        <v>1</v>
      </c>
      <c r="AA972" s="34">
        <v>0</v>
      </c>
      <c r="AB972" s="34" t="s">
        <v>6183</v>
      </c>
      <c r="AC972" s="34">
        <v>0</v>
      </c>
      <c r="AD972" s="34" t="s">
        <v>6184</v>
      </c>
      <c r="AE972" s="34" t="s">
        <v>4891</v>
      </c>
      <c r="AF972" s="34" t="s">
        <v>4891</v>
      </c>
      <c r="AG972" s="34" t="s">
        <v>3800</v>
      </c>
      <c r="AH972" s="34" t="s">
        <v>6185</v>
      </c>
      <c r="AL972" s="34" t="s">
        <v>5031</v>
      </c>
      <c r="AM972" s="40" t="s">
        <v>8095</v>
      </c>
      <c r="AT972" s="44">
        <v>0</v>
      </c>
      <c r="AU972" s="44"/>
      <c r="AV972" s="46">
        <f>ROUND(Товары[[#This Row],[РРЦ финальная, руб.]]/$AU$1,2)</f>
        <v>0</v>
      </c>
      <c r="AW972" s="45" t="str">
        <f>IFERROR(Товары[[#This Row],[РРЦ, евро]]/Товары[[#This Row],[IRP, Eur]],"-")</f>
        <v>-</v>
      </c>
      <c r="AX972" s="42">
        <f>IFERROR(VLOOKUP(Товары[[#This Row],[SubGroup]],'Структура цен DIY'!$B:$C,2,FALSE),0)</f>
        <v>0.26</v>
      </c>
      <c r="AY972" s="44">
        <v>0</v>
      </c>
    </row>
    <row r="973" spans="1:51" x14ac:dyDescent="0.25">
      <c r="A973" s="34">
        <v>971</v>
      </c>
      <c r="B973" s="34" t="s">
        <v>49</v>
      </c>
      <c r="C973" s="110" t="str">
        <f>IFERROR(INDEX(Структура_ассортимента[SuperCategory],MATCH(Товары[[#This Row],[SubGroup]],Структура_ассортимента[Subgroup],0)),"")</f>
        <v>W</v>
      </c>
      <c r="D97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7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73" s="110" t="str">
        <f>IFERROR(INDEX(Структура_ассортимента[Product group],MATCH(Товары[[#This Row],[SubGroup]],Структура_ассортимента[Subgroup],0)),"")</f>
        <v>WMH_C</v>
      </c>
      <c r="G973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973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973" s="36">
        <v>9014</v>
      </c>
      <c r="J973" s="36" t="str">
        <f>IFERROR(INDEX(Структура_ассортимента[Generic Name (long)],MATCH(Товары[[#This Row],[SubGroup]],Структура_ассортимента[Subgroup],0)),"")</f>
        <v>GARDEN HOSE</v>
      </c>
      <c r="L973" s="36">
        <v>967972501</v>
      </c>
      <c r="M973" s="35" t="s">
        <v>2657</v>
      </c>
      <c r="O973" s="35" t="s">
        <v>6186</v>
      </c>
      <c r="P973" s="37" t="s">
        <v>6187</v>
      </c>
      <c r="Q973" s="34" t="s">
        <v>3549</v>
      </c>
      <c r="R973" s="34" t="s">
        <v>3540</v>
      </c>
      <c r="S973" s="47">
        <v>43466</v>
      </c>
      <c r="T973" s="47">
        <v>0</v>
      </c>
      <c r="U973" s="47">
        <v>0</v>
      </c>
      <c r="V973" s="34">
        <v>4078500047760</v>
      </c>
      <c r="W973" s="34" t="s">
        <v>3546</v>
      </c>
      <c r="X973" s="34" t="s">
        <v>4868</v>
      </c>
      <c r="Y973" s="34" t="s">
        <v>3542</v>
      </c>
      <c r="Z973" s="34">
        <v>1</v>
      </c>
      <c r="AA973" s="34" t="s">
        <v>6188</v>
      </c>
      <c r="AC973" s="34" t="s">
        <v>5358</v>
      </c>
      <c r="AM973" s="40" t="s">
        <v>9</v>
      </c>
      <c r="AP973" s="34">
        <v>0</v>
      </c>
      <c r="AQ973" s="34">
        <v>1825</v>
      </c>
      <c r="AR973" s="34">
        <v>1293</v>
      </c>
      <c r="AT973" s="44">
        <v>141400</v>
      </c>
      <c r="AU973" s="44"/>
      <c r="AV973" s="46">
        <f>ROUND(Товары[[#This Row],[РРЦ финальная, руб.]]/$AU$1,2)</f>
        <v>0</v>
      </c>
      <c r="AW973" s="45" t="str">
        <f>IFERROR(Товары[[#This Row],[РРЦ, евро]]/Товары[[#This Row],[IRP, Eur]],"-")</f>
        <v>-</v>
      </c>
      <c r="AX973" s="42">
        <f>IFERROR(VLOOKUP(Товары[[#This Row],[SubGroup]],'Структура цен DIY'!$B:$C,2,FALSE),0)</f>
        <v>0.26</v>
      </c>
      <c r="AY973" s="44">
        <v>0</v>
      </c>
    </row>
    <row r="974" spans="1:51" x14ac:dyDescent="0.25">
      <c r="A974" s="34">
        <v>972</v>
      </c>
      <c r="B974" s="34" t="s">
        <v>49</v>
      </c>
      <c r="C974" s="110" t="str">
        <f>IFERROR(INDEX(Структура_ассортимента[SuperCategory],MATCH(Товары[[#This Row],[SubGroup]],Структура_ассортимента[Subgroup],0)),"")</f>
        <v>W</v>
      </c>
      <c r="D97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7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74" s="110" t="str">
        <f>IFERROR(INDEX(Структура_ассортимента[Product group],MATCH(Товары[[#This Row],[SubGroup]],Структура_ассортимента[Subgroup],0)),"")</f>
        <v>WMH_C</v>
      </c>
      <c r="G974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974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974" s="36">
        <v>9014</v>
      </c>
      <c r="J974" s="36" t="str">
        <f>IFERROR(INDEX(Структура_ассортимента[Generic Name (long)],MATCH(Товары[[#This Row],[SubGroup]],Структура_ассортимента[Subgroup],0)),"")</f>
        <v>GARDEN HOSE</v>
      </c>
      <c r="L974" s="36">
        <v>967325101</v>
      </c>
      <c r="M974" s="35" t="s">
        <v>2658</v>
      </c>
      <c r="Q974" s="34" t="s">
        <v>3549</v>
      </c>
      <c r="R974" s="34" t="s">
        <v>3540</v>
      </c>
      <c r="S974" s="47">
        <v>42005</v>
      </c>
      <c r="T974" s="47">
        <v>0</v>
      </c>
      <c r="U974" s="47">
        <v>0</v>
      </c>
      <c r="V974" s="34">
        <v>4078500013529</v>
      </c>
      <c r="W974" s="34" t="s">
        <v>3550</v>
      </c>
      <c r="X974" s="34" t="s">
        <v>4868</v>
      </c>
      <c r="Y974" s="34" t="s">
        <v>3542</v>
      </c>
      <c r="Z974" s="34">
        <v>1</v>
      </c>
      <c r="AA974" s="34" t="s">
        <v>6189</v>
      </c>
      <c r="AB974" s="34" t="s">
        <v>6189</v>
      </c>
      <c r="AC974" s="34" t="s">
        <v>6190</v>
      </c>
      <c r="AD974" s="34" t="s">
        <v>6190</v>
      </c>
      <c r="AE974" s="34" t="s">
        <v>4202</v>
      </c>
      <c r="AF974" s="34" t="s">
        <v>4202</v>
      </c>
      <c r="AG974" s="34" t="s">
        <v>3955</v>
      </c>
      <c r="AH974" s="34" t="s">
        <v>6176</v>
      </c>
      <c r="AL974" s="34" t="s">
        <v>3842</v>
      </c>
      <c r="AM974" s="40" t="s">
        <v>8095</v>
      </c>
      <c r="AT974" s="44">
        <v>0</v>
      </c>
      <c r="AU974" s="44"/>
      <c r="AV974" s="46">
        <f>ROUND(Товары[[#This Row],[РРЦ финальная, руб.]]/$AU$1,2)</f>
        <v>0</v>
      </c>
      <c r="AW974" s="45" t="str">
        <f>IFERROR(Товары[[#This Row],[РРЦ, евро]]/Товары[[#This Row],[IRP, Eur]],"-")</f>
        <v>-</v>
      </c>
      <c r="AX974" s="42">
        <f>IFERROR(VLOOKUP(Товары[[#This Row],[SubGroup]],'Структура цен DIY'!$B:$C,2,FALSE),0)</f>
        <v>0.26</v>
      </c>
      <c r="AY974" s="44">
        <v>0</v>
      </c>
    </row>
    <row r="975" spans="1:51" x14ac:dyDescent="0.25">
      <c r="A975" s="34">
        <v>973</v>
      </c>
      <c r="B975" s="34" t="s">
        <v>49</v>
      </c>
      <c r="C975" s="110" t="str">
        <f>IFERROR(INDEX(Структура_ассортимента[SuperCategory],MATCH(Товары[[#This Row],[SubGroup]],Структура_ассортимента[Subgroup],0)),"")</f>
        <v>W</v>
      </c>
      <c r="D97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7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75" s="110" t="str">
        <f>IFERROR(INDEX(Структура_ассортимента[Product group],MATCH(Товары[[#This Row],[SubGroup]],Структура_ассортимента[Subgroup],0)),"")</f>
        <v>WMH_C</v>
      </c>
      <c r="G975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975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975" s="36">
        <v>9014</v>
      </c>
      <c r="J975" s="36" t="str">
        <f>IFERROR(INDEX(Структура_ассортимента[Generic Name (long)],MATCH(Товары[[#This Row],[SubGroup]],Структура_ассортимента[Subgroup],0)),"")</f>
        <v>GARDEN HOSE</v>
      </c>
      <c r="L975" s="36">
        <v>967246301</v>
      </c>
      <c r="M975" s="35" t="s">
        <v>2659</v>
      </c>
      <c r="Q975" s="34" t="s">
        <v>3549</v>
      </c>
      <c r="R975" s="34" t="s">
        <v>3540</v>
      </c>
      <c r="S975" s="47">
        <v>41640</v>
      </c>
      <c r="T975" s="47">
        <v>0</v>
      </c>
      <c r="U975" s="47">
        <v>0</v>
      </c>
      <c r="V975" s="34">
        <v>4078500002202</v>
      </c>
      <c r="W975" s="34" t="s">
        <v>3546</v>
      </c>
      <c r="X975" s="34" t="s">
        <v>6191</v>
      </c>
      <c r="Y975" s="34" t="s">
        <v>6192</v>
      </c>
      <c r="Z975" s="34">
        <v>1</v>
      </c>
      <c r="AA975" s="34" t="s">
        <v>6193</v>
      </c>
      <c r="AB975" s="34" t="s">
        <v>5382</v>
      </c>
      <c r="AC975" s="34" t="s">
        <v>4319</v>
      </c>
      <c r="AD975" s="34" t="s">
        <v>6194</v>
      </c>
      <c r="AE975" s="34" t="s">
        <v>5048</v>
      </c>
      <c r="AF975" s="34" t="s">
        <v>5048</v>
      </c>
      <c r="AG975" s="34" t="s">
        <v>4659</v>
      </c>
      <c r="AH975" s="34" t="s">
        <v>6195</v>
      </c>
      <c r="AL975" s="34" t="s">
        <v>3830</v>
      </c>
      <c r="AM975" s="40" t="s">
        <v>8095</v>
      </c>
      <c r="AT975" s="44">
        <v>0</v>
      </c>
      <c r="AU975" s="44"/>
      <c r="AV975" s="46">
        <f>ROUND(Товары[[#This Row],[РРЦ финальная, руб.]]/$AU$1,2)</f>
        <v>0</v>
      </c>
      <c r="AW975" s="45" t="str">
        <f>IFERROR(Товары[[#This Row],[РРЦ, евро]]/Товары[[#This Row],[IRP, Eur]],"-")</f>
        <v>-</v>
      </c>
      <c r="AX975" s="42">
        <f>IFERROR(VLOOKUP(Товары[[#This Row],[SubGroup]],'Структура цен DIY'!$B:$C,2,FALSE),0)</f>
        <v>0.26</v>
      </c>
      <c r="AY975" s="44">
        <v>0</v>
      </c>
    </row>
    <row r="976" spans="1:51" x14ac:dyDescent="0.25">
      <c r="A976" s="34">
        <v>974</v>
      </c>
      <c r="B976" s="34" t="s">
        <v>49</v>
      </c>
      <c r="C976" s="110" t="str">
        <f>IFERROR(INDEX(Структура_ассортимента[SuperCategory],MATCH(Товары[[#This Row],[SubGroup]],Структура_ассортимента[Subgroup],0)),"")</f>
        <v>W</v>
      </c>
      <c r="D97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7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76" s="110" t="str">
        <f>IFERROR(INDEX(Структура_ассортимента[Product group],MATCH(Товары[[#This Row],[SubGroup]],Структура_ассортимента[Subgroup],0)),"")</f>
        <v>WMH_C</v>
      </c>
      <c r="G976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976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976" s="36">
        <v>9014</v>
      </c>
      <c r="J976" s="36" t="str">
        <f>IFERROR(INDEX(Структура_ассортимента[Generic Name (long)],MATCH(Товары[[#This Row],[SubGroup]],Структура_ассортимента[Subgroup],0)),"")</f>
        <v>GARDEN HOSE</v>
      </c>
      <c r="L976" s="36">
        <v>967246401</v>
      </c>
      <c r="M976" s="35" t="s">
        <v>2660</v>
      </c>
      <c r="O976" s="35" t="s">
        <v>6196</v>
      </c>
      <c r="P976" s="37" t="s">
        <v>6197</v>
      </c>
      <c r="Q976" s="34" t="s">
        <v>3549</v>
      </c>
      <c r="R976" s="34" t="s">
        <v>3540</v>
      </c>
      <c r="S976" s="47">
        <v>41640</v>
      </c>
      <c r="T976" s="47">
        <v>0</v>
      </c>
      <c r="U976" s="47">
        <v>0</v>
      </c>
      <c r="V976" s="34">
        <v>4078500002219</v>
      </c>
      <c r="W976" s="34" t="s">
        <v>3546</v>
      </c>
      <c r="X976" s="34" t="s">
        <v>6191</v>
      </c>
      <c r="Y976" s="34" t="s">
        <v>6192</v>
      </c>
      <c r="Z976" s="34">
        <v>1</v>
      </c>
      <c r="AA976" s="34" t="s">
        <v>6198</v>
      </c>
      <c r="AB976" s="34" t="s">
        <v>6198</v>
      </c>
      <c r="AC976" s="34" t="s">
        <v>5565</v>
      </c>
      <c r="AD976" s="34" t="s">
        <v>5565</v>
      </c>
      <c r="AE976" s="34" t="s">
        <v>4510</v>
      </c>
      <c r="AF976" s="34" t="s">
        <v>4510</v>
      </c>
      <c r="AG976" s="34" t="s">
        <v>4659</v>
      </c>
      <c r="AH976" s="34" t="s">
        <v>6199</v>
      </c>
      <c r="AL976" s="34" t="s">
        <v>3830</v>
      </c>
      <c r="AM976" s="40" t="s">
        <v>9</v>
      </c>
      <c r="AP976" s="34">
        <v>0</v>
      </c>
      <c r="AQ976" s="34">
        <v>1393</v>
      </c>
      <c r="AR976" s="34">
        <v>847</v>
      </c>
      <c r="AT976" s="44">
        <v>107900</v>
      </c>
      <c r="AU976" s="44"/>
      <c r="AV976" s="46">
        <f>ROUND(Товары[[#This Row],[РРЦ финальная, руб.]]/$AU$1,2)</f>
        <v>0</v>
      </c>
      <c r="AW976" s="45" t="str">
        <f>IFERROR(Товары[[#This Row],[РРЦ, евро]]/Товары[[#This Row],[IRP, Eur]],"-")</f>
        <v>-</v>
      </c>
      <c r="AX976" s="42">
        <f>IFERROR(VLOOKUP(Товары[[#This Row],[SubGroup]],'Структура цен DIY'!$B:$C,2,FALSE),0)</f>
        <v>0.26</v>
      </c>
      <c r="AY976" s="44">
        <v>0</v>
      </c>
    </row>
    <row r="977" spans="1:51" x14ac:dyDescent="0.25">
      <c r="A977" s="34">
        <v>975</v>
      </c>
      <c r="B977" s="34" t="s">
        <v>49</v>
      </c>
      <c r="C977" s="110" t="str">
        <f>IFERROR(INDEX(Структура_ассортимента[SuperCategory],MATCH(Товары[[#This Row],[SubGroup]],Структура_ассортимента[Subgroup],0)),"")</f>
        <v>W</v>
      </c>
      <c r="D97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7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77" s="110" t="str">
        <f>IFERROR(INDEX(Структура_ассортимента[Product group],MATCH(Товары[[#This Row],[SubGroup]],Структура_ассортимента[Subgroup],0)),"")</f>
        <v>WMH_C</v>
      </c>
      <c r="G977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977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977" s="36">
        <v>9014</v>
      </c>
      <c r="J977" s="36" t="str">
        <f>IFERROR(INDEX(Структура_ассортимента[Generic Name (long)],MATCH(Товары[[#This Row],[SubGroup]],Структура_ассортимента[Subgroup],0)),"")</f>
        <v>GARDEN HOSE</v>
      </c>
      <c r="L977" s="36">
        <v>967246701</v>
      </c>
      <c r="M977" s="35" t="s">
        <v>2661</v>
      </c>
      <c r="O977" s="35" t="s">
        <v>6196</v>
      </c>
      <c r="P977" s="37" t="s">
        <v>6197</v>
      </c>
      <c r="Q977" s="34" t="s">
        <v>3549</v>
      </c>
      <c r="R977" s="34" t="s">
        <v>3540</v>
      </c>
      <c r="S977" s="47">
        <v>41640</v>
      </c>
      <c r="T977" s="47">
        <v>0</v>
      </c>
      <c r="U977" s="47">
        <v>0</v>
      </c>
      <c r="V977" s="34">
        <v>4078500002240</v>
      </c>
      <c r="W977" s="34" t="s">
        <v>3550</v>
      </c>
      <c r="X977" s="34" t="s">
        <v>6191</v>
      </c>
      <c r="Y977" s="34" t="s">
        <v>6192</v>
      </c>
      <c r="Z977" s="34">
        <v>14</v>
      </c>
      <c r="AA977" s="34" t="s">
        <v>6200</v>
      </c>
      <c r="AB977" s="34" t="s">
        <v>6200</v>
      </c>
      <c r="AC977" s="34" t="s">
        <v>5565</v>
      </c>
      <c r="AD977" s="34" t="s">
        <v>5565</v>
      </c>
      <c r="AE977" s="34" t="s">
        <v>3610</v>
      </c>
      <c r="AF977" s="34" t="s">
        <v>3610</v>
      </c>
      <c r="AG977" s="34" t="s">
        <v>4549</v>
      </c>
      <c r="AH977" s="34" t="s">
        <v>6201</v>
      </c>
      <c r="AL977" s="34" t="s">
        <v>6202</v>
      </c>
      <c r="AM977" s="40" t="s">
        <v>233</v>
      </c>
      <c r="AT977" s="44">
        <v>0</v>
      </c>
      <c r="AU977" s="44"/>
      <c r="AV977" s="46">
        <f>ROUND(Товары[[#This Row],[РРЦ финальная, руб.]]/$AU$1,2)</f>
        <v>0</v>
      </c>
      <c r="AW977" s="45" t="str">
        <f>IFERROR(Товары[[#This Row],[РРЦ, евро]]/Товары[[#This Row],[IRP, Eur]],"-")</f>
        <v>-</v>
      </c>
      <c r="AX977" s="42">
        <f>IFERROR(VLOOKUP(Товары[[#This Row],[SubGroup]],'Структура цен DIY'!$B:$C,2,FALSE),0)</f>
        <v>0.26</v>
      </c>
      <c r="AY977" s="44">
        <v>0</v>
      </c>
    </row>
    <row r="978" spans="1:51" x14ac:dyDescent="0.25">
      <c r="A978" s="34">
        <v>976</v>
      </c>
      <c r="B978" s="34" t="s">
        <v>49</v>
      </c>
      <c r="C978" s="110" t="str">
        <f>IFERROR(INDEX(Структура_ассортимента[SuperCategory],MATCH(Товары[[#This Row],[SubGroup]],Структура_ассортимента[Subgroup],0)),"")</f>
        <v>W</v>
      </c>
      <c r="D97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7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78" s="110" t="str">
        <f>IFERROR(INDEX(Структура_ассортимента[Product group],MATCH(Товары[[#This Row],[SubGroup]],Структура_ассортимента[Subgroup],0)),"")</f>
        <v>WMH_C</v>
      </c>
      <c r="G978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978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978" s="36">
        <v>9014</v>
      </c>
      <c r="J978" s="36" t="str">
        <f>IFERROR(INDEX(Структура_ассортимента[Generic Name (long)],MATCH(Товары[[#This Row],[SubGroup]],Структура_ассортимента[Subgroup],0)),"")</f>
        <v>GARDEN HOSE</v>
      </c>
      <c r="L978" s="36">
        <v>967246801</v>
      </c>
      <c r="M978" s="35" t="s">
        <v>2662</v>
      </c>
      <c r="O978" s="35" t="s">
        <v>6203</v>
      </c>
      <c r="P978" s="37" t="s">
        <v>6204</v>
      </c>
      <c r="Q978" s="34" t="s">
        <v>3549</v>
      </c>
      <c r="R978" s="34" t="s">
        <v>3540</v>
      </c>
      <c r="S978" s="47">
        <v>41640</v>
      </c>
      <c r="T978" s="47">
        <v>0</v>
      </c>
      <c r="U978" s="47">
        <v>0</v>
      </c>
      <c r="V978" s="34">
        <v>4078500002226</v>
      </c>
      <c r="W978" s="34" t="s">
        <v>3546</v>
      </c>
      <c r="X978" s="34" t="s">
        <v>4868</v>
      </c>
      <c r="Y978" s="34" t="s">
        <v>6192</v>
      </c>
      <c r="Z978" s="34">
        <v>1</v>
      </c>
      <c r="AA978" s="34" t="s">
        <v>6179</v>
      </c>
      <c r="AB978" s="34" t="s">
        <v>6179</v>
      </c>
      <c r="AC978" s="34" t="s">
        <v>6205</v>
      </c>
      <c r="AD978" s="34" t="s">
        <v>6205</v>
      </c>
      <c r="AE978" s="34" t="s">
        <v>4510</v>
      </c>
      <c r="AF978" s="34" t="s">
        <v>4510</v>
      </c>
      <c r="AG978" s="34" t="s">
        <v>4549</v>
      </c>
      <c r="AH978" s="34" t="s">
        <v>6206</v>
      </c>
      <c r="AL978" s="34" t="s">
        <v>6182</v>
      </c>
      <c r="AM978" s="40" t="s">
        <v>10</v>
      </c>
      <c r="AP978" s="34">
        <v>0</v>
      </c>
      <c r="AQ978" s="34">
        <v>1717</v>
      </c>
      <c r="AR978" s="34">
        <v>1045</v>
      </c>
      <c r="AT978" s="44">
        <v>133000</v>
      </c>
      <c r="AU978" s="44"/>
      <c r="AV978" s="46">
        <f>ROUND(Товары[[#This Row],[РРЦ финальная, руб.]]/$AU$1,2)</f>
        <v>0</v>
      </c>
      <c r="AW978" s="45" t="str">
        <f>IFERROR(Товары[[#This Row],[РРЦ, евро]]/Товары[[#This Row],[IRP, Eur]],"-")</f>
        <v>-</v>
      </c>
      <c r="AX978" s="42">
        <f>IFERROR(VLOOKUP(Товары[[#This Row],[SubGroup]],'Структура цен DIY'!$B:$C,2,FALSE),0)</f>
        <v>0.26</v>
      </c>
      <c r="AY978" s="44">
        <v>0</v>
      </c>
    </row>
    <row r="979" spans="1:51" x14ac:dyDescent="0.25">
      <c r="A979" s="34">
        <v>977</v>
      </c>
      <c r="B979" s="34" t="s">
        <v>49</v>
      </c>
      <c r="C979" s="110" t="str">
        <f>IFERROR(INDEX(Структура_ассортимента[SuperCategory],MATCH(Товары[[#This Row],[SubGroup]],Структура_ассортимента[Subgroup],0)),"")</f>
        <v>W</v>
      </c>
      <c r="D97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7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79" s="110" t="str">
        <f>IFERROR(INDEX(Структура_ассортимента[Product group],MATCH(Товары[[#This Row],[SubGroup]],Структура_ассортимента[Subgroup],0)),"")</f>
        <v>WMH_C</v>
      </c>
      <c r="G979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979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979" s="36">
        <v>9014</v>
      </c>
      <c r="J979" s="36" t="str">
        <f>IFERROR(INDEX(Структура_ассортимента[Generic Name (long)],MATCH(Товары[[#This Row],[SubGroup]],Структура_ассортимента[Subgroup],0)),"")</f>
        <v>GARDEN HOSE</v>
      </c>
      <c r="L979" s="36">
        <v>967251401</v>
      </c>
      <c r="M979" s="35" t="s">
        <v>2663</v>
      </c>
      <c r="O979" s="35" t="s">
        <v>6207</v>
      </c>
      <c r="P979" s="37" t="s">
        <v>6208</v>
      </c>
      <c r="Q979" s="34" t="s">
        <v>3549</v>
      </c>
      <c r="R979" s="34" t="s">
        <v>3540</v>
      </c>
      <c r="S979" s="47">
        <v>41640</v>
      </c>
      <c r="T979" s="47">
        <v>0</v>
      </c>
      <c r="U979" s="47">
        <v>0</v>
      </c>
      <c r="V979" s="34">
        <v>4078500002257</v>
      </c>
      <c r="W979" s="34" t="s">
        <v>3546</v>
      </c>
      <c r="X979" s="34" t="s">
        <v>4868</v>
      </c>
      <c r="Y979" s="34" t="s">
        <v>6192</v>
      </c>
      <c r="Z979" s="34">
        <v>1</v>
      </c>
      <c r="AA979" s="34" t="s">
        <v>6209</v>
      </c>
      <c r="AB979" s="34" t="s">
        <v>6209</v>
      </c>
      <c r="AC979" s="34" t="s">
        <v>4449</v>
      </c>
      <c r="AD979" s="34" t="s">
        <v>4449</v>
      </c>
      <c r="AE979" s="34" t="s">
        <v>4891</v>
      </c>
      <c r="AF979" s="34" t="s">
        <v>4891</v>
      </c>
      <c r="AG979" s="34" t="s">
        <v>4549</v>
      </c>
      <c r="AH979" s="34" t="s">
        <v>6181</v>
      </c>
      <c r="AL979" s="34" t="s">
        <v>4397</v>
      </c>
      <c r="AM979" s="40" t="s">
        <v>9</v>
      </c>
      <c r="AP979" s="34">
        <v>0</v>
      </c>
      <c r="AQ979" s="34">
        <v>2905</v>
      </c>
      <c r="AR979" s="34">
        <v>1767</v>
      </c>
      <c r="AT979" s="44">
        <v>225000</v>
      </c>
      <c r="AU979" s="44"/>
      <c r="AV979" s="46">
        <f>ROUND(Товары[[#This Row],[РРЦ финальная, руб.]]/$AU$1,2)</f>
        <v>0</v>
      </c>
      <c r="AW979" s="45" t="str">
        <f>IFERROR(Товары[[#This Row],[РРЦ, евро]]/Товары[[#This Row],[IRP, Eur]],"-")</f>
        <v>-</v>
      </c>
      <c r="AX979" s="42">
        <f>IFERROR(VLOOKUP(Товары[[#This Row],[SubGroup]],'Структура цен DIY'!$B:$C,2,FALSE),0)</f>
        <v>0.26</v>
      </c>
      <c r="AY979" s="44">
        <v>0</v>
      </c>
    </row>
    <row r="980" spans="1:51" x14ac:dyDescent="0.25">
      <c r="A980" s="34">
        <v>978</v>
      </c>
      <c r="B980" s="34" t="s">
        <v>49</v>
      </c>
      <c r="C980" s="110" t="str">
        <f>IFERROR(INDEX(Структура_ассортимента[SuperCategory],MATCH(Товары[[#This Row],[SubGroup]],Структура_ассортимента[Subgroup],0)),"")</f>
        <v>W</v>
      </c>
      <c r="D98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8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80" s="110" t="str">
        <f>IFERROR(INDEX(Структура_ассортимента[Product group],MATCH(Товары[[#This Row],[SubGroup]],Структура_ассортимента[Subgroup],0)),"")</f>
        <v>WMH_C</v>
      </c>
      <c r="G980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980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980" s="36">
        <v>9014</v>
      </c>
      <c r="J980" s="36" t="str">
        <f>IFERROR(INDEX(Структура_ассортимента[Generic Name (long)],MATCH(Товары[[#This Row],[SubGroup]],Структура_ассортимента[Subgroup],0)),"")</f>
        <v>GARDEN HOSE</v>
      </c>
      <c r="L980" s="36">
        <v>967247101</v>
      </c>
      <c r="M980" s="35" t="s">
        <v>2664</v>
      </c>
      <c r="Q980" s="34" t="s">
        <v>3549</v>
      </c>
      <c r="R980" s="34" t="s">
        <v>3540</v>
      </c>
      <c r="S980" s="47">
        <v>41640</v>
      </c>
      <c r="T980" s="47">
        <v>0</v>
      </c>
      <c r="U980" s="47">
        <v>0</v>
      </c>
      <c r="V980" s="34">
        <v>4078500002233</v>
      </c>
      <c r="W980" s="34" t="s">
        <v>3546</v>
      </c>
      <c r="X980" s="34" t="s">
        <v>4868</v>
      </c>
      <c r="Y980" s="34" t="s">
        <v>6192</v>
      </c>
      <c r="Z980" s="34">
        <v>1</v>
      </c>
      <c r="AA980" s="34" t="s">
        <v>6210</v>
      </c>
      <c r="AB980" s="34" t="s">
        <v>5436</v>
      </c>
      <c r="AC980" s="34" t="s">
        <v>6211</v>
      </c>
      <c r="AD980" s="34" t="s">
        <v>5508</v>
      </c>
      <c r="AE980" s="34" t="s">
        <v>4510</v>
      </c>
      <c r="AF980" s="34" t="s">
        <v>4510</v>
      </c>
      <c r="AG980" s="34" t="s">
        <v>3560</v>
      </c>
      <c r="AH980" s="34" t="s">
        <v>6212</v>
      </c>
      <c r="AL980" s="34" t="s">
        <v>6202</v>
      </c>
      <c r="AM980" s="40" t="s">
        <v>8095</v>
      </c>
      <c r="AT980" s="44">
        <v>0</v>
      </c>
      <c r="AU980" s="44"/>
      <c r="AV980" s="46">
        <f>ROUND(Товары[[#This Row],[РРЦ финальная, руб.]]/$AU$1,2)</f>
        <v>0</v>
      </c>
      <c r="AW980" s="45" t="str">
        <f>IFERROR(Товары[[#This Row],[РРЦ, евро]]/Товары[[#This Row],[IRP, Eur]],"-")</f>
        <v>-</v>
      </c>
      <c r="AX980" s="42">
        <f>IFERROR(VLOOKUP(Товары[[#This Row],[SubGroup]],'Структура цен DIY'!$B:$C,2,FALSE),0)</f>
        <v>0.26</v>
      </c>
      <c r="AY980" s="44">
        <v>0</v>
      </c>
    </row>
    <row r="981" spans="1:51" x14ac:dyDescent="0.25">
      <c r="A981" s="34">
        <v>979</v>
      </c>
      <c r="B981" s="34" t="s">
        <v>49</v>
      </c>
      <c r="C981" s="110" t="str">
        <f>IFERROR(INDEX(Структура_ассортимента[SuperCategory],MATCH(Товары[[#This Row],[SubGroup]],Структура_ассортимента[Subgroup],0)),"")</f>
        <v>W</v>
      </c>
      <c r="D98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8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81" s="110" t="str">
        <f>IFERROR(INDEX(Структура_ассортимента[Product group],MATCH(Товары[[#This Row],[SubGroup]],Структура_ассортимента[Subgroup],0)),"")</f>
        <v>WMH_C</v>
      </c>
      <c r="G981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981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981" s="36">
        <v>9014</v>
      </c>
      <c r="J981" s="36" t="str">
        <f>IFERROR(INDEX(Структура_ассортимента[Generic Name (long)],MATCH(Товары[[#This Row],[SubGroup]],Структура_ассортимента[Subgroup],0)),"")</f>
        <v>GARDEN HOSE</v>
      </c>
      <c r="L981" s="36">
        <v>967247201</v>
      </c>
      <c r="M981" s="35" t="s">
        <v>2665</v>
      </c>
      <c r="O981" s="35" t="s">
        <v>6213</v>
      </c>
      <c r="P981" s="37" t="s">
        <v>6214</v>
      </c>
      <c r="Q981" s="34" t="s">
        <v>3549</v>
      </c>
      <c r="R981" s="34" t="s">
        <v>3540</v>
      </c>
      <c r="S981" s="47">
        <v>41640</v>
      </c>
      <c r="T981" s="47">
        <v>0</v>
      </c>
      <c r="U981" s="47">
        <v>0</v>
      </c>
      <c r="V981" s="34">
        <v>4078500002288</v>
      </c>
      <c r="W981" s="34" t="s">
        <v>3546</v>
      </c>
      <c r="X981" s="34" t="s">
        <v>4868</v>
      </c>
      <c r="Y981" s="34" t="s">
        <v>6192</v>
      </c>
      <c r="Z981" s="34">
        <v>1</v>
      </c>
      <c r="AA981" s="34" t="s">
        <v>6215</v>
      </c>
      <c r="AB981" s="34" t="s">
        <v>6215</v>
      </c>
      <c r="AC981" s="34" t="s">
        <v>6216</v>
      </c>
      <c r="AD981" s="34" t="s">
        <v>6217</v>
      </c>
      <c r="AE981" s="34" t="s">
        <v>4891</v>
      </c>
      <c r="AF981" s="34" t="s">
        <v>4891</v>
      </c>
      <c r="AG981" s="34" t="s">
        <v>3920</v>
      </c>
      <c r="AH981" s="34" t="s">
        <v>6218</v>
      </c>
      <c r="AL981" s="34" t="s">
        <v>4513</v>
      </c>
      <c r="AM981" s="40" t="s">
        <v>9</v>
      </c>
      <c r="AP981" s="34">
        <v>0</v>
      </c>
      <c r="AQ981" s="34">
        <v>3877</v>
      </c>
      <c r="AR981" s="34">
        <v>2359</v>
      </c>
      <c r="AT981" s="44">
        <v>300300</v>
      </c>
      <c r="AU981" s="44"/>
      <c r="AV981" s="46">
        <f>ROUND(Товары[[#This Row],[РРЦ финальная, руб.]]/$AU$1,2)</f>
        <v>0</v>
      </c>
      <c r="AW981" s="45" t="str">
        <f>IFERROR(Товары[[#This Row],[РРЦ, евро]]/Товары[[#This Row],[IRP, Eur]],"-")</f>
        <v>-</v>
      </c>
      <c r="AX981" s="42">
        <f>IFERROR(VLOOKUP(Товары[[#This Row],[SubGroup]],'Структура цен DIY'!$B:$C,2,FALSE),0)</f>
        <v>0.26</v>
      </c>
      <c r="AY981" s="44">
        <v>0</v>
      </c>
    </row>
    <row r="982" spans="1:51" x14ac:dyDescent="0.25">
      <c r="A982" s="34">
        <v>980</v>
      </c>
      <c r="B982" s="34" t="s">
        <v>49</v>
      </c>
      <c r="C982" s="110" t="str">
        <f>IFERROR(INDEX(Структура_ассортимента[SuperCategory],MATCH(Товары[[#This Row],[SubGroup]],Структура_ассортимента[Subgroup],0)),"")</f>
        <v>W</v>
      </c>
      <c r="D98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8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82" s="110" t="str">
        <f>IFERROR(INDEX(Структура_ассортимента[Product group],MATCH(Товары[[#This Row],[SubGroup]],Структура_ассортимента[Subgroup],0)),"")</f>
        <v>WMH_C</v>
      </c>
      <c r="G982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982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982" s="36">
        <v>9014</v>
      </c>
      <c r="J982" s="36" t="str">
        <f>IFERROR(INDEX(Структура_ассортимента[Generic Name (long)],MATCH(Товары[[#This Row],[SubGroup]],Структура_ассортимента[Subgroup],0)),"")</f>
        <v>GARDEN HOSE</v>
      </c>
      <c r="L982" s="36">
        <v>967247301</v>
      </c>
      <c r="M982" s="35" t="s">
        <v>2666</v>
      </c>
      <c r="Q982" s="34" t="s">
        <v>3549</v>
      </c>
      <c r="R982" s="34" t="s">
        <v>3540</v>
      </c>
      <c r="S982" s="47">
        <v>41640</v>
      </c>
      <c r="T982" s="47">
        <v>0</v>
      </c>
      <c r="U982" s="47">
        <v>0</v>
      </c>
      <c r="V982" s="34">
        <v>4078500002295</v>
      </c>
      <c r="W982" s="34" t="s">
        <v>3550</v>
      </c>
      <c r="X982" s="34" t="s">
        <v>4868</v>
      </c>
      <c r="Y982" s="34" t="s">
        <v>6192</v>
      </c>
      <c r="Z982" s="34">
        <v>1</v>
      </c>
      <c r="AA982" s="34" t="s">
        <v>6219</v>
      </c>
      <c r="AB982" s="34" t="s">
        <v>6219</v>
      </c>
      <c r="AC982" s="34" t="s">
        <v>6220</v>
      </c>
      <c r="AD982" s="34" t="s">
        <v>6220</v>
      </c>
      <c r="AE982" s="34" t="s">
        <v>3623</v>
      </c>
      <c r="AF982" s="34" t="s">
        <v>3623</v>
      </c>
      <c r="AG982" s="34" t="s">
        <v>4391</v>
      </c>
      <c r="AH982" s="34" t="s">
        <v>6221</v>
      </c>
      <c r="AL982" s="34" t="s">
        <v>4214</v>
      </c>
      <c r="AM982" s="40" t="s">
        <v>8095</v>
      </c>
      <c r="AT982" s="44">
        <v>0</v>
      </c>
      <c r="AU982" s="44"/>
      <c r="AV982" s="46">
        <f>ROUND(Товары[[#This Row],[РРЦ финальная, руб.]]/$AU$1,2)</f>
        <v>0</v>
      </c>
      <c r="AW982" s="45" t="str">
        <f>IFERROR(Товары[[#This Row],[РРЦ, евро]]/Товары[[#This Row],[IRP, Eur]],"-")</f>
        <v>-</v>
      </c>
      <c r="AX982" s="42">
        <f>IFERROR(VLOOKUP(Товары[[#This Row],[SubGroup]],'Структура цен DIY'!$B:$C,2,FALSE),0)</f>
        <v>0.26</v>
      </c>
      <c r="AY982" s="44">
        <v>0</v>
      </c>
    </row>
    <row r="983" spans="1:51" x14ac:dyDescent="0.25">
      <c r="A983" s="34">
        <v>981</v>
      </c>
      <c r="B983" s="34" t="s">
        <v>49</v>
      </c>
      <c r="C983" s="110" t="str">
        <f>IFERROR(INDEX(Структура_ассортимента[SuperCategory],MATCH(Товары[[#This Row],[SubGroup]],Структура_ассортимента[Subgroup],0)),"")</f>
        <v>W</v>
      </c>
      <c r="D98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8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83" s="110" t="str">
        <f>IFERROR(INDEX(Структура_ассортимента[Product group],MATCH(Товары[[#This Row],[SubGroup]],Структура_ассортимента[Subgroup],0)),"")</f>
        <v>WMH_C</v>
      </c>
      <c r="G983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983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983" s="36">
        <v>9014</v>
      </c>
      <c r="J983" s="36" t="str">
        <f>IFERROR(INDEX(Структура_ассортимента[Generic Name (long)],MATCH(Товары[[#This Row],[SubGroup]],Структура_ассортимента[Subgroup],0)),"")</f>
        <v>GARDEN HOSE</v>
      </c>
      <c r="L983" s="36">
        <v>967247401</v>
      </c>
      <c r="M983" s="35" t="s">
        <v>2667</v>
      </c>
      <c r="Q983" s="34" t="s">
        <v>3549</v>
      </c>
      <c r="R983" s="34" t="s">
        <v>3540</v>
      </c>
      <c r="S983" s="47">
        <v>41640</v>
      </c>
      <c r="T983" s="47">
        <v>0</v>
      </c>
      <c r="U983" s="47">
        <v>0</v>
      </c>
      <c r="V983" s="34">
        <v>4078500002301</v>
      </c>
      <c r="W983" s="34" t="s">
        <v>3550</v>
      </c>
      <c r="X983" s="34" t="s">
        <v>4868</v>
      </c>
      <c r="Y983" s="34" t="s">
        <v>6192</v>
      </c>
      <c r="Z983" s="34">
        <v>1</v>
      </c>
      <c r="AA983" s="34" t="s">
        <v>6222</v>
      </c>
      <c r="AB983" s="34" t="s">
        <v>6222</v>
      </c>
      <c r="AC983" s="34" t="s">
        <v>6223</v>
      </c>
      <c r="AD983" s="34" t="s">
        <v>6223</v>
      </c>
      <c r="AE983" s="34" t="s">
        <v>4891</v>
      </c>
      <c r="AF983" s="34" t="s">
        <v>4891</v>
      </c>
      <c r="AG983" s="34" t="s">
        <v>3566</v>
      </c>
      <c r="AH983" s="34" t="s">
        <v>6224</v>
      </c>
      <c r="AL983" s="34" t="s">
        <v>4214</v>
      </c>
      <c r="AM983" s="40" t="s">
        <v>8095</v>
      </c>
      <c r="AT983" s="44">
        <v>0</v>
      </c>
      <c r="AU983" s="44"/>
      <c r="AV983" s="46">
        <f>ROUND(Товары[[#This Row],[РРЦ финальная, руб.]]/$AU$1,2)</f>
        <v>0</v>
      </c>
      <c r="AW983" s="45" t="str">
        <f>IFERROR(Товары[[#This Row],[РРЦ, евро]]/Товары[[#This Row],[IRP, Eur]],"-")</f>
        <v>-</v>
      </c>
      <c r="AX983" s="42">
        <f>IFERROR(VLOOKUP(Товары[[#This Row],[SubGroup]],'Структура цен DIY'!$B:$C,2,FALSE),0)</f>
        <v>0.26</v>
      </c>
      <c r="AY983" s="44">
        <v>0</v>
      </c>
    </row>
    <row r="984" spans="1:51" x14ac:dyDescent="0.25">
      <c r="A984" s="34">
        <v>982</v>
      </c>
      <c r="B984" s="34" t="s">
        <v>49</v>
      </c>
      <c r="C984" s="110" t="str">
        <f>IFERROR(INDEX(Структура_ассортимента[SuperCategory],MATCH(Товары[[#This Row],[SubGroup]],Структура_ассортимента[Subgroup],0)),"")</f>
        <v>W</v>
      </c>
      <c r="D98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8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84" s="110" t="str">
        <f>IFERROR(INDEX(Структура_ассортимента[Product group],MATCH(Товары[[#This Row],[SubGroup]],Структура_ассортимента[Subgroup],0)),"")</f>
        <v>WMH_C</v>
      </c>
      <c r="G984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984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984" s="36">
        <v>9014</v>
      </c>
      <c r="J984" s="36" t="str">
        <f>IFERROR(INDEX(Структура_ассортимента[Generic Name (long)],MATCH(Товары[[#This Row],[SubGroup]],Структура_ассортимента[Subgroup],0)),"")</f>
        <v>GARDEN HOSE</v>
      </c>
      <c r="L984" s="36">
        <v>967247501</v>
      </c>
      <c r="M984" s="35" t="s">
        <v>2668</v>
      </c>
      <c r="O984" s="35" t="s">
        <v>6225</v>
      </c>
      <c r="P984" s="37" t="s">
        <v>6226</v>
      </c>
      <c r="Q984" s="34" t="s">
        <v>3549</v>
      </c>
      <c r="R984" s="34" t="s">
        <v>3540</v>
      </c>
      <c r="S984" s="47">
        <v>41640</v>
      </c>
      <c r="T984" s="47">
        <v>0</v>
      </c>
      <c r="U984" s="47">
        <v>0</v>
      </c>
      <c r="V984" s="34">
        <v>4078500002318</v>
      </c>
      <c r="W984" s="34" t="s">
        <v>3550</v>
      </c>
      <c r="X984" s="34" t="s">
        <v>3579</v>
      </c>
      <c r="Y984" s="34" t="s">
        <v>6192</v>
      </c>
      <c r="Z984" s="34">
        <v>1</v>
      </c>
      <c r="AA984" s="34" t="s">
        <v>6227</v>
      </c>
      <c r="AB984" s="34" t="s">
        <v>6227</v>
      </c>
      <c r="AC984" s="34" t="s">
        <v>6210</v>
      </c>
      <c r="AD984" s="34" t="s">
        <v>6210</v>
      </c>
      <c r="AE984" s="34" t="s">
        <v>4202</v>
      </c>
      <c r="AF984" s="34" t="s">
        <v>4202</v>
      </c>
      <c r="AG984" s="34" t="s">
        <v>3693</v>
      </c>
      <c r="AH984" s="34" t="s">
        <v>6228</v>
      </c>
      <c r="AL984" s="34" t="s">
        <v>5442</v>
      </c>
      <c r="AM984" s="40" t="s">
        <v>9</v>
      </c>
      <c r="AP984" s="34">
        <v>0</v>
      </c>
      <c r="AQ984" s="34">
        <v>2927</v>
      </c>
      <c r="AR984" s="34">
        <v>1781</v>
      </c>
      <c r="AT984" s="44">
        <v>226700</v>
      </c>
      <c r="AU984" s="44"/>
      <c r="AV984" s="46">
        <f>ROUND(Товары[[#This Row],[РРЦ финальная, руб.]]/$AU$1,2)</f>
        <v>0</v>
      </c>
      <c r="AW984" s="45" t="str">
        <f>IFERROR(Товары[[#This Row],[РРЦ, евро]]/Товары[[#This Row],[IRP, Eur]],"-")</f>
        <v>-</v>
      </c>
      <c r="AX984" s="42">
        <f>IFERROR(VLOOKUP(Товары[[#This Row],[SubGroup]],'Структура цен DIY'!$B:$C,2,FALSE),0)</f>
        <v>0.26</v>
      </c>
      <c r="AY984" s="44">
        <v>0</v>
      </c>
    </row>
    <row r="985" spans="1:51" x14ac:dyDescent="0.25">
      <c r="A985" s="34">
        <v>983</v>
      </c>
      <c r="B985" s="34" t="s">
        <v>49</v>
      </c>
      <c r="C985" s="110" t="str">
        <f>IFERROR(INDEX(Структура_ассортимента[SuperCategory],MATCH(Товары[[#This Row],[SubGroup]],Структура_ассортимента[Subgroup],0)),"")</f>
        <v>W</v>
      </c>
      <c r="D98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8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85" s="110" t="str">
        <f>IFERROR(INDEX(Структура_ассортимента[Product group],MATCH(Товары[[#This Row],[SubGroup]],Структура_ассортимента[Subgroup],0)),"")</f>
        <v>WMH_C</v>
      </c>
      <c r="G985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985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985" s="36">
        <v>9014</v>
      </c>
      <c r="J985" s="36" t="str">
        <f>IFERROR(INDEX(Структура_ассортимента[Generic Name (long)],MATCH(Товары[[#This Row],[SubGroup]],Структура_ассортимента[Subgroup],0)),"")</f>
        <v>GARDEN HOSE</v>
      </c>
      <c r="L985" s="36">
        <v>967316301</v>
      </c>
      <c r="M985" s="35" t="s">
        <v>2669</v>
      </c>
      <c r="Q985" s="34" t="s">
        <v>3549</v>
      </c>
      <c r="R985" s="34" t="s">
        <v>3540</v>
      </c>
      <c r="S985" s="47">
        <v>41671</v>
      </c>
      <c r="T985" s="47">
        <v>0</v>
      </c>
      <c r="U985" s="47">
        <v>0</v>
      </c>
      <c r="V985" s="34">
        <v>4078500012324</v>
      </c>
      <c r="W985" s="34" t="s">
        <v>3550</v>
      </c>
      <c r="X985" s="34" t="s">
        <v>4868</v>
      </c>
      <c r="Y985" s="34" t="s">
        <v>5981</v>
      </c>
      <c r="Z985" s="34">
        <v>50</v>
      </c>
      <c r="AA985" s="34" t="s">
        <v>4881</v>
      </c>
      <c r="AB985" s="34" t="s">
        <v>4881</v>
      </c>
      <c r="AC985" s="34" t="s">
        <v>6229</v>
      </c>
      <c r="AD985" s="34" t="s">
        <v>6229</v>
      </c>
      <c r="AE985" s="34" t="s">
        <v>3756</v>
      </c>
      <c r="AF985" s="34" t="s">
        <v>5126</v>
      </c>
      <c r="AG985" s="34" t="s">
        <v>5126</v>
      </c>
      <c r="AH985" s="34" t="s">
        <v>6230</v>
      </c>
      <c r="AL985" s="34" t="s">
        <v>6231</v>
      </c>
      <c r="AM985" s="40" t="s">
        <v>8095</v>
      </c>
      <c r="AT985" s="44">
        <v>0</v>
      </c>
      <c r="AU985" s="44"/>
      <c r="AV985" s="46">
        <f>ROUND(Товары[[#This Row],[РРЦ финальная, руб.]]/$AU$1,2)</f>
        <v>0</v>
      </c>
      <c r="AW985" s="45" t="str">
        <f>IFERROR(Товары[[#This Row],[РРЦ, евро]]/Товары[[#This Row],[IRP, Eur]],"-")</f>
        <v>-</v>
      </c>
      <c r="AX985" s="42">
        <f>IFERROR(VLOOKUP(Товары[[#This Row],[SubGroup]],'Структура цен DIY'!$B:$C,2,FALSE),0)</f>
        <v>0.26</v>
      </c>
      <c r="AY985" s="44">
        <v>0</v>
      </c>
    </row>
    <row r="986" spans="1:51" x14ac:dyDescent="0.25">
      <c r="A986" s="34">
        <v>984</v>
      </c>
      <c r="B986" s="34" t="s">
        <v>49</v>
      </c>
      <c r="C986" s="110" t="str">
        <f>IFERROR(INDEX(Структура_ассортимента[SuperCategory],MATCH(Товары[[#This Row],[SubGroup]],Структура_ассортимента[Subgroup],0)),"")</f>
        <v>W</v>
      </c>
      <c r="D98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8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86" s="110" t="str">
        <f>IFERROR(INDEX(Структура_ассортимента[Product group],MATCH(Товары[[#This Row],[SubGroup]],Структура_ассортимента[Subgroup],0)),"")</f>
        <v>WMH_C</v>
      </c>
      <c r="G986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986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986" s="36">
        <v>9014</v>
      </c>
      <c r="J986" s="36" t="str">
        <f>IFERROR(INDEX(Структура_ассортимента[Generic Name (long)],MATCH(Товары[[#This Row],[SubGroup]],Структура_ассортимента[Subgroup],0)),"")</f>
        <v>GARDEN HOSE</v>
      </c>
      <c r="L986" s="36">
        <v>967247601</v>
      </c>
      <c r="M986" s="35" t="s">
        <v>2670</v>
      </c>
      <c r="O986" s="35" t="s">
        <v>6232</v>
      </c>
      <c r="P986" s="37" t="s">
        <v>6233</v>
      </c>
      <c r="Q986" s="34" t="s">
        <v>3549</v>
      </c>
      <c r="R986" s="34" t="s">
        <v>3540</v>
      </c>
      <c r="S986" s="47">
        <v>41640</v>
      </c>
      <c r="T986" s="47">
        <v>0</v>
      </c>
      <c r="U986" s="47">
        <v>0</v>
      </c>
      <c r="V986" s="34">
        <v>4078500002325</v>
      </c>
      <c r="W986" s="34" t="s">
        <v>3546</v>
      </c>
      <c r="X986" s="34" t="s">
        <v>4868</v>
      </c>
      <c r="Y986" s="34" t="s">
        <v>6192</v>
      </c>
      <c r="Z986" s="34">
        <v>1</v>
      </c>
      <c r="AA986" s="34" t="s">
        <v>6234</v>
      </c>
      <c r="AB986" s="34" t="s">
        <v>6234</v>
      </c>
      <c r="AC986" s="34" t="s">
        <v>6235</v>
      </c>
      <c r="AD986" s="34" t="s">
        <v>6235</v>
      </c>
      <c r="AE986" s="34" t="s">
        <v>4413</v>
      </c>
      <c r="AF986" s="34" t="s">
        <v>4413</v>
      </c>
      <c r="AG986" s="34" t="s">
        <v>3968</v>
      </c>
      <c r="AH986" s="34" t="s">
        <v>6236</v>
      </c>
      <c r="AL986" s="34" t="s">
        <v>4513</v>
      </c>
      <c r="AM986" s="40" t="s">
        <v>9</v>
      </c>
      <c r="AP986" s="34">
        <v>0</v>
      </c>
      <c r="AQ986" s="34">
        <v>7333</v>
      </c>
      <c r="AR986" s="34">
        <v>4461</v>
      </c>
      <c r="AT986" s="44">
        <v>568000</v>
      </c>
      <c r="AU986" s="44"/>
      <c r="AV986" s="46">
        <f>ROUND(Товары[[#This Row],[РРЦ финальная, руб.]]/$AU$1,2)</f>
        <v>0</v>
      </c>
      <c r="AW986" s="45" t="str">
        <f>IFERROR(Товары[[#This Row],[РРЦ, евро]]/Товары[[#This Row],[IRP, Eur]],"-")</f>
        <v>-</v>
      </c>
      <c r="AX986" s="42">
        <f>IFERROR(VLOOKUP(Товары[[#This Row],[SubGroup]],'Структура цен DIY'!$B:$C,2,FALSE),0)</f>
        <v>0.26</v>
      </c>
      <c r="AY986" s="44">
        <v>0</v>
      </c>
    </row>
    <row r="987" spans="1:51" x14ac:dyDescent="0.25">
      <c r="A987" s="34">
        <v>985</v>
      </c>
      <c r="B987" s="34" t="s">
        <v>49</v>
      </c>
      <c r="C987" s="110" t="str">
        <f>IFERROR(INDEX(Структура_ассортимента[SuperCategory],MATCH(Товары[[#This Row],[SubGroup]],Структура_ассортимента[Subgroup],0)),"")</f>
        <v>W</v>
      </c>
      <c r="D98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8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87" s="110" t="str">
        <f>IFERROR(INDEX(Структура_ассортимента[Product group],MATCH(Товары[[#This Row],[SubGroup]],Структура_ассортимента[Subgroup],0)),"")</f>
        <v>WMH_C</v>
      </c>
      <c r="G987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987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987" s="36">
        <v>9014</v>
      </c>
      <c r="J987" s="36" t="str">
        <f>IFERROR(INDEX(Структура_ассортимента[Generic Name (long)],MATCH(Товары[[#This Row],[SubGroup]],Структура_ассортимента[Subgroup],0)),"")</f>
        <v>GARDEN HOSE</v>
      </c>
      <c r="L987" s="36">
        <v>967247001</v>
      </c>
      <c r="M987" s="35" t="s">
        <v>2671</v>
      </c>
      <c r="O987" s="35" t="s">
        <v>6207</v>
      </c>
      <c r="P987" s="37" t="s">
        <v>6237</v>
      </c>
      <c r="Q987" s="34" t="s">
        <v>3549</v>
      </c>
      <c r="R987" s="34" t="s">
        <v>3540</v>
      </c>
      <c r="S987" s="47">
        <v>41640</v>
      </c>
      <c r="T987" s="47">
        <v>0</v>
      </c>
      <c r="U987" s="47">
        <v>0</v>
      </c>
      <c r="V987" s="34">
        <v>4078500002271</v>
      </c>
      <c r="W987" s="34" t="s">
        <v>3550</v>
      </c>
      <c r="X987" s="34" t="s">
        <v>6191</v>
      </c>
      <c r="Y987" s="34" t="s">
        <v>6192</v>
      </c>
      <c r="Z987" s="34">
        <v>14</v>
      </c>
      <c r="AA987" s="34" t="s">
        <v>5390</v>
      </c>
      <c r="AB987" s="34" t="s">
        <v>5390</v>
      </c>
      <c r="AC987" s="34" t="s">
        <v>6238</v>
      </c>
      <c r="AD987" s="34" t="s">
        <v>6238</v>
      </c>
      <c r="AE987" s="34" t="s">
        <v>3610</v>
      </c>
      <c r="AF987" s="34" t="s">
        <v>3610</v>
      </c>
      <c r="AG987" s="34" t="s">
        <v>4549</v>
      </c>
      <c r="AH987" s="34" t="s">
        <v>6201</v>
      </c>
      <c r="AL987" s="34" t="s">
        <v>6202</v>
      </c>
      <c r="AM987" s="40" t="s">
        <v>233</v>
      </c>
      <c r="AT987" s="44">
        <v>0</v>
      </c>
      <c r="AU987" s="44"/>
      <c r="AV987" s="46">
        <f>ROUND(Товары[[#This Row],[РРЦ финальная, руб.]]/$AU$1,2)</f>
        <v>0</v>
      </c>
      <c r="AW987" s="45" t="str">
        <f>IFERROR(Товары[[#This Row],[РРЦ, евро]]/Товары[[#This Row],[IRP, Eur]],"-")</f>
        <v>-</v>
      </c>
      <c r="AX987" s="42">
        <f>IFERROR(VLOOKUP(Товары[[#This Row],[SubGroup]],'Структура цен DIY'!$B:$C,2,FALSE),0)</f>
        <v>0.26</v>
      </c>
      <c r="AY987" s="44">
        <v>0</v>
      </c>
    </row>
    <row r="988" spans="1:51" x14ac:dyDescent="0.25">
      <c r="A988" s="34">
        <v>986</v>
      </c>
      <c r="B988" s="34" t="s">
        <v>49</v>
      </c>
      <c r="C988" s="110" t="str">
        <f>IFERROR(INDEX(Структура_ассортимента[SuperCategory],MATCH(Товары[[#This Row],[SubGroup]],Структура_ассортимента[Subgroup],0)),"")</f>
        <v>W</v>
      </c>
      <c r="D98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8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88" s="110" t="str">
        <f>IFERROR(INDEX(Структура_ассортимента[Product group],MATCH(Товары[[#This Row],[SubGroup]],Структура_ассортимента[Subgroup],0)),"")</f>
        <v>WMH_C</v>
      </c>
      <c r="G988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988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988" s="36">
        <v>9014</v>
      </c>
      <c r="J988" s="36" t="str">
        <f>IFERROR(INDEX(Структура_ассортимента[Generic Name (long)],MATCH(Товары[[#This Row],[SubGroup]],Структура_ассортимента[Subgroup],0)),"")</f>
        <v>GARDEN HOSE</v>
      </c>
      <c r="L988" s="36">
        <v>967243601</v>
      </c>
      <c r="M988" s="35" t="s">
        <v>2672</v>
      </c>
      <c r="O988" s="35" t="s">
        <v>6239</v>
      </c>
      <c r="P988" s="37" t="s">
        <v>6240</v>
      </c>
      <c r="Q988" s="34" t="s">
        <v>3549</v>
      </c>
      <c r="R988" s="34" t="s">
        <v>3540</v>
      </c>
      <c r="S988" s="47">
        <v>41640</v>
      </c>
      <c r="T988" s="47">
        <v>0</v>
      </c>
      <c r="U988" s="47">
        <v>0</v>
      </c>
      <c r="V988" s="34">
        <v>4078500001670</v>
      </c>
      <c r="W988" s="34" t="s">
        <v>3546</v>
      </c>
      <c r="X988" s="34" t="s">
        <v>6191</v>
      </c>
      <c r="Y988" s="34" t="s">
        <v>6192</v>
      </c>
      <c r="Z988" s="34">
        <v>1</v>
      </c>
      <c r="AA988" s="34" t="s">
        <v>6241</v>
      </c>
      <c r="AB988" s="34" t="s">
        <v>3636</v>
      </c>
      <c r="AC988" s="34" t="s">
        <v>3636</v>
      </c>
      <c r="AD988" s="34" t="s">
        <v>3636</v>
      </c>
      <c r="AE988" s="34" t="s">
        <v>5042</v>
      </c>
      <c r="AF988" s="34" t="s">
        <v>5042</v>
      </c>
      <c r="AG988" s="34" t="s">
        <v>4335</v>
      </c>
      <c r="AH988" s="34" t="s">
        <v>6242</v>
      </c>
      <c r="AL988" s="34" t="s">
        <v>3981</v>
      </c>
      <c r="AM988" s="40" t="s">
        <v>233</v>
      </c>
      <c r="AT988" s="44">
        <v>0</v>
      </c>
      <c r="AU988" s="44"/>
      <c r="AV988" s="46">
        <f>ROUND(Товары[[#This Row],[РРЦ финальная, руб.]]/$AU$1,2)</f>
        <v>0</v>
      </c>
      <c r="AW988" s="45" t="str">
        <f>IFERROR(Товары[[#This Row],[РРЦ, евро]]/Товары[[#This Row],[IRP, Eur]],"-")</f>
        <v>-</v>
      </c>
      <c r="AX988" s="42">
        <f>IFERROR(VLOOKUP(Товары[[#This Row],[SubGroup]],'Структура цен DIY'!$B:$C,2,FALSE),0)</f>
        <v>0.26</v>
      </c>
      <c r="AY988" s="44">
        <v>0</v>
      </c>
    </row>
    <row r="989" spans="1:51" x14ac:dyDescent="0.25">
      <c r="A989" s="34">
        <v>987</v>
      </c>
      <c r="B989" s="34" t="s">
        <v>49</v>
      </c>
      <c r="C989" s="110" t="str">
        <f>IFERROR(INDEX(Структура_ассортимента[SuperCategory],MATCH(Товары[[#This Row],[SubGroup]],Структура_ассортимента[Subgroup],0)),"")</f>
        <v>W</v>
      </c>
      <c r="D98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8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89" s="110" t="str">
        <f>IFERROR(INDEX(Структура_ассортимента[Product group],MATCH(Товары[[#This Row],[SubGroup]],Структура_ассортимента[Subgroup],0)),"")</f>
        <v>WMH_C</v>
      </c>
      <c r="G989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989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989" s="36">
        <v>9014</v>
      </c>
      <c r="J989" s="36" t="str">
        <f>IFERROR(INDEX(Структура_ассортимента[Generic Name (long)],MATCH(Товары[[#This Row],[SubGroup]],Структура_ассортимента[Subgroup],0)),"")</f>
        <v>GARDEN HOSE</v>
      </c>
      <c r="L989" s="36">
        <v>967243701</v>
      </c>
      <c r="M989" s="35" t="s">
        <v>2673</v>
      </c>
      <c r="Q989" s="34" t="s">
        <v>3549</v>
      </c>
      <c r="R989" s="34" t="s">
        <v>3540</v>
      </c>
      <c r="S989" s="47">
        <v>41640</v>
      </c>
      <c r="T989" s="47">
        <v>0</v>
      </c>
      <c r="U989" s="47">
        <v>0</v>
      </c>
      <c r="V989" s="34">
        <v>4078500001687</v>
      </c>
      <c r="W989" s="34" t="s">
        <v>3550</v>
      </c>
      <c r="X989" s="34" t="s">
        <v>6191</v>
      </c>
      <c r="Y989" s="34" t="s">
        <v>6192</v>
      </c>
      <c r="Z989" s="34">
        <v>1</v>
      </c>
      <c r="AA989" s="34" t="s">
        <v>6243</v>
      </c>
      <c r="AB989" s="34" t="s">
        <v>6244</v>
      </c>
      <c r="AC989" s="34" t="s">
        <v>5058</v>
      </c>
      <c r="AD989" s="34" t="s">
        <v>5058</v>
      </c>
      <c r="AE989" s="34" t="s">
        <v>5048</v>
      </c>
      <c r="AF989" s="34" t="s">
        <v>5048</v>
      </c>
      <c r="AG989" s="34" t="s">
        <v>3800</v>
      </c>
      <c r="AH989" s="34" t="s">
        <v>6245</v>
      </c>
      <c r="AL989" s="34" t="s">
        <v>6246</v>
      </c>
      <c r="AM989" s="40" t="s">
        <v>8095</v>
      </c>
      <c r="AT989" s="44">
        <v>0</v>
      </c>
      <c r="AU989" s="44"/>
      <c r="AV989" s="46">
        <f>ROUND(Товары[[#This Row],[РРЦ финальная, руб.]]/$AU$1,2)</f>
        <v>0</v>
      </c>
      <c r="AW989" s="45" t="str">
        <f>IFERROR(Товары[[#This Row],[РРЦ, евро]]/Товары[[#This Row],[IRP, Eur]],"-")</f>
        <v>-</v>
      </c>
      <c r="AX989" s="42">
        <f>IFERROR(VLOOKUP(Товары[[#This Row],[SubGroup]],'Структура цен DIY'!$B:$C,2,FALSE),0)</f>
        <v>0.26</v>
      </c>
      <c r="AY989" s="44">
        <v>0</v>
      </c>
    </row>
    <row r="990" spans="1:51" x14ac:dyDescent="0.25">
      <c r="A990" s="34">
        <v>988</v>
      </c>
      <c r="B990" s="34" t="s">
        <v>49</v>
      </c>
      <c r="C990" s="110" t="str">
        <f>IFERROR(INDEX(Структура_ассортимента[SuperCategory],MATCH(Товары[[#This Row],[SubGroup]],Структура_ассортимента[Subgroup],0)),"")</f>
        <v>W</v>
      </c>
      <c r="D99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9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90" s="110" t="str">
        <f>IFERROR(INDEX(Структура_ассортимента[Product group],MATCH(Товары[[#This Row],[SubGroup]],Структура_ассортимента[Subgroup],0)),"")</f>
        <v>WMH_C</v>
      </c>
      <c r="G990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990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990" s="36">
        <v>9014</v>
      </c>
      <c r="J990" s="36" t="str">
        <f>IFERROR(INDEX(Структура_ассортимента[Generic Name (long)],MATCH(Товары[[#This Row],[SubGroup]],Структура_ассортимента[Subgroup],0)),"")</f>
        <v>GARDEN HOSE</v>
      </c>
      <c r="L990" s="36">
        <v>967243801</v>
      </c>
      <c r="M990" s="35" t="s">
        <v>2674</v>
      </c>
      <c r="O990" s="35" t="s">
        <v>6247</v>
      </c>
      <c r="P990" s="37" t="s">
        <v>6248</v>
      </c>
      <c r="Q990" s="34" t="s">
        <v>3549</v>
      </c>
      <c r="R990" s="34" t="s">
        <v>3540</v>
      </c>
      <c r="S990" s="47">
        <v>41640</v>
      </c>
      <c r="T990" s="47">
        <v>0</v>
      </c>
      <c r="U990" s="47">
        <v>0</v>
      </c>
      <c r="V990" s="34">
        <v>4078500001694</v>
      </c>
      <c r="W990" s="34" t="s">
        <v>3546</v>
      </c>
      <c r="X990" s="34" t="s">
        <v>6191</v>
      </c>
      <c r="Y990" s="34" t="s">
        <v>6192</v>
      </c>
      <c r="Z990" s="34">
        <v>1</v>
      </c>
      <c r="AA990" s="34" t="s">
        <v>6249</v>
      </c>
      <c r="AB990" s="34" t="s">
        <v>6250</v>
      </c>
      <c r="AC990" s="34" t="s">
        <v>4877</v>
      </c>
      <c r="AD990" s="34" t="s">
        <v>5447</v>
      </c>
      <c r="AE990" s="34" t="s">
        <v>4891</v>
      </c>
      <c r="AF990" s="34" t="s">
        <v>4891</v>
      </c>
      <c r="AG990" s="34" t="s">
        <v>4549</v>
      </c>
      <c r="AH990" s="34" t="s">
        <v>6251</v>
      </c>
      <c r="AL990" s="34" t="s">
        <v>6182</v>
      </c>
      <c r="AM990" s="40" t="s">
        <v>9</v>
      </c>
      <c r="AP990" s="34">
        <v>0</v>
      </c>
      <c r="AQ990" s="34">
        <v>2041</v>
      </c>
      <c r="AR990" s="34">
        <v>1242</v>
      </c>
      <c r="AT990" s="44">
        <v>158100</v>
      </c>
      <c r="AU990" s="44"/>
      <c r="AV990" s="46">
        <f>ROUND(Товары[[#This Row],[РРЦ финальная, руб.]]/$AU$1,2)</f>
        <v>0</v>
      </c>
      <c r="AW990" s="45" t="str">
        <f>IFERROR(Товары[[#This Row],[РРЦ, евро]]/Товары[[#This Row],[IRP, Eur]],"-")</f>
        <v>-</v>
      </c>
      <c r="AX990" s="42">
        <f>IFERROR(VLOOKUP(Товары[[#This Row],[SubGroup]],'Структура цен DIY'!$B:$C,2,FALSE),0)</f>
        <v>0.26</v>
      </c>
      <c r="AY990" s="44">
        <v>0</v>
      </c>
    </row>
    <row r="991" spans="1:51" x14ac:dyDescent="0.25">
      <c r="A991" s="34">
        <v>989</v>
      </c>
      <c r="B991" s="34" t="s">
        <v>49</v>
      </c>
      <c r="C991" s="110" t="str">
        <f>IFERROR(INDEX(Структура_ассортимента[SuperCategory],MATCH(Товары[[#This Row],[SubGroup]],Структура_ассортимента[Subgroup],0)),"")</f>
        <v>W</v>
      </c>
      <c r="D99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9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91" s="110" t="str">
        <f>IFERROR(INDEX(Структура_ассортимента[Product group],MATCH(Товары[[#This Row],[SubGroup]],Структура_ассортимента[Subgroup],0)),"")</f>
        <v>WMH_C</v>
      </c>
      <c r="G991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991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991" s="36">
        <v>9014</v>
      </c>
      <c r="J991" s="36" t="str">
        <f>IFERROR(INDEX(Структура_ассортимента[Generic Name (long)],MATCH(Товары[[#This Row],[SubGroup]],Структура_ассортимента[Subgroup],0)),"")</f>
        <v>GARDEN HOSE</v>
      </c>
      <c r="L991" s="36">
        <v>967243901</v>
      </c>
      <c r="M991" s="35" t="s">
        <v>2675</v>
      </c>
      <c r="O991" s="35" t="s">
        <v>6252</v>
      </c>
      <c r="P991" s="37" t="s">
        <v>6253</v>
      </c>
      <c r="Q991" s="34" t="s">
        <v>3549</v>
      </c>
      <c r="R991" s="34" t="s">
        <v>3540</v>
      </c>
      <c r="S991" s="47">
        <v>41640</v>
      </c>
      <c r="T991" s="47">
        <v>0</v>
      </c>
      <c r="U991" s="47">
        <v>0</v>
      </c>
      <c r="V991" s="34">
        <v>4078500001700</v>
      </c>
      <c r="W991" s="34" t="s">
        <v>3546</v>
      </c>
      <c r="X991" s="34" t="s">
        <v>3907</v>
      </c>
      <c r="Y991" s="34" t="s">
        <v>6192</v>
      </c>
      <c r="Z991" s="34">
        <v>1</v>
      </c>
      <c r="AA991" s="34" t="s">
        <v>5584</v>
      </c>
      <c r="AB991" s="34" t="s">
        <v>5584</v>
      </c>
      <c r="AC991" s="34" t="s">
        <v>5390</v>
      </c>
      <c r="AD991" s="34" t="s">
        <v>5390</v>
      </c>
      <c r="AE991" s="34" t="s">
        <v>4891</v>
      </c>
      <c r="AF991" s="34" t="s">
        <v>4891</v>
      </c>
      <c r="AG991" s="34" t="s">
        <v>4549</v>
      </c>
      <c r="AH991" s="34" t="s">
        <v>6181</v>
      </c>
      <c r="AL991" s="34" t="s">
        <v>6182</v>
      </c>
      <c r="AM991" s="40" t="s">
        <v>9</v>
      </c>
      <c r="AP991" s="34">
        <v>0</v>
      </c>
      <c r="AQ991" s="34">
        <v>3337</v>
      </c>
      <c r="AR991" s="34">
        <v>2030</v>
      </c>
      <c r="AT991" s="44">
        <v>258500</v>
      </c>
      <c r="AU991" s="44"/>
      <c r="AV991" s="46">
        <f>ROUND(Товары[[#This Row],[РРЦ финальная, руб.]]/$AU$1,2)</f>
        <v>0</v>
      </c>
      <c r="AW991" s="45" t="str">
        <f>IFERROR(Товары[[#This Row],[РРЦ, евро]]/Товары[[#This Row],[IRP, Eur]],"-")</f>
        <v>-</v>
      </c>
      <c r="AX991" s="42">
        <f>IFERROR(VLOOKUP(Товары[[#This Row],[SubGroup]],'Структура цен DIY'!$B:$C,2,FALSE),0)</f>
        <v>0.26</v>
      </c>
      <c r="AY991" s="44">
        <v>0</v>
      </c>
    </row>
    <row r="992" spans="1:51" x14ac:dyDescent="0.25">
      <c r="A992" s="34">
        <v>990</v>
      </c>
      <c r="B992" s="34" t="s">
        <v>49</v>
      </c>
      <c r="C992" s="110" t="str">
        <f>IFERROR(INDEX(Структура_ассортимента[SuperCategory],MATCH(Товары[[#This Row],[SubGroup]],Структура_ассортимента[Subgroup],0)),"")</f>
        <v>W</v>
      </c>
      <c r="D99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9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92" s="110" t="str">
        <f>IFERROR(INDEX(Структура_ассортимента[Product group],MATCH(Товары[[#This Row],[SubGroup]],Структура_ассортимента[Subgroup],0)),"")</f>
        <v>WMH_C</v>
      </c>
      <c r="G992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992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992" s="36">
        <v>9014</v>
      </c>
      <c r="J992" s="36" t="str">
        <f>IFERROR(INDEX(Структура_ассортимента[Generic Name (long)],MATCH(Товары[[#This Row],[SubGroup]],Структура_ассортимента[Subgroup],0)),"")</f>
        <v>GARDEN HOSE</v>
      </c>
      <c r="L992" s="36">
        <v>967244201</v>
      </c>
      <c r="M992" s="35" t="s">
        <v>2676</v>
      </c>
      <c r="O992" s="35" t="s">
        <v>6254</v>
      </c>
      <c r="P992" s="37" t="s">
        <v>6255</v>
      </c>
      <c r="Q992" s="34" t="s">
        <v>3549</v>
      </c>
      <c r="R992" s="34" t="s">
        <v>3540</v>
      </c>
      <c r="S992" s="47">
        <v>41640</v>
      </c>
      <c r="T992" s="47">
        <v>0</v>
      </c>
      <c r="U992" s="47">
        <v>0</v>
      </c>
      <c r="V992" s="34">
        <v>4078500001717</v>
      </c>
      <c r="W992" s="34" t="s">
        <v>3550</v>
      </c>
      <c r="X992" s="34" t="s">
        <v>6191</v>
      </c>
      <c r="Y992" s="34" t="s">
        <v>6192</v>
      </c>
      <c r="Z992" s="34">
        <v>1</v>
      </c>
      <c r="AA992" s="34" t="s">
        <v>6256</v>
      </c>
      <c r="AB992" s="34" t="s">
        <v>6257</v>
      </c>
      <c r="AC992" s="34" t="s">
        <v>5335</v>
      </c>
      <c r="AD992" s="34" t="s">
        <v>6258</v>
      </c>
      <c r="AE992" s="34" t="s">
        <v>4891</v>
      </c>
      <c r="AF992" s="34" t="s">
        <v>4891</v>
      </c>
      <c r="AG992" s="34" t="s">
        <v>3566</v>
      </c>
      <c r="AH992" s="34" t="s">
        <v>6224</v>
      </c>
      <c r="AL992" s="34" t="s">
        <v>4214</v>
      </c>
      <c r="AM992" s="40" t="s">
        <v>233</v>
      </c>
      <c r="AT992" s="44">
        <v>0</v>
      </c>
      <c r="AU992" s="44"/>
      <c r="AV992" s="46">
        <f>ROUND(Товары[[#This Row],[РРЦ финальная, руб.]]/$AU$1,2)</f>
        <v>0</v>
      </c>
      <c r="AW992" s="45" t="str">
        <f>IFERROR(Товары[[#This Row],[РРЦ, евро]]/Товары[[#This Row],[IRP, Eur]],"-")</f>
        <v>-</v>
      </c>
      <c r="AX992" s="42">
        <f>IFERROR(VLOOKUP(Товары[[#This Row],[SubGroup]],'Структура цен DIY'!$B:$C,2,FALSE),0)</f>
        <v>0.26</v>
      </c>
      <c r="AY992" s="44">
        <v>0</v>
      </c>
    </row>
    <row r="993" spans="1:51" x14ac:dyDescent="0.25">
      <c r="A993" s="34">
        <v>991</v>
      </c>
      <c r="B993" s="34" t="s">
        <v>49</v>
      </c>
      <c r="C993" s="110" t="str">
        <f>IFERROR(INDEX(Структура_ассортимента[SuperCategory],MATCH(Товары[[#This Row],[SubGroup]],Структура_ассортимента[Subgroup],0)),"")</f>
        <v>W</v>
      </c>
      <c r="D99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9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93" s="110" t="str">
        <f>IFERROR(INDEX(Структура_ассортимента[Product group],MATCH(Товары[[#This Row],[SubGroup]],Структура_ассортимента[Subgroup],0)),"")</f>
        <v>WMH_C</v>
      </c>
      <c r="G993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993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993" s="36">
        <v>9014</v>
      </c>
      <c r="J993" s="36" t="str">
        <f>IFERROR(INDEX(Структура_ассортимента[Generic Name (long)],MATCH(Товары[[#This Row],[SubGroup]],Структура_ассортимента[Subgroup],0)),"")</f>
        <v>GARDEN HOSE</v>
      </c>
      <c r="L993" s="36">
        <v>967244401</v>
      </c>
      <c r="M993" s="35" t="s">
        <v>2677</v>
      </c>
      <c r="O993" s="35" t="s">
        <v>6259</v>
      </c>
      <c r="P993" s="37" t="s">
        <v>6260</v>
      </c>
      <c r="Q993" s="34" t="s">
        <v>3549</v>
      </c>
      <c r="R993" s="34" t="s">
        <v>3540</v>
      </c>
      <c r="S993" s="47">
        <v>41640</v>
      </c>
      <c r="T993" s="47">
        <v>0</v>
      </c>
      <c r="U993" s="47">
        <v>0</v>
      </c>
      <c r="V993" s="34">
        <v>4078500001731</v>
      </c>
      <c r="W993" s="34" t="s">
        <v>3550</v>
      </c>
      <c r="X993" s="34" t="s">
        <v>3579</v>
      </c>
      <c r="Y993" s="34" t="s">
        <v>6192</v>
      </c>
      <c r="Z993" s="34">
        <v>1</v>
      </c>
      <c r="AA993" s="34" t="s">
        <v>6261</v>
      </c>
      <c r="AB993" s="34" t="s">
        <v>6261</v>
      </c>
      <c r="AC993" s="34" t="s">
        <v>6262</v>
      </c>
      <c r="AD993" s="34" t="s">
        <v>6262</v>
      </c>
      <c r="AE993" s="34" t="s">
        <v>4427</v>
      </c>
      <c r="AF993" s="34" t="s">
        <v>4427</v>
      </c>
      <c r="AG993" s="34" t="s">
        <v>3920</v>
      </c>
      <c r="AH993" s="34" t="s">
        <v>6263</v>
      </c>
      <c r="AL993" s="34" t="s">
        <v>4513</v>
      </c>
      <c r="AM993" s="40" t="s">
        <v>9</v>
      </c>
      <c r="AP993" s="34">
        <v>0</v>
      </c>
      <c r="AQ993" s="34">
        <v>4957</v>
      </c>
      <c r="AR993" s="34">
        <v>3016</v>
      </c>
      <c r="AT993" s="44">
        <v>383900</v>
      </c>
      <c r="AU993" s="44"/>
      <c r="AV993" s="46">
        <f>ROUND(Товары[[#This Row],[РРЦ финальная, руб.]]/$AU$1,2)</f>
        <v>0</v>
      </c>
      <c r="AW993" s="45" t="str">
        <f>IFERROR(Товары[[#This Row],[РРЦ, евро]]/Товары[[#This Row],[IRP, Eur]],"-")</f>
        <v>-</v>
      </c>
      <c r="AX993" s="42">
        <f>IFERROR(VLOOKUP(Товары[[#This Row],[SubGroup]],'Структура цен DIY'!$B:$C,2,FALSE),0)</f>
        <v>0.26</v>
      </c>
      <c r="AY993" s="44">
        <v>0</v>
      </c>
    </row>
    <row r="994" spans="1:51" x14ac:dyDescent="0.25">
      <c r="A994" s="34">
        <v>992</v>
      </c>
      <c r="B994" s="34" t="s">
        <v>49</v>
      </c>
      <c r="C994" s="110" t="str">
        <f>IFERROR(INDEX(Структура_ассортимента[SuperCategory],MATCH(Товары[[#This Row],[SubGroup]],Структура_ассортимента[Subgroup],0)),"")</f>
        <v>W</v>
      </c>
      <c r="D99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9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94" s="110" t="str">
        <f>IFERROR(INDEX(Структура_ассортимента[Product group],MATCH(Товары[[#This Row],[SubGroup]],Структура_ассортимента[Subgroup],0)),"")</f>
        <v>WMH_C</v>
      </c>
      <c r="G994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994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994" s="36">
        <v>9014</v>
      </c>
      <c r="J994" s="36" t="str">
        <f>IFERROR(INDEX(Структура_ассортимента[Generic Name (long)],MATCH(Товары[[#This Row],[SubGroup]],Структура_ассортимента[Subgroup],0)),"")</f>
        <v>GARDEN HOSE</v>
      </c>
      <c r="L994" s="36">
        <v>967244501</v>
      </c>
      <c r="M994" s="35" t="s">
        <v>2678</v>
      </c>
      <c r="O994" s="35" t="s">
        <v>6259</v>
      </c>
      <c r="P994" s="37" t="s">
        <v>6264</v>
      </c>
      <c r="Q994" s="34" t="s">
        <v>3549</v>
      </c>
      <c r="R994" s="34" t="s">
        <v>3540</v>
      </c>
      <c r="S994" s="47">
        <v>41640</v>
      </c>
      <c r="T994" s="47">
        <v>0</v>
      </c>
      <c r="U994" s="47">
        <v>0</v>
      </c>
      <c r="V994" s="34">
        <v>4078500001748</v>
      </c>
      <c r="W994" s="34" t="s">
        <v>3550</v>
      </c>
      <c r="X994" s="34" t="s">
        <v>3579</v>
      </c>
      <c r="Y994" s="34" t="s">
        <v>5981</v>
      </c>
      <c r="Z994" s="34">
        <v>50</v>
      </c>
      <c r="AA994" s="34" t="s">
        <v>4722</v>
      </c>
      <c r="AB994" s="34" t="s">
        <v>6265</v>
      </c>
      <c r="AC994" s="34" t="s">
        <v>3996</v>
      </c>
      <c r="AD994" s="34" t="s">
        <v>3728</v>
      </c>
      <c r="AE994" s="34" t="s">
        <v>3924</v>
      </c>
      <c r="AF994" s="34" t="s">
        <v>3924</v>
      </c>
      <c r="AG994" s="34" t="s">
        <v>3756</v>
      </c>
      <c r="AH994" s="34" t="s">
        <v>5701</v>
      </c>
      <c r="AL994" s="34" t="s">
        <v>6231</v>
      </c>
      <c r="AM994" s="40" t="s">
        <v>9</v>
      </c>
      <c r="AP994" s="34">
        <v>0</v>
      </c>
      <c r="AQ994" s="34">
        <v>102</v>
      </c>
      <c r="AR994" s="34">
        <v>62</v>
      </c>
      <c r="AT994" s="44">
        <v>7900</v>
      </c>
      <c r="AU994" s="44"/>
      <c r="AV994" s="46">
        <f>ROUND(Товары[[#This Row],[РРЦ финальная, руб.]]/$AU$1,2)</f>
        <v>0</v>
      </c>
      <c r="AW994" s="45" t="str">
        <f>IFERROR(Товары[[#This Row],[РРЦ, евро]]/Товары[[#This Row],[IRP, Eur]],"-")</f>
        <v>-</v>
      </c>
      <c r="AX994" s="42">
        <f>IFERROR(VLOOKUP(Товары[[#This Row],[SubGroup]],'Структура цен DIY'!$B:$C,2,FALSE),0)</f>
        <v>0.26</v>
      </c>
      <c r="AY994" s="44">
        <v>0</v>
      </c>
    </row>
    <row r="995" spans="1:51" x14ac:dyDescent="0.25">
      <c r="A995" s="34">
        <v>993</v>
      </c>
      <c r="B995" s="34" t="s">
        <v>49</v>
      </c>
      <c r="C995" s="110" t="str">
        <f>IFERROR(INDEX(Структура_ассортимента[SuperCategory],MATCH(Товары[[#This Row],[SubGroup]],Структура_ассортимента[Subgroup],0)),"")</f>
        <v>W</v>
      </c>
      <c r="D99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9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95" s="110" t="str">
        <f>IFERROR(INDEX(Структура_ассортимента[Product group],MATCH(Товары[[#This Row],[SubGroup]],Структура_ассортимента[Subgroup],0)),"")</f>
        <v>WMH_C</v>
      </c>
      <c r="G995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995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995" s="36">
        <v>9014</v>
      </c>
      <c r="J995" s="36" t="str">
        <f>IFERROR(INDEX(Структура_ассортимента[Generic Name (long)],MATCH(Товары[[#This Row],[SubGroup]],Структура_ассортимента[Subgroup],0)),"")</f>
        <v>GARDEN HOSE</v>
      </c>
      <c r="L995" s="36">
        <v>967244601</v>
      </c>
      <c r="M995" s="35" t="s">
        <v>2679</v>
      </c>
      <c r="Q995" s="34" t="s">
        <v>3549</v>
      </c>
      <c r="R995" s="34" t="s">
        <v>3540</v>
      </c>
      <c r="S995" s="47">
        <v>41640</v>
      </c>
      <c r="T995" s="47">
        <v>0</v>
      </c>
      <c r="U995" s="47">
        <v>0</v>
      </c>
      <c r="V995" s="34">
        <v>4078500001762</v>
      </c>
      <c r="W995" s="34" t="s">
        <v>3550</v>
      </c>
      <c r="X995" s="34" t="s">
        <v>3907</v>
      </c>
      <c r="Y995" s="34" t="s">
        <v>6192</v>
      </c>
      <c r="Z995" s="34">
        <v>1</v>
      </c>
      <c r="AA995" s="34" t="s">
        <v>6238</v>
      </c>
      <c r="AB995" s="34" t="s">
        <v>6266</v>
      </c>
      <c r="AC995" s="34" t="s">
        <v>4449</v>
      </c>
      <c r="AD995" s="34" t="s">
        <v>6266</v>
      </c>
      <c r="AE995" s="34" t="s">
        <v>4510</v>
      </c>
      <c r="AF995" s="34" t="s">
        <v>4510</v>
      </c>
      <c r="AG995" s="34" t="s">
        <v>3592</v>
      </c>
      <c r="AH995" s="34" t="s">
        <v>6267</v>
      </c>
      <c r="AL995" s="34" t="s">
        <v>4397</v>
      </c>
      <c r="AM995" s="40" t="s">
        <v>8095</v>
      </c>
      <c r="AT995" s="44">
        <v>0</v>
      </c>
      <c r="AU995" s="44"/>
      <c r="AV995" s="46">
        <f>ROUND(Товары[[#This Row],[РРЦ финальная, руб.]]/$AU$1,2)</f>
        <v>0</v>
      </c>
      <c r="AW995" s="45" t="str">
        <f>IFERROR(Товары[[#This Row],[РРЦ, евро]]/Товары[[#This Row],[IRP, Eur]],"-")</f>
        <v>-</v>
      </c>
      <c r="AX995" s="42">
        <f>IFERROR(VLOOKUP(Товары[[#This Row],[SubGroup]],'Структура цен DIY'!$B:$C,2,FALSE),0)</f>
        <v>0.26</v>
      </c>
      <c r="AY995" s="44">
        <v>0</v>
      </c>
    </row>
    <row r="996" spans="1:51" x14ac:dyDescent="0.25">
      <c r="A996" s="34">
        <v>994</v>
      </c>
      <c r="B996" s="34" t="s">
        <v>49</v>
      </c>
      <c r="C996" s="110" t="str">
        <f>IFERROR(INDEX(Структура_ассортимента[SuperCategory],MATCH(Товары[[#This Row],[SubGroup]],Структура_ассортимента[Subgroup],0)),"")</f>
        <v>W</v>
      </c>
      <c r="D99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9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96" s="110" t="str">
        <f>IFERROR(INDEX(Структура_ассортимента[Product group],MATCH(Товары[[#This Row],[SubGroup]],Структура_ассортимента[Subgroup],0)),"")</f>
        <v>WMH_C</v>
      </c>
      <c r="G996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996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996" s="36">
        <v>9014</v>
      </c>
      <c r="J996" s="36" t="str">
        <f>IFERROR(INDEX(Структура_ассортимента[Generic Name (long)],MATCH(Товары[[#This Row],[SubGroup]],Структура_ассортимента[Subgroup],0)),"")</f>
        <v>GARDEN HOSE</v>
      </c>
      <c r="L996" s="36">
        <v>967282501</v>
      </c>
      <c r="M996" s="35" t="s">
        <v>2680</v>
      </c>
      <c r="Q996" s="34" t="s">
        <v>3549</v>
      </c>
      <c r="R996" s="34" t="s">
        <v>3540</v>
      </c>
      <c r="S996" s="47">
        <v>41640</v>
      </c>
      <c r="T996" s="47">
        <v>0</v>
      </c>
      <c r="U996" s="47">
        <v>0</v>
      </c>
      <c r="V996" s="34">
        <v>4078500004282</v>
      </c>
      <c r="W996" s="34" t="s">
        <v>3550</v>
      </c>
      <c r="X996" s="34" t="s">
        <v>3907</v>
      </c>
      <c r="Y996" s="34" t="s">
        <v>6192</v>
      </c>
      <c r="Z996" s="34">
        <v>1</v>
      </c>
      <c r="AA996" s="34" t="s">
        <v>6238</v>
      </c>
      <c r="AB996" s="34" t="s">
        <v>6238</v>
      </c>
      <c r="AC996" s="34" t="s">
        <v>4449</v>
      </c>
      <c r="AD996" s="34" t="s">
        <v>4449</v>
      </c>
      <c r="AE996" s="34" t="s">
        <v>4510</v>
      </c>
      <c r="AF996" s="34" t="s">
        <v>4510</v>
      </c>
      <c r="AG996" s="34" t="s">
        <v>3592</v>
      </c>
      <c r="AH996" s="34" t="s">
        <v>6267</v>
      </c>
      <c r="AL996" s="34" t="s">
        <v>4397</v>
      </c>
      <c r="AM996" s="40" t="s">
        <v>8095</v>
      </c>
      <c r="AT996" s="44">
        <v>0</v>
      </c>
      <c r="AU996" s="44"/>
      <c r="AV996" s="46">
        <f>ROUND(Товары[[#This Row],[РРЦ финальная, руб.]]/$AU$1,2)</f>
        <v>0</v>
      </c>
      <c r="AW996" s="45" t="str">
        <f>IFERROR(Товары[[#This Row],[РРЦ, евро]]/Товары[[#This Row],[IRP, Eur]],"-")</f>
        <v>-</v>
      </c>
      <c r="AX996" s="42">
        <f>IFERROR(VLOOKUP(Товары[[#This Row],[SubGroup]],'Структура цен DIY'!$B:$C,2,FALSE),0)</f>
        <v>0.26</v>
      </c>
      <c r="AY996" s="44">
        <v>0</v>
      </c>
    </row>
    <row r="997" spans="1:51" x14ac:dyDescent="0.25">
      <c r="A997" s="34">
        <v>995</v>
      </c>
      <c r="B997" s="34" t="s">
        <v>49</v>
      </c>
      <c r="C997" s="110" t="str">
        <f>IFERROR(INDEX(Структура_ассортимента[SuperCategory],MATCH(Товары[[#This Row],[SubGroup]],Структура_ассортимента[Subgroup],0)),"")</f>
        <v>W</v>
      </c>
      <c r="D99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9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97" s="110" t="str">
        <f>IFERROR(INDEX(Структура_ассортимента[Product group],MATCH(Товары[[#This Row],[SubGroup]],Структура_ассортимента[Subgroup],0)),"")</f>
        <v>WMH_C</v>
      </c>
      <c r="G997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997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997" s="36">
        <v>9014</v>
      </c>
      <c r="J997" s="36" t="str">
        <f>IFERROR(INDEX(Структура_ассортимента[Generic Name (long)],MATCH(Товары[[#This Row],[SubGroup]],Структура_ассортимента[Subgroup],0)),"")</f>
        <v>GARDEN HOSE</v>
      </c>
      <c r="L997" s="36">
        <v>967282601</v>
      </c>
      <c r="M997" s="35" t="s">
        <v>2681</v>
      </c>
      <c r="Q997" s="34" t="s">
        <v>3549</v>
      </c>
      <c r="R997" s="34" t="s">
        <v>3540</v>
      </c>
      <c r="S997" s="47">
        <v>41640</v>
      </c>
      <c r="T997" s="47">
        <v>0</v>
      </c>
      <c r="U997" s="47">
        <v>0</v>
      </c>
      <c r="V997" s="34">
        <v>4078500004244</v>
      </c>
      <c r="W997" s="34" t="s">
        <v>3550</v>
      </c>
      <c r="X997" s="34" t="s">
        <v>3907</v>
      </c>
      <c r="Y997" s="34" t="s">
        <v>6192</v>
      </c>
      <c r="Z997" s="34">
        <v>1</v>
      </c>
      <c r="AA997" s="34" t="s">
        <v>6268</v>
      </c>
      <c r="AB997" s="34" t="s">
        <v>6268</v>
      </c>
      <c r="AC997" s="34" t="s">
        <v>6269</v>
      </c>
      <c r="AD997" s="34" t="s">
        <v>6269</v>
      </c>
      <c r="AE997" s="34" t="s">
        <v>4891</v>
      </c>
      <c r="AF997" s="34" t="s">
        <v>4891</v>
      </c>
      <c r="AG997" s="34" t="s">
        <v>3566</v>
      </c>
      <c r="AH997" s="34" t="s">
        <v>6224</v>
      </c>
      <c r="AL997" s="34" t="s">
        <v>4214</v>
      </c>
      <c r="AM997" s="40" t="s">
        <v>8095</v>
      </c>
      <c r="AT997" s="44">
        <v>0</v>
      </c>
      <c r="AU997" s="44"/>
      <c r="AV997" s="46">
        <f>ROUND(Товары[[#This Row],[РРЦ финальная, руб.]]/$AU$1,2)</f>
        <v>0</v>
      </c>
      <c r="AW997" s="45" t="str">
        <f>IFERROR(Товары[[#This Row],[РРЦ, евро]]/Товары[[#This Row],[IRP, Eur]],"-")</f>
        <v>-</v>
      </c>
      <c r="AX997" s="42">
        <f>IFERROR(VLOOKUP(Товары[[#This Row],[SubGroup]],'Структура цен DIY'!$B:$C,2,FALSE),0)</f>
        <v>0.26</v>
      </c>
      <c r="AY997" s="44">
        <v>0</v>
      </c>
    </row>
    <row r="998" spans="1:51" x14ac:dyDescent="0.25">
      <c r="A998" s="34">
        <v>996</v>
      </c>
      <c r="B998" s="34" t="s">
        <v>49</v>
      </c>
      <c r="C998" s="110" t="str">
        <f>IFERROR(INDEX(Структура_ассортимента[SuperCategory],MATCH(Товары[[#This Row],[SubGroup]],Структура_ассортимента[Subgroup],0)),"")</f>
        <v>W</v>
      </c>
      <c r="D99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9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98" s="110" t="str">
        <f>IFERROR(INDEX(Структура_ассортимента[Product group],MATCH(Товары[[#This Row],[SubGroup]],Структура_ассортимента[Subgroup],0)),"")</f>
        <v>WMH_C</v>
      </c>
      <c r="G998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998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998" s="36">
        <v>9014</v>
      </c>
      <c r="J998" s="36" t="str">
        <f>IFERROR(INDEX(Структура_ассортимента[Generic Name (long)],MATCH(Товары[[#This Row],[SubGroup]],Структура_ассортимента[Subgroup],0)),"")</f>
        <v>GARDEN HOSE</v>
      </c>
      <c r="L998" s="36">
        <v>967244701</v>
      </c>
      <c r="M998" s="35" t="s">
        <v>2682</v>
      </c>
      <c r="Q998" s="34" t="s">
        <v>3549</v>
      </c>
      <c r="R998" s="34" t="s">
        <v>3540</v>
      </c>
      <c r="S998" s="47">
        <v>41640</v>
      </c>
      <c r="T998" s="47">
        <v>0</v>
      </c>
      <c r="U998" s="47">
        <v>0</v>
      </c>
      <c r="V998" s="34">
        <v>4078500001779</v>
      </c>
      <c r="W998" s="34" t="s">
        <v>3550</v>
      </c>
      <c r="X998" s="34" t="s">
        <v>3907</v>
      </c>
      <c r="Y998" s="34" t="s">
        <v>6192</v>
      </c>
      <c r="Z998" s="34">
        <v>1</v>
      </c>
      <c r="AA998" s="34" t="s">
        <v>6270</v>
      </c>
      <c r="AB998" s="34" t="s">
        <v>6270</v>
      </c>
      <c r="AC998" s="34" t="s">
        <v>5436</v>
      </c>
      <c r="AD998" s="34" t="s">
        <v>5436</v>
      </c>
      <c r="AE998" s="34" t="s">
        <v>4202</v>
      </c>
      <c r="AF998" s="34" t="s">
        <v>4202</v>
      </c>
      <c r="AG998" s="34" t="s">
        <v>3566</v>
      </c>
      <c r="AH998" s="34" t="s">
        <v>4700</v>
      </c>
      <c r="AL998" s="34" t="s">
        <v>4214</v>
      </c>
      <c r="AM998" s="40" t="s">
        <v>8095</v>
      </c>
      <c r="AT998" s="44">
        <v>0</v>
      </c>
      <c r="AU998" s="44"/>
      <c r="AV998" s="46">
        <f>ROUND(Товары[[#This Row],[РРЦ финальная, руб.]]/$AU$1,2)</f>
        <v>0</v>
      </c>
      <c r="AW998" s="45" t="str">
        <f>IFERROR(Товары[[#This Row],[РРЦ, евро]]/Товары[[#This Row],[IRP, Eur]],"-")</f>
        <v>-</v>
      </c>
      <c r="AX998" s="42">
        <f>IFERROR(VLOOKUP(Товары[[#This Row],[SubGroup]],'Структура цен DIY'!$B:$C,2,FALSE),0)</f>
        <v>0.26</v>
      </c>
      <c r="AY998" s="44">
        <v>0</v>
      </c>
    </row>
    <row r="999" spans="1:51" x14ac:dyDescent="0.25">
      <c r="A999" s="34">
        <v>997</v>
      </c>
      <c r="B999" s="34" t="s">
        <v>49</v>
      </c>
      <c r="C999" s="110" t="str">
        <f>IFERROR(INDEX(Структура_ассортимента[SuperCategory],MATCH(Товары[[#This Row],[SubGroup]],Структура_ассортимента[Subgroup],0)),"")</f>
        <v>W</v>
      </c>
      <c r="D99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9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99" s="110" t="str">
        <f>IFERROR(INDEX(Структура_ассортимента[Product group],MATCH(Товары[[#This Row],[SubGroup]],Структура_ассортимента[Subgroup],0)),"")</f>
        <v>WMH_C</v>
      </c>
      <c r="G999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999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999" s="36">
        <v>9014</v>
      </c>
      <c r="J999" s="36" t="str">
        <f>IFERROR(INDEX(Структура_ассортимента[Generic Name (long)],MATCH(Товары[[#This Row],[SubGroup]],Структура_ассортимента[Subgroup],0)),"")</f>
        <v>GARDEN HOSE</v>
      </c>
      <c r="L999" s="36">
        <v>967244801</v>
      </c>
      <c r="M999" s="35" t="s">
        <v>2683</v>
      </c>
      <c r="O999" s="35" t="s">
        <v>6271</v>
      </c>
      <c r="P999" s="37" t="s">
        <v>6272</v>
      </c>
      <c r="Q999" s="34" t="s">
        <v>3549</v>
      </c>
      <c r="R999" s="34" t="s">
        <v>3540</v>
      </c>
      <c r="S999" s="47">
        <v>41640</v>
      </c>
      <c r="T999" s="47">
        <v>0</v>
      </c>
      <c r="U999" s="47">
        <v>0</v>
      </c>
      <c r="V999" s="34">
        <v>4078500001786</v>
      </c>
      <c r="W999" s="34" t="s">
        <v>3550</v>
      </c>
      <c r="X999" s="34" t="s">
        <v>3907</v>
      </c>
      <c r="Y999" s="34" t="s">
        <v>6192</v>
      </c>
      <c r="Z999" s="34">
        <v>1</v>
      </c>
      <c r="AA999" s="34" t="s">
        <v>6273</v>
      </c>
      <c r="AB999" s="34" t="s">
        <v>6273</v>
      </c>
      <c r="AC999" s="34" t="s">
        <v>5422</v>
      </c>
      <c r="AD999" s="34" t="s">
        <v>5422</v>
      </c>
      <c r="AE999" s="34" t="s">
        <v>4427</v>
      </c>
      <c r="AF999" s="34" t="s">
        <v>4427</v>
      </c>
      <c r="AG999" s="34" t="s">
        <v>4391</v>
      </c>
      <c r="AH999" s="34" t="s">
        <v>6274</v>
      </c>
      <c r="AL999" s="34" t="s">
        <v>4214</v>
      </c>
      <c r="AM999" s="40" t="s">
        <v>233</v>
      </c>
      <c r="AT999" s="44">
        <v>0</v>
      </c>
      <c r="AU999" s="44"/>
      <c r="AV999" s="46">
        <f>ROUND(Товары[[#This Row],[РРЦ финальная, руб.]]/$AU$1,2)</f>
        <v>0</v>
      </c>
      <c r="AW999" s="45" t="str">
        <f>IFERROR(Товары[[#This Row],[РРЦ, евро]]/Товары[[#This Row],[IRP, Eur]],"-")</f>
        <v>-</v>
      </c>
      <c r="AX999" s="42">
        <f>IFERROR(VLOOKUP(Товары[[#This Row],[SubGroup]],'Структура цен DIY'!$B:$C,2,FALSE),0)</f>
        <v>0.26</v>
      </c>
      <c r="AY999" s="44">
        <v>0</v>
      </c>
    </row>
    <row r="1000" spans="1:51" x14ac:dyDescent="0.25">
      <c r="A1000" s="34">
        <v>998</v>
      </c>
      <c r="B1000" s="34" t="s">
        <v>49</v>
      </c>
      <c r="C1000" s="110" t="str">
        <f>IFERROR(INDEX(Структура_ассортимента[SuperCategory],MATCH(Товары[[#This Row],[SubGroup]],Структура_ассортимента[Subgroup],0)),"")</f>
        <v>W</v>
      </c>
      <c r="D100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0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00" s="110" t="str">
        <f>IFERROR(INDEX(Структура_ассортимента[Product group],MATCH(Товары[[#This Row],[SubGroup]],Структура_ассортимента[Subgroup],0)),"")</f>
        <v>WMH_C</v>
      </c>
      <c r="G1000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00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00" s="36">
        <v>9014</v>
      </c>
      <c r="J1000" s="36" t="str">
        <f>IFERROR(INDEX(Структура_ассортимента[Generic Name (long)],MATCH(Товары[[#This Row],[SubGroup]],Структура_ассортимента[Subgroup],0)),"")</f>
        <v>GARDEN HOSE</v>
      </c>
      <c r="L1000" s="36">
        <v>967282701</v>
      </c>
      <c r="M1000" s="35" t="s">
        <v>2684</v>
      </c>
      <c r="Q1000" s="34" t="s">
        <v>3549</v>
      </c>
      <c r="R1000" s="34" t="s">
        <v>3540</v>
      </c>
      <c r="S1000" s="47">
        <v>41640</v>
      </c>
      <c r="T1000" s="47">
        <v>0</v>
      </c>
      <c r="U1000" s="47">
        <v>0</v>
      </c>
      <c r="V1000" s="34">
        <v>4078500004220</v>
      </c>
      <c r="W1000" s="34" t="s">
        <v>3550</v>
      </c>
      <c r="X1000" s="34" t="s">
        <v>3907</v>
      </c>
      <c r="Y1000" s="34" t="s">
        <v>6192</v>
      </c>
      <c r="Z1000" s="34">
        <v>1</v>
      </c>
      <c r="AA1000" s="34" t="s">
        <v>6275</v>
      </c>
      <c r="AB1000" s="34" t="s">
        <v>6275</v>
      </c>
      <c r="AC1000" s="34" t="s">
        <v>5501</v>
      </c>
      <c r="AD1000" s="34" t="s">
        <v>5501</v>
      </c>
      <c r="AE1000" s="34" t="s">
        <v>4427</v>
      </c>
      <c r="AF1000" s="34" t="s">
        <v>4427</v>
      </c>
      <c r="AG1000" s="34" t="s">
        <v>4391</v>
      </c>
      <c r="AH1000" s="34" t="s">
        <v>6274</v>
      </c>
      <c r="AL1000" s="34" t="s">
        <v>4214</v>
      </c>
      <c r="AM1000" s="40" t="s">
        <v>8095</v>
      </c>
      <c r="AT1000" s="44">
        <v>0</v>
      </c>
      <c r="AU1000" s="44"/>
      <c r="AV1000" s="46">
        <f>ROUND(Товары[[#This Row],[РРЦ финальная, руб.]]/$AU$1,2)</f>
        <v>0</v>
      </c>
      <c r="AW1000" s="45" t="str">
        <f>IFERROR(Товары[[#This Row],[РРЦ, евро]]/Товары[[#This Row],[IRP, Eur]],"-")</f>
        <v>-</v>
      </c>
      <c r="AX1000" s="42">
        <f>IFERROR(VLOOKUP(Товары[[#This Row],[SubGroup]],'Структура цен DIY'!$B:$C,2,FALSE),0)</f>
        <v>0.26</v>
      </c>
      <c r="AY1000" s="44">
        <v>0</v>
      </c>
    </row>
    <row r="1001" spans="1:51" x14ac:dyDescent="0.25">
      <c r="A1001" s="34">
        <v>999</v>
      </c>
      <c r="B1001" s="34" t="s">
        <v>49</v>
      </c>
      <c r="C1001" s="110" t="str">
        <f>IFERROR(INDEX(Структура_ассортимента[SuperCategory],MATCH(Товары[[#This Row],[SubGroup]],Структура_ассортимента[Subgroup],0)),"")</f>
        <v>W</v>
      </c>
      <c r="D100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0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01" s="110" t="str">
        <f>IFERROR(INDEX(Структура_ассортимента[Product group],MATCH(Товары[[#This Row],[SubGroup]],Структура_ассортимента[Subgroup],0)),"")</f>
        <v>WMH_C</v>
      </c>
      <c r="G1001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01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01" s="36">
        <v>9014</v>
      </c>
      <c r="J1001" s="36" t="str">
        <f>IFERROR(INDEX(Структура_ассортимента[Generic Name (long)],MATCH(Товары[[#This Row],[SubGroup]],Структура_ассортимента[Subgroup],0)),"")</f>
        <v>GARDEN HOSE</v>
      </c>
      <c r="L1001" s="36">
        <v>967282801</v>
      </c>
      <c r="M1001" s="35" t="s">
        <v>2685</v>
      </c>
      <c r="Q1001" s="34" t="s">
        <v>3549</v>
      </c>
      <c r="R1001" s="34" t="s">
        <v>3540</v>
      </c>
      <c r="S1001" s="47">
        <v>41640</v>
      </c>
      <c r="T1001" s="47">
        <v>0</v>
      </c>
      <c r="U1001" s="47">
        <v>0</v>
      </c>
      <c r="V1001" s="34">
        <v>4078500004251</v>
      </c>
      <c r="W1001" s="34" t="s">
        <v>3550</v>
      </c>
      <c r="X1001" s="34" t="s">
        <v>3907</v>
      </c>
      <c r="Y1001" s="34" t="s">
        <v>6192</v>
      </c>
      <c r="Z1001" s="34">
        <v>1</v>
      </c>
      <c r="AA1001" s="34" t="s">
        <v>6276</v>
      </c>
      <c r="AB1001" s="34" t="s">
        <v>6276</v>
      </c>
      <c r="AC1001" s="34" t="s">
        <v>3983</v>
      </c>
      <c r="AD1001" s="34" t="s">
        <v>3983</v>
      </c>
      <c r="AE1001" s="34" t="s">
        <v>4891</v>
      </c>
      <c r="AF1001" s="34" t="s">
        <v>4891</v>
      </c>
      <c r="AG1001" s="34" t="s">
        <v>4335</v>
      </c>
      <c r="AH1001" s="34" t="s">
        <v>6277</v>
      </c>
      <c r="AL1001" s="34" t="s">
        <v>3830</v>
      </c>
      <c r="AM1001" s="40" t="s">
        <v>8095</v>
      </c>
      <c r="AT1001" s="44">
        <v>0</v>
      </c>
      <c r="AU1001" s="44"/>
      <c r="AV1001" s="46">
        <f>ROUND(Товары[[#This Row],[РРЦ финальная, руб.]]/$AU$1,2)</f>
        <v>0</v>
      </c>
      <c r="AW1001" s="45" t="str">
        <f>IFERROR(Товары[[#This Row],[РРЦ, евро]]/Товары[[#This Row],[IRP, Eur]],"-")</f>
        <v>-</v>
      </c>
      <c r="AX1001" s="42">
        <f>IFERROR(VLOOKUP(Товары[[#This Row],[SubGroup]],'Структура цен DIY'!$B:$C,2,FALSE),0)</f>
        <v>0.26</v>
      </c>
      <c r="AY1001" s="44">
        <v>0</v>
      </c>
    </row>
    <row r="1002" spans="1:51" x14ac:dyDescent="0.25">
      <c r="A1002" s="34">
        <v>1000</v>
      </c>
      <c r="B1002" s="34" t="s">
        <v>49</v>
      </c>
      <c r="C1002" s="110" t="str">
        <f>IFERROR(INDEX(Структура_ассортимента[SuperCategory],MATCH(Товары[[#This Row],[SubGroup]],Структура_ассортимента[Subgroup],0)),"")</f>
        <v>W</v>
      </c>
      <c r="D100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0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02" s="110" t="str">
        <f>IFERROR(INDEX(Структура_ассортимента[Product group],MATCH(Товары[[#This Row],[SubGroup]],Структура_ассортимента[Subgroup],0)),"")</f>
        <v>WMH_C</v>
      </c>
      <c r="G1002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02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02" s="36">
        <v>9014</v>
      </c>
      <c r="J1002" s="36" t="str">
        <f>IFERROR(INDEX(Структура_ассортимента[Generic Name (long)],MATCH(Товары[[#This Row],[SubGroup]],Структура_ассортимента[Subgroup],0)),"")</f>
        <v>GARDEN HOSE</v>
      </c>
      <c r="L1002" s="36">
        <v>967282901</v>
      </c>
      <c r="M1002" s="35" t="s">
        <v>2686</v>
      </c>
      <c r="Q1002" s="34" t="s">
        <v>3549</v>
      </c>
      <c r="R1002" s="34" t="s">
        <v>3540</v>
      </c>
      <c r="S1002" s="47">
        <v>41640</v>
      </c>
      <c r="T1002" s="47">
        <v>0</v>
      </c>
      <c r="U1002" s="47">
        <v>0</v>
      </c>
      <c r="V1002" s="34">
        <v>4078500004237</v>
      </c>
      <c r="W1002" s="34" t="s">
        <v>3550</v>
      </c>
      <c r="X1002" s="34" t="s">
        <v>3907</v>
      </c>
      <c r="Y1002" s="34" t="s">
        <v>6192</v>
      </c>
      <c r="Z1002" s="34">
        <v>1</v>
      </c>
      <c r="AA1002" s="34" t="s">
        <v>6278</v>
      </c>
      <c r="AB1002" s="34" t="s">
        <v>6278</v>
      </c>
      <c r="AC1002" s="34" t="s">
        <v>6279</v>
      </c>
      <c r="AD1002" s="34" t="s">
        <v>6279</v>
      </c>
      <c r="AE1002" s="34" t="s">
        <v>4510</v>
      </c>
      <c r="AF1002" s="34" t="s">
        <v>4510</v>
      </c>
      <c r="AG1002" s="34" t="s">
        <v>4335</v>
      </c>
      <c r="AH1002" s="34" t="s">
        <v>5029</v>
      </c>
      <c r="AL1002" s="34" t="s">
        <v>3830</v>
      </c>
      <c r="AM1002" s="40" t="s">
        <v>8095</v>
      </c>
      <c r="AT1002" s="44">
        <v>0</v>
      </c>
      <c r="AU1002" s="44"/>
      <c r="AV1002" s="46">
        <f>ROUND(Товары[[#This Row],[РРЦ финальная, руб.]]/$AU$1,2)</f>
        <v>0</v>
      </c>
      <c r="AW1002" s="45" t="str">
        <f>IFERROR(Товары[[#This Row],[РРЦ, евро]]/Товары[[#This Row],[IRP, Eur]],"-")</f>
        <v>-</v>
      </c>
      <c r="AX1002" s="42">
        <f>IFERROR(VLOOKUP(Товары[[#This Row],[SubGroup]],'Структура цен DIY'!$B:$C,2,FALSE),0)</f>
        <v>0.26</v>
      </c>
      <c r="AY1002" s="44">
        <v>0</v>
      </c>
    </row>
    <row r="1003" spans="1:51" x14ac:dyDescent="0.25">
      <c r="A1003" s="34">
        <v>1001</v>
      </c>
      <c r="B1003" s="34" t="s">
        <v>49</v>
      </c>
      <c r="C1003" s="110" t="str">
        <f>IFERROR(INDEX(Структура_ассортимента[SuperCategory],MATCH(Товары[[#This Row],[SubGroup]],Структура_ассортимента[Subgroup],0)),"")</f>
        <v>W</v>
      </c>
      <c r="D100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0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03" s="110" t="str">
        <f>IFERROR(INDEX(Структура_ассортимента[Product group],MATCH(Товары[[#This Row],[SubGroup]],Структура_ассортимента[Subgroup],0)),"")</f>
        <v>WMH_C</v>
      </c>
      <c r="G1003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03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03" s="36">
        <v>9014</v>
      </c>
      <c r="J1003" s="36" t="str">
        <f>IFERROR(INDEX(Структура_ассортимента[Generic Name (long)],MATCH(Товары[[#This Row],[SubGroup]],Структура_ассортимента[Subgroup],0)),"")</f>
        <v>GARDEN HOSE</v>
      </c>
      <c r="L1003" s="36">
        <v>967244901</v>
      </c>
      <c r="M1003" s="35" t="s">
        <v>2687</v>
      </c>
      <c r="O1003" s="35" t="s">
        <v>6280</v>
      </c>
      <c r="P1003" s="37" t="s">
        <v>6281</v>
      </c>
      <c r="Q1003" s="34" t="s">
        <v>3549</v>
      </c>
      <c r="R1003" s="34" t="s">
        <v>3540</v>
      </c>
      <c r="S1003" s="47">
        <v>41640</v>
      </c>
      <c r="T1003" s="47">
        <v>0</v>
      </c>
      <c r="U1003" s="47">
        <v>0</v>
      </c>
      <c r="V1003" s="34">
        <v>4078500001793</v>
      </c>
      <c r="W1003" s="34" t="s">
        <v>3550</v>
      </c>
      <c r="X1003" s="34" t="s">
        <v>3907</v>
      </c>
      <c r="Y1003" s="34" t="s">
        <v>5981</v>
      </c>
      <c r="Z1003" s="34">
        <v>50</v>
      </c>
      <c r="AA1003" s="34" t="s">
        <v>3990</v>
      </c>
      <c r="AB1003" s="34" t="s">
        <v>3990</v>
      </c>
      <c r="AC1003" s="34" t="s">
        <v>3806</v>
      </c>
      <c r="AD1003" s="34" t="s">
        <v>3806</v>
      </c>
      <c r="AE1003" s="34" t="s">
        <v>3678</v>
      </c>
      <c r="AF1003" s="34" t="s">
        <v>3678</v>
      </c>
      <c r="AG1003" s="34" t="s">
        <v>3756</v>
      </c>
      <c r="AH1003" s="34" t="s">
        <v>6282</v>
      </c>
      <c r="AL1003" s="34" t="s">
        <v>6283</v>
      </c>
      <c r="AM1003" s="40" t="s">
        <v>233</v>
      </c>
      <c r="AT1003" s="44">
        <v>0</v>
      </c>
      <c r="AU1003" s="44"/>
      <c r="AV1003" s="46">
        <f>ROUND(Товары[[#This Row],[РРЦ финальная, руб.]]/$AU$1,2)</f>
        <v>0</v>
      </c>
      <c r="AW1003" s="45" t="str">
        <f>IFERROR(Товары[[#This Row],[РРЦ, евро]]/Товары[[#This Row],[IRP, Eur]],"-")</f>
        <v>-</v>
      </c>
      <c r="AX1003" s="42">
        <f>IFERROR(VLOOKUP(Товары[[#This Row],[SubGroup]],'Структура цен DIY'!$B:$C,2,FALSE),0)</f>
        <v>0.26</v>
      </c>
      <c r="AY1003" s="44">
        <v>0</v>
      </c>
    </row>
    <row r="1004" spans="1:51" x14ac:dyDescent="0.25">
      <c r="A1004" s="34">
        <v>1002</v>
      </c>
      <c r="B1004" s="34" t="s">
        <v>49</v>
      </c>
      <c r="C1004" s="110" t="str">
        <f>IFERROR(INDEX(Структура_ассортимента[SuperCategory],MATCH(Товары[[#This Row],[SubGroup]],Структура_ассортимента[Subgroup],0)),"")</f>
        <v>W</v>
      </c>
      <c r="D100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0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04" s="110" t="str">
        <f>IFERROR(INDEX(Структура_ассортимента[Product group],MATCH(Товары[[#This Row],[SubGroup]],Структура_ассортимента[Subgroup],0)),"")</f>
        <v>WMH_C</v>
      </c>
      <c r="G1004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04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04" s="36">
        <v>9014</v>
      </c>
      <c r="J1004" s="36" t="str">
        <f>IFERROR(INDEX(Структура_ассортимента[Generic Name (long)],MATCH(Товары[[#This Row],[SubGroup]],Структура_ассортимента[Subgroup],0)),"")</f>
        <v>GARDEN HOSE</v>
      </c>
      <c r="L1004" s="36">
        <v>967245201</v>
      </c>
      <c r="M1004" s="35" t="s">
        <v>2688</v>
      </c>
      <c r="O1004" s="35" t="s">
        <v>6280</v>
      </c>
      <c r="P1004" s="37" t="s">
        <v>6284</v>
      </c>
      <c r="Q1004" s="34" t="s">
        <v>3549</v>
      </c>
      <c r="R1004" s="34" t="s">
        <v>3540</v>
      </c>
      <c r="S1004" s="47">
        <v>41640</v>
      </c>
      <c r="T1004" s="47">
        <v>0</v>
      </c>
      <c r="U1004" s="47">
        <v>0</v>
      </c>
      <c r="V1004" s="34">
        <v>4078500001816</v>
      </c>
      <c r="W1004" s="34" t="s">
        <v>3550</v>
      </c>
      <c r="X1004" s="34" t="s">
        <v>3907</v>
      </c>
      <c r="Y1004" s="34" t="s">
        <v>6192</v>
      </c>
      <c r="Z1004" s="34">
        <v>1</v>
      </c>
      <c r="AA1004" s="34" t="s">
        <v>6285</v>
      </c>
      <c r="AB1004" s="34" t="s">
        <v>6285</v>
      </c>
      <c r="AC1004" s="34" t="s">
        <v>6286</v>
      </c>
      <c r="AD1004" s="34" t="s">
        <v>6286</v>
      </c>
      <c r="AE1004" s="34" t="s">
        <v>3857</v>
      </c>
      <c r="AF1004" s="34" t="s">
        <v>3857</v>
      </c>
      <c r="AG1004" s="34" t="s">
        <v>3955</v>
      </c>
      <c r="AH1004" s="34" t="s">
        <v>6287</v>
      </c>
      <c r="AL1004" s="34" t="s">
        <v>3842</v>
      </c>
      <c r="AM1004" s="40" t="s">
        <v>233</v>
      </c>
      <c r="AT1004" s="44">
        <v>0</v>
      </c>
      <c r="AU1004" s="44"/>
      <c r="AV1004" s="46">
        <f>ROUND(Товары[[#This Row],[РРЦ финальная, руб.]]/$AU$1,2)</f>
        <v>0</v>
      </c>
      <c r="AW1004" s="45" t="str">
        <f>IFERROR(Товары[[#This Row],[РРЦ, евро]]/Товары[[#This Row],[IRP, Eur]],"-")</f>
        <v>-</v>
      </c>
      <c r="AX1004" s="42">
        <f>IFERROR(VLOOKUP(Товары[[#This Row],[SubGroup]],'Структура цен DIY'!$B:$C,2,FALSE),0)</f>
        <v>0.26</v>
      </c>
      <c r="AY1004" s="44">
        <v>0</v>
      </c>
    </row>
    <row r="1005" spans="1:51" x14ac:dyDescent="0.25">
      <c r="A1005" s="34">
        <v>1003</v>
      </c>
      <c r="B1005" s="34" t="s">
        <v>49</v>
      </c>
      <c r="C1005" s="110" t="str">
        <f>IFERROR(INDEX(Структура_ассортимента[SuperCategory],MATCH(Товары[[#This Row],[SubGroup]],Структура_ассортимента[Subgroup],0)),"")</f>
        <v>W</v>
      </c>
      <c r="D100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0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05" s="110" t="str">
        <f>IFERROR(INDEX(Структура_ассортимента[Product group],MATCH(Товары[[#This Row],[SubGroup]],Структура_ассортимента[Subgroup],0)),"")</f>
        <v>WMH_C</v>
      </c>
      <c r="G1005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05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05" s="36">
        <v>9014</v>
      </c>
      <c r="J1005" s="36" t="str">
        <f>IFERROR(INDEX(Структура_ассортимента[Generic Name (long)],MATCH(Товары[[#This Row],[SubGroup]],Структура_ассортимента[Subgroup],0)),"")</f>
        <v>GARDEN HOSE</v>
      </c>
      <c r="L1005" s="36">
        <v>967245301</v>
      </c>
      <c r="M1005" s="35" t="s">
        <v>2689</v>
      </c>
      <c r="O1005" s="35" t="s">
        <v>6288</v>
      </c>
      <c r="P1005" s="37" t="s">
        <v>6289</v>
      </c>
      <c r="Q1005" s="34" t="s">
        <v>3549</v>
      </c>
      <c r="R1005" s="34" t="s">
        <v>3540</v>
      </c>
      <c r="S1005" s="47">
        <v>41640</v>
      </c>
      <c r="T1005" s="47">
        <v>0</v>
      </c>
      <c r="U1005" s="47">
        <v>0</v>
      </c>
      <c r="V1005" s="34">
        <v>4078500001823</v>
      </c>
      <c r="W1005" s="34" t="s">
        <v>3546</v>
      </c>
      <c r="X1005" s="34" t="s">
        <v>3907</v>
      </c>
      <c r="Y1005" s="34" t="s">
        <v>6192</v>
      </c>
      <c r="Z1005" s="34">
        <v>1</v>
      </c>
      <c r="AA1005" s="34" t="s">
        <v>6290</v>
      </c>
      <c r="AB1005" s="34" t="s">
        <v>6290</v>
      </c>
      <c r="AC1005" s="34" t="s">
        <v>6291</v>
      </c>
      <c r="AD1005" s="34" t="s">
        <v>6291</v>
      </c>
      <c r="AE1005" s="34" t="s">
        <v>3722</v>
      </c>
      <c r="AF1005" s="34" t="s">
        <v>3722</v>
      </c>
      <c r="AG1005" s="34" t="s">
        <v>3920</v>
      </c>
      <c r="AH1005" s="34" t="s">
        <v>6292</v>
      </c>
      <c r="AL1005" s="34" t="s">
        <v>4513</v>
      </c>
      <c r="AM1005" s="40" t="s">
        <v>9</v>
      </c>
      <c r="AP1005" s="34">
        <v>0</v>
      </c>
      <c r="AQ1005" s="34">
        <v>4201</v>
      </c>
      <c r="AR1005" s="34">
        <v>2556</v>
      </c>
      <c r="AT1005" s="44">
        <v>325400</v>
      </c>
      <c r="AU1005" s="44"/>
      <c r="AV1005" s="46">
        <f>ROUND(Товары[[#This Row],[РРЦ финальная, руб.]]/$AU$1,2)</f>
        <v>0</v>
      </c>
      <c r="AW1005" s="45" t="str">
        <f>IFERROR(Товары[[#This Row],[РРЦ, евро]]/Товары[[#This Row],[IRP, Eur]],"-")</f>
        <v>-</v>
      </c>
      <c r="AX1005" s="42">
        <f>IFERROR(VLOOKUP(Товары[[#This Row],[SubGroup]],'Структура цен DIY'!$B:$C,2,FALSE),0)</f>
        <v>0.26</v>
      </c>
      <c r="AY1005" s="44">
        <v>0</v>
      </c>
    </row>
    <row r="1006" spans="1:51" x14ac:dyDescent="0.25">
      <c r="A1006" s="34">
        <v>1004</v>
      </c>
      <c r="B1006" s="34" t="s">
        <v>49</v>
      </c>
      <c r="C1006" s="110" t="str">
        <f>IFERROR(INDEX(Структура_ассортимента[SuperCategory],MATCH(Товары[[#This Row],[SubGroup]],Структура_ассортимента[Subgroup],0)),"")</f>
        <v>W</v>
      </c>
      <c r="D100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0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06" s="110" t="str">
        <f>IFERROR(INDEX(Структура_ассортимента[Product group],MATCH(Товары[[#This Row],[SubGroup]],Структура_ассортимента[Subgroup],0)),"")</f>
        <v>WMH_C</v>
      </c>
      <c r="G1006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06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06" s="36">
        <v>9014</v>
      </c>
      <c r="J1006" s="36" t="str">
        <f>IFERROR(INDEX(Структура_ассортимента[Generic Name (long)],MATCH(Товары[[#This Row],[SubGroup]],Структура_ассортимента[Subgroup],0)),"")</f>
        <v>GARDEN HOSE</v>
      </c>
      <c r="L1006" s="36">
        <v>967245401</v>
      </c>
      <c r="M1006" s="35" t="s">
        <v>2690</v>
      </c>
      <c r="O1006" s="35" t="s">
        <v>6293</v>
      </c>
      <c r="P1006" s="37" t="s">
        <v>6294</v>
      </c>
      <c r="Q1006" s="34" t="s">
        <v>3549</v>
      </c>
      <c r="R1006" s="34" t="s">
        <v>3540</v>
      </c>
      <c r="S1006" s="47">
        <v>41640</v>
      </c>
      <c r="T1006" s="47">
        <v>0</v>
      </c>
      <c r="U1006" s="47">
        <v>0</v>
      </c>
      <c r="V1006" s="34">
        <v>4078500001663</v>
      </c>
      <c r="W1006" s="34" t="s">
        <v>3546</v>
      </c>
      <c r="X1006" s="34" t="s">
        <v>3907</v>
      </c>
      <c r="Y1006" s="34" t="s">
        <v>6192</v>
      </c>
      <c r="Z1006" s="34">
        <v>1</v>
      </c>
      <c r="AA1006" s="34" t="s">
        <v>6295</v>
      </c>
      <c r="AB1006" s="34" t="s">
        <v>6295</v>
      </c>
      <c r="AC1006" s="34" t="s">
        <v>6296</v>
      </c>
      <c r="AD1006" s="34" t="s">
        <v>6296</v>
      </c>
      <c r="AE1006" s="34" t="s">
        <v>4420</v>
      </c>
      <c r="AF1006" s="34" t="s">
        <v>4420</v>
      </c>
      <c r="AG1006" s="34" t="s">
        <v>3968</v>
      </c>
      <c r="AH1006" s="34" t="s">
        <v>6297</v>
      </c>
      <c r="AL1006" s="34" t="s">
        <v>4513</v>
      </c>
      <c r="AM1006" s="40" t="s">
        <v>9</v>
      </c>
      <c r="AP1006" s="34">
        <v>0</v>
      </c>
      <c r="AQ1006" s="34">
        <v>8521</v>
      </c>
      <c r="AR1006" s="34">
        <v>5184</v>
      </c>
      <c r="AT1006" s="44">
        <v>660000</v>
      </c>
      <c r="AU1006" s="44"/>
      <c r="AV1006" s="46">
        <f>ROUND(Товары[[#This Row],[РРЦ финальная, руб.]]/$AU$1,2)</f>
        <v>0</v>
      </c>
      <c r="AW1006" s="45" t="str">
        <f>IFERROR(Товары[[#This Row],[РРЦ, евро]]/Товары[[#This Row],[IRP, Eur]],"-")</f>
        <v>-</v>
      </c>
      <c r="AX1006" s="42">
        <f>IFERROR(VLOOKUP(Товары[[#This Row],[SubGroup]],'Структура цен DIY'!$B:$C,2,FALSE),0)</f>
        <v>0.26</v>
      </c>
      <c r="AY1006" s="44">
        <v>0</v>
      </c>
    </row>
    <row r="1007" spans="1:51" x14ac:dyDescent="0.25">
      <c r="A1007" s="34">
        <v>1005</v>
      </c>
      <c r="B1007" s="34" t="s">
        <v>49</v>
      </c>
      <c r="C1007" s="110" t="str">
        <f>IFERROR(INDEX(Структура_ассортимента[SuperCategory],MATCH(Товары[[#This Row],[SubGroup]],Структура_ассортимента[Subgroup],0)),"")</f>
        <v>W</v>
      </c>
      <c r="D100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0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07" s="110" t="str">
        <f>IFERROR(INDEX(Структура_ассортимента[Product group],MATCH(Товары[[#This Row],[SubGroup]],Структура_ассортимента[Subgroup],0)),"")</f>
        <v>WMH_C</v>
      </c>
      <c r="G1007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07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07" s="36">
        <v>9014</v>
      </c>
      <c r="J1007" s="36" t="str">
        <f>IFERROR(INDEX(Структура_ассортимента[Generic Name (long)],MATCH(Товары[[#This Row],[SubGroup]],Структура_ассортимента[Subgroup],0)),"")</f>
        <v>GARDEN HOSE</v>
      </c>
      <c r="L1007" s="36">
        <v>967247701</v>
      </c>
      <c r="M1007" s="35" t="s">
        <v>2691</v>
      </c>
      <c r="O1007" s="35" t="s">
        <v>6293</v>
      </c>
      <c r="P1007" s="37" t="s">
        <v>6298</v>
      </c>
      <c r="Q1007" s="34" t="s">
        <v>3549</v>
      </c>
      <c r="R1007" s="34" t="s">
        <v>3540</v>
      </c>
      <c r="S1007" s="47">
        <v>41640</v>
      </c>
      <c r="T1007" s="47">
        <v>0</v>
      </c>
      <c r="U1007" s="47">
        <v>0</v>
      </c>
      <c r="V1007" s="34">
        <v>4078500001847</v>
      </c>
      <c r="W1007" s="34" t="s">
        <v>3546</v>
      </c>
      <c r="X1007" s="34" t="s">
        <v>3907</v>
      </c>
      <c r="Y1007" s="34" t="s">
        <v>5981</v>
      </c>
      <c r="Z1007" s="34">
        <v>50</v>
      </c>
      <c r="AA1007" s="34" t="s">
        <v>6299</v>
      </c>
      <c r="AB1007" s="34" t="s">
        <v>6299</v>
      </c>
      <c r="AC1007" s="34" t="s">
        <v>4141</v>
      </c>
      <c r="AD1007" s="34" t="s">
        <v>4141</v>
      </c>
      <c r="AE1007" s="34" t="s">
        <v>5126</v>
      </c>
      <c r="AF1007" s="34" t="s">
        <v>5126</v>
      </c>
      <c r="AG1007" s="34" t="s">
        <v>3756</v>
      </c>
      <c r="AH1007" s="34" t="s">
        <v>6230</v>
      </c>
      <c r="AL1007" s="34" t="s">
        <v>6231</v>
      </c>
      <c r="AM1007" s="40" t="s">
        <v>9</v>
      </c>
      <c r="AP1007" s="34">
        <v>0</v>
      </c>
      <c r="AQ1007" s="34">
        <v>205</v>
      </c>
      <c r="AR1007" s="34">
        <v>125</v>
      </c>
      <c r="AT1007" s="44">
        <v>15900</v>
      </c>
      <c r="AU1007" s="44"/>
      <c r="AV1007" s="46">
        <f>ROUND(Товары[[#This Row],[РРЦ финальная, руб.]]/$AU$1,2)</f>
        <v>0</v>
      </c>
      <c r="AW1007" s="45" t="str">
        <f>IFERROR(Товары[[#This Row],[РРЦ, евро]]/Товары[[#This Row],[IRP, Eur]],"-")</f>
        <v>-</v>
      </c>
      <c r="AX1007" s="42">
        <f>IFERROR(VLOOKUP(Товары[[#This Row],[SubGroup]],'Структура цен DIY'!$B:$C,2,FALSE),0)</f>
        <v>0.26</v>
      </c>
      <c r="AY1007" s="44">
        <v>0</v>
      </c>
    </row>
    <row r="1008" spans="1:51" x14ac:dyDescent="0.25">
      <c r="A1008" s="34">
        <v>1006</v>
      </c>
      <c r="B1008" s="34" t="s">
        <v>49</v>
      </c>
      <c r="C1008" s="110" t="str">
        <f>IFERROR(INDEX(Структура_ассортимента[SuperCategory],MATCH(Товары[[#This Row],[SubGroup]],Структура_ассортимента[Subgroup],0)),"")</f>
        <v>W</v>
      </c>
      <c r="D100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0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08" s="110" t="str">
        <f>IFERROR(INDEX(Структура_ассортимента[Product group],MATCH(Товары[[#This Row],[SubGroup]],Структура_ассортимента[Subgroup],0)),"")</f>
        <v>WMH_C</v>
      </c>
      <c r="G1008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08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08" s="36">
        <v>9014</v>
      </c>
      <c r="J1008" s="36" t="str">
        <f>IFERROR(INDEX(Структура_ассортимента[Generic Name (long)],MATCH(Товары[[#This Row],[SubGroup]],Структура_ассортимента[Subgroup],0)),"")</f>
        <v>GARDEN HOSE</v>
      </c>
      <c r="L1008" s="36">
        <v>967247801</v>
      </c>
      <c r="M1008" s="35" t="s">
        <v>2692</v>
      </c>
      <c r="O1008" s="35" t="s">
        <v>6300</v>
      </c>
      <c r="P1008" s="37" t="s">
        <v>6301</v>
      </c>
      <c r="Q1008" s="34" t="s">
        <v>3549</v>
      </c>
      <c r="R1008" s="34" t="s">
        <v>3540</v>
      </c>
      <c r="S1008" s="47">
        <v>41640</v>
      </c>
      <c r="T1008" s="47">
        <v>0</v>
      </c>
      <c r="U1008" s="47">
        <v>0</v>
      </c>
      <c r="V1008" s="34">
        <v>4078500001861</v>
      </c>
      <c r="W1008" s="34" t="s">
        <v>3550</v>
      </c>
      <c r="X1008" s="34" t="s">
        <v>3907</v>
      </c>
      <c r="Y1008" s="34" t="s">
        <v>5981</v>
      </c>
      <c r="Z1008" s="34">
        <v>25</v>
      </c>
      <c r="AA1008" s="34" t="s">
        <v>4853</v>
      </c>
      <c r="AB1008" s="34" t="s">
        <v>4853</v>
      </c>
      <c r="AC1008" s="34" t="s">
        <v>4678</v>
      </c>
      <c r="AD1008" s="34" t="s">
        <v>4678</v>
      </c>
      <c r="AE1008" s="34" t="s">
        <v>3672</v>
      </c>
      <c r="AF1008" s="34" t="s">
        <v>3672</v>
      </c>
      <c r="AG1008" s="34" t="s">
        <v>3756</v>
      </c>
      <c r="AH1008" s="34" t="s">
        <v>5911</v>
      </c>
      <c r="AL1008" s="34" t="s">
        <v>4822</v>
      </c>
      <c r="AM1008" s="40" t="s">
        <v>9</v>
      </c>
      <c r="AP1008" s="34">
        <v>0</v>
      </c>
      <c r="AQ1008" s="34">
        <v>313</v>
      </c>
      <c r="AR1008" s="34">
        <v>190</v>
      </c>
      <c r="AT1008" s="44">
        <v>24200</v>
      </c>
      <c r="AU1008" s="44"/>
      <c r="AV1008" s="46">
        <f>ROUND(Товары[[#This Row],[РРЦ финальная, руб.]]/$AU$1,2)</f>
        <v>0</v>
      </c>
      <c r="AW1008" s="45" t="str">
        <f>IFERROR(Товары[[#This Row],[РРЦ, евро]]/Товары[[#This Row],[IRP, Eur]],"-")</f>
        <v>-</v>
      </c>
      <c r="AX1008" s="42">
        <f>IFERROR(VLOOKUP(Товары[[#This Row],[SubGroup]],'Структура цен DIY'!$B:$C,2,FALSE),0)</f>
        <v>0.26</v>
      </c>
      <c r="AY1008" s="44">
        <v>0</v>
      </c>
    </row>
    <row r="1009" spans="1:51" x14ac:dyDescent="0.25">
      <c r="A1009" s="34">
        <v>1007</v>
      </c>
      <c r="B1009" s="34" t="s">
        <v>49</v>
      </c>
      <c r="C1009" s="110" t="str">
        <f>IFERROR(INDEX(Структура_ассортимента[SuperCategory],MATCH(Товары[[#This Row],[SubGroup]],Структура_ассортимента[Subgroup],0)),"")</f>
        <v>W</v>
      </c>
      <c r="D100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0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09" s="110" t="str">
        <f>IFERROR(INDEX(Структура_ассортимента[Product group],MATCH(Товары[[#This Row],[SubGroup]],Структура_ассортимента[Subgroup],0)),"")</f>
        <v>WMH_C</v>
      </c>
      <c r="G1009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09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09" s="36">
        <v>9014</v>
      </c>
      <c r="J1009" s="36" t="str">
        <f>IFERROR(INDEX(Структура_ассортимента[Generic Name (long)],MATCH(Товары[[#This Row],[SubGroup]],Структура_ассортимента[Subgroup],0)),"")</f>
        <v>GARDEN HOSE</v>
      </c>
      <c r="L1009" s="36">
        <v>967247901</v>
      </c>
      <c r="M1009" s="35" t="s">
        <v>2693</v>
      </c>
      <c r="O1009" s="35" t="s">
        <v>6302</v>
      </c>
      <c r="P1009" s="37" t="s">
        <v>6303</v>
      </c>
      <c r="Q1009" s="34" t="s">
        <v>3549</v>
      </c>
      <c r="R1009" s="34" t="s">
        <v>3540</v>
      </c>
      <c r="S1009" s="47">
        <v>41640</v>
      </c>
      <c r="T1009" s="47">
        <v>0</v>
      </c>
      <c r="U1009" s="47">
        <v>0</v>
      </c>
      <c r="V1009" s="34">
        <v>4078500001885</v>
      </c>
      <c r="W1009" s="34" t="s">
        <v>3550</v>
      </c>
      <c r="X1009" s="34" t="s">
        <v>3907</v>
      </c>
      <c r="Y1009" s="34" t="s">
        <v>5981</v>
      </c>
      <c r="Z1009" s="34">
        <v>25</v>
      </c>
      <c r="AA1009" s="34" t="s">
        <v>6304</v>
      </c>
      <c r="AB1009" s="34" t="s">
        <v>6304</v>
      </c>
      <c r="AC1009" s="34" t="s">
        <v>6305</v>
      </c>
      <c r="AD1009" s="34" t="s">
        <v>6305</v>
      </c>
      <c r="AE1009" s="34" t="s">
        <v>3672</v>
      </c>
      <c r="AF1009" s="34" t="s">
        <v>3672</v>
      </c>
      <c r="AG1009" s="34" t="s">
        <v>3756</v>
      </c>
      <c r="AH1009" s="34" t="s">
        <v>5911</v>
      </c>
      <c r="AL1009" s="34" t="s">
        <v>6306</v>
      </c>
      <c r="AM1009" s="40" t="s">
        <v>9</v>
      </c>
      <c r="AP1009" s="34">
        <v>0</v>
      </c>
      <c r="AQ1009" s="34">
        <v>529</v>
      </c>
      <c r="AR1009" s="34">
        <v>322</v>
      </c>
      <c r="AT1009" s="44">
        <v>41000</v>
      </c>
      <c r="AU1009" s="44"/>
      <c r="AV1009" s="46">
        <f>ROUND(Товары[[#This Row],[РРЦ финальная, руб.]]/$AU$1,2)</f>
        <v>0</v>
      </c>
      <c r="AW1009" s="45" t="str">
        <f>IFERROR(Товары[[#This Row],[РРЦ, евро]]/Товары[[#This Row],[IRP, Eur]],"-")</f>
        <v>-</v>
      </c>
      <c r="AX1009" s="42">
        <f>IFERROR(VLOOKUP(Товары[[#This Row],[SubGroup]],'Структура цен DIY'!$B:$C,2,FALSE),0)</f>
        <v>0.26</v>
      </c>
      <c r="AY1009" s="44">
        <v>0</v>
      </c>
    </row>
    <row r="1010" spans="1:51" x14ac:dyDescent="0.25">
      <c r="A1010" s="34">
        <v>1008</v>
      </c>
      <c r="B1010" s="34" t="s">
        <v>49</v>
      </c>
      <c r="C1010" s="110" t="str">
        <f>IFERROR(INDEX(Структура_ассортимента[SuperCategory],MATCH(Товары[[#This Row],[SubGroup]],Структура_ассортимента[Subgroup],0)),"")</f>
        <v>W</v>
      </c>
      <c r="D101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1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10" s="110" t="str">
        <f>IFERROR(INDEX(Структура_ассортимента[Product group],MATCH(Товары[[#This Row],[SubGroup]],Структура_ассортимента[Subgroup],0)),"")</f>
        <v>WMH_C</v>
      </c>
      <c r="G1010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10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10" s="36">
        <v>9014</v>
      </c>
      <c r="J1010" s="36" t="str">
        <f>IFERROR(INDEX(Структура_ассортимента[Generic Name (long)],MATCH(Товары[[#This Row],[SubGroup]],Структура_ассортимента[Subgroup],0)),"")</f>
        <v>GARDEN HOSE</v>
      </c>
      <c r="L1010" s="36">
        <v>967248001</v>
      </c>
      <c r="M1010" s="35" t="s">
        <v>2694</v>
      </c>
      <c r="Q1010" s="34" t="s">
        <v>3549</v>
      </c>
      <c r="R1010" s="34" t="s">
        <v>3540</v>
      </c>
      <c r="S1010" s="47">
        <v>41640</v>
      </c>
      <c r="T1010" s="47">
        <v>0</v>
      </c>
      <c r="U1010" s="47">
        <v>0</v>
      </c>
      <c r="V1010" s="34">
        <v>4078500001908</v>
      </c>
      <c r="W1010" s="34" t="s">
        <v>3550</v>
      </c>
      <c r="X1010" s="34" t="s">
        <v>3907</v>
      </c>
      <c r="Y1010" s="34" t="s">
        <v>6192</v>
      </c>
      <c r="Z1010" s="34">
        <v>1</v>
      </c>
      <c r="AA1010" s="34" t="s">
        <v>6307</v>
      </c>
      <c r="AB1010" s="34" t="s">
        <v>6308</v>
      </c>
      <c r="AC1010" s="34" t="s">
        <v>4246</v>
      </c>
      <c r="AD1010" s="34" t="s">
        <v>3983</v>
      </c>
      <c r="AE1010" s="34" t="s">
        <v>4510</v>
      </c>
      <c r="AF1010" s="34" t="s">
        <v>4510</v>
      </c>
      <c r="AG1010" s="34" t="s">
        <v>4153</v>
      </c>
      <c r="AH1010" s="34" t="s">
        <v>5029</v>
      </c>
      <c r="AL1010" s="34" t="s">
        <v>3830</v>
      </c>
      <c r="AM1010" s="40" t="s">
        <v>8095</v>
      </c>
      <c r="AT1010" s="44">
        <v>0</v>
      </c>
      <c r="AU1010" s="44"/>
      <c r="AV1010" s="46">
        <f>ROUND(Товары[[#This Row],[РРЦ финальная, руб.]]/$AU$1,2)</f>
        <v>0</v>
      </c>
      <c r="AW1010" s="45" t="str">
        <f>IFERROR(Товары[[#This Row],[РРЦ, евро]]/Товары[[#This Row],[IRP, Eur]],"-")</f>
        <v>-</v>
      </c>
      <c r="AX1010" s="42">
        <f>IFERROR(VLOOKUP(Товары[[#This Row],[SubGroup]],'Структура цен DIY'!$B:$C,2,FALSE),0)</f>
        <v>0.26</v>
      </c>
      <c r="AY1010" s="44">
        <v>0</v>
      </c>
    </row>
    <row r="1011" spans="1:51" x14ac:dyDescent="0.25">
      <c r="A1011" s="34">
        <v>1009</v>
      </c>
      <c r="B1011" s="34" t="s">
        <v>49</v>
      </c>
      <c r="C1011" s="110" t="str">
        <f>IFERROR(INDEX(Структура_ассортимента[SuperCategory],MATCH(Товары[[#This Row],[SubGroup]],Структура_ассортимента[Subgroup],0)),"")</f>
        <v>W</v>
      </c>
      <c r="D101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1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11" s="110" t="str">
        <f>IFERROR(INDEX(Структура_ассортимента[Product group],MATCH(Товары[[#This Row],[SubGroup]],Структура_ассортимента[Subgroup],0)),"")</f>
        <v>WMH_C</v>
      </c>
      <c r="G1011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11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11" s="36">
        <v>9014</v>
      </c>
      <c r="J1011" s="36" t="str">
        <f>IFERROR(INDEX(Структура_ассортимента[Generic Name (long)],MATCH(Товары[[#This Row],[SubGroup]],Структура_ассортимента[Subgroup],0)),"")</f>
        <v>GARDEN HOSE</v>
      </c>
      <c r="L1011" s="36">
        <v>967248101</v>
      </c>
      <c r="M1011" s="35" t="s">
        <v>2695</v>
      </c>
      <c r="O1011" s="35" t="s">
        <v>6309</v>
      </c>
      <c r="P1011" s="37" t="s">
        <v>6310</v>
      </c>
      <c r="Q1011" s="34" t="s">
        <v>3549</v>
      </c>
      <c r="R1011" s="34" t="s">
        <v>3540</v>
      </c>
      <c r="S1011" s="47">
        <v>41640</v>
      </c>
      <c r="T1011" s="47">
        <v>0</v>
      </c>
      <c r="U1011" s="47">
        <v>0</v>
      </c>
      <c r="V1011" s="34">
        <v>4078500001915</v>
      </c>
      <c r="W1011" s="34" t="s">
        <v>3550</v>
      </c>
      <c r="X1011" s="34" t="s">
        <v>3579</v>
      </c>
      <c r="Y1011" s="34" t="s">
        <v>6192</v>
      </c>
      <c r="Z1011" s="34">
        <v>1</v>
      </c>
      <c r="AA1011" s="34" t="s">
        <v>6311</v>
      </c>
      <c r="AB1011" s="34" t="s">
        <v>6311</v>
      </c>
      <c r="AC1011" s="34" t="s">
        <v>5390</v>
      </c>
      <c r="AD1011" s="34" t="s">
        <v>5390</v>
      </c>
      <c r="AE1011" s="34" t="s">
        <v>4891</v>
      </c>
      <c r="AF1011" s="34" t="s">
        <v>4891</v>
      </c>
      <c r="AG1011" s="34" t="s">
        <v>3800</v>
      </c>
      <c r="AH1011" s="34" t="s">
        <v>6185</v>
      </c>
      <c r="AL1011" s="34" t="s">
        <v>6182</v>
      </c>
      <c r="AM1011" s="40" t="s">
        <v>9</v>
      </c>
      <c r="AP1011" s="34">
        <v>0</v>
      </c>
      <c r="AQ1011" s="34">
        <v>2905</v>
      </c>
      <c r="AR1011" s="34">
        <v>1767</v>
      </c>
      <c r="AT1011" s="44">
        <v>225000</v>
      </c>
      <c r="AU1011" s="44"/>
      <c r="AV1011" s="46">
        <f>ROUND(Товары[[#This Row],[РРЦ финальная, руб.]]/$AU$1,2)</f>
        <v>0</v>
      </c>
      <c r="AW1011" s="45" t="str">
        <f>IFERROR(Товары[[#This Row],[РРЦ, евро]]/Товары[[#This Row],[IRP, Eur]],"-")</f>
        <v>-</v>
      </c>
      <c r="AX1011" s="42">
        <f>IFERROR(VLOOKUP(Товары[[#This Row],[SubGroup]],'Структура цен DIY'!$B:$C,2,FALSE),0)</f>
        <v>0.26</v>
      </c>
      <c r="AY1011" s="44">
        <v>0</v>
      </c>
    </row>
    <row r="1012" spans="1:51" x14ac:dyDescent="0.25">
      <c r="A1012" s="34">
        <v>1010</v>
      </c>
      <c r="B1012" s="34" t="s">
        <v>49</v>
      </c>
      <c r="C1012" s="110" t="str">
        <f>IFERROR(INDEX(Структура_ассортимента[SuperCategory],MATCH(Товары[[#This Row],[SubGroup]],Структура_ассортимента[Subgroup],0)),"")</f>
        <v>W</v>
      </c>
      <c r="D101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1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12" s="110" t="str">
        <f>IFERROR(INDEX(Структура_ассортимента[Product group],MATCH(Товары[[#This Row],[SubGroup]],Структура_ассортимента[Subgroup],0)),"")</f>
        <v>WMH_C</v>
      </c>
      <c r="G1012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12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12" s="36">
        <v>9014</v>
      </c>
      <c r="J1012" s="36" t="str">
        <f>IFERROR(INDEX(Структура_ассортимента[Generic Name (long)],MATCH(Товары[[#This Row],[SubGroup]],Структура_ассортимента[Subgroup],0)),"")</f>
        <v>GARDEN HOSE</v>
      </c>
      <c r="L1012" s="36">
        <v>967248201</v>
      </c>
      <c r="M1012" s="35" t="s">
        <v>2696</v>
      </c>
      <c r="Q1012" s="34" t="s">
        <v>3549</v>
      </c>
      <c r="R1012" s="34" t="s">
        <v>3540</v>
      </c>
      <c r="S1012" s="47">
        <v>41640</v>
      </c>
      <c r="T1012" s="47">
        <v>0</v>
      </c>
      <c r="U1012" s="47">
        <v>0</v>
      </c>
      <c r="V1012" s="34">
        <v>4078500001922</v>
      </c>
      <c r="W1012" s="34" t="s">
        <v>3546</v>
      </c>
      <c r="X1012" s="34" t="s">
        <v>3907</v>
      </c>
      <c r="Y1012" s="34" t="s">
        <v>6192</v>
      </c>
      <c r="Z1012" s="34">
        <v>1</v>
      </c>
      <c r="AA1012" s="34" t="s">
        <v>6312</v>
      </c>
      <c r="AB1012" s="34" t="s">
        <v>6312</v>
      </c>
      <c r="AC1012" s="34" t="s">
        <v>5358</v>
      </c>
      <c r="AD1012" s="34" t="s">
        <v>5358</v>
      </c>
      <c r="AE1012" s="34" t="s">
        <v>4891</v>
      </c>
      <c r="AF1012" s="34" t="s">
        <v>4891</v>
      </c>
      <c r="AG1012" s="34" t="s">
        <v>4549</v>
      </c>
      <c r="AH1012" s="34" t="s">
        <v>6181</v>
      </c>
      <c r="AL1012" s="34" t="s">
        <v>6182</v>
      </c>
      <c r="AM1012" s="40" t="s">
        <v>8095</v>
      </c>
      <c r="AT1012" s="44">
        <v>0</v>
      </c>
      <c r="AU1012" s="44"/>
      <c r="AV1012" s="46">
        <f>ROUND(Товары[[#This Row],[РРЦ финальная, руб.]]/$AU$1,2)</f>
        <v>0</v>
      </c>
      <c r="AW1012" s="45" t="str">
        <f>IFERROR(Товары[[#This Row],[РРЦ, евро]]/Товары[[#This Row],[IRP, Eur]],"-")</f>
        <v>-</v>
      </c>
      <c r="AX1012" s="42">
        <f>IFERROR(VLOOKUP(Товары[[#This Row],[SubGroup]],'Структура цен DIY'!$B:$C,2,FALSE),0)</f>
        <v>0.26</v>
      </c>
      <c r="AY1012" s="44">
        <v>0</v>
      </c>
    </row>
    <row r="1013" spans="1:51" x14ac:dyDescent="0.25">
      <c r="A1013" s="34">
        <v>1011</v>
      </c>
      <c r="B1013" s="34" t="s">
        <v>49</v>
      </c>
      <c r="C1013" s="110" t="str">
        <f>IFERROR(INDEX(Структура_ассортимента[SuperCategory],MATCH(Товары[[#This Row],[SubGroup]],Структура_ассортимента[Subgroup],0)),"")</f>
        <v>W</v>
      </c>
      <c r="D101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1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13" s="110" t="str">
        <f>IFERROR(INDEX(Структура_ассортимента[Product group],MATCH(Товары[[#This Row],[SubGroup]],Структура_ассортимента[Subgroup],0)),"")</f>
        <v>WMH_C</v>
      </c>
      <c r="G1013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13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13" s="36">
        <v>9014</v>
      </c>
      <c r="J1013" s="36" t="str">
        <f>IFERROR(INDEX(Структура_ассортимента[Generic Name (long)],MATCH(Товары[[#This Row],[SubGroup]],Структура_ассортимента[Subgroup],0)),"")</f>
        <v>GARDEN HOSE</v>
      </c>
      <c r="L1013" s="36">
        <v>967248301</v>
      </c>
      <c r="M1013" s="35" t="s">
        <v>2697</v>
      </c>
      <c r="O1013" s="35" t="s">
        <v>6313</v>
      </c>
      <c r="P1013" s="37" t="s">
        <v>6314</v>
      </c>
      <c r="Q1013" s="34" t="s">
        <v>3549</v>
      </c>
      <c r="R1013" s="34" t="s">
        <v>3540</v>
      </c>
      <c r="S1013" s="47">
        <v>41640</v>
      </c>
      <c r="T1013" s="47">
        <v>0</v>
      </c>
      <c r="U1013" s="47">
        <v>0</v>
      </c>
      <c r="V1013" s="34">
        <v>4078500001939</v>
      </c>
      <c r="W1013" s="34" t="s">
        <v>3546</v>
      </c>
      <c r="X1013" s="34" t="s">
        <v>3907</v>
      </c>
      <c r="Y1013" s="34" t="s">
        <v>6192</v>
      </c>
      <c r="Z1013" s="34">
        <v>1</v>
      </c>
      <c r="AA1013" s="34" t="s">
        <v>6315</v>
      </c>
      <c r="AB1013" s="34" t="s">
        <v>6315</v>
      </c>
      <c r="AC1013" s="34" t="s">
        <v>6316</v>
      </c>
      <c r="AD1013" s="34" t="s">
        <v>6316</v>
      </c>
      <c r="AE1013" s="34" t="s">
        <v>4891</v>
      </c>
      <c r="AF1013" s="34" t="s">
        <v>4891</v>
      </c>
      <c r="AG1013" s="34" t="s">
        <v>3556</v>
      </c>
      <c r="AH1013" s="34" t="s">
        <v>6317</v>
      </c>
      <c r="AL1013" s="34" t="s">
        <v>6202</v>
      </c>
      <c r="AM1013" s="40" t="s">
        <v>233</v>
      </c>
      <c r="AT1013" s="44">
        <v>0</v>
      </c>
      <c r="AU1013" s="44"/>
      <c r="AV1013" s="46">
        <f>ROUND(Товары[[#This Row],[РРЦ финальная, руб.]]/$AU$1,2)</f>
        <v>0</v>
      </c>
      <c r="AW1013" s="45" t="str">
        <f>IFERROR(Товары[[#This Row],[РРЦ, евро]]/Товары[[#This Row],[IRP, Eur]],"-")</f>
        <v>-</v>
      </c>
      <c r="AX1013" s="42">
        <f>IFERROR(VLOOKUP(Товары[[#This Row],[SubGroup]],'Структура цен DIY'!$B:$C,2,FALSE),0)</f>
        <v>0.26</v>
      </c>
      <c r="AY1013" s="44">
        <v>0</v>
      </c>
    </row>
    <row r="1014" spans="1:51" x14ac:dyDescent="0.25">
      <c r="A1014" s="34">
        <v>1012</v>
      </c>
      <c r="B1014" s="34" t="s">
        <v>49</v>
      </c>
      <c r="C1014" s="110" t="str">
        <f>IFERROR(INDEX(Структура_ассортимента[SuperCategory],MATCH(Товары[[#This Row],[SubGroup]],Структура_ассортимента[Subgroup],0)),"")</f>
        <v>W</v>
      </c>
      <c r="D101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1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14" s="110" t="str">
        <f>IFERROR(INDEX(Структура_ассортимента[Product group],MATCH(Товары[[#This Row],[SubGroup]],Структура_ассортимента[Subgroup],0)),"")</f>
        <v>WMH_C</v>
      </c>
      <c r="G1014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14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14" s="36">
        <v>9014</v>
      </c>
      <c r="J1014" s="36" t="str">
        <f>IFERROR(INDEX(Структура_ассортимента[Generic Name (long)],MATCH(Товары[[#This Row],[SubGroup]],Структура_ассортимента[Subgroup],0)),"")</f>
        <v>GARDEN HOSE</v>
      </c>
      <c r="L1014" s="36">
        <v>967248501</v>
      </c>
      <c r="M1014" s="35" t="s">
        <v>2698</v>
      </c>
      <c r="O1014" s="35" t="s">
        <v>6318</v>
      </c>
      <c r="P1014" s="37" t="s">
        <v>6319</v>
      </c>
      <c r="Q1014" s="34" t="s">
        <v>3549</v>
      </c>
      <c r="R1014" s="34" t="s">
        <v>3540</v>
      </c>
      <c r="S1014" s="47">
        <v>41640</v>
      </c>
      <c r="T1014" s="47">
        <v>0</v>
      </c>
      <c r="U1014" s="47">
        <v>0</v>
      </c>
      <c r="V1014" s="34">
        <v>4078500002080</v>
      </c>
      <c r="W1014" s="34" t="s">
        <v>3546</v>
      </c>
      <c r="X1014" s="34" t="s">
        <v>3907</v>
      </c>
      <c r="Y1014" s="34" t="s">
        <v>6192</v>
      </c>
      <c r="Z1014" s="34">
        <v>1</v>
      </c>
      <c r="AA1014" s="34" t="s">
        <v>6320</v>
      </c>
      <c r="AB1014" s="34" t="s">
        <v>6320</v>
      </c>
      <c r="AC1014" s="34" t="s">
        <v>6321</v>
      </c>
      <c r="AD1014" s="34" t="s">
        <v>6321</v>
      </c>
      <c r="AE1014" s="34" t="s">
        <v>4747</v>
      </c>
      <c r="AF1014" s="34" t="s">
        <v>4747</v>
      </c>
      <c r="AG1014" s="34" t="s">
        <v>3920</v>
      </c>
      <c r="AH1014" s="34" t="s">
        <v>6322</v>
      </c>
      <c r="AL1014" s="34" t="s">
        <v>4513</v>
      </c>
      <c r="AM1014" s="40" t="s">
        <v>9</v>
      </c>
      <c r="AP1014" s="34">
        <v>0</v>
      </c>
      <c r="AQ1014" s="34">
        <v>7441</v>
      </c>
      <c r="AR1014" s="34">
        <v>4527</v>
      </c>
      <c r="AT1014" s="44">
        <v>576300</v>
      </c>
      <c r="AU1014" s="44"/>
      <c r="AV1014" s="46">
        <f>ROUND(Товары[[#This Row],[РРЦ финальная, руб.]]/$AU$1,2)</f>
        <v>0</v>
      </c>
      <c r="AW1014" s="45" t="str">
        <f>IFERROR(Товары[[#This Row],[РРЦ, евро]]/Товары[[#This Row],[IRP, Eur]],"-")</f>
        <v>-</v>
      </c>
      <c r="AX1014" s="42">
        <f>IFERROR(VLOOKUP(Товары[[#This Row],[SubGroup]],'Структура цен DIY'!$B:$C,2,FALSE),0)</f>
        <v>0.26</v>
      </c>
      <c r="AY1014" s="44">
        <v>0</v>
      </c>
    </row>
    <row r="1015" spans="1:51" x14ac:dyDescent="0.25">
      <c r="A1015" s="34">
        <v>1013</v>
      </c>
      <c r="B1015" s="34" t="s">
        <v>49</v>
      </c>
      <c r="C1015" s="110" t="str">
        <f>IFERROR(INDEX(Структура_ассортимента[SuperCategory],MATCH(Товары[[#This Row],[SubGroup]],Структура_ассортимента[Subgroup],0)),"")</f>
        <v>W</v>
      </c>
      <c r="D101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1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15" s="110" t="str">
        <f>IFERROR(INDEX(Структура_ассортимента[Product group],MATCH(Товары[[#This Row],[SubGroup]],Структура_ассортимента[Subgroup],0)),"")</f>
        <v>WMH_C</v>
      </c>
      <c r="G1015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15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15" s="36">
        <v>9014</v>
      </c>
      <c r="J1015" s="36" t="str">
        <f>IFERROR(INDEX(Структура_ассортимента[Generic Name (long)],MATCH(Товары[[#This Row],[SubGroup]],Структура_ассортимента[Subgroup],0)),"")</f>
        <v>GARDEN HOSE</v>
      </c>
      <c r="L1015" s="36">
        <v>967248601</v>
      </c>
      <c r="M1015" s="35" t="s">
        <v>2699</v>
      </c>
      <c r="O1015" s="35" t="s">
        <v>6323</v>
      </c>
      <c r="P1015" s="37" t="s">
        <v>6324</v>
      </c>
      <c r="Q1015" s="34" t="s">
        <v>3549</v>
      </c>
      <c r="R1015" s="34" t="s">
        <v>3540</v>
      </c>
      <c r="S1015" s="47">
        <v>41640</v>
      </c>
      <c r="T1015" s="47">
        <v>0</v>
      </c>
      <c r="U1015" s="47">
        <v>0</v>
      </c>
      <c r="V1015" s="34">
        <v>4078500002097</v>
      </c>
      <c r="W1015" s="34" t="s">
        <v>3546</v>
      </c>
      <c r="X1015" s="34" t="s">
        <v>3907</v>
      </c>
      <c r="Y1015" s="34" t="s">
        <v>5981</v>
      </c>
      <c r="Z1015" s="34">
        <v>50</v>
      </c>
      <c r="AA1015" s="34" t="s">
        <v>3733</v>
      </c>
      <c r="AB1015" s="34" t="s">
        <v>3733</v>
      </c>
      <c r="AC1015" s="34" t="s">
        <v>3996</v>
      </c>
      <c r="AD1015" s="34" t="s">
        <v>3996</v>
      </c>
      <c r="AE1015" s="34" t="s">
        <v>3924</v>
      </c>
      <c r="AF1015" s="34" t="s">
        <v>3924</v>
      </c>
      <c r="AG1015" s="34" t="s">
        <v>3756</v>
      </c>
      <c r="AH1015" s="34" t="s">
        <v>5701</v>
      </c>
      <c r="AL1015" s="34" t="s">
        <v>6231</v>
      </c>
      <c r="AM1015" s="40" t="s">
        <v>9</v>
      </c>
      <c r="AP1015" s="34">
        <v>0</v>
      </c>
      <c r="AQ1015" s="34">
        <v>146</v>
      </c>
      <c r="AR1015" s="34">
        <v>89</v>
      </c>
      <c r="AT1015" s="44">
        <v>11300</v>
      </c>
      <c r="AU1015" s="44"/>
      <c r="AV1015" s="46">
        <f>ROUND(Товары[[#This Row],[РРЦ финальная, руб.]]/$AU$1,2)</f>
        <v>0</v>
      </c>
      <c r="AW1015" s="45" t="str">
        <f>IFERROR(Товары[[#This Row],[РРЦ, евро]]/Товары[[#This Row],[IRP, Eur]],"-")</f>
        <v>-</v>
      </c>
      <c r="AX1015" s="42">
        <f>IFERROR(VLOOKUP(Товары[[#This Row],[SubGroup]],'Структура цен DIY'!$B:$C,2,FALSE),0)</f>
        <v>0.26</v>
      </c>
      <c r="AY1015" s="44">
        <v>0</v>
      </c>
    </row>
    <row r="1016" spans="1:51" x14ac:dyDescent="0.25">
      <c r="A1016" s="34">
        <v>1014</v>
      </c>
      <c r="B1016" s="34" t="s">
        <v>49</v>
      </c>
      <c r="C1016" s="110" t="str">
        <f>IFERROR(INDEX(Структура_ассортимента[SuperCategory],MATCH(Товары[[#This Row],[SubGroup]],Структура_ассортимента[Subgroup],0)),"")</f>
        <v>W</v>
      </c>
      <c r="D101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1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16" s="110" t="str">
        <f>IFERROR(INDEX(Структура_ассортимента[Product group],MATCH(Товары[[#This Row],[SubGroup]],Структура_ассортимента[Subgroup],0)),"")</f>
        <v>WMH_C</v>
      </c>
      <c r="G1016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16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16" s="36">
        <v>9014</v>
      </c>
      <c r="J1016" s="36" t="str">
        <f>IFERROR(INDEX(Структура_ассортимента[Generic Name (long)],MATCH(Товары[[#This Row],[SubGroup]],Структура_ассортимента[Subgroup],0)),"")</f>
        <v>GARDEN HOSE</v>
      </c>
      <c r="L1016" s="36">
        <v>967248901</v>
      </c>
      <c r="M1016" s="35" t="s">
        <v>2700</v>
      </c>
      <c r="Q1016" s="34" t="s">
        <v>3549</v>
      </c>
      <c r="R1016" s="34" t="s">
        <v>3540</v>
      </c>
      <c r="S1016" s="47">
        <v>41640</v>
      </c>
      <c r="T1016" s="47">
        <v>0</v>
      </c>
      <c r="U1016" s="47">
        <v>0</v>
      </c>
      <c r="V1016" s="34">
        <v>4078500002127</v>
      </c>
      <c r="W1016" s="34" t="s">
        <v>3550</v>
      </c>
      <c r="X1016" s="34" t="s">
        <v>3907</v>
      </c>
      <c r="Y1016" s="34" t="s">
        <v>6192</v>
      </c>
      <c r="Z1016" s="34">
        <v>1</v>
      </c>
      <c r="AA1016" s="34" t="s">
        <v>6325</v>
      </c>
      <c r="AB1016" s="34" t="s">
        <v>6325</v>
      </c>
      <c r="AC1016" s="34" t="s">
        <v>5436</v>
      </c>
      <c r="AD1016" s="34" t="s">
        <v>5436</v>
      </c>
      <c r="AE1016" s="34" t="s">
        <v>4202</v>
      </c>
      <c r="AF1016" s="34" t="s">
        <v>4202</v>
      </c>
      <c r="AG1016" s="34" t="s">
        <v>3576</v>
      </c>
      <c r="AH1016" s="34" t="s">
        <v>6326</v>
      </c>
      <c r="AL1016" s="34" t="s">
        <v>4214</v>
      </c>
      <c r="AM1016" s="40" t="s">
        <v>8095</v>
      </c>
      <c r="AT1016" s="44">
        <v>0</v>
      </c>
      <c r="AU1016" s="44"/>
      <c r="AV1016" s="46">
        <f>ROUND(Товары[[#This Row],[РРЦ финальная, руб.]]/$AU$1,2)</f>
        <v>0</v>
      </c>
      <c r="AW1016" s="45" t="str">
        <f>IFERROR(Товары[[#This Row],[РРЦ, евро]]/Товары[[#This Row],[IRP, Eur]],"-")</f>
        <v>-</v>
      </c>
      <c r="AX1016" s="42">
        <f>IFERROR(VLOOKUP(Товары[[#This Row],[SubGroup]],'Структура цен DIY'!$B:$C,2,FALSE),0)</f>
        <v>0.26</v>
      </c>
      <c r="AY1016" s="44">
        <v>0</v>
      </c>
    </row>
    <row r="1017" spans="1:51" x14ac:dyDescent="0.25">
      <c r="A1017" s="34">
        <v>1015</v>
      </c>
      <c r="B1017" s="34" t="s">
        <v>49</v>
      </c>
      <c r="C1017" s="110" t="str">
        <f>IFERROR(INDEX(Структура_ассортимента[SuperCategory],MATCH(Товары[[#This Row],[SubGroup]],Структура_ассортимента[Subgroup],0)),"")</f>
        <v>W</v>
      </c>
      <c r="D101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1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17" s="110" t="str">
        <f>IFERROR(INDEX(Структура_ассортимента[Product group],MATCH(Товары[[#This Row],[SubGroup]],Структура_ассортимента[Subgroup],0)),"")</f>
        <v>WMH_C</v>
      </c>
      <c r="G1017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17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17" s="36">
        <v>9014</v>
      </c>
      <c r="J1017" s="36" t="str">
        <f>IFERROR(INDEX(Структура_ассортимента[Generic Name (long)],MATCH(Товары[[#This Row],[SubGroup]],Структура_ассортимента[Subgroup],0)),"")</f>
        <v>GARDEN HOSE</v>
      </c>
      <c r="L1017" s="36">
        <v>967249001</v>
      </c>
      <c r="M1017" s="35" t="s">
        <v>2701</v>
      </c>
      <c r="Q1017" s="34" t="s">
        <v>3549</v>
      </c>
      <c r="R1017" s="34" t="s">
        <v>3540</v>
      </c>
      <c r="S1017" s="47">
        <v>41640</v>
      </c>
      <c r="T1017" s="47">
        <v>0</v>
      </c>
      <c r="U1017" s="47">
        <v>0</v>
      </c>
      <c r="V1017" s="34">
        <v>4078500002134</v>
      </c>
      <c r="W1017" s="34" t="s">
        <v>3550</v>
      </c>
      <c r="X1017" s="34" t="s">
        <v>3907</v>
      </c>
      <c r="Y1017" s="34" t="s">
        <v>6192</v>
      </c>
      <c r="Z1017" s="34">
        <v>1</v>
      </c>
      <c r="AA1017" s="34" t="s">
        <v>5425</v>
      </c>
      <c r="AB1017" s="34" t="s">
        <v>5425</v>
      </c>
      <c r="AC1017" s="34" t="s">
        <v>5335</v>
      </c>
      <c r="AD1017" s="34" t="s">
        <v>5335</v>
      </c>
      <c r="AE1017" s="34" t="s">
        <v>4891</v>
      </c>
      <c r="AF1017" s="34" t="s">
        <v>4891</v>
      </c>
      <c r="AG1017" s="34" t="s">
        <v>3611</v>
      </c>
      <c r="AH1017" s="34" t="s">
        <v>6327</v>
      </c>
      <c r="AL1017" s="34" t="s">
        <v>5442</v>
      </c>
      <c r="AM1017" s="40" t="s">
        <v>8095</v>
      </c>
      <c r="AT1017" s="44">
        <v>0</v>
      </c>
      <c r="AU1017" s="44"/>
      <c r="AV1017" s="46">
        <f>ROUND(Товары[[#This Row],[РРЦ финальная, руб.]]/$AU$1,2)</f>
        <v>0</v>
      </c>
      <c r="AW1017" s="45" t="str">
        <f>IFERROR(Товары[[#This Row],[РРЦ, евро]]/Товары[[#This Row],[IRP, Eur]],"-")</f>
        <v>-</v>
      </c>
      <c r="AX1017" s="42">
        <f>IFERROR(VLOOKUP(Товары[[#This Row],[SubGroup]],'Структура цен DIY'!$B:$C,2,FALSE),0)</f>
        <v>0.26</v>
      </c>
      <c r="AY1017" s="44">
        <v>0</v>
      </c>
    </row>
    <row r="1018" spans="1:51" x14ac:dyDescent="0.25">
      <c r="A1018" s="34">
        <v>1016</v>
      </c>
      <c r="B1018" s="34" t="s">
        <v>49</v>
      </c>
      <c r="C1018" s="110" t="str">
        <f>IFERROR(INDEX(Структура_ассортимента[SuperCategory],MATCH(Товары[[#This Row],[SubGroup]],Структура_ассортимента[Subgroup],0)),"")</f>
        <v>W</v>
      </c>
      <c r="D101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1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18" s="110" t="str">
        <f>IFERROR(INDEX(Структура_ассортимента[Product group],MATCH(Товары[[#This Row],[SubGroup]],Структура_ассортимента[Subgroup],0)),"")</f>
        <v>WMH_C</v>
      </c>
      <c r="G1018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18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18" s="36">
        <v>9014</v>
      </c>
      <c r="J1018" s="36" t="str">
        <f>IFERROR(INDEX(Структура_ассортимента[Generic Name (long)],MATCH(Товары[[#This Row],[SubGroup]],Структура_ассортимента[Subgroup],0)),"")</f>
        <v>GARDEN HOSE</v>
      </c>
      <c r="L1018" s="36">
        <v>967249301</v>
      </c>
      <c r="M1018" s="35" t="s">
        <v>2702</v>
      </c>
      <c r="Q1018" s="34" t="s">
        <v>3549</v>
      </c>
      <c r="R1018" s="34" t="s">
        <v>3540</v>
      </c>
      <c r="S1018" s="47">
        <v>41640</v>
      </c>
      <c r="T1018" s="47">
        <v>0</v>
      </c>
      <c r="U1018" s="47">
        <v>0</v>
      </c>
      <c r="V1018" s="34">
        <v>4078500002035</v>
      </c>
      <c r="W1018" s="34" t="s">
        <v>3550</v>
      </c>
      <c r="X1018" s="34" t="s">
        <v>3907</v>
      </c>
      <c r="Y1018" s="34" t="s">
        <v>6192</v>
      </c>
      <c r="Z1018" s="34">
        <v>1</v>
      </c>
      <c r="AA1018" s="34" t="s">
        <v>6328</v>
      </c>
      <c r="AB1018" s="34" t="s">
        <v>6328</v>
      </c>
      <c r="AC1018" s="34" t="s">
        <v>4012</v>
      </c>
      <c r="AD1018" s="34" t="s">
        <v>4012</v>
      </c>
      <c r="AE1018" s="34" t="s">
        <v>4202</v>
      </c>
      <c r="AF1018" s="34" t="s">
        <v>4202</v>
      </c>
      <c r="AG1018" s="34" t="s">
        <v>3825</v>
      </c>
      <c r="AH1018" s="34" t="s">
        <v>6329</v>
      </c>
      <c r="AL1018" s="34" t="s">
        <v>3842</v>
      </c>
      <c r="AM1018" s="40" t="s">
        <v>8095</v>
      </c>
      <c r="AT1018" s="44">
        <v>0</v>
      </c>
      <c r="AU1018" s="44"/>
      <c r="AV1018" s="46">
        <f>ROUND(Товары[[#This Row],[РРЦ финальная, руб.]]/$AU$1,2)</f>
        <v>0</v>
      </c>
      <c r="AW1018" s="45" t="str">
        <f>IFERROR(Товары[[#This Row],[РРЦ, евро]]/Товары[[#This Row],[IRP, Eur]],"-")</f>
        <v>-</v>
      </c>
      <c r="AX1018" s="42">
        <f>IFERROR(VLOOKUP(Товары[[#This Row],[SubGroup]],'Структура цен DIY'!$B:$C,2,FALSE),0)</f>
        <v>0.26</v>
      </c>
      <c r="AY1018" s="44">
        <v>0</v>
      </c>
    </row>
    <row r="1019" spans="1:51" x14ac:dyDescent="0.25">
      <c r="A1019" s="34">
        <v>1017</v>
      </c>
      <c r="B1019" s="34" t="s">
        <v>49</v>
      </c>
      <c r="C1019" s="110" t="str">
        <f>IFERROR(INDEX(Структура_ассортимента[SuperCategory],MATCH(Товары[[#This Row],[SubGroup]],Структура_ассортимента[Subgroup],0)),"")</f>
        <v>W</v>
      </c>
      <c r="D101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1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19" s="110" t="str">
        <f>IFERROR(INDEX(Структура_ассортимента[Product group],MATCH(Товары[[#This Row],[SubGroup]],Структура_ассортимента[Subgroup],0)),"")</f>
        <v>WMH_C</v>
      </c>
      <c r="G1019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19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19" s="36">
        <v>9014</v>
      </c>
      <c r="J1019" s="36" t="str">
        <f>IFERROR(INDEX(Структура_ассортимента[Generic Name (long)],MATCH(Товары[[#This Row],[SubGroup]],Структура_ассортимента[Subgroup],0)),"")</f>
        <v>GARDEN HOSE</v>
      </c>
      <c r="L1019" s="36">
        <v>967249801</v>
      </c>
      <c r="M1019" s="35" t="s">
        <v>2703</v>
      </c>
      <c r="O1019" s="35" t="s">
        <v>6330</v>
      </c>
      <c r="P1019" s="37" t="s">
        <v>6331</v>
      </c>
      <c r="Q1019" s="34" t="s">
        <v>3549</v>
      </c>
      <c r="R1019" s="34" t="s">
        <v>3540</v>
      </c>
      <c r="S1019" s="47">
        <v>41640</v>
      </c>
      <c r="T1019" s="47">
        <v>0</v>
      </c>
      <c r="U1019" s="47">
        <v>0</v>
      </c>
      <c r="V1019" s="34">
        <v>4078500002042</v>
      </c>
      <c r="W1019" s="34" t="s">
        <v>3546</v>
      </c>
      <c r="X1019" s="34" t="s">
        <v>3907</v>
      </c>
      <c r="Y1019" s="34" t="s">
        <v>6192</v>
      </c>
      <c r="Z1019" s="34">
        <v>1</v>
      </c>
      <c r="AA1019" s="34" t="s">
        <v>6332</v>
      </c>
      <c r="AB1019" s="34" t="s">
        <v>6332</v>
      </c>
      <c r="AC1019" s="34" t="s">
        <v>6333</v>
      </c>
      <c r="AD1019" s="34" t="s">
        <v>6333</v>
      </c>
      <c r="AE1019" s="34" t="s">
        <v>4427</v>
      </c>
      <c r="AF1019" s="34" t="s">
        <v>4427</v>
      </c>
      <c r="AG1019" s="34" t="s">
        <v>3989</v>
      </c>
      <c r="AH1019" s="34" t="s">
        <v>6334</v>
      </c>
      <c r="AL1019" s="34" t="s">
        <v>4513</v>
      </c>
      <c r="AM1019" s="40" t="s">
        <v>9</v>
      </c>
      <c r="AP1019" s="34">
        <v>0</v>
      </c>
      <c r="AQ1019" s="34">
        <v>6037</v>
      </c>
      <c r="AR1019" s="34">
        <v>3673</v>
      </c>
      <c r="AT1019" s="44">
        <v>467600</v>
      </c>
      <c r="AU1019" s="44"/>
      <c r="AV1019" s="46">
        <f>ROUND(Товары[[#This Row],[РРЦ финальная, руб.]]/$AU$1,2)</f>
        <v>0</v>
      </c>
      <c r="AW1019" s="45" t="str">
        <f>IFERROR(Товары[[#This Row],[РРЦ, евро]]/Товары[[#This Row],[IRP, Eur]],"-")</f>
        <v>-</v>
      </c>
      <c r="AX1019" s="42">
        <f>IFERROR(VLOOKUP(Товары[[#This Row],[SubGroup]],'Структура цен DIY'!$B:$C,2,FALSE),0)</f>
        <v>0.26</v>
      </c>
      <c r="AY1019" s="44">
        <v>0</v>
      </c>
    </row>
    <row r="1020" spans="1:51" x14ac:dyDescent="0.25">
      <c r="A1020" s="34">
        <v>1018</v>
      </c>
      <c r="B1020" s="34" t="s">
        <v>49</v>
      </c>
      <c r="C1020" s="110" t="str">
        <f>IFERROR(INDEX(Структура_ассортимента[SuperCategory],MATCH(Товары[[#This Row],[SubGroup]],Структура_ассортимента[Subgroup],0)),"")</f>
        <v>W</v>
      </c>
      <c r="D102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2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20" s="110" t="str">
        <f>IFERROR(INDEX(Структура_ассортимента[Product group],MATCH(Товары[[#This Row],[SubGroup]],Структура_ассортимента[Subgroup],0)),"")</f>
        <v>WMH_C</v>
      </c>
      <c r="G1020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20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20" s="36">
        <v>9014</v>
      </c>
      <c r="J1020" s="36" t="str">
        <f>IFERROR(INDEX(Структура_ассортимента[Generic Name (long)],MATCH(Товары[[#This Row],[SubGroup]],Структура_ассортимента[Subgroup],0)),"")</f>
        <v>GARDEN HOSE</v>
      </c>
      <c r="L1020" s="36">
        <v>967249901</v>
      </c>
      <c r="M1020" s="35" t="s">
        <v>2704</v>
      </c>
      <c r="O1020" s="35" t="s">
        <v>6335</v>
      </c>
      <c r="P1020" s="37" t="s">
        <v>6336</v>
      </c>
      <c r="Q1020" s="34" t="s">
        <v>3549</v>
      </c>
      <c r="R1020" s="34" t="s">
        <v>3540</v>
      </c>
      <c r="S1020" s="47">
        <v>41640</v>
      </c>
      <c r="T1020" s="47">
        <v>0</v>
      </c>
      <c r="U1020" s="47">
        <v>0</v>
      </c>
      <c r="V1020" s="34">
        <v>4078500002059</v>
      </c>
      <c r="W1020" s="34" t="s">
        <v>3546</v>
      </c>
      <c r="X1020" s="34" t="s">
        <v>3907</v>
      </c>
      <c r="Y1020" s="34" t="s">
        <v>6192</v>
      </c>
      <c r="Z1020" s="34">
        <v>1</v>
      </c>
      <c r="AA1020" s="34" t="s">
        <v>6337</v>
      </c>
      <c r="AB1020" s="34" t="s">
        <v>6337</v>
      </c>
      <c r="AC1020" s="34" t="s">
        <v>6338</v>
      </c>
      <c r="AD1020" s="34" t="s">
        <v>6338</v>
      </c>
      <c r="AE1020" s="34" t="s">
        <v>4420</v>
      </c>
      <c r="AF1020" s="34" t="s">
        <v>4420</v>
      </c>
      <c r="AG1020" s="34" t="s">
        <v>3968</v>
      </c>
      <c r="AH1020" s="34" t="s">
        <v>6339</v>
      </c>
      <c r="AL1020" s="34" t="s">
        <v>4513</v>
      </c>
      <c r="AM1020" s="40" t="s">
        <v>9</v>
      </c>
      <c r="AP1020" s="34">
        <v>0</v>
      </c>
      <c r="AQ1020" s="34">
        <v>12301</v>
      </c>
      <c r="AR1020" s="34">
        <v>7483</v>
      </c>
      <c r="AT1020" s="44">
        <v>952800</v>
      </c>
      <c r="AU1020" s="44"/>
      <c r="AV1020" s="46">
        <f>ROUND(Товары[[#This Row],[РРЦ финальная, руб.]]/$AU$1,2)</f>
        <v>0</v>
      </c>
      <c r="AW1020" s="45" t="str">
        <f>IFERROR(Товары[[#This Row],[РРЦ, евро]]/Товары[[#This Row],[IRP, Eur]],"-")</f>
        <v>-</v>
      </c>
      <c r="AX1020" s="42">
        <f>IFERROR(VLOOKUP(Товары[[#This Row],[SubGroup]],'Структура цен DIY'!$B:$C,2,FALSE),0)</f>
        <v>0.26</v>
      </c>
      <c r="AY1020" s="44">
        <v>0</v>
      </c>
    </row>
    <row r="1021" spans="1:51" x14ac:dyDescent="0.25">
      <c r="A1021" s="34">
        <v>1019</v>
      </c>
      <c r="B1021" s="34" t="s">
        <v>49</v>
      </c>
      <c r="C1021" s="110" t="str">
        <f>IFERROR(INDEX(Структура_ассортимента[SuperCategory],MATCH(Товары[[#This Row],[SubGroup]],Структура_ассортимента[Subgroup],0)),"")</f>
        <v>W</v>
      </c>
      <c r="D102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2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21" s="110" t="str">
        <f>IFERROR(INDEX(Структура_ассортимента[Product group],MATCH(Товары[[#This Row],[SubGroup]],Структура_ассортимента[Subgroup],0)),"")</f>
        <v>WMH_C</v>
      </c>
      <c r="G1021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21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21" s="36">
        <v>9014</v>
      </c>
      <c r="J1021" s="36" t="str">
        <f>IFERROR(INDEX(Структура_ассортимента[Generic Name (long)],MATCH(Товары[[#This Row],[SubGroup]],Структура_ассортимента[Subgroup],0)),"")</f>
        <v>GARDEN HOSE</v>
      </c>
      <c r="L1021" s="36">
        <v>967250101</v>
      </c>
      <c r="M1021" s="35" t="s">
        <v>2705</v>
      </c>
      <c r="O1021" s="35" t="s">
        <v>6340</v>
      </c>
      <c r="P1021" s="37" t="s">
        <v>6341</v>
      </c>
      <c r="Q1021" s="34" t="s">
        <v>3549</v>
      </c>
      <c r="R1021" s="34" t="s">
        <v>3540</v>
      </c>
      <c r="S1021" s="47">
        <v>41640</v>
      </c>
      <c r="T1021" s="47">
        <v>0</v>
      </c>
      <c r="U1021" s="47">
        <v>0</v>
      </c>
      <c r="V1021" s="34">
        <v>4078500001953</v>
      </c>
      <c r="W1021" s="34" t="s">
        <v>3546</v>
      </c>
      <c r="X1021" s="34" t="s">
        <v>3907</v>
      </c>
      <c r="Y1021" s="34" t="s">
        <v>5981</v>
      </c>
      <c r="Z1021" s="34">
        <v>50</v>
      </c>
      <c r="AA1021" s="34" t="s">
        <v>6342</v>
      </c>
      <c r="AB1021" s="34" t="s">
        <v>6342</v>
      </c>
      <c r="AC1021" s="34" t="s">
        <v>6343</v>
      </c>
      <c r="AD1021" s="34" t="s">
        <v>6343</v>
      </c>
      <c r="AE1021" s="34" t="s">
        <v>5126</v>
      </c>
      <c r="AF1021" s="34" t="s">
        <v>5126</v>
      </c>
      <c r="AG1021" s="34" t="s">
        <v>3756</v>
      </c>
      <c r="AH1021" s="34" t="s">
        <v>6230</v>
      </c>
      <c r="AL1021" s="34" t="s">
        <v>6231</v>
      </c>
      <c r="AM1021" s="40" t="s">
        <v>9</v>
      </c>
      <c r="AP1021" s="34">
        <v>0</v>
      </c>
      <c r="AQ1021" s="34">
        <v>205</v>
      </c>
      <c r="AR1021" s="34">
        <v>125</v>
      </c>
      <c r="AT1021" s="44">
        <v>15900</v>
      </c>
      <c r="AU1021" s="44"/>
      <c r="AV1021" s="46">
        <f>ROUND(Товары[[#This Row],[РРЦ финальная, руб.]]/$AU$1,2)</f>
        <v>0</v>
      </c>
      <c r="AW1021" s="45" t="str">
        <f>IFERROR(Товары[[#This Row],[РРЦ, евро]]/Товары[[#This Row],[IRP, Eur]],"-")</f>
        <v>-</v>
      </c>
      <c r="AX1021" s="42">
        <f>IFERROR(VLOOKUP(Товары[[#This Row],[SubGroup]],'Структура цен DIY'!$B:$C,2,FALSE),0)</f>
        <v>0.26</v>
      </c>
      <c r="AY1021" s="44">
        <v>0</v>
      </c>
    </row>
    <row r="1022" spans="1:51" x14ac:dyDescent="0.25">
      <c r="A1022" s="34">
        <v>1020</v>
      </c>
      <c r="B1022" s="34" t="s">
        <v>49</v>
      </c>
      <c r="C1022" s="110" t="str">
        <f>IFERROR(INDEX(Структура_ассортимента[SuperCategory],MATCH(Товары[[#This Row],[SubGroup]],Структура_ассортимента[Subgroup],0)),"")</f>
        <v>W</v>
      </c>
      <c r="D102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2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22" s="110" t="str">
        <f>IFERROR(INDEX(Структура_ассортимента[Product group],MATCH(Товары[[#This Row],[SubGroup]],Структура_ассортимента[Subgroup],0)),"")</f>
        <v>WMH_C</v>
      </c>
      <c r="G1022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22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22" s="36">
        <v>9014</v>
      </c>
      <c r="J1022" s="36" t="str">
        <f>IFERROR(INDEX(Структура_ассортимента[Generic Name (long)],MATCH(Товары[[#This Row],[SubGroup]],Структура_ассортимента[Subgroup],0)),"")</f>
        <v>GARDEN HOSE</v>
      </c>
      <c r="L1022" s="36">
        <v>901066301</v>
      </c>
      <c r="M1022" s="35" t="s">
        <v>2706</v>
      </c>
      <c r="O1022" s="35" t="s">
        <v>6344</v>
      </c>
      <c r="P1022" s="37" t="s">
        <v>6345</v>
      </c>
      <c r="Q1022" s="34" t="s">
        <v>3549</v>
      </c>
      <c r="R1022" s="34" t="s">
        <v>3540</v>
      </c>
      <c r="S1022" s="47">
        <v>38261</v>
      </c>
      <c r="T1022" s="47">
        <v>0</v>
      </c>
      <c r="U1022" s="47">
        <v>0</v>
      </c>
      <c r="V1022" s="34">
        <v>4078500442428</v>
      </c>
      <c r="W1022" s="34" t="s">
        <v>3550</v>
      </c>
      <c r="X1022" s="34" t="s">
        <v>3579</v>
      </c>
      <c r="Y1022" s="34" t="s">
        <v>5981</v>
      </c>
      <c r="Z1022" s="34">
        <v>50</v>
      </c>
      <c r="AA1022" s="34" t="s">
        <v>6346</v>
      </c>
      <c r="AB1022" s="34" t="s">
        <v>3741</v>
      </c>
      <c r="AC1022" s="34" t="s">
        <v>3734</v>
      </c>
      <c r="AD1022" s="34" t="s">
        <v>3741</v>
      </c>
      <c r="AE1022" s="34" t="s">
        <v>3756</v>
      </c>
      <c r="AF1022" s="34" t="s">
        <v>3656</v>
      </c>
      <c r="AG1022" s="34" t="s">
        <v>3656</v>
      </c>
      <c r="AH1022" s="34" t="s">
        <v>6347</v>
      </c>
      <c r="AL1022" s="34">
        <v>3000</v>
      </c>
      <c r="AM1022" s="40" t="s">
        <v>9</v>
      </c>
      <c r="AP1022" s="34">
        <v>0</v>
      </c>
      <c r="AQ1022" s="34">
        <v>529</v>
      </c>
      <c r="AR1022" s="34">
        <v>309</v>
      </c>
      <c r="AT1022" s="44">
        <v>41000</v>
      </c>
      <c r="AU1022" s="44"/>
      <c r="AV1022" s="46">
        <f>ROUND(Товары[[#This Row],[РРЦ финальная, руб.]]/$AU$1,2)</f>
        <v>0</v>
      </c>
      <c r="AW1022" s="45" t="str">
        <f>IFERROR(Товары[[#This Row],[РРЦ, евро]]/Товары[[#This Row],[IRP, Eur]],"-")</f>
        <v>-</v>
      </c>
      <c r="AX1022" s="42">
        <f>IFERROR(VLOOKUP(Товары[[#This Row],[SubGroup]],'Структура цен DIY'!$B:$C,2,FALSE),0)</f>
        <v>0.26</v>
      </c>
      <c r="AY1022" s="44">
        <v>0</v>
      </c>
    </row>
    <row r="1023" spans="1:51" x14ac:dyDescent="0.25">
      <c r="A1023" s="34">
        <v>1021</v>
      </c>
      <c r="B1023" s="34" t="s">
        <v>49</v>
      </c>
      <c r="C1023" s="110" t="str">
        <f>IFERROR(INDEX(Структура_ассортимента[SuperCategory],MATCH(Товары[[#This Row],[SubGroup]],Структура_ассортимента[Subgroup],0)),"")</f>
        <v>W</v>
      </c>
      <c r="D102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2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23" s="110" t="str">
        <f>IFERROR(INDEX(Структура_ассортимента[Product group],MATCH(Товары[[#This Row],[SubGroup]],Структура_ассортимента[Subgroup],0)),"")</f>
        <v>WMH_C</v>
      </c>
      <c r="G1023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23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23" s="36">
        <v>9014</v>
      </c>
      <c r="J1023" s="36" t="str">
        <f>IFERROR(INDEX(Структура_ассортимента[Generic Name (long)],MATCH(Товары[[#This Row],[SubGroup]],Структура_ассортимента[Subgroup],0)),"")</f>
        <v>GARDEN HOSE</v>
      </c>
      <c r="L1023" s="36">
        <v>901066601</v>
      </c>
      <c r="M1023" s="35" t="s">
        <v>2707</v>
      </c>
      <c r="O1023" s="35" t="s">
        <v>6348</v>
      </c>
      <c r="P1023" s="37" t="s">
        <v>6349</v>
      </c>
      <c r="Q1023" s="34" t="s">
        <v>3549</v>
      </c>
      <c r="R1023" s="34" t="s">
        <v>3540</v>
      </c>
      <c r="S1023" s="47">
        <v>38261</v>
      </c>
      <c r="T1023" s="47">
        <v>0</v>
      </c>
      <c r="U1023" s="47">
        <v>0</v>
      </c>
      <c r="V1023" s="34">
        <v>4078500443425</v>
      </c>
      <c r="W1023" s="34" t="s">
        <v>3550</v>
      </c>
      <c r="X1023" s="34" t="s">
        <v>3579</v>
      </c>
      <c r="Y1023" s="34" t="s">
        <v>5981</v>
      </c>
      <c r="Z1023" s="34">
        <v>50</v>
      </c>
      <c r="AA1023" s="34" t="s">
        <v>4419</v>
      </c>
      <c r="AB1023" s="34" t="s">
        <v>4419</v>
      </c>
      <c r="AC1023" s="34" t="s">
        <v>4179</v>
      </c>
      <c r="AD1023" s="34" t="s">
        <v>4179</v>
      </c>
      <c r="AE1023" s="34" t="s">
        <v>3756</v>
      </c>
      <c r="AF1023" s="34" t="s">
        <v>3656</v>
      </c>
      <c r="AG1023" s="34" t="s">
        <v>3656</v>
      </c>
      <c r="AH1023" s="34" t="s">
        <v>6347</v>
      </c>
      <c r="AL1023" s="34">
        <v>500</v>
      </c>
      <c r="AM1023" s="40" t="s">
        <v>9</v>
      </c>
      <c r="AP1023" s="34">
        <v>0</v>
      </c>
      <c r="AQ1023" s="34">
        <v>745</v>
      </c>
      <c r="AR1023" s="34">
        <v>435</v>
      </c>
      <c r="AT1023" s="44">
        <v>57700</v>
      </c>
      <c r="AU1023" s="44"/>
      <c r="AV1023" s="46">
        <f>ROUND(Товары[[#This Row],[РРЦ финальная, руб.]]/$AU$1,2)</f>
        <v>0</v>
      </c>
      <c r="AW1023" s="45" t="str">
        <f>IFERROR(Товары[[#This Row],[РРЦ, евро]]/Товары[[#This Row],[IRP, Eur]],"-")</f>
        <v>-</v>
      </c>
      <c r="AX1023" s="42">
        <f>IFERROR(VLOOKUP(Товары[[#This Row],[SubGroup]],'Структура цен DIY'!$B:$C,2,FALSE),0)</f>
        <v>0.26</v>
      </c>
      <c r="AY1023" s="44">
        <v>0</v>
      </c>
    </row>
    <row r="1024" spans="1:51" x14ac:dyDescent="0.25">
      <c r="A1024" s="34">
        <v>1022</v>
      </c>
      <c r="B1024" s="34" t="s">
        <v>49</v>
      </c>
      <c r="C1024" s="110" t="str">
        <f>IFERROR(INDEX(Структура_ассортимента[SuperCategory],MATCH(Товары[[#This Row],[SubGroup]],Структура_ассортимента[Subgroup],0)),"")</f>
        <v>W</v>
      </c>
      <c r="D102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2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24" s="110" t="str">
        <f>IFERROR(INDEX(Структура_ассортимента[Product group],MATCH(Товары[[#This Row],[SubGroup]],Структура_ассортимента[Subgroup],0)),"")</f>
        <v>WMH_C</v>
      </c>
      <c r="G1024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24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24" s="36">
        <v>9014</v>
      </c>
      <c r="J1024" s="36" t="str">
        <f>IFERROR(INDEX(Структура_ассортимента[Generic Name (long)],MATCH(Товары[[#This Row],[SubGroup]],Структура_ассортимента[Subgroup],0)),"")</f>
        <v>GARDEN HOSE</v>
      </c>
      <c r="L1024" s="36">
        <v>967250301</v>
      </c>
      <c r="M1024" s="35" t="s">
        <v>2708</v>
      </c>
      <c r="O1024" s="35" t="s">
        <v>6350</v>
      </c>
      <c r="P1024" s="37" t="s">
        <v>6351</v>
      </c>
      <c r="Q1024" s="34" t="s">
        <v>3549</v>
      </c>
      <c r="R1024" s="34" t="s">
        <v>3540</v>
      </c>
      <c r="S1024" s="47">
        <v>41640</v>
      </c>
      <c r="T1024" s="47">
        <v>0</v>
      </c>
      <c r="U1024" s="47">
        <v>0</v>
      </c>
      <c r="V1024" s="34">
        <v>4078500001977</v>
      </c>
      <c r="W1024" s="34" t="s">
        <v>3546</v>
      </c>
      <c r="X1024" s="34" t="s">
        <v>3907</v>
      </c>
      <c r="Y1024" s="34" t="s">
        <v>6192</v>
      </c>
      <c r="Z1024" s="34">
        <v>1</v>
      </c>
      <c r="AA1024" s="34" t="s">
        <v>6352</v>
      </c>
      <c r="AB1024" s="34" t="s">
        <v>6353</v>
      </c>
      <c r="AC1024" s="34" t="s">
        <v>6354</v>
      </c>
      <c r="AD1024" s="34" t="s">
        <v>6355</v>
      </c>
      <c r="AE1024" s="34" t="s">
        <v>4891</v>
      </c>
      <c r="AF1024" s="34" t="s">
        <v>4891</v>
      </c>
      <c r="AG1024" s="34" t="s">
        <v>4549</v>
      </c>
      <c r="AH1024" s="34" t="s">
        <v>6181</v>
      </c>
      <c r="AL1024" s="34" t="s">
        <v>6182</v>
      </c>
      <c r="AM1024" s="40" t="s">
        <v>9</v>
      </c>
      <c r="AP1024" s="34">
        <v>0</v>
      </c>
      <c r="AQ1024" s="34">
        <v>4417</v>
      </c>
      <c r="AR1024" s="34">
        <v>2687</v>
      </c>
      <c r="AT1024" s="44">
        <v>342100</v>
      </c>
      <c r="AU1024" s="44"/>
      <c r="AV1024" s="46">
        <f>ROUND(Товары[[#This Row],[РРЦ финальная, руб.]]/$AU$1,2)</f>
        <v>0</v>
      </c>
      <c r="AW1024" s="45" t="str">
        <f>IFERROR(Товары[[#This Row],[РРЦ, евро]]/Товары[[#This Row],[IRP, Eur]],"-")</f>
        <v>-</v>
      </c>
      <c r="AX1024" s="42">
        <f>IFERROR(VLOOKUP(Товары[[#This Row],[SubGroup]],'Структура цен DIY'!$B:$C,2,FALSE),0)</f>
        <v>0.26</v>
      </c>
      <c r="AY1024" s="44">
        <v>0</v>
      </c>
    </row>
    <row r="1025" spans="1:51" x14ac:dyDescent="0.25">
      <c r="A1025" s="34">
        <v>1023</v>
      </c>
      <c r="B1025" s="34" t="s">
        <v>49</v>
      </c>
      <c r="C1025" s="110" t="str">
        <f>IFERROR(INDEX(Структура_ассортимента[SuperCategory],MATCH(Товары[[#This Row],[SubGroup]],Структура_ассортимента[Subgroup],0)),"")</f>
        <v>W</v>
      </c>
      <c r="D102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2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25" s="110" t="str">
        <f>IFERROR(INDEX(Структура_ассортимента[Product group],MATCH(Товары[[#This Row],[SubGroup]],Структура_ассортимента[Subgroup],0)),"")</f>
        <v>WMH_C</v>
      </c>
      <c r="G1025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25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25" s="36">
        <v>9014</v>
      </c>
      <c r="J1025" s="36" t="str">
        <f>IFERROR(INDEX(Структура_ассортимента[Generic Name (long)],MATCH(Товары[[#This Row],[SubGroup]],Структура_ассортимента[Subgroup],0)),"")</f>
        <v>GARDEN HOSE</v>
      </c>
      <c r="L1025" s="36">
        <v>967250701</v>
      </c>
      <c r="M1025" s="35" t="s">
        <v>2709</v>
      </c>
      <c r="Q1025" s="34" t="s">
        <v>3549</v>
      </c>
      <c r="R1025" s="34" t="s">
        <v>3540</v>
      </c>
      <c r="S1025" s="47">
        <v>41640</v>
      </c>
      <c r="T1025" s="47">
        <v>0</v>
      </c>
      <c r="U1025" s="47">
        <v>0</v>
      </c>
      <c r="V1025" s="34">
        <v>4078500001991</v>
      </c>
      <c r="W1025" s="34" t="s">
        <v>3550</v>
      </c>
      <c r="X1025" s="34" t="s">
        <v>3907</v>
      </c>
      <c r="Y1025" s="34" t="s">
        <v>6192</v>
      </c>
      <c r="Z1025" s="34">
        <v>1</v>
      </c>
      <c r="AA1025" s="34" t="s">
        <v>6356</v>
      </c>
      <c r="AB1025" s="34" t="s">
        <v>6356</v>
      </c>
      <c r="AC1025" s="34" t="s">
        <v>6357</v>
      </c>
      <c r="AD1025" s="34" t="s">
        <v>6357</v>
      </c>
      <c r="AE1025" s="34" t="s">
        <v>4891</v>
      </c>
      <c r="AF1025" s="34" t="s">
        <v>4891</v>
      </c>
      <c r="AG1025" s="34" t="s">
        <v>4391</v>
      </c>
      <c r="AH1025" s="34" t="s">
        <v>6358</v>
      </c>
      <c r="AL1025" s="34" t="s">
        <v>4214</v>
      </c>
      <c r="AM1025" s="40" t="s">
        <v>8095</v>
      </c>
      <c r="AT1025" s="44">
        <v>0</v>
      </c>
      <c r="AU1025" s="44"/>
      <c r="AV1025" s="46">
        <f>ROUND(Товары[[#This Row],[РРЦ финальная, руб.]]/$AU$1,2)</f>
        <v>0</v>
      </c>
      <c r="AW1025" s="45" t="str">
        <f>IFERROR(Товары[[#This Row],[РРЦ, евро]]/Товары[[#This Row],[IRP, Eur]],"-")</f>
        <v>-</v>
      </c>
      <c r="AX1025" s="42">
        <f>IFERROR(VLOOKUP(Товары[[#This Row],[SubGroup]],'Структура цен DIY'!$B:$C,2,FALSE),0)</f>
        <v>0.26</v>
      </c>
      <c r="AY1025" s="44">
        <v>0</v>
      </c>
    </row>
    <row r="1026" spans="1:51" x14ac:dyDescent="0.25">
      <c r="A1026" s="34">
        <v>1024</v>
      </c>
      <c r="B1026" s="34" t="s">
        <v>49</v>
      </c>
      <c r="C1026" s="110" t="str">
        <f>IFERROR(INDEX(Структура_ассортимента[SuperCategory],MATCH(Товары[[#This Row],[SubGroup]],Структура_ассортимента[Subgroup],0)),"")</f>
        <v>W</v>
      </c>
      <c r="D102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2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26" s="110" t="str">
        <f>IFERROR(INDEX(Структура_ассортимента[Product group],MATCH(Товары[[#This Row],[SubGroup]],Структура_ассортимента[Subgroup],0)),"")</f>
        <v>WMH_C</v>
      </c>
      <c r="G1026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26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26" s="36">
        <v>9014</v>
      </c>
      <c r="J1026" s="36" t="str">
        <f>IFERROR(INDEX(Структура_ассортимента[Generic Name (long)],MATCH(Товары[[#This Row],[SubGroup]],Структура_ассортимента[Subgroup],0)),"")</f>
        <v>GARDEN HOSE</v>
      </c>
      <c r="L1026" s="36">
        <v>967250901</v>
      </c>
      <c r="M1026" s="35" t="s">
        <v>2710</v>
      </c>
      <c r="O1026" s="35" t="s">
        <v>6359</v>
      </c>
      <c r="P1026" s="37" t="s">
        <v>6360</v>
      </c>
      <c r="Q1026" s="34" t="s">
        <v>3549</v>
      </c>
      <c r="R1026" s="34" t="s">
        <v>3540</v>
      </c>
      <c r="S1026" s="47">
        <v>41640</v>
      </c>
      <c r="T1026" s="47">
        <v>0</v>
      </c>
      <c r="U1026" s="47">
        <v>0</v>
      </c>
      <c r="V1026" s="34">
        <v>4078500002141</v>
      </c>
      <c r="W1026" s="34" t="s">
        <v>3546</v>
      </c>
      <c r="X1026" s="34" t="s">
        <v>3907</v>
      </c>
      <c r="Y1026" s="34" t="s">
        <v>6192</v>
      </c>
      <c r="Z1026" s="34">
        <v>1</v>
      </c>
      <c r="AA1026" s="34" t="s">
        <v>6361</v>
      </c>
      <c r="AB1026" s="34" t="s">
        <v>6361</v>
      </c>
      <c r="AC1026" s="34" t="s">
        <v>6362</v>
      </c>
      <c r="AD1026" s="34" t="s">
        <v>6362</v>
      </c>
      <c r="AE1026" s="34" t="s">
        <v>4891</v>
      </c>
      <c r="AF1026" s="34" t="s">
        <v>4891</v>
      </c>
      <c r="AG1026" s="34" t="s">
        <v>3920</v>
      </c>
      <c r="AH1026" s="34" t="s">
        <v>6218</v>
      </c>
      <c r="AL1026" s="34" t="s">
        <v>4513</v>
      </c>
      <c r="AM1026" s="40" t="s">
        <v>9</v>
      </c>
      <c r="AP1026" s="34">
        <v>0</v>
      </c>
      <c r="AQ1026" s="34">
        <v>11221</v>
      </c>
      <c r="AR1026" s="34">
        <v>6826</v>
      </c>
      <c r="AT1026" s="44">
        <v>869100</v>
      </c>
      <c r="AU1026" s="44"/>
      <c r="AV1026" s="46">
        <f>ROUND(Товары[[#This Row],[РРЦ финальная, руб.]]/$AU$1,2)</f>
        <v>0</v>
      </c>
      <c r="AW1026" s="45" t="str">
        <f>IFERROR(Товары[[#This Row],[РРЦ, евро]]/Товары[[#This Row],[IRP, Eur]],"-")</f>
        <v>-</v>
      </c>
      <c r="AX1026" s="42">
        <f>IFERROR(VLOOKUP(Товары[[#This Row],[SubGroup]],'Структура цен DIY'!$B:$C,2,FALSE),0)</f>
        <v>0.26</v>
      </c>
      <c r="AY1026" s="44">
        <v>0</v>
      </c>
    </row>
    <row r="1027" spans="1:51" x14ac:dyDescent="0.25">
      <c r="A1027" s="34">
        <v>1025</v>
      </c>
      <c r="B1027" s="34" t="s">
        <v>49</v>
      </c>
      <c r="C1027" s="110" t="str">
        <f>IFERROR(INDEX(Структура_ассортимента[SuperCategory],MATCH(Товары[[#This Row],[SubGroup]],Структура_ассортимента[Subgroup],0)),"")</f>
        <v>W</v>
      </c>
      <c r="D102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2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27" s="110" t="str">
        <f>IFERROR(INDEX(Структура_ассортимента[Product group],MATCH(Товары[[#This Row],[SubGroup]],Структура_ассортимента[Subgroup],0)),"")</f>
        <v>WMH_C</v>
      </c>
      <c r="G1027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27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27" s="36">
        <v>9014</v>
      </c>
      <c r="J1027" s="36" t="str">
        <f>IFERROR(INDEX(Структура_ассортимента[Generic Name (long)],MATCH(Товары[[#This Row],[SubGroup]],Структура_ассортимента[Subgroup],0)),"")</f>
        <v>GARDEN HOSE</v>
      </c>
      <c r="L1027" s="36">
        <v>967251101</v>
      </c>
      <c r="M1027" s="35" t="s">
        <v>2711</v>
      </c>
      <c r="Q1027" s="34" t="s">
        <v>3549</v>
      </c>
      <c r="R1027" s="34" t="s">
        <v>3540</v>
      </c>
      <c r="S1027" s="47">
        <v>41640</v>
      </c>
      <c r="T1027" s="47">
        <v>0</v>
      </c>
      <c r="U1027" s="47">
        <v>0</v>
      </c>
      <c r="V1027" s="34">
        <v>4078500002172</v>
      </c>
      <c r="W1027" s="34" t="s">
        <v>3550</v>
      </c>
      <c r="X1027" s="34" t="s">
        <v>3907</v>
      </c>
      <c r="Y1027" s="34" t="s">
        <v>6192</v>
      </c>
      <c r="Z1027" s="34">
        <v>1</v>
      </c>
      <c r="AA1027" s="34" t="s">
        <v>6363</v>
      </c>
      <c r="AB1027" s="34" t="s">
        <v>6363</v>
      </c>
      <c r="AC1027" s="34" t="s">
        <v>6364</v>
      </c>
      <c r="AD1027" s="34" t="s">
        <v>6364</v>
      </c>
      <c r="AE1027" s="34" t="s">
        <v>4427</v>
      </c>
      <c r="AF1027" s="34" t="s">
        <v>4427</v>
      </c>
      <c r="AG1027" s="34" t="s">
        <v>4391</v>
      </c>
      <c r="AH1027" s="34" t="s">
        <v>6274</v>
      </c>
      <c r="AL1027" s="34" t="s">
        <v>4214</v>
      </c>
      <c r="AM1027" s="40" t="s">
        <v>8095</v>
      </c>
      <c r="AT1027" s="44">
        <v>0</v>
      </c>
      <c r="AU1027" s="44"/>
      <c r="AV1027" s="46">
        <f>ROUND(Товары[[#This Row],[РРЦ финальная, руб.]]/$AU$1,2)</f>
        <v>0</v>
      </c>
      <c r="AW1027" s="45" t="str">
        <f>IFERROR(Товары[[#This Row],[РРЦ, евро]]/Товары[[#This Row],[IRP, Eur]],"-")</f>
        <v>-</v>
      </c>
      <c r="AX1027" s="42">
        <f>IFERROR(VLOOKUP(Товары[[#This Row],[SubGroup]],'Структура цен DIY'!$B:$C,2,FALSE),0)</f>
        <v>0.26</v>
      </c>
      <c r="AY1027" s="44">
        <v>0</v>
      </c>
    </row>
    <row r="1028" spans="1:51" x14ac:dyDescent="0.25">
      <c r="A1028" s="34">
        <v>1026</v>
      </c>
      <c r="B1028" s="34" t="s">
        <v>49</v>
      </c>
      <c r="C1028" s="110" t="str">
        <f>IFERROR(INDEX(Структура_ассортимента[SuperCategory],MATCH(Товары[[#This Row],[SubGroup]],Структура_ассортимента[Subgroup],0)),"")</f>
        <v>W</v>
      </c>
      <c r="D102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2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28" s="110" t="str">
        <f>IFERROR(INDEX(Структура_ассортимента[Product group],MATCH(Товары[[#This Row],[SubGroup]],Структура_ассортимента[Subgroup],0)),"")</f>
        <v>WMH_C</v>
      </c>
      <c r="G1028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28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28" s="36">
        <v>9014</v>
      </c>
      <c r="J1028" s="36" t="str">
        <f>IFERROR(INDEX(Структура_ассортимента[Generic Name (long)],MATCH(Товары[[#This Row],[SubGroup]],Структура_ассортимента[Subgroup],0)),"")</f>
        <v>GARDEN HOSE</v>
      </c>
      <c r="L1028" s="36">
        <v>967251301</v>
      </c>
      <c r="M1028" s="35" t="s">
        <v>2712</v>
      </c>
      <c r="O1028" s="35" t="s">
        <v>6365</v>
      </c>
      <c r="P1028" s="37" t="s">
        <v>6366</v>
      </c>
      <c r="Q1028" s="34" t="s">
        <v>3549</v>
      </c>
      <c r="R1028" s="34" t="s">
        <v>3540</v>
      </c>
      <c r="S1028" s="47">
        <v>41640</v>
      </c>
      <c r="T1028" s="47">
        <v>0</v>
      </c>
      <c r="U1028" s="47">
        <v>0</v>
      </c>
      <c r="V1028" s="34">
        <v>4078500002196</v>
      </c>
      <c r="W1028" s="34" t="s">
        <v>3550</v>
      </c>
      <c r="X1028" s="34" t="s">
        <v>3907</v>
      </c>
      <c r="Y1028" s="34" t="s">
        <v>6192</v>
      </c>
      <c r="Z1028" s="34">
        <v>1</v>
      </c>
      <c r="AA1028" s="34" t="s">
        <v>6367</v>
      </c>
      <c r="AB1028" s="34" t="s">
        <v>6367</v>
      </c>
      <c r="AC1028" s="34" t="s">
        <v>6368</v>
      </c>
      <c r="AD1028" s="34" t="s">
        <v>6368</v>
      </c>
      <c r="AE1028" s="34" t="s">
        <v>3722</v>
      </c>
      <c r="AF1028" s="34" t="s">
        <v>3722</v>
      </c>
      <c r="AG1028" s="34" t="s">
        <v>3968</v>
      </c>
      <c r="AH1028" s="34" t="s">
        <v>6369</v>
      </c>
      <c r="AL1028" s="34" t="s">
        <v>4513</v>
      </c>
      <c r="AM1028" s="40" t="s">
        <v>9</v>
      </c>
      <c r="AP1028" s="34">
        <v>0</v>
      </c>
      <c r="AQ1028" s="34">
        <v>9061</v>
      </c>
      <c r="AR1028" s="34">
        <v>5512</v>
      </c>
      <c r="AT1028" s="44">
        <v>701800</v>
      </c>
      <c r="AU1028" s="44"/>
      <c r="AV1028" s="46">
        <f>ROUND(Товары[[#This Row],[РРЦ финальная, руб.]]/$AU$1,2)</f>
        <v>0</v>
      </c>
      <c r="AW1028" s="45" t="str">
        <f>IFERROR(Товары[[#This Row],[РРЦ, евро]]/Товары[[#This Row],[IRP, Eur]],"-")</f>
        <v>-</v>
      </c>
      <c r="AX1028" s="42">
        <f>IFERROR(VLOOKUP(Товары[[#This Row],[SubGroup]],'Структура цен DIY'!$B:$C,2,FALSE),0)</f>
        <v>0.26</v>
      </c>
      <c r="AY1028" s="44">
        <v>0</v>
      </c>
    </row>
    <row r="1029" spans="1:51" x14ac:dyDescent="0.25">
      <c r="A1029" s="34">
        <v>1027</v>
      </c>
      <c r="B1029" s="34" t="s">
        <v>49</v>
      </c>
      <c r="C1029" s="110" t="str">
        <f>IFERROR(INDEX(Структура_ассортимента[SuperCategory],MATCH(Товары[[#This Row],[SubGroup]],Структура_ассортимента[Subgroup],0)),"")</f>
        <v>W</v>
      </c>
      <c r="D102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2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29" s="110" t="str">
        <f>IFERROR(INDEX(Структура_ассортимента[Product group],MATCH(Товары[[#This Row],[SubGroup]],Структура_ассортимента[Subgroup],0)),"")</f>
        <v>WMH_C</v>
      </c>
      <c r="G1029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29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29" s="36">
        <v>9014</v>
      </c>
      <c r="J1029" s="36" t="str">
        <f>IFERROR(INDEX(Структура_ассортимента[Generic Name (long)],MATCH(Товары[[#This Row],[SubGroup]],Структура_ассортимента[Subgroup],0)),"")</f>
        <v>GARDEN HOSE</v>
      </c>
      <c r="L1029" s="36">
        <v>901074801</v>
      </c>
      <c r="M1029" s="35" t="s">
        <v>2713</v>
      </c>
      <c r="Q1029" s="34" t="s">
        <v>3549</v>
      </c>
      <c r="R1029" s="34" t="s">
        <v>3540</v>
      </c>
      <c r="S1029" s="47">
        <v>37895</v>
      </c>
      <c r="T1029" s="47">
        <v>0</v>
      </c>
      <c r="U1029" s="47">
        <v>0</v>
      </c>
      <c r="V1029" s="34">
        <v>4078500464604</v>
      </c>
      <c r="W1029" s="34" t="s">
        <v>3543</v>
      </c>
      <c r="X1029" s="34" t="s">
        <v>3579</v>
      </c>
      <c r="Y1029" s="34" t="s">
        <v>3542</v>
      </c>
      <c r="Z1029" s="34">
        <v>20</v>
      </c>
      <c r="AA1029" s="34" t="s">
        <v>4237</v>
      </c>
      <c r="AB1029" s="34" t="s">
        <v>4237</v>
      </c>
      <c r="AC1029" s="34" t="s">
        <v>3876</v>
      </c>
      <c r="AD1029" s="34" t="s">
        <v>3876</v>
      </c>
      <c r="AE1029" s="34" t="s">
        <v>4582</v>
      </c>
      <c r="AF1029" s="34" t="s">
        <v>3722</v>
      </c>
      <c r="AG1029" s="34" t="s">
        <v>4811</v>
      </c>
      <c r="AH1029" s="34" t="s">
        <v>6370</v>
      </c>
      <c r="AL1029" s="34">
        <v>40</v>
      </c>
      <c r="AM1029" s="40" t="s">
        <v>8095</v>
      </c>
      <c r="AT1029" s="44">
        <v>0</v>
      </c>
      <c r="AU1029" s="44"/>
      <c r="AV1029" s="46">
        <f>ROUND(Товары[[#This Row],[РРЦ финальная, руб.]]/$AU$1,2)</f>
        <v>0</v>
      </c>
      <c r="AW1029" s="45" t="str">
        <f>IFERROR(Товары[[#This Row],[РРЦ, евро]]/Товары[[#This Row],[IRP, Eur]],"-")</f>
        <v>-</v>
      </c>
      <c r="AX1029" s="42">
        <f>IFERROR(VLOOKUP(Товары[[#This Row],[SubGroup]],'Структура цен DIY'!$B:$C,2,FALSE),0)</f>
        <v>0.26</v>
      </c>
      <c r="AY1029" s="44">
        <v>0</v>
      </c>
    </row>
    <row r="1030" spans="1:51" x14ac:dyDescent="0.25">
      <c r="A1030" s="34">
        <v>1028</v>
      </c>
      <c r="B1030" s="34" t="s">
        <v>49</v>
      </c>
      <c r="C1030" s="110" t="str">
        <f>IFERROR(INDEX(Структура_ассортимента[SuperCategory],MATCH(Товары[[#This Row],[SubGroup]],Структура_ассортимента[Subgroup],0)),"")</f>
        <v>W</v>
      </c>
      <c r="D103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3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30" s="110" t="str">
        <f>IFERROR(INDEX(Структура_ассортимента[Product group],MATCH(Товары[[#This Row],[SubGroup]],Структура_ассортимента[Subgroup],0)),"")</f>
        <v>WMH_C</v>
      </c>
      <c r="G1030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30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30" s="36">
        <v>9014</v>
      </c>
      <c r="J1030" s="36" t="str">
        <f>IFERROR(INDEX(Структура_ассортимента[Generic Name (long)],MATCH(Товары[[#This Row],[SubGroup]],Структура_ассортимента[Subgroup],0)),"")</f>
        <v>GARDEN HOSE</v>
      </c>
      <c r="L1030" s="36">
        <v>901074901</v>
      </c>
      <c r="M1030" s="35" t="s">
        <v>2714</v>
      </c>
      <c r="Q1030" s="34" t="s">
        <v>3549</v>
      </c>
      <c r="R1030" s="34" t="s">
        <v>3540</v>
      </c>
      <c r="S1030" s="47">
        <v>37987</v>
      </c>
      <c r="T1030" s="47">
        <v>0</v>
      </c>
      <c r="U1030" s="47">
        <v>0</v>
      </c>
      <c r="V1030" s="34">
        <v>4078500464703</v>
      </c>
      <c r="W1030" s="34" t="s">
        <v>3543</v>
      </c>
      <c r="X1030" s="34" t="s">
        <v>3579</v>
      </c>
      <c r="Y1030" s="34" t="s">
        <v>3542</v>
      </c>
      <c r="Z1030" s="34">
        <v>4</v>
      </c>
      <c r="AA1030" s="34" t="s">
        <v>5154</v>
      </c>
      <c r="AB1030" s="34" t="s">
        <v>6371</v>
      </c>
      <c r="AC1030" s="34" t="s">
        <v>3876</v>
      </c>
      <c r="AD1030" s="34" t="s">
        <v>4371</v>
      </c>
      <c r="AE1030" s="34" t="s">
        <v>4160</v>
      </c>
      <c r="AF1030" s="34" t="s">
        <v>3566</v>
      </c>
      <c r="AG1030" s="34" t="s">
        <v>3555</v>
      </c>
      <c r="AH1030" s="34" t="s">
        <v>6372</v>
      </c>
      <c r="AL1030" s="34" t="s">
        <v>3830</v>
      </c>
      <c r="AM1030" s="40" t="s">
        <v>8095</v>
      </c>
      <c r="AT1030" s="44">
        <v>0</v>
      </c>
      <c r="AU1030" s="44"/>
      <c r="AV1030" s="46">
        <f>ROUND(Товары[[#This Row],[РРЦ финальная, руб.]]/$AU$1,2)</f>
        <v>0</v>
      </c>
      <c r="AW1030" s="45" t="str">
        <f>IFERROR(Товары[[#This Row],[РРЦ, евро]]/Товары[[#This Row],[IRP, Eur]],"-")</f>
        <v>-</v>
      </c>
      <c r="AX1030" s="42">
        <f>IFERROR(VLOOKUP(Товары[[#This Row],[SubGroup]],'Структура цен DIY'!$B:$C,2,FALSE),0)</f>
        <v>0.26</v>
      </c>
      <c r="AY1030" s="44">
        <v>0</v>
      </c>
    </row>
    <row r="1031" spans="1:51" x14ac:dyDescent="0.25">
      <c r="A1031" s="34">
        <v>1029</v>
      </c>
      <c r="B1031" s="34" t="s">
        <v>49</v>
      </c>
      <c r="C1031" s="110" t="str">
        <f>IFERROR(INDEX(Структура_ассортимента[SuperCategory],MATCH(Товары[[#This Row],[SubGroup]],Структура_ассортимента[Subgroup],0)),"")</f>
        <v>W</v>
      </c>
      <c r="D103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3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31" s="110" t="str">
        <f>IFERROR(INDEX(Структура_ассортимента[Product group],MATCH(Товары[[#This Row],[SubGroup]],Структура_ассортимента[Subgroup],0)),"")</f>
        <v>WMH_C</v>
      </c>
      <c r="G1031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31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31" s="36">
        <v>9014</v>
      </c>
      <c r="J1031" s="36" t="str">
        <f>IFERROR(INDEX(Структура_ассортимента[Generic Name (long)],MATCH(Товары[[#This Row],[SubGroup]],Структура_ассортимента[Subgroup],0)),"")</f>
        <v>GARDEN HOSE</v>
      </c>
      <c r="L1031" s="36">
        <v>967263401</v>
      </c>
      <c r="M1031" s="35" t="s">
        <v>2715</v>
      </c>
      <c r="O1031" s="35" t="s">
        <v>6373</v>
      </c>
      <c r="P1031" s="37" t="s">
        <v>6374</v>
      </c>
      <c r="Q1031" s="34" t="s">
        <v>3549</v>
      </c>
      <c r="R1031" s="34" t="s">
        <v>3540</v>
      </c>
      <c r="S1031" s="47">
        <v>42736</v>
      </c>
      <c r="T1031" s="47">
        <v>0</v>
      </c>
      <c r="U1031" s="47">
        <v>0</v>
      </c>
      <c r="V1031" s="34">
        <v>4078500025447</v>
      </c>
      <c r="W1031" s="34" t="s">
        <v>3543</v>
      </c>
      <c r="X1031" s="34" t="s">
        <v>3579</v>
      </c>
      <c r="Y1031" s="34" t="s">
        <v>3542</v>
      </c>
      <c r="Z1031" s="34">
        <v>4</v>
      </c>
      <c r="AA1031" s="34">
        <v>1330</v>
      </c>
      <c r="AB1031" s="34" t="s">
        <v>6371</v>
      </c>
      <c r="AC1031" s="34">
        <v>1150</v>
      </c>
      <c r="AD1031" s="34" t="s">
        <v>3554</v>
      </c>
      <c r="AE1031" s="34" t="s">
        <v>4160</v>
      </c>
      <c r="AF1031" s="34" t="s">
        <v>3566</v>
      </c>
      <c r="AG1031" s="34" t="s">
        <v>3555</v>
      </c>
      <c r="AH1031" s="34" t="s">
        <v>6372</v>
      </c>
      <c r="AL1031" s="34" t="s">
        <v>3830</v>
      </c>
      <c r="AM1031" s="40" t="s">
        <v>9</v>
      </c>
      <c r="AP1031" s="34">
        <v>0</v>
      </c>
      <c r="AQ1031" s="34">
        <v>3190</v>
      </c>
      <c r="AR1031" s="34">
        <v>1914</v>
      </c>
      <c r="AT1031" s="44">
        <v>247100</v>
      </c>
      <c r="AU1031" s="44"/>
      <c r="AV1031" s="46">
        <f>ROUND(Товары[[#This Row],[РРЦ финальная, руб.]]/$AU$1,2)</f>
        <v>0</v>
      </c>
      <c r="AW1031" s="45" t="str">
        <f>IFERROR(Товары[[#This Row],[РРЦ, евро]]/Товары[[#This Row],[IRP, Eur]],"-")</f>
        <v>-</v>
      </c>
      <c r="AX1031" s="42">
        <f>IFERROR(VLOOKUP(Товары[[#This Row],[SubGroup]],'Структура цен DIY'!$B:$C,2,FALSE),0)</f>
        <v>0.26</v>
      </c>
      <c r="AY1031" s="44">
        <v>0</v>
      </c>
    </row>
    <row r="1032" spans="1:51" x14ac:dyDescent="0.25">
      <c r="A1032" s="34">
        <v>1030</v>
      </c>
      <c r="B1032" s="34" t="s">
        <v>49</v>
      </c>
      <c r="C1032" s="110" t="str">
        <f>IFERROR(INDEX(Структура_ассортимента[SuperCategory],MATCH(Товары[[#This Row],[SubGroup]],Структура_ассортимента[Subgroup],0)),"")</f>
        <v>W</v>
      </c>
      <c r="D103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3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32" s="110" t="str">
        <f>IFERROR(INDEX(Структура_ассортимента[Product group],MATCH(Товары[[#This Row],[SubGroup]],Структура_ассортимента[Subgroup],0)),"")</f>
        <v>WMH_C</v>
      </c>
      <c r="G1032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32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32" s="36">
        <v>9014</v>
      </c>
      <c r="J1032" s="36" t="str">
        <f>IFERROR(INDEX(Структура_ассортимента[Generic Name (long)],MATCH(Товары[[#This Row],[SubGroup]],Структура_ассортимента[Subgroup],0)),"")</f>
        <v>GARDEN HOSE</v>
      </c>
      <c r="L1032" s="36">
        <v>967869201</v>
      </c>
      <c r="M1032" s="35" t="s">
        <v>2716</v>
      </c>
      <c r="O1032" s="35" t="s">
        <v>6375</v>
      </c>
      <c r="P1032" s="37" t="s">
        <v>6376</v>
      </c>
      <c r="Q1032" s="34" t="s">
        <v>3549</v>
      </c>
      <c r="R1032" s="34" t="s">
        <v>3540</v>
      </c>
      <c r="S1032" s="47">
        <v>43466</v>
      </c>
      <c r="T1032" s="47">
        <v>0</v>
      </c>
      <c r="U1032" s="47">
        <v>0</v>
      </c>
      <c r="V1032" s="34">
        <v>4078500044219</v>
      </c>
      <c r="W1032" s="34" t="s">
        <v>3546</v>
      </c>
      <c r="X1032" s="34" t="s">
        <v>6191</v>
      </c>
      <c r="Y1032" s="34" t="s">
        <v>3542</v>
      </c>
      <c r="Z1032" s="34">
        <v>6</v>
      </c>
      <c r="AA1032" s="34" t="s">
        <v>3983</v>
      </c>
      <c r="AB1032" s="34" t="s">
        <v>6377</v>
      </c>
      <c r="AC1032" s="34" t="s">
        <v>6378</v>
      </c>
      <c r="AD1032" s="34" t="s">
        <v>6379</v>
      </c>
      <c r="AE1032" s="34" t="s">
        <v>3939</v>
      </c>
      <c r="AF1032" s="34" t="s">
        <v>3939</v>
      </c>
      <c r="AG1032" s="34" t="s">
        <v>3743</v>
      </c>
      <c r="AH1032" s="34" t="s">
        <v>6380</v>
      </c>
      <c r="AI1032" s="34" t="s">
        <v>4451</v>
      </c>
      <c r="AK1032" s="34" t="s">
        <v>4231</v>
      </c>
      <c r="AL1032" s="34" t="s">
        <v>3830</v>
      </c>
      <c r="AM1032" s="40" t="s">
        <v>9</v>
      </c>
      <c r="AP1032" s="34">
        <v>0</v>
      </c>
      <c r="AQ1032" s="34">
        <v>4490</v>
      </c>
      <c r="AR1032" s="34">
        <v>2694</v>
      </c>
      <c r="AT1032" s="44">
        <v>347800</v>
      </c>
      <c r="AU1032" s="44"/>
      <c r="AV1032" s="46">
        <f>ROUND(Товары[[#This Row],[РРЦ финальная, руб.]]/$AU$1,2)</f>
        <v>0</v>
      </c>
      <c r="AW1032" s="45" t="str">
        <f>IFERROR(Товары[[#This Row],[РРЦ, евро]]/Товары[[#This Row],[IRP, Eur]],"-")</f>
        <v>-</v>
      </c>
      <c r="AX1032" s="42">
        <f>IFERROR(VLOOKUP(Товары[[#This Row],[SubGroup]],'Структура цен DIY'!$B:$C,2,FALSE),0)</f>
        <v>0.26</v>
      </c>
      <c r="AY1032" s="44">
        <v>0</v>
      </c>
    </row>
    <row r="1033" spans="1:51" x14ac:dyDescent="0.25">
      <c r="A1033" s="34">
        <v>1031</v>
      </c>
      <c r="B1033" s="34" t="s">
        <v>49</v>
      </c>
      <c r="C1033" s="110" t="str">
        <f>IFERROR(INDEX(Структура_ассортимента[SuperCategory],MATCH(Товары[[#This Row],[SubGroup]],Структура_ассортимента[Subgroup],0)),"")</f>
        <v>W</v>
      </c>
      <c r="D103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3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33" s="110" t="str">
        <f>IFERROR(INDEX(Структура_ассортимента[Product group],MATCH(Товары[[#This Row],[SubGroup]],Структура_ассортимента[Subgroup],0)),"")</f>
        <v>WMH_C</v>
      </c>
      <c r="G1033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33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33" s="36">
        <v>9014</v>
      </c>
      <c r="J1033" s="36" t="str">
        <f>IFERROR(INDEX(Структура_ассортимента[Generic Name (long)],MATCH(Товары[[#This Row],[SubGroup]],Структура_ассортимента[Subgroup],0)),"")</f>
        <v>GARDEN HOSE</v>
      </c>
      <c r="L1033" s="36">
        <v>967869301</v>
      </c>
      <c r="M1033" s="35" t="s">
        <v>2717</v>
      </c>
      <c r="O1033" s="35" t="s">
        <v>6381</v>
      </c>
      <c r="P1033" s="37" t="s">
        <v>6382</v>
      </c>
      <c r="Q1033" s="34" t="s">
        <v>3549</v>
      </c>
      <c r="R1033" s="34" t="s">
        <v>3540</v>
      </c>
      <c r="S1033" s="47">
        <v>43466</v>
      </c>
      <c r="T1033" s="47">
        <v>0</v>
      </c>
      <c r="U1033" s="47">
        <v>0</v>
      </c>
      <c r="V1033" s="34">
        <v>4078500044226</v>
      </c>
      <c r="W1033" s="34" t="s">
        <v>3546</v>
      </c>
      <c r="X1033" s="34" t="s">
        <v>6191</v>
      </c>
      <c r="Y1033" s="34" t="s">
        <v>3542</v>
      </c>
      <c r="Z1033" s="34">
        <v>16</v>
      </c>
      <c r="AA1033" s="34" t="s">
        <v>4319</v>
      </c>
      <c r="AB1033" s="34" t="s">
        <v>6383</v>
      </c>
      <c r="AC1033" s="34" t="s">
        <v>6384</v>
      </c>
      <c r="AD1033" s="34" t="s">
        <v>6379</v>
      </c>
      <c r="AE1033" s="34" t="s">
        <v>3968</v>
      </c>
      <c r="AF1033" s="34" t="s">
        <v>3968</v>
      </c>
      <c r="AG1033" s="34" t="s">
        <v>3743</v>
      </c>
      <c r="AH1033" s="34" t="s">
        <v>6385</v>
      </c>
      <c r="AL1033" s="34" t="s">
        <v>4214</v>
      </c>
      <c r="AM1033" s="40" t="s">
        <v>9</v>
      </c>
      <c r="AP1033" s="34">
        <v>0</v>
      </c>
      <c r="AQ1033" s="34">
        <v>4390</v>
      </c>
      <c r="AR1033" s="34">
        <v>2634</v>
      </c>
      <c r="AT1033" s="44">
        <v>340000</v>
      </c>
      <c r="AU1033" s="44"/>
      <c r="AV1033" s="46">
        <f>ROUND(Товары[[#This Row],[РРЦ финальная, руб.]]/$AU$1,2)</f>
        <v>0</v>
      </c>
      <c r="AW1033" s="45" t="str">
        <f>IFERROR(Товары[[#This Row],[РРЦ, евро]]/Товары[[#This Row],[IRP, Eur]],"-")</f>
        <v>-</v>
      </c>
      <c r="AX1033" s="42">
        <f>IFERROR(VLOOKUP(Товары[[#This Row],[SubGroup]],'Структура цен DIY'!$B:$C,2,FALSE),0)</f>
        <v>0.26</v>
      </c>
      <c r="AY1033" s="44">
        <v>0</v>
      </c>
    </row>
    <row r="1034" spans="1:51" x14ac:dyDescent="0.25">
      <c r="A1034" s="34">
        <v>1032</v>
      </c>
      <c r="B1034" s="34" t="s">
        <v>49</v>
      </c>
      <c r="C1034" s="110" t="str">
        <f>IFERROR(INDEX(Структура_ассортимента[SuperCategory],MATCH(Товары[[#This Row],[SubGroup]],Структура_ассортимента[Subgroup],0)),"")</f>
        <v>W</v>
      </c>
      <c r="D103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3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34" s="110" t="str">
        <f>IFERROR(INDEX(Структура_ассортимента[Product group],MATCH(Товары[[#This Row],[SubGroup]],Структура_ассортимента[Subgroup],0)),"")</f>
        <v>WMH_C</v>
      </c>
      <c r="G1034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34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34" s="36">
        <v>9014</v>
      </c>
      <c r="J1034" s="36" t="str">
        <f>IFERROR(INDEX(Структура_ассортимента[Generic Name (long)],MATCH(Товары[[#This Row],[SubGroup]],Структура_ассортимента[Subgroup],0)),"")</f>
        <v>GARDEN HOSE</v>
      </c>
      <c r="L1034" s="36">
        <v>967869401</v>
      </c>
      <c r="M1034" s="35" t="s">
        <v>2718</v>
      </c>
      <c r="O1034" s="35" t="s">
        <v>6386</v>
      </c>
      <c r="P1034" s="37" t="s">
        <v>6387</v>
      </c>
      <c r="Q1034" s="34" t="s">
        <v>3549</v>
      </c>
      <c r="R1034" s="34" t="s">
        <v>3540</v>
      </c>
      <c r="S1034" s="47">
        <v>43466</v>
      </c>
      <c r="T1034" s="47">
        <v>0</v>
      </c>
      <c r="U1034" s="47">
        <v>0</v>
      </c>
      <c r="V1034" s="34">
        <v>4078500044233</v>
      </c>
      <c r="W1034" s="34" t="s">
        <v>3546</v>
      </c>
      <c r="X1034" s="34" t="s">
        <v>6191</v>
      </c>
      <c r="Y1034" s="34" t="s">
        <v>3542</v>
      </c>
      <c r="Z1034" s="34">
        <v>6</v>
      </c>
      <c r="AA1034" s="34" t="s">
        <v>6388</v>
      </c>
      <c r="AB1034" s="34" t="s">
        <v>6389</v>
      </c>
      <c r="AC1034" s="34" t="s">
        <v>6390</v>
      </c>
      <c r="AD1034" s="34" t="s">
        <v>6391</v>
      </c>
      <c r="AE1034" s="34" t="s">
        <v>3968</v>
      </c>
      <c r="AF1034" s="34" t="s">
        <v>3968</v>
      </c>
      <c r="AG1034" s="34" t="s">
        <v>3743</v>
      </c>
      <c r="AH1034" s="34" t="s">
        <v>6385</v>
      </c>
      <c r="AI1034" s="34" t="s">
        <v>6392</v>
      </c>
      <c r="AK1034" s="34" t="s">
        <v>4231</v>
      </c>
      <c r="AL1034" s="34" t="s">
        <v>3830</v>
      </c>
      <c r="AM1034" s="40" t="s">
        <v>9</v>
      </c>
      <c r="AP1034" s="34">
        <v>0</v>
      </c>
      <c r="AQ1034" s="34">
        <v>4690</v>
      </c>
      <c r="AR1034" s="34">
        <v>2814</v>
      </c>
      <c r="AT1034" s="44">
        <v>363300</v>
      </c>
      <c r="AU1034" s="44"/>
      <c r="AV1034" s="46">
        <f>ROUND(Товары[[#This Row],[РРЦ финальная, руб.]]/$AU$1,2)</f>
        <v>0</v>
      </c>
      <c r="AW1034" s="45" t="str">
        <f>IFERROR(Товары[[#This Row],[РРЦ, евро]]/Товары[[#This Row],[IRP, Eur]],"-")</f>
        <v>-</v>
      </c>
      <c r="AX1034" s="42">
        <f>IFERROR(VLOOKUP(Товары[[#This Row],[SubGroup]],'Структура цен DIY'!$B:$C,2,FALSE),0)</f>
        <v>0.26</v>
      </c>
      <c r="AY1034" s="44">
        <v>0</v>
      </c>
    </row>
    <row r="1035" spans="1:51" x14ac:dyDescent="0.25">
      <c r="A1035" s="34">
        <v>1033</v>
      </c>
      <c r="B1035" s="34" t="s">
        <v>49</v>
      </c>
      <c r="C1035" s="110" t="str">
        <f>IFERROR(INDEX(Структура_ассортимента[SuperCategory],MATCH(Товары[[#This Row],[SubGroup]],Структура_ассортимента[Subgroup],0)),"")</f>
        <v>W</v>
      </c>
      <c r="D103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3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35" s="110" t="str">
        <f>IFERROR(INDEX(Структура_ассортимента[Product group],MATCH(Товары[[#This Row],[SubGroup]],Структура_ассортимента[Subgroup],0)),"")</f>
        <v>WMH_C</v>
      </c>
      <c r="G1035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35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35" s="36">
        <v>9014</v>
      </c>
      <c r="J1035" s="36" t="str">
        <f>IFERROR(INDEX(Структура_ассортимента[Generic Name (long)],MATCH(Товары[[#This Row],[SubGroup]],Структура_ассортимента[Subgroup],0)),"")</f>
        <v>GARDEN HOSE</v>
      </c>
      <c r="L1035" s="36">
        <v>967869501</v>
      </c>
      <c r="M1035" s="35" t="s">
        <v>2719</v>
      </c>
      <c r="O1035" s="35" t="s">
        <v>6393</v>
      </c>
      <c r="P1035" s="37" t="s">
        <v>6394</v>
      </c>
      <c r="Q1035" s="34" t="s">
        <v>3549</v>
      </c>
      <c r="R1035" s="34" t="s">
        <v>3540</v>
      </c>
      <c r="S1035" s="47">
        <v>43466</v>
      </c>
      <c r="T1035" s="47">
        <v>0</v>
      </c>
      <c r="U1035" s="47">
        <v>0</v>
      </c>
      <c r="V1035" s="34">
        <v>4078500044240</v>
      </c>
      <c r="W1035" s="34" t="s">
        <v>3546</v>
      </c>
      <c r="X1035" s="34" t="s">
        <v>6191</v>
      </c>
      <c r="Y1035" s="34" t="s">
        <v>3542</v>
      </c>
      <c r="Z1035" s="34">
        <v>16</v>
      </c>
      <c r="AA1035" s="34" t="s">
        <v>6395</v>
      </c>
      <c r="AB1035" s="34" t="s">
        <v>6388</v>
      </c>
      <c r="AC1035" s="34" t="s">
        <v>6396</v>
      </c>
      <c r="AD1035" s="34" t="s">
        <v>6391</v>
      </c>
      <c r="AE1035" s="34" t="s">
        <v>3968</v>
      </c>
      <c r="AF1035" s="34" t="s">
        <v>3968</v>
      </c>
      <c r="AG1035" s="34" t="s">
        <v>3743</v>
      </c>
      <c r="AH1035" s="34" t="s">
        <v>6385</v>
      </c>
      <c r="AL1035" s="34" t="s">
        <v>4214</v>
      </c>
      <c r="AM1035" s="40" t="s">
        <v>9</v>
      </c>
      <c r="AP1035" s="34">
        <v>0</v>
      </c>
      <c r="AQ1035" s="34">
        <v>4690</v>
      </c>
      <c r="AR1035" s="34">
        <v>2814</v>
      </c>
      <c r="AT1035" s="44">
        <v>363300</v>
      </c>
      <c r="AU1035" s="44"/>
      <c r="AV1035" s="46">
        <f>ROUND(Товары[[#This Row],[РРЦ финальная, руб.]]/$AU$1,2)</f>
        <v>0</v>
      </c>
      <c r="AW1035" s="45" t="str">
        <f>IFERROR(Товары[[#This Row],[РРЦ, евро]]/Товары[[#This Row],[IRP, Eur]],"-")</f>
        <v>-</v>
      </c>
      <c r="AX1035" s="42">
        <f>IFERROR(VLOOKUP(Товары[[#This Row],[SubGroup]],'Структура цен DIY'!$B:$C,2,FALSE),0)</f>
        <v>0.26</v>
      </c>
      <c r="AY1035" s="44">
        <v>0</v>
      </c>
    </row>
    <row r="1036" spans="1:51" x14ac:dyDescent="0.25">
      <c r="A1036" s="34">
        <v>1034</v>
      </c>
      <c r="B1036" s="34" t="s">
        <v>49</v>
      </c>
      <c r="C1036" s="110" t="str">
        <f>IFERROR(INDEX(Структура_ассортимента[SuperCategory],MATCH(Товары[[#This Row],[SubGroup]],Структура_ассортимента[Subgroup],0)),"")</f>
        <v>W</v>
      </c>
      <c r="D103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3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36" s="110" t="str">
        <f>IFERROR(INDEX(Структура_ассортимента[Product group],MATCH(Товары[[#This Row],[SubGroup]],Структура_ассортимента[Subgroup],0)),"")</f>
        <v>WMH_C</v>
      </c>
      <c r="G1036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36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36" s="36">
        <v>9014</v>
      </c>
      <c r="J1036" s="36" t="str">
        <f>IFERROR(INDEX(Структура_ассортимента[Generic Name (long)],MATCH(Товары[[#This Row],[SubGroup]],Структура_ассортимента[Subgroup],0)),"")</f>
        <v>GARDEN HOSE</v>
      </c>
      <c r="L1036" s="36">
        <v>967869601</v>
      </c>
      <c r="M1036" s="35" t="s">
        <v>2720</v>
      </c>
      <c r="O1036" s="35" t="s">
        <v>6397</v>
      </c>
      <c r="P1036" s="37" t="s">
        <v>6398</v>
      </c>
      <c r="Q1036" s="34" t="s">
        <v>3549</v>
      </c>
      <c r="R1036" s="34" t="s">
        <v>3540</v>
      </c>
      <c r="S1036" s="47">
        <v>43466</v>
      </c>
      <c r="T1036" s="47">
        <v>0</v>
      </c>
      <c r="U1036" s="47">
        <v>0</v>
      </c>
      <c r="V1036" s="34">
        <v>4078500044257</v>
      </c>
      <c r="W1036" s="34" t="s">
        <v>3546</v>
      </c>
      <c r="X1036" s="34" t="s">
        <v>6191</v>
      </c>
      <c r="Y1036" s="34" t="s">
        <v>3542</v>
      </c>
      <c r="Z1036" s="34">
        <v>3</v>
      </c>
      <c r="AA1036" s="34" t="s">
        <v>6399</v>
      </c>
      <c r="AB1036" s="34" t="s">
        <v>6400</v>
      </c>
      <c r="AC1036" s="34" t="s">
        <v>6401</v>
      </c>
      <c r="AD1036" s="34" t="s">
        <v>6269</v>
      </c>
      <c r="AE1036" s="34" t="s">
        <v>3942</v>
      </c>
      <c r="AF1036" s="34" t="s">
        <v>3942</v>
      </c>
      <c r="AG1036" s="34" t="s">
        <v>3743</v>
      </c>
      <c r="AH1036" s="34" t="s">
        <v>6402</v>
      </c>
      <c r="AI1036" s="34" t="s">
        <v>4206</v>
      </c>
      <c r="AK1036" s="34" t="s">
        <v>4231</v>
      </c>
      <c r="AL1036" s="34" t="s">
        <v>5442</v>
      </c>
      <c r="AM1036" s="40" t="s">
        <v>9</v>
      </c>
      <c r="AP1036" s="34">
        <v>0</v>
      </c>
      <c r="AQ1036" s="34">
        <v>5890</v>
      </c>
      <c r="AR1036" s="34">
        <v>3534</v>
      </c>
      <c r="AT1036" s="44">
        <v>456200</v>
      </c>
      <c r="AU1036" s="44"/>
      <c r="AV1036" s="46">
        <f>ROUND(Товары[[#This Row],[РРЦ финальная, руб.]]/$AU$1,2)</f>
        <v>0</v>
      </c>
      <c r="AW1036" s="45" t="str">
        <f>IFERROR(Товары[[#This Row],[РРЦ, евро]]/Товары[[#This Row],[IRP, Eur]],"-")</f>
        <v>-</v>
      </c>
      <c r="AX1036" s="42">
        <f>IFERROR(VLOOKUP(Товары[[#This Row],[SubGroup]],'Структура цен DIY'!$B:$C,2,FALSE),0)</f>
        <v>0.26</v>
      </c>
      <c r="AY1036" s="44">
        <v>0</v>
      </c>
    </row>
    <row r="1037" spans="1:51" x14ac:dyDescent="0.25">
      <c r="A1037" s="34">
        <v>1035</v>
      </c>
      <c r="B1037" s="34" t="s">
        <v>49</v>
      </c>
      <c r="C1037" s="110" t="str">
        <f>IFERROR(INDEX(Структура_ассортимента[SuperCategory],MATCH(Товары[[#This Row],[SubGroup]],Структура_ассортимента[Subgroup],0)),"")</f>
        <v>W</v>
      </c>
      <c r="D103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3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37" s="110" t="str">
        <f>IFERROR(INDEX(Структура_ассортимента[Product group],MATCH(Товары[[#This Row],[SubGroup]],Структура_ассортимента[Subgroup],0)),"")</f>
        <v>WMH_C</v>
      </c>
      <c r="G1037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37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37" s="36">
        <v>9014</v>
      </c>
      <c r="J1037" s="36" t="str">
        <f>IFERROR(INDEX(Структура_ассортимента[Generic Name (long)],MATCH(Товары[[#This Row],[SubGroup]],Структура_ассортимента[Subgroup],0)),"")</f>
        <v>GARDEN HOSE</v>
      </c>
      <c r="L1037" s="36">
        <v>967944501</v>
      </c>
      <c r="M1037" s="35" t="s">
        <v>2721</v>
      </c>
      <c r="P1037" s="37" t="s">
        <v>6403</v>
      </c>
      <c r="Q1037" s="34" t="s">
        <v>3713</v>
      </c>
      <c r="R1037" s="34" t="s">
        <v>3540</v>
      </c>
      <c r="S1037" s="47">
        <v>43466</v>
      </c>
      <c r="T1037" s="47">
        <v>0</v>
      </c>
      <c r="U1037" s="47">
        <v>0</v>
      </c>
      <c r="V1037" s="34">
        <v>4078500046091</v>
      </c>
      <c r="W1037" s="34" t="s">
        <v>3543</v>
      </c>
      <c r="Y1037" s="34" t="s">
        <v>3542</v>
      </c>
      <c r="Z1037" s="34">
        <v>8</v>
      </c>
      <c r="AA1037" s="34" t="s">
        <v>3962</v>
      </c>
      <c r="AB1037" s="34" t="s">
        <v>6404</v>
      </c>
      <c r="AC1037" s="34" t="s">
        <v>6405</v>
      </c>
      <c r="AD1037" s="34" t="s">
        <v>3641</v>
      </c>
      <c r="AE1037" s="34" t="s">
        <v>4309</v>
      </c>
      <c r="AF1037" s="34" t="s">
        <v>4309</v>
      </c>
      <c r="AG1037" s="34" t="s">
        <v>4257</v>
      </c>
      <c r="AH1037" s="34" t="s">
        <v>4766</v>
      </c>
      <c r="AL1037" s="34" t="s">
        <v>4321</v>
      </c>
      <c r="AM1037" s="40" t="s">
        <v>233</v>
      </c>
      <c r="AT1037" s="44">
        <v>0</v>
      </c>
      <c r="AU1037" s="44"/>
      <c r="AV1037" s="46">
        <f>ROUND(Товары[[#This Row],[РРЦ финальная, руб.]]/$AU$1,2)</f>
        <v>0</v>
      </c>
      <c r="AW1037" s="45" t="str">
        <f>IFERROR(Товары[[#This Row],[РРЦ, евро]]/Товары[[#This Row],[IRP, Eur]],"-")</f>
        <v>-</v>
      </c>
      <c r="AX1037" s="42">
        <f>IFERROR(VLOOKUP(Товары[[#This Row],[SubGroup]],'Структура цен DIY'!$B:$C,2,FALSE),0)</f>
        <v>0.26</v>
      </c>
      <c r="AY1037" s="44">
        <v>0</v>
      </c>
    </row>
    <row r="1038" spans="1:51" x14ac:dyDescent="0.25">
      <c r="A1038" s="34">
        <v>1036</v>
      </c>
      <c r="B1038" s="34" t="s">
        <v>49</v>
      </c>
      <c r="C1038" s="110" t="str">
        <f>IFERROR(INDEX(Структура_ассортимента[SuperCategory],MATCH(Товары[[#This Row],[SubGroup]],Структура_ассортимента[Subgroup],0)),"")</f>
        <v>W</v>
      </c>
      <c r="D103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3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38" s="110" t="str">
        <f>IFERROR(INDEX(Структура_ассортимента[Product group],MATCH(Товары[[#This Row],[SubGroup]],Структура_ассортимента[Subgroup],0)),"")</f>
        <v>WMH_C</v>
      </c>
      <c r="G1038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38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38" s="36">
        <v>9014</v>
      </c>
      <c r="J1038" s="36" t="str">
        <f>IFERROR(INDEX(Структура_ассортимента[Generic Name (long)],MATCH(Товары[[#This Row],[SubGroup]],Структура_ассортимента[Subgroup],0)),"")</f>
        <v>GARDEN HOSE</v>
      </c>
      <c r="L1038" s="36">
        <v>967970901</v>
      </c>
      <c r="M1038" s="35" t="s">
        <v>2722</v>
      </c>
      <c r="O1038" s="35" t="s">
        <v>6406</v>
      </c>
      <c r="P1038" s="37" t="s">
        <v>6407</v>
      </c>
      <c r="Q1038" s="34" t="s">
        <v>3549</v>
      </c>
      <c r="R1038" s="34" t="s">
        <v>3540</v>
      </c>
      <c r="S1038" s="47">
        <v>43466</v>
      </c>
      <c r="T1038" s="47">
        <v>0</v>
      </c>
      <c r="U1038" s="47">
        <v>0</v>
      </c>
      <c r="V1038" s="34">
        <v>4078500047739</v>
      </c>
      <c r="W1038" s="34" t="s">
        <v>3546</v>
      </c>
      <c r="X1038" s="34" t="s">
        <v>6191</v>
      </c>
      <c r="Y1038" s="34" t="s">
        <v>3542</v>
      </c>
      <c r="Z1038" s="34">
        <v>6</v>
      </c>
      <c r="AA1038" s="34" t="s">
        <v>6408</v>
      </c>
      <c r="AB1038" s="34" t="s">
        <v>6408</v>
      </c>
      <c r="AC1038" s="34" t="s">
        <v>4237</v>
      </c>
      <c r="AD1038" s="34" t="s">
        <v>4237</v>
      </c>
      <c r="AE1038" s="34" t="s">
        <v>3939</v>
      </c>
      <c r="AF1038" s="34" t="s">
        <v>3939</v>
      </c>
      <c r="AG1038" s="34" t="s">
        <v>3743</v>
      </c>
      <c r="AH1038" s="34" t="s">
        <v>6380</v>
      </c>
      <c r="AL1038" s="34" t="s">
        <v>3830</v>
      </c>
      <c r="AM1038" s="40" t="s">
        <v>10</v>
      </c>
      <c r="AP1038" s="34">
        <v>0</v>
      </c>
      <c r="AQ1038" s="34">
        <v>3890</v>
      </c>
      <c r="AR1038" s="34">
        <v>2269</v>
      </c>
      <c r="AT1038" s="44">
        <v>301300</v>
      </c>
      <c r="AU1038" s="44"/>
      <c r="AV1038" s="46">
        <f>ROUND(Товары[[#This Row],[РРЦ финальная, руб.]]/$AU$1,2)</f>
        <v>0</v>
      </c>
      <c r="AW1038" s="45" t="str">
        <f>IFERROR(Товары[[#This Row],[РРЦ, евро]]/Товары[[#This Row],[IRP, Eur]],"-")</f>
        <v>-</v>
      </c>
      <c r="AX1038" s="42">
        <f>IFERROR(VLOOKUP(Товары[[#This Row],[SubGroup]],'Структура цен DIY'!$B:$C,2,FALSE),0)</f>
        <v>0.26</v>
      </c>
      <c r="AY1038" s="44">
        <v>0</v>
      </c>
    </row>
    <row r="1039" spans="1:51" x14ac:dyDescent="0.25">
      <c r="A1039" s="34">
        <v>1037</v>
      </c>
      <c r="B1039" s="34" t="s">
        <v>49</v>
      </c>
      <c r="C1039" s="110" t="str">
        <f>IFERROR(INDEX(Структура_ассортимента[SuperCategory],MATCH(Товары[[#This Row],[SubGroup]],Структура_ассортимента[Subgroup],0)),"")</f>
        <v>W</v>
      </c>
      <c r="D103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3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39" s="110" t="str">
        <f>IFERROR(INDEX(Структура_ассортимента[Product group],MATCH(Товары[[#This Row],[SubGroup]],Структура_ассортимента[Subgroup],0)),"")</f>
        <v>WMH_C</v>
      </c>
      <c r="G1039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39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39" s="36">
        <v>9014</v>
      </c>
      <c r="J1039" s="36" t="str">
        <f>IFERROR(INDEX(Структура_ассортимента[Generic Name (long)],MATCH(Товары[[#This Row],[SubGroup]],Структура_ассортимента[Subgroup],0)),"")</f>
        <v>GARDEN HOSE</v>
      </c>
      <c r="L1039" s="36">
        <v>900863401</v>
      </c>
      <c r="M1039" s="35" t="s">
        <v>2723</v>
      </c>
      <c r="Q1039" s="34" t="s">
        <v>3549</v>
      </c>
      <c r="R1039" s="34" t="s">
        <v>3540</v>
      </c>
      <c r="S1039" s="47">
        <v>36434</v>
      </c>
      <c r="T1039" s="47">
        <v>0</v>
      </c>
      <c r="U1039" s="47">
        <v>0</v>
      </c>
      <c r="V1039" s="34">
        <v>4078500075602</v>
      </c>
      <c r="W1039" s="34" t="s">
        <v>3550</v>
      </c>
      <c r="X1039" s="34" t="s">
        <v>3579</v>
      </c>
      <c r="Y1039" s="34" t="s">
        <v>3542</v>
      </c>
      <c r="Z1039" s="34">
        <v>1</v>
      </c>
      <c r="AA1039" s="34" t="s">
        <v>6409</v>
      </c>
      <c r="AB1039" s="34" t="s">
        <v>6409</v>
      </c>
      <c r="AC1039" s="34" t="s">
        <v>6371</v>
      </c>
      <c r="AD1039" s="34" t="s">
        <v>6371</v>
      </c>
      <c r="AE1039" s="34" t="s">
        <v>3857</v>
      </c>
      <c r="AF1039" s="34" t="s">
        <v>3857</v>
      </c>
      <c r="AG1039" s="34" t="s">
        <v>4181</v>
      </c>
      <c r="AH1039" s="34" t="s">
        <v>6410</v>
      </c>
      <c r="AL1039" s="34">
        <v>108</v>
      </c>
      <c r="AM1039" s="40" t="s">
        <v>8095</v>
      </c>
      <c r="AT1039" s="44">
        <v>0</v>
      </c>
      <c r="AU1039" s="44"/>
      <c r="AV1039" s="46">
        <f>ROUND(Товары[[#This Row],[РРЦ финальная, руб.]]/$AU$1,2)</f>
        <v>0</v>
      </c>
      <c r="AW1039" s="45" t="str">
        <f>IFERROR(Товары[[#This Row],[РРЦ, евро]]/Товары[[#This Row],[IRP, Eur]],"-")</f>
        <v>-</v>
      </c>
      <c r="AX1039" s="42">
        <f>IFERROR(VLOOKUP(Товары[[#This Row],[SubGroup]],'Структура цен DIY'!$B:$C,2,FALSE),0)</f>
        <v>0.26</v>
      </c>
      <c r="AY1039" s="44">
        <v>0</v>
      </c>
    </row>
    <row r="1040" spans="1:51" x14ac:dyDescent="0.25">
      <c r="A1040" s="34">
        <v>1038</v>
      </c>
      <c r="B1040" s="34" t="s">
        <v>49</v>
      </c>
      <c r="C1040" s="110" t="str">
        <f>IFERROR(INDEX(Структура_ассортимента[SuperCategory],MATCH(Товары[[#This Row],[SubGroup]],Структура_ассортимента[Subgroup],0)),"")</f>
        <v>W</v>
      </c>
      <c r="D104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4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40" s="110" t="str">
        <f>IFERROR(INDEX(Структура_ассортимента[Product group],MATCH(Товары[[#This Row],[SubGroup]],Структура_ассортимента[Subgroup],0)),"")</f>
        <v>WMH_C</v>
      </c>
      <c r="G1040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40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40" s="36">
        <v>9014</v>
      </c>
      <c r="J1040" s="36" t="str">
        <f>IFERROR(INDEX(Структура_ассортимента[Generic Name (long)],MATCH(Товары[[#This Row],[SubGroup]],Структура_ассортимента[Subgroup],0)),"")</f>
        <v>GARDEN HOSE</v>
      </c>
      <c r="L1040" s="36">
        <v>900863501</v>
      </c>
      <c r="M1040" s="35" t="s">
        <v>2724</v>
      </c>
      <c r="Q1040" s="34" t="s">
        <v>3549</v>
      </c>
      <c r="R1040" s="34" t="s">
        <v>3540</v>
      </c>
      <c r="S1040" s="47">
        <v>36434</v>
      </c>
      <c r="T1040" s="47">
        <v>0</v>
      </c>
      <c r="U1040" s="47">
        <v>0</v>
      </c>
      <c r="V1040" s="34">
        <v>4078500075701</v>
      </c>
      <c r="W1040" s="34" t="s">
        <v>3550</v>
      </c>
      <c r="X1040" s="34" t="s">
        <v>3579</v>
      </c>
      <c r="Y1040" s="34" t="s">
        <v>3542</v>
      </c>
      <c r="Z1040" s="34">
        <v>1</v>
      </c>
      <c r="AA1040" s="34" t="s">
        <v>6411</v>
      </c>
      <c r="AB1040" s="34" t="s">
        <v>6411</v>
      </c>
      <c r="AC1040" s="34" t="s">
        <v>4201</v>
      </c>
      <c r="AD1040" s="34" t="s">
        <v>4201</v>
      </c>
      <c r="AE1040" s="34" t="s">
        <v>3857</v>
      </c>
      <c r="AF1040" s="34" t="s">
        <v>3857</v>
      </c>
      <c r="AG1040" s="34" t="s">
        <v>3791</v>
      </c>
      <c r="AH1040" s="34" t="s">
        <v>6412</v>
      </c>
      <c r="AL1040" s="34">
        <v>108</v>
      </c>
      <c r="AM1040" s="40" t="s">
        <v>8095</v>
      </c>
      <c r="AT1040" s="44">
        <v>0</v>
      </c>
      <c r="AU1040" s="44"/>
      <c r="AV1040" s="46">
        <f>ROUND(Товары[[#This Row],[РРЦ финальная, руб.]]/$AU$1,2)</f>
        <v>0</v>
      </c>
      <c r="AW1040" s="45" t="str">
        <f>IFERROR(Товары[[#This Row],[РРЦ, евро]]/Товары[[#This Row],[IRP, Eur]],"-")</f>
        <v>-</v>
      </c>
      <c r="AX1040" s="42">
        <f>IFERROR(VLOOKUP(Товары[[#This Row],[SubGroup]],'Структура цен DIY'!$B:$C,2,FALSE),0)</f>
        <v>0.26</v>
      </c>
      <c r="AY1040" s="44">
        <v>0</v>
      </c>
    </row>
    <row r="1041" spans="1:51" x14ac:dyDescent="0.25">
      <c r="A1041" s="34">
        <v>1039</v>
      </c>
      <c r="B1041" s="34" t="s">
        <v>49</v>
      </c>
      <c r="C1041" s="110" t="str">
        <f>IFERROR(INDEX(Структура_ассортимента[SuperCategory],MATCH(Товары[[#This Row],[SubGroup]],Структура_ассортимента[Subgroup],0)),"")</f>
        <v>W</v>
      </c>
      <c r="D104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4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41" s="110" t="str">
        <f>IFERROR(INDEX(Структура_ассортимента[Product group],MATCH(Товары[[#This Row],[SubGroup]],Структура_ассортимента[Subgroup],0)),"")</f>
        <v>WMH_C</v>
      </c>
      <c r="G1041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41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41" s="36">
        <v>9014</v>
      </c>
      <c r="J1041" s="36" t="str">
        <f>IFERROR(INDEX(Структура_ассортимента[Generic Name (long)],MATCH(Товары[[#This Row],[SubGroup]],Структура_ассортимента[Subgroup],0)),"")</f>
        <v>GARDEN HOSE</v>
      </c>
      <c r="L1041" s="36">
        <v>967246901</v>
      </c>
      <c r="M1041" s="35" t="s">
        <v>2725</v>
      </c>
      <c r="O1041" s="35" t="s">
        <v>6413</v>
      </c>
      <c r="P1041" s="37" t="s">
        <v>6414</v>
      </c>
      <c r="Q1041" s="34" t="s">
        <v>3549</v>
      </c>
      <c r="R1041" s="34" t="s">
        <v>3540</v>
      </c>
      <c r="S1041" s="47">
        <v>41640</v>
      </c>
      <c r="T1041" s="47">
        <v>0</v>
      </c>
      <c r="U1041" s="47">
        <v>0</v>
      </c>
      <c r="V1041" s="34">
        <v>4078500002264</v>
      </c>
      <c r="W1041" s="34" t="s">
        <v>3546</v>
      </c>
      <c r="X1041" s="34" t="s">
        <v>6191</v>
      </c>
      <c r="Y1041" s="34" t="s">
        <v>6192</v>
      </c>
      <c r="Z1041" s="34">
        <v>10</v>
      </c>
      <c r="AA1041" s="34" t="s">
        <v>4877</v>
      </c>
      <c r="AB1041" s="34" t="s">
        <v>4877</v>
      </c>
      <c r="AC1041" s="34" t="s">
        <v>5390</v>
      </c>
      <c r="AD1041" s="34" t="s">
        <v>5390</v>
      </c>
      <c r="AE1041" s="34" t="s">
        <v>3742</v>
      </c>
      <c r="AF1041" s="34" t="s">
        <v>4510</v>
      </c>
      <c r="AG1041" s="34" t="s">
        <v>3693</v>
      </c>
      <c r="AH1041" s="34" t="s">
        <v>6415</v>
      </c>
      <c r="AL1041" s="34" t="s">
        <v>4513</v>
      </c>
      <c r="AM1041" s="40" t="s">
        <v>9</v>
      </c>
      <c r="AP1041" s="34">
        <v>0</v>
      </c>
      <c r="AQ1041" s="34">
        <v>3289</v>
      </c>
      <c r="AR1041" s="34">
        <v>2001</v>
      </c>
      <c r="AT1041" s="44">
        <v>254700</v>
      </c>
      <c r="AU1041" s="44"/>
      <c r="AV1041" s="46">
        <f>ROUND(Товары[[#This Row],[РРЦ финальная, руб.]]/$AU$1,2)</f>
        <v>0</v>
      </c>
      <c r="AW1041" s="45" t="str">
        <f>IFERROR(Товары[[#This Row],[РРЦ, евро]]/Товары[[#This Row],[IRP, Eur]],"-")</f>
        <v>-</v>
      </c>
      <c r="AX1041" s="42">
        <f>IFERROR(VLOOKUP(Товары[[#This Row],[SubGroup]],'Структура цен DIY'!$B:$C,2,FALSE),0)</f>
        <v>0.26</v>
      </c>
      <c r="AY1041" s="44">
        <v>0</v>
      </c>
    </row>
    <row r="1042" spans="1:51" x14ac:dyDescent="0.25">
      <c r="A1042" s="34">
        <v>1040</v>
      </c>
      <c r="B1042" s="34" t="s">
        <v>49</v>
      </c>
      <c r="C1042" s="110" t="str">
        <f>IFERROR(INDEX(Структура_ассортимента[SuperCategory],MATCH(Товары[[#This Row],[SubGroup]],Структура_ассортимента[Subgroup],0)),"")</f>
        <v>W</v>
      </c>
      <c r="D104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4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42" s="110" t="str">
        <f>IFERROR(INDEX(Структура_ассортимента[Product group],MATCH(Товары[[#This Row],[SubGroup]],Структура_ассортимента[Subgroup],0)),"")</f>
        <v>WMH_C</v>
      </c>
      <c r="G1042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42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42" s="36">
        <v>9014</v>
      </c>
      <c r="J1042" s="36" t="str">
        <f>IFERROR(INDEX(Структура_ассортимента[Generic Name (long)],MATCH(Товары[[#This Row],[SubGroup]],Структура_ассортимента[Subgroup],0)),"")</f>
        <v>GARDEN HOSE</v>
      </c>
      <c r="L1042" s="36">
        <v>967255701</v>
      </c>
      <c r="M1042" s="35" t="s">
        <v>2726</v>
      </c>
      <c r="O1042" s="35" t="s">
        <v>6416</v>
      </c>
      <c r="P1042" s="37" t="s">
        <v>6417</v>
      </c>
      <c r="Q1042" s="34" t="s">
        <v>3549</v>
      </c>
      <c r="R1042" s="34" t="s">
        <v>3540</v>
      </c>
      <c r="S1042" s="47">
        <v>41640</v>
      </c>
      <c r="T1042" s="47">
        <v>0</v>
      </c>
      <c r="U1042" s="47">
        <v>0</v>
      </c>
      <c r="V1042" s="34">
        <v>4078500002516</v>
      </c>
      <c r="W1042" s="34" t="s">
        <v>3543</v>
      </c>
      <c r="X1042" s="34" t="s">
        <v>3579</v>
      </c>
      <c r="Y1042" s="34" t="s">
        <v>3542</v>
      </c>
      <c r="Z1042" s="34">
        <v>5</v>
      </c>
      <c r="AA1042" s="34" t="s">
        <v>4007</v>
      </c>
      <c r="AB1042" s="34" t="s">
        <v>5954</v>
      </c>
      <c r="AC1042" s="34" t="s">
        <v>4180</v>
      </c>
      <c r="AD1042" s="34" t="s">
        <v>3751</v>
      </c>
      <c r="AE1042" s="34" t="s">
        <v>5835</v>
      </c>
      <c r="AF1042" s="34" t="s">
        <v>4458</v>
      </c>
      <c r="AG1042" s="34" t="s">
        <v>4231</v>
      </c>
      <c r="AH1042" s="34" t="s">
        <v>6418</v>
      </c>
      <c r="AL1042" s="34" t="s">
        <v>5044</v>
      </c>
      <c r="AM1042" s="40" t="s">
        <v>9</v>
      </c>
      <c r="AP1042" s="34">
        <v>0</v>
      </c>
      <c r="AQ1042" s="34">
        <v>1419</v>
      </c>
      <c r="AR1042" s="34">
        <v>863</v>
      </c>
      <c r="AT1042" s="44">
        <v>109900</v>
      </c>
      <c r="AU1042" s="44"/>
      <c r="AV1042" s="46">
        <f>ROUND(Товары[[#This Row],[РРЦ финальная, руб.]]/$AU$1,2)</f>
        <v>0</v>
      </c>
      <c r="AW1042" s="45" t="str">
        <f>IFERROR(Товары[[#This Row],[РРЦ, евро]]/Товары[[#This Row],[IRP, Eur]],"-")</f>
        <v>-</v>
      </c>
      <c r="AX1042" s="42">
        <f>IFERROR(VLOOKUP(Товары[[#This Row],[SubGroup]],'Структура цен DIY'!$B:$C,2,FALSE),0)</f>
        <v>0.26</v>
      </c>
      <c r="AY1042" s="44">
        <v>0</v>
      </c>
    </row>
    <row r="1043" spans="1:51" x14ac:dyDescent="0.25">
      <c r="A1043" s="34">
        <v>1041</v>
      </c>
      <c r="B1043" s="34" t="s">
        <v>49</v>
      </c>
      <c r="C1043" s="110" t="str">
        <f>IFERROR(INDEX(Структура_ассортимента[SuperCategory],MATCH(Товары[[#This Row],[SubGroup]],Структура_ассортимента[Subgroup],0)),"")</f>
        <v>W</v>
      </c>
      <c r="D104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4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43" s="110" t="str">
        <f>IFERROR(INDEX(Структура_ассортимента[Product group],MATCH(Товары[[#This Row],[SubGroup]],Структура_ассортимента[Subgroup],0)),"")</f>
        <v>WMH_C</v>
      </c>
      <c r="G1043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43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43" s="36">
        <v>9014</v>
      </c>
      <c r="J1043" s="36" t="str">
        <f>IFERROR(INDEX(Структура_ассортимента[Generic Name (long)],MATCH(Товары[[#This Row],[SubGroup]],Структура_ассортимента[Subgroup],0)),"")</f>
        <v>GARDEN HOSE</v>
      </c>
      <c r="L1043" s="36">
        <v>967690501</v>
      </c>
      <c r="M1043" s="35" t="s">
        <v>2727</v>
      </c>
      <c r="O1043" s="35" t="s">
        <v>6419</v>
      </c>
      <c r="P1043" s="37" t="s">
        <v>6420</v>
      </c>
      <c r="Q1043" s="34" t="s">
        <v>3549</v>
      </c>
      <c r="R1043" s="34" t="s">
        <v>3540</v>
      </c>
      <c r="S1043" s="47">
        <v>43101</v>
      </c>
      <c r="T1043" s="47">
        <v>0</v>
      </c>
      <c r="U1043" s="47">
        <v>0</v>
      </c>
      <c r="V1043" s="34">
        <v>4078500034715</v>
      </c>
      <c r="W1043" s="34" t="s">
        <v>3543</v>
      </c>
      <c r="X1043" s="34" t="s">
        <v>3579</v>
      </c>
      <c r="Y1043" s="34" t="s">
        <v>3542</v>
      </c>
      <c r="Z1043" s="34">
        <v>5</v>
      </c>
      <c r="AA1043" s="34">
        <v>290</v>
      </c>
      <c r="AB1043" s="34" t="s">
        <v>4484</v>
      </c>
      <c r="AC1043" s="34">
        <v>270</v>
      </c>
      <c r="AD1043" s="34" t="s">
        <v>4180</v>
      </c>
      <c r="AE1043" s="34" t="s">
        <v>5835</v>
      </c>
      <c r="AF1043" s="34" t="s">
        <v>4458</v>
      </c>
      <c r="AG1043" s="34" t="s">
        <v>4231</v>
      </c>
      <c r="AH1043" s="34" t="s">
        <v>6418</v>
      </c>
      <c r="AL1043" s="34" t="s">
        <v>5044</v>
      </c>
      <c r="AM1043" s="40" t="s">
        <v>9</v>
      </c>
      <c r="AP1043" s="34">
        <v>0</v>
      </c>
      <c r="AQ1043" s="34">
        <v>1199</v>
      </c>
      <c r="AR1043" s="34">
        <v>729</v>
      </c>
      <c r="AT1043" s="44">
        <v>92900</v>
      </c>
      <c r="AU1043" s="44"/>
      <c r="AV1043" s="46">
        <f>ROUND(Товары[[#This Row],[РРЦ финальная, руб.]]/$AU$1,2)</f>
        <v>0</v>
      </c>
      <c r="AW1043" s="45" t="str">
        <f>IFERROR(Товары[[#This Row],[РРЦ, евро]]/Товары[[#This Row],[IRP, Eur]],"-")</f>
        <v>-</v>
      </c>
      <c r="AX1043" s="42">
        <f>IFERROR(VLOOKUP(Товары[[#This Row],[SubGroup]],'Структура цен DIY'!$B:$C,2,FALSE),0)</f>
        <v>0.26</v>
      </c>
      <c r="AY1043" s="44">
        <v>0</v>
      </c>
    </row>
    <row r="1044" spans="1:51" x14ac:dyDescent="0.25">
      <c r="A1044" s="34">
        <v>1042</v>
      </c>
      <c r="B1044" s="34" t="s">
        <v>49</v>
      </c>
      <c r="C1044" s="110" t="str">
        <f>IFERROR(INDEX(Структура_ассортимента[SuperCategory],MATCH(Товары[[#This Row],[SubGroup]],Структура_ассортимента[Subgroup],0)),"")</f>
        <v>W</v>
      </c>
      <c r="D104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4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44" s="110" t="str">
        <f>IFERROR(INDEX(Структура_ассортимента[Product group],MATCH(Товары[[#This Row],[SubGroup]],Структура_ассортимента[Subgroup],0)),"")</f>
        <v>WMH_C</v>
      </c>
      <c r="G1044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44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44" s="36">
        <v>9014</v>
      </c>
      <c r="J1044" s="36" t="str">
        <f>IFERROR(INDEX(Структура_ассортимента[Generic Name (long)],MATCH(Товары[[#This Row],[SubGroup]],Структура_ассортимента[Subgroup],0)),"")</f>
        <v>GARDEN HOSE</v>
      </c>
      <c r="L1044" s="36">
        <v>970460201</v>
      </c>
      <c r="M1044" s="35" t="s">
        <v>2728</v>
      </c>
      <c r="Q1044" s="34" t="s">
        <v>3549</v>
      </c>
      <c r="R1044" s="34" t="s">
        <v>3540</v>
      </c>
      <c r="S1044" s="47">
        <v>43831</v>
      </c>
      <c r="T1044" s="47">
        <v>0</v>
      </c>
      <c r="U1044" s="47">
        <v>0</v>
      </c>
      <c r="V1044" s="34">
        <v>4078500051088</v>
      </c>
      <c r="W1044" s="34" t="s">
        <v>3543</v>
      </c>
      <c r="X1044" s="34" t="s">
        <v>3579</v>
      </c>
      <c r="Y1044" s="34" t="s">
        <v>3542</v>
      </c>
      <c r="Z1044" s="34">
        <v>20</v>
      </c>
      <c r="AM1044" s="40" t="s">
        <v>8095</v>
      </c>
      <c r="AT1044" s="44">
        <v>0</v>
      </c>
      <c r="AU1044" s="44"/>
      <c r="AV1044" s="46">
        <f>ROUND(Товары[[#This Row],[РРЦ финальная, руб.]]/$AU$1,2)</f>
        <v>0</v>
      </c>
      <c r="AW1044" s="45" t="str">
        <f>IFERROR(Товары[[#This Row],[РРЦ, евро]]/Товары[[#This Row],[IRP, Eur]],"-")</f>
        <v>-</v>
      </c>
      <c r="AX1044" s="42">
        <f>IFERROR(VLOOKUP(Товары[[#This Row],[SubGroup]],'Структура цен DIY'!$B:$C,2,FALSE),0)</f>
        <v>0.26</v>
      </c>
      <c r="AY1044" s="44">
        <v>0</v>
      </c>
    </row>
    <row r="1045" spans="1:51" x14ac:dyDescent="0.25">
      <c r="A1045" s="34">
        <v>1043</v>
      </c>
      <c r="B1045" s="34" t="s">
        <v>49</v>
      </c>
      <c r="C1045" s="110" t="str">
        <f>IFERROR(INDEX(Структура_ассортимента[SuperCategory],MATCH(Товары[[#This Row],[SubGroup]],Структура_ассортимента[Subgroup],0)),"")</f>
        <v>W</v>
      </c>
      <c r="D104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4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45" s="110" t="str">
        <f>IFERROR(INDEX(Структура_ассортимента[Product group],MATCH(Товары[[#This Row],[SubGroup]],Структура_ассортимента[Subgroup],0)),"")</f>
        <v>WMH_C</v>
      </c>
      <c r="G1045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45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45" s="36">
        <v>9014</v>
      </c>
      <c r="J1045" s="36" t="str">
        <f>IFERROR(INDEX(Структура_ассортимента[Generic Name (long)],MATCH(Товары[[#This Row],[SubGroup]],Структура_ассортимента[Subgroup],0)),"")</f>
        <v>GARDEN HOSE</v>
      </c>
      <c r="L1045" s="36">
        <v>967648801</v>
      </c>
      <c r="M1045" s="35" t="s">
        <v>2729</v>
      </c>
      <c r="Q1045" s="34" t="s">
        <v>3549</v>
      </c>
      <c r="R1045" s="34" t="s">
        <v>3540</v>
      </c>
      <c r="S1045" s="47">
        <v>42736</v>
      </c>
      <c r="T1045" s="47">
        <v>0</v>
      </c>
      <c r="U1045" s="47">
        <v>0</v>
      </c>
      <c r="V1045" s="34">
        <v>4078500029780</v>
      </c>
      <c r="W1045" s="34" t="s">
        <v>3546</v>
      </c>
      <c r="X1045" s="34" t="s">
        <v>6191</v>
      </c>
      <c r="Y1045" s="34" t="s">
        <v>3542</v>
      </c>
      <c r="Z1045" s="34">
        <v>5</v>
      </c>
      <c r="AA1045" s="34">
        <v>3200</v>
      </c>
      <c r="AB1045" s="34" t="s">
        <v>5514</v>
      </c>
      <c r="AC1045" s="34">
        <v>2900</v>
      </c>
      <c r="AD1045" s="34" t="s">
        <v>6421</v>
      </c>
      <c r="AE1045" s="34" t="s">
        <v>3742</v>
      </c>
      <c r="AF1045" s="34" t="s">
        <v>4510</v>
      </c>
      <c r="AG1045" s="34" t="s">
        <v>3693</v>
      </c>
      <c r="AH1045" s="34" t="s">
        <v>6415</v>
      </c>
      <c r="AL1045" s="34" t="s">
        <v>4514</v>
      </c>
      <c r="AM1045" s="40" t="s">
        <v>8095</v>
      </c>
      <c r="AT1045" s="44">
        <v>0</v>
      </c>
      <c r="AU1045" s="44"/>
      <c r="AV1045" s="46">
        <f>ROUND(Товары[[#This Row],[РРЦ финальная, руб.]]/$AU$1,2)</f>
        <v>0</v>
      </c>
      <c r="AW1045" s="45" t="str">
        <f>IFERROR(Товары[[#This Row],[РРЦ, евро]]/Товары[[#This Row],[IRP, Eur]],"-")</f>
        <v>-</v>
      </c>
      <c r="AX1045" s="42">
        <f>IFERROR(VLOOKUP(Товары[[#This Row],[SubGroup]],'Структура цен DIY'!$B:$C,2,FALSE),0)</f>
        <v>0.26</v>
      </c>
      <c r="AY1045" s="44">
        <v>0</v>
      </c>
    </row>
    <row r="1046" spans="1:51" x14ac:dyDescent="0.25">
      <c r="A1046" s="34">
        <v>1044</v>
      </c>
      <c r="B1046" s="34" t="s">
        <v>49</v>
      </c>
      <c r="C1046" s="110" t="str">
        <f>IFERROR(INDEX(Структура_ассортимента[SuperCategory],MATCH(Товары[[#This Row],[SubGroup]],Структура_ассортимента[Subgroup],0)),"")</f>
        <v>W</v>
      </c>
      <c r="D104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4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46" s="110" t="str">
        <f>IFERROR(INDEX(Структура_ассортимента[Product group],MATCH(Товары[[#This Row],[SubGroup]],Структура_ассортимента[Subgroup],0)),"")</f>
        <v>WMH_C</v>
      </c>
      <c r="G1046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46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46" s="36">
        <v>9014</v>
      </c>
      <c r="J1046" s="36" t="str">
        <f>IFERROR(INDEX(Структура_ассортимента[Generic Name (long)],MATCH(Товары[[#This Row],[SubGroup]],Структура_ассортимента[Subgroup],0)),"")</f>
        <v>GARDEN HOSE</v>
      </c>
      <c r="L1046" s="36">
        <v>970460401</v>
      </c>
      <c r="M1046" s="35" t="s">
        <v>2730</v>
      </c>
      <c r="Q1046" s="34" t="s">
        <v>3549</v>
      </c>
      <c r="R1046" s="34" t="s">
        <v>3540</v>
      </c>
      <c r="S1046" s="47">
        <v>43831</v>
      </c>
      <c r="T1046" s="47">
        <v>0</v>
      </c>
      <c r="U1046" s="47">
        <v>0</v>
      </c>
      <c r="V1046" s="34">
        <v>4078500051057</v>
      </c>
      <c r="W1046" s="34" t="s">
        <v>3546</v>
      </c>
      <c r="X1046" s="34" t="s">
        <v>6191</v>
      </c>
      <c r="Y1046" s="34" t="s">
        <v>3542</v>
      </c>
      <c r="Z1046" s="34">
        <v>14</v>
      </c>
      <c r="AB1046" s="34" t="s">
        <v>5390</v>
      </c>
      <c r="AD1046" s="34" t="s">
        <v>6238</v>
      </c>
      <c r="AE1046" s="34" t="s">
        <v>3610</v>
      </c>
      <c r="AF1046" s="34" t="s">
        <v>3610</v>
      </c>
      <c r="AG1046" s="34" t="s">
        <v>4549</v>
      </c>
      <c r="AH1046" s="34" t="s">
        <v>6422</v>
      </c>
      <c r="AL1046" s="34" t="s">
        <v>6202</v>
      </c>
      <c r="AM1046" s="40" t="s">
        <v>8095</v>
      </c>
      <c r="AT1046" s="44">
        <v>0</v>
      </c>
      <c r="AU1046" s="44"/>
      <c r="AV1046" s="46">
        <f>ROUND(Товары[[#This Row],[РРЦ финальная, руб.]]/$AU$1,2)</f>
        <v>0</v>
      </c>
      <c r="AW1046" s="45" t="str">
        <f>IFERROR(Товары[[#This Row],[РРЦ, евро]]/Товары[[#This Row],[IRP, Eur]],"-")</f>
        <v>-</v>
      </c>
      <c r="AX1046" s="42">
        <f>IFERROR(VLOOKUP(Товары[[#This Row],[SubGroup]],'Структура цен DIY'!$B:$C,2,FALSE),0)</f>
        <v>0.26</v>
      </c>
      <c r="AY1046" s="44">
        <v>0</v>
      </c>
    </row>
    <row r="1047" spans="1:51" x14ac:dyDescent="0.25">
      <c r="A1047" s="34">
        <v>1045</v>
      </c>
      <c r="B1047" s="34" t="s">
        <v>49</v>
      </c>
      <c r="C1047" s="110" t="str">
        <f>IFERROR(INDEX(Структура_ассортимента[SuperCategory],MATCH(Товары[[#This Row],[SubGroup]],Структура_ассортимента[Subgroup],0)),"")</f>
        <v>W</v>
      </c>
      <c r="D104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4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47" s="110" t="str">
        <f>IFERROR(INDEX(Структура_ассортимента[Product group],MATCH(Товары[[#This Row],[SubGroup]],Структура_ассортимента[Subgroup],0)),"")</f>
        <v>WMH_C</v>
      </c>
      <c r="G1047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47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47" s="36">
        <v>9014</v>
      </c>
      <c r="J1047" s="36" t="str">
        <f>IFERROR(INDEX(Структура_ассортимента[Generic Name (long)],MATCH(Товары[[#This Row],[SubGroup]],Структура_ассортимента[Subgroup],0)),"")</f>
        <v>GARDEN HOSE</v>
      </c>
      <c r="L1047" s="36">
        <v>970458101</v>
      </c>
      <c r="M1047" s="35" t="s">
        <v>2731</v>
      </c>
      <c r="O1047" s="35" t="s">
        <v>6423</v>
      </c>
      <c r="P1047" s="37" t="s">
        <v>6424</v>
      </c>
      <c r="Q1047" s="34" t="s">
        <v>3549</v>
      </c>
      <c r="R1047" s="34" t="s">
        <v>3540</v>
      </c>
      <c r="S1047" s="47">
        <v>43831</v>
      </c>
      <c r="T1047" s="47">
        <v>0</v>
      </c>
      <c r="U1047" s="47">
        <v>0</v>
      </c>
      <c r="V1047" s="34">
        <v>4078500051026</v>
      </c>
      <c r="W1047" s="34" t="s">
        <v>3546</v>
      </c>
      <c r="X1047" s="34" t="s">
        <v>4868</v>
      </c>
      <c r="Y1047" s="34" t="s">
        <v>3542</v>
      </c>
      <c r="Z1047" s="34">
        <v>1</v>
      </c>
      <c r="AB1047" s="34" t="s">
        <v>6425</v>
      </c>
      <c r="AD1047" s="34" t="s">
        <v>6426</v>
      </c>
      <c r="AE1047" s="34" t="s">
        <v>3722</v>
      </c>
      <c r="AF1047" s="34" t="s">
        <v>3722</v>
      </c>
      <c r="AG1047" s="34" t="s">
        <v>3989</v>
      </c>
      <c r="AH1047" s="34" t="s">
        <v>6427</v>
      </c>
      <c r="AL1047" s="34" t="s">
        <v>4513</v>
      </c>
      <c r="AM1047" s="40" t="s">
        <v>10</v>
      </c>
      <c r="AP1047" s="34">
        <v>0</v>
      </c>
      <c r="AQ1047" s="34">
        <v>3769</v>
      </c>
      <c r="AR1047" s="34">
        <v>2293</v>
      </c>
      <c r="AT1047" s="44">
        <v>291900</v>
      </c>
      <c r="AU1047" s="44"/>
      <c r="AV1047" s="46">
        <f>ROUND(Товары[[#This Row],[РРЦ финальная, руб.]]/$AU$1,2)</f>
        <v>0</v>
      </c>
      <c r="AW1047" s="45" t="str">
        <f>IFERROR(Товары[[#This Row],[РРЦ, евро]]/Товары[[#This Row],[IRP, Eur]],"-")</f>
        <v>-</v>
      </c>
      <c r="AX1047" s="42">
        <f>IFERROR(VLOOKUP(Товары[[#This Row],[SubGroup]],'Структура цен DIY'!$B:$C,2,FALSE),0)</f>
        <v>0.26</v>
      </c>
      <c r="AY1047" s="44">
        <v>0</v>
      </c>
    </row>
    <row r="1048" spans="1:51" x14ac:dyDescent="0.25">
      <c r="A1048" s="34">
        <v>1046</v>
      </c>
      <c r="B1048" s="34" t="s">
        <v>49</v>
      </c>
      <c r="C1048" s="110" t="str">
        <f>IFERROR(INDEX(Структура_ассортимента[SuperCategory],MATCH(Товары[[#This Row],[SubGroup]],Структура_ассортимента[Subgroup],0)),"")</f>
        <v>W</v>
      </c>
      <c r="D104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4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48" s="110" t="str">
        <f>IFERROR(INDEX(Структура_ассортимента[Product group],MATCH(Товары[[#This Row],[SubGroup]],Структура_ассортимента[Subgroup],0)),"")</f>
        <v>WMH_C</v>
      </c>
      <c r="G1048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48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48" s="36">
        <v>9014</v>
      </c>
      <c r="J1048" s="36" t="str">
        <f>IFERROR(INDEX(Структура_ассортимента[Generic Name (long)],MATCH(Товары[[#This Row],[SubGroup]],Структура_ассортимента[Subgroup],0)),"")</f>
        <v>GARDEN HOSE</v>
      </c>
      <c r="L1048" s="36">
        <v>970458201</v>
      </c>
      <c r="M1048" s="35" t="s">
        <v>2732</v>
      </c>
      <c r="O1048" s="35" t="s">
        <v>6428</v>
      </c>
      <c r="P1048" s="37" t="s">
        <v>6429</v>
      </c>
      <c r="Q1048" s="34" t="s">
        <v>3549</v>
      </c>
      <c r="R1048" s="34" t="s">
        <v>3540</v>
      </c>
      <c r="S1048" s="47">
        <v>43831</v>
      </c>
      <c r="T1048" s="47">
        <v>0</v>
      </c>
      <c r="U1048" s="47">
        <v>0</v>
      </c>
      <c r="V1048" s="34">
        <v>4078500051033</v>
      </c>
      <c r="W1048" s="34" t="s">
        <v>3546</v>
      </c>
      <c r="X1048" s="34" t="s">
        <v>4868</v>
      </c>
      <c r="Y1048" s="34" t="s">
        <v>3542</v>
      </c>
      <c r="Z1048" s="34">
        <v>1</v>
      </c>
      <c r="AB1048" s="34" t="s">
        <v>6430</v>
      </c>
      <c r="AD1048" s="34" t="s">
        <v>5709</v>
      </c>
      <c r="AE1048" s="34" t="s">
        <v>4413</v>
      </c>
      <c r="AF1048" s="34" t="s">
        <v>4413</v>
      </c>
      <c r="AG1048" s="34" t="s">
        <v>3968</v>
      </c>
      <c r="AH1048" s="34" t="s">
        <v>6236</v>
      </c>
      <c r="AL1048" s="34" t="s">
        <v>4513</v>
      </c>
      <c r="AM1048" s="40" t="s">
        <v>9</v>
      </c>
      <c r="AP1048" s="34">
        <v>0</v>
      </c>
      <c r="AQ1048" s="34">
        <v>4741</v>
      </c>
      <c r="AR1048" s="34">
        <v>3240</v>
      </c>
      <c r="AT1048" s="44">
        <v>367200</v>
      </c>
      <c r="AU1048" s="44"/>
      <c r="AV1048" s="46">
        <f>ROUND(Товары[[#This Row],[РРЦ финальная, руб.]]/$AU$1,2)</f>
        <v>0</v>
      </c>
      <c r="AW1048" s="45" t="str">
        <f>IFERROR(Товары[[#This Row],[РРЦ, евро]]/Товары[[#This Row],[IRP, Eur]],"-")</f>
        <v>-</v>
      </c>
      <c r="AX1048" s="42">
        <f>IFERROR(VLOOKUP(Товары[[#This Row],[SubGroup]],'Структура цен DIY'!$B:$C,2,FALSE),0)</f>
        <v>0.26</v>
      </c>
      <c r="AY1048" s="44">
        <v>0</v>
      </c>
    </row>
    <row r="1049" spans="1:51" x14ac:dyDescent="0.25">
      <c r="A1049" s="34">
        <v>1047</v>
      </c>
      <c r="B1049" s="34" t="s">
        <v>49</v>
      </c>
      <c r="C1049" s="110" t="str">
        <f>IFERROR(INDEX(Структура_ассортимента[SuperCategory],MATCH(Товары[[#This Row],[SubGroup]],Структура_ассортимента[Subgroup],0)),"")</f>
        <v>W</v>
      </c>
      <c r="D104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4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49" s="110" t="str">
        <f>IFERROR(INDEX(Структура_ассортимента[Product group],MATCH(Товары[[#This Row],[SubGroup]],Структура_ассортимента[Subgroup],0)),"")</f>
        <v>WMH_C</v>
      </c>
      <c r="G1049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49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49" s="36">
        <v>9014</v>
      </c>
      <c r="J1049" s="36" t="str">
        <f>IFERROR(INDEX(Структура_ассортимента[Generic Name (long)],MATCH(Товары[[#This Row],[SubGroup]],Структура_ассортимента[Subgroup],0)),"")</f>
        <v>GARDEN HOSE</v>
      </c>
      <c r="L1049" s="36">
        <v>970461701</v>
      </c>
      <c r="M1049" s="35" t="s">
        <v>2733</v>
      </c>
      <c r="O1049" s="35" t="s">
        <v>6431</v>
      </c>
      <c r="P1049" s="37" t="s">
        <v>6432</v>
      </c>
      <c r="Q1049" s="34" t="s">
        <v>3549</v>
      </c>
      <c r="R1049" s="34" t="s">
        <v>3540</v>
      </c>
      <c r="S1049" s="47">
        <v>43831</v>
      </c>
      <c r="T1049" s="47">
        <v>0</v>
      </c>
      <c r="U1049" s="47">
        <v>0</v>
      </c>
      <c r="V1049" s="34">
        <v>4078500051101</v>
      </c>
      <c r="W1049" s="34" t="s">
        <v>3546</v>
      </c>
      <c r="X1049" s="34" t="s">
        <v>4868</v>
      </c>
      <c r="Y1049" s="34" t="s">
        <v>3542</v>
      </c>
      <c r="Z1049" s="34">
        <v>1</v>
      </c>
      <c r="AB1049" s="34" t="s">
        <v>6433</v>
      </c>
      <c r="AD1049" s="34" t="s">
        <v>5553</v>
      </c>
      <c r="AE1049" s="34" t="s">
        <v>3722</v>
      </c>
      <c r="AF1049" s="34" t="s">
        <v>3722</v>
      </c>
      <c r="AG1049" s="34" t="s">
        <v>3818</v>
      </c>
      <c r="AH1049" s="34" t="s">
        <v>6434</v>
      </c>
      <c r="AL1049" s="34" t="s">
        <v>5442</v>
      </c>
      <c r="AM1049" s="40" t="s">
        <v>10</v>
      </c>
      <c r="AP1049" s="34">
        <v>0</v>
      </c>
      <c r="AQ1049" s="34">
        <v>2041</v>
      </c>
      <c r="AR1049" s="34">
        <v>1395</v>
      </c>
      <c r="AT1049" s="44">
        <v>158100</v>
      </c>
      <c r="AU1049" s="44"/>
      <c r="AV1049" s="46">
        <f>ROUND(Товары[[#This Row],[РРЦ финальная, руб.]]/$AU$1,2)</f>
        <v>0</v>
      </c>
      <c r="AW1049" s="45" t="str">
        <f>IFERROR(Товары[[#This Row],[РРЦ, евро]]/Товары[[#This Row],[IRP, Eur]],"-")</f>
        <v>-</v>
      </c>
      <c r="AX1049" s="42">
        <f>IFERROR(VLOOKUP(Товары[[#This Row],[SubGroup]],'Структура цен DIY'!$B:$C,2,FALSE),0)</f>
        <v>0.26</v>
      </c>
      <c r="AY1049" s="44">
        <v>0</v>
      </c>
    </row>
    <row r="1050" spans="1:51" x14ac:dyDescent="0.25">
      <c r="A1050" s="34">
        <v>1048</v>
      </c>
      <c r="B1050" s="34" t="s">
        <v>49</v>
      </c>
      <c r="C1050" s="110" t="str">
        <f>IFERROR(INDEX(Структура_ассортимента[SuperCategory],MATCH(Товары[[#This Row],[SubGroup]],Структура_ассортимента[Subgroup],0)),"")</f>
        <v>W</v>
      </c>
      <c r="D105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5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50" s="110" t="str">
        <f>IFERROR(INDEX(Структура_ассортимента[Product group],MATCH(Товары[[#This Row],[SubGroup]],Структура_ассортимента[Subgroup],0)),"")</f>
        <v>WMH_C</v>
      </c>
      <c r="G1050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50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50" s="36">
        <v>9014</v>
      </c>
      <c r="J1050" s="36" t="str">
        <f>IFERROR(INDEX(Структура_ассортимента[Generic Name (long)],MATCH(Товары[[#This Row],[SubGroup]],Структура_ассортимента[Subgroup],0)),"")</f>
        <v>GARDEN HOSE</v>
      </c>
      <c r="L1050" s="36">
        <v>967999801</v>
      </c>
      <c r="M1050" s="35" t="s">
        <v>2734</v>
      </c>
      <c r="Q1050" s="34" t="s">
        <v>3549</v>
      </c>
      <c r="R1050" s="34" t="s">
        <v>3540</v>
      </c>
      <c r="S1050" s="47">
        <v>43831</v>
      </c>
      <c r="T1050" s="47">
        <v>0</v>
      </c>
      <c r="U1050" s="47">
        <v>0</v>
      </c>
      <c r="V1050" s="34">
        <v>4078500049597</v>
      </c>
      <c r="W1050" s="34" t="s">
        <v>3546</v>
      </c>
      <c r="X1050" s="34" t="s">
        <v>6191</v>
      </c>
      <c r="Y1050" s="34" t="s">
        <v>3542</v>
      </c>
      <c r="Z1050" s="34">
        <v>1</v>
      </c>
      <c r="AA1050" s="34" t="s">
        <v>6435</v>
      </c>
      <c r="AB1050" s="34" t="s">
        <v>3573</v>
      </c>
      <c r="AC1050" s="34" t="s">
        <v>6436</v>
      </c>
      <c r="AD1050" s="34" t="s">
        <v>4237</v>
      </c>
      <c r="AE1050" s="34" t="s">
        <v>3989</v>
      </c>
      <c r="AF1050" s="34" t="s">
        <v>3989</v>
      </c>
      <c r="AG1050" s="34" t="s">
        <v>3987</v>
      </c>
      <c r="AH1050" s="34" t="s">
        <v>6437</v>
      </c>
      <c r="AL1050" s="34" t="s">
        <v>3981</v>
      </c>
      <c r="AM1050" s="40" t="s">
        <v>8095</v>
      </c>
      <c r="AT1050" s="44">
        <v>0</v>
      </c>
      <c r="AU1050" s="44"/>
      <c r="AV1050" s="46">
        <f>ROUND(Товары[[#This Row],[РРЦ финальная, руб.]]/$AU$1,2)</f>
        <v>0</v>
      </c>
      <c r="AW1050" s="45" t="str">
        <f>IFERROR(Товары[[#This Row],[РРЦ, евро]]/Товары[[#This Row],[IRP, Eur]],"-")</f>
        <v>-</v>
      </c>
      <c r="AX1050" s="42">
        <f>IFERROR(VLOOKUP(Товары[[#This Row],[SubGroup]],'Структура цен DIY'!$B:$C,2,FALSE),0)</f>
        <v>0.26</v>
      </c>
      <c r="AY1050" s="44">
        <v>0</v>
      </c>
    </row>
    <row r="1051" spans="1:51" x14ac:dyDescent="0.25">
      <c r="A1051" s="34">
        <v>1049</v>
      </c>
      <c r="B1051" s="34" t="s">
        <v>49</v>
      </c>
      <c r="C1051" s="110" t="str">
        <f>IFERROR(INDEX(Структура_ассортимента[SuperCategory],MATCH(Товары[[#This Row],[SubGroup]],Структура_ассортимента[Subgroup],0)),"")</f>
        <v>W</v>
      </c>
      <c r="D105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5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51" s="110" t="str">
        <f>IFERROR(INDEX(Структура_ассортимента[Product group],MATCH(Товары[[#This Row],[SubGroup]],Структура_ассортимента[Subgroup],0)),"")</f>
        <v>WMH_C</v>
      </c>
      <c r="G1051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51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51" s="36">
        <v>9014</v>
      </c>
      <c r="J1051" s="36" t="str">
        <f>IFERROR(INDEX(Структура_ассортимента[Generic Name (long)],MATCH(Товары[[#This Row],[SubGroup]],Структура_ассортимента[Subgroup],0)),"")</f>
        <v>GARDEN HOSE</v>
      </c>
      <c r="L1051" s="36">
        <v>970481001</v>
      </c>
      <c r="M1051" s="35" t="s">
        <v>2735</v>
      </c>
      <c r="Q1051" s="34" t="s">
        <v>3549</v>
      </c>
      <c r="R1051" s="34" t="s">
        <v>3540</v>
      </c>
      <c r="S1051" s="47">
        <v>44197</v>
      </c>
      <c r="T1051" s="47">
        <v>0</v>
      </c>
      <c r="U1051" s="47">
        <v>0</v>
      </c>
      <c r="V1051" s="34">
        <v>4078500052795</v>
      </c>
      <c r="W1051" s="34" t="s">
        <v>3546</v>
      </c>
      <c r="Y1051" s="34" t="s">
        <v>3542</v>
      </c>
      <c r="Z1051" s="34">
        <v>1</v>
      </c>
      <c r="AM1051" s="40" t="s">
        <v>8095</v>
      </c>
      <c r="AT1051" s="44">
        <v>0</v>
      </c>
      <c r="AU1051" s="44"/>
      <c r="AV1051" s="46">
        <f>ROUND(Товары[[#This Row],[РРЦ финальная, руб.]]/$AU$1,2)</f>
        <v>0</v>
      </c>
      <c r="AW1051" s="45" t="str">
        <f>IFERROR(Товары[[#This Row],[РРЦ, евро]]/Товары[[#This Row],[IRP, Eur]],"-")</f>
        <v>-</v>
      </c>
      <c r="AX1051" s="42">
        <f>IFERROR(VLOOKUP(Товары[[#This Row],[SubGroup]],'Структура цен DIY'!$B:$C,2,FALSE),0)</f>
        <v>0.26</v>
      </c>
      <c r="AY1051" s="44">
        <v>0</v>
      </c>
    </row>
    <row r="1052" spans="1:51" x14ac:dyDescent="0.25">
      <c r="A1052" s="34">
        <v>1050</v>
      </c>
      <c r="B1052" s="34" t="s">
        <v>49</v>
      </c>
      <c r="C1052" s="110" t="str">
        <f>IFERROR(INDEX(Структура_ассортимента[SuperCategory],MATCH(Товары[[#This Row],[SubGroup]],Структура_ассортимента[Subgroup],0)),"")</f>
        <v>W</v>
      </c>
      <c r="D105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5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52" s="110" t="str">
        <f>IFERROR(INDEX(Структура_ассортимента[Product group],MATCH(Товары[[#This Row],[SubGroup]],Структура_ассортимента[Subgroup],0)),"")</f>
        <v>WMH_C</v>
      </c>
      <c r="G1052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52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52" s="36">
        <v>9014</v>
      </c>
      <c r="J1052" s="36" t="str">
        <f>IFERROR(INDEX(Структура_ассортимента[Generic Name (long)],MATCH(Товары[[#This Row],[SubGroup]],Структура_ассортимента[Subgroup],0)),"")</f>
        <v>GARDEN HOSE</v>
      </c>
      <c r="L1052" s="36">
        <v>970480901</v>
      </c>
      <c r="M1052" s="35" t="s">
        <v>2736</v>
      </c>
      <c r="Q1052" s="34" t="s">
        <v>3549</v>
      </c>
      <c r="R1052" s="34" t="s">
        <v>3540</v>
      </c>
      <c r="S1052" s="47">
        <v>44197</v>
      </c>
      <c r="T1052" s="47">
        <v>0</v>
      </c>
      <c r="U1052" s="47">
        <v>0</v>
      </c>
      <c r="V1052" s="34">
        <v>4078500052771</v>
      </c>
      <c r="W1052" s="34" t="s">
        <v>3546</v>
      </c>
      <c r="X1052" s="34" t="s">
        <v>6191</v>
      </c>
      <c r="Y1052" s="34" t="s">
        <v>3542</v>
      </c>
      <c r="Z1052" s="34">
        <v>16</v>
      </c>
      <c r="AA1052" s="34" t="s">
        <v>6435</v>
      </c>
      <c r="AC1052" s="34" t="s">
        <v>6436</v>
      </c>
      <c r="AM1052" s="40" t="s">
        <v>8095</v>
      </c>
      <c r="AT1052" s="44">
        <v>0</v>
      </c>
      <c r="AU1052" s="44"/>
      <c r="AV1052" s="46">
        <f>ROUND(Товары[[#This Row],[РРЦ финальная, руб.]]/$AU$1,2)</f>
        <v>0</v>
      </c>
      <c r="AW1052" s="45" t="str">
        <f>IFERROR(Товары[[#This Row],[РРЦ, евро]]/Товары[[#This Row],[IRP, Eur]],"-")</f>
        <v>-</v>
      </c>
      <c r="AX1052" s="42">
        <f>IFERROR(VLOOKUP(Товары[[#This Row],[SubGroup]],'Структура цен DIY'!$B:$C,2,FALSE),0)</f>
        <v>0.26</v>
      </c>
      <c r="AY1052" s="44">
        <v>0</v>
      </c>
    </row>
    <row r="1053" spans="1:51" x14ac:dyDescent="0.25">
      <c r="A1053" s="34">
        <v>1051</v>
      </c>
      <c r="B1053" s="34" t="s">
        <v>49</v>
      </c>
      <c r="C1053" s="110" t="str">
        <f>IFERROR(INDEX(Структура_ассортимента[SuperCategory],MATCH(Товары[[#This Row],[SubGroup]],Структура_ассортимента[Subgroup],0)),"")</f>
        <v>W</v>
      </c>
      <c r="D105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5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53" s="110" t="str">
        <f>IFERROR(INDEX(Структура_ассортимента[Product group],MATCH(Товары[[#This Row],[SubGroup]],Структура_ассортимента[Subgroup],0)),"")</f>
        <v>WMH_C</v>
      </c>
      <c r="G1053" s="110" t="str">
        <f>IFERROR(INDEX(Структура_ассортимента[Product group name ENG],MATCH(Товары[[#This Row],[SubGroup]],Структура_ассортимента[Subgroup],0)),"")</f>
        <v>Watering Mobile Hoses</v>
      </c>
      <c r="H1053" s="110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53" s="36">
        <v>9014</v>
      </c>
      <c r="J1053" s="36" t="str">
        <f>IFERROR(INDEX(Структура_ассортимента[Generic Name (long)],MATCH(Товары[[#This Row],[SubGroup]],Структура_ассортимента[Subgroup],0)),"")</f>
        <v>GARDEN HOSE</v>
      </c>
      <c r="L1053" s="36">
        <v>970480801</v>
      </c>
      <c r="M1053" s="35" t="s">
        <v>2737</v>
      </c>
      <c r="Q1053" s="34" t="s">
        <v>3549</v>
      </c>
      <c r="R1053" s="34" t="s">
        <v>3540</v>
      </c>
      <c r="S1053" s="47">
        <v>44197</v>
      </c>
      <c r="T1053" s="47">
        <v>0</v>
      </c>
      <c r="U1053" s="47">
        <v>0</v>
      </c>
      <c r="V1053" s="34">
        <v>4078500052757</v>
      </c>
      <c r="W1053" s="34" t="s">
        <v>3546</v>
      </c>
      <c r="Y1053" s="34" t="s">
        <v>3542</v>
      </c>
      <c r="Z1053" s="34">
        <v>16</v>
      </c>
      <c r="AM1053" s="40" t="s">
        <v>8095</v>
      </c>
      <c r="AT1053" s="44">
        <v>0</v>
      </c>
      <c r="AU1053" s="44"/>
      <c r="AV1053" s="46">
        <f>ROUND(Товары[[#This Row],[РРЦ финальная, руб.]]/$AU$1,2)</f>
        <v>0</v>
      </c>
      <c r="AW1053" s="45" t="str">
        <f>IFERROR(Товары[[#This Row],[РРЦ, евро]]/Товары[[#This Row],[IRP, Eur]],"-")</f>
        <v>-</v>
      </c>
      <c r="AX1053" s="42">
        <f>IFERROR(VLOOKUP(Товары[[#This Row],[SubGroup]],'Структура цен DIY'!$B:$C,2,FALSE),0)</f>
        <v>0.26</v>
      </c>
      <c r="AY1053" s="44">
        <v>0</v>
      </c>
    </row>
    <row r="1054" spans="1:51" x14ac:dyDescent="0.25">
      <c r="A1054" s="34">
        <v>1052</v>
      </c>
      <c r="B1054" s="34" t="s">
        <v>49</v>
      </c>
      <c r="C1054" s="110" t="str">
        <f>IFERROR(INDEX(Структура_ассортимента[SuperCategory],MATCH(Товары[[#This Row],[SubGroup]],Структура_ассортимента[Subgroup],0)),"")</f>
        <v>W</v>
      </c>
      <c r="D105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5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54" s="110" t="str">
        <f>IFERROR(INDEX(Структура_ассортимента[Product group],MATCH(Товары[[#This Row],[SubGroup]],Структура_ассортимента[Subgroup],0)),"")</f>
        <v>WMO_C</v>
      </c>
      <c r="G1054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054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54" s="36">
        <v>9011</v>
      </c>
      <c r="J1054" s="36" t="str">
        <f>IFERROR(INDEX(Структура_ассортимента[Generic Name (long)],MATCH(Товары[[#This Row],[SubGroup]],Структура_ассортимента[Subgroup],0)),"")</f>
        <v>TAP CONNECTOR</v>
      </c>
      <c r="L1054" s="36">
        <v>901022601</v>
      </c>
      <c r="M1054" s="35" t="s">
        <v>219</v>
      </c>
      <c r="O1054" s="35" t="s">
        <v>6438</v>
      </c>
      <c r="P1054" s="37" t="s">
        <v>228</v>
      </c>
      <c r="Q1054" s="34" t="s">
        <v>3549</v>
      </c>
      <c r="R1054" s="34" t="s">
        <v>3540</v>
      </c>
      <c r="S1054" s="47">
        <v>36069</v>
      </c>
      <c r="T1054" s="47">
        <v>0</v>
      </c>
      <c r="U1054" s="47">
        <v>0</v>
      </c>
      <c r="V1054" s="34">
        <v>4078500290029</v>
      </c>
      <c r="W1054" s="34" t="s">
        <v>3543</v>
      </c>
      <c r="X1054" s="34" t="s">
        <v>3579</v>
      </c>
      <c r="Y1054" s="34" t="s">
        <v>3542</v>
      </c>
      <c r="Z1054" s="34">
        <v>12</v>
      </c>
      <c r="AA1054" s="34" t="s">
        <v>6439</v>
      </c>
      <c r="AB1054" s="34" t="s">
        <v>6439</v>
      </c>
      <c r="AC1054" s="34" t="s">
        <v>3794</v>
      </c>
      <c r="AD1054" s="34" t="s">
        <v>3794</v>
      </c>
      <c r="AE1054" s="34" t="s">
        <v>3693</v>
      </c>
      <c r="AF1054" s="34" t="s">
        <v>3800</v>
      </c>
      <c r="AG1054" s="34" t="s">
        <v>3672</v>
      </c>
      <c r="AH1054" s="34" t="s">
        <v>6440</v>
      </c>
      <c r="AL1054" s="34" t="s">
        <v>6441</v>
      </c>
      <c r="AM1054" s="40" t="s">
        <v>9</v>
      </c>
      <c r="AN1054" s="37" t="s">
        <v>33</v>
      </c>
      <c r="AP1054" s="34">
        <v>0</v>
      </c>
      <c r="AQ1054" s="34">
        <v>129</v>
      </c>
      <c r="AR1054" s="34">
        <v>80</v>
      </c>
      <c r="AT1054" s="44">
        <v>10000</v>
      </c>
      <c r="AU1054" s="44"/>
      <c r="AV1054" s="46">
        <f>ROUND(Товары[[#This Row],[РРЦ финальная, руб.]]/$AU$1,2)</f>
        <v>0</v>
      </c>
      <c r="AW1054" s="45" t="str">
        <f>IFERROR(Товары[[#This Row],[РРЦ, евро]]/Товары[[#This Row],[IRP, Eur]],"-")</f>
        <v>-</v>
      </c>
      <c r="AX1054" s="42">
        <f>IFERROR(VLOOKUP(Товары[[#This Row],[SubGroup]],'Структура цен DIY'!$B:$C,2,FALSE),0)</f>
        <v>0.26</v>
      </c>
      <c r="AY1054" s="44">
        <v>0</v>
      </c>
    </row>
    <row r="1055" spans="1:51" x14ac:dyDescent="0.25">
      <c r="A1055" s="34">
        <v>1053</v>
      </c>
      <c r="B1055" s="34" t="s">
        <v>49</v>
      </c>
      <c r="C1055" s="110" t="str">
        <f>IFERROR(INDEX(Структура_ассортимента[SuperCategory],MATCH(Товары[[#This Row],[SubGroup]],Структура_ассортимента[Subgroup],0)),"")</f>
        <v>W</v>
      </c>
      <c r="D105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5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55" s="110" t="str">
        <f>IFERROR(INDEX(Структура_ассортимента[Product group],MATCH(Товары[[#This Row],[SubGroup]],Структура_ассортимента[Subgroup],0)),"")</f>
        <v>WMO_C</v>
      </c>
      <c r="G1055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055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55" s="36">
        <v>9011</v>
      </c>
      <c r="J1055" s="36" t="str">
        <f>IFERROR(INDEX(Структура_ассортимента[Generic Name (long)],MATCH(Товары[[#This Row],[SubGroup]],Структура_ассортимента[Subgroup],0)),"")</f>
        <v>TAP CONNECTOR</v>
      </c>
      <c r="L1055" s="36">
        <v>967311901</v>
      </c>
      <c r="M1055" s="35" t="s">
        <v>220</v>
      </c>
      <c r="O1055" s="35" t="s">
        <v>6442</v>
      </c>
      <c r="P1055" s="37" t="s">
        <v>228</v>
      </c>
      <c r="Q1055" s="34" t="s">
        <v>3549</v>
      </c>
      <c r="R1055" s="34" t="s">
        <v>3540</v>
      </c>
      <c r="S1055" s="47">
        <v>42005</v>
      </c>
      <c r="T1055" s="47">
        <v>0</v>
      </c>
      <c r="U1055" s="47">
        <v>0</v>
      </c>
      <c r="V1055" s="34">
        <v>4078500011334</v>
      </c>
      <c r="W1055" s="34" t="s">
        <v>3543</v>
      </c>
      <c r="X1055" s="34" t="s">
        <v>3579</v>
      </c>
      <c r="Y1055" s="34" t="s">
        <v>3542</v>
      </c>
      <c r="Z1055" s="34">
        <v>12</v>
      </c>
      <c r="AA1055" s="34" t="s">
        <v>3784</v>
      </c>
      <c r="AB1055" s="34" t="s">
        <v>3784</v>
      </c>
      <c r="AC1055" s="34" t="s">
        <v>3795</v>
      </c>
      <c r="AD1055" s="34" t="s">
        <v>3795</v>
      </c>
      <c r="AE1055" s="34" t="s">
        <v>3693</v>
      </c>
      <c r="AF1055" s="34" t="s">
        <v>3800</v>
      </c>
      <c r="AG1055" s="34" t="s">
        <v>4231</v>
      </c>
      <c r="AH1055" s="34" t="s">
        <v>6443</v>
      </c>
      <c r="AI1055" s="34" t="s">
        <v>4775</v>
      </c>
      <c r="AJ1055" s="34" t="s">
        <v>4406</v>
      </c>
      <c r="AK1055" s="34" t="s">
        <v>4406</v>
      </c>
      <c r="AL1055" s="34" t="s">
        <v>6441</v>
      </c>
      <c r="AM1055" s="40" t="s">
        <v>9</v>
      </c>
      <c r="AN1055" s="37" t="s">
        <v>34</v>
      </c>
      <c r="AP1055" s="34">
        <v>0</v>
      </c>
      <c r="AQ1055" s="34">
        <v>285</v>
      </c>
      <c r="AR1055" s="34">
        <v>176</v>
      </c>
      <c r="AT1055" s="44">
        <v>22100</v>
      </c>
      <c r="AU1055" s="44"/>
      <c r="AV1055" s="46">
        <f>ROUND(Товары[[#This Row],[РРЦ финальная, руб.]]/$AU$1,2)</f>
        <v>0</v>
      </c>
      <c r="AW1055" s="45" t="str">
        <f>IFERROR(Товары[[#This Row],[РРЦ, евро]]/Товары[[#This Row],[IRP, Eur]],"-")</f>
        <v>-</v>
      </c>
      <c r="AX1055" s="42">
        <f>IFERROR(VLOOKUP(Товары[[#This Row],[SubGroup]],'Структура цен DIY'!$B:$C,2,FALSE),0)</f>
        <v>0.26</v>
      </c>
      <c r="AY1055" s="44">
        <v>0</v>
      </c>
    </row>
    <row r="1056" spans="1:51" x14ac:dyDescent="0.25">
      <c r="A1056" s="34">
        <v>1054</v>
      </c>
      <c r="B1056" s="34" t="s">
        <v>49</v>
      </c>
      <c r="C1056" s="110" t="str">
        <f>IFERROR(INDEX(Структура_ассортимента[SuperCategory],MATCH(Товары[[#This Row],[SubGroup]],Структура_ассортимента[Subgroup],0)),"")</f>
        <v>W</v>
      </c>
      <c r="D105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5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56" s="110" t="str">
        <f>IFERROR(INDEX(Структура_ассортимента[Product group],MATCH(Товары[[#This Row],[SubGroup]],Структура_ассортимента[Subgroup],0)),"")</f>
        <v>WMO_C</v>
      </c>
      <c r="G1056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056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56" s="36">
        <v>9011</v>
      </c>
      <c r="J1056" s="36" t="str">
        <f>IFERROR(INDEX(Структура_ассортимента[Generic Name (long)],MATCH(Товары[[#This Row],[SubGroup]],Структура_ассортимента[Subgroup],0)),"")</f>
        <v>TAP CONNECTOR</v>
      </c>
      <c r="L1056" s="36">
        <v>967668901</v>
      </c>
      <c r="M1056" s="35" t="s">
        <v>221</v>
      </c>
      <c r="N1056" s="35" t="s">
        <v>227</v>
      </c>
      <c r="O1056" s="35" t="s">
        <v>6444</v>
      </c>
      <c r="P1056" s="37" t="s">
        <v>229</v>
      </c>
      <c r="Q1056" s="34" t="s">
        <v>3549</v>
      </c>
      <c r="R1056" s="34" t="s">
        <v>3540</v>
      </c>
      <c r="S1056" s="47">
        <v>43101</v>
      </c>
      <c r="T1056" s="47">
        <v>0</v>
      </c>
      <c r="U1056" s="47">
        <v>0</v>
      </c>
      <c r="V1056" s="34">
        <v>4078500031684</v>
      </c>
      <c r="W1056" s="34" t="s">
        <v>3543</v>
      </c>
      <c r="X1056" s="34" t="s">
        <v>3579</v>
      </c>
      <c r="Y1056" s="34" t="s">
        <v>3542</v>
      </c>
      <c r="Z1056" s="34">
        <v>6</v>
      </c>
      <c r="AA1056" s="34">
        <v>17</v>
      </c>
      <c r="AB1056" s="34" t="s">
        <v>6445</v>
      </c>
      <c r="AC1056" s="34">
        <v>15</v>
      </c>
      <c r="AD1056" s="34" t="s">
        <v>6446</v>
      </c>
      <c r="AE1056" s="34" t="s">
        <v>3800</v>
      </c>
      <c r="AF1056" s="34" t="s">
        <v>3800</v>
      </c>
      <c r="AG1056" s="34" t="s">
        <v>4231</v>
      </c>
      <c r="AH1056" s="34" t="s">
        <v>6447</v>
      </c>
      <c r="AI1056" s="34" t="s">
        <v>4775</v>
      </c>
      <c r="AJ1056" s="34" t="s">
        <v>3672</v>
      </c>
      <c r="AK1056" s="34" t="s">
        <v>3672</v>
      </c>
      <c r="AL1056" s="34" t="s">
        <v>6448</v>
      </c>
      <c r="AM1056" s="40" t="s">
        <v>9</v>
      </c>
      <c r="AN1056" s="37" t="s">
        <v>35</v>
      </c>
      <c r="AP1056" s="34">
        <v>0</v>
      </c>
      <c r="AQ1056" s="34">
        <v>662</v>
      </c>
      <c r="AR1056" s="34">
        <v>408</v>
      </c>
      <c r="AT1056" s="44">
        <v>51300</v>
      </c>
      <c r="AU1056" s="44"/>
      <c r="AV1056" s="46">
        <f>ROUND(Товары[[#This Row],[РРЦ финальная, руб.]]/$AU$1,2)</f>
        <v>0</v>
      </c>
      <c r="AW1056" s="45" t="str">
        <f>IFERROR(Товары[[#This Row],[РРЦ, евро]]/Товары[[#This Row],[IRP, Eur]],"-")</f>
        <v>-</v>
      </c>
      <c r="AX1056" s="42">
        <f>IFERROR(VLOOKUP(Товары[[#This Row],[SubGroup]],'Структура цен DIY'!$B:$C,2,FALSE),0)</f>
        <v>0.26</v>
      </c>
      <c r="AY1056" s="44">
        <v>0</v>
      </c>
    </row>
    <row r="1057" spans="1:51" x14ac:dyDescent="0.25">
      <c r="A1057" s="34">
        <v>1055</v>
      </c>
      <c r="B1057" s="34" t="s">
        <v>49</v>
      </c>
      <c r="C1057" s="110" t="str">
        <f>IFERROR(INDEX(Структура_ассортимента[SuperCategory],MATCH(Товары[[#This Row],[SubGroup]],Структура_ассортимента[Subgroup],0)),"")</f>
        <v>W</v>
      </c>
      <c r="D105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5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57" s="110" t="str">
        <f>IFERROR(INDEX(Структура_ассортимента[Product group],MATCH(Товары[[#This Row],[SubGroup]],Структура_ассортимента[Subgroup],0)),"")</f>
        <v>WMO_C</v>
      </c>
      <c r="G1057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057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57" s="36">
        <v>9011</v>
      </c>
      <c r="J1057" s="36" t="str">
        <f>IFERROR(INDEX(Структура_ассортимента[Generic Name (long)],MATCH(Товары[[#This Row],[SubGroup]],Структура_ассортимента[Subgroup],0)),"")</f>
        <v>TAP CONNECTOR</v>
      </c>
      <c r="L1057" s="36">
        <v>901023001</v>
      </c>
      <c r="M1057" s="35" t="s">
        <v>222</v>
      </c>
      <c r="O1057" s="35" t="s">
        <v>6449</v>
      </c>
      <c r="P1057" s="37" t="s">
        <v>230</v>
      </c>
      <c r="Q1057" s="34" t="s">
        <v>3549</v>
      </c>
      <c r="R1057" s="34" t="s">
        <v>3540</v>
      </c>
      <c r="S1057" s="47">
        <v>36069</v>
      </c>
      <c r="T1057" s="47">
        <v>0</v>
      </c>
      <c r="U1057" s="47">
        <v>0</v>
      </c>
      <c r="V1057" s="34">
        <v>4078500290128</v>
      </c>
      <c r="W1057" s="34" t="s">
        <v>3543</v>
      </c>
      <c r="X1057" s="34" t="s">
        <v>3579</v>
      </c>
      <c r="Y1057" s="34" t="s">
        <v>3542</v>
      </c>
      <c r="Z1057" s="34">
        <v>24</v>
      </c>
      <c r="AA1057" s="34" t="s">
        <v>3803</v>
      </c>
      <c r="AB1057" s="34" t="s">
        <v>3803</v>
      </c>
      <c r="AC1057" s="34" t="s">
        <v>3783</v>
      </c>
      <c r="AD1057" s="34" t="s">
        <v>3783</v>
      </c>
      <c r="AE1057" s="34" t="s">
        <v>3693</v>
      </c>
      <c r="AF1057" s="34" t="s">
        <v>3800</v>
      </c>
      <c r="AG1057" s="34" t="s">
        <v>4231</v>
      </c>
      <c r="AH1057" s="34" t="s">
        <v>6443</v>
      </c>
      <c r="AL1057" s="34" t="s">
        <v>6441</v>
      </c>
      <c r="AM1057" s="40" t="s">
        <v>9</v>
      </c>
      <c r="AN1057" s="37" t="s">
        <v>234</v>
      </c>
      <c r="AP1057" s="34">
        <v>0</v>
      </c>
      <c r="AQ1057" s="34">
        <v>129</v>
      </c>
      <c r="AR1057" s="34">
        <v>80</v>
      </c>
      <c r="AT1057" s="44">
        <v>10000</v>
      </c>
      <c r="AU1057" s="44"/>
      <c r="AV1057" s="46">
        <f>ROUND(Товары[[#This Row],[РРЦ финальная, руб.]]/$AU$1,2)</f>
        <v>0</v>
      </c>
      <c r="AW1057" s="45" t="str">
        <f>IFERROR(Товары[[#This Row],[РРЦ, евро]]/Товары[[#This Row],[IRP, Eur]],"-")</f>
        <v>-</v>
      </c>
      <c r="AX1057" s="42">
        <f>IFERROR(VLOOKUP(Товары[[#This Row],[SubGroup]],'Структура цен DIY'!$B:$C,2,FALSE),0)</f>
        <v>0.26</v>
      </c>
      <c r="AY1057" s="44">
        <v>0</v>
      </c>
    </row>
    <row r="1058" spans="1:51" x14ac:dyDescent="0.25">
      <c r="A1058" s="34">
        <v>1056</v>
      </c>
      <c r="B1058" s="34" t="s">
        <v>49</v>
      </c>
      <c r="C1058" s="110" t="str">
        <f>IFERROR(INDEX(Структура_ассортимента[SuperCategory],MATCH(Товары[[#This Row],[SubGroup]],Структура_ассортимента[Subgroup],0)),"")</f>
        <v>W</v>
      </c>
      <c r="D105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5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58" s="110" t="str">
        <f>IFERROR(INDEX(Структура_ассортимента[Product group],MATCH(Товары[[#This Row],[SubGroup]],Структура_ассортимента[Subgroup],0)),"")</f>
        <v>WMO_C</v>
      </c>
      <c r="G1058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058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58" s="36">
        <v>9011</v>
      </c>
      <c r="J1058" s="36" t="str">
        <f>IFERROR(INDEX(Структура_ассортимента[Generic Name (long)],MATCH(Товары[[#This Row],[SubGroup]],Структура_ассортимента[Subgroup],0)),"")</f>
        <v>TAP CONNECTOR</v>
      </c>
      <c r="L1058" s="36">
        <v>967312401</v>
      </c>
      <c r="M1058" s="35" t="s">
        <v>223</v>
      </c>
      <c r="O1058" s="35" t="s">
        <v>6450</v>
      </c>
      <c r="P1058" s="37" t="s">
        <v>230</v>
      </c>
      <c r="Q1058" s="34" t="s">
        <v>3549</v>
      </c>
      <c r="R1058" s="34" t="s">
        <v>3540</v>
      </c>
      <c r="S1058" s="47">
        <v>42005</v>
      </c>
      <c r="T1058" s="47">
        <v>0</v>
      </c>
      <c r="U1058" s="47">
        <v>0</v>
      </c>
      <c r="V1058" s="34">
        <v>4078500011525</v>
      </c>
      <c r="W1058" s="34" t="s">
        <v>3543</v>
      </c>
      <c r="X1058" s="34" t="s">
        <v>3579</v>
      </c>
      <c r="Y1058" s="34" t="s">
        <v>3542</v>
      </c>
      <c r="Z1058" s="34">
        <v>24</v>
      </c>
      <c r="AA1058" s="34" t="s">
        <v>3783</v>
      </c>
      <c r="AB1058" s="34" t="s">
        <v>3783</v>
      </c>
      <c r="AC1058" s="34" t="s">
        <v>3799</v>
      </c>
      <c r="AD1058" s="34" t="s">
        <v>3799</v>
      </c>
      <c r="AE1058" s="34" t="s">
        <v>3693</v>
      </c>
      <c r="AF1058" s="34" t="s">
        <v>3800</v>
      </c>
      <c r="AG1058" s="34" t="s">
        <v>4231</v>
      </c>
      <c r="AH1058" s="34" t="s">
        <v>6443</v>
      </c>
      <c r="AI1058" s="34" t="s">
        <v>4775</v>
      </c>
      <c r="AJ1058" s="34" t="s">
        <v>3699</v>
      </c>
      <c r="AK1058" s="34" t="s">
        <v>3699</v>
      </c>
      <c r="AL1058" s="34" t="s">
        <v>6441</v>
      </c>
      <c r="AM1058" s="40" t="s">
        <v>9</v>
      </c>
      <c r="AN1058" s="37" t="s">
        <v>235</v>
      </c>
      <c r="AP1058" s="34">
        <v>0</v>
      </c>
      <c r="AQ1058" s="34">
        <v>285</v>
      </c>
      <c r="AR1058" s="34">
        <v>176</v>
      </c>
      <c r="AT1058" s="44">
        <v>22100</v>
      </c>
      <c r="AU1058" s="44"/>
      <c r="AV1058" s="46">
        <f>ROUND(Товары[[#This Row],[РРЦ финальная, руб.]]/$AU$1,2)</f>
        <v>0</v>
      </c>
      <c r="AW1058" s="45" t="str">
        <f>IFERROR(Товары[[#This Row],[РРЦ, евро]]/Товары[[#This Row],[IRP, Eur]],"-")</f>
        <v>-</v>
      </c>
      <c r="AX1058" s="42">
        <f>IFERROR(VLOOKUP(Товары[[#This Row],[SubGroup]],'Структура цен DIY'!$B:$C,2,FALSE),0)</f>
        <v>0.26</v>
      </c>
      <c r="AY1058" s="44">
        <v>0</v>
      </c>
    </row>
    <row r="1059" spans="1:51" x14ac:dyDescent="0.25">
      <c r="A1059" s="34">
        <v>1057</v>
      </c>
      <c r="B1059" s="34" t="s">
        <v>49</v>
      </c>
      <c r="C1059" s="110" t="str">
        <f>IFERROR(INDEX(Структура_ассортимента[SuperCategory],MATCH(Товары[[#This Row],[SubGroup]],Структура_ассортимента[Subgroup],0)),"")</f>
        <v>W</v>
      </c>
      <c r="D105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5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59" s="110" t="str">
        <f>IFERROR(INDEX(Структура_ассортимента[Product group],MATCH(Товары[[#This Row],[SubGroup]],Структура_ассортимента[Subgroup],0)),"")</f>
        <v>WMO_C</v>
      </c>
      <c r="G1059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059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59" s="36">
        <v>9011</v>
      </c>
      <c r="J1059" s="36" t="str">
        <f>IFERROR(INDEX(Структура_ассортимента[Generic Name (long)],MATCH(Товары[[#This Row],[SubGroup]],Структура_ассортимента[Subgroup],0)),"")</f>
        <v>TAP CONNECTOR</v>
      </c>
      <c r="L1059" s="36">
        <v>967666401</v>
      </c>
      <c r="M1059" s="35" t="s">
        <v>224</v>
      </c>
      <c r="N1059" s="35" t="s">
        <v>227</v>
      </c>
      <c r="O1059" s="35" t="s">
        <v>6451</v>
      </c>
      <c r="P1059" s="37" t="s">
        <v>231</v>
      </c>
      <c r="Q1059" s="34" t="s">
        <v>3549</v>
      </c>
      <c r="R1059" s="34" t="s">
        <v>3540</v>
      </c>
      <c r="S1059" s="47">
        <v>43101</v>
      </c>
      <c r="T1059" s="47">
        <v>0</v>
      </c>
      <c r="U1059" s="47">
        <v>0</v>
      </c>
      <c r="V1059" s="34">
        <v>4078500031738</v>
      </c>
      <c r="W1059" s="34" t="s">
        <v>3543</v>
      </c>
      <c r="X1059" s="34" t="s">
        <v>3579</v>
      </c>
      <c r="Y1059" s="34" t="s">
        <v>3542</v>
      </c>
      <c r="Z1059" s="34">
        <v>12</v>
      </c>
      <c r="AA1059" s="34">
        <v>17</v>
      </c>
      <c r="AB1059" s="34" t="s">
        <v>6452</v>
      </c>
      <c r="AC1059" s="34">
        <v>14</v>
      </c>
      <c r="AD1059" s="34" t="s">
        <v>3653</v>
      </c>
      <c r="AE1059" s="34" t="s">
        <v>3931</v>
      </c>
      <c r="AF1059" s="34" t="s">
        <v>3931</v>
      </c>
      <c r="AG1059" s="34" t="s">
        <v>4351</v>
      </c>
      <c r="AH1059" s="34" t="s">
        <v>6453</v>
      </c>
      <c r="AI1059" s="34" t="s">
        <v>4775</v>
      </c>
      <c r="AJ1059" s="34" t="s">
        <v>3699</v>
      </c>
      <c r="AK1059" s="34" t="s">
        <v>3699</v>
      </c>
      <c r="AL1059" s="34" t="s">
        <v>6441</v>
      </c>
      <c r="AM1059" s="40" t="s">
        <v>9</v>
      </c>
      <c r="AN1059" s="37" t="s">
        <v>236</v>
      </c>
      <c r="AP1059" s="34">
        <v>0</v>
      </c>
      <c r="AQ1059" s="34">
        <v>662</v>
      </c>
      <c r="AR1059" s="34">
        <v>408</v>
      </c>
      <c r="AT1059" s="44">
        <v>51300</v>
      </c>
      <c r="AU1059" s="44"/>
      <c r="AV1059" s="46">
        <f>ROUND(Товары[[#This Row],[РРЦ финальная, руб.]]/$AU$1,2)</f>
        <v>0</v>
      </c>
      <c r="AW1059" s="45" t="str">
        <f>IFERROR(Товары[[#This Row],[РРЦ, евро]]/Товары[[#This Row],[IRP, Eur]],"-")</f>
        <v>-</v>
      </c>
      <c r="AX1059" s="42">
        <f>IFERROR(VLOOKUP(Товары[[#This Row],[SubGroup]],'Структура цен DIY'!$B:$C,2,FALSE),0)</f>
        <v>0.26</v>
      </c>
      <c r="AY1059" s="44">
        <v>0</v>
      </c>
    </row>
    <row r="1060" spans="1:51" x14ac:dyDescent="0.25">
      <c r="A1060" s="34">
        <v>1058</v>
      </c>
      <c r="B1060" s="34" t="s">
        <v>49</v>
      </c>
      <c r="C1060" s="110" t="str">
        <f>IFERROR(INDEX(Структура_ассортимента[SuperCategory],MATCH(Товары[[#This Row],[SubGroup]],Структура_ассортимента[Subgroup],0)),"")</f>
        <v>W</v>
      </c>
      <c r="D106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6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60" s="110" t="str">
        <f>IFERROR(INDEX(Структура_ассортимента[Product group],MATCH(Товары[[#This Row],[SubGroup]],Структура_ассортимента[Subgroup],0)),"")</f>
        <v>WMO_C</v>
      </c>
      <c r="G1060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060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60" s="36">
        <v>9011</v>
      </c>
      <c r="J1060" s="36" t="str">
        <f>IFERROR(INDEX(Структура_ассортимента[Generic Name (long)],MATCH(Товары[[#This Row],[SubGroup]],Структура_ассортимента[Subgroup],0)),"")</f>
        <v>TAP CONNECTOR</v>
      </c>
      <c r="L1060" s="36">
        <v>901023401</v>
      </c>
      <c r="M1060" s="35" t="s">
        <v>225</v>
      </c>
      <c r="O1060" s="35" t="s">
        <v>6454</v>
      </c>
      <c r="P1060" s="37" t="s">
        <v>232</v>
      </c>
      <c r="Q1060" s="34" t="s">
        <v>3549</v>
      </c>
      <c r="R1060" s="34" t="s">
        <v>3540</v>
      </c>
      <c r="S1060" s="47">
        <v>36069</v>
      </c>
      <c r="T1060" s="47">
        <v>0</v>
      </c>
      <c r="U1060" s="47">
        <v>0</v>
      </c>
      <c r="V1060" s="34">
        <v>4078500290227</v>
      </c>
      <c r="W1060" s="34" t="s">
        <v>3543</v>
      </c>
      <c r="X1060" s="34" t="s">
        <v>3579</v>
      </c>
      <c r="Y1060" s="34" t="s">
        <v>3542</v>
      </c>
      <c r="Z1060" s="34">
        <v>12</v>
      </c>
      <c r="AA1060" s="34" t="s">
        <v>6455</v>
      </c>
      <c r="AB1060" s="34" t="s">
        <v>6455</v>
      </c>
      <c r="AC1060" s="34" t="s">
        <v>3803</v>
      </c>
      <c r="AD1060" s="34" t="s">
        <v>3803</v>
      </c>
      <c r="AE1060" s="34" t="s">
        <v>3693</v>
      </c>
      <c r="AF1060" s="34" t="s">
        <v>3800</v>
      </c>
      <c r="AG1060" s="34" t="s">
        <v>3931</v>
      </c>
      <c r="AH1060" s="34" t="s">
        <v>6456</v>
      </c>
      <c r="AL1060" s="34" t="s">
        <v>6441</v>
      </c>
      <c r="AM1060" s="40" t="s">
        <v>9</v>
      </c>
      <c r="AN1060" s="37" t="s">
        <v>36</v>
      </c>
      <c r="AP1060" s="34">
        <v>0</v>
      </c>
      <c r="AQ1060" s="34">
        <v>129</v>
      </c>
      <c r="AR1060" s="34">
        <v>80</v>
      </c>
      <c r="AT1060" s="44">
        <v>10000</v>
      </c>
      <c r="AU1060" s="44"/>
      <c r="AV1060" s="46">
        <f>ROUND(Товары[[#This Row],[РРЦ финальная, руб.]]/$AU$1,2)</f>
        <v>0</v>
      </c>
      <c r="AW1060" s="45" t="str">
        <f>IFERROR(Товары[[#This Row],[РРЦ, евро]]/Товары[[#This Row],[IRP, Eur]],"-")</f>
        <v>-</v>
      </c>
      <c r="AX1060" s="42">
        <f>IFERROR(VLOOKUP(Товары[[#This Row],[SubGroup]],'Структура цен DIY'!$B:$C,2,FALSE),0)</f>
        <v>0.26</v>
      </c>
      <c r="AY1060" s="44">
        <v>0</v>
      </c>
    </row>
    <row r="1061" spans="1:51" x14ac:dyDescent="0.25">
      <c r="A1061" s="34">
        <v>1059</v>
      </c>
      <c r="B1061" s="34" t="s">
        <v>49</v>
      </c>
      <c r="C1061" s="110" t="str">
        <f>IFERROR(INDEX(Структура_ассортимента[SuperCategory],MATCH(Товары[[#This Row],[SubGroup]],Структура_ассортимента[Subgroup],0)),"")</f>
        <v>W</v>
      </c>
      <c r="D106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6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61" s="110" t="str">
        <f>IFERROR(INDEX(Структура_ассортимента[Product group],MATCH(Товары[[#This Row],[SubGroup]],Структура_ассортимента[Subgroup],0)),"")</f>
        <v>WMO_C</v>
      </c>
      <c r="G1061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061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61" s="36">
        <v>9011</v>
      </c>
      <c r="J1061" s="36" t="str">
        <f>IFERROR(INDEX(Структура_ассортимента[Generic Name (long)],MATCH(Товары[[#This Row],[SubGroup]],Структура_ассортимента[Subgroup],0)),"")</f>
        <v>TAP CONNECTOR</v>
      </c>
      <c r="L1061" s="36">
        <v>967312801</v>
      </c>
      <c r="M1061" s="35" t="s">
        <v>226</v>
      </c>
      <c r="O1061" s="35" t="s">
        <v>6457</v>
      </c>
      <c r="P1061" s="37" t="s">
        <v>232</v>
      </c>
      <c r="Q1061" s="34" t="s">
        <v>3549</v>
      </c>
      <c r="R1061" s="34" t="s">
        <v>3540</v>
      </c>
      <c r="S1061" s="47">
        <v>42005</v>
      </c>
      <c r="T1061" s="47">
        <v>0</v>
      </c>
      <c r="U1061" s="47">
        <v>0</v>
      </c>
      <c r="V1061" s="34">
        <v>4078500011433</v>
      </c>
      <c r="W1061" s="34" t="s">
        <v>3543</v>
      </c>
      <c r="X1061" s="34" t="s">
        <v>3579</v>
      </c>
      <c r="Y1061" s="34" t="s">
        <v>3542</v>
      </c>
      <c r="Z1061" s="34">
        <v>12</v>
      </c>
      <c r="AA1061" s="34" t="s">
        <v>3797</v>
      </c>
      <c r="AB1061" s="34" t="s">
        <v>3797</v>
      </c>
      <c r="AC1061" s="34" t="s">
        <v>3807</v>
      </c>
      <c r="AD1061" s="34" t="s">
        <v>3807</v>
      </c>
      <c r="AE1061" s="34" t="s">
        <v>3693</v>
      </c>
      <c r="AF1061" s="34" t="s">
        <v>3800</v>
      </c>
      <c r="AG1061" s="34" t="s">
        <v>3931</v>
      </c>
      <c r="AH1061" s="34" t="s">
        <v>6456</v>
      </c>
      <c r="AI1061" s="34" t="s">
        <v>4775</v>
      </c>
      <c r="AJ1061" s="34" t="s">
        <v>3931</v>
      </c>
      <c r="AK1061" s="34" t="s">
        <v>3931</v>
      </c>
      <c r="AL1061" s="34" t="s">
        <v>6441</v>
      </c>
      <c r="AM1061" s="40" t="s">
        <v>9</v>
      </c>
      <c r="AP1061" s="34">
        <v>0</v>
      </c>
      <c r="AQ1061" s="34">
        <v>299</v>
      </c>
      <c r="AR1061" s="34">
        <v>184</v>
      </c>
      <c r="AT1061" s="44">
        <v>23200</v>
      </c>
      <c r="AU1061" s="44"/>
      <c r="AV1061" s="46">
        <f>ROUND(Товары[[#This Row],[РРЦ финальная, руб.]]/$AU$1,2)</f>
        <v>0</v>
      </c>
      <c r="AW1061" s="45" t="str">
        <f>IFERROR(Товары[[#This Row],[РРЦ, евро]]/Товары[[#This Row],[IRP, Eur]],"-")</f>
        <v>-</v>
      </c>
      <c r="AX1061" s="42">
        <f>IFERROR(VLOOKUP(Товары[[#This Row],[SubGroup]],'Структура цен DIY'!$B:$C,2,FALSE),0)</f>
        <v>0.26</v>
      </c>
      <c r="AY1061" s="44">
        <v>0</v>
      </c>
    </row>
    <row r="1062" spans="1:51" x14ac:dyDescent="0.25">
      <c r="A1062" s="34">
        <v>1060</v>
      </c>
      <c r="B1062" s="34" t="s">
        <v>49</v>
      </c>
      <c r="C1062" s="110" t="str">
        <f>IFERROR(INDEX(Структура_ассортимента[SuperCategory],MATCH(Товары[[#This Row],[SubGroup]],Структура_ассортимента[Subgroup],0)),"")</f>
        <v>W</v>
      </c>
      <c r="D106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6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62" s="110" t="str">
        <f>IFERROR(INDEX(Структура_ассортимента[Product group],MATCH(Товары[[#This Row],[SubGroup]],Структура_ассортимента[Subgroup],0)),"")</f>
        <v>WMT_C</v>
      </c>
      <c r="G1062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062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062" s="36">
        <v>9015</v>
      </c>
      <c r="J1062" s="36" t="str">
        <f>IFERROR(INDEX(Структура_ассортимента[Generic Name (long)],MATCH(Товары[[#This Row],[SubGroup]],Структура_ассортимента[Subgroup],0)),"")</f>
        <v>WALL HOSE BRACKET</v>
      </c>
      <c r="L1062" s="36">
        <v>966634401</v>
      </c>
      <c r="M1062" s="35" t="s">
        <v>2738</v>
      </c>
      <c r="Q1062" s="34" t="s">
        <v>3539</v>
      </c>
      <c r="R1062" s="34" t="s">
        <v>3540</v>
      </c>
      <c r="S1062" s="47">
        <v>40452</v>
      </c>
      <c r="T1062" s="47">
        <v>0</v>
      </c>
      <c r="U1062" s="47">
        <v>0</v>
      </c>
      <c r="V1062" s="34">
        <v>4078500268172</v>
      </c>
      <c r="W1062" s="34" t="s">
        <v>3543</v>
      </c>
      <c r="Y1062" s="34" t="s">
        <v>3542</v>
      </c>
      <c r="Z1062" s="34">
        <v>4</v>
      </c>
      <c r="AA1062" s="34">
        <v>4801</v>
      </c>
      <c r="AB1062" s="34">
        <v>4801</v>
      </c>
      <c r="AC1062" s="34">
        <v>4500</v>
      </c>
      <c r="AD1062" s="34">
        <v>4500</v>
      </c>
      <c r="AE1062" s="34">
        <v>560</v>
      </c>
      <c r="AF1062" s="34">
        <v>360</v>
      </c>
      <c r="AG1062" s="34">
        <v>280</v>
      </c>
      <c r="AH1062" s="34">
        <v>56.448</v>
      </c>
      <c r="AM1062" s="40" t="s">
        <v>8094</v>
      </c>
      <c r="AT1062" s="44">
        <v>0</v>
      </c>
      <c r="AU1062" s="44"/>
      <c r="AV1062" s="46">
        <f>ROUND(Товары[[#This Row],[РРЦ финальная, руб.]]/$AU$1,2)</f>
        <v>0</v>
      </c>
      <c r="AW1062" s="45" t="str">
        <f>IFERROR(Товары[[#This Row],[РРЦ, евро]]/Товары[[#This Row],[IRP, Eur]],"-")</f>
        <v>-</v>
      </c>
      <c r="AX1062" s="42">
        <f>IFERROR(VLOOKUP(Товары[[#This Row],[SubGroup]],'Структура цен DIY'!$B:$C,2,FALSE),0)</f>
        <v>0.25</v>
      </c>
      <c r="AY1062" s="44">
        <v>0</v>
      </c>
    </row>
    <row r="1063" spans="1:51" x14ac:dyDescent="0.25">
      <c r="A1063" s="34">
        <v>1061</v>
      </c>
      <c r="B1063" s="34" t="s">
        <v>49</v>
      </c>
      <c r="C1063" s="110" t="str">
        <f>IFERROR(INDEX(Структура_ассортимента[SuperCategory],MATCH(Товары[[#This Row],[SubGroup]],Структура_ассортимента[Subgroup],0)),"")</f>
        <v>W</v>
      </c>
      <c r="D106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6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63" s="110" t="str">
        <f>IFERROR(INDEX(Структура_ассортимента[Product group],MATCH(Товары[[#This Row],[SubGroup]],Структура_ассортимента[Subgroup],0)),"")</f>
        <v>WMO_C</v>
      </c>
      <c r="G1063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063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63" s="36">
        <v>9011</v>
      </c>
      <c r="J1063" s="36" t="str">
        <f>IFERROR(INDEX(Структура_ассортимента[Generic Name (long)],MATCH(Товары[[#This Row],[SubGroup]],Структура_ассортимента[Subgroup],0)),"")</f>
        <v>TAP CONNECTOR</v>
      </c>
      <c r="L1063" s="36">
        <v>901024401</v>
      </c>
      <c r="M1063" s="35" t="s">
        <v>2739</v>
      </c>
      <c r="Q1063" s="34" t="s">
        <v>3549</v>
      </c>
      <c r="R1063" s="34" t="s">
        <v>3540</v>
      </c>
      <c r="S1063" s="47">
        <v>36434</v>
      </c>
      <c r="T1063" s="47">
        <v>0</v>
      </c>
      <c r="U1063" s="47">
        <v>0</v>
      </c>
      <c r="V1063" s="34">
        <v>4078500290807</v>
      </c>
      <c r="W1063" s="34" t="s">
        <v>3543</v>
      </c>
      <c r="X1063" s="34" t="s">
        <v>3579</v>
      </c>
      <c r="Y1063" s="34" t="s">
        <v>3542</v>
      </c>
      <c r="Z1063" s="34">
        <v>6</v>
      </c>
      <c r="AA1063" s="34" t="s">
        <v>6452</v>
      </c>
      <c r="AB1063" s="34" t="s">
        <v>6452</v>
      </c>
      <c r="AC1063" s="34" t="s">
        <v>6458</v>
      </c>
      <c r="AD1063" s="34" t="s">
        <v>6458</v>
      </c>
      <c r="AE1063" s="34" t="s">
        <v>3693</v>
      </c>
      <c r="AF1063" s="34" t="s">
        <v>3800</v>
      </c>
      <c r="AG1063" s="34" t="s">
        <v>4231</v>
      </c>
      <c r="AH1063" s="34" t="s">
        <v>6443</v>
      </c>
      <c r="AL1063" s="34">
        <v>1296</v>
      </c>
      <c r="AM1063" s="40" t="s">
        <v>8095</v>
      </c>
      <c r="AT1063" s="44">
        <v>0</v>
      </c>
      <c r="AU1063" s="44"/>
      <c r="AV1063" s="46">
        <f>ROUND(Товары[[#This Row],[РРЦ финальная, руб.]]/$AU$1,2)</f>
        <v>0</v>
      </c>
      <c r="AW1063" s="45" t="str">
        <f>IFERROR(Товары[[#This Row],[РРЦ, евро]]/Товары[[#This Row],[IRP, Eur]],"-")</f>
        <v>-</v>
      </c>
      <c r="AX1063" s="42">
        <f>IFERROR(VLOOKUP(Товары[[#This Row],[SubGroup]],'Структура цен DIY'!$B:$C,2,FALSE),0)</f>
        <v>0.26</v>
      </c>
      <c r="AY1063" s="44">
        <v>0</v>
      </c>
    </row>
    <row r="1064" spans="1:51" x14ac:dyDescent="0.25">
      <c r="A1064" s="34">
        <v>1062</v>
      </c>
      <c r="B1064" s="34" t="s">
        <v>49</v>
      </c>
      <c r="C1064" s="110" t="str">
        <f>IFERROR(INDEX(Структура_ассортимента[SuperCategory],MATCH(Товары[[#This Row],[SubGroup]],Структура_ассортимента[Subgroup],0)),"")</f>
        <v>W</v>
      </c>
      <c r="D106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6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64" s="110" t="str">
        <f>IFERROR(INDEX(Структура_ассортимента[Product group],MATCH(Товары[[#This Row],[SubGroup]],Структура_ассортимента[Subgroup],0)),"")</f>
        <v>WMO_C</v>
      </c>
      <c r="G1064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064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64" s="36">
        <v>9011</v>
      </c>
      <c r="J1064" s="36" t="str">
        <f>IFERROR(INDEX(Структура_ассортимента[Generic Name (long)],MATCH(Товары[[#This Row],[SubGroup]],Структура_ассортимента[Subgroup],0)),"")</f>
        <v>TAP CONNECTOR</v>
      </c>
      <c r="L1064" s="36">
        <v>900877401</v>
      </c>
      <c r="M1064" s="35" t="s">
        <v>2740</v>
      </c>
      <c r="O1064" s="35" t="s">
        <v>6459</v>
      </c>
      <c r="P1064" s="37" t="s">
        <v>6460</v>
      </c>
      <c r="Q1064" s="34" t="s">
        <v>3549</v>
      </c>
      <c r="R1064" s="34" t="s">
        <v>3540</v>
      </c>
      <c r="S1064" s="47">
        <v>36434</v>
      </c>
      <c r="T1064" s="47">
        <v>0</v>
      </c>
      <c r="U1064" s="47">
        <v>0</v>
      </c>
      <c r="V1064" s="34">
        <v>4078500094009</v>
      </c>
      <c r="W1064" s="34" t="s">
        <v>3547</v>
      </c>
      <c r="X1064" s="34" t="s">
        <v>3704</v>
      </c>
      <c r="Y1064" s="34" t="s">
        <v>3542</v>
      </c>
      <c r="Z1064" s="34">
        <v>6</v>
      </c>
      <c r="AA1064" s="34" t="s">
        <v>4090</v>
      </c>
      <c r="AB1064" s="34" t="s">
        <v>4090</v>
      </c>
      <c r="AC1064" s="34" t="s">
        <v>3727</v>
      </c>
      <c r="AD1064" s="34" t="s">
        <v>3727</v>
      </c>
      <c r="AE1064" s="34" t="s">
        <v>3825</v>
      </c>
      <c r="AF1064" s="34" t="s">
        <v>5526</v>
      </c>
      <c r="AG1064" s="34" t="s">
        <v>4468</v>
      </c>
      <c r="AH1064" s="34" t="s">
        <v>6461</v>
      </c>
      <c r="AI1064" s="34" t="s">
        <v>4642</v>
      </c>
      <c r="AJ1064" s="34" t="s">
        <v>3561</v>
      </c>
      <c r="AK1064" s="34" t="s">
        <v>5148</v>
      </c>
      <c r="AL1064" s="34">
        <v>684</v>
      </c>
      <c r="AM1064" s="40" t="s">
        <v>9</v>
      </c>
      <c r="AP1064" s="34">
        <v>0</v>
      </c>
      <c r="AQ1064" s="34">
        <v>1309</v>
      </c>
      <c r="AR1064" s="34">
        <v>796</v>
      </c>
      <c r="AT1064" s="44">
        <v>101400</v>
      </c>
      <c r="AU1064" s="44"/>
      <c r="AV1064" s="46">
        <f>ROUND(Товары[[#This Row],[РРЦ финальная, руб.]]/$AU$1,2)</f>
        <v>0</v>
      </c>
      <c r="AW1064" s="45" t="str">
        <f>IFERROR(Товары[[#This Row],[РРЦ, евро]]/Товары[[#This Row],[IRP, Eur]],"-")</f>
        <v>-</v>
      </c>
      <c r="AX1064" s="42">
        <f>IFERROR(VLOOKUP(Товары[[#This Row],[SubGroup]],'Структура цен DIY'!$B:$C,2,FALSE),0)</f>
        <v>0.26</v>
      </c>
      <c r="AY1064" s="44">
        <v>0</v>
      </c>
    </row>
    <row r="1065" spans="1:51" x14ac:dyDescent="0.25">
      <c r="A1065" s="34">
        <v>1063</v>
      </c>
      <c r="B1065" s="34" t="s">
        <v>49</v>
      </c>
      <c r="C1065" s="110" t="str">
        <f>IFERROR(INDEX(Структура_ассортимента[SuperCategory],MATCH(Товары[[#This Row],[SubGroup]],Структура_ассортимента[Subgroup],0)),"")</f>
        <v>W</v>
      </c>
      <c r="D106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6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65" s="110" t="str">
        <f>IFERROR(INDEX(Структура_ассортимента[Product group],MATCH(Товары[[#This Row],[SubGroup]],Структура_ассортимента[Subgroup],0)),"")</f>
        <v>WMO_C</v>
      </c>
      <c r="G1065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065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65" s="36">
        <v>9011</v>
      </c>
      <c r="J1065" s="36" t="str">
        <f>IFERROR(INDEX(Структура_ассортимента[Generic Name (long)],MATCH(Товары[[#This Row],[SubGroup]],Структура_ассортимента[Subgroup],0)),"")</f>
        <v>TAP CONNECTOR</v>
      </c>
      <c r="L1065" s="36">
        <v>966970301</v>
      </c>
      <c r="M1065" s="35" t="s">
        <v>2741</v>
      </c>
      <c r="Q1065" s="34" t="s">
        <v>3549</v>
      </c>
      <c r="R1065" s="34" t="s">
        <v>3540</v>
      </c>
      <c r="S1065" s="47">
        <v>39722</v>
      </c>
      <c r="T1065" s="47">
        <v>0</v>
      </c>
      <c r="U1065" s="47">
        <v>0</v>
      </c>
      <c r="V1065" s="34">
        <v>4078500819343</v>
      </c>
      <c r="W1065" s="34" t="s">
        <v>3543</v>
      </c>
      <c r="X1065" s="34" t="s">
        <v>3579</v>
      </c>
      <c r="Y1065" s="34" t="s">
        <v>3542</v>
      </c>
      <c r="Z1065" s="34">
        <v>4</v>
      </c>
      <c r="AA1065" s="34" t="s">
        <v>6462</v>
      </c>
      <c r="AB1065" s="34" t="s">
        <v>6462</v>
      </c>
      <c r="AC1065" s="34" t="s">
        <v>6463</v>
      </c>
      <c r="AD1065" s="34" t="s">
        <v>6463</v>
      </c>
      <c r="AE1065" s="34" t="s">
        <v>3942</v>
      </c>
      <c r="AF1065" s="34" t="s">
        <v>3968</v>
      </c>
      <c r="AG1065" s="34" t="s">
        <v>5680</v>
      </c>
      <c r="AH1065" s="34" t="s">
        <v>6464</v>
      </c>
      <c r="AI1065" s="34" t="s">
        <v>3893</v>
      </c>
      <c r="AJ1065" s="34" t="s">
        <v>3693</v>
      </c>
      <c r="AK1065" s="34" t="s">
        <v>4248</v>
      </c>
      <c r="AL1065" s="34">
        <v>240</v>
      </c>
      <c r="AM1065" s="40" t="s">
        <v>8095</v>
      </c>
      <c r="AT1065" s="44">
        <v>0</v>
      </c>
      <c r="AU1065" s="44"/>
      <c r="AV1065" s="46">
        <f>ROUND(Товары[[#This Row],[РРЦ финальная, руб.]]/$AU$1,2)</f>
        <v>0</v>
      </c>
      <c r="AW1065" s="45" t="str">
        <f>IFERROR(Товары[[#This Row],[РРЦ, евро]]/Товары[[#This Row],[IRP, Eur]],"-")</f>
        <v>-</v>
      </c>
      <c r="AX1065" s="42">
        <f>IFERROR(VLOOKUP(Товары[[#This Row],[SubGroup]],'Структура цен DIY'!$B:$C,2,FALSE),0)</f>
        <v>0.26</v>
      </c>
      <c r="AY1065" s="44">
        <v>0</v>
      </c>
    </row>
    <row r="1066" spans="1:51" x14ac:dyDescent="0.25">
      <c r="A1066" s="34">
        <v>1064</v>
      </c>
      <c r="B1066" s="34" t="s">
        <v>49</v>
      </c>
      <c r="C1066" s="110" t="str">
        <f>IFERROR(INDEX(Структура_ассортимента[SuperCategory],MATCH(Товары[[#This Row],[SubGroup]],Структура_ассортимента[Subgroup],0)),"")</f>
        <v>W</v>
      </c>
      <c r="D106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6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66" s="110" t="str">
        <f>IFERROR(INDEX(Структура_ассортимента[Product group],MATCH(Товары[[#This Row],[SubGroup]],Структура_ассортимента[Subgroup],0)),"")</f>
        <v>WMO_C</v>
      </c>
      <c r="G1066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066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66" s="36">
        <v>9011</v>
      </c>
      <c r="J1066" s="36" t="str">
        <f>IFERROR(INDEX(Структура_ассортимента[Generic Name (long)],MATCH(Товары[[#This Row],[SubGroup]],Структура_ассортимента[Subgroup],0)),"")</f>
        <v>TAP CONNECTOR</v>
      </c>
      <c r="L1066" s="36">
        <v>901160701</v>
      </c>
      <c r="M1066" s="35" t="s">
        <v>2742</v>
      </c>
      <c r="O1066" s="35" t="s">
        <v>6459</v>
      </c>
      <c r="P1066" s="37" t="s">
        <v>6465</v>
      </c>
      <c r="Q1066" s="34" t="s">
        <v>3549</v>
      </c>
      <c r="R1066" s="34" t="s">
        <v>3540</v>
      </c>
      <c r="S1066" s="47">
        <v>39722</v>
      </c>
      <c r="T1066" s="47">
        <v>0</v>
      </c>
      <c r="U1066" s="47">
        <v>0</v>
      </c>
      <c r="V1066" s="34">
        <v>4078500819305</v>
      </c>
      <c r="W1066" s="34" t="s">
        <v>3543</v>
      </c>
      <c r="X1066" s="34" t="s">
        <v>3579</v>
      </c>
      <c r="Y1066" s="34" t="s">
        <v>3542</v>
      </c>
      <c r="Z1066" s="34">
        <v>4</v>
      </c>
      <c r="AA1066" s="34" t="s">
        <v>4497</v>
      </c>
      <c r="AB1066" s="34" t="s">
        <v>4497</v>
      </c>
      <c r="AC1066" s="34" t="s">
        <v>3750</v>
      </c>
      <c r="AD1066" s="34" t="s">
        <v>3750</v>
      </c>
      <c r="AE1066" s="34" t="s">
        <v>3942</v>
      </c>
      <c r="AF1066" s="34" t="s">
        <v>3968</v>
      </c>
      <c r="AG1066" s="34" t="s">
        <v>5680</v>
      </c>
      <c r="AH1066" s="34" t="s">
        <v>6464</v>
      </c>
      <c r="AI1066" s="34" t="s">
        <v>3893</v>
      </c>
      <c r="AJ1066" s="34" t="s">
        <v>3693</v>
      </c>
      <c r="AK1066" s="34" t="s">
        <v>4248</v>
      </c>
      <c r="AL1066" s="34">
        <v>240</v>
      </c>
      <c r="AM1066" s="40" t="s">
        <v>9</v>
      </c>
      <c r="AP1066" s="34">
        <v>0</v>
      </c>
      <c r="AQ1066" s="34">
        <v>2629</v>
      </c>
      <c r="AR1066" s="34">
        <v>1599</v>
      </c>
      <c r="AT1066" s="44">
        <v>203600</v>
      </c>
      <c r="AU1066" s="44"/>
      <c r="AV1066" s="46">
        <f>ROUND(Товары[[#This Row],[РРЦ финальная, руб.]]/$AU$1,2)</f>
        <v>0</v>
      </c>
      <c r="AW1066" s="45" t="str">
        <f>IFERROR(Товары[[#This Row],[РРЦ, евро]]/Товары[[#This Row],[IRP, Eur]],"-")</f>
        <v>-</v>
      </c>
      <c r="AX1066" s="42">
        <f>IFERROR(VLOOKUP(Товары[[#This Row],[SubGroup]],'Структура цен DIY'!$B:$C,2,FALSE),0)</f>
        <v>0.26</v>
      </c>
      <c r="AY1066" s="44">
        <v>0</v>
      </c>
    </row>
    <row r="1067" spans="1:51" x14ac:dyDescent="0.25">
      <c r="A1067" s="34">
        <v>1065</v>
      </c>
      <c r="B1067" s="34" t="s">
        <v>49</v>
      </c>
      <c r="C1067" s="110" t="str">
        <f>IFERROR(INDEX(Структура_ассортимента[SuperCategory],MATCH(Товары[[#This Row],[SubGroup]],Структура_ассортимента[Subgroup],0)),"")</f>
        <v>W</v>
      </c>
      <c r="D106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6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67" s="110" t="str">
        <f>IFERROR(INDEX(Структура_ассортимента[Product group],MATCH(Товары[[#This Row],[SubGroup]],Структура_ассортимента[Subgroup],0)),"")</f>
        <v>WMO_C</v>
      </c>
      <c r="G1067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067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67" s="36">
        <v>9011</v>
      </c>
      <c r="J1067" s="36" t="str">
        <f>IFERROR(INDEX(Структура_ассортимента[Generic Name (long)],MATCH(Товары[[#This Row],[SubGroup]],Структура_ассортимента[Subgroup],0)),"")</f>
        <v>TAP CONNECTOR</v>
      </c>
      <c r="L1067" s="36">
        <v>966970401</v>
      </c>
      <c r="M1067" s="35" t="s">
        <v>2743</v>
      </c>
      <c r="Q1067" s="34" t="s">
        <v>3549</v>
      </c>
      <c r="R1067" s="34" t="s">
        <v>3540</v>
      </c>
      <c r="S1067" s="47">
        <v>39722</v>
      </c>
      <c r="T1067" s="47">
        <v>0</v>
      </c>
      <c r="U1067" s="47">
        <v>0</v>
      </c>
      <c r="V1067" s="34">
        <v>4078500819442</v>
      </c>
      <c r="W1067" s="34" t="s">
        <v>3543</v>
      </c>
      <c r="X1067" s="34" t="s">
        <v>3579</v>
      </c>
      <c r="Y1067" s="34" t="s">
        <v>3542</v>
      </c>
      <c r="Z1067" s="34">
        <v>2</v>
      </c>
      <c r="AA1067" s="34" t="s">
        <v>6466</v>
      </c>
      <c r="AB1067" s="34" t="s">
        <v>6466</v>
      </c>
      <c r="AC1067" s="34" t="s">
        <v>4625</v>
      </c>
      <c r="AD1067" s="34" t="s">
        <v>4625</v>
      </c>
      <c r="AE1067" s="34" t="s">
        <v>4582</v>
      </c>
      <c r="AF1067" s="34" t="s">
        <v>3818</v>
      </c>
      <c r="AG1067" s="34" t="s">
        <v>5680</v>
      </c>
      <c r="AH1067" s="34" t="s">
        <v>6043</v>
      </c>
      <c r="AI1067" s="34" t="s">
        <v>6006</v>
      </c>
      <c r="AJ1067" s="34" t="s">
        <v>4499</v>
      </c>
      <c r="AK1067" s="34" t="s">
        <v>4248</v>
      </c>
      <c r="AL1067" s="34">
        <v>104</v>
      </c>
      <c r="AM1067" s="40" t="s">
        <v>8095</v>
      </c>
      <c r="AT1067" s="44">
        <v>0</v>
      </c>
      <c r="AU1067" s="44"/>
      <c r="AV1067" s="46">
        <f>ROUND(Товары[[#This Row],[РРЦ финальная, руб.]]/$AU$1,2)</f>
        <v>0</v>
      </c>
      <c r="AW1067" s="45" t="str">
        <f>IFERROR(Товары[[#This Row],[РРЦ, евро]]/Товары[[#This Row],[IRP, Eur]],"-")</f>
        <v>-</v>
      </c>
      <c r="AX1067" s="42">
        <f>IFERROR(VLOOKUP(Товары[[#This Row],[SubGroup]],'Структура цен DIY'!$B:$C,2,FALSE),0)</f>
        <v>0.26</v>
      </c>
      <c r="AY1067" s="44">
        <v>0</v>
      </c>
    </row>
    <row r="1068" spans="1:51" x14ac:dyDescent="0.25">
      <c r="A1068" s="34">
        <v>1066</v>
      </c>
      <c r="B1068" s="34" t="s">
        <v>49</v>
      </c>
      <c r="C1068" s="110" t="str">
        <f>IFERROR(INDEX(Структура_ассортимента[SuperCategory],MATCH(Товары[[#This Row],[SubGroup]],Структура_ассортимента[Subgroup],0)),"")</f>
        <v>W</v>
      </c>
      <c r="D106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6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68" s="110" t="str">
        <f>IFERROR(INDEX(Структура_ассортимента[Product group],MATCH(Товары[[#This Row],[SubGroup]],Структура_ассортимента[Subgroup],0)),"")</f>
        <v>WMO_C</v>
      </c>
      <c r="G1068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068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68" s="36">
        <v>9011</v>
      </c>
      <c r="J1068" s="36" t="str">
        <f>IFERROR(INDEX(Структура_ассортимента[Generic Name (long)],MATCH(Товары[[#This Row],[SubGroup]],Структура_ассортимента[Subgroup],0)),"")</f>
        <v>TAP CONNECTOR</v>
      </c>
      <c r="L1068" s="36">
        <v>901160801</v>
      </c>
      <c r="M1068" s="35" t="s">
        <v>2744</v>
      </c>
      <c r="O1068" s="35" t="s">
        <v>6467</v>
      </c>
      <c r="P1068" s="37" t="s">
        <v>6468</v>
      </c>
      <c r="Q1068" s="34" t="s">
        <v>3549</v>
      </c>
      <c r="R1068" s="34" t="s">
        <v>3540</v>
      </c>
      <c r="S1068" s="47">
        <v>39722</v>
      </c>
      <c r="T1068" s="47">
        <v>0</v>
      </c>
      <c r="U1068" s="47">
        <v>0</v>
      </c>
      <c r="V1068" s="34">
        <v>4078500819404</v>
      </c>
      <c r="W1068" s="34" t="s">
        <v>3543</v>
      </c>
      <c r="X1068" s="34" t="s">
        <v>3579</v>
      </c>
      <c r="Y1068" s="34" t="s">
        <v>3542</v>
      </c>
      <c r="Z1068" s="34">
        <v>2</v>
      </c>
      <c r="AA1068" s="34" t="s">
        <v>6469</v>
      </c>
      <c r="AB1068" s="34" t="s">
        <v>6469</v>
      </c>
      <c r="AC1068" s="34" t="s">
        <v>5161</v>
      </c>
      <c r="AD1068" s="34" t="s">
        <v>5161</v>
      </c>
      <c r="AE1068" s="34" t="s">
        <v>4582</v>
      </c>
      <c r="AF1068" s="34" t="s">
        <v>3818</v>
      </c>
      <c r="AG1068" s="34" t="s">
        <v>5680</v>
      </c>
      <c r="AH1068" s="34" t="s">
        <v>6043</v>
      </c>
      <c r="AI1068" s="34" t="s">
        <v>6006</v>
      </c>
      <c r="AJ1068" s="34" t="s">
        <v>4499</v>
      </c>
      <c r="AK1068" s="34" t="s">
        <v>4248</v>
      </c>
      <c r="AL1068" s="34">
        <v>104</v>
      </c>
      <c r="AM1068" s="40" t="s">
        <v>9</v>
      </c>
      <c r="AP1068" s="34">
        <v>0</v>
      </c>
      <c r="AQ1068" s="34">
        <v>4279</v>
      </c>
      <c r="AR1068" s="34">
        <v>2603</v>
      </c>
      <c r="AT1068" s="44">
        <v>331400</v>
      </c>
      <c r="AU1068" s="44"/>
      <c r="AV1068" s="46">
        <f>ROUND(Товары[[#This Row],[РРЦ финальная, руб.]]/$AU$1,2)</f>
        <v>0</v>
      </c>
      <c r="AW1068" s="45" t="str">
        <f>IFERROR(Товары[[#This Row],[РРЦ, евро]]/Товары[[#This Row],[IRP, Eur]],"-")</f>
        <v>-</v>
      </c>
      <c r="AX1068" s="42">
        <f>IFERROR(VLOOKUP(Товары[[#This Row],[SubGroup]],'Структура цен DIY'!$B:$C,2,FALSE),0)</f>
        <v>0.26</v>
      </c>
      <c r="AY1068" s="44">
        <v>0</v>
      </c>
    </row>
    <row r="1069" spans="1:51" x14ac:dyDescent="0.25">
      <c r="A1069" s="34">
        <v>1067</v>
      </c>
      <c r="B1069" s="34" t="s">
        <v>49</v>
      </c>
      <c r="C1069" s="110" t="str">
        <f>IFERROR(INDEX(Структура_ассортимента[SuperCategory],MATCH(Товары[[#This Row],[SubGroup]],Структура_ассортимента[Subgroup],0)),"")</f>
        <v>W</v>
      </c>
      <c r="D106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6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69" s="110" t="str">
        <f>IFERROR(INDEX(Структура_ассортимента[Product group],MATCH(Товары[[#This Row],[SubGroup]],Структура_ассортимента[Subgroup],0)),"")</f>
        <v>WMO_C</v>
      </c>
      <c r="G1069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069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69" s="36">
        <v>9011</v>
      </c>
      <c r="J1069" s="36" t="str">
        <f>IFERROR(INDEX(Структура_ассортимента[Generic Name (long)],MATCH(Товары[[#This Row],[SubGroup]],Структура_ассортимента[Subgroup],0)),"")</f>
        <v>TAP CONNECTOR</v>
      </c>
      <c r="L1069" s="36">
        <v>901023801</v>
      </c>
      <c r="M1069" s="35" t="s">
        <v>2745</v>
      </c>
      <c r="Q1069" s="34" t="s">
        <v>3549</v>
      </c>
      <c r="R1069" s="34" t="s">
        <v>3540</v>
      </c>
      <c r="S1069" s="47">
        <v>35339</v>
      </c>
      <c r="T1069" s="47">
        <v>0</v>
      </c>
      <c r="U1069" s="47">
        <v>0</v>
      </c>
      <c r="V1069" s="34">
        <v>4078500290586</v>
      </c>
      <c r="W1069" s="34" t="s">
        <v>3543</v>
      </c>
      <c r="X1069" s="34" t="s">
        <v>3579</v>
      </c>
      <c r="Y1069" s="34" t="s">
        <v>3542</v>
      </c>
      <c r="Z1069" s="34">
        <v>12</v>
      </c>
      <c r="AA1069" s="34" t="s">
        <v>6470</v>
      </c>
      <c r="AB1069" s="34" t="s">
        <v>6470</v>
      </c>
      <c r="AC1069" s="34" t="s">
        <v>5647</v>
      </c>
      <c r="AD1069" s="34" t="s">
        <v>5647</v>
      </c>
      <c r="AE1069" s="34" t="s">
        <v>3693</v>
      </c>
      <c r="AF1069" s="34" t="s">
        <v>3800</v>
      </c>
      <c r="AG1069" s="34" t="s">
        <v>4231</v>
      </c>
      <c r="AH1069" s="34" t="s">
        <v>6443</v>
      </c>
      <c r="AL1069" s="34">
        <v>1584</v>
      </c>
      <c r="AM1069" s="40" t="s">
        <v>8095</v>
      </c>
      <c r="AT1069" s="44">
        <v>0</v>
      </c>
      <c r="AU1069" s="44"/>
      <c r="AV1069" s="46">
        <f>ROUND(Товары[[#This Row],[РРЦ финальная, руб.]]/$AU$1,2)</f>
        <v>0</v>
      </c>
      <c r="AW1069" s="45" t="str">
        <f>IFERROR(Товары[[#This Row],[РРЦ, евро]]/Товары[[#This Row],[IRP, Eur]],"-")</f>
        <v>-</v>
      </c>
      <c r="AX1069" s="42">
        <f>IFERROR(VLOOKUP(Товары[[#This Row],[SubGroup]],'Структура цен DIY'!$B:$C,2,FALSE),0)</f>
        <v>0.26</v>
      </c>
      <c r="AY1069" s="44">
        <v>0</v>
      </c>
    </row>
    <row r="1070" spans="1:51" x14ac:dyDescent="0.25">
      <c r="A1070" s="34">
        <v>1068</v>
      </c>
      <c r="B1070" s="34" t="s">
        <v>49</v>
      </c>
      <c r="C1070" s="110" t="str">
        <f>IFERROR(INDEX(Структура_ассортимента[SuperCategory],MATCH(Товары[[#This Row],[SubGroup]],Структура_ассортимента[Subgroup],0)),"")</f>
        <v>W</v>
      </c>
      <c r="D107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7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70" s="110" t="str">
        <f>IFERROR(INDEX(Структура_ассортимента[Product group],MATCH(Товары[[#This Row],[SubGroup]],Структура_ассортимента[Subgroup],0)),"")</f>
        <v>WMO_C</v>
      </c>
      <c r="G1070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070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70" s="36">
        <v>9011</v>
      </c>
      <c r="J1070" s="36" t="str">
        <f>IFERROR(INDEX(Структура_ассортимента[Generic Name (long)],MATCH(Товары[[#This Row],[SubGroup]],Структура_ассортимента[Subgroup],0)),"")</f>
        <v>TAP CONNECTOR</v>
      </c>
      <c r="L1070" s="36">
        <v>901023901</v>
      </c>
      <c r="M1070" s="35" t="s">
        <v>2746</v>
      </c>
      <c r="Q1070" s="34" t="s">
        <v>3549</v>
      </c>
      <c r="R1070" s="34" t="s">
        <v>3540</v>
      </c>
      <c r="S1070" s="47">
        <v>36434</v>
      </c>
      <c r="T1070" s="47">
        <v>0</v>
      </c>
      <c r="U1070" s="47">
        <v>0</v>
      </c>
      <c r="V1070" s="34">
        <v>4078500290609</v>
      </c>
      <c r="W1070" s="34" t="s">
        <v>3543</v>
      </c>
      <c r="X1070" s="34" t="s">
        <v>3579</v>
      </c>
      <c r="Y1070" s="34" t="s">
        <v>3542</v>
      </c>
      <c r="Z1070" s="34">
        <v>6</v>
      </c>
      <c r="AA1070" s="34" t="s">
        <v>5646</v>
      </c>
      <c r="AB1070" s="34" t="s">
        <v>5646</v>
      </c>
      <c r="AC1070" s="34" t="s">
        <v>6471</v>
      </c>
      <c r="AD1070" s="34" t="s">
        <v>6471</v>
      </c>
      <c r="AE1070" s="34" t="s">
        <v>3693</v>
      </c>
      <c r="AF1070" s="34" t="s">
        <v>3800</v>
      </c>
      <c r="AG1070" s="34" t="s">
        <v>3672</v>
      </c>
      <c r="AH1070" s="34" t="s">
        <v>6440</v>
      </c>
      <c r="AI1070" s="34" t="s">
        <v>4221</v>
      </c>
      <c r="AJ1070" s="34" t="s">
        <v>5126</v>
      </c>
      <c r="AK1070" s="34" t="s">
        <v>5126</v>
      </c>
      <c r="AL1070" s="34">
        <v>1728</v>
      </c>
      <c r="AM1070" s="40" t="s">
        <v>8095</v>
      </c>
      <c r="AT1070" s="44">
        <v>0</v>
      </c>
      <c r="AU1070" s="44"/>
      <c r="AV1070" s="46">
        <f>ROUND(Товары[[#This Row],[РРЦ финальная, руб.]]/$AU$1,2)</f>
        <v>0</v>
      </c>
      <c r="AW1070" s="45" t="str">
        <f>IFERROR(Товары[[#This Row],[РРЦ, евро]]/Товары[[#This Row],[IRP, Eur]],"-")</f>
        <v>-</v>
      </c>
      <c r="AX1070" s="42">
        <f>IFERROR(VLOOKUP(Товары[[#This Row],[SubGroup]],'Структура цен DIY'!$B:$C,2,FALSE),0)</f>
        <v>0.26</v>
      </c>
      <c r="AY1070" s="44">
        <v>0</v>
      </c>
    </row>
    <row r="1071" spans="1:51" x14ac:dyDescent="0.25">
      <c r="A1071" s="34">
        <v>1069</v>
      </c>
      <c r="B1071" s="34" t="s">
        <v>49</v>
      </c>
      <c r="C1071" s="110" t="str">
        <f>IFERROR(INDEX(Структура_ассортимента[SuperCategory],MATCH(Товары[[#This Row],[SubGroup]],Структура_ассортимента[Subgroup],0)),"")</f>
        <v>W</v>
      </c>
      <c r="D107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7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71" s="110" t="str">
        <f>IFERROR(INDEX(Структура_ассортимента[Product group],MATCH(Товары[[#This Row],[SubGroup]],Структура_ассортимента[Subgroup],0)),"")</f>
        <v>WMO_C</v>
      </c>
      <c r="G1071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071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71" s="36">
        <v>9011</v>
      </c>
      <c r="J1071" s="36" t="str">
        <f>IFERROR(INDEX(Структура_ассортимента[Generic Name (long)],MATCH(Товары[[#This Row],[SubGroup]],Структура_ассортимента[Subgroup],0)),"")</f>
        <v>TAP CONNECTOR</v>
      </c>
      <c r="L1071" s="36">
        <v>901026801</v>
      </c>
      <c r="M1071" s="35" t="s">
        <v>2747</v>
      </c>
      <c r="Q1071" s="34" t="s">
        <v>3549</v>
      </c>
      <c r="R1071" s="34" t="s">
        <v>3540</v>
      </c>
      <c r="S1071" s="47">
        <v>36434</v>
      </c>
      <c r="T1071" s="47">
        <v>0</v>
      </c>
      <c r="U1071" s="47">
        <v>0</v>
      </c>
      <c r="V1071" s="34">
        <v>4078500291705</v>
      </c>
      <c r="W1071" s="34" t="s">
        <v>3543</v>
      </c>
      <c r="X1071" s="34" t="s">
        <v>3579</v>
      </c>
      <c r="Y1071" s="34" t="s">
        <v>3542</v>
      </c>
      <c r="Z1071" s="34">
        <v>6</v>
      </c>
      <c r="AA1071" s="34" t="s">
        <v>5647</v>
      </c>
      <c r="AB1071" s="34" t="s">
        <v>5647</v>
      </c>
      <c r="AC1071" s="34" t="s">
        <v>6455</v>
      </c>
      <c r="AD1071" s="34" t="s">
        <v>6455</v>
      </c>
      <c r="AE1071" s="34" t="s">
        <v>3693</v>
      </c>
      <c r="AF1071" s="34" t="s">
        <v>3800</v>
      </c>
      <c r="AG1071" s="34" t="s">
        <v>4231</v>
      </c>
      <c r="AH1071" s="34" t="s">
        <v>6443</v>
      </c>
      <c r="AL1071" s="34">
        <v>1728</v>
      </c>
      <c r="AM1071" s="40" t="s">
        <v>8095</v>
      </c>
      <c r="AT1071" s="44">
        <v>0</v>
      </c>
      <c r="AU1071" s="44"/>
      <c r="AV1071" s="46">
        <f>ROUND(Товары[[#This Row],[РРЦ финальная, руб.]]/$AU$1,2)</f>
        <v>0</v>
      </c>
      <c r="AW1071" s="45" t="str">
        <f>IFERROR(Товары[[#This Row],[РРЦ, евро]]/Товары[[#This Row],[IRP, Eur]],"-")</f>
        <v>-</v>
      </c>
      <c r="AX1071" s="42">
        <f>IFERROR(VLOOKUP(Товары[[#This Row],[SubGroup]],'Структура цен DIY'!$B:$C,2,FALSE),0)</f>
        <v>0.26</v>
      </c>
      <c r="AY1071" s="44">
        <v>0</v>
      </c>
    </row>
    <row r="1072" spans="1:51" x14ac:dyDescent="0.25">
      <c r="A1072" s="34">
        <v>1070</v>
      </c>
      <c r="B1072" s="34" t="s">
        <v>49</v>
      </c>
      <c r="C1072" s="110" t="str">
        <f>IFERROR(INDEX(Структура_ассортимента[SuperCategory],MATCH(Товары[[#This Row],[SubGroup]],Структура_ассортимента[Subgroup],0)),"")</f>
        <v>W</v>
      </c>
      <c r="D107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7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72" s="110" t="str">
        <f>IFERROR(INDEX(Структура_ассортимента[Product group],MATCH(Товары[[#This Row],[SubGroup]],Структура_ассортимента[Subgroup],0)),"")</f>
        <v>WMO_C</v>
      </c>
      <c r="G1072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072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72" s="36">
        <v>9011</v>
      </c>
      <c r="J1072" s="36" t="str">
        <f>IFERROR(INDEX(Структура_ассортимента[Generic Name (long)],MATCH(Товары[[#This Row],[SubGroup]],Структура_ассортимента[Subgroup],0)),"")</f>
        <v>TAP CONNECTOR</v>
      </c>
      <c r="L1072" s="36">
        <v>900884301</v>
      </c>
      <c r="M1072" s="35" t="s">
        <v>2748</v>
      </c>
      <c r="Q1072" s="34" t="s">
        <v>3549</v>
      </c>
      <c r="R1072" s="34" t="s">
        <v>3540</v>
      </c>
      <c r="S1072" s="47">
        <v>39356</v>
      </c>
      <c r="T1072" s="47">
        <v>0</v>
      </c>
      <c r="U1072" s="47">
        <v>0</v>
      </c>
      <c r="V1072" s="34">
        <v>40785424</v>
      </c>
      <c r="W1072" s="34" t="s">
        <v>3550</v>
      </c>
      <c r="X1072" s="34" t="s">
        <v>6472</v>
      </c>
      <c r="Y1072" s="34" t="s">
        <v>3542</v>
      </c>
      <c r="Z1072" s="34">
        <v>10</v>
      </c>
      <c r="AA1072" s="34" t="s">
        <v>3715</v>
      </c>
      <c r="AB1072" s="34" t="s">
        <v>3715</v>
      </c>
      <c r="AC1072" s="34" t="s">
        <v>5633</v>
      </c>
      <c r="AD1072" s="34" t="s">
        <v>5633</v>
      </c>
      <c r="AE1072" s="34" t="s">
        <v>3557</v>
      </c>
      <c r="AF1072" s="34" t="s">
        <v>3931</v>
      </c>
      <c r="AG1072" s="34" t="s">
        <v>3931</v>
      </c>
      <c r="AH1072" s="34" t="s">
        <v>6473</v>
      </c>
      <c r="AI1072" s="34" t="s">
        <v>4633</v>
      </c>
      <c r="AJ1072" s="34" t="s">
        <v>3931</v>
      </c>
      <c r="AK1072" s="34" t="s">
        <v>3931</v>
      </c>
      <c r="AL1072" s="34">
        <v>3130</v>
      </c>
      <c r="AM1072" s="40" t="s">
        <v>8095</v>
      </c>
      <c r="AT1072" s="44">
        <v>0</v>
      </c>
      <c r="AU1072" s="44"/>
      <c r="AV1072" s="46">
        <f>ROUND(Товары[[#This Row],[РРЦ финальная, руб.]]/$AU$1,2)</f>
        <v>0</v>
      </c>
      <c r="AW1072" s="45" t="str">
        <f>IFERROR(Товары[[#This Row],[РРЦ, евро]]/Товары[[#This Row],[IRP, Eur]],"-")</f>
        <v>-</v>
      </c>
      <c r="AX1072" s="42">
        <f>IFERROR(VLOOKUP(Товары[[#This Row],[SubGroup]],'Структура цен DIY'!$B:$C,2,FALSE),0)</f>
        <v>0.26</v>
      </c>
      <c r="AY1072" s="44">
        <v>0</v>
      </c>
    </row>
    <row r="1073" spans="1:51" x14ac:dyDescent="0.25">
      <c r="A1073" s="34">
        <v>1071</v>
      </c>
      <c r="B1073" s="34" t="s">
        <v>49</v>
      </c>
      <c r="C1073" s="110" t="str">
        <f>IFERROR(INDEX(Структура_ассортимента[SuperCategory],MATCH(Товары[[#This Row],[SubGroup]],Структура_ассортимента[Subgroup],0)),"")</f>
        <v>W</v>
      </c>
      <c r="D107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7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73" s="110" t="str">
        <f>IFERROR(INDEX(Структура_ассортимента[Product group],MATCH(Товары[[#This Row],[SubGroup]],Структура_ассортимента[Subgroup],0)),"")</f>
        <v>WMO_C</v>
      </c>
      <c r="G1073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073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73" s="36">
        <v>9011</v>
      </c>
      <c r="J1073" s="36" t="str">
        <f>IFERROR(INDEX(Структура_ассортимента[Generic Name (long)],MATCH(Товары[[#This Row],[SubGroup]],Структура_ассортимента[Subgroup],0)),"")</f>
        <v>TAP CONNECTOR</v>
      </c>
      <c r="L1073" s="36">
        <v>901031901</v>
      </c>
      <c r="M1073" s="35" t="s">
        <v>2749</v>
      </c>
      <c r="O1073" s="35" t="s">
        <v>6474</v>
      </c>
      <c r="P1073" s="37" t="s">
        <v>6475</v>
      </c>
      <c r="Q1073" s="34" t="s">
        <v>3549</v>
      </c>
      <c r="R1073" s="34" t="s">
        <v>3540</v>
      </c>
      <c r="S1073" s="47">
        <v>39356</v>
      </c>
      <c r="T1073" s="47">
        <v>0</v>
      </c>
      <c r="U1073" s="47">
        <v>0</v>
      </c>
      <c r="V1073" s="34">
        <v>4078500299800</v>
      </c>
      <c r="W1073" s="34" t="s">
        <v>3543</v>
      </c>
      <c r="X1073" s="34" t="s">
        <v>6472</v>
      </c>
      <c r="Y1073" s="34" t="s">
        <v>3542</v>
      </c>
      <c r="Z1073" s="34">
        <v>10</v>
      </c>
      <c r="AA1073" s="34" t="s">
        <v>6476</v>
      </c>
      <c r="AB1073" s="34" t="s">
        <v>6476</v>
      </c>
      <c r="AC1073" s="34" t="s">
        <v>5633</v>
      </c>
      <c r="AD1073" s="34" t="s">
        <v>5633</v>
      </c>
      <c r="AE1073" s="34" t="s">
        <v>3825</v>
      </c>
      <c r="AF1073" s="34" t="s">
        <v>3576</v>
      </c>
      <c r="AG1073" s="34" t="s">
        <v>3931</v>
      </c>
      <c r="AH1073" s="34" t="s">
        <v>3673</v>
      </c>
      <c r="AL1073" s="34">
        <v>850</v>
      </c>
      <c r="AM1073" s="40" t="s">
        <v>9</v>
      </c>
      <c r="AP1073" s="34">
        <v>0</v>
      </c>
      <c r="AQ1073" s="34">
        <v>779</v>
      </c>
      <c r="AR1073" s="34">
        <v>474</v>
      </c>
      <c r="AT1073" s="44">
        <v>60300</v>
      </c>
      <c r="AU1073" s="44"/>
      <c r="AV1073" s="46">
        <f>ROUND(Товары[[#This Row],[РРЦ финальная, руб.]]/$AU$1,2)</f>
        <v>0</v>
      </c>
      <c r="AW1073" s="45" t="str">
        <f>IFERROR(Товары[[#This Row],[РРЦ, евро]]/Товары[[#This Row],[IRP, Eur]],"-")</f>
        <v>-</v>
      </c>
      <c r="AX1073" s="42">
        <f>IFERROR(VLOOKUP(Товары[[#This Row],[SubGroup]],'Структура цен DIY'!$B:$C,2,FALSE),0)</f>
        <v>0.26</v>
      </c>
      <c r="AY1073" s="44">
        <v>0</v>
      </c>
    </row>
    <row r="1074" spans="1:51" x14ac:dyDescent="0.25">
      <c r="A1074" s="34">
        <v>1072</v>
      </c>
      <c r="B1074" s="34" t="s">
        <v>49</v>
      </c>
      <c r="C1074" s="110" t="str">
        <f>IFERROR(INDEX(Структура_ассортимента[SuperCategory],MATCH(Товары[[#This Row],[SubGroup]],Структура_ассортимента[Subgroup],0)),"")</f>
        <v>W</v>
      </c>
      <c r="D107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7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74" s="110" t="str">
        <f>IFERROR(INDEX(Структура_ассортимента[Product group],MATCH(Товары[[#This Row],[SubGroup]],Структура_ассортимента[Subgroup],0)),"")</f>
        <v>WMO_C</v>
      </c>
      <c r="G1074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074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74" s="36">
        <v>9011</v>
      </c>
      <c r="J1074" s="36" t="str">
        <f>IFERROR(INDEX(Структура_ассортимента[Generic Name (long)],MATCH(Товары[[#This Row],[SubGroup]],Структура_ассортимента[Subgroup],0)),"")</f>
        <v>TAP CONNECTOR</v>
      </c>
      <c r="L1074" s="36">
        <v>901024301</v>
      </c>
      <c r="M1074" s="35" t="s">
        <v>2750</v>
      </c>
      <c r="O1074" s="35" t="s">
        <v>6477</v>
      </c>
      <c r="P1074" s="37" t="s">
        <v>6478</v>
      </c>
      <c r="Q1074" s="34" t="s">
        <v>3549</v>
      </c>
      <c r="R1074" s="34" t="s">
        <v>3540</v>
      </c>
      <c r="S1074" s="47">
        <v>36434</v>
      </c>
      <c r="T1074" s="47">
        <v>0</v>
      </c>
      <c r="U1074" s="47">
        <v>0</v>
      </c>
      <c r="V1074" s="34">
        <v>4078500290708</v>
      </c>
      <c r="W1074" s="34" t="s">
        <v>3543</v>
      </c>
      <c r="X1074" s="34" t="s">
        <v>3579</v>
      </c>
      <c r="Y1074" s="34" t="s">
        <v>3542</v>
      </c>
      <c r="Z1074" s="34">
        <v>12</v>
      </c>
      <c r="AA1074" s="34" t="s">
        <v>3735</v>
      </c>
      <c r="AB1074" s="34" t="s">
        <v>3735</v>
      </c>
      <c r="AC1074" s="34" t="s">
        <v>6479</v>
      </c>
      <c r="AD1074" s="34" t="s">
        <v>6479</v>
      </c>
      <c r="AE1074" s="34" t="s">
        <v>4196</v>
      </c>
      <c r="AF1074" s="34" t="s">
        <v>5613</v>
      </c>
      <c r="AG1074" s="34" t="s">
        <v>3754</v>
      </c>
      <c r="AH1074" s="34" t="s">
        <v>6480</v>
      </c>
      <c r="AL1074" s="34">
        <v>960</v>
      </c>
      <c r="AM1074" s="40" t="s">
        <v>9</v>
      </c>
      <c r="AP1074" s="34">
        <v>0</v>
      </c>
      <c r="AQ1074" s="34">
        <v>826</v>
      </c>
      <c r="AR1074" s="34">
        <v>502</v>
      </c>
      <c r="AT1074" s="44">
        <v>64000</v>
      </c>
      <c r="AU1074" s="44"/>
      <c r="AV1074" s="46">
        <f>ROUND(Товары[[#This Row],[РРЦ финальная, руб.]]/$AU$1,2)</f>
        <v>0</v>
      </c>
      <c r="AW1074" s="45" t="str">
        <f>IFERROR(Товары[[#This Row],[РРЦ, евро]]/Товары[[#This Row],[IRP, Eur]],"-")</f>
        <v>-</v>
      </c>
      <c r="AX1074" s="42">
        <f>IFERROR(VLOOKUP(Товары[[#This Row],[SubGroup]],'Структура цен DIY'!$B:$C,2,FALSE),0)</f>
        <v>0.26</v>
      </c>
      <c r="AY1074" s="44">
        <v>0</v>
      </c>
    </row>
    <row r="1075" spans="1:51" x14ac:dyDescent="0.25">
      <c r="A1075" s="34">
        <v>1073</v>
      </c>
      <c r="B1075" s="34" t="s">
        <v>49</v>
      </c>
      <c r="C1075" s="110" t="str">
        <f>IFERROR(INDEX(Структура_ассортимента[SuperCategory],MATCH(Товары[[#This Row],[SubGroup]],Структура_ассортимента[Subgroup],0)),"")</f>
        <v>W</v>
      </c>
      <c r="D107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7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75" s="110" t="str">
        <f>IFERROR(INDEX(Структура_ассортимента[Product group],MATCH(Товары[[#This Row],[SubGroup]],Структура_ассортимента[Subgroup],0)),"")</f>
        <v>WMO_C</v>
      </c>
      <c r="G1075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075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75" s="36">
        <v>9011</v>
      </c>
      <c r="J1075" s="36" t="str">
        <f>IFERROR(INDEX(Структура_ассортимента[Generic Name (long)],MATCH(Товары[[#This Row],[SubGroup]],Структура_ассортимента[Subgroup],0)),"")</f>
        <v>TAP CONNECTOR</v>
      </c>
      <c r="L1075" s="36">
        <v>900877001</v>
      </c>
      <c r="M1075" s="35" t="s">
        <v>2751</v>
      </c>
      <c r="O1075" s="35" t="s">
        <v>6459</v>
      </c>
      <c r="P1075" s="37" t="s">
        <v>6481</v>
      </c>
      <c r="Q1075" s="34" t="s">
        <v>3549</v>
      </c>
      <c r="R1075" s="34" t="s">
        <v>3540</v>
      </c>
      <c r="S1075" s="47">
        <v>36434</v>
      </c>
      <c r="T1075" s="47">
        <v>0</v>
      </c>
      <c r="U1075" s="47">
        <v>0</v>
      </c>
      <c r="V1075" s="34">
        <v>4078500093804</v>
      </c>
      <c r="W1075" s="34" t="s">
        <v>3547</v>
      </c>
      <c r="X1075" s="34" t="s">
        <v>3704</v>
      </c>
      <c r="Y1075" s="34" t="s">
        <v>3542</v>
      </c>
      <c r="Z1075" s="34">
        <v>6</v>
      </c>
      <c r="AA1075" s="34" t="s">
        <v>4091</v>
      </c>
      <c r="AB1075" s="34" t="s">
        <v>4091</v>
      </c>
      <c r="AC1075" s="34" t="s">
        <v>3727</v>
      </c>
      <c r="AD1075" s="34" t="s">
        <v>3727</v>
      </c>
      <c r="AE1075" s="34" t="s">
        <v>3825</v>
      </c>
      <c r="AF1075" s="34" t="s">
        <v>3708</v>
      </c>
      <c r="AG1075" s="34" t="s">
        <v>4351</v>
      </c>
      <c r="AH1075" s="34" t="s">
        <v>6482</v>
      </c>
      <c r="AI1075" s="34" t="s">
        <v>4642</v>
      </c>
      <c r="AJ1075" s="34" t="s">
        <v>4346</v>
      </c>
      <c r="AK1075" s="34" t="s">
        <v>5125</v>
      </c>
      <c r="AL1075" s="34">
        <v>684</v>
      </c>
      <c r="AM1075" s="40" t="s">
        <v>9</v>
      </c>
      <c r="AP1075" s="34">
        <v>0</v>
      </c>
      <c r="AQ1075" s="34">
        <v>1199</v>
      </c>
      <c r="AR1075" s="34">
        <v>729</v>
      </c>
      <c r="AT1075" s="44">
        <v>92900</v>
      </c>
      <c r="AU1075" s="44"/>
      <c r="AV1075" s="46">
        <f>ROUND(Товары[[#This Row],[РРЦ финальная, руб.]]/$AU$1,2)</f>
        <v>0</v>
      </c>
      <c r="AW1075" s="45" t="str">
        <f>IFERROR(Товары[[#This Row],[РРЦ, евро]]/Товары[[#This Row],[IRP, Eur]],"-")</f>
        <v>-</v>
      </c>
      <c r="AX1075" s="42">
        <f>IFERROR(VLOOKUP(Товары[[#This Row],[SubGroup]],'Структура цен DIY'!$B:$C,2,FALSE),0)</f>
        <v>0.26</v>
      </c>
      <c r="AY1075" s="44">
        <v>0</v>
      </c>
    </row>
    <row r="1076" spans="1:51" x14ac:dyDescent="0.25">
      <c r="A1076" s="34">
        <v>1074</v>
      </c>
      <c r="B1076" s="34" t="s">
        <v>49</v>
      </c>
      <c r="C1076" s="110" t="str">
        <f>IFERROR(INDEX(Структура_ассортимента[SuperCategory],MATCH(Товары[[#This Row],[SubGroup]],Структура_ассортимента[Subgroup],0)),"")</f>
        <v>W</v>
      </c>
      <c r="D107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7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76" s="110" t="str">
        <f>IFERROR(INDEX(Структура_ассортимента[Product group],MATCH(Товары[[#This Row],[SubGroup]],Структура_ассортимента[Subgroup],0)),"")</f>
        <v>WMO_C</v>
      </c>
      <c r="G1076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076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76" s="36">
        <v>9011</v>
      </c>
      <c r="J1076" s="36" t="str">
        <f>IFERROR(INDEX(Структура_ассортимента[Generic Name (long)],MATCH(Товары[[#This Row],[SubGroup]],Структура_ассортимента[Subgroup],0)),"")</f>
        <v>TAP CONNECTOR</v>
      </c>
      <c r="L1076" s="36">
        <v>901024801</v>
      </c>
      <c r="M1076" s="35" t="s">
        <v>2752</v>
      </c>
      <c r="Q1076" s="34" t="s">
        <v>3713</v>
      </c>
      <c r="R1076" s="34" t="s">
        <v>3540</v>
      </c>
      <c r="S1076" s="47">
        <v>36434</v>
      </c>
      <c r="T1076" s="47">
        <v>0</v>
      </c>
      <c r="U1076" s="47">
        <v>0</v>
      </c>
      <c r="V1076" s="34">
        <v>4078500291002</v>
      </c>
      <c r="W1076" s="34" t="s">
        <v>3543</v>
      </c>
      <c r="Y1076" s="34" t="s">
        <v>3542</v>
      </c>
      <c r="Z1076" s="34">
        <v>6</v>
      </c>
      <c r="AA1076" s="34" t="s">
        <v>3715</v>
      </c>
      <c r="AB1076" s="34" t="s">
        <v>3715</v>
      </c>
      <c r="AC1076" s="34" t="s">
        <v>5603</v>
      </c>
      <c r="AD1076" s="34" t="s">
        <v>5603</v>
      </c>
      <c r="AE1076" s="34" t="s">
        <v>3693</v>
      </c>
      <c r="AF1076" s="34" t="s">
        <v>3800</v>
      </c>
      <c r="AG1076" s="34" t="s">
        <v>5126</v>
      </c>
      <c r="AH1076" s="34" t="s">
        <v>6483</v>
      </c>
      <c r="AL1076" s="34">
        <v>1728</v>
      </c>
      <c r="AM1076" s="40" t="s">
        <v>8094</v>
      </c>
      <c r="AT1076" s="44">
        <v>0</v>
      </c>
      <c r="AU1076" s="44"/>
      <c r="AV1076" s="46">
        <f>ROUND(Товары[[#This Row],[РРЦ финальная, руб.]]/$AU$1,2)</f>
        <v>0</v>
      </c>
      <c r="AW1076" s="45" t="str">
        <f>IFERROR(Товары[[#This Row],[РРЦ, евро]]/Товары[[#This Row],[IRP, Eur]],"-")</f>
        <v>-</v>
      </c>
      <c r="AX1076" s="42">
        <f>IFERROR(VLOOKUP(Товары[[#This Row],[SubGroup]],'Структура цен DIY'!$B:$C,2,FALSE),0)</f>
        <v>0.26</v>
      </c>
      <c r="AY1076" s="44">
        <v>0</v>
      </c>
    </row>
    <row r="1077" spans="1:51" x14ac:dyDescent="0.25">
      <c r="A1077" s="34">
        <v>1075</v>
      </c>
      <c r="B1077" s="34" t="s">
        <v>49</v>
      </c>
      <c r="C1077" s="110" t="str">
        <f>IFERROR(INDEX(Структура_ассортимента[SuperCategory],MATCH(Товары[[#This Row],[SubGroup]],Структура_ассортимента[Subgroup],0)),"")</f>
        <v>W</v>
      </c>
      <c r="D107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7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77" s="110" t="str">
        <f>IFERROR(INDEX(Структура_ассортимента[Product group],MATCH(Товары[[#This Row],[SubGroup]],Структура_ассортимента[Subgroup],0)),"")</f>
        <v>WMO_C</v>
      </c>
      <c r="G1077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077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77" s="36">
        <v>9011</v>
      </c>
      <c r="J1077" s="36" t="str">
        <f>IFERROR(INDEX(Структура_ассортимента[Generic Name (long)],MATCH(Товары[[#This Row],[SubGroup]],Структура_ассортимента[Subgroup],0)),"")</f>
        <v>TAP CONNECTOR</v>
      </c>
      <c r="L1077" s="36">
        <v>901026301</v>
      </c>
      <c r="M1077" s="35" t="s">
        <v>2753</v>
      </c>
      <c r="O1077" s="35" t="s">
        <v>6484</v>
      </c>
      <c r="P1077" s="37" t="s">
        <v>6485</v>
      </c>
      <c r="Q1077" s="34" t="s">
        <v>3549</v>
      </c>
      <c r="R1077" s="34" t="s">
        <v>3540</v>
      </c>
      <c r="S1077" s="47">
        <v>36069</v>
      </c>
      <c r="T1077" s="47">
        <v>0</v>
      </c>
      <c r="U1077" s="47">
        <v>0</v>
      </c>
      <c r="V1077" s="34">
        <v>4078500291521</v>
      </c>
      <c r="W1077" s="34" t="s">
        <v>3543</v>
      </c>
      <c r="X1077" s="34" t="s">
        <v>3579</v>
      </c>
      <c r="Y1077" s="34" t="s">
        <v>3542</v>
      </c>
      <c r="Z1077" s="34">
        <v>24</v>
      </c>
      <c r="AA1077" s="34" t="s">
        <v>5646</v>
      </c>
      <c r="AB1077" s="34" t="s">
        <v>5646</v>
      </c>
      <c r="AC1077" s="34" t="s">
        <v>6471</v>
      </c>
      <c r="AD1077" s="34" t="s">
        <v>6471</v>
      </c>
      <c r="AE1077" s="34" t="s">
        <v>3693</v>
      </c>
      <c r="AF1077" s="34" t="s">
        <v>3800</v>
      </c>
      <c r="AG1077" s="34" t="s">
        <v>4780</v>
      </c>
      <c r="AH1077" s="34" t="s">
        <v>6486</v>
      </c>
      <c r="AL1077" s="34" t="s">
        <v>6448</v>
      </c>
      <c r="AM1077" s="40" t="s">
        <v>9</v>
      </c>
      <c r="AP1077" s="34">
        <v>0</v>
      </c>
      <c r="AQ1077" s="34">
        <v>232</v>
      </c>
      <c r="AR1077" s="34">
        <v>143</v>
      </c>
      <c r="AT1077" s="44">
        <v>18000</v>
      </c>
      <c r="AU1077" s="44"/>
      <c r="AV1077" s="46">
        <f>ROUND(Товары[[#This Row],[РРЦ финальная, руб.]]/$AU$1,2)</f>
        <v>0</v>
      </c>
      <c r="AW1077" s="45" t="str">
        <f>IFERROR(Товары[[#This Row],[РРЦ, евро]]/Товары[[#This Row],[IRP, Eur]],"-")</f>
        <v>-</v>
      </c>
      <c r="AX1077" s="42">
        <f>IFERROR(VLOOKUP(Товары[[#This Row],[SubGroup]],'Структура цен DIY'!$B:$C,2,FALSE),0)</f>
        <v>0.26</v>
      </c>
      <c r="AY1077" s="44">
        <v>0</v>
      </c>
    </row>
    <row r="1078" spans="1:51" x14ac:dyDescent="0.25">
      <c r="A1078" s="34">
        <v>1076</v>
      </c>
      <c r="B1078" s="34" t="s">
        <v>49</v>
      </c>
      <c r="C1078" s="110" t="str">
        <f>IFERROR(INDEX(Структура_ассортимента[SuperCategory],MATCH(Товары[[#This Row],[SubGroup]],Структура_ассортимента[Subgroup],0)),"")</f>
        <v>W</v>
      </c>
      <c r="D107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7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78" s="110" t="str">
        <f>IFERROR(INDEX(Структура_ассортимента[Product group],MATCH(Товары[[#This Row],[SubGroup]],Структура_ассортимента[Subgroup],0)),"")</f>
        <v>WMO_C</v>
      </c>
      <c r="G1078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078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78" s="36">
        <v>9011</v>
      </c>
      <c r="J1078" s="36" t="str">
        <f>IFERROR(INDEX(Структура_ассортимента[Generic Name (long)],MATCH(Товары[[#This Row],[SubGroup]],Структура_ассортимента[Subgroup],0)),"")</f>
        <v>TAP CONNECTOR</v>
      </c>
      <c r="L1078" s="36">
        <v>901026701</v>
      </c>
      <c r="M1078" s="35" t="s">
        <v>2754</v>
      </c>
      <c r="O1078" s="35" t="s">
        <v>6487</v>
      </c>
      <c r="P1078" s="37" t="s">
        <v>6488</v>
      </c>
      <c r="Q1078" s="34" t="s">
        <v>3549</v>
      </c>
      <c r="R1078" s="34" t="s">
        <v>3540</v>
      </c>
      <c r="S1078" s="47">
        <v>36069</v>
      </c>
      <c r="T1078" s="47">
        <v>0</v>
      </c>
      <c r="U1078" s="47">
        <v>0</v>
      </c>
      <c r="V1078" s="34">
        <v>4078500291620</v>
      </c>
      <c r="W1078" s="34" t="s">
        <v>3543</v>
      </c>
      <c r="X1078" s="34" t="s">
        <v>3579</v>
      </c>
      <c r="Y1078" s="34" t="s">
        <v>3542</v>
      </c>
      <c r="Z1078" s="34">
        <v>12</v>
      </c>
      <c r="AA1078" s="34" t="s">
        <v>5603</v>
      </c>
      <c r="AB1078" s="34" t="s">
        <v>5603</v>
      </c>
      <c r="AC1078" s="34" t="s">
        <v>3776</v>
      </c>
      <c r="AD1078" s="34" t="s">
        <v>3776</v>
      </c>
      <c r="AE1078" s="34" t="s">
        <v>3693</v>
      </c>
      <c r="AF1078" s="34" t="s">
        <v>3800</v>
      </c>
      <c r="AG1078" s="34" t="s">
        <v>4468</v>
      </c>
      <c r="AH1078" s="34" t="s">
        <v>5881</v>
      </c>
      <c r="AL1078" s="34" t="s">
        <v>6489</v>
      </c>
      <c r="AM1078" s="40" t="s">
        <v>9</v>
      </c>
      <c r="AP1078" s="34">
        <v>0</v>
      </c>
      <c r="AQ1078" s="34">
        <v>256</v>
      </c>
      <c r="AR1078" s="34">
        <v>158</v>
      </c>
      <c r="AT1078" s="44">
        <v>19800</v>
      </c>
      <c r="AU1078" s="44"/>
      <c r="AV1078" s="46">
        <f>ROUND(Товары[[#This Row],[РРЦ финальная, руб.]]/$AU$1,2)</f>
        <v>0</v>
      </c>
      <c r="AW1078" s="45" t="str">
        <f>IFERROR(Товары[[#This Row],[РРЦ, евро]]/Товары[[#This Row],[IRP, Eur]],"-")</f>
        <v>-</v>
      </c>
      <c r="AX1078" s="42">
        <f>IFERROR(VLOOKUP(Товары[[#This Row],[SubGroup]],'Структура цен DIY'!$B:$C,2,FALSE),0)</f>
        <v>0.26</v>
      </c>
      <c r="AY1078" s="44">
        <v>0</v>
      </c>
    </row>
    <row r="1079" spans="1:51" x14ac:dyDescent="0.25">
      <c r="A1079" s="34">
        <v>1077</v>
      </c>
      <c r="B1079" s="34" t="s">
        <v>49</v>
      </c>
      <c r="C1079" s="110" t="str">
        <f>IFERROR(INDEX(Структура_ассортимента[SuperCategory],MATCH(Товары[[#This Row],[SubGroup]],Структура_ассортимента[Subgroup],0)),"")</f>
        <v>W</v>
      </c>
      <c r="D107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7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79" s="110" t="str">
        <f>IFERROR(INDEX(Структура_ассортимента[Product group],MATCH(Товары[[#This Row],[SubGroup]],Структура_ассортимента[Subgroup],0)),"")</f>
        <v>WMO_C</v>
      </c>
      <c r="G1079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079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79" s="36">
        <v>9011</v>
      </c>
      <c r="J1079" s="36" t="str">
        <f>IFERROR(INDEX(Структура_ассортимента[Generic Name (long)],MATCH(Товары[[#This Row],[SubGroup]],Структура_ассортимента[Subgroup],0)),"")</f>
        <v>TAP CONNECTOR</v>
      </c>
      <c r="L1079" s="36">
        <v>900874401</v>
      </c>
      <c r="M1079" s="35" t="s">
        <v>2755</v>
      </c>
      <c r="Q1079" s="34" t="s">
        <v>3549</v>
      </c>
      <c r="R1079" s="34" t="s">
        <v>3540</v>
      </c>
      <c r="S1079" s="47">
        <v>35704</v>
      </c>
      <c r="T1079" s="47">
        <v>0</v>
      </c>
      <c r="U1079" s="47">
        <v>0</v>
      </c>
      <c r="V1079" s="34">
        <v>40785172</v>
      </c>
      <c r="W1079" s="34" t="s">
        <v>3543</v>
      </c>
      <c r="X1079" s="34" t="s">
        <v>3579</v>
      </c>
      <c r="Y1079" s="34" t="s">
        <v>3542</v>
      </c>
      <c r="Z1079" s="34">
        <v>10</v>
      </c>
      <c r="AA1079" s="34" t="s">
        <v>6490</v>
      </c>
      <c r="AB1079" s="34" t="s">
        <v>6490</v>
      </c>
      <c r="AC1079" s="34" t="s">
        <v>3794</v>
      </c>
      <c r="AD1079" s="34" t="s">
        <v>3794</v>
      </c>
      <c r="AE1079" s="34" t="s">
        <v>4472</v>
      </c>
      <c r="AF1079" s="34" t="s">
        <v>4221</v>
      </c>
      <c r="AG1079" s="34" t="s">
        <v>4221</v>
      </c>
      <c r="AH1079" s="34" t="s">
        <v>6491</v>
      </c>
      <c r="AL1079" s="34">
        <v>4800</v>
      </c>
      <c r="AM1079" s="40" t="s">
        <v>8095</v>
      </c>
      <c r="AT1079" s="44">
        <v>0</v>
      </c>
      <c r="AU1079" s="44"/>
      <c r="AV1079" s="46">
        <f>ROUND(Товары[[#This Row],[РРЦ финальная, руб.]]/$AU$1,2)</f>
        <v>0</v>
      </c>
      <c r="AW1079" s="45" t="str">
        <f>IFERROR(Товары[[#This Row],[РРЦ, евро]]/Товары[[#This Row],[IRP, Eur]],"-")</f>
        <v>-</v>
      </c>
      <c r="AX1079" s="42">
        <f>IFERROR(VLOOKUP(Товары[[#This Row],[SubGroup]],'Структура цен DIY'!$B:$C,2,FALSE),0)</f>
        <v>0.26</v>
      </c>
      <c r="AY1079" s="44">
        <v>0</v>
      </c>
    </row>
    <row r="1080" spans="1:51" x14ac:dyDescent="0.25">
      <c r="A1080" s="34">
        <v>1078</v>
      </c>
      <c r="B1080" s="34" t="s">
        <v>49</v>
      </c>
      <c r="C1080" s="110" t="str">
        <f>IFERROR(INDEX(Структура_ассортимента[SuperCategory],MATCH(Товары[[#This Row],[SubGroup]],Структура_ассортимента[Subgroup],0)),"")</f>
        <v>W</v>
      </c>
      <c r="D108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8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80" s="110" t="str">
        <f>IFERROR(INDEX(Структура_ассортимента[Product group],MATCH(Товары[[#This Row],[SubGroup]],Структура_ассортимента[Subgroup],0)),"")</f>
        <v>WMO_C</v>
      </c>
      <c r="G1080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080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80" s="36">
        <v>9011</v>
      </c>
      <c r="J1080" s="36" t="str">
        <f>IFERROR(INDEX(Структура_ассортимента[Generic Name (long)],MATCH(Товары[[#This Row],[SubGroup]],Структура_ассортимента[Subgroup],0)),"")</f>
        <v>TAP CONNECTOR</v>
      </c>
      <c r="L1080" s="36">
        <v>901032001</v>
      </c>
      <c r="M1080" s="35" t="s">
        <v>2756</v>
      </c>
      <c r="O1080" s="35" t="s">
        <v>6492</v>
      </c>
      <c r="P1080" s="37" t="s">
        <v>6493</v>
      </c>
      <c r="Q1080" s="34" t="s">
        <v>3549</v>
      </c>
      <c r="R1080" s="34" t="s">
        <v>3540</v>
      </c>
      <c r="S1080" s="47">
        <v>39356</v>
      </c>
      <c r="T1080" s="47">
        <v>0</v>
      </c>
      <c r="U1080" s="47">
        <v>0</v>
      </c>
      <c r="V1080" s="34">
        <v>4078500299909</v>
      </c>
      <c r="W1080" s="34" t="s">
        <v>3543</v>
      </c>
      <c r="X1080" s="34" t="s">
        <v>6472</v>
      </c>
      <c r="Y1080" s="34" t="s">
        <v>3542</v>
      </c>
      <c r="Z1080" s="34">
        <v>10</v>
      </c>
      <c r="AA1080" s="34" t="s">
        <v>3727</v>
      </c>
      <c r="AB1080" s="34" t="s">
        <v>3727</v>
      </c>
      <c r="AC1080" s="34" t="s">
        <v>3717</v>
      </c>
      <c r="AD1080" s="34" t="s">
        <v>3717</v>
      </c>
      <c r="AE1080" s="34" t="s">
        <v>3825</v>
      </c>
      <c r="AF1080" s="34" t="s">
        <v>3576</v>
      </c>
      <c r="AG1080" s="34" t="s">
        <v>3931</v>
      </c>
      <c r="AH1080" s="34" t="s">
        <v>3673</v>
      </c>
      <c r="AI1080" s="34" t="s">
        <v>5641</v>
      </c>
      <c r="AJ1080" s="34" t="s">
        <v>3931</v>
      </c>
      <c r="AK1080" s="34" t="s">
        <v>3931</v>
      </c>
      <c r="AL1080" s="34">
        <v>850</v>
      </c>
      <c r="AM1080" s="40" t="s">
        <v>9</v>
      </c>
      <c r="AP1080" s="34">
        <v>0</v>
      </c>
      <c r="AQ1080" s="34">
        <v>779</v>
      </c>
      <c r="AR1080" s="34">
        <v>474</v>
      </c>
      <c r="AT1080" s="44">
        <v>60300</v>
      </c>
      <c r="AU1080" s="44"/>
      <c r="AV1080" s="46">
        <f>ROUND(Товары[[#This Row],[РРЦ финальная, руб.]]/$AU$1,2)</f>
        <v>0</v>
      </c>
      <c r="AW1080" s="45" t="str">
        <f>IFERROR(Товары[[#This Row],[РРЦ, евро]]/Товары[[#This Row],[IRP, Eur]],"-")</f>
        <v>-</v>
      </c>
      <c r="AX1080" s="42">
        <f>IFERROR(VLOOKUP(Товары[[#This Row],[SubGroup]],'Структура цен DIY'!$B:$C,2,FALSE),0)</f>
        <v>0.26</v>
      </c>
      <c r="AY1080" s="44">
        <v>0</v>
      </c>
    </row>
    <row r="1081" spans="1:51" x14ac:dyDescent="0.25">
      <c r="A1081" s="34">
        <v>1079</v>
      </c>
      <c r="B1081" s="34" t="s">
        <v>49</v>
      </c>
      <c r="C1081" s="110" t="str">
        <f>IFERROR(INDEX(Структура_ассортимента[SuperCategory],MATCH(Товары[[#This Row],[SubGroup]],Структура_ассортимента[Subgroup],0)),"")</f>
        <v>W</v>
      </c>
      <c r="D108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8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81" s="110" t="str">
        <f>IFERROR(INDEX(Структура_ассортимента[Product group],MATCH(Товары[[#This Row],[SubGroup]],Структура_ассортимента[Subgroup],0)),"")</f>
        <v>WMO_C</v>
      </c>
      <c r="G1081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081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81" s="36">
        <v>9011</v>
      </c>
      <c r="J1081" s="36" t="str">
        <f>IFERROR(INDEX(Структура_ассортимента[Generic Name (long)],MATCH(Товары[[#This Row],[SubGroup]],Структура_ассортимента[Subgroup],0)),"")</f>
        <v>TAP CONNECTOR</v>
      </c>
      <c r="L1081" s="36">
        <v>901160201</v>
      </c>
      <c r="M1081" s="35" t="s">
        <v>2757</v>
      </c>
      <c r="P1081" s="37" t="s">
        <v>6494</v>
      </c>
      <c r="Q1081" s="34" t="s">
        <v>3713</v>
      </c>
      <c r="R1081" s="34" t="s">
        <v>3540</v>
      </c>
      <c r="S1081" s="47">
        <v>39356</v>
      </c>
      <c r="T1081" s="47">
        <v>43830</v>
      </c>
      <c r="U1081" s="47">
        <v>43830</v>
      </c>
      <c r="V1081" s="34">
        <v>4078500818704</v>
      </c>
      <c r="W1081" s="34" t="s">
        <v>3543</v>
      </c>
      <c r="Y1081" s="34" t="s">
        <v>3542</v>
      </c>
      <c r="Z1081" s="34">
        <v>10</v>
      </c>
      <c r="AA1081" s="34" t="s">
        <v>6495</v>
      </c>
      <c r="AB1081" s="34" t="s">
        <v>6495</v>
      </c>
      <c r="AC1081" s="34" t="s">
        <v>3729</v>
      </c>
      <c r="AD1081" s="34" t="s">
        <v>3729</v>
      </c>
      <c r="AE1081" s="34" t="s">
        <v>3825</v>
      </c>
      <c r="AF1081" s="34" t="s">
        <v>3576</v>
      </c>
      <c r="AG1081" s="34" t="s">
        <v>3754</v>
      </c>
      <c r="AH1081" s="34" t="s">
        <v>6496</v>
      </c>
      <c r="AL1081" s="34">
        <v>850</v>
      </c>
      <c r="AM1081" s="40" t="s">
        <v>233</v>
      </c>
      <c r="AP1081" s="34">
        <v>0</v>
      </c>
      <c r="AQ1081" s="34">
        <v>1445</v>
      </c>
      <c r="AR1081" s="34">
        <v>879</v>
      </c>
      <c r="AT1081" s="44">
        <v>111900</v>
      </c>
      <c r="AU1081" s="44"/>
      <c r="AV1081" s="46">
        <f>ROUND(Товары[[#This Row],[РРЦ финальная, руб.]]/$AU$1,2)</f>
        <v>0</v>
      </c>
      <c r="AW1081" s="45" t="str">
        <f>IFERROR(Товары[[#This Row],[РРЦ, евро]]/Товары[[#This Row],[IRP, Eur]],"-")</f>
        <v>-</v>
      </c>
      <c r="AX1081" s="42">
        <f>IFERROR(VLOOKUP(Товары[[#This Row],[SubGroup]],'Структура цен DIY'!$B:$C,2,FALSE),0)</f>
        <v>0.26</v>
      </c>
      <c r="AY1081" s="44">
        <v>0</v>
      </c>
    </row>
    <row r="1082" spans="1:51" x14ac:dyDescent="0.25">
      <c r="A1082" s="34">
        <v>1080</v>
      </c>
      <c r="B1082" s="34" t="s">
        <v>49</v>
      </c>
      <c r="C1082" s="110" t="str">
        <f>IFERROR(INDEX(Структура_ассортимента[SuperCategory],MATCH(Товары[[#This Row],[SubGroup]],Структура_ассортимента[Subgroup],0)),"")</f>
        <v>W</v>
      </c>
      <c r="D108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8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82" s="110" t="str">
        <f>IFERROR(INDEX(Структура_ассортимента[Product group],MATCH(Товары[[#This Row],[SubGroup]],Структура_ассортимента[Subgroup],0)),"")</f>
        <v>WMO_C</v>
      </c>
      <c r="G1082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082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82" s="36">
        <v>9011</v>
      </c>
      <c r="J1082" s="36" t="str">
        <f>IFERROR(INDEX(Структура_ассортимента[Generic Name (long)],MATCH(Товары[[#This Row],[SubGroup]],Структура_ассортимента[Subgroup],0)),"")</f>
        <v>TAP CONNECTOR</v>
      </c>
      <c r="L1082" s="36">
        <v>966780901</v>
      </c>
      <c r="M1082" s="35" t="s">
        <v>2758</v>
      </c>
      <c r="O1082" s="35" t="s">
        <v>6497</v>
      </c>
      <c r="P1082" s="37" t="s">
        <v>6498</v>
      </c>
      <c r="Q1082" s="34" t="s">
        <v>3549</v>
      </c>
      <c r="R1082" s="34" t="s">
        <v>3540</v>
      </c>
      <c r="S1082" s="47">
        <v>40817</v>
      </c>
      <c r="T1082" s="47">
        <v>0</v>
      </c>
      <c r="U1082" s="47">
        <v>0</v>
      </c>
      <c r="V1082" s="34">
        <v>4078500818803</v>
      </c>
      <c r="W1082" s="34" t="s">
        <v>3543</v>
      </c>
      <c r="X1082" s="34" t="s">
        <v>3704</v>
      </c>
      <c r="Y1082" s="34" t="s">
        <v>3542</v>
      </c>
      <c r="Z1082" s="34">
        <v>4</v>
      </c>
      <c r="AA1082" s="34" t="s">
        <v>3929</v>
      </c>
      <c r="AB1082" s="34" t="s">
        <v>4987</v>
      </c>
      <c r="AC1082" s="34" t="s">
        <v>4132</v>
      </c>
      <c r="AD1082" s="34" t="s">
        <v>4006</v>
      </c>
      <c r="AE1082" s="34" t="s">
        <v>3942</v>
      </c>
      <c r="AF1082" s="34" t="s">
        <v>3968</v>
      </c>
      <c r="AG1082" s="34" t="s">
        <v>4546</v>
      </c>
      <c r="AH1082" s="34" t="s">
        <v>6499</v>
      </c>
      <c r="AI1082" s="34" t="s">
        <v>4239</v>
      </c>
      <c r="AJ1082" s="34" t="s">
        <v>6500</v>
      </c>
      <c r="AK1082" s="34" t="s">
        <v>6501</v>
      </c>
      <c r="AL1082" s="34" t="s">
        <v>4433</v>
      </c>
      <c r="AM1082" s="40" t="s">
        <v>9</v>
      </c>
      <c r="AP1082" s="34">
        <v>0</v>
      </c>
      <c r="AQ1082" s="34">
        <v>2629</v>
      </c>
      <c r="AR1082" s="34">
        <v>1577</v>
      </c>
      <c r="AT1082" s="44">
        <v>203600</v>
      </c>
      <c r="AU1082" s="44"/>
      <c r="AV1082" s="46">
        <f>ROUND(Товары[[#This Row],[РРЦ финальная, руб.]]/$AU$1,2)</f>
        <v>0</v>
      </c>
      <c r="AW1082" s="45" t="str">
        <f>IFERROR(Товары[[#This Row],[РРЦ, евро]]/Товары[[#This Row],[IRP, Eur]],"-")</f>
        <v>-</v>
      </c>
      <c r="AX1082" s="42">
        <f>IFERROR(VLOOKUP(Товары[[#This Row],[SubGroup]],'Структура цен DIY'!$B:$C,2,FALSE),0)</f>
        <v>0.26</v>
      </c>
      <c r="AY1082" s="44">
        <v>0</v>
      </c>
    </row>
    <row r="1083" spans="1:51" x14ac:dyDescent="0.25">
      <c r="A1083" s="34">
        <v>1081</v>
      </c>
      <c r="B1083" s="34" t="s">
        <v>49</v>
      </c>
      <c r="C1083" s="110" t="str">
        <f>IFERROR(INDEX(Структура_ассортимента[SuperCategory],MATCH(Товары[[#This Row],[SubGroup]],Структура_ассортимента[Subgroup],0)),"")</f>
        <v>W</v>
      </c>
      <c r="D108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8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83" s="110" t="str">
        <f>IFERROR(INDEX(Структура_ассортимента[Product group],MATCH(Товары[[#This Row],[SubGroup]],Структура_ассортимента[Subgroup],0)),"")</f>
        <v>WMO_C</v>
      </c>
      <c r="G1083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083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83" s="36">
        <v>9011</v>
      </c>
      <c r="J1083" s="36" t="str">
        <f>IFERROR(INDEX(Структура_ассортимента[Generic Name (long)],MATCH(Товары[[#This Row],[SubGroup]],Структура_ассортимента[Subgroup],0)),"")</f>
        <v>TAP CONNECTOR</v>
      </c>
      <c r="L1083" s="36">
        <v>967311801</v>
      </c>
      <c r="M1083" s="35" t="s">
        <v>2759</v>
      </c>
      <c r="Q1083" s="34" t="s">
        <v>3549</v>
      </c>
      <c r="R1083" s="34" t="s">
        <v>3540</v>
      </c>
      <c r="S1083" s="47">
        <v>42005</v>
      </c>
      <c r="T1083" s="47">
        <v>0</v>
      </c>
      <c r="U1083" s="47">
        <v>0</v>
      </c>
      <c r="V1083" s="34">
        <v>4078500011358</v>
      </c>
      <c r="W1083" s="34" t="s">
        <v>3543</v>
      </c>
      <c r="X1083" s="34" t="s">
        <v>3579</v>
      </c>
      <c r="Y1083" s="34" t="s">
        <v>3542</v>
      </c>
      <c r="Z1083" s="34">
        <v>50</v>
      </c>
      <c r="AA1083" s="34" t="s">
        <v>3807</v>
      </c>
      <c r="AB1083" s="34" t="s">
        <v>3807</v>
      </c>
      <c r="AC1083" s="34" t="s">
        <v>6502</v>
      </c>
      <c r="AD1083" s="34" t="s">
        <v>6502</v>
      </c>
      <c r="AE1083" s="34" t="s">
        <v>6501</v>
      </c>
      <c r="AF1083" s="34" t="s">
        <v>3931</v>
      </c>
      <c r="AG1083" s="34" t="s">
        <v>4956</v>
      </c>
      <c r="AH1083" s="34" t="s">
        <v>6503</v>
      </c>
      <c r="AI1083" s="34" t="s">
        <v>4775</v>
      </c>
      <c r="AJ1083" s="34" t="s">
        <v>4406</v>
      </c>
      <c r="AK1083" s="34" t="s">
        <v>4406</v>
      </c>
      <c r="AL1083" s="34" t="s">
        <v>6504</v>
      </c>
      <c r="AM1083" s="40" t="s">
        <v>8095</v>
      </c>
      <c r="AT1083" s="44">
        <v>0</v>
      </c>
      <c r="AU1083" s="44"/>
      <c r="AV1083" s="46">
        <f>ROUND(Товары[[#This Row],[РРЦ финальная, руб.]]/$AU$1,2)</f>
        <v>0</v>
      </c>
      <c r="AW1083" s="45" t="str">
        <f>IFERROR(Товары[[#This Row],[РРЦ, евро]]/Товары[[#This Row],[IRP, Eur]],"-")</f>
        <v>-</v>
      </c>
      <c r="AX1083" s="42">
        <f>IFERROR(VLOOKUP(Товары[[#This Row],[SubGroup]],'Структура цен DIY'!$B:$C,2,FALSE),0)</f>
        <v>0.26</v>
      </c>
      <c r="AY1083" s="44">
        <v>0</v>
      </c>
    </row>
    <row r="1084" spans="1:51" x14ac:dyDescent="0.25">
      <c r="A1084" s="34">
        <v>1082</v>
      </c>
      <c r="B1084" s="34" t="s">
        <v>49</v>
      </c>
      <c r="C1084" s="110" t="str">
        <f>IFERROR(INDEX(Структура_ассортимента[SuperCategory],MATCH(Товары[[#This Row],[SubGroup]],Структура_ассортимента[Subgroup],0)),"")</f>
        <v>W</v>
      </c>
      <c r="D108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8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84" s="110" t="str">
        <f>IFERROR(INDEX(Структура_ассортимента[Product group],MATCH(Товары[[#This Row],[SubGroup]],Структура_ассортимента[Subgroup],0)),"")</f>
        <v>WMO_C</v>
      </c>
      <c r="G1084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084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84" s="36">
        <v>9011</v>
      </c>
      <c r="J1084" s="36" t="str">
        <f>IFERROR(INDEX(Структура_ассортимента[Generic Name (long)],MATCH(Товары[[#This Row],[SubGroup]],Структура_ассортимента[Subgroup],0)),"")</f>
        <v>TAP CONNECTOR</v>
      </c>
      <c r="L1084" s="36">
        <v>967312001</v>
      </c>
      <c r="M1084" s="35" t="s">
        <v>2760</v>
      </c>
      <c r="Q1084" s="34" t="s">
        <v>3549</v>
      </c>
      <c r="R1084" s="34" t="s">
        <v>3540</v>
      </c>
      <c r="S1084" s="47">
        <v>42005</v>
      </c>
      <c r="T1084" s="47">
        <v>0</v>
      </c>
      <c r="U1084" s="47">
        <v>0</v>
      </c>
      <c r="V1084" s="34">
        <v>40785516</v>
      </c>
      <c r="W1084" s="34" t="s">
        <v>3543</v>
      </c>
      <c r="X1084" s="34" t="s">
        <v>3579</v>
      </c>
      <c r="Y1084" s="34" t="s">
        <v>3542</v>
      </c>
      <c r="Z1084" s="34">
        <v>20</v>
      </c>
      <c r="AA1084" s="34" t="s">
        <v>6505</v>
      </c>
      <c r="AB1084" s="34" t="s">
        <v>6505</v>
      </c>
      <c r="AC1084" s="34" t="s">
        <v>3811</v>
      </c>
      <c r="AD1084" s="34" t="s">
        <v>3811</v>
      </c>
      <c r="AE1084" s="34" t="s">
        <v>4406</v>
      </c>
      <c r="AF1084" s="34" t="s">
        <v>4406</v>
      </c>
      <c r="AG1084" s="34" t="s">
        <v>4775</v>
      </c>
      <c r="AH1084" s="34" t="s">
        <v>6506</v>
      </c>
      <c r="AI1084" s="34" t="s">
        <v>4775</v>
      </c>
      <c r="AJ1084" s="34" t="s">
        <v>4406</v>
      </c>
      <c r="AK1084" s="34" t="s">
        <v>4406</v>
      </c>
      <c r="AL1084" s="34" t="s">
        <v>6507</v>
      </c>
      <c r="AM1084" s="40" t="s">
        <v>8095</v>
      </c>
      <c r="AT1084" s="44">
        <v>0</v>
      </c>
      <c r="AU1084" s="44"/>
      <c r="AV1084" s="46">
        <f>ROUND(Товары[[#This Row],[РРЦ финальная, руб.]]/$AU$1,2)</f>
        <v>0</v>
      </c>
      <c r="AW1084" s="45" t="str">
        <f>IFERROR(Товары[[#This Row],[РРЦ, евро]]/Товары[[#This Row],[IRP, Eur]],"-")</f>
        <v>-</v>
      </c>
      <c r="AX1084" s="42">
        <f>IFERROR(VLOOKUP(Товары[[#This Row],[SubGroup]],'Структура цен DIY'!$B:$C,2,FALSE),0)</f>
        <v>0.26</v>
      </c>
      <c r="AY1084" s="44">
        <v>0</v>
      </c>
    </row>
    <row r="1085" spans="1:51" x14ac:dyDescent="0.25">
      <c r="A1085" s="34">
        <v>1083</v>
      </c>
      <c r="B1085" s="34" t="s">
        <v>49</v>
      </c>
      <c r="C1085" s="110" t="str">
        <f>IFERROR(INDEX(Структура_ассортимента[SuperCategory],MATCH(Товары[[#This Row],[SubGroup]],Структура_ассортимента[Subgroup],0)),"")</f>
        <v>W</v>
      </c>
      <c r="D108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8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85" s="110" t="str">
        <f>IFERROR(INDEX(Структура_ассортимента[Product group],MATCH(Товары[[#This Row],[SubGroup]],Структура_ассортимента[Subgroup],0)),"")</f>
        <v>WMO_C</v>
      </c>
      <c r="G1085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085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85" s="36">
        <v>9011</v>
      </c>
      <c r="J1085" s="36" t="str">
        <f>IFERROR(INDEX(Структура_ассортимента[Generic Name (long)],MATCH(Товары[[#This Row],[SubGroup]],Структура_ассортимента[Subgroup],0)),"")</f>
        <v>TAP CONNECTOR</v>
      </c>
      <c r="L1085" s="36">
        <v>967312301</v>
      </c>
      <c r="M1085" s="35" t="s">
        <v>2761</v>
      </c>
      <c r="Q1085" s="34" t="s">
        <v>3549</v>
      </c>
      <c r="R1085" s="34" t="s">
        <v>3540</v>
      </c>
      <c r="S1085" s="47">
        <v>42005</v>
      </c>
      <c r="T1085" s="47">
        <v>0</v>
      </c>
      <c r="U1085" s="47">
        <v>0</v>
      </c>
      <c r="V1085" s="34">
        <v>4078500011563</v>
      </c>
      <c r="W1085" s="34" t="s">
        <v>3543</v>
      </c>
      <c r="X1085" s="34" t="s">
        <v>3579</v>
      </c>
      <c r="Y1085" s="34" t="s">
        <v>3542</v>
      </c>
      <c r="Z1085" s="34">
        <v>50</v>
      </c>
      <c r="AA1085" s="34" t="s">
        <v>3799</v>
      </c>
      <c r="AB1085" s="34" t="s">
        <v>3799</v>
      </c>
      <c r="AC1085" s="34" t="s">
        <v>6505</v>
      </c>
      <c r="AD1085" s="34" t="s">
        <v>6505</v>
      </c>
      <c r="AE1085" s="34" t="s">
        <v>4221</v>
      </c>
      <c r="AF1085" s="34" t="s">
        <v>4221</v>
      </c>
      <c r="AG1085" s="34" t="s">
        <v>4775</v>
      </c>
      <c r="AH1085" s="34" t="s">
        <v>6508</v>
      </c>
      <c r="AI1085" s="34" t="s">
        <v>4775</v>
      </c>
      <c r="AJ1085" s="34" t="s">
        <v>3699</v>
      </c>
      <c r="AK1085" s="34" t="s">
        <v>3699</v>
      </c>
      <c r="AL1085" s="34" t="s">
        <v>6504</v>
      </c>
      <c r="AM1085" s="40" t="s">
        <v>8095</v>
      </c>
      <c r="AT1085" s="44">
        <v>0</v>
      </c>
      <c r="AU1085" s="44"/>
      <c r="AV1085" s="46">
        <f>ROUND(Товары[[#This Row],[РРЦ финальная, руб.]]/$AU$1,2)</f>
        <v>0</v>
      </c>
      <c r="AW1085" s="45" t="str">
        <f>IFERROR(Товары[[#This Row],[РРЦ, евро]]/Товары[[#This Row],[IRP, Eur]],"-")</f>
        <v>-</v>
      </c>
      <c r="AX1085" s="42">
        <f>IFERROR(VLOOKUP(Товары[[#This Row],[SubGroup]],'Структура цен DIY'!$B:$C,2,FALSE),0)</f>
        <v>0.26</v>
      </c>
      <c r="AY1085" s="44">
        <v>0</v>
      </c>
    </row>
    <row r="1086" spans="1:51" x14ac:dyDescent="0.25">
      <c r="A1086" s="34">
        <v>1084</v>
      </c>
      <c r="B1086" s="34" t="s">
        <v>49</v>
      </c>
      <c r="C1086" s="110" t="str">
        <f>IFERROR(INDEX(Структура_ассортимента[SuperCategory],MATCH(Товары[[#This Row],[SubGroup]],Структура_ассортимента[Subgroup],0)),"")</f>
        <v>W</v>
      </c>
      <c r="D108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8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86" s="110" t="str">
        <f>IFERROR(INDEX(Структура_ассортимента[Product group],MATCH(Товары[[#This Row],[SubGroup]],Структура_ассортимента[Subgroup],0)),"")</f>
        <v>WMO_C</v>
      </c>
      <c r="G1086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086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86" s="36">
        <v>9011</v>
      </c>
      <c r="J1086" s="36" t="str">
        <f>IFERROR(INDEX(Структура_ассортимента[Generic Name (long)],MATCH(Товары[[#This Row],[SubGroup]],Структура_ассортимента[Subgroup],0)),"")</f>
        <v>TAP CONNECTOR</v>
      </c>
      <c r="L1086" s="36">
        <v>967312501</v>
      </c>
      <c r="M1086" s="35" t="s">
        <v>2762</v>
      </c>
      <c r="Q1086" s="34" t="s">
        <v>3549</v>
      </c>
      <c r="R1086" s="34" t="s">
        <v>3540</v>
      </c>
      <c r="S1086" s="47">
        <v>42005</v>
      </c>
      <c r="T1086" s="47">
        <v>0</v>
      </c>
      <c r="U1086" s="47">
        <v>0</v>
      </c>
      <c r="V1086" s="34">
        <v>40785523</v>
      </c>
      <c r="W1086" s="34" t="s">
        <v>3543</v>
      </c>
      <c r="X1086" s="34" t="s">
        <v>3579</v>
      </c>
      <c r="Y1086" s="34" t="s">
        <v>3542</v>
      </c>
      <c r="Z1086" s="34">
        <v>50</v>
      </c>
      <c r="AA1086" s="34" t="s">
        <v>6505</v>
      </c>
      <c r="AB1086" s="34" t="s">
        <v>6505</v>
      </c>
      <c r="AC1086" s="34" t="s">
        <v>3811</v>
      </c>
      <c r="AD1086" s="34" t="s">
        <v>6505</v>
      </c>
      <c r="AE1086" s="34" t="s">
        <v>4221</v>
      </c>
      <c r="AF1086" s="34" t="s">
        <v>4221</v>
      </c>
      <c r="AG1086" s="34" t="s">
        <v>4775</v>
      </c>
      <c r="AH1086" s="34" t="s">
        <v>6508</v>
      </c>
      <c r="AI1086" s="34" t="s">
        <v>4775</v>
      </c>
      <c r="AJ1086" s="34" t="s">
        <v>3699</v>
      </c>
      <c r="AK1086" s="34" t="s">
        <v>3699</v>
      </c>
      <c r="AL1086" s="34" t="s">
        <v>6509</v>
      </c>
      <c r="AM1086" s="40" t="s">
        <v>8095</v>
      </c>
      <c r="AT1086" s="44">
        <v>0</v>
      </c>
      <c r="AU1086" s="44"/>
      <c r="AV1086" s="46">
        <f>ROUND(Товары[[#This Row],[РРЦ финальная, руб.]]/$AU$1,2)</f>
        <v>0</v>
      </c>
      <c r="AW1086" s="45" t="str">
        <f>IFERROR(Товары[[#This Row],[РРЦ, евро]]/Товары[[#This Row],[IRP, Eur]],"-")</f>
        <v>-</v>
      </c>
      <c r="AX1086" s="42">
        <f>IFERROR(VLOOKUP(Товары[[#This Row],[SubGroup]],'Структура цен DIY'!$B:$C,2,FALSE),0)</f>
        <v>0.26</v>
      </c>
      <c r="AY1086" s="44">
        <v>0</v>
      </c>
    </row>
    <row r="1087" spans="1:51" x14ac:dyDescent="0.25">
      <c r="A1087" s="34">
        <v>1085</v>
      </c>
      <c r="B1087" s="34" t="s">
        <v>49</v>
      </c>
      <c r="C1087" s="110" t="str">
        <f>IFERROR(INDEX(Структура_ассортимента[SuperCategory],MATCH(Товары[[#This Row],[SubGroup]],Структура_ассортимента[Subgroup],0)),"")</f>
        <v>W</v>
      </c>
      <c r="D108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8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87" s="110" t="str">
        <f>IFERROR(INDEX(Структура_ассортимента[Product group],MATCH(Товары[[#This Row],[SubGroup]],Структура_ассортимента[Subgroup],0)),"")</f>
        <v>WMO_C</v>
      </c>
      <c r="G1087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087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87" s="36">
        <v>9011</v>
      </c>
      <c r="J1087" s="36" t="str">
        <f>IFERROR(INDEX(Структура_ассортимента[Generic Name (long)],MATCH(Товары[[#This Row],[SubGroup]],Структура_ассортимента[Subgroup],0)),"")</f>
        <v>TAP CONNECTOR</v>
      </c>
      <c r="L1087" s="36">
        <v>967312701</v>
      </c>
      <c r="M1087" s="35" t="s">
        <v>2763</v>
      </c>
      <c r="Q1087" s="34" t="s">
        <v>3549</v>
      </c>
      <c r="R1087" s="34" t="s">
        <v>3540</v>
      </c>
      <c r="S1087" s="47">
        <v>42005</v>
      </c>
      <c r="T1087" s="47">
        <v>0</v>
      </c>
      <c r="U1087" s="47">
        <v>0</v>
      </c>
      <c r="V1087" s="34">
        <v>4078500011457</v>
      </c>
      <c r="W1087" s="34" t="s">
        <v>3543</v>
      </c>
      <c r="X1087" s="34" t="s">
        <v>3579</v>
      </c>
      <c r="Y1087" s="34" t="s">
        <v>3542</v>
      </c>
      <c r="Z1087" s="34">
        <v>50</v>
      </c>
      <c r="AA1087" s="34" t="s">
        <v>3807</v>
      </c>
      <c r="AB1087" s="34" t="s">
        <v>3807</v>
      </c>
      <c r="AC1087" s="34" t="s">
        <v>6505</v>
      </c>
      <c r="AD1087" s="34" t="s">
        <v>6505</v>
      </c>
      <c r="AE1087" s="34" t="s">
        <v>4956</v>
      </c>
      <c r="AF1087" s="34" t="s">
        <v>4956</v>
      </c>
      <c r="AG1087" s="34" t="s">
        <v>4775</v>
      </c>
      <c r="AH1087" s="34" t="s">
        <v>6510</v>
      </c>
      <c r="AI1087" s="34" t="s">
        <v>4775</v>
      </c>
      <c r="AJ1087" s="34" t="s">
        <v>3931</v>
      </c>
      <c r="AK1087" s="34" t="s">
        <v>3931</v>
      </c>
      <c r="AL1087" s="34" t="s">
        <v>6504</v>
      </c>
      <c r="AM1087" s="40" t="s">
        <v>8095</v>
      </c>
      <c r="AT1087" s="44">
        <v>0</v>
      </c>
      <c r="AU1087" s="44"/>
      <c r="AV1087" s="46">
        <f>ROUND(Товары[[#This Row],[РРЦ финальная, руб.]]/$AU$1,2)</f>
        <v>0</v>
      </c>
      <c r="AW1087" s="45" t="str">
        <f>IFERROR(Товары[[#This Row],[РРЦ, евро]]/Товары[[#This Row],[IRP, Eur]],"-")</f>
        <v>-</v>
      </c>
      <c r="AX1087" s="42">
        <f>IFERROR(VLOOKUP(Товары[[#This Row],[SubGroup]],'Структура цен DIY'!$B:$C,2,FALSE),0)</f>
        <v>0.26</v>
      </c>
      <c r="AY1087" s="44">
        <v>0</v>
      </c>
    </row>
    <row r="1088" spans="1:51" x14ac:dyDescent="0.25">
      <c r="A1088" s="34">
        <v>1086</v>
      </c>
      <c r="B1088" s="34" t="s">
        <v>49</v>
      </c>
      <c r="C1088" s="110" t="str">
        <f>IFERROR(INDEX(Структура_ассортимента[SuperCategory],MATCH(Товары[[#This Row],[SubGroup]],Структура_ассортимента[Subgroup],0)),"")</f>
        <v>W</v>
      </c>
      <c r="D108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8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88" s="110" t="str">
        <f>IFERROR(INDEX(Структура_ассортимента[Product group],MATCH(Товары[[#This Row],[SubGroup]],Структура_ассортимента[Subgroup],0)),"")</f>
        <v>WMO_C</v>
      </c>
      <c r="G1088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088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88" s="36">
        <v>9011</v>
      </c>
      <c r="J1088" s="36" t="str">
        <f>IFERROR(INDEX(Структура_ассортимента[Generic Name (long)],MATCH(Товары[[#This Row],[SubGroup]],Структура_ассортимента[Subgroup],0)),"")</f>
        <v>TAP CONNECTOR</v>
      </c>
      <c r="L1088" s="36">
        <v>967312901</v>
      </c>
      <c r="M1088" s="35" t="s">
        <v>2764</v>
      </c>
      <c r="Q1088" s="34" t="s">
        <v>3549</v>
      </c>
      <c r="R1088" s="34" t="s">
        <v>3540</v>
      </c>
      <c r="S1088" s="47">
        <v>42005</v>
      </c>
      <c r="T1088" s="47">
        <v>0</v>
      </c>
      <c r="U1088" s="47">
        <v>0</v>
      </c>
      <c r="V1088" s="34">
        <v>40785530</v>
      </c>
      <c r="W1088" s="34" t="s">
        <v>3543</v>
      </c>
      <c r="X1088" s="34" t="s">
        <v>3579</v>
      </c>
      <c r="Y1088" s="34" t="s">
        <v>3542</v>
      </c>
      <c r="Z1088" s="34">
        <v>50</v>
      </c>
      <c r="AA1088" s="34" t="s">
        <v>3795</v>
      </c>
      <c r="AB1088" s="34" t="s">
        <v>3795</v>
      </c>
      <c r="AC1088" s="34" t="s">
        <v>3807</v>
      </c>
      <c r="AD1088" s="34" t="s">
        <v>3807</v>
      </c>
      <c r="AE1088" s="34" t="s">
        <v>4956</v>
      </c>
      <c r="AF1088" s="34" t="s">
        <v>4956</v>
      </c>
      <c r="AG1088" s="34" t="s">
        <v>4775</v>
      </c>
      <c r="AH1088" s="34" t="s">
        <v>6510</v>
      </c>
      <c r="AI1088" s="34" t="s">
        <v>4775</v>
      </c>
      <c r="AJ1088" s="34" t="s">
        <v>3931</v>
      </c>
      <c r="AK1088" s="34" t="s">
        <v>3931</v>
      </c>
      <c r="AL1088" s="34" t="s">
        <v>6511</v>
      </c>
      <c r="AM1088" s="40" t="s">
        <v>8095</v>
      </c>
      <c r="AT1088" s="44">
        <v>0</v>
      </c>
      <c r="AU1088" s="44"/>
      <c r="AV1088" s="46">
        <f>ROUND(Товары[[#This Row],[РРЦ финальная, руб.]]/$AU$1,2)</f>
        <v>0</v>
      </c>
      <c r="AW1088" s="45" t="str">
        <f>IFERROR(Товары[[#This Row],[РРЦ, евро]]/Товары[[#This Row],[IRP, Eur]],"-")</f>
        <v>-</v>
      </c>
      <c r="AX1088" s="42">
        <f>IFERROR(VLOOKUP(Товары[[#This Row],[SubGroup]],'Структура цен DIY'!$B:$C,2,FALSE),0)</f>
        <v>0.26</v>
      </c>
      <c r="AY1088" s="44">
        <v>0</v>
      </c>
    </row>
    <row r="1089" spans="1:51" x14ac:dyDescent="0.25">
      <c r="A1089" s="34">
        <v>1087</v>
      </c>
      <c r="B1089" s="34" t="s">
        <v>49</v>
      </c>
      <c r="C1089" s="110" t="str">
        <f>IFERROR(INDEX(Структура_ассортимента[SuperCategory],MATCH(Товары[[#This Row],[SubGroup]],Структура_ассортимента[Subgroup],0)),"")</f>
        <v>W</v>
      </c>
      <c r="D108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8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89" s="110" t="str">
        <f>IFERROR(INDEX(Структура_ассортимента[Product group],MATCH(Товары[[#This Row],[SubGroup]],Структура_ассортимента[Subgroup],0)),"")</f>
        <v>WMO_C</v>
      </c>
      <c r="G1089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089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89" s="36">
        <v>9011</v>
      </c>
      <c r="J1089" s="36" t="str">
        <f>IFERROR(INDEX(Структура_ассортимента[Generic Name (long)],MATCH(Товары[[#This Row],[SubGroup]],Структура_ассортимента[Subgroup],0)),"")</f>
        <v>TAP CONNECTOR</v>
      </c>
      <c r="L1089" s="36">
        <v>967314201</v>
      </c>
      <c r="M1089" s="35" t="s">
        <v>2765</v>
      </c>
      <c r="Q1089" s="34" t="s">
        <v>3549</v>
      </c>
      <c r="R1089" s="34" t="s">
        <v>3540</v>
      </c>
      <c r="S1089" s="47">
        <v>42005</v>
      </c>
      <c r="T1089" s="47">
        <v>0</v>
      </c>
      <c r="U1089" s="47">
        <v>0</v>
      </c>
      <c r="V1089" s="34">
        <v>4078500011860</v>
      </c>
      <c r="W1089" s="34" t="s">
        <v>3543</v>
      </c>
      <c r="X1089" s="34" t="s">
        <v>3579</v>
      </c>
      <c r="Y1089" s="34" t="s">
        <v>3542</v>
      </c>
      <c r="Z1089" s="34">
        <v>50</v>
      </c>
      <c r="AA1089" s="34" t="s">
        <v>5647</v>
      </c>
      <c r="AB1089" s="34" t="s">
        <v>5647</v>
      </c>
      <c r="AC1089" s="34" t="s">
        <v>6512</v>
      </c>
      <c r="AD1089" s="34" t="s">
        <v>6512</v>
      </c>
      <c r="AE1089" s="34" t="s">
        <v>4231</v>
      </c>
      <c r="AF1089" s="34" t="s">
        <v>4231</v>
      </c>
      <c r="AG1089" s="34" t="s">
        <v>4097</v>
      </c>
      <c r="AH1089" s="34" t="s">
        <v>6513</v>
      </c>
      <c r="AI1089" s="34" t="s">
        <v>4184</v>
      </c>
      <c r="AJ1089" s="34" t="s">
        <v>4231</v>
      </c>
      <c r="AK1089" s="34" t="s">
        <v>4231</v>
      </c>
      <c r="AL1089" s="34" t="s">
        <v>6504</v>
      </c>
      <c r="AM1089" s="40" t="s">
        <v>8095</v>
      </c>
      <c r="AT1089" s="44">
        <v>0</v>
      </c>
      <c r="AU1089" s="44"/>
      <c r="AV1089" s="46">
        <f>ROUND(Товары[[#This Row],[РРЦ финальная, руб.]]/$AU$1,2)</f>
        <v>0</v>
      </c>
      <c r="AW1089" s="45" t="str">
        <f>IFERROR(Товары[[#This Row],[РРЦ, евро]]/Товары[[#This Row],[IRP, Eur]],"-")</f>
        <v>-</v>
      </c>
      <c r="AX1089" s="42">
        <f>IFERROR(VLOOKUP(Товары[[#This Row],[SubGroup]],'Структура цен DIY'!$B:$C,2,FALSE),0)</f>
        <v>0.26</v>
      </c>
      <c r="AY1089" s="44">
        <v>0</v>
      </c>
    </row>
    <row r="1090" spans="1:51" x14ac:dyDescent="0.25">
      <c r="A1090" s="34">
        <v>1088</v>
      </c>
      <c r="B1090" s="34" t="s">
        <v>49</v>
      </c>
      <c r="C1090" s="110" t="str">
        <f>IFERROR(INDEX(Структура_ассортимента[SuperCategory],MATCH(Товары[[#This Row],[SubGroup]],Структура_ассортимента[Subgroup],0)),"")</f>
        <v>W</v>
      </c>
      <c r="D109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9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90" s="110" t="str">
        <f>IFERROR(INDEX(Структура_ассортимента[Product group],MATCH(Товары[[#This Row],[SubGroup]],Структура_ассортимента[Subgroup],0)),"")</f>
        <v>WMO_C</v>
      </c>
      <c r="G1090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090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90" s="36">
        <v>9011</v>
      </c>
      <c r="J1090" s="36" t="str">
        <f>IFERROR(INDEX(Структура_ассортимента[Generic Name (long)],MATCH(Товары[[#This Row],[SubGroup]],Структура_ассортимента[Subgroup],0)),"")</f>
        <v>TAP CONNECTOR</v>
      </c>
      <c r="L1090" s="36">
        <v>967314301</v>
      </c>
      <c r="M1090" s="35" t="s">
        <v>2766</v>
      </c>
      <c r="O1090" s="35" t="s">
        <v>6514</v>
      </c>
      <c r="P1090" s="37" t="s">
        <v>6485</v>
      </c>
      <c r="Q1090" s="34" t="s">
        <v>3549</v>
      </c>
      <c r="R1090" s="34" t="s">
        <v>3540</v>
      </c>
      <c r="S1090" s="47">
        <v>42005</v>
      </c>
      <c r="T1090" s="47">
        <v>0</v>
      </c>
      <c r="U1090" s="47">
        <v>0</v>
      </c>
      <c r="V1090" s="34">
        <v>4078500011846</v>
      </c>
      <c r="W1090" s="34" t="s">
        <v>3543</v>
      </c>
      <c r="X1090" s="34" t="s">
        <v>3579</v>
      </c>
      <c r="Y1090" s="34" t="s">
        <v>3542</v>
      </c>
      <c r="Z1090" s="34">
        <v>24</v>
      </c>
      <c r="AA1090" s="34" t="s">
        <v>5629</v>
      </c>
      <c r="AB1090" s="34" t="s">
        <v>5629</v>
      </c>
      <c r="AC1090" s="34" t="s">
        <v>6515</v>
      </c>
      <c r="AD1090" s="34" t="s">
        <v>6515</v>
      </c>
      <c r="AE1090" s="34" t="s">
        <v>3693</v>
      </c>
      <c r="AF1090" s="34" t="s">
        <v>3800</v>
      </c>
      <c r="AG1090" s="34" t="s">
        <v>4231</v>
      </c>
      <c r="AH1090" s="34" t="s">
        <v>6443</v>
      </c>
      <c r="AI1090" s="34" t="s">
        <v>4184</v>
      </c>
      <c r="AJ1090" s="34" t="s">
        <v>4231</v>
      </c>
      <c r="AK1090" s="34" t="s">
        <v>4231</v>
      </c>
      <c r="AL1090" s="34" t="s">
        <v>6448</v>
      </c>
      <c r="AM1090" s="40" t="s">
        <v>9</v>
      </c>
      <c r="AP1090" s="34">
        <v>0</v>
      </c>
      <c r="AQ1090" s="34">
        <v>539</v>
      </c>
      <c r="AR1090" s="34">
        <v>332</v>
      </c>
      <c r="AT1090" s="44">
        <v>41700</v>
      </c>
      <c r="AU1090" s="44"/>
      <c r="AV1090" s="46">
        <f>ROUND(Товары[[#This Row],[РРЦ финальная, руб.]]/$AU$1,2)</f>
        <v>0</v>
      </c>
      <c r="AW1090" s="45" t="str">
        <f>IFERROR(Товары[[#This Row],[РРЦ, евро]]/Товары[[#This Row],[IRP, Eur]],"-")</f>
        <v>-</v>
      </c>
      <c r="AX1090" s="42">
        <f>IFERROR(VLOOKUP(Товары[[#This Row],[SubGroup]],'Структура цен DIY'!$B:$C,2,FALSE),0)</f>
        <v>0.26</v>
      </c>
      <c r="AY1090" s="44">
        <v>0</v>
      </c>
    </row>
    <row r="1091" spans="1:51" x14ac:dyDescent="0.25">
      <c r="A1091" s="34">
        <v>1089</v>
      </c>
      <c r="B1091" s="34" t="s">
        <v>49</v>
      </c>
      <c r="C1091" s="110" t="str">
        <f>IFERROR(INDEX(Структура_ассортимента[SuperCategory],MATCH(Товары[[#This Row],[SubGroup]],Структура_ассортимента[Subgroup],0)),"")</f>
        <v>W</v>
      </c>
      <c r="D109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9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91" s="110" t="str">
        <f>IFERROR(INDEX(Структура_ассортимента[Product group],MATCH(Товары[[#This Row],[SubGroup]],Структура_ассортимента[Subgroup],0)),"")</f>
        <v>WMO_C</v>
      </c>
      <c r="G1091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091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91" s="36">
        <v>9011</v>
      </c>
      <c r="J1091" s="36" t="str">
        <f>IFERROR(INDEX(Структура_ассортимента[Generic Name (long)],MATCH(Товары[[#This Row],[SubGroup]],Структура_ассортимента[Subgroup],0)),"")</f>
        <v>TAP CONNECTOR</v>
      </c>
      <c r="L1091" s="36">
        <v>967314401</v>
      </c>
      <c r="M1091" s="35" t="s">
        <v>2767</v>
      </c>
      <c r="Q1091" s="34" t="s">
        <v>3549</v>
      </c>
      <c r="R1091" s="34" t="s">
        <v>3540</v>
      </c>
      <c r="S1091" s="47">
        <v>42005</v>
      </c>
      <c r="T1091" s="47">
        <v>0</v>
      </c>
      <c r="U1091" s="47">
        <v>0</v>
      </c>
      <c r="V1091" s="34">
        <v>40785561</v>
      </c>
      <c r="W1091" s="34" t="s">
        <v>3543</v>
      </c>
      <c r="X1091" s="34" t="s">
        <v>3579</v>
      </c>
      <c r="Y1091" s="34" t="s">
        <v>3542</v>
      </c>
      <c r="Z1091" s="34">
        <v>50</v>
      </c>
      <c r="AA1091" s="34" t="s">
        <v>6515</v>
      </c>
      <c r="AB1091" s="34" t="s">
        <v>6516</v>
      </c>
      <c r="AC1091" s="34" t="s">
        <v>6512</v>
      </c>
      <c r="AD1091" s="34" t="s">
        <v>6515</v>
      </c>
      <c r="AE1091" s="34" t="s">
        <v>4231</v>
      </c>
      <c r="AF1091" s="34" t="s">
        <v>4231</v>
      </c>
      <c r="AG1091" s="34" t="s">
        <v>4097</v>
      </c>
      <c r="AH1091" s="34" t="s">
        <v>6513</v>
      </c>
      <c r="AI1091" s="34" t="s">
        <v>4184</v>
      </c>
      <c r="AJ1091" s="34" t="s">
        <v>4231</v>
      </c>
      <c r="AK1091" s="34" t="s">
        <v>4231</v>
      </c>
      <c r="AL1091" s="34" t="s">
        <v>6517</v>
      </c>
      <c r="AM1091" s="40" t="s">
        <v>8095</v>
      </c>
      <c r="AT1091" s="44">
        <v>0</v>
      </c>
      <c r="AU1091" s="44"/>
      <c r="AV1091" s="46">
        <f>ROUND(Товары[[#This Row],[РРЦ финальная, руб.]]/$AU$1,2)</f>
        <v>0</v>
      </c>
      <c r="AW1091" s="45" t="str">
        <f>IFERROR(Товары[[#This Row],[РРЦ, евро]]/Товары[[#This Row],[IRP, Eur]],"-")</f>
        <v>-</v>
      </c>
      <c r="AX1091" s="42">
        <f>IFERROR(VLOOKUP(Товары[[#This Row],[SubGroup]],'Структура цен DIY'!$B:$C,2,FALSE),0)</f>
        <v>0.26</v>
      </c>
      <c r="AY1091" s="44">
        <v>0</v>
      </c>
    </row>
    <row r="1092" spans="1:51" x14ac:dyDescent="0.25">
      <c r="A1092" s="34">
        <v>1090</v>
      </c>
      <c r="B1092" s="34" t="s">
        <v>49</v>
      </c>
      <c r="C1092" s="110" t="str">
        <f>IFERROR(INDEX(Структура_ассортимента[SuperCategory],MATCH(Товары[[#This Row],[SubGroup]],Структура_ассортимента[Subgroup],0)),"")</f>
        <v>W</v>
      </c>
      <c r="D109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9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92" s="110" t="str">
        <f>IFERROR(INDEX(Структура_ассортимента[Product group],MATCH(Товары[[#This Row],[SubGroup]],Структура_ассортимента[Subgroup],0)),"")</f>
        <v>WMO_C</v>
      </c>
      <c r="G1092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092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92" s="36">
        <v>9011</v>
      </c>
      <c r="J1092" s="36" t="str">
        <f>IFERROR(INDEX(Структура_ассортимента[Generic Name (long)],MATCH(Товары[[#This Row],[SubGroup]],Структура_ассортимента[Subgroup],0)),"")</f>
        <v>TAP CONNECTOR</v>
      </c>
      <c r="L1092" s="36">
        <v>967314701</v>
      </c>
      <c r="M1092" s="35" t="s">
        <v>2768</v>
      </c>
      <c r="Q1092" s="34" t="s">
        <v>3549</v>
      </c>
      <c r="R1092" s="34" t="s">
        <v>3540</v>
      </c>
      <c r="S1092" s="47">
        <v>42005</v>
      </c>
      <c r="T1092" s="47">
        <v>0</v>
      </c>
      <c r="U1092" s="47">
        <v>0</v>
      </c>
      <c r="V1092" s="34">
        <v>4078500011921</v>
      </c>
      <c r="W1092" s="34" t="s">
        <v>3543</v>
      </c>
      <c r="X1092" s="34" t="s">
        <v>3579</v>
      </c>
      <c r="Y1092" s="34" t="s">
        <v>3542</v>
      </c>
      <c r="Z1092" s="34">
        <v>40</v>
      </c>
      <c r="AA1092" s="34" t="s">
        <v>6518</v>
      </c>
      <c r="AB1092" s="34" t="s">
        <v>6518</v>
      </c>
      <c r="AC1092" s="34" t="s">
        <v>6519</v>
      </c>
      <c r="AD1092" s="34" t="s">
        <v>6519</v>
      </c>
      <c r="AE1092" s="34" t="s">
        <v>5125</v>
      </c>
      <c r="AF1092" s="34" t="s">
        <v>5125</v>
      </c>
      <c r="AG1092" s="34" t="s">
        <v>4184</v>
      </c>
      <c r="AH1092" s="34" t="s">
        <v>6520</v>
      </c>
      <c r="AI1092" s="34" t="s">
        <v>4133</v>
      </c>
      <c r="AJ1092" s="34" t="s">
        <v>4231</v>
      </c>
      <c r="AK1092" s="34" t="s">
        <v>4231</v>
      </c>
      <c r="AL1092" s="34" t="s">
        <v>6521</v>
      </c>
      <c r="AM1092" s="40" t="s">
        <v>8095</v>
      </c>
      <c r="AT1092" s="44">
        <v>0</v>
      </c>
      <c r="AU1092" s="44"/>
      <c r="AV1092" s="46">
        <f>ROUND(Товары[[#This Row],[РРЦ финальная, руб.]]/$AU$1,2)</f>
        <v>0</v>
      </c>
      <c r="AW1092" s="45" t="str">
        <f>IFERROR(Товары[[#This Row],[РРЦ, евро]]/Товары[[#This Row],[IRP, Eur]],"-")</f>
        <v>-</v>
      </c>
      <c r="AX1092" s="42">
        <f>IFERROR(VLOOKUP(Товары[[#This Row],[SubGroup]],'Структура цен DIY'!$B:$C,2,FALSE),0)</f>
        <v>0.26</v>
      </c>
      <c r="AY1092" s="44">
        <v>0</v>
      </c>
    </row>
    <row r="1093" spans="1:51" x14ac:dyDescent="0.25">
      <c r="A1093" s="34">
        <v>1091</v>
      </c>
      <c r="B1093" s="34" t="s">
        <v>49</v>
      </c>
      <c r="C1093" s="110" t="str">
        <f>IFERROR(INDEX(Структура_ассортимента[SuperCategory],MATCH(Товары[[#This Row],[SubGroup]],Структура_ассортимента[Subgroup],0)),"")</f>
        <v>W</v>
      </c>
      <c r="D109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9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93" s="110" t="str">
        <f>IFERROR(INDEX(Структура_ассортимента[Product group],MATCH(Товары[[#This Row],[SubGroup]],Структура_ассортимента[Subgroup],0)),"")</f>
        <v>WMO_C</v>
      </c>
      <c r="G1093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093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93" s="36">
        <v>9011</v>
      </c>
      <c r="J1093" s="36" t="str">
        <f>IFERROR(INDEX(Структура_ассортимента[Generic Name (long)],MATCH(Товары[[#This Row],[SubGroup]],Структура_ассортимента[Subgroup],0)),"")</f>
        <v>TAP CONNECTOR</v>
      </c>
      <c r="L1093" s="36">
        <v>967314801</v>
      </c>
      <c r="M1093" s="35" t="s">
        <v>2769</v>
      </c>
      <c r="O1093" s="35" t="s">
        <v>6522</v>
      </c>
      <c r="P1093" s="37" t="s">
        <v>6488</v>
      </c>
      <c r="Q1093" s="34" t="s">
        <v>3549</v>
      </c>
      <c r="R1093" s="34" t="s">
        <v>3540</v>
      </c>
      <c r="S1093" s="47">
        <v>42005</v>
      </c>
      <c r="T1093" s="47">
        <v>0</v>
      </c>
      <c r="U1093" s="47">
        <v>0</v>
      </c>
      <c r="V1093" s="34">
        <v>4078500011907</v>
      </c>
      <c r="W1093" s="34" t="s">
        <v>3543</v>
      </c>
      <c r="X1093" s="34" t="s">
        <v>3579</v>
      </c>
      <c r="Y1093" s="34" t="s">
        <v>3542</v>
      </c>
      <c r="Z1093" s="34">
        <v>12</v>
      </c>
      <c r="AA1093" s="34" t="s">
        <v>3776</v>
      </c>
      <c r="AB1093" s="34" t="s">
        <v>3776</v>
      </c>
      <c r="AC1093" s="34" t="s">
        <v>6470</v>
      </c>
      <c r="AD1093" s="34" t="s">
        <v>6470</v>
      </c>
      <c r="AE1093" s="34" t="s">
        <v>3693</v>
      </c>
      <c r="AF1093" s="34" t="s">
        <v>3800</v>
      </c>
      <c r="AG1093" s="34" t="s">
        <v>5125</v>
      </c>
      <c r="AH1093" s="34" t="s">
        <v>6523</v>
      </c>
      <c r="AI1093" s="34" t="s">
        <v>4133</v>
      </c>
      <c r="AJ1093" s="34" t="s">
        <v>4231</v>
      </c>
      <c r="AK1093" s="34" t="s">
        <v>4231</v>
      </c>
      <c r="AL1093" s="34" t="s">
        <v>6489</v>
      </c>
      <c r="AM1093" s="40" t="s">
        <v>9</v>
      </c>
      <c r="AP1093" s="34">
        <v>0</v>
      </c>
      <c r="AQ1093" s="34">
        <v>539</v>
      </c>
      <c r="AR1093" s="34">
        <v>332</v>
      </c>
      <c r="AT1093" s="44">
        <v>41700</v>
      </c>
      <c r="AU1093" s="44"/>
      <c r="AV1093" s="46">
        <f>ROUND(Товары[[#This Row],[РРЦ финальная, руб.]]/$AU$1,2)</f>
        <v>0</v>
      </c>
      <c r="AW1093" s="45" t="str">
        <f>IFERROR(Товары[[#This Row],[РРЦ, евро]]/Товары[[#This Row],[IRP, Eur]],"-")</f>
        <v>-</v>
      </c>
      <c r="AX1093" s="42">
        <f>IFERROR(VLOOKUP(Товары[[#This Row],[SubGroup]],'Структура цен DIY'!$B:$C,2,FALSE),0)</f>
        <v>0.26</v>
      </c>
      <c r="AY1093" s="44">
        <v>0</v>
      </c>
    </row>
    <row r="1094" spans="1:51" x14ac:dyDescent="0.25">
      <c r="A1094" s="34">
        <v>1092</v>
      </c>
      <c r="B1094" s="34" t="s">
        <v>49</v>
      </c>
      <c r="C1094" s="110" t="str">
        <f>IFERROR(INDEX(Структура_ассортимента[SuperCategory],MATCH(Товары[[#This Row],[SubGroup]],Структура_ассортимента[Subgroup],0)),"")</f>
        <v>W</v>
      </c>
      <c r="D109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9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94" s="110" t="str">
        <f>IFERROR(INDEX(Структура_ассортимента[Product group],MATCH(Товары[[#This Row],[SubGroup]],Структура_ассортимента[Subgroup],0)),"")</f>
        <v>WMO_C</v>
      </c>
      <c r="G1094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094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94" s="36">
        <v>9011</v>
      </c>
      <c r="J1094" s="36" t="str">
        <f>IFERROR(INDEX(Структура_ассортимента[Generic Name (long)],MATCH(Товары[[#This Row],[SubGroup]],Структура_ассортимента[Subgroup],0)),"")</f>
        <v>TAP CONNECTOR</v>
      </c>
      <c r="L1094" s="36">
        <v>967314901</v>
      </c>
      <c r="M1094" s="35" t="s">
        <v>2770</v>
      </c>
      <c r="Q1094" s="34" t="s">
        <v>3549</v>
      </c>
      <c r="R1094" s="34" t="s">
        <v>3540</v>
      </c>
      <c r="S1094" s="47">
        <v>42005</v>
      </c>
      <c r="T1094" s="47">
        <v>0</v>
      </c>
      <c r="U1094" s="47">
        <v>0</v>
      </c>
      <c r="V1094" s="34">
        <v>40785578</v>
      </c>
      <c r="W1094" s="34" t="s">
        <v>3543</v>
      </c>
      <c r="X1094" s="34" t="s">
        <v>3579</v>
      </c>
      <c r="Y1094" s="34" t="s">
        <v>3542</v>
      </c>
      <c r="Z1094" s="34">
        <v>10</v>
      </c>
      <c r="AA1094" s="34" t="s">
        <v>5888</v>
      </c>
      <c r="AB1094" s="34" t="s">
        <v>5888</v>
      </c>
      <c r="AC1094" s="34" t="s">
        <v>6519</v>
      </c>
      <c r="AD1094" s="34" t="s">
        <v>6519</v>
      </c>
      <c r="AE1094" s="34" t="s">
        <v>5125</v>
      </c>
      <c r="AF1094" s="34" t="s">
        <v>5125</v>
      </c>
      <c r="AG1094" s="34" t="s">
        <v>4184</v>
      </c>
      <c r="AH1094" s="34" t="s">
        <v>6520</v>
      </c>
      <c r="AI1094" s="34" t="s">
        <v>4133</v>
      </c>
      <c r="AJ1094" s="34" t="s">
        <v>4231</v>
      </c>
      <c r="AK1094" s="34" t="s">
        <v>4231</v>
      </c>
      <c r="AL1094" s="34" t="s">
        <v>6524</v>
      </c>
      <c r="AM1094" s="40" t="s">
        <v>8095</v>
      </c>
      <c r="AT1094" s="44">
        <v>0</v>
      </c>
      <c r="AU1094" s="44"/>
      <c r="AV1094" s="46">
        <f>ROUND(Товары[[#This Row],[РРЦ финальная, руб.]]/$AU$1,2)</f>
        <v>0</v>
      </c>
      <c r="AW1094" s="45" t="str">
        <f>IFERROR(Товары[[#This Row],[РРЦ, евро]]/Товары[[#This Row],[IRP, Eur]],"-")</f>
        <v>-</v>
      </c>
      <c r="AX1094" s="42">
        <f>IFERROR(VLOOKUP(Товары[[#This Row],[SubGroup]],'Структура цен DIY'!$B:$C,2,FALSE),0)</f>
        <v>0.26</v>
      </c>
      <c r="AY1094" s="44">
        <v>0</v>
      </c>
    </row>
    <row r="1095" spans="1:51" x14ac:dyDescent="0.25">
      <c r="A1095" s="34">
        <v>1093</v>
      </c>
      <c r="B1095" s="34" t="s">
        <v>49</v>
      </c>
      <c r="C1095" s="110" t="str">
        <f>IFERROR(INDEX(Структура_ассортимента[SuperCategory],MATCH(Товары[[#This Row],[SubGroup]],Структура_ассортимента[Subgroup],0)),"")</f>
        <v>W</v>
      </c>
      <c r="D109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9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95" s="110" t="str">
        <f>IFERROR(INDEX(Структура_ассортимента[Product group],MATCH(Товары[[#This Row],[SubGroup]],Структура_ассортимента[Subgroup],0)),"")</f>
        <v>WMO_C</v>
      </c>
      <c r="G1095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095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95" s="36">
        <v>9011</v>
      </c>
      <c r="J1095" s="36" t="str">
        <f>IFERROR(INDEX(Структура_ассортимента[Generic Name (long)],MATCH(Товары[[#This Row],[SubGroup]],Структура_ассортимента[Subgroup],0)),"")</f>
        <v>TAP CONNECTOR</v>
      </c>
      <c r="L1095" s="36">
        <v>967947001</v>
      </c>
      <c r="M1095" s="35" t="s">
        <v>2771</v>
      </c>
      <c r="Q1095" s="34" t="s">
        <v>3549</v>
      </c>
      <c r="R1095" s="34" t="s">
        <v>3540</v>
      </c>
      <c r="S1095" s="47">
        <v>43374</v>
      </c>
      <c r="T1095" s="47">
        <v>0</v>
      </c>
      <c r="U1095" s="47">
        <v>0</v>
      </c>
      <c r="V1095" s="34">
        <v>4078500046282</v>
      </c>
      <c r="W1095" s="34" t="s">
        <v>3543</v>
      </c>
      <c r="X1095" s="34" t="s">
        <v>3579</v>
      </c>
      <c r="Y1095" s="34" t="s">
        <v>3542</v>
      </c>
      <c r="Z1095" s="34">
        <v>12</v>
      </c>
      <c r="AA1095" s="34" t="s">
        <v>6525</v>
      </c>
      <c r="AB1095" s="34" t="s">
        <v>3803</v>
      </c>
      <c r="AC1095" s="34" t="s">
        <v>3811</v>
      </c>
      <c r="AD1095" s="34" t="s">
        <v>3784</v>
      </c>
      <c r="AE1095" s="34" t="s">
        <v>3693</v>
      </c>
      <c r="AF1095" s="34" t="s">
        <v>3800</v>
      </c>
      <c r="AG1095" s="34" t="s">
        <v>4231</v>
      </c>
      <c r="AH1095" s="34" t="s">
        <v>6443</v>
      </c>
      <c r="AJ1095" s="34" t="s">
        <v>4775</v>
      </c>
      <c r="AK1095" s="34" t="s">
        <v>3699</v>
      </c>
      <c r="AL1095" s="34" t="s">
        <v>6441</v>
      </c>
      <c r="AM1095" s="40" t="s">
        <v>8095</v>
      </c>
      <c r="AT1095" s="44">
        <v>0</v>
      </c>
      <c r="AU1095" s="44"/>
      <c r="AV1095" s="46">
        <f>ROUND(Товары[[#This Row],[РРЦ финальная, руб.]]/$AU$1,2)</f>
        <v>0</v>
      </c>
      <c r="AW1095" s="45" t="str">
        <f>IFERROR(Товары[[#This Row],[РРЦ, евро]]/Товары[[#This Row],[IRP, Eur]],"-")</f>
        <v>-</v>
      </c>
      <c r="AX1095" s="42">
        <f>IFERROR(VLOOKUP(Товары[[#This Row],[SubGroup]],'Структура цен DIY'!$B:$C,2,FALSE),0)</f>
        <v>0.26</v>
      </c>
      <c r="AY1095" s="44">
        <v>0</v>
      </c>
    </row>
    <row r="1096" spans="1:51" x14ac:dyDescent="0.25">
      <c r="A1096" s="34">
        <v>1094</v>
      </c>
      <c r="B1096" s="34" t="s">
        <v>49</v>
      </c>
      <c r="C1096" s="110" t="str">
        <f>IFERROR(INDEX(Структура_ассортимента[SuperCategory],MATCH(Товары[[#This Row],[SubGroup]],Структура_ассортимента[Subgroup],0)),"")</f>
        <v>W</v>
      </c>
      <c r="D109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9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96" s="110" t="str">
        <f>IFERROR(INDEX(Структура_ассортимента[Product group],MATCH(Товары[[#This Row],[SubGroup]],Структура_ассортимента[Subgroup],0)),"")</f>
        <v>WMO_C</v>
      </c>
      <c r="G1096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096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96" s="36">
        <v>9011</v>
      </c>
      <c r="J1096" s="36" t="str">
        <f>IFERROR(INDEX(Структура_ассортимента[Generic Name (long)],MATCH(Товары[[#This Row],[SubGroup]],Структура_ассортимента[Subgroup],0)),"")</f>
        <v>TAP CONNECTOR</v>
      </c>
      <c r="L1096" s="36">
        <v>967666301</v>
      </c>
      <c r="M1096" s="35" t="s">
        <v>2772</v>
      </c>
      <c r="Q1096" s="34" t="s">
        <v>3549</v>
      </c>
      <c r="R1096" s="34" t="s">
        <v>3540</v>
      </c>
      <c r="S1096" s="47">
        <v>43101</v>
      </c>
      <c r="T1096" s="47">
        <v>0</v>
      </c>
      <c r="U1096" s="47">
        <v>0</v>
      </c>
      <c r="V1096" s="34">
        <v>4078500031714</v>
      </c>
      <c r="W1096" s="34" t="s">
        <v>3543</v>
      </c>
      <c r="X1096" s="34" t="s">
        <v>3579</v>
      </c>
      <c r="Y1096" s="34" t="s">
        <v>3542</v>
      </c>
      <c r="Z1096" s="34">
        <v>10</v>
      </c>
      <c r="AA1096" s="34">
        <v>17</v>
      </c>
      <c r="AB1096" s="34" t="s">
        <v>3794</v>
      </c>
      <c r="AC1096" s="34">
        <v>14</v>
      </c>
      <c r="AD1096" s="34" t="s">
        <v>3799</v>
      </c>
      <c r="AE1096" s="34" t="s">
        <v>3931</v>
      </c>
      <c r="AF1096" s="34" t="s">
        <v>3931</v>
      </c>
      <c r="AG1096" s="34" t="s">
        <v>4351</v>
      </c>
      <c r="AH1096" s="34" t="s">
        <v>6453</v>
      </c>
      <c r="AI1096" s="34" t="s">
        <v>4775</v>
      </c>
      <c r="AJ1096" s="34" t="s">
        <v>3672</v>
      </c>
      <c r="AK1096" s="34" t="s">
        <v>3672</v>
      </c>
      <c r="AL1096" s="34" t="s">
        <v>3658</v>
      </c>
      <c r="AM1096" s="40" t="s">
        <v>8095</v>
      </c>
      <c r="AT1096" s="44">
        <v>0</v>
      </c>
      <c r="AU1096" s="44"/>
      <c r="AV1096" s="46">
        <f>ROUND(Товары[[#This Row],[РРЦ финальная, руб.]]/$AU$1,2)</f>
        <v>0</v>
      </c>
      <c r="AW1096" s="45" t="str">
        <f>IFERROR(Товары[[#This Row],[РРЦ, евро]]/Товары[[#This Row],[IRP, Eur]],"-")</f>
        <v>-</v>
      </c>
      <c r="AX1096" s="42">
        <f>IFERROR(VLOOKUP(Товары[[#This Row],[SubGroup]],'Структура цен DIY'!$B:$C,2,FALSE),0)</f>
        <v>0.26</v>
      </c>
      <c r="AY1096" s="44">
        <v>0</v>
      </c>
    </row>
    <row r="1097" spans="1:51" x14ac:dyDescent="0.25">
      <c r="A1097" s="34">
        <v>1095</v>
      </c>
      <c r="B1097" s="34" t="s">
        <v>49</v>
      </c>
      <c r="C1097" s="110" t="str">
        <f>IFERROR(INDEX(Структура_ассортимента[SuperCategory],MATCH(Товары[[#This Row],[SubGroup]],Структура_ассортимента[Subgroup],0)),"")</f>
        <v>W</v>
      </c>
      <c r="D109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9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97" s="110" t="str">
        <f>IFERROR(INDEX(Структура_ассортимента[Product group],MATCH(Товары[[#This Row],[SubGroup]],Структура_ассортимента[Subgroup],0)),"")</f>
        <v>WMO_C</v>
      </c>
      <c r="G1097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097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97" s="36">
        <v>9011</v>
      </c>
      <c r="J1097" s="36" t="str">
        <f>IFERROR(INDEX(Структура_ассортимента[Generic Name (long)],MATCH(Товары[[#This Row],[SubGroup]],Структура_ассортимента[Subgroup],0)),"")</f>
        <v>TAP CONNECTOR</v>
      </c>
      <c r="L1097" s="36">
        <v>967666501</v>
      </c>
      <c r="M1097" s="35" t="s">
        <v>2773</v>
      </c>
      <c r="Q1097" s="34" t="s">
        <v>3549</v>
      </c>
      <c r="R1097" s="34" t="s">
        <v>3540</v>
      </c>
      <c r="S1097" s="47">
        <v>43101</v>
      </c>
      <c r="T1097" s="47">
        <v>0</v>
      </c>
      <c r="U1097" s="47">
        <v>0</v>
      </c>
      <c r="V1097" s="34">
        <v>4078500031752</v>
      </c>
      <c r="W1097" s="34" t="s">
        <v>3543</v>
      </c>
      <c r="X1097" s="34" t="s">
        <v>3579</v>
      </c>
      <c r="Y1097" s="34" t="s">
        <v>3542</v>
      </c>
      <c r="Z1097" s="34">
        <v>20</v>
      </c>
      <c r="AA1097" s="34">
        <v>17</v>
      </c>
      <c r="AB1097" s="34" t="s">
        <v>6526</v>
      </c>
      <c r="AC1097" s="34">
        <v>14</v>
      </c>
      <c r="AD1097" s="34" t="s">
        <v>3779</v>
      </c>
      <c r="AE1097" s="34" t="s">
        <v>3931</v>
      </c>
      <c r="AF1097" s="34" t="s">
        <v>3931</v>
      </c>
      <c r="AG1097" s="34" t="s">
        <v>4351</v>
      </c>
      <c r="AH1097" s="34" t="s">
        <v>6453</v>
      </c>
      <c r="AI1097" s="34" t="s">
        <v>4775</v>
      </c>
      <c r="AJ1097" s="34" t="s">
        <v>3699</v>
      </c>
      <c r="AK1097" s="34" t="s">
        <v>3699</v>
      </c>
      <c r="AL1097" s="34" t="s">
        <v>6527</v>
      </c>
      <c r="AM1097" s="40" t="s">
        <v>8095</v>
      </c>
      <c r="AT1097" s="44">
        <v>0</v>
      </c>
      <c r="AU1097" s="44"/>
      <c r="AV1097" s="46">
        <f>ROUND(Товары[[#This Row],[РРЦ финальная, руб.]]/$AU$1,2)</f>
        <v>0</v>
      </c>
      <c r="AW1097" s="45" t="str">
        <f>IFERROR(Товары[[#This Row],[РРЦ, евро]]/Товары[[#This Row],[IRP, Eur]],"-")</f>
        <v>-</v>
      </c>
      <c r="AX1097" s="42">
        <f>IFERROR(VLOOKUP(Товары[[#This Row],[SubGroup]],'Структура цен DIY'!$B:$C,2,FALSE),0)</f>
        <v>0.26</v>
      </c>
      <c r="AY1097" s="44">
        <v>0</v>
      </c>
    </row>
    <row r="1098" spans="1:51" x14ac:dyDescent="0.25">
      <c r="A1098" s="34">
        <v>1096</v>
      </c>
      <c r="B1098" s="34" t="s">
        <v>49</v>
      </c>
      <c r="C1098" s="110" t="str">
        <f>IFERROR(INDEX(Структура_ассортимента[SuperCategory],MATCH(Товары[[#This Row],[SubGroup]],Структура_ассортимента[Subgroup],0)),"")</f>
        <v>W</v>
      </c>
      <c r="D109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9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98" s="110" t="str">
        <f>IFERROR(INDEX(Структура_ассортимента[Product group],MATCH(Товары[[#This Row],[SubGroup]],Структура_ассортимента[Subgroup],0)),"")</f>
        <v>WMO_C</v>
      </c>
      <c r="G1098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098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98" s="36">
        <v>9011</v>
      </c>
      <c r="J1098" s="36" t="str">
        <f>IFERROR(INDEX(Структура_ассортимента[Generic Name (long)],MATCH(Товары[[#This Row],[SubGroup]],Структура_ассортимента[Subgroup],0)),"")</f>
        <v>TAP CONNECTOR</v>
      </c>
      <c r="L1098" s="36">
        <v>967666601</v>
      </c>
      <c r="M1098" s="35" t="s">
        <v>2774</v>
      </c>
      <c r="O1098" s="35" t="s">
        <v>6528</v>
      </c>
      <c r="P1098" s="37" t="s">
        <v>6529</v>
      </c>
      <c r="Q1098" s="34" t="s">
        <v>3549</v>
      </c>
      <c r="R1098" s="34" t="s">
        <v>3540</v>
      </c>
      <c r="S1098" s="47">
        <v>43101</v>
      </c>
      <c r="T1098" s="47">
        <v>0</v>
      </c>
      <c r="U1098" s="47">
        <v>0</v>
      </c>
      <c r="V1098" s="34">
        <v>4078500031776</v>
      </c>
      <c r="W1098" s="34" t="s">
        <v>3543</v>
      </c>
      <c r="X1098" s="34" t="s">
        <v>3579</v>
      </c>
      <c r="Y1098" s="34" t="s">
        <v>3542</v>
      </c>
      <c r="Z1098" s="34">
        <v>6</v>
      </c>
      <c r="AA1098" s="34">
        <v>17</v>
      </c>
      <c r="AB1098" s="34" t="s">
        <v>3794</v>
      </c>
      <c r="AC1098" s="34">
        <v>15</v>
      </c>
      <c r="AD1098" s="34" t="s">
        <v>3784</v>
      </c>
      <c r="AE1098" s="34" t="s">
        <v>3693</v>
      </c>
      <c r="AF1098" s="34" t="s">
        <v>3800</v>
      </c>
      <c r="AG1098" s="34" t="s">
        <v>3931</v>
      </c>
      <c r="AH1098" s="34" t="s">
        <v>6456</v>
      </c>
      <c r="AI1098" s="34" t="s">
        <v>4775</v>
      </c>
      <c r="AJ1098" s="34" t="s">
        <v>3931</v>
      </c>
      <c r="AK1098" s="34" t="s">
        <v>3931</v>
      </c>
      <c r="AL1098" s="34" t="s">
        <v>3658</v>
      </c>
      <c r="AM1098" s="40" t="s">
        <v>9</v>
      </c>
      <c r="AP1098" s="34">
        <v>0</v>
      </c>
      <c r="AQ1098" s="34">
        <v>662</v>
      </c>
      <c r="AR1098" s="34">
        <v>408</v>
      </c>
      <c r="AT1098" s="44">
        <v>51300</v>
      </c>
      <c r="AU1098" s="44"/>
      <c r="AV1098" s="46">
        <f>ROUND(Товары[[#This Row],[РРЦ финальная, руб.]]/$AU$1,2)</f>
        <v>0</v>
      </c>
      <c r="AW1098" s="45" t="str">
        <f>IFERROR(Товары[[#This Row],[РРЦ, евро]]/Товары[[#This Row],[IRP, Eur]],"-")</f>
        <v>-</v>
      </c>
      <c r="AX1098" s="42">
        <f>IFERROR(VLOOKUP(Товары[[#This Row],[SubGroup]],'Структура цен DIY'!$B:$C,2,FALSE),0)</f>
        <v>0.26</v>
      </c>
      <c r="AY1098" s="44">
        <v>0</v>
      </c>
    </row>
    <row r="1099" spans="1:51" x14ac:dyDescent="0.25">
      <c r="A1099" s="34">
        <v>1097</v>
      </c>
      <c r="B1099" s="34" t="s">
        <v>49</v>
      </c>
      <c r="C1099" s="110" t="str">
        <f>IFERROR(INDEX(Структура_ассортимента[SuperCategory],MATCH(Товары[[#This Row],[SubGroup]],Структура_ассортимента[Subgroup],0)),"")</f>
        <v>W</v>
      </c>
      <c r="D109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9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99" s="110" t="str">
        <f>IFERROR(INDEX(Структура_ассортимента[Product group],MATCH(Товары[[#This Row],[SubGroup]],Структура_ассортимента[Subgroup],0)),"")</f>
        <v>WMO_C</v>
      </c>
      <c r="G1099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099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99" s="36">
        <v>9011</v>
      </c>
      <c r="J1099" s="36" t="str">
        <f>IFERROR(INDEX(Структура_ассортимента[Generic Name (long)],MATCH(Товары[[#This Row],[SubGroup]],Структура_ассортимента[Subgroup],0)),"")</f>
        <v>TAP CONNECTOR</v>
      </c>
      <c r="L1099" s="36">
        <v>967666701</v>
      </c>
      <c r="M1099" s="35" t="s">
        <v>2775</v>
      </c>
      <c r="Q1099" s="34" t="s">
        <v>3549</v>
      </c>
      <c r="R1099" s="34" t="s">
        <v>3540</v>
      </c>
      <c r="S1099" s="47">
        <v>43101</v>
      </c>
      <c r="T1099" s="47">
        <v>0</v>
      </c>
      <c r="U1099" s="47">
        <v>0</v>
      </c>
      <c r="V1099" s="34">
        <v>4078500031790</v>
      </c>
      <c r="W1099" s="34" t="s">
        <v>3543</v>
      </c>
      <c r="X1099" s="34" t="s">
        <v>3579</v>
      </c>
      <c r="Y1099" s="34" t="s">
        <v>3542</v>
      </c>
      <c r="Z1099" s="34">
        <v>20</v>
      </c>
      <c r="AA1099" s="34">
        <v>17</v>
      </c>
      <c r="AB1099" s="34" t="s">
        <v>6530</v>
      </c>
      <c r="AC1099" s="34">
        <v>15</v>
      </c>
      <c r="AD1099" s="34" t="s">
        <v>5603</v>
      </c>
      <c r="AE1099" s="34" t="s">
        <v>3693</v>
      </c>
      <c r="AF1099" s="34" t="s">
        <v>3800</v>
      </c>
      <c r="AG1099" s="34" t="s">
        <v>3931</v>
      </c>
      <c r="AH1099" s="34" t="s">
        <v>6456</v>
      </c>
      <c r="AI1099" s="34" t="s">
        <v>4775</v>
      </c>
      <c r="AJ1099" s="34" t="s">
        <v>3931</v>
      </c>
      <c r="AK1099" s="34" t="s">
        <v>3931</v>
      </c>
      <c r="AL1099" s="34" t="s">
        <v>6531</v>
      </c>
      <c r="AM1099" s="40" t="s">
        <v>8095</v>
      </c>
      <c r="AT1099" s="44">
        <v>0</v>
      </c>
      <c r="AU1099" s="44"/>
      <c r="AV1099" s="46">
        <f>ROUND(Товары[[#This Row],[РРЦ финальная, руб.]]/$AU$1,2)</f>
        <v>0</v>
      </c>
      <c r="AW1099" s="45" t="str">
        <f>IFERROR(Товары[[#This Row],[РРЦ, евро]]/Товары[[#This Row],[IRP, Eur]],"-")</f>
        <v>-</v>
      </c>
      <c r="AX1099" s="42">
        <f>IFERROR(VLOOKUP(Товары[[#This Row],[SubGroup]],'Структура цен DIY'!$B:$C,2,FALSE),0)</f>
        <v>0.26</v>
      </c>
      <c r="AY1099" s="44">
        <v>0</v>
      </c>
    </row>
    <row r="1100" spans="1:51" x14ac:dyDescent="0.25">
      <c r="A1100" s="34">
        <v>1098</v>
      </c>
      <c r="B1100" s="34" t="s">
        <v>49</v>
      </c>
      <c r="C1100" s="110" t="str">
        <f>IFERROR(INDEX(Структура_ассортимента[SuperCategory],MATCH(Товары[[#This Row],[SubGroup]],Структура_ассортимента[Subgroup],0)),"")</f>
        <v>W</v>
      </c>
      <c r="D110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0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00" s="110" t="str">
        <f>IFERROR(INDEX(Структура_ассортимента[Product group],MATCH(Товары[[#This Row],[SubGroup]],Структура_ассортимента[Subgroup],0)),"")</f>
        <v>WMO_C</v>
      </c>
      <c r="G1100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00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00" s="36">
        <v>9011</v>
      </c>
      <c r="J1100" s="36" t="str">
        <f>IFERROR(INDEX(Структура_ассортимента[Generic Name (long)],MATCH(Товары[[#This Row],[SubGroup]],Структура_ассортимента[Subgroup],0)),"")</f>
        <v>TAP CONNECTOR</v>
      </c>
      <c r="L1100" s="36">
        <v>967667201</v>
      </c>
      <c r="M1100" s="35" t="s">
        <v>2776</v>
      </c>
      <c r="O1100" s="35" t="s">
        <v>6532</v>
      </c>
      <c r="P1100" s="37" t="s">
        <v>6533</v>
      </c>
      <c r="Q1100" s="34" t="s">
        <v>3549</v>
      </c>
      <c r="R1100" s="34" t="s">
        <v>3540</v>
      </c>
      <c r="S1100" s="47">
        <v>43101</v>
      </c>
      <c r="T1100" s="47">
        <v>0</v>
      </c>
      <c r="U1100" s="47">
        <v>0</v>
      </c>
      <c r="V1100" s="34">
        <v>4078500031936</v>
      </c>
      <c r="W1100" s="34" t="s">
        <v>3543</v>
      </c>
      <c r="X1100" s="34" t="s">
        <v>3579</v>
      </c>
      <c r="Y1100" s="34" t="s">
        <v>3542</v>
      </c>
      <c r="Z1100" s="34">
        <v>12</v>
      </c>
      <c r="AA1100" s="34">
        <v>82</v>
      </c>
      <c r="AB1100" s="34" t="s">
        <v>5649</v>
      </c>
      <c r="AC1100" s="34">
        <v>72</v>
      </c>
      <c r="AD1100" s="34" t="s">
        <v>6048</v>
      </c>
      <c r="AE1100" s="34" t="s">
        <v>3878</v>
      </c>
      <c r="AF1100" s="34" t="s">
        <v>3800</v>
      </c>
      <c r="AG1100" s="34" t="s">
        <v>4231</v>
      </c>
      <c r="AH1100" s="34" t="s">
        <v>6534</v>
      </c>
      <c r="AI1100" s="34" t="s">
        <v>3886</v>
      </c>
      <c r="AJ1100" s="34" t="s">
        <v>4231</v>
      </c>
      <c r="AK1100" s="34" t="s">
        <v>4231</v>
      </c>
      <c r="AL1100" s="34" t="s">
        <v>6535</v>
      </c>
      <c r="AM1100" s="40" t="s">
        <v>9</v>
      </c>
      <c r="AP1100" s="34">
        <v>0</v>
      </c>
      <c r="AQ1100" s="34">
        <v>759</v>
      </c>
      <c r="AR1100" s="34">
        <v>468</v>
      </c>
      <c r="AT1100" s="44">
        <v>58800</v>
      </c>
      <c r="AU1100" s="44"/>
      <c r="AV1100" s="46">
        <f>ROUND(Товары[[#This Row],[РРЦ финальная, руб.]]/$AU$1,2)</f>
        <v>0</v>
      </c>
      <c r="AW1100" s="45" t="str">
        <f>IFERROR(Товары[[#This Row],[РРЦ, евро]]/Товары[[#This Row],[IRP, Eur]],"-")</f>
        <v>-</v>
      </c>
      <c r="AX1100" s="42">
        <f>IFERROR(VLOOKUP(Товары[[#This Row],[SubGroup]],'Структура цен DIY'!$B:$C,2,FALSE),0)</f>
        <v>0.26</v>
      </c>
      <c r="AY1100" s="44">
        <v>0</v>
      </c>
    </row>
    <row r="1101" spans="1:51" x14ac:dyDescent="0.25">
      <c r="A1101" s="34">
        <v>1099</v>
      </c>
      <c r="B1101" s="34" t="s">
        <v>49</v>
      </c>
      <c r="C1101" s="110" t="str">
        <f>IFERROR(INDEX(Структура_ассортимента[SuperCategory],MATCH(Товары[[#This Row],[SubGroup]],Структура_ассортимента[Subgroup],0)),"")</f>
        <v>W</v>
      </c>
      <c r="D110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0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01" s="110" t="str">
        <f>IFERROR(INDEX(Структура_ассортимента[Product group],MATCH(Товары[[#This Row],[SubGroup]],Структура_ассортимента[Subgroup],0)),"")</f>
        <v>WMO_C</v>
      </c>
      <c r="G1101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01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01" s="36">
        <v>9011</v>
      </c>
      <c r="J1101" s="36" t="str">
        <f>IFERROR(INDEX(Структура_ассортимента[Generic Name (long)],MATCH(Товары[[#This Row],[SubGroup]],Структура_ассортимента[Subgroup],0)),"")</f>
        <v>TAP CONNECTOR</v>
      </c>
      <c r="L1101" s="36">
        <v>967667301</v>
      </c>
      <c r="M1101" s="35" t="s">
        <v>2777</v>
      </c>
      <c r="Q1101" s="34" t="s">
        <v>3549</v>
      </c>
      <c r="R1101" s="34" t="s">
        <v>3540</v>
      </c>
      <c r="S1101" s="47">
        <v>43101</v>
      </c>
      <c r="T1101" s="47">
        <v>0</v>
      </c>
      <c r="U1101" s="47">
        <v>0</v>
      </c>
      <c r="V1101" s="34">
        <v>4078500031950</v>
      </c>
      <c r="W1101" s="34" t="s">
        <v>3543</v>
      </c>
      <c r="X1101" s="34" t="s">
        <v>3579</v>
      </c>
      <c r="Y1101" s="34" t="s">
        <v>3542</v>
      </c>
      <c r="Z1101" s="34">
        <v>10</v>
      </c>
      <c r="AA1101" s="34">
        <v>69</v>
      </c>
      <c r="AB1101" s="34" t="s">
        <v>3719</v>
      </c>
      <c r="AC1101" s="34">
        <v>63</v>
      </c>
      <c r="AD1101" s="34" t="s">
        <v>3719</v>
      </c>
      <c r="AE1101" s="34" t="s">
        <v>3693</v>
      </c>
      <c r="AF1101" s="34" t="s">
        <v>3800</v>
      </c>
      <c r="AG1101" s="34" t="s">
        <v>4472</v>
      </c>
      <c r="AH1101" s="34" t="s">
        <v>6536</v>
      </c>
      <c r="AI1101" s="34" t="s">
        <v>3886</v>
      </c>
      <c r="AJ1101" s="34" t="s">
        <v>4231</v>
      </c>
      <c r="AK1101" s="34" t="s">
        <v>4231</v>
      </c>
      <c r="AL1101" s="34" t="s">
        <v>6521</v>
      </c>
      <c r="AM1101" s="40" t="s">
        <v>8095</v>
      </c>
      <c r="AT1101" s="44">
        <v>0</v>
      </c>
      <c r="AU1101" s="44"/>
      <c r="AV1101" s="46">
        <f>ROUND(Товары[[#This Row],[РРЦ финальная, руб.]]/$AU$1,2)</f>
        <v>0</v>
      </c>
      <c r="AW1101" s="45" t="str">
        <f>IFERROR(Товары[[#This Row],[РРЦ, евро]]/Товары[[#This Row],[IRP, Eur]],"-")</f>
        <v>-</v>
      </c>
      <c r="AX1101" s="42">
        <f>IFERROR(VLOOKUP(Товары[[#This Row],[SubGroup]],'Структура цен DIY'!$B:$C,2,FALSE),0)</f>
        <v>0.26</v>
      </c>
      <c r="AY1101" s="44">
        <v>0</v>
      </c>
    </row>
    <row r="1102" spans="1:51" x14ac:dyDescent="0.25">
      <c r="A1102" s="34">
        <v>1100</v>
      </c>
      <c r="B1102" s="34" t="s">
        <v>49</v>
      </c>
      <c r="C1102" s="110" t="str">
        <f>IFERROR(INDEX(Структура_ассортимента[SuperCategory],MATCH(Товары[[#This Row],[SubGroup]],Структура_ассортимента[Subgroup],0)),"")</f>
        <v>W</v>
      </c>
      <c r="D110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0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02" s="110" t="str">
        <f>IFERROR(INDEX(Структура_ассортимента[Product group],MATCH(Товары[[#This Row],[SubGroup]],Структура_ассортимента[Subgroup],0)),"")</f>
        <v>WMO_C</v>
      </c>
      <c r="G1102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02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02" s="36">
        <v>9011</v>
      </c>
      <c r="J1102" s="36" t="str">
        <f>IFERROR(INDEX(Структура_ассортимента[Generic Name (long)],MATCH(Товары[[#This Row],[SubGroup]],Структура_ассортимента[Subgroup],0)),"")</f>
        <v>TAP CONNECTOR</v>
      </c>
      <c r="L1102" s="36">
        <v>967667401</v>
      </c>
      <c r="M1102" s="35" t="s">
        <v>2778</v>
      </c>
      <c r="O1102" s="35" t="s">
        <v>6537</v>
      </c>
      <c r="P1102" s="37" t="s">
        <v>6538</v>
      </c>
      <c r="Q1102" s="34" t="s">
        <v>3549</v>
      </c>
      <c r="R1102" s="34" t="s">
        <v>3540</v>
      </c>
      <c r="S1102" s="47">
        <v>43101</v>
      </c>
      <c r="T1102" s="47">
        <v>0</v>
      </c>
      <c r="U1102" s="47">
        <v>0</v>
      </c>
      <c r="V1102" s="34">
        <v>4078500031974</v>
      </c>
      <c r="W1102" s="34" t="s">
        <v>3543</v>
      </c>
      <c r="X1102" s="34" t="s">
        <v>3579</v>
      </c>
      <c r="Y1102" s="34" t="s">
        <v>3542</v>
      </c>
      <c r="Z1102" s="34">
        <v>12</v>
      </c>
      <c r="AA1102" s="34">
        <v>125</v>
      </c>
      <c r="AB1102" s="34" t="s">
        <v>6539</v>
      </c>
      <c r="AC1102" s="34">
        <v>115</v>
      </c>
      <c r="AD1102" s="34" t="s">
        <v>5910</v>
      </c>
      <c r="AE1102" s="34" t="s">
        <v>3878</v>
      </c>
      <c r="AF1102" s="34" t="s">
        <v>3800</v>
      </c>
      <c r="AG1102" s="34" t="s">
        <v>4351</v>
      </c>
      <c r="AH1102" s="34" t="s">
        <v>6540</v>
      </c>
      <c r="AI1102" s="34" t="s">
        <v>4646</v>
      </c>
      <c r="AJ1102" s="34" t="s">
        <v>4432</v>
      </c>
      <c r="AK1102" s="34" t="s">
        <v>4432</v>
      </c>
      <c r="AL1102" s="34" t="s">
        <v>6535</v>
      </c>
      <c r="AM1102" s="40" t="s">
        <v>9</v>
      </c>
      <c r="AP1102" s="34">
        <v>0</v>
      </c>
      <c r="AQ1102" s="34">
        <v>869</v>
      </c>
      <c r="AR1102" s="34">
        <v>536</v>
      </c>
      <c r="AT1102" s="44">
        <v>67300</v>
      </c>
      <c r="AU1102" s="44"/>
      <c r="AV1102" s="46">
        <f>ROUND(Товары[[#This Row],[РРЦ финальная, руб.]]/$AU$1,2)</f>
        <v>0</v>
      </c>
      <c r="AW1102" s="45" t="str">
        <f>IFERROR(Товары[[#This Row],[РРЦ, евро]]/Товары[[#This Row],[IRP, Eur]],"-")</f>
        <v>-</v>
      </c>
      <c r="AX1102" s="42">
        <f>IFERROR(VLOOKUP(Товары[[#This Row],[SubGroup]],'Структура цен DIY'!$B:$C,2,FALSE),0)</f>
        <v>0.26</v>
      </c>
      <c r="AY1102" s="44">
        <v>0</v>
      </c>
    </row>
    <row r="1103" spans="1:51" x14ac:dyDescent="0.25">
      <c r="A1103" s="34">
        <v>1101</v>
      </c>
      <c r="B1103" s="34" t="s">
        <v>49</v>
      </c>
      <c r="C1103" s="110" t="str">
        <f>IFERROR(INDEX(Структура_ассортимента[SuperCategory],MATCH(Товары[[#This Row],[SubGroup]],Структура_ассортимента[Subgroup],0)),"")</f>
        <v>W</v>
      </c>
      <c r="D110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0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03" s="110" t="str">
        <f>IFERROR(INDEX(Структура_ассортимента[Product group],MATCH(Товары[[#This Row],[SubGroup]],Структура_ассортимента[Subgroup],0)),"")</f>
        <v>WMO_C</v>
      </c>
      <c r="G1103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03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03" s="36">
        <v>9011</v>
      </c>
      <c r="J1103" s="36" t="str">
        <f>IFERROR(INDEX(Структура_ассортимента[Generic Name (long)],MATCH(Товары[[#This Row],[SubGroup]],Структура_ассортимента[Subgroup],0)),"")</f>
        <v>TAP CONNECTOR</v>
      </c>
      <c r="L1103" s="36">
        <v>967667501</v>
      </c>
      <c r="M1103" s="35" t="s">
        <v>2779</v>
      </c>
      <c r="Q1103" s="34" t="s">
        <v>3549</v>
      </c>
      <c r="R1103" s="34" t="s">
        <v>3540</v>
      </c>
      <c r="S1103" s="47">
        <v>43101</v>
      </c>
      <c r="T1103" s="47">
        <v>0</v>
      </c>
      <c r="U1103" s="47">
        <v>0</v>
      </c>
      <c r="V1103" s="34">
        <v>4078500031998</v>
      </c>
      <c r="W1103" s="34" t="s">
        <v>3543</v>
      </c>
      <c r="X1103" s="34" t="s">
        <v>3579</v>
      </c>
      <c r="Y1103" s="34" t="s">
        <v>3542</v>
      </c>
      <c r="Z1103" s="34">
        <v>10</v>
      </c>
      <c r="AA1103" s="34">
        <v>86</v>
      </c>
      <c r="AB1103" s="34" t="s">
        <v>6541</v>
      </c>
      <c r="AC1103" s="34">
        <v>80</v>
      </c>
      <c r="AD1103" s="34" t="s">
        <v>5640</v>
      </c>
      <c r="AE1103" s="34" t="s">
        <v>3693</v>
      </c>
      <c r="AF1103" s="34" t="s">
        <v>3800</v>
      </c>
      <c r="AG1103" s="34" t="s">
        <v>4472</v>
      </c>
      <c r="AH1103" s="34" t="s">
        <v>6536</v>
      </c>
      <c r="AI1103" s="34" t="s">
        <v>4646</v>
      </c>
      <c r="AJ1103" s="34" t="s">
        <v>4432</v>
      </c>
      <c r="AK1103" s="34" t="s">
        <v>4432</v>
      </c>
      <c r="AL1103" s="34" t="s">
        <v>6542</v>
      </c>
      <c r="AM1103" s="40" t="s">
        <v>8095</v>
      </c>
      <c r="AT1103" s="44">
        <v>0</v>
      </c>
      <c r="AU1103" s="44"/>
      <c r="AV1103" s="46">
        <f>ROUND(Товары[[#This Row],[РРЦ финальная, руб.]]/$AU$1,2)</f>
        <v>0</v>
      </c>
      <c r="AW1103" s="45" t="str">
        <f>IFERROR(Товары[[#This Row],[РРЦ, евро]]/Товары[[#This Row],[IRP, Eur]],"-")</f>
        <v>-</v>
      </c>
      <c r="AX1103" s="42">
        <f>IFERROR(VLOOKUP(Товары[[#This Row],[SubGroup]],'Структура цен DIY'!$B:$C,2,FALSE),0)</f>
        <v>0.26</v>
      </c>
      <c r="AY1103" s="44">
        <v>0</v>
      </c>
    </row>
    <row r="1104" spans="1:51" x14ac:dyDescent="0.25">
      <c r="A1104" s="34">
        <v>1102</v>
      </c>
      <c r="B1104" s="34" t="s">
        <v>49</v>
      </c>
      <c r="C1104" s="110" t="str">
        <f>IFERROR(INDEX(Структура_ассортимента[SuperCategory],MATCH(Товары[[#This Row],[SubGroup]],Структура_ассортимента[Subgroup],0)),"")</f>
        <v>W</v>
      </c>
      <c r="D110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0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04" s="110" t="str">
        <f>IFERROR(INDEX(Структура_ассортимента[Product group],MATCH(Товары[[#This Row],[SubGroup]],Структура_ассортимента[Subgroup],0)),"")</f>
        <v>WMO_C</v>
      </c>
      <c r="G1104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04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04" s="36">
        <v>9011</v>
      </c>
      <c r="J1104" s="36" t="str">
        <f>IFERROR(INDEX(Структура_ассортимента[Generic Name (long)],MATCH(Товары[[#This Row],[SubGroup]],Структура_ассортимента[Subgroup],0)),"")</f>
        <v>TAP CONNECTOR</v>
      </c>
      <c r="L1104" s="36">
        <v>967315501</v>
      </c>
      <c r="M1104" s="35" t="s">
        <v>2780</v>
      </c>
      <c r="Q1104" s="34" t="s">
        <v>3549</v>
      </c>
      <c r="R1104" s="34" t="s">
        <v>3540</v>
      </c>
      <c r="S1104" s="47">
        <v>42005</v>
      </c>
      <c r="T1104" s="47">
        <v>0</v>
      </c>
      <c r="U1104" s="47">
        <v>0</v>
      </c>
      <c r="V1104" s="34">
        <v>4078500012041</v>
      </c>
      <c r="W1104" s="34" t="s">
        <v>3543</v>
      </c>
      <c r="X1104" s="34" t="s">
        <v>3579</v>
      </c>
      <c r="Y1104" s="34" t="s">
        <v>3542</v>
      </c>
      <c r="Z1104" s="34">
        <v>40</v>
      </c>
      <c r="AA1104" s="34" t="s">
        <v>6455</v>
      </c>
      <c r="AB1104" s="34" t="s">
        <v>6455</v>
      </c>
      <c r="AC1104" s="34" t="s">
        <v>6490</v>
      </c>
      <c r="AD1104" s="34" t="s">
        <v>6490</v>
      </c>
      <c r="AE1104" s="34" t="s">
        <v>4231</v>
      </c>
      <c r="AF1104" s="34" t="s">
        <v>4231</v>
      </c>
      <c r="AG1104" s="34" t="s">
        <v>4181</v>
      </c>
      <c r="AH1104" s="34" t="s">
        <v>6543</v>
      </c>
      <c r="AI1104" s="34" t="s">
        <v>4207</v>
      </c>
      <c r="AJ1104" s="34" t="s">
        <v>4231</v>
      </c>
      <c r="AK1104" s="34" t="s">
        <v>4231</v>
      </c>
      <c r="AL1104" s="34" t="s">
        <v>6521</v>
      </c>
      <c r="AM1104" s="40" t="s">
        <v>8095</v>
      </c>
      <c r="AT1104" s="44">
        <v>0</v>
      </c>
      <c r="AU1104" s="44"/>
      <c r="AV1104" s="46">
        <f>ROUND(Товары[[#This Row],[РРЦ финальная, руб.]]/$AU$1,2)</f>
        <v>0</v>
      </c>
      <c r="AW1104" s="45" t="str">
        <f>IFERROR(Товары[[#This Row],[РРЦ, евро]]/Товары[[#This Row],[IRP, Eur]],"-")</f>
        <v>-</v>
      </c>
      <c r="AX1104" s="42">
        <f>IFERROR(VLOOKUP(Товары[[#This Row],[SubGroup]],'Структура цен DIY'!$B:$C,2,FALSE),0)</f>
        <v>0.26</v>
      </c>
      <c r="AY1104" s="44">
        <v>0</v>
      </c>
    </row>
    <row r="1105" spans="1:51" x14ac:dyDescent="0.25">
      <c r="A1105" s="34">
        <v>1103</v>
      </c>
      <c r="B1105" s="34" t="s">
        <v>49</v>
      </c>
      <c r="C1105" s="110" t="str">
        <f>IFERROR(INDEX(Структура_ассортимента[SuperCategory],MATCH(Товары[[#This Row],[SubGroup]],Структура_ассортимента[Subgroup],0)),"")</f>
        <v>W</v>
      </c>
      <c r="D110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0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05" s="110" t="str">
        <f>IFERROR(INDEX(Структура_ассортимента[Product group],MATCH(Товары[[#This Row],[SubGroup]],Структура_ассортимента[Subgroup],0)),"")</f>
        <v>WMO_C</v>
      </c>
      <c r="G1105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05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05" s="36">
        <v>9011</v>
      </c>
      <c r="J1105" s="36" t="str">
        <f>IFERROR(INDEX(Структура_ассортимента[Generic Name (long)],MATCH(Товары[[#This Row],[SubGroup]],Структура_ассортимента[Subgroup],0)),"")</f>
        <v>TAP CONNECTOR</v>
      </c>
      <c r="L1105" s="36">
        <v>967315601</v>
      </c>
      <c r="M1105" s="35" t="s">
        <v>2781</v>
      </c>
      <c r="O1105" s="35" t="s">
        <v>6544</v>
      </c>
      <c r="P1105" s="37" t="s">
        <v>6545</v>
      </c>
      <c r="Q1105" s="34" t="s">
        <v>3549</v>
      </c>
      <c r="R1105" s="34" t="s">
        <v>3540</v>
      </c>
      <c r="S1105" s="47">
        <v>42005</v>
      </c>
      <c r="T1105" s="47">
        <v>0</v>
      </c>
      <c r="U1105" s="47">
        <v>0</v>
      </c>
      <c r="V1105" s="34">
        <v>4078500012140</v>
      </c>
      <c r="W1105" s="34" t="s">
        <v>3543</v>
      </c>
      <c r="X1105" s="34" t="s">
        <v>3579</v>
      </c>
      <c r="Y1105" s="34" t="s">
        <v>3542</v>
      </c>
      <c r="Z1105" s="34">
        <v>24</v>
      </c>
      <c r="AA1105" s="34" t="s">
        <v>3780</v>
      </c>
      <c r="AB1105" s="34" t="s">
        <v>3780</v>
      </c>
      <c r="AC1105" s="34" t="s">
        <v>3803</v>
      </c>
      <c r="AD1105" s="34" t="s">
        <v>3803</v>
      </c>
      <c r="AE1105" s="34" t="s">
        <v>3693</v>
      </c>
      <c r="AF1105" s="34" t="s">
        <v>3800</v>
      </c>
      <c r="AG1105" s="34" t="s">
        <v>4231</v>
      </c>
      <c r="AH1105" s="34" t="s">
        <v>6443</v>
      </c>
      <c r="AI1105" s="34" t="s">
        <v>4207</v>
      </c>
      <c r="AJ1105" s="34" t="s">
        <v>4231</v>
      </c>
      <c r="AK1105" s="34" t="s">
        <v>4231</v>
      </c>
      <c r="AL1105" s="34" t="s">
        <v>6448</v>
      </c>
      <c r="AM1105" s="40" t="s">
        <v>9</v>
      </c>
      <c r="AP1105" s="34">
        <v>0</v>
      </c>
      <c r="AQ1105" s="34">
        <v>429</v>
      </c>
      <c r="AR1105" s="34">
        <v>265</v>
      </c>
      <c r="AT1105" s="44">
        <v>33200</v>
      </c>
      <c r="AU1105" s="44"/>
      <c r="AV1105" s="46">
        <f>ROUND(Товары[[#This Row],[РРЦ финальная, руб.]]/$AU$1,2)</f>
        <v>0</v>
      </c>
      <c r="AW1105" s="45" t="str">
        <f>IFERROR(Товары[[#This Row],[РРЦ, евро]]/Товары[[#This Row],[IRP, Eur]],"-")</f>
        <v>-</v>
      </c>
      <c r="AX1105" s="42">
        <f>IFERROR(VLOOKUP(Товары[[#This Row],[SubGroup]],'Структура цен DIY'!$B:$C,2,FALSE),0)</f>
        <v>0.26</v>
      </c>
      <c r="AY1105" s="44">
        <v>0</v>
      </c>
    </row>
    <row r="1106" spans="1:51" x14ac:dyDescent="0.25">
      <c r="A1106" s="34">
        <v>1104</v>
      </c>
      <c r="B1106" s="34" t="s">
        <v>49</v>
      </c>
      <c r="C1106" s="110" t="str">
        <f>IFERROR(INDEX(Структура_ассортимента[SuperCategory],MATCH(Товары[[#This Row],[SubGroup]],Структура_ассортимента[Subgroup],0)),"")</f>
        <v>W</v>
      </c>
      <c r="D110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0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06" s="110" t="str">
        <f>IFERROR(INDEX(Структура_ассортимента[Product group],MATCH(Товары[[#This Row],[SubGroup]],Структура_ассортимента[Subgroup],0)),"")</f>
        <v>WMO_C</v>
      </c>
      <c r="G1106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06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06" s="36">
        <v>9011</v>
      </c>
      <c r="J1106" s="36" t="str">
        <f>IFERROR(INDEX(Структура_ассортимента[Generic Name (long)],MATCH(Товары[[#This Row],[SubGroup]],Структура_ассортимента[Subgroup],0)),"")</f>
        <v>TAP CONNECTOR</v>
      </c>
      <c r="L1106" s="36">
        <v>967315701</v>
      </c>
      <c r="M1106" s="35" t="s">
        <v>2782</v>
      </c>
      <c r="Q1106" s="34" t="s">
        <v>3549</v>
      </c>
      <c r="R1106" s="34" t="s">
        <v>3540</v>
      </c>
      <c r="S1106" s="47">
        <v>42005</v>
      </c>
      <c r="T1106" s="47">
        <v>0</v>
      </c>
      <c r="U1106" s="47">
        <v>0</v>
      </c>
      <c r="V1106" s="34">
        <v>40785585</v>
      </c>
      <c r="W1106" s="34" t="s">
        <v>3543</v>
      </c>
      <c r="X1106" s="34" t="s">
        <v>3579</v>
      </c>
      <c r="Y1106" s="34" t="s">
        <v>3542</v>
      </c>
      <c r="Z1106" s="34">
        <v>30</v>
      </c>
      <c r="AA1106" s="34" t="s">
        <v>3803</v>
      </c>
      <c r="AB1106" s="34" t="s">
        <v>3803</v>
      </c>
      <c r="AC1106" s="34" t="s">
        <v>6490</v>
      </c>
      <c r="AD1106" s="34" t="s">
        <v>6490</v>
      </c>
      <c r="AE1106" s="34" t="s">
        <v>4231</v>
      </c>
      <c r="AF1106" s="34" t="s">
        <v>4231</v>
      </c>
      <c r="AG1106" s="34" t="s">
        <v>4181</v>
      </c>
      <c r="AH1106" s="34" t="s">
        <v>6543</v>
      </c>
      <c r="AI1106" s="34" t="s">
        <v>4207</v>
      </c>
      <c r="AJ1106" s="34" t="s">
        <v>4231</v>
      </c>
      <c r="AK1106" s="34" t="s">
        <v>4231</v>
      </c>
      <c r="AL1106" s="34" t="s">
        <v>6546</v>
      </c>
      <c r="AM1106" s="40" t="s">
        <v>8095</v>
      </c>
      <c r="AT1106" s="44">
        <v>0</v>
      </c>
      <c r="AU1106" s="44"/>
      <c r="AV1106" s="46">
        <f>ROUND(Товары[[#This Row],[РРЦ финальная, руб.]]/$AU$1,2)</f>
        <v>0</v>
      </c>
      <c r="AW1106" s="45" t="str">
        <f>IFERROR(Товары[[#This Row],[РРЦ, евро]]/Товары[[#This Row],[IRP, Eur]],"-")</f>
        <v>-</v>
      </c>
      <c r="AX1106" s="42">
        <f>IFERROR(VLOOKUP(Товары[[#This Row],[SubGroup]],'Структура цен DIY'!$B:$C,2,FALSE),0)</f>
        <v>0.26</v>
      </c>
      <c r="AY1106" s="44">
        <v>0</v>
      </c>
    </row>
    <row r="1107" spans="1:51" x14ac:dyDescent="0.25">
      <c r="A1107" s="34">
        <v>1105</v>
      </c>
      <c r="B1107" s="34" t="s">
        <v>49</v>
      </c>
      <c r="C1107" s="110" t="str">
        <f>IFERROR(INDEX(Структура_ассортимента[SuperCategory],MATCH(Товары[[#This Row],[SubGroup]],Структура_ассортимента[Subgroup],0)),"")</f>
        <v>W</v>
      </c>
      <c r="D110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0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07" s="110" t="str">
        <f>IFERROR(INDEX(Структура_ассортимента[Product group],MATCH(Товары[[#This Row],[SubGroup]],Структура_ассортимента[Subgroup],0)),"")</f>
        <v>WMO_C</v>
      </c>
      <c r="G1107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07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07" s="36">
        <v>9011</v>
      </c>
      <c r="J1107" s="36" t="str">
        <f>IFERROR(INDEX(Структура_ассортимента[Generic Name (long)],MATCH(Товары[[#This Row],[SubGroup]],Структура_ассортимента[Subgroup],0)),"")</f>
        <v>TAP CONNECTOR</v>
      </c>
      <c r="L1107" s="36">
        <v>967316001</v>
      </c>
      <c r="M1107" s="35" t="s">
        <v>2783</v>
      </c>
      <c r="Q1107" s="34" t="s">
        <v>3549</v>
      </c>
      <c r="R1107" s="34" t="s">
        <v>3540</v>
      </c>
      <c r="S1107" s="47">
        <v>42005</v>
      </c>
      <c r="T1107" s="47">
        <v>0</v>
      </c>
      <c r="U1107" s="47">
        <v>0</v>
      </c>
      <c r="V1107" s="34">
        <v>4078500012089</v>
      </c>
      <c r="W1107" s="34" t="s">
        <v>3543</v>
      </c>
      <c r="X1107" s="34" t="s">
        <v>3579</v>
      </c>
      <c r="Y1107" s="34" t="s">
        <v>3542</v>
      </c>
      <c r="Z1107" s="34">
        <v>30</v>
      </c>
      <c r="AA1107" s="34" t="s">
        <v>6518</v>
      </c>
      <c r="AB1107" s="34" t="s">
        <v>6470</v>
      </c>
      <c r="AC1107" s="34" t="s">
        <v>6519</v>
      </c>
      <c r="AD1107" s="34" t="s">
        <v>6515</v>
      </c>
      <c r="AE1107" s="34" t="s">
        <v>5125</v>
      </c>
      <c r="AF1107" s="34" t="s">
        <v>5125</v>
      </c>
      <c r="AG1107" s="34" t="s">
        <v>4942</v>
      </c>
      <c r="AH1107" s="34" t="s">
        <v>6547</v>
      </c>
      <c r="AI1107" s="34" t="s">
        <v>4942</v>
      </c>
      <c r="AJ1107" s="34" t="s">
        <v>5125</v>
      </c>
      <c r="AK1107" s="34" t="s">
        <v>5125</v>
      </c>
      <c r="AL1107" s="34" t="s">
        <v>6058</v>
      </c>
      <c r="AM1107" s="40" t="s">
        <v>8095</v>
      </c>
      <c r="AT1107" s="44">
        <v>0</v>
      </c>
      <c r="AU1107" s="44"/>
      <c r="AV1107" s="46">
        <f>ROUND(Товары[[#This Row],[РРЦ финальная, руб.]]/$AU$1,2)</f>
        <v>0</v>
      </c>
      <c r="AW1107" s="45" t="str">
        <f>IFERROR(Товары[[#This Row],[РРЦ, евро]]/Товары[[#This Row],[IRP, Eur]],"-")</f>
        <v>-</v>
      </c>
      <c r="AX1107" s="42">
        <f>IFERROR(VLOOKUP(Товары[[#This Row],[SubGroup]],'Структура цен DIY'!$B:$C,2,FALSE),0)</f>
        <v>0.26</v>
      </c>
      <c r="AY1107" s="44">
        <v>0</v>
      </c>
    </row>
    <row r="1108" spans="1:51" x14ac:dyDescent="0.25">
      <c r="A1108" s="34">
        <v>1106</v>
      </c>
      <c r="B1108" s="34" t="s">
        <v>49</v>
      </c>
      <c r="C1108" s="110" t="str">
        <f>IFERROR(INDEX(Структура_ассортимента[SuperCategory],MATCH(Товары[[#This Row],[SubGroup]],Структура_ассортимента[Subgroup],0)),"")</f>
        <v>W</v>
      </c>
      <c r="D110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0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08" s="110" t="str">
        <f>IFERROR(INDEX(Структура_ассортимента[Product group],MATCH(Товары[[#This Row],[SubGroup]],Структура_ассортимента[Subgroup],0)),"")</f>
        <v>WMO_C</v>
      </c>
      <c r="G1108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08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08" s="36">
        <v>9011</v>
      </c>
      <c r="J1108" s="36" t="str">
        <f>IFERROR(INDEX(Структура_ассортимента[Generic Name (long)],MATCH(Товары[[#This Row],[SubGroup]],Структура_ассортимента[Subgroup],0)),"")</f>
        <v>TAP CONNECTOR</v>
      </c>
      <c r="L1108" s="36">
        <v>967316101</v>
      </c>
      <c r="M1108" s="35" t="s">
        <v>2784</v>
      </c>
      <c r="O1108" s="35" t="s">
        <v>6548</v>
      </c>
      <c r="P1108" s="37" t="s">
        <v>6549</v>
      </c>
      <c r="Q1108" s="34" t="s">
        <v>3549</v>
      </c>
      <c r="R1108" s="34" t="s">
        <v>3540</v>
      </c>
      <c r="S1108" s="47">
        <v>42005</v>
      </c>
      <c r="T1108" s="47">
        <v>0</v>
      </c>
      <c r="U1108" s="47">
        <v>0</v>
      </c>
      <c r="V1108" s="34">
        <v>4078500012102</v>
      </c>
      <c r="W1108" s="34" t="s">
        <v>3543</v>
      </c>
      <c r="X1108" s="34" t="s">
        <v>3579</v>
      </c>
      <c r="Y1108" s="34" t="s">
        <v>3542</v>
      </c>
      <c r="Z1108" s="34">
        <v>12</v>
      </c>
      <c r="AA1108" s="34" t="s">
        <v>3776</v>
      </c>
      <c r="AB1108" s="34" t="s">
        <v>3776</v>
      </c>
      <c r="AC1108" s="34" t="s">
        <v>5629</v>
      </c>
      <c r="AD1108" s="34" t="s">
        <v>5629</v>
      </c>
      <c r="AE1108" s="34" t="s">
        <v>3693</v>
      </c>
      <c r="AF1108" s="34" t="s">
        <v>3800</v>
      </c>
      <c r="AG1108" s="34" t="s">
        <v>4351</v>
      </c>
      <c r="AH1108" s="34" t="s">
        <v>6550</v>
      </c>
      <c r="AI1108" s="34" t="s">
        <v>4942</v>
      </c>
      <c r="AJ1108" s="34" t="s">
        <v>5125</v>
      </c>
      <c r="AK1108" s="34" t="s">
        <v>5125</v>
      </c>
      <c r="AL1108" s="34" t="s">
        <v>6489</v>
      </c>
      <c r="AM1108" s="40" t="s">
        <v>9</v>
      </c>
      <c r="AP1108" s="34">
        <v>0</v>
      </c>
      <c r="AQ1108" s="34">
        <v>539</v>
      </c>
      <c r="AR1108" s="34">
        <v>332</v>
      </c>
      <c r="AT1108" s="44">
        <v>41700</v>
      </c>
      <c r="AU1108" s="44"/>
      <c r="AV1108" s="46">
        <f>ROUND(Товары[[#This Row],[РРЦ финальная, руб.]]/$AU$1,2)</f>
        <v>0</v>
      </c>
      <c r="AW1108" s="45" t="str">
        <f>IFERROR(Товары[[#This Row],[РРЦ, евро]]/Товары[[#This Row],[IRP, Eur]],"-")</f>
        <v>-</v>
      </c>
      <c r="AX1108" s="42">
        <f>IFERROR(VLOOKUP(Товары[[#This Row],[SubGroup]],'Структура цен DIY'!$B:$C,2,FALSE),0)</f>
        <v>0.26</v>
      </c>
      <c r="AY1108" s="44">
        <v>0</v>
      </c>
    </row>
    <row r="1109" spans="1:51" x14ac:dyDescent="0.25">
      <c r="A1109" s="34">
        <v>1107</v>
      </c>
      <c r="B1109" s="34" t="s">
        <v>49</v>
      </c>
      <c r="C1109" s="110" t="str">
        <f>IFERROR(INDEX(Структура_ассортимента[SuperCategory],MATCH(Товары[[#This Row],[SubGroup]],Структура_ассортимента[Subgroup],0)),"")</f>
        <v>W</v>
      </c>
      <c r="D110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0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09" s="110" t="str">
        <f>IFERROR(INDEX(Структура_ассортимента[Product group],MATCH(Товары[[#This Row],[SubGroup]],Структура_ассортимента[Subgroup],0)),"")</f>
        <v>WMO_C</v>
      </c>
      <c r="G1109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09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09" s="36">
        <v>9011</v>
      </c>
      <c r="J1109" s="36" t="str">
        <f>IFERROR(INDEX(Структура_ассортимента[Generic Name (long)],MATCH(Товары[[#This Row],[SubGroup]],Структура_ассортимента[Subgroup],0)),"")</f>
        <v>TAP CONNECTOR</v>
      </c>
      <c r="L1109" s="36">
        <v>967316201</v>
      </c>
      <c r="M1109" s="35" t="s">
        <v>2785</v>
      </c>
      <c r="Q1109" s="34" t="s">
        <v>3549</v>
      </c>
      <c r="R1109" s="34" t="s">
        <v>3540</v>
      </c>
      <c r="S1109" s="47">
        <v>42005</v>
      </c>
      <c r="T1109" s="47">
        <v>0</v>
      </c>
      <c r="U1109" s="47">
        <v>0</v>
      </c>
      <c r="V1109" s="34">
        <v>40785592</v>
      </c>
      <c r="W1109" s="34" t="s">
        <v>3543</v>
      </c>
      <c r="X1109" s="34" t="s">
        <v>3579</v>
      </c>
      <c r="Y1109" s="34" t="s">
        <v>3542</v>
      </c>
      <c r="Z1109" s="34">
        <v>10</v>
      </c>
      <c r="AA1109" s="34" t="s">
        <v>5888</v>
      </c>
      <c r="AB1109" s="34" t="s">
        <v>5888</v>
      </c>
      <c r="AC1109" s="34" t="s">
        <v>6519</v>
      </c>
      <c r="AD1109" s="34" t="s">
        <v>6519</v>
      </c>
      <c r="AE1109" s="34" t="s">
        <v>5125</v>
      </c>
      <c r="AF1109" s="34" t="s">
        <v>5125</v>
      </c>
      <c r="AG1109" s="34" t="s">
        <v>4942</v>
      </c>
      <c r="AH1109" s="34" t="s">
        <v>6547</v>
      </c>
      <c r="AI1109" s="34" t="s">
        <v>4942</v>
      </c>
      <c r="AJ1109" s="34" t="s">
        <v>5125</v>
      </c>
      <c r="AK1109" s="34" t="s">
        <v>5125</v>
      </c>
      <c r="AL1109" s="34" t="s">
        <v>4193</v>
      </c>
      <c r="AM1109" s="40" t="s">
        <v>8095</v>
      </c>
      <c r="AT1109" s="44">
        <v>0</v>
      </c>
      <c r="AU1109" s="44"/>
      <c r="AV1109" s="46">
        <f>ROUND(Товары[[#This Row],[РРЦ финальная, руб.]]/$AU$1,2)</f>
        <v>0</v>
      </c>
      <c r="AW1109" s="45" t="str">
        <f>IFERROR(Товары[[#This Row],[РРЦ, евро]]/Товары[[#This Row],[IRP, Eur]],"-")</f>
        <v>-</v>
      </c>
      <c r="AX1109" s="42">
        <f>IFERROR(VLOOKUP(Товары[[#This Row],[SubGroup]],'Структура цен DIY'!$B:$C,2,FALSE),0)</f>
        <v>0.26</v>
      </c>
      <c r="AY1109" s="44">
        <v>0</v>
      </c>
    </row>
    <row r="1110" spans="1:51" x14ac:dyDescent="0.25">
      <c r="A1110" s="34">
        <v>1108</v>
      </c>
      <c r="B1110" s="34" t="s">
        <v>49</v>
      </c>
      <c r="C1110" s="110" t="str">
        <f>IFERROR(INDEX(Структура_ассортимента[SuperCategory],MATCH(Товары[[#This Row],[SubGroup]],Структура_ассортимента[Subgroup],0)),"")</f>
        <v>W</v>
      </c>
      <c r="D111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1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10" s="110" t="str">
        <f>IFERROR(INDEX(Структура_ассортимента[Product group],MATCH(Товары[[#This Row],[SubGroup]],Структура_ассортимента[Subgroup],0)),"")</f>
        <v>WMO_C</v>
      </c>
      <c r="G1110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10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10" s="36">
        <v>9011</v>
      </c>
      <c r="J1110" s="36" t="str">
        <f>IFERROR(INDEX(Структура_ассортимента[Generic Name (long)],MATCH(Товары[[#This Row],[SubGroup]],Структура_ассортимента[Subgroup],0)),"")</f>
        <v>TAP CONNECTOR</v>
      </c>
      <c r="L1110" s="36">
        <v>900875301</v>
      </c>
      <c r="M1110" s="35" t="s">
        <v>2786</v>
      </c>
      <c r="Q1110" s="34" t="s">
        <v>3549</v>
      </c>
      <c r="R1110" s="34" t="s">
        <v>3540</v>
      </c>
      <c r="S1110" s="47">
        <v>36434</v>
      </c>
      <c r="T1110" s="47">
        <v>0</v>
      </c>
      <c r="U1110" s="47">
        <v>0</v>
      </c>
      <c r="V1110" s="34">
        <v>4078500093125</v>
      </c>
      <c r="W1110" s="34" t="s">
        <v>3543</v>
      </c>
      <c r="X1110" s="34" t="s">
        <v>3579</v>
      </c>
      <c r="Y1110" s="34" t="s">
        <v>3542</v>
      </c>
      <c r="Z1110" s="34">
        <v>2200</v>
      </c>
      <c r="AA1110" s="34" t="s">
        <v>3811</v>
      </c>
      <c r="AB1110" s="34" t="s">
        <v>3811</v>
      </c>
      <c r="AC1110" s="34" t="s">
        <v>3811</v>
      </c>
      <c r="AD1110" s="34" t="s">
        <v>3811</v>
      </c>
      <c r="AE1110" s="34" t="s">
        <v>4231</v>
      </c>
      <c r="AF1110" s="34" t="s">
        <v>4231</v>
      </c>
      <c r="AG1110" s="34" t="s">
        <v>6551</v>
      </c>
      <c r="AH1110" s="34" t="s">
        <v>6552</v>
      </c>
      <c r="AI1110" s="34" t="s">
        <v>4207</v>
      </c>
      <c r="AJ1110" s="34" t="s">
        <v>3672</v>
      </c>
      <c r="AK1110" s="34" t="s">
        <v>3672</v>
      </c>
      <c r="AL1110" s="34">
        <v>26400</v>
      </c>
      <c r="AM1110" s="40" t="s">
        <v>8095</v>
      </c>
      <c r="AT1110" s="44">
        <v>0</v>
      </c>
      <c r="AU1110" s="44"/>
      <c r="AV1110" s="46">
        <f>ROUND(Товары[[#This Row],[РРЦ финальная, руб.]]/$AU$1,2)</f>
        <v>0</v>
      </c>
      <c r="AW1110" s="45" t="str">
        <f>IFERROR(Товары[[#This Row],[РРЦ, евро]]/Товары[[#This Row],[IRP, Eur]],"-")</f>
        <v>-</v>
      </c>
      <c r="AX1110" s="42">
        <f>IFERROR(VLOOKUP(Товары[[#This Row],[SubGroup]],'Структура цен DIY'!$B:$C,2,FALSE),0)</f>
        <v>0.26</v>
      </c>
      <c r="AY1110" s="44">
        <v>0</v>
      </c>
    </row>
    <row r="1111" spans="1:51" x14ac:dyDescent="0.25">
      <c r="A1111" s="34">
        <v>1109</v>
      </c>
      <c r="B1111" s="34" t="s">
        <v>49</v>
      </c>
      <c r="C1111" s="110" t="str">
        <f>IFERROR(INDEX(Структура_ассортимента[SuperCategory],MATCH(Товары[[#This Row],[SubGroup]],Структура_ассортимента[Subgroup],0)),"")</f>
        <v>W</v>
      </c>
      <c r="D111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1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11" s="110" t="str">
        <f>IFERROR(INDEX(Структура_ассортимента[Product group],MATCH(Товары[[#This Row],[SubGroup]],Структура_ассортимента[Subgroup],0)),"")</f>
        <v>WMO_C</v>
      </c>
      <c r="G1111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11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11" s="36">
        <v>9011</v>
      </c>
      <c r="J1111" s="36" t="str">
        <f>IFERROR(INDEX(Структура_ассортимента[Generic Name (long)],MATCH(Товары[[#This Row],[SubGroup]],Структура_ассортимента[Subgroup],0)),"")</f>
        <v>TAP CONNECTOR</v>
      </c>
      <c r="L1111" s="36">
        <v>900875501</v>
      </c>
      <c r="M1111" s="35" t="s">
        <v>2787</v>
      </c>
      <c r="Q1111" s="34" t="s">
        <v>3549</v>
      </c>
      <c r="R1111" s="34" t="s">
        <v>3540</v>
      </c>
      <c r="S1111" s="47">
        <v>35704</v>
      </c>
      <c r="T1111" s="47">
        <v>0</v>
      </c>
      <c r="U1111" s="47">
        <v>0</v>
      </c>
      <c r="V1111" s="34">
        <v>4078500093149</v>
      </c>
      <c r="W1111" s="34" t="s">
        <v>3543</v>
      </c>
      <c r="X1111" s="34" t="s">
        <v>3579</v>
      </c>
      <c r="Y1111" s="34" t="s">
        <v>3542</v>
      </c>
      <c r="Z1111" s="34">
        <v>50</v>
      </c>
      <c r="AA1111" s="34" t="s">
        <v>3811</v>
      </c>
      <c r="AB1111" s="34" t="s">
        <v>3811</v>
      </c>
      <c r="AC1111" s="34" t="s">
        <v>6553</v>
      </c>
      <c r="AD1111" s="34" t="s">
        <v>6553</v>
      </c>
      <c r="AE1111" s="34" t="s">
        <v>4181</v>
      </c>
      <c r="AF1111" s="34" t="s">
        <v>3672</v>
      </c>
      <c r="AG1111" s="34" t="s">
        <v>3672</v>
      </c>
      <c r="AH1111" s="34" t="s">
        <v>6491</v>
      </c>
      <c r="AI1111" s="34" t="s">
        <v>4207</v>
      </c>
      <c r="AJ1111" s="34" t="s">
        <v>3672</v>
      </c>
      <c r="AK1111" s="34" t="s">
        <v>3672</v>
      </c>
      <c r="AL1111" s="34">
        <v>10500</v>
      </c>
      <c r="AM1111" s="40" t="s">
        <v>8095</v>
      </c>
      <c r="AT1111" s="44">
        <v>0</v>
      </c>
      <c r="AU1111" s="44"/>
      <c r="AV1111" s="46">
        <f>ROUND(Товары[[#This Row],[РРЦ финальная, руб.]]/$AU$1,2)</f>
        <v>0</v>
      </c>
      <c r="AW1111" s="45" t="str">
        <f>IFERROR(Товары[[#This Row],[РРЦ, евро]]/Товары[[#This Row],[IRP, Eur]],"-")</f>
        <v>-</v>
      </c>
      <c r="AX1111" s="42">
        <f>IFERROR(VLOOKUP(Товары[[#This Row],[SubGroup]],'Структура цен DIY'!$B:$C,2,FALSE),0)</f>
        <v>0.26</v>
      </c>
      <c r="AY1111" s="44">
        <v>0</v>
      </c>
    </row>
    <row r="1112" spans="1:51" x14ac:dyDescent="0.25">
      <c r="A1112" s="34">
        <v>1110</v>
      </c>
      <c r="B1112" s="34" t="s">
        <v>49</v>
      </c>
      <c r="C1112" s="110" t="str">
        <f>IFERROR(INDEX(Структура_ассортимента[SuperCategory],MATCH(Товары[[#This Row],[SubGroup]],Структура_ассортимента[Subgroup],0)),"")</f>
        <v>W</v>
      </c>
      <c r="D111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1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12" s="110" t="str">
        <f>IFERROR(INDEX(Структура_ассортимента[Product group],MATCH(Товары[[#This Row],[SubGroup]],Структура_ассортимента[Subgroup],0)),"")</f>
        <v>WMO_C</v>
      </c>
      <c r="G1112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12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12" s="36">
        <v>9011</v>
      </c>
      <c r="J1112" s="36" t="str">
        <f>IFERROR(INDEX(Структура_ассортимента[Generic Name (long)],MATCH(Товары[[#This Row],[SubGroup]],Структура_ассортимента[Subgroup],0)),"")</f>
        <v>TAP CONNECTOR</v>
      </c>
      <c r="L1112" s="36">
        <v>901029901</v>
      </c>
      <c r="M1112" s="35" t="s">
        <v>2788</v>
      </c>
      <c r="O1112" s="35" t="s">
        <v>6554</v>
      </c>
      <c r="P1112" s="37" t="s">
        <v>6555</v>
      </c>
      <c r="Q1112" s="34" t="s">
        <v>3549</v>
      </c>
      <c r="R1112" s="34" t="s">
        <v>3540</v>
      </c>
      <c r="S1112" s="47">
        <v>36434</v>
      </c>
      <c r="T1112" s="47">
        <v>0</v>
      </c>
      <c r="U1112" s="47">
        <v>0</v>
      </c>
      <c r="V1112" s="34">
        <v>4078500293402</v>
      </c>
      <c r="W1112" s="34" t="s">
        <v>3543</v>
      </c>
      <c r="X1112" s="34" t="s">
        <v>3579</v>
      </c>
      <c r="Y1112" s="34" t="s">
        <v>3542</v>
      </c>
      <c r="Z1112" s="34">
        <v>12</v>
      </c>
      <c r="AA1112" s="34" t="s">
        <v>6556</v>
      </c>
      <c r="AB1112" s="34" t="s">
        <v>6556</v>
      </c>
      <c r="AC1112" s="34" t="s">
        <v>3803</v>
      </c>
      <c r="AD1112" s="34" t="s">
        <v>3803</v>
      </c>
      <c r="AE1112" s="34" t="s">
        <v>3693</v>
      </c>
      <c r="AF1112" s="34" t="s">
        <v>3800</v>
      </c>
      <c r="AG1112" s="34" t="s">
        <v>3924</v>
      </c>
      <c r="AH1112" s="34" t="s">
        <v>3786</v>
      </c>
      <c r="AI1112" s="34" t="s">
        <v>4402</v>
      </c>
      <c r="AJ1112" s="34" t="s">
        <v>3678</v>
      </c>
      <c r="AK1112" s="34" t="s">
        <v>4248</v>
      </c>
      <c r="AL1112" s="34">
        <v>2592</v>
      </c>
      <c r="AM1112" s="40" t="s">
        <v>9</v>
      </c>
      <c r="AP1112" s="34">
        <v>0</v>
      </c>
      <c r="AQ1112" s="34">
        <v>429</v>
      </c>
      <c r="AR1112" s="34">
        <v>265</v>
      </c>
      <c r="AT1112" s="44">
        <v>33200</v>
      </c>
      <c r="AU1112" s="44"/>
      <c r="AV1112" s="46">
        <f>ROUND(Товары[[#This Row],[РРЦ финальная, руб.]]/$AU$1,2)</f>
        <v>0</v>
      </c>
      <c r="AW1112" s="45" t="str">
        <f>IFERROR(Товары[[#This Row],[РРЦ, евро]]/Товары[[#This Row],[IRP, Eur]],"-")</f>
        <v>-</v>
      </c>
      <c r="AX1112" s="42">
        <f>IFERROR(VLOOKUP(Товары[[#This Row],[SubGroup]],'Структура цен DIY'!$B:$C,2,FALSE),0)</f>
        <v>0.26</v>
      </c>
      <c r="AY1112" s="44">
        <v>0</v>
      </c>
    </row>
    <row r="1113" spans="1:51" x14ac:dyDescent="0.25">
      <c r="A1113" s="34">
        <v>1111</v>
      </c>
      <c r="B1113" s="34" t="s">
        <v>49</v>
      </c>
      <c r="C1113" s="110" t="str">
        <f>IFERROR(INDEX(Структура_ассортимента[SuperCategory],MATCH(Товары[[#This Row],[SubGroup]],Структура_ассортимента[Subgroup],0)),"")</f>
        <v>W</v>
      </c>
      <c r="D111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1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13" s="110" t="str">
        <f>IFERROR(INDEX(Структура_ассортимента[Product group],MATCH(Товары[[#This Row],[SubGroup]],Структура_ассортимента[Subgroup],0)),"")</f>
        <v>WMO_C</v>
      </c>
      <c r="G1113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13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13" s="36">
        <v>9011</v>
      </c>
      <c r="J1113" s="36" t="str">
        <f>IFERROR(INDEX(Структура_ассортимента[Generic Name (long)],MATCH(Товары[[#This Row],[SubGroup]],Структура_ассортимента[Subgroup],0)),"")</f>
        <v>TAP CONNECTOR</v>
      </c>
      <c r="L1113" s="36">
        <v>901031301</v>
      </c>
      <c r="M1113" s="35" t="s">
        <v>2789</v>
      </c>
      <c r="O1113" s="35" t="s">
        <v>6557</v>
      </c>
      <c r="P1113" s="37" t="s">
        <v>6558</v>
      </c>
      <c r="Q1113" s="34" t="s">
        <v>3549</v>
      </c>
      <c r="R1113" s="34" t="s">
        <v>3540</v>
      </c>
      <c r="S1113" s="47">
        <v>36434</v>
      </c>
      <c r="T1113" s="47">
        <v>0</v>
      </c>
      <c r="U1113" s="47">
        <v>0</v>
      </c>
      <c r="V1113" s="34">
        <v>4078500297608</v>
      </c>
      <c r="W1113" s="34" t="s">
        <v>3543</v>
      </c>
      <c r="X1113" s="34" t="s">
        <v>3579</v>
      </c>
      <c r="Y1113" s="34" t="s">
        <v>3542</v>
      </c>
      <c r="Z1113" s="34">
        <v>6</v>
      </c>
      <c r="AA1113" s="34" t="s">
        <v>6075</v>
      </c>
      <c r="AB1113" s="34" t="s">
        <v>6075</v>
      </c>
      <c r="AC1113" s="34" t="s">
        <v>5645</v>
      </c>
      <c r="AD1113" s="34" t="s">
        <v>5645</v>
      </c>
      <c r="AE1113" s="34" t="s">
        <v>3825</v>
      </c>
      <c r="AF1113" s="34" t="s">
        <v>3576</v>
      </c>
      <c r="AG1113" s="34" t="s">
        <v>3791</v>
      </c>
      <c r="AH1113" s="34" t="s">
        <v>6559</v>
      </c>
      <c r="AL1113" s="34">
        <v>576</v>
      </c>
      <c r="AM1113" s="40" t="s">
        <v>9</v>
      </c>
      <c r="AP1113" s="34">
        <v>0</v>
      </c>
      <c r="AQ1113" s="34">
        <v>1309</v>
      </c>
      <c r="AR1113" s="34">
        <v>807</v>
      </c>
      <c r="AT1113" s="44">
        <v>101400</v>
      </c>
      <c r="AU1113" s="44"/>
      <c r="AV1113" s="46">
        <f>ROUND(Товары[[#This Row],[РРЦ финальная, руб.]]/$AU$1,2)</f>
        <v>0</v>
      </c>
      <c r="AW1113" s="45" t="str">
        <f>IFERROR(Товары[[#This Row],[РРЦ, евро]]/Товары[[#This Row],[IRP, Eur]],"-")</f>
        <v>-</v>
      </c>
      <c r="AX1113" s="42">
        <f>IFERROR(VLOOKUP(Товары[[#This Row],[SubGroup]],'Структура цен DIY'!$B:$C,2,FALSE),0)</f>
        <v>0.26</v>
      </c>
      <c r="AY1113" s="44">
        <v>0</v>
      </c>
    </row>
    <row r="1114" spans="1:51" x14ac:dyDescent="0.25">
      <c r="A1114" s="34">
        <v>1112</v>
      </c>
      <c r="B1114" s="34" t="s">
        <v>49</v>
      </c>
      <c r="C1114" s="110" t="str">
        <f>IFERROR(INDEX(Структура_ассортимента[SuperCategory],MATCH(Товары[[#This Row],[SubGroup]],Структура_ассортимента[Subgroup],0)),"")</f>
        <v>W</v>
      </c>
      <c r="D111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1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14" s="110" t="str">
        <f>IFERROR(INDEX(Структура_ассортимента[Product group],MATCH(Товары[[#This Row],[SubGroup]],Структура_ассортимента[Subgroup],0)),"")</f>
        <v>WMO_C</v>
      </c>
      <c r="G1114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14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14" s="36">
        <v>9011</v>
      </c>
      <c r="J1114" s="36" t="str">
        <f>IFERROR(INDEX(Структура_ассортимента[Generic Name (long)],MATCH(Товары[[#This Row],[SubGroup]],Структура_ассортимента[Subgroup],0)),"")</f>
        <v>TAP CONNECTOR</v>
      </c>
      <c r="L1114" s="36">
        <v>901031601</v>
      </c>
      <c r="M1114" s="35" t="s">
        <v>2790</v>
      </c>
      <c r="O1114" s="35" t="s">
        <v>6560</v>
      </c>
      <c r="P1114" s="37" t="s">
        <v>6561</v>
      </c>
      <c r="Q1114" s="34" t="s">
        <v>3549</v>
      </c>
      <c r="R1114" s="34" t="s">
        <v>3540</v>
      </c>
      <c r="S1114" s="47">
        <v>36434</v>
      </c>
      <c r="T1114" s="47">
        <v>0</v>
      </c>
      <c r="U1114" s="47">
        <v>0</v>
      </c>
      <c r="V1114" s="34">
        <v>4078500297707</v>
      </c>
      <c r="W1114" s="34" t="s">
        <v>3543</v>
      </c>
      <c r="X1114" s="34" t="s">
        <v>5622</v>
      </c>
      <c r="Y1114" s="34" t="s">
        <v>3542</v>
      </c>
      <c r="Z1114" s="34">
        <v>6</v>
      </c>
      <c r="AA1114" s="34" t="s">
        <v>3788</v>
      </c>
      <c r="AB1114" s="34" t="s">
        <v>3788</v>
      </c>
      <c r="AC1114" s="34" t="s">
        <v>3719</v>
      </c>
      <c r="AD1114" s="34" t="s">
        <v>3719</v>
      </c>
      <c r="AE1114" s="34" t="s">
        <v>3825</v>
      </c>
      <c r="AF1114" s="34" t="s">
        <v>3576</v>
      </c>
      <c r="AG1114" s="34" t="s">
        <v>5924</v>
      </c>
      <c r="AH1114" s="34" t="s">
        <v>6562</v>
      </c>
      <c r="AL1114" s="34">
        <v>576</v>
      </c>
      <c r="AM1114" s="40" t="s">
        <v>9</v>
      </c>
      <c r="AP1114" s="34">
        <v>0</v>
      </c>
      <c r="AQ1114" s="34">
        <v>1309</v>
      </c>
      <c r="AR1114" s="34">
        <v>807</v>
      </c>
      <c r="AT1114" s="44">
        <v>101400</v>
      </c>
      <c r="AU1114" s="44"/>
      <c r="AV1114" s="46">
        <f>ROUND(Товары[[#This Row],[РРЦ финальная, руб.]]/$AU$1,2)</f>
        <v>0</v>
      </c>
      <c r="AW1114" s="45" t="str">
        <f>IFERROR(Товары[[#This Row],[РРЦ, евро]]/Товары[[#This Row],[IRP, Eur]],"-")</f>
        <v>-</v>
      </c>
      <c r="AX1114" s="42">
        <f>IFERROR(VLOOKUP(Товары[[#This Row],[SubGroup]],'Структура цен DIY'!$B:$C,2,FALSE),0)</f>
        <v>0.26</v>
      </c>
      <c r="AY1114" s="44">
        <v>0</v>
      </c>
    </row>
    <row r="1115" spans="1:51" x14ac:dyDescent="0.25">
      <c r="A1115" s="34">
        <v>1113</v>
      </c>
      <c r="B1115" s="34" t="s">
        <v>49</v>
      </c>
      <c r="C1115" s="110" t="str">
        <f>IFERROR(INDEX(Структура_ассортимента[SuperCategory],MATCH(Товары[[#This Row],[SubGroup]],Структура_ассортимента[Subgroup],0)),"")</f>
        <v>W</v>
      </c>
      <c r="D111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1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15" s="110" t="str">
        <f>IFERROR(INDEX(Структура_ассортимента[Product group],MATCH(Товары[[#This Row],[SubGroup]],Структура_ассортимента[Subgroup],0)),"")</f>
        <v>WMO_C</v>
      </c>
      <c r="G1115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15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15" s="36">
        <v>9011</v>
      </c>
      <c r="J1115" s="36" t="str">
        <f>IFERROR(INDEX(Структура_ассортимента[Generic Name (long)],MATCH(Товары[[#This Row],[SubGroup]],Структура_ассортимента[Subgroup],0)),"")</f>
        <v>TAP CONNECTOR</v>
      </c>
      <c r="L1115" s="36">
        <v>901028701</v>
      </c>
      <c r="M1115" s="35" t="s">
        <v>2791</v>
      </c>
      <c r="Q1115" s="34" t="s">
        <v>3549</v>
      </c>
      <c r="R1115" s="34" t="s">
        <v>3540</v>
      </c>
      <c r="S1115" s="47">
        <v>36434</v>
      </c>
      <c r="T1115" s="47">
        <v>0</v>
      </c>
      <c r="U1115" s="47">
        <v>0</v>
      </c>
      <c r="V1115" s="34">
        <v>4078500293105</v>
      </c>
      <c r="W1115" s="34" t="s">
        <v>3543</v>
      </c>
      <c r="X1115" s="34" t="s">
        <v>3579</v>
      </c>
      <c r="Y1115" s="34" t="s">
        <v>3542</v>
      </c>
      <c r="Z1115" s="34">
        <v>24</v>
      </c>
      <c r="AA1115" s="34" t="s">
        <v>3797</v>
      </c>
      <c r="AB1115" s="34" t="s">
        <v>3797</v>
      </c>
      <c r="AC1115" s="34" t="s">
        <v>3784</v>
      </c>
      <c r="AD1115" s="34" t="s">
        <v>3784</v>
      </c>
      <c r="AE1115" s="34" t="s">
        <v>3693</v>
      </c>
      <c r="AF1115" s="34" t="s">
        <v>3800</v>
      </c>
      <c r="AG1115" s="34" t="s">
        <v>4260</v>
      </c>
      <c r="AH1115" s="34" t="s">
        <v>6563</v>
      </c>
      <c r="AI1115" s="34" t="s">
        <v>4207</v>
      </c>
      <c r="AJ1115" s="34" t="s">
        <v>3672</v>
      </c>
      <c r="AK1115" s="34" t="s">
        <v>3672</v>
      </c>
      <c r="AL1115" s="34" t="s">
        <v>6441</v>
      </c>
      <c r="AM1115" s="40" t="s">
        <v>8095</v>
      </c>
      <c r="AT1115" s="44">
        <v>0</v>
      </c>
      <c r="AU1115" s="44"/>
      <c r="AV1115" s="46">
        <f>ROUND(Товары[[#This Row],[РРЦ финальная, руб.]]/$AU$1,2)</f>
        <v>0</v>
      </c>
      <c r="AW1115" s="45" t="str">
        <f>IFERROR(Товары[[#This Row],[РРЦ, евро]]/Товары[[#This Row],[IRP, Eur]],"-")</f>
        <v>-</v>
      </c>
      <c r="AX1115" s="42">
        <f>IFERROR(VLOOKUP(Товары[[#This Row],[SubGroup]],'Структура цен DIY'!$B:$C,2,FALSE),0)</f>
        <v>0.26</v>
      </c>
      <c r="AY1115" s="44">
        <v>0</v>
      </c>
    </row>
    <row r="1116" spans="1:51" x14ac:dyDescent="0.25">
      <c r="A1116" s="34">
        <v>1114</v>
      </c>
      <c r="B1116" s="34" t="s">
        <v>49</v>
      </c>
      <c r="C1116" s="110" t="str">
        <f>IFERROR(INDEX(Структура_ассортимента[SuperCategory],MATCH(Товары[[#This Row],[SubGroup]],Структура_ассортимента[Subgroup],0)),"")</f>
        <v>W</v>
      </c>
      <c r="D111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1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16" s="110" t="str">
        <f>IFERROR(INDEX(Структура_ассортимента[Product group],MATCH(Товары[[#This Row],[SubGroup]],Структура_ассортимента[Subgroup],0)),"")</f>
        <v>WMO_C</v>
      </c>
      <c r="G1116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16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16" s="36">
        <v>9011</v>
      </c>
      <c r="J1116" s="36" t="str">
        <f>IFERROR(INDEX(Структура_ассортимента[Generic Name (long)],MATCH(Товары[[#This Row],[SubGroup]],Структура_ассортимента[Subgroup],0)),"")</f>
        <v>TAP CONNECTOR</v>
      </c>
      <c r="L1116" s="36">
        <v>901029001</v>
      </c>
      <c r="M1116" s="35" t="s">
        <v>2792</v>
      </c>
      <c r="O1116" s="35" t="s">
        <v>6564</v>
      </c>
      <c r="P1116" s="37" t="s">
        <v>6565</v>
      </c>
      <c r="Q1116" s="34" t="s">
        <v>3549</v>
      </c>
      <c r="R1116" s="34" t="s">
        <v>3540</v>
      </c>
      <c r="S1116" s="47">
        <v>36069</v>
      </c>
      <c r="T1116" s="47">
        <v>0</v>
      </c>
      <c r="U1116" s="47">
        <v>0</v>
      </c>
      <c r="V1116" s="34">
        <v>4078500293129</v>
      </c>
      <c r="W1116" s="34" t="s">
        <v>3543</v>
      </c>
      <c r="X1116" s="34" t="s">
        <v>3579</v>
      </c>
      <c r="Y1116" s="34" t="s">
        <v>3542</v>
      </c>
      <c r="Z1116" s="34">
        <v>24</v>
      </c>
      <c r="AA1116" s="34" t="s">
        <v>3783</v>
      </c>
      <c r="AB1116" s="34" t="s">
        <v>3783</v>
      </c>
      <c r="AC1116" s="34" t="s">
        <v>3784</v>
      </c>
      <c r="AD1116" s="34" t="s">
        <v>3784</v>
      </c>
      <c r="AE1116" s="34" t="s">
        <v>3693</v>
      </c>
      <c r="AF1116" s="34" t="s">
        <v>3800</v>
      </c>
      <c r="AG1116" s="34" t="s">
        <v>3672</v>
      </c>
      <c r="AH1116" s="34" t="s">
        <v>6440</v>
      </c>
      <c r="AI1116" s="34" t="s">
        <v>4207</v>
      </c>
      <c r="AJ1116" s="34" t="s">
        <v>3672</v>
      </c>
      <c r="AK1116" s="34" t="s">
        <v>3672</v>
      </c>
      <c r="AL1116" s="34">
        <v>2304</v>
      </c>
      <c r="AM1116" s="40" t="s">
        <v>9</v>
      </c>
      <c r="AP1116" s="34">
        <v>0</v>
      </c>
      <c r="AQ1116" s="34">
        <v>319</v>
      </c>
      <c r="AR1116" s="34">
        <v>197</v>
      </c>
      <c r="AT1116" s="44">
        <v>24700</v>
      </c>
      <c r="AU1116" s="44"/>
      <c r="AV1116" s="46">
        <f>ROUND(Товары[[#This Row],[РРЦ финальная, руб.]]/$AU$1,2)</f>
        <v>0</v>
      </c>
      <c r="AW1116" s="45" t="str">
        <f>IFERROR(Товары[[#This Row],[РРЦ, евро]]/Товары[[#This Row],[IRP, Eur]],"-")</f>
        <v>-</v>
      </c>
      <c r="AX1116" s="42">
        <f>IFERROR(VLOOKUP(Товары[[#This Row],[SubGroup]],'Структура цен DIY'!$B:$C,2,FALSE),0)</f>
        <v>0.26</v>
      </c>
      <c r="AY1116" s="44">
        <v>0</v>
      </c>
    </row>
    <row r="1117" spans="1:51" x14ac:dyDescent="0.25">
      <c r="A1117" s="34">
        <v>1115</v>
      </c>
      <c r="B1117" s="34" t="s">
        <v>49</v>
      </c>
      <c r="C1117" s="110" t="str">
        <f>IFERROR(INDEX(Структура_ассортимента[SuperCategory],MATCH(Товары[[#This Row],[SubGroup]],Структура_ассортимента[Subgroup],0)),"")</f>
        <v>W</v>
      </c>
      <c r="D111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1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17" s="110" t="str">
        <f>IFERROR(INDEX(Структура_ассортимента[Product group],MATCH(Товары[[#This Row],[SubGroup]],Структура_ассортимента[Subgroup],0)),"")</f>
        <v>WMO_C</v>
      </c>
      <c r="G1117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17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17" s="36">
        <v>9011</v>
      </c>
      <c r="J1117" s="36" t="str">
        <f>IFERROR(INDEX(Структура_ассортимента[Generic Name (long)],MATCH(Товары[[#This Row],[SubGroup]],Структура_ассортимента[Subgroup],0)),"")</f>
        <v>TAP CONNECTOR</v>
      </c>
      <c r="L1117" s="36">
        <v>901029401</v>
      </c>
      <c r="M1117" s="35" t="s">
        <v>2793</v>
      </c>
      <c r="O1117" s="35" t="s">
        <v>6566</v>
      </c>
      <c r="P1117" s="37" t="s">
        <v>6545</v>
      </c>
      <c r="Q1117" s="34" t="s">
        <v>3549</v>
      </c>
      <c r="R1117" s="34" t="s">
        <v>3540</v>
      </c>
      <c r="S1117" s="47">
        <v>36069</v>
      </c>
      <c r="T1117" s="47">
        <v>0</v>
      </c>
      <c r="U1117" s="47">
        <v>0</v>
      </c>
      <c r="V1117" s="34">
        <v>4078500293228</v>
      </c>
      <c r="W1117" s="34" t="s">
        <v>3543</v>
      </c>
      <c r="X1117" s="34" t="s">
        <v>3579</v>
      </c>
      <c r="Y1117" s="34" t="s">
        <v>3542</v>
      </c>
      <c r="Z1117" s="34">
        <v>24</v>
      </c>
      <c r="AA1117" s="34" t="s">
        <v>3780</v>
      </c>
      <c r="AB1117" s="34" t="s">
        <v>3780</v>
      </c>
      <c r="AC1117" s="34" t="s">
        <v>6556</v>
      </c>
      <c r="AD1117" s="34" t="s">
        <v>6556</v>
      </c>
      <c r="AE1117" s="34" t="s">
        <v>3693</v>
      </c>
      <c r="AF1117" s="34" t="s">
        <v>3800</v>
      </c>
      <c r="AG1117" s="34" t="s">
        <v>3699</v>
      </c>
      <c r="AH1117" s="34" t="s">
        <v>6567</v>
      </c>
      <c r="AL1117" s="34" t="s">
        <v>6448</v>
      </c>
      <c r="AM1117" s="40" t="s">
        <v>9</v>
      </c>
      <c r="AP1117" s="34">
        <v>0</v>
      </c>
      <c r="AQ1117" s="34">
        <v>175</v>
      </c>
      <c r="AR1117" s="34">
        <v>108</v>
      </c>
      <c r="AT1117" s="44">
        <v>13600</v>
      </c>
      <c r="AU1117" s="44"/>
      <c r="AV1117" s="46">
        <f>ROUND(Товары[[#This Row],[РРЦ финальная, руб.]]/$AU$1,2)</f>
        <v>0</v>
      </c>
      <c r="AW1117" s="45" t="str">
        <f>IFERROR(Товары[[#This Row],[РРЦ, евро]]/Товары[[#This Row],[IRP, Eur]],"-")</f>
        <v>-</v>
      </c>
      <c r="AX1117" s="42">
        <f>IFERROR(VLOOKUP(Товары[[#This Row],[SubGroup]],'Структура цен DIY'!$B:$C,2,FALSE),0)</f>
        <v>0.26</v>
      </c>
      <c r="AY1117" s="44">
        <v>0</v>
      </c>
    </row>
    <row r="1118" spans="1:51" x14ac:dyDescent="0.25">
      <c r="A1118" s="34">
        <v>1116</v>
      </c>
      <c r="B1118" s="34" t="s">
        <v>49</v>
      </c>
      <c r="C1118" s="110" t="str">
        <f>IFERROR(INDEX(Структура_ассортимента[SuperCategory],MATCH(Товары[[#This Row],[SubGroup]],Структура_ассортимента[Subgroup],0)),"")</f>
        <v>W</v>
      </c>
      <c r="D111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1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18" s="110" t="str">
        <f>IFERROR(INDEX(Структура_ассортимента[Product group],MATCH(Товары[[#This Row],[SubGroup]],Структура_ассортимента[Subgroup],0)),"")</f>
        <v>WMO_C</v>
      </c>
      <c r="G1118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18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18" s="36">
        <v>9011</v>
      </c>
      <c r="J1118" s="36" t="str">
        <f>IFERROR(INDEX(Структура_ассортимента[Generic Name (long)],MATCH(Товары[[#This Row],[SubGroup]],Структура_ассортимента[Subgroup],0)),"")</f>
        <v>TAP CONNECTOR</v>
      </c>
      <c r="L1118" s="36">
        <v>901029801</v>
      </c>
      <c r="M1118" s="35" t="s">
        <v>2794</v>
      </c>
      <c r="O1118" s="35" t="s">
        <v>6568</v>
      </c>
      <c r="P1118" s="37" t="s">
        <v>6549</v>
      </c>
      <c r="Q1118" s="34" t="s">
        <v>3549</v>
      </c>
      <c r="R1118" s="34" t="s">
        <v>3540</v>
      </c>
      <c r="S1118" s="47">
        <v>36069</v>
      </c>
      <c r="T1118" s="47">
        <v>0</v>
      </c>
      <c r="U1118" s="47">
        <v>0</v>
      </c>
      <c r="V1118" s="34">
        <v>4078500293327</v>
      </c>
      <c r="W1118" s="34" t="s">
        <v>3543</v>
      </c>
      <c r="X1118" s="34" t="s">
        <v>3579</v>
      </c>
      <c r="Y1118" s="34" t="s">
        <v>3542</v>
      </c>
      <c r="Z1118" s="34">
        <v>12</v>
      </c>
      <c r="AA1118" s="34" t="s">
        <v>6569</v>
      </c>
      <c r="AB1118" s="34" t="s">
        <v>6569</v>
      </c>
      <c r="AC1118" s="34" t="s">
        <v>3776</v>
      </c>
      <c r="AD1118" s="34" t="s">
        <v>3776</v>
      </c>
      <c r="AE1118" s="34" t="s">
        <v>3693</v>
      </c>
      <c r="AF1118" s="34" t="s">
        <v>3800</v>
      </c>
      <c r="AG1118" s="34" t="s">
        <v>4432</v>
      </c>
      <c r="AH1118" s="34" t="s">
        <v>6570</v>
      </c>
      <c r="AL1118" s="34" t="s">
        <v>6489</v>
      </c>
      <c r="AM1118" s="40" t="s">
        <v>9</v>
      </c>
      <c r="AP1118" s="34">
        <v>0</v>
      </c>
      <c r="AQ1118" s="34">
        <v>198</v>
      </c>
      <c r="AR1118" s="34">
        <v>122</v>
      </c>
      <c r="AT1118" s="44">
        <v>15300</v>
      </c>
      <c r="AU1118" s="44"/>
      <c r="AV1118" s="46">
        <f>ROUND(Товары[[#This Row],[РРЦ финальная, руб.]]/$AU$1,2)</f>
        <v>0</v>
      </c>
      <c r="AW1118" s="45" t="str">
        <f>IFERROR(Товары[[#This Row],[РРЦ, евро]]/Товары[[#This Row],[IRP, Eur]],"-")</f>
        <v>-</v>
      </c>
      <c r="AX1118" s="42">
        <f>IFERROR(VLOOKUP(Товары[[#This Row],[SubGroup]],'Структура цен DIY'!$B:$C,2,FALSE),0)</f>
        <v>0.26</v>
      </c>
      <c r="AY1118" s="44">
        <v>0</v>
      </c>
    </row>
    <row r="1119" spans="1:51" x14ac:dyDescent="0.25">
      <c r="A1119" s="34">
        <v>1117</v>
      </c>
      <c r="B1119" s="34" t="s">
        <v>49</v>
      </c>
      <c r="C1119" s="110" t="str">
        <f>IFERROR(INDEX(Структура_ассортимента[SuperCategory],MATCH(Товары[[#This Row],[SubGroup]],Структура_ассортимента[Subgroup],0)),"")</f>
        <v>W</v>
      </c>
      <c r="D111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1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19" s="110" t="str">
        <f>IFERROR(INDEX(Структура_ассортимента[Product group],MATCH(Товары[[#This Row],[SubGroup]],Структура_ассортимента[Subgroup],0)),"")</f>
        <v>WMO_C</v>
      </c>
      <c r="G1119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19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19" s="36">
        <v>9011</v>
      </c>
      <c r="J1119" s="36" t="str">
        <f>IFERROR(INDEX(Структура_ассортимента[Generic Name (long)],MATCH(Товары[[#This Row],[SubGroup]],Структура_ассортимента[Subgroup],0)),"")</f>
        <v>TAP CONNECTOR</v>
      </c>
      <c r="L1119" s="36">
        <v>900876501</v>
      </c>
      <c r="M1119" s="35" t="s">
        <v>2795</v>
      </c>
      <c r="Q1119" s="34" t="s">
        <v>3549</v>
      </c>
      <c r="R1119" s="34" t="s">
        <v>3540</v>
      </c>
      <c r="S1119" s="47">
        <v>36434</v>
      </c>
      <c r="T1119" s="47">
        <v>0</v>
      </c>
      <c r="U1119" s="47">
        <v>0</v>
      </c>
      <c r="V1119" s="34">
        <v>4078500093439</v>
      </c>
      <c r="W1119" s="34" t="s">
        <v>3541</v>
      </c>
      <c r="X1119" s="34" t="s">
        <v>3704</v>
      </c>
      <c r="Y1119" s="34" t="s">
        <v>3542</v>
      </c>
      <c r="Z1119" s="34">
        <v>650</v>
      </c>
      <c r="AA1119" s="34" t="s">
        <v>6490</v>
      </c>
      <c r="AB1119" s="34" t="s">
        <v>6490</v>
      </c>
      <c r="AC1119" s="34" t="s">
        <v>3794</v>
      </c>
      <c r="AD1119" s="34" t="s">
        <v>3794</v>
      </c>
      <c r="AE1119" s="34" t="s">
        <v>3711</v>
      </c>
      <c r="AF1119" s="34" t="s">
        <v>3711</v>
      </c>
      <c r="AG1119" s="34" t="s">
        <v>3678</v>
      </c>
      <c r="AH1119" s="34" t="s">
        <v>6453</v>
      </c>
      <c r="AI1119" s="34" t="s">
        <v>4402</v>
      </c>
      <c r="AJ1119" s="34" t="s">
        <v>3678</v>
      </c>
      <c r="AK1119" s="34" t="s">
        <v>4248</v>
      </c>
      <c r="AL1119" s="34">
        <v>15600</v>
      </c>
      <c r="AM1119" s="40" t="s">
        <v>8095</v>
      </c>
      <c r="AT1119" s="44">
        <v>0</v>
      </c>
      <c r="AU1119" s="44"/>
      <c r="AV1119" s="46">
        <f>ROUND(Товары[[#This Row],[РРЦ финальная, руб.]]/$AU$1,2)</f>
        <v>0</v>
      </c>
      <c r="AW1119" s="45" t="str">
        <f>IFERROR(Товары[[#This Row],[РРЦ, евро]]/Товары[[#This Row],[IRP, Eur]],"-")</f>
        <v>-</v>
      </c>
      <c r="AX1119" s="42">
        <f>IFERROR(VLOOKUP(Товары[[#This Row],[SubGroup]],'Структура цен DIY'!$B:$C,2,FALSE),0)</f>
        <v>0.26</v>
      </c>
      <c r="AY1119" s="44">
        <v>0</v>
      </c>
    </row>
    <row r="1120" spans="1:51" x14ac:dyDescent="0.25">
      <c r="A1120" s="34">
        <v>1118</v>
      </c>
      <c r="B1120" s="34" t="s">
        <v>49</v>
      </c>
      <c r="C1120" s="110" t="str">
        <f>IFERROR(INDEX(Структура_ассортимента[SuperCategory],MATCH(Товары[[#This Row],[SubGroup]],Структура_ассортимента[Subgroup],0)),"")</f>
        <v>W</v>
      </c>
      <c r="D112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2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20" s="110" t="str">
        <f>IFERROR(INDEX(Структура_ассортимента[Product group],MATCH(Товары[[#This Row],[SubGroup]],Структура_ассортимента[Subgroup],0)),"")</f>
        <v>WMO_C</v>
      </c>
      <c r="G1120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20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20" s="36">
        <v>9011</v>
      </c>
      <c r="J1120" s="36" t="str">
        <f>IFERROR(INDEX(Структура_ассортимента[Generic Name (long)],MATCH(Товары[[#This Row],[SubGroup]],Структура_ассортимента[Subgroup],0)),"")</f>
        <v>TAP CONNECTOR</v>
      </c>
      <c r="L1120" s="36">
        <v>900876701</v>
      </c>
      <c r="M1120" s="35" t="s">
        <v>2796</v>
      </c>
      <c r="Q1120" s="34" t="s">
        <v>3549</v>
      </c>
      <c r="R1120" s="34" t="s">
        <v>3540</v>
      </c>
      <c r="S1120" s="47">
        <v>35704</v>
      </c>
      <c r="T1120" s="47">
        <v>0</v>
      </c>
      <c r="U1120" s="47">
        <v>0</v>
      </c>
      <c r="V1120" s="34">
        <v>4078500093446</v>
      </c>
      <c r="W1120" s="34" t="s">
        <v>3543</v>
      </c>
      <c r="X1120" s="34" t="s">
        <v>3579</v>
      </c>
      <c r="Y1120" s="34" t="s">
        <v>3542</v>
      </c>
      <c r="Z1120" s="34">
        <v>12</v>
      </c>
      <c r="AA1120" s="34" t="s">
        <v>6571</v>
      </c>
      <c r="AB1120" s="34" t="s">
        <v>6571</v>
      </c>
      <c r="AC1120" s="34" t="s">
        <v>3803</v>
      </c>
      <c r="AD1120" s="34" t="s">
        <v>3803</v>
      </c>
      <c r="AE1120" s="34" t="s">
        <v>4546</v>
      </c>
      <c r="AF1120" s="34" t="s">
        <v>4546</v>
      </c>
      <c r="AG1120" s="34" t="s">
        <v>6572</v>
      </c>
      <c r="AH1120" s="34" t="s">
        <v>6503</v>
      </c>
      <c r="AI1120" s="34" t="s">
        <v>4402</v>
      </c>
      <c r="AJ1120" s="34" t="s">
        <v>3678</v>
      </c>
      <c r="AK1120" s="34" t="s">
        <v>4248</v>
      </c>
      <c r="AL1120" s="34">
        <v>4032</v>
      </c>
      <c r="AM1120" s="40" t="s">
        <v>8095</v>
      </c>
      <c r="AT1120" s="44">
        <v>0</v>
      </c>
      <c r="AU1120" s="44"/>
      <c r="AV1120" s="46">
        <f>ROUND(Товары[[#This Row],[РРЦ финальная, руб.]]/$AU$1,2)</f>
        <v>0</v>
      </c>
      <c r="AW1120" s="45" t="str">
        <f>IFERROR(Товары[[#This Row],[РРЦ, евро]]/Товары[[#This Row],[IRP, Eur]],"-")</f>
        <v>-</v>
      </c>
      <c r="AX1120" s="42">
        <f>IFERROR(VLOOKUP(Товары[[#This Row],[SubGroup]],'Структура цен DIY'!$B:$C,2,FALSE),0)</f>
        <v>0.26</v>
      </c>
      <c r="AY1120" s="44">
        <v>0</v>
      </c>
    </row>
    <row r="1121" spans="1:51" x14ac:dyDescent="0.25">
      <c r="A1121" s="34">
        <v>1119</v>
      </c>
      <c r="B1121" s="34" t="s">
        <v>49</v>
      </c>
      <c r="C1121" s="110" t="str">
        <f>IFERROR(INDEX(Структура_ассортимента[SuperCategory],MATCH(Товары[[#This Row],[SubGroup]],Структура_ассортимента[Subgroup],0)),"")</f>
        <v>W</v>
      </c>
      <c r="D112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2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21" s="110" t="str">
        <f>IFERROR(INDEX(Структура_ассортимента[Product group],MATCH(Товары[[#This Row],[SubGroup]],Структура_ассортимента[Subgroup],0)),"")</f>
        <v>WMO_C</v>
      </c>
      <c r="G1121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21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21" s="36">
        <v>9011</v>
      </c>
      <c r="J1121" s="36" t="str">
        <f>IFERROR(INDEX(Структура_ассортимента[Generic Name (long)],MATCH(Товары[[#This Row],[SubGroup]],Структура_ассортимента[Subgroup],0)),"")</f>
        <v>TAP CONNECTOR</v>
      </c>
      <c r="L1121" s="36">
        <v>900881801</v>
      </c>
      <c r="M1121" s="35" t="s">
        <v>2797</v>
      </c>
      <c r="Q1121" s="34" t="s">
        <v>3549</v>
      </c>
      <c r="R1121" s="34" t="s">
        <v>3540</v>
      </c>
      <c r="S1121" s="47">
        <v>37708</v>
      </c>
      <c r="T1121" s="47">
        <v>0</v>
      </c>
      <c r="U1121" s="47">
        <v>0</v>
      </c>
      <c r="V1121" s="34">
        <v>4078500097659</v>
      </c>
      <c r="W1121" s="34" t="s">
        <v>3543</v>
      </c>
      <c r="X1121" s="34" t="s">
        <v>3579</v>
      </c>
      <c r="Y1121" s="34" t="s">
        <v>3542</v>
      </c>
      <c r="Z1121" s="34">
        <v>10</v>
      </c>
      <c r="AA1121" s="34" t="s">
        <v>6051</v>
      </c>
      <c r="AB1121" s="34" t="s">
        <v>6051</v>
      </c>
      <c r="AC1121" s="34" t="s">
        <v>5603</v>
      </c>
      <c r="AD1121" s="34" t="s">
        <v>5603</v>
      </c>
      <c r="AE1121" s="34" t="s">
        <v>3625</v>
      </c>
      <c r="AF1121" s="34" t="s">
        <v>4942</v>
      </c>
      <c r="AG1121" s="34" t="s">
        <v>4231</v>
      </c>
      <c r="AH1121" s="34" t="s">
        <v>6573</v>
      </c>
      <c r="AL1121" s="34">
        <v>3100</v>
      </c>
      <c r="AM1121" s="40" t="s">
        <v>8095</v>
      </c>
      <c r="AT1121" s="44">
        <v>0</v>
      </c>
      <c r="AU1121" s="44"/>
      <c r="AV1121" s="46">
        <f>ROUND(Товары[[#This Row],[РРЦ финальная, руб.]]/$AU$1,2)</f>
        <v>0</v>
      </c>
      <c r="AW1121" s="45" t="str">
        <f>IFERROR(Товары[[#This Row],[РРЦ, евро]]/Товары[[#This Row],[IRP, Eur]],"-")</f>
        <v>-</v>
      </c>
      <c r="AX1121" s="42">
        <f>IFERROR(VLOOKUP(Товары[[#This Row],[SubGroup]],'Структура цен DIY'!$B:$C,2,FALSE),0)</f>
        <v>0.26</v>
      </c>
      <c r="AY1121" s="44">
        <v>0</v>
      </c>
    </row>
    <row r="1122" spans="1:51" x14ac:dyDescent="0.25">
      <c r="A1122" s="34">
        <v>1120</v>
      </c>
      <c r="B1122" s="34" t="s">
        <v>49</v>
      </c>
      <c r="C1122" s="110" t="str">
        <f>IFERROR(INDEX(Структура_ассортимента[SuperCategory],MATCH(Товары[[#This Row],[SubGroup]],Структура_ассортимента[Subgroup],0)),"")</f>
        <v>W</v>
      </c>
      <c r="D112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2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22" s="110" t="str">
        <f>IFERROR(INDEX(Структура_ассортимента[Product group],MATCH(Товары[[#This Row],[SubGroup]],Структура_ассортимента[Subgroup],0)),"")</f>
        <v>WMO_C</v>
      </c>
      <c r="G1122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22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22" s="36">
        <v>9011</v>
      </c>
      <c r="J1122" s="36" t="str">
        <f>IFERROR(INDEX(Структура_ассортимента[Generic Name (long)],MATCH(Товары[[#This Row],[SubGroup]],Структура_ассортимента[Subgroup],0)),"")</f>
        <v>TAP CONNECTOR</v>
      </c>
      <c r="L1122" s="36">
        <v>900882001</v>
      </c>
      <c r="M1122" s="35" t="s">
        <v>2798</v>
      </c>
      <c r="Q1122" s="34" t="s">
        <v>3549</v>
      </c>
      <c r="R1122" s="34" t="s">
        <v>3540</v>
      </c>
      <c r="S1122" s="47">
        <v>37803</v>
      </c>
      <c r="T1122" s="47">
        <v>0</v>
      </c>
      <c r="U1122" s="47">
        <v>0</v>
      </c>
      <c r="V1122" s="34">
        <v>4078500097734</v>
      </c>
      <c r="W1122" s="34" t="s">
        <v>3543</v>
      </c>
      <c r="X1122" s="34" t="s">
        <v>3579</v>
      </c>
      <c r="Y1122" s="34" t="s">
        <v>3542</v>
      </c>
      <c r="Z1122" s="34">
        <v>10</v>
      </c>
      <c r="AA1122" s="34" t="s">
        <v>3667</v>
      </c>
      <c r="AB1122" s="34" t="s">
        <v>3667</v>
      </c>
      <c r="AC1122" s="34" t="s">
        <v>6051</v>
      </c>
      <c r="AD1122" s="34" t="s">
        <v>6051</v>
      </c>
      <c r="AE1122" s="34" t="s">
        <v>4729</v>
      </c>
      <c r="AF1122" s="34" t="s">
        <v>3711</v>
      </c>
      <c r="AG1122" s="34" t="s">
        <v>4231</v>
      </c>
      <c r="AH1122" s="34" t="s">
        <v>6574</v>
      </c>
      <c r="AI1122" s="34" t="s">
        <v>4729</v>
      </c>
      <c r="AJ1122" s="34" t="s">
        <v>4402</v>
      </c>
      <c r="AK1122" s="34" t="s">
        <v>3699</v>
      </c>
      <c r="AL1122" s="34">
        <v>2640</v>
      </c>
      <c r="AM1122" s="40" t="s">
        <v>8095</v>
      </c>
      <c r="AT1122" s="44">
        <v>0</v>
      </c>
      <c r="AU1122" s="44"/>
      <c r="AV1122" s="46">
        <f>ROUND(Товары[[#This Row],[РРЦ финальная, руб.]]/$AU$1,2)</f>
        <v>0</v>
      </c>
      <c r="AW1122" s="45" t="str">
        <f>IFERROR(Товары[[#This Row],[РРЦ, евро]]/Товары[[#This Row],[IRP, Eur]],"-")</f>
        <v>-</v>
      </c>
      <c r="AX1122" s="42">
        <f>IFERROR(VLOOKUP(Товары[[#This Row],[SubGroup]],'Структура цен DIY'!$B:$C,2,FALSE),0)</f>
        <v>0.26</v>
      </c>
      <c r="AY1122" s="44">
        <v>0</v>
      </c>
    </row>
    <row r="1123" spans="1:51" x14ac:dyDescent="0.25">
      <c r="A1123" s="34">
        <v>1121</v>
      </c>
      <c r="B1123" s="34" t="s">
        <v>49</v>
      </c>
      <c r="C1123" s="110" t="str">
        <f>IFERROR(INDEX(Структура_ассортимента[SuperCategory],MATCH(Товары[[#This Row],[SubGroup]],Структура_ассортимента[Subgroup],0)),"")</f>
        <v>W</v>
      </c>
      <c r="D112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2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23" s="110" t="str">
        <f>IFERROR(INDEX(Структура_ассортимента[Product group],MATCH(Товары[[#This Row],[SubGroup]],Структура_ассортимента[Subgroup],0)),"")</f>
        <v>WMO_C</v>
      </c>
      <c r="G1123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23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23" s="36">
        <v>9011</v>
      </c>
      <c r="J1123" s="36" t="str">
        <f>IFERROR(INDEX(Структура_ассортимента[Generic Name (long)],MATCH(Товары[[#This Row],[SubGroup]],Структура_ассортимента[Subgroup],0)),"")</f>
        <v>TAP CONNECTOR</v>
      </c>
      <c r="L1123" s="36">
        <v>900882101</v>
      </c>
      <c r="M1123" s="35" t="s">
        <v>2799</v>
      </c>
      <c r="Q1123" s="34" t="s">
        <v>3549</v>
      </c>
      <c r="R1123" s="34" t="s">
        <v>3540</v>
      </c>
      <c r="S1123" s="47">
        <v>37708</v>
      </c>
      <c r="T1123" s="47">
        <v>0</v>
      </c>
      <c r="U1123" s="47">
        <v>0</v>
      </c>
      <c r="V1123" s="34">
        <v>4078500097758</v>
      </c>
      <c r="W1123" s="34" t="s">
        <v>3543</v>
      </c>
      <c r="X1123" s="34" t="s">
        <v>3579</v>
      </c>
      <c r="Y1123" s="34" t="s">
        <v>3542</v>
      </c>
      <c r="Z1123" s="34">
        <v>10</v>
      </c>
      <c r="AA1123" s="34" t="s">
        <v>3654</v>
      </c>
      <c r="AB1123" s="34" t="s">
        <v>3661</v>
      </c>
      <c r="AC1123" s="34" t="s">
        <v>3661</v>
      </c>
      <c r="AD1123" s="34" t="s">
        <v>6445</v>
      </c>
      <c r="AE1123" s="34" t="s">
        <v>4729</v>
      </c>
      <c r="AF1123" s="34" t="s">
        <v>3711</v>
      </c>
      <c r="AG1123" s="34" t="s">
        <v>4231</v>
      </c>
      <c r="AH1123" s="34" t="s">
        <v>6574</v>
      </c>
      <c r="AI1123" s="34" t="s">
        <v>4729</v>
      </c>
      <c r="AJ1123" s="34" t="s">
        <v>4402</v>
      </c>
      <c r="AK1123" s="34" t="s">
        <v>3699</v>
      </c>
      <c r="AL1123" s="34">
        <v>2640</v>
      </c>
      <c r="AM1123" s="40" t="s">
        <v>8095</v>
      </c>
      <c r="AT1123" s="44">
        <v>0</v>
      </c>
      <c r="AU1123" s="44"/>
      <c r="AV1123" s="46">
        <f>ROUND(Товары[[#This Row],[РРЦ финальная, руб.]]/$AU$1,2)</f>
        <v>0</v>
      </c>
      <c r="AW1123" s="45" t="str">
        <f>IFERROR(Товары[[#This Row],[РРЦ, евро]]/Товары[[#This Row],[IRP, Eur]],"-")</f>
        <v>-</v>
      </c>
      <c r="AX1123" s="42">
        <f>IFERROR(VLOOKUP(Товары[[#This Row],[SubGroup]],'Структура цен DIY'!$B:$C,2,FALSE),0)</f>
        <v>0.26</v>
      </c>
      <c r="AY1123" s="44">
        <v>0</v>
      </c>
    </row>
    <row r="1124" spans="1:51" x14ac:dyDescent="0.25">
      <c r="A1124" s="34">
        <v>1122</v>
      </c>
      <c r="B1124" s="34" t="s">
        <v>49</v>
      </c>
      <c r="C1124" s="110" t="str">
        <f>IFERROR(INDEX(Структура_ассортимента[SuperCategory],MATCH(Товары[[#This Row],[SubGroup]],Структура_ассортимента[Subgroup],0)),"")</f>
        <v>W</v>
      </c>
      <c r="D112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2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24" s="110" t="str">
        <f>IFERROR(INDEX(Структура_ассортимента[Product group],MATCH(Товары[[#This Row],[SubGroup]],Структура_ассортимента[Subgroup],0)),"")</f>
        <v>WMO_C</v>
      </c>
      <c r="G1124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24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24" s="36">
        <v>9011</v>
      </c>
      <c r="J1124" s="36" t="str">
        <f>IFERROR(INDEX(Структура_ассортимента[Generic Name (long)],MATCH(Товары[[#This Row],[SubGroup]],Структура_ассортимента[Subgroup],0)),"")</f>
        <v>TAP CONNECTOR</v>
      </c>
      <c r="L1124" s="36">
        <v>901030701</v>
      </c>
      <c r="M1124" s="35" t="s">
        <v>2800</v>
      </c>
      <c r="O1124" s="35" t="s">
        <v>6575</v>
      </c>
      <c r="P1124" s="37" t="s">
        <v>6576</v>
      </c>
      <c r="Q1124" s="34" t="s">
        <v>3549</v>
      </c>
      <c r="R1124" s="34" t="s">
        <v>3540</v>
      </c>
      <c r="S1124" s="47">
        <v>34215</v>
      </c>
      <c r="T1124" s="47">
        <v>0</v>
      </c>
      <c r="U1124" s="47">
        <v>0</v>
      </c>
      <c r="V1124" s="34">
        <v>4078500294201</v>
      </c>
      <c r="W1124" s="34" t="s">
        <v>3543</v>
      </c>
      <c r="X1124" s="34" t="s">
        <v>3579</v>
      </c>
      <c r="Y1124" s="34" t="s">
        <v>3542</v>
      </c>
      <c r="Z1124" s="34">
        <v>6</v>
      </c>
      <c r="AA1124" s="34" t="s">
        <v>3729</v>
      </c>
      <c r="AB1124" s="34" t="s">
        <v>3788</v>
      </c>
      <c r="AC1124" s="34" t="s">
        <v>3653</v>
      </c>
      <c r="AD1124" s="34" t="s">
        <v>3653</v>
      </c>
      <c r="AE1124" s="34" t="s">
        <v>3825</v>
      </c>
      <c r="AF1124" s="34" t="s">
        <v>3576</v>
      </c>
      <c r="AG1124" s="34" t="s">
        <v>3931</v>
      </c>
      <c r="AH1124" s="34" t="s">
        <v>3673</v>
      </c>
      <c r="AL1124" s="34" t="s">
        <v>3724</v>
      </c>
      <c r="AM1124" s="40" t="s">
        <v>9</v>
      </c>
      <c r="AP1124" s="34">
        <v>0</v>
      </c>
      <c r="AQ1124" s="34">
        <v>979</v>
      </c>
      <c r="AR1124" s="34">
        <v>596</v>
      </c>
      <c r="AT1124" s="44">
        <v>75800</v>
      </c>
      <c r="AU1124" s="44"/>
      <c r="AV1124" s="46">
        <f>ROUND(Товары[[#This Row],[РРЦ финальная, руб.]]/$AU$1,2)</f>
        <v>0</v>
      </c>
      <c r="AW1124" s="45" t="str">
        <f>IFERROR(Товары[[#This Row],[РРЦ, евро]]/Товары[[#This Row],[IRP, Eur]],"-")</f>
        <v>-</v>
      </c>
      <c r="AX1124" s="42">
        <f>IFERROR(VLOOKUP(Товары[[#This Row],[SubGroup]],'Структура цен DIY'!$B:$C,2,FALSE),0)</f>
        <v>0.26</v>
      </c>
      <c r="AY1124" s="44">
        <v>0</v>
      </c>
    </row>
    <row r="1125" spans="1:51" x14ac:dyDescent="0.25">
      <c r="A1125" s="34">
        <v>1123</v>
      </c>
      <c r="B1125" s="34" t="s">
        <v>49</v>
      </c>
      <c r="C1125" s="110" t="str">
        <f>IFERROR(INDEX(Структура_ассортимента[SuperCategory],MATCH(Товары[[#This Row],[SubGroup]],Структура_ассортимента[Subgroup],0)),"")</f>
        <v>W</v>
      </c>
      <c r="D112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2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25" s="110" t="str">
        <f>IFERROR(INDEX(Структура_ассортимента[Product group],MATCH(Товары[[#This Row],[SubGroup]],Структура_ассортимента[Subgroup],0)),"")</f>
        <v>WMO_C</v>
      </c>
      <c r="G1125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25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25" s="36">
        <v>9011</v>
      </c>
      <c r="J1125" s="36" t="str">
        <f>IFERROR(INDEX(Структура_ассортимента[Generic Name (long)],MATCH(Товары[[#This Row],[SubGroup]],Структура_ассортимента[Subgroup],0)),"")</f>
        <v>TAP CONNECTOR</v>
      </c>
      <c r="L1125" s="36">
        <v>901027401</v>
      </c>
      <c r="M1125" s="35" t="s">
        <v>2801</v>
      </c>
      <c r="O1125" s="35" t="s">
        <v>6577</v>
      </c>
      <c r="P1125" s="37" t="s">
        <v>6578</v>
      </c>
      <c r="Q1125" s="34" t="s">
        <v>3549</v>
      </c>
      <c r="R1125" s="34" t="s">
        <v>3540</v>
      </c>
      <c r="S1125" s="47">
        <v>36434</v>
      </c>
      <c r="T1125" s="47">
        <v>0</v>
      </c>
      <c r="U1125" s="47">
        <v>0</v>
      </c>
      <c r="V1125" s="34">
        <v>4078500292108</v>
      </c>
      <c r="W1125" s="34" t="s">
        <v>3543</v>
      </c>
      <c r="X1125" s="34" t="s">
        <v>3579</v>
      </c>
      <c r="Y1125" s="34" t="s">
        <v>3542</v>
      </c>
      <c r="Z1125" s="34">
        <v>6</v>
      </c>
      <c r="AA1125" s="34" t="s">
        <v>3803</v>
      </c>
      <c r="AB1125" s="34" t="s">
        <v>3803</v>
      </c>
      <c r="AC1125" s="34" t="s">
        <v>3797</v>
      </c>
      <c r="AD1125" s="34" t="s">
        <v>3797</v>
      </c>
      <c r="AE1125" s="34" t="s">
        <v>3693</v>
      </c>
      <c r="AF1125" s="34" t="s">
        <v>3800</v>
      </c>
      <c r="AG1125" s="34" t="s">
        <v>3801</v>
      </c>
      <c r="AH1125" s="34" t="s">
        <v>3802</v>
      </c>
      <c r="AI1125" s="34" t="s">
        <v>4218</v>
      </c>
      <c r="AJ1125" s="34" t="s">
        <v>5126</v>
      </c>
      <c r="AK1125" s="34" t="s">
        <v>5126</v>
      </c>
      <c r="AL1125" s="34">
        <v>1728</v>
      </c>
      <c r="AM1125" s="40" t="s">
        <v>9</v>
      </c>
      <c r="AP1125" s="34">
        <v>0</v>
      </c>
      <c r="AQ1125" s="34">
        <v>319</v>
      </c>
      <c r="AR1125" s="34">
        <v>197</v>
      </c>
      <c r="AT1125" s="44">
        <v>24700</v>
      </c>
      <c r="AU1125" s="44"/>
      <c r="AV1125" s="46">
        <f>ROUND(Товары[[#This Row],[РРЦ финальная, руб.]]/$AU$1,2)</f>
        <v>0</v>
      </c>
      <c r="AW1125" s="45" t="str">
        <f>IFERROR(Товары[[#This Row],[РРЦ, евро]]/Товары[[#This Row],[IRP, Eur]],"-")</f>
        <v>-</v>
      </c>
      <c r="AX1125" s="42">
        <f>IFERROR(VLOOKUP(Товары[[#This Row],[SubGroup]],'Структура цен DIY'!$B:$C,2,FALSE),0)</f>
        <v>0.26</v>
      </c>
      <c r="AY1125" s="44">
        <v>0</v>
      </c>
    </row>
    <row r="1126" spans="1:51" x14ac:dyDescent="0.25">
      <c r="A1126" s="34">
        <v>1124</v>
      </c>
      <c r="B1126" s="34" t="s">
        <v>49</v>
      </c>
      <c r="C1126" s="110" t="str">
        <f>IFERROR(INDEX(Структура_ассортимента[SuperCategory],MATCH(Товары[[#This Row],[SubGroup]],Структура_ассортимента[Subgroup],0)),"")</f>
        <v>W</v>
      </c>
      <c r="D112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2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26" s="110" t="str">
        <f>IFERROR(INDEX(Структура_ассортимента[Product group],MATCH(Товары[[#This Row],[SubGroup]],Структура_ассортимента[Subgroup],0)),"")</f>
        <v>WMO_C</v>
      </c>
      <c r="G1126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26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26" s="36">
        <v>9011</v>
      </c>
      <c r="J1126" s="36" t="str">
        <f>IFERROR(INDEX(Структура_ассортимента[Generic Name (long)],MATCH(Товары[[#This Row],[SubGroup]],Структура_ассортимента[Subgroup],0)),"")</f>
        <v>TAP CONNECTOR</v>
      </c>
      <c r="L1126" s="36">
        <v>901027301</v>
      </c>
      <c r="M1126" s="35" t="s">
        <v>2802</v>
      </c>
      <c r="Q1126" s="34" t="s">
        <v>3549</v>
      </c>
      <c r="R1126" s="34" t="s">
        <v>3540</v>
      </c>
      <c r="S1126" s="47">
        <v>35339</v>
      </c>
      <c r="T1126" s="47">
        <v>0</v>
      </c>
      <c r="U1126" s="47">
        <v>0</v>
      </c>
      <c r="V1126" s="34">
        <v>4078500292085</v>
      </c>
      <c r="W1126" s="34" t="s">
        <v>3543</v>
      </c>
      <c r="X1126" s="34" t="s">
        <v>3579</v>
      </c>
      <c r="Y1126" s="34" t="s">
        <v>3542</v>
      </c>
      <c r="Z1126" s="34">
        <v>6</v>
      </c>
      <c r="AA1126" s="34" t="s">
        <v>3797</v>
      </c>
      <c r="AB1126" s="34" t="s">
        <v>3797</v>
      </c>
      <c r="AC1126" s="34" t="s">
        <v>3784</v>
      </c>
      <c r="AD1126" s="34" t="s">
        <v>3784</v>
      </c>
      <c r="AE1126" s="34" t="s">
        <v>3693</v>
      </c>
      <c r="AF1126" s="34" t="s">
        <v>3800</v>
      </c>
      <c r="AG1126" s="34" t="s">
        <v>3678</v>
      </c>
      <c r="AH1126" s="34" t="s">
        <v>6579</v>
      </c>
      <c r="AL1126" s="34">
        <v>1728</v>
      </c>
      <c r="AM1126" s="40" t="s">
        <v>8095</v>
      </c>
      <c r="AT1126" s="44">
        <v>0</v>
      </c>
      <c r="AU1126" s="44"/>
      <c r="AV1126" s="46">
        <f>ROUND(Товары[[#This Row],[РРЦ финальная, руб.]]/$AU$1,2)</f>
        <v>0</v>
      </c>
      <c r="AW1126" s="45" t="str">
        <f>IFERROR(Товары[[#This Row],[РРЦ, евро]]/Товары[[#This Row],[IRP, Eur]],"-")</f>
        <v>-</v>
      </c>
      <c r="AX1126" s="42">
        <f>IFERROR(VLOOKUP(Товары[[#This Row],[SubGroup]],'Структура цен DIY'!$B:$C,2,FALSE),0)</f>
        <v>0.26</v>
      </c>
      <c r="AY1126" s="44">
        <v>0</v>
      </c>
    </row>
    <row r="1127" spans="1:51" x14ac:dyDescent="0.25">
      <c r="A1127" s="34">
        <v>1125</v>
      </c>
      <c r="B1127" s="34" t="s">
        <v>49</v>
      </c>
      <c r="C1127" s="110" t="str">
        <f>IFERROR(INDEX(Структура_ассортимента[SuperCategory],MATCH(Товары[[#This Row],[SubGroup]],Структура_ассортимента[Subgroup],0)),"")</f>
        <v>W</v>
      </c>
      <c r="D112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2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27" s="110" t="str">
        <f>IFERROR(INDEX(Структура_ассортимента[Product group],MATCH(Товары[[#This Row],[SubGroup]],Структура_ассортимента[Subgroup],0)),"")</f>
        <v>WMO_C</v>
      </c>
      <c r="G1127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27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27" s="36">
        <v>9011</v>
      </c>
      <c r="J1127" s="36" t="str">
        <f>IFERROR(INDEX(Структура_ассортимента[Generic Name (long)],MATCH(Товары[[#This Row],[SubGroup]],Структура_ассортимента[Subgroup],0)),"")</f>
        <v>TAP CONNECTOR</v>
      </c>
      <c r="L1127" s="36">
        <v>901025501</v>
      </c>
      <c r="M1127" s="35" t="s">
        <v>2803</v>
      </c>
      <c r="O1127" s="35" t="s">
        <v>6580</v>
      </c>
      <c r="P1127" s="37" t="s">
        <v>6581</v>
      </c>
      <c r="Q1127" s="34" t="s">
        <v>3549</v>
      </c>
      <c r="R1127" s="34" t="s">
        <v>3540</v>
      </c>
      <c r="S1127" s="47">
        <v>36069</v>
      </c>
      <c r="T1127" s="47">
        <v>0</v>
      </c>
      <c r="U1127" s="47">
        <v>0</v>
      </c>
      <c r="V1127" s="34">
        <v>4078500291323</v>
      </c>
      <c r="W1127" s="34" t="s">
        <v>3543</v>
      </c>
      <c r="X1127" s="34" t="s">
        <v>3579</v>
      </c>
      <c r="Y1127" s="34" t="s">
        <v>3542</v>
      </c>
      <c r="Z1127" s="34">
        <v>24</v>
      </c>
      <c r="AA1127" s="34" t="s">
        <v>5629</v>
      </c>
      <c r="AB1127" s="34" t="s">
        <v>5629</v>
      </c>
      <c r="AC1127" s="34" t="s">
        <v>6471</v>
      </c>
      <c r="AD1127" s="34" t="s">
        <v>6471</v>
      </c>
      <c r="AE1127" s="34" t="s">
        <v>3693</v>
      </c>
      <c r="AF1127" s="34" t="s">
        <v>3800</v>
      </c>
      <c r="AG1127" s="34" t="s">
        <v>4260</v>
      </c>
      <c r="AH1127" s="34" t="s">
        <v>6563</v>
      </c>
      <c r="AL1127" s="34" t="s">
        <v>6448</v>
      </c>
      <c r="AM1127" s="40" t="s">
        <v>9</v>
      </c>
      <c r="AP1127" s="34">
        <v>0</v>
      </c>
      <c r="AQ1127" s="34">
        <v>267</v>
      </c>
      <c r="AR1127" s="34">
        <v>165</v>
      </c>
      <c r="AT1127" s="44">
        <v>20700</v>
      </c>
      <c r="AU1127" s="44"/>
      <c r="AV1127" s="46">
        <f>ROUND(Товары[[#This Row],[РРЦ финальная, руб.]]/$AU$1,2)</f>
        <v>0</v>
      </c>
      <c r="AW1127" s="45" t="str">
        <f>IFERROR(Товары[[#This Row],[РРЦ, евро]]/Товары[[#This Row],[IRP, Eur]],"-")</f>
        <v>-</v>
      </c>
      <c r="AX1127" s="42">
        <f>IFERROR(VLOOKUP(Товары[[#This Row],[SubGroup]],'Структура цен DIY'!$B:$C,2,FALSE),0)</f>
        <v>0.26</v>
      </c>
      <c r="AY1127" s="44">
        <v>0</v>
      </c>
    </row>
    <row r="1128" spans="1:51" x14ac:dyDescent="0.25">
      <c r="A1128" s="34">
        <v>1126</v>
      </c>
      <c r="B1128" s="34" t="s">
        <v>49</v>
      </c>
      <c r="C1128" s="110" t="str">
        <f>IFERROR(INDEX(Структура_ассортимента[SuperCategory],MATCH(Товары[[#This Row],[SubGroup]],Структура_ассортимента[Subgroup],0)),"")</f>
        <v>W</v>
      </c>
      <c r="D112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2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28" s="110" t="str">
        <f>IFERROR(INDEX(Структура_ассортимента[Product group],MATCH(Товары[[#This Row],[SubGroup]],Структура_ассортимента[Subgroup],0)),"")</f>
        <v>WMO_C</v>
      </c>
      <c r="G1128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28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28" s="36">
        <v>9011</v>
      </c>
      <c r="J1128" s="36" t="str">
        <f>IFERROR(INDEX(Структура_ассортимента[Generic Name (long)],MATCH(Товары[[#This Row],[SubGroup]],Структура_ассортимента[Subgroup],0)),"")</f>
        <v>TAP CONNECTOR</v>
      </c>
      <c r="L1128" s="36">
        <v>901025901</v>
      </c>
      <c r="M1128" s="35" t="s">
        <v>2804</v>
      </c>
      <c r="O1128" s="35" t="s">
        <v>6582</v>
      </c>
      <c r="P1128" s="37" t="s">
        <v>6583</v>
      </c>
      <c r="Q1128" s="34" t="s">
        <v>3549</v>
      </c>
      <c r="R1128" s="34" t="s">
        <v>3540</v>
      </c>
      <c r="S1128" s="47">
        <v>36069</v>
      </c>
      <c r="T1128" s="47">
        <v>0</v>
      </c>
      <c r="U1128" s="47">
        <v>0</v>
      </c>
      <c r="V1128" s="34">
        <v>4078500291422</v>
      </c>
      <c r="W1128" s="34" t="s">
        <v>3543</v>
      </c>
      <c r="X1128" s="34" t="s">
        <v>3579</v>
      </c>
      <c r="Y1128" s="34" t="s">
        <v>3542</v>
      </c>
      <c r="Z1128" s="34">
        <v>12</v>
      </c>
      <c r="AA1128" s="34" t="s">
        <v>5603</v>
      </c>
      <c r="AB1128" s="34" t="s">
        <v>5603</v>
      </c>
      <c r="AC1128" s="34" t="s">
        <v>3776</v>
      </c>
      <c r="AD1128" s="34" t="s">
        <v>3776</v>
      </c>
      <c r="AE1128" s="34" t="s">
        <v>3693</v>
      </c>
      <c r="AF1128" s="34" t="s">
        <v>3800</v>
      </c>
      <c r="AG1128" s="34" t="s">
        <v>4468</v>
      </c>
      <c r="AH1128" s="34" t="s">
        <v>5881</v>
      </c>
      <c r="AL1128" s="34" t="s">
        <v>6489</v>
      </c>
      <c r="AM1128" s="40" t="s">
        <v>9</v>
      </c>
      <c r="AP1128" s="34">
        <v>0</v>
      </c>
      <c r="AQ1128" s="34">
        <v>292</v>
      </c>
      <c r="AR1128" s="34">
        <v>180</v>
      </c>
      <c r="AT1128" s="44">
        <v>22600</v>
      </c>
      <c r="AU1128" s="44"/>
      <c r="AV1128" s="46">
        <f>ROUND(Товары[[#This Row],[РРЦ финальная, руб.]]/$AU$1,2)</f>
        <v>0</v>
      </c>
      <c r="AW1128" s="45" t="str">
        <f>IFERROR(Товары[[#This Row],[РРЦ, евро]]/Товары[[#This Row],[IRP, Eur]],"-")</f>
        <v>-</v>
      </c>
      <c r="AX1128" s="42">
        <f>IFERROR(VLOOKUP(Товары[[#This Row],[SubGroup]],'Структура цен DIY'!$B:$C,2,FALSE),0)</f>
        <v>0.26</v>
      </c>
      <c r="AY1128" s="44">
        <v>0</v>
      </c>
    </row>
    <row r="1129" spans="1:51" x14ac:dyDescent="0.25">
      <c r="A1129" s="34">
        <v>1127</v>
      </c>
      <c r="B1129" s="34" t="s">
        <v>49</v>
      </c>
      <c r="C1129" s="110" t="str">
        <f>IFERROR(INDEX(Структура_ассортимента[SuperCategory],MATCH(Товары[[#This Row],[SubGroup]],Структура_ассортимента[Subgroup],0)),"")</f>
        <v>W</v>
      </c>
      <c r="D112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2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29" s="110" t="str">
        <f>IFERROR(INDEX(Структура_ассортимента[Product group],MATCH(Товары[[#This Row],[SubGroup]],Структура_ассортимента[Subgroup],0)),"")</f>
        <v>WMO_C</v>
      </c>
      <c r="G1129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29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29" s="36">
        <v>9011</v>
      </c>
      <c r="J1129" s="36" t="str">
        <f>IFERROR(INDEX(Структура_ассортимента[Generic Name (long)],MATCH(Товары[[#This Row],[SubGroup]],Структура_ассортимента[Subgroup],0)),"")</f>
        <v>TAP CONNECTOR</v>
      </c>
      <c r="L1129" s="36">
        <v>900878301</v>
      </c>
      <c r="M1129" s="35" t="s">
        <v>2805</v>
      </c>
      <c r="Q1129" s="34" t="s">
        <v>3549</v>
      </c>
      <c r="R1129" s="34" t="s">
        <v>3540</v>
      </c>
      <c r="S1129" s="47">
        <v>37708</v>
      </c>
      <c r="T1129" s="47">
        <v>0</v>
      </c>
      <c r="U1129" s="47">
        <v>0</v>
      </c>
      <c r="V1129" s="34">
        <v>4078500094351</v>
      </c>
      <c r="W1129" s="34" t="s">
        <v>3543</v>
      </c>
      <c r="X1129" s="34" t="s">
        <v>3579</v>
      </c>
      <c r="Y1129" s="34" t="s">
        <v>3542</v>
      </c>
      <c r="Z1129" s="34">
        <v>10</v>
      </c>
      <c r="AA1129" s="34" t="s">
        <v>6584</v>
      </c>
      <c r="AB1129" s="34" t="s">
        <v>6584</v>
      </c>
      <c r="AC1129" s="34" t="s">
        <v>5633</v>
      </c>
      <c r="AD1129" s="34" t="s">
        <v>5633</v>
      </c>
      <c r="AE1129" s="34" t="s">
        <v>4569</v>
      </c>
      <c r="AF1129" s="34" t="s">
        <v>4472</v>
      </c>
      <c r="AG1129" s="34" t="s">
        <v>4463</v>
      </c>
      <c r="AH1129" s="34" t="s">
        <v>6585</v>
      </c>
      <c r="AI1129" s="34" t="s">
        <v>4569</v>
      </c>
      <c r="AJ1129" s="34" t="s">
        <v>4351</v>
      </c>
      <c r="AK1129" s="34" t="s">
        <v>5125</v>
      </c>
      <c r="AL1129" s="34">
        <v>2640</v>
      </c>
      <c r="AM1129" s="40" t="s">
        <v>8095</v>
      </c>
      <c r="AT1129" s="44">
        <v>0</v>
      </c>
      <c r="AU1129" s="44"/>
      <c r="AV1129" s="46">
        <f>ROUND(Товары[[#This Row],[РРЦ финальная, руб.]]/$AU$1,2)</f>
        <v>0</v>
      </c>
      <c r="AW1129" s="45" t="str">
        <f>IFERROR(Товары[[#This Row],[РРЦ, евро]]/Товары[[#This Row],[IRP, Eur]],"-")</f>
        <v>-</v>
      </c>
      <c r="AX1129" s="42">
        <f>IFERROR(VLOOKUP(Товары[[#This Row],[SubGroup]],'Структура цен DIY'!$B:$C,2,FALSE),0)</f>
        <v>0.26</v>
      </c>
      <c r="AY1129" s="44">
        <v>0</v>
      </c>
    </row>
    <row r="1130" spans="1:51" x14ac:dyDescent="0.25">
      <c r="A1130" s="34">
        <v>1128</v>
      </c>
      <c r="B1130" s="34" t="s">
        <v>49</v>
      </c>
      <c r="C1130" s="110" t="str">
        <f>IFERROR(INDEX(Структура_ассортимента[SuperCategory],MATCH(Товары[[#This Row],[SubGroup]],Структура_ассортимента[Subgroup],0)),"")</f>
        <v>W</v>
      </c>
      <c r="D113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3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30" s="110" t="str">
        <f>IFERROR(INDEX(Структура_ассортимента[Product group],MATCH(Товары[[#This Row],[SubGroup]],Структура_ассортимента[Subgroup],0)),"")</f>
        <v>WMO_C</v>
      </c>
      <c r="G1130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30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30" s="36">
        <v>9011</v>
      </c>
      <c r="J1130" s="36" t="str">
        <f>IFERROR(INDEX(Структура_ассортимента[Generic Name (long)],MATCH(Товары[[#This Row],[SubGroup]],Структура_ассортимента[Subgroup],0)),"")</f>
        <v>TAP CONNECTOR</v>
      </c>
      <c r="L1130" s="36">
        <v>901031001</v>
      </c>
      <c r="M1130" s="35" t="s">
        <v>2806</v>
      </c>
      <c r="O1130" s="35" t="s">
        <v>6586</v>
      </c>
      <c r="P1130" s="37" t="s">
        <v>6587</v>
      </c>
      <c r="Q1130" s="34" t="s">
        <v>3549</v>
      </c>
      <c r="R1130" s="34" t="s">
        <v>3540</v>
      </c>
      <c r="S1130" s="47">
        <v>34215</v>
      </c>
      <c r="T1130" s="47">
        <v>0</v>
      </c>
      <c r="U1130" s="47">
        <v>0</v>
      </c>
      <c r="V1130" s="34">
        <v>4078500294300</v>
      </c>
      <c r="W1130" s="34" t="s">
        <v>3543</v>
      </c>
      <c r="X1130" s="34" t="s">
        <v>3579</v>
      </c>
      <c r="Y1130" s="34" t="s">
        <v>3542</v>
      </c>
      <c r="Z1130" s="34">
        <v>6</v>
      </c>
      <c r="AA1130" s="34" t="s">
        <v>6075</v>
      </c>
      <c r="AB1130" s="34" t="s">
        <v>6075</v>
      </c>
      <c r="AC1130" s="34" t="s">
        <v>6452</v>
      </c>
      <c r="AD1130" s="34" t="s">
        <v>6452</v>
      </c>
      <c r="AE1130" s="34" t="s">
        <v>3825</v>
      </c>
      <c r="AF1130" s="34" t="s">
        <v>3576</v>
      </c>
      <c r="AG1130" s="34" t="s">
        <v>4351</v>
      </c>
      <c r="AH1130" s="34" t="s">
        <v>6588</v>
      </c>
      <c r="AL1130" s="34">
        <v>792</v>
      </c>
      <c r="AM1130" s="40" t="s">
        <v>9</v>
      </c>
      <c r="AP1130" s="34">
        <v>0</v>
      </c>
      <c r="AQ1130" s="34">
        <v>1089</v>
      </c>
      <c r="AR1130" s="34">
        <v>662</v>
      </c>
      <c r="AT1130" s="44">
        <v>84300</v>
      </c>
      <c r="AU1130" s="44"/>
      <c r="AV1130" s="46">
        <f>ROUND(Товары[[#This Row],[РРЦ финальная, руб.]]/$AU$1,2)</f>
        <v>0</v>
      </c>
      <c r="AW1130" s="45" t="str">
        <f>IFERROR(Товары[[#This Row],[РРЦ, евро]]/Товары[[#This Row],[IRP, Eur]],"-")</f>
        <v>-</v>
      </c>
      <c r="AX1130" s="42">
        <f>IFERROR(VLOOKUP(Товары[[#This Row],[SubGroup]],'Структура цен DIY'!$B:$C,2,FALSE),0)</f>
        <v>0.26</v>
      </c>
      <c r="AY1130" s="44">
        <v>0</v>
      </c>
    </row>
    <row r="1131" spans="1:51" x14ac:dyDescent="0.25">
      <c r="A1131" s="34">
        <v>1129</v>
      </c>
      <c r="B1131" s="34" t="s">
        <v>49</v>
      </c>
      <c r="C1131" s="110" t="str">
        <f>IFERROR(INDEX(Структура_ассортимента[SuperCategory],MATCH(Товары[[#This Row],[SubGroup]],Структура_ассортимента[Subgroup],0)),"")</f>
        <v>W</v>
      </c>
      <c r="D113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3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31" s="110" t="str">
        <f>IFERROR(INDEX(Структура_ассортимента[Product group],MATCH(Товары[[#This Row],[SubGroup]],Структура_ассортимента[Subgroup],0)),"")</f>
        <v>WMO_C</v>
      </c>
      <c r="G1131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31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31" s="36">
        <v>9011</v>
      </c>
      <c r="J1131" s="36" t="str">
        <f>IFERROR(INDEX(Структура_ассортимента[Generic Name (long)],MATCH(Товары[[#This Row],[SubGroup]],Структура_ассортимента[Subgroup],0)),"")</f>
        <v>TAP CONNECTOR</v>
      </c>
      <c r="L1131" s="36">
        <v>900874901</v>
      </c>
      <c r="M1131" s="35" t="s">
        <v>2807</v>
      </c>
      <c r="Q1131" s="34" t="s">
        <v>3549</v>
      </c>
      <c r="R1131" s="34" t="s">
        <v>3540</v>
      </c>
      <c r="S1131" s="47">
        <v>35704</v>
      </c>
      <c r="T1131" s="47">
        <v>0</v>
      </c>
      <c r="U1131" s="47">
        <v>0</v>
      </c>
      <c r="V1131" s="34">
        <v>4078500092142</v>
      </c>
      <c r="W1131" s="34" t="s">
        <v>3543</v>
      </c>
      <c r="X1131" s="34" t="s">
        <v>3579</v>
      </c>
      <c r="Y1131" s="34" t="s">
        <v>3542</v>
      </c>
      <c r="Z1131" s="34">
        <v>10</v>
      </c>
      <c r="AA1131" s="34" t="s">
        <v>3807</v>
      </c>
      <c r="AB1131" s="34" t="s">
        <v>3807</v>
      </c>
      <c r="AC1131" s="34" t="s">
        <v>3811</v>
      </c>
      <c r="AD1131" s="34" t="s">
        <v>3811</v>
      </c>
      <c r="AE1131" s="34" t="s">
        <v>4780</v>
      </c>
      <c r="AF1131" s="34" t="s">
        <v>3932</v>
      </c>
      <c r="AG1131" s="34" t="s">
        <v>3932</v>
      </c>
      <c r="AH1131" s="34" t="s">
        <v>6589</v>
      </c>
      <c r="AI1131" s="34" t="s">
        <v>4218</v>
      </c>
      <c r="AJ1131" s="34" t="s">
        <v>5126</v>
      </c>
      <c r="AK1131" s="34" t="s">
        <v>5126</v>
      </c>
      <c r="AL1131" s="34">
        <v>3960</v>
      </c>
      <c r="AM1131" s="40" t="s">
        <v>8095</v>
      </c>
      <c r="AT1131" s="44">
        <v>0</v>
      </c>
      <c r="AU1131" s="44"/>
      <c r="AV1131" s="46">
        <f>ROUND(Товары[[#This Row],[РРЦ финальная, руб.]]/$AU$1,2)</f>
        <v>0</v>
      </c>
      <c r="AW1131" s="45" t="str">
        <f>IFERROR(Товары[[#This Row],[РРЦ, евро]]/Товары[[#This Row],[IRP, Eur]],"-")</f>
        <v>-</v>
      </c>
      <c r="AX1131" s="42">
        <f>IFERROR(VLOOKUP(Товары[[#This Row],[SubGroup]],'Структура цен DIY'!$B:$C,2,FALSE),0)</f>
        <v>0.26</v>
      </c>
      <c r="AY1131" s="44">
        <v>0</v>
      </c>
    </row>
    <row r="1132" spans="1:51" x14ac:dyDescent="0.25">
      <c r="A1132" s="34">
        <v>1130</v>
      </c>
      <c r="B1132" s="34" t="s">
        <v>49</v>
      </c>
      <c r="C1132" s="110" t="str">
        <f>IFERROR(INDEX(Структура_ассортимента[SuperCategory],MATCH(Товары[[#This Row],[SubGroup]],Структура_ассортимента[Subgroup],0)),"")</f>
        <v>W</v>
      </c>
      <c r="D113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3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32" s="110" t="str">
        <f>IFERROR(INDEX(Структура_ассортимента[Product group],MATCH(Товары[[#This Row],[SubGroup]],Структура_ассортимента[Subgroup],0)),"")</f>
        <v>WMO_C</v>
      </c>
      <c r="G1132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32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32" s="36">
        <v>9011</v>
      </c>
      <c r="J1132" s="36" t="str">
        <f>IFERROR(INDEX(Структура_ассортимента[Generic Name (long)],MATCH(Товары[[#This Row],[SubGroup]],Структура_ассортимента[Subgroup],0)),"")</f>
        <v>TAP CONNECTOR</v>
      </c>
      <c r="L1132" s="36">
        <v>901028001</v>
      </c>
      <c r="M1132" s="35" t="s">
        <v>2808</v>
      </c>
      <c r="Q1132" s="34" t="s">
        <v>3549</v>
      </c>
      <c r="R1132" s="34" t="s">
        <v>3540</v>
      </c>
      <c r="S1132" s="47">
        <v>35339</v>
      </c>
      <c r="T1132" s="47">
        <v>0</v>
      </c>
      <c r="U1132" s="47">
        <v>0</v>
      </c>
      <c r="V1132" s="34">
        <v>4078500292283</v>
      </c>
      <c r="W1132" s="34" t="s">
        <v>3543</v>
      </c>
      <c r="X1132" s="34" t="s">
        <v>3579</v>
      </c>
      <c r="Y1132" s="34" t="s">
        <v>3542</v>
      </c>
      <c r="Z1132" s="34">
        <v>6</v>
      </c>
      <c r="AA1132" s="34" t="s">
        <v>6571</v>
      </c>
      <c r="AB1132" s="34" t="s">
        <v>6571</v>
      </c>
      <c r="AC1132" s="34" t="s">
        <v>6490</v>
      </c>
      <c r="AD1132" s="34" t="s">
        <v>6490</v>
      </c>
      <c r="AE1132" s="34" t="s">
        <v>3693</v>
      </c>
      <c r="AF1132" s="34" t="s">
        <v>3800</v>
      </c>
      <c r="AG1132" s="34" t="s">
        <v>3672</v>
      </c>
      <c r="AH1132" s="34" t="s">
        <v>6440</v>
      </c>
      <c r="AL1132" s="34">
        <v>1728</v>
      </c>
      <c r="AM1132" s="40" t="s">
        <v>8095</v>
      </c>
      <c r="AT1132" s="44">
        <v>0</v>
      </c>
      <c r="AU1132" s="44"/>
      <c r="AV1132" s="46">
        <f>ROUND(Товары[[#This Row],[РРЦ финальная, руб.]]/$AU$1,2)</f>
        <v>0</v>
      </c>
      <c r="AW1132" s="45" t="str">
        <f>IFERROR(Товары[[#This Row],[РРЦ, евро]]/Товары[[#This Row],[IRP, Eur]],"-")</f>
        <v>-</v>
      </c>
      <c r="AX1132" s="42">
        <f>IFERROR(VLOOKUP(Товары[[#This Row],[SubGroup]],'Структура цен DIY'!$B:$C,2,FALSE),0)</f>
        <v>0.26</v>
      </c>
      <c r="AY1132" s="44">
        <v>0</v>
      </c>
    </row>
    <row r="1133" spans="1:51" x14ac:dyDescent="0.25">
      <c r="A1133" s="34">
        <v>1131</v>
      </c>
      <c r="B1133" s="34" t="s">
        <v>49</v>
      </c>
      <c r="C1133" s="110" t="str">
        <f>IFERROR(INDEX(Структура_ассортимента[SuperCategory],MATCH(Товары[[#This Row],[SubGroup]],Структура_ассортимента[Subgroup],0)),"")</f>
        <v>W</v>
      </c>
      <c r="D113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3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33" s="110" t="str">
        <f>IFERROR(INDEX(Структура_ассортимента[Product group],MATCH(Товары[[#This Row],[SubGroup]],Структура_ассортимента[Subgroup],0)),"")</f>
        <v>WMO_C</v>
      </c>
      <c r="G1133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33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33" s="36">
        <v>9011</v>
      </c>
      <c r="J1133" s="36" t="str">
        <f>IFERROR(INDEX(Структура_ассортимента[Generic Name (long)],MATCH(Товары[[#This Row],[SubGroup]],Структура_ассортимента[Subgroup],0)),"")</f>
        <v>TAP CONNECTOR</v>
      </c>
      <c r="L1133" s="36">
        <v>900878101</v>
      </c>
      <c r="M1133" s="35" t="s">
        <v>2809</v>
      </c>
      <c r="Q1133" s="34" t="s">
        <v>3549</v>
      </c>
      <c r="R1133" s="34" t="s">
        <v>3540</v>
      </c>
      <c r="S1133" s="47">
        <v>37708</v>
      </c>
      <c r="T1133" s="47">
        <v>0</v>
      </c>
      <c r="U1133" s="47">
        <v>0</v>
      </c>
      <c r="V1133" s="34">
        <v>4078500094252</v>
      </c>
      <c r="W1133" s="34" t="s">
        <v>3543</v>
      </c>
      <c r="X1133" s="34" t="s">
        <v>3579</v>
      </c>
      <c r="Y1133" s="34" t="s">
        <v>3542</v>
      </c>
      <c r="Z1133" s="34">
        <v>10</v>
      </c>
      <c r="AA1133" s="34" t="s">
        <v>6526</v>
      </c>
      <c r="AB1133" s="34" t="s">
        <v>6526</v>
      </c>
      <c r="AC1133" s="34" t="s">
        <v>3775</v>
      </c>
      <c r="AD1133" s="34" t="s">
        <v>3775</v>
      </c>
      <c r="AE1133" s="34" t="s">
        <v>4646</v>
      </c>
      <c r="AF1133" s="34" t="s">
        <v>4463</v>
      </c>
      <c r="AG1133" s="34" t="s">
        <v>4463</v>
      </c>
      <c r="AH1133" s="34" t="s">
        <v>6590</v>
      </c>
      <c r="AI1133" s="34" t="s">
        <v>3625</v>
      </c>
      <c r="AJ1133" s="34" t="s">
        <v>4472</v>
      </c>
      <c r="AK1133" s="34" t="s">
        <v>4231</v>
      </c>
      <c r="AL1133" s="34">
        <v>3200</v>
      </c>
      <c r="AM1133" s="40" t="s">
        <v>8095</v>
      </c>
      <c r="AT1133" s="44">
        <v>0</v>
      </c>
      <c r="AU1133" s="44"/>
      <c r="AV1133" s="46">
        <f>ROUND(Товары[[#This Row],[РРЦ финальная, руб.]]/$AU$1,2)</f>
        <v>0</v>
      </c>
      <c r="AW1133" s="45" t="str">
        <f>IFERROR(Товары[[#This Row],[РРЦ, евро]]/Товары[[#This Row],[IRP, Eur]],"-")</f>
        <v>-</v>
      </c>
      <c r="AX1133" s="42">
        <f>IFERROR(VLOOKUP(Товары[[#This Row],[SubGroup]],'Структура цен DIY'!$B:$C,2,FALSE),0)</f>
        <v>0.26</v>
      </c>
      <c r="AY1133" s="44">
        <v>0</v>
      </c>
    </row>
    <row r="1134" spans="1:51" x14ac:dyDescent="0.25">
      <c r="A1134" s="34">
        <v>1132</v>
      </c>
      <c r="B1134" s="34" t="s">
        <v>49</v>
      </c>
      <c r="C1134" s="110" t="str">
        <f>IFERROR(INDEX(Структура_ассортимента[SuperCategory],MATCH(Товары[[#This Row],[SubGroup]],Структура_ассортимента[Subgroup],0)),"")</f>
        <v>W</v>
      </c>
      <c r="D113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3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34" s="110" t="str">
        <f>IFERROR(INDEX(Структура_ассортимента[Product group],MATCH(Товары[[#This Row],[SubGroup]],Структура_ассортимента[Subgroup],0)),"")</f>
        <v>WMO_C</v>
      </c>
      <c r="G1134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34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34" s="36">
        <v>9011</v>
      </c>
      <c r="J1134" s="36" t="str">
        <f>IFERROR(INDEX(Структура_ассортимента[Generic Name (long)],MATCH(Товары[[#This Row],[SubGroup]],Структура_ассортимента[Subgroup],0)),"")</f>
        <v>TAP CONNECTOR</v>
      </c>
      <c r="L1134" s="36">
        <v>967313201</v>
      </c>
      <c r="M1134" s="35" t="s">
        <v>2810</v>
      </c>
      <c r="Q1134" s="34" t="s">
        <v>3549</v>
      </c>
      <c r="R1134" s="34" t="s">
        <v>3540</v>
      </c>
      <c r="S1134" s="47">
        <v>42005</v>
      </c>
      <c r="T1134" s="47">
        <v>0</v>
      </c>
      <c r="U1134" s="47">
        <v>0</v>
      </c>
      <c r="V1134" s="34">
        <v>4078500011624</v>
      </c>
      <c r="W1134" s="34" t="s">
        <v>3543</v>
      </c>
      <c r="X1134" s="34" t="s">
        <v>3579</v>
      </c>
      <c r="Y1134" s="34" t="s">
        <v>3542</v>
      </c>
      <c r="Z1134" s="34">
        <v>50</v>
      </c>
      <c r="AA1134" s="34" t="s">
        <v>6516</v>
      </c>
      <c r="AB1134" s="34" t="s">
        <v>6516</v>
      </c>
      <c r="AC1134" s="34" t="s">
        <v>6515</v>
      </c>
      <c r="AD1134" s="34" t="s">
        <v>6515</v>
      </c>
      <c r="AE1134" s="34" t="s">
        <v>4231</v>
      </c>
      <c r="AF1134" s="34" t="s">
        <v>4231</v>
      </c>
      <c r="AG1134" s="34" t="s">
        <v>4097</v>
      </c>
      <c r="AH1134" s="34" t="s">
        <v>6513</v>
      </c>
      <c r="AL1134" s="34" t="s">
        <v>6504</v>
      </c>
      <c r="AM1134" s="40" t="s">
        <v>8095</v>
      </c>
      <c r="AT1134" s="44">
        <v>0</v>
      </c>
      <c r="AU1134" s="44"/>
      <c r="AV1134" s="46">
        <f>ROUND(Товары[[#This Row],[РРЦ финальная, руб.]]/$AU$1,2)</f>
        <v>0</v>
      </c>
      <c r="AW1134" s="45" t="str">
        <f>IFERROR(Товары[[#This Row],[РРЦ, евро]]/Товары[[#This Row],[IRP, Eur]],"-")</f>
        <v>-</v>
      </c>
      <c r="AX1134" s="42">
        <f>IFERROR(VLOOKUP(Товары[[#This Row],[SubGroup]],'Структура цен DIY'!$B:$C,2,FALSE),0)</f>
        <v>0.26</v>
      </c>
      <c r="AY1134" s="44">
        <v>0</v>
      </c>
    </row>
    <row r="1135" spans="1:51" x14ac:dyDescent="0.25">
      <c r="A1135" s="34">
        <v>1133</v>
      </c>
      <c r="B1135" s="34" t="s">
        <v>49</v>
      </c>
      <c r="C1135" s="110" t="str">
        <f>IFERROR(INDEX(Структура_ассортимента[SuperCategory],MATCH(Товары[[#This Row],[SubGroup]],Структура_ассортимента[Subgroup],0)),"")</f>
        <v>W</v>
      </c>
      <c r="D113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3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35" s="110" t="str">
        <f>IFERROR(INDEX(Структура_ассортимента[Product group],MATCH(Товары[[#This Row],[SubGroup]],Структура_ассортимента[Subgroup],0)),"")</f>
        <v>WMO_C</v>
      </c>
      <c r="G1135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35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35" s="36">
        <v>9011</v>
      </c>
      <c r="J1135" s="36" t="str">
        <f>IFERROR(INDEX(Структура_ассортимента[Generic Name (long)],MATCH(Товары[[#This Row],[SubGroup]],Структура_ассортимента[Subgroup],0)),"")</f>
        <v>TAP CONNECTOR</v>
      </c>
      <c r="L1135" s="36">
        <v>967313301</v>
      </c>
      <c r="M1135" s="35" t="s">
        <v>2811</v>
      </c>
      <c r="O1135" s="35" t="s">
        <v>6591</v>
      </c>
      <c r="P1135" s="37" t="s">
        <v>6581</v>
      </c>
      <c r="Q1135" s="34" t="s">
        <v>3549</v>
      </c>
      <c r="R1135" s="34" t="s">
        <v>3540</v>
      </c>
      <c r="S1135" s="47">
        <v>42005</v>
      </c>
      <c r="T1135" s="47">
        <v>0</v>
      </c>
      <c r="U1135" s="47">
        <v>0</v>
      </c>
      <c r="V1135" s="34">
        <v>4078500011761</v>
      </c>
      <c r="W1135" s="34" t="s">
        <v>3543</v>
      </c>
      <c r="X1135" s="34" t="s">
        <v>3579</v>
      </c>
      <c r="Y1135" s="34" t="s">
        <v>3542</v>
      </c>
      <c r="Z1135" s="34">
        <v>24</v>
      </c>
      <c r="AA1135" s="34" t="s">
        <v>5629</v>
      </c>
      <c r="AB1135" s="34" t="s">
        <v>5629</v>
      </c>
      <c r="AC1135" s="34" t="s">
        <v>6515</v>
      </c>
      <c r="AD1135" s="34" t="s">
        <v>6515</v>
      </c>
      <c r="AE1135" s="34" t="s">
        <v>3693</v>
      </c>
      <c r="AF1135" s="34" t="s">
        <v>3800</v>
      </c>
      <c r="AG1135" s="34" t="s">
        <v>4231</v>
      </c>
      <c r="AH1135" s="34" t="s">
        <v>6443</v>
      </c>
      <c r="AL1135" s="34" t="s">
        <v>6448</v>
      </c>
      <c r="AM1135" s="40" t="s">
        <v>9</v>
      </c>
      <c r="AP1135" s="34">
        <v>0</v>
      </c>
      <c r="AQ1135" s="34">
        <v>649</v>
      </c>
      <c r="AR1135" s="34">
        <v>400</v>
      </c>
      <c r="AT1135" s="44">
        <v>50300</v>
      </c>
      <c r="AU1135" s="44"/>
      <c r="AV1135" s="46">
        <f>ROUND(Товары[[#This Row],[РРЦ финальная, руб.]]/$AU$1,2)</f>
        <v>0</v>
      </c>
      <c r="AW1135" s="45" t="str">
        <f>IFERROR(Товары[[#This Row],[РРЦ, евро]]/Товары[[#This Row],[IRP, Eur]],"-")</f>
        <v>-</v>
      </c>
      <c r="AX1135" s="42">
        <f>IFERROR(VLOOKUP(Товары[[#This Row],[SubGroup]],'Структура цен DIY'!$B:$C,2,FALSE),0)</f>
        <v>0.26</v>
      </c>
      <c r="AY1135" s="44">
        <v>0</v>
      </c>
    </row>
    <row r="1136" spans="1:51" x14ac:dyDescent="0.25">
      <c r="A1136" s="34">
        <v>1134</v>
      </c>
      <c r="B1136" s="34" t="s">
        <v>49</v>
      </c>
      <c r="C1136" s="110" t="str">
        <f>IFERROR(INDEX(Структура_ассортимента[SuperCategory],MATCH(Товары[[#This Row],[SubGroup]],Структура_ассортимента[Subgroup],0)),"")</f>
        <v>W</v>
      </c>
      <c r="D113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3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36" s="110" t="str">
        <f>IFERROR(INDEX(Структура_ассортимента[Product group],MATCH(Товары[[#This Row],[SubGroup]],Структура_ассортимента[Subgroup],0)),"")</f>
        <v>WMO_C</v>
      </c>
      <c r="G1136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36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36" s="36">
        <v>9011</v>
      </c>
      <c r="J1136" s="36" t="str">
        <f>IFERROR(INDEX(Структура_ассортимента[Generic Name (long)],MATCH(Товары[[#This Row],[SubGroup]],Структура_ассортимента[Subgroup],0)),"")</f>
        <v>TAP CONNECTOR</v>
      </c>
      <c r="L1136" s="36">
        <v>967313401</v>
      </c>
      <c r="M1136" s="35" t="s">
        <v>2812</v>
      </c>
      <c r="Q1136" s="34" t="s">
        <v>3549</v>
      </c>
      <c r="R1136" s="34" t="s">
        <v>3540</v>
      </c>
      <c r="S1136" s="47">
        <v>42005</v>
      </c>
      <c r="T1136" s="47">
        <v>0</v>
      </c>
      <c r="U1136" s="47">
        <v>0</v>
      </c>
      <c r="V1136" s="34">
        <v>40785547</v>
      </c>
      <c r="W1136" s="34" t="s">
        <v>3543</v>
      </c>
      <c r="X1136" s="34" t="s">
        <v>3579</v>
      </c>
      <c r="Y1136" s="34" t="s">
        <v>3542</v>
      </c>
      <c r="Z1136" s="34">
        <v>50</v>
      </c>
      <c r="AA1136" s="34" t="s">
        <v>6516</v>
      </c>
      <c r="AB1136" s="34" t="s">
        <v>6516</v>
      </c>
      <c r="AC1136" s="34" t="s">
        <v>6515</v>
      </c>
      <c r="AD1136" s="34" t="s">
        <v>6515</v>
      </c>
      <c r="AE1136" s="34" t="s">
        <v>4231</v>
      </c>
      <c r="AF1136" s="34" t="s">
        <v>4231</v>
      </c>
      <c r="AG1136" s="34" t="s">
        <v>4097</v>
      </c>
      <c r="AH1136" s="34" t="s">
        <v>6513</v>
      </c>
      <c r="AL1136" s="34" t="s">
        <v>6517</v>
      </c>
      <c r="AM1136" s="40" t="s">
        <v>8095</v>
      </c>
      <c r="AT1136" s="44">
        <v>0</v>
      </c>
      <c r="AU1136" s="44"/>
      <c r="AV1136" s="46">
        <f>ROUND(Товары[[#This Row],[РРЦ финальная, руб.]]/$AU$1,2)</f>
        <v>0</v>
      </c>
      <c r="AW1136" s="45" t="str">
        <f>IFERROR(Товары[[#This Row],[РРЦ, евро]]/Товары[[#This Row],[IRP, Eur]],"-")</f>
        <v>-</v>
      </c>
      <c r="AX1136" s="42">
        <f>IFERROR(VLOOKUP(Товары[[#This Row],[SubGroup]],'Структура цен DIY'!$B:$C,2,FALSE),0)</f>
        <v>0.26</v>
      </c>
      <c r="AY1136" s="44">
        <v>0</v>
      </c>
    </row>
    <row r="1137" spans="1:51" x14ac:dyDescent="0.25">
      <c r="A1137" s="34">
        <v>1135</v>
      </c>
      <c r="B1137" s="34" t="s">
        <v>49</v>
      </c>
      <c r="C1137" s="110" t="str">
        <f>IFERROR(INDEX(Структура_ассортимента[SuperCategory],MATCH(Товары[[#This Row],[SubGroup]],Структура_ассортимента[Subgroup],0)),"")</f>
        <v>W</v>
      </c>
      <c r="D113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3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37" s="110" t="str">
        <f>IFERROR(INDEX(Структура_ассортимента[Product group],MATCH(Товары[[#This Row],[SubGroup]],Структура_ассортимента[Subgroup],0)),"")</f>
        <v>WMO_C</v>
      </c>
      <c r="G1137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37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37" s="36">
        <v>9011</v>
      </c>
      <c r="J1137" s="36" t="str">
        <f>IFERROR(INDEX(Структура_ассортимента[Generic Name (long)],MATCH(Товары[[#This Row],[SubGroup]],Структура_ассортимента[Subgroup],0)),"")</f>
        <v>TAP CONNECTOR</v>
      </c>
      <c r="L1137" s="36">
        <v>967313701</v>
      </c>
      <c r="M1137" s="35" t="s">
        <v>2813</v>
      </c>
      <c r="Q1137" s="34" t="s">
        <v>3549</v>
      </c>
      <c r="R1137" s="34" t="s">
        <v>3540</v>
      </c>
      <c r="S1137" s="47">
        <v>42005</v>
      </c>
      <c r="T1137" s="47">
        <v>0</v>
      </c>
      <c r="U1137" s="47">
        <v>0</v>
      </c>
      <c r="V1137" s="34">
        <v>4078500011686</v>
      </c>
      <c r="W1137" s="34" t="s">
        <v>3543</v>
      </c>
      <c r="X1137" s="34" t="s">
        <v>3579</v>
      </c>
      <c r="Y1137" s="34" t="s">
        <v>3542</v>
      </c>
      <c r="Z1137" s="34">
        <v>40</v>
      </c>
      <c r="AA1137" s="34" t="s">
        <v>6518</v>
      </c>
      <c r="AB1137" s="34" t="s">
        <v>6518</v>
      </c>
      <c r="AC1137" s="34" t="s">
        <v>6519</v>
      </c>
      <c r="AD1137" s="34" t="s">
        <v>6519</v>
      </c>
      <c r="AE1137" s="34" t="s">
        <v>5125</v>
      </c>
      <c r="AF1137" s="34" t="s">
        <v>5125</v>
      </c>
      <c r="AG1137" s="34" t="s">
        <v>4161</v>
      </c>
      <c r="AH1137" s="34" t="s">
        <v>6592</v>
      </c>
      <c r="AL1137" s="34" t="s">
        <v>6521</v>
      </c>
      <c r="AM1137" s="40" t="s">
        <v>8095</v>
      </c>
      <c r="AT1137" s="44">
        <v>0</v>
      </c>
      <c r="AU1137" s="44"/>
      <c r="AV1137" s="46">
        <f>ROUND(Товары[[#This Row],[РРЦ финальная, руб.]]/$AU$1,2)</f>
        <v>0</v>
      </c>
      <c r="AW1137" s="45" t="str">
        <f>IFERROR(Товары[[#This Row],[РРЦ, евро]]/Товары[[#This Row],[IRP, Eur]],"-")</f>
        <v>-</v>
      </c>
      <c r="AX1137" s="42">
        <f>IFERROR(VLOOKUP(Товары[[#This Row],[SubGroup]],'Структура цен DIY'!$B:$C,2,FALSE),0)</f>
        <v>0.26</v>
      </c>
      <c r="AY1137" s="44">
        <v>0</v>
      </c>
    </row>
    <row r="1138" spans="1:51" x14ac:dyDescent="0.25">
      <c r="A1138" s="34">
        <v>1136</v>
      </c>
      <c r="B1138" s="34" t="s">
        <v>49</v>
      </c>
      <c r="C1138" s="110" t="str">
        <f>IFERROR(INDEX(Структура_ассортимента[SuperCategory],MATCH(Товары[[#This Row],[SubGroup]],Структура_ассортимента[Subgroup],0)),"")</f>
        <v>W</v>
      </c>
      <c r="D113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3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38" s="110" t="str">
        <f>IFERROR(INDEX(Структура_ассортимента[Product group],MATCH(Товары[[#This Row],[SubGroup]],Структура_ассортимента[Subgroup],0)),"")</f>
        <v>WMO_C</v>
      </c>
      <c r="G1138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38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38" s="36">
        <v>9011</v>
      </c>
      <c r="J1138" s="36" t="str">
        <f>IFERROR(INDEX(Структура_ассортимента[Generic Name (long)],MATCH(Товары[[#This Row],[SubGroup]],Структура_ассортимента[Subgroup],0)),"")</f>
        <v>TAP CONNECTOR</v>
      </c>
      <c r="L1138" s="36">
        <v>967313801</v>
      </c>
      <c r="M1138" s="35" t="s">
        <v>2814</v>
      </c>
      <c r="O1138" s="35" t="s">
        <v>6593</v>
      </c>
      <c r="P1138" s="37" t="s">
        <v>6583</v>
      </c>
      <c r="Q1138" s="34" t="s">
        <v>3549</v>
      </c>
      <c r="R1138" s="34" t="s">
        <v>3540</v>
      </c>
      <c r="S1138" s="47">
        <v>42005</v>
      </c>
      <c r="T1138" s="47">
        <v>0</v>
      </c>
      <c r="U1138" s="47">
        <v>0</v>
      </c>
      <c r="V1138" s="34">
        <v>4078500011662</v>
      </c>
      <c r="W1138" s="34" t="s">
        <v>3543</v>
      </c>
      <c r="X1138" s="34" t="s">
        <v>3579</v>
      </c>
      <c r="Y1138" s="34" t="s">
        <v>3542</v>
      </c>
      <c r="Z1138" s="34">
        <v>12</v>
      </c>
      <c r="AA1138" s="34" t="s">
        <v>6594</v>
      </c>
      <c r="AB1138" s="34" t="s">
        <v>6594</v>
      </c>
      <c r="AC1138" s="34" t="s">
        <v>6470</v>
      </c>
      <c r="AD1138" s="34" t="s">
        <v>6470</v>
      </c>
      <c r="AE1138" s="34" t="s">
        <v>3693</v>
      </c>
      <c r="AF1138" s="34" t="s">
        <v>3800</v>
      </c>
      <c r="AG1138" s="34" t="s">
        <v>5125</v>
      </c>
      <c r="AH1138" s="34" t="s">
        <v>6523</v>
      </c>
      <c r="AL1138" s="34" t="s">
        <v>6489</v>
      </c>
      <c r="AM1138" s="40" t="s">
        <v>9</v>
      </c>
      <c r="AP1138" s="34">
        <v>0</v>
      </c>
      <c r="AQ1138" s="34">
        <v>759</v>
      </c>
      <c r="AR1138" s="34">
        <v>468</v>
      </c>
      <c r="AT1138" s="44">
        <v>58800</v>
      </c>
      <c r="AU1138" s="44"/>
      <c r="AV1138" s="46">
        <f>ROUND(Товары[[#This Row],[РРЦ финальная, руб.]]/$AU$1,2)</f>
        <v>0</v>
      </c>
      <c r="AW1138" s="45" t="str">
        <f>IFERROR(Товары[[#This Row],[РРЦ, евро]]/Товары[[#This Row],[IRP, Eur]],"-")</f>
        <v>-</v>
      </c>
      <c r="AX1138" s="42">
        <f>IFERROR(VLOOKUP(Товары[[#This Row],[SubGroup]],'Структура цен DIY'!$B:$C,2,FALSE),0)</f>
        <v>0.26</v>
      </c>
      <c r="AY1138" s="44">
        <v>0</v>
      </c>
    </row>
    <row r="1139" spans="1:51" x14ac:dyDescent="0.25">
      <c r="A1139" s="34">
        <v>1137</v>
      </c>
      <c r="B1139" s="34" t="s">
        <v>49</v>
      </c>
      <c r="C1139" s="110" t="str">
        <f>IFERROR(INDEX(Структура_ассортимента[SuperCategory],MATCH(Товары[[#This Row],[SubGroup]],Структура_ассортимента[Subgroup],0)),"")</f>
        <v>W</v>
      </c>
      <c r="D113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3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39" s="110" t="str">
        <f>IFERROR(INDEX(Структура_ассортимента[Product group],MATCH(Товары[[#This Row],[SubGroup]],Структура_ассортимента[Subgroup],0)),"")</f>
        <v>WMO_C</v>
      </c>
      <c r="G1139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39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39" s="36">
        <v>9011</v>
      </c>
      <c r="J1139" s="36" t="str">
        <f>IFERROR(INDEX(Структура_ассортимента[Generic Name (long)],MATCH(Товары[[#This Row],[SubGroup]],Структура_ассортимента[Subgroup],0)),"")</f>
        <v>TAP CONNECTOR</v>
      </c>
      <c r="L1139" s="36">
        <v>967313901</v>
      </c>
      <c r="M1139" s="35" t="s">
        <v>2815</v>
      </c>
      <c r="O1139" s="35" t="s">
        <v>6593</v>
      </c>
      <c r="P1139" s="37" t="s">
        <v>6595</v>
      </c>
      <c r="Q1139" s="34" t="s">
        <v>3549</v>
      </c>
      <c r="R1139" s="34" t="s">
        <v>3540</v>
      </c>
      <c r="S1139" s="47">
        <v>42005</v>
      </c>
      <c r="T1139" s="47">
        <v>0</v>
      </c>
      <c r="U1139" s="47">
        <v>0</v>
      </c>
      <c r="V1139" s="34">
        <v>40785554</v>
      </c>
      <c r="W1139" s="34" t="s">
        <v>3543</v>
      </c>
      <c r="X1139" s="34" t="s">
        <v>3579</v>
      </c>
      <c r="Y1139" s="34" t="s">
        <v>3542</v>
      </c>
      <c r="Z1139" s="34">
        <v>10</v>
      </c>
      <c r="AA1139" s="34" t="s">
        <v>5888</v>
      </c>
      <c r="AB1139" s="34" t="s">
        <v>5888</v>
      </c>
      <c r="AC1139" s="34" t="s">
        <v>6519</v>
      </c>
      <c r="AD1139" s="34" t="s">
        <v>6519</v>
      </c>
      <c r="AE1139" s="34" t="s">
        <v>5125</v>
      </c>
      <c r="AF1139" s="34" t="s">
        <v>5125</v>
      </c>
      <c r="AG1139" s="34" t="s">
        <v>4184</v>
      </c>
      <c r="AH1139" s="34" t="s">
        <v>6520</v>
      </c>
      <c r="AL1139" s="34" t="s">
        <v>6524</v>
      </c>
      <c r="AM1139" s="40" t="s">
        <v>233</v>
      </c>
      <c r="AT1139" s="44">
        <v>0</v>
      </c>
      <c r="AU1139" s="44"/>
      <c r="AV1139" s="46">
        <f>ROUND(Товары[[#This Row],[РРЦ финальная, руб.]]/$AU$1,2)</f>
        <v>0</v>
      </c>
      <c r="AW1139" s="45" t="str">
        <f>IFERROR(Товары[[#This Row],[РРЦ, евро]]/Товары[[#This Row],[IRP, Eur]],"-")</f>
        <v>-</v>
      </c>
      <c r="AX1139" s="42">
        <f>IFERROR(VLOOKUP(Товары[[#This Row],[SubGroup]],'Структура цен DIY'!$B:$C,2,FALSE),0)</f>
        <v>0.26</v>
      </c>
      <c r="AY1139" s="44">
        <v>0</v>
      </c>
    </row>
    <row r="1140" spans="1:51" x14ac:dyDescent="0.25">
      <c r="A1140" s="34">
        <v>1138</v>
      </c>
      <c r="B1140" s="34" t="s">
        <v>49</v>
      </c>
      <c r="C1140" s="110" t="str">
        <f>IFERROR(INDEX(Структура_ассортимента[SuperCategory],MATCH(Товары[[#This Row],[SubGroup]],Структура_ассортимента[Subgroup],0)),"")</f>
        <v>W</v>
      </c>
      <c r="D114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4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40" s="110" t="str">
        <f>IFERROR(INDEX(Структура_ассортимента[Product group],MATCH(Товары[[#This Row],[SubGroup]],Структура_ассортимента[Subgroup],0)),"")</f>
        <v>WMO_C</v>
      </c>
      <c r="G1140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40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40" s="36">
        <v>9011</v>
      </c>
      <c r="J1140" s="36" t="str">
        <f>IFERROR(INDEX(Структура_ассортимента[Generic Name (long)],MATCH(Товары[[#This Row],[SubGroup]],Структура_ассортимента[Subgroup],0)),"")</f>
        <v>TAP CONNECTOR</v>
      </c>
      <c r="L1140" s="36">
        <v>967666801</v>
      </c>
      <c r="M1140" s="35" t="s">
        <v>2816</v>
      </c>
      <c r="O1140" s="35" t="s">
        <v>6596</v>
      </c>
      <c r="P1140" s="37" t="s">
        <v>6597</v>
      </c>
      <c r="Q1140" s="34" t="s">
        <v>3549</v>
      </c>
      <c r="R1140" s="34" t="s">
        <v>3540</v>
      </c>
      <c r="S1140" s="47">
        <v>43101</v>
      </c>
      <c r="T1140" s="47">
        <v>0</v>
      </c>
      <c r="U1140" s="47">
        <v>0</v>
      </c>
      <c r="V1140" s="34">
        <v>4078500031837</v>
      </c>
      <c r="W1140" s="34" t="s">
        <v>3543</v>
      </c>
      <c r="X1140" s="34" t="s">
        <v>3579</v>
      </c>
      <c r="Y1140" s="34" t="s">
        <v>3542</v>
      </c>
      <c r="Z1140" s="34">
        <v>12</v>
      </c>
      <c r="AA1140" s="34">
        <v>83</v>
      </c>
      <c r="AB1140" s="34" t="s">
        <v>6598</v>
      </c>
      <c r="AC1140" s="34">
        <v>73</v>
      </c>
      <c r="AD1140" s="34" t="s">
        <v>6599</v>
      </c>
      <c r="AE1140" s="34" t="s">
        <v>3878</v>
      </c>
      <c r="AF1140" s="34" t="s">
        <v>3800</v>
      </c>
      <c r="AG1140" s="34" t="s">
        <v>4231</v>
      </c>
      <c r="AH1140" s="34" t="s">
        <v>6534</v>
      </c>
      <c r="AI1140" s="34" t="s">
        <v>3886</v>
      </c>
      <c r="AJ1140" s="34" t="s">
        <v>4231</v>
      </c>
      <c r="AK1140" s="34" t="s">
        <v>4231</v>
      </c>
      <c r="AL1140" s="34" t="s">
        <v>6535</v>
      </c>
      <c r="AM1140" s="40" t="s">
        <v>9</v>
      </c>
      <c r="AP1140" s="34">
        <v>0</v>
      </c>
      <c r="AQ1140" s="34">
        <v>1089</v>
      </c>
      <c r="AR1140" s="34">
        <v>662</v>
      </c>
      <c r="AT1140" s="44">
        <v>84300</v>
      </c>
      <c r="AU1140" s="44"/>
      <c r="AV1140" s="46">
        <f>ROUND(Товары[[#This Row],[РРЦ финальная, руб.]]/$AU$1,2)</f>
        <v>0</v>
      </c>
      <c r="AW1140" s="45" t="str">
        <f>IFERROR(Товары[[#This Row],[РРЦ, евро]]/Товары[[#This Row],[IRP, Eur]],"-")</f>
        <v>-</v>
      </c>
      <c r="AX1140" s="42">
        <f>IFERROR(VLOOKUP(Товары[[#This Row],[SubGroup]],'Структура цен DIY'!$B:$C,2,FALSE),0)</f>
        <v>0.26</v>
      </c>
      <c r="AY1140" s="44">
        <v>0</v>
      </c>
    </row>
    <row r="1141" spans="1:51" x14ac:dyDescent="0.25">
      <c r="A1141" s="34">
        <v>1139</v>
      </c>
      <c r="B1141" s="34" t="s">
        <v>49</v>
      </c>
      <c r="C1141" s="110" t="str">
        <f>IFERROR(INDEX(Структура_ассортимента[SuperCategory],MATCH(Товары[[#This Row],[SubGroup]],Структура_ассортимента[Subgroup],0)),"")</f>
        <v>W</v>
      </c>
      <c r="D114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4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41" s="110" t="str">
        <f>IFERROR(INDEX(Структура_ассортимента[Product group],MATCH(Товары[[#This Row],[SubGroup]],Структура_ассортимента[Subgroup],0)),"")</f>
        <v>WMO_C</v>
      </c>
      <c r="G1141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41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41" s="36">
        <v>9011</v>
      </c>
      <c r="J1141" s="36" t="str">
        <f>IFERROR(INDEX(Структура_ассортимента[Generic Name (long)],MATCH(Товары[[#This Row],[SubGroup]],Структура_ассортимента[Subgroup],0)),"")</f>
        <v>TAP CONNECTOR</v>
      </c>
      <c r="L1141" s="36">
        <v>967666901</v>
      </c>
      <c r="M1141" s="35" t="s">
        <v>2817</v>
      </c>
      <c r="Q1141" s="34" t="s">
        <v>3549</v>
      </c>
      <c r="R1141" s="34" t="s">
        <v>3540</v>
      </c>
      <c r="S1141" s="47">
        <v>43101</v>
      </c>
      <c r="T1141" s="47">
        <v>0</v>
      </c>
      <c r="U1141" s="47">
        <v>0</v>
      </c>
      <c r="V1141" s="34">
        <v>4078500031851</v>
      </c>
      <c r="W1141" s="34" t="s">
        <v>3543</v>
      </c>
      <c r="X1141" s="34" t="s">
        <v>3579</v>
      </c>
      <c r="Y1141" s="34" t="s">
        <v>3542</v>
      </c>
      <c r="Z1141" s="34">
        <v>10</v>
      </c>
      <c r="AA1141" s="34">
        <v>70</v>
      </c>
      <c r="AB1141" s="34" t="s">
        <v>3719</v>
      </c>
      <c r="AC1141" s="34">
        <v>64</v>
      </c>
      <c r="AD1141" s="34" t="s">
        <v>5644</v>
      </c>
      <c r="AE1141" s="34" t="s">
        <v>3878</v>
      </c>
      <c r="AF1141" s="34" t="s">
        <v>3800</v>
      </c>
      <c r="AG1141" s="34" t="s">
        <v>4231</v>
      </c>
      <c r="AH1141" s="34" t="s">
        <v>6534</v>
      </c>
      <c r="AI1141" s="34" t="s">
        <v>3886</v>
      </c>
      <c r="AJ1141" s="34" t="s">
        <v>4231</v>
      </c>
      <c r="AK1141" s="34" t="s">
        <v>4231</v>
      </c>
      <c r="AL1141" s="34" t="s">
        <v>6521</v>
      </c>
      <c r="AM1141" s="40" t="s">
        <v>8095</v>
      </c>
      <c r="AT1141" s="44">
        <v>0</v>
      </c>
      <c r="AU1141" s="44"/>
      <c r="AV1141" s="46">
        <f>ROUND(Товары[[#This Row],[РРЦ финальная, руб.]]/$AU$1,2)</f>
        <v>0</v>
      </c>
      <c r="AW1141" s="45" t="str">
        <f>IFERROR(Товары[[#This Row],[РРЦ, евро]]/Товары[[#This Row],[IRP, Eur]],"-")</f>
        <v>-</v>
      </c>
      <c r="AX1141" s="42">
        <f>IFERROR(VLOOKUP(Товары[[#This Row],[SubGroup]],'Структура цен DIY'!$B:$C,2,FALSE),0)</f>
        <v>0.26</v>
      </c>
      <c r="AY1141" s="44">
        <v>0</v>
      </c>
    </row>
    <row r="1142" spans="1:51" x14ac:dyDescent="0.25">
      <c r="A1142" s="34">
        <v>1140</v>
      </c>
      <c r="B1142" s="34" t="s">
        <v>49</v>
      </c>
      <c r="C1142" s="110" t="str">
        <f>IFERROR(INDEX(Структура_ассортимента[SuperCategory],MATCH(Товары[[#This Row],[SubGroup]],Структура_ассортимента[Subgroup],0)),"")</f>
        <v>W</v>
      </c>
      <c r="D114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4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42" s="110" t="str">
        <f>IFERROR(INDEX(Структура_ассортимента[Product group],MATCH(Товары[[#This Row],[SubGroup]],Структура_ассортимента[Subgroup],0)),"")</f>
        <v>WMO_C</v>
      </c>
      <c r="G1142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42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42" s="36">
        <v>9011</v>
      </c>
      <c r="J1142" s="36" t="str">
        <f>IFERROR(INDEX(Структура_ассортимента[Generic Name (long)],MATCH(Товары[[#This Row],[SubGroup]],Структура_ассортимента[Subgroup],0)),"")</f>
        <v>TAP CONNECTOR</v>
      </c>
      <c r="L1142" s="36">
        <v>967667001</v>
      </c>
      <c r="M1142" s="35" t="s">
        <v>2818</v>
      </c>
      <c r="O1142" s="35" t="s">
        <v>6600</v>
      </c>
      <c r="P1142" s="37" t="s">
        <v>6601</v>
      </c>
      <c r="Q1142" s="34" t="s">
        <v>3549</v>
      </c>
      <c r="R1142" s="34" t="s">
        <v>3540</v>
      </c>
      <c r="S1142" s="47">
        <v>43101</v>
      </c>
      <c r="T1142" s="47">
        <v>0</v>
      </c>
      <c r="U1142" s="47">
        <v>0</v>
      </c>
      <c r="V1142" s="34">
        <v>4078500031882</v>
      </c>
      <c r="W1142" s="34" t="s">
        <v>3543</v>
      </c>
      <c r="X1142" s="34" t="s">
        <v>3579</v>
      </c>
      <c r="Y1142" s="34" t="s">
        <v>3542</v>
      </c>
      <c r="Z1142" s="34">
        <v>12</v>
      </c>
      <c r="AA1142" s="34">
        <v>126</v>
      </c>
      <c r="AB1142" s="34" t="s">
        <v>6602</v>
      </c>
      <c r="AC1142" s="34">
        <v>116</v>
      </c>
      <c r="AD1142" s="34" t="s">
        <v>6479</v>
      </c>
      <c r="AE1142" s="34" t="s">
        <v>3878</v>
      </c>
      <c r="AF1142" s="34" t="s">
        <v>3800</v>
      </c>
      <c r="AG1142" s="34" t="s">
        <v>4351</v>
      </c>
      <c r="AH1142" s="34" t="s">
        <v>6540</v>
      </c>
      <c r="AI1142" s="34" t="s">
        <v>4646</v>
      </c>
      <c r="AJ1142" s="34" t="s">
        <v>4432</v>
      </c>
      <c r="AK1142" s="34" t="s">
        <v>4432</v>
      </c>
      <c r="AL1142" s="34" t="s">
        <v>6535</v>
      </c>
      <c r="AM1142" s="40" t="s">
        <v>9</v>
      </c>
      <c r="AP1142" s="34">
        <v>0</v>
      </c>
      <c r="AQ1142" s="34">
        <v>1089</v>
      </c>
      <c r="AR1142" s="34">
        <v>662</v>
      </c>
      <c r="AT1142" s="44">
        <v>84300</v>
      </c>
      <c r="AU1142" s="44"/>
      <c r="AV1142" s="46">
        <f>ROUND(Товары[[#This Row],[РРЦ финальная, руб.]]/$AU$1,2)</f>
        <v>0</v>
      </c>
      <c r="AW1142" s="45" t="str">
        <f>IFERROR(Товары[[#This Row],[РРЦ, евро]]/Товары[[#This Row],[IRP, Eur]],"-")</f>
        <v>-</v>
      </c>
      <c r="AX1142" s="42">
        <f>IFERROR(VLOOKUP(Товары[[#This Row],[SubGroup]],'Структура цен DIY'!$B:$C,2,FALSE),0)</f>
        <v>0.26</v>
      </c>
      <c r="AY1142" s="44">
        <v>0</v>
      </c>
    </row>
    <row r="1143" spans="1:51" x14ac:dyDescent="0.25">
      <c r="A1143" s="34">
        <v>1141</v>
      </c>
      <c r="B1143" s="34" t="s">
        <v>49</v>
      </c>
      <c r="C1143" s="110" t="str">
        <f>IFERROR(INDEX(Структура_ассортимента[SuperCategory],MATCH(Товары[[#This Row],[SubGroup]],Структура_ассортимента[Subgroup],0)),"")</f>
        <v>W</v>
      </c>
      <c r="D114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4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43" s="110" t="str">
        <f>IFERROR(INDEX(Структура_ассортимента[Product group],MATCH(Товары[[#This Row],[SubGroup]],Структура_ассортимента[Subgroup],0)),"")</f>
        <v>WMO_C</v>
      </c>
      <c r="G1143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43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43" s="36">
        <v>9011</v>
      </c>
      <c r="J1143" s="36" t="str">
        <f>IFERROR(INDEX(Структура_ассортимента[Generic Name (long)],MATCH(Товары[[#This Row],[SubGroup]],Структура_ассортимента[Subgroup],0)),"")</f>
        <v>TAP CONNECTOR</v>
      </c>
      <c r="L1143" s="36">
        <v>967667101</v>
      </c>
      <c r="M1143" s="35" t="s">
        <v>2819</v>
      </c>
      <c r="Q1143" s="34" t="s">
        <v>3549</v>
      </c>
      <c r="R1143" s="34" t="s">
        <v>3540</v>
      </c>
      <c r="S1143" s="47">
        <v>43101</v>
      </c>
      <c r="T1143" s="47">
        <v>0</v>
      </c>
      <c r="U1143" s="47">
        <v>0</v>
      </c>
      <c r="V1143" s="34">
        <v>4078500031912</v>
      </c>
      <c r="W1143" s="34" t="s">
        <v>3543</v>
      </c>
      <c r="X1143" s="34" t="s">
        <v>3579</v>
      </c>
      <c r="Y1143" s="34" t="s">
        <v>3542</v>
      </c>
      <c r="Z1143" s="34">
        <v>10</v>
      </c>
      <c r="AA1143" s="34">
        <v>97</v>
      </c>
      <c r="AB1143" s="34" t="s">
        <v>5910</v>
      </c>
      <c r="AC1143" s="34">
        <v>85</v>
      </c>
      <c r="AD1143" s="34" t="s">
        <v>5640</v>
      </c>
      <c r="AE1143" s="34" t="s">
        <v>3693</v>
      </c>
      <c r="AF1143" s="34" t="s">
        <v>3800</v>
      </c>
      <c r="AG1143" s="34" t="s">
        <v>4472</v>
      </c>
      <c r="AH1143" s="34" t="s">
        <v>6536</v>
      </c>
      <c r="AI1143" s="34" t="s">
        <v>4646</v>
      </c>
      <c r="AJ1143" s="34" t="s">
        <v>4432</v>
      </c>
      <c r="AK1143" s="34" t="s">
        <v>4432</v>
      </c>
      <c r="AL1143" s="34" t="s">
        <v>6542</v>
      </c>
      <c r="AM1143" s="40" t="s">
        <v>8095</v>
      </c>
      <c r="AT1143" s="44">
        <v>0</v>
      </c>
      <c r="AU1143" s="44"/>
      <c r="AV1143" s="46">
        <f>ROUND(Товары[[#This Row],[РРЦ финальная, руб.]]/$AU$1,2)</f>
        <v>0</v>
      </c>
      <c r="AW1143" s="45" t="str">
        <f>IFERROR(Товары[[#This Row],[РРЦ, евро]]/Товары[[#This Row],[IRP, Eur]],"-")</f>
        <v>-</v>
      </c>
      <c r="AX1143" s="42">
        <f>IFERROR(VLOOKUP(Товары[[#This Row],[SubGroup]],'Структура цен DIY'!$B:$C,2,FALSE),0)</f>
        <v>0.26</v>
      </c>
      <c r="AY1143" s="44">
        <v>0</v>
      </c>
    </row>
    <row r="1144" spans="1:51" x14ac:dyDescent="0.25">
      <c r="A1144" s="34">
        <v>1142</v>
      </c>
      <c r="B1144" s="34" t="s">
        <v>49</v>
      </c>
      <c r="C1144" s="110" t="str">
        <f>IFERROR(INDEX(Структура_ассортимента[SuperCategory],MATCH(Товары[[#This Row],[SubGroup]],Структура_ассортимента[Subgroup],0)),"")</f>
        <v>W</v>
      </c>
      <c r="D114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4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44" s="110" t="str">
        <f>IFERROR(INDEX(Структура_ассортимента[Product group],MATCH(Товары[[#This Row],[SubGroup]],Структура_ассортимента[Subgroup],0)),"")</f>
        <v>WMO_C</v>
      </c>
      <c r="G1144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44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44" s="36">
        <v>9011</v>
      </c>
      <c r="J1144" s="36" t="str">
        <f>IFERROR(INDEX(Структура_ассортимента[Generic Name (long)],MATCH(Товары[[#This Row],[SubGroup]],Структура_ассортимента[Subgroup],0)),"")</f>
        <v>TAP CONNECTOR</v>
      </c>
      <c r="L1144" s="36">
        <v>967896001</v>
      </c>
      <c r="M1144" s="35" t="s">
        <v>2820</v>
      </c>
      <c r="Q1144" s="34" t="s">
        <v>3549</v>
      </c>
      <c r="R1144" s="34" t="s">
        <v>3540</v>
      </c>
      <c r="S1144" s="47">
        <v>43160</v>
      </c>
      <c r="T1144" s="47">
        <v>0</v>
      </c>
      <c r="U1144" s="47">
        <v>0</v>
      </c>
      <c r="V1144" s="34">
        <v>4078500044523</v>
      </c>
      <c r="W1144" s="34" t="s">
        <v>3546</v>
      </c>
      <c r="X1144" s="34" t="s">
        <v>3907</v>
      </c>
      <c r="Y1144" s="34" t="s">
        <v>3542</v>
      </c>
      <c r="Z1144" s="34">
        <v>20000</v>
      </c>
      <c r="AE1144" s="34" t="s">
        <v>3785</v>
      </c>
      <c r="AF1144" s="34" t="s">
        <v>3785</v>
      </c>
      <c r="AG1144" s="34" t="s">
        <v>3777</v>
      </c>
      <c r="AH1144" s="34" t="s">
        <v>6603</v>
      </c>
      <c r="AL1144" s="34" t="s">
        <v>6604</v>
      </c>
      <c r="AM1144" s="40" t="s">
        <v>8095</v>
      </c>
      <c r="AT1144" s="44">
        <v>0</v>
      </c>
      <c r="AU1144" s="44"/>
      <c r="AV1144" s="46">
        <f>ROUND(Товары[[#This Row],[РРЦ финальная, руб.]]/$AU$1,2)</f>
        <v>0</v>
      </c>
      <c r="AW1144" s="45" t="str">
        <f>IFERROR(Товары[[#This Row],[РРЦ, евро]]/Товары[[#This Row],[IRP, Eur]],"-")</f>
        <v>-</v>
      </c>
      <c r="AX1144" s="42">
        <f>IFERROR(VLOOKUP(Товары[[#This Row],[SubGroup]],'Структура цен DIY'!$B:$C,2,FALSE),0)</f>
        <v>0.26</v>
      </c>
      <c r="AY1144" s="44">
        <v>0</v>
      </c>
    </row>
    <row r="1145" spans="1:51" x14ac:dyDescent="0.25">
      <c r="A1145" s="34">
        <v>1143</v>
      </c>
      <c r="B1145" s="34" t="s">
        <v>49</v>
      </c>
      <c r="C1145" s="110" t="str">
        <f>IFERROR(INDEX(Структура_ассортимента[SuperCategory],MATCH(Товары[[#This Row],[SubGroup]],Структура_ассортимента[Subgroup],0)),"")</f>
        <v>W</v>
      </c>
      <c r="D114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4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45" s="110" t="str">
        <f>IFERROR(INDEX(Структура_ассортимента[Product group],MATCH(Товары[[#This Row],[SubGroup]],Структура_ассортимента[Subgroup],0)),"")</f>
        <v>WMO_C</v>
      </c>
      <c r="G1145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45" s="110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45" s="36">
        <v>9012</v>
      </c>
      <c r="J1145" s="36" t="str">
        <f>IFERROR(INDEX(Структура_ассортимента[Generic Name (long)],MATCH(Товары[[#This Row],[SubGroup]],Структура_ассортимента[Subgroup],0)),"")</f>
        <v>PROMOTION SET</v>
      </c>
      <c r="L1145" s="36">
        <v>967304301</v>
      </c>
      <c r="M1145" s="35" t="s">
        <v>2821</v>
      </c>
      <c r="Q1145" s="34" t="s">
        <v>3549</v>
      </c>
      <c r="R1145" s="34" t="s">
        <v>3540</v>
      </c>
      <c r="S1145" s="47">
        <v>42005</v>
      </c>
      <c r="T1145" s="47">
        <v>0</v>
      </c>
      <c r="U1145" s="47">
        <v>0</v>
      </c>
      <c r="V1145" s="34">
        <v>4078500010405</v>
      </c>
      <c r="W1145" s="34" t="s">
        <v>3543</v>
      </c>
      <c r="X1145" s="34" t="s">
        <v>3579</v>
      </c>
      <c r="Y1145" s="34" t="s">
        <v>3542</v>
      </c>
      <c r="Z1145" s="34">
        <v>6</v>
      </c>
      <c r="AA1145" s="34" t="s">
        <v>5633</v>
      </c>
      <c r="AB1145" s="34" t="s">
        <v>5633</v>
      </c>
      <c r="AC1145" s="34" t="s">
        <v>6518</v>
      </c>
      <c r="AD1145" s="34" t="s">
        <v>6518</v>
      </c>
      <c r="AE1145" s="34" t="s">
        <v>3693</v>
      </c>
      <c r="AF1145" s="34" t="s">
        <v>3576</v>
      </c>
      <c r="AG1145" s="34" t="s">
        <v>3931</v>
      </c>
      <c r="AH1145" s="34" t="s">
        <v>6605</v>
      </c>
      <c r="AL1145" s="34" t="s">
        <v>6606</v>
      </c>
      <c r="AM1145" s="40" t="s">
        <v>8095</v>
      </c>
      <c r="AT1145" s="44">
        <v>0</v>
      </c>
      <c r="AU1145" s="44"/>
      <c r="AV1145" s="46">
        <f>ROUND(Товары[[#This Row],[РРЦ финальная, руб.]]/$AU$1,2)</f>
        <v>0</v>
      </c>
      <c r="AW1145" s="45" t="str">
        <f>IFERROR(Товары[[#This Row],[РРЦ, евро]]/Товары[[#This Row],[IRP, Eur]],"-")</f>
        <v>-</v>
      </c>
      <c r="AX1145" s="42">
        <f>IFERROR(VLOOKUP(Товары[[#This Row],[SubGroup]],'Структура цен DIY'!$B:$C,2,FALSE),0)</f>
        <v>0.26861476238624882</v>
      </c>
      <c r="AY1145" s="44">
        <v>0</v>
      </c>
    </row>
    <row r="1146" spans="1:51" x14ac:dyDescent="0.25">
      <c r="A1146" s="34">
        <v>1144</v>
      </c>
      <c r="B1146" s="34" t="s">
        <v>49</v>
      </c>
      <c r="C1146" s="110" t="str">
        <f>IFERROR(INDEX(Структура_ассортимента[SuperCategory],MATCH(Товары[[#This Row],[SubGroup]],Структура_ассортимента[Subgroup],0)),"")</f>
        <v>W</v>
      </c>
      <c r="D114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4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46" s="110" t="str">
        <f>IFERROR(INDEX(Структура_ассортимента[Product group],MATCH(Товары[[#This Row],[SubGroup]],Структура_ассортимента[Subgroup],0)),"")</f>
        <v>WMO_C</v>
      </c>
      <c r="G1146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46" s="110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46" s="36">
        <v>9012</v>
      </c>
      <c r="J1146" s="36" t="str">
        <f>IFERROR(INDEX(Структура_ассортимента[Generic Name (long)],MATCH(Товары[[#This Row],[SubGroup]],Структура_ассортимента[Subgroup],0)),"")</f>
        <v>PROMOTION SET</v>
      </c>
      <c r="L1146" s="36">
        <v>967316401</v>
      </c>
      <c r="M1146" s="35" t="s">
        <v>2822</v>
      </c>
      <c r="Q1146" s="34" t="s">
        <v>3549</v>
      </c>
      <c r="R1146" s="34" t="s">
        <v>3540</v>
      </c>
      <c r="S1146" s="47">
        <v>42005</v>
      </c>
      <c r="T1146" s="47">
        <v>0</v>
      </c>
      <c r="U1146" s="47">
        <v>0</v>
      </c>
      <c r="V1146" s="34">
        <v>4078500012379</v>
      </c>
      <c r="W1146" s="34" t="s">
        <v>3543</v>
      </c>
      <c r="X1146" s="34" t="s">
        <v>3579</v>
      </c>
      <c r="Y1146" s="34" t="s">
        <v>3542</v>
      </c>
      <c r="Z1146" s="34">
        <v>6</v>
      </c>
      <c r="AA1146" s="34" t="s">
        <v>6445</v>
      </c>
      <c r="AB1146" s="34" t="s">
        <v>6445</v>
      </c>
      <c r="AC1146" s="34" t="s">
        <v>3717</v>
      </c>
      <c r="AD1146" s="34" t="s">
        <v>3717</v>
      </c>
      <c r="AE1146" s="34" t="s">
        <v>3693</v>
      </c>
      <c r="AF1146" s="34" t="s">
        <v>3576</v>
      </c>
      <c r="AG1146" s="34" t="s">
        <v>3931</v>
      </c>
      <c r="AH1146" s="34" t="s">
        <v>6605</v>
      </c>
      <c r="AL1146" s="34" t="s">
        <v>6606</v>
      </c>
      <c r="AM1146" s="40" t="s">
        <v>8095</v>
      </c>
      <c r="AT1146" s="44">
        <v>0</v>
      </c>
      <c r="AU1146" s="44"/>
      <c r="AV1146" s="46">
        <f>ROUND(Товары[[#This Row],[РРЦ финальная, руб.]]/$AU$1,2)</f>
        <v>0</v>
      </c>
      <c r="AW1146" s="45" t="str">
        <f>IFERROR(Товары[[#This Row],[РРЦ, евро]]/Товары[[#This Row],[IRP, Eur]],"-")</f>
        <v>-</v>
      </c>
      <c r="AX1146" s="42">
        <f>IFERROR(VLOOKUP(Товары[[#This Row],[SubGroup]],'Структура цен DIY'!$B:$C,2,FALSE),0)</f>
        <v>0.26861476238624882</v>
      </c>
      <c r="AY1146" s="44">
        <v>0</v>
      </c>
    </row>
    <row r="1147" spans="1:51" x14ac:dyDescent="0.25">
      <c r="A1147" s="34">
        <v>1145</v>
      </c>
      <c r="B1147" s="34" t="s">
        <v>49</v>
      </c>
      <c r="C1147" s="110" t="str">
        <f>IFERROR(INDEX(Структура_ассортимента[SuperCategory],MATCH(Товары[[#This Row],[SubGroup]],Структура_ассортимента[Subgroup],0)),"")</f>
        <v>W</v>
      </c>
      <c r="D114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4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47" s="110" t="str">
        <f>IFERROR(INDEX(Структура_ассортимента[Product group],MATCH(Товары[[#This Row],[SubGroup]],Структура_ассортимента[Subgroup],0)),"")</f>
        <v>WMO_C</v>
      </c>
      <c r="G1147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47" s="110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47" s="36">
        <v>9012</v>
      </c>
      <c r="J1147" s="36" t="str">
        <f>IFERROR(INDEX(Структура_ассортимента[Generic Name (long)],MATCH(Товары[[#This Row],[SubGroup]],Структура_ассортимента[Subgroup],0)),"")</f>
        <v>PROMOTION SET</v>
      </c>
      <c r="L1147" s="36">
        <v>967316501</v>
      </c>
      <c r="M1147" s="35" t="s">
        <v>2823</v>
      </c>
      <c r="Q1147" s="34" t="s">
        <v>3549</v>
      </c>
      <c r="R1147" s="34" t="s">
        <v>3540</v>
      </c>
      <c r="S1147" s="47">
        <v>42005</v>
      </c>
      <c r="T1147" s="47">
        <v>0</v>
      </c>
      <c r="U1147" s="47">
        <v>0</v>
      </c>
      <c r="V1147" s="34">
        <v>4078500012393</v>
      </c>
      <c r="W1147" s="34" t="s">
        <v>3543</v>
      </c>
      <c r="X1147" s="34" t="s">
        <v>3579</v>
      </c>
      <c r="Y1147" s="34" t="s">
        <v>3542</v>
      </c>
      <c r="Z1147" s="34">
        <v>12</v>
      </c>
      <c r="AA1147" s="34" t="s">
        <v>3729</v>
      </c>
      <c r="AB1147" s="34" t="s">
        <v>3729</v>
      </c>
      <c r="AC1147" s="34" t="s">
        <v>3667</v>
      </c>
      <c r="AD1147" s="34" t="s">
        <v>3667</v>
      </c>
      <c r="AE1147" s="34" t="s">
        <v>3693</v>
      </c>
      <c r="AF1147" s="34" t="s">
        <v>3576</v>
      </c>
      <c r="AG1147" s="34" t="s">
        <v>3791</v>
      </c>
      <c r="AH1147" s="34" t="s">
        <v>5643</v>
      </c>
      <c r="AL1147" s="34" t="s">
        <v>6607</v>
      </c>
      <c r="AM1147" s="40" t="s">
        <v>8095</v>
      </c>
      <c r="AT1147" s="44">
        <v>0</v>
      </c>
      <c r="AU1147" s="44"/>
      <c r="AV1147" s="46">
        <f>ROUND(Товары[[#This Row],[РРЦ финальная, руб.]]/$AU$1,2)</f>
        <v>0</v>
      </c>
      <c r="AW1147" s="45" t="str">
        <f>IFERROR(Товары[[#This Row],[РРЦ, евро]]/Товары[[#This Row],[IRP, Eur]],"-")</f>
        <v>-</v>
      </c>
      <c r="AX1147" s="42">
        <f>IFERROR(VLOOKUP(Товары[[#This Row],[SubGroup]],'Структура цен DIY'!$B:$C,2,FALSE),0)</f>
        <v>0.26861476238624882</v>
      </c>
      <c r="AY1147" s="44">
        <v>0</v>
      </c>
    </row>
    <row r="1148" spans="1:51" x14ac:dyDescent="0.25">
      <c r="A1148" s="34">
        <v>1146</v>
      </c>
      <c r="B1148" s="34" t="s">
        <v>49</v>
      </c>
      <c r="C1148" s="110" t="str">
        <f>IFERROR(INDEX(Структура_ассортимента[SuperCategory],MATCH(Товары[[#This Row],[SubGroup]],Структура_ассортимента[Subgroup],0)),"")</f>
        <v>W</v>
      </c>
      <c r="D114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4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48" s="110" t="str">
        <f>IFERROR(INDEX(Структура_ассортимента[Product group],MATCH(Товары[[#This Row],[SubGroup]],Структура_ассортимента[Subgroup],0)),"")</f>
        <v>WMO_C</v>
      </c>
      <c r="G1148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48" s="110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48" s="36">
        <v>9012</v>
      </c>
      <c r="J1148" s="36" t="str">
        <f>IFERROR(INDEX(Структура_ассортимента[Generic Name (long)],MATCH(Товары[[#This Row],[SubGroup]],Структура_ассортимента[Subgroup],0)),"")</f>
        <v>PROMOTION SET</v>
      </c>
      <c r="L1148" s="36">
        <v>967304401</v>
      </c>
      <c r="M1148" s="35" t="s">
        <v>2824</v>
      </c>
      <c r="O1148" s="35" t="s">
        <v>6608</v>
      </c>
      <c r="P1148" s="37" t="s">
        <v>6609</v>
      </c>
      <c r="Q1148" s="34" t="s">
        <v>3549</v>
      </c>
      <c r="R1148" s="34" t="s">
        <v>3540</v>
      </c>
      <c r="S1148" s="47">
        <v>42005</v>
      </c>
      <c r="T1148" s="47">
        <v>0</v>
      </c>
      <c r="U1148" s="47">
        <v>0</v>
      </c>
      <c r="V1148" s="34">
        <v>4078500010382</v>
      </c>
      <c r="W1148" s="34" t="s">
        <v>3543</v>
      </c>
      <c r="X1148" s="34" t="s">
        <v>3579</v>
      </c>
      <c r="Y1148" s="34" t="s">
        <v>3542</v>
      </c>
      <c r="Z1148" s="34">
        <v>10</v>
      </c>
      <c r="AA1148" s="34" t="s">
        <v>6075</v>
      </c>
      <c r="AB1148" s="34" t="s">
        <v>6075</v>
      </c>
      <c r="AC1148" s="34" t="s">
        <v>3719</v>
      </c>
      <c r="AD1148" s="34" t="s">
        <v>3719</v>
      </c>
      <c r="AE1148" s="34" t="s">
        <v>6610</v>
      </c>
      <c r="AF1148" s="34" t="s">
        <v>3576</v>
      </c>
      <c r="AG1148" s="34" t="s">
        <v>4218</v>
      </c>
      <c r="AH1148" s="34" t="s">
        <v>6611</v>
      </c>
      <c r="AL1148" s="34" t="s">
        <v>6612</v>
      </c>
      <c r="AM1148" s="40" t="s">
        <v>9</v>
      </c>
      <c r="AP1148" s="34">
        <v>0</v>
      </c>
      <c r="AQ1148" s="34">
        <v>1309</v>
      </c>
      <c r="AR1148" s="34">
        <v>798</v>
      </c>
      <c r="AT1148" s="44">
        <v>101400</v>
      </c>
      <c r="AU1148" s="44"/>
      <c r="AV1148" s="46">
        <f>ROUND(Товары[[#This Row],[РРЦ финальная, руб.]]/$AU$1,2)</f>
        <v>0</v>
      </c>
      <c r="AW1148" s="45" t="str">
        <f>IFERROR(Товары[[#This Row],[РРЦ, евро]]/Товары[[#This Row],[IRP, Eur]],"-")</f>
        <v>-</v>
      </c>
      <c r="AX1148" s="42">
        <f>IFERROR(VLOOKUP(Товары[[#This Row],[SubGroup]],'Структура цен DIY'!$B:$C,2,FALSE),0)</f>
        <v>0.26861476238624882</v>
      </c>
      <c r="AY1148" s="44">
        <v>0</v>
      </c>
    </row>
    <row r="1149" spans="1:51" x14ac:dyDescent="0.25">
      <c r="A1149" s="34">
        <v>1147</v>
      </c>
      <c r="B1149" s="34" t="s">
        <v>49</v>
      </c>
      <c r="C1149" s="110" t="str">
        <f>IFERROR(INDEX(Структура_ассортимента[SuperCategory],MATCH(Товары[[#This Row],[SubGroup]],Структура_ассортимента[Subgroup],0)),"")</f>
        <v>W</v>
      </c>
      <c r="D114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4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49" s="110" t="str">
        <f>IFERROR(INDEX(Структура_ассортимента[Product group],MATCH(Товары[[#This Row],[SubGroup]],Структура_ассортимента[Subgroup],0)),"")</f>
        <v>WMO_C</v>
      </c>
      <c r="G1149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49" s="110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49" s="36">
        <v>9012</v>
      </c>
      <c r="J1149" s="36" t="str">
        <f>IFERROR(INDEX(Структура_ассортимента[Generic Name (long)],MATCH(Товары[[#This Row],[SubGroup]],Структура_ассортимента[Subgroup],0)),"")</f>
        <v>PROMOTION SET</v>
      </c>
      <c r="L1149" s="36">
        <v>967304501</v>
      </c>
      <c r="M1149" s="35" t="s">
        <v>2825</v>
      </c>
      <c r="Q1149" s="34" t="s">
        <v>3549</v>
      </c>
      <c r="R1149" s="34" t="s">
        <v>3540</v>
      </c>
      <c r="S1149" s="47">
        <v>42005</v>
      </c>
      <c r="T1149" s="47">
        <v>0</v>
      </c>
      <c r="U1149" s="47">
        <v>0</v>
      </c>
      <c r="V1149" s="34">
        <v>4078500010221</v>
      </c>
      <c r="W1149" s="34" t="s">
        <v>3543</v>
      </c>
      <c r="X1149" s="34" t="s">
        <v>3579</v>
      </c>
      <c r="Y1149" s="34" t="s">
        <v>3542</v>
      </c>
      <c r="Z1149" s="34">
        <v>10</v>
      </c>
      <c r="AA1149" s="34" t="s">
        <v>6613</v>
      </c>
      <c r="AB1149" s="34" t="s">
        <v>6613</v>
      </c>
      <c r="AC1149" s="34" t="s">
        <v>5649</v>
      </c>
      <c r="AD1149" s="34" t="s">
        <v>5649</v>
      </c>
      <c r="AE1149" s="34" t="s">
        <v>6610</v>
      </c>
      <c r="AF1149" s="34" t="s">
        <v>3576</v>
      </c>
      <c r="AG1149" s="34" t="s">
        <v>4351</v>
      </c>
      <c r="AH1149" s="34" t="s">
        <v>6614</v>
      </c>
      <c r="AL1149" s="34" t="s">
        <v>6612</v>
      </c>
      <c r="AM1149" s="40" t="s">
        <v>8095</v>
      </c>
      <c r="AT1149" s="44">
        <v>0</v>
      </c>
      <c r="AU1149" s="44"/>
      <c r="AV1149" s="46">
        <f>ROUND(Товары[[#This Row],[РРЦ финальная, руб.]]/$AU$1,2)</f>
        <v>0</v>
      </c>
      <c r="AW1149" s="45" t="str">
        <f>IFERROR(Товары[[#This Row],[РРЦ, евро]]/Товары[[#This Row],[IRP, Eur]],"-")</f>
        <v>-</v>
      </c>
      <c r="AX1149" s="42">
        <f>IFERROR(VLOOKUP(Товары[[#This Row],[SubGroup]],'Структура цен DIY'!$B:$C,2,FALSE),0)</f>
        <v>0.26861476238624882</v>
      </c>
      <c r="AY1149" s="44">
        <v>0</v>
      </c>
    </row>
    <row r="1150" spans="1:51" x14ac:dyDescent="0.25">
      <c r="A1150" s="34">
        <v>1148</v>
      </c>
      <c r="B1150" s="34" t="s">
        <v>49</v>
      </c>
      <c r="C1150" s="110" t="str">
        <f>IFERROR(INDEX(Структура_ассортимента[SuperCategory],MATCH(Товары[[#This Row],[SubGroup]],Структура_ассортимента[Subgroup],0)),"")</f>
        <v>W</v>
      </c>
      <c r="D115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5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50" s="110" t="str">
        <f>IFERROR(INDEX(Структура_ассортимента[Product group],MATCH(Товары[[#This Row],[SubGroup]],Структура_ассортимента[Subgroup],0)),"")</f>
        <v>WMO_C</v>
      </c>
      <c r="G1150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50" s="110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50" s="36">
        <v>9012</v>
      </c>
      <c r="J1150" s="36" t="str">
        <f>IFERROR(INDEX(Структура_ассортимента[Generic Name (long)],MATCH(Товары[[#This Row],[SubGroup]],Структура_ассортимента[Subgroup],0)),"")</f>
        <v>PROMOTION SET</v>
      </c>
      <c r="L1150" s="36">
        <v>967304601</v>
      </c>
      <c r="M1150" s="35" t="s">
        <v>2826</v>
      </c>
      <c r="Q1150" s="34" t="s">
        <v>3549</v>
      </c>
      <c r="R1150" s="34" t="s">
        <v>3540</v>
      </c>
      <c r="S1150" s="47">
        <v>42005</v>
      </c>
      <c r="T1150" s="47">
        <v>0</v>
      </c>
      <c r="U1150" s="47">
        <v>0</v>
      </c>
      <c r="V1150" s="34">
        <v>4078500010269</v>
      </c>
      <c r="W1150" s="34" t="s">
        <v>3543</v>
      </c>
      <c r="X1150" s="34" t="s">
        <v>3579</v>
      </c>
      <c r="Y1150" s="34" t="s">
        <v>3542</v>
      </c>
      <c r="Z1150" s="34">
        <v>6</v>
      </c>
      <c r="AA1150" s="34" t="s">
        <v>6495</v>
      </c>
      <c r="AB1150" s="34" t="s">
        <v>6495</v>
      </c>
      <c r="AC1150" s="34" t="s">
        <v>3719</v>
      </c>
      <c r="AD1150" s="34" t="s">
        <v>3719</v>
      </c>
      <c r="AE1150" s="34" t="s">
        <v>6610</v>
      </c>
      <c r="AF1150" s="34" t="s">
        <v>3576</v>
      </c>
      <c r="AG1150" s="34" t="s">
        <v>4231</v>
      </c>
      <c r="AH1150" s="34" t="s">
        <v>5668</v>
      </c>
      <c r="AL1150" s="34" t="s">
        <v>5233</v>
      </c>
      <c r="AM1150" s="40" t="s">
        <v>8095</v>
      </c>
      <c r="AT1150" s="44">
        <v>0</v>
      </c>
      <c r="AU1150" s="44"/>
      <c r="AV1150" s="46">
        <f>ROUND(Товары[[#This Row],[РРЦ финальная, руб.]]/$AU$1,2)</f>
        <v>0</v>
      </c>
      <c r="AW1150" s="45" t="str">
        <f>IFERROR(Товары[[#This Row],[РРЦ, евро]]/Товары[[#This Row],[IRP, Eur]],"-")</f>
        <v>-</v>
      </c>
      <c r="AX1150" s="42">
        <f>IFERROR(VLOOKUP(Товары[[#This Row],[SubGroup]],'Структура цен DIY'!$B:$C,2,FALSE),0)</f>
        <v>0.26861476238624882</v>
      </c>
      <c r="AY1150" s="44">
        <v>0</v>
      </c>
    </row>
    <row r="1151" spans="1:51" x14ac:dyDescent="0.25">
      <c r="A1151" s="34">
        <v>1149</v>
      </c>
      <c r="B1151" s="34" t="s">
        <v>49</v>
      </c>
      <c r="C1151" s="110" t="str">
        <f>IFERROR(INDEX(Структура_ассортимента[SuperCategory],MATCH(Товары[[#This Row],[SubGroup]],Структура_ассортимента[Subgroup],0)),"")</f>
        <v>W</v>
      </c>
      <c r="D115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5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51" s="110" t="str">
        <f>IFERROR(INDEX(Структура_ассортимента[Product group],MATCH(Товары[[#This Row],[SubGroup]],Структура_ассортимента[Subgroup],0)),"")</f>
        <v>WMO_C</v>
      </c>
      <c r="G1151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51" s="110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51" s="36">
        <v>9012</v>
      </c>
      <c r="J1151" s="36" t="str">
        <f>IFERROR(INDEX(Структура_ассортимента[Generic Name (long)],MATCH(Товары[[#This Row],[SubGroup]],Структура_ассортимента[Subgroup],0)),"")</f>
        <v>PROMOTION SET</v>
      </c>
      <c r="L1151" s="36">
        <v>967304701</v>
      </c>
      <c r="M1151" s="35" t="s">
        <v>2827</v>
      </c>
      <c r="Q1151" s="34" t="s">
        <v>3549</v>
      </c>
      <c r="R1151" s="34" t="s">
        <v>3540</v>
      </c>
      <c r="S1151" s="47">
        <v>42005</v>
      </c>
      <c r="T1151" s="47">
        <v>0</v>
      </c>
      <c r="U1151" s="47">
        <v>0</v>
      </c>
      <c r="V1151" s="34">
        <v>4078500010429</v>
      </c>
      <c r="W1151" s="34" t="s">
        <v>3543</v>
      </c>
      <c r="X1151" s="34" t="s">
        <v>3579</v>
      </c>
      <c r="Y1151" s="34" t="s">
        <v>3542</v>
      </c>
      <c r="Z1151" s="34">
        <v>10</v>
      </c>
      <c r="AA1151" s="34" t="s">
        <v>3661</v>
      </c>
      <c r="AB1151" s="34" t="s">
        <v>3661</v>
      </c>
      <c r="AC1151" s="34" t="s">
        <v>3653</v>
      </c>
      <c r="AD1151" s="34" t="s">
        <v>3653</v>
      </c>
      <c r="AE1151" s="34" t="s">
        <v>6610</v>
      </c>
      <c r="AF1151" s="34" t="s">
        <v>3576</v>
      </c>
      <c r="AG1151" s="34" t="s">
        <v>4218</v>
      </c>
      <c r="AH1151" s="34" t="s">
        <v>6611</v>
      </c>
      <c r="AL1151" s="34" t="s">
        <v>6615</v>
      </c>
      <c r="AM1151" s="40" t="s">
        <v>8095</v>
      </c>
      <c r="AT1151" s="44">
        <v>0</v>
      </c>
      <c r="AU1151" s="44"/>
      <c r="AV1151" s="46">
        <f>ROUND(Товары[[#This Row],[РРЦ финальная, руб.]]/$AU$1,2)</f>
        <v>0</v>
      </c>
      <c r="AW1151" s="45" t="str">
        <f>IFERROR(Товары[[#This Row],[РРЦ, евро]]/Товары[[#This Row],[IRP, Eur]],"-")</f>
        <v>-</v>
      </c>
      <c r="AX1151" s="42">
        <f>IFERROR(VLOOKUP(Товары[[#This Row],[SubGroup]],'Структура цен DIY'!$B:$C,2,FALSE),0)</f>
        <v>0.26861476238624882</v>
      </c>
      <c r="AY1151" s="44">
        <v>0</v>
      </c>
    </row>
    <row r="1152" spans="1:51" x14ac:dyDescent="0.25">
      <c r="A1152" s="34">
        <v>1150</v>
      </c>
      <c r="B1152" s="34" t="s">
        <v>49</v>
      </c>
      <c r="C1152" s="110" t="str">
        <f>IFERROR(INDEX(Структура_ассортимента[SuperCategory],MATCH(Товары[[#This Row],[SubGroup]],Структура_ассортимента[Subgroup],0)),"")</f>
        <v>W</v>
      </c>
      <c r="D115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5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52" s="110" t="str">
        <f>IFERROR(INDEX(Структура_ассортимента[Product group],MATCH(Товары[[#This Row],[SubGroup]],Структура_ассортимента[Subgroup],0)),"")</f>
        <v>WMO_C</v>
      </c>
      <c r="G1152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52" s="110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52" s="36">
        <v>9012</v>
      </c>
      <c r="J1152" s="36" t="str">
        <f>IFERROR(INDEX(Структура_ассортимента[Generic Name (long)],MATCH(Товары[[#This Row],[SubGroup]],Структура_ассортимента[Subgroup],0)),"")</f>
        <v>PROMOTION SET</v>
      </c>
      <c r="L1152" s="36">
        <v>967304801</v>
      </c>
      <c r="M1152" s="35" t="s">
        <v>2828</v>
      </c>
      <c r="Q1152" s="34" t="s">
        <v>3549</v>
      </c>
      <c r="R1152" s="34" t="s">
        <v>3540</v>
      </c>
      <c r="S1152" s="47">
        <v>42005</v>
      </c>
      <c r="T1152" s="47">
        <v>0</v>
      </c>
      <c r="U1152" s="47">
        <v>0</v>
      </c>
      <c r="V1152" s="34">
        <v>4078500010443</v>
      </c>
      <c r="W1152" s="34" t="s">
        <v>3543</v>
      </c>
      <c r="X1152" s="34" t="s">
        <v>3579</v>
      </c>
      <c r="Y1152" s="34" t="s">
        <v>3542</v>
      </c>
      <c r="Z1152" s="34">
        <v>10</v>
      </c>
      <c r="AA1152" s="34" t="s">
        <v>4095</v>
      </c>
      <c r="AB1152" s="34" t="s">
        <v>4095</v>
      </c>
      <c r="AC1152" s="34" t="s">
        <v>3996</v>
      </c>
      <c r="AD1152" s="34" t="s">
        <v>3996</v>
      </c>
      <c r="AE1152" s="34" t="s">
        <v>4645</v>
      </c>
      <c r="AF1152" s="34" t="s">
        <v>3968</v>
      </c>
      <c r="AG1152" s="34" t="s">
        <v>4218</v>
      </c>
      <c r="AH1152" s="34" t="s">
        <v>6616</v>
      </c>
      <c r="AL1152" s="34" t="s">
        <v>5304</v>
      </c>
      <c r="AM1152" s="40" t="s">
        <v>8095</v>
      </c>
      <c r="AT1152" s="44">
        <v>0</v>
      </c>
      <c r="AU1152" s="44"/>
      <c r="AV1152" s="46">
        <f>ROUND(Товары[[#This Row],[РРЦ финальная, руб.]]/$AU$1,2)</f>
        <v>0</v>
      </c>
      <c r="AW1152" s="45" t="str">
        <f>IFERROR(Товары[[#This Row],[РРЦ, евро]]/Товары[[#This Row],[IRP, Eur]],"-")</f>
        <v>-</v>
      </c>
      <c r="AX1152" s="42">
        <f>IFERROR(VLOOKUP(Товары[[#This Row],[SubGroup]],'Структура цен DIY'!$B:$C,2,FALSE),0)</f>
        <v>0.26861476238624882</v>
      </c>
      <c r="AY1152" s="44">
        <v>0</v>
      </c>
    </row>
    <row r="1153" spans="1:51" x14ac:dyDescent="0.25">
      <c r="A1153" s="34">
        <v>1151</v>
      </c>
      <c r="B1153" s="34" t="s">
        <v>49</v>
      </c>
      <c r="C1153" s="110" t="str">
        <f>IFERROR(INDEX(Структура_ассортимента[SuperCategory],MATCH(Товары[[#This Row],[SubGroup]],Структура_ассортимента[Subgroup],0)),"")</f>
        <v>W</v>
      </c>
      <c r="D115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5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53" s="110" t="str">
        <f>IFERROR(INDEX(Структура_ассортимента[Product group],MATCH(Товары[[#This Row],[SubGroup]],Структура_ассортимента[Subgroup],0)),"")</f>
        <v>WMO_C</v>
      </c>
      <c r="G1153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53" s="110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53" s="36">
        <v>9012</v>
      </c>
      <c r="J1153" s="36" t="str">
        <f>IFERROR(INDEX(Структура_ассортимента[Generic Name (long)],MATCH(Товары[[#This Row],[SubGroup]],Структура_ассортимента[Subgroup],0)),"")</f>
        <v>PROMOTION SET</v>
      </c>
      <c r="L1153" s="36">
        <v>967304901</v>
      </c>
      <c r="M1153" s="35" t="s">
        <v>2829</v>
      </c>
      <c r="Q1153" s="34" t="s">
        <v>3549</v>
      </c>
      <c r="R1153" s="34" t="s">
        <v>3540</v>
      </c>
      <c r="S1153" s="47">
        <v>42005</v>
      </c>
      <c r="T1153" s="47">
        <v>0</v>
      </c>
      <c r="U1153" s="47">
        <v>0</v>
      </c>
      <c r="V1153" s="34">
        <v>4078500010283</v>
      </c>
      <c r="W1153" s="34" t="s">
        <v>3543</v>
      </c>
      <c r="X1153" s="34" t="s">
        <v>3579</v>
      </c>
      <c r="Y1153" s="34" t="s">
        <v>3542</v>
      </c>
      <c r="Z1153" s="34">
        <v>10</v>
      </c>
      <c r="AA1153" s="34" t="s">
        <v>3671</v>
      </c>
      <c r="AB1153" s="34" t="s">
        <v>3671</v>
      </c>
      <c r="AC1153" s="34" t="s">
        <v>3670</v>
      </c>
      <c r="AD1153" s="34" t="s">
        <v>3670</v>
      </c>
      <c r="AE1153" s="34" t="s">
        <v>4196</v>
      </c>
      <c r="AF1153" s="34" t="s">
        <v>3576</v>
      </c>
      <c r="AG1153" s="34" t="s">
        <v>4231</v>
      </c>
      <c r="AH1153" s="34" t="s">
        <v>6617</v>
      </c>
      <c r="AL1153" s="34" t="s">
        <v>6618</v>
      </c>
      <c r="AM1153" s="40" t="s">
        <v>8095</v>
      </c>
      <c r="AT1153" s="44">
        <v>0</v>
      </c>
      <c r="AU1153" s="44"/>
      <c r="AV1153" s="46">
        <f>ROUND(Товары[[#This Row],[РРЦ финальная, руб.]]/$AU$1,2)</f>
        <v>0</v>
      </c>
      <c r="AW1153" s="45" t="str">
        <f>IFERROR(Товары[[#This Row],[РРЦ, евро]]/Товары[[#This Row],[IRP, Eur]],"-")</f>
        <v>-</v>
      </c>
      <c r="AX1153" s="42">
        <f>IFERROR(VLOOKUP(Товары[[#This Row],[SubGroup]],'Структура цен DIY'!$B:$C,2,FALSE),0)</f>
        <v>0.26861476238624882</v>
      </c>
      <c r="AY1153" s="44">
        <v>0</v>
      </c>
    </row>
    <row r="1154" spans="1:51" x14ac:dyDescent="0.25">
      <c r="A1154" s="34">
        <v>1152</v>
      </c>
      <c r="B1154" s="34" t="s">
        <v>49</v>
      </c>
      <c r="C1154" s="110" t="str">
        <f>IFERROR(INDEX(Структура_ассортимента[SuperCategory],MATCH(Товары[[#This Row],[SubGroup]],Структура_ассортимента[Subgroup],0)),"")</f>
        <v>W</v>
      </c>
      <c r="D115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5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54" s="110" t="str">
        <f>IFERROR(INDEX(Структура_ассортимента[Product group],MATCH(Товары[[#This Row],[SubGroup]],Структура_ассортимента[Subgroup],0)),"")</f>
        <v>WMO_C</v>
      </c>
      <c r="G1154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54" s="110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54" s="36">
        <v>9012</v>
      </c>
      <c r="J1154" s="36" t="str">
        <f>IFERROR(INDEX(Структура_ассортимента[Generic Name (long)],MATCH(Товары[[#This Row],[SubGroup]],Структура_ассортимента[Subgroup],0)),"")</f>
        <v>PROMOTION SET</v>
      </c>
      <c r="L1154" s="36">
        <v>967305101</v>
      </c>
      <c r="M1154" s="35" t="s">
        <v>2830</v>
      </c>
      <c r="Q1154" s="34" t="s">
        <v>3549</v>
      </c>
      <c r="R1154" s="34" t="s">
        <v>3540</v>
      </c>
      <c r="S1154" s="47">
        <v>42005</v>
      </c>
      <c r="T1154" s="47">
        <v>0</v>
      </c>
      <c r="U1154" s="47">
        <v>0</v>
      </c>
      <c r="V1154" s="34">
        <v>4078500010320</v>
      </c>
      <c r="W1154" s="34" t="s">
        <v>3543</v>
      </c>
      <c r="X1154" s="34" t="s">
        <v>3579</v>
      </c>
      <c r="Y1154" s="34" t="s">
        <v>3542</v>
      </c>
      <c r="Z1154" s="34">
        <v>10</v>
      </c>
      <c r="AA1154" s="34" t="s">
        <v>3720</v>
      </c>
      <c r="AB1154" s="34" t="s">
        <v>3720</v>
      </c>
      <c r="AC1154" s="34" t="s">
        <v>3676</v>
      </c>
      <c r="AD1154" s="34" t="s">
        <v>3676</v>
      </c>
      <c r="AE1154" s="34" t="s">
        <v>6610</v>
      </c>
      <c r="AF1154" s="34" t="s">
        <v>5613</v>
      </c>
      <c r="AG1154" s="34" t="s">
        <v>4351</v>
      </c>
      <c r="AH1154" s="34" t="s">
        <v>6619</v>
      </c>
      <c r="AL1154" s="34" t="s">
        <v>6615</v>
      </c>
      <c r="AM1154" s="40" t="s">
        <v>8095</v>
      </c>
      <c r="AT1154" s="44">
        <v>0</v>
      </c>
      <c r="AU1154" s="44"/>
      <c r="AV1154" s="46">
        <f>ROUND(Товары[[#This Row],[РРЦ финальная, руб.]]/$AU$1,2)</f>
        <v>0</v>
      </c>
      <c r="AW1154" s="45" t="str">
        <f>IFERROR(Товары[[#This Row],[РРЦ, евро]]/Товары[[#This Row],[IRP, Eur]],"-")</f>
        <v>-</v>
      </c>
      <c r="AX1154" s="42">
        <f>IFERROR(VLOOKUP(Товары[[#This Row],[SubGroup]],'Структура цен DIY'!$B:$C,2,FALSE),0)</f>
        <v>0.26861476238624882</v>
      </c>
      <c r="AY1154" s="44">
        <v>0</v>
      </c>
    </row>
    <row r="1155" spans="1:51" x14ac:dyDescent="0.25">
      <c r="A1155" s="34">
        <v>1153</v>
      </c>
      <c r="B1155" s="34" t="s">
        <v>49</v>
      </c>
      <c r="C1155" s="110" t="str">
        <f>IFERROR(INDEX(Структура_ассортимента[SuperCategory],MATCH(Товары[[#This Row],[SubGroup]],Структура_ассортимента[Subgroup],0)),"")</f>
        <v>W</v>
      </c>
      <c r="D115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5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55" s="110" t="str">
        <f>IFERROR(INDEX(Структура_ассортимента[Product group],MATCH(Товары[[#This Row],[SubGroup]],Структура_ассортимента[Subgroup],0)),"")</f>
        <v>WMO_C</v>
      </c>
      <c r="G1155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55" s="110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55" s="36">
        <v>9012</v>
      </c>
      <c r="J1155" s="36" t="str">
        <f>IFERROR(INDEX(Структура_ассортимента[Generic Name (long)],MATCH(Товары[[#This Row],[SubGroup]],Структура_ассортимента[Subgroup],0)),"")</f>
        <v>PROMOTION SET</v>
      </c>
      <c r="L1155" s="36">
        <v>967305201</v>
      </c>
      <c r="M1155" s="35" t="s">
        <v>2831</v>
      </c>
      <c r="O1155" s="35" t="s">
        <v>6620</v>
      </c>
      <c r="P1155" s="37" t="s">
        <v>6621</v>
      </c>
      <c r="Q1155" s="34" t="s">
        <v>3549</v>
      </c>
      <c r="R1155" s="34" t="s">
        <v>3540</v>
      </c>
      <c r="S1155" s="47">
        <v>42005</v>
      </c>
      <c r="T1155" s="47">
        <v>0</v>
      </c>
      <c r="U1155" s="47">
        <v>0</v>
      </c>
      <c r="V1155" s="34">
        <v>4078500010344</v>
      </c>
      <c r="W1155" s="34" t="s">
        <v>3543</v>
      </c>
      <c r="X1155" s="34" t="s">
        <v>3579</v>
      </c>
      <c r="Y1155" s="34" t="s">
        <v>3542</v>
      </c>
      <c r="Z1155" s="34">
        <v>10</v>
      </c>
      <c r="AA1155" s="34" t="s">
        <v>3734</v>
      </c>
      <c r="AB1155" s="34" t="s">
        <v>3734</v>
      </c>
      <c r="AC1155" s="34" t="s">
        <v>4100</v>
      </c>
      <c r="AD1155" s="34" t="s">
        <v>6622</v>
      </c>
      <c r="AE1155" s="34" t="s">
        <v>5116</v>
      </c>
      <c r="AF1155" s="34" t="s">
        <v>3968</v>
      </c>
      <c r="AG1155" s="34" t="s">
        <v>4472</v>
      </c>
      <c r="AH1155" s="34" t="s">
        <v>6623</v>
      </c>
      <c r="AL1155" s="34" t="s">
        <v>5004</v>
      </c>
      <c r="AM1155" s="40" t="s">
        <v>9</v>
      </c>
      <c r="AP1155" s="34">
        <v>0</v>
      </c>
      <c r="AQ1155" s="34">
        <v>1859</v>
      </c>
      <c r="AR1155" s="34">
        <v>1131</v>
      </c>
      <c r="AT1155" s="44">
        <v>144000</v>
      </c>
      <c r="AU1155" s="44"/>
      <c r="AV1155" s="46">
        <f>ROUND(Товары[[#This Row],[РРЦ финальная, руб.]]/$AU$1,2)</f>
        <v>0</v>
      </c>
      <c r="AW1155" s="45" t="str">
        <f>IFERROR(Товары[[#This Row],[РРЦ, евро]]/Товары[[#This Row],[IRP, Eur]],"-")</f>
        <v>-</v>
      </c>
      <c r="AX1155" s="42">
        <f>IFERROR(VLOOKUP(Товары[[#This Row],[SubGroup]],'Структура цен DIY'!$B:$C,2,FALSE),0)</f>
        <v>0.26861476238624882</v>
      </c>
      <c r="AY1155" s="44">
        <v>0</v>
      </c>
    </row>
    <row r="1156" spans="1:51" x14ac:dyDescent="0.25">
      <c r="A1156" s="34">
        <v>1154</v>
      </c>
      <c r="B1156" s="34" t="s">
        <v>49</v>
      </c>
      <c r="C1156" s="110" t="str">
        <f>IFERROR(INDEX(Структура_ассортимента[SuperCategory],MATCH(Товары[[#This Row],[SubGroup]],Структура_ассортимента[Subgroup],0)),"")</f>
        <v>W</v>
      </c>
      <c r="D115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5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56" s="110" t="str">
        <f>IFERROR(INDEX(Структура_ассортимента[Product group],MATCH(Товары[[#This Row],[SubGroup]],Структура_ассортимента[Subgroup],0)),"")</f>
        <v>WMO_C</v>
      </c>
      <c r="G1156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56" s="110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56" s="36">
        <v>9012</v>
      </c>
      <c r="J1156" s="36" t="str">
        <f>IFERROR(INDEX(Структура_ассортимента[Generic Name (long)],MATCH(Товары[[#This Row],[SubGroup]],Структура_ассортимента[Subgroup],0)),"")</f>
        <v>PROMOTION SET</v>
      </c>
      <c r="L1156" s="36">
        <v>967644901</v>
      </c>
      <c r="M1156" s="35" t="s">
        <v>2832</v>
      </c>
      <c r="Q1156" s="34" t="s">
        <v>3549</v>
      </c>
      <c r="R1156" s="34" t="s">
        <v>3540</v>
      </c>
      <c r="S1156" s="47">
        <v>42736</v>
      </c>
      <c r="T1156" s="47">
        <v>0</v>
      </c>
      <c r="U1156" s="47">
        <v>0</v>
      </c>
      <c r="V1156" s="34">
        <v>4078500029421</v>
      </c>
      <c r="W1156" s="34" t="s">
        <v>3543</v>
      </c>
      <c r="X1156" s="34" t="s">
        <v>3579</v>
      </c>
      <c r="Y1156" s="34" t="s">
        <v>3542</v>
      </c>
      <c r="Z1156" s="34">
        <v>10</v>
      </c>
      <c r="AB1156" s="34" t="s">
        <v>3734</v>
      </c>
      <c r="AD1156" s="34" t="s">
        <v>4100</v>
      </c>
      <c r="AE1156" s="34" t="s">
        <v>5116</v>
      </c>
      <c r="AF1156" s="34" t="s">
        <v>3968</v>
      </c>
      <c r="AG1156" s="34" t="s">
        <v>4472</v>
      </c>
      <c r="AH1156" s="34" t="s">
        <v>6623</v>
      </c>
      <c r="AL1156" s="34" t="s">
        <v>5004</v>
      </c>
      <c r="AM1156" s="40" t="s">
        <v>8095</v>
      </c>
      <c r="AT1156" s="44">
        <v>0</v>
      </c>
      <c r="AU1156" s="44"/>
      <c r="AV1156" s="46">
        <f>ROUND(Товары[[#This Row],[РРЦ финальная, руб.]]/$AU$1,2)</f>
        <v>0</v>
      </c>
      <c r="AW1156" s="45" t="str">
        <f>IFERROR(Товары[[#This Row],[РРЦ, евро]]/Товары[[#This Row],[IRP, Eur]],"-")</f>
        <v>-</v>
      </c>
      <c r="AX1156" s="42">
        <f>IFERROR(VLOOKUP(Товары[[#This Row],[SubGroup]],'Структура цен DIY'!$B:$C,2,FALSE),0)</f>
        <v>0.26861476238624882</v>
      </c>
      <c r="AY1156" s="44">
        <v>0</v>
      </c>
    </row>
    <row r="1157" spans="1:51" x14ac:dyDescent="0.25">
      <c r="A1157" s="34">
        <v>1155</v>
      </c>
      <c r="B1157" s="34" t="s">
        <v>49</v>
      </c>
      <c r="C1157" s="110" t="str">
        <f>IFERROR(INDEX(Структура_ассортимента[SuperCategory],MATCH(Товары[[#This Row],[SubGroup]],Структура_ассортимента[Subgroup],0)),"")</f>
        <v>W</v>
      </c>
      <c r="D115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5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57" s="110" t="str">
        <f>IFERROR(INDEX(Структура_ассортимента[Product group],MATCH(Товары[[#This Row],[SubGroup]],Структура_ассортимента[Subgroup],0)),"")</f>
        <v>WMO_C</v>
      </c>
      <c r="G1157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57" s="110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57" s="36">
        <v>9012</v>
      </c>
      <c r="J1157" s="36" t="str">
        <f>IFERROR(INDEX(Структура_ассортимента[Generic Name (long)],MATCH(Товары[[#This Row],[SubGroup]],Структура_ассортимента[Subgroup],0)),"")</f>
        <v>PROMOTION SET</v>
      </c>
      <c r="L1157" s="36">
        <v>967305401</v>
      </c>
      <c r="M1157" s="35" t="s">
        <v>2833</v>
      </c>
      <c r="Q1157" s="34" t="s">
        <v>3549</v>
      </c>
      <c r="R1157" s="34" t="s">
        <v>3540</v>
      </c>
      <c r="S1157" s="47">
        <v>42005</v>
      </c>
      <c r="T1157" s="47">
        <v>0</v>
      </c>
      <c r="U1157" s="47">
        <v>0</v>
      </c>
      <c r="V1157" s="34">
        <v>4078500010184</v>
      </c>
      <c r="W1157" s="34" t="s">
        <v>3543</v>
      </c>
      <c r="X1157" s="34" t="s">
        <v>3579</v>
      </c>
      <c r="Y1157" s="34" t="s">
        <v>3542</v>
      </c>
      <c r="Z1157" s="34">
        <v>6</v>
      </c>
      <c r="AA1157" s="34" t="s">
        <v>4002</v>
      </c>
      <c r="AB1157" s="34" t="s">
        <v>4002</v>
      </c>
      <c r="AC1157" s="34" t="s">
        <v>3728</v>
      </c>
      <c r="AD1157" s="34" t="s">
        <v>3728</v>
      </c>
      <c r="AE1157" s="34" t="s">
        <v>4645</v>
      </c>
      <c r="AF1157" s="34" t="s">
        <v>3968</v>
      </c>
      <c r="AG1157" s="34" t="s">
        <v>3931</v>
      </c>
      <c r="AH1157" s="34" t="s">
        <v>6624</v>
      </c>
      <c r="AL1157" s="34" t="s">
        <v>4635</v>
      </c>
      <c r="AM1157" s="40" t="s">
        <v>8095</v>
      </c>
      <c r="AT1157" s="44">
        <v>0</v>
      </c>
      <c r="AU1157" s="44"/>
      <c r="AV1157" s="46">
        <f>ROUND(Товары[[#This Row],[РРЦ финальная, руб.]]/$AU$1,2)</f>
        <v>0</v>
      </c>
      <c r="AW1157" s="45" t="str">
        <f>IFERROR(Товары[[#This Row],[РРЦ, евро]]/Товары[[#This Row],[IRP, Eur]],"-")</f>
        <v>-</v>
      </c>
      <c r="AX1157" s="42">
        <f>IFERROR(VLOOKUP(Товары[[#This Row],[SubGroup]],'Структура цен DIY'!$B:$C,2,FALSE),0)</f>
        <v>0.26861476238624882</v>
      </c>
      <c r="AY1157" s="44">
        <v>0</v>
      </c>
    </row>
    <row r="1158" spans="1:51" x14ac:dyDescent="0.25">
      <c r="A1158" s="34">
        <v>1156</v>
      </c>
      <c r="B1158" s="34" t="s">
        <v>49</v>
      </c>
      <c r="C1158" s="110" t="str">
        <f>IFERROR(INDEX(Структура_ассортимента[SuperCategory],MATCH(Товары[[#This Row],[SubGroup]],Структура_ассортимента[Subgroup],0)),"")</f>
        <v>W</v>
      </c>
      <c r="D115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5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58" s="110" t="str">
        <f>IFERROR(INDEX(Структура_ассортимента[Product group],MATCH(Товары[[#This Row],[SubGroup]],Структура_ассортимента[Subgroup],0)),"")</f>
        <v>WMO_C</v>
      </c>
      <c r="G1158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58" s="110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58" s="36">
        <v>9012</v>
      </c>
      <c r="J1158" s="36" t="str">
        <f>IFERROR(INDEX(Структура_ассортимента[Generic Name (long)],MATCH(Товары[[#This Row],[SubGroup]],Структура_ассортимента[Subgroup],0)),"")</f>
        <v>PROMOTION SET</v>
      </c>
      <c r="L1158" s="36">
        <v>967305301</v>
      </c>
      <c r="M1158" s="35" t="s">
        <v>2834</v>
      </c>
      <c r="Q1158" s="34" t="s">
        <v>3549</v>
      </c>
      <c r="R1158" s="34" t="s">
        <v>3540</v>
      </c>
      <c r="S1158" s="47">
        <v>42005</v>
      </c>
      <c r="T1158" s="47">
        <v>0</v>
      </c>
      <c r="U1158" s="47">
        <v>0</v>
      </c>
      <c r="V1158" s="34">
        <v>4078500010207</v>
      </c>
      <c r="W1158" s="34" t="s">
        <v>3543</v>
      </c>
      <c r="X1158" s="34" t="s">
        <v>3579</v>
      </c>
      <c r="Y1158" s="34" t="s">
        <v>3542</v>
      </c>
      <c r="Z1158" s="34">
        <v>50</v>
      </c>
      <c r="AA1158" s="34" t="s">
        <v>3734</v>
      </c>
      <c r="AB1158" s="34" t="s">
        <v>3734</v>
      </c>
      <c r="AC1158" s="34" t="s">
        <v>6625</v>
      </c>
      <c r="AD1158" s="34" t="s">
        <v>6625</v>
      </c>
      <c r="AE1158" s="34" t="s">
        <v>4645</v>
      </c>
      <c r="AF1158" s="34" t="s">
        <v>3968</v>
      </c>
      <c r="AG1158" s="34" t="s">
        <v>4472</v>
      </c>
      <c r="AH1158" s="34" t="s">
        <v>6626</v>
      </c>
      <c r="AL1158" s="34" t="s">
        <v>4822</v>
      </c>
      <c r="AM1158" s="40" t="s">
        <v>8095</v>
      </c>
      <c r="AT1158" s="44">
        <v>0</v>
      </c>
      <c r="AU1158" s="44"/>
      <c r="AV1158" s="46">
        <f>ROUND(Товары[[#This Row],[РРЦ финальная, руб.]]/$AU$1,2)</f>
        <v>0</v>
      </c>
      <c r="AW1158" s="45" t="str">
        <f>IFERROR(Товары[[#This Row],[РРЦ, евро]]/Товары[[#This Row],[IRP, Eur]],"-")</f>
        <v>-</v>
      </c>
      <c r="AX1158" s="42">
        <f>IFERROR(VLOOKUP(Товары[[#This Row],[SubGroup]],'Структура цен DIY'!$B:$C,2,FALSE),0)</f>
        <v>0.26861476238624882</v>
      </c>
      <c r="AY1158" s="44">
        <v>0</v>
      </c>
    </row>
    <row r="1159" spans="1:51" x14ac:dyDescent="0.25">
      <c r="A1159" s="34">
        <v>1157</v>
      </c>
      <c r="B1159" s="34" t="s">
        <v>49</v>
      </c>
      <c r="C1159" s="110" t="str">
        <f>IFERROR(INDEX(Структура_ассортимента[SuperCategory],MATCH(Товары[[#This Row],[SubGroup]],Структура_ассортимента[Subgroup],0)),"")</f>
        <v>W</v>
      </c>
      <c r="D115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5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59" s="110" t="str">
        <f>IFERROR(INDEX(Структура_ассортимента[Product group],MATCH(Товары[[#This Row],[SubGroup]],Структура_ассортимента[Subgroup],0)),"")</f>
        <v>WMO_C</v>
      </c>
      <c r="G1159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59" s="110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59" s="36">
        <v>9012</v>
      </c>
      <c r="J1159" s="36" t="str">
        <f>IFERROR(INDEX(Структура_ассортимента[Generic Name (long)],MATCH(Товары[[#This Row],[SubGroup]],Структура_ассортимента[Subgroup],0)),"")</f>
        <v>PROMOTION SET</v>
      </c>
      <c r="L1159" s="36">
        <v>967704601</v>
      </c>
      <c r="M1159" s="35" t="s">
        <v>2835</v>
      </c>
      <c r="O1159" s="35" t="s">
        <v>6627</v>
      </c>
      <c r="P1159" s="37" t="s">
        <v>6628</v>
      </c>
      <c r="Q1159" s="34" t="s">
        <v>3549</v>
      </c>
      <c r="R1159" s="34" t="s">
        <v>3540</v>
      </c>
      <c r="S1159" s="47">
        <v>43101</v>
      </c>
      <c r="T1159" s="47">
        <v>0</v>
      </c>
      <c r="U1159" s="47">
        <v>0</v>
      </c>
      <c r="V1159" s="34">
        <v>4078500035842</v>
      </c>
      <c r="W1159" s="34" t="s">
        <v>3543</v>
      </c>
      <c r="X1159" s="34" t="s">
        <v>3579</v>
      </c>
      <c r="Y1159" s="34" t="s">
        <v>3542</v>
      </c>
      <c r="Z1159" s="34">
        <v>36</v>
      </c>
      <c r="AA1159" s="34">
        <v>0</v>
      </c>
      <c r="AB1159" s="34" t="s">
        <v>3691</v>
      </c>
      <c r="AC1159" s="34">
        <v>0</v>
      </c>
      <c r="AD1159" s="34" t="s">
        <v>4854</v>
      </c>
      <c r="AE1159" s="34" t="s">
        <v>4160</v>
      </c>
      <c r="AF1159" s="34" t="s">
        <v>3743</v>
      </c>
      <c r="AG1159" s="34" t="s">
        <v>3707</v>
      </c>
      <c r="AH1159" s="34" t="s">
        <v>6122</v>
      </c>
      <c r="AL1159" s="34" t="s">
        <v>3562</v>
      </c>
      <c r="AM1159" s="40" t="s">
        <v>9</v>
      </c>
      <c r="AP1159" s="34">
        <v>0</v>
      </c>
      <c r="AQ1159" s="34">
        <v>1309</v>
      </c>
      <c r="AR1159" s="34">
        <v>796</v>
      </c>
      <c r="AT1159" s="44">
        <v>101400</v>
      </c>
      <c r="AU1159" s="44"/>
      <c r="AV1159" s="46">
        <f>ROUND(Товары[[#This Row],[РРЦ финальная, руб.]]/$AU$1,2)</f>
        <v>0</v>
      </c>
      <c r="AW1159" s="45" t="str">
        <f>IFERROR(Товары[[#This Row],[РРЦ, евро]]/Товары[[#This Row],[IRP, Eur]],"-")</f>
        <v>-</v>
      </c>
      <c r="AX1159" s="42">
        <f>IFERROR(VLOOKUP(Товары[[#This Row],[SubGroup]],'Структура цен DIY'!$B:$C,2,FALSE),0)</f>
        <v>0.26861476238624882</v>
      </c>
      <c r="AY1159" s="44">
        <v>0</v>
      </c>
    </row>
    <row r="1160" spans="1:51" x14ac:dyDescent="0.25">
      <c r="A1160" s="34">
        <v>1158</v>
      </c>
      <c r="B1160" s="34" t="s">
        <v>49</v>
      </c>
      <c r="C1160" s="110" t="str">
        <f>IFERROR(INDEX(Структура_ассортимента[SuperCategory],MATCH(Товары[[#This Row],[SubGroup]],Структура_ассортимента[Subgroup],0)),"")</f>
        <v>W</v>
      </c>
      <c r="D116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6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60" s="110" t="str">
        <f>IFERROR(INDEX(Структура_ассортимента[Product group],MATCH(Товары[[#This Row],[SubGroup]],Структура_ассортимента[Subgroup],0)),"")</f>
        <v>WMO_C</v>
      </c>
      <c r="G1160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60" s="110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60" s="36">
        <v>9012</v>
      </c>
      <c r="J1160" s="36" t="str">
        <f>IFERROR(INDEX(Структура_ассортимента[Generic Name (long)],MATCH(Товары[[#This Row],[SubGroup]],Структура_ассортимента[Subgroup],0)),"")</f>
        <v>PROMOTION SET</v>
      </c>
      <c r="L1160" s="36">
        <v>967674001</v>
      </c>
      <c r="M1160" s="35" t="s">
        <v>2836</v>
      </c>
      <c r="O1160" s="35" t="s">
        <v>6629</v>
      </c>
      <c r="P1160" s="37" t="s">
        <v>6630</v>
      </c>
      <c r="Q1160" s="34" t="s">
        <v>3549</v>
      </c>
      <c r="R1160" s="34" t="s">
        <v>3540</v>
      </c>
      <c r="S1160" s="47">
        <v>43101</v>
      </c>
      <c r="T1160" s="47">
        <v>0</v>
      </c>
      <c r="U1160" s="47">
        <v>0</v>
      </c>
      <c r="V1160" s="34">
        <v>4078500033008</v>
      </c>
      <c r="W1160" s="34" t="s">
        <v>3543</v>
      </c>
      <c r="X1160" s="34" t="s">
        <v>3579</v>
      </c>
      <c r="Y1160" s="34" t="s">
        <v>3542</v>
      </c>
      <c r="Z1160" s="34">
        <v>6</v>
      </c>
      <c r="AA1160" s="34">
        <v>520</v>
      </c>
      <c r="AB1160" s="34" t="s">
        <v>4764</v>
      </c>
      <c r="AC1160" s="34">
        <v>487</v>
      </c>
      <c r="AD1160" s="34" t="s">
        <v>6631</v>
      </c>
      <c r="AE1160" s="34" t="s">
        <v>5285</v>
      </c>
      <c r="AF1160" s="34" t="s">
        <v>3968</v>
      </c>
      <c r="AG1160" s="34" t="s">
        <v>3931</v>
      </c>
      <c r="AH1160" s="34" t="s">
        <v>6632</v>
      </c>
      <c r="AL1160" s="34" t="s">
        <v>4433</v>
      </c>
      <c r="AM1160" s="40" t="s">
        <v>9</v>
      </c>
      <c r="AP1160" s="34">
        <v>0</v>
      </c>
      <c r="AQ1160" s="34">
        <v>3729</v>
      </c>
      <c r="AR1160" s="34">
        <v>2268</v>
      </c>
      <c r="AT1160" s="44">
        <v>288800</v>
      </c>
      <c r="AU1160" s="44"/>
      <c r="AV1160" s="46">
        <f>ROUND(Товары[[#This Row],[РРЦ финальная, руб.]]/$AU$1,2)</f>
        <v>0</v>
      </c>
      <c r="AW1160" s="45" t="str">
        <f>IFERROR(Товары[[#This Row],[РРЦ, евро]]/Товары[[#This Row],[IRP, Eur]],"-")</f>
        <v>-</v>
      </c>
      <c r="AX1160" s="42">
        <f>IFERROR(VLOOKUP(Товары[[#This Row],[SubGroup]],'Структура цен DIY'!$B:$C,2,FALSE),0)</f>
        <v>0.26861476238624882</v>
      </c>
      <c r="AY1160" s="44">
        <v>0</v>
      </c>
    </row>
    <row r="1161" spans="1:51" x14ac:dyDescent="0.25">
      <c r="A1161" s="34">
        <v>1159</v>
      </c>
      <c r="B1161" s="34" t="s">
        <v>49</v>
      </c>
      <c r="C1161" s="110" t="str">
        <f>IFERROR(INDEX(Структура_ассортимента[SuperCategory],MATCH(Товары[[#This Row],[SubGroup]],Структура_ассортимента[Subgroup],0)),"")</f>
        <v>W</v>
      </c>
      <c r="D116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6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61" s="110" t="str">
        <f>IFERROR(INDEX(Структура_ассортимента[Product group],MATCH(Товары[[#This Row],[SubGroup]],Структура_ассортимента[Subgroup],0)),"")</f>
        <v>WMO_C</v>
      </c>
      <c r="G1161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61" s="110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61" s="36">
        <v>9013</v>
      </c>
      <c r="J1161" s="36" t="str">
        <f>IFERROR(INDEX(Структура_ассортимента[Generic Name (long)],MATCH(Товары[[#This Row],[SubGroup]],Структура_ассортимента[Subgroup],0)),"")</f>
        <v>TAP CONNECTOR</v>
      </c>
      <c r="L1161" s="36">
        <v>901019801</v>
      </c>
      <c r="M1161" s="35" t="s">
        <v>2837</v>
      </c>
      <c r="Q1161" s="34" t="s">
        <v>3549</v>
      </c>
      <c r="R1161" s="34" t="s">
        <v>3540</v>
      </c>
      <c r="S1161" s="47">
        <v>36434</v>
      </c>
      <c r="T1161" s="47">
        <v>0</v>
      </c>
      <c r="U1161" s="47">
        <v>0</v>
      </c>
      <c r="V1161" s="34">
        <v>4078500280129</v>
      </c>
      <c r="W1161" s="34" t="s">
        <v>3543</v>
      </c>
      <c r="X1161" s="34" t="s">
        <v>3579</v>
      </c>
      <c r="Y1161" s="34" t="s">
        <v>3542</v>
      </c>
      <c r="Z1161" s="34">
        <v>1400</v>
      </c>
      <c r="AA1161" s="34" t="s">
        <v>3784</v>
      </c>
      <c r="AB1161" s="34" t="s">
        <v>3784</v>
      </c>
      <c r="AC1161" s="34" t="s">
        <v>3799</v>
      </c>
      <c r="AD1161" s="34" t="s">
        <v>3799</v>
      </c>
      <c r="AE1161" s="34" t="s">
        <v>4351</v>
      </c>
      <c r="AF1161" s="34" t="s">
        <v>4221</v>
      </c>
      <c r="AG1161" s="34" t="s">
        <v>4221</v>
      </c>
      <c r="AH1161" s="34" t="s">
        <v>6633</v>
      </c>
      <c r="AI1161" s="34" t="s">
        <v>4432</v>
      </c>
      <c r="AJ1161" s="34" t="s">
        <v>4221</v>
      </c>
      <c r="AK1161" s="34" t="s">
        <v>4221</v>
      </c>
      <c r="AL1161" s="34">
        <v>16800</v>
      </c>
      <c r="AM1161" s="40" t="s">
        <v>8095</v>
      </c>
      <c r="AT1161" s="44">
        <v>0</v>
      </c>
      <c r="AU1161" s="44"/>
      <c r="AV1161" s="46">
        <f>ROUND(Товары[[#This Row],[РРЦ финальная, руб.]]/$AU$1,2)</f>
        <v>0</v>
      </c>
      <c r="AW1161" s="45" t="str">
        <f>IFERROR(Товары[[#This Row],[РРЦ, евро]]/Товары[[#This Row],[IRP, Eur]],"-")</f>
        <v>-</v>
      </c>
      <c r="AX1161" s="42">
        <f>IFERROR(VLOOKUP(Товары[[#This Row],[SubGroup]],'Структура цен DIY'!$B:$C,2,FALSE),0)</f>
        <v>0.30000000000000004</v>
      </c>
      <c r="AY1161" s="44">
        <v>0</v>
      </c>
    </row>
    <row r="1162" spans="1:51" x14ac:dyDescent="0.25">
      <c r="A1162" s="34">
        <v>1160</v>
      </c>
      <c r="B1162" s="34" t="s">
        <v>49</v>
      </c>
      <c r="C1162" s="110" t="str">
        <f>IFERROR(INDEX(Структура_ассортимента[SuperCategory],MATCH(Товары[[#This Row],[SubGroup]],Структура_ассортимента[Subgroup],0)),"")</f>
        <v>W</v>
      </c>
      <c r="D116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6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62" s="110" t="str">
        <f>IFERROR(INDEX(Структура_ассортимента[Product group],MATCH(Товары[[#This Row],[SubGroup]],Структура_ассортимента[Subgroup],0)),"")</f>
        <v>WMO_C</v>
      </c>
      <c r="G1162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62" s="110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62" s="36">
        <v>9013</v>
      </c>
      <c r="J1162" s="36" t="str">
        <f>IFERROR(INDEX(Структура_ассортимента[Generic Name (long)],MATCH(Товары[[#This Row],[SubGroup]],Структура_ассортимента[Subgroup],0)),"")</f>
        <v>TAP CONNECTOR</v>
      </c>
      <c r="L1162" s="36">
        <v>901019701</v>
      </c>
      <c r="M1162" s="35" t="s">
        <v>2838</v>
      </c>
      <c r="O1162" s="35" t="s">
        <v>6634</v>
      </c>
      <c r="P1162" s="37" t="s">
        <v>6635</v>
      </c>
      <c r="Q1162" s="34" t="s">
        <v>3549</v>
      </c>
      <c r="R1162" s="34" t="s">
        <v>3540</v>
      </c>
      <c r="S1162" s="47">
        <v>36434</v>
      </c>
      <c r="T1162" s="47">
        <v>0</v>
      </c>
      <c r="U1162" s="47">
        <v>0</v>
      </c>
      <c r="V1162" s="34">
        <v>4078500280105</v>
      </c>
      <c r="W1162" s="34" t="s">
        <v>3543</v>
      </c>
      <c r="X1162" s="34" t="s">
        <v>3579</v>
      </c>
      <c r="Y1162" s="34" t="s">
        <v>3542</v>
      </c>
      <c r="Z1162" s="34">
        <v>10</v>
      </c>
      <c r="AA1162" s="34" t="s">
        <v>6515</v>
      </c>
      <c r="AB1162" s="34" t="s">
        <v>6515</v>
      </c>
      <c r="AC1162" s="34" t="s">
        <v>6556</v>
      </c>
      <c r="AD1162" s="34" t="s">
        <v>6556</v>
      </c>
      <c r="AE1162" s="34" t="s">
        <v>3693</v>
      </c>
      <c r="AF1162" s="34" t="s">
        <v>3576</v>
      </c>
      <c r="AG1162" s="34" t="s">
        <v>4260</v>
      </c>
      <c r="AH1162" s="34" t="s">
        <v>5881</v>
      </c>
      <c r="AI1162" s="34" t="s">
        <v>4432</v>
      </c>
      <c r="AJ1162" s="34" t="s">
        <v>4221</v>
      </c>
      <c r="AK1162" s="34" t="s">
        <v>4221</v>
      </c>
      <c r="AL1162" s="34" t="s">
        <v>6636</v>
      </c>
      <c r="AM1162" s="40" t="s">
        <v>9</v>
      </c>
      <c r="AP1162" s="34">
        <v>0</v>
      </c>
      <c r="AQ1162" s="34">
        <v>429</v>
      </c>
      <c r="AR1162" s="34">
        <v>250</v>
      </c>
      <c r="AT1162" s="44">
        <v>33200</v>
      </c>
      <c r="AU1162" s="44"/>
      <c r="AV1162" s="46">
        <f>ROUND(Товары[[#This Row],[РРЦ финальная, руб.]]/$AU$1,2)</f>
        <v>0</v>
      </c>
      <c r="AW1162" s="45" t="str">
        <f>IFERROR(Товары[[#This Row],[РРЦ, евро]]/Товары[[#This Row],[IRP, Eur]],"-")</f>
        <v>-</v>
      </c>
      <c r="AX1162" s="42">
        <f>IFERROR(VLOOKUP(Товары[[#This Row],[SubGroup]],'Структура цен DIY'!$B:$C,2,FALSE),0)</f>
        <v>0.30000000000000004</v>
      </c>
      <c r="AY1162" s="44">
        <v>0</v>
      </c>
    </row>
    <row r="1163" spans="1:51" x14ac:dyDescent="0.25">
      <c r="A1163" s="34">
        <v>1161</v>
      </c>
      <c r="B1163" s="34" t="s">
        <v>49</v>
      </c>
      <c r="C1163" s="110" t="str">
        <f>IFERROR(INDEX(Структура_ассортимента[SuperCategory],MATCH(Товары[[#This Row],[SubGroup]],Структура_ассортимента[Subgroup],0)),"")</f>
        <v>W</v>
      </c>
      <c r="D116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6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63" s="110" t="str">
        <f>IFERROR(INDEX(Структура_ассортимента[Product group],MATCH(Товары[[#This Row],[SubGroup]],Структура_ассортимента[Subgroup],0)),"")</f>
        <v>WMO_C</v>
      </c>
      <c r="G1163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63" s="110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63" s="36">
        <v>9013</v>
      </c>
      <c r="J1163" s="36" t="str">
        <f>IFERROR(INDEX(Структура_ассортимента[Generic Name (long)],MATCH(Товары[[#This Row],[SubGroup]],Структура_ассортимента[Subgroup],0)),"")</f>
        <v>TAP CONNECTOR</v>
      </c>
      <c r="L1163" s="36">
        <v>901020501</v>
      </c>
      <c r="M1163" s="35" t="s">
        <v>2839</v>
      </c>
      <c r="Q1163" s="34" t="s">
        <v>3549</v>
      </c>
      <c r="R1163" s="34" t="s">
        <v>3540</v>
      </c>
      <c r="S1163" s="47">
        <v>35514</v>
      </c>
      <c r="T1163" s="47">
        <v>0</v>
      </c>
      <c r="U1163" s="47">
        <v>0</v>
      </c>
      <c r="V1163" s="34">
        <v>4078500281720</v>
      </c>
      <c r="W1163" s="34" t="s">
        <v>3541</v>
      </c>
      <c r="X1163" s="34" t="s">
        <v>3704</v>
      </c>
      <c r="Y1163" s="34" t="s">
        <v>3542</v>
      </c>
      <c r="Z1163" s="34">
        <v>250</v>
      </c>
      <c r="AA1163" s="34" t="s">
        <v>6530</v>
      </c>
      <c r="AB1163" s="34" t="s">
        <v>6530</v>
      </c>
      <c r="AC1163" s="34" t="s">
        <v>5651</v>
      </c>
      <c r="AD1163" s="34" t="s">
        <v>5651</v>
      </c>
      <c r="AE1163" s="34" t="s">
        <v>3566</v>
      </c>
      <c r="AF1163" s="34" t="s">
        <v>4468</v>
      </c>
      <c r="AG1163" s="34" t="s">
        <v>4468</v>
      </c>
      <c r="AH1163" s="34" t="s">
        <v>6637</v>
      </c>
      <c r="AL1163" s="34">
        <v>3000</v>
      </c>
      <c r="AM1163" s="40" t="s">
        <v>8095</v>
      </c>
      <c r="AT1163" s="44">
        <v>0</v>
      </c>
      <c r="AU1163" s="44"/>
      <c r="AV1163" s="46">
        <f>ROUND(Товары[[#This Row],[РРЦ финальная, руб.]]/$AU$1,2)</f>
        <v>0</v>
      </c>
      <c r="AW1163" s="45" t="str">
        <f>IFERROR(Товары[[#This Row],[РРЦ, евро]]/Товары[[#This Row],[IRP, Eur]],"-")</f>
        <v>-</v>
      </c>
      <c r="AX1163" s="42">
        <f>IFERROR(VLOOKUP(Товары[[#This Row],[SubGroup]],'Структура цен DIY'!$B:$C,2,FALSE),0)</f>
        <v>0.30000000000000004</v>
      </c>
      <c r="AY1163" s="44">
        <v>0</v>
      </c>
    </row>
    <row r="1164" spans="1:51" x14ac:dyDescent="0.25">
      <c r="A1164" s="34">
        <v>1162</v>
      </c>
      <c r="B1164" s="34" t="s">
        <v>49</v>
      </c>
      <c r="C1164" s="110" t="str">
        <f>IFERROR(INDEX(Структура_ассортимента[SuperCategory],MATCH(Товары[[#This Row],[SubGroup]],Структура_ассортимента[Subgroup],0)),"")</f>
        <v>W</v>
      </c>
      <c r="D116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6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64" s="110" t="str">
        <f>IFERROR(INDEX(Структура_ассортимента[Product group],MATCH(Товары[[#This Row],[SubGroup]],Структура_ассортимента[Subgroup],0)),"")</f>
        <v>WMO_C</v>
      </c>
      <c r="G1164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64" s="110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64" s="36">
        <v>9013</v>
      </c>
      <c r="J1164" s="36" t="str">
        <f>IFERROR(INDEX(Структура_ассортимента[Generic Name (long)],MATCH(Товары[[#This Row],[SubGroup]],Структура_ассортимента[Subgroup],0)),"")</f>
        <v>TAP CONNECTOR</v>
      </c>
      <c r="L1164" s="36">
        <v>901020401</v>
      </c>
      <c r="M1164" s="35" t="s">
        <v>2840</v>
      </c>
      <c r="O1164" s="35" t="s">
        <v>6638</v>
      </c>
      <c r="P1164" s="37" t="s">
        <v>6639</v>
      </c>
      <c r="Q1164" s="34" t="s">
        <v>3549</v>
      </c>
      <c r="R1164" s="34" t="s">
        <v>3540</v>
      </c>
      <c r="S1164" s="47">
        <v>35339</v>
      </c>
      <c r="T1164" s="47">
        <v>0</v>
      </c>
      <c r="U1164" s="47">
        <v>0</v>
      </c>
      <c r="V1164" s="34">
        <v>4078500281706</v>
      </c>
      <c r="W1164" s="34" t="s">
        <v>3543</v>
      </c>
      <c r="X1164" s="34" t="s">
        <v>3579</v>
      </c>
      <c r="Y1164" s="34" t="s">
        <v>3542</v>
      </c>
      <c r="Z1164" s="34">
        <v>10</v>
      </c>
      <c r="AA1164" s="34" t="s">
        <v>3727</v>
      </c>
      <c r="AB1164" s="34" t="s">
        <v>3727</v>
      </c>
      <c r="AC1164" s="34" t="s">
        <v>3653</v>
      </c>
      <c r="AD1164" s="34" t="s">
        <v>3653</v>
      </c>
      <c r="AE1164" s="34" t="s">
        <v>3825</v>
      </c>
      <c r="AF1164" s="34" t="s">
        <v>3576</v>
      </c>
      <c r="AG1164" s="34" t="s">
        <v>4421</v>
      </c>
      <c r="AH1164" s="34" t="s">
        <v>5951</v>
      </c>
      <c r="AL1164" s="34">
        <v>1120</v>
      </c>
      <c r="AM1164" s="40" t="s">
        <v>9</v>
      </c>
      <c r="AP1164" s="34">
        <v>0</v>
      </c>
      <c r="AQ1164" s="34">
        <v>979</v>
      </c>
      <c r="AR1164" s="34">
        <v>571</v>
      </c>
      <c r="AT1164" s="44">
        <v>75800</v>
      </c>
      <c r="AU1164" s="44"/>
      <c r="AV1164" s="46">
        <f>ROUND(Товары[[#This Row],[РРЦ финальная, руб.]]/$AU$1,2)</f>
        <v>0</v>
      </c>
      <c r="AW1164" s="45" t="str">
        <f>IFERROR(Товары[[#This Row],[РРЦ, евро]]/Товары[[#This Row],[IRP, Eur]],"-")</f>
        <v>-</v>
      </c>
      <c r="AX1164" s="42">
        <f>IFERROR(VLOOKUP(Товары[[#This Row],[SubGroup]],'Структура цен DIY'!$B:$C,2,FALSE),0)</f>
        <v>0.30000000000000004</v>
      </c>
      <c r="AY1164" s="44">
        <v>0</v>
      </c>
    </row>
    <row r="1165" spans="1:51" x14ac:dyDescent="0.25">
      <c r="A1165" s="34">
        <v>1163</v>
      </c>
      <c r="B1165" s="34" t="s">
        <v>49</v>
      </c>
      <c r="C1165" s="110" t="str">
        <f>IFERROR(INDEX(Структура_ассортимента[SuperCategory],MATCH(Товары[[#This Row],[SubGroup]],Структура_ассортимента[Subgroup],0)),"")</f>
        <v>W</v>
      </c>
      <c r="D116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6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65" s="110" t="str">
        <f>IFERROR(INDEX(Структура_ассортимента[Product group],MATCH(Товары[[#This Row],[SubGroup]],Структура_ассортимента[Subgroup],0)),"")</f>
        <v>WMO_C</v>
      </c>
      <c r="G1165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65" s="110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65" s="36">
        <v>9013</v>
      </c>
      <c r="J1165" s="36" t="str">
        <f>IFERROR(INDEX(Структура_ассортимента[Generic Name (long)],MATCH(Товары[[#This Row],[SubGroup]],Структура_ассортимента[Subgroup],0)),"")</f>
        <v>TAP CONNECTOR</v>
      </c>
      <c r="L1165" s="36">
        <v>901019901</v>
      </c>
      <c r="M1165" s="35" t="s">
        <v>2841</v>
      </c>
      <c r="O1165" s="35" t="s">
        <v>6640</v>
      </c>
      <c r="P1165" s="37" t="s">
        <v>6641</v>
      </c>
      <c r="Q1165" s="34" t="s">
        <v>3549</v>
      </c>
      <c r="R1165" s="34" t="s">
        <v>3540</v>
      </c>
      <c r="S1165" s="47">
        <v>36434</v>
      </c>
      <c r="T1165" s="47">
        <v>0</v>
      </c>
      <c r="U1165" s="47">
        <v>0</v>
      </c>
      <c r="V1165" s="34">
        <v>4078500280204</v>
      </c>
      <c r="W1165" s="34" t="s">
        <v>3543</v>
      </c>
      <c r="X1165" s="34" t="s">
        <v>3579</v>
      </c>
      <c r="Y1165" s="34" t="s">
        <v>3542</v>
      </c>
      <c r="Z1165" s="34">
        <v>10</v>
      </c>
      <c r="AA1165" s="34" t="s">
        <v>6519</v>
      </c>
      <c r="AB1165" s="34" t="s">
        <v>6519</v>
      </c>
      <c r="AC1165" s="34" t="s">
        <v>5647</v>
      </c>
      <c r="AD1165" s="34" t="s">
        <v>5647</v>
      </c>
      <c r="AE1165" s="34" t="s">
        <v>3693</v>
      </c>
      <c r="AF1165" s="34" t="s">
        <v>3576</v>
      </c>
      <c r="AG1165" s="34" t="s">
        <v>3931</v>
      </c>
      <c r="AH1165" s="34" t="s">
        <v>6605</v>
      </c>
      <c r="AI1165" s="34" t="s">
        <v>4463</v>
      </c>
      <c r="AJ1165" s="34" t="s">
        <v>4468</v>
      </c>
      <c r="AK1165" s="34" t="s">
        <v>4468</v>
      </c>
      <c r="AL1165" s="34">
        <v>1320</v>
      </c>
      <c r="AM1165" s="40" t="s">
        <v>9</v>
      </c>
      <c r="AP1165" s="34">
        <v>0</v>
      </c>
      <c r="AQ1165" s="34">
        <v>429</v>
      </c>
      <c r="AR1165" s="34">
        <v>250</v>
      </c>
      <c r="AT1165" s="44">
        <v>33200</v>
      </c>
      <c r="AU1165" s="44"/>
      <c r="AV1165" s="46">
        <f>ROUND(Товары[[#This Row],[РРЦ финальная, руб.]]/$AU$1,2)</f>
        <v>0</v>
      </c>
      <c r="AW1165" s="45" t="str">
        <f>IFERROR(Товары[[#This Row],[РРЦ, евро]]/Товары[[#This Row],[IRP, Eur]],"-")</f>
        <v>-</v>
      </c>
      <c r="AX1165" s="42">
        <f>IFERROR(VLOOKUP(Товары[[#This Row],[SubGroup]],'Структура цен DIY'!$B:$C,2,FALSE),0)</f>
        <v>0.30000000000000004</v>
      </c>
      <c r="AY1165" s="44">
        <v>0</v>
      </c>
    </row>
    <row r="1166" spans="1:51" x14ac:dyDescent="0.25">
      <c r="A1166" s="34">
        <v>1164</v>
      </c>
      <c r="B1166" s="34" t="s">
        <v>49</v>
      </c>
      <c r="C1166" s="110" t="str">
        <f>IFERROR(INDEX(Структура_ассортимента[SuperCategory],MATCH(Товары[[#This Row],[SubGroup]],Структура_ассортимента[Subgroup],0)),"")</f>
        <v>W</v>
      </c>
      <c r="D116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6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66" s="110" t="str">
        <f>IFERROR(INDEX(Структура_ассортимента[Product group],MATCH(Товары[[#This Row],[SubGroup]],Структура_ассортимента[Subgroup],0)),"")</f>
        <v>WMO_C</v>
      </c>
      <c r="G1166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66" s="110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66" s="36">
        <v>9013</v>
      </c>
      <c r="J1166" s="36" t="str">
        <f>IFERROR(INDEX(Структура_ассортимента[Generic Name (long)],MATCH(Товары[[#This Row],[SubGroup]],Структура_ассортимента[Subgroup],0)),"")</f>
        <v>TAP CONNECTOR</v>
      </c>
      <c r="L1166" s="36">
        <v>901020101</v>
      </c>
      <c r="M1166" s="35" t="s">
        <v>2842</v>
      </c>
      <c r="Q1166" s="34" t="s">
        <v>3549</v>
      </c>
      <c r="R1166" s="34" t="s">
        <v>3540</v>
      </c>
      <c r="S1166" s="47">
        <v>36434</v>
      </c>
      <c r="T1166" s="47">
        <v>0</v>
      </c>
      <c r="U1166" s="47">
        <v>0</v>
      </c>
      <c r="V1166" s="34">
        <v>4078500280228</v>
      </c>
      <c r="W1166" s="34" t="s">
        <v>3543</v>
      </c>
      <c r="X1166" s="34" t="s">
        <v>3579</v>
      </c>
      <c r="Y1166" s="34" t="s">
        <v>3542</v>
      </c>
      <c r="Z1166" s="34">
        <v>900</v>
      </c>
      <c r="AA1166" s="34" t="s">
        <v>3803</v>
      </c>
      <c r="AB1166" s="34" t="s">
        <v>3803</v>
      </c>
      <c r="AC1166" s="34" t="s">
        <v>6490</v>
      </c>
      <c r="AD1166" s="34" t="s">
        <v>6490</v>
      </c>
      <c r="AE1166" s="34" t="s">
        <v>4181</v>
      </c>
      <c r="AF1166" s="34" t="s">
        <v>3931</v>
      </c>
      <c r="AG1166" s="34" t="s">
        <v>3931</v>
      </c>
      <c r="AH1166" s="34" t="s">
        <v>6642</v>
      </c>
      <c r="AI1166" s="34" t="s">
        <v>4463</v>
      </c>
      <c r="AJ1166" s="34" t="s">
        <v>4468</v>
      </c>
      <c r="AK1166" s="34" t="s">
        <v>4468</v>
      </c>
      <c r="AL1166" s="34">
        <v>10800</v>
      </c>
      <c r="AM1166" s="40" t="s">
        <v>8095</v>
      </c>
      <c r="AT1166" s="44">
        <v>0</v>
      </c>
      <c r="AU1166" s="44"/>
      <c r="AV1166" s="46">
        <f>ROUND(Товары[[#This Row],[РРЦ финальная, руб.]]/$AU$1,2)</f>
        <v>0</v>
      </c>
      <c r="AW1166" s="45" t="str">
        <f>IFERROR(Товары[[#This Row],[РРЦ, евро]]/Товары[[#This Row],[IRP, Eur]],"-")</f>
        <v>-</v>
      </c>
      <c r="AX1166" s="42">
        <f>IFERROR(VLOOKUP(Товары[[#This Row],[SubGroup]],'Структура цен DIY'!$B:$C,2,FALSE),0)</f>
        <v>0.30000000000000004</v>
      </c>
      <c r="AY1166" s="44">
        <v>0</v>
      </c>
    </row>
    <row r="1167" spans="1:51" x14ac:dyDescent="0.25">
      <c r="A1167" s="34">
        <v>1165</v>
      </c>
      <c r="B1167" s="34" t="s">
        <v>49</v>
      </c>
      <c r="C1167" s="110" t="str">
        <f>IFERROR(INDEX(Структура_ассортимента[SuperCategory],MATCH(Товары[[#This Row],[SubGroup]],Структура_ассортимента[Subgroup],0)),"")</f>
        <v>W</v>
      </c>
      <c r="D116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6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67" s="110" t="str">
        <f>IFERROR(INDEX(Структура_ассортимента[Product group],MATCH(Товары[[#This Row],[SubGroup]],Структура_ассортимента[Subgroup],0)),"")</f>
        <v>WMO_C</v>
      </c>
      <c r="G1167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67" s="110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67" s="36">
        <v>9013</v>
      </c>
      <c r="J1167" s="36" t="str">
        <f>IFERROR(INDEX(Структура_ассортимента[Generic Name (long)],MATCH(Товары[[#This Row],[SubGroup]],Структура_ассортимента[Subgroup],0)),"")</f>
        <v>TAP CONNECTOR</v>
      </c>
      <c r="L1167" s="36">
        <v>901020901</v>
      </c>
      <c r="M1167" s="35" t="s">
        <v>2843</v>
      </c>
      <c r="O1167" s="35" t="s">
        <v>6643</v>
      </c>
      <c r="P1167" s="37" t="s">
        <v>6644</v>
      </c>
      <c r="Q1167" s="34" t="s">
        <v>3549</v>
      </c>
      <c r="R1167" s="34" t="s">
        <v>3540</v>
      </c>
      <c r="S1167" s="47">
        <v>36434</v>
      </c>
      <c r="T1167" s="47">
        <v>0</v>
      </c>
      <c r="U1167" s="47">
        <v>0</v>
      </c>
      <c r="V1167" s="34">
        <v>4078500282109</v>
      </c>
      <c r="W1167" s="34" t="s">
        <v>3543</v>
      </c>
      <c r="X1167" s="34" t="s">
        <v>3579</v>
      </c>
      <c r="Y1167" s="34" t="s">
        <v>3542</v>
      </c>
      <c r="Z1167" s="34">
        <v>6</v>
      </c>
      <c r="AA1167" s="34" t="s">
        <v>6515</v>
      </c>
      <c r="AB1167" s="34" t="s">
        <v>6515</v>
      </c>
      <c r="AC1167" s="34" t="s">
        <v>6439</v>
      </c>
      <c r="AD1167" s="34" t="s">
        <v>6439</v>
      </c>
      <c r="AE1167" s="34" t="s">
        <v>3693</v>
      </c>
      <c r="AF1167" s="34" t="s">
        <v>3576</v>
      </c>
      <c r="AG1167" s="34" t="s">
        <v>4231</v>
      </c>
      <c r="AH1167" s="34" t="s">
        <v>3718</v>
      </c>
      <c r="AI1167" s="34" t="s">
        <v>4239</v>
      </c>
      <c r="AJ1167" s="34" t="s">
        <v>5126</v>
      </c>
      <c r="AK1167" s="34" t="s">
        <v>4111</v>
      </c>
      <c r="AL1167" s="34">
        <v>1728</v>
      </c>
      <c r="AM1167" s="40" t="s">
        <v>9</v>
      </c>
      <c r="AP1167" s="34">
        <v>0</v>
      </c>
      <c r="AQ1167" s="34">
        <v>429</v>
      </c>
      <c r="AR1167" s="34">
        <v>250</v>
      </c>
      <c r="AT1167" s="44">
        <v>33200</v>
      </c>
      <c r="AU1167" s="44"/>
      <c r="AV1167" s="46">
        <f>ROUND(Товары[[#This Row],[РРЦ финальная, руб.]]/$AU$1,2)</f>
        <v>0</v>
      </c>
      <c r="AW1167" s="45" t="str">
        <f>IFERROR(Товары[[#This Row],[РРЦ, евро]]/Товары[[#This Row],[IRP, Eur]],"-")</f>
        <v>-</v>
      </c>
      <c r="AX1167" s="42">
        <f>IFERROR(VLOOKUP(Товары[[#This Row],[SubGroup]],'Структура цен DIY'!$B:$C,2,FALSE),0)</f>
        <v>0.30000000000000004</v>
      </c>
      <c r="AY1167" s="44">
        <v>0</v>
      </c>
    </row>
    <row r="1168" spans="1:51" x14ac:dyDescent="0.25">
      <c r="A1168" s="34">
        <v>1166</v>
      </c>
      <c r="B1168" s="34" t="s">
        <v>49</v>
      </c>
      <c r="C1168" s="110" t="str">
        <f>IFERROR(INDEX(Структура_ассортимента[SuperCategory],MATCH(Товары[[#This Row],[SubGroup]],Структура_ассортимента[Subgroup],0)),"")</f>
        <v>W</v>
      </c>
      <c r="D116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6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68" s="110" t="str">
        <f>IFERROR(INDEX(Структура_ассортимента[Product group],MATCH(Товары[[#This Row],[SubGroup]],Структура_ассортимента[Subgroup],0)),"")</f>
        <v>WMO_C</v>
      </c>
      <c r="G1168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68" s="110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68" s="36">
        <v>9013</v>
      </c>
      <c r="J1168" s="36" t="str">
        <f>IFERROR(INDEX(Структура_ассортимента[Generic Name (long)],MATCH(Товары[[#This Row],[SubGroup]],Структура_ассортимента[Subgroup],0)),"")</f>
        <v>TAP CONNECTOR</v>
      </c>
      <c r="L1168" s="36">
        <v>901021001</v>
      </c>
      <c r="M1168" s="35" t="s">
        <v>2844</v>
      </c>
      <c r="Q1168" s="34" t="s">
        <v>3549</v>
      </c>
      <c r="R1168" s="34" t="s">
        <v>3540</v>
      </c>
      <c r="S1168" s="47">
        <v>36434</v>
      </c>
      <c r="T1168" s="47">
        <v>0</v>
      </c>
      <c r="U1168" s="47">
        <v>0</v>
      </c>
      <c r="V1168" s="34">
        <v>4078500282123</v>
      </c>
      <c r="W1168" s="34" t="s">
        <v>3543</v>
      </c>
      <c r="X1168" s="34" t="s">
        <v>3579</v>
      </c>
      <c r="Y1168" s="34" t="s">
        <v>3542</v>
      </c>
      <c r="Z1168" s="34">
        <v>1200</v>
      </c>
      <c r="AA1168" s="34" t="s">
        <v>3784</v>
      </c>
      <c r="AB1168" s="34" t="s">
        <v>3784</v>
      </c>
      <c r="AC1168" s="34" t="s">
        <v>3799</v>
      </c>
      <c r="AD1168" s="34" t="s">
        <v>3799</v>
      </c>
      <c r="AE1168" s="34" t="s">
        <v>3754</v>
      </c>
      <c r="AF1168" s="34" t="s">
        <v>3672</v>
      </c>
      <c r="AG1168" s="34" t="s">
        <v>4231</v>
      </c>
      <c r="AH1168" s="34" t="s">
        <v>6510</v>
      </c>
      <c r="AI1168" s="34" t="s">
        <v>4239</v>
      </c>
      <c r="AJ1168" s="34" t="s">
        <v>5126</v>
      </c>
      <c r="AK1168" s="34" t="s">
        <v>4111</v>
      </c>
      <c r="AL1168" s="34">
        <v>14400</v>
      </c>
      <c r="AM1168" s="40" t="s">
        <v>8095</v>
      </c>
      <c r="AT1168" s="44">
        <v>0</v>
      </c>
      <c r="AU1168" s="44"/>
      <c r="AV1168" s="46">
        <f>ROUND(Товары[[#This Row],[РРЦ финальная, руб.]]/$AU$1,2)</f>
        <v>0</v>
      </c>
      <c r="AW1168" s="45" t="str">
        <f>IFERROR(Товары[[#This Row],[РРЦ, евро]]/Товары[[#This Row],[IRP, Eur]],"-")</f>
        <v>-</v>
      </c>
      <c r="AX1168" s="42">
        <f>IFERROR(VLOOKUP(Товары[[#This Row],[SubGroup]],'Структура цен DIY'!$B:$C,2,FALSE),0)</f>
        <v>0.30000000000000004</v>
      </c>
      <c r="AY1168" s="44">
        <v>0</v>
      </c>
    </row>
    <row r="1169" spans="1:51" x14ac:dyDescent="0.25">
      <c r="A1169" s="34">
        <v>1167</v>
      </c>
      <c r="B1169" s="34" t="s">
        <v>49</v>
      </c>
      <c r="C1169" s="110" t="str">
        <f>IFERROR(INDEX(Структура_ассортимента[SuperCategory],MATCH(Товары[[#This Row],[SubGroup]],Структура_ассортимента[Subgroup],0)),"")</f>
        <v>W</v>
      </c>
      <c r="D116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6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69" s="110" t="str">
        <f>IFERROR(INDEX(Структура_ассортимента[Product group],MATCH(Товары[[#This Row],[SubGroup]],Структура_ассортимента[Subgroup],0)),"")</f>
        <v>WMO_C</v>
      </c>
      <c r="G1169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69" s="110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69" s="36">
        <v>9013</v>
      </c>
      <c r="J1169" s="36" t="str">
        <f>IFERROR(INDEX(Структура_ассортимента[Generic Name (long)],MATCH(Товары[[#This Row],[SubGroup]],Структура_ассортимента[Subgroup],0)),"")</f>
        <v>TAP CONNECTOR</v>
      </c>
      <c r="L1169" s="36">
        <v>901021401</v>
      </c>
      <c r="M1169" s="35" t="s">
        <v>2845</v>
      </c>
      <c r="Q1169" s="34" t="s">
        <v>3549</v>
      </c>
      <c r="R1169" s="34" t="s">
        <v>3540</v>
      </c>
      <c r="S1169" s="47">
        <v>36434</v>
      </c>
      <c r="T1169" s="47">
        <v>0</v>
      </c>
      <c r="U1169" s="47">
        <v>0</v>
      </c>
      <c r="V1169" s="34">
        <v>4078500283021</v>
      </c>
      <c r="W1169" s="34" t="s">
        <v>3543</v>
      </c>
      <c r="X1169" s="34" t="s">
        <v>3579</v>
      </c>
      <c r="Y1169" s="34" t="s">
        <v>3542</v>
      </c>
      <c r="Z1169" s="34">
        <v>1400</v>
      </c>
      <c r="AA1169" s="34" t="s">
        <v>3795</v>
      </c>
      <c r="AB1169" s="34" t="s">
        <v>3795</v>
      </c>
      <c r="AC1169" s="34" t="s">
        <v>3807</v>
      </c>
      <c r="AD1169" s="34" t="s">
        <v>3807</v>
      </c>
      <c r="AE1169" s="34" t="s">
        <v>3754</v>
      </c>
      <c r="AF1169" s="34" t="s">
        <v>4231</v>
      </c>
      <c r="AG1169" s="34" t="s">
        <v>4231</v>
      </c>
      <c r="AH1169" s="34" t="s">
        <v>6645</v>
      </c>
      <c r="AL1169" s="34">
        <v>16800</v>
      </c>
      <c r="AM1169" s="40" t="s">
        <v>8095</v>
      </c>
      <c r="AT1169" s="44">
        <v>0</v>
      </c>
      <c r="AU1169" s="44"/>
      <c r="AV1169" s="46">
        <f>ROUND(Товары[[#This Row],[РРЦ финальная, руб.]]/$AU$1,2)</f>
        <v>0</v>
      </c>
      <c r="AW1169" s="45" t="str">
        <f>IFERROR(Товары[[#This Row],[РРЦ, евро]]/Товары[[#This Row],[IRP, Eur]],"-")</f>
        <v>-</v>
      </c>
      <c r="AX1169" s="42">
        <f>IFERROR(VLOOKUP(Товары[[#This Row],[SubGroup]],'Структура цен DIY'!$B:$C,2,FALSE),0)</f>
        <v>0.30000000000000004</v>
      </c>
      <c r="AY1169" s="44">
        <v>0</v>
      </c>
    </row>
    <row r="1170" spans="1:51" x14ac:dyDescent="0.25">
      <c r="A1170" s="34">
        <v>1168</v>
      </c>
      <c r="B1170" s="34" t="s">
        <v>49</v>
      </c>
      <c r="C1170" s="110" t="str">
        <f>IFERROR(INDEX(Структура_ассортимента[SuperCategory],MATCH(Товары[[#This Row],[SubGroup]],Структура_ассортимента[Subgroup],0)),"")</f>
        <v>W</v>
      </c>
      <c r="D117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7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70" s="110" t="str">
        <f>IFERROR(INDEX(Структура_ассортимента[Product group],MATCH(Товары[[#This Row],[SubGroup]],Структура_ассортимента[Subgroup],0)),"")</f>
        <v>WMO_C</v>
      </c>
      <c r="G1170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70" s="110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70" s="36">
        <v>9013</v>
      </c>
      <c r="J1170" s="36" t="str">
        <f>IFERROR(INDEX(Структура_ассортимента[Generic Name (long)],MATCH(Товары[[#This Row],[SubGroup]],Структура_ассортимента[Subgroup],0)),"")</f>
        <v>TAP CONNECTOR</v>
      </c>
      <c r="L1170" s="36">
        <v>901021301</v>
      </c>
      <c r="M1170" s="35" t="s">
        <v>2846</v>
      </c>
      <c r="O1170" s="35" t="s">
        <v>6646</v>
      </c>
      <c r="P1170" s="37" t="s">
        <v>6647</v>
      </c>
      <c r="Q1170" s="34" t="s">
        <v>3549</v>
      </c>
      <c r="R1170" s="34" t="s">
        <v>3540</v>
      </c>
      <c r="S1170" s="47">
        <v>36434</v>
      </c>
      <c r="T1170" s="47">
        <v>0</v>
      </c>
      <c r="U1170" s="47">
        <v>0</v>
      </c>
      <c r="V1170" s="34">
        <v>4078500283007</v>
      </c>
      <c r="W1170" s="34" t="s">
        <v>3543</v>
      </c>
      <c r="X1170" s="34" t="s">
        <v>3579</v>
      </c>
      <c r="Y1170" s="34" t="s">
        <v>3542</v>
      </c>
      <c r="Z1170" s="34">
        <v>10</v>
      </c>
      <c r="AA1170" s="34" t="s">
        <v>6556</v>
      </c>
      <c r="AB1170" s="34" t="s">
        <v>6556</v>
      </c>
      <c r="AC1170" s="34" t="s">
        <v>3803</v>
      </c>
      <c r="AD1170" s="34" t="s">
        <v>3803</v>
      </c>
      <c r="AE1170" s="34" t="s">
        <v>3693</v>
      </c>
      <c r="AF1170" s="34" t="s">
        <v>3576</v>
      </c>
      <c r="AG1170" s="34" t="s">
        <v>6045</v>
      </c>
      <c r="AH1170" s="34" t="s">
        <v>6648</v>
      </c>
      <c r="AL1170" s="34">
        <v>1560</v>
      </c>
      <c r="AM1170" s="40" t="s">
        <v>9</v>
      </c>
      <c r="AP1170" s="34">
        <v>0</v>
      </c>
      <c r="AQ1170" s="34">
        <v>539</v>
      </c>
      <c r="AR1170" s="34">
        <v>314</v>
      </c>
      <c r="AT1170" s="44">
        <v>41700</v>
      </c>
      <c r="AU1170" s="44"/>
      <c r="AV1170" s="46">
        <f>ROUND(Товары[[#This Row],[РРЦ финальная, руб.]]/$AU$1,2)</f>
        <v>0</v>
      </c>
      <c r="AW1170" s="45" t="str">
        <f>IFERROR(Товары[[#This Row],[РРЦ, евро]]/Товары[[#This Row],[IRP, Eur]],"-")</f>
        <v>-</v>
      </c>
      <c r="AX1170" s="42">
        <f>IFERROR(VLOOKUP(Товары[[#This Row],[SubGroup]],'Структура цен DIY'!$B:$C,2,FALSE),0)</f>
        <v>0.30000000000000004</v>
      </c>
      <c r="AY1170" s="44">
        <v>0</v>
      </c>
    </row>
    <row r="1171" spans="1:51" x14ac:dyDescent="0.25">
      <c r="A1171" s="34">
        <v>1169</v>
      </c>
      <c r="B1171" s="34" t="s">
        <v>49</v>
      </c>
      <c r="C1171" s="110" t="str">
        <f>IFERROR(INDEX(Структура_ассортимента[SuperCategory],MATCH(Товары[[#This Row],[SubGroup]],Структура_ассортимента[Subgroup],0)),"")</f>
        <v>W</v>
      </c>
      <c r="D117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7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71" s="110" t="str">
        <f>IFERROR(INDEX(Структура_ассортимента[Product group],MATCH(Товары[[#This Row],[SubGroup]],Структура_ассортимента[Subgroup],0)),"")</f>
        <v>WMO_C</v>
      </c>
      <c r="G1171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71" s="110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71" s="36">
        <v>9013</v>
      </c>
      <c r="J1171" s="36" t="str">
        <f>IFERROR(INDEX(Структура_ассортимента[Generic Name (long)],MATCH(Товары[[#This Row],[SubGroup]],Структура_ассортимента[Subgroup],0)),"")</f>
        <v>TAP CONNECTOR</v>
      </c>
      <c r="L1171" s="36">
        <v>901021601</v>
      </c>
      <c r="M1171" s="35" t="s">
        <v>2847</v>
      </c>
      <c r="Q1171" s="34" t="s">
        <v>3549</v>
      </c>
      <c r="R1171" s="34" t="s">
        <v>3540</v>
      </c>
      <c r="S1171" s="47">
        <v>36434</v>
      </c>
      <c r="T1171" s="47">
        <v>0</v>
      </c>
      <c r="U1171" s="47">
        <v>0</v>
      </c>
      <c r="V1171" s="34">
        <v>4078500283120</v>
      </c>
      <c r="W1171" s="34" t="s">
        <v>3543</v>
      </c>
      <c r="X1171" s="34" t="s">
        <v>3579</v>
      </c>
      <c r="Y1171" s="34" t="s">
        <v>3542</v>
      </c>
      <c r="Z1171" s="34">
        <v>1200</v>
      </c>
      <c r="AA1171" s="34" t="s">
        <v>3783</v>
      </c>
      <c r="AB1171" s="34" t="s">
        <v>3783</v>
      </c>
      <c r="AC1171" s="34" t="s">
        <v>3784</v>
      </c>
      <c r="AD1171" s="34" t="s">
        <v>3784</v>
      </c>
      <c r="AE1171" s="34" t="s">
        <v>3711</v>
      </c>
      <c r="AF1171" s="34" t="s">
        <v>3672</v>
      </c>
      <c r="AG1171" s="34" t="s">
        <v>3672</v>
      </c>
      <c r="AH1171" s="34" t="s">
        <v>6649</v>
      </c>
      <c r="AL1171" s="34">
        <v>14400</v>
      </c>
      <c r="AM1171" s="40" t="s">
        <v>8095</v>
      </c>
      <c r="AT1171" s="44">
        <v>0</v>
      </c>
      <c r="AU1171" s="44"/>
      <c r="AV1171" s="46">
        <f>ROUND(Товары[[#This Row],[РРЦ финальная, руб.]]/$AU$1,2)</f>
        <v>0</v>
      </c>
      <c r="AW1171" s="45" t="str">
        <f>IFERROR(Товары[[#This Row],[РРЦ, евро]]/Товары[[#This Row],[IRP, Eur]],"-")</f>
        <v>-</v>
      </c>
      <c r="AX1171" s="42">
        <f>IFERROR(VLOOKUP(Товары[[#This Row],[SubGroup]],'Структура цен DIY'!$B:$C,2,FALSE),0)</f>
        <v>0.30000000000000004</v>
      </c>
      <c r="AY1171" s="44">
        <v>0</v>
      </c>
    </row>
    <row r="1172" spans="1:51" x14ac:dyDescent="0.25">
      <c r="A1172" s="34">
        <v>1170</v>
      </c>
      <c r="B1172" s="34" t="s">
        <v>49</v>
      </c>
      <c r="C1172" s="110" t="str">
        <f>IFERROR(INDEX(Структура_ассортимента[SuperCategory],MATCH(Товары[[#This Row],[SubGroup]],Структура_ассортимента[Subgroup],0)),"")</f>
        <v>W</v>
      </c>
      <c r="D117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7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72" s="110" t="str">
        <f>IFERROR(INDEX(Структура_ассортимента[Product group],MATCH(Товары[[#This Row],[SubGroup]],Структура_ассортимента[Subgroup],0)),"")</f>
        <v>WMO_C</v>
      </c>
      <c r="G1172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72" s="110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72" s="36">
        <v>9013</v>
      </c>
      <c r="J1172" s="36" t="str">
        <f>IFERROR(INDEX(Структура_ассортимента[Generic Name (long)],MATCH(Товары[[#This Row],[SubGroup]],Структура_ассортимента[Subgroup],0)),"")</f>
        <v>TAP CONNECTOR</v>
      </c>
      <c r="L1172" s="36">
        <v>901021501</v>
      </c>
      <c r="M1172" s="35" t="s">
        <v>2848</v>
      </c>
      <c r="O1172" s="35" t="s">
        <v>6650</v>
      </c>
      <c r="P1172" s="37" t="s">
        <v>6651</v>
      </c>
      <c r="Q1172" s="34" t="s">
        <v>3549</v>
      </c>
      <c r="R1172" s="34" t="s">
        <v>3540</v>
      </c>
      <c r="S1172" s="47">
        <v>36434</v>
      </c>
      <c r="T1172" s="47">
        <v>0</v>
      </c>
      <c r="U1172" s="47">
        <v>0</v>
      </c>
      <c r="V1172" s="34">
        <v>4078500283106</v>
      </c>
      <c r="W1172" s="34" t="s">
        <v>3543</v>
      </c>
      <c r="X1172" s="34" t="s">
        <v>3579</v>
      </c>
      <c r="Y1172" s="34" t="s">
        <v>3542</v>
      </c>
      <c r="Z1172" s="34">
        <v>10</v>
      </c>
      <c r="AA1172" s="34" t="s">
        <v>6515</v>
      </c>
      <c r="AB1172" s="34" t="s">
        <v>6515</v>
      </c>
      <c r="AC1172" s="34" t="s">
        <v>3803</v>
      </c>
      <c r="AD1172" s="34" t="s">
        <v>3803</v>
      </c>
      <c r="AE1172" s="34" t="s">
        <v>3693</v>
      </c>
      <c r="AF1172" s="34" t="s">
        <v>3576</v>
      </c>
      <c r="AG1172" s="34" t="s">
        <v>3672</v>
      </c>
      <c r="AH1172" s="34" t="s">
        <v>6652</v>
      </c>
      <c r="AL1172" s="34">
        <v>1560</v>
      </c>
      <c r="AM1172" s="40" t="s">
        <v>9</v>
      </c>
      <c r="AP1172" s="34">
        <v>0</v>
      </c>
      <c r="AQ1172" s="34">
        <v>539</v>
      </c>
      <c r="AR1172" s="34">
        <v>314</v>
      </c>
      <c r="AT1172" s="44">
        <v>41700</v>
      </c>
      <c r="AU1172" s="44"/>
      <c r="AV1172" s="46">
        <f>ROUND(Товары[[#This Row],[РРЦ финальная, руб.]]/$AU$1,2)</f>
        <v>0</v>
      </c>
      <c r="AW1172" s="45" t="str">
        <f>IFERROR(Товары[[#This Row],[РРЦ, евро]]/Товары[[#This Row],[IRP, Eur]],"-")</f>
        <v>-</v>
      </c>
      <c r="AX1172" s="42">
        <f>IFERROR(VLOOKUP(Товары[[#This Row],[SubGroup]],'Структура цен DIY'!$B:$C,2,FALSE),0)</f>
        <v>0.30000000000000004</v>
      </c>
      <c r="AY1172" s="44">
        <v>0</v>
      </c>
    </row>
    <row r="1173" spans="1:51" x14ac:dyDescent="0.25">
      <c r="A1173" s="34">
        <v>1171</v>
      </c>
      <c r="B1173" s="34" t="s">
        <v>49</v>
      </c>
      <c r="C1173" s="110" t="str">
        <f>IFERROR(INDEX(Структура_ассортимента[SuperCategory],MATCH(Товары[[#This Row],[SubGroup]],Структура_ассортимента[Subgroup],0)),"")</f>
        <v>W</v>
      </c>
      <c r="D117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7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73" s="110" t="str">
        <f>IFERROR(INDEX(Структура_ассортимента[Product group],MATCH(Товары[[#This Row],[SubGroup]],Структура_ассортимента[Subgroup],0)),"")</f>
        <v>WMO_C</v>
      </c>
      <c r="G1173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73" s="110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73" s="36">
        <v>9013</v>
      </c>
      <c r="J1173" s="36" t="str">
        <f>IFERROR(INDEX(Структура_ассортимента[Generic Name (long)],MATCH(Товары[[#This Row],[SubGroup]],Структура_ассортимента[Subgroup],0)),"")</f>
        <v>TAP CONNECTOR</v>
      </c>
      <c r="L1173" s="36">
        <v>901021801</v>
      </c>
      <c r="M1173" s="35" t="s">
        <v>2849</v>
      </c>
      <c r="O1173" s="35" t="s">
        <v>6653</v>
      </c>
      <c r="P1173" s="37" t="s">
        <v>6654</v>
      </c>
      <c r="Q1173" s="34" t="s">
        <v>3549</v>
      </c>
      <c r="R1173" s="34" t="s">
        <v>3540</v>
      </c>
      <c r="S1173" s="47">
        <v>36434</v>
      </c>
      <c r="T1173" s="47">
        <v>0</v>
      </c>
      <c r="U1173" s="47">
        <v>0</v>
      </c>
      <c r="V1173" s="34">
        <v>4078500283403</v>
      </c>
      <c r="W1173" s="34" t="s">
        <v>3543</v>
      </c>
      <c r="X1173" s="34" t="s">
        <v>3579</v>
      </c>
      <c r="Y1173" s="34" t="s">
        <v>3542</v>
      </c>
      <c r="Z1173" s="34">
        <v>6</v>
      </c>
      <c r="AA1173" s="34" t="s">
        <v>3779</v>
      </c>
      <c r="AB1173" s="34" t="s">
        <v>3779</v>
      </c>
      <c r="AC1173" s="34" t="s">
        <v>6655</v>
      </c>
      <c r="AD1173" s="34" t="s">
        <v>6655</v>
      </c>
      <c r="AE1173" s="34" t="s">
        <v>3693</v>
      </c>
      <c r="AF1173" s="34" t="s">
        <v>3576</v>
      </c>
      <c r="AG1173" s="34" t="s">
        <v>4234</v>
      </c>
      <c r="AH1173" s="34" t="s">
        <v>5634</v>
      </c>
      <c r="AL1173" s="34">
        <v>936</v>
      </c>
      <c r="AM1173" s="40" t="s">
        <v>9</v>
      </c>
      <c r="AP1173" s="34">
        <v>0</v>
      </c>
      <c r="AQ1173" s="34">
        <v>759</v>
      </c>
      <c r="AR1173" s="34">
        <v>443</v>
      </c>
      <c r="AT1173" s="44">
        <v>58800</v>
      </c>
      <c r="AU1173" s="44"/>
      <c r="AV1173" s="46">
        <f>ROUND(Товары[[#This Row],[РРЦ финальная, руб.]]/$AU$1,2)</f>
        <v>0</v>
      </c>
      <c r="AW1173" s="45" t="str">
        <f>IFERROR(Товары[[#This Row],[РРЦ, евро]]/Товары[[#This Row],[IRP, Eur]],"-")</f>
        <v>-</v>
      </c>
      <c r="AX1173" s="42">
        <f>IFERROR(VLOOKUP(Товары[[#This Row],[SubGroup]],'Структура цен DIY'!$B:$C,2,FALSE),0)</f>
        <v>0.30000000000000004</v>
      </c>
      <c r="AY1173" s="44">
        <v>0</v>
      </c>
    </row>
    <row r="1174" spans="1:51" x14ac:dyDescent="0.25">
      <c r="A1174" s="34">
        <v>1172</v>
      </c>
      <c r="B1174" s="34" t="s">
        <v>49</v>
      </c>
      <c r="C1174" s="110" t="str">
        <f>IFERROR(INDEX(Структура_ассортимента[SuperCategory],MATCH(Товары[[#This Row],[SubGroup]],Структура_ассортимента[Subgroup],0)),"")</f>
        <v>W</v>
      </c>
      <c r="D117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7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74" s="110" t="str">
        <f>IFERROR(INDEX(Структура_ассортимента[Product group],MATCH(Товары[[#This Row],[SubGroup]],Структура_ассортимента[Subgroup],0)),"")</f>
        <v>WMO_C</v>
      </c>
      <c r="G1174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74" s="110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74" s="36">
        <v>9013</v>
      </c>
      <c r="J1174" s="36" t="str">
        <f>IFERROR(INDEX(Структура_ассортимента[Generic Name (long)],MATCH(Товары[[#This Row],[SubGroup]],Структура_ассортимента[Subgroup],0)),"")</f>
        <v>TAP CONNECTOR</v>
      </c>
      <c r="L1174" s="36">
        <v>901021901</v>
      </c>
      <c r="M1174" s="35" t="s">
        <v>2850</v>
      </c>
      <c r="O1174" s="35" t="s">
        <v>6656</v>
      </c>
      <c r="P1174" s="37" t="s">
        <v>6657</v>
      </c>
      <c r="Q1174" s="34" t="s">
        <v>3549</v>
      </c>
      <c r="R1174" s="34" t="s">
        <v>3540</v>
      </c>
      <c r="S1174" s="47">
        <v>36434</v>
      </c>
      <c r="T1174" s="47">
        <v>0</v>
      </c>
      <c r="U1174" s="47">
        <v>0</v>
      </c>
      <c r="V1174" s="34">
        <v>4078500283502</v>
      </c>
      <c r="W1174" s="34" t="s">
        <v>3543</v>
      </c>
      <c r="X1174" s="34" t="s">
        <v>3579</v>
      </c>
      <c r="Y1174" s="34" t="s">
        <v>3542</v>
      </c>
      <c r="Z1174" s="34">
        <v>6</v>
      </c>
      <c r="AA1174" s="34" t="s">
        <v>6452</v>
      </c>
      <c r="AB1174" s="34" t="s">
        <v>6452</v>
      </c>
      <c r="AC1174" s="34" t="s">
        <v>3715</v>
      </c>
      <c r="AD1174" s="34" t="s">
        <v>3715</v>
      </c>
      <c r="AE1174" s="34" t="s">
        <v>3825</v>
      </c>
      <c r="AF1174" s="34" t="s">
        <v>3576</v>
      </c>
      <c r="AG1174" s="34" t="s">
        <v>4234</v>
      </c>
      <c r="AH1174" s="34" t="s">
        <v>6658</v>
      </c>
      <c r="AL1174" s="34">
        <v>792</v>
      </c>
      <c r="AM1174" s="40" t="s">
        <v>9</v>
      </c>
      <c r="AP1174" s="34">
        <v>0</v>
      </c>
      <c r="AQ1174" s="34">
        <v>759</v>
      </c>
      <c r="AR1174" s="34">
        <v>443</v>
      </c>
      <c r="AT1174" s="44">
        <v>58800</v>
      </c>
      <c r="AU1174" s="44"/>
      <c r="AV1174" s="46">
        <f>ROUND(Товары[[#This Row],[РРЦ финальная, руб.]]/$AU$1,2)</f>
        <v>0</v>
      </c>
      <c r="AW1174" s="45" t="str">
        <f>IFERROR(Товары[[#This Row],[РРЦ, евро]]/Товары[[#This Row],[IRP, Eur]],"-")</f>
        <v>-</v>
      </c>
      <c r="AX1174" s="42">
        <f>IFERROR(VLOOKUP(Товары[[#This Row],[SubGroup]],'Структура цен DIY'!$B:$C,2,FALSE),0)</f>
        <v>0.30000000000000004</v>
      </c>
      <c r="AY1174" s="44">
        <v>0</v>
      </c>
    </row>
    <row r="1175" spans="1:51" x14ac:dyDescent="0.25">
      <c r="A1175" s="34">
        <v>1173</v>
      </c>
      <c r="B1175" s="34" t="s">
        <v>49</v>
      </c>
      <c r="C1175" s="110" t="str">
        <f>IFERROR(INDEX(Структура_ассортимента[SuperCategory],MATCH(Товары[[#This Row],[SubGroup]],Структура_ассортимента[Subgroup],0)),"")</f>
        <v>W</v>
      </c>
      <c r="D117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7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75" s="110" t="str">
        <f>IFERROR(INDEX(Структура_ассортимента[Product group],MATCH(Товары[[#This Row],[SubGroup]],Структура_ассортимента[Subgroup],0)),"")</f>
        <v>WMO_C</v>
      </c>
      <c r="G1175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75" s="110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75" s="36">
        <v>9013</v>
      </c>
      <c r="J1175" s="36" t="str">
        <f>IFERROR(INDEX(Структура_ассортимента[Generic Name (long)],MATCH(Товары[[#This Row],[SubGroup]],Структура_ассортимента[Subgroup],0)),"")</f>
        <v>TAP CONNECTOR</v>
      </c>
      <c r="L1175" s="36">
        <v>901021701</v>
      </c>
      <c r="M1175" s="35" t="s">
        <v>2851</v>
      </c>
      <c r="O1175" s="35" t="s">
        <v>6659</v>
      </c>
      <c r="P1175" s="37" t="s">
        <v>6660</v>
      </c>
      <c r="Q1175" s="34" t="s">
        <v>3549</v>
      </c>
      <c r="R1175" s="34" t="s">
        <v>3540</v>
      </c>
      <c r="S1175" s="47">
        <v>39356</v>
      </c>
      <c r="T1175" s="47">
        <v>0</v>
      </c>
      <c r="U1175" s="47">
        <v>0</v>
      </c>
      <c r="V1175" s="34">
        <v>4078500283304</v>
      </c>
      <c r="W1175" s="34" t="s">
        <v>3543</v>
      </c>
      <c r="X1175" s="34" t="s">
        <v>3579</v>
      </c>
      <c r="Y1175" s="34" t="s">
        <v>3542</v>
      </c>
      <c r="Z1175" s="34">
        <v>6</v>
      </c>
      <c r="AA1175" s="34" t="s">
        <v>5628</v>
      </c>
      <c r="AB1175" s="34" t="s">
        <v>5628</v>
      </c>
      <c r="AC1175" s="34" t="s">
        <v>6519</v>
      </c>
      <c r="AD1175" s="34" t="s">
        <v>6519</v>
      </c>
      <c r="AE1175" s="34" t="s">
        <v>3825</v>
      </c>
      <c r="AF1175" s="34" t="s">
        <v>3576</v>
      </c>
      <c r="AG1175" s="34" t="s">
        <v>3672</v>
      </c>
      <c r="AH1175" s="34" t="s">
        <v>4975</v>
      </c>
      <c r="AI1175" s="34" t="s">
        <v>6013</v>
      </c>
      <c r="AJ1175" s="34" t="s">
        <v>3801</v>
      </c>
      <c r="AK1175" s="34" t="s">
        <v>4659</v>
      </c>
      <c r="AL1175" s="34">
        <v>792</v>
      </c>
      <c r="AM1175" s="40" t="s">
        <v>9</v>
      </c>
      <c r="AP1175" s="34">
        <v>0</v>
      </c>
      <c r="AQ1175" s="34">
        <v>759</v>
      </c>
      <c r="AR1175" s="34">
        <v>443</v>
      </c>
      <c r="AT1175" s="44">
        <v>58800</v>
      </c>
      <c r="AU1175" s="44"/>
      <c r="AV1175" s="46">
        <f>ROUND(Товары[[#This Row],[РРЦ финальная, руб.]]/$AU$1,2)</f>
        <v>0</v>
      </c>
      <c r="AW1175" s="45" t="str">
        <f>IFERROR(Товары[[#This Row],[РРЦ, евро]]/Товары[[#This Row],[IRP, Eur]],"-")</f>
        <v>-</v>
      </c>
      <c r="AX1175" s="42">
        <f>IFERROR(VLOOKUP(Товары[[#This Row],[SubGroup]],'Структура цен DIY'!$B:$C,2,FALSE),0)</f>
        <v>0.30000000000000004</v>
      </c>
      <c r="AY1175" s="44">
        <v>0</v>
      </c>
    </row>
    <row r="1176" spans="1:51" x14ac:dyDescent="0.25">
      <c r="A1176" s="34">
        <v>1174</v>
      </c>
      <c r="B1176" s="34" t="s">
        <v>49</v>
      </c>
      <c r="C1176" s="110" t="str">
        <f>IFERROR(INDEX(Структура_ассортимента[SuperCategory],MATCH(Товары[[#This Row],[SubGroup]],Структура_ассортимента[Subgroup],0)),"")</f>
        <v>W</v>
      </c>
      <c r="D117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7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76" s="110" t="str">
        <f>IFERROR(INDEX(Структура_ассортимента[Product group],MATCH(Товары[[#This Row],[SubGroup]],Структура_ассортимента[Subgroup],0)),"")</f>
        <v>WMO_C</v>
      </c>
      <c r="G1176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76" s="110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76" s="36">
        <v>9013</v>
      </c>
      <c r="J1176" s="36" t="str">
        <f>IFERROR(INDEX(Структура_ассортимента[Generic Name (long)],MATCH(Товары[[#This Row],[SubGroup]],Структура_ассортимента[Subgroup],0)),"")</f>
        <v>TAP CONNECTOR</v>
      </c>
      <c r="L1176" s="36">
        <v>901020201</v>
      </c>
      <c r="M1176" s="35" t="s">
        <v>2852</v>
      </c>
      <c r="O1176" s="35" t="s">
        <v>6661</v>
      </c>
      <c r="P1176" s="37" t="s">
        <v>6662</v>
      </c>
      <c r="Q1176" s="34" t="s">
        <v>3549</v>
      </c>
      <c r="R1176" s="34" t="s">
        <v>3540</v>
      </c>
      <c r="S1176" s="47">
        <v>36434</v>
      </c>
      <c r="T1176" s="47">
        <v>0</v>
      </c>
      <c r="U1176" s="47">
        <v>0</v>
      </c>
      <c r="V1176" s="34">
        <v>4078500281409</v>
      </c>
      <c r="W1176" s="34" t="s">
        <v>3543</v>
      </c>
      <c r="X1176" s="34" t="s">
        <v>3579</v>
      </c>
      <c r="Y1176" s="34" t="s">
        <v>3542</v>
      </c>
      <c r="Z1176" s="34">
        <v>10</v>
      </c>
      <c r="AA1176" s="34" t="s">
        <v>5633</v>
      </c>
      <c r="AB1176" s="34" t="s">
        <v>5633</v>
      </c>
      <c r="AC1176" s="34" t="s">
        <v>3775</v>
      </c>
      <c r="AD1176" s="34" t="s">
        <v>3775</v>
      </c>
      <c r="AE1176" s="34" t="s">
        <v>3693</v>
      </c>
      <c r="AF1176" s="34" t="s">
        <v>3576</v>
      </c>
      <c r="AG1176" s="34" t="s">
        <v>4468</v>
      </c>
      <c r="AH1176" s="34" t="s">
        <v>5637</v>
      </c>
      <c r="AL1176" s="34">
        <v>1320</v>
      </c>
      <c r="AM1176" s="40" t="s">
        <v>9</v>
      </c>
      <c r="AP1176" s="34">
        <v>0</v>
      </c>
      <c r="AQ1176" s="34">
        <v>979</v>
      </c>
      <c r="AR1176" s="34">
        <v>571</v>
      </c>
      <c r="AT1176" s="44">
        <v>75800</v>
      </c>
      <c r="AU1176" s="44"/>
      <c r="AV1176" s="46">
        <f>ROUND(Товары[[#This Row],[РРЦ финальная, руб.]]/$AU$1,2)</f>
        <v>0</v>
      </c>
      <c r="AW1176" s="45" t="str">
        <f>IFERROR(Товары[[#This Row],[РРЦ, евро]]/Товары[[#This Row],[IRP, Eur]],"-")</f>
        <v>-</v>
      </c>
      <c r="AX1176" s="42">
        <f>IFERROR(VLOOKUP(Товары[[#This Row],[SubGroup]],'Структура цен DIY'!$B:$C,2,FALSE),0)</f>
        <v>0.30000000000000004</v>
      </c>
      <c r="AY1176" s="44">
        <v>0</v>
      </c>
    </row>
    <row r="1177" spans="1:51" x14ac:dyDescent="0.25">
      <c r="A1177" s="34">
        <v>1175</v>
      </c>
      <c r="B1177" s="34" t="s">
        <v>49</v>
      </c>
      <c r="C1177" s="110" t="str">
        <f>IFERROR(INDEX(Структура_ассортимента[SuperCategory],MATCH(Товары[[#This Row],[SubGroup]],Структура_ассортимента[Subgroup],0)),"")</f>
        <v>W</v>
      </c>
      <c r="D117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7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77" s="110" t="str">
        <f>IFERROR(INDEX(Структура_ассортимента[Product group],MATCH(Товары[[#This Row],[SubGroup]],Структура_ассортимента[Subgroup],0)),"")</f>
        <v>WMO_C</v>
      </c>
      <c r="G1177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77" s="110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77" s="36">
        <v>9013</v>
      </c>
      <c r="J1177" s="36" t="str">
        <f>IFERROR(INDEX(Структура_ассортимента[Generic Name (long)],MATCH(Товары[[#This Row],[SubGroup]],Структура_ассортимента[Subgroup],0)),"")</f>
        <v>TAP CONNECTOR</v>
      </c>
      <c r="L1177" s="36">
        <v>901020801</v>
      </c>
      <c r="M1177" s="35" t="s">
        <v>2853</v>
      </c>
      <c r="O1177" s="35" t="s">
        <v>6663</v>
      </c>
      <c r="P1177" s="37" t="s">
        <v>6664</v>
      </c>
      <c r="Q1177" s="34" t="s">
        <v>3549</v>
      </c>
      <c r="R1177" s="34" t="s">
        <v>3540</v>
      </c>
      <c r="S1177" s="47">
        <v>35339</v>
      </c>
      <c r="T1177" s="47">
        <v>0</v>
      </c>
      <c r="U1177" s="47">
        <v>0</v>
      </c>
      <c r="V1177" s="34">
        <v>4078500281904</v>
      </c>
      <c r="W1177" s="34" t="s">
        <v>3543</v>
      </c>
      <c r="X1177" s="34" t="s">
        <v>3579</v>
      </c>
      <c r="Y1177" s="34" t="s">
        <v>3542</v>
      </c>
      <c r="Z1177" s="34">
        <v>6</v>
      </c>
      <c r="AA1177" s="34" t="s">
        <v>6265</v>
      </c>
      <c r="AB1177" s="34" t="s">
        <v>6265</v>
      </c>
      <c r="AC1177" s="34" t="s">
        <v>3728</v>
      </c>
      <c r="AD1177" s="34" t="s">
        <v>3728</v>
      </c>
      <c r="AE1177" s="34" t="s">
        <v>3825</v>
      </c>
      <c r="AF1177" s="34" t="s">
        <v>3576</v>
      </c>
      <c r="AG1177" s="34" t="s">
        <v>3711</v>
      </c>
      <c r="AH1177" s="34" t="s">
        <v>6665</v>
      </c>
      <c r="AL1177" s="34">
        <v>480</v>
      </c>
      <c r="AM1177" s="40" t="s">
        <v>9</v>
      </c>
      <c r="AP1177" s="34">
        <v>0</v>
      </c>
      <c r="AQ1177" s="34">
        <v>1639</v>
      </c>
      <c r="AR1177" s="34">
        <v>956</v>
      </c>
      <c r="AT1177" s="44">
        <v>126900</v>
      </c>
      <c r="AU1177" s="44"/>
      <c r="AV1177" s="46">
        <f>ROUND(Товары[[#This Row],[РРЦ финальная, руб.]]/$AU$1,2)</f>
        <v>0</v>
      </c>
      <c r="AW1177" s="45" t="str">
        <f>IFERROR(Товары[[#This Row],[РРЦ, евро]]/Товары[[#This Row],[IRP, Eur]],"-")</f>
        <v>-</v>
      </c>
      <c r="AX1177" s="42">
        <f>IFERROR(VLOOKUP(Товары[[#This Row],[SubGroup]],'Структура цен DIY'!$B:$C,2,FALSE),0)</f>
        <v>0.30000000000000004</v>
      </c>
      <c r="AY1177" s="44">
        <v>0</v>
      </c>
    </row>
    <row r="1178" spans="1:51" x14ac:dyDescent="0.25">
      <c r="A1178" s="34">
        <v>1176</v>
      </c>
      <c r="B1178" s="34" t="s">
        <v>49</v>
      </c>
      <c r="C1178" s="110" t="str">
        <f>IFERROR(INDEX(Структура_ассортимента[SuperCategory],MATCH(Товары[[#This Row],[SubGroup]],Структура_ассортимента[Subgroup],0)),"")</f>
        <v>W</v>
      </c>
      <c r="D117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7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78" s="110" t="str">
        <f>IFERROR(INDEX(Структура_ассортимента[Product group],MATCH(Товары[[#This Row],[SubGroup]],Структура_ассортимента[Subgroup],0)),"")</f>
        <v>WMO_C</v>
      </c>
      <c r="G1178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78" s="110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78" s="36">
        <v>9013</v>
      </c>
      <c r="J1178" s="36" t="str">
        <f>IFERROR(INDEX(Структура_ассортимента[Generic Name (long)],MATCH(Товары[[#This Row],[SubGroup]],Структура_ассортимента[Subgroup],0)),"")</f>
        <v>TAP CONNECTOR</v>
      </c>
      <c r="L1178" s="36">
        <v>901020601</v>
      </c>
      <c r="M1178" s="35" t="s">
        <v>2854</v>
      </c>
      <c r="O1178" s="35" t="s">
        <v>6666</v>
      </c>
      <c r="P1178" s="37" t="s">
        <v>6667</v>
      </c>
      <c r="Q1178" s="34" t="s">
        <v>3549</v>
      </c>
      <c r="R1178" s="34" t="s">
        <v>3540</v>
      </c>
      <c r="S1178" s="47">
        <v>36434</v>
      </c>
      <c r="T1178" s="47">
        <v>0</v>
      </c>
      <c r="U1178" s="47">
        <v>0</v>
      </c>
      <c r="V1178" s="34">
        <v>4078500281805</v>
      </c>
      <c r="W1178" s="34" t="s">
        <v>3543</v>
      </c>
      <c r="X1178" s="34" t="s">
        <v>3579</v>
      </c>
      <c r="Y1178" s="34" t="s">
        <v>3542</v>
      </c>
      <c r="Z1178" s="34">
        <v>10</v>
      </c>
      <c r="AA1178" s="34" t="s">
        <v>6668</v>
      </c>
      <c r="AB1178" s="34" t="s">
        <v>6668</v>
      </c>
      <c r="AC1178" s="34" t="s">
        <v>6669</v>
      </c>
      <c r="AD1178" s="34" t="s">
        <v>6669</v>
      </c>
      <c r="AE1178" s="34" t="s">
        <v>3825</v>
      </c>
      <c r="AF1178" s="34" t="s">
        <v>3576</v>
      </c>
      <c r="AG1178" s="34" t="s">
        <v>4468</v>
      </c>
      <c r="AH1178" s="34" t="s">
        <v>6670</v>
      </c>
      <c r="AL1178" s="34">
        <v>900</v>
      </c>
      <c r="AM1178" s="40" t="s">
        <v>9</v>
      </c>
      <c r="AP1178" s="34">
        <v>0</v>
      </c>
      <c r="AQ1178" s="34">
        <v>1089</v>
      </c>
      <c r="AR1178" s="34">
        <v>635</v>
      </c>
      <c r="AT1178" s="44">
        <v>84300</v>
      </c>
      <c r="AU1178" s="44"/>
      <c r="AV1178" s="46">
        <f>ROUND(Товары[[#This Row],[РРЦ финальная, руб.]]/$AU$1,2)</f>
        <v>0</v>
      </c>
      <c r="AW1178" s="45" t="str">
        <f>IFERROR(Товары[[#This Row],[РРЦ, евро]]/Товары[[#This Row],[IRP, Eur]],"-")</f>
        <v>-</v>
      </c>
      <c r="AX1178" s="42">
        <f>IFERROR(VLOOKUP(Товары[[#This Row],[SubGroup]],'Структура цен DIY'!$B:$C,2,FALSE),0)</f>
        <v>0.30000000000000004</v>
      </c>
      <c r="AY1178" s="44">
        <v>0</v>
      </c>
    </row>
    <row r="1179" spans="1:51" x14ac:dyDescent="0.25">
      <c r="A1179" s="34">
        <v>1177</v>
      </c>
      <c r="B1179" s="34" t="s">
        <v>49</v>
      </c>
      <c r="C1179" s="110" t="str">
        <f>IFERROR(INDEX(Структура_ассортимента[SuperCategory],MATCH(Товары[[#This Row],[SubGroup]],Структура_ассортимента[Subgroup],0)),"")</f>
        <v>W</v>
      </c>
      <c r="D117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7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79" s="110" t="str">
        <f>IFERROR(INDEX(Структура_ассортимента[Product group],MATCH(Товары[[#This Row],[SubGroup]],Структура_ассортимента[Subgroup],0)),"")</f>
        <v>WMO_C</v>
      </c>
      <c r="G1179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79" s="110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79" s="36">
        <v>9013</v>
      </c>
      <c r="J1179" s="36" t="str">
        <f>IFERROR(INDEX(Структура_ассортимента[Generic Name (long)],MATCH(Товары[[#This Row],[SubGroup]],Структура_ассортимента[Subgroup],0)),"")</f>
        <v>TAP CONNECTOR</v>
      </c>
      <c r="L1179" s="36">
        <v>901022101</v>
      </c>
      <c r="M1179" s="35" t="s">
        <v>2855</v>
      </c>
      <c r="Q1179" s="34" t="s">
        <v>3549</v>
      </c>
      <c r="R1179" s="34" t="s">
        <v>3540</v>
      </c>
      <c r="S1179" s="47">
        <v>35339</v>
      </c>
      <c r="T1179" s="47">
        <v>0</v>
      </c>
      <c r="U1179" s="47">
        <v>0</v>
      </c>
      <c r="V1179" s="34">
        <v>4078500284707</v>
      </c>
      <c r="W1179" s="34" t="s">
        <v>3541</v>
      </c>
      <c r="X1179" s="34" t="s">
        <v>3704</v>
      </c>
      <c r="Y1179" s="34" t="s">
        <v>3542</v>
      </c>
      <c r="Z1179" s="34">
        <v>4</v>
      </c>
      <c r="AA1179" s="34" t="s">
        <v>4655</v>
      </c>
      <c r="AB1179" s="34" t="s">
        <v>4655</v>
      </c>
      <c r="AC1179" s="34" t="s">
        <v>4179</v>
      </c>
      <c r="AD1179" s="34" t="s">
        <v>4179</v>
      </c>
      <c r="AE1179" s="34" t="s">
        <v>5028</v>
      </c>
      <c r="AF1179" s="34" t="s">
        <v>3911</v>
      </c>
      <c r="AG1179" s="34" t="s">
        <v>3886</v>
      </c>
      <c r="AH1179" s="34" t="s">
        <v>6671</v>
      </c>
      <c r="AL1179" s="34">
        <v>312</v>
      </c>
      <c r="AM1179" s="40" t="s">
        <v>8095</v>
      </c>
      <c r="AT1179" s="44">
        <v>0</v>
      </c>
      <c r="AU1179" s="44"/>
      <c r="AV1179" s="46">
        <f>ROUND(Товары[[#This Row],[РРЦ финальная, руб.]]/$AU$1,2)</f>
        <v>0</v>
      </c>
      <c r="AW1179" s="45" t="str">
        <f>IFERROR(Товары[[#This Row],[РРЦ, евро]]/Товары[[#This Row],[IRP, Eur]],"-")</f>
        <v>-</v>
      </c>
      <c r="AX1179" s="42">
        <f>IFERROR(VLOOKUP(Товары[[#This Row],[SubGroup]],'Структура цен DIY'!$B:$C,2,FALSE),0)</f>
        <v>0.30000000000000004</v>
      </c>
      <c r="AY1179" s="44">
        <v>0</v>
      </c>
    </row>
    <row r="1180" spans="1:51" x14ac:dyDescent="0.25">
      <c r="A1180" s="34">
        <v>1178</v>
      </c>
      <c r="B1180" s="34" t="s">
        <v>49</v>
      </c>
      <c r="C1180" s="110" t="str">
        <f>IFERROR(INDEX(Структура_ассортимента[SuperCategory],MATCH(Товары[[#This Row],[SubGroup]],Структура_ассортимента[Subgroup],0)),"")</f>
        <v>W</v>
      </c>
      <c r="D118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8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80" s="110" t="str">
        <f>IFERROR(INDEX(Структура_ассортимента[Product group],MATCH(Товары[[#This Row],[SubGroup]],Структура_ассортимента[Subgroup],0)),"")</f>
        <v>WMO_C</v>
      </c>
      <c r="G1180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80" s="110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80" s="36">
        <v>9013</v>
      </c>
      <c r="J1180" s="36" t="str">
        <f>IFERROR(INDEX(Структура_ассортимента[Generic Name (long)],MATCH(Товары[[#This Row],[SubGroup]],Структура_ассортимента[Subgroup],0)),"")</f>
        <v>TAP CONNECTOR</v>
      </c>
      <c r="L1180" s="36">
        <v>901022201</v>
      </c>
      <c r="M1180" s="35" t="s">
        <v>2856</v>
      </c>
      <c r="Q1180" s="34" t="s">
        <v>3549</v>
      </c>
      <c r="R1180" s="34" t="s">
        <v>3540</v>
      </c>
      <c r="S1180" s="47">
        <v>35339</v>
      </c>
      <c r="T1180" s="47">
        <v>0</v>
      </c>
      <c r="U1180" s="47">
        <v>0</v>
      </c>
      <c r="V1180" s="34">
        <v>4078500284905</v>
      </c>
      <c r="W1180" s="34" t="s">
        <v>3541</v>
      </c>
      <c r="X1180" s="34" t="s">
        <v>3704</v>
      </c>
      <c r="Y1180" s="34" t="s">
        <v>3542</v>
      </c>
      <c r="Z1180" s="34">
        <v>4</v>
      </c>
      <c r="AA1180" s="34" t="s">
        <v>4710</v>
      </c>
      <c r="AB1180" s="34" t="s">
        <v>4710</v>
      </c>
      <c r="AC1180" s="34" t="s">
        <v>4765</v>
      </c>
      <c r="AD1180" s="34" t="s">
        <v>4765</v>
      </c>
      <c r="AE1180" s="34" t="s">
        <v>5993</v>
      </c>
      <c r="AF1180" s="34" t="s">
        <v>3955</v>
      </c>
      <c r="AG1180" s="34" t="s">
        <v>3886</v>
      </c>
      <c r="AH1180" s="34" t="s">
        <v>6672</v>
      </c>
      <c r="AI1180" s="34" t="s">
        <v>6673</v>
      </c>
      <c r="AL1180" s="34">
        <v>72</v>
      </c>
      <c r="AM1180" s="40" t="s">
        <v>8095</v>
      </c>
      <c r="AT1180" s="44">
        <v>0</v>
      </c>
      <c r="AU1180" s="44"/>
      <c r="AV1180" s="46">
        <f>ROUND(Товары[[#This Row],[РРЦ финальная, руб.]]/$AU$1,2)</f>
        <v>0</v>
      </c>
      <c r="AW1180" s="45" t="str">
        <f>IFERROR(Товары[[#This Row],[РРЦ, евро]]/Товары[[#This Row],[IRP, Eur]],"-")</f>
        <v>-</v>
      </c>
      <c r="AX1180" s="42">
        <f>IFERROR(VLOOKUP(Товары[[#This Row],[SubGroup]],'Структура цен DIY'!$B:$C,2,FALSE),0)</f>
        <v>0.30000000000000004</v>
      </c>
      <c r="AY1180" s="44">
        <v>0</v>
      </c>
    </row>
    <row r="1181" spans="1:51" x14ac:dyDescent="0.25">
      <c r="A1181" s="34">
        <v>1179</v>
      </c>
      <c r="B1181" s="34" t="s">
        <v>49</v>
      </c>
      <c r="C1181" s="110" t="str">
        <f>IFERROR(INDEX(Структура_ассортимента[SuperCategory],MATCH(Товары[[#This Row],[SubGroup]],Структура_ассортимента[Subgroup],0)),"")</f>
        <v>W</v>
      </c>
      <c r="D118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8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81" s="110" t="str">
        <f>IFERROR(INDEX(Структура_ассортимента[Product group],MATCH(Товары[[#This Row],[SubGroup]],Структура_ассортимента[Subgroup],0)),"")</f>
        <v>WMO_C</v>
      </c>
      <c r="G1181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81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81" s="36">
        <v>9011</v>
      </c>
      <c r="J1181" s="36" t="str">
        <f>IFERROR(INDEX(Структура_ассортимента[Generic Name (long)],MATCH(Товары[[#This Row],[SubGroup]],Структура_ассортимента[Subgroup],0)),"")</f>
        <v>TAP CONNECTOR</v>
      </c>
      <c r="L1181" s="36">
        <v>970442001</v>
      </c>
      <c r="M1181" s="35" t="s">
        <v>2857</v>
      </c>
      <c r="Q1181" s="34" t="s">
        <v>3652</v>
      </c>
      <c r="R1181" s="34" t="s">
        <v>3540</v>
      </c>
      <c r="S1181" s="47">
        <v>43831</v>
      </c>
      <c r="T1181" s="47">
        <v>0</v>
      </c>
      <c r="U1181" s="47">
        <v>0</v>
      </c>
      <c r="V1181" s="34">
        <v>4078500049665</v>
      </c>
      <c r="W1181" s="34" t="s">
        <v>3543</v>
      </c>
      <c r="X1181" s="34" t="s">
        <v>3579</v>
      </c>
      <c r="Y1181" s="34" t="s">
        <v>3542</v>
      </c>
      <c r="Z1181" s="34">
        <v>36</v>
      </c>
      <c r="AB1181" s="34" t="s">
        <v>3762</v>
      </c>
      <c r="AD1181" s="34" t="s">
        <v>5230</v>
      </c>
      <c r="AE1181" s="34" t="s">
        <v>3942</v>
      </c>
      <c r="AF1181" s="34" t="s">
        <v>3968</v>
      </c>
      <c r="AG1181" s="34" t="s">
        <v>5680</v>
      </c>
      <c r="AH1181" s="34" t="s">
        <v>6464</v>
      </c>
      <c r="AL1181" s="34" t="s">
        <v>3562</v>
      </c>
      <c r="AM1181" s="40" t="s">
        <v>8095</v>
      </c>
      <c r="AT1181" s="44">
        <v>0</v>
      </c>
      <c r="AU1181" s="44"/>
      <c r="AV1181" s="46">
        <f>ROUND(Товары[[#This Row],[РРЦ финальная, руб.]]/$AU$1,2)</f>
        <v>0</v>
      </c>
      <c r="AW1181" s="45" t="str">
        <f>IFERROR(Товары[[#This Row],[РРЦ, евро]]/Товары[[#This Row],[IRP, Eur]],"-")</f>
        <v>-</v>
      </c>
      <c r="AX1181" s="42">
        <f>IFERROR(VLOOKUP(Товары[[#This Row],[SubGroup]],'Структура цен DIY'!$B:$C,2,FALSE),0)</f>
        <v>0.26</v>
      </c>
      <c r="AY1181" s="44">
        <v>0</v>
      </c>
    </row>
    <row r="1182" spans="1:51" x14ac:dyDescent="0.25">
      <c r="A1182" s="34">
        <v>1180</v>
      </c>
      <c r="B1182" s="34" t="s">
        <v>49</v>
      </c>
      <c r="C1182" s="110" t="str">
        <f>IFERROR(INDEX(Структура_ассортимента[SuperCategory],MATCH(Товары[[#This Row],[SubGroup]],Структура_ассортимента[Subgroup],0)),"")</f>
        <v>W</v>
      </c>
      <c r="D118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8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82" s="110" t="str">
        <f>IFERROR(INDEX(Структура_ассортимента[Product group],MATCH(Товары[[#This Row],[SubGroup]],Структура_ассортимента[Subgroup],0)),"")</f>
        <v>WMO_C</v>
      </c>
      <c r="G1182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82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82" s="36">
        <v>9011</v>
      </c>
      <c r="J1182" s="36" t="str">
        <f>IFERROR(INDEX(Структура_ассортимента[Generic Name (long)],MATCH(Товары[[#This Row],[SubGroup]],Структура_ассортимента[Subgroup],0)),"")</f>
        <v>TAP CONNECTOR</v>
      </c>
      <c r="L1182" s="36">
        <v>967980501</v>
      </c>
      <c r="M1182" s="35" t="s">
        <v>2858</v>
      </c>
      <c r="O1182" s="35" t="s">
        <v>6674</v>
      </c>
      <c r="P1182" s="37" t="s">
        <v>6675</v>
      </c>
      <c r="Q1182" s="34" t="s">
        <v>3549</v>
      </c>
      <c r="R1182" s="34" t="s">
        <v>3540</v>
      </c>
      <c r="S1182" s="47">
        <v>43831</v>
      </c>
      <c r="T1182" s="47">
        <v>0</v>
      </c>
      <c r="U1182" s="47">
        <v>0</v>
      </c>
      <c r="V1182" s="34">
        <v>4078500048491</v>
      </c>
      <c r="W1182" s="34" t="s">
        <v>3543</v>
      </c>
      <c r="X1182" s="34" t="s">
        <v>3579</v>
      </c>
      <c r="Y1182" s="34" t="s">
        <v>3542</v>
      </c>
      <c r="Z1182" s="34">
        <v>6</v>
      </c>
      <c r="AA1182" s="34" t="s">
        <v>6676</v>
      </c>
      <c r="AB1182" s="34" t="s">
        <v>6028</v>
      </c>
      <c r="AC1182" s="34" t="s">
        <v>5629</v>
      </c>
      <c r="AD1182" s="34" t="s">
        <v>6471</v>
      </c>
      <c r="AE1182" s="34" t="s">
        <v>3693</v>
      </c>
      <c r="AF1182" s="34" t="s">
        <v>3800</v>
      </c>
      <c r="AG1182" s="34" t="s">
        <v>3672</v>
      </c>
      <c r="AH1182" s="34" t="s">
        <v>6440</v>
      </c>
      <c r="AI1182" s="34" t="s">
        <v>4234</v>
      </c>
      <c r="AJ1182" s="34" t="s">
        <v>4406</v>
      </c>
      <c r="AK1182" s="34" t="s">
        <v>4234</v>
      </c>
      <c r="AL1182" s="34" t="s">
        <v>6448</v>
      </c>
      <c r="AM1182" s="40" t="s">
        <v>233</v>
      </c>
      <c r="AT1182" s="44">
        <v>0</v>
      </c>
      <c r="AU1182" s="44"/>
      <c r="AV1182" s="46">
        <f>ROUND(Товары[[#This Row],[РРЦ финальная, руб.]]/$AU$1,2)</f>
        <v>0</v>
      </c>
      <c r="AW1182" s="45" t="str">
        <f>IFERROR(Товары[[#This Row],[РРЦ, евро]]/Товары[[#This Row],[IRP, Eur]],"-")</f>
        <v>-</v>
      </c>
      <c r="AX1182" s="42">
        <f>IFERROR(VLOOKUP(Товары[[#This Row],[SubGroup]],'Структура цен DIY'!$B:$C,2,FALSE),0)</f>
        <v>0.26</v>
      </c>
      <c r="AY1182" s="44">
        <v>0</v>
      </c>
    </row>
    <row r="1183" spans="1:51" x14ac:dyDescent="0.25">
      <c r="A1183" s="34">
        <v>1181</v>
      </c>
      <c r="B1183" s="34" t="s">
        <v>49</v>
      </c>
      <c r="C1183" s="110" t="str">
        <f>IFERROR(INDEX(Структура_ассортимента[SuperCategory],MATCH(Товары[[#This Row],[SubGroup]],Структура_ассортимента[Subgroup],0)),"")</f>
        <v>W</v>
      </c>
      <c r="D118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8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83" s="110" t="str">
        <f>IFERROR(INDEX(Структура_ассортимента[Product group],MATCH(Товары[[#This Row],[SubGroup]],Структура_ассортимента[Subgroup],0)),"")</f>
        <v>WMO_C</v>
      </c>
      <c r="G1183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83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83" s="36">
        <v>9011</v>
      </c>
      <c r="J1183" s="36" t="str">
        <f>IFERROR(INDEX(Структура_ассортимента[Generic Name (long)],MATCH(Товары[[#This Row],[SubGroup]],Структура_ассортимента[Subgroup],0)),"")</f>
        <v>TAP CONNECTOR</v>
      </c>
      <c r="L1183" s="36">
        <v>967980601</v>
      </c>
      <c r="M1183" s="35" t="s">
        <v>2859</v>
      </c>
      <c r="O1183" s="35" t="s">
        <v>6677</v>
      </c>
      <c r="P1183" s="37" t="s">
        <v>6678</v>
      </c>
      <c r="Q1183" s="34" t="s">
        <v>3549</v>
      </c>
      <c r="R1183" s="34" t="s">
        <v>3540</v>
      </c>
      <c r="S1183" s="47">
        <v>43831</v>
      </c>
      <c r="T1183" s="47">
        <v>0</v>
      </c>
      <c r="U1183" s="47">
        <v>0</v>
      </c>
      <c r="V1183" s="34">
        <v>4078500048514</v>
      </c>
      <c r="W1183" s="34" t="s">
        <v>3543</v>
      </c>
      <c r="X1183" s="34" t="s">
        <v>3579</v>
      </c>
      <c r="Y1183" s="34" t="s">
        <v>3542</v>
      </c>
      <c r="Z1183" s="34">
        <v>10</v>
      </c>
      <c r="AA1183" s="34" t="s">
        <v>6679</v>
      </c>
      <c r="AB1183" s="34" t="s">
        <v>3670</v>
      </c>
      <c r="AC1183" s="34" t="s">
        <v>6048</v>
      </c>
      <c r="AD1183" s="34" t="s">
        <v>3676</v>
      </c>
      <c r="AE1183" s="34" t="s">
        <v>4196</v>
      </c>
      <c r="AF1183" s="34" t="s">
        <v>3576</v>
      </c>
      <c r="AG1183" s="34" t="s">
        <v>3931</v>
      </c>
      <c r="AH1183" s="34" t="s">
        <v>6680</v>
      </c>
      <c r="AI1183" s="34" t="s">
        <v>4646</v>
      </c>
      <c r="AJ1183" s="34" t="s">
        <v>3931</v>
      </c>
      <c r="AK1183" s="34" t="s">
        <v>4775</v>
      </c>
      <c r="AL1183" s="34" t="s">
        <v>6681</v>
      </c>
      <c r="AM1183" s="40" t="s">
        <v>10</v>
      </c>
      <c r="AP1183" s="34">
        <v>0</v>
      </c>
      <c r="AQ1183" s="34">
        <v>1122</v>
      </c>
      <c r="AR1183" s="34">
        <v>683</v>
      </c>
      <c r="AT1183" s="44">
        <v>86900</v>
      </c>
      <c r="AU1183" s="44"/>
      <c r="AV1183" s="46">
        <f>ROUND(Товары[[#This Row],[РРЦ финальная, руб.]]/$AU$1,2)</f>
        <v>0</v>
      </c>
      <c r="AW1183" s="45" t="str">
        <f>IFERROR(Товары[[#This Row],[РРЦ, евро]]/Товары[[#This Row],[IRP, Eur]],"-")</f>
        <v>-</v>
      </c>
      <c r="AX1183" s="42">
        <f>IFERROR(VLOOKUP(Товары[[#This Row],[SubGroup]],'Структура цен DIY'!$B:$C,2,FALSE),0)</f>
        <v>0.26</v>
      </c>
      <c r="AY1183" s="44">
        <v>0</v>
      </c>
    </row>
    <row r="1184" spans="1:51" x14ac:dyDescent="0.25">
      <c r="A1184" s="34">
        <v>1182</v>
      </c>
      <c r="B1184" s="34" t="s">
        <v>49</v>
      </c>
      <c r="C1184" s="110" t="str">
        <f>IFERROR(INDEX(Структура_ассортимента[SuperCategory],MATCH(Товары[[#This Row],[SubGroup]],Структура_ассортимента[Subgroup],0)),"")</f>
        <v>W</v>
      </c>
      <c r="D118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8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84" s="110" t="str">
        <f>IFERROR(INDEX(Структура_ассортимента[Product group],MATCH(Товары[[#This Row],[SubGroup]],Структура_ассортимента[Subgroup],0)),"")</f>
        <v>WMO_C</v>
      </c>
      <c r="G1184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84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84" s="36">
        <v>9011</v>
      </c>
      <c r="J1184" s="36" t="str">
        <f>IFERROR(INDEX(Структура_ассортимента[Generic Name (long)],MATCH(Товары[[#This Row],[SubGroup]],Структура_ассортимента[Subgroup],0)),"")</f>
        <v>TAP CONNECTOR</v>
      </c>
      <c r="L1184" s="36">
        <v>967999201</v>
      </c>
      <c r="M1184" s="35" t="s">
        <v>2860</v>
      </c>
      <c r="Q1184" s="34" t="s">
        <v>3549</v>
      </c>
      <c r="R1184" s="34" t="s">
        <v>3540</v>
      </c>
      <c r="S1184" s="47">
        <v>43831</v>
      </c>
      <c r="T1184" s="47">
        <v>0</v>
      </c>
      <c r="U1184" s="47">
        <v>0</v>
      </c>
      <c r="V1184" s="34">
        <v>4078500049641</v>
      </c>
      <c r="W1184" s="34" t="s">
        <v>3543</v>
      </c>
      <c r="X1184" s="34" t="s">
        <v>3579</v>
      </c>
      <c r="Y1184" s="34" t="s">
        <v>3542</v>
      </c>
      <c r="Z1184" s="34">
        <v>8</v>
      </c>
      <c r="AB1184" s="34" t="s">
        <v>3670</v>
      </c>
      <c r="AD1184" s="34" t="s">
        <v>3676</v>
      </c>
      <c r="AE1184" s="34" t="s">
        <v>4196</v>
      </c>
      <c r="AF1184" s="34" t="s">
        <v>3576</v>
      </c>
      <c r="AG1184" s="34" t="s">
        <v>3931</v>
      </c>
      <c r="AH1184" s="34" t="s">
        <v>6680</v>
      </c>
      <c r="AI1184" s="34" t="s">
        <v>4646</v>
      </c>
      <c r="AJ1184" s="34" t="s">
        <v>3931</v>
      </c>
      <c r="AK1184" s="34" t="s">
        <v>4775</v>
      </c>
      <c r="AL1184" s="34" t="s">
        <v>4176</v>
      </c>
      <c r="AM1184" s="40" t="s">
        <v>8095</v>
      </c>
      <c r="AT1184" s="44">
        <v>0</v>
      </c>
      <c r="AU1184" s="44"/>
      <c r="AV1184" s="46">
        <f>ROUND(Товары[[#This Row],[РРЦ финальная, руб.]]/$AU$1,2)</f>
        <v>0</v>
      </c>
      <c r="AW1184" s="45" t="str">
        <f>IFERROR(Товары[[#This Row],[РРЦ, евро]]/Товары[[#This Row],[IRP, Eur]],"-")</f>
        <v>-</v>
      </c>
      <c r="AX1184" s="42">
        <f>IFERROR(VLOOKUP(Товары[[#This Row],[SubGroup]],'Структура цен DIY'!$B:$C,2,FALSE),0)</f>
        <v>0.26</v>
      </c>
      <c r="AY1184" s="44">
        <v>0</v>
      </c>
    </row>
    <row r="1185" spans="1:51" x14ac:dyDescent="0.25">
      <c r="A1185" s="34">
        <v>1183</v>
      </c>
      <c r="B1185" s="34" t="s">
        <v>49</v>
      </c>
      <c r="C1185" s="110" t="str">
        <f>IFERROR(INDEX(Структура_ассортимента[SuperCategory],MATCH(Товары[[#This Row],[SubGroup]],Структура_ассортимента[Subgroup],0)),"")</f>
        <v>W</v>
      </c>
      <c r="D118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8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85" s="110" t="str">
        <f>IFERROR(INDEX(Структура_ассортимента[Product group],MATCH(Товары[[#This Row],[SubGroup]],Структура_ассортимента[Subgroup],0)),"")</f>
        <v>WMO_C</v>
      </c>
      <c r="G1185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85" s="110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85" s="36">
        <v>9012</v>
      </c>
      <c r="J1185" s="36" t="str">
        <f>IFERROR(INDEX(Структура_ассортимента[Generic Name (long)],MATCH(Товары[[#This Row],[SubGroup]],Структура_ассортимента[Subgroup],0)),"")</f>
        <v>PROMOTION SET</v>
      </c>
      <c r="L1185" s="36">
        <v>970481401</v>
      </c>
      <c r="M1185" s="35" t="s">
        <v>2861</v>
      </c>
      <c r="O1185" s="35" t="s">
        <v>6682</v>
      </c>
      <c r="P1185" s="37" t="s">
        <v>6683</v>
      </c>
      <c r="Q1185" s="34" t="s">
        <v>3549</v>
      </c>
      <c r="R1185" s="34" t="s">
        <v>3540</v>
      </c>
      <c r="S1185" s="47">
        <v>44197</v>
      </c>
      <c r="T1185" s="47">
        <v>0</v>
      </c>
      <c r="U1185" s="47">
        <v>0</v>
      </c>
      <c r="V1185" s="34">
        <v>4078500052825</v>
      </c>
      <c r="W1185" s="34" t="s">
        <v>3543</v>
      </c>
      <c r="Y1185" s="34" t="s">
        <v>3542</v>
      </c>
      <c r="Z1185" s="34">
        <v>48</v>
      </c>
      <c r="AM1185" s="40" t="s">
        <v>11</v>
      </c>
      <c r="AT1185" s="44">
        <v>0</v>
      </c>
      <c r="AU1185" s="44"/>
      <c r="AV1185" s="46">
        <f>ROUND(Товары[[#This Row],[РРЦ финальная, руб.]]/$AU$1,2)</f>
        <v>0</v>
      </c>
      <c r="AW1185" s="45" t="str">
        <f>IFERROR(Товары[[#This Row],[РРЦ, евро]]/Товары[[#This Row],[IRP, Eur]],"-")</f>
        <v>-</v>
      </c>
      <c r="AX1185" s="42">
        <f>IFERROR(VLOOKUP(Товары[[#This Row],[SubGroup]],'Структура цен DIY'!$B:$C,2,FALSE),0)</f>
        <v>0.26861476238624882</v>
      </c>
      <c r="AY1185" s="44">
        <v>0</v>
      </c>
    </row>
    <row r="1186" spans="1:51" x14ac:dyDescent="0.25">
      <c r="A1186" s="34">
        <v>1184</v>
      </c>
      <c r="B1186" s="34" t="s">
        <v>49</v>
      </c>
      <c r="C1186" s="110" t="str">
        <f>IFERROR(INDEX(Структура_ассортимента[SuperCategory],MATCH(Товары[[#This Row],[SubGroup]],Структура_ассортимента[Subgroup],0)),"")</f>
        <v>W</v>
      </c>
      <c r="D118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8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86" s="110" t="str">
        <f>IFERROR(INDEX(Структура_ассортимента[Product group],MATCH(Товары[[#This Row],[SubGroup]],Структура_ассортимента[Subgroup],0)),"")</f>
        <v>WMO_C</v>
      </c>
      <c r="G1186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86" s="110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86" s="36">
        <v>9012</v>
      </c>
      <c r="J1186" s="36" t="str">
        <f>IFERROR(INDEX(Структура_ассортимента[Generic Name (long)],MATCH(Товары[[#This Row],[SubGroup]],Структура_ассортимента[Subgroup],0)),"")</f>
        <v>PROMOTION SET</v>
      </c>
      <c r="L1186" s="36">
        <v>970481301</v>
      </c>
      <c r="M1186" s="35" t="s">
        <v>2862</v>
      </c>
      <c r="O1186" s="35" t="s">
        <v>6684</v>
      </c>
      <c r="P1186" s="37" t="s">
        <v>6609</v>
      </c>
      <c r="Q1186" s="34" t="s">
        <v>3549</v>
      </c>
      <c r="R1186" s="34" t="s">
        <v>3540</v>
      </c>
      <c r="S1186" s="47">
        <v>44197</v>
      </c>
      <c r="T1186" s="47">
        <v>0</v>
      </c>
      <c r="U1186" s="47">
        <v>0</v>
      </c>
      <c r="V1186" s="34">
        <v>4078500052849</v>
      </c>
      <c r="W1186" s="34" t="s">
        <v>3543</v>
      </c>
      <c r="Y1186" s="34" t="s">
        <v>3542</v>
      </c>
      <c r="Z1186" s="34">
        <v>20</v>
      </c>
      <c r="AM1186" s="40" t="s">
        <v>11</v>
      </c>
      <c r="AT1186" s="44">
        <v>0</v>
      </c>
      <c r="AU1186" s="44"/>
      <c r="AV1186" s="46">
        <f>ROUND(Товары[[#This Row],[РРЦ финальная, руб.]]/$AU$1,2)</f>
        <v>0</v>
      </c>
      <c r="AW1186" s="45" t="str">
        <f>IFERROR(Товары[[#This Row],[РРЦ, евро]]/Товары[[#This Row],[IRP, Eur]],"-")</f>
        <v>-</v>
      </c>
      <c r="AX1186" s="42">
        <f>IFERROR(VLOOKUP(Товары[[#This Row],[SubGroup]],'Структура цен DIY'!$B:$C,2,FALSE),0)</f>
        <v>0.26861476238624882</v>
      </c>
      <c r="AY1186" s="44">
        <v>0</v>
      </c>
    </row>
    <row r="1187" spans="1:51" x14ac:dyDescent="0.25">
      <c r="A1187" s="34">
        <v>1185</v>
      </c>
      <c r="B1187" s="34" t="s">
        <v>49</v>
      </c>
      <c r="C1187" s="110" t="str">
        <f>IFERROR(INDEX(Структура_ассортимента[SuperCategory],MATCH(Товары[[#This Row],[SubGroup]],Структура_ассортимента[Subgroup],0)),"")</f>
        <v>W</v>
      </c>
      <c r="D118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8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87" s="110" t="str">
        <f>IFERROR(INDEX(Структура_ассортимента[Product group],MATCH(Товары[[#This Row],[SubGroup]],Структура_ассортимента[Subgroup],0)),"")</f>
        <v>WMA_C</v>
      </c>
      <c r="G1187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187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187" s="36">
        <v>9022</v>
      </c>
      <c r="J1187" s="36" t="str">
        <f>IFERROR(INDEX(Структура_ассортимента[Generic Name (long)],MATCH(Товары[[#This Row],[SubGroup]],Структура_ассортимента[Subgroup],0)),"")</f>
        <v>GARDEN SHOWER</v>
      </c>
      <c r="L1187" s="36">
        <v>900878401</v>
      </c>
      <c r="M1187" s="35" t="s">
        <v>2863</v>
      </c>
      <c r="Q1187" s="34" t="s">
        <v>3539</v>
      </c>
      <c r="R1187" s="34" t="s">
        <v>3540</v>
      </c>
      <c r="S1187" s="47">
        <v>36434</v>
      </c>
      <c r="T1187" s="47">
        <v>0</v>
      </c>
      <c r="U1187" s="47">
        <v>0</v>
      </c>
      <c r="V1187" s="34">
        <v>4078500094405</v>
      </c>
      <c r="W1187" s="34" t="s">
        <v>3543</v>
      </c>
      <c r="Y1187" s="34" t="s">
        <v>3542</v>
      </c>
      <c r="Z1187" s="34">
        <v>4</v>
      </c>
      <c r="AA1187" s="34">
        <v>560</v>
      </c>
      <c r="AB1187" s="34">
        <v>560</v>
      </c>
      <c r="AC1187" s="34">
        <v>500</v>
      </c>
      <c r="AD1187" s="34">
        <v>500</v>
      </c>
      <c r="AE1187" s="34">
        <v>768</v>
      </c>
      <c r="AF1187" s="34">
        <v>190</v>
      </c>
      <c r="AG1187" s="34">
        <v>50</v>
      </c>
      <c r="AH1187" s="34">
        <v>7.2960000000000003</v>
      </c>
      <c r="AM1187" s="40" t="s">
        <v>8094</v>
      </c>
      <c r="AT1187" s="44">
        <v>0</v>
      </c>
      <c r="AU1187" s="44"/>
      <c r="AV1187" s="46">
        <f>ROUND(Товары[[#This Row],[РРЦ финальная, руб.]]/$AU$1,2)</f>
        <v>0</v>
      </c>
      <c r="AW1187" s="45" t="str">
        <f>IFERROR(Товары[[#This Row],[РРЦ, евро]]/Товары[[#This Row],[IRP, Eur]],"-")</f>
        <v>-</v>
      </c>
      <c r="AX1187" s="42">
        <f>IFERROR(VLOOKUP(Товары[[#This Row],[SubGroup]],'Структура цен DIY'!$B:$C,2,FALSE),0)</f>
        <v>0.28000000000000003</v>
      </c>
      <c r="AY1187" s="44">
        <v>0</v>
      </c>
    </row>
    <row r="1188" spans="1:51" x14ac:dyDescent="0.25">
      <c r="A1188" s="34">
        <v>1186</v>
      </c>
      <c r="B1188" s="34" t="s">
        <v>49</v>
      </c>
      <c r="C1188" s="110" t="str">
        <f>IFERROR(INDEX(Структура_ассортимента[SuperCategory],MATCH(Товары[[#This Row],[SubGroup]],Структура_ассортимента[Subgroup],0)),"")</f>
        <v>W</v>
      </c>
      <c r="D118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8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88" s="110" t="str">
        <f>IFERROR(INDEX(Структура_ассортимента[Product group],MATCH(Товары[[#This Row],[SubGroup]],Структура_ассортимента[Subgroup],0)),"")</f>
        <v>WMA_C</v>
      </c>
      <c r="G1188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188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188" s="36">
        <v>9022</v>
      </c>
      <c r="J1188" s="36" t="str">
        <f>IFERROR(INDEX(Структура_ассортимента[Generic Name (long)],MATCH(Товары[[#This Row],[SubGroup]],Структура_ассортимента[Subgroup],0)),"")</f>
        <v>GARDEN SHOWER</v>
      </c>
      <c r="L1188" s="36">
        <v>900967001</v>
      </c>
      <c r="M1188" s="35" t="s">
        <v>2864</v>
      </c>
      <c r="Q1188" s="34" t="s">
        <v>3539</v>
      </c>
      <c r="R1188" s="34" t="s">
        <v>3540</v>
      </c>
      <c r="S1188" s="47">
        <v>34608</v>
      </c>
      <c r="T1188" s="47">
        <v>0</v>
      </c>
      <c r="U1188" s="47">
        <v>0</v>
      </c>
      <c r="V1188" s="34">
        <v>4078500193603</v>
      </c>
      <c r="W1188" s="34" t="s">
        <v>3543</v>
      </c>
      <c r="Y1188" s="34" t="s">
        <v>3542</v>
      </c>
      <c r="Z1188" s="34">
        <v>6</v>
      </c>
      <c r="AA1188" s="34">
        <v>305</v>
      </c>
      <c r="AB1188" s="34">
        <v>305</v>
      </c>
      <c r="AC1188" s="34">
        <v>227</v>
      </c>
      <c r="AD1188" s="34">
        <v>227</v>
      </c>
      <c r="AE1188" s="34">
        <v>785</v>
      </c>
      <c r="AF1188" s="34">
        <v>181</v>
      </c>
      <c r="AG1188" s="34">
        <v>23</v>
      </c>
      <c r="AH1188" s="34">
        <v>3.2679999999999998</v>
      </c>
      <c r="AM1188" s="40" t="s">
        <v>8094</v>
      </c>
      <c r="AT1188" s="44">
        <v>0</v>
      </c>
      <c r="AU1188" s="44"/>
      <c r="AV1188" s="46">
        <f>ROUND(Товары[[#This Row],[РРЦ финальная, руб.]]/$AU$1,2)</f>
        <v>0</v>
      </c>
      <c r="AW1188" s="45" t="str">
        <f>IFERROR(Товары[[#This Row],[РРЦ, евро]]/Товары[[#This Row],[IRP, Eur]],"-")</f>
        <v>-</v>
      </c>
      <c r="AX1188" s="42">
        <f>IFERROR(VLOOKUP(Товары[[#This Row],[SubGroup]],'Структура цен DIY'!$B:$C,2,FALSE),0)</f>
        <v>0.28000000000000003</v>
      </c>
      <c r="AY1188" s="44">
        <v>0</v>
      </c>
    </row>
    <row r="1189" spans="1:51" x14ac:dyDescent="0.25">
      <c r="A1189" s="34">
        <v>1187</v>
      </c>
      <c r="B1189" s="34" t="s">
        <v>49</v>
      </c>
      <c r="C1189" s="110" t="str">
        <f>IFERROR(INDEX(Структура_ассортимента[SuperCategory],MATCH(Товары[[#This Row],[SubGroup]],Структура_ассортимента[Subgroup],0)),"")</f>
        <v>W</v>
      </c>
      <c r="D118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8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89" s="110" t="str">
        <f>IFERROR(INDEX(Структура_ассортимента[Product group],MATCH(Товары[[#This Row],[SubGroup]],Структура_ассортимента[Subgroup],0)),"")</f>
        <v>WMT_C</v>
      </c>
      <c r="G1189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189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189" s="36">
        <v>9015</v>
      </c>
      <c r="J1189" s="36" t="str">
        <f>IFERROR(INDEX(Структура_ассортимента[Generic Name (long)],MATCH(Товары[[#This Row],[SubGroup]],Структура_ассортимента[Subgroup],0)),"")</f>
        <v>WALL HOSE BRACKET</v>
      </c>
      <c r="L1189" s="36">
        <v>967336101</v>
      </c>
      <c r="M1189" s="35" t="s">
        <v>2865</v>
      </c>
      <c r="Q1189" s="34" t="s">
        <v>3539</v>
      </c>
      <c r="R1189" s="34" t="s">
        <v>3540</v>
      </c>
      <c r="S1189" s="47">
        <v>42005</v>
      </c>
      <c r="T1189" s="47">
        <v>0</v>
      </c>
      <c r="U1189" s="47">
        <v>0</v>
      </c>
      <c r="V1189" s="34">
        <v>4078500016063</v>
      </c>
      <c r="W1189" s="34" t="s">
        <v>3543</v>
      </c>
      <c r="Y1189" s="34" t="s">
        <v>3542</v>
      </c>
      <c r="Z1189" s="34">
        <v>6</v>
      </c>
      <c r="AA1189" s="34">
        <v>6160</v>
      </c>
      <c r="AC1189" s="34">
        <v>5960</v>
      </c>
      <c r="AM1189" s="40" t="s">
        <v>8094</v>
      </c>
      <c r="AT1189" s="44">
        <v>0</v>
      </c>
      <c r="AU1189" s="44"/>
      <c r="AV1189" s="46">
        <f>ROUND(Товары[[#This Row],[РРЦ финальная, руб.]]/$AU$1,2)</f>
        <v>0</v>
      </c>
      <c r="AW1189" s="45" t="str">
        <f>IFERROR(Товары[[#This Row],[РРЦ, евро]]/Товары[[#This Row],[IRP, Eur]],"-")</f>
        <v>-</v>
      </c>
      <c r="AX1189" s="42">
        <f>IFERROR(VLOOKUP(Товары[[#This Row],[SubGroup]],'Структура цен DIY'!$B:$C,2,FALSE),0)</f>
        <v>0.25</v>
      </c>
      <c r="AY1189" s="44">
        <v>0</v>
      </c>
    </row>
    <row r="1190" spans="1:51" x14ac:dyDescent="0.25">
      <c r="A1190" s="34">
        <v>1188</v>
      </c>
      <c r="B1190" s="34" t="s">
        <v>49</v>
      </c>
      <c r="C1190" s="110" t="str">
        <f>IFERROR(INDEX(Структура_ассортимента[SuperCategory],MATCH(Товары[[#This Row],[SubGroup]],Структура_ассортимента[Subgroup],0)),"")</f>
        <v>W</v>
      </c>
      <c r="D119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9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90" s="110" t="str">
        <f>IFERROR(INDEX(Структура_ассортимента[Product group],MATCH(Товары[[#This Row],[SubGroup]],Структура_ассортимента[Subgroup],0)),"")</f>
        <v>WMA_C</v>
      </c>
      <c r="G1190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190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190" s="36">
        <v>9161</v>
      </c>
      <c r="J1190" s="36" t="str">
        <f>IFERROR(INDEX(Структура_ассортимента[Generic Name (long)],MATCH(Товары[[#This Row],[SubGroup]],Структура_ассортимента[Subgroup],0)),"")</f>
        <v>BRUSH</v>
      </c>
      <c r="L1190" s="36">
        <v>901091001</v>
      </c>
      <c r="M1190" s="35" t="s">
        <v>2866</v>
      </c>
      <c r="Q1190" s="34" t="s">
        <v>3539</v>
      </c>
      <c r="R1190" s="34" t="s">
        <v>3540</v>
      </c>
      <c r="S1190" s="47">
        <v>39356</v>
      </c>
      <c r="T1190" s="47">
        <v>0</v>
      </c>
      <c r="U1190" s="47">
        <v>0</v>
      </c>
      <c r="V1190" s="34">
        <v>4078500556606</v>
      </c>
      <c r="W1190" s="34" t="s">
        <v>3543</v>
      </c>
      <c r="Y1190" s="34" t="s">
        <v>3542</v>
      </c>
      <c r="Z1190" s="34">
        <v>2</v>
      </c>
      <c r="AA1190" s="34">
        <v>389</v>
      </c>
      <c r="AB1190" s="34">
        <v>389</v>
      </c>
      <c r="AC1190" s="34">
        <v>275</v>
      </c>
      <c r="AD1190" s="34">
        <v>275</v>
      </c>
      <c r="AE1190" s="34">
        <v>435</v>
      </c>
      <c r="AF1190" s="34">
        <v>130</v>
      </c>
      <c r="AG1190" s="34">
        <v>85</v>
      </c>
      <c r="AH1190" s="34">
        <v>4.8070000000000004</v>
      </c>
      <c r="AM1190" s="40" t="s">
        <v>8094</v>
      </c>
      <c r="AT1190" s="44">
        <v>0</v>
      </c>
      <c r="AU1190" s="44"/>
      <c r="AV1190" s="46">
        <f>ROUND(Товары[[#This Row],[РРЦ финальная, руб.]]/$AU$1,2)</f>
        <v>0</v>
      </c>
      <c r="AW1190" s="45" t="str">
        <f>IFERROR(Товары[[#This Row],[РРЦ, евро]]/Товары[[#This Row],[IRP, Eur]],"-")</f>
        <v>-</v>
      </c>
      <c r="AX1190" s="42">
        <f>IFERROR(VLOOKUP(Товары[[#This Row],[SubGroup]],'Структура цен DIY'!$B:$C,2,FALSE),0)</f>
        <v>0</v>
      </c>
      <c r="AY1190" s="44">
        <v>0</v>
      </c>
    </row>
    <row r="1191" spans="1:51" x14ac:dyDescent="0.25">
      <c r="A1191" s="34">
        <v>1189</v>
      </c>
      <c r="B1191" s="34" t="s">
        <v>49</v>
      </c>
      <c r="C1191" s="110" t="str">
        <f>IFERROR(INDEX(Структура_ассортимента[SuperCategory],MATCH(Товары[[#This Row],[SubGroup]],Структура_ассортимента[Subgroup],0)),"")</f>
        <v>W</v>
      </c>
      <c r="D119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9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91" s="110" t="str">
        <f>IFERROR(INDEX(Структура_ассортимента[Product group],MATCH(Товары[[#This Row],[SubGroup]],Структура_ассортимента[Subgroup],0)),"")</f>
        <v>WMA_C</v>
      </c>
      <c r="G1191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191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191" s="36">
        <v>9161</v>
      </c>
      <c r="J1191" s="36" t="str">
        <f>IFERROR(INDEX(Структура_ассортимента[Generic Name (long)],MATCH(Товары[[#This Row],[SubGroup]],Структура_ассортимента[Subgroup],0)),"")</f>
        <v>BRUSH</v>
      </c>
      <c r="L1191" s="36">
        <v>901091101</v>
      </c>
      <c r="M1191" s="35" t="s">
        <v>2867</v>
      </c>
      <c r="Q1191" s="34" t="s">
        <v>3539</v>
      </c>
      <c r="R1191" s="34" t="s">
        <v>3540</v>
      </c>
      <c r="S1191" s="47">
        <v>39356</v>
      </c>
      <c r="T1191" s="47">
        <v>0</v>
      </c>
      <c r="U1191" s="47">
        <v>0</v>
      </c>
      <c r="V1191" s="34">
        <v>4078500556644</v>
      </c>
      <c r="W1191" s="34" t="s">
        <v>3543</v>
      </c>
      <c r="Y1191" s="34" t="s">
        <v>3542</v>
      </c>
      <c r="Z1191" s="34">
        <v>2</v>
      </c>
      <c r="AA1191" s="34">
        <v>389</v>
      </c>
      <c r="AB1191" s="34">
        <v>389</v>
      </c>
      <c r="AC1191" s="34">
        <v>275</v>
      </c>
      <c r="AD1191" s="34">
        <v>275</v>
      </c>
      <c r="AE1191" s="34">
        <v>435</v>
      </c>
      <c r="AF1191" s="34">
        <v>130</v>
      </c>
      <c r="AG1191" s="34">
        <v>85</v>
      </c>
      <c r="AH1191" s="34">
        <v>4.8070000000000004</v>
      </c>
      <c r="AM1191" s="40" t="s">
        <v>8094</v>
      </c>
      <c r="AT1191" s="44">
        <v>0</v>
      </c>
      <c r="AU1191" s="44"/>
      <c r="AV1191" s="46">
        <f>ROUND(Товары[[#This Row],[РРЦ финальная, руб.]]/$AU$1,2)</f>
        <v>0</v>
      </c>
      <c r="AW1191" s="45" t="str">
        <f>IFERROR(Товары[[#This Row],[РРЦ, евро]]/Товары[[#This Row],[IRP, Eur]],"-")</f>
        <v>-</v>
      </c>
      <c r="AX1191" s="42">
        <f>IFERROR(VLOOKUP(Товары[[#This Row],[SubGroup]],'Структура цен DIY'!$B:$C,2,FALSE),0)</f>
        <v>0</v>
      </c>
      <c r="AY1191" s="44">
        <v>0</v>
      </c>
    </row>
    <row r="1192" spans="1:51" x14ac:dyDescent="0.25">
      <c r="A1192" s="34">
        <v>1190</v>
      </c>
      <c r="B1192" s="34" t="s">
        <v>49</v>
      </c>
      <c r="C1192" s="110" t="str">
        <f>IFERROR(INDEX(Структура_ассортимента[SuperCategory],MATCH(Товары[[#This Row],[SubGroup]],Структура_ассортимента[Subgroup],0)),"")</f>
        <v>W</v>
      </c>
      <c r="D119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9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92" s="110" t="str">
        <f>IFERROR(INDEX(Структура_ассортимента[Product group],MATCH(Товары[[#This Row],[SubGroup]],Структура_ассортимента[Subgroup],0)),"")</f>
        <v>WMA_C</v>
      </c>
      <c r="G1192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192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192" s="36">
        <v>9161</v>
      </c>
      <c r="J1192" s="36" t="str">
        <f>IFERROR(INDEX(Структура_ассортимента[Generic Name (long)],MATCH(Товары[[#This Row],[SubGroup]],Структура_ассортимента[Subgroup],0)),"")</f>
        <v>BRUSH</v>
      </c>
      <c r="L1192" s="36">
        <v>901094901</v>
      </c>
      <c r="M1192" s="35" t="s">
        <v>2868</v>
      </c>
      <c r="Q1192" s="34" t="s">
        <v>3539</v>
      </c>
      <c r="R1192" s="34" t="s">
        <v>3540</v>
      </c>
      <c r="S1192" s="47">
        <v>37895</v>
      </c>
      <c r="T1192" s="47">
        <v>0</v>
      </c>
      <c r="U1192" s="47">
        <v>0</v>
      </c>
      <c r="V1192" s="34">
        <v>4078500607766</v>
      </c>
      <c r="W1192" s="34" t="s">
        <v>3543</v>
      </c>
      <c r="Y1192" s="34" t="s">
        <v>3542</v>
      </c>
      <c r="Z1192" s="34">
        <v>1</v>
      </c>
      <c r="AA1192" s="34">
        <v>12740</v>
      </c>
      <c r="AB1192" s="34">
        <v>12740</v>
      </c>
      <c r="AC1192" s="34">
        <v>12500</v>
      </c>
      <c r="AD1192" s="34">
        <v>12500</v>
      </c>
      <c r="AE1192" s="34">
        <v>595</v>
      </c>
      <c r="AF1192" s="34">
        <v>395</v>
      </c>
      <c r="AG1192" s="34">
        <v>930</v>
      </c>
      <c r="AH1192" s="34">
        <v>218.57300000000001</v>
      </c>
      <c r="AM1192" s="40" t="s">
        <v>8094</v>
      </c>
      <c r="AT1192" s="44">
        <v>0</v>
      </c>
      <c r="AU1192" s="44"/>
      <c r="AV1192" s="46">
        <f>ROUND(Товары[[#This Row],[РРЦ финальная, руб.]]/$AU$1,2)</f>
        <v>0</v>
      </c>
      <c r="AW1192" s="45" t="str">
        <f>IFERROR(Товары[[#This Row],[РРЦ, евро]]/Товары[[#This Row],[IRP, Eur]],"-")</f>
        <v>-</v>
      </c>
      <c r="AX1192" s="42">
        <f>IFERROR(VLOOKUP(Товары[[#This Row],[SubGroup]],'Структура цен DIY'!$B:$C,2,FALSE),0)</f>
        <v>0</v>
      </c>
      <c r="AY1192" s="44">
        <v>0</v>
      </c>
    </row>
    <row r="1193" spans="1:51" x14ac:dyDescent="0.25">
      <c r="A1193" s="34">
        <v>1191</v>
      </c>
      <c r="B1193" s="34" t="s">
        <v>49</v>
      </c>
      <c r="C1193" s="110" t="str">
        <f>IFERROR(INDEX(Структура_ассортимента[SuperCategory],MATCH(Товары[[#This Row],[SubGroup]],Структура_ассортимента[Subgroup],0)),"")</f>
        <v>W</v>
      </c>
      <c r="D119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9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93" s="110" t="str">
        <f>IFERROR(INDEX(Структура_ассортимента[Product group],MATCH(Товары[[#This Row],[SubGroup]],Структура_ассортимента[Subgroup],0)),"")</f>
        <v>WMA_C</v>
      </c>
      <c r="G1193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193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193" s="36">
        <v>9022</v>
      </c>
      <c r="J1193" s="36" t="str">
        <f>IFERROR(INDEX(Структура_ассортимента[Generic Name (long)],MATCH(Товары[[#This Row],[SubGroup]],Структура_ассортимента[Subgroup],0)),"")</f>
        <v>GARDEN SHOWER</v>
      </c>
      <c r="L1193" s="36">
        <v>901145601</v>
      </c>
      <c r="M1193" s="35" t="s">
        <v>2869</v>
      </c>
      <c r="Q1193" s="34" t="s">
        <v>3539</v>
      </c>
      <c r="R1193" s="34" t="s">
        <v>3540</v>
      </c>
      <c r="S1193" s="47">
        <v>37895</v>
      </c>
      <c r="T1193" s="47">
        <v>0</v>
      </c>
      <c r="U1193" s="47">
        <v>0</v>
      </c>
      <c r="V1193" s="34">
        <v>4078500810203</v>
      </c>
      <c r="W1193" s="34" t="s">
        <v>3543</v>
      </c>
      <c r="Y1193" s="34" t="s">
        <v>3542</v>
      </c>
      <c r="Z1193" s="34">
        <v>5</v>
      </c>
      <c r="AA1193" s="34">
        <v>255</v>
      </c>
      <c r="AB1193" s="34">
        <v>255</v>
      </c>
      <c r="AC1193" s="34">
        <v>205</v>
      </c>
      <c r="AD1193" s="34">
        <v>205</v>
      </c>
      <c r="AE1193" s="34">
        <v>230</v>
      </c>
      <c r="AF1193" s="34">
        <v>200</v>
      </c>
      <c r="AG1193" s="34">
        <v>75</v>
      </c>
      <c r="AH1193" s="34">
        <v>3.45</v>
      </c>
      <c r="AM1193" s="40" t="s">
        <v>8094</v>
      </c>
      <c r="AT1193" s="44">
        <v>0</v>
      </c>
      <c r="AU1193" s="44"/>
      <c r="AV1193" s="46">
        <f>ROUND(Товары[[#This Row],[РРЦ финальная, руб.]]/$AU$1,2)</f>
        <v>0</v>
      </c>
      <c r="AW1193" s="45" t="str">
        <f>IFERROR(Товары[[#This Row],[РРЦ, евро]]/Товары[[#This Row],[IRP, Eur]],"-")</f>
        <v>-</v>
      </c>
      <c r="AX1193" s="42">
        <f>IFERROR(VLOOKUP(Товары[[#This Row],[SubGroup]],'Структура цен DIY'!$B:$C,2,FALSE),0)</f>
        <v>0.28000000000000003</v>
      </c>
      <c r="AY1193" s="44">
        <v>0</v>
      </c>
    </row>
    <row r="1194" spans="1:51" x14ac:dyDescent="0.25">
      <c r="A1194" s="34">
        <v>1192</v>
      </c>
      <c r="B1194" s="34" t="s">
        <v>49</v>
      </c>
      <c r="C1194" s="110" t="str">
        <f>IFERROR(INDEX(Структура_ассортимента[SuperCategory],MATCH(Товары[[#This Row],[SubGroup]],Структура_ассортимента[Subgroup],0)),"")</f>
        <v>W</v>
      </c>
      <c r="D119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9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94" s="110" t="str">
        <f>IFERROR(INDEX(Структура_ассортимента[Product group],MATCH(Товары[[#This Row],[SubGroup]],Структура_ассортимента[Subgroup],0)),"")</f>
        <v>WMA_C</v>
      </c>
      <c r="G1194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194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194" s="36">
        <v>9022</v>
      </c>
      <c r="J1194" s="36" t="str">
        <f>IFERROR(INDEX(Структура_ассортимента[Generic Name (long)],MATCH(Товары[[#This Row],[SubGroup]],Структура_ассортимента[Subgroup],0)),"")</f>
        <v>GARDEN SHOWER</v>
      </c>
      <c r="L1194" s="36">
        <v>901145901</v>
      </c>
      <c r="M1194" s="35" t="s">
        <v>2870</v>
      </c>
      <c r="Q1194" s="34" t="s">
        <v>3539</v>
      </c>
      <c r="R1194" s="34" t="s">
        <v>3540</v>
      </c>
      <c r="S1194" s="47">
        <v>37895</v>
      </c>
      <c r="T1194" s="47">
        <v>0</v>
      </c>
      <c r="U1194" s="47">
        <v>0</v>
      </c>
      <c r="V1194" s="34">
        <v>4078500810302</v>
      </c>
      <c r="W1194" s="34" t="s">
        <v>3543</v>
      </c>
      <c r="Y1194" s="34" t="s">
        <v>3542</v>
      </c>
      <c r="Z1194" s="34">
        <v>50</v>
      </c>
      <c r="AA1194" s="34">
        <v>290</v>
      </c>
      <c r="AB1194" s="34">
        <v>290</v>
      </c>
      <c r="AC1194" s="34">
        <v>225</v>
      </c>
      <c r="AD1194" s="34">
        <v>225</v>
      </c>
      <c r="AE1194" s="34">
        <v>285</v>
      </c>
      <c r="AF1194" s="34">
        <v>180</v>
      </c>
      <c r="AG1194" s="34">
        <v>60</v>
      </c>
      <c r="AH1194" s="34">
        <v>3.0779999999999998</v>
      </c>
      <c r="AM1194" s="40" t="s">
        <v>8094</v>
      </c>
      <c r="AT1194" s="44">
        <v>0</v>
      </c>
      <c r="AU1194" s="44"/>
      <c r="AV1194" s="46">
        <f>ROUND(Товары[[#This Row],[РРЦ финальная, руб.]]/$AU$1,2)</f>
        <v>0</v>
      </c>
      <c r="AW1194" s="45" t="str">
        <f>IFERROR(Товары[[#This Row],[РРЦ, евро]]/Товары[[#This Row],[IRP, Eur]],"-")</f>
        <v>-</v>
      </c>
      <c r="AX1194" s="42">
        <f>IFERROR(VLOOKUP(Товары[[#This Row],[SubGroup]],'Структура цен DIY'!$B:$C,2,FALSE),0)</f>
        <v>0.28000000000000003</v>
      </c>
      <c r="AY1194" s="44">
        <v>0</v>
      </c>
    </row>
    <row r="1195" spans="1:51" x14ac:dyDescent="0.25">
      <c r="A1195" s="34">
        <v>1193</v>
      </c>
      <c r="B1195" s="34" t="s">
        <v>49</v>
      </c>
      <c r="C1195" s="110" t="str">
        <f>IFERROR(INDEX(Структура_ассортимента[SuperCategory],MATCH(Товары[[#This Row],[SubGroup]],Структура_ассортимента[Subgroup],0)),"")</f>
        <v>W</v>
      </c>
      <c r="D119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9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95" s="110" t="str">
        <f>IFERROR(INDEX(Структура_ассортимента[Product group],MATCH(Товары[[#This Row],[SubGroup]],Структура_ассортимента[Subgroup],0)),"")</f>
        <v>WMA_C</v>
      </c>
      <c r="G1195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195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195" s="36">
        <v>9022</v>
      </c>
      <c r="J1195" s="36" t="str">
        <f>IFERROR(INDEX(Структура_ассортимента[Generic Name (long)],MATCH(Товары[[#This Row],[SubGroup]],Структура_ассортимента[Subgroup],0)),"")</f>
        <v>GARDEN SHOWER</v>
      </c>
      <c r="L1195" s="36">
        <v>901147701</v>
      </c>
      <c r="M1195" s="35" t="s">
        <v>2871</v>
      </c>
      <c r="Q1195" s="34" t="s">
        <v>3539</v>
      </c>
      <c r="R1195" s="34" t="s">
        <v>3540</v>
      </c>
      <c r="S1195" s="47">
        <v>37895</v>
      </c>
      <c r="T1195" s="47">
        <v>0</v>
      </c>
      <c r="U1195" s="47">
        <v>0</v>
      </c>
      <c r="V1195" s="34">
        <v>4078500810807</v>
      </c>
      <c r="W1195" s="34" t="s">
        <v>3543</v>
      </c>
      <c r="Y1195" s="34" t="s">
        <v>3542</v>
      </c>
      <c r="Z1195" s="34">
        <v>6</v>
      </c>
      <c r="AA1195" s="34">
        <v>475</v>
      </c>
      <c r="AB1195" s="34">
        <v>475</v>
      </c>
      <c r="AC1195" s="34">
        <v>400</v>
      </c>
      <c r="AD1195" s="34">
        <v>400</v>
      </c>
      <c r="AE1195" s="34">
        <v>930</v>
      </c>
      <c r="AF1195" s="34">
        <v>175</v>
      </c>
      <c r="AG1195" s="34">
        <v>75</v>
      </c>
      <c r="AH1195" s="34">
        <v>12.206</v>
      </c>
      <c r="AM1195" s="40" t="s">
        <v>8094</v>
      </c>
      <c r="AT1195" s="44">
        <v>0</v>
      </c>
      <c r="AU1195" s="44"/>
      <c r="AV1195" s="46">
        <f>ROUND(Товары[[#This Row],[РРЦ финальная, руб.]]/$AU$1,2)</f>
        <v>0</v>
      </c>
      <c r="AW1195" s="45" t="str">
        <f>IFERROR(Товары[[#This Row],[РРЦ, евро]]/Товары[[#This Row],[IRP, Eur]],"-")</f>
        <v>-</v>
      </c>
      <c r="AX1195" s="42">
        <f>IFERROR(VLOOKUP(Товары[[#This Row],[SubGroup]],'Структура цен DIY'!$B:$C,2,FALSE),0)</f>
        <v>0.28000000000000003</v>
      </c>
      <c r="AY1195" s="44">
        <v>0</v>
      </c>
    </row>
    <row r="1196" spans="1:51" x14ac:dyDescent="0.25">
      <c r="A1196" s="34">
        <v>1194</v>
      </c>
      <c r="B1196" s="34" t="s">
        <v>49</v>
      </c>
      <c r="C1196" s="110" t="str">
        <f>IFERROR(INDEX(Структура_ассортимента[SuperCategory],MATCH(Товары[[#This Row],[SubGroup]],Структура_ассортимента[Subgroup],0)),"")</f>
        <v>W</v>
      </c>
      <c r="D119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9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96" s="110" t="str">
        <f>IFERROR(INDEX(Структура_ассортимента[Product group],MATCH(Товары[[#This Row],[SubGroup]],Структура_ассортимента[Subgroup],0)),"")</f>
        <v>WMA_C</v>
      </c>
      <c r="G1196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196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196" s="36">
        <v>9022</v>
      </c>
      <c r="J1196" s="36" t="str">
        <f>IFERROR(INDEX(Структура_ассортимента[Generic Name (long)],MATCH(Товары[[#This Row],[SubGroup]],Структура_ассортимента[Subgroup],0)),"")</f>
        <v>GARDEN SHOWER</v>
      </c>
      <c r="L1196" s="36">
        <v>901147801</v>
      </c>
      <c r="M1196" s="35" t="s">
        <v>2872</v>
      </c>
      <c r="Q1196" s="34" t="s">
        <v>3539</v>
      </c>
      <c r="R1196" s="34" t="s">
        <v>3540</v>
      </c>
      <c r="S1196" s="47">
        <v>37895</v>
      </c>
      <c r="T1196" s="47">
        <v>0</v>
      </c>
      <c r="U1196" s="47">
        <v>0</v>
      </c>
      <c r="V1196" s="34">
        <v>4078500810906</v>
      </c>
      <c r="W1196" s="34" t="s">
        <v>3543</v>
      </c>
      <c r="Y1196" s="34" t="s">
        <v>3542</v>
      </c>
      <c r="Z1196" s="34">
        <v>6</v>
      </c>
      <c r="AA1196" s="34">
        <v>325</v>
      </c>
      <c r="AB1196" s="34">
        <v>325</v>
      </c>
      <c r="AC1196" s="34">
        <v>305</v>
      </c>
      <c r="AD1196" s="34">
        <v>305</v>
      </c>
      <c r="AE1196" s="34">
        <v>910</v>
      </c>
      <c r="AF1196" s="34">
        <v>175</v>
      </c>
      <c r="AG1196" s="34">
        <v>65</v>
      </c>
      <c r="AH1196" s="34">
        <v>10.351000000000001</v>
      </c>
      <c r="AM1196" s="40" t="s">
        <v>8094</v>
      </c>
      <c r="AT1196" s="44">
        <v>0</v>
      </c>
      <c r="AU1196" s="44"/>
      <c r="AV1196" s="46">
        <f>ROUND(Товары[[#This Row],[РРЦ финальная, руб.]]/$AU$1,2)</f>
        <v>0</v>
      </c>
      <c r="AW1196" s="45" t="str">
        <f>IFERROR(Товары[[#This Row],[РРЦ, евро]]/Товары[[#This Row],[IRP, Eur]],"-")</f>
        <v>-</v>
      </c>
      <c r="AX1196" s="42">
        <f>IFERROR(VLOOKUP(Товары[[#This Row],[SubGroup]],'Структура цен DIY'!$B:$C,2,FALSE),0)</f>
        <v>0.28000000000000003</v>
      </c>
      <c r="AY1196" s="44">
        <v>0</v>
      </c>
    </row>
    <row r="1197" spans="1:51" x14ac:dyDescent="0.25">
      <c r="A1197" s="34">
        <v>1195</v>
      </c>
      <c r="B1197" s="34" t="s">
        <v>49</v>
      </c>
      <c r="C1197" s="110" t="str">
        <f>IFERROR(INDEX(Структура_ассортимента[SuperCategory],MATCH(Товары[[#This Row],[SubGroup]],Структура_ассортимента[Subgroup],0)),"")</f>
        <v>W</v>
      </c>
      <c r="D119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9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97" s="110" t="str">
        <f>IFERROR(INDEX(Структура_ассортимента[Product group],MATCH(Товары[[#This Row],[SubGroup]],Структура_ассортимента[Subgroup],0)),"")</f>
        <v>WMO_C</v>
      </c>
      <c r="G1197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97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97" s="36">
        <v>9011</v>
      </c>
      <c r="J1197" s="36" t="str">
        <f>IFERROR(INDEX(Структура_ассортимента[Generic Name (long)],MATCH(Товары[[#This Row],[SubGroup]],Структура_ассортимента[Subgroup],0)),"")</f>
        <v>TAP CONNECTOR</v>
      </c>
      <c r="L1197" s="36">
        <v>967311901</v>
      </c>
      <c r="M1197" s="35" t="s">
        <v>2873</v>
      </c>
      <c r="Q1197" s="34" t="s">
        <v>3539</v>
      </c>
      <c r="R1197" s="34" t="s">
        <v>3540</v>
      </c>
      <c r="S1197" s="47">
        <v>42005</v>
      </c>
      <c r="T1197" s="47">
        <v>0</v>
      </c>
      <c r="U1197" s="47">
        <v>0</v>
      </c>
      <c r="V1197" s="34">
        <v>4078500011334</v>
      </c>
      <c r="W1197" s="34" t="s">
        <v>3543</v>
      </c>
      <c r="AM1197" s="40" t="s">
        <v>8094</v>
      </c>
      <c r="AT1197" s="44">
        <v>0</v>
      </c>
      <c r="AU1197" s="44"/>
      <c r="AV1197" s="46">
        <f>ROUND(Товары[[#This Row],[РРЦ финальная, руб.]]/$AU$1,2)</f>
        <v>0</v>
      </c>
      <c r="AW1197" s="45" t="str">
        <f>IFERROR(Товары[[#This Row],[РРЦ, евро]]/Товары[[#This Row],[IRP, Eur]],"-")</f>
        <v>-</v>
      </c>
      <c r="AX1197" s="42">
        <f>IFERROR(VLOOKUP(Товары[[#This Row],[SubGroup]],'Структура цен DIY'!$B:$C,2,FALSE),0)</f>
        <v>0.26</v>
      </c>
      <c r="AY1197" s="44">
        <v>0</v>
      </c>
    </row>
    <row r="1198" spans="1:51" x14ac:dyDescent="0.25">
      <c r="A1198" s="34">
        <v>1196</v>
      </c>
      <c r="B1198" s="34" t="s">
        <v>49</v>
      </c>
      <c r="C1198" s="110" t="str">
        <f>IFERROR(INDEX(Структура_ассортимента[SuperCategory],MATCH(Товары[[#This Row],[SubGroup]],Структура_ассортимента[Subgroup],0)),"")</f>
        <v>W</v>
      </c>
      <c r="D119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9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98" s="110" t="str">
        <f>IFERROR(INDEX(Структура_ассортимента[Product group],MATCH(Товары[[#This Row],[SubGroup]],Структура_ассортимента[Subgroup],0)),"")</f>
        <v>WMO_C</v>
      </c>
      <c r="G1198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98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98" s="36">
        <v>9011</v>
      </c>
      <c r="J1198" s="36" t="str">
        <f>IFERROR(INDEX(Структура_ассортимента[Generic Name (long)],MATCH(Товары[[#This Row],[SubGroup]],Структура_ассортимента[Subgroup],0)),"")</f>
        <v>TAP CONNECTOR</v>
      </c>
      <c r="L1198" s="36">
        <v>967312001</v>
      </c>
      <c r="M1198" s="35" t="s">
        <v>2874</v>
      </c>
      <c r="Q1198" s="34" t="s">
        <v>3539</v>
      </c>
      <c r="R1198" s="34" t="s">
        <v>3540</v>
      </c>
      <c r="S1198" s="47">
        <v>42005</v>
      </c>
      <c r="T1198" s="47">
        <v>0</v>
      </c>
      <c r="U1198" s="47">
        <v>0</v>
      </c>
      <c r="V1198" s="34">
        <v>40785516</v>
      </c>
      <c r="W1198" s="34" t="s">
        <v>3543</v>
      </c>
      <c r="AB1198" s="34" t="s">
        <v>6685</v>
      </c>
      <c r="AD1198" s="34" t="s">
        <v>6686</v>
      </c>
      <c r="AE1198" s="34">
        <v>29</v>
      </c>
      <c r="AF1198" s="34">
        <v>29</v>
      </c>
      <c r="AG1198" s="34">
        <v>38</v>
      </c>
      <c r="AH1198" s="34">
        <v>3.2000000000000001E-2</v>
      </c>
      <c r="AL1198" s="34">
        <v>7920</v>
      </c>
      <c r="AM1198" s="40" t="s">
        <v>8094</v>
      </c>
      <c r="AT1198" s="44">
        <v>0</v>
      </c>
      <c r="AU1198" s="44"/>
      <c r="AV1198" s="46">
        <f>ROUND(Товары[[#This Row],[РРЦ финальная, руб.]]/$AU$1,2)</f>
        <v>0</v>
      </c>
      <c r="AW1198" s="45" t="str">
        <f>IFERROR(Товары[[#This Row],[РРЦ, евро]]/Товары[[#This Row],[IRP, Eur]],"-")</f>
        <v>-</v>
      </c>
      <c r="AX1198" s="42">
        <f>IFERROR(VLOOKUP(Товары[[#This Row],[SubGroup]],'Структура цен DIY'!$B:$C,2,FALSE),0)</f>
        <v>0.26</v>
      </c>
      <c r="AY1198" s="44">
        <v>0</v>
      </c>
    </row>
    <row r="1199" spans="1:51" x14ac:dyDescent="0.25">
      <c r="A1199" s="34">
        <v>1197</v>
      </c>
      <c r="B1199" s="34" t="s">
        <v>49</v>
      </c>
      <c r="C1199" s="110" t="str">
        <f>IFERROR(INDEX(Структура_ассортимента[SuperCategory],MATCH(Товары[[#This Row],[SubGroup]],Структура_ассортимента[Subgroup],0)),"")</f>
        <v>W</v>
      </c>
      <c r="D119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9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99" s="110" t="str">
        <f>IFERROR(INDEX(Структура_ассортимента[Product group],MATCH(Товары[[#This Row],[SubGroup]],Структура_ассортимента[Subgroup],0)),"")</f>
        <v>WMO_C</v>
      </c>
      <c r="G1199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199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99" s="36">
        <v>9011</v>
      </c>
      <c r="J1199" s="36" t="str">
        <f>IFERROR(INDEX(Структура_ассортимента[Generic Name (long)],MATCH(Товары[[#This Row],[SubGroup]],Структура_ассортимента[Subgroup],0)),"")</f>
        <v>TAP CONNECTOR</v>
      </c>
      <c r="L1199" s="36">
        <v>967312401</v>
      </c>
      <c r="M1199" s="35" t="s">
        <v>2875</v>
      </c>
      <c r="Q1199" s="34" t="s">
        <v>3539</v>
      </c>
      <c r="R1199" s="34" t="s">
        <v>3540</v>
      </c>
      <c r="S1199" s="47">
        <v>42005</v>
      </c>
      <c r="T1199" s="47">
        <v>0</v>
      </c>
      <c r="U1199" s="47">
        <v>0</v>
      </c>
      <c r="V1199" s="34">
        <v>4078500011525</v>
      </c>
      <c r="W1199" s="34" t="s">
        <v>3543</v>
      </c>
      <c r="AM1199" s="40" t="s">
        <v>8094</v>
      </c>
      <c r="AT1199" s="44">
        <v>0</v>
      </c>
      <c r="AU1199" s="44"/>
      <c r="AV1199" s="46">
        <f>ROUND(Товары[[#This Row],[РРЦ финальная, руб.]]/$AU$1,2)</f>
        <v>0</v>
      </c>
      <c r="AW1199" s="45" t="str">
        <f>IFERROR(Товары[[#This Row],[РРЦ, евро]]/Товары[[#This Row],[IRP, Eur]],"-")</f>
        <v>-</v>
      </c>
      <c r="AX1199" s="42">
        <f>IFERROR(VLOOKUP(Товары[[#This Row],[SubGroup]],'Структура цен DIY'!$B:$C,2,FALSE),0)</f>
        <v>0.26</v>
      </c>
      <c r="AY1199" s="44">
        <v>0</v>
      </c>
    </row>
    <row r="1200" spans="1:51" x14ac:dyDescent="0.25">
      <c r="A1200" s="34">
        <v>1198</v>
      </c>
      <c r="B1200" s="34" t="s">
        <v>49</v>
      </c>
      <c r="C1200" s="110" t="str">
        <f>IFERROR(INDEX(Структура_ассортимента[SuperCategory],MATCH(Товары[[#This Row],[SubGroup]],Структура_ассортимента[Subgroup],0)),"")</f>
        <v>W</v>
      </c>
      <c r="D120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0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00" s="110" t="str">
        <f>IFERROR(INDEX(Структура_ассортимента[Product group],MATCH(Товары[[#This Row],[SubGroup]],Структура_ассортимента[Subgroup],0)),"")</f>
        <v>WMO_C</v>
      </c>
      <c r="G1200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200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00" s="36">
        <v>9011</v>
      </c>
      <c r="J1200" s="36" t="str">
        <f>IFERROR(INDEX(Структура_ассортимента[Generic Name (long)],MATCH(Товары[[#This Row],[SubGroup]],Структура_ассортимента[Subgroup],0)),"")</f>
        <v>TAP CONNECTOR</v>
      </c>
      <c r="L1200" s="36">
        <v>967312501</v>
      </c>
      <c r="M1200" s="35" t="s">
        <v>2876</v>
      </c>
      <c r="Q1200" s="34" t="s">
        <v>3539</v>
      </c>
      <c r="R1200" s="34" t="s">
        <v>3540</v>
      </c>
      <c r="S1200" s="47">
        <v>42005</v>
      </c>
      <c r="T1200" s="47">
        <v>0</v>
      </c>
      <c r="U1200" s="47">
        <v>0</v>
      </c>
      <c r="V1200" s="34">
        <v>40785523</v>
      </c>
      <c r="W1200" s="34" t="s">
        <v>3543</v>
      </c>
      <c r="AB1200" s="34">
        <v>11</v>
      </c>
      <c r="AD1200" s="34">
        <v>10</v>
      </c>
      <c r="AE1200" s="34">
        <v>33</v>
      </c>
      <c r="AF1200" s="34">
        <v>33</v>
      </c>
      <c r="AG1200" s="34">
        <v>38</v>
      </c>
      <c r="AH1200" s="34">
        <v>4.1000000000000002E-2</v>
      </c>
      <c r="AL1200" s="34">
        <v>10000</v>
      </c>
      <c r="AM1200" s="40" t="s">
        <v>8094</v>
      </c>
      <c r="AT1200" s="44">
        <v>0</v>
      </c>
      <c r="AU1200" s="44"/>
      <c r="AV1200" s="46">
        <f>ROUND(Товары[[#This Row],[РРЦ финальная, руб.]]/$AU$1,2)</f>
        <v>0</v>
      </c>
      <c r="AW1200" s="45" t="str">
        <f>IFERROR(Товары[[#This Row],[РРЦ, евро]]/Товары[[#This Row],[IRP, Eur]],"-")</f>
        <v>-</v>
      </c>
      <c r="AX1200" s="42">
        <f>IFERROR(VLOOKUP(Товары[[#This Row],[SubGroup]],'Структура цен DIY'!$B:$C,2,FALSE),0)</f>
        <v>0.26</v>
      </c>
      <c r="AY1200" s="44">
        <v>0</v>
      </c>
    </row>
    <row r="1201" spans="1:51" x14ac:dyDescent="0.25">
      <c r="A1201" s="34">
        <v>1199</v>
      </c>
      <c r="B1201" s="34" t="s">
        <v>49</v>
      </c>
      <c r="C1201" s="110" t="str">
        <f>IFERROR(INDEX(Структура_ассортимента[SuperCategory],MATCH(Товары[[#This Row],[SubGroup]],Структура_ассортимента[Subgroup],0)),"")</f>
        <v>W</v>
      </c>
      <c r="D120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0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01" s="110" t="str">
        <f>IFERROR(INDEX(Структура_ассортимента[Product group],MATCH(Товары[[#This Row],[SubGroup]],Структура_ассортимента[Subgroup],0)),"")</f>
        <v>WMO_C</v>
      </c>
      <c r="G1201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201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01" s="36">
        <v>9011</v>
      </c>
      <c r="J1201" s="36" t="str">
        <f>IFERROR(INDEX(Структура_ассортимента[Generic Name (long)],MATCH(Товары[[#This Row],[SubGroup]],Структура_ассортимента[Subgroup],0)),"")</f>
        <v>TAP CONNECTOR</v>
      </c>
      <c r="L1201" s="36">
        <v>967312801</v>
      </c>
      <c r="M1201" s="35" t="s">
        <v>2877</v>
      </c>
      <c r="Q1201" s="34" t="s">
        <v>3539</v>
      </c>
      <c r="R1201" s="34" t="s">
        <v>3540</v>
      </c>
      <c r="S1201" s="47">
        <v>42005</v>
      </c>
      <c r="T1201" s="47">
        <v>0</v>
      </c>
      <c r="U1201" s="47">
        <v>0</v>
      </c>
      <c r="V1201" s="34">
        <v>4078500011433</v>
      </c>
      <c r="W1201" s="34" t="s">
        <v>3543</v>
      </c>
      <c r="AM1201" s="40" t="s">
        <v>8094</v>
      </c>
      <c r="AT1201" s="44">
        <v>0</v>
      </c>
      <c r="AU1201" s="44"/>
      <c r="AV1201" s="46">
        <f>ROUND(Товары[[#This Row],[РРЦ финальная, руб.]]/$AU$1,2)</f>
        <v>0</v>
      </c>
      <c r="AW1201" s="45" t="str">
        <f>IFERROR(Товары[[#This Row],[РРЦ, евро]]/Товары[[#This Row],[IRP, Eur]],"-")</f>
        <v>-</v>
      </c>
      <c r="AX1201" s="42">
        <f>IFERROR(VLOOKUP(Товары[[#This Row],[SubGroup]],'Структура цен DIY'!$B:$C,2,FALSE),0)</f>
        <v>0.26</v>
      </c>
      <c r="AY1201" s="44">
        <v>0</v>
      </c>
    </row>
    <row r="1202" spans="1:51" x14ac:dyDescent="0.25">
      <c r="A1202" s="34">
        <v>1200</v>
      </c>
      <c r="B1202" s="34" t="s">
        <v>49</v>
      </c>
      <c r="C1202" s="110" t="str">
        <f>IFERROR(INDEX(Структура_ассортимента[SuperCategory],MATCH(Товары[[#This Row],[SubGroup]],Структура_ассортимента[Subgroup],0)),"")</f>
        <v>W</v>
      </c>
      <c r="D120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0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02" s="110" t="str">
        <f>IFERROR(INDEX(Структура_ассортимента[Product group],MATCH(Товары[[#This Row],[SubGroup]],Структура_ассортимента[Subgroup],0)),"")</f>
        <v>WMO_C</v>
      </c>
      <c r="G1202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202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02" s="36">
        <v>9011</v>
      </c>
      <c r="J1202" s="36" t="str">
        <f>IFERROR(INDEX(Структура_ассортимента[Generic Name (long)],MATCH(Товары[[#This Row],[SubGroup]],Структура_ассортимента[Subgroup],0)),"")</f>
        <v>TAP CONNECTOR</v>
      </c>
      <c r="L1202" s="36">
        <v>967312901</v>
      </c>
      <c r="M1202" s="35" t="s">
        <v>2878</v>
      </c>
      <c r="Q1202" s="34" t="s">
        <v>3539</v>
      </c>
      <c r="R1202" s="34" t="s">
        <v>3540</v>
      </c>
      <c r="S1202" s="47">
        <v>42005</v>
      </c>
      <c r="T1202" s="47">
        <v>0</v>
      </c>
      <c r="U1202" s="47">
        <v>0</v>
      </c>
      <c r="V1202" s="34">
        <v>40785530</v>
      </c>
      <c r="W1202" s="34" t="s">
        <v>3543</v>
      </c>
      <c r="AB1202" s="34">
        <v>13</v>
      </c>
      <c r="AD1202" s="34">
        <v>12</v>
      </c>
      <c r="AE1202" s="34">
        <v>39</v>
      </c>
      <c r="AF1202" s="34">
        <v>39</v>
      </c>
      <c r="AG1202" s="34">
        <v>38</v>
      </c>
      <c r="AH1202" s="34">
        <v>5.8000000000000003E-2</v>
      </c>
      <c r="AL1202" s="34">
        <v>10500</v>
      </c>
      <c r="AM1202" s="40" t="s">
        <v>8094</v>
      </c>
      <c r="AT1202" s="44">
        <v>0</v>
      </c>
      <c r="AU1202" s="44"/>
      <c r="AV1202" s="46">
        <f>ROUND(Товары[[#This Row],[РРЦ финальная, руб.]]/$AU$1,2)</f>
        <v>0</v>
      </c>
      <c r="AW1202" s="45" t="str">
        <f>IFERROR(Товары[[#This Row],[РРЦ, евро]]/Товары[[#This Row],[IRP, Eur]],"-")</f>
        <v>-</v>
      </c>
      <c r="AX1202" s="42">
        <f>IFERROR(VLOOKUP(Товары[[#This Row],[SubGroup]],'Структура цен DIY'!$B:$C,2,FALSE),0)</f>
        <v>0.26</v>
      </c>
      <c r="AY1202" s="44">
        <v>0</v>
      </c>
    </row>
    <row r="1203" spans="1:51" x14ac:dyDescent="0.25">
      <c r="A1203" s="34">
        <v>1201</v>
      </c>
      <c r="B1203" s="34" t="s">
        <v>49</v>
      </c>
      <c r="C1203" s="110" t="str">
        <f>IFERROR(INDEX(Структура_ассортимента[SuperCategory],MATCH(Товары[[#This Row],[SubGroup]],Структура_ассортимента[Subgroup],0)),"")</f>
        <v>W</v>
      </c>
      <c r="D120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0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03" s="110" t="str">
        <f>IFERROR(INDEX(Структура_ассортимента[Product group],MATCH(Товары[[#This Row],[SubGroup]],Структура_ассортимента[Subgroup],0)),"")</f>
        <v>WMO_C</v>
      </c>
      <c r="G1203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203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03" s="36">
        <v>9011</v>
      </c>
      <c r="J1203" s="36" t="str">
        <f>IFERROR(INDEX(Структура_ассортимента[Generic Name (long)],MATCH(Товары[[#This Row],[SubGroup]],Структура_ассортимента[Subgroup],0)),"")</f>
        <v>TAP CONNECTOR</v>
      </c>
      <c r="L1203" s="36">
        <v>967313301</v>
      </c>
      <c r="M1203" s="35" t="s">
        <v>2879</v>
      </c>
      <c r="Q1203" s="34" t="s">
        <v>3539</v>
      </c>
      <c r="R1203" s="34" t="s">
        <v>3540</v>
      </c>
      <c r="S1203" s="47">
        <v>42005</v>
      </c>
      <c r="T1203" s="47">
        <v>0</v>
      </c>
      <c r="U1203" s="47">
        <v>0</v>
      </c>
      <c r="V1203" s="34">
        <v>4078500011761</v>
      </c>
      <c r="W1203" s="34" t="s">
        <v>3543</v>
      </c>
      <c r="AB1203" s="34">
        <v>35</v>
      </c>
      <c r="AD1203" s="34">
        <v>28</v>
      </c>
      <c r="AE1203" s="34">
        <v>130</v>
      </c>
      <c r="AF1203" s="34">
        <v>80</v>
      </c>
      <c r="AG1203" s="34">
        <v>35</v>
      </c>
      <c r="AH1203" s="34">
        <v>0.36399999999999999</v>
      </c>
      <c r="AL1203" s="34">
        <v>1728</v>
      </c>
      <c r="AM1203" s="40" t="s">
        <v>8094</v>
      </c>
      <c r="AT1203" s="44">
        <v>0</v>
      </c>
      <c r="AU1203" s="44"/>
      <c r="AV1203" s="46">
        <f>ROUND(Товары[[#This Row],[РРЦ финальная, руб.]]/$AU$1,2)</f>
        <v>0</v>
      </c>
      <c r="AW1203" s="45" t="str">
        <f>IFERROR(Товары[[#This Row],[РРЦ, евро]]/Товары[[#This Row],[IRP, Eur]],"-")</f>
        <v>-</v>
      </c>
      <c r="AX1203" s="42">
        <f>IFERROR(VLOOKUP(Товары[[#This Row],[SubGroup]],'Структура цен DIY'!$B:$C,2,FALSE),0)</f>
        <v>0.26</v>
      </c>
      <c r="AY1203" s="44">
        <v>0</v>
      </c>
    </row>
    <row r="1204" spans="1:51" x14ac:dyDescent="0.25">
      <c r="A1204" s="34">
        <v>1202</v>
      </c>
      <c r="B1204" s="34" t="s">
        <v>49</v>
      </c>
      <c r="C1204" s="110" t="str">
        <f>IFERROR(INDEX(Структура_ассортимента[SuperCategory],MATCH(Товары[[#This Row],[SubGroup]],Структура_ассортимента[Subgroup],0)),"")</f>
        <v>W</v>
      </c>
      <c r="D120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0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04" s="110" t="str">
        <f>IFERROR(INDEX(Структура_ассортимента[Product group],MATCH(Товары[[#This Row],[SubGroup]],Структура_ассортимента[Subgroup],0)),"")</f>
        <v>WMO_C</v>
      </c>
      <c r="G1204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204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04" s="36">
        <v>9011</v>
      </c>
      <c r="J1204" s="36" t="str">
        <f>IFERROR(INDEX(Структура_ассортимента[Generic Name (long)],MATCH(Товары[[#This Row],[SubGroup]],Структура_ассортимента[Subgroup],0)),"")</f>
        <v>TAP CONNECTOR</v>
      </c>
      <c r="L1204" s="36">
        <v>967313401</v>
      </c>
      <c r="M1204" s="35" t="s">
        <v>2880</v>
      </c>
      <c r="Q1204" s="34" t="s">
        <v>3539</v>
      </c>
      <c r="R1204" s="34" t="s">
        <v>3540</v>
      </c>
      <c r="S1204" s="47">
        <v>42005</v>
      </c>
      <c r="T1204" s="47">
        <v>0</v>
      </c>
      <c r="U1204" s="47">
        <v>0</v>
      </c>
      <c r="V1204" s="34">
        <v>40785547</v>
      </c>
      <c r="W1204" s="34" t="s">
        <v>3543</v>
      </c>
      <c r="AB1204" s="34">
        <v>29</v>
      </c>
      <c r="AD1204" s="34">
        <v>28</v>
      </c>
      <c r="AE1204" s="34">
        <v>35</v>
      </c>
      <c r="AF1204" s="34">
        <v>35</v>
      </c>
      <c r="AG1204" s="34">
        <v>61</v>
      </c>
      <c r="AH1204" s="34">
        <v>7.4999999999999997E-2</v>
      </c>
      <c r="AL1204" s="34">
        <v>5600</v>
      </c>
      <c r="AM1204" s="40" t="s">
        <v>8094</v>
      </c>
      <c r="AT1204" s="44">
        <v>0</v>
      </c>
      <c r="AU1204" s="44"/>
      <c r="AV1204" s="46">
        <f>ROUND(Товары[[#This Row],[РРЦ финальная, руб.]]/$AU$1,2)</f>
        <v>0</v>
      </c>
      <c r="AW1204" s="45" t="str">
        <f>IFERROR(Товары[[#This Row],[РРЦ, евро]]/Товары[[#This Row],[IRP, Eur]],"-")</f>
        <v>-</v>
      </c>
      <c r="AX1204" s="42">
        <f>IFERROR(VLOOKUP(Товары[[#This Row],[SubGroup]],'Структура цен DIY'!$B:$C,2,FALSE),0)</f>
        <v>0.26</v>
      </c>
      <c r="AY1204" s="44">
        <v>0</v>
      </c>
    </row>
    <row r="1205" spans="1:51" x14ac:dyDescent="0.25">
      <c r="A1205" s="34">
        <v>1203</v>
      </c>
      <c r="B1205" s="34" t="s">
        <v>49</v>
      </c>
      <c r="C1205" s="110" t="str">
        <f>IFERROR(INDEX(Структура_ассортимента[SuperCategory],MATCH(Товары[[#This Row],[SubGroup]],Структура_ассортимента[Subgroup],0)),"")</f>
        <v>W</v>
      </c>
      <c r="D120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0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05" s="110" t="str">
        <f>IFERROR(INDEX(Структура_ассортимента[Product group],MATCH(Товары[[#This Row],[SubGroup]],Структура_ассортимента[Subgroup],0)),"")</f>
        <v>WMO_C</v>
      </c>
      <c r="G1205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205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05" s="36">
        <v>9011</v>
      </c>
      <c r="J1205" s="36" t="str">
        <f>IFERROR(INDEX(Структура_ассортимента[Generic Name (long)],MATCH(Товары[[#This Row],[SubGroup]],Структура_ассортимента[Subgroup],0)),"")</f>
        <v>TAP CONNECTOR</v>
      </c>
      <c r="L1205" s="36">
        <v>967313801</v>
      </c>
      <c r="M1205" s="35" t="s">
        <v>2881</v>
      </c>
      <c r="Q1205" s="34" t="s">
        <v>3539</v>
      </c>
      <c r="R1205" s="34" t="s">
        <v>3540</v>
      </c>
      <c r="S1205" s="47">
        <v>42005</v>
      </c>
      <c r="T1205" s="47">
        <v>0</v>
      </c>
      <c r="U1205" s="47">
        <v>0</v>
      </c>
      <c r="V1205" s="34">
        <v>4078500011662</v>
      </c>
      <c r="W1205" s="34" t="s">
        <v>3543</v>
      </c>
      <c r="AM1205" s="40" t="s">
        <v>8094</v>
      </c>
      <c r="AT1205" s="44">
        <v>0</v>
      </c>
      <c r="AU1205" s="44"/>
      <c r="AV1205" s="46">
        <f>ROUND(Товары[[#This Row],[РРЦ финальная, руб.]]/$AU$1,2)</f>
        <v>0</v>
      </c>
      <c r="AW1205" s="45" t="str">
        <f>IFERROR(Товары[[#This Row],[РРЦ, евро]]/Товары[[#This Row],[IRP, Eur]],"-")</f>
        <v>-</v>
      </c>
      <c r="AX1205" s="42">
        <f>IFERROR(VLOOKUP(Товары[[#This Row],[SubGroup]],'Структура цен DIY'!$B:$C,2,FALSE),0)</f>
        <v>0.26</v>
      </c>
      <c r="AY1205" s="44">
        <v>0</v>
      </c>
    </row>
    <row r="1206" spans="1:51" x14ac:dyDescent="0.25">
      <c r="A1206" s="34">
        <v>1204</v>
      </c>
      <c r="B1206" s="34" t="s">
        <v>49</v>
      </c>
      <c r="C1206" s="110" t="str">
        <f>IFERROR(INDEX(Структура_ассортимента[SuperCategory],MATCH(Товары[[#This Row],[SubGroup]],Структура_ассортимента[Subgroup],0)),"")</f>
        <v>W</v>
      </c>
      <c r="D120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0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06" s="110" t="str">
        <f>IFERROR(INDEX(Структура_ассортимента[Product group],MATCH(Товары[[#This Row],[SubGroup]],Структура_ассортимента[Subgroup],0)),"")</f>
        <v>WMO_C</v>
      </c>
      <c r="G1206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206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06" s="36">
        <v>9011</v>
      </c>
      <c r="J1206" s="36" t="str">
        <f>IFERROR(INDEX(Структура_ассортимента[Generic Name (long)],MATCH(Товары[[#This Row],[SubGroup]],Структура_ассортимента[Subgroup],0)),"")</f>
        <v>TAP CONNECTOR</v>
      </c>
      <c r="L1206" s="36">
        <v>967313901</v>
      </c>
      <c r="M1206" s="35" t="s">
        <v>2882</v>
      </c>
      <c r="Q1206" s="34" t="s">
        <v>3539</v>
      </c>
      <c r="R1206" s="34" t="s">
        <v>3540</v>
      </c>
      <c r="S1206" s="47">
        <v>42005</v>
      </c>
      <c r="T1206" s="47">
        <v>0</v>
      </c>
      <c r="U1206" s="47">
        <v>0</v>
      </c>
      <c r="V1206" s="34">
        <v>40785554</v>
      </c>
      <c r="W1206" s="34" t="s">
        <v>3543</v>
      </c>
      <c r="AB1206" s="34">
        <v>34</v>
      </c>
      <c r="AD1206" s="34">
        <v>33</v>
      </c>
      <c r="AE1206" s="34">
        <v>43</v>
      </c>
      <c r="AF1206" s="34">
        <v>43</v>
      </c>
      <c r="AG1206" s="34">
        <v>62</v>
      </c>
      <c r="AH1206" s="34">
        <v>0.115</v>
      </c>
      <c r="AL1206" s="34">
        <v>3430</v>
      </c>
      <c r="AM1206" s="40" t="s">
        <v>8094</v>
      </c>
      <c r="AT1206" s="44">
        <v>0</v>
      </c>
      <c r="AU1206" s="44"/>
      <c r="AV1206" s="46">
        <f>ROUND(Товары[[#This Row],[РРЦ финальная, руб.]]/$AU$1,2)</f>
        <v>0</v>
      </c>
      <c r="AW1206" s="45" t="str">
        <f>IFERROR(Товары[[#This Row],[РРЦ, евро]]/Товары[[#This Row],[IRP, Eur]],"-")</f>
        <v>-</v>
      </c>
      <c r="AX1206" s="42">
        <f>IFERROR(VLOOKUP(Товары[[#This Row],[SubGroup]],'Структура цен DIY'!$B:$C,2,FALSE),0)</f>
        <v>0.26</v>
      </c>
      <c r="AY1206" s="44">
        <v>0</v>
      </c>
    </row>
    <row r="1207" spans="1:51" x14ac:dyDescent="0.25">
      <c r="A1207" s="34">
        <v>1205</v>
      </c>
      <c r="B1207" s="34" t="s">
        <v>49</v>
      </c>
      <c r="C1207" s="110" t="str">
        <f>IFERROR(INDEX(Структура_ассортимента[SuperCategory],MATCH(Товары[[#This Row],[SubGroup]],Структура_ассортимента[Subgroup],0)),"")</f>
        <v>W</v>
      </c>
      <c r="D120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0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07" s="110" t="str">
        <f>IFERROR(INDEX(Структура_ассортимента[Product group],MATCH(Товары[[#This Row],[SubGroup]],Структура_ассортимента[Subgroup],0)),"")</f>
        <v>WMO_C</v>
      </c>
      <c r="G1207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207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07" s="36">
        <v>9011</v>
      </c>
      <c r="J1207" s="36" t="str">
        <f>IFERROR(INDEX(Структура_ассортимента[Generic Name (long)],MATCH(Товары[[#This Row],[SubGroup]],Структура_ассортимента[Subgroup],0)),"")</f>
        <v>TAP CONNECTOR</v>
      </c>
      <c r="L1207" s="36">
        <v>967314301</v>
      </c>
      <c r="M1207" s="35" t="s">
        <v>2883</v>
      </c>
      <c r="Q1207" s="34" t="s">
        <v>3539</v>
      </c>
      <c r="R1207" s="34" t="s">
        <v>3540</v>
      </c>
      <c r="S1207" s="47">
        <v>42005</v>
      </c>
      <c r="T1207" s="47">
        <v>0</v>
      </c>
      <c r="U1207" s="47">
        <v>0</v>
      </c>
      <c r="V1207" s="34">
        <v>4078500011846</v>
      </c>
      <c r="W1207" s="34" t="s">
        <v>3543</v>
      </c>
      <c r="AB1207" s="34">
        <v>35</v>
      </c>
      <c r="AD1207" s="34">
        <v>28</v>
      </c>
      <c r="AE1207" s="34">
        <v>130</v>
      </c>
      <c r="AF1207" s="34">
        <v>80</v>
      </c>
      <c r="AG1207" s="34">
        <v>35</v>
      </c>
      <c r="AH1207" s="34">
        <v>0.36399999999999999</v>
      </c>
      <c r="AL1207" s="34">
        <v>1728</v>
      </c>
      <c r="AM1207" s="40" t="s">
        <v>8094</v>
      </c>
      <c r="AT1207" s="44">
        <v>0</v>
      </c>
      <c r="AU1207" s="44"/>
      <c r="AV1207" s="46">
        <f>ROUND(Товары[[#This Row],[РРЦ финальная, руб.]]/$AU$1,2)</f>
        <v>0</v>
      </c>
      <c r="AW1207" s="45" t="str">
        <f>IFERROR(Товары[[#This Row],[РРЦ, евро]]/Товары[[#This Row],[IRP, Eur]],"-")</f>
        <v>-</v>
      </c>
      <c r="AX1207" s="42">
        <f>IFERROR(VLOOKUP(Товары[[#This Row],[SubGroup]],'Структура цен DIY'!$B:$C,2,FALSE),0)</f>
        <v>0.26</v>
      </c>
      <c r="AY1207" s="44">
        <v>0</v>
      </c>
    </row>
    <row r="1208" spans="1:51" x14ac:dyDescent="0.25">
      <c r="A1208" s="34">
        <v>1206</v>
      </c>
      <c r="B1208" s="34" t="s">
        <v>49</v>
      </c>
      <c r="C1208" s="110" t="str">
        <f>IFERROR(INDEX(Структура_ассортимента[SuperCategory],MATCH(Товары[[#This Row],[SubGroup]],Структура_ассортимента[Subgroup],0)),"")</f>
        <v>W</v>
      </c>
      <c r="D120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0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08" s="110" t="str">
        <f>IFERROR(INDEX(Структура_ассортимента[Product group],MATCH(Товары[[#This Row],[SubGroup]],Структура_ассортимента[Subgroup],0)),"")</f>
        <v>WMO_C</v>
      </c>
      <c r="G1208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208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08" s="36">
        <v>9011</v>
      </c>
      <c r="J1208" s="36" t="str">
        <f>IFERROR(INDEX(Структура_ассортимента[Generic Name (long)],MATCH(Товары[[#This Row],[SubGroup]],Структура_ассортимента[Subgroup],0)),"")</f>
        <v>TAP CONNECTOR</v>
      </c>
      <c r="L1208" s="36">
        <v>967314401</v>
      </c>
      <c r="M1208" s="35" t="s">
        <v>2884</v>
      </c>
      <c r="Q1208" s="34" t="s">
        <v>3539</v>
      </c>
      <c r="R1208" s="34" t="s">
        <v>3540</v>
      </c>
      <c r="S1208" s="47">
        <v>42005</v>
      </c>
      <c r="T1208" s="47">
        <v>0</v>
      </c>
      <c r="U1208" s="47">
        <v>0</v>
      </c>
      <c r="V1208" s="34">
        <v>40785561</v>
      </c>
      <c r="W1208" s="34" t="s">
        <v>3543</v>
      </c>
      <c r="AB1208" s="34">
        <v>28</v>
      </c>
      <c r="AD1208" s="34">
        <v>27</v>
      </c>
      <c r="AE1208" s="34">
        <v>35</v>
      </c>
      <c r="AF1208" s="34">
        <v>35</v>
      </c>
      <c r="AG1208" s="34">
        <v>61</v>
      </c>
      <c r="AH1208" s="34">
        <v>7.4999999999999997E-2</v>
      </c>
      <c r="AL1208" s="34">
        <v>6000</v>
      </c>
      <c r="AM1208" s="40" t="s">
        <v>8094</v>
      </c>
      <c r="AT1208" s="44">
        <v>0</v>
      </c>
      <c r="AU1208" s="44"/>
      <c r="AV1208" s="46">
        <f>ROUND(Товары[[#This Row],[РРЦ финальная, руб.]]/$AU$1,2)</f>
        <v>0</v>
      </c>
      <c r="AW1208" s="45" t="str">
        <f>IFERROR(Товары[[#This Row],[РРЦ, евро]]/Товары[[#This Row],[IRP, Eur]],"-")</f>
        <v>-</v>
      </c>
      <c r="AX1208" s="42">
        <f>IFERROR(VLOOKUP(Товары[[#This Row],[SubGroup]],'Структура цен DIY'!$B:$C,2,FALSE),0)</f>
        <v>0.26</v>
      </c>
      <c r="AY1208" s="44">
        <v>0</v>
      </c>
    </row>
    <row r="1209" spans="1:51" x14ac:dyDescent="0.25">
      <c r="A1209" s="34">
        <v>1207</v>
      </c>
      <c r="B1209" s="34" t="s">
        <v>49</v>
      </c>
      <c r="C1209" s="110" t="str">
        <f>IFERROR(INDEX(Структура_ассортимента[SuperCategory],MATCH(Товары[[#This Row],[SubGroup]],Структура_ассортимента[Subgroup],0)),"")</f>
        <v>W</v>
      </c>
      <c r="D120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0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09" s="110" t="str">
        <f>IFERROR(INDEX(Структура_ассортимента[Product group],MATCH(Товары[[#This Row],[SubGroup]],Структура_ассортимента[Subgroup],0)),"")</f>
        <v>WMO_C</v>
      </c>
      <c r="G1209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209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09" s="36">
        <v>9011</v>
      </c>
      <c r="J1209" s="36" t="str">
        <f>IFERROR(INDEX(Структура_ассортимента[Generic Name (long)],MATCH(Товары[[#This Row],[SubGroup]],Структура_ассортимента[Subgroup],0)),"")</f>
        <v>TAP CONNECTOR</v>
      </c>
      <c r="L1209" s="36">
        <v>967314801</v>
      </c>
      <c r="M1209" s="35" t="s">
        <v>2885</v>
      </c>
      <c r="Q1209" s="34" t="s">
        <v>3539</v>
      </c>
      <c r="R1209" s="34" t="s">
        <v>3540</v>
      </c>
      <c r="S1209" s="47">
        <v>42005</v>
      </c>
      <c r="T1209" s="47">
        <v>0</v>
      </c>
      <c r="U1209" s="47">
        <v>0</v>
      </c>
      <c r="V1209" s="34">
        <v>4078500011907</v>
      </c>
      <c r="W1209" s="34" t="s">
        <v>3543</v>
      </c>
      <c r="AM1209" s="40" t="s">
        <v>8094</v>
      </c>
      <c r="AT1209" s="44">
        <v>0</v>
      </c>
      <c r="AU1209" s="44"/>
      <c r="AV1209" s="46">
        <f>ROUND(Товары[[#This Row],[РРЦ финальная, руб.]]/$AU$1,2)</f>
        <v>0</v>
      </c>
      <c r="AW1209" s="45" t="str">
        <f>IFERROR(Товары[[#This Row],[РРЦ, евро]]/Товары[[#This Row],[IRP, Eur]],"-")</f>
        <v>-</v>
      </c>
      <c r="AX1209" s="42">
        <f>IFERROR(VLOOKUP(Товары[[#This Row],[SubGroup]],'Структура цен DIY'!$B:$C,2,FALSE),0)</f>
        <v>0.26</v>
      </c>
      <c r="AY1209" s="44">
        <v>0</v>
      </c>
    </row>
    <row r="1210" spans="1:51" x14ac:dyDescent="0.25">
      <c r="A1210" s="34">
        <v>1208</v>
      </c>
      <c r="B1210" s="34" t="s">
        <v>49</v>
      </c>
      <c r="C1210" s="110" t="str">
        <f>IFERROR(INDEX(Структура_ассортимента[SuperCategory],MATCH(Товары[[#This Row],[SubGroup]],Структура_ассортимента[Subgroup],0)),"")</f>
        <v>W</v>
      </c>
      <c r="D121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1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10" s="110" t="str">
        <f>IFERROR(INDEX(Структура_ассортимента[Product group],MATCH(Товары[[#This Row],[SubGroup]],Структура_ассортимента[Subgroup],0)),"")</f>
        <v>WMO_C</v>
      </c>
      <c r="G1210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210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10" s="36">
        <v>9011</v>
      </c>
      <c r="J1210" s="36" t="str">
        <f>IFERROR(INDEX(Структура_ассортимента[Generic Name (long)],MATCH(Товары[[#This Row],[SubGroup]],Структура_ассортимента[Subgroup],0)),"")</f>
        <v>TAP CONNECTOR</v>
      </c>
      <c r="L1210" s="36">
        <v>967314901</v>
      </c>
      <c r="M1210" s="35" t="s">
        <v>2886</v>
      </c>
      <c r="Q1210" s="34" t="s">
        <v>3539</v>
      </c>
      <c r="R1210" s="34" t="s">
        <v>3540</v>
      </c>
      <c r="S1210" s="47">
        <v>42005</v>
      </c>
      <c r="T1210" s="47">
        <v>0</v>
      </c>
      <c r="U1210" s="47">
        <v>0</v>
      </c>
      <c r="V1210" s="34">
        <v>407850578</v>
      </c>
      <c r="W1210" s="34" t="s">
        <v>3543</v>
      </c>
      <c r="AB1210" s="34">
        <v>34</v>
      </c>
      <c r="AD1210" s="34">
        <v>33</v>
      </c>
      <c r="AE1210" s="34">
        <v>43</v>
      </c>
      <c r="AF1210" s="34">
        <v>43</v>
      </c>
      <c r="AG1210" s="34">
        <v>62</v>
      </c>
      <c r="AH1210" s="34">
        <v>0.115</v>
      </c>
      <c r="AL1210" s="34">
        <v>3430</v>
      </c>
      <c r="AM1210" s="40" t="s">
        <v>8094</v>
      </c>
      <c r="AT1210" s="44">
        <v>0</v>
      </c>
      <c r="AU1210" s="44"/>
      <c r="AV1210" s="46">
        <f>ROUND(Товары[[#This Row],[РРЦ финальная, руб.]]/$AU$1,2)</f>
        <v>0</v>
      </c>
      <c r="AW1210" s="45" t="str">
        <f>IFERROR(Товары[[#This Row],[РРЦ, евро]]/Товары[[#This Row],[IRP, Eur]],"-")</f>
        <v>-</v>
      </c>
      <c r="AX1210" s="42">
        <f>IFERROR(VLOOKUP(Товары[[#This Row],[SubGroup]],'Структура цен DIY'!$B:$C,2,FALSE),0)</f>
        <v>0.26</v>
      </c>
      <c r="AY1210" s="44">
        <v>0</v>
      </c>
    </row>
    <row r="1211" spans="1:51" x14ac:dyDescent="0.25">
      <c r="A1211" s="34">
        <v>1209</v>
      </c>
      <c r="B1211" s="34" t="s">
        <v>49</v>
      </c>
      <c r="C1211" s="110" t="str">
        <f>IFERROR(INDEX(Структура_ассортимента[SuperCategory],MATCH(Товары[[#This Row],[SubGroup]],Структура_ассортимента[Subgroup],0)),"")</f>
        <v>W</v>
      </c>
      <c r="D121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1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11" s="110" t="str">
        <f>IFERROR(INDEX(Структура_ассортимента[Product group],MATCH(Товары[[#This Row],[SubGroup]],Структура_ассортимента[Subgroup],0)),"")</f>
        <v>WMO_C</v>
      </c>
      <c r="G1211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211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11" s="36">
        <v>9011</v>
      </c>
      <c r="J1211" s="36" t="str">
        <f>IFERROR(INDEX(Структура_ассортимента[Generic Name (long)],MATCH(Товары[[#This Row],[SubGroup]],Структура_ассортимента[Subgroup],0)),"")</f>
        <v>TAP CONNECTOR</v>
      </c>
      <c r="L1211" s="36">
        <v>967315601</v>
      </c>
      <c r="M1211" s="35" t="s">
        <v>2887</v>
      </c>
      <c r="Q1211" s="34" t="s">
        <v>3539</v>
      </c>
      <c r="R1211" s="34" t="s">
        <v>3540</v>
      </c>
      <c r="S1211" s="47">
        <v>42005</v>
      </c>
      <c r="T1211" s="47">
        <v>0</v>
      </c>
      <c r="U1211" s="47">
        <v>0</v>
      </c>
      <c r="V1211" s="34">
        <v>4078500012140</v>
      </c>
      <c r="W1211" s="34" t="s">
        <v>3543</v>
      </c>
      <c r="AB1211" s="34">
        <v>25</v>
      </c>
      <c r="AD1211" s="34">
        <v>20</v>
      </c>
      <c r="AE1211" s="34">
        <v>130</v>
      </c>
      <c r="AF1211" s="34">
        <v>80</v>
      </c>
      <c r="AG1211" s="34">
        <v>35</v>
      </c>
      <c r="AH1211" s="34">
        <v>0.36399999999999999</v>
      </c>
      <c r="AL1211" s="34">
        <v>1728</v>
      </c>
      <c r="AM1211" s="40" t="s">
        <v>8094</v>
      </c>
      <c r="AT1211" s="44">
        <v>0</v>
      </c>
      <c r="AU1211" s="44"/>
      <c r="AV1211" s="46">
        <f>ROUND(Товары[[#This Row],[РРЦ финальная, руб.]]/$AU$1,2)</f>
        <v>0</v>
      </c>
      <c r="AW1211" s="45" t="str">
        <f>IFERROR(Товары[[#This Row],[РРЦ, евро]]/Товары[[#This Row],[IRP, Eur]],"-")</f>
        <v>-</v>
      </c>
      <c r="AX1211" s="42">
        <f>IFERROR(VLOOKUP(Товары[[#This Row],[SubGroup]],'Структура цен DIY'!$B:$C,2,FALSE),0)</f>
        <v>0.26</v>
      </c>
      <c r="AY1211" s="44">
        <v>0</v>
      </c>
    </row>
    <row r="1212" spans="1:51" x14ac:dyDescent="0.25">
      <c r="A1212" s="34">
        <v>1210</v>
      </c>
      <c r="B1212" s="34" t="s">
        <v>49</v>
      </c>
      <c r="C1212" s="110" t="str">
        <f>IFERROR(INDEX(Структура_ассортимента[SuperCategory],MATCH(Товары[[#This Row],[SubGroup]],Структура_ассортимента[Subgroup],0)),"")</f>
        <v>W</v>
      </c>
      <c r="D121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1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12" s="110" t="str">
        <f>IFERROR(INDEX(Структура_ассортимента[Product group],MATCH(Товары[[#This Row],[SubGroup]],Структура_ассортимента[Subgroup],0)),"")</f>
        <v>WMO_C</v>
      </c>
      <c r="G1212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212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12" s="36">
        <v>9011</v>
      </c>
      <c r="J1212" s="36" t="str">
        <f>IFERROR(INDEX(Структура_ассортимента[Generic Name (long)],MATCH(Товары[[#This Row],[SubGroup]],Структура_ассортимента[Subgroup],0)),"")</f>
        <v>TAP CONNECTOR</v>
      </c>
      <c r="L1212" s="36">
        <v>967315701</v>
      </c>
      <c r="M1212" s="35" t="s">
        <v>2888</v>
      </c>
      <c r="Q1212" s="34" t="s">
        <v>3539</v>
      </c>
      <c r="R1212" s="34" t="s">
        <v>3540</v>
      </c>
      <c r="S1212" s="47">
        <v>42005</v>
      </c>
      <c r="T1212" s="47">
        <v>0</v>
      </c>
      <c r="U1212" s="47">
        <v>0</v>
      </c>
      <c r="V1212" s="34">
        <v>40785585</v>
      </c>
      <c r="AB1212" s="34">
        <v>20</v>
      </c>
      <c r="AD1212" s="34">
        <v>19</v>
      </c>
      <c r="AE1212" s="34">
        <v>35</v>
      </c>
      <c r="AF1212" s="34">
        <v>35</v>
      </c>
      <c r="AG1212" s="34">
        <v>50</v>
      </c>
      <c r="AH1212" s="34">
        <v>6.0999999999999999E-2</v>
      </c>
      <c r="AL1212" s="34">
        <v>7200</v>
      </c>
      <c r="AM1212" s="40" t="s">
        <v>8094</v>
      </c>
      <c r="AT1212" s="44">
        <v>0</v>
      </c>
      <c r="AU1212" s="44"/>
      <c r="AV1212" s="46">
        <f>ROUND(Товары[[#This Row],[РРЦ финальная, руб.]]/$AU$1,2)</f>
        <v>0</v>
      </c>
      <c r="AW1212" s="45" t="str">
        <f>IFERROR(Товары[[#This Row],[РРЦ, евро]]/Товары[[#This Row],[IRP, Eur]],"-")</f>
        <v>-</v>
      </c>
      <c r="AX1212" s="42">
        <f>IFERROR(VLOOKUP(Товары[[#This Row],[SubGroup]],'Структура цен DIY'!$B:$C,2,FALSE),0)</f>
        <v>0.26</v>
      </c>
      <c r="AY1212" s="44">
        <v>0</v>
      </c>
    </row>
    <row r="1213" spans="1:51" x14ac:dyDescent="0.25">
      <c r="A1213" s="34">
        <v>1211</v>
      </c>
      <c r="B1213" s="34" t="s">
        <v>49</v>
      </c>
      <c r="C1213" s="110" t="str">
        <f>IFERROR(INDEX(Структура_ассортимента[SuperCategory],MATCH(Товары[[#This Row],[SubGroup]],Структура_ассортимента[Subgroup],0)),"")</f>
        <v>W</v>
      </c>
      <c r="D121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1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13" s="110" t="str">
        <f>IFERROR(INDEX(Структура_ассортимента[Product group],MATCH(Товары[[#This Row],[SubGroup]],Структура_ассортимента[Subgroup],0)),"")</f>
        <v>WMO_C</v>
      </c>
      <c r="G1213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213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13" s="36">
        <v>9011</v>
      </c>
      <c r="J1213" s="36" t="str">
        <f>IFERROR(INDEX(Структура_ассортимента[Generic Name (long)],MATCH(Товары[[#This Row],[SubGroup]],Структура_ассортимента[Subgroup],0)),"")</f>
        <v>TAP CONNECTOR</v>
      </c>
      <c r="L1213" s="36">
        <v>967316101</v>
      </c>
      <c r="M1213" s="35" t="s">
        <v>2889</v>
      </c>
      <c r="Q1213" s="34" t="s">
        <v>3539</v>
      </c>
      <c r="R1213" s="34" t="s">
        <v>3540</v>
      </c>
      <c r="S1213" s="47">
        <v>42005</v>
      </c>
      <c r="T1213" s="47">
        <v>0</v>
      </c>
      <c r="U1213" s="47">
        <v>0</v>
      </c>
      <c r="V1213" s="34">
        <v>4078500012102</v>
      </c>
      <c r="W1213" s="34" t="s">
        <v>3543</v>
      </c>
      <c r="AM1213" s="40" t="s">
        <v>8094</v>
      </c>
      <c r="AT1213" s="44">
        <v>0</v>
      </c>
      <c r="AU1213" s="44"/>
      <c r="AV1213" s="46">
        <f>ROUND(Товары[[#This Row],[РРЦ финальная, руб.]]/$AU$1,2)</f>
        <v>0</v>
      </c>
      <c r="AW1213" s="45" t="str">
        <f>IFERROR(Товары[[#This Row],[РРЦ, евро]]/Товары[[#This Row],[IRP, Eur]],"-")</f>
        <v>-</v>
      </c>
      <c r="AX1213" s="42">
        <f>IFERROR(VLOOKUP(Товары[[#This Row],[SubGroup]],'Структура цен DIY'!$B:$C,2,FALSE),0)</f>
        <v>0.26</v>
      </c>
      <c r="AY1213" s="44">
        <v>0</v>
      </c>
    </row>
    <row r="1214" spans="1:51" x14ac:dyDescent="0.25">
      <c r="A1214" s="34">
        <v>1212</v>
      </c>
      <c r="B1214" s="34" t="s">
        <v>49</v>
      </c>
      <c r="C1214" s="110" t="str">
        <f>IFERROR(INDEX(Структура_ассортимента[SuperCategory],MATCH(Товары[[#This Row],[SubGroup]],Структура_ассортимента[Subgroup],0)),"")</f>
        <v>W</v>
      </c>
      <c r="D121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1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14" s="110" t="str">
        <f>IFERROR(INDEX(Структура_ассортимента[Product group],MATCH(Товары[[#This Row],[SubGroup]],Структура_ассортимента[Subgroup],0)),"")</f>
        <v>WMO_C</v>
      </c>
      <c r="G1214" s="110" t="str">
        <f>IFERROR(INDEX(Структура_ассортимента[Product group name ENG],MATCH(Товары[[#This Row],[SubGroup]],Структура_ассортимента[Subgroup],0)),"")</f>
        <v>Watering Mobile OGS</v>
      </c>
      <c r="H1214" s="110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14" s="36">
        <v>9011</v>
      </c>
      <c r="J1214" s="36" t="str">
        <f>IFERROR(INDEX(Структура_ассортимента[Generic Name (long)],MATCH(Товары[[#This Row],[SubGroup]],Структура_ассортимента[Subgroup],0)),"")</f>
        <v>TAP CONNECTOR</v>
      </c>
      <c r="L1214" s="36">
        <v>967316201</v>
      </c>
      <c r="M1214" s="35" t="s">
        <v>2890</v>
      </c>
      <c r="Q1214" s="34" t="s">
        <v>3539</v>
      </c>
      <c r="R1214" s="34" t="s">
        <v>3540</v>
      </c>
      <c r="S1214" s="47">
        <v>42005</v>
      </c>
      <c r="T1214" s="47">
        <v>0</v>
      </c>
      <c r="U1214" s="47">
        <v>0</v>
      </c>
      <c r="V1214" s="34">
        <v>40785592</v>
      </c>
      <c r="W1214" s="34" t="s">
        <v>3543</v>
      </c>
      <c r="AB1214" s="34">
        <v>34</v>
      </c>
      <c r="AD1214" s="34">
        <v>33</v>
      </c>
      <c r="AE1214" s="34">
        <v>43</v>
      </c>
      <c r="AF1214" s="34">
        <v>43</v>
      </c>
      <c r="AG1214" s="34">
        <v>58</v>
      </c>
      <c r="AH1214" s="34">
        <v>0.107</v>
      </c>
      <c r="AL1214" s="34">
        <v>3100</v>
      </c>
      <c r="AM1214" s="40" t="s">
        <v>8094</v>
      </c>
      <c r="AT1214" s="44">
        <v>0</v>
      </c>
      <c r="AU1214" s="44"/>
      <c r="AV1214" s="46">
        <f>ROUND(Товары[[#This Row],[РРЦ финальная, руб.]]/$AU$1,2)</f>
        <v>0</v>
      </c>
      <c r="AW1214" s="45" t="str">
        <f>IFERROR(Товары[[#This Row],[РРЦ, евро]]/Товары[[#This Row],[IRP, Eur]],"-")</f>
        <v>-</v>
      </c>
      <c r="AX1214" s="42">
        <f>IFERROR(VLOOKUP(Товары[[#This Row],[SubGroup]],'Структура цен DIY'!$B:$C,2,FALSE),0)</f>
        <v>0.26</v>
      </c>
      <c r="AY1214" s="44">
        <v>0</v>
      </c>
    </row>
    <row r="1215" spans="1:51" x14ac:dyDescent="0.25">
      <c r="A1215" s="34">
        <v>1213</v>
      </c>
      <c r="B1215" s="34" t="s">
        <v>49</v>
      </c>
      <c r="C1215" s="110" t="str">
        <f>IFERROR(INDEX(Структура_ассортимента[SuperCategory],MATCH(Товары[[#This Row],[SubGroup]],Структура_ассортимента[Subgroup],0)),"")</f>
        <v>W</v>
      </c>
      <c r="D121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1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15" s="110" t="str">
        <f>IFERROR(INDEX(Структура_ассортимента[Product group],MATCH(Товары[[#This Row],[SubGroup]],Структура_ассортимента[Subgroup],0)),"")</f>
        <v>WMA_C</v>
      </c>
      <c r="G1215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15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15" s="36">
        <v>9022</v>
      </c>
      <c r="J1215" s="36" t="str">
        <f>IFERROR(INDEX(Структура_ассортимента[Generic Name (long)],MATCH(Товары[[#This Row],[SubGroup]],Структура_ассортимента[Subgroup],0)),"")</f>
        <v>GARDEN SHOWER</v>
      </c>
      <c r="L1215" s="36">
        <v>967305901</v>
      </c>
      <c r="M1215" s="35" t="s">
        <v>2891</v>
      </c>
      <c r="Q1215" s="34" t="s">
        <v>3539</v>
      </c>
      <c r="R1215" s="34" t="s">
        <v>3540</v>
      </c>
      <c r="S1215" s="47">
        <v>42005</v>
      </c>
      <c r="T1215" s="47">
        <v>0</v>
      </c>
      <c r="U1215" s="47">
        <v>0</v>
      </c>
      <c r="V1215" s="34">
        <v>4078500010733</v>
      </c>
      <c r="W1215" s="34" t="s">
        <v>3543</v>
      </c>
      <c r="AB1215" s="34" t="s">
        <v>6687</v>
      </c>
      <c r="AD1215" s="34" t="s">
        <v>6688</v>
      </c>
      <c r="AE1215" s="34">
        <v>210</v>
      </c>
      <c r="AF1215" s="34">
        <v>105</v>
      </c>
      <c r="AG1215" s="34">
        <v>48</v>
      </c>
      <c r="AH1215" s="34">
        <v>1058</v>
      </c>
      <c r="AL1215" s="34">
        <v>576</v>
      </c>
      <c r="AM1215" s="40" t="s">
        <v>8094</v>
      </c>
      <c r="AT1215" s="44">
        <v>0</v>
      </c>
      <c r="AU1215" s="44"/>
      <c r="AV1215" s="46">
        <f>ROUND(Товары[[#This Row],[РРЦ финальная, руб.]]/$AU$1,2)</f>
        <v>0</v>
      </c>
      <c r="AW1215" s="45" t="str">
        <f>IFERROR(Товары[[#This Row],[РРЦ, евро]]/Товары[[#This Row],[IRP, Eur]],"-")</f>
        <v>-</v>
      </c>
      <c r="AX1215" s="42">
        <f>IFERROR(VLOOKUP(Товары[[#This Row],[SubGroup]],'Структура цен DIY'!$B:$C,2,FALSE),0)</f>
        <v>0.28000000000000003</v>
      </c>
      <c r="AY1215" s="44">
        <v>0</v>
      </c>
    </row>
    <row r="1216" spans="1:51" x14ac:dyDescent="0.25">
      <c r="A1216" s="34">
        <v>1214</v>
      </c>
      <c r="B1216" s="34" t="s">
        <v>49</v>
      </c>
      <c r="C1216" s="110" t="str">
        <f>IFERROR(INDEX(Структура_ассортимента[SuperCategory],MATCH(Товары[[#This Row],[SubGroup]],Структура_ассортимента[Subgroup],0)),"")</f>
        <v>W</v>
      </c>
      <c r="D121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1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16" s="110" t="str">
        <f>IFERROR(INDEX(Структура_ассортимента[Product group],MATCH(Товары[[#This Row],[SubGroup]],Структура_ассортимента[Subgroup],0)),"")</f>
        <v>WMA_C</v>
      </c>
      <c r="G1216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16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16" s="36">
        <v>9022</v>
      </c>
      <c r="J1216" s="36" t="str">
        <f>IFERROR(INDEX(Структура_ассортимента[Generic Name (long)],MATCH(Товары[[#This Row],[SubGroup]],Структура_ассортимента[Subgroup],0)),"")</f>
        <v>GARDEN SHOWER</v>
      </c>
      <c r="L1216" s="36">
        <v>967306201</v>
      </c>
      <c r="M1216" s="35" t="s">
        <v>2892</v>
      </c>
      <c r="Q1216" s="34" t="s">
        <v>3539</v>
      </c>
      <c r="R1216" s="34" t="s">
        <v>3540</v>
      </c>
      <c r="S1216" s="47">
        <v>42005</v>
      </c>
      <c r="T1216" s="47">
        <v>0</v>
      </c>
      <c r="U1216" s="47">
        <v>0</v>
      </c>
      <c r="V1216" s="34">
        <v>4078500010658</v>
      </c>
      <c r="W1216" s="34" t="s">
        <v>3543</v>
      </c>
      <c r="AB1216" s="34">
        <v>60</v>
      </c>
      <c r="AD1216" s="34">
        <v>59</v>
      </c>
      <c r="AE1216" s="34">
        <v>35</v>
      </c>
      <c r="AF1216" s="34">
        <v>35</v>
      </c>
      <c r="AG1216" s="34">
        <v>137</v>
      </c>
      <c r="AH1216" s="34">
        <v>0.16800000000000001</v>
      </c>
      <c r="AL1216" s="34">
        <v>2975</v>
      </c>
      <c r="AM1216" s="40" t="s">
        <v>8094</v>
      </c>
      <c r="AT1216" s="44">
        <v>0</v>
      </c>
      <c r="AU1216" s="44"/>
      <c r="AV1216" s="46">
        <f>ROUND(Товары[[#This Row],[РРЦ финальная, руб.]]/$AU$1,2)</f>
        <v>0</v>
      </c>
      <c r="AW1216" s="45" t="str">
        <f>IFERROR(Товары[[#This Row],[РРЦ, евро]]/Товары[[#This Row],[IRP, Eur]],"-")</f>
        <v>-</v>
      </c>
      <c r="AX1216" s="42">
        <f>IFERROR(VLOOKUP(Товары[[#This Row],[SubGroup]],'Структура цен DIY'!$B:$C,2,FALSE),0)</f>
        <v>0.28000000000000003</v>
      </c>
      <c r="AY1216" s="44">
        <v>0</v>
      </c>
    </row>
    <row r="1217" spans="1:51" x14ac:dyDescent="0.25">
      <c r="A1217" s="34">
        <v>1215</v>
      </c>
      <c r="B1217" s="34" t="s">
        <v>49</v>
      </c>
      <c r="C1217" s="110" t="str">
        <f>IFERROR(INDEX(Структура_ассортимента[SuperCategory],MATCH(Товары[[#This Row],[SubGroup]],Структура_ассортимента[Subgroup],0)),"")</f>
        <v>W</v>
      </c>
      <c r="D121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1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17" s="110" t="str">
        <f>IFERROR(INDEX(Структура_ассортимента[Product group],MATCH(Товары[[#This Row],[SubGroup]],Структура_ассортимента[Subgroup],0)),"")</f>
        <v>WMA_C</v>
      </c>
      <c r="G1217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17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17" s="36">
        <v>9022</v>
      </c>
      <c r="J1217" s="36" t="str">
        <f>IFERROR(INDEX(Структура_ассортимента[Generic Name (long)],MATCH(Товары[[#This Row],[SubGroup]],Структура_ассортимента[Subgroup],0)),"")</f>
        <v>GARDEN SHOWER</v>
      </c>
      <c r="L1217" s="36">
        <v>967306301</v>
      </c>
      <c r="M1217" s="35" t="s">
        <v>2893</v>
      </c>
      <c r="Q1217" s="34" t="s">
        <v>3539</v>
      </c>
      <c r="R1217" s="34" t="s">
        <v>3540</v>
      </c>
      <c r="S1217" s="47">
        <v>42005</v>
      </c>
      <c r="T1217" s="47">
        <v>0</v>
      </c>
      <c r="U1217" s="47">
        <v>0</v>
      </c>
      <c r="V1217" s="34">
        <v>4078500010757</v>
      </c>
      <c r="W1217" s="34" t="s">
        <v>3543</v>
      </c>
      <c r="AB1217" s="34">
        <v>199</v>
      </c>
      <c r="AD1217" s="34">
        <v>180</v>
      </c>
      <c r="AE1217" s="34">
        <v>220</v>
      </c>
      <c r="AF1217" s="34">
        <v>190</v>
      </c>
      <c r="AG1217" s="34">
        <v>36</v>
      </c>
      <c r="AH1217" s="34">
        <v>1505</v>
      </c>
      <c r="AL1217" s="34">
        <v>400</v>
      </c>
      <c r="AM1217" s="40" t="s">
        <v>8094</v>
      </c>
      <c r="AT1217" s="44">
        <v>0</v>
      </c>
      <c r="AU1217" s="44"/>
      <c r="AV1217" s="46">
        <f>ROUND(Товары[[#This Row],[РРЦ финальная, руб.]]/$AU$1,2)</f>
        <v>0</v>
      </c>
      <c r="AW1217" s="45" t="str">
        <f>IFERROR(Товары[[#This Row],[РРЦ, евро]]/Товары[[#This Row],[IRP, Eur]],"-")</f>
        <v>-</v>
      </c>
      <c r="AX1217" s="42">
        <f>IFERROR(VLOOKUP(Товары[[#This Row],[SubGroup]],'Структура цен DIY'!$B:$C,2,FALSE),0)</f>
        <v>0.28000000000000003</v>
      </c>
      <c r="AY1217" s="44">
        <v>0</v>
      </c>
    </row>
    <row r="1218" spans="1:51" x14ac:dyDescent="0.25">
      <c r="A1218" s="34">
        <v>1216</v>
      </c>
      <c r="B1218" s="34" t="s">
        <v>49</v>
      </c>
      <c r="C1218" s="110" t="str">
        <f>IFERROR(INDEX(Структура_ассортимента[SuperCategory],MATCH(Товары[[#This Row],[SubGroup]],Структура_ассортимента[Subgroup],0)),"")</f>
        <v>W</v>
      </c>
      <c r="D121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1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18" s="110" t="str">
        <f>IFERROR(INDEX(Структура_ассортимента[Product group],MATCH(Товары[[#This Row],[SubGroup]],Структура_ассортимента[Subgroup],0)),"")</f>
        <v>WMA_C</v>
      </c>
      <c r="G1218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18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18" s="36">
        <v>9022</v>
      </c>
      <c r="J1218" s="36" t="str">
        <f>IFERROR(INDEX(Структура_ассортимента[Generic Name (long)],MATCH(Товары[[#This Row],[SubGroup]],Структура_ассортимента[Subgroup],0)),"")</f>
        <v>GARDEN SHOWER</v>
      </c>
      <c r="L1218" s="36">
        <v>967306601</v>
      </c>
      <c r="M1218" s="35" t="s">
        <v>2894</v>
      </c>
      <c r="Q1218" s="34" t="s">
        <v>3539</v>
      </c>
      <c r="R1218" s="34" t="s">
        <v>3540</v>
      </c>
      <c r="S1218" s="47">
        <v>42005</v>
      </c>
      <c r="T1218" s="47">
        <v>0</v>
      </c>
      <c r="U1218" s="47">
        <v>0</v>
      </c>
      <c r="V1218" s="34">
        <v>4078500010474</v>
      </c>
      <c r="W1218" s="34" t="s">
        <v>3543</v>
      </c>
      <c r="AB1218" s="34">
        <v>260</v>
      </c>
      <c r="AD1218" s="34">
        <v>259</v>
      </c>
      <c r="AE1218" s="34">
        <v>193</v>
      </c>
      <c r="AF1218" s="34">
        <v>39</v>
      </c>
      <c r="AG1218" s="34">
        <v>159</v>
      </c>
      <c r="AH1218" s="34">
        <v>1197</v>
      </c>
      <c r="AL1218" s="34">
        <v>1400</v>
      </c>
      <c r="AM1218" s="40" t="s">
        <v>8094</v>
      </c>
      <c r="AT1218" s="44">
        <v>0</v>
      </c>
      <c r="AU1218" s="44"/>
      <c r="AV1218" s="46">
        <f>ROUND(Товары[[#This Row],[РРЦ финальная, руб.]]/$AU$1,2)</f>
        <v>0</v>
      </c>
      <c r="AW1218" s="45" t="str">
        <f>IFERROR(Товары[[#This Row],[РРЦ, евро]]/Товары[[#This Row],[IRP, Eur]],"-")</f>
        <v>-</v>
      </c>
      <c r="AX1218" s="42">
        <f>IFERROR(VLOOKUP(Товары[[#This Row],[SubGroup]],'Структура цен DIY'!$B:$C,2,FALSE),0)</f>
        <v>0.28000000000000003</v>
      </c>
      <c r="AY1218" s="44">
        <v>0</v>
      </c>
    </row>
    <row r="1219" spans="1:51" x14ac:dyDescent="0.25">
      <c r="A1219" s="34">
        <v>1217</v>
      </c>
      <c r="B1219" s="34" t="s">
        <v>49</v>
      </c>
      <c r="C1219" s="110" t="str">
        <f>IFERROR(INDEX(Структура_ассортимента[SuperCategory],MATCH(Товары[[#This Row],[SubGroup]],Структура_ассортимента[Subgroup],0)),"")</f>
        <v>W</v>
      </c>
      <c r="D121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1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19" s="110" t="str">
        <f>IFERROR(INDEX(Структура_ассортимента[Product group],MATCH(Товары[[#This Row],[SubGroup]],Структура_ассортимента[Subgroup],0)),"")</f>
        <v>WMA_C</v>
      </c>
      <c r="G1219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19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19" s="36">
        <v>9022</v>
      </c>
      <c r="J1219" s="36" t="str">
        <f>IFERROR(INDEX(Структура_ассортимента[Generic Name (long)],MATCH(Товары[[#This Row],[SubGroup]],Структура_ассортимента[Subgroup],0)),"")</f>
        <v>GARDEN SHOWER</v>
      </c>
      <c r="L1219" s="36">
        <v>967306701</v>
      </c>
      <c r="M1219" s="35" t="s">
        <v>2895</v>
      </c>
      <c r="Q1219" s="34" t="s">
        <v>3539</v>
      </c>
      <c r="R1219" s="34" t="s">
        <v>3540</v>
      </c>
      <c r="S1219" s="47">
        <v>42005</v>
      </c>
      <c r="T1219" s="47">
        <v>0</v>
      </c>
      <c r="U1219" s="47">
        <v>0</v>
      </c>
      <c r="V1219" s="34">
        <v>4078500010634</v>
      </c>
      <c r="W1219" s="34" t="s">
        <v>3543</v>
      </c>
      <c r="AB1219" s="34" t="s">
        <v>6689</v>
      </c>
      <c r="AD1219" s="34" t="s">
        <v>6690</v>
      </c>
      <c r="AE1219" s="34">
        <v>210</v>
      </c>
      <c r="AF1219" s="34">
        <v>105</v>
      </c>
      <c r="AG1219" s="34">
        <v>57</v>
      </c>
      <c r="AH1219" s="34">
        <v>1257</v>
      </c>
      <c r="AL1219" s="34">
        <v>648</v>
      </c>
      <c r="AM1219" s="40" t="s">
        <v>8094</v>
      </c>
      <c r="AT1219" s="44">
        <v>0</v>
      </c>
      <c r="AU1219" s="44"/>
      <c r="AV1219" s="46">
        <f>ROUND(Товары[[#This Row],[РРЦ финальная, руб.]]/$AU$1,2)</f>
        <v>0</v>
      </c>
      <c r="AW1219" s="45" t="str">
        <f>IFERROR(Товары[[#This Row],[РРЦ, евро]]/Товары[[#This Row],[IRP, Eur]],"-")</f>
        <v>-</v>
      </c>
      <c r="AX1219" s="42">
        <f>IFERROR(VLOOKUP(Товары[[#This Row],[SubGroup]],'Структура цен DIY'!$B:$C,2,FALSE),0)</f>
        <v>0.28000000000000003</v>
      </c>
      <c r="AY1219" s="44">
        <v>0</v>
      </c>
    </row>
    <row r="1220" spans="1:51" x14ac:dyDescent="0.25">
      <c r="A1220" s="34">
        <v>1218</v>
      </c>
      <c r="B1220" s="34" t="s">
        <v>49</v>
      </c>
      <c r="C1220" s="110" t="str">
        <f>IFERROR(INDEX(Структура_ассортимента[SuperCategory],MATCH(Товары[[#This Row],[SubGroup]],Структура_ассортимента[Subgroup],0)),"")</f>
        <v>W</v>
      </c>
      <c r="D122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2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20" s="110" t="str">
        <f>IFERROR(INDEX(Структура_ассортимента[Product group],MATCH(Товары[[#This Row],[SubGroup]],Структура_ассортимента[Subgroup],0)),"")</f>
        <v>WMA_C</v>
      </c>
      <c r="G1220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20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20" s="36">
        <v>9022</v>
      </c>
      <c r="J1220" s="36" t="str">
        <f>IFERROR(INDEX(Структура_ассортимента[Generic Name (long)],MATCH(Товары[[#This Row],[SubGroup]],Структура_ассортимента[Subgroup],0)),"")</f>
        <v>GARDEN SHOWER</v>
      </c>
      <c r="L1220" s="36">
        <v>967306901</v>
      </c>
      <c r="M1220" s="35" t="s">
        <v>2896</v>
      </c>
      <c r="Q1220" s="34" t="s">
        <v>3539</v>
      </c>
      <c r="R1220" s="34" t="s">
        <v>3540</v>
      </c>
      <c r="S1220" s="47">
        <v>42005</v>
      </c>
      <c r="T1220" s="47">
        <v>0</v>
      </c>
      <c r="U1220" s="47">
        <v>0</v>
      </c>
      <c r="V1220" s="34">
        <v>4078500010597</v>
      </c>
      <c r="W1220" s="34" t="s">
        <v>3543</v>
      </c>
      <c r="AB1220" s="34">
        <v>78</v>
      </c>
      <c r="AD1220" s="34">
        <v>77</v>
      </c>
      <c r="AE1220" s="34">
        <v>57</v>
      </c>
      <c r="AF1220" s="34">
        <v>57</v>
      </c>
      <c r="AG1220" s="34">
        <v>150</v>
      </c>
      <c r="AH1220" s="34">
        <v>0.48699999999999999</v>
      </c>
      <c r="AL1220" s="34">
        <v>1400</v>
      </c>
      <c r="AM1220" s="40" t="s">
        <v>8094</v>
      </c>
      <c r="AT1220" s="44">
        <v>0</v>
      </c>
      <c r="AU1220" s="44"/>
      <c r="AV1220" s="46">
        <f>ROUND(Товары[[#This Row],[РРЦ финальная, руб.]]/$AU$1,2)</f>
        <v>0</v>
      </c>
      <c r="AW1220" s="45" t="str">
        <f>IFERROR(Товары[[#This Row],[РРЦ, евро]]/Товары[[#This Row],[IRP, Eur]],"-")</f>
        <v>-</v>
      </c>
      <c r="AX1220" s="42">
        <f>IFERROR(VLOOKUP(Товары[[#This Row],[SubGroup]],'Структура цен DIY'!$B:$C,2,FALSE),0)</f>
        <v>0.28000000000000003</v>
      </c>
      <c r="AY1220" s="44">
        <v>0</v>
      </c>
    </row>
    <row r="1221" spans="1:51" x14ac:dyDescent="0.25">
      <c r="A1221" s="34">
        <v>1219</v>
      </c>
      <c r="B1221" s="34" t="s">
        <v>49</v>
      </c>
      <c r="C1221" s="110" t="str">
        <f>IFERROR(INDEX(Структура_ассортимента[SuperCategory],MATCH(Товары[[#This Row],[SubGroup]],Структура_ассортимента[Subgroup],0)),"")</f>
        <v>W</v>
      </c>
      <c r="D122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2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21" s="110" t="str">
        <f>IFERROR(INDEX(Структура_ассортимента[Product group],MATCH(Товары[[#This Row],[SubGroup]],Структура_ассортимента[Subgroup],0)),"")</f>
        <v>WMA_C</v>
      </c>
      <c r="G1221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21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21" s="36">
        <v>9022</v>
      </c>
      <c r="J1221" s="36" t="str">
        <f>IFERROR(INDEX(Структура_ассортимента[Generic Name (long)],MATCH(Товары[[#This Row],[SubGroup]],Структура_ассортимента[Subgroup],0)),"")</f>
        <v>GARDEN SHOWER</v>
      </c>
      <c r="L1221" s="36">
        <v>967307001</v>
      </c>
      <c r="M1221" s="35" t="s">
        <v>2897</v>
      </c>
      <c r="Q1221" s="34" t="s">
        <v>3539</v>
      </c>
      <c r="R1221" s="34" t="s">
        <v>3540</v>
      </c>
      <c r="S1221" s="47">
        <v>42005</v>
      </c>
      <c r="T1221" s="47">
        <v>0</v>
      </c>
      <c r="U1221" s="47">
        <v>0</v>
      </c>
      <c r="V1221" s="34">
        <v>4078500010795</v>
      </c>
      <c r="W1221" s="34" t="s">
        <v>3543</v>
      </c>
      <c r="AB1221" s="34">
        <v>225</v>
      </c>
      <c r="AD1221" s="34">
        <v>180</v>
      </c>
      <c r="AE1221" s="34">
        <v>215</v>
      </c>
      <c r="AF1221" s="34">
        <v>200</v>
      </c>
      <c r="AG1221" s="34">
        <v>58</v>
      </c>
      <c r="AH1221" s="34">
        <v>2494</v>
      </c>
      <c r="AL1221" s="34">
        <v>300</v>
      </c>
      <c r="AM1221" s="40" t="s">
        <v>8094</v>
      </c>
      <c r="AT1221" s="44">
        <v>0</v>
      </c>
      <c r="AU1221" s="44"/>
      <c r="AV1221" s="46">
        <f>ROUND(Товары[[#This Row],[РРЦ финальная, руб.]]/$AU$1,2)</f>
        <v>0</v>
      </c>
      <c r="AW1221" s="45" t="str">
        <f>IFERROR(Товары[[#This Row],[РРЦ, евро]]/Товары[[#This Row],[IRP, Eur]],"-")</f>
        <v>-</v>
      </c>
      <c r="AX1221" s="42">
        <f>IFERROR(VLOOKUP(Товары[[#This Row],[SubGroup]],'Структура цен DIY'!$B:$C,2,FALSE),0)</f>
        <v>0.28000000000000003</v>
      </c>
      <c r="AY1221" s="44">
        <v>0</v>
      </c>
    </row>
    <row r="1222" spans="1:51" x14ac:dyDescent="0.25">
      <c r="A1222" s="34">
        <v>1220</v>
      </c>
      <c r="B1222" s="34" t="s">
        <v>49</v>
      </c>
      <c r="C1222" s="110" t="str">
        <f>IFERROR(INDEX(Структура_ассортимента[SuperCategory],MATCH(Товары[[#This Row],[SubGroup]],Структура_ассортимента[Subgroup],0)),"")</f>
        <v>W</v>
      </c>
      <c r="D122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2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22" s="110" t="str">
        <f>IFERROR(INDEX(Структура_ассортимента[Product group],MATCH(Товары[[#This Row],[SubGroup]],Структура_ассортимента[Subgroup],0)),"")</f>
        <v>WMA_C</v>
      </c>
      <c r="G1222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22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22" s="36">
        <v>9022</v>
      </c>
      <c r="J1222" s="36" t="str">
        <f>IFERROR(INDEX(Структура_ассортимента[Generic Name (long)],MATCH(Товары[[#This Row],[SubGroup]],Структура_ассортимента[Subgroup],0)),"")</f>
        <v>GARDEN SHOWER</v>
      </c>
      <c r="L1222" s="36">
        <v>967307101</v>
      </c>
      <c r="M1222" s="35" t="s">
        <v>2898</v>
      </c>
      <c r="Q1222" s="34" t="s">
        <v>3539</v>
      </c>
      <c r="R1222" s="34" t="s">
        <v>3540</v>
      </c>
      <c r="S1222" s="47">
        <v>42005</v>
      </c>
      <c r="T1222" s="47">
        <v>0</v>
      </c>
      <c r="U1222" s="47">
        <v>0</v>
      </c>
      <c r="V1222" s="34">
        <v>4078500010771</v>
      </c>
      <c r="W1222" s="34" t="s">
        <v>3543</v>
      </c>
      <c r="AB1222" s="34">
        <v>259</v>
      </c>
      <c r="AD1222" s="34">
        <v>258</v>
      </c>
      <c r="AE1222" s="34">
        <v>190</v>
      </c>
      <c r="AF1222" s="34">
        <v>57</v>
      </c>
      <c r="AG1222" s="34">
        <v>166</v>
      </c>
      <c r="AH1222" s="34">
        <v>1798</v>
      </c>
      <c r="AL1222" s="34">
        <v>1050</v>
      </c>
      <c r="AM1222" s="40" t="s">
        <v>8094</v>
      </c>
      <c r="AT1222" s="44">
        <v>0</v>
      </c>
      <c r="AU1222" s="44"/>
      <c r="AV1222" s="46">
        <f>ROUND(Товары[[#This Row],[РРЦ финальная, руб.]]/$AU$1,2)</f>
        <v>0</v>
      </c>
      <c r="AW1222" s="45" t="str">
        <f>IFERROR(Товары[[#This Row],[РРЦ, евро]]/Товары[[#This Row],[IRP, Eur]],"-")</f>
        <v>-</v>
      </c>
      <c r="AX1222" s="42">
        <f>IFERROR(VLOOKUP(Товары[[#This Row],[SubGroup]],'Структура цен DIY'!$B:$C,2,FALSE),0)</f>
        <v>0.28000000000000003</v>
      </c>
      <c r="AY1222" s="44">
        <v>0</v>
      </c>
    </row>
    <row r="1223" spans="1:51" x14ac:dyDescent="0.25">
      <c r="A1223" s="34">
        <v>1221</v>
      </c>
      <c r="B1223" s="34" t="s">
        <v>49</v>
      </c>
      <c r="C1223" s="110" t="str">
        <f>IFERROR(INDEX(Структура_ассортимента[SuperCategory],MATCH(Товары[[#This Row],[SubGroup]],Структура_ассортимента[Subgroup],0)),"")</f>
        <v>W</v>
      </c>
      <c r="D122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2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23" s="110" t="str">
        <f>IFERROR(INDEX(Структура_ассортимента[Product group],MATCH(Товары[[#This Row],[SubGroup]],Структура_ассортимента[Subgroup],0)),"")</f>
        <v>WMA_C</v>
      </c>
      <c r="G1223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23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23" s="36">
        <v>9022</v>
      </c>
      <c r="J1223" s="36" t="str">
        <f>IFERROR(INDEX(Структура_ассортимента[Generic Name (long)],MATCH(Товары[[#This Row],[SubGroup]],Структура_ассортимента[Subgroup],0)),"")</f>
        <v>GARDEN SHOWER</v>
      </c>
      <c r="L1223" s="36">
        <v>967305501</v>
      </c>
      <c r="M1223" s="35" t="s">
        <v>2899</v>
      </c>
      <c r="Q1223" s="34" t="s">
        <v>3539</v>
      </c>
      <c r="R1223" s="34" t="s">
        <v>3540</v>
      </c>
      <c r="S1223" s="47">
        <v>42005</v>
      </c>
      <c r="T1223" s="47">
        <v>0</v>
      </c>
      <c r="U1223" s="47">
        <v>0</v>
      </c>
      <c r="V1223" s="34">
        <v>4078500010535</v>
      </c>
      <c r="W1223" s="34" t="s">
        <v>3543</v>
      </c>
      <c r="AB1223" s="34">
        <v>259</v>
      </c>
      <c r="AD1223" s="34">
        <v>258</v>
      </c>
      <c r="AE1223" s="34">
        <v>190</v>
      </c>
      <c r="AF1223" s="34">
        <v>57</v>
      </c>
      <c r="AG1223" s="34">
        <v>166</v>
      </c>
      <c r="AH1223" s="34">
        <v>1798</v>
      </c>
      <c r="AL1223" s="34">
        <v>200</v>
      </c>
      <c r="AM1223" s="40" t="s">
        <v>8094</v>
      </c>
      <c r="AT1223" s="44">
        <v>0</v>
      </c>
      <c r="AU1223" s="44"/>
      <c r="AV1223" s="46">
        <f>ROUND(Товары[[#This Row],[РРЦ финальная, руб.]]/$AU$1,2)</f>
        <v>0</v>
      </c>
      <c r="AW1223" s="45" t="str">
        <f>IFERROR(Товары[[#This Row],[РРЦ, евро]]/Товары[[#This Row],[IRP, Eur]],"-")</f>
        <v>-</v>
      </c>
      <c r="AX1223" s="42">
        <f>IFERROR(VLOOKUP(Товары[[#This Row],[SubGroup]],'Структура цен DIY'!$B:$C,2,FALSE),0)</f>
        <v>0.28000000000000003</v>
      </c>
      <c r="AY1223" s="44">
        <v>0</v>
      </c>
    </row>
    <row r="1224" spans="1:51" x14ac:dyDescent="0.25">
      <c r="A1224" s="34">
        <v>1222</v>
      </c>
      <c r="B1224" s="34" t="s">
        <v>49</v>
      </c>
      <c r="C1224" s="110" t="str">
        <f>IFERROR(INDEX(Структура_ассортимента[SuperCategory],MATCH(Товары[[#This Row],[SubGroup]],Структура_ассортимента[Subgroup],0)),"")</f>
        <v>W</v>
      </c>
      <c r="D122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2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24" s="110" t="str">
        <f>IFERROR(INDEX(Структура_ассортимента[Product group],MATCH(Товары[[#This Row],[SubGroup]],Структура_ассортимента[Subgroup],0)),"")</f>
        <v>WMA_C</v>
      </c>
      <c r="G1224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24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24" s="36">
        <v>9022</v>
      </c>
      <c r="J1224" s="36" t="str">
        <f>IFERROR(INDEX(Структура_ассортимента[Generic Name (long)],MATCH(Товары[[#This Row],[SubGroup]],Структура_ассортимента[Subgroup],0)),"")</f>
        <v>GARDEN SHOWER</v>
      </c>
      <c r="L1224" s="36">
        <v>967307201</v>
      </c>
      <c r="M1224" s="35" t="s">
        <v>2900</v>
      </c>
      <c r="Q1224" s="34" t="s">
        <v>3539</v>
      </c>
      <c r="R1224" s="34" t="s">
        <v>3540</v>
      </c>
      <c r="S1224" s="47">
        <v>42005</v>
      </c>
      <c r="T1224" s="47">
        <v>0</v>
      </c>
      <c r="U1224" s="47">
        <v>0</v>
      </c>
      <c r="V1224" s="34">
        <v>4078500010511</v>
      </c>
      <c r="W1224" s="34" t="s">
        <v>3543</v>
      </c>
      <c r="AB1224" s="34">
        <v>441</v>
      </c>
      <c r="AD1224" s="34" t="s">
        <v>6691</v>
      </c>
      <c r="AE1224" s="34">
        <v>217</v>
      </c>
      <c r="AF1224" s="34">
        <v>76</v>
      </c>
      <c r="AG1224" s="34">
        <v>76</v>
      </c>
      <c r="AH1224" s="34">
        <v>1253</v>
      </c>
      <c r="AL1224" s="34">
        <v>180</v>
      </c>
      <c r="AM1224" s="40" t="s">
        <v>8094</v>
      </c>
      <c r="AT1224" s="44">
        <v>0</v>
      </c>
      <c r="AU1224" s="44"/>
      <c r="AV1224" s="46">
        <f>ROUND(Товары[[#This Row],[РРЦ финальная, руб.]]/$AU$1,2)</f>
        <v>0</v>
      </c>
      <c r="AW1224" s="45" t="str">
        <f>IFERROR(Товары[[#This Row],[РРЦ, евро]]/Товары[[#This Row],[IRP, Eur]],"-")</f>
        <v>-</v>
      </c>
      <c r="AX1224" s="42">
        <f>IFERROR(VLOOKUP(Товары[[#This Row],[SubGroup]],'Структура цен DIY'!$B:$C,2,FALSE),0)</f>
        <v>0.28000000000000003</v>
      </c>
      <c r="AY1224" s="44">
        <v>0</v>
      </c>
    </row>
    <row r="1225" spans="1:51" x14ac:dyDescent="0.25">
      <c r="A1225" s="34">
        <v>1223</v>
      </c>
      <c r="B1225" s="34" t="s">
        <v>49</v>
      </c>
      <c r="C1225" s="110" t="str">
        <f>IFERROR(INDEX(Структура_ассортимента[SuperCategory],MATCH(Товары[[#This Row],[SubGroup]],Структура_ассортимента[Subgroup],0)),"")</f>
        <v>W</v>
      </c>
      <c r="D122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2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25" s="110" t="str">
        <f>IFERROR(INDEX(Структура_ассортимента[Product group],MATCH(Товары[[#This Row],[SubGroup]],Структура_ассортимента[Subgroup],0)),"")</f>
        <v>WMA_C</v>
      </c>
      <c r="G1225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25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25" s="36">
        <v>9022</v>
      </c>
      <c r="J1225" s="36" t="str">
        <f>IFERROR(INDEX(Структура_ассортимента[Generic Name (long)],MATCH(Товары[[#This Row],[SubGroup]],Структура_ассортимента[Subgroup],0)),"")</f>
        <v>GARDEN SHOWER</v>
      </c>
      <c r="L1225" s="36">
        <v>967325301</v>
      </c>
      <c r="M1225" s="35" t="s">
        <v>2901</v>
      </c>
      <c r="Q1225" s="34" t="s">
        <v>3539</v>
      </c>
      <c r="R1225" s="34" t="s">
        <v>3540</v>
      </c>
      <c r="S1225" s="47">
        <v>42005</v>
      </c>
      <c r="T1225" s="47">
        <v>0</v>
      </c>
      <c r="U1225" s="47">
        <v>0</v>
      </c>
      <c r="V1225" s="34">
        <v>4078500013505</v>
      </c>
      <c r="W1225" s="34" t="s">
        <v>3543</v>
      </c>
      <c r="AB1225" s="34">
        <v>347</v>
      </c>
      <c r="AD1225" s="34">
        <v>346</v>
      </c>
      <c r="AE1225" s="34">
        <v>218</v>
      </c>
      <c r="AF1225" s="34">
        <v>76</v>
      </c>
      <c r="AG1225" s="34">
        <v>176</v>
      </c>
      <c r="AH1225" s="34">
        <v>2916</v>
      </c>
      <c r="AL1225" s="34">
        <v>347</v>
      </c>
      <c r="AM1225" s="40" t="s">
        <v>8094</v>
      </c>
      <c r="AT1225" s="44">
        <v>0</v>
      </c>
      <c r="AU1225" s="44"/>
      <c r="AV1225" s="46">
        <f>ROUND(Товары[[#This Row],[РРЦ финальная, руб.]]/$AU$1,2)</f>
        <v>0</v>
      </c>
      <c r="AW1225" s="45" t="str">
        <f>IFERROR(Товары[[#This Row],[РРЦ, евро]]/Товары[[#This Row],[IRP, Eur]],"-")</f>
        <v>-</v>
      </c>
      <c r="AX1225" s="42">
        <f>IFERROR(VLOOKUP(Товары[[#This Row],[SubGroup]],'Структура цен DIY'!$B:$C,2,FALSE),0)</f>
        <v>0.28000000000000003</v>
      </c>
      <c r="AY1225" s="44">
        <v>0</v>
      </c>
    </row>
    <row r="1226" spans="1:51" x14ac:dyDescent="0.25">
      <c r="A1226" s="34">
        <v>1224</v>
      </c>
      <c r="B1226" s="34" t="s">
        <v>49</v>
      </c>
      <c r="C1226" s="110" t="str">
        <f>IFERROR(INDEX(Структура_ассортимента[SuperCategory],MATCH(Товары[[#This Row],[SubGroup]],Структура_ассортимента[Subgroup],0)),"")</f>
        <v>W</v>
      </c>
      <c r="D122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2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26" s="110" t="str">
        <f>IFERROR(INDEX(Структура_ассортимента[Product group],MATCH(Товары[[#This Row],[SubGroup]],Структура_ассортимента[Subgroup],0)),"")</f>
        <v>WMA_C</v>
      </c>
      <c r="G1226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26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26" s="36">
        <v>9022</v>
      </c>
      <c r="J1226" s="36" t="str">
        <f>IFERROR(INDEX(Структура_ассортимента[Generic Name (long)],MATCH(Товары[[#This Row],[SubGroup]],Структура_ассортимента[Subgroup],0)),"")</f>
        <v>GARDEN SHOWER</v>
      </c>
      <c r="L1226" s="36">
        <v>967305601</v>
      </c>
      <c r="M1226" s="35" t="s">
        <v>2902</v>
      </c>
      <c r="Q1226" s="34" t="s">
        <v>3539</v>
      </c>
      <c r="R1226" s="34" t="s">
        <v>3540</v>
      </c>
      <c r="S1226" s="47">
        <v>42005</v>
      </c>
      <c r="T1226" s="47">
        <v>0</v>
      </c>
      <c r="U1226" s="47">
        <v>0</v>
      </c>
      <c r="V1226" s="34">
        <v>4078500010245</v>
      </c>
      <c r="W1226" s="34" t="s">
        <v>3543</v>
      </c>
      <c r="AB1226" s="34" t="s">
        <v>6692</v>
      </c>
      <c r="AD1226" s="34" t="s">
        <v>6693</v>
      </c>
      <c r="AE1226" s="34">
        <v>910</v>
      </c>
      <c r="AF1226" s="34">
        <v>175</v>
      </c>
      <c r="AG1226" s="34">
        <v>65</v>
      </c>
      <c r="AH1226" s="34">
        <v>10351</v>
      </c>
      <c r="AM1226" s="40" t="s">
        <v>8094</v>
      </c>
      <c r="AT1226" s="44">
        <v>0</v>
      </c>
      <c r="AU1226" s="44"/>
      <c r="AV1226" s="46">
        <f>ROUND(Товары[[#This Row],[РРЦ финальная, руб.]]/$AU$1,2)</f>
        <v>0</v>
      </c>
      <c r="AW1226" s="45" t="str">
        <f>IFERROR(Товары[[#This Row],[РРЦ, евро]]/Товары[[#This Row],[IRP, Eur]],"-")</f>
        <v>-</v>
      </c>
      <c r="AX1226" s="42">
        <f>IFERROR(VLOOKUP(Товары[[#This Row],[SubGroup]],'Структура цен DIY'!$B:$C,2,FALSE),0)</f>
        <v>0.28000000000000003</v>
      </c>
      <c r="AY1226" s="44">
        <v>0</v>
      </c>
    </row>
    <row r="1227" spans="1:51" x14ac:dyDescent="0.25">
      <c r="A1227" s="34">
        <v>1225</v>
      </c>
      <c r="B1227" s="34" t="s">
        <v>49</v>
      </c>
      <c r="C1227" s="110" t="str">
        <f>IFERROR(INDEX(Структура_ассортимента[SuperCategory],MATCH(Товары[[#This Row],[SubGroup]],Структура_ассортимента[Subgroup],0)),"")</f>
        <v>W</v>
      </c>
      <c r="D122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2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27" s="110" t="str">
        <f>IFERROR(INDEX(Структура_ассортимента[Product group],MATCH(Товары[[#This Row],[SubGroup]],Структура_ассортимента[Subgroup],0)),"")</f>
        <v>WMA_C</v>
      </c>
      <c r="G1227" s="110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27" s="110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27" s="36">
        <v>9022</v>
      </c>
      <c r="J1227" s="36" t="str">
        <f>IFERROR(INDEX(Структура_ассортимента[Generic Name (long)],MATCH(Товары[[#This Row],[SubGroup]],Структура_ассортимента[Subgroup],0)),"")</f>
        <v>GARDEN SHOWER</v>
      </c>
      <c r="L1227" s="36">
        <v>967307801</v>
      </c>
      <c r="M1227" s="35" t="s">
        <v>2903</v>
      </c>
      <c r="Q1227" s="34" t="s">
        <v>3539</v>
      </c>
      <c r="R1227" s="34" t="s">
        <v>3540</v>
      </c>
      <c r="S1227" s="47">
        <v>42005</v>
      </c>
      <c r="T1227" s="47">
        <v>0</v>
      </c>
      <c r="U1227" s="47">
        <v>0</v>
      </c>
      <c r="V1227" s="34">
        <v>4078500010368</v>
      </c>
      <c r="W1227" s="34" t="s">
        <v>3543</v>
      </c>
      <c r="AB1227" s="34">
        <v>320</v>
      </c>
      <c r="AD1227" s="34">
        <v>270</v>
      </c>
      <c r="AE1227" s="34">
        <v>835</v>
      </c>
      <c r="AF1227" s="34">
        <v>180</v>
      </c>
      <c r="AG1227" s="34">
        <v>58</v>
      </c>
      <c r="AH1227" s="34">
        <v>8717</v>
      </c>
      <c r="AL1227" s="34">
        <v>96</v>
      </c>
      <c r="AM1227" s="40" t="s">
        <v>8094</v>
      </c>
      <c r="AT1227" s="44">
        <v>0</v>
      </c>
      <c r="AU1227" s="44"/>
      <c r="AV1227" s="46">
        <f>ROUND(Товары[[#This Row],[РРЦ финальная, руб.]]/$AU$1,2)</f>
        <v>0</v>
      </c>
      <c r="AW1227" s="45" t="str">
        <f>IFERROR(Товары[[#This Row],[РРЦ, евро]]/Товары[[#This Row],[IRP, Eur]],"-")</f>
        <v>-</v>
      </c>
      <c r="AX1227" s="42">
        <f>IFERROR(VLOOKUP(Товары[[#This Row],[SubGroup]],'Структура цен DIY'!$B:$C,2,FALSE),0)</f>
        <v>0.28000000000000003</v>
      </c>
      <c r="AY1227" s="44">
        <v>0</v>
      </c>
    </row>
    <row r="1228" spans="1:51" x14ac:dyDescent="0.25">
      <c r="A1228" s="34">
        <v>1226</v>
      </c>
      <c r="B1228" s="34" t="s">
        <v>49</v>
      </c>
      <c r="C1228" s="110" t="str">
        <f>IFERROR(INDEX(Структура_ассортимента[SuperCategory],MATCH(Товары[[#This Row],[SubGroup]],Структура_ассортимента[Subgroup],0)),"")</f>
        <v>W</v>
      </c>
      <c r="D122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2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28" s="110" t="str">
        <f>IFERROR(INDEX(Структура_ассортимента[Product group],MATCH(Товары[[#This Row],[SubGroup]],Структура_ассортимента[Subgroup],0)),"")</f>
        <v>WMS_C</v>
      </c>
      <c r="G1228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28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28" s="36">
        <v>9021</v>
      </c>
      <c r="J1228" s="36" t="str">
        <f>IFERROR(INDEX(Структура_ассортимента[Generic Name (long)],MATCH(Товары[[#This Row],[SubGroup]],Структура_ассортимента[Subgroup],0)),"")</f>
        <v>WATERING SET</v>
      </c>
      <c r="L1228" s="36">
        <v>900979701</v>
      </c>
      <c r="M1228" s="35" t="s">
        <v>2904</v>
      </c>
      <c r="Q1228" s="34" t="s">
        <v>3549</v>
      </c>
      <c r="R1228" s="34" t="s">
        <v>3540</v>
      </c>
      <c r="S1228" s="47">
        <v>38703</v>
      </c>
      <c r="T1228" s="47">
        <v>0</v>
      </c>
      <c r="U1228" s="47">
        <v>0</v>
      </c>
      <c r="V1228" s="34">
        <v>4078500206761</v>
      </c>
      <c r="W1228" s="34" t="s">
        <v>3543</v>
      </c>
      <c r="X1228" s="34" t="s">
        <v>3579</v>
      </c>
      <c r="Y1228" s="34" t="s">
        <v>3542</v>
      </c>
      <c r="Z1228" s="34">
        <v>10</v>
      </c>
      <c r="AA1228" s="34" t="s">
        <v>6061</v>
      </c>
      <c r="AB1228" s="34" t="s">
        <v>6061</v>
      </c>
      <c r="AC1228" s="34" t="s">
        <v>3728</v>
      </c>
      <c r="AD1228" s="34" t="s">
        <v>3728</v>
      </c>
      <c r="AE1228" s="34" t="s">
        <v>3590</v>
      </c>
      <c r="AF1228" s="34" t="s">
        <v>4391</v>
      </c>
      <c r="AG1228" s="34" t="s">
        <v>4659</v>
      </c>
      <c r="AH1228" s="34" t="s">
        <v>6694</v>
      </c>
      <c r="AL1228" s="34">
        <v>320</v>
      </c>
      <c r="AM1228" s="40" t="s">
        <v>8095</v>
      </c>
      <c r="AT1228" s="44">
        <v>0</v>
      </c>
      <c r="AU1228" s="44"/>
      <c r="AV1228" s="46">
        <f>ROUND(Товары[[#This Row],[РРЦ финальная, руб.]]/$AU$1,2)</f>
        <v>0</v>
      </c>
      <c r="AW1228" s="45" t="str">
        <f>IFERROR(Товары[[#This Row],[РРЦ, евро]]/Товары[[#This Row],[IRP, Eur]],"-")</f>
        <v>-</v>
      </c>
      <c r="AX1228" s="42">
        <f>IFERROR(VLOOKUP(Товары[[#This Row],[SubGroup]],'Структура цен DIY'!$B:$C,2,FALSE),0)</f>
        <v>0.28999999999999998</v>
      </c>
      <c r="AY1228" s="44">
        <v>0</v>
      </c>
    </row>
    <row r="1229" spans="1:51" x14ac:dyDescent="0.25">
      <c r="A1229" s="34">
        <v>1227</v>
      </c>
      <c r="B1229" s="34" t="s">
        <v>49</v>
      </c>
      <c r="C1229" s="110" t="str">
        <f>IFERROR(INDEX(Структура_ассортимента[SuperCategory],MATCH(Товары[[#This Row],[SubGroup]],Структура_ассортимента[Subgroup],0)),"")</f>
        <v>W</v>
      </c>
      <c r="D122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2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29" s="110" t="str">
        <f>IFERROR(INDEX(Структура_ассортимента[Product group],MATCH(Товары[[#This Row],[SubGroup]],Структура_ассортимента[Subgroup],0)),"")</f>
        <v>WMS_C</v>
      </c>
      <c r="G1229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29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29" s="36">
        <v>9021</v>
      </c>
      <c r="J1229" s="36" t="str">
        <f>IFERROR(INDEX(Структура_ассортимента[Generic Name (long)],MATCH(Товары[[#This Row],[SubGroup]],Структура_ассортимента[Subgroup],0)),"")</f>
        <v>WATERING SET</v>
      </c>
      <c r="L1229" s="36">
        <v>900978801</v>
      </c>
      <c r="M1229" s="35" t="s">
        <v>2905</v>
      </c>
      <c r="Q1229" s="34" t="s">
        <v>3549</v>
      </c>
      <c r="R1229" s="34" t="s">
        <v>3540</v>
      </c>
      <c r="S1229" s="47">
        <v>37165</v>
      </c>
      <c r="T1229" s="47">
        <v>0</v>
      </c>
      <c r="U1229" s="47">
        <v>0</v>
      </c>
      <c r="V1229" s="34">
        <v>4078500206006</v>
      </c>
      <c r="W1229" s="34" t="s">
        <v>3543</v>
      </c>
      <c r="X1229" s="34" t="s">
        <v>3579</v>
      </c>
      <c r="Y1229" s="34" t="s">
        <v>3542</v>
      </c>
      <c r="Z1229" s="34">
        <v>4</v>
      </c>
      <c r="AA1229" s="34" t="s">
        <v>6695</v>
      </c>
      <c r="AB1229" s="34" t="s">
        <v>6695</v>
      </c>
      <c r="AC1229" s="34" t="s">
        <v>4625</v>
      </c>
      <c r="AD1229" s="34" t="s">
        <v>4625</v>
      </c>
      <c r="AE1229" s="34" t="s">
        <v>6696</v>
      </c>
      <c r="AF1229" s="34" t="s">
        <v>4171</v>
      </c>
      <c r="AG1229" s="34" t="s">
        <v>4681</v>
      </c>
      <c r="AH1229" s="34" t="s">
        <v>6697</v>
      </c>
      <c r="AI1229" s="34" t="s">
        <v>4160</v>
      </c>
      <c r="AJ1229" s="34" t="s">
        <v>3616</v>
      </c>
      <c r="AK1229" s="34" t="s">
        <v>3877</v>
      </c>
      <c r="AL1229" s="34">
        <v>72</v>
      </c>
      <c r="AM1229" s="40" t="s">
        <v>8095</v>
      </c>
      <c r="AT1229" s="44">
        <v>0</v>
      </c>
      <c r="AU1229" s="44"/>
      <c r="AV1229" s="46">
        <f>ROUND(Товары[[#This Row],[РРЦ финальная, руб.]]/$AU$1,2)</f>
        <v>0</v>
      </c>
      <c r="AW1229" s="45" t="str">
        <f>IFERROR(Товары[[#This Row],[РРЦ, евро]]/Товары[[#This Row],[IRP, Eur]],"-")</f>
        <v>-</v>
      </c>
      <c r="AX1229" s="42">
        <f>IFERROR(VLOOKUP(Товары[[#This Row],[SubGroup]],'Структура цен DIY'!$B:$C,2,FALSE),0)</f>
        <v>0.28999999999999998</v>
      </c>
      <c r="AY1229" s="44">
        <v>0</v>
      </c>
    </row>
    <row r="1230" spans="1:51" x14ac:dyDescent="0.25">
      <c r="A1230" s="34">
        <v>1228</v>
      </c>
      <c r="B1230" s="34" t="s">
        <v>49</v>
      </c>
      <c r="C1230" s="110" t="str">
        <f>IFERROR(INDEX(Структура_ассортимента[SuperCategory],MATCH(Товары[[#This Row],[SubGroup]],Структура_ассортимента[Subgroup],0)),"")</f>
        <v>W</v>
      </c>
      <c r="D123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3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30" s="110" t="str">
        <f>IFERROR(INDEX(Структура_ассортимента[Product group],MATCH(Товары[[#This Row],[SubGroup]],Структура_ассортимента[Subgroup],0)),"")</f>
        <v>WMS_C</v>
      </c>
      <c r="G1230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30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30" s="36">
        <v>9021</v>
      </c>
      <c r="J1230" s="36" t="str">
        <f>IFERROR(INDEX(Структура_ассортимента[Generic Name (long)],MATCH(Товары[[#This Row],[SubGroup]],Структура_ассортимента[Subgroup],0)),"")</f>
        <v>WATERING SET</v>
      </c>
      <c r="L1230" s="36">
        <v>900979001</v>
      </c>
      <c r="M1230" s="35" t="s">
        <v>2906</v>
      </c>
      <c r="O1230" s="35" t="s">
        <v>6698</v>
      </c>
      <c r="P1230" s="37" t="s">
        <v>6699</v>
      </c>
      <c r="Q1230" s="34" t="s">
        <v>3549</v>
      </c>
      <c r="R1230" s="34" t="s">
        <v>3540</v>
      </c>
      <c r="S1230" s="47">
        <v>37165</v>
      </c>
      <c r="T1230" s="47">
        <v>0</v>
      </c>
      <c r="U1230" s="47">
        <v>0</v>
      </c>
      <c r="V1230" s="34">
        <v>4078500206204</v>
      </c>
      <c r="W1230" s="34" t="s">
        <v>3543</v>
      </c>
      <c r="X1230" s="34" t="s">
        <v>3579</v>
      </c>
      <c r="Y1230" s="34" t="s">
        <v>3542</v>
      </c>
      <c r="Z1230" s="34">
        <v>4</v>
      </c>
      <c r="AA1230" s="34" t="s">
        <v>5124</v>
      </c>
      <c r="AB1230" s="34" t="s">
        <v>5124</v>
      </c>
      <c r="AC1230" s="34" t="s">
        <v>4801</v>
      </c>
      <c r="AD1230" s="34" t="s">
        <v>4801</v>
      </c>
      <c r="AE1230" s="34" t="s">
        <v>4160</v>
      </c>
      <c r="AF1230" s="34" t="s">
        <v>3877</v>
      </c>
      <c r="AG1230" s="34" t="s">
        <v>3576</v>
      </c>
      <c r="AH1230" s="34" t="s">
        <v>6700</v>
      </c>
      <c r="AI1230" s="34" t="s">
        <v>4160</v>
      </c>
      <c r="AJ1230" s="34" t="s">
        <v>3576</v>
      </c>
      <c r="AK1230" s="34" t="s">
        <v>3877</v>
      </c>
      <c r="AL1230" s="34">
        <v>72</v>
      </c>
      <c r="AM1230" s="40" t="s">
        <v>9</v>
      </c>
      <c r="AP1230" s="34">
        <v>0</v>
      </c>
      <c r="AQ1230" s="34">
        <v>2690</v>
      </c>
      <c r="AR1230" s="34">
        <v>1569</v>
      </c>
      <c r="AT1230" s="44">
        <v>208400</v>
      </c>
      <c r="AU1230" s="44"/>
      <c r="AV1230" s="46">
        <f>ROUND(Товары[[#This Row],[РРЦ финальная, руб.]]/$AU$1,2)</f>
        <v>0</v>
      </c>
      <c r="AW1230" s="45" t="str">
        <f>IFERROR(Товары[[#This Row],[РРЦ, евро]]/Товары[[#This Row],[IRP, Eur]],"-")</f>
        <v>-</v>
      </c>
      <c r="AX1230" s="42">
        <f>IFERROR(VLOOKUP(Товары[[#This Row],[SubGroup]],'Структура цен DIY'!$B:$C,2,FALSE),0)</f>
        <v>0.28999999999999998</v>
      </c>
      <c r="AY1230" s="44">
        <v>0</v>
      </c>
    </row>
    <row r="1231" spans="1:51" x14ac:dyDescent="0.25">
      <c r="A1231" s="34">
        <v>1229</v>
      </c>
      <c r="B1231" s="34" t="s">
        <v>49</v>
      </c>
      <c r="C1231" s="110" t="str">
        <f>IFERROR(INDEX(Структура_ассортимента[SuperCategory],MATCH(Товары[[#This Row],[SubGroup]],Структура_ассортимента[Subgroup],0)),"")</f>
        <v>W</v>
      </c>
      <c r="D123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3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31" s="110" t="str">
        <f>IFERROR(INDEX(Структура_ассортимента[Product group],MATCH(Товары[[#This Row],[SubGroup]],Структура_ассортимента[Subgroup],0)),"")</f>
        <v>WMS_C</v>
      </c>
      <c r="G1231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31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31" s="36">
        <v>9021</v>
      </c>
      <c r="J1231" s="36" t="str">
        <f>IFERROR(INDEX(Структура_ассортимента[Generic Name (long)],MATCH(Товары[[#This Row],[SubGroup]],Структура_ассортимента[Subgroup],0)),"")</f>
        <v>WATERING SET</v>
      </c>
      <c r="L1231" s="36">
        <v>900979201</v>
      </c>
      <c r="M1231" s="35" t="s">
        <v>2907</v>
      </c>
      <c r="O1231" s="35" t="s">
        <v>6701</v>
      </c>
      <c r="P1231" s="37" t="s">
        <v>6702</v>
      </c>
      <c r="Q1231" s="34" t="s">
        <v>3549</v>
      </c>
      <c r="R1231" s="34" t="s">
        <v>3540</v>
      </c>
      <c r="S1231" s="47">
        <v>37165</v>
      </c>
      <c r="T1231" s="47">
        <v>0</v>
      </c>
      <c r="U1231" s="47">
        <v>0</v>
      </c>
      <c r="V1231" s="34">
        <v>4078500206501</v>
      </c>
      <c r="W1231" s="34" t="s">
        <v>3543</v>
      </c>
      <c r="X1231" s="34" t="s">
        <v>3579</v>
      </c>
      <c r="Y1231" s="34" t="s">
        <v>3542</v>
      </c>
      <c r="Z1231" s="34">
        <v>4</v>
      </c>
      <c r="AA1231" s="34" t="s">
        <v>6703</v>
      </c>
      <c r="AB1231" s="34" t="s">
        <v>6703</v>
      </c>
      <c r="AC1231" s="34" t="s">
        <v>4576</v>
      </c>
      <c r="AD1231" s="34" t="s">
        <v>4576</v>
      </c>
      <c r="AE1231" s="34" t="s">
        <v>4188</v>
      </c>
      <c r="AF1231" s="34" t="s">
        <v>3764</v>
      </c>
      <c r="AG1231" s="34" t="s">
        <v>3566</v>
      </c>
      <c r="AH1231" s="34" t="s">
        <v>6704</v>
      </c>
      <c r="AI1231" s="34" t="s">
        <v>4736</v>
      </c>
      <c r="AJ1231" s="34" t="s">
        <v>3566</v>
      </c>
      <c r="AK1231" s="34" t="s">
        <v>4574</v>
      </c>
      <c r="AL1231" s="34">
        <v>72</v>
      </c>
      <c r="AM1231" s="40" t="s">
        <v>9</v>
      </c>
      <c r="AP1231" s="34">
        <v>0</v>
      </c>
      <c r="AQ1231" s="34">
        <v>3690</v>
      </c>
      <c r="AR1231" s="34">
        <v>2153</v>
      </c>
      <c r="AT1231" s="44">
        <v>285800</v>
      </c>
      <c r="AU1231" s="44"/>
      <c r="AV1231" s="46">
        <f>ROUND(Товары[[#This Row],[РРЦ финальная, руб.]]/$AU$1,2)</f>
        <v>0</v>
      </c>
      <c r="AW1231" s="45" t="str">
        <f>IFERROR(Товары[[#This Row],[РРЦ, евро]]/Товары[[#This Row],[IRP, Eur]],"-")</f>
        <v>-</v>
      </c>
      <c r="AX1231" s="42">
        <f>IFERROR(VLOOKUP(Товары[[#This Row],[SubGroup]],'Структура цен DIY'!$B:$C,2,FALSE),0)</f>
        <v>0.28999999999999998</v>
      </c>
      <c r="AY1231" s="44">
        <v>0</v>
      </c>
    </row>
    <row r="1232" spans="1:51" x14ac:dyDescent="0.25">
      <c r="A1232" s="34">
        <v>1230</v>
      </c>
      <c r="B1232" s="34" t="s">
        <v>49</v>
      </c>
      <c r="C1232" s="110" t="str">
        <f>IFERROR(INDEX(Структура_ассортимента[SuperCategory],MATCH(Товары[[#This Row],[SubGroup]],Структура_ассортимента[Subgroup],0)),"")</f>
        <v>W</v>
      </c>
      <c r="D123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3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32" s="110" t="str">
        <f>IFERROR(INDEX(Структура_ассортимента[Product group],MATCH(Товары[[#This Row],[SubGroup]],Структура_ассортимента[Subgroup],0)),"")</f>
        <v>WMS_C</v>
      </c>
      <c r="G1232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32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32" s="36">
        <v>9021</v>
      </c>
      <c r="J1232" s="36" t="str">
        <f>IFERROR(INDEX(Структура_ассортимента[Generic Name (long)],MATCH(Товары[[#This Row],[SubGroup]],Структура_ассортимента[Subgroup],0)),"")</f>
        <v>WATERING SET</v>
      </c>
      <c r="L1232" s="36">
        <v>900979801</v>
      </c>
      <c r="M1232" s="35" t="s">
        <v>2908</v>
      </c>
      <c r="Q1232" s="34" t="s">
        <v>3549</v>
      </c>
      <c r="R1232" s="34" t="s">
        <v>3540</v>
      </c>
      <c r="S1232" s="47">
        <v>37165</v>
      </c>
      <c r="T1232" s="47">
        <v>0</v>
      </c>
      <c r="U1232" s="47">
        <v>0</v>
      </c>
      <c r="V1232" s="34">
        <v>4078500206808</v>
      </c>
      <c r="W1232" s="34" t="s">
        <v>3543</v>
      </c>
      <c r="X1232" s="34" t="s">
        <v>3579</v>
      </c>
      <c r="Y1232" s="34" t="s">
        <v>3542</v>
      </c>
      <c r="Z1232" s="34">
        <v>60</v>
      </c>
      <c r="AA1232" s="34" t="s">
        <v>4147</v>
      </c>
      <c r="AB1232" s="34" t="s">
        <v>4147</v>
      </c>
      <c r="AC1232" s="34" t="s">
        <v>4400</v>
      </c>
      <c r="AD1232" s="34" t="s">
        <v>4400</v>
      </c>
      <c r="AE1232" s="34" t="s">
        <v>3590</v>
      </c>
      <c r="AF1232" s="34" t="s">
        <v>4391</v>
      </c>
      <c r="AG1232" s="34" t="s">
        <v>4560</v>
      </c>
      <c r="AH1232" s="34" t="s">
        <v>6705</v>
      </c>
      <c r="AL1232" s="34">
        <v>240</v>
      </c>
      <c r="AM1232" s="40" t="s">
        <v>8095</v>
      </c>
      <c r="AT1232" s="44">
        <v>0</v>
      </c>
      <c r="AU1232" s="44"/>
      <c r="AV1232" s="46">
        <f>ROUND(Товары[[#This Row],[РРЦ финальная, руб.]]/$AU$1,2)</f>
        <v>0</v>
      </c>
      <c r="AW1232" s="45" t="str">
        <f>IFERROR(Товары[[#This Row],[РРЦ, евро]]/Товары[[#This Row],[IRP, Eur]],"-")</f>
        <v>-</v>
      </c>
      <c r="AX1232" s="42">
        <f>IFERROR(VLOOKUP(Товары[[#This Row],[SubGroup]],'Структура цен DIY'!$B:$C,2,FALSE),0)</f>
        <v>0.28999999999999998</v>
      </c>
      <c r="AY1232" s="44">
        <v>0</v>
      </c>
    </row>
    <row r="1233" spans="1:51" x14ac:dyDescent="0.25">
      <c r="A1233" s="34">
        <v>1231</v>
      </c>
      <c r="B1233" s="34" t="s">
        <v>49</v>
      </c>
      <c r="C1233" s="110" t="str">
        <f>IFERROR(INDEX(Структура_ассортимента[SuperCategory],MATCH(Товары[[#This Row],[SubGroup]],Структура_ассортимента[Subgroup],0)),"")</f>
        <v>W</v>
      </c>
      <c r="D123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3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33" s="110" t="str">
        <f>IFERROR(INDEX(Структура_ассортимента[Product group],MATCH(Товары[[#This Row],[SubGroup]],Структура_ассортимента[Subgroup],0)),"")</f>
        <v>WMS_C</v>
      </c>
      <c r="G1233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33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33" s="36">
        <v>9021</v>
      </c>
      <c r="J1233" s="36" t="str">
        <f>IFERROR(INDEX(Структура_ассортимента[Generic Name (long)],MATCH(Товары[[#This Row],[SubGroup]],Структура_ассортимента[Subgroup],0)),"")</f>
        <v>WATERING SET</v>
      </c>
      <c r="L1233" s="36">
        <v>967703601</v>
      </c>
      <c r="M1233" s="35" t="s">
        <v>2909</v>
      </c>
      <c r="Q1233" s="34" t="s">
        <v>3713</v>
      </c>
      <c r="R1233" s="34" t="s">
        <v>3540</v>
      </c>
      <c r="S1233" s="47">
        <v>43216</v>
      </c>
      <c r="T1233" s="47">
        <v>43830</v>
      </c>
      <c r="U1233" s="47">
        <v>43830</v>
      </c>
      <c r="V1233" s="34">
        <v>4078500035170</v>
      </c>
      <c r="W1233" s="34" t="s">
        <v>3543</v>
      </c>
      <c r="Y1233" s="34" t="s">
        <v>3542</v>
      </c>
      <c r="Z1233" s="34">
        <v>60</v>
      </c>
      <c r="AA1233" s="34">
        <v>0</v>
      </c>
      <c r="AB1233" s="34" t="s">
        <v>4164</v>
      </c>
      <c r="AC1233" s="34">
        <v>0</v>
      </c>
      <c r="AD1233" s="34" t="s">
        <v>4400</v>
      </c>
      <c r="AE1233" s="34" t="s">
        <v>3590</v>
      </c>
      <c r="AF1233" s="34" t="s">
        <v>4391</v>
      </c>
      <c r="AG1233" s="34" t="s">
        <v>4980</v>
      </c>
      <c r="AH1233" s="34" t="s">
        <v>6705</v>
      </c>
      <c r="AL1233" s="34" t="s">
        <v>3747</v>
      </c>
      <c r="AM1233" s="40" t="s">
        <v>8094</v>
      </c>
      <c r="AT1233" s="44">
        <v>0</v>
      </c>
      <c r="AU1233" s="44"/>
      <c r="AV1233" s="46">
        <f>ROUND(Товары[[#This Row],[РРЦ финальная, руб.]]/$AU$1,2)</f>
        <v>0</v>
      </c>
      <c r="AW1233" s="45" t="str">
        <f>IFERROR(Товары[[#This Row],[РРЦ, евро]]/Товары[[#This Row],[IRP, Eur]],"-")</f>
        <v>-</v>
      </c>
      <c r="AX1233" s="42">
        <f>IFERROR(VLOOKUP(Товары[[#This Row],[SubGroup]],'Структура цен DIY'!$B:$C,2,FALSE),0)</f>
        <v>0.28999999999999998</v>
      </c>
      <c r="AY1233" s="44">
        <v>0</v>
      </c>
    </row>
    <row r="1234" spans="1:51" x14ac:dyDescent="0.25">
      <c r="A1234" s="34">
        <v>1232</v>
      </c>
      <c r="B1234" s="34" t="s">
        <v>49</v>
      </c>
      <c r="C1234" s="110" t="str">
        <f>IFERROR(INDEX(Структура_ассортимента[SuperCategory],MATCH(Товары[[#This Row],[SubGroup]],Структура_ассортимента[Subgroup],0)),"")</f>
        <v>W</v>
      </c>
      <c r="D123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3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34" s="110" t="str">
        <f>IFERROR(INDEX(Структура_ассортимента[Product group],MATCH(Товары[[#This Row],[SubGroup]],Структура_ассортимента[Subgroup],0)),"")</f>
        <v>WMS_C</v>
      </c>
      <c r="G1234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34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34" s="36">
        <v>9021</v>
      </c>
      <c r="J1234" s="36" t="str">
        <f>IFERROR(INDEX(Структура_ассортимента[Generic Name (long)],MATCH(Товары[[#This Row],[SubGroup]],Структура_ассортимента[Subgroup],0)),"")</f>
        <v>WATERING SET</v>
      </c>
      <c r="L1234" s="36">
        <v>900980601</v>
      </c>
      <c r="M1234" s="35" t="s">
        <v>2910</v>
      </c>
      <c r="O1234" s="35" t="s">
        <v>6706</v>
      </c>
      <c r="P1234" s="37" t="s">
        <v>6707</v>
      </c>
      <c r="Q1234" s="34" t="s">
        <v>3549</v>
      </c>
      <c r="R1234" s="34" t="s">
        <v>3540</v>
      </c>
      <c r="S1234" s="47">
        <v>37165</v>
      </c>
      <c r="T1234" s="47">
        <v>0</v>
      </c>
      <c r="U1234" s="47">
        <v>0</v>
      </c>
      <c r="V1234" s="34">
        <v>4078500207300</v>
      </c>
      <c r="W1234" s="34" t="s">
        <v>3547</v>
      </c>
      <c r="X1234" s="34" t="s">
        <v>3704</v>
      </c>
      <c r="Y1234" s="34" t="s">
        <v>3542</v>
      </c>
      <c r="Z1234" s="34">
        <v>4</v>
      </c>
      <c r="AA1234" s="34" t="s">
        <v>4502</v>
      </c>
      <c r="AB1234" s="34" t="s">
        <v>4502</v>
      </c>
      <c r="AC1234" s="34" t="s">
        <v>4136</v>
      </c>
      <c r="AD1234" s="34" t="s">
        <v>4136</v>
      </c>
      <c r="AE1234" s="34" t="s">
        <v>6696</v>
      </c>
      <c r="AF1234" s="34" t="s">
        <v>3764</v>
      </c>
      <c r="AG1234" s="34" t="s">
        <v>3800</v>
      </c>
      <c r="AH1234" s="34" t="s">
        <v>6708</v>
      </c>
      <c r="AL1234" s="34">
        <v>120</v>
      </c>
      <c r="AM1234" s="40" t="s">
        <v>9</v>
      </c>
      <c r="AP1234" s="34">
        <v>0</v>
      </c>
      <c r="AQ1234" s="34">
        <v>2090</v>
      </c>
      <c r="AR1234" s="34">
        <v>1219</v>
      </c>
      <c r="AT1234" s="44">
        <v>161900</v>
      </c>
      <c r="AU1234" s="44"/>
      <c r="AV1234" s="46">
        <f>ROUND(Товары[[#This Row],[РРЦ финальная, руб.]]/$AU$1,2)</f>
        <v>0</v>
      </c>
      <c r="AW1234" s="45" t="str">
        <f>IFERROR(Товары[[#This Row],[РРЦ, евро]]/Товары[[#This Row],[IRP, Eur]],"-")</f>
        <v>-</v>
      </c>
      <c r="AX1234" s="42">
        <f>IFERROR(VLOOKUP(Товары[[#This Row],[SubGroup]],'Структура цен DIY'!$B:$C,2,FALSE),0)</f>
        <v>0.28999999999999998</v>
      </c>
      <c r="AY1234" s="44">
        <v>0</v>
      </c>
    </row>
    <row r="1235" spans="1:51" x14ac:dyDescent="0.25">
      <c r="A1235" s="34">
        <v>1233</v>
      </c>
      <c r="B1235" s="34" t="s">
        <v>49</v>
      </c>
      <c r="C1235" s="110" t="str">
        <f>IFERROR(INDEX(Структура_ассортимента[SuperCategory],MATCH(Товары[[#This Row],[SubGroup]],Структура_ассортимента[Subgroup],0)),"")</f>
        <v>W</v>
      </c>
      <c r="D123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3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35" s="110" t="str">
        <f>IFERROR(INDEX(Структура_ассортимента[Product group],MATCH(Товары[[#This Row],[SubGroup]],Структура_ассортимента[Subgroup],0)),"")</f>
        <v>WMS_C</v>
      </c>
      <c r="G1235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35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35" s="36">
        <v>9021</v>
      </c>
      <c r="J1235" s="36" t="str">
        <f>IFERROR(INDEX(Структура_ассортимента[Generic Name (long)],MATCH(Товары[[#This Row],[SubGroup]],Структура_ассортимента[Subgroup],0)),"")</f>
        <v>WATERING SET</v>
      </c>
      <c r="L1235" s="36">
        <v>900981101</v>
      </c>
      <c r="M1235" s="35" t="s">
        <v>2911</v>
      </c>
      <c r="Q1235" s="34" t="s">
        <v>3549</v>
      </c>
      <c r="R1235" s="34" t="s">
        <v>3540</v>
      </c>
      <c r="S1235" s="47">
        <v>37165</v>
      </c>
      <c r="T1235" s="47">
        <v>0</v>
      </c>
      <c r="U1235" s="47">
        <v>0</v>
      </c>
      <c r="V1235" s="34">
        <v>4078500207508</v>
      </c>
      <c r="W1235" s="34" t="s">
        <v>3543</v>
      </c>
      <c r="X1235" s="34" t="s">
        <v>3704</v>
      </c>
      <c r="Y1235" s="34" t="s">
        <v>3542</v>
      </c>
      <c r="Z1235" s="34">
        <v>1</v>
      </c>
      <c r="AA1235" s="34" t="s">
        <v>3861</v>
      </c>
      <c r="AB1235" s="34" t="s">
        <v>4542</v>
      </c>
      <c r="AC1235" s="34" t="s">
        <v>5230</v>
      </c>
      <c r="AD1235" s="34" t="s">
        <v>4678</v>
      </c>
      <c r="AE1235" s="34" t="s">
        <v>3556</v>
      </c>
      <c r="AF1235" s="34" t="s">
        <v>4133</v>
      </c>
      <c r="AG1235" s="34" t="s">
        <v>4013</v>
      </c>
      <c r="AH1235" s="34" t="s">
        <v>6709</v>
      </c>
      <c r="AJ1235" s="34" t="s">
        <v>4223</v>
      </c>
      <c r="AL1235" s="34">
        <v>117</v>
      </c>
      <c r="AM1235" s="40" t="s">
        <v>8095</v>
      </c>
      <c r="AT1235" s="44">
        <v>0</v>
      </c>
      <c r="AU1235" s="44"/>
      <c r="AV1235" s="46">
        <f>ROUND(Товары[[#This Row],[РРЦ финальная, руб.]]/$AU$1,2)</f>
        <v>0</v>
      </c>
      <c r="AW1235" s="45" t="str">
        <f>IFERROR(Товары[[#This Row],[РРЦ, евро]]/Товары[[#This Row],[IRP, Eur]],"-")</f>
        <v>-</v>
      </c>
      <c r="AX1235" s="42">
        <f>IFERROR(VLOOKUP(Товары[[#This Row],[SubGroup]],'Структура цен DIY'!$B:$C,2,FALSE),0)</f>
        <v>0.28999999999999998</v>
      </c>
      <c r="AY1235" s="44">
        <v>0</v>
      </c>
    </row>
    <row r="1236" spans="1:51" x14ac:dyDescent="0.25">
      <c r="A1236" s="34">
        <v>1234</v>
      </c>
      <c r="B1236" s="34" t="s">
        <v>49</v>
      </c>
      <c r="C1236" s="110" t="str">
        <f>IFERROR(INDEX(Структура_ассортимента[SuperCategory],MATCH(Товары[[#This Row],[SubGroup]],Структура_ассортимента[Subgroup],0)),"")</f>
        <v>W</v>
      </c>
      <c r="D123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3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36" s="110" t="str">
        <f>IFERROR(INDEX(Структура_ассортимента[Product group],MATCH(Товары[[#This Row],[SubGroup]],Структура_ассортимента[Subgroup],0)),"")</f>
        <v>WMS_C</v>
      </c>
      <c r="G1236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36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36" s="36">
        <v>9021</v>
      </c>
      <c r="J1236" s="36" t="str">
        <f>IFERROR(INDEX(Структура_ассортимента[Generic Name (long)],MATCH(Товары[[#This Row],[SubGroup]],Структура_ассортимента[Subgroup],0)),"")</f>
        <v>WATERING SET</v>
      </c>
      <c r="L1236" s="36">
        <v>900967401</v>
      </c>
      <c r="M1236" s="35" t="s">
        <v>2912</v>
      </c>
      <c r="Q1236" s="34" t="s">
        <v>3549</v>
      </c>
      <c r="R1236" s="34" t="s">
        <v>3540</v>
      </c>
      <c r="S1236" s="47">
        <v>35339</v>
      </c>
      <c r="T1236" s="47">
        <v>0</v>
      </c>
      <c r="U1236" s="47">
        <v>0</v>
      </c>
      <c r="V1236" s="34">
        <v>4078500194808</v>
      </c>
      <c r="W1236" s="34" t="s">
        <v>3547</v>
      </c>
      <c r="X1236" s="34" t="s">
        <v>3704</v>
      </c>
      <c r="Y1236" s="34" t="s">
        <v>3542</v>
      </c>
      <c r="Z1236" s="34">
        <v>5</v>
      </c>
      <c r="AA1236" s="34" t="s">
        <v>5139</v>
      </c>
      <c r="AB1236" s="34" t="s">
        <v>5139</v>
      </c>
      <c r="AC1236" s="34" t="s">
        <v>6710</v>
      </c>
      <c r="AD1236" s="34" t="s">
        <v>6710</v>
      </c>
      <c r="AE1236" s="34" t="s">
        <v>6120</v>
      </c>
      <c r="AF1236" s="34" t="s">
        <v>5028</v>
      </c>
      <c r="AG1236" s="34" t="s">
        <v>4324</v>
      </c>
      <c r="AH1236" s="34" t="s">
        <v>6711</v>
      </c>
      <c r="AL1236" s="34">
        <v>145</v>
      </c>
      <c r="AM1236" s="40" t="s">
        <v>8095</v>
      </c>
      <c r="AT1236" s="44">
        <v>0</v>
      </c>
      <c r="AU1236" s="44"/>
      <c r="AV1236" s="46">
        <f>ROUND(Товары[[#This Row],[РРЦ финальная, руб.]]/$AU$1,2)</f>
        <v>0</v>
      </c>
      <c r="AW1236" s="45" t="str">
        <f>IFERROR(Товары[[#This Row],[РРЦ, евро]]/Товары[[#This Row],[IRP, Eur]],"-")</f>
        <v>-</v>
      </c>
      <c r="AX1236" s="42">
        <f>IFERROR(VLOOKUP(Товары[[#This Row],[SubGroup]],'Структура цен DIY'!$B:$C,2,FALSE),0)</f>
        <v>0.28999999999999998</v>
      </c>
      <c r="AY1236" s="44">
        <v>0</v>
      </c>
    </row>
    <row r="1237" spans="1:51" x14ac:dyDescent="0.25">
      <c r="A1237" s="34">
        <v>1235</v>
      </c>
      <c r="B1237" s="34" t="s">
        <v>49</v>
      </c>
      <c r="C1237" s="110" t="str">
        <f>IFERROR(INDEX(Структура_ассортимента[SuperCategory],MATCH(Товары[[#This Row],[SubGroup]],Структура_ассортимента[Subgroup],0)),"")</f>
        <v>W</v>
      </c>
      <c r="D123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3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37" s="110" t="str">
        <f>IFERROR(INDEX(Структура_ассортимента[Product group],MATCH(Товары[[#This Row],[SubGroup]],Структура_ассортимента[Subgroup],0)),"")</f>
        <v>WMS_C</v>
      </c>
      <c r="G1237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37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37" s="36">
        <v>9021</v>
      </c>
      <c r="J1237" s="36" t="str">
        <f>IFERROR(INDEX(Структура_ассортимента[Generic Name (long)],MATCH(Товары[[#This Row],[SubGroup]],Структура_ассортимента[Subgroup],0)),"")</f>
        <v>WATERING SET</v>
      </c>
      <c r="L1237" s="36">
        <v>900967601</v>
      </c>
      <c r="M1237" s="35" t="s">
        <v>2913</v>
      </c>
      <c r="O1237" s="35" t="s">
        <v>6712</v>
      </c>
      <c r="P1237" s="37" t="s">
        <v>6713</v>
      </c>
      <c r="Q1237" s="34" t="s">
        <v>3549</v>
      </c>
      <c r="R1237" s="34" t="s">
        <v>3540</v>
      </c>
      <c r="S1237" s="47">
        <v>35339</v>
      </c>
      <c r="T1237" s="47">
        <v>0</v>
      </c>
      <c r="U1237" s="47">
        <v>0</v>
      </c>
      <c r="V1237" s="34">
        <v>4078500194907</v>
      </c>
      <c r="W1237" s="34" t="s">
        <v>3547</v>
      </c>
      <c r="X1237" s="34" t="s">
        <v>3704</v>
      </c>
      <c r="Y1237" s="34" t="s">
        <v>3542</v>
      </c>
      <c r="Z1237" s="34">
        <v>5</v>
      </c>
      <c r="AA1237" s="34" t="s">
        <v>6066</v>
      </c>
      <c r="AB1237" s="34" t="s">
        <v>6066</v>
      </c>
      <c r="AC1237" s="34" t="s">
        <v>4147</v>
      </c>
      <c r="AD1237" s="34" t="s">
        <v>4147</v>
      </c>
      <c r="AE1237" s="34" t="s">
        <v>6714</v>
      </c>
      <c r="AF1237" s="34" t="s">
        <v>3566</v>
      </c>
      <c r="AG1237" s="34" t="s">
        <v>3711</v>
      </c>
      <c r="AH1237" s="34" t="s">
        <v>6715</v>
      </c>
      <c r="AL1237" s="34">
        <v>420</v>
      </c>
      <c r="AM1237" s="40" t="s">
        <v>9</v>
      </c>
      <c r="AP1237" s="34">
        <v>0</v>
      </c>
      <c r="AQ1237" s="34">
        <v>2290</v>
      </c>
      <c r="AR1237" s="34">
        <v>1336</v>
      </c>
      <c r="AT1237" s="44">
        <v>177400</v>
      </c>
      <c r="AU1237" s="44"/>
      <c r="AV1237" s="46">
        <f>ROUND(Товары[[#This Row],[РРЦ финальная, руб.]]/$AU$1,2)</f>
        <v>0</v>
      </c>
      <c r="AW1237" s="45" t="str">
        <f>IFERROR(Товары[[#This Row],[РРЦ, евро]]/Товары[[#This Row],[IRP, Eur]],"-")</f>
        <v>-</v>
      </c>
      <c r="AX1237" s="42">
        <f>IFERROR(VLOOKUP(Товары[[#This Row],[SubGroup]],'Структура цен DIY'!$B:$C,2,FALSE),0)</f>
        <v>0.28999999999999998</v>
      </c>
      <c r="AY1237" s="44">
        <v>0</v>
      </c>
    </row>
    <row r="1238" spans="1:51" x14ac:dyDescent="0.25">
      <c r="A1238" s="34">
        <v>1236</v>
      </c>
      <c r="B1238" s="34" t="s">
        <v>49</v>
      </c>
      <c r="C1238" s="110" t="str">
        <f>IFERROR(INDEX(Структура_ассортимента[SuperCategory],MATCH(Товары[[#This Row],[SubGroup]],Структура_ассортимента[Subgroup],0)),"")</f>
        <v>W</v>
      </c>
      <c r="D123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3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38" s="110" t="str">
        <f>IFERROR(INDEX(Структура_ассортимента[Product group],MATCH(Товары[[#This Row],[SubGroup]],Структура_ассортимента[Subgroup],0)),"")</f>
        <v>WMS_C</v>
      </c>
      <c r="G1238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38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38" s="36">
        <v>9021</v>
      </c>
      <c r="J1238" s="36" t="str">
        <f>IFERROR(INDEX(Структура_ассортимента[Generic Name (long)],MATCH(Товары[[#This Row],[SubGroup]],Структура_ассортимента[Subgroup],0)),"")</f>
        <v>WATERING SET</v>
      </c>
      <c r="L1238" s="36">
        <v>900967701</v>
      </c>
      <c r="M1238" s="35" t="s">
        <v>2914</v>
      </c>
      <c r="Q1238" s="34" t="s">
        <v>3549</v>
      </c>
      <c r="R1238" s="34" t="s">
        <v>3540</v>
      </c>
      <c r="S1238" s="47">
        <v>38718</v>
      </c>
      <c r="T1238" s="47">
        <v>0</v>
      </c>
      <c r="U1238" s="47">
        <v>0</v>
      </c>
      <c r="V1238" s="34">
        <v>4078500194983</v>
      </c>
      <c r="W1238" s="34" t="s">
        <v>3547</v>
      </c>
      <c r="X1238" s="34" t="s">
        <v>3704</v>
      </c>
      <c r="Y1238" s="34" t="s">
        <v>3542</v>
      </c>
      <c r="Z1238" s="34">
        <v>60</v>
      </c>
      <c r="AA1238" s="34" t="s">
        <v>4147</v>
      </c>
      <c r="AB1238" s="34" t="s">
        <v>4147</v>
      </c>
      <c r="AC1238" s="34" t="s">
        <v>4159</v>
      </c>
      <c r="AD1238" s="34" t="s">
        <v>4159</v>
      </c>
      <c r="AE1238" s="34" t="s">
        <v>6716</v>
      </c>
      <c r="AF1238" s="34" t="s">
        <v>3693</v>
      </c>
      <c r="AG1238" s="34" t="s">
        <v>4324</v>
      </c>
      <c r="AH1238" s="34" t="s">
        <v>6717</v>
      </c>
      <c r="AL1238" s="34" t="s">
        <v>3747</v>
      </c>
      <c r="AM1238" s="40" t="s">
        <v>8095</v>
      </c>
      <c r="AT1238" s="44">
        <v>0</v>
      </c>
      <c r="AU1238" s="44"/>
      <c r="AV1238" s="46">
        <f>ROUND(Товары[[#This Row],[РРЦ финальная, руб.]]/$AU$1,2)</f>
        <v>0</v>
      </c>
      <c r="AW1238" s="45" t="str">
        <f>IFERROR(Товары[[#This Row],[РРЦ, евро]]/Товары[[#This Row],[IRP, Eur]],"-")</f>
        <v>-</v>
      </c>
      <c r="AX1238" s="42">
        <f>IFERROR(VLOOKUP(Товары[[#This Row],[SubGroup]],'Структура цен DIY'!$B:$C,2,FALSE),0)</f>
        <v>0.28999999999999998</v>
      </c>
      <c r="AY1238" s="44">
        <v>0</v>
      </c>
    </row>
    <row r="1239" spans="1:51" x14ac:dyDescent="0.25">
      <c r="A1239" s="34">
        <v>1237</v>
      </c>
      <c r="B1239" s="34" t="s">
        <v>49</v>
      </c>
      <c r="C1239" s="110" t="str">
        <f>IFERROR(INDEX(Структура_ассортимента[SuperCategory],MATCH(Товары[[#This Row],[SubGroup]],Структура_ассортимента[Subgroup],0)),"")</f>
        <v>W</v>
      </c>
      <c r="D123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3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39" s="110" t="str">
        <f>IFERROR(INDEX(Структура_ассортимента[Product group],MATCH(Товары[[#This Row],[SubGroup]],Структура_ассортимента[Subgroup],0)),"")</f>
        <v>WMS_C</v>
      </c>
      <c r="G1239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39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39" s="36">
        <v>9021</v>
      </c>
      <c r="J1239" s="36" t="str">
        <f>IFERROR(INDEX(Структура_ассортимента[Generic Name (long)],MATCH(Товары[[#This Row],[SubGroup]],Структура_ассортимента[Subgroup],0)),"")</f>
        <v>WATERING SET</v>
      </c>
      <c r="L1239" s="36">
        <v>900967901</v>
      </c>
      <c r="M1239" s="35" t="s">
        <v>2915</v>
      </c>
      <c r="Q1239" s="34" t="s">
        <v>3549</v>
      </c>
      <c r="R1239" s="34" t="s">
        <v>3540</v>
      </c>
      <c r="S1239" s="47">
        <v>36434</v>
      </c>
      <c r="T1239" s="47">
        <v>0</v>
      </c>
      <c r="U1239" s="47">
        <v>0</v>
      </c>
      <c r="V1239" s="34">
        <v>4078500195102</v>
      </c>
      <c r="W1239" s="34" t="s">
        <v>3543</v>
      </c>
      <c r="X1239" s="34" t="s">
        <v>3579</v>
      </c>
      <c r="Y1239" s="34" t="s">
        <v>3542</v>
      </c>
      <c r="Z1239" s="34">
        <v>6</v>
      </c>
      <c r="AA1239" s="34" t="s">
        <v>3917</v>
      </c>
      <c r="AB1239" s="34" t="s">
        <v>3917</v>
      </c>
      <c r="AC1239" s="34" t="s">
        <v>3670</v>
      </c>
      <c r="AD1239" s="34" t="s">
        <v>3670</v>
      </c>
      <c r="AE1239" s="34" t="s">
        <v>3590</v>
      </c>
      <c r="AF1239" s="34" t="s">
        <v>4391</v>
      </c>
      <c r="AG1239" s="34" t="s">
        <v>4351</v>
      </c>
      <c r="AH1239" s="34" t="s">
        <v>6718</v>
      </c>
      <c r="AI1239" s="34" t="s">
        <v>4401</v>
      </c>
      <c r="AJ1239" s="34" t="s">
        <v>4097</v>
      </c>
      <c r="AK1239" s="34" t="s">
        <v>4351</v>
      </c>
      <c r="AL1239" s="34">
        <v>480</v>
      </c>
      <c r="AM1239" s="40" t="s">
        <v>8095</v>
      </c>
      <c r="AT1239" s="44">
        <v>0</v>
      </c>
      <c r="AU1239" s="44"/>
      <c r="AV1239" s="46">
        <f>ROUND(Товары[[#This Row],[РРЦ финальная, руб.]]/$AU$1,2)</f>
        <v>0</v>
      </c>
      <c r="AW1239" s="45" t="str">
        <f>IFERROR(Товары[[#This Row],[РРЦ, евро]]/Товары[[#This Row],[IRP, Eur]],"-")</f>
        <v>-</v>
      </c>
      <c r="AX1239" s="42">
        <f>IFERROR(VLOOKUP(Товары[[#This Row],[SubGroup]],'Структура цен DIY'!$B:$C,2,FALSE),0)</f>
        <v>0.28999999999999998</v>
      </c>
      <c r="AY1239" s="44">
        <v>0</v>
      </c>
    </row>
    <row r="1240" spans="1:51" x14ac:dyDescent="0.25">
      <c r="A1240" s="34">
        <v>1238</v>
      </c>
      <c r="B1240" s="34" t="s">
        <v>49</v>
      </c>
      <c r="C1240" s="110" t="str">
        <f>IFERROR(INDEX(Структура_ассортимента[SuperCategory],MATCH(Товары[[#This Row],[SubGroup]],Структура_ассортимента[Subgroup],0)),"")</f>
        <v>W</v>
      </c>
      <c r="D124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4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40" s="110" t="str">
        <f>IFERROR(INDEX(Структура_ассортимента[Product group],MATCH(Товары[[#This Row],[SubGroup]],Структура_ассортимента[Subgroup],0)),"")</f>
        <v>WMS_C</v>
      </c>
      <c r="G1240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40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40" s="36">
        <v>9021</v>
      </c>
      <c r="J1240" s="36" t="str">
        <f>IFERROR(INDEX(Структура_ассортимента[Generic Name (long)],MATCH(Товары[[#This Row],[SubGroup]],Структура_ассортимента[Subgroup],0)),"")</f>
        <v>WATERING SET</v>
      </c>
      <c r="L1240" s="36">
        <v>900968301</v>
      </c>
      <c r="M1240" s="35" t="s">
        <v>2916</v>
      </c>
      <c r="O1240" s="35" t="s">
        <v>6719</v>
      </c>
      <c r="P1240" s="37" t="s">
        <v>6720</v>
      </c>
      <c r="Q1240" s="34" t="s">
        <v>3549</v>
      </c>
      <c r="R1240" s="34" t="s">
        <v>3540</v>
      </c>
      <c r="S1240" s="47">
        <v>36434</v>
      </c>
      <c r="T1240" s="47">
        <v>0</v>
      </c>
      <c r="U1240" s="47">
        <v>0</v>
      </c>
      <c r="V1240" s="34">
        <v>4078500195300</v>
      </c>
      <c r="W1240" s="34" t="s">
        <v>3543</v>
      </c>
      <c r="X1240" s="34" t="s">
        <v>3579</v>
      </c>
      <c r="Y1240" s="34" t="s">
        <v>3542</v>
      </c>
      <c r="Z1240" s="34">
        <v>6</v>
      </c>
      <c r="AA1240" s="34" t="s">
        <v>4120</v>
      </c>
      <c r="AB1240" s="34" t="s">
        <v>4120</v>
      </c>
      <c r="AC1240" s="34" t="s">
        <v>6721</v>
      </c>
      <c r="AD1240" s="34" t="s">
        <v>6721</v>
      </c>
      <c r="AE1240" s="34" t="s">
        <v>4202</v>
      </c>
      <c r="AF1240" s="34" t="s">
        <v>3693</v>
      </c>
      <c r="AG1240" s="34" t="s">
        <v>4181</v>
      </c>
      <c r="AH1240" s="34" t="s">
        <v>6722</v>
      </c>
      <c r="AI1240" s="34" t="s">
        <v>4108</v>
      </c>
      <c r="AJ1240" s="34" t="s">
        <v>3592</v>
      </c>
      <c r="AK1240" s="34" t="s">
        <v>4351</v>
      </c>
      <c r="AL1240" s="34">
        <v>312</v>
      </c>
      <c r="AM1240" s="40" t="s">
        <v>9</v>
      </c>
      <c r="AP1240" s="34">
        <v>0</v>
      </c>
      <c r="AQ1240" s="34">
        <v>1290</v>
      </c>
      <c r="AR1240" s="34">
        <v>753</v>
      </c>
      <c r="AT1240" s="44">
        <v>99900</v>
      </c>
      <c r="AU1240" s="44"/>
      <c r="AV1240" s="46">
        <f>ROUND(Товары[[#This Row],[РРЦ финальная, руб.]]/$AU$1,2)</f>
        <v>0</v>
      </c>
      <c r="AW1240" s="45" t="str">
        <f>IFERROR(Товары[[#This Row],[РРЦ, евро]]/Товары[[#This Row],[IRP, Eur]],"-")</f>
        <v>-</v>
      </c>
      <c r="AX1240" s="42">
        <f>IFERROR(VLOOKUP(Товары[[#This Row],[SubGroup]],'Структура цен DIY'!$B:$C,2,FALSE),0)</f>
        <v>0.28999999999999998</v>
      </c>
      <c r="AY1240" s="44">
        <v>0</v>
      </c>
    </row>
    <row r="1241" spans="1:51" x14ac:dyDescent="0.25">
      <c r="A1241" s="34">
        <v>1239</v>
      </c>
      <c r="B1241" s="34" t="s">
        <v>49</v>
      </c>
      <c r="C1241" s="110" t="str">
        <f>IFERROR(INDEX(Структура_ассортимента[SuperCategory],MATCH(Товары[[#This Row],[SubGroup]],Структура_ассортимента[Subgroup],0)),"")</f>
        <v>W</v>
      </c>
      <c r="D124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4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41" s="110" t="str">
        <f>IFERROR(INDEX(Структура_ассортимента[Product group],MATCH(Товары[[#This Row],[SubGroup]],Структура_ассортимента[Subgroup],0)),"")</f>
        <v>WMS_C</v>
      </c>
      <c r="G1241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41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41" s="36">
        <v>9021</v>
      </c>
      <c r="J1241" s="36" t="str">
        <f>IFERROR(INDEX(Структура_ассортимента[Generic Name (long)],MATCH(Товары[[#This Row],[SubGroup]],Структура_ассортимента[Subgroup],0)),"")</f>
        <v>WATERING SET</v>
      </c>
      <c r="L1241" s="36">
        <v>900981001</v>
      </c>
      <c r="M1241" s="35" t="s">
        <v>2917</v>
      </c>
      <c r="Q1241" s="34" t="s">
        <v>3549</v>
      </c>
      <c r="R1241" s="34" t="s">
        <v>3540</v>
      </c>
      <c r="S1241" s="47">
        <v>39059</v>
      </c>
      <c r="T1241" s="47">
        <v>0</v>
      </c>
      <c r="U1241" s="47">
        <v>0</v>
      </c>
      <c r="V1241" s="34">
        <v>4078500207454</v>
      </c>
      <c r="W1241" s="34" t="s">
        <v>3547</v>
      </c>
      <c r="X1241" s="34" t="s">
        <v>3704</v>
      </c>
      <c r="Y1241" s="34" t="s">
        <v>3542</v>
      </c>
      <c r="Z1241" s="34">
        <v>6</v>
      </c>
      <c r="AA1241" s="34" t="s">
        <v>4939</v>
      </c>
      <c r="AB1241" s="34" t="s">
        <v>4939</v>
      </c>
      <c r="AC1241" s="34" t="s">
        <v>4180</v>
      </c>
      <c r="AD1241" s="34" t="s">
        <v>4180</v>
      </c>
      <c r="AE1241" s="34" t="s">
        <v>6723</v>
      </c>
      <c r="AF1241" s="34" t="s">
        <v>3764</v>
      </c>
      <c r="AG1241" s="34" t="s">
        <v>4720</v>
      </c>
      <c r="AH1241" s="34" t="s">
        <v>6724</v>
      </c>
      <c r="AL1241" s="34">
        <v>180</v>
      </c>
      <c r="AM1241" s="40" t="s">
        <v>8095</v>
      </c>
      <c r="AT1241" s="44">
        <v>0</v>
      </c>
      <c r="AU1241" s="44"/>
      <c r="AV1241" s="46">
        <f>ROUND(Товары[[#This Row],[РРЦ финальная, руб.]]/$AU$1,2)</f>
        <v>0</v>
      </c>
      <c r="AW1241" s="45" t="str">
        <f>IFERROR(Товары[[#This Row],[РРЦ, евро]]/Товары[[#This Row],[IRP, Eur]],"-")</f>
        <v>-</v>
      </c>
      <c r="AX1241" s="42">
        <f>IFERROR(VLOOKUP(Товары[[#This Row],[SubGroup]],'Структура цен DIY'!$B:$C,2,FALSE),0)</f>
        <v>0.28999999999999998</v>
      </c>
      <c r="AY1241" s="44">
        <v>0</v>
      </c>
    </row>
    <row r="1242" spans="1:51" x14ac:dyDescent="0.25">
      <c r="A1242" s="34">
        <v>1240</v>
      </c>
      <c r="B1242" s="34" t="s">
        <v>49</v>
      </c>
      <c r="C1242" s="110" t="str">
        <f>IFERROR(INDEX(Структура_ассортимента[SuperCategory],MATCH(Товары[[#This Row],[SubGroup]],Структура_ассортимента[Subgroup],0)),"")</f>
        <v>W</v>
      </c>
      <c r="D124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4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42" s="110" t="str">
        <f>IFERROR(INDEX(Структура_ассортимента[Product group],MATCH(Товары[[#This Row],[SubGroup]],Структура_ассортимента[Subgroup],0)),"")</f>
        <v>WMS_C</v>
      </c>
      <c r="G1242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42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42" s="36">
        <v>9021</v>
      </c>
      <c r="J1242" s="36" t="str">
        <f>IFERROR(INDEX(Структура_ассортимента[Generic Name (long)],MATCH(Товары[[#This Row],[SubGroup]],Структура_ассортимента[Subgroup],0)),"")</f>
        <v>WATERING SET</v>
      </c>
      <c r="L1242" s="36">
        <v>900881601</v>
      </c>
      <c r="M1242" s="35" t="s">
        <v>2918</v>
      </c>
      <c r="Q1242" s="34" t="s">
        <v>3549</v>
      </c>
      <c r="R1242" s="34" t="s">
        <v>3540</v>
      </c>
      <c r="S1242" s="47">
        <v>35339</v>
      </c>
      <c r="T1242" s="47">
        <v>0</v>
      </c>
      <c r="U1242" s="47">
        <v>0</v>
      </c>
      <c r="V1242" s="34">
        <v>4078500097208</v>
      </c>
      <c r="W1242" s="34" t="s">
        <v>3543</v>
      </c>
      <c r="X1242" s="34" t="s">
        <v>3579</v>
      </c>
      <c r="Y1242" s="34" t="s">
        <v>3542</v>
      </c>
      <c r="Z1242" s="34">
        <v>50</v>
      </c>
      <c r="AA1242" s="34" t="s">
        <v>5633</v>
      </c>
      <c r="AB1242" s="34" t="s">
        <v>5633</v>
      </c>
      <c r="AC1242" s="34" t="s">
        <v>5603</v>
      </c>
      <c r="AD1242" s="34" t="s">
        <v>5603</v>
      </c>
      <c r="AE1242" s="34" t="s">
        <v>3826</v>
      </c>
      <c r="AF1242" s="34" t="s">
        <v>4324</v>
      </c>
      <c r="AG1242" s="34" t="s">
        <v>4956</v>
      </c>
      <c r="AH1242" s="34" t="s">
        <v>6725</v>
      </c>
      <c r="AL1242" s="34">
        <v>1800</v>
      </c>
      <c r="AM1242" s="40" t="s">
        <v>8095</v>
      </c>
      <c r="AT1242" s="44">
        <v>0</v>
      </c>
      <c r="AU1242" s="44"/>
      <c r="AV1242" s="46">
        <f>ROUND(Товары[[#This Row],[РРЦ финальная, руб.]]/$AU$1,2)</f>
        <v>0</v>
      </c>
      <c r="AW1242" s="45" t="str">
        <f>IFERROR(Товары[[#This Row],[РРЦ, евро]]/Товары[[#This Row],[IRP, Eur]],"-")</f>
        <v>-</v>
      </c>
      <c r="AX1242" s="42">
        <f>IFERROR(VLOOKUP(Товары[[#This Row],[SubGroup]],'Структура цен DIY'!$B:$C,2,FALSE),0)</f>
        <v>0.28999999999999998</v>
      </c>
      <c r="AY1242" s="44">
        <v>0</v>
      </c>
    </row>
    <row r="1243" spans="1:51" x14ac:dyDescent="0.25">
      <c r="A1243" s="34">
        <v>1241</v>
      </c>
      <c r="B1243" s="34" t="s">
        <v>49</v>
      </c>
      <c r="C1243" s="110" t="str">
        <f>IFERROR(INDEX(Структура_ассортимента[SuperCategory],MATCH(Товары[[#This Row],[SubGroup]],Структура_ассортимента[Subgroup],0)),"")</f>
        <v>W</v>
      </c>
      <c r="D124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4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43" s="110" t="str">
        <f>IFERROR(INDEX(Структура_ассортимента[Product group],MATCH(Товары[[#This Row],[SubGroup]],Структура_ассортимента[Subgroup],0)),"")</f>
        <v>WMS_C</v>
      </c>
      <c r="G1243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43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43" s="36">
        <v>9021</v>
      </c>
      <c r="J1243" s="36" t="str">
        <f>IFERROR(INDEX(Структура_ассортимента[Generic Name (long)],MATCH(Товары[[#This Row],[SubGroup]],Структура_ассортимента[Subgroup],0)),"")</f>
        <v>WATERING SET</v>
      </c>
      <c r="L1243" s="36">
        <v>967068201</v>
      </c>
      <c r="M1243" s="35" t="s">
        <v>2919</v>
      </c>
      <c r="O1243" s="35" t="s">
        <v>6726</v>
      </c>
      <c r="P1243" s="37" t="s">
        <v>6727</v>
      </c>
      <c r="Q1243" s="34" t="s">
        <v>3549</v>
      </c>
      <c r="R1243" s="34" t="s">
        <v>3540</v>
      </c>
      <c r="S1243" s="47">
        <v>42370</v>
      </c>
      <c r="T1243" s="47">
        <v>0</v>
      </c>
      <c r="U1243" s="47">
        <v>0</v>
      </c>
      <c r="V1243" s="34">
        <v>4078500022514</v>
      </c>
      <c r="W1243" s="34" t="s">
        <v>3543</v>
      </c>
      <c r="X1243" s="34" t="s">
        <v>3579</v>
      </c>
      <c r="Y1243" s="34" t="s">
        <v>3542</v>
      </c>
      <c r="Z1243" s="34">
        <v>36</v>
      </c>
      <c r="AA1243" s="34">
        <v>0</v>
      </c>
      <c r="AB1243" s="34" t="s">
        <v>5910</v>
      </c>
      <c r="AC1243" s="34">
        <v>0</v>
      </c>
      <c r="AD1243" s="34" t="s">
        <v>3671</v>
      </c>
      <c r="AE1243" s="34" t="s">
        <v>3997</v>
      </c>
      <c r="AF1243" s="34" t="s">
        <v>3968</v>
      </c>
      <c r="AG1243" s="34" t="s">
        <v>4207</v>
      </c>
      <c r="AH1243" s="34" t="s">
        <v>6728</v>
      </c>
      <c r="AI1243" s="34" t="s">
        <v>5328</v>
      </c>
      <c r="AJ1243" s="34" t="s">
        <v>5924</v>
      </c>
      <c r="AK1243" s="34" t="s">
        <v>3708</v>
      </c>
      <c r="AL1243" s="34" t="s">
        <v>6092</v>
      </c>
      <c r="AM1243" s="40" t="s">
        <v>9</v>
      </c>
      <c r="AP1243" s="34">
        <v>0</v>
      </c>
      <c r="AQ1243" s="34">
        <v>529</v>
      </c>
      <c r="AR1243" s="34">
        <v>309</v>
      </c>
      <c r="AT1243" s="44">
        <v>41000</v>
      </c>
      <c r="AU1243" s="44"/>
      <c r="AV1243" s="46">
        <f>ROUND(Товары[[#This Row],[РРЦ финальная, руб.]]/$AU$1,2)</f>
        <v>0</v>
      </c>
      <c r="AW1243" s="45" t="str">
        <f>IFERROR(Товары[[#This Row],[РРЦ, евро]]/Товары[[#This Row],[IRP, Eur]],"-")</f>
        <v>-</v>
      </c>
      <c r="AX1243" s="42">
        <f>IFERROR(VLOOKUP(Товары[[#This Row],[SubGroup]],'Структура цен DIY'!$B:$C,2,FALSE),0)</f>
        <v>0.28999999999999998</v>
      </c>
      <c r="AY1243" s="44">
        <v>0</v>
      </c>
    </row>
    <row r="1244" spans="1:51" x14ac:dyDescent="0.25">
      <c r="A1244" s="34">
        <v>1242</v>
      </c>
      <c r="B1244" s="34" t="s">
        <v>49</v>
      </c>
      <c r="C1244" s="110" t="str">
        <f>IFERROR(INDEX(Структура_ассортимента[SuperCategory],MATCH(Товары[[#This Row],[SubGroup]],Структура_ассортимента[Subgroup],0)),"")</f>
        <v>W</v>
      </c>
      <c r="D124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4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44" s="110" t="str">
        <f>IFERROR(INDEX(Структура_ассортимента[Product group],MATCH(Товары[[#This Row],[SubGroup]],Структура_ассортимента[Subgroup],0)),"")</f>
        <v>WMS_C</v>
      </c>
      <c r="G1244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44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44" s="36">
        <v>9021</v>
      </c>
      <c r="J1244" s="36" t="str">
        <f>IFERROR(INDEX(Структура_ассортимента[Generic Name (long)],MATCH(Товары[[#This Row],[SubGroup]],Структура_ассортимента[Subgroup],0)),"")</f>
        <v>WATERING SET</v>
      </c>
      <c r="L1244" s="36">
        <v>901153501</v>
      </c>
      <c r="M1244" s="35" t="s">
        <v>2920</v>
      </c>
      <c r="O1244" s="35" t="s">
        <v>6729</v>
      </c>
      <c r="P1244" s="37" t="s">
        <v>6730</v>
      </c>
      <c r="Q1244" s="34" t="s">
        <v>3549</v>
      </c>
      <c r="R1244" s="34" t="s">
        <v>3540</v>
      </c>
      <c r="S1244" s="47">
        <v>38991</v>
      </c>
      <c r="T1244" s="47">
        <v>0</v>
      </c>
      <c r="U1244" s="47">
        <v>0</v>
      </c>
      <c r="V1244" s="34">
        <v>4078500813303</v>
      </c>
      <c r="W1244" s="34" t="s">
        <v>3543</v>
      </c>
      <c r="X1244" s="34" t="s">
        <v>3579</v>
      </c>
      <c r="Y1244" s="34" t="s">
        <v>3542</v>
      </c>
      <c r="Z1244" s="34">
        <v>1</v>
      </c>
      <c r="AA1244" s="34" t="s">
        <v>5438</v>
      </c>
      <c r="AB1244" s="34" t="s">
        <v>5438</v>
      </c>
      <c r="AC1244" s="34" t="s">
        <v>3970</v>
      </c>
      <c r="AD1244" s="34" t="s">
        <v>3970</v>
      </c>
      <c r="AE1244" s="34" t="s">
        <v>6731</v>
      </c>
      <c r="AF1244" s="34" t="s">
        <v>5346</v>
      </c>
      <c r="AG1244" s="34" t="s">
        <v>4401</v>
      </c>
      <c r="AH1244" s="34" t="s">
        <v>6732</v>
      </c>
      <c r="AI1244" s="34" t="s">
        <v>6733</v>
      </c>
      <c r="AJ1244" s="34" t="s">
        <v>3829</v>
      </c>
      <c r="AK1244" s="34" t="s">
        <v>6024</v>
      </c>
      <c r="AL1244" s="34">
        <v>30</v>
      </c>
      <c r="AM1244" s="40" t="s">
        <v>9</v>
      </c>
      <c r="AP1244" s="34">
        <v>0</v>
      </c>
      <c r="AQ1244" s="34">
        <v>20790</v>
      </c>
      <c r="AR1244" s="34">
        <v>12128</v>
      </c>
      <c r="AT1244" s="44">
        <v>1610300</v>
      </c>
      <c r="AU1244" s="44"/>
      <c r="AV1244" s="46">
        <f>ROUND(Товары[[#This Row],[РРЦ финальная, руб.]]/$AU$1,2)</f>
        <v>0</v>
      </c>
      <c r="AW1244" s="45" t="str">
        <f>IFERROR(Товары[[#This Row],[РРЦ, евро]]/Товары[[#This Row],[IRP, Eur]],"-")</f>
        <v>-</v>
      </c>
      <c r="AX1244" s="42">
        <f>IFERROR(VLOOKUP(Товары[[#This Row],[SubGroup]],'Структура цен DIY'!$B:$C,2,FALSE),0)</f>
        <v>0.28999999999999998</v>
      </c>
      <c r="AY1244" s="44">
        <v>0</v>
      </c>
    </row>
    <row r="1245" spans="1:51" x14ac:dyDescent="0.25">
      <c r="A1245" s="34">
        <v>1243</v>
      </c>
      <c r="B1245" s="34" t="s">
        <v>49</v>
      </c>
      <c r="C1245" s="110" t="str">
        <f>IFERROR(INDEX(Структура_ассортимента[SuperCategory],MATCH(Товары[[#This Row],[SubGroup]],Структура_ассортимента[Subgroup],0)),"")</f>
        <v>W</v>
      </c>
      <c r="D124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4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45" s="110" t="str">
        <f>IFERROR(INDEX(Структура_ассортимента[Product group],MATCH(Товары[[#This Row],[SubGroup]],Структура_ассортимента[Subgroup],0)),"")</f>
        <v>WMS_C</v>
      </c>
      <c r="G1245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45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45" s="36">
        <v>9021</v>
      </c>
      <c r="J1245" s="36" t="str">
        <f>IFERROR(INDEX(Структура_ассортимента[Generic Name (long)],MATCH(Товары[[#This Row],[SubGroup]],Структура_ассортимента[Subgroup],0)),"")</f>
        <v>WATERING SET</v>
      </c>
      <c r="L1245" s="36">
        <v>967193101</v>
      </c>
      <c r="M1245" s="35" t="s">
        <v>2921</v>
      </c>
      <c r="Q1245" s="34" t="s">
        <v>3713</v>
      </c>
      <c r="R1245" s="34" t="s">
        <v>3540</v>
      </c>
      <c r="S1245" s="47">
        <v>41275</v>
      </c>
      <c r="T1245" s="47">
        <v>43830</v>
      </c>
      <c r="U1245" s="47">
        <v>43830</v>
      </c>
      <c r="V1245" s="34">
        <v>4078500812801</v>
      </c>
      <c r="W1245" s="34" t="s">
        <v>3543</v>
      </c>
      <c r="Y1245" s="34" t="s">
        <v>3542</v>
      </c>
      <c r="Z1245" s="34">
        <v>16</v>
      </c>
      <c r="AA1245" s="34" t="s">
        <v>4576</v>
      </c>
      <c r="AB1245" s="34" t="s">
        <v>4576</v>
      </c>
      <c r="AC1245" s="34" t="s">
        <v>4389</v>
      </c>
      <c r="AD1245" s="34" t="s">
        <v>4389</v>
      </c>
      <c r="AE1245" s="34" t="s">
        <v>6734</v>
      </c>
      <c r="AF1245" s="34" t="s">
        <v>5006</v>
      </c>
      <c r="AG1245" s="34" t="s">
        <v>5028</v>
      </c>
      <c r="AH1245" s="34" t="s">
        <v>6735</v>
      </c>
      <c r="AL1245" s="34" t="s">
        <v>6736</v>
      </c>
      <c r="AM1245" s="40" t="s">
        <v>8094</v>
      </c>
      <c r="AT1245" s="44">
        <v>0</v>
      </c>
      <c r="AU1245" s="44"/>
      <c r="AV1245" s="46">
        <f>ROUND(Товары[[#This Row],[РРЦ финальная, руб.]]/$AU$1,2)</f>
        <v>0</v>
      </c>
      <c r="AW1245" s="45" t="str">
        <f>IFERROR(Товары[[#This Row],[РРЦ, евро]]/Товары[[#This Row],[IRP, Eur]],"-")</f>
        <v>-</v>
      </c>
      <c r="AX1245" s="42">
        <f>IFERROR(VLOOKUP(Товары[[#This Row],[SubGroup]],'Структура цен DIY'!$B:$C,2,FALSE),0)</f>
        <v>0.28999999999999998</v>
      </c>
      <c r="AY1245" s="44">
        <v>0</v>
      </c>
    </row>
    <row r="1246" spans="1:51" x14ac:dyDescent="0.25">
      <c r="A1246" s="34">
        <v>1244</v>
      </c>
      <c r="B1246" s="34" t="s">
        <v>49</v>
      </c>
      <c r="C1246" s="110" t="str">
        <f>IFERROR(INDEX(Структура_ассортимента[SuperCategory],MATCH(Товары[[#This Row],[SubGroup]],Структура_ассортимента[Subgroup],0)),"")</f>
        <v>W</v>
      </c>
      <c r="D124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4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46" s="110" t="str">
        <f>IFERROR(INDEX(Структура_ассортимента[Product group],MATCH(Товары[[#This Row],[SubGroup]],Структура_ассортимента[Subgroup],0)),"")</f>
        <v>WMS_C</v>
      </c>
      <c r="G1246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46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46" s="36">
        <v>9021</v>
      </c>
      <c r="J1246" s="36" t="str">
        <f>IFERROR(INDEX(Структура_ассортимента[Generic Name (long)],MATCH(Товары[[#This Row],[SubGroup]],Структура_ассортимента[Subgroup],0)),"")</f>
        <v>WATERING SET</v>
      </c>
      <c r="L1246" s="36">
        <v>967704101</v>
      </c>
      <c r="M1246" s="35" t="s">
        <v>2922</v>
      </c>
      <c r="Q1246" s="34" t="s">
        <v>3713</v>
      </c>
      <c r="R1246" s="34" t="s">
        <v>3540</v>
      </c>
      <c r="S1246" s="47">
        <v>43216</v>
      </c>
      <c r="T1246" s="47">
        <v>43830</v>
      </c>
      <c r="U1246" s="47">
        <v>43830</v>
      </c>
      <c r="V1246" s="34">
        <v>4078500035323</v>
      </c>
      <c r="W1246" s="34" t="s">
        <v>3543</v>
      </c>
      <c r="Y1246" s="34" t="s">
        <v>3542</v>
      </c>
      <c r="Z1246" s="34">
        <v>16</v>
      </c>
      <c r="AA1246" s="34">
        <v>0</v>
      </c>
      <c r="AB1246" s="34" t="s">
        <v>4576</v>
      </c>
      <c r="AC1246" s="34">
        <v>0</v>
      </c>
      <c r="AD1246" s="34" t="s">
        <v>4389</v>
      </c>
      <c r="AE1246" s="34" t="s">
        <v>6734</v>
      </c>
      <c r="AF1246" s="34" t="s">
        <v>5006</v>
      </c>
      <c r="AG1246" s="34" t="s">
        <v>5028</v>
      </c>
      <c r="AH1246" s="34" t="s">
        <v>6735</v>
      </c>
      <c r="AL1246" s="34" t="s">
        <v>3658</v>
      </c>
      <c r="AM1246" s="40" t="s">
        <v>8094</v>
      </c>
      <c r="AT1246" s="44">
        <v>0</v>
      </c>
      <c r="AU1246" s="44"/>
      <c r="AV1246" s="46">
        <f>ROUND(Товары[[#This Row],[РРЦ финальная, руб.]]/$AU$1,2)</f>
        <v>0</v>
      </c>
      <c r="AW1246" s="45" t="str">
        <f>IFERROR(Товары[[#This Row],[РРЦ, евро]]/Товары[[#This Row],[IRP, Eur]],"-")</f>
        <v>-</v>
      </c>
      <c r="AX1246" s="42">
        <f>IFERROR(VLOOKUP(Товары[[#This Row],[SubGroup]],'Структура цен DIY'!$B:$C,2,FALSE),0)</f>
        <v>0.28999999999999998</v>
      </c>
      <c r="AY1246" s="44">
        <v>0</v>
      </c>
    </row>
    <row r="1247" spans="1:51" x14ac:dyDescent="0.25">
      <c r="A1247" s="34">
        <v>1245</v>
      </c>
      <c r="B1247" s="34" t="s">
        <v>49</v>
      </c>
      <c r="C1247" s="110" t="str">
        <f>IFERROR(INDEX(Структура_ассортимента[SuperCategory],MATCH(Товары[[#This Row],[SubGroup]],Структура_ассортимента[Subgroup],0)),"")</f>
        <v>W</v>
      </c>
      <c r="D124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4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47" s="110" t="str">
        <f>IFERROR(INDEX(Структура_ассортимента[Product group],MATCH(Товары[[#This Row],[SubGroup]],Структура_ассортимента[Subgroup],0)),"")</f>
        <v>WMS_C</v>
      </c>
      <c r="G1247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47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47" s="36">
        <v>9021</v>
      </c>
      <c r="J1247" s="36" t="str">
        <f>IFERROR(INDEX(Структура_ассортимента[Generic Name (long)],MATCH(Товары[[#This Row],[SubGroup]],Структура_ассортимента[Subgroup],0)),"")</f>
        <v>WATERING SET</v>
      </c>
      <c r="L1247" s="36">
        <v>901154501</v>
      </c>
      <c r="M1247" s="35" t="s">
        <v>2923</v>
      </c>
      <c r="Q1247" s="34" t="s">
        <v>3713</v>
      </c>
      <c r="R1247" s="34" t="s">
        <v>3540</v>
      </c>
      <c r="S1247" s="47">
        <v>38991</v>
      </c>
      <c r="T1247" s="47">
        <v>43830</v>
      </c>
      <c r="U1247" s="47">
        <v>43830</v>
      </c>
      <c r="V1247" s="34">
        <v>4078500815109</v>
      </c>
      <c r="W1247" s="34" t="s">
        <v>3543</v>
      </c>
      <c r="Y1247" s="34" t="s">
        <v>3542</v>
      </c>
      <c r="Z1247" s="34">
        <v>2</v>
      </c>
      <c r="AA1247" s="34" t="s">
        <v>5230</v>
      </c>
      <c r="AB1247" s="34" t="s">
        <v>5230</v>
      </c>
      <c r="AC1247" s="34" t="s">
        <v>3864</v>
      </c>
      <c r="AD1247" s="34" t="s">
        <v>3864</v>
      </c>
      <c r="AE1247" s="34" t="s">
        <v>4206</v>
      </c>
      <c r="AF1247" s="34" t="s">
        <v>4505</v>
      </c>
      <c r="AG1247" s="34" t="s">
        <v>4549</v>
      </c>
      <c r="AH1247" s="34" t="s">
        <v>6737</v>
      </c>
      <c r="AL1247" s="34">
        <v>136</v>
      </c>
      <c r="AM1247" s="40" t="s">
        <v>8094</v>
      </c>
      <c r="AT1247" s="44">
        <v>0</v>
      </c>
      <c r="AU1247" s="44"/>
      <c r="AV1247" s="46">
        <f>ROUND(Товары[[#This Row],[РРЦ финальная, руб.]]/$AU$1,2)</f>
        <v>0</v>
      </c>
      <c r="AW1247" s="45" t="str">
        <f>IFERROR(Товары[[#This Row],[РРЦ, евро]]/Товары[[#This Row],[IRP, Eur]],"-")</f>
        <v>-</v>
      </c>
      <c r="AX1247" s="42">
        <f>IFERROR(VLOOKUP(Товары[[#This Row],[SubGroup]],'Структура цен DIY'!$B:$C,2,FALSE),0)</f>
        <v>0.28999999999999998</v>
      </c>
      <c r="AY1247" s="44">
        <v>0</v>
      </c>
    </row>
    <row r="1248" spans="1:51" x14ac:dyDescent="0.25">
      <c r="A1248" s="34">
        <v>1246</v>
      </c>
      <c r="B1248" s="34" t="s">
        <v>49</v>
      </c>
      <c r="C1248" s="110" t="str">
        <f>IFERROR(INDEX(Структура_ассортимента[SuperCategory],MATCH(Товары[[#This Row],[SubGroup]],Структура_ассортимента[Subgroup],0)),"")</f>
        <v>W</v>
      </c>
      <c r="D124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4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48" s="110" t="str">
        <f>IFERROR(INDEX(Структура_ассортимента[Product group],MATCH(Товары[[#This Row],[SubGroup]],Структура_ассортимента[Subgroup],0)),"")</f>
        <v>WMS_C</v>
      </c>
      <c r="G1248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48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48" s="36">
        <v>9021</v>
      </c>
      <c r="J1248" s="36" t="str">
        <f>IFERROR(INDEX(Структура_ассортимента[Generic Name (long)],MATCH(Товары[[#This Row],[SubGroup]],Структура_ассортимента[Subgroup],0)),"")</f>
        <v>WATERING SET</v>
      </c>
      <c r="L1248" s="36">
        <v>900971101</v>
      </c>
      <c r="M1248" s="35" t="s">
        <v>2924</v>
      </c>
      <c r="P1248" s="37" t="s">
        <v>6738</v>
      </c>
      <c r="Q1248" s="34" t="s">
        <v>3713</v>
      </c>
      <c r="R1248" s="34" t="s">
        <v>3540</v>
      </c>
      <c r="S1248" s="47">
        <v>36069</v>
      </c>
      <c r="T1248" s="47">
        <v>43830</v>
      </c>
      <c r="U1248" s="47">
        <v>43830</v>
      </c>
      <c r="V1248" s="34">
        <v>4078500197700</v>
      </c>
      <c r="W1248" s="34" t="s">
        <v>3543</v>
      </c>
      <c r="Y1248" s="34" t="s">
        <v>3542</v>
      </c>
      <c r="Z1248" s="34">
        <v>4</v>
      </c>
      <c r="AA1248" s="34" t="s">
        <v>6739</v>
      </c>
      <c r="AB1248" s="34" t="s">
        <v>6739</v>
      </c>
      <c r="AC1248" s="34" t="s">
        <v>3892</v>
      </c>
      <c r="AD1248" s="34" t="s">
        <v>3892</v>
      </c>
      <c r="AE1248" s="34" t="s">
        <v>6740</v>
      </c>
      <c r="AF1248" s="34" t="s">
        <v>4440</v>
      </c>
      <c r="AG1248" s="34" t="s">
        <v>3557</v>
      </c>
      <c r="AH1248" s="34" t="s">
        <v>6741</v>
      </c>
      <c r="AI1248" s="34" t="s">
        <v>5816</v>
      </c>
      <c r="AJ1248" s="34" t="s">
        <v>3566</v>
      </c>
      <c r="AK1248" s="34" t="s">
        <v>4458</v>
      </c>
      <c r="AL1248" s="34">
        <v>48</v>
      </c>
      <c r="AM1248" s="40" t="s">
        <v>233</v>
      </c>
      <c r="AP1248" s="34">
        <v>0</v>
      </c>
      <c r="AQ1248" s="34">
        <v>6290</v>
      </c>
      <c r="AR1248" s="34">
        <v>3670</v>
      </c>
      <c r="AT1248" s="44">
        <v>487200</v>
      </c>
      <c r="AU1248" s="44"/>
      <c r="AV1248" s="46">
        <f>ROUND(Товары[[#This Row],[РРЦ финальная, руб.]]/$AU$1,2)</f>
        <v>0</v>
      </c>
      <c r="AW1248" s="45" t="str">
        <f>IFERROR(Товары[[#This Row],[РРЦ, евро]]/Товары[[#This Row],[IRP, Eur]],"-")</f>
        <v>-</v>
      </c>
      <c r="AX1248" s="42">
        <f>IFERROR(VLOOKUP(Товары[[#This Row],[SubGroup]],'Структура цен DIY'!$B:$C,2,FALSE),0)</f>
        <v>0.28999999999999998</v>
      </c>
      <c r="AY1248" s="44">
        <v>0</v>
      </c>
    </row>
    <row r="1249" spans="1:51" x14ac:dyDescent="0.25">
      <c r="A1249" s="34">
        <v>1247</v>
      </c>
      <c r="B1249" s="34" t="s">
        <v>49</v>
      </c>
      <c r="C1249" s="110" t="str">
        <f>IFERROR(INDEX(Структура_ассортимента[SuperCategory],MATCH(Товары[[#This Row],[SubGroup]],Структура_ассортимента[Subgroup],0)),"")</f>
        <v>W</v>
      </c>
      <c r="D124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4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49" s="110" t="str">
        <f>IFERROR(INDEX(Структура_ассортимента[Product group],MATCH(Товары[[#This Row],[SubGroup]],Структура_ассортимента[Subgroup],0)),"")</f>
        <v>WMS_C</v>
      </c>
      <c r="G1249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49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49" s="36">
        <v>9021</v>
      </c>
      <c r="J1249" s="36" t="str">
        <f>IFERROR(INDEX(Структура_ассортимента[Generic Name (long)],MATCH(Товары[[#This Row],[SubGroup]],Структура_ассортимента[Subgroup],0)),"")</f>
        <v>WATERING SET</v>
      </c>
      <c r="L1249" s="36">
        <v>900969901</v>
      </c>
      <c r="M1249" s="35" t="s">
        <v>2925</v>
      </c>
      <c r="P1249" s="37" t="s">
        <v>6742</v>
      </c>
      <c r="Q1249" s="34" t="s">
        <v>3713</v>
      </c>
      <c r="R1249" s="34" t="s">
        <v>3540</v>
      </c>
      <c r="S1249" s="47">
        <v>36069</v>
      </c>
      <c r="T1249" s="47">
        <v>43830</v>
      </c>
      <c r="U1249" s="47">
        <v>43830</v>
      </c>
      <c r="V1249" s="34">
        <v>4078500197106</v>
      </c>
      <c r="W1249" s="34" t="s">
        <v>3543</v>
      </c>
      <c r="Y1249" s="34" t="s">
        <v>3542</v>
      </c>
      <c r="Z1249" s="34">
        <v>4</v>
      </c>
      <c r="AA1249" s="34" t="s">
        <v>6743</v>
      </c>
      <c r="AB1249" s="34" t="s">
        <v>6744</v>
      </c>
      <c r="AC1249" s="34" t="s">
        <v>4216</v>
      </c>
      <c r="AD1249" s="34" t="s">
        <v>4664</v>
      </c>
      <c r="AE1249" s="34" t="s">
        <v>4836</v>
      </c>
      <c r="AF1249" s="34" t="s">
        <v>5465</v>
      </c>
      <c r="AG1249" s="34" t="s">
        <v>4681</v>
      </c>
      <c r="AH1249" s="34" t="s">
        <v>6745</v>
      </c>
      <c r="AI1249" s="34" t="s">
        <v>4202</v>
      </c>
      <c r="AJ1249" s="34" t="s">
        <v>3707</v>
      </c>
      <c r="AK1249" s="34" t="s">
        <v>4458</v>
      </c>
      <c r="AL1249" s="34">
        <v>96</v>
      </c>
      <c r="AM1249" s="40" t="s">
        <v>233</v>
      </c>
      <c r="AP1249" s="34">
        <v>0</v>
      </c>
      <c r="AQ1249" s="34">
        <v>3290</v>
      </c>
      <c r="AR1249" s="34">
        <v>1919</v>
      </c>
      <c r="AT1249" s="44">
        <v>254800</v>
      </c>
      <c r="AU1249" s="44"/>
      <c r="AV1249" s="46">
        <f>ROUND(Товары[[#This Row],[РРЦ финальная, руб.]]/$AU$1,2)</f>
        <v>0</v>
      </c>
      <c r="AW1249" s="45" t="str">
        <f>IFERROR(Товары[[#This Row],[РРЦ, евро]]/Товары[[#This Row],[IRP, Eur]],"-")</f>
        <v>-</v>
      </c>
      <c r="AX1249" s="42">
        <f>IFERROR(VLOOKUP(Товары[[#This Row],[SubGroup]],'Структура цен DIY'!$B:$C,2,FALSE),0)</f>
        <v>0.28999999999999998</v>
      </c>
      <c r="AY1249" s="44">
        <v>0</v>
      </c>
    </row>
    <row r="1250" spans="1:51" x14ac:dyDescent="0.25">
      <c r="A1250" s="34">
        <v>1248</v>
      </c>
      <c r="B1250" s="34" t="s">
        <v>49</v>
      </c>
      <c r="C1250" s="110" t="str">
        <f>IFERROR(INDEX(Структура_ассортимента[SuperCategory],MATCH(Товары[[#This Row],[SubGroup]],Структура_ассортимента[Subgroup],0)),"")</f>
        <v>W</v>
      </c>
      <c r="D125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5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50" s="110" t="str">
        <f>IFERROR(INDEX(Структура_ассортимента[Product group],MATCH(Товары[[#This Row],[SubGroup]],Структура_ассортимента[Subgroup],0)),"")</f>
        <v>WMS_C</v>
      </c>
      <c r="G1250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50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50" s="36">
        <v>9021</v>
      </c>
      <c r="J1250" s="36" t="str">
        <f>IFERROR(INDEX(Структура_ассортимента[Generic Name (long)],MATCH(Товары[[#This Row],[SubGroup]],Структура_ассортимента[Subgroup],0)),"")</f>
        <v>WATERING SET</v>
      </c>
      <c r="L1250" s="36">
        <v>900970201</v>
      </c>
      <c r="M1250" s="35" t="s">
        <v>2926</v>
      </c>
      <c r="P1250" s="37" t="s">
        <v>6746</v>
      </c>
      <c r="Q1250" s="34" t="s">
        <v>3713</v>
      </c>
      <c r="R1250" s="34" t="s">
        <v>3540</v>
      </c>
      <c r="S1250" s="47">
        <v>36069</v>
      </c>
      <c r="T1250" s="47">
        <v>43830</v>
      </c>
      <c r="U1250" s="47">
        <v>43830</v>
      </c>
      <c r="V1250" s="34">
        <v>4078500197304</v>
      </c>
      <c r="W1250" s="34" t="s">
        <v>3543</v>
      </c>
      <c r="Y1250" s="34" t="s">
        <v>3542</v>
      </c>
      <c r="Z1250" s="34">
        <v>4</v>
      </c>
      <c r="AA1250" s="34" t="s">
        <v>4371</v>
      </c>
      <c r="AB1250" s="34" t="s">
        <v>4371</v>
      </c>
      <c r="AC1250" s="34" t="s">
        <v>3554</v>
      </c>
      <c r="AD1250" s="34" t="s">
        <v>3554</v>
      </c>
      <c r="AE1250" s="34" t="s">
        <v>4334</v>
      </c>
      <c r="AF1250" s="34" t="s">
        <v>4893</v>
      </c>
      <c r="AG1250" s="34" t="s">
        <v>3557</v>
      </c>
      <c r="AH1250" s="34" t="s">
        <v>6747</v>
      </c>
      <c r="AI1250" s="34" t="s">
        <v>3688</v>
      </c>
      <c r="AJ1250" s="34" t="s">
        <v>3566</v>
      </c>
      <c r="AK1250" s="34" t="s">
        <v>4458</v>
      </c>
      <c r="AL1250" s="34">
        <v>68</v>
      </c>
      <c r="AM1250" s="40" t="s">
        <v>233</v>
      </c>
      <c r="AP1250" s="34">
        <v>0</v>
      </c>
      <c r="AQ1250" s="34">
        <v>3790</v>
      </c>
      <c r="AR1250" s="34">
        <v>2212</v>
      </c>
      <c r="AT1250" s="44">
        <v>293600</v>
      </c>
      <c r="AU1250" s="44"/>
      <c r="AV1250" s="46">
        <f>ROUND(Товары[[#This Row],[РРЦ финальная, руб.]]/$AU$1,2)</f>
        <v>0</v>
      </c>
      <c r="AW1250" s="45" t="str">
        <f>IFERROR(Товары[[#This Row],[РРЦ, евро]]/Товары[[#This Row],[IRP, Eur]],"-")</f>
        <v>-</v>
      </c>
      <c r="AX1250" s="42">
        <f>IFERROR(VLOOKUP(Товары[[#This Row],[SubGroup]],'Структура цен DIY'!$B:$C,2,FALSE),0)</f>
        <v>0.28999999999999998</v>
      </c>
      <c r="AY1250" s="44">
        <v>0</v>
      </c>
    </row>
    <row r="1251" spans="1:51" x14ac:dyDescent="0.25">
      <c r="A1251" s="34">
        <v>1249</v>
      </c>
      <c r="B1251" s="34" t="s">
        <v>49</v>
      </c>
      <c r="C1251" s="110" t="str">
        <f>IFERROR(INDEX(Структура_ассортимента[SuperCategory],MATCH(Товары[[#This Row],[SubGroup]],Структура_ассортимента[Subgroup],0)),"")</f>
        <v>W</v>
      </c>
      <c r="D125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5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51" s="110" t="str">
        <f>IFERROR(INDEX(Структура_ассортимента[Product group],MATCH(Товары[[#This Row],[SubGroup]],Структура_ассортимента[Subgroup],0)),"")</f>
        <v>WMS_C</v>
      </c>
      <c r="G1251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51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51" s="36">
        <v>9021</v>
      </c>
      <c r="J1251" s="36" t="str">
        <f>IFERROR(INDEX(Структура_ассортимента[Generic Name (long)],MATCH(Товары[[#This Row],[SubGroup]],Структура_ассортимента[Subgroup],0)),"")</f>
        <v>WATERING SET</v>
      </c>
      <c r="L1251" s="36">
        <v>900970701</v>
      </c>
      <c r="M1251" s="35" t="s">
        <v>2927</v>
      </c>
      <c r="P1251" s="37" t="s">
        <v>6748</v>
      </c>
      <c r="Q1251" s="34" t="s">
        <v>3713</v>
      </c>
      <c r="R1251" s="34" t="s">
        <v>3540</v>
      </c>
      <c r="S1251" s="47">
        <v>36069</v>
      </c>
      <c r="T1251" s="47">
        <v>43830</v>
      </c>
      <c r="U1251" s="47">
        <v>43830</v>
      </c>
      <c r="V1251" s="34">
        <v>4078500197502</v>
      </c>
      <c r="W1251" s="34" t="s">
        <v>3543</v>
      </c>
      <c r="Y1251" s="34" t="s">
        <v>3542</v>
      </c>
      <c r="Z1251" s="34">
        <v>4</v>
      </c>
      <c r="AA1251" s="34" t="s">
        <v>4586</v>
      </c>
      <c r="AB1251" s="34" t="s">
        <v>4586</v>
      </c>
      <c r="AC1251" s="34" t="s">
        <v>4374</v>
      </c>
      <c r="AD1251" s="34" t="s">
        <v>4374</v>
      </c>
      <c r="AE1251" s="34" t="s">
        <v>6749</v>
      </c>
      <c r="AF1251" s="34" t="s">
        <v>4728</v>
      </c>
      <c r="AG1251" s="34" t="s">
        <v>4272</v>
      </c>
      <c r="AH1251" s="34" t="s">
        <v>6750</v>
      </c>
      <c r="AI1251" s="34" t="s">
        <v>6751</v>
      </c>
      <c r="AJ1251" s="34" t="s">
        <v>3566</v>
      </c>
      <c r="AK1251" s="34" t="s">
        <v>4458</v>
      </c>
      <c r="AL1251" s="34">
        <v>68</v>
      </c>
      <c r="AM1251" s="40" t="s">
        <v>233</v>
      </c>
      <c r="AP1251" s="34">
        <v>0</v>
      </c>
      <c r="AQ1251" s="34">
        <v>4890</v>
      </c>
      <c r="AR1251" s="34">
        <v>2853</v>
      </c>
      <c r="AT1251" s="44">
        <v>378800</v>
      </c>
      <c r="AU1251" s="44"/>
      <c r="AV1251" s="46">
        <f>ROUND(Товары[[#This Row],[РРЦ финальная, руб.]]/$AU$1,2)</f>
        <v>0</v>
      </c>
      <c r="AW1251" s="45" t="str">
        <f>IFERROR(Товары[[#This Row],[РРЦ, евро]]/Товары[[#This Row],[IRP, Eur]],"-")</f>
        <v>-</v>
      </c>
      <c r="AX1251" s="42">
        <f>IFERROR(VLOOKUP(Товары[[#This Row],[SubGroup]],'Структура цен DIY'!$B:$C,2,FALSE),0)</f>
        <v>0.28999999999999998</v>
      </c>
      <c r="AY1251" s="44">
        <v>0</v>
      </c>
    </row>
    <row r="1252" spans="1:51" x14ac:dyDescent="0.25">
      <c r="A1252" s="34">
        <v>1250</v>
      </c>
      <c r="B1252" s="34" t="s">
        <v>49</v>
      </c>
      <c r="C1252" s="110" t="str">
        <f>IFERROR(INDEX(Структура_ассортимента[SuperCategory],MATCH(Товары[[#This Row],[SubGroup]],Структура_ассортимента[Subgroup],0)),"")</f>
        <v>W</v>
      </c>
      <c r="D125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5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52" s="110" t="str">
        <f>IFERROR(INDEX(Структура_ассортимента[Product group],MATCH(Товары[[#This Row],[SubGroup]],Структура_ассортимента[Subgroup],0)),"")</f>
        <v>WMS_C</v>
      </c>
      <c r="G1252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52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52" s="36">
        <v>9021</v>
      </c>
      <c r="J1252" s="36" t="str">
        <f>IFERROR(INDEX(Структура_ассортимента[Generic Name (long)],MATCH(Товары[[#This Row],[SubGroup]],Структура_ассортимента[Subgroup],0)),"")</f>
        <v>WATERING SET</v>
      </c>
      <c r="L1252" s="36">
        <v>900886801</v>
      </c>
      <c r="M1252" s="35" t="s">
        <v>2928</v>
      </c>
      <c r="Q1252" s="34" t="s">
        <v>3713</v>
      </c>
      <c r="R1252" s="34" t="s">
        <v>3540</v>
      </c>
      <c r="S1252" s="47">
        <v>36434</v>
      </c>
      <c r="T1252" s="47">
        <v>43830</v>
      </c>
      <c r="U1252" s="47">
        <v>43830</v>
      </c>
      <c r="V1252" s="34">
        <v>4078500102100</v>
      </c>
      <c r="W1252" s="34" t="s">
        <v>3543</v>
      </c>
      <c r="Y1252" s="34" t="s">
        <v>3542</v>
      </c>
      <c r="Z1252" s="34">
        <v>24</v>
      </c>
      <c r="AA1252" s="34" t="s">
        <v>6752</v>
      </c>
      <c r="AB1252" s="34" t="s">
        <v>6752</v>
      </c>
      <c r="AC1252" s="34" t="s">
        <v>4216</v>
      </c>
      <c r="AD1252" s="34" t="s">
        <v>4216</v>
      </c>
      <c r="AE1252" s="34" t="s">
        <v>3742</v>
      </c>
      <c r="AF1252" s="34" t="s">
        <v>4458</v>
      </c>
      <c r="AG1252" s="34" t="s">
        <v>3886</v>
      </c>
      <c r="AH1252" s="34" t="s">
        <v>6753</v>
      </c>
      <c r="AL1252" s="34" t="s">
        <v>3981</v>
      </c>
      <c r="AM1252" s="40" t="s">
        <v>8094</v>
      </c>
      <c r="AT1252" s="44">
        <v>0</v>
      </c>
      <c r="AU1252" s="44"/>
      <c r="AV1252" s="46">
        <f>ROUND(Товары[[#This Row],[РРЦ финальная, руб.]]/$AU$1,2)</f>
        <v>0</v>
      </c>
      <c r="AW1252" s="45" t="str">
        <f>IFERROR(Товары[[#This Row],[РРЦ, евро]]/Товары[[#This Row],[IRP, Eur]],"-")</f>
        <v>-</v>
      </c>
      <c r="AX1252" s="42">
        <f>IFERROR(VLOOKUP(Товары[[#This Row],[SubGroup]],'Структура цен DIY'!$B:$C,2,FALSE),0)</f>
        <v>0.28999999999999998</v>
      </c>
      <c r="AY1252" s="44">
        <v>0</v>
      </c>
    </row>
    <row r="1253" spans="1:51" x14ac:dyDescent="0.25">
      <c r="A1253" s="34">
        <v>1251</v>
      </c>
      <c r="B1253" s="34" t="s">
        <v>49</v>
      </c>
      <c r="C1253" s="110" t="str">
        <f>IFERROR(INDEX(Структура_ассортимента[SuperCategory],MATCH(Товары[[#This Row],[SubGroup]],Структура_ассортимента[Subgroup],0)),"")</f>
        <v>W</v>
      </c>
      <c r="D125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5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53" s="110" t="str">
        <f>IFERROR(INDEX(Структура_ассортимента[Product group],MATCH(Товары[[#This Row],[SubGroup]],Структура_ассортимента[Subgroup],0)),"")</f>
        <v>WMS_C</v>
      </c>
      <c r="G1253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53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53" s="36">
        <v>9021</v>
      </c>
      <c r="J1253" s="36" t="str">
        <f>IFERROR(INDEX(Структура_ассортимента[Generic Name (long)],MATCH(Товары[[#This Row],[SubGroup]],Структура_ассортимента[Subgroup],0)),"")</f>
        <v>WATERING SET</v>
      </c>
      <c r="L1253" s="36">
        <v>967703401</v>
      </c>
      <c r="M1253" s="35" t="s">
        <v>2929</v>
      </c>
      <c r="Q1253" s="34" t="s">
        <v>3713</v>
      </c>
      <c r="R1253" s="34" t="s">
        <v>3540</v>
      </c>
      <c r="S1253" s="47">
        <v>43101</v>
      </c>
      <c r="T1253" s="47">
        <v>43830</v>
      </c>
      <c r="U1253" s="47">
        <v>43830</v>
      </c>
      <c r="V1253" s="34">
        <v>4078500035347</v>
      </c>
      <c r="W1253" s="34" t="s">
        <v>3543</v>
      </c>
      <c r="Y1253" s="34" t="s">
        <v>3542</v>
      </c>
      <c r="Z1253" s="34">
        <v>24</v>
      </c>
      <c r="AA1253" s="34">
        <v>0</v>
      </c>
      <c r="AB1253" s="34" t="s">
        <v>6752</v>
      </c>
      <c r="AC1253" s="34">
        <v>0</v>
      </c>
      <c r="AD1253" s="34" t="s">
        <v>4216</v>
      </c>
      <c r="AE1253" s="34" t="s">
        <v>3742</v>
      </c>
      <c r="AF1253" s="34" t="s">
        <v>4458</v>
      </c>
      <c r="AG1253" s="34" t="s">
        <v>3886</v>
      </c>
      <c r="AH1253" s="34" t="s">
        <v>6753</v>
      </c>
      <c r="AL1253" s="34" t="s">
        <v>3981</v>
      </c>
      <c r="AM1253" s="40" t="s">
        <v>8094</v>
      </c>
      <c r="AT1253" s="44">
        <v>0</v>
      </c>
      <c r="AU1253" s="44"/>
      <c r="AV1253" s="46">
        <f>ROUND(Товары[[#This Row],[РРЦ финальная, руб.]]/$AU$1,2)</f>
        <v>0</v>
      </c>
      <c r="AW1253" s="45" t="str">
        <f>IFERROR(Товары[[#This Row],[РРЦ, евро]]/Товары[[#This Row],[IRP, Eur]],"-")</f>
        <v>-</v>
      </c>
      <c r="AX1253" s="42">
        <f>IFERROR(VLOOKUP(Товары[[#This Row],[SubGroup]],'Структура цен DIY'!$B:$C,2,FALSE),0)</f>
        <v>0.28999999999999998</v>
      </c>
      <c r="AY1253" s="44">
        <v>0</v>
      </c>
    </row>
    <row r="1254" spans="1:51" x14ac:dyDescent="0.25">
      <c r="A1254" s="34">
        <v>1252</v>
      </c>
      <c r="B1254" s="34" t="s">
        <v>49</v>
      </c>
      <c r="C1254" s="110" t="str">
        <f>IFERROR(INDEX(Структура_ассортимента[SuperCategory],MATCH(Товары[[#This Row],[SubGroup]],Структура_ассортимента[Subgroup],0)),"")</f>
        <v>W</v>
      </c>
      <c r="D125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5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54" s="110" t="str">
        <f>IFERROR(INDEX(Структура_ассортимента[Product group],MATCH(Товары[[#This Row],[SubGroup]],Структура_ассортимента[Subgroup],0)),"")</f>
        <v>WMS_C</v>
      </c>
      <c r="G1254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54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54" s="36">
        <v>9021</v>
      </c>
      <c r="J1254" s="36" t="str">
        <f>IFERROR(INDEX(Структура_ассортимента[Generic Name (long)],MATCH(Товары[[#This Row],[SubGroup]],Структура_ассортимента[Subgroup],0)),"")</f>
        <v>WATERING SET</v>
      </c>
      <c r="L1254" s="36">
        <v>966678401</v>
      </c>
      <c r="M1254" s="35" t="s">
        <v>2930</v>
      </c>
      <c r="Q1254" s="34" t="s">
        <v>3713</v>
      </c>
      <c r="R1254" s="34" t="s">
        <v>3540</v>
      </c>
      <c r="S1254" s="47">
        <v>40452</v>
      </c>
      <c r="T1254" s="47">
        <v>43830</v>
      </c>
      <c r="U1254" s="47">
        <v>43830</v>
      </c>
      <c r="V1254" s="34">
        <v>4078500208000</v>
      </c>
      <c r="W1254" s="34" t="s">
        <v>3543</v>
      </c>
      <c r="Y1254" s="34" t="s">
        <v>3542</v>
      </c>
      <c r="Z1254" s="34">
        <v>20</v>
      </c>
      <c r="AA1254" s="34" t="s">
        <v>6754</v>
      </c>
      <c r="AB1254" s="34" t="s">
        <v>6754</v>
      </c>
      <c r="AC1254" s="34" t="s">
        <v>4939</v>
      </c>
      <c r="AD1254" s="34" t="s">
        <v>4939</v>
      </c>
      <c r="AE1254" s="34" t="s">
        <v>6755</v>
      </c>
      <c r="AF1254" s="34" t="s">
        <v>3560</v>
      </c>
      <c r="AG1254" s="34" t="s">
        <v>3800</v>
      </c>
      <c r="AH1254" s="34" t="s">
        <v>6756</v>
      </c>
      <c r="AL1254" s="34">
        <v>200</v>
      </c>
      <c r="AM1254" s="40" t="s">
        <v>8094</v>
      </c>
      <c r="AT1254" s="44">
        <v>0</v>
      </c>
      <c r="AU1254" s="44"/>
      <c r="AV1254" s="46">
        <f>ROUND(Товары[[#This Row],[РРЦ финальная, руб.]]/$AU$1,2)</f>
        <v>0</v>
      </c>
      <c r="AW1254" s="45" t="str">
        <f>IFERROR(Товары[[#This Row],[РРЦ, евро]]/Товары[[#This Row],[IRP, Eur]],"-")</f>
        <v>-</v>
      </c>
      <c r="AX1254" s="42">
        <f>IFERROR(VLOOKUP(Товары[[#This Row],[SubGroup]],'Структура цен DIY'!$B:$C,2,FALSE),0)</f>
        <v>0.28999999999999998</v>
      </c>
      <c r="AY1254" s="44">
        <v>0</v>
      </c>
    </row>
    <row r="1255" spans="1:51" x14ac:dyDescent="0.25">
      <c r="A1255" s="34">
        <v>1253</v>
      </c>
      <c r="B1255" s="34" t="s">
        <v>49</v>
      </c>
      <c r="C1255" s="110" t="str">
        <f>IFERROR(INDEX(Структура_ассортимента[SuperCategory],MATCH(Товары[[#This Row],[SubGroup]],Структура_ассортимента[Subgroup],0)),"")</f>
        <v>W</v>
      </c>
      <c r="D125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5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55" s="110" t="str">
        <f>IFERROR(INDEX(Структура_ассортимента[Product group],MATCH(Товары[[#This Row],[SubGroup]],Структура_ассортимента[Subgroup],0)),"")</f>
        <v>WMS_C</v>
      </c>
      <c r="G1255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55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55" s="36">
        <v>9021</v>
      </c>
      <c r="J1255" s="36" t="str">
        <f>IFERROR(INDEX(Структура_ассортимента[Generic Name (long)],MATCH(Товары[[#This Row],[SubGroup]],Структура_ассортимента[Subgroup],0)),"")</f>
        <v>WATERING SET</v>
      </c>
      <c r="L1255" s="36">
        <v>967703701</v>
      </c>
      <c r="M1255" s="35" t="s">
        <v>2931</v>
      </c>
      <c r="Q1255" s="34" t="s">
        <v>3713</v>
      </c>
      <c r="R1255" s="34" t="s">
        <v>3540</v>
      </c>
      <c r="S1255" s="47">
        <v>43216</v>
      </c>
      <c r="T1255" s="47">
        <v>43830</v>
      </c>
      <c r="U1255" s="47">
        <v>43830</v>
      </c>
      <c r="V1255" s="34">
        <v>4078500035293</v>
      </c>
      <c r="W1255" s="34" t="s">
        <v>3543</v>
      </c>
      <c r="Y1255" s="34" t="s">
        <v>3542</v>
      </c>
      <c r="Z1255" s="34">
        <v>30</v>
      </c>
      <c r="AA1255" s="34">
        <v>0</v>
      </c>
      <c r="AB1255" s="34" t="s">
        <v>6754</v>
      </c>
      <c r="AC1255" s="34">
        <v>0</v>
      </c>
      <c r="AD1255" s="34" t="s">
        <v>4939</v>
      </c>
      <c r="AE1255" s="34" t="s">
        <v>6755</v>
      </c>
      <c r="AF1255" s="34" t="s">
        <v>3560</v>
      </c>
      <c r="AG1255" s="34" t="s">
        <v>3800</v>
      </c>
      <c r="AH1255" s="34" t="s">
        <v>6756</v>
      </c>
      <c r="AL1255" s="34" t="s">
        <v>3593</v>
      </c>
      <c r="AM1255" s="40" t="s">
        <v>8094</v>
      </c>
      <c r="AT1255" s="44">
        <v>0</v>
      </c>
      <c r="AU1255" s="44"/>
      <c r="AV1255" s="46">
        <f>ROUND(Товары[[#This Row],[РРЦ финальная, руб.]]/$AU$1,2)</f>
        <v>0</v>
      </c>
      <c r="AW1255" s="45" t="str">
        <f>IFERROR(Товары[[#This Row],[РРЦ, евро]]/Товары[[#This Row],[IRP, Eur]],"-")</f>
        <v>-</v>
      </c>
      <c r="AX1255" s="42">
        <f>IFERROR(VLOOKUP(Товары[[#This Row],[SubGroup]],'Структура цен DIY'!$B:$C,2,FALSE),0)</f>
        <v>0.28999999999999998</v>
      </c>
      <c r="AY1255" s="44">
        <v>0</v>
      </c>
    </row>
    <row r="1256" spans="1:51" x14ac:dyDescent="0.25">
      <c r="A1256" s="34">
        <v>1254</v>
      </c>
      <c r="B1256" s="34" t="s">
        <v>49</v>
      </c>
      <c r="C1256" s="110" t="str">
        <f>IFERROR(INDEX(Структура_ассортимента[SuperCategory],MATCH(Товары[[#This Row],[SubGroup]],Структура_ассортимента[Subgroup],0)),"")</f>
        <v>W</v>
      </c>
      <c r="D125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5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56" s="110" t="str">
        <f>IFERROR(INDEX(Структура_ассортимента[Product group],MATCH(Товары[[#This Row],[SubGroup]],Структура_ассортимента[Subgroup],0)),"")</f>
        <v>WMS_C</v>
      </c>
      <c r="G1256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56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56" s="36">
        <v>9021</v>
      </c>
      <c r="J1256" s="36" t="str">
        <f>IFERROR(INDEX(Структура_ассортимента[Generic Name (long)],MATCH(Товары[[#This Row],[SubGroup]],Структура_ассортимента[Subgroup],0)),"")</f>
        <v>WATERING SET</v>
      </c>
      <c r="L1256" s="36">
        <v>966620501</v>
      </c>
      <c r="M1256" s="35" t="s">
        <v>2932</v>
      </c>
      <c r="Q1256" s="34" t="s">
        <v>3713</v>
      </c>
      <c r="R1256" s="34" t="s">
        <v>3540</v>
      </c>
      <c r="S1256" s="47">
        <v>40452</v>
      </c>
      <c r="T1256" s="47">
        <v>43830</v>
      </c>
      <c r="U1256" s="47">
        <v>43830</v>
      </c>
      <c r="V1256" s="34">
        <v>4078500208406</v>
      </c>
      <c r="W1256" s="34" t="s">
        <v>3543</v>
      </c>
      <c r="Y1256" s="34" t="s">
        <v>3542</v>
      </c>
      <c r="Z1256" s="34">
        <v>5</v>
      </c>
      <c r="AA1256" s="34" t="s">
        <v>4765</v>
      </c>
      <c r="AB1256" s="34" t="s">
        <v>4765</v>
      </c>
      <c r="AC1256" s="34" t="s">
        <v>4576</v>
      </c>
      <c r="AD1256" s="34" t="s">
        <v>4576</v>
      </c>
      <c r="AE1256" s="34" t="s">
        <v>4225</v>
      </c>
      <c r="AF1256" s="34" t="s">
        <v>3599</v>
      </c>
      <c r="AG1256" s="34" t="s">
        <v>4549</v>
      </c>
      <c r="AH1256" s="34" t="s">
        <v>6757</v>
      </c>
      <c r="AL1256" s="34">
        <v>80</v>
      </c>
      <c r="AM1256" s="40" t="s">
        <v>8094</v>
      </c>
      <c r="AT1256" s="44">
        <v>0</v>
      </c>
      <c r="AU1256" s="44"/>
      <c r="AV1256" s="46">
        <f>ROUND(Товары[[#This Row],[РРЦ финальная, руб.]]/$AU$1,2)</f>
        <v>0</v>
      </c>
      <c r="AW1256" s="45" t="str">
        <f>IFERROR(Товары[[#This Row],[РРЦ, евро]]/Товары[[#This Row],[IRP, Eur]],"-")</f>
        <v>-</v>
      </c>
      <c r="AX1256" s="42">
        <f>IFERROR(VLOOKUP(Товары[[#This Row],[SubGroup]],'Структура цен DIY'!$B:$C,2,FALSE),0)</f>
        <v>0.28999999999999998</v>
      </c>
      <c r="AY1256" s="44">
        <v>0</v>
      </c>
    </row>
    <row r="1257" spans="1:51" x14ac:dyDescent="0.25">
      <c r="A1257" s="34">
        <v>1255</v>
      </c>
      <c r="B1257" s="34" t="s">
        <v>49</v>
      </c>
      <c r="C1257" s="110" t="str">
        <f>IFERROR(INDEX(Структура_ассортимента[SuperCategory],MATCH(Товары[[#This Row],[SubGroup]],Структура_ассортимента[Subgroup],0)),"")</f>
        <v>W</v>
      </c>
      <c r="D125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5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57" s="110" t="str">
        <f>IFERROR(INDEX(Структура_ассортимента[Product group],MATCH(Товары[[#This Row],[SubGroup]],Структура_ассортимента[Subgroup],0)),"")</f>
        <v>WMS_C</v>
      </c>
      <c r="G1257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57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57" s="36">
        <v>9021</v>
      </c>
      <c r="J1257" s="36" t="str">
        <f>IFERROR(INDEX(Структура_ассортимента[Generic Name (long)],MATCH(Товары[[#This Row],[SubGroup]],Структура_ассортимента[Subgroup],0)),"")</f>
        <v>WATERING SET</v>
      </c>
      <c r="L1257" s="36">
        <v>966668701</v>
      </c>
      <c r="M1257" s="35" t="s">
        <v>2933</v>
      </c>
      <c r="Q1257" s="34" t="s">
        <v>3713</v>
      </c>
      <c r="R1257" s="34" t="s">
        <v>3540</v>
      </c>
      <c r="S1257" s="47">
        <v>40452</v>
      </c>
      <c r="T1257" s="47">
        <v>43830</v>
      </c>
      <c r="U1257" s="47">
        <v>43830</v>
      </c>
      <c r="V1257" s="34">
        <v>4078500208413</v>
      </c>
      <c r="W1257" s="34" t="s">
        <v>3543</v>
      </c>
      <c r="Y1257" s="34" t="s">
        <v>3542</v>
      </c>
      <c r="Z1257" s="34">
        <v>30</v>
      </c>
      <c r="AA1257" s="34" t="s">
        <v>6758</v>
      </c>
      <c r="AB1257" s="34" t="s">
        <v>6758</v>
      </c>
      <c r="AC1257" s="34" t="s">
        <v>4379</v>
      </c>
      <c r="AD1257" s="34" t="s">
        <v>4379</v>
      </c>
      <c r="AE1257" s="34" t="s">
        <v>4225</v>
      </c>
      <c r="AF1257" s="34" t="s">
        <v>3599</v>
      </c>
      <c r="AG1257" s="34" t="s">
        <v>4549</v>
      </c>
      <c r="AH1257" s="34" t="s">
        <v>6757</v>
      </c>
      <c r="AL1257" s="34">
        <v>90</v>
      </c>
      <c r="AM1257" s="40" t="s">
        <v>8094</v>
      </c>
      <c r="AT1257" s="44">
        <v>0</v>
      </c>
      <c r="AU1257" s="44"/>
      <c r="AV1257" s="46">
        <f>ROUND(Товары[[#This Row],[РРЦ финальная, руб.]]/$AU$1,2)</f>
        <v>0</v>
      </c>
      <c r="AW1257" s="45" t="str">
        <f>IFERROR(Товары[[#This Row],[РРЦ, евро]]/Товары[[#This Row],[IRP, Eur]],"-")</f>
        <v>-</v>
      </c>
      <c r="AX1257" s="42">
        <f>IFERROR(VLOOKUP(Товары[[#This Row],[SubGroup]],'Структура цен DIY'!$B:$C,2,FALSE),0)</f>
        <v>0.28999999999999998</v>
      </c>
      <c r="AY1257" s="44">
        <v>0</v>
      </c>
    </row>
    <row r="1258" spans="1:51" x14ac:dyDescent="0.25">
      <c r="A1258" s="34">
        <v>1256</v>
      </c>
      <c r="B1258" s="34" t="s">
        <v>49</v>
      </c>
      <c r="C1258" s="110" t="str">
        <f>IFERROR(INDEX(Структура_ассортимента[SuperCategory],MATCH(Товары[[#This Row],[SubGroup]],Структура_ассортимента[Subgroup],0)),"")</f>
        <v>W</v>
      </c>
      <c r="D125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5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58" s="110" t="str">
        <f>IFERROR(INDEX(Структура_ассортимента[Product group],MATCH(Товары[[#This Row],[SubGroup]],Структура_ассортимента[Subgroup],0)),"")</f>
        <v>WMS_C</v>
      </c>
      <c r="G1258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58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58" s="36">
        <v>9021</v>
      </c>
      <c r="J1258" s="36" t="str">
        <f>IFERROR(INDEX(Структура_ассортимента[Generic Name (long)],MATCH(Товары[[#This Row],[SubGroup]],Структура_ассортимента[Subgroup],0)),"")</f>
        <v>WATERING SET</v>
      </c>
      <c r="L1258" s="36">
        <v>966620301</v>
      </c>
      <c r="M1258" s="35" t="s">
        <v>2934</v>
      </c>
      <c r="P1258" s="37" t="s">
        <v>6759</v>
      </c>
      <c r="Q1258" s="34" t="s">
        <v>3713</v>
      </c>
      <c r="R1258" s="34" t="s">
        <v>3540</v>
      </c>
      <c r="S1258" s="47">
        <v>40452</v>
      </c>
      <c r="T1258" s="47">
        <v>43830</v>
      </c>
      <c r="U1258" s="47">
        <v>43830</v>
      </c>
      <c r="V1258" s="34">
        <v>4078500208307</v>
      </c>
      <c r="W1258" s="34" t="s">
        <v>3543</v>
      </c>
      <c r="Y1258" s="34" t="s">
        <v>3542</v>
      </c>
      <c r="Z1258" s="34">
        <v>5</v>
      </c>
      <c r="AA1258" s="34" t="s">
        <v>6760</v>
      </c>
      <c r="AB1258" s="34" t="s">
        <v>6760</v>
      </c>
      <c r="AC1258" s="34" t="s">
        <v>4170</v>
      </c>
      <c r="AD1258" s="34" t="s">
        <v>4170</v>
      </c>
      <c r="AE1258" s="34" t="s">
        <v>3857</v>
      </c>
      <c r="AF1258" s="34" t="s">
        <v>3599</v>
      </c>
      <c r="AG1258" s="34" t="s">
        <v>6013</v>
      </c>
      <c r="AH1258" s="34" t="s">
        <v>6761</v>
      </c>
      <c r="AL1258" s="34">
        <v>230</v>
      </c>
      <c r="AM1258" s="40" t="s">
        <v>233</v>
      </c>
      <c r="AP1258" s="34">
        <v>0</v>
      </c>
      <c r="AQ1258" s="34">
        <v>3390</v>
      </c>
      <c r="AR1258" s="34">
        <v>1979</v>
      </c>
      <c r="AT1258" s="44">
        <v>262600</v>
      </c>
      <c r="AU1258" s="44"/>
      <c r="AV1258" s="46">
        <f>ROUND(Товары[[#This Row],[РРЦ финальная, руб.]]/$AU$1,2)</f>
        <v>0</v>
      </c>
      <c r="AW1258" s="45" t="str">
        <f>IFERROR(Товары[[#This Row],[РРЦ, евро]]/Товары[[#This Row],[IRP, Eur]],"-")</f>
        <v>-</v>
      </c>
      <c r="AX1258" s="42">
        <f>IFERROR(VLOOKUP(Товары[[#This Row],[SubGroup]],'Структура цен DIY'!$B:$C,2,FALSE),0)</f>
        <v>0.28999999999999998</v>
      </c>
      <c r="AY1258" s="44">
        <v>0</v>
      </c>
    </row>
    <row r="1259" spans="1:51" x14ac:dyDescent="0.25">
      <c r="A1259" s="34">
        <v>1257</v>
      </c>
      <c r="B1259" s="34" t="s">
        <v>49</v>
      </c>
      <c r="C1259" s="110" t="str">
        <f>IFERROR(INDEX(Структура_ассортимента[SuperCategory],MATCH(Товары[[#This Row],[SubGroup]],Структура_ассортимента[Subgroup],0)),"")</f>
        <v>W</v>
      </c>
      <c r="D125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5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59" s="110" t="str">
        <f>IFERROR(INDEX(Структура_ассортимента[Product group],MATCH(Товары[[#This Row],[SubGroup]],Структура_ассортимента[Subgroup],0)),"")</f>
        <v>WMS_C</v>
      </c>
      <c r="G1259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59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59" s="36">
        <v>9021</v>
      </c>
      <c r="J1259" s="36" t="str">
        <f>IFERROR(INDEX(Структура_ассортимента[Generic Name (long)],MATCH(Товары[[#This Row],[SubGroup]],Структура_ассортимента[Subgroup],0)),"")</f>
        <v>WATERING SET</v>
      </c>
      <c r="L1259" s="36">
        <v>966668601</v>
      </c>
      <c r="M1259" s="35" t="s">
        <v>2935</v>
      </c>
      <c r="Q1259" s="34" t="s">
        <v>3713</v>
      </c>
      <c r="R1259" s="34" t="s">
        <v>3540</v>
      </c>
      <c r="S1259" s="47">
        <v>40452</v>
      </c>
      <c r="T1259" s="47">
        <v>43830</v>
      </c>
      <c r="U1259" s="47">
        <v>43830</v>
      </c>
      <c r="V1259" s="34">
        <v>4078500208314</v>
      </c>
      <c r="W1259" s="34" t="s">
        <v>3543</v>
      </c>
      <c r="Y1259" s="34" t="s">
        <v>3542</v>
      </c>
      <c r="Z1259" s="34">
        <v>40</v>
      </c>
      <c r="AA1259" s="34" t="s">
        <v>4801</v>
      </c>
      <c r="AB1259" s="34" t="s">
        <v>4801</v>
      </c>
      <c r="AC1259" s="34" t="s">
        <v>4170</v>
      </c>
      <c r="AD1259" s="34" t="s">
        <v>4170</v>
      </c>
      <c r="AE1259" s="34" t="s">
        <v>3857</v>
      </c>
      <c r="AF1259" s="34" t="s">
        <v>3599</v>
      </c>
      <c r="AG1259" s="34" t="s">
        <v>6013</v>
      </c>
      <c r="AH1259" s="34" t="s">
        <v>6761</v>
      </c>
      <c r="AL1259" s="34">
        <v>120</v>
      </c>
      <c r="AM1259" s="40" t="s">
        <v>8094</v>
      </c>
      <c r="AT1259" s="44">
        <v>0</v>
      </c>
      <c r="AU1259" s="44"/>
      <c r="AV1259" s="46">
        <f>ROUND(Товары[[#This Row],[РРЦ финальная, руб.]]/$AU$1,2)</f>
        <v>0</v>
      </c>
      <c r="AW1259" s="45" t="str">
        <f>IFERROR(Товары[[#This Row],[РРЦ, евро]]/Товары[[#This Row],[IRP, Eur]],"-")</f>
        <v>-</v>
      </c>
      <c r="AX1259" s="42">
        <f>IFERROR(VLOOKUP(Товары[[#This Row],[SubGroup]],'Структура цен DIY'!$B:$C,2,FALSE),0)</f>
        <v>0.28999999999999998</v>
      </c>
      <c r="AY1259" s="44">
        <v>0</v>
      </c>
    </row>
    <row r="1260" spans="1:51" x14ac:dyDescent="0.25">
      <c r="A1260" s="34">
        <v>1258</v>
      </c>
      <c r="B1260" s="34" t="s">
        <v>49</v>
      </c>
      <c r="C1260" s="110" t="str">
        <f>IFERROR(INDEX(Структура_ассортимента[SuperCategory],MATCH(Товары[[#This Row],[SubGroup]],Структура_ассортимента[Subgroup],0)),"")</f>
        <v>W</v>
      </c>
      <c r="D126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6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60" s="110" t="str">
        <f>IFERROR(INDEX(Структура_ассортимента[Product group],MATCH(Товары[[#This Row],[SubGroup]],Структура_ассортимента[Subgroup],0)),"")</f>
        <v>WMS_C</v>
      </c>
      <c r="G1260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60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60" s="36">
        <v>9021</v>
      </c>
      <c r="J1260" s="36" t="str">
        <f>IFERROR(INDEX(Структура_ассортимента[Generic Name (long)],MATCH(Товары[[#This Row],[SubGroup]],Структура_ассортимента[Subgroup],0)),"")</f>
        <v>WATERING SET</v>
      </c>
      <c r="L1260" s="36">
        <v>966620201</v>
      </c>
      <c r="M1260" s="35" t="s">
        <v>2936</v>
      </c>
      <c r="P1260" s="37" t="s">
        <v>6762</v>
      </c>
      <c r="Q1260" s="34" t="s">
        <v>3713</v>
      </c>
      <c r="R1260" s="34" t="s">
        <v>3540</v>
      </c>
      <c r="S1260" s="47">
        <v>40452</v>
      </c>
      <c r="T1260" s="47">
        <v>43830</v>
      </c>
      <c r="U1260" s="47">
        <v>43830</v>
      </c>
      <c r="V1260" s="34">
        <v>4078500208208</v>
      </c>
      <c r="W1260" s="34" t="s">
        <v>3543</v>
      </c>
      <c r="Y1260" s="34" t="s">
        <v>3542</v>
      </c>
      <c r="Z1260" s="34">
        <v>10</v>
      </c>
      <c r="AA1260" s="34" t="s">
        <v>4502</v>
      </c>
      <c r="AB1260" s="34" t="s">
        <v>4502</v>
      </c>
      <c r="AC1260" s="34" t="s">
        <v>4939</v>
      </c>
      <c r="AD1260" s="34" t="s">
        <v>4939</v>
      </c>
      <c r="AE1260" s="34" t="s">
        <v>3857</v>
      </c>
      <c r="AF1260" s="34" t="s">
        <v>3588</v>
      </c>
      <c r="AG1260" s="34" t="s">
        <v>3800</v>
      </c>
      <c r="AH1260" s="34" t="s">
        <v>6763</v>
      </c>
      <c r="AL1260" s="34">
        <v>200</v>
      </c>
      <c r="AM1260" s="40" t="s">
        <v>233</v>
      </c>
      <c r="AP1260" s="34">
        <v>0</v>
      </c>
      <c r="AQ1260" s="34">
        <v>2190</v>
      </c>
      <c r="AR1260" s="34">
        <v>1278</v>
      </c>
      <c r="AT1260" s="44">
        <v>169600</v>
      </c>
      <c r="AU1260" s="44"/>
      <c r="AV1260" s="46">
        <f>ROUND(Товары[[#This Row],[РРЦ финальная, руб.]]/$AU$1,2)</f>
        <v>0</v>
      </c>
      <c r="AW1260" s="45" t="str">
        <f>IFERROR(Товары[[#This Row],[РРЦ, евро]]/Товары[[#This Row],[IRP, Eur]],"-")</f>
        <v>-</v>
      </c>
      <c r="AX1260" s="42">
        <f>IFERROR(VLOOKUP(Товары[[#This Row],[SubGroup]],'Структура цен DIY'!$B:$C,2,FALSE),0)</f>
        <v>0.28999999999999998</v>
      </c>
      <c r="AY1260" s="44">
        <v>0</v>
      </c>
    </row>
    <row r="1261" spans="1:51" x14ac:dyDescent="0.25">
      <c r="A1261" s="34">
        <v>1259</v>
      </c>
      <c r="B1261" s="34" t="s">
        <v>49</v>
      </c>
      <c r="C1261" s="110" t="str">
        <f>IFERROR(INDEX(Структура_ассортимента[SuperCategory],MATCH(Товары[[#This Row],[SubGroup]],Структура_ассортимента[Subgroup],0)),"")</f>
        <v>W</v>
      </c>
      <c r="D126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6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61" s="110" t="str">
        <f>IFERROR(INDEX(Структура_ассортимента[Product group],MATCH(Товары[[#This Row],[SubGroup]],Структура_ассортимента[Subgroup],0)),"")</f>
        <v>WMS_C</v>
      </c>
      <c r="G1261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61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61" s="36">
        <v>9021</v>
      </c>
      <c r="J1261" s="36" t="str">
        <f>IFERROR(INDEX(Структура_ассортимента[Generic Name (long)],MATCH(Товары[[#This Row],[SubGroup]],Структура_ассортимента[Subgroup],0)),"")</f>
        <v>WATERING SET</v>
      </c>
      <c r="L1261" s="36">
        <v>966668501</v>
      </c>
      <c r="M1261" s="35" t="s">
        <v>2937</v>
      </c>
      <c r="Q1261" s="34" t="s">
        <v>3713</v>
      </c>
      <c r="R1261" s="34" t="s">
        <v>3540</v>
      </c>
      <c r="S1261" s="47">
        <v>40452</v>
      </c>
      <c r="T1261" s="47">
        <v>43830</v>
      </c>
      <c r="U1261" s="47">
        <v>43830</v>
      </c>
      <c r="V1261" s="34">
        <v>4078500208215</v>
      </c>
      <c r="W1261" s="34" t="s">
        <v>3543</v>
      </c>
      <c r="Y1261" s="34" t="s">
        <v>3542</v>
      </c>
      <c r="Z1261" s="34">
        <v>58</v>
      </c>
      <c r="AA1261" s="34" t="s">
        <v>6764</v>
      </c>
      <c r="AB1261" s="34" t="s">
        <v>6764</v>
      </c>
      <c r="AC1261" s="34" t="s">
        <v>4939</v>
      </c>
      <c r="AD1261" s="34" t="s">
        <v>4939</v>
      </c>
      <c r="AE1261" s="34" t="s">
        <v>3857</v>
      </c>
      <c r="AF1261" s="34" t="s">
        <v>3588</v>
      </c>
      <c r="AG1261" s="34" t="s">
        <v>3800</v>
      </c>
      <c r="AH1261" s="34" t="s">
        <v>6763</v>
      </c>
      <c r="AL1261" s="34">
        <v>174</v>
      </c>
      <c r="AM1261" s="40" t="s">
        <v>8094</v>
      </c>
      <c r="AT1261" s="44">
        <v>0</v>
      </c>
      <c r="AU1261" s="44"/>
      <c r="AV1261" s="46">
        <f>ROUND(Товары[[#This Row],[РРЦ финальная, руб.]]/$AU$1,2)</f>
        <v>0</v>
      </c>
      <c r="AW1261" s="45" t="str">
        <f>IFERROR(Товары[[#This Row],[РРЦ, евро]]/Товары[[#This Row],[IRP, Eur]],"-")</f>
        <v>-</v>
      </c>
      <c r="AX1261" s="42">
        <f>IFERROR(VLOOKUP(Товары[[#This Row],[SubGroup]],'Структура цен DIY'!$B:$C,2,FALSE),0)</f>
        <v>0.28999999999999998</v>
      </c>
      <c r="AY1261" s="44">
        <v>0</v>
      </c>
    </row>
    <row r="1262" spans="1:51" x14ac:dyDescent="0.25">
      <c r="A1262" s="34">
        <v>1260</v>
      </c>
      <c r="B1262" s="34" t="s">
        <v>49</v>
      </c>
      <c r="C1262" s="110" t="str">
        <f>IFERROR(INDEX(Структура_ассортимента[SuperCategory],MATCH(Товары[[#This Row],[SubGroup]],Структура_ассортимента[Subgroup],0)),"")</f>
        <v>W</v>
      </c>
      <c r="D126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6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62" s="110" t="str">
        <f>IFERROR(INDEX(Структура_ассортимента[Product group],MATCH(Товары[[#This Row],[SubGroup]],Структура_ассортимента[Subgroup],0)),"")</f>
        <v>WMS_C</v>
      </c>
      <c r="G1262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62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62" s="36">
        <v>9021</v>
      </c>
      <c r="J1262" s="36" t="str">
        <f>IFERROR(INDEX(Структура_ассортимента[Generic Name (long)],MATCH(Товары[[#This Row],[SubGroup]],Структура_ассортимента[Subgroup],0)),"")</f>
        <v>WATERING SET</v>
      </c>
      <c r="L1262" s="36">
        <v>966651801</v>
      </c>
      <c r="M1262" s="35" t="s">
        <v>2938</v>
      </c>
      <c r="Q1262" s="34" t="s">
        <v>3713</v>
      </c>
      <c r="R1262" s="34" t="s">
        <v>3540</v>
      </c>
      <c r="S1262" s="47">
        <v>40452</v>
      </c>
      <c r="T1262" s="47">
        <v>43830</v>
      </c>
      <c r="U1262" s="47">
        <v>43830</v>
      </c>
      <c r="V1262" s="34">
        <v>4078500208109</v>
      </c>
      <c r="W1262" s="34" t="s">
        <v>3543</v>
      </c>
      <c r="Y1262" s="34" t="s">
        <v>3542</v>
      </c>
      <c r="Z1262" s="34">
        <v>60</v>
      </c>
      <c r="AA1262" s="34" t="s">
        <v>4388</v>
      </c>
      <c r="AB1262" s="34" t="s">
        <v>4388</v>
      </c>
      <c r="AC1262" s="34" t="s">
        <v>4179</v>
      </c>
      <c r="AD1262" s="34" t="s">
        <v>4179</v>
      </c>
      <c r="AE1262" s="34" t="s">
        <v>3857</v>
      </c>
      <c r="AF1262" s="34" t="s">
        <v>3588</v>
      </c>
      <c r="AG1262" s="34" t="s">
        <v>3800</v>
      </c>
      <c r="AH1262" s="34" t="s">
        <v>6763</v>
      </c>
      <c r="AL1262" s="34">
        <v>120</v>
      </c>
      <c r="AM1262" s="40" t="s">
        <v>8094</v>
      </c>
      <c r="AT1262" s="44">
        <v>0</v>
      </c>
      <c r="AU1262" s="44"/>
      <c r="AV1262" s="46">
        <f>ROUND(Товары[[#This Row],[РРЦ финальная, руб.]]/$AU$1,2)</f>
        <v>0</v>
      </c>
      <c r="AW1262" s="45" t="str">
        <f>IFERROR(Товары[[#This Row],[РРЦ, евро]]/Товары[[#This Row],[IRP, Eur]],"-")</f>
        <v>-</v>
      </c>
      <c r="AX1262" s="42">
        <f>IFERROR(VLOOKUP(Товары[[#This Row],[SubGroup]],'Структура цен DIY'!$B:$C,2,FALSE),0)</f>
        <v>0.28999999999999998</v>
      </c>
      <c r="AY1262" s="44">
        <v>0</v>
      </c>
    </row>
    <row r="1263" spans="1:51" x14ac:dyDescent="0.25">
      <c r="A1263" s="34">
        <v>1261</v>
      </c>
      <c r="B1263" s="34" t="s">
        <v>49</v>
      </c>
      <c r="C1263" s="110" t="str">
        <f>IFERROR(INDEX(Структура_ассортимента[SuperCategory],MATCH(Товары[[#This Row],[SubGroup]],Структура_ассортимента[Subgroup],0)),"")</f>
        <v>W</v>
      </c>
      <c r="D126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6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63" s="110" t="str">
        <f>IFERROR(INDEX(Структура_ассортимента[Product group],MATCH(Товары[[#This Row],[SubGroup]],Структура_ассортимента[Subgroup],0)),"")</f>
        <v>WMS_C</v>
      </c>
      <c r="G1263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63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63" s="36">
        <v>9021</v>
      </c>
      <c r="J1263" s="36" t="str">
        <f>IFERROR(INDEX(Структура_ассортимента[Generic Name (long)],MATCH(Товары[[#This Row],[SubGroup]],Структура_ассортимента[Subgroup],0)),"")</f>
        <v>WATERING SET</v>
      </c>
      <c r="L1263" s="36">
        <v>967704001</v>
      </c>
      <c r="M1263" s="35" t="s">
        <v>2939</v>
      </c>
      <c r="Q1263" s="34" t="s">
        <v>3713</v>
      </c>
      <c r="R1263" s="34" t="s">
        <v>3540</v>
      </c>
      <c r="S1263" s="47">
        <v>43216</v>
      </c>
      <c r="T1263" s="47">
        <v>43830</v>
      </c>
      <c r="U1263" s="47">
        <v>43830</v>
      </c>
      <c r="V1263" s="34">
        <v>4078500035217</v>
      </c>
      <c r="W1263" s="34" t="s">
        <v>3543</v>
      </c>
      <c r="Y1263" s="34" t="s">
        <v>3542</v>
      </c>
      <c r="Z1263" s="34">
        <v>60</v>
      </c>
      <c r="AA1263" s="34">
        <v>0</v>
      </c>
      <c r="AB1263" s="34" t="s">
        <v>4388</v>
      </c>
      <c r="AC1263" s="34">
        <v>0</v>
      </c>
      <c r="AD1263" s="34" t="s">
        <v>4179</v>
      </c>
      <c r="AE1263" s="34" t="s">
        <v>3857</v>
      </c>
      <c r="AF1263" s="34" t="s">
        <v>3588</v>
      </c>
      <c r="AG1263" s="34" t="s">
        <v>3800</v>
      </c>
      <c r="AH1263" s="34" t="s">
        <v>6763</v>
      </c>
      <c r="AL1263" s="34" t="s">
        <v>3593</v>
      </c>
      <c r="AM1263" s="40" t="s">
        <v>8094</v>
      </c>
      <c r="AT1263" s="44">
        <v>0</v>
      </c>
      <c r="AU1263" s="44"/>
      <c r="AV1263" s="46">
        <f>ROUND(Товары[[#This Row],[РРЦ финальная, руб.]]/$AU$1,2)</f>
        <v>0</v>
      </c>
      <c r="AW1263" s="45" t="str">
        <f>IFERROR(Товары[[#This Row],[РРЦ, евро]]/Товары[[#This Row],[IRP, Eur]],"-")</f>
        <v>-</v>
      </c>
      <c r="AX1263" s="42">
        <f>IFERROR(VLOOKUP(Товары[[#This Row],[SubGroup]],'Структура цен DIY'!$B:$C,2,FALSE),0)</f>
        <v>0.28999999999999998</v>
      </c>
      <c r="AY1263" s="44">
        <v>0</v>
      </c>
    </row>
    <row r="1264" spans="1:51" x14ac:dyDescent="0.25">
      <c r="A1264" s="34">
        <v>1262</v>
      </c>
      <c r="B1264" s="34" t="s">
        <v>49</v>
      </c>
      <c r="C1264" s="110" t="str">
        <f>IFERROR(INDEX(Структура_ассортимента[SuperCategory],MATCH(Товары[[#This Row],[SubGroup]],Структура_ассортимента[Subgroup],0)),"")</f>
        <v>W</v>
      </c>
      <c r="D126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6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64" s="110" t="str">
        <f>IFERROR(INDEX(Структура_ассортимента[Product group],MATCH(Товары[[#This Row],[SubGroup]],Структура_ассортимента[Subgroup],0)),"")</f>
        <v>WMS_C</v>
      </c>
      <c r="G1264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64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64" s="36">
        <v>9021</v>
      </c>
      <c r="J1264" s="36" t="str">
        <f>IFERROR(INDEX(Структура_ассортимента[Generic Name (long)],MATCH(Товары[[#This Row],[SubGroup]],Структура_ассортимента[Subgroup],0)),"")</f>
        <v>WATERING SET</v>
      </c>
      <c r="L1264" s="36">
        <v>967154601</v>
      </c>
      <c r="M1264" s="35" t="s">
        <v>2940</v>
      </c>
      <c r="P1264" s="37" t="s">
        <v>6765</v>
      </c>
      <c r="Q1264" s="34" t="s">
        <v>3713</v>
      </c>
      <c r="R1264" s="34" t="s">
        <v>3540</v>
      </c>
      <c r="S1264" s="47">
        <v>41183</v>
      </c>
      <c r="T1264" s="47">
        <v>43830</v>
      </c>
      <c r="U1264" s="47">
        <v>43830</v>
      </c>
      <c r="V1264" s="34">
        <v>4078500812702</v>
      </c>
      <c r="W1264" s="34" t="s">
        <v>3543</v>
      </c>
      <c r="Y1264" s="34" t="s">
        <v>3542</v>
      </c>
      <c r="Z1264" s="34">
        <v>5</v>
      </c>
      <c r="AA1264" s="34" t="s">
        <v>4576</v>
      </c>
      <c r="AB1264" s="34" t="s">
        <v>4576</v>
      </c>
      <c r="AC1264" s="34" t="s">
        <v>4389</v>
      </c>
      <c r="AD1264" s="34" t="s">
        <v>4389</v>
      </c>
      <c r="AE1264" s="34" t="s">
        <v>6734</v>
      </c>
      <c r="AF1264" s="34" t="s">
        <v>5006</v>
      </c>
      <c r="AG1264" s="34" t="s">
        <v>5028</v>
      </c>
      <c r="AH1264" s="34" t="s">
        <v>6735</v>
      </c>
      <c r="AL1264" s="34" t="s">
        <v>4306</v>
      </c>
      <c r="AM1264" s="40" t="s">
        <v>233</v>
      </c>
      <c r="AP1264" s="34">
        <v>0</v>
      </c>
      <c r="AQ1264" s="34">
        <v>3490</v>
      </c>
      <c r="AR1264" s="34">
        <v>2037</v>
      </c>
      <c r="AT1264" s="44">
        <v>270300</v>
      </c>
      <c r="AU1264" s="44"/>
      <c r="AV1264" s="46">
        <f>ROUND(Товары[[#This Row],[РРЦ финальная, руб.]]/$AU$1,2)</f>
        <v>0</v>
      </c>
      <c r="AW1264" s="45" t="str">
        <f>IFERROR(Товары[[#This Row],[РРЦ, евро]]/Товары[[#This Row],[IRP, Eur]],"-")</f>
        <v>-</v>
      </c>
      <c r="AX1264" s="42">
        <f>IFERROR(VLOOKUP(Товары[[#This Row],[SubGroup]],'Структура цен DIY'!$B:$C,2,FALSE),0)</f>
        <v>0.28999999999999998</v>
      </c>
      <c r="AY1264" s="44">
        <v>0</v>
      </c>
    </row>
    <row r="1265" spans="1:51" x14ac:dyDescent="0.25">
      <c r="A1265" s="34">
        <v>1263</v>
      </c>
      <c r="B1265" s="34" t="s">
        <v>49</v>
      </c>
      <c r="C1265" s="110" t="str">
        <f>IFERROR(INDEX(Структура_ассортимента[SuperCategory],MATCH(Товары[[#This Row],[SubGroup]],Структура_ассортимента[Subgroup],0)),"")</f>
        <v>W</v>
      </c>
      <c r="D126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6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65" s="110" t="str">
        <f>IFERROR(INDEX(Структура_ассортимента[Product group],MATCH(Товары[[#This Row],[SubGroup]],Структура_ассортимента[Subgroup],0)),"")</f>
        <v>WMS_C</v>
      </c>
      <c r="G1265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65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65" s="36">
        <v>9021</v>
      </c>
      <c r="J1265" s="36" t="str">
        <f>IFERROR(INDEX(Структура_ассортимента[Generic Name (long)],MATCH(Товары[[#This Row],[SubGroup]],Структура_ассортимента[Subgroup],0)),"")</f>
        <v>WATERING SET</v>
      </c>
      <c r="L1265" s="36">
        <v>967068701</v>
      </c>
      <c r="M1265" s="35" t="s">
        <v>2941</v>
      </c>
      <c r="P1265" s="37" t="s">
        <v>6766</v>
      </c>
      <c r="Q1265" s="34" t="s">
        <v>3713</v>
      </c>
      <c r="R1265" s="34" t="s">
        <v>3540</v>
      </c>
      <c r="S1265" s="47">
        <v>42370</v>
      </c>
      <c r="T1265" s="47">
        <v>43830</v>
      </c>
      <c r="U1265" s="47">
        <v>43830</v>
      </c>
      <c r="V1265" s="34">
        <v>4078500022484</v>
      </c>
      <c r="W1265" s="34" t="s">
        <v>3543</v>
      </c>
      <c r="Y1265" s="34" t="s">
        <v>3542</v>
      </c>
      <c r="Z1265" s="34">
        <v>60</v>
      </c>
      <c r="AA1265" s="34">
        <v>0</v>
      </c>
      <c r="AB1265" s="34" t="s">
        <v>4136</v>
      </c>
      <c r="AC1265" s="34">
        <v>282</v>
      </c>
      <c r="AD1265" s="34" t="s">
        <v>4179</v>
      </c>
      <c r="AE1265" s="34" t="s">
        <v>4202</v>
      </c>
      <c r="AF1265" s="34" t="s">
        <v>3560</v>
      </c>
      <c r="AG1265" s="34" t="s">
        <v>3707</v>
      </c>
      <c r="AH1265" s="34" t="s">
        <v>6767</v>
      </c>
      <c r="AL1265" s="34" t="s">
        <v>3593</v>
      </c>
      <c r="AM1265" s="40" t="s">
        <v>233</v>
      </c>
      <c r="AP1265" s="34">
        <v>0</v>
      </c>
      <c r="AQ1265" s="34">
        <v>1290</v>
      </c>
      <c r="AR1265" s="34">
        <v>753</v>
      </c>
      <c r="AT1265" s="44">
        <v>99900</v>
      </c>
      <c r="AU1265" s="44"/>
      <c r="AV1265" s="46">
        <f>ROUND(Товары[[#This Row],[РРЦ финальная, руб.]]/$AU$1,2)</f>
        <v>0</v>
      </c>
      <c r="AW1265" s="45" t="str">
        <f>IFERROR(Товары[[#This Row],[РРЦ, евро]]/Товары[[#This Row],[IRP, Eur]],"-")</f>
        <v>-</v>
      </c>
      <c r="AX1265" s="42">
        <f>IFERROR(VLOOKUP(Товары[[#This Row],[SubGroup]],'Структура цен DIY'!$B:$C,2,FALSE),0)</f>
        <v>0.28999999999999998</v>
      </c>
      <c r="AY1265" s="44">
        <v>0</v>
      </c>
    </row>
    <row r="1266" spans="1:51" x14ac:dyDescent="0.25">
      <c r="A1266" s="34">
        <v>1264</v>
      </c>
      <c r="B1266" s="34" t="s">
        <v>49</v>
      </c>
      <c r="C1266" s="110" t="str">
        <f>IFERROR(INDEX(Структура_ассортимента[SuperCategory],MATCH(Товары[[#This Row],[SubGroup]],Структура_ассортимента[Subgroup],0)),"")</f>
        <v>W</v>
      </c>
      <c r="D126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6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66" s="110" t="str">
        <f>IFERROR(INDEX(Структура_ассортимента[Product group],MATCH(Товары[[#This Row],[SubGroup]],Структура_ассортимента[Subgroup],0)),"")</f>
        <v>WMS_C</v>
      </c>
      <c r="G1266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66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66" s="36">
        <v>9021</v>
      </c>
      <c r="J1266" s="36" t="str">
        <f>IFERROR(INDEX(Структура_ассортимента[Generic Name (long)],MATCH(Товары[[#This Row],[SubGroup]],Структура_ассортимента[Subgroup],0)),"")</f>
        <v>WATERING SET</v>
      </c>
      <c r="L1266" s="36">
        <v>900969401</v>
      </c>
      <c r="M1266" s="35" t="s">
        <v>2942</v>
      </c>
      <c r="O1266" s="35" t="s">
        <v>6768</v>
      </c>
      <c r="P1266" s="37" t="s">
        <v>6769</v>
      </c>
      <c r="Q1266" s="34" t="s">
        <v>3549</v>
      </c>
      <c r="R1266" s="34" t="s">
        <v>3540</v>
      </c>
      <c r="S1266" s="47">
        <v>33878</v>
      </c>
      <c r="T1266" s="47">
        <v>0</v>
      </c>
      <c r="U1266" s="47">
        <v>0</v>
      </c>
      <c r="V1266" s="34">
        <v>4078500196802</v>
      </c>
      <c r="W1266" s="34" t="s">
        <v>3550</v>
      </c>
      <c r="X1266" s="34" t="s">
        <v>3579</v>
      </c>
      <c r="Y1266" s="34" t="s">
        <v>3542</v>
      </c>
      <c r="Z1266" s="34">
        <v>5</v>
      </c>
      <c r="AA1266" s="34" t="s">
        <v>5179</v>
      </c>
      <c r="AB1266" s="34" t="s">
        <v>5179</v>
      </c>
      <c r="AC1266" s="34" t="s">
        <v>3622</v>
      </c>
      <c r="AD1266" s="34" t="s">
        <v>3622</v>
      </c>
      <c r="AE1266" s="34" t="s">
        <v>3590</v>
      </c>
      <c r="AF1266" s="34" t="s">
        <v>5285</v>
      </c>
      <c r="AG1266" s="34" t="s">
        <v>4161</v>
      </c>
      <c r="AH1266" s="34" t="s">
        <v>6770</v>
      </c>
      <c r="AL1266" s="34">
        <v>120</v>
      </c>
      <c r="AM1266" s="40" t="s">
        <v>9</v>
      </c>
      <c r="AP1266" s="34">
        <v>0</v>
      </c>
      <c r="AQ1266" s="34">
        <v>2490</v>
      </c>
      <c r="AR1266" s="34">
        <v>1536</v>
      </c>
      <c r="AT1266" s="44">
        <v>192900</v>
      </c>
      <c r="AU1266" s="44"/>
      <c r="AV1266" s="46">
        <f>ROUND(Товары[[#This Row],[РРЦ финальная, руб.]]/$AU$1,2)</f>
        <v>0</v>
      </c>
      <c r="AW1266" s="45" t="str">
        <f>IFERROR(Товары[[#This Row],[РРЦ, евро]]/Товары[[#This Row],[IRP, Eur]],"-")</f>
        <v>-</v>
      </c>
      <c r="AX1266" s="42">
        <f>IFERROR(VLOOKUP(Товары[[#This Row],[SubGroup]],'Структура цен DIY'!$B:$C,2,FALSE),0)</f>
        <v>0.28999999999999998</v>
      </c>
      <c r="AY1266" s="44">
        <v>0</v>
      </c>
    </row>
    <row r="1267" spans="1:51" x14ac:dyDescent="0.25">
      <c r="A1267" s="34">
        <v>1265</v>
      </c>
      <c r="B1267" s="34" t="s">
        <v>49</v>
      </c>
      <c r="C1267" s="110" t="str">
        <f>IFERROR(INDEX(Структура_ассортимента[SuperCategory],MATCH(Товары[[#This Row],[SubGroup]],Структура_ассортимента[Subgroup],0)),"")</f>
        <v>W</v>
      </c>
      <c r="D126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6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67" s="110" t="str">
        <f>IFERROR(INDEX(Структура_ассортимента[Product group],MATCH(Товары[[#This Row],[SubGroup]],Структура_ассортимента[Subgroup],0)),"")</f>
        <v>WMS_C</v>
      </c>
      <c r="G1267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67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67" s="36">
        <v>9021</v>
      </c>
      <c r="J1267" s="36" t="str">
        <f>IFERROR(INDEX(Структура_ассортимента[Generic Name (long)],MATCH(Товары[[#This Row],[SubGroup]],Структура_ассортимента[Subgroup],0)),"")</f>
        <v>WATERING SET</v>
      </c>
      <c r="L1267" s="36">
        <v>900972701</v>
      </c>
      <c r="M1267" s="35" t="s">
        <v>2943</v>
      </c>
      <c r="O1267" s="35" t="s">
        <v>6771</v>
      </c>
      <c r="P1267" s="37" t="s">
        <v>6772</v>
      </c>
      <c r="Q1267" s="34" t="s">
        <v>3549</v>
      </c>
      <c r="R1267" s="34" t="s">
        <v>3540</v>
      </c>
      <c r="S1267" s="47">
        <v>38261</v>
      </c>
      <c r="T1267" s="47">
        <v>0</v>
      </c>
      <c r="U1267" s="47">
        <v>0</v>
      </c>
      <c r="V1267" s="34">
        <v>4078500198721</v>
      </c>
      <c r="W1267" s="34" t="s">
        <v>3550</v>
      </c>
      <c r="X1267" s="34" t="s">
        <v>3579</v>
      </c>
      <c r="Y1267" s="34" t="s">
        <v>5981</v>
      </c>
      <c r="Z1267" s="34">
        <v>100</v>
      </c>
      <c r="AA1267" s="34" t="s">
        <v>6773</v>
      </c>
      <c r="AB1267" s="34" t="s">
        <v>6773</v>
      </c>
      <c r="AC1267" s="34" t="s">
        <v>3720</v>
      </c>
      <c r="AD1267" s="34" t="s">
        <v>3720</v>
      </c>
      <c r="AE1267" s="34" t="s">
        <v>3756</v>
      </c>
      <c r="AF1267" s="34" t="s">
        <v>3656</v>
      </c>
      <c r="AG1267" s="34" t="s">
        <v>3656</v>
      </c>
      <c r="AH1267" s="34" t="s">
        <v>6347</v>
      </c>
      <c r="AL1267" s="34">
        <v>800</v>
      </c>
      <c r="AM1267" s="40" t="s">
        <v>9</v>
      </c>
      <c r="AP1267" s="34">
        <v>0</v>
      </c>
      <c r="AQ1267" s="34">
        <v>199</v>
      </c>
      <c r="AR1267" s="34">
        <v>123</v>
      </c>
      <c r="AT1267" s="44">
        <v>15400</v>
      </c>
      <c r="AU1267" s="44"/>
      <c r="AV1267" s="46">
        <f>ROUND(Товары[[#This Row],[РРЦ финальная, руб.]]/$AU$1,2)</f>
        <v>0</v>
      </c>
      <c r="AW1267" s="45" t="str">
        <f>IFERROR(Товары[[#This Row],[РРЦ, евро]]/Товары[[#This Row],[IRP, Eur]],"-")</f>
        <v>-</v>
      </c>
      <c r="AX1267" s="42">
        <f>IFERROR(VLOOKUP(Товары[[#This Row],[SubGroup]],'Структура цен DIY'!$B:$C,2,FALSE),0)</f>
        <v>0.28999999999999998</v>
      </c>
      <c r="AY1267" s="44">
        <v>0</v>
      </c>
    </row>
    <row r="1268" spans="1:51" x14ac:dyDescent="0.25">
      <c r="A1268" s="34">
        <v>1266</v>
      </c>
      <c r="B1268" s="34" t="s">
        <v>49</v>
      </c>
      <c r="C1268" s="110" t="str">
        <f>IFERROR(INDEX(Структура_ассортимента[SuperCategory],MATCH(Товары[[#This Row],[SubGroup]],Структура_ассортимента[Subgroup],0)),"")</f>
        <v>W</v>
      </c>
      <c r="D126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6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68" s="110" t="str">
        <f>IFERROR(INDEX(Структура_ассортимента[Product group],MATCH(Товары[[#This Row],[SubGroup]],Структура_ассортимента[Subgroup],0)),"")</f>
        <v>WMS_C</v>
      </c>
      <c r="G1268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68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68" s="36">
        <v>9021</v>
      </c>
      <c r="J1268" s="36" t="str">
        <f>IFERROR(INDEX(Структура_ассортимента[Generic Name (long)],MATCH(Товары[[#This Row],[SubGroup]],Структура_ассортимента[Subgroup],0)),"")</f>
        <v>WATERING SET</v>
      </c>
      <c r="L1268" s="36">
        <v>900972801</v>
      </c>
      <c r="M1268" s="35" t="s">
        <v>2944</v>
      </c>
      <c r="O1268" s="35" t="s">
        <v>6774</v>
      </c>
      <c r="P1268" s="37" t="s">
        <v>6775</v>
      </c>
      <c r="Q1268" s="34" t="s">
        <v>3549</v>
      </c>
      <c r="R1268" s="34" t="s">
        <v>3540</v>
      </c>
      <c r="S1268" s="47">
        <v>34608</v>
      </c>
      <c r="T1268" s="47">
        <v>0</v>
      </c>
      <c r="U1268" s="47">
        <v>0</v>
      </c>
      <c r="V1268" s="34">
        <v>4078500198905</v>
      </c>
      <c r="W1268" s="34" t="s">
        <v>3543</v>
      </c>
      <c r="X1268" s="34" t="s">
        <v>3579</v>
      </c>
      <c r="Y1268" s="34" t="s">
        <v>3542</v>
      </c>
      <c r="Z1268" s="34">
        <v>6</v>
      </c>
      <c r="AA1268" s="34" t="s">
        <v>3729</v>
      </c>
      <c r="AB1268" s="34" t="s">
        <v>3729</v>
      </c>
      <c r="AC1268" s="34" t="s">
        <v>6776</v>
      </c>
      <c r="AD1268" s="34" t="s">
        <v>6776</v>
      </c>
      <c r="AE1268" s="34" t="s">
        <v>3825</v>
      </c>
      <c r="AF1268" s="34" t="s">
        <v>3576</v>
      </c>
      <c r="AG1268" s="34" t="s">
        <v>4468</v>
      </c>
      <c r="AH1268" s="34" t="s">
        <v>6670</v>
      </c>
      <c r="AL1268" s="34">
        <v>792</v>
      </c>
      <c r="AM1268" s="40" t="s">
        <v>9</v>
      </c>
      <c r="AP1268" s="34">
        <v>0</v>
      </c>
      <c r="AQ1268" s="34">
        <v>1390</v>
      </c>
      <c r="AR1268" s="34">
        <v>857</v>
      </c>
      <c r="AT1268" s="44">
        <v>107700</v>
      </c>
      <c r="AU1268" s="44"/>
      <c r="AV1268" s="46">
        <f>ROUND(Товары[[#This Row],[РРЦ финальная, руб.]]/$AU$1,2)</f>
        <v>0</v>
      </c>
      <c r="AW1268" s="45" t="str">
        <f>IFERROR(Товары[[#This Row],[РРЦ, евро]]/Товары[[#This Row],[IRP, Eur]],"-")</f>
        <v>-</v>
      </c>
      <c r="AX1268" s="42">
        <f>IFERROR(VLOOKUP(Товары[[#This Row],[SubGroup]],'Структура цен DIY'!$B:$C,2,FALSE),0)</f>
        <v>0.28999999999999998</v>
      </c>
      <c r="AY1268" s="44">
        <v>0</v>
      </c>
    </row>
    <row r="1269" spans="1:51" x14ac:dyDescent="0.25">
      <c r="A1269" s="34">
        <v>1267</v>
      </c>
      <c r="B1269" s="34" t="s">
        <v>49</v>
      </c>
      <c r="C1269" s="110" t="str">
        <f>IFERROR(INDEX(Структура_ассортимента[SuperCategory],MATCH(Товары[[#This Row],[SubGroup]],Структура_ассортимента[Subgroup],0)),"")</f>
        <v>W</v>
      </c>
      <c r="D126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6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69" s="110" t="str">
        <f>IFERROR(INDEX(Структура_ассортимента[Product group],MATCH(Товары[[#This Row],[SubGroup]],Структура_ассортимента[Subgroup],0)),"")</f>
        <v>WMS_C</v>
      </c>
      <c r="G1269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69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69" s="36">
        <v>9021</v>
      </c>
      <c r="J1269" s="36" t="str">
        <f>IFERROR(INDEX(Структура_ассортимента[Generic Name (long)],MATCH(Товары[[#This Row],[SubGroup]],Структура_ассортимента[Subgroup],0)),"")</f>
        <v>WATERING SET</v>
      </c>
      <c r="L1269" s="36">
        <v>900969501</v>
      </c>
      <c r="M1269" s="35" t="s">
        <v>2945</v>
      </c>
      <c r="O1269" s="35" t="s">
        <v>6777</v>
      </c>
      <c r="P1269" s="37" t="s">
        <v>6778</v>
      </c>
      <c r="Q1269" s="34" t="s">
        <v>3549</v>
      </c>
      <c r="R1269" s="34" t="s">
        <v>3540</v>
      </c>
      <c r="S1269" s="47">
        <v>33878</v>
      </c>
      <c r="T1269" s="47">
        <v>0</v>
      </c>
      <c r="U1269" s="47">
        <v>0</v>
      </c>
      <c r="V1269" s="34">
        <v>4078500196901</v>
      </c>
      <c r="W1269" s="34" t="s">
        <v>3550</v>
      </c>
      <c r="X1269" s="34" t="s">
        <v>3579</v>
      </c>
      <c r="Y1269" s="34" t="s">
        <v>3542</v>
      </c>
      <c r="Z1269" s="34">
        <v>5</v>
      </c>
      <c r="AA1269" s="34" t="s">
        <v>6779</v>
      </c>
      <c r="AB1269" s="34" t="s">
        <v>6779</v>
      </c>
      <c r="AC1269" s="34" t="s">
        <v>3634</v>
      </c>
      <c r="AD1269" s="34" t="s">
        <v>3634</v>
      </c>
      <c r="AE1269" s="34" t="s">
        <v>3574</v>
      </c>
      <c r="AF1269" s="34" t="s">
        <v>3574</v>
      </c>
      <c r="AG1269" s="34" t="s">
        <v>3707</v>
      </c>
      <c r="AH1269" s="34" t="s">
        <v>6780</v>
      </c>
      <c r="AL1269" s="34">
        <v>60</v>
      </c>
      <c r="AM1269" s="40" t="s">
        <v>9</v>
      </c>
      <c r="AP1269" s="34">
        <v>0</v>
      </c>
      <c r="AQ1269" s="34">
        <v>3890</v>
      </c>
      <c r="AR1269" s="34">
        <v>2399</v>
      </c>
      <c r="AT1269" s="44">
        <v>301300</v>
      </c>
      <c r="AU1269" s="44"/>
      <c r="AV1269" s="46">
        <f>ROUND(Товары[[#This Row],[РРЦ финальная, руб.]]/$AU$1,2)</f>
        <v>0</v>
      </c>
      <c r="AW1269" s="45" t="str">
        <f>IFERROR(Товары[[#This Row],[РРЦ, евро]]/Товары[[#This Row],[IRP, Eur]],"-")</f>
        <v>-</v>
      </c>
      <c r="AX1269" s="42">
        <f>IFERROR(VLOOKUP(Товары[[#This Row],[SubGroup]],'Структура цен DIY'!$B:$C,2,FALSE),0)</f>
        <v>0.28999999999999998</v>
      </c>
      <c r="AY1269" s="44">
        <v>0</v>
      </c>
    </row>
    <row r="1270" spans="1:51" x14ac:dyDescent="0.25">
      <c r="A1270" s="34">
        <v>1268</v>
      </c>
      <c r="B1270" s="34" t="s">
        <v>49</v>
      </c>
      <c r="C1270" s="110" t="str">
        <f>IFERROR(INDEX(Структура_ассортимента[SuperCategory],MATCH(Товары[[#This Row],[SubGroup]],Структура_ассортимента[Subgroup],0)),"")</f>
        <v>W</v>
      </c>
      <c r="D127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7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70" s="110" t="str">
        <f>IFERROR(INDEX(Структура_ассортимента[Product group],MATCH(Товары[[#This Row],[SubGroup]],Структура_ассортимента[Subgroup],0)),"")</f>
        <v>WMS_C</v>
      </c>
      <c r="G1270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70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70" s="36">
        <v>9021</v>
      </c>
      <c r="J1270" s="36" t="str">
        <f>IFERROR(INDEX(Структура_ассортимента[Generic Name (long)],MATCH(Товары[[#This Row],[SubGroup]],Структура_ассортимента[Subgroup],0)),"")</f>
        <v>WATERING SET</v>
      </c>
      <c r="L1270" s="36">
        <v>900883801</v>
      </c>
      <c r="M1270" s="35" t="s">
        <v>2946</v>
      </c>
      <c r="Q1270" s="34" t="s">
        <v>3549</v>
      </c>
      <c r="R1270" s="34" t="s">
        <v>3540</v>
      </c>
      <c r="S1270" s="47">
        <v>36434</v>
      </c>
      <c r="T1270" s="47">
        <v>0</v>
      </c>
      <c r="U1270" s="47">
        <v>0</v>
      </c>
      <c r="V1270" s="34">
        <v>4078500099509</v>
      </c>
      <c r="W1270" s="34" t="s">
        <v>3550</v>
      </c>
      <c r="X1270" s="34" t="s">
        <v>3579</v>
      </c>
      <c r="Y1270" s="34" t="s">
        <v>3542</v>
      </c>
      <c r="Z1270" s="34">
        <v>5</v>
      </c>
      <c r="AA1270" s="34" t="s">
        <v>4708</v>
      </c>
      <c r="AB1270" s="34" t="s">
        <v>4708</v>
      </c>
      <c r="AC1270" s="34" t="s">
        <v>5608</v>
      </c>
      <c r="AD1270" s="34" t="s">
        <v>5608</v>
      </c>
      <c r="AE1270" s="34" t="s">
        <v>4666</v>
      </c>
      <c r="AF1270" s="34" t="s">
        <v>6781</v>
      </c>
      <c r="AG1270" s="34" t="s">
        <v>3931</v>
      </c>
      <c r="AH1270" s="34" t="s">
        <v>6782</v>
      </c>
      <c r="AL1270" s="34">
        <v>210</v>
      </c>
      <c r="AM1270" s="40" t="s">
        <v>8095</v>
      </c>
      <c r="AT1270" s="44">
        <v>0</v>
      </c>
      <c r="AU1270" s="44"/>
      <c r="AV1270" s="46">
        <f>ROUND(Товары[[#This Row],[РРЦ финальная, руб.]]/$AU$1,2)</f>
        <v>0</v>
      </c>
      <c r="AW1270" s="45" t="str">
        <f>IFERROR(Товары[[#This Row],[РРЦ, евро]]/Товары[[#This Row],[IRP, Eur]],"-")</f>
        <v>-</v>
      </c>
      <c r="AX1270" s="42">
        <f>IFERROR(VLOOKUP(Товары[[#This Row],[SubGroup]],'Структура цен DIY'!$B:$C,2,FALSE),0)</f>
        <v>0.28999999999999998</v>
      </c>
      <c r="AY1270" s="44">
        <v>0</v>
      </c>
    </row>
    <row r="1271" spans="1:51" x14ac:dyDescent="0.25">
      <c r="A1271" s="34">
        <v>1269</v>
      </c>
      <c r="B1271" s="34" t="s">
        <v>49</v>
      </c>
      <c r="C1271" s="110" t="str">
        <f>IFERROR(INDEX(Структура_ассортимента[SuperCategory],MATCH(Товары[[#This Row],[SubGroup]],Структура_ассортимента[Subgroup],0)),"")</f>
        <v>W</v>
      </c>
      <c r="D127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7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71" s="110" t="str">
        <f>IFERROR(INDEX(Структура_ассортимента[Product group],MATCH(Товары[[#This Row],[SubGroup]],Структура_ассортимента[Subgroup],0)),"")</f>
        <v>WMS_C</v>
      </c>
      <c r="G1271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71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71" s="36">
        <v>9021</v>
      </c>
      <c r="J1271" s="36" t="str">
        <f>IFERROR(INDEX(Структура_ассортимента[Generic Name (long)],MATCH(Товары[[#This Row],[SubGroup]],Структура_ассортимента[Subgroup],0)),"")</f>
        <v>WATERING SET</v>
      </c>
      <c r="L1271" s="36">
        <v>900884201</v>
      </c>
      <c r="M1271" s="35" t="s">
        <v>2947</v>
      </c>
      <c r="Q1271" s="34" t="s">
        <v>3549</v>
      </c>
      <c r="R1271" s="34" t="s">
        <v>3540</v>
      </c>
      <c r="S1271" s="47">
        <v>38261</v>
      </c>
      <c r="T1271" s="47">
        <v>0</v>
      </c>
      <c r="U1271" s="47">
        <v>0</v>
      </c>
      <c r="V1271" s="34">
        <v>4078500099721</v>
      </c>
      <c r="W1271" s="34" t="s">
        <v>3550</v>
      </c>
      <c r="X1271" s="34" t="s">
        <v>3579</v>
      </c>
      <c r="Y1271" s="34" t="s">
        <v>5981</v>
      </c>
      <c r="Z1271" s="34">
        <v>100</v>
      </c>
      <c r="AA1271" s="34" t="s">
        <v>4090</v>
      </c>
      <c r="AB1271" s="34" t="s">
        <v>4090</v>
      </c>
      <c r="AC1271" s="34" t="s">
        <v>3727</v>
      </c>
      <c r="AD1271" s="34" t="s">
        <v>3727</v>
      </c>
      <c r="AE1271" s="34" t="s">
        <v>3756</v>
      </c>
      <c r="AF1271" s="34" t="s">
        <v>3678</v>
      </c>
      <c r="AG1271" s="34" t="s">
        <v>3678</v>
      </c>
      <c r="AH1271" s="34" t="s">
        <v>6282</v>
      </c>
      <c r="AL1271" s="34">
        <v>3000</v>
      </c>
      <c r="AM1271" s="40" t="s">
        <v>8095</v>
      </c>
      <c r="AT1271" s="44">
        <v>0</v>
      </c>
      <c r="AU1271" s="44"/>
      <c r="AV1271" s="46">
        <f>ROUND(Товары[[#This Row],[РРЦ финальная, руб.]]/$AU$1,2)</f>
        <v>0</v>
      </c>
      <c r="AW1271" s="45" t="str">
        <f>IFERROR(Товары[[#This Row],[РРЦ, евро]]/Товары[[#This Row],[IRP, Eur]],"-")</f>
        <v>-</v>
      </c>
      <c r="AX1271" s="42">
        <f>IFERROR(VLOOKUP(Товары[[#This Row],[SubGroup]],'Структура цен DIY'!$B:$C,2,FALSE),0)</f>
        <v>0.28999999999999998</v>
      </c>
      <c r="AY1271" s="44">
        <v>0</v>
      </c>
    </row>
    <row r="1272" spans="1:51" x14ac:dyDescent="0.25">
      <c r="A1272" s="34">
        <v>1270</v>
      </c>
      <c r="B1272" s="34" t="s">
        <v>49</v>
      </c>
      <c r="C1272" s="110" t="str">
        <f>IFERROR(INDEX(Структура_ассортимента[SuperCategory],MATCH(Товары[[#This Row],[SubGroup]],Структура_ассортимента[Subgroup],0)),"")</f>
        <v>W</v>
      </c>
      <c r="D127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7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72" s="110" t="str">
        <f>IFERROR(INDEX(Структура_ассортимента[Product group],MATCH(Товары[[#This Row],[SubGroup]],Структура_ассортимента[Subgroup],0)),"")</f>
        <v>WMS_C</v>
      </c>
      <c r="G1272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72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72" s="36">
        <v>9021</v>
      </c>
      <c r="J1272" s="36" t="str">
        <f>IFERROR(INDEX(Структура_ассортимента[Generic Name (long)],MATCH(Товары[[#This Row],[SubGroup]],Структура_ассортимента[Subgroup],0)),"")</f>
        <v>WATERING SET</v>
      </c>
      <c r="L1272" s="36">
        <v>901083401</v>
      </c>
      <c r="M1272" s="35" t="s">
        <v>2948</v>
      </c>
      <c r="O1272" s="35" t="s">
        <v>6783</v>
      </c>
      <c r="P1272" s="37" t="s">
        <v>6784</v>
      </c>
      <c r="Q1272" s="34" t="s">
        <v>3549</v>
      </c>
      <c r="R1272" s="34" t="s">
        <v>3540</v>
      </c>
      <c r="S1272" s="47">
        <v>33147</v>
      </c>
      <c r="T1272" s="47">
        <v>0</v>
      </c>
      <c r="U1272" s="47">
        <v>0</v>
      </c>
      <c r="V1272" s="34">
        <v>4078500531603</v>
      </c>
      <c r="W1272" s="34" t="s">
        <v>3543</v>
      </c>
      <c r="X1272" s="34" t="s">
        <v>3579</v>
      </c>
      <c r="Y1272" s="34" t="s">
        <v>3542</v>
      </c>
      <c r="Z1272" s="34">
        <v>6</v>
      </c>
      <c r="AA1272" s="34" t="s">
        <v>3727</v>
      </c>
      <c r="AB1272" s="34" t="s">
        <v>3727</v>
      </c>
      <c r="AC1272" s="34" t="s">
        <v>3719</v>
      </c>
      <c r="AD1272" s="34" t="s">
        <v>3719</v>
      </c>
      <c r="AE1272" s="34" t="s">
        <v>3825</v>
      </c>
      <c r="AF1272" s="34" t="s">
        <v>3576</v>
      </c>
      <c r="AG1272" s="34" t="s">
        <v>4956</v>
      </c>
      <c r="AH1272" s="34" t="s">
        <v>6785</v>
      </c>
      <c r="AL1272" s="34">
        <v>792</v>
      </c>
      <c r="AM1272" s="40" t="s">
        <v>9</v>
      </c>
      <c r="AP1272" s="34">
        <v>0</v>
      </c>
      <c r="AQ1272" s="34">
        <v>1390</v>
      </c>
      <c r="AR1272" s="34">
        <v>857</v>
      </c>
      <c r="AT1272" s="44">
        <v>107700</v>
      </c>
      <c r="AU1272" s="44"/>
      <c r="AV1272" s="46">
        <f>ROUND(Товары[[#This Row],[РРЦ финальная, руб.]]/$AU$1,2)</f>
        <v>0</v>
      </c>
      <c r="AW1272" s="45" t="str">
        <f>IFERROR(Товары[[#This Row],[РРЦ, евро]]/Товары[[#This Row],[IRP, Eur]],"-")</f>
        <v>-</v>
      </c>
      <c r="AX1272" s="42">
        <f>IFERROR(VLOOKUP(Товары[[#This Row],[SubGroup]],'Структура цен DIY'!$B:$C,2,FALSE),0)</f>
        <v>0.28999999999999998</v>
      </c>
      <c r="AY1272" s="44">
        <v>0</v>
      </c>
    </row>
    <row r="1273" spans="1:51" x14ac:dyDescent="0.25">
      <c r="A1273" s="34">
        <v>1271</v>
      </c>
      <c r="B1273" s="34" t="s">
        <v>49</v>
      </c>
      <c r="C1273" s="110" t="str">
        <f>IFERROR(INDEX(Структура_ассортимента[SuperCategory],MATCH(Товары[[#This Row],[SubGroup]],Структура_ассортимента[Subgroup],0)),"")</f>
        <v>W</v>
      </c>
      <c r="D127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7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73" s="110" t="str">
        <f>IFERROR(INDEX(Структура_ассортимента[Product group],MATCH(Товары[[#This Row],[SubGroup]],Структура_ассортимента[Subgroup],0)),"")</f>
        <v>WMS_C</v>
      </c>
      <c r="G1273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73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73" s="36">
        <v>9021</v>
      </c>
      <c r="J1273" s="36" t="str">
        <f>IFERROR(INDEX(Структура_ассортимента[Generic Name (long)],MATCH(Товары[[#This Row],[SubGroup]],Структура_ассортимента[Subgroup],0)),"")</f>
        <v>WATERING SET</v>
      </c>
      <c r="L1273" s="36">
        <v>900973301</v>
      </c>
      <c r="M1273" s="35" t="s">
        <v>2949</v>
      </c>
      <c r="O1273" s="35" t="s">
        <v>6786</v>
      </c>
      <c r="P1273" s="37" t="s">
        <v>6787</v>
      </c>
      <c r="Q1273" s="34" t="s">
        <v>3549</v>
      </c>
      <c r="R1273" s="34" t="s">
        <v>3540</v>
      </c>
      <c r="S1273" s="47">
        <v>35125</v>
      </c>
      <c r="T1273" s="47">
        <v>0</v>
      </c>
      <c r="U1273" s="47">
        <v>0</v>
      </c>
      <c r="V1273" s="34">
        <v>4078500199803</v>
      </c>
      <c r="W1273" s="34" t="s">
        <v>3550</v>
      </c>
      <c r="X1273" s="34" t="s">
        <v>3579</v>
      </c>
      <c r="Y1273" s="34" t="s">
        <v>3542</v>
      </c>
      <c r="Z1273" s="34">
        <v>5</v>
      </c>
      <c r="AA1273" s="34" t="s">
        <v>3962</v>
      </c>
      <c r="AB1273" s="34" t="s">
        <v>4554</v>
      </c>
      <c r="AC1273" s="34" t="s">
        <v>3573</v>
      </c>
      <c r="AD1273" s="34" t="s">
        <v>3573</v>
      </c>
      <c r="AE1273" s="34" t="s">
        <v>3610</v>
      </c>
      <c r="AF1273" s="34" t="s">
        <v>3555</v>
      </c>
      <c r="AG1273" s="34" t="s">
        <v>4260</v>
      </c>
      <c r="AH1273" s="34" t="s">
        <v>6788</v>
      </c>
      <c r="AL1273" s="34" t="s">
        <v>4302</v>
      </c>
      <c r="AM1273" s="40" t="s">
        <v>9</v>
      </c>
      <c r="AP1273" s="34">
        <v>0</v>
      </c>
      <c r="AQ1273" s="34">
        <v>4290</v>
      </c>
      <c r="AR1273" s="34">
        <v>2646</v>
      </c>
      <c r="AT1273" s="44">
        <v>332300</v>
      </c>
      <c r="AU1273" s="44"/>
      <c r="AV1273" s="46">
        <f>ROUND(Товары[[#This Row],[РРЦ финальная, руб.]]/$AU$1,2)</f>
        <v>0</v>
      </c>
      <c r="AW1273" s="45" t="str">
        <f>IFERROR(Товары[[#This Row],[РРЦ, евро]]/Товары[[#This Row],[IRP, Eur]],"-")</f>
        <v>-</v>
      </c>
      <c r="AX1273" s="42">
        <f>IFERROR(VLOOKUP(Товары[[#This Row],[SubGroup]],'Структура цен DIY'!$B:$C,2,FALSE),0)</f>
        <v>0.28999999999999998</v>
      </c>
      <c r="AY1273" s="44">
        <v>0</v>
      </c>
    </row>
    <row r="1274" spans="1:51" x14ac:dyDescent="0.25">
      <c r="A1274" s="34">
        <v>1272</v>
      </c>
      <c r="B1274" s="34" t="s">
        <v>49</v>
      </c>
      <c r="C1274" s="110" t="str">
        <f>IFERROR(INDEX(Структура_ассортимента[SuperCategory],MATCH(Товары[[#This Row],[SubGroup]],Структура_ассортимента[Subgroup],0)),"")</f>
        <v>W</v>
      </c>
      <c r="D127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7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74" s="110" t="str">
        <f>IFERROR(INDEX(Структура_ассортимента[Product group],MATCH(Товары[[#This Row],[SubGroup]],Структура_ассортимента[Subgroup],0)),"")</f>
        <v>WMS_C</v>
      </c>
      <c r="G1274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74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74" s="36">
        <v>9021</v>
      </c>
      <c r="J1274" s="36" t="str">
        <f>IFERROR(INDEX(Структура_ассортимента[Generic Name (long)],MATCH(Товары[[#This Row],[SubGroup]],Структура_ассортимента[Subgroup],0)),"")</f>
        <v>WATERING SET</v>
      </c>
      <c r="L1274" s="36">
        <v>900973401</v>
      </c>
      <c r="M1274" s="35" t="s">
        <v>2950</v>
      </c>
      <c r="Q1274" s="34" t="s">
        <v>3549</v>
      </c>
      <c r="R1274" s="34" t="s">
        <v>3540</v>
      </c>
      <c r="S1274" s="47">
        <v>35125</v>
      </c>
      <c r="T1274" s="47">
        <v>0</v>
      </c>
      <c r="U1274" s="47">
        <v>0</v>
      </c>
      <c r="V1274" s="34">
        <v>4078500199902</v>
      </c>
      <c r="W1274" s="34" t="s">
        <v>3550</v>
      </c>
      <c r="X1274" s="34" t="s">
        <v>3579</v>
      </c>
      <c r="Y1274" s="34" t="s">
        <v>3542</v>
      </c>
      <c r="Z1274" s="34">
        <v>5</v>
      </c>
      <c r="AA1274" s="34" t="s">
        <v>6789</v>
      </c>
      <c r="AB1274" s="34" t="s">
        <v>6790</v>
      </c>
      <c r="AC1274" s="34" t="s">
        <v>6791</v>
      </c>
      <c r="AD1274" s="34" t="s">
        <v>3901</v>
      </c>
      <c r="AE1274" s="34" t="s">
        <v>3610</v>
      </c>
      <c r="AF1274" s="34" t="s">
        <v>3610</v>
      </c>
      <c r="AG1274" s="34" t="s">
        <v>4231</v>
      </c>
      <c r="AH1274" s="34" t="s">
        <v>6792</v>
      </c>
      <c r="AL1274" s="34">
        <v>150</v>
      </c>
      <c r="AM1274" s="40" t="s">
        <v>8095</v>
      </c>
      <c r="AT1274" s="44">
        <v>0</v>
      </c>
      <c r="AU1274" s="44"/>
      <c r="AV1274" s="46">
        <f>ROUND(Товары[[#This Row],[РРЦ финальная, руб.]]/$AU$1,2)</f>
        <v>0</v>
      </c>
      <c r="AW1274" s="45" t="str">
        <f>IFERROR(Товары[[#This Row],[РРЦ, евро]]/Товары[[#This Row],[IRP, Eur]],"-")</f>
        <v>-</v>
      </c>
      <c r="AX1274" s="42">
        <f>IFERROR(VLOOKUP(Товары[[#This Row],[SubGroup]],'Структура цен DIY'!$B:$C,2,FALSE),0)</f>
        <v>0.28999999999999998</v>
      </c>
      <c r="AY1274" s="44">
        <v>0</v>
      </c>
    </row>
    <row r="1275" spans="1:51" x14ac:dyDescent="0.25">
      <c r="A1275" s="34">
        <v>1273</v>
      </c>
      <c r="B1275" s="34" t="s">
        <v>49</v>
      </c>
      <c r="C1275" s="110" t="str">
        <f>IFERROR(INDEX(Структура_ассортимента[SuperCategory],MATCH(Товары[[#This Row],[SubGroup]],Структура_ассортимента[Subgroup],0)),"")</f>
        <v>W</v>
      </c>
      <c r="D127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7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75" s="110" t="str">
        <f>IFERROR(INDEX(Структура_ассортимента[Product group],MATCH(Товары[[#This Row],[SubGroup]],Структура_ассортимента[Subgroup],0)),"")</f>
        <v>WMS_C</v>
      </c>
      <c r="G1275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75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75" s="36">
        <v>9021</v>
      </c>
      <c r="J1275" s="36" t="str">
        <f>IFERROR(INDEX(Структура_ассортимента[Generic Name (long)],MATCH(Товары[[#This Row],[SubGroup]],Структура_ассортимента[Subgroup],0)),"")</f>
        <v>WATERING SET</v>
      </c>
      <c r="L1275" s="36">
        <v>900884001</v>
      </c>
      <c r="M1275" s="35" t="s">
        <v>2951</v>
      </c>
      <c r="Q1275" s="34" t="s">
        <v>3549</v>
      </c>
      <c r="R1275" s="34" t="s">
        <v>3540</v>
      </c>
      <c r="S1275" s="47">
        <v>36434</v>
      </c>
      <c r="T1275" s="47">
        <v>0</v>
      </c>
      <c r="U1275" s="47">
        <v>0</v>
      </c>
      <c r="V1275" s="34">
        <v>4078500099608</v>
      </c>
      <c r="W1275" s="34" t="s">
        <v>3550</v>
      </c>
      <c r="X1275" s="34" t="s">
        <v>3579</v>
      </c>
      <c r="Y1275" s="34" t="s">
        <v>3542</v>
      </c>
      <c r="Z1275" s="34">
        <v>5</v>
      </c>
      <c r="AA1275" s="34" t="s">
        <v>5153</v>
      </c>
      <c r="AB1275" s="34" t="s">
        <v>3598</v>
      </c>
      <c r="AC1275" s="34" t="s">
        <v>3563</v>
      </c>
      <c r="AD1275" s="34" t="s">
        <v>6793</v>
      </c>
      <c r="AE1275" s="34" t="s">
        <v>3610</v>
      </c>
      <c r="AF1275" s="34" t="s">
        <v>3623</v>
      </c>
      <c r="AG1275" s="34" t="s">
        <v>4231</v>
      </c>
      <c r="AH1275" s="34" t="s">
        <v>6794</v>
      </c>
      <c r="AL1275" s="34">
        <v>150</v>
      </c>
      <c r="AM1275" s="40" t="s">
        <v>8095</v>
      </c>
      <c r="AT1275" s="44">
        <v>0</v>
      </c>
      <c r="AU1275" s="44"/>
      <c r="AV1275" s="46">
        <f>ROUND(Товары[[#This Row],[РРЦ финальная, руб.]]/$AU$1,2)</f>
        <v>0</v>
      </c>
      <c r="AW1275" s="45" t="str">
        <f>IFERROR(Товары[[#This Row],[РРЦ, евро]]/Товары[[#This Row],[IRP, Eur]],"-")</f>
        <v>-</v>
      </c>
      <c r="AX1275" s="42">
        <f>IFERROR(VLOOKUP(Товары[[#This Row],[SubGroup]],'Структура цен DIY'!$B:$C,2,FALSE),0)</f>
        <v>0.28999999999999998</v>
      </c>
      <c r="AY1275" s="44">
        <v>0</v>
      </c>
    </row>
    <row r="1276" spans="1:51" x14ac:dyDescent="0.25">
      <c r="A1276" s="34">
        <v>1274</v>
      </c>
      <c r="B1276" s="34" t="s">
        <v>49</v>
      </c>
      <c r="C1276" s="110" t="str">
        <f>IFERROR(INDEX(Структура_ассортимента[SuperCategory],MATCH(Товары[[#This Row],[SubGroup]],Структура_ассортимента[Subgroup],0)),"")</f>
        <v>W</v>
      </c>
      <c r="D127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7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76" s="110" t="str">
        <f>IFERROR(INDEX(Структура_ассортимента[Product group],MATCH(Товары[[#This Row],[SubGroup]],Структура_ассортимента[Subgroup],0)),"")</f>
        <v>WMS_C</v>
      </c>
      <c r="G1276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76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76" s="36">
        <v>9021</v>
      </c>
      <c r="J1276" s="36" t="str">
        <f>IFERROR(INDEX(Структура_ассортимента[Generic Name (long)],MATCH(Товары[[#This Row],[SubGroup]],Структура_ассортимента[Subgroup],0)),"")</f>
        <v>WATERING SET</v>
      </c>
      <c r="L1276" s="36">
        <v>900973001</v>
      </c>
      <c r="M1276" s="35" t="s">
        <v>2952</v>
      </c>
      <c r="O1276" s="35" t="s">
        <v>6795</v>
      </c>
      <c r="P1276" s="37" t="s">
        <v>6796</v>
      </c>
      <c r="Q1276" s="34" t="s">
        <v>3549</v>
      </c>
      <c r="R1276" s="34" t="s">
        <v>3540</v>
      </c>
      <c r="S1276" s="47">
        <v>36467</v>
      </c>
      <c r="T1276" s="47">
        <v>0</v>
      </c>
      <c r="U1276" s="47">
        <v>0</v>
      </c>
      <c r="V1276" s="34">
        <v>4078500199506</v>
      </c>
      <c r="W1276" s="34" t="s">
        <v>3550</v>
      </c>
      <c r="X1276" s="34" t="s">
        <v>3579</v>
      </c>
      <c r="Y1276" s="34" t="s">
        <v>3542</v>
      </c>
      <c r="Z1276" s="34">
        <v>5</v>
      </c>
      <c r="AA1276" s="34" t="s">
        <v>3761</v>
      </c>
      <c r="AB1276" s="34" t="s">
        <v>3761</v>
      </c>
      <c r="AC1276" s="34" t="s">
        <v>6797</v>
      </c>
      <c r="AD1276" s="34" t="s">
        <v>6797</v>
      </c>
      <c r="AE1276" s="34" t="s">
        <v>6798</v>
      </c>
      <c r="AF1276" s="34" t="s">
        <v>6799</v>
      </c>
      <c r="AG1276" s="34" t="s">
        <v>4231</v>
      </c>
      <c r="AH1276" s="34" t="s">
        <v>6800</v>
      </c>
      <c r="AL1276" s="34">
        <v>210</v>
      </c>
      <c r="AM1276" s="40" t="s">
        <v>9</v>
      </c>
      <c r="AP1276" s="34">
        <v>0</v>
      </c>
      <c r="AQ1276" s="34">
        <v>2790</v>
      </c>
      <c r="AR1276" s="34">
        <v>1721</v>
      </c>
      <c r="AT1276" s="44">
        <v>216100</v>
      </c>
      <c r="AU1276" s="44"/>
      <c r="AV1276" s="46">
        <f>ROUND(Товары[[#This Row],[РРЦ финальная, руб.]]/$AU$1,2)</f>
        <v>0</v>
      </c>
      <c r="AW1276" s="45" t="str">
        <f>IFERROR(Товары[[#This Row],[РРЦ, евро]]/Товары[[#This Row],[IRP, Eur]],"-")</f>
        <v>-</v>
      </c>
      <c r="AX1276" s="42">
        <f>IFERROR(VLOOKUP(Товары[[#This Row],[SubGroup]],'Структура цен DIY'!$B:$C,2,FALSE),0)</f>
        <v>0.28999999999999998</v>
      </c>
      <c r="AY1276" s="44">
        <v>0</v>
      </c>
    </row>
    <row r="1277" spans="1:51" x14ac:dyDescent="0.25">
      <c r="A1277" s="34">
        <v>1275</v>
      </c>
      <c r="B1277" s="34" t="s">
        <v>49</v>
      </c>
      <c r="C1277" s="110" t="str">
        <f>IFERROR(INDEX(Структура_ассортимента[SuperCategory],MATCH(Товары[[#This Row],[SubGroup]],Структура_ассортимента[Subgroup],0)),"")</f>
        <v>W</v>
      </c>
      <c r="D127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7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77" s="110" t="str">
        <f>IFERROR(INDEX(Структура_ассортимента[Product group],MATCH(Товары[[#This Row],[SubGroup]],Структура_ассортимента[Subgroup],0)),"")</f>
        <v>WMS_C</v>
      </c>
      <c r="G1277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77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77" s="36">
        <v>9021</v>
      </c>
      <c r="J1277" s="36" t="str">
        <f>IFERROR(INDEX(Структура_ассортимента[Generic Name (long)],MATCH(Товары[[#This Row],[SubGroup]],Структура_ассортимента[Subgroup],0)),"")</f>
        <v>WATERING SET</v>
      </c>
      <c r="L1277" s="36">
        <v>901153601</v>
      </c>
      <c r="M1277" s="35" t="s">
        <v>2953</v>
      </c>
      <c r="O1277" s="35" t="s">
        <v>6801</v>
      </c>
      <c r="P1277" s="37" t="s">
        <v>6802</v>
      </c>
      <c r="Q1277" s="34" t="s">
        <v>3549</v>
      </c>
      <c r="R1277" s="34" t="s">
        <v>3540</v>
      </c>
      <c r="S1277" s="47">
        <v>39722</v>
      </c>
      <c r="T1277" s="47">
        <v>0</v>
      </c>
      <c r="U1277" s="47">
        <v>0</v>
      </c>
      <c r="V1277" s="34">
        <v>4078500813501</v>
      </c>
      <c r="W1277" s="34" t="s">
        <v>3547</v>
      </c>
      <c r="X1277" s="34" t="s">
        <v>3704</v>
      </c>
      <c r="Y1277" s="34" t="s">
        <v>3542</v>
      </c>
      <c r="Z1277" s="34">
        <v>5</v>
      </c>
      <c r="AA1277" s="34" t="s">
        <v>3901</v>
      </c>
      <c r="AB1277" s="34" t="s">
        <v>3901</v>
      </c>
      <c r="AC1277" s="34" t="s">
        <v>3815</v>
      </c>
      <c r="AD1277" s="34" t="s">
        <v>3815</v>
      </c>
      <c r="AE1277" s="34" t="s">
        <v>6734</v>
      </c>
      <c r="AF1277" s="34" t="s">
        <v>5006</v>
      </c>
      <c r="AG1277" s="34" t="s">
        <v>5028</v>
      </c>
      <c r="AH1277" s="34" t="s">
        <v>6735</v>
      </c>
      <c r="AI1277" s="34" t="s">
        <v>4203</v>
      </c>
      <c r="AJ1277" s="34" t="s">
        <v>4117</v>
      </c>
      <c r="AK1277" s="34" t="s">
        <v>4203</v>
      </c>
      <c r="AL1277" s="34">
        <v>90</v>
      </c>
      <c r="AM1277" s="40" t="s">
        <v>9</v>
      </c>
      <c r="AP1277" s="34">
        <v>0</v>
      </c>
      <c r="AQ1277" s="34">
        <v>4590</v>
      </c>
      <c r="AR1277" s="34">
        <v>2678</v>
      </c>
      <c r="AT1277" s="44">
        <v>355500</v>
      </c>
      <c r="AU1277" s="44"/>
      <c r="AV1277" s="46">
        <f>ROUND(Товары[[#This Row],[РРЦ финальная, руб.]]/$AU$1,2)</f>
        <v>0</v>
      </c>
      <c r="AW1277" s="45" t="str">
        <f>IFERROR(Товары[[#This Row],[РРЦ, евро]]/Товары[[#This Row],[IRP, Eur]],"-")</f>
        <v>-</v>
      </c>
      <c r="AX1277" s="42">
        <f>IFERROR(VLOOKUP(Товары[[#This Row],[SubGroup]],'Структура цен DIY'!$B:$C,2,FALSE),0)</f>
        <v>0.28999999999999998</v>
      </c>
      <c r="AY1277" s="44">
        <v>0</v>
      </c>
    </row>
    <row r="1278" spans="1:51" x14ac:dyDescent="0.25">
      <c r="A1278" s="34">
        <v>1276</v>
      </c>
      <c r="B1278" s="34" t="s">
        <v>49</v>
      </c>
      <c r="C1278" s="110" t="str">
        <f>IFERROR(INDEX(Структура_ассортимента[SuperCategory],MATCH(Товары[[#This Row],[SubGroup]],Структура_ассортимента[Subgroup],0)),"")</f>
        <v>W</v>
      </c>
      <c r="D127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7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78" s="110" t="str">
        <f>IFERROR(INDEX(Структура_ассортимента[Product group],MATCH(Товары[[#This Row],[SubGroup]],Структура_ассортимента[Subgroup],0)),"")</f>
        <v>WMS_C</v>
      </c>
      <c r="G1278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78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78" s="36">
        <v>9021</v>
      </c>
      <c r="J1278" s="36" t="str">
        <f>IFERROR(INDEX(Структура_ассортимента[Generic Name (long)],MATCH(Товары[[#This Row],[SubGroup]],Структура_ассортимента[Subgroup],0)),"")</f>
        <v>WATERING SET</v>
      </c>
      <c r="L1278" s="36">
        <v>901153701</v>
      </c>
      <c r="M1278" s="35" t="s">
        <v>2954</v>
      </c>
      <c r="O1278" s="35" t="s">
        <v>6801</v>
      </c>
      <c r="P1278" s="37" t="s">
        <v>6803</v>
      </c>
      <c r="Q1278" s="34" t="s">
        <v>3549</v>
      </c>
      <c r="R1278" s="34" t="s">
        <v>3540</v>
      </c>
      <c r="S1278" s="47">
        <v>39722</v>
      </c>
      <c r="T1278" s="47">
        <v>0</v>
      </c>
      <c r="U1278" s="47">
        <v>0</v>
      </c>
      <c r="V1278" s="34">
        <v>4078500813600</v>
      </c>
      <c r="W1278" s="34" t="s">
        <v>3543</v>
      </c>
      <c r="X1278" s="34" t="s">
        <v>3704</v>
      </c>
      <c r="Y1278" s="34" t="s">
        <v>3542</v>
      </c>
      <c r="Z1278" s="34">
        <v>5</v>
      </c>
      <c r="AA1278" s="34" t="s">
        <v>6754</v>
      </c>
      <c r="AB1278" s="34" t="s">
        <v>6754</v>
      </c>
      <c r="AC1278" s="34" t="s">
        <v>6804</v>
      </c>
      <c r="AD1278" s="34" t="s">
        <v>6804</v>
      </c>
      <c r="AE1278" s="34" t="s">
        <v>4582</v>
      </c>
      <c r="AF1278" s="34" t="s">
        <v>3818</v>
      </c>
      <c r="AG1278" s="34" t="s">
        <v>4943</v>
      </c>
      <c r="AH1278" s="34" t="s">
        <v>6805</v>
      </c>
      <c r="AI1278" s="34" t="s">
        <v>3708</v>
      </c>
      <c r="AJ1278" s="34" t="s">
        <v>6806</v>
      </c>
      <c r="AK1278" s="34" t="s">
        <v>3693</v>
      </c>
      <c r="AL1278" s="34">
        <v>125</v>
      </c>
      <c r="AM1278" s="40" t="s">
        <v>9</v>
      </c>
      <c r="AP1278" s="34">
        <v>0</v>
      </c>
      <c r="AQ1278" s="34">
        <v>4190</v>
      </c>
      <c r="AR1278" s="34">
        <v>2444</v>
      </c>
      <c r="AT1278" s="44">
        <v>324500</v>
      </c>
      <c r="AU1278" s="44"/>
      <c r="AV1278" s="46">
        <f>ROUND(Товары[[#This Row],[РРЦ финальная, руб.]]/$AU$1,2)</f>
        <v>0</v>
      </c>
      <c r="AW1278" s="45" t="str">
        <f>IFERROR(Товары[[#This Row],[РРЦ, евро]]/Товары[[#This Row],[IRP, Eur]],"-")</f>
        <v>-</v>
      </c>
      <c r="AX1278" s="42">
        <f>IFERROR(VLOOKUP(Товары[[#This Row],[SubGroup]],'Структура цен DIY'!$B:$C,2,FALSE),0)</f>
        <v>0.28999999999999998</v>
      </c>
      <c r="AY1278" s="44">
        <v>0</v>
      </c>
    </row>
    <row r="1279" spans="1:51" x14ac:dyDescent="0.25">
      <c r="A1279" s="34">
        <v>1277</v>
      </c>
      <c r="B1279" s="34" t="s">
        <v>49</v>
      </c>
      <c r="C1279" s="110" t="str">
        <f>IFERROR(INDEX(Структура_ассортимента[SuperCategory],MATCH(Товары[[#This Row],[SubGroup]],Структура_ассортимента[Subgroup],0)),"")</f>
        <v>W</v>
      </c>
      <c r="D127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7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79" s="110" t="str">
        <f>IFERROR(INDEX(Структура_ассортимента[Product group],MATCH(Товары[[#This Row],[SubGroup]],Структура_ассортимента[Subgroup],0)),"")</f>
        <v>WMS_C</v>
      </c>
      <c r="G1279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79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79" s="36">
        <v>9021</v>
      </c>
      <c r="J1279" s="36" t="str">
        <f>IFERROR(INDEX(Структура_ассортимента[Generic Name (long)],MATCH(Товары[[#This Row],[SubGroup]],Структура_ассортимента[Subgroup],0)),"")</f>
        <v>WATERING SET</v>
      </c>
      <c r="L1279" s="36">
        <v>901153801</v>
      </c>
      <c r="M1279" s="35" t="s">
        <v>2955</v>
      </c>
      <c r="Q1279" s="34" t="s">
        <v>3549</v>
      </c>
      <c r="R1279" s="34" t="s">
        <v>3540</v>
      </c>
      <c r="S1279" s="47">
        <v>39722</v>
      </c>
      <c r="T1279" s="47">
        <v>0</v>
      </c>
      <c r="U1279" s="47">
        <v>0</v>
      </c>
      <c r="V1279" s="34">
        <v>4078500813709</v>
      </c>
      <c r="W1279" s="34" t="s">
        <v>3543</v>
      </c>
      <c r="X1279" s="34" t="s">
        <v>3704</v>
      </c>
      <c r="Y1279" s="34" t="s">
        <v>3542</v>
      </c>
      <c r="Z1279" s="34">
        <v>6</v>
      </c>
      <c r="AA1279" s="34" t="s">
        <v>4881</v>
      </c>
      <c r="AB1279" s="34" t="s">
        <v>4881</v>
      </c>
      <c r="AC1279" s="34" t="s">
        <v>4002</v>
      </c>
      <c r="AD1279" s="34" t="s">
        <v>4002</v>
      </c>
      <c r="AE1279" s="34" t="s">
        <v>3942</v>
      </c>
      <c r="AF1279" s="34" t="s">
        <v>3968</v>
      </c>
      <c r="AG1279" s="34" t="s">
        <v>4943</v>
      </c>
      <c r="AH1279" s="34" t="s">
        <v>6807</v>
      </c>
      <c r="AI1279" s="34" t="s">
        <v>3566</v>
      </c>
      <c r="AJ1279" s="34" t="s">
        <v>3587</v>
      </c>
      <c r="AK1279" s="34" t="s">
        <v>3999</v>
      </c>
      <c r="AL1279" s="34">
        <v>420</v>
      </c>
      <c r="AM1279" s="40" t="s">
        <v>8095</v>
      </c>
      <c r="AT1279" s="44">
        <v>0</v>
      </c>
      <c r="AU1279" s="44"/>
      <c r="AV1279" s="46">
        <f>ROUND(Товары[[#This Row],[РРЦ финальная, руб.]]/$AU$1,2)</f>
        <v>0</v>
      </c>
      <c r="AW1279" s="45" t="str">
        <f>IFERROR(Товары[[#This Row],[РРЦ, евро]]/Товары[[#This Row],[IRP, Eur]],"-")</f>
        <v>-</v>
      </c>
      <c r="AX1279" s="42">
        <f>IFERROR(VLOOKUP(Товары[[#This Row],[SubGroup]],'Структура цен DIY'!$B:$C,2,FALSE),0)</f>
        <v>0.28999999999999998</v>
      </c>
      <c r="AY1279" s="44">
        <v>0</v>
      </c>
    </row>
    <row r="1280" spans="1:51" x14ac:dyDescent="0.25">
      <c r="A1280" s="34">
        <v>1278</v>
      </c>
      <c r="B1280" s="34" t="s">
        <v>49</v>
      </c>
      <c r="C1280" s="110" t="str">
        <f>IFERROR(INDEX(Структура_ассортимента[SuperCategory],MATCH(Товары[[#This Row],[SubGroup]],Структура_ассортимента[Subgroup],0)),"")</f>
        <v>W</v>
      </c>
      <c r="D128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8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80" s="110" t="str">
        <f>IFERROR(INDEX(Структура_ассортимента[Product group],MATCH(Товары[[#This Row],[SubGroup]],Структура_ассортимента[Subgroup],0)),"")</f>
        <v>WMS_C</v>
      </c>
      <c r="G1280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80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80" s="36">
        <v>9021</v>
      </c>
      <c r="J1280" s="36" t="str">
        <f>IFERROR(INDEX(Структура_ассортимента[Generic Name (long)],MATCH(Товары[[#This Row],[SubGroup]],Структура_ассортимента[Subgroup],0)),"")</f>
        <v>WATERING SET</v>
      </c>
      <c r="L1280" s="36">
        <v>901153901</v>
      </c>
      <c r="M1280" s="35" t="s">
        <v>2956</v>
      </c>
      <c r="Q1280" s="34" t="s">
        <v>3549</v>
      </c>
      <c r="R1280" s="34" t="s">
        <v>3540</v>
      </c>
      <c r="S1280" s="47">
        <v>39722</v>
      </c>
      <c r="T1280" s="47">
        <v>0</v>
      </c>
      <c r="U1280" s="47">
        <v>0</v>
      </c>
      <c r="V1280" s="34">
        <v>4078500813808</v>
      </c>
      <c r="W1280" s="34" t="s">
        <v>3543</v>
      </c>
      <c r="X1280" s="34" t="s">
        <v>3579</v>
      </c>
      <c r="Y1280" s="34" t="s">
        <v>3542</v>
      </c>
      <c r="Z1280" s="34">
        <v>2</v>
      </c>
      <c r="AA1280" s="34" t="s">
        <v>6808</v>
      </c>
      <c r="AB1280" s="34" t="s">
        <v>6808</v>
      </c>
      <c r="AC1280" s="34" t="s">
        <v>6809</v>
      </c>
      <c r="AD1280" s="34" t="s">
        <v>6809</v>
      </c>
      <c r="AE1280" s="34" t="s">
        <v>6810</v>
      </c>
      <c r="AF1280" s="34" t="s">
        <v>6811</v>
      </c>
      <c r="AG1280" s="34" t="s">
        <v>3698</v>
      </c>
      <c r="AH1280" s="34" t="s">
        <v>6812</v>
      </c>
      <c r="AI1280" s="34" t="s">
        <v>5769</v>
      </c>
      <c r="AJ1280" s="34" t="s">
        <v>3856</v>
      </c>
      <c r="AK1280" s="34" t="s">
        <v>5836</v>
      </c>
      <c r="AL1280" s="34">
        <v>56</v>
      </c>
      <c r="AM1280" s="40" t="s">
        <v>8095</v>
      </c>
      <c r="AT1280" s="44">
        <v>0</v>
      </c>
      <c r="AU1280" s="44"/>
      <c r="AV1280" s="46">
        <f>ROUND(Товары[[#This Row],[РРЦ финальная, руб.]]/$AU$1,2)</f>
        <v>0</v>
      </c>
      <c r="AW1280" s="45" t="str">
        <f>IFERROR(Товары[[#This Row],[РРЦ, евро]]/Товары[[#This Row],[IRP, Eur]],"-")</f>
        <v>-</v>
      </c>
      <c r="AX1280" s="42">
        <f>IFERROR(VLOOKUP(Товары[[#This Row],[SubGroup]],'Структура цен DIY'!$B:$C,2,FALSE),0)</f>
        <v>0.28999999999999998</v>
      </c>
      <c r="AY1280" s="44">
        <v>0</v>
      </c>
    </row>
    <row r="1281" spans="1:51" x14ac:dyDescent="0.25">
      <c r="A1281" s="34">
        <v>1279</v>
      </c>
      <c r="B1281" s="34" t="s">
        <v>49</v>
      </c>
      <c r="C1281" s="110" t="str">
        <f>IFERROR(INDEX(Структура_ассортимента[SuperCategory],MATCH(Товары[[#This Row],[SubGroup]],Структура_ассортимента[Subgroup],0)),"")</f>
        <v>W</v>
      </c>
      <c r="D128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8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81" s="110" t="str">
        <f>IFERROR(INDEX(Структура_ассортимента[Product group],MATCH(Товары[[#This Row],[SubGroup]],Структура_ассортимента[Subgroup],0)),"")</f>
        <v>WMS_C</v>
      </c>
      <c r="G1281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81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81" s="36">
        <v>9021</v>
      </c>
      <c r="J1281" s="36" t="str">
        <f>IFERROR(INDEX(Структура_ассортимента[Generic Name (long)],MATCH(Товары[[#This Row],[SubGroup]],Структура_ассортимента[Subgroup],0)),"")</f>
        <v>WATERING SET</v>
      </c>
      <c r="L1281" s="36">
        <v>966971401</v>
      </c>
      <c r="M1281" s="35" t="s">
        <v>2957</v>
      </c>
      <c r="Q1281" s="34" t="s">
        <v>3549</v>
      </c>
      <c r="R1281" s="34" t="s">
        <v>3540</v>
      </c>
      <c r="S1281" s="47">
        <v>39722</v>
      </c>
      <c r="T1281" s="47">
        <v>0</v>
      </c>
      <c r="U1281" s="47">
        <v>0</v>
      </c>
      <c r="V1281" s="34">
        <v>4078500814119</v>
      </c>
      <c r="W1281" s="34" t="s">
        <v>3547</v>
      </c>
      <c r="X1281" s="34" t="s">
        <v>3704</v>
      </c>
      <c r="Y1281" s="34" t="s">
        <v>3542</v>
      </c>
      <c r="Z1281" s="34">
        <v>70</v>
      </c>
      <c r="AA1281" s="34" t="s">
        <v>3917</v>
      </c>
      <c r="AB1281" s="34" t="s">
        <v>3917</v>
      </c>
      <c r="AC1281" s="34" t="s">
        <v>6495</v>
      </c>
      <c r="AD1281" s="34" t="s">
        <v>6495</v>
      </c>
      <c r="AI1281" s="34" t="s">
        <v>3978</v>
      </c>
      <c r="AJ1281" s="34" t="s">
        <v>6798</v>
      </c>
      <c r="AK1281" s="34" t="s">
        <v>3624</v>
      </c>
      <c r="AL1281" s="34">
        <v>840</v>
      </c>
      <c r="AM1281" s="40" t="s">
        <v>8095</v>
      </c>
      <c r="AT1281" s="44">
        <v>0</v>
      </c>
      <c r="AU1281" s="44"/>
      <c r="AV1281" s="46">
        <f>ROUND(Товары[[#This Row],[РРЦ финальная, руб.]]/$AU$1,2)</f>
        <v>0</v>
      </c>
      <c r="AW1281" s="45" t="str">
        <f>IFERROR(Товары[[#This Row],[РРЦ, евро]]/Товары[[#This Row],[IRP, Eur]],"-")</f>
        <v>-</v>
      </c>
      <c r="AX1281" s="42">
        <f>IFERROR(VLOOKUP(Товары[[#This Row],[SubGroup]],'Структура цен DIY'!$B:$C,2,FALSE),0)</f>
        <v>0.28999999999999998</v>
      </c>
      <c r="AY1281" s="44">
        <v>0</v>
      </c>
    </row>
    <row r="1282" spans="1:51" x14ac:dyDescent="0.25">
      <c r="A1282" s="34">
        <v>1280</v>
      </c>
      <c r="B1282" s="34" t="s">
        <v>49</v>
      </c>
      <c r="C1282" s="110" t="str">
        <f>IFERROR(INDEX(Структура_ассортимента[SuperCategory],MATCH(Товары[[#This Row],[SubGroup]],Структура_ассортимента[Subgroup],0)),"")</f>
        <v>W</v>
      </c>
      <c r="D128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8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82" s="110" t="str">
        <f>IFERROR(INDEX(Структура_ассортимента[Product group],MATCH(Товары[[#This Row],[SubGroup]],Структура_ассортимента[Subgroup],0)),"")</f>
        <v>WMS_C</v>
      </c>
      <c r="G1282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82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82" s="36">
        <v>9021</v>
      </c>
      <c r="J1282" s="36" t="str">
        <f>IFERROR(INDEX(Структура_ассортимента[Generic Name (long)],MATCH(Товары[[#This Row],[SubGroup]],Структура_ассортимента[Subgroup],0)),"")</f>
        <v>WATERING SET</v>
      </c>
      <c r="L1282" s="36">
        <v>901154001</v>
      </c>
      <c r="M1282" s="35" t="s">
        <v>2958</v>
      </c>
      <c r="O1282" s="35" t="s">
        <v>6801</v>
      </c>
      <c r="P1282" s="37" t="s">
        <v>6813</v>
      </c>
      <c r="Q1282" s="34" t="s">
        <v>3549</v>
      </c>
      <c r="R1282" s="34" t="s">
        <v>3540</v>
      </c>
      <c r="S1282" s="47">
        <v>39722</v>
      </c>
      <c r="T1282" s="47">
        <v>0</v>
      </c>
      <c r="U1282" s="47">
        <v>0</v>
      </c>
      <c r="V1282" s="34">
        <v>4078500814102</v>
      </c>
      <c r="W1282" s="34" t="s">
        <v>3543</v>
      </c>
      <c r="X1282" s="34" t="s">
        <v>3704</v>
      </c>
      <c r="Y1282" s="34" t="s">
        <v>3542</v>
      </c>
      <c r="Z1282" s="34">
        <v>5</v>
      </c>
      <c r="AA1282" s="34" t="s">
        <v>6085</v>
      </c>
      <c r="AB1282" s="34" t="s">
        <v>6085</v>
      </c>
      <c r="AC1282" s="34" t="s">
        <v>4106</v>
      </c>
      <c r="AD1282" s="34" t="s">
        <v>4106</v>
      </c>
      <c r="AE1282" s="34" t="s">
        <v>4582</v>
      </c>
      <c r="AF1282" s="34" t="s">
        <v>3818</v>
      </c>
      <c r="AG1282" s="34" t="s">
        <v>4324</v>
      </c>
      <c r="AH1282" s="34" t="s">
        <v>6814</v>
      </c>
      <c r="AI1282" s="34" t="s">
        <v>3978</v>
      </c>
      <c r="AJ1282" s="34" t="s">
        <v>6798</v>
      </c>
      <c r="AK1282" s="34" t="s">
        <v>3624</v>
      </c>
      <c r="AL1282" s="34">
        <v>125</v>
      </c>
      <c r="AM1282" s="40" t="s">
        <v>9</v>
      </c>
      <c r="AP1282" s="34">
        <v>0</v>
      </c>
      <c r="AQ1282" s="34">
        <v>3190</v>
      </c>
      <c r="AR1282" s="34">
        <v>1861</v>
      </c>
      <c r="AT1282" s="44">
        <v>247100</v>
      </c>
      <c r="AU1282" s="44"/>
      <c r="AV1282" s="46">
        <f>ROUND(Товары[[#This Row],[РРЦ финальная, руб.]]/$AU$1,2)</f>
        <v>0</v>
      </c>
      <c r="AW1282" s="45" t="str">
        <f>IFERROR(Товары[[#This Row],[РРЦ, евро]]/Товары[[#This Row],[IRP, Eur]],"-")</f>
        <v>-</v>
      </c>
      <c r="AX1282" s="42">
        <f>IFERROR(VLOOKUP(Товары[[#This Row],[SubGroup]],'Структура цен DIY'!$B:$C,2,FALSE),0)</f>
        <v>0.28999999999999998</v>
      </c>
      <c r="AY1282" s="44">
        <v>0</v>
      </c>
    </row>
    <row r="1283" spans="1:51" x14ac:dyDescent="0.25">
      <c r="A1283" s="34">
        <v>1281</v>
      </c>
      <c r="B1283" s="34" t="s">
        <v>49</v>
      </c>
      <c r="C1283" s="110" t="str">
        <f>IFERROR(INDEX(Структура_ассортимента[SuperCategory],MATCH(Товары[[#This Row],[SubGroup]],Структура_ассортимента[Subgroup],0)),"")</f>
        <v>W</v>
      </c>
      <c r="D128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8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83" s="110" t="str">
        <f>IFERROR(INDEX(Структура_ассортимента[Product group],MATCH(Товары[[#This Row],[SubGroup]],Структура_ассортимента[Subgroup],0)),"")</f>
        <v>WMS_C</v>
      </c>
      <c r="G1283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83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83" s="36">
        <v>9021</v>
      </c>
      <c r="J1283" s="36" t="str">
        <f>IFERROR(INDEX(Структура_ассортимента[Generic Name (long)],MATCH(Товары[[#This Row],[SubGroup]],Структура_ассортимента[Subgroup],0)),"")</f>
        <v>WATERING SET</v>
      </c>
      <c r="L1283" s="36">
        <v>966971601</v>
      </c>
      <c r="M1283" s="35" t="s">
        <v>2959</v>
      </c>
      <c r="Q1283" s="34" t="s">
        <v>3549</v>
      </c>
      <c r="R1283" s="34" t="s">
        <v>3540</v>
      </c>
      <c r="S1283" s="47">
        <v>39722</v>
      </c>
      <c r="T1283" s="47">
        <v>0</v>
      </c>
      <c r="U1283" s="47">
        <v>0</v>
      </c>
      <c r="V1283" s="34">
        <v>4078500814416</v>
      </c>
      <c r="W1283" s="34" t="s">
        <v>3543</v>
      </c>
      <c r="X1283" s="34" t="s">
        <v>3579</v>
      </c>
      <c r="Y1283" s="34" t="s">
        <v>3542</v>
      </c>
      <c r="Z1283" s="34">
        <v>70</v>
      </c>
      <c r="AA1283" s="34" t="s">
        <v>3995</v>
      </c>
      <c r="AB1283" s="34" t="s">
        <v>3995</v>
      </c>
      <c r="AC1283" s="34" t="s">
        <v>6602</v>
      </c>
      <c r="AD1283" s="34" t="s">
        <v>6602</v>
      </c>
      <c r="AE1283" s="34" t="s">
        <v>3800</v>
      </c>
      <c r="AF1283" s="34" t="s">
        <v>4181</v>
      </c>
      <c r="AG1283" s="34" t="s">
        <v>3911</v>
      </c>
      <c r="AH1283" s="34" t="s">
        <v>6815</v>
      </c>
      <c r="AI1283" s="34" t="s">
        <v>4793</v>
      </c>
      <c r="AJ1283" s="34" t="s">
        <v>5728</v>
      </c>
      <c r="AK1283" s="34" t="s">
        <v>4659</v>
      </c>
      <c r="AL1283" s="34">
        <v>840</v>
      </c>
      <c r="AM1283" s="40" t="s">
        <v>8095</v>
      </c>
      <c r="AT1283" s="44">
        <v>0</v>
      </c>
      <c r="AU1283" s="44"/>
      <c r="AV1283" s="46">
        <f>ROUND(Товары[[#This Row],[РРЦ финальная, руб.]]/$AU$1,2)</f>
        <v>0</v>
      </c>
      <c r="AW1283" s="45" t="str">
        <f>IFERROR(Товары[[#This Row],[РРЦ, евро]]/Товары[[#This Row],[IRP, Eur]],"-")</f>
        <v>-</v>
      </c>
      <c r="AX1283" s="42">
        <f>IFERROR(VLOOKUP(Товары[[#This Row],[SubGroup]],'Структура цен DIY'!$B:$C,2,FALSE),0)</f>
        <v>0.28999999999999998</v>
      </c>
      <c r="AY1283" s="44">
        <v>0</v>
      </c>
    </row>
    <row r="1284" spans="1:51" x14ac:dyDescent="0.25">
      <c r="A1284" s="34">
        <v>1282</v>
      </c>
      <c r="B1284" s="34" t="s">
        <v>49</v>
      </c>
      <c r="C1284" s="110" t="str">
        <f>IFERROR(INDEX(Структура_ассортимента[SuperCategory],MATCH(Товары[[#This Row],[SubGroup]],Структура_ассортимента[Subgroup],0)),"")</f>
        <v>W</v>
      </c>
      <c r="D128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8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84" s="110" t="str">
        <f>IFERROR(INDEX(Структура_ассортимента[Product group],MATCH(Товары[[#This Row],[SubGroup]],Структура_ассортимента[Subgroup],0)),"")</f>
        <v>WMS_C</v>
      </c>
      <c r="G1284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84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84" s="36">
        <v>9021</v>
      </c>
      <c r="J1284" s="36" t="str">
        <f>IFERROR(INDEX(Структура_ассортимента[Generic Name (long)],MATCH(Товары[[#This Row],[SubGroup]],Структура_ассортимента[Subgroup],0)),"")</f>
        <v>WATERING SET</v>
      </c>
      <c r="L1284" s="36">
        <v>901154201</v>
      </c>
      <c r="M1284" s="35" t="s">
        <v>2960</v>
      </c>
      <c r="O1284" s="35" t="s">
        <v>6816</v>
      </c>
      <c r="P1284" s="37" t="s">
        <v>6817</v>
      </c>
      <c r="Q1284" s="34" t="s">
        <v>3549</v>
      </c>
      <c r="R1284" s="34" t="s">
        <v>3540</v>
      </c>
      <c r="S1284" s="47">
        <v>39722</v>
      </c>
      <c r="T1284" s="47">
        <v>0</v>
      </c>
      <c r="U1284" s="47">
        <v>0</v>
      </c>
      <c r="V1284" s="34">
        <v>4078500814409</v>
      </c>
      <c r="W1284" s="34" t="s">
        <v>3543</v>
      </c>
      <c r="X1284" s="34" t="s">
        <v>3579</v>
      </c>
      <c r="Y1284" s="34" t="s">
        <v>3542</v>
      </c>
      <c r="Z1284" s="34">
        <v>5</v>
      </c>
      <c r="AA1284" s="34" t="s">
        <v>4136</v>
      </c>
      <c r="AB1284" s="34" t="s">
        <v>4136</v>
      </c>
      <c r="AC1284" s="34" t="s">
        <v>6818</v>
      </c>
      <c r="AD1284" s="34" t="s">
        <v>6818</v>
      </c>
      <c r="AE1284" s="34" t="s">
        <v>4582</v>
      </c>
      <c r="AF1284" s="34" t="s">
        <v>3818</v>
      </c>
      <c r="AG1284" s="34" t="s">
        <v>6501</v>
      </c>
      <c r="AH1284" s="34" t="s">
        <v>6819</v>
      </c>
      <c r="AI1284" s="34" t="s">
        <v>4793</v>
      </c>
      <c r="AJ1284" s="34" t="s">
        <v>5728</v>
      </c>
      <c r="AK1284" s="34" t="s">
        <v>4659</v>
      </c>
      <c r="AL1284" s="34">
        <v>125</v>
      </c>
      <c r="AM1284" s="40" t="s">
        <v>9</v>
      </c>
      <c r="AP1284" s="34">
        <v>0</v>
      </c>
      <c r="AQ1284" s="34">
        <v>3690</v>
      </c>
      <c r="AR1284" s="34">
        <v>2153</v>
      </c>
      <c r="AT1284" s="44">
        <v>285800</v>
      </c>
      <c r="AU1284" s="44"/>
      <c r="AV1284" s="46">
        <f>ROUND(Товары[[#This Row],[РРЦ финальная, руб.]]/$AU$1,2)</f>
        <v>0</v>
      </c>
      <c r="AW1284" s="45" t="str">
        <f>IFERROR(Товары[[#This Row],[РРЦ, евро]]/Товары[[#This Row],[IRP, Eur]],"-")</f>
        <v>-</v>
      </c>
      <c r="AX1284" s="42">
        <f>IFERROR(VLOOKUP(Товары[[#This Row],[SubGroup]],'Структура цен DIY'!$B:$C,2,FALSE),0)</f>
        <v>0.28999999999999998</v>
      </c>
      <c r="AY1284" s="44">
        <v>0</v>
      </c>
    </row>
    <row r="1285" spans="1:51" x14ac:dyDescent="0.25">
      <c r="A1285" s="34">
        <v>1283</v>
      </c>
      <c r="B1285" s="34" t="s">
        <v>49</v>
      </c>
      <c r="C1285" s="110" t="str">
        <f>IFERROR(INDEX(Структура_ассортимента[SuperCategory],MATCH(Товары[[#This Row],[SubGroup]],Структура_ассортимента[Subgroup],0)),"")</f>
        <v>W</v>
      </c>
      <c r="D128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8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85" s="110" t="str">
        <f>IFERROR(INDEX(Структура_ассортимента[Product group],MATCH(Товары[[#This Row],[SubGroup]],Структура_ассортимента[Subgroup],0)),"")</f>
        <v>WMS_C</v>
      </c>
      <c r="G1285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85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85" s="36">
        <v>9021</v>
      </c>
      <c r="J1285" s="36" t="str">
        <f>IFERROR(INDEX(Структура_ассортимента[Generic Name (long)],MATCH(Товары[[#This Row],[SubGroup]],Структура_ассортимента[Subgroup],0)),"")</f>
        <v>WATERING SET</v>
      </c>
      <c r="L1285" s="36">
        <v>966971501</v>
      </c>
      <c r="M1285" s="35" t="s">
        <v>2961</v>
      </c>
      <c r="Q1285" s="34" t="s">
        <v>3549</v>
      </c>
      <c r="R1285" s="34" t="s">
        <v>3540</v>
      </c>
      <c r="S1285" s="47">
        <v>39722</v>
      </c>
      <c r="T1285" s="47">
        <v>0</v>
      </c>
      <c r="U1285" s="47">
        <v>0</v>
      </c>
      <c r="V1285" s="34">
        <v>4078500814317</v>
      </c>
      <c r="W1285" s="34" t="s">
        <v>3541</v>
      </c>
      <c r="X1285" s="34" t="s">
        <v>3704</v>
      </c>
      <c r="Y1285" s="34" t="s">
        <v>3542</v>
      </c>
      <c r="Z1285" s="34">
        <v>10</v>
      </c>
      <c r="AA1285" s="34" t="s">
        <v>5323</v>
      </c>
      <c r="AB1285" s="34" t="s">
        <v>5323</v>
      </c>
      <c r="AC1285" s="34" t="s">
        <v>5179</v>
      </c>
      <c r="AD1285" s="34" t="s">
        <v>5179</v>
      </c>
      <c r="AE1285" s="34" t="s">
        <v>3819</v>
      </c>
      <c r="AF1285" s="34" t="s">
        <v>4203</v>
      </c>
      <c r="AG1285" s="34" t="s">
        <v>4335</v>
      </c>
      <c r="AH1285" s="34" t="s">
        <v>6820</v>
      </c>
      <c r="AI1285" s="34" t="s">
        <v>4203</v>
      </c>
      <c r="AJ1285" s="34" t="s">
        <v>3955</v>
      </c>
      <c r="AK1285" s="34" t="s">
        <v>3836</v>
      </c>
      <c r="AL1285" s="34">
        <v>100</v>
      </c>
      <c r="AM1285" s="40" t="s">
        <v>8095</v>
      </c>
      <c r="AT1285" s="44">
        <v>0</v>
      </c>
      <c r="AU1285" s="44"/>
      <c r="AV1285" s="46">
        <f>ROUND(Товары[[#This Row],[РРЦ финальная, руб.]]/$AU$1,2)</f>
        <v>0</v>
      </c>
      <c r="AW1285" s="45" t="str">
        <f>IFERROR(Товары[[#This Row],[РРЦ, евро]]/Товары[[#This Row],[IRP, Eur]],"-")</f>
        <v>-</v>
      </c>
      <c r="AX1285" s="42">
        <f>IFERROR(VLOOKUP(Товары[[#This Row],[SubGroup]],'Структура цен DIY'!$B:$C,2,FALSE),0)</f>
        <v>0.28999999999999998</v>
      </c>
      <c r="AY1285" s="44">
        <v>0</v>
      </c>
    </row>
    <row r="1286" spans="1:51" x14ac:dyDescent="0.25">
      <c r="A1286" s="34">
        <v>1284</v>
      </c>
      <c r="B1286" s="34" t="s">
        <v>49</v>
      </c>
      <c r="C1286" s="110" t="str">
        <f>IFERROR(INDEX(Структура_ассортимента[SuperCategory],MATCH(Товары[[#This Row],[SubGroup]],Структура_ассортимента[Subgroup],0)),"")</f>
        <v>W</v>
      </c>
      <c r="D128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8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86" s="110" t="str">
        <f>IFERROR(INDEX(Структура_ассортимента[Product group],MATCH(Товары[[#This Row],[SubGroup]],Структура_ассортимента[Subgroup],0)),"")</f>
        <v>WMS_C</v>
      </c>
      <c r="G1286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86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86" s="36">
        <v>9021</v>
      </c>
      <c r="J1286" s="36" t="str">
        <f>IFERROR(INDEX(Структура_ассортимента[Generic Name (long)],MATCH(Товары[[#This Row],[SubGroup]],Структура_ассортимента[Subgroup],0)),"")</f>
        <v>WATERING SET</v>
      </c>
      <c r="L1286" s="36">
        <v>901154101</v>
      </c>
      <c r="M1286" s="35" t="s">
        <v>2962</v>
      </c>
      <c r="Q1286" s="34" t="s">
        <v>3549</v>
      </c>
      <c r="R1286" s="34" t="s">
        <v>3540</v>
      </c>
      <c r="S1286" s="47">
        <v>39722</v>
      </c>
      <c r="T1286" s="47">
        <v>0</v>
      </c>
      <c r="U1286" s="47">
        <v>0</v>
      </c>
      <c r="V1286" s="34">
        <v>4078500814300</v>
      </c>
      <c r="W1286" s="34" t="s">
        <v>3543</v>
      </c>
      <c r="X1286" s="34" t="s">
        <v>3579</v>
      </c>
      <c r="Y1286" s="34" t="s">
        <v>3542</v>
      </c>
      <c r="Z1286" s="34">
        <v>5</v>
      </c>
      <c r="AA1286" s="34" t="s">
        <v>4786</v>
      </c>
      <c r="AB1286" s="34" t="s">
        <v>4786</v>
      </c>
      <c r="AC1286" s="34" t="s">
        <v>6305</v>
      </c>
      <c r="AD1286" s="34" t="s">
        <v>6305</v>
      </c>
      <c r="AE1286" s="34" t="s">
        <v>6734</v>
      </c>
      <c r="AF1286" s="34" t="s">
        <v>5006</v>
      </c>
      <c r="AG1286" s="34" t="s">
        <v>5028</v>
      </c>
      <c r="AH1286" s="34" t="s">
        <v>6735</v>
      </c>
      <c r="AI1286" s="34" t="s">
        <v>4203</v>
      </c>
      <c r="AJ1286" s="34" t="s">
        <v>3955</v>
      </c>
      <c r="AK1286" s="34" t="s">
        <v>3836</v>
      </c>
      <c r="AL1286" s="34">
        <v>90</v>
      </c>
      <c r="AM1286" s="40" t="s">
        <v>8095</v>
      </c>
      <c r="AT1286" s="44">
        <v>0</v>
      </c>
      <c r="AU1286" s="44"/>
      <c r="AV1286" s="46">
        <f>ROUND(Товары[[#This Row],[РРЦ финальная, руб.]]/$AU$1,2)</f>
        <v>0</v>
      </c>
      <c r="AW1286" s="45" t="str">
        <f>IFERROR(Товары[[#This Row],[РРЦ, евро]]/Товары[[#This Row],[IRP, Eur]],"-")</f>
        <v>-</v>
      </c>
      <c r="AX1286" s="42">
        <f>IFERROR(VLOOKUP(Товары[[#This Row],[SubGroup]],'Структура цен DIY'!$B:$C,2,FALSE),0)</f>
        <v>0.28999999999999998</v>
      </c>
      <c r="AY1286" s="44">
        <v>0</v>
      </c>
    </row>
    <row r="1287" spans="1:51" x14ac:dyDescent="0.25">
      <c r="A1287" s="34">
        <v>1285</v>
      </c>
      <c r="B1287" s="34" t="s">
        <v>49</v>
      </c>
      <c r="C1287" s="110" t="str">
        <f>IFERROR(INDEX(Структура_ассортимента[SuperCategory],MATCH(Товары[[#This Row],[SubGroup]],Структура_ассортимента[Subgroup],0)),"")</f>
        <v>W</v>
      </c>
      <c r="D128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8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87" s="110" t="str">
        <f>IFERROR(INDEX(Структура_ассортимента[Product group],MATCH(Товары[[#This Row],[SubGroup]],Структура_ассортимента[Subgroup],0)),"")</f>
        <v>WMS_C</v>
      </c>
      <c r="G1287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87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87" s="36">
        <v>9021</v>
      </c>
      <c r="J1287" s="36" t="str">
        <f>IFERROR(INDEX(Структура_ассортимента[Generic Name (long)],MATCH(Товары[[#This Row],[SubGroup]],Структура_ассортимента[Subgroup],0)),"")</f>
        <v>WATERING SET</v>
      </c>
      <c r="L1287" s="36">
        <v>967976201</v>
      </c>
      <c r="M1287" s="35" t="s">
        <v>2963</v>
      </c>
      <c r="O1287" s="35" t="s">
        <v>6821</v>
      </c>
      <c r="P1287" s="37" t="s">
        <v>6822</v>
      </c>
      <c r="Q1287" s="34" t="s">
        <v>3549</v>
      </c>
      <c r="R1287" s="34" t="s">
        <v>3540</v>
      </c>
      <c r="S1287" s="47">
        <v>43831</v>
      </c>
      <c r="T1287" s="47">
        <v>0</v>
      </c>
      <c r="U1287" s="47">
        <v>0</v>
      </c>
      <c r="V1287" s="34">
        <v>4078500047999</v>
      </c>
      <c r="W1287" s="34" t="s">
        <v>3543</v>
      </c>
      <c r="X1287" s="34" t="s">
        <v>3579</v>
      </c>
      <c r="Y1287" s="34" t="s">
        <v>3542</v>
      </c>
      <c r="Z1287" s="34">
        <v>10</v>
      </c>
      <c r="AA1287" s="34" t="s">
        <v>6823</v>
      </c>
      <c r="AB1287" s="34" t="s">
        <v>4502</v>
      </c>
      <c r="AC1287" s="34" t="s">
        <v>6824</v>
      </c>
      <c r="AD1287" s="34" t="s">
        <v>4939</v>
      </c>
      <c r="AE1287" s="34" t="s">
        <v>3857</v>
      </c>
      <c r="AF1287" s="34" t="s">
        <v>3588</v>
      </c>
      <c r="AG1287" s="34" t="s">
        <v>3800</v>
      </c>
      <c r="AH1287" s="34" t="s">
        <v>6763</v>
      </c>
      <c r="AI1287" s="34" t="s">
        <v>3857</v>
      </c>
      <c r="AJ1287" s="34" t="s">
        <v>6825</v>
      </c>
      <c r="AK1287" s="34" t="s">
        <v>6826</v>
      </c>
      <c r="AL1287" s="34" t="s">
        <v>5150</v>
      </c>
      <c r="AM1287" s="40" t="s">
        <v>10</v>
      </c>
      <c r="AP1287" s="34">
        <v>0</v>
      </c>
      <c r="AQ1287" s="34">
        <v>1690</v>
      </c>
      <c r="AR1287" s="34">
        <v>986</v>
      </c>
      <c r="AT1287" s="44">
        <v>130900</v>
      </c>
      <c r="AU1287" s="44"/>
      <c r="AV1287" s="46">
        <f>ROUND(Товары[[#This Row],[РРЦ финальная, руб.]]/$AU$1,2)</f>
        <v>0</v>
      </c>
      <c r="AW1287" s="45" t="str">
        <f>IFERROR(Товары[[#This Row],[РРЦ, евро]]/Товары[[#This Row],[IRP, Eur]],"-")</f>
        <v>-</v>
      </c>
      <c r="AX1287" s="42">
        <f>IFERROR(VLOOKUP(Товары[[#This Row],[SubGroup]],'Структура цен DIY'!$B:$C,2,FALSE),0)</f>
        <v>0.28999999999999998</v>
      </c>
      <c r="AY1287" s="44">
        <v>0</v>
      </c>
    </row>
    <row r="1288" spans="1:51" x14ac:dyDescent="0.25">
      <c r="A1288" s="34">
        <v>1286</v>
      </c>
      <c r="B1288" s="34" t="s">
        <v>49</v>
      </c>
      <c r="C1288" s="110" t="str">
        <f>IFERROR(INDEX(Структура_ассортимента[SuperCategory],MATCH(Товары[[#This Row],[SubGroup]],Структура_ассортимента[Subgroup],0)),"")</f>
        <v>W</v>
      </c>
      <c r="D128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8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88" s="110" t="str">
        <f>IFERROR(INDEX(Структура_ассортимента[Product group],MATCH(Товары[[#This Row],[SubGroup]],Структура_ассортимента[Subgroup],0)),"")</f>
        <v>WMS_C</v>
      </c>
      <c r="G1288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88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88" s="36">
        <v>9021</v>
      </c>
      <c r="J1288" s="36" t="str">
        <f>IFERROR(INDEX(Структура_ассортимента[Generic Name (long)],MATCH(Товары[[#This Row],[SubGroup]],Структура_ассортимента[Subgroup],0)),"")</f>
        <v>WATERING SET</v>
      </c>
      <c r="L1288" s="36">
        <v>967989601</v>
      </c>
      <c r="M1288" s="35" t="s">
        <v>2964</v>
      </c>
      <c r="Q1288" s="34" t="s">
        <v>3549</v>
      </c>
      <c r="R1288" s="34" t="s">
        <v>3540</v>
      </c>
      <c r="S1288" s="47">
        <v>43831</v>
      </c>
      <c r="T1288" s="47">
        <v>0</v>
      </c>
      <c r="U1288" s="47">
        <v>0</v>
      </c>
      <c r="V1288" s="34">
        <v>4078500049238</v>
      </c>
      <c r="W1288" s="34" t="s">
        <v>3543</v>
      </c>
      <c r="X1288" s="34" t="s">
        <v>3579</v>
      </c>
      <c r="Y1288" s="34" t="s">
        <v>3542</v>
      </c>
      <c r="Z1288" s="34">
        <v>60</v>
      </c>
      <c r="AB1288" s="34" t="s">
        <v>4388</v>
      </c>
      <c r="AD1288" s="34" t="s">
        <v>4179</v>
      </c>
      <c r="AE1288" s="34" t="s">
        <v>3857</v>
      </c>
      <c r="AF1288" s="34" t="s">
        <v>3588</v>
      </c>
      <c r="AG1288" s="34" t="s">
        <v>3800</v>
      </c>
      <c r="AH1288" s="34" t="s">
        <v>6763</v>
      </c>
      <c r="AL1288" s="34" t="s">
        <v>3593</v>
      </c>
      <c r="AM1288" s="40" t="s">
        <v>8095</v>
      </c>
      <c r="AT1288" s="44">
        <v>0</v>
      </c>
      <c r="AU1288" s="44"/>
      <c r="AV1288" s="46">
        <f>ROUND(Товары[[#This Row],[РРЦ финальная, руб.]]/$AU$1,2)</f>
        <v>0</v>
      </c>
      <c r="AW1288" s="45" t="str">
        <f>IFERROR(Товары[[#This Row],[РРЦ, евро]]/Товары[[#This Row],[IRP, Eur]],"-")</f>
        <v>-</v>
      </c>
      <c r="AX1288" s="42">
        <f>IFERROR(VLOOKUP(Товары[[#This Row],[SubGroup]],'Структура цен DIY'!$B:$C,2,FALSE),0)</f>
        <v>0.28999999999999998</v>
      </c>
      <c r="AY1288" s="44">
        <v>0</v>
      </c>
    </row>
    <row r="1289" spans="1:51" x14ac:dyDescent="0.25">
      <c r="A1289" s="34">
        <v>1287</v>
      </c>
      <c r="B1289" s="34" t="s">
        <v>49</v>
      </c>
      <c r="C1289" s="110" t="str">
        <f>IFERROR(INDEX(Структура_ассортимента[SuperCategory],MATCH(Товары[[#This Row],[SubGroup]],Структура_ассортимента[Subgroup],0)),"")</f>
        <v>W</v>
      </c>
      <c r="D128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8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89" s="110" t="str">
        <f>IFERROR(INDEX(Структура_ассортимента[Product group],MATCH(Товары[[#This Row],[SubGroup]],Структура_ассортимента[Subgroup],0)),"")</f>
        <v>WMS_C</v>
      </c>
      <c r="G1289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89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89" s="36">
        <v>9021</v>
      </c>
      <c r="J1289" s="36" t="str">
        <f>IFERROR(INDEX(Структура_ассортимента[Generic Name (long)],MATCH(Товары[[#This Row],[SubGroup]],Структура_ассортимента[Subgroup],0)),"")</f>
        <v>WATERING SET</v>
      </c>
      <c r="L1289" s="36">
        <v>967989701</v>
      </c>
      <c r="M1289" s="35" t="s">
        <v>2965</v>
      </c>
      <c r="O1289" s="35" t="s">
        <v>6827</v>
      </c>
      <c r="P1289" s="37" t="s">
        <v>6828</v>
      </c>
      <c r="Q1289" s="34" t="s">
        <v>3549</v>
      </c>
      <c r="R1289" s="34" t="s">
        <v>3540</v>
      </c>
      <c r="S1289" s="47">
        <v>43831</v>
      </c>
      <c r="T1289" s="47">
        <v>0</v>
      </c>
      <c r="U1289" s="47">
        <v>0</v>
      </c>
      <c r="V1289" s="34">
        <v>4078500049214</v>
      </c>
      <c r="W1289" s="34" t="s">
        <v>3543</v>
      </c>
      <c r="X1289" s="34" t="s">
        <v>3579</v>
      </c>
      <c r="Y1289" s="34" t="s">
        <v>3542</v>
      </c>
      <c r="Z1289" s="34">
        <v>30</v>
      </c>
      <c r="AB1289" s="34" t="s">
        <v>3751</v>
      </c>
      <c r="AD1289" s="34" t="s">
        <v>4939</v>
      </c>
      <c r="AE1289" s="34" t="s">
        <v>6755</v>
      </c>
      <c r="AF1289" s="34" t="s">
        <v>3560</v>
      </c>
      <c r="AG1289" s="34" t="s">
        <v>3800</v>
      </c>
      <c r="AH1289" s="34" t="s">
        <v>6756</v>
      </c>
      <c r="AL1289" s="34" t="s">
        <v>3593</v>
      </c>
      <c r="AM1289" s="40" t="s">
        <v>10</v>
      </c>
      <c r="AP1289" s="34">
        <v>0</v>
      </c>
      <c r="AQ1289" s="34">
        <v>1690</v>
      </c>
      <c r="AR1289" s="34">
        <v>986</v>
      </c>
      <c r="AT1289" s="44">
        <v>130900</v>
      </c>
      <c r="AU1289" s="44"/>
      <c r="AV1289" s="46">
        <f>ROUND(Товары[[#This Row],[РРЦ финальная, руб.]]/$AU$1,2)</f>
        <v>0</v>
      </c>
      <c r="AW1289" s="45" t="str">
        <f>IFERROR(Товары[[#This Row],[РРЦ, евро]]/Товары[[#This Row],[IRP, Eur]],"-")</f>
        <v>-</v>
      </c>
      <c r="AX1289" s="42">
        <f>IFERROR(VLOOKUP(Товары[[#This Row],[SubGroup]],'Структура цен DIY'!$B:$C,2,FALSE),0)</f>
        <v>0.28999999999999998</v>
      </c>
      <c r="AY1289" s="44">
        <v>0</v>
      </c>
    </row>
    <row r="1290" spans="1:51" x14ac:dyDescent="0.25">
      <c r="A1290" s="34">
        <v>1288</v>
      </c>
      <c r="B1290" s="34" t="s">
        <v>49</v>
      </c>
      <c r="C1290" s="110" t="str">
        <f>IFERROR(INDEX(Структура_ассортимента[SuperCategory],MATCH(Товары[[#This Row],[SubGroup]],Структура_ассортимента[Subgroup],0)),"")</f>
        <v>W</v>
      </c>
      <c r="D129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9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90" s="110" t="str">
        <f>IFERROR(INDEX(Структура_ассортимента[Product group],MATCH(Товары[[#This Row],[SubGroup]],Структура_ассортимента[Subgroup],0)),"")</f>
        <v>WMS_C</v>
      </c>
      <c r="G1290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90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90" s="36">
        <v>9021</v>
      </c>
      <c r="J1290" s="36" t="str">
        <f>IFERROR(INDEX(Структура_ассортимента[Generic Name (long)],MATCH(Товары[[#This Row],[SubGroup]],Структура_ассортимента[Subgroup],0)),"")</f>
        <v>WATERING SET</v>
      </c>
      <c r="L1290" s="36">
        <v>967999501</v>
      </c>
      <c r="M1290" s="35" t="s">
        <v>2966</v>
      </c>
      <c r="O1290" s="35" t="s">
        <v>6829</v>
      </c>
      <c r="P1290" s="37" t="s">
        <v>6830</v>
      </c>
      <c r="Q1290" s="34" t="s">
        <v>3549</v>
      </c>
      <c r="R1290" s="34" t="s">
        <v>3540</v>
      </c>
      <c r="S1290" s="47">
        <v>43831</v>
      </c>
      <c r="T1290" s="47">
        <v>0</v>
      </c>
      <c r="U1290" s="47">
        <v>0</v>
      </c>
      <c r="V1290" s="34">
        <v>4078500049627</v>
      </c>
      <c r="W1290" s="34" t="s">
        <v>3543</v>
      </c>
      <c r="X1290" s="34" t="s">
        <v>3579</v>
      </c>
      <c r="Y1290" s="34" t="s">
        <v>3542</v>
      </c>
      <c r="Z1290" s="34">
        <v>16</v>
      </c>
      <c r="AB1290" s="34" t="s">
        <v>6831</v>
      </c>
      <c r="AD1290" s="34" t="s">
        <v>3762</v>
      </c>
      <c r="AE1290" s="34" t="s">
        <v>3857</v>
      </c>
      <c r="AF1290" s="34" t="s">
        <v>3588</v>
      </c>
      <c r="AG1290" s="34" t="s">
        <v>3708</v>
      </c>
      <c r="AH1290" s="34" t="s">
        <v>6832</v>
      </c>
      <c r="AL1290" s="34" t="s">
        <v>6736</v>
      </c>
      <c r="AM1290" s="40" t="s">
        <v>10</v>
      </c>
      <c r="AP1290" s="34">
        <v>0</v>
      </c>
      <c r="AQ1290" s="34">
        <v>3590</v>
      </c>
      <c r="AR1290" s="34">
        <v>2094</v>
      </c>
      <c r="AT1290" s="44">
        <v>278100</v>
      </c>
      <c r="AU1290" s="44"/>
      <c r="AV1290" s="46">
        <f>ROUND(Товары[[#This Row],[РРЦ финальная, руб.]]/$AU$1,2)</f>
        <v>0</v>
      </c>
      <c r="AW1290" s="45" t="str">
        <f>IFERROR(Товары[[#This Row],[РРЦ, евро]]/Товары[[#This Row],[IRP, Eur]],"-")</f>
        <v>-</v>
      </c>
      <c r="AX1290" s="42">
        <f>IFERROR(VLOOKUP(Товары[[#This Row],[SubGroup]],'Структура цен DIY'!$B:$C,2,FALSE),0)</f>
        <v>0.28999999999999998</v>
      </c>
      <c r="AY1290" s="44">
        <v>0</v>
      </c>
    </row>
    <row r="1291" spans="1:51" x14ac:dyDescent="0.25">
      <c r="A1291" s="34">
        <v>1289</v>
      </c>
      <c r="B1291" s="34" t="s">
        <v>49</v>
      </c>
      <c r="C1291" s="110" t="str">
        <f>IFERROR(INDEX(Структура_ассортимента[SuperCategory],MATCH(Товары[[#This Row],[SubGroup]],Структура_ассортимента[Subgroup],0)),"")</f>
        <v>W</v>
      </c>
      <c r="D129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9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91" s="110" t="str">
        <f>IFERROR(INDEX(Структура_ассортимента[Product group],MATCH(Товары[[#This Row],[SubGroup]],Структура_ассортимента[Subgroup],0)),"")</f>
        <v>WMS_C</v>
      </c>
      <c r="G1291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91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91" s="36">
        <v>9021</v>
      </c>
      <c r="J1291" s="36" t="str">
        <f>IFERROR(INDEX(Структура_ассортимента[Generic Name (long)],MATCH(Товары[[#This Row],[SubGroup]],Структура_ассортимента[Subgroup],0)),"")</f>
        <v>WATERING SET</v>
      </c>
      <c r="L1291" s="36">
        <v>967976301</v>
      </c>
      <c r="M1291" s="35" t="s">
        <v>2967</v>
      </c>
      <c r="O1291" s="35" t="s">
        <v>6833</v>
      </c>
      <c r="P1291" s="37" t="s">
        <v>6834</v>
      </c>
      <c r="Q1291" s="34" t="s">
        <v>3549</v>
      </c>
      <c r="R1291" s="34" t="s">
        <v>3540</v>
      </c>
      <c r="S1291" s="47">
        <v>43831</v>
      </c>
      <c r="T1291" s="47">
        <v>0</v>
      </c>
      <c r="U1291" s="47">
        <v>0</v>
      </c>
      <c r="V1291" s="34">
        <v>4078500048019</v>
      </c>
      <c r="W1291" s="34" t="s">
        <v>3543</v>
      </c>
      <c r="X1291" s="34" t="s">
        <v>3579</v>
      </c>
      <c r="Y1291" s="34" t="s">
        <v>3542</v>
      </c>
      <c r="Z1291" s="34">
        <v>5</v>
      </c>
      <c r="AA1291" s="34" t="s">
        <v>6835</v>
      </c>
      <c r="AB1291" s="34" t="s">
        <v>6760</v>
      </c>
      <c r="AC1291" s="34" t="s">
        <v>4170</v>
      </c>
      <c r="AD1291" s="34" t="s">
        <v>4170</v>
      </c>
      <c r="AE1291" s="34" t="s">
        <v>3857</v>
      </c>
      <c r="AF1291" s="34" t="s">
        <v>3599</v>
      </c>
      <c r="AG1291" s="34" t="s">
        <v>6013</v>
      </c>
      <c r="AH1291" s="34" t="s">
        <v>6761</v>
      </c>
      <c r="AI1291" s="34" t="s">
        <v>3857</v>
      </c>
      <c r="AJ1291" s="34" t="s">
        <v>6825</v>
      </c>
      <c r="AK1291" s="34" t="s">
        <v>6826</v>
      </c>
      <c r="AL1291" s="34" t="s">
        <v>6836</v>
      </c>
      <c r="AM1291" s="40" t="s">
        <v>10</v>
      </c>
      <c r="AP1291" s="34">
        <v>0</v>
      </c>
      <c r="AQ1291" s="34">
        <v>2590</v>
      </c>
      <c r="AR1291" s="34">
        <v>1511</v>
      </c>
      <c r="AT1291" s="44">
        <v>200600</v>
      </c>
      <c r="AU1291" s="44"/>
      <c r="AV1291" s="46">
        <f>ROUND(Товары[[#This Row],[РРЦ финальная, руб.]]/$AU$1,2)</f>
        <v>0</v>
      </c>
      <c r="AW1291" s="45" t="str">
        <f>IFERROR(Товары[[#This Row],[РРЦ, евро]]/Товары[[#This Row],[IRP, Eur]],"-")</f>
        <v>-</v>
      </c>
      <c r="AX1291" s="42">
        <f>IFERROR(VLOOKUP(Товары[[#This Row],[SubGroup]],'Структура цен DIY'!$B:$C,2,FALSE),0)</f>
        <v>0.28999999999999998</v>
      </c>
      <c r="AY1291" s="44">
        <v>0</v>
      </c>
    </row>
    <row r="1292" spans="1:51" x14ac:dyDescent="0.25">
      <c r="A1292" s="34">
        <v>1290</v>
      </c>
      <c r="B1292" s="34" t="s">
        <v>49</v>
      </c>
      <c r="C1292" s="110" t="str">
        <f>IFERROR(INDEX(Структура_ассортимента[SuperCategory],MATCH(Товары[[#This Row],[SubGroup]],Структура_ассортимента[Subgroup],0)),"")</f>
        <v>W</v>
      </c>
      <c r="D129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9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92" s="110" t="str">
        <f>IFERROR(INDEX(Структура_ассортимента[Product group],MATCH(Товары[[#This Row],[SubGroup]],Структура_ассортимента[Subgroup],0)),"")</f>
        <v>WMS_C</v>
      </c>
      <c r="G1292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92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92" s="36">
        <v>9021</v>
      </c>
      <c r="J1292" s="36" t="str">
        <f>IFERROR(INDEX(Структура_ассортимента[Generic Name (long)],MATCH(Товары[[#This Row],[SubGroup]],Структура_ассортимента[Subgroup],0)),"")</f>
        <v>WATERING SET</v>
      </c>
      <c r="L1292" s="36">
        <v>967976401</v>
      </c>
      <c r="M1292" s="35" t="s">
        <v>2968</v>
      </c>
      <c r="O1292" s="35" t="s">
        <v>6837</v>
      </c>
      <c r="P1292" s="37" t="s">
        <v>6838</v>
      </c>
      <c r="Q1292" s="34" t="s">
        <v>3549</v>
      </c>
      <c r="R1292" s="34" t="s">
        <v>3540</v>
      </c>
      <c r="S1292" s="47">
        <v>43831</v>
      </c>
      <c r="T1292" s="47">
        <v>0</v>
      </c>
      <c r="U1292" s="47">
        <v>0</v>
      </c>
      <c r="V1292" s="34">
        <v>4078500048033</v>
      </c>
      <c r="W1292" s="34" t="s">
        <v>3543</v>
      </c>
      <c r="X1292" s="34" t="s">
        <v>3579</v>
      </c>
      <c r="Y1292" s="34" t="s">
        <v>3542</v>
      </c>
      <c r="Z1292" s="34">
        <v>5</v>
      </c>
      <c r="AA1292" s="34" t="s">
        <v>6839</v>
      </c>
      <c r="AB1292" s="34" t="s">
        <v>4765</v>
      </c>
      <c r="AC1292" s="34" t="s">
        <v>4497</v>
      </c>
      <c r="AD1292" s="34" t="s">
        <v>4576</v>
      </c>
      <c r="AE1292" s="34" t="s">
        <v>4225</v>
      </c>
      <c r="AF1292" s="34" t="s">
        <v>3599</v>
      </c>
      <c r="AG1292" s="34" t="s">
        <v>4549</v>
      </c>
      <c r="AH1292" s="34" t="s">
        <v>6757</v>
      </c>
      <c r="AI1292" s="34" t="s">
        <v>6840</v>
      </c>
      <c r="AJ1292" s="34" t="s">
        <v>6825</v>
      </c>
      <c r="AK1292" s="34" t="s">
        <v>6826</v>
      </c>
      <c r="AL1292" s="34" t="s">
        <v>4306</v>
      </c>
      <c r="AM1292" s="40" t="s">
        <v>10</v>
      </c>
      <c r="AP1292" s="34">
        <v>0</v>
      </c>
      <c r="AQ1292" s="34">
        <v>3490</v>
      </c>
      <c r="AR1292" s="34">
        <v>2036</v>
      </c>
      <c r="AT1292" s="44">
        <v>270300</v>
      </c>
      <c r="AU1292" s="44"/>
      <c r="AV1292" s="46">
        <f>ROUND(Товары[[#This Row],[РРЦ финальная, руб.]]/$AU$1,2)</f>
        <v>0</v>
      </c>
      <c r="AW1292" s="45" t="str">
        <f>IFERROR(Товары[[#This Row],[РРЦ, евро]]/Товары[[#This Row],[IRP, Eur]],"-")</f>
        <v>-</v>
      </c>
      <c r="AX1292" s="42">
        <f>IFERROR(VLOOKUP(Товары[[#This Row],[SubGroup]],'Структура цен DIY'!$B:$C,2,FALSE),0)</f>
        <v>0.28999999999999998</v>
      </c>
      <c r="AY1292" s="44">
        <v>0</v>
      </c>
    </row>
    <row r="1293" spans="1:51" x14ac:dyDescent="0.25">
      <c r="A1293" s="34">
        <v>1291</v>
      </c>
      <c r="B1293" s="34" t="s">
        <v>49</v>
      </c>
      <c r="C1293" s="110" t="str">
        <f>IFERROR(INDEX(Структура_ассортимента[SuperCategory],MATCH(Товары[[#This Row],[SubGroup]],Структура_ассортимента[Subgroup],0)),"")</f>
        <v>W</v>
      </c>
      <c r="D129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9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93" s="110" t="str">
        <f>IFERROR(INDEX(Структура_ассортимента[Product group],MATCH(Товары[[#This Row],[SubGroup]],Структура_ассортимента[Subgroup],0)),"")</f>
        <v>WMS_C</v>
      </c>
      <c r="G1293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93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93" s="36">
        <v>9021</v>
      </c>
      <c r="J1293" s="36" t="str">
        <f>IFERROR(INDEX(Структура_ассортимента[Generic Name (long)],MATCH(Товары[[#This Row],[SubGroup]],Структура_ассортимента[Subgroup],0)),"")</f>
        <v>WATERING SET</v>
      </c>
      <c r="L1293" s="36">
        <v>967976501</v>
      </c>
      <c r="M1293" s="35" t="s">
        <v>2969</v>
      </c>
      <c r="O1293" s="35" t="s">
        <v>6841</v>
      </c>
      <c r="P1293" s="37" t="s">
        <v>6842</v>
      </c>
      <c r="Q1293" s="34" t="s">
        <v>3549</v>
      </c>
      <c r="R1293" s="34" t="s">
        <v>3540</v>
      </c>
      <c r="S1293" s="47">
        <v>43831</v>
      </c>
      <c r="T1293" s="47">
        <v>0</v>
      </c>
      <c r="U1293" s="47">
        <v>0</v>
      </c>
      <c r="V1293" s="34">
        <v>4078500048057</v>
      </c>
      <c r="W1293" s="34" t="s">
        <v>3543</v>
      </c>
      <c r="X1293" s="34" t="s">
        <v>3579</v>
      </c>
      <c r="Y1293" s="34" t="s">
        <v>3542</v>
      </c>
      <c r="Z1293" s="34">
        <v>5</v>
      </c>
      <c r="AA1293" s="34" t="s">
        <v>6843</v>
      </c>
      <c r="AB1293" s="34" t="s">
        <v>4576</v>
      </c>
      <c r="AC1293" s="34" t="s">
        <v>6844</v>
      </c>
      <c r="AD1293" s="34" t="s">
        <v>4389</v>
      </c>
      <c r="AE1293" s="34" t="s">
        <v>6734</v>
      </c>
      <c r="AF1293" s="34" t="s">
        <v>5006</v>
      </c>
      <c r="AG1293" s="34" t="s">
        <v>5028</v>
      </c>
      <c r="AH1293" s="34" t="s">
        <v>6735</v>
      </c>
      <c r="AI1293" s="34" t="s">
        <v>4203</v>
      </c>
      <c r="AJ1293" s="34" t="s">
        <v>3865</v>
      </c>
      <c r="AK1293" s="34" t="s">
        <v>4203</v>
      </c>
      <c r="AL1293" s="34" t="s">
        <v>4306</v>
      </c>
      <c r="AM1293" s="40" t="s">
        <v>10</v>
      </c>
      <c r="AP1293" s="34">
        <v>0</v>
      </c>
      <c r="AQ1293" s="34">
        <v>2990</v>
      </c>
      <c r="AR1293" s="34">
        <v>1744</v>
      </c>
      <c r="AT1293" s="44">
        <v>231600</v>
      </c>
      <c r="AU1293" s="44"/>
      <c r="AV1293" s="46">
        <f>ROUND(Товары[[#This Row],[РРЦ финальная, руб.]]/$AU$1,2)</f>
        <v>0</v>
      </c>
      <c r="AW1293" s="45" t="str">
        <f>IFERROR(Товары[[#This Row],[РРЦ, евро]]/Товары[[#This Row],[IRP, Eur]],"-")</f>
        <v>-</v>
      </c>
      <c r="AX1293" s="42">
        <f>IFERROR(VLOOKUP(Товары[[#This Row],[SubGroup]],'Структура цен DIY'!$B:$C,2,FALSE),0)</f>
        <v>0.28999999999999998</v>
      </c>
      <c r="AY1293" s="44">
        <v>0</v>
      </c>
    </row>
    <row r="1294" spans="1:51" x14ac:dyDescent="0.25">
      <c r="A1294" s="34">
        <v>1292</v>
      </c>
      <c r="B1294" s="34" t="s">
        <v>49</v>
      </c>
      <c r="C1294" s="110" t="str">
        <f>IFERROR(INDEX(Структура_ассортимента[SuperCategory],MATCH(Товары[[#This Row],[SubGroup]],Структура_ассортимента[Subgroup],0)),"")</f>
        <v>W</v>
      </c>
      <c r="D129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9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94" s="110" t="str">
        <f>IFERROR(INDEX(Структура_ассортимента[Product group],MATCH(Товары[[#This Row],[SubGroup]],Структура_ассортимента[Subgroup],0)),"")</f>
        <v>WMS_C</v>
      </c>
      <c r="G1294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94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94" s="36">
        <v>9021</v>
      </c>
      <c r="J1294" s="36" t="str">
        <f>IFERROR(INDEX(Структура_ассортимента[Generic Name (long)],MATCH(Товары[[#This Row],[SubGroup]],Структура_ассортимента[Subgroup],0)),"")</f>
        <v>WATERING SET</v>
      </c>
      <c r="L1294" s="36">
        <v>967989801</v>
      </c>
      <c r="M1294" s="35" t="s">
        <v>2970</v>
      </c>
      <c r="O1294" s="35" t="s">
        <v>6845</v>
      </c>
      <c r="P1294" s="37" t="s">
        <v>6846</v>
      </c>
      <c r="Q1294" s="34" t="s">
        <v>3549</v>
      </c>
      <c r="R1294" s="34" t="s">
        <v>3540</v>
      </c>
      <c r="S1294" s="47">
        <v>43831</v>
      </c>
      <c r="T1294" s="47">
        <v>0</v>
      </c>
      <c r="U1294" s="47">
        <v>0</v>
      </c>
      <c r="V1294" s="34">
        <v>4078500049276</v>
      </c>
      <c r="W1294" s="34" t="s">
        <v>3543</v>
      </c>
      <c r="X1294" s="34" t="s">
        <v>3579</v>
      </c>
      <c r="Y1294" s="34" t="s">
        <v>3542</v>
      </c>
      <c r="Z1294" s="34">
        <v>16</v>
      </c>
      <c r="AB1294" s="34" t="s">
        <v>4576</v>
      </c>
      <c r="AD1294" s="34" t="s">
        <v>4389</v>
      </c>
      <c r="AE1294" s="34" t="s">
        <v>6734</v>
      </c>
      <c r="AF1294" s="34" t="s">
        <v>5006</v>
      </c>
      <c r="AG1294" s="34" t="s">
        <v>5028</v>
      </c>
      <c r="AH1294" s="34" t="s">
        <v>6735</v>
      </c>
      <c r="AL1294" s="34" t="s">
        <v>6736</v>
      </c>
      <c r="AM1294" s="40" t="s">
        <v>10</v>
      </c>
      <c r="AP1294" s="34">
        <v>0</v>
      </c>
      <c r="AQ1294" s="34">
        <v>2990</v>
      </c>
      <c r="AR1294" s="34">
        <v>1744</v>
      </c>
      <c r="AT1294" s="44">
        <v>231600</v>
      </c>
      <c r="AU1294" s="44"/>
      <c r="AV1294" s="46">
        <f>ROUND(Товары[[#This Row],[РРЦ финальная, руб.]]/$AU$1,2)</f>
        <v>0</v>
      </c>
      <c r="AW1294" s="45" t="str">
        <f>IFERROR(Товары[[#This Row],[РРЦ, евро]]/Товары[[#This Row],[IRP, Eur]],"-")</f>
        <v>-</v>
      </c>
      <c r="AX1294" s="42">
        <f>IFERROR(VLOOKUP(Товары[[#This Row],[SubGroup]],'Структура цен DIY'!$B:$C,2,FALSE),0)</f>
        <v>0.28999999999999998</v>
      </c>
      <c r="AY1294" s="44">
        <v>0</v>
      </c>
    </row>
    <row r="1295" spans="1:51" x14ac:dyDescent="0.25">
      <c r="A1295" s="34">
        <v>1293</v>
      </c>
      <c r="B1295" s="34" t="s">
        <v>49</v>
      </c>
      <c r="C1295" s="110" t="str">
        <f>IFERROR(INDEX(Структура_ассортимента[SuperCategory],MATCH(Товары[[#This Row],[SubGroup]],Структура_ассортимента[Subgroup],0)),"")</f>
        <v>W</v>
      </c>
      <c r="D129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9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95" s="110" t="str">
        <f>IFERROR(INDEX(Структура_ассортимента[Product group],MATCH(Товары[[#This Row],[SubGroup]],Структура_ассортимента[Subgroup],0)),"")</f>
        <v>WMS_C</v>
      </c>
      <c r="G1295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95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95" s="36">
        <v>9021</v>
      </c>
      <c r="J1295" s="36" t="str">
        <f>IFERROR(INDEX(Структура_ассортимента[Generic Name (long)],MATCH(Товары[[#This Row],[SubGroup]],Структура_ассортимента[Subgroup],0)),"")</f>
        <v>WATERING SET</v>
      </c>
      <c r="L1295" s="36">
        <v>967976601</v>
      </c>
      <c r="M1295" s="35" t="s">
        <v>2971</v>
      </c>
      <c r="O1295" s="35" t="s">
        <v>6847</v>
      </c>
      <c r="P1295" s="37" t="s">
        <v>6848</v>
      </c>
      <c r="Q1295" s="34" t="s">
        <v>3549</v>
      </c>
      <c r="R1295" s="34" t="s">
        <v>3540</v>
      </c>
      <c r="S1295" s="47">
        <v>43831</v>
      </c>
      <c r="T1295" s="47">
        <v>0</v>
      </c>
      <c r="U1295" s="47">
        <v>0</v>
      </c>
      <c r="V1295" s="34">
        <v>4078500048071</v>
      </c>
      <c r="W1295" s="34" t="s">
        <v>3543</v>
      </c>
      <c r="X1295" s="34" t="s">
        <v>3579</v>
      </c>
      <c r="Y1295" s="34" t="s">
        <v>3542</v>
      </c>
      <c r="Z1295" s="34">
        <v>4</v>
      </c>
      <c r="AA1295" s="34" t="s">
        <v>6849</v>
      </c>
      <c r="AB1295" s="34" t="s">
        <v>4752</v>
      </c>
      <c r="AC1295" s="34" t="s">
        <v>6850</v>
      </c>
      <c r="AD1295" s="34" t="s">
        <v>5120</v>
      </c>
      <c r="AE1295" s="34" t="s">
        <v>3686</v>
      </c>
      <c r="AF1295" s="34" t="s">
        <v>4160</v>
      </c>
      <c r="AG1295" s="34" t="s">
        <v>4549</v>
      </c>
      <c r="AH1295" s="34" t="s">
        <v>6851</v>
      </c>
      <c r="AI1295" s="34" t="s">
        <v>4413</v>
      </c>
      <c r="AJ1295" s="34" t="s">
        <v>3924</v>
      </c>
      <c r="AK1295" s="34" t="s">
        <v>3592</v>
      </c>
      <c r="AL1295" s="34" t="s">
        <v>6736</v>
      </c>
      <c r="AM1295" s="40" t="s">
        <v>10</v>
      </c>
      <c r="AP1295" s="34">
        <v>0</v>
      </c>
      <c r="AQ1295" s="34">
        <v>2990</v>
      </c>
      <c r="AR1295" s="34">
        <v>1744</v>
      </c>
      <c r="AT1295" s="44">
        <v>231600</v>
      </c>
      <c r="AU1295" s="44"/>
      <c r="AV1295" s="46">
        <f>ROUND(Товары[[#This Row],[РРЦ финальная, руб.]]/$AU$1,2)</f>
        <v>0</v>
      </c>
      <c r="AW1295" s="45" t="str">
        <f>IFERROR(Товары[[#This Row],[РРЦ, евро]]/Товары[[#This Row],[IRP, Eur]],"-")</f>
        <v>-</v>
      </c>
      <c r="AX1295" s="42">
        <f>IFERROR(VLOOKUP(Товары[[#This Row],[SubGroup]],'Структура цен DIY'!$B:$C,2,FALSE),0)</f>
        <v>0.28999999999999998</v>
      </c>
      <c r="AY1295" s="44">
        <v>0</v>
      </c>
    </row>
    <row r="1296" spans="1:51" x14ac:dyDescent="0.25">
      <c r="A1296" s="34">
        <v>1294</v>
      </c>
      <c r="B1296" s="34" t="s">
        <v>49</v>
      </c>
      <c r="C1296" s="110" t="str">
        <f>IFERROR(INDEX(Структура_ассортимента[SuperCategory],MATCH(Товары[[#This Row],[SubGroup]],Структура_ассортимента[Subgroup],0)),"")</f>
        <v>W</v>
      </c>
      <c r="D129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9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96" s="110" t="str">
        <f>IFERROR(INDEX(Структура_ассортимента[Product group],MATCH(Товары[[#This Row],[SubGroup]],Структура_ассортимента[Subgroup],0)),"")</f>
        <v>WMS_C</v>
      </c>
      <c r="G1296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96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96" s="36">
        <v>9021</v>
      </c>
      <c r="J1296" s="36" t="str">
        <f>IFERROR(INDEX(Структура_ассортимента[Generic Name (long)],MATCH(Товары[[#This Row],[SubGroup]],Структура_ассортимента[Subgroup],0)),"")</f>
        <v>WATERING SET</v>
      </c>
      <c r="L1296" s="36">
        <v>967990101</v>
      </c>
      <c r="M1296" s="35" t="s">
        <v>2972</v>
      </c>
      <c r="O1296" s="35" t="s">
        <v>6852</v>
      </c>
      <c r="P1296" s="37" t="s">
        <v>6853</v>
      </c>
      <c r="Q1296" s="34" t="s">
        <v>3549</v>
      </c>
      <c r="R1296" s="34" t="s">
        <v>3540</v>
      </c>
      <c r="S1296" s="47">
        <v>43831</v>
      </c>
      <c r="T1296" s="47">
        <v>0</v>
      </c>
      <c r="U1296" s="47">
        <v>0</v>
      </c>
      <c r="V1296" s="34">
        <v>4078500049290</v>
      </c>
      <c r="W1296" s="34" t="s">
        <v>3543</v>
      </c>
      <c r="X1296" s="34" t="s">
        <v>3579</v>
      </c>
      <c r="Y1296" s="34" t="s">
        <v>3542</v>
      </c>
      <c r="Z1296" s="34">
        <v>16</v>
      </c>
      <c r="AB1296" s="34" t="s">
        <v>6744</v>
      </c>
      <c r="AD1296" s="34" t="s">
        <v>4664</v>
      </c>
      <c r="AE1296" s="34" t="s">
        <v>6854</v>
      </c>
      <c r="AF1296" s="34" t="s">
        <v>6855</v>
      </c>
      <c r="AG1296" s="34" t="s">
        <v>4681</v>
      </c>
      <c r="AH1296" s="34" t="s">
        <v>6856</v>
      </c>
      <c r="AI1296" s="34" t="s">
        <v>4413</v>
      </c>
      <c r="AJ1296" s="34" t="s">
        <v>3924</v>
      </c>
      <c r="AK1296" s="34" t="s">
        <v>3592</v>
      </c>
      <c r="AL1296" s="34" t="s">
        <v>6736</v>
      </c>
      <c r="AM1296" s="40" t="s">
        <v>10</v>
      </c>
      <c r="AP1296" s="34">
        <v>0</v>
      </c>
      <c r="AQ1296" s="34">
        <v>2990</v>
      </c>
      <c r="AR1296" s="34">
        <v>1744</v>
      </c>
      <c r="AT1296" s="44">
        <v>231600</v>
      </c>
      <c r="AU1296" s="44"/>
      <c r="AV1296" s="46">
        <f>ROUND(Товары[[#This Row],[РРЦ финальная, руб.]]/$AU$1,2)</f>
        <v>0</v>
      </c>
      <c r="AW1296" s="45" t="str">
        <f>IFERROR(Товары[[#This Row],[РРЦ, евро]]/Товары[[#This Row],[IRP, Eur]],"-")</f>
        <v>-</v>
      </c>
      <c r="AX1296" s="42">
        <f>IFERROR(VLOOKUP(Товары[[#This Row],[SubGroup]],'Структура цен DIY'!$B:$C,2,FALSE),0)</f>
        <v>0.28999999999999998</v>
      </c>
      <c r="AY1296" s="44">
        <v>0</v>
      </c>
    </row>
    <row r="1297" spans="1:51" x14ac:dyDescent="0.25">
      <c r="A1297" s="34">
        <v>1295</v>
      </c>
      <c r="B1297" s="34" t="s">
        <v>49</v>
      </c>
      <c r="C1297" s="110" t="str">
        <f>IFERROR(INDEX(Структура_ассортимента[SuperCategory],MATCH(Товары[[#This Row],[SubGroup]],Структура_ассортимента[Subgroup],0)),"")</f>
        <v>W</v>
      </c>
      <c r="D129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9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97" s="110" t="str">
        <f>IFERROR(INDEX(Структура_ассортимента[Product group],MATCH(Товары[[#This Row],[SubGroup]],Структура_ассортимента[Subgroup],0)),"")</f>
        <v>WMS_C</v>
      </c>
      <c r="G1297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97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97" s="36">
        <v>9021</v>
      </c>
      <c r="J1297" s="36" t="str">
        <f>IFERROR(INDEX(Структура_ассортимента[Generic Name (long)],MATCH(Товары[[#This Row],[SubGroup]],Структура_ассортимента[Subgroup],0)),"")</f>
        <v>WATERING SET</v>
      </c>
      <c r="L1297" s="36">
        <v>967976701</v>
      </c>
      <c r="M1297" s="35" t="s">
        <v>2973</v>
      </c>
      <c r="O1297" s="35" t="s">
        <v>6857</v>
      </c>
      <c r="P1297" s="37" t="s">
        <v>6858</v>
      </c>
      <c r="Q1297" s="34" t="s">
        <v>3549</v>
      </c>
      <c r="R1297" s="34" t="s">
        <v>3540</v>
      </c>
      <c r="S1297" s="47">
        <v>43831</v>
      </c>
      <c r="T1297" s="47">
        <v>0</v>
      </c>
      <c r="U1297" s="47">
        <v>0</v>
      </c>
      <c r="V1297" s="34">
        <v>4078500048095</v>
      </c>
      <c r="W1297" s="34" t="s">
        <v>3543</v>
      </c>
      <c r="X1297" s="34" t="s">
        <v>3579</v>
      </c>
      <c r="Y1297" s="34" t="s">
        <v>3542</v>
      </c>
      <c r="Z1297" s="34">
        <v>4</v>
      </c>
      <c r="AA1297" s="34" t="s">
        <v>6859</v>
      </c>
      <c r="AB1297" s="34" t="s">
        <v>4708</v>
      </c>
      <c r="AC1297" s="34" t="s">
        <v>4539</v>
      </c>
      <c r="AD1297" s="34" t="s">
        <v>3761</v>
      </c>
      <c r="AE1297" s="34" t="s">
        <v>4323</v>
      </c>
      <c r="AF1297" s="34" t="s">
        <v>4160</v>
      </c>
      <c r="AG1297" s="34" t="s">
        <v>4549</v>
      </c>
      <c r="AH1297" s="34" t="s">
        <v>6860</v>
      </c>
      <c r="AI1297" s="34" t="s">
        <v>5619</v>
      </c>
      <c r="AJ1297" s="34" t="s">
        <v>3924</v>
      </c>
      <c r="AK1297" s="34" t="s">
        <v>3592</v>
      </c>
      <c r="AL1297" s="34" t="s">
        <v>6736</v>
      </c>
      <c r="AM1297" s="40" t="s">
        <v>10</v>
      </c>
      <c r="AP1297" s="34">
        <v>0</v>
      </c>
      <c r="AQ1297" s="34">
        <v>3490</v>
      </c>
      <c r="AR1297" s="34">
        <v>2036</v>
      </c>
      <c r="AT1297" s="44">
        <v>270300</v>
      </c>
      <c r="AU1297" s="44"/>
      <c r="AV1297" s="46">
        <f>ROUND(Товары[[#This Row],[РРЦ финальная, руб.]]/$AU$1,2)</f>
        <v>0</v>
      </c>
      <c r="AW1297" s="45" t="str">
        <f>IFERROR(Товары[[#This Row],[РРЦ, евро]]/Товары[[#This Row],[IRP, Eur]],"-")</f>
        <v>-</v>
      </c>
      <c r="AX1297" s="42">
        <f>IFERROR(VLOOKUP(Товары[[#This Row],[SubGroup]],'Структура цен DIY'!$B:$C,2,FALSE),0)</f>
        <v>0.28999999999999998</v>
      </c>
      <c r="AY1297" s="44">
        <v>0</v>
      </c>
    </row>
    <row r="1298" spans="1:51" x14ac:dyDescent="0.25">
      <c r="A1298" s="34">
        <v>1296</v>
      </c>
      <c r="B1298" s="34" t="s">
        <v>49</v>
      </c>
      <c r="C1298" s="110" t="str">
        <f>IFERROR(INDEX(Структура_ассортимента[SuperCategory],MATCH(Товары[[#This Row],[SubGroup]],Структура_ассортимента[Subgroup],0)),"")</f>
        <v>W</v>
      </c>
      <c r="D129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9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98" s="110" t="str">
        <f>IFERROR(INDEX(Структура_ассортимента[Product group],MATCH(Товары[[#This Row],[SubGroup]],Структура_ассортимента[Subgroup],0)),"")</f>
        <v>WMS_C</v>
      </c>
      <c r="G1298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98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98" s="36">
        <v>9021</v>
      </c>
      <c r="J1298" s="36" t="str">
        <f>IFERROR(INDEX(Структура_ассортимента[Generic Name (long)],MATCH(Товары[[#This Row],[SubGroup]],Структура_ассортимента[Subgroup],0)),"")</f>
        <v>WATERING SET</v>
      </c>
      <c r="L1298" s="36">
        <v>967990201</v>
      </c>
      <c r="M1298" s="35" t="s">
        <v>2974</v>
      </c>
      <c r="O1298" s="35" t="s">
        <v>6861</v>
      </c>
      <c r="P1298" s="37" t="s">
        <v>6862</v>
      </c>
      <c r="Q1298" s="34" t="s">
        <v>3549</v>
      </c>
      <c r="R1298" s="34" t="s">
        <v>3540</v>
      </c>
      <c r="S1298" s="47">
        <v>43831</v>
      </c>
      <c r="T1298" s="47">
        <v>0</v>
      </c>
      <c r="U1298" s="47">
        <v>0</v>
      </c>
      <c r="V1298" s="34">
        <v>4078500049337</v>
      </c>
      <c r="W1298" s="34" t="s">
        <v>3543</v>
      </c>
      <c r="X1298" s="34" t="s">
        <v>3579</v>
      </c>
      <c r="Y1298" s="34" t="s">
        <v>3542</v>
      </c>
      <c r="Z1298" s="34">
        <v>16</v>
      </c>
      <c r="AB1298" s="34" t="s">
        <v>4371</v>
      </c>
      <c r="AD1298" s="34" t="s">
        <v>3554</v>
      </c>
      <c r="AE1298" s="34" t="s">
        <v>4326</v>
      </c>
      <c r="AF1298" s="34" t="s">
        <v>4893</v>
      </c>
      <c r="AG1298" s="34" t="s">
        <v>3557</v>
      </c>
      <c r="AH1298" s="34" t="s">
        <v>5029</v>
      </c>
      <c r="AI1298" s="34" t="s">
        <v>5619</v>
      </c>
      <c r="AJ1298" s="34" t="s">
        <v>3924</v>
      </c>
      <c r="AK1298" s="34" t="s">
        <v>3592</v>
      </c>
      <c r="AL1298" s="34" t="s">
        <v>6736</v>
      </c>
      <c r="AM1298" s="40" t="s">
        <v>10</v>
      </c>
      <c r="AP1298" s="34">
        <v>0</v>
      </c>
      <c r="AQ1298" s="34">
        <v>3490</v>
      </c>
      <c r="AR1298" s="34">
        <v>2036</v>
      </c>
      <c r="AT1298" s="44">
        <v>270300</v>
      </c>
      <c r="AU1298" s="44"/>
      <c r="AV1298" s="46">
        <f>ROUND(Товары[[#This Row],[РРЦ финальная, руб.]]/$AU$1,2)</f>
        <v>0</v>
      </c>
      <c r="AW1298" s="45" t="str">
        <f>IFERROR(Товары[[#This Row],[РРЦ, евро]]/Товары[[#This Row],[IRP, Eur]],"-")</f>
        <v>-</v>
      </c>
      <c r="AX1298" s="42">
        <f>IFERROR(VLOOKUP(Товары[[#This Row],[SubGroup]],'Структура цен DIY'!$B:$C,2,FALSE),0)</f>
        <v>0.28999999999999998</v>
      </c>
      <c r="AY1298" s="44">
        <v>0</v>
      </c>
    </row>
    <row r="1299" spans="1:51" x14ac:dyDescent="0.25">
      <c r="A1299" s="34">
        <v>1297</v>
      </c>
      <c r="B1299" s="34" t="s">
        <v>49</v>
      </c>
      <c r="C1299" s="110" t="str">
        <f>IFERROR(INDEX(Структура_ассортимента[SuperCategory],MATCH(Товары[[#This Row],[SubGroup]],Структура_ассортимента[Subgroup],0)),"")</f>
        <v>W</v>
      </c>
      <c r="D129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9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99" s="110" t="str">
        <f>IFERROR(INDEX(Структура_ассортимента[Product group],MATCH(Товары[[#This Row],[SubGroup]],Структура_ассортимента[Subgroup],0)),"")</f>
        <v>WMS_C</v>
      </c>
      <c r="G1299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99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299" s="36">
        <v>9021</v>
      </c>
      <c r="J1299" s="36" t="str">
        <f>IFERROR(INDEX(Структура_ассортимента[Generic Name (long)],MATCH(Товары[[#This Row],[SubGroup]],Структура_ассортимента[Subgroup],0)),"")</f>
        <v>WATERING SET</v>
      </c>
      <c r="L1299" s="36">
        <v>967976801</v>
      </c>
      <c r="M1299" s="35" t="s">
        <v>2975</v>
      </c>
      <c r="O1299" s="35" t="s">
        <v>6863</v>
      </c>
      <c r="P1299" s="37" t="s">
        <v>6864</v>
      </c>
      <c r="Q1299" s="34" t="s">
        <v>3549</v>
      </c>
      <c r="R1299" s="34" t="s">
        <v>3540</v>
      </c>
      <c r="S1299" s="47">
        <v>43831</v>
      </c>
      <c r="T1299" s="47">
        <v>0</v>
      </c>
      <c r="U1299" s="47">
        <v>0</v>
      </c>
      <c r="V1299" s="34">
        <v>4078500048118</v>
      </c>
      <c r="W1299" s="34" t="s">
        <v>3543</v>
      </c>
      <c r="X1299" s="34" t="s">
        <v>3579</v>
      </c>
      <c r="Y1299" s="34" t="s">
        <v>3542</v>
      </c>
      <c r="Z1299" s="34">
        <v>4</v>
      </c>
      <c r="AA1299" s="34" t="s">
        <v>6865</v>
      </c>
      <c r="AB1299" s="34" t="s">
        <v>4526</v>
      </c>
      <c r="AC1299" s="34" t="s">
        <v>3622</v>
      </c>
      <c r="AD1299" s="34" t="s">
        <v>4708</v>
      </c>
      <c r="AE1299" s="34" t="s">
        <v>3854</v>
      </c>
      <c r="AF1299" s="34" t="s">
        <v>4160</v>
      </c>
      <c r="AG1299" s="34" t="s">
        <v>4549</v>
      </c>
      <c r="AH1299" s="34" t="s">
        <v>6866</v>
      </c>
      <c r="AI1299" s="34" t="s">
        <v>5816</v>
      </c>
      <c r="AJ1299" s="34" t="s">
        <v>3924</v>
      </c>
      <c r="AK1299" s="34" t="s">
        <v>3592</v>
      </c>
      <c r="AL1299" s="34" t="s">
        <v>6736</v>
      </c>
      <c r="AM1299" s="40" t="s">
        <v>10</v>
      </c>
      <c r="AP1299" s="34">
        <v>0</v>
      </c>
      <c r="AQ1299" s="34">
        <v>4790</v>
      </c>
      <c r="AR1299" s="34">
        <v>2794</v>
      </c>
      <c r="AT1299" s="44">
        <v>371000</v>
      </c>
      <c r="AU1299" s="44"/>
      <c r="AV1299" s="46">
        <f>ROUND(Товары[[#This Row],[РРЦ финальная, руб.]]/$AU$1,2)</f>
        <v>0</v>
      </c>
      <c r="AW1299" s="45" t="str">
        <f>IFERROR(Товары[[#This Row],[РРЦ, евро]]/Товары[[#This Row],[IRP, Eur]],"-")</f>
        <v>-</v>
      </c>
      <c r="AX1299" s="42">
        <f>IFERROR(VLOOKUP(Товары[[#This Row],[SubGroup]],'Структура цен DIY'!$B:$C,2,FALSE),0)</f>
        <v>0.28999999999999998</v>
      </c>
      <c r="AY1299" s="44">
        <v>0</v>
      </c>
    </row>
    <row r="1300" spans="1:51" x14ac:dyDescent="0.25">
      <c r="A1300" s="34">
        <v>1298</v>
      </c>
      <c r="B1300" s="34" t="s">
        <v>49</v>
      </c>
      <c r="C1300" s="110" t="str">
        <f>IFERROR(INDEX(Структура_ассортимента[SuperCategory],MATCH(Товары[[#This Row],[SubGroup]],Структура_ассортимента[Subgroup],0)),"")</f>
        <v>W</v>
      </c>
      <c r="D130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0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00" s="110" t="str">
        <f>IFERROR(INDEX(Структура_ассортимента[Product group],MATCH(Товары[[#This Row],[SubGroup]],Структура_ассортимента[Subgroup],0)),"")</f>
        <v>WMS_C</v>
      </c>
      <c r="G1300" s="110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300" s="110" t="str">
        <f>IFERROR(INDEX(Структура_ассортимента[Generic Name (long)3],MATCH(Товары[[#This Row],[SubGroup]],Структура_ассортимента[Subgroup],0)),"")</f>
        <v>Дождеватели</v>
      </c>
      <c r="I1300" s="36">
        <v>9021</v>
      </c>
      <c r="J1300" s="36" t="str">
        <f>IFERROR(INDEX(Структура_ассортимента[Generic Name (long)],MATCH(Товары[[#This Row],[SubGroup]],Структура_ассортимента[Subgroup],0)),"")</f>
        <v>WATERING SET</v>
      </c>
      <c r="L1300" s="36">
        <v>967990301</v>
      </c>
      <c r="M1300" s="35" t="s">
        <v>2976</v>
      </c>
      <c r="Q1300" s="34" t="s">
        <v>3549</v>
      </c>
      <c r="R1300" s="34" t="s">
        <v>3540</v>
      </c>
      <c r="S1300" s="47">
        <v>43831</v>
      </c>
      <c r="T1300" s="47">
        <v>0</v>
      </c>
      <c r="U1300" s="47">
        <v>0</v>
      </c>
      <c r="V1300" s="34">
        <v>4078500049191</v>
      </c>
      <c r="W1300" s="34" t="s">
        <v>3543</v>
      </c>
      <c r="X1300" s="34" t="s">
        <v>3579</v>
      </c>
      <c r="Y1300" s="34" t="s">
        <v>3542</v>
      </c>
      <c r="Z1300" s="34">
        <v>60</v>
      </c>
      <c r="AB1300" s="34" t="s">
        <v>4136</v>
      </c>
      <c r="AD1300" s="34" t="s">
        <v>4179</v>
      </c>
      <c r="AE1300" s="34" t="s">
        <v>4202</v>
      </c>
      <c r="AF1300" s="34" t="s">
        <v>3560</v>
      </c>
      <c r="AG1300" s="34" t="s">
        <v>3707</v>
      </c>
      <c r="AH1300" s="34" t="s">
        <v>6767</v>
      </c>
      <c r="AL1300" s="34" t="s">
        <v>3593</v>
      </c>
      <c r="AM1300" s="40" t="s">
        <v>8095</v>
      </c>
      <c r="AT1300" s="44">
        <v>0</v>
      </c>
      <c r="AU1300" s="44"/>
      <c r="AV1300" s="46">
        <f>ROUND(Товары[[#This Row],[РРЦ финальная, руб.]]/$AU$1,2)</f>
        <v>0</v>
      </c>
      <c r="AW1300" s="45" t="str">
        <f>IFERROR(Товары[[#This Row],[РРЦ, евро]]/Товары[[#This Row],[IRP, Eur]],"-")</f>
        <v>-</v>
      </c>
      <c r="AX1300" s="42">
        <f>IFERROR(VLOOKUP(Товары[[#This Row],[SubGroup]],'Структура цен DIY'!$B:$C,2,FALSE),0)</f>
        <v>0.28999999999999998</v>
      </c>
      <c r="AY1300" s="44">
        <v>0</v>
      </c>
    </row>
    <row r="1301" spans="1:51" x14ac:dyDescent="0.25">
      <c r="A1301" s="34">
        <v>1299</v>
      </c>
      <c r="B1301" s="34" t="s">
        <v>49</v>
      </c>
      <c r="C1301" s="110" t="str">
        <f>IFERROR(INDEX(Структура_ассортимента[SuperCategory],MATCH(Товары[[#This Row],[SubGroup]],Структура_ассортимента[Subgroup],0)),"")</f>
        <v>W</v>
      </c>
      <c r="D130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0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01" s="110" t="str">
        <f>IFERROR(INDEX(Структура_ассортимента[Product group],MATCH(Товары[[#This Row],[SubGroup]],Структура_ассортимента[Subgroup],0)),"")</f>
        <v>WMT_C</v>
      </c>
      <c r="G1301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01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01" s="36">
        <v>9015</v>
      </c>
      <c r="J1301" s="36" t="str">
        <f>IFERROR(INDEX(Структура_ассортимента[Generic Name (long)],MATCH(Товары[[#This Row],[SubGroup]],Структура_ассортимента[Subgroup],0)),"")</f>
        <v>WALL HOSE BRACKET</v>
      </c>
      <c r="L1301" s="36">
        <v>901009001</v>
      </c>
      <c r="M1301" s="35" t="s">
        <v>2977</v>
      </c>
      <c r="O1301" s="35" t="s">
        <v>6867</v>
      </c>
      <c r="P1301" s="37" t="s">
        <v>6868</v>
      </c>
      <c r="Q1301" s="34" t="s">
        <v>3549</v>
      </c>
      <c r="R1301" s="34" t="s">
        <v>3540</v>
      </c>
      <c r="S1301" s="47">
        <v>38991</v>
      </c>
      <c r="T1301" s="47">
        <v>0</v>
      </c>
      <c r="U1301" s="47">
        <v>0</v>
      </c>
      <c r="V1301" s="34">
        <v>4078500269100</v>
      </c>
      <c r="W1301" s="34" t="s">
        <v>3543</v>
      </c>
      <c r="X1301" s="34" t="s">
        <v>3579</v>
      </c>
      <c r="Y1301" s="34" t="s">
        <v>3542</v>
      </c>
      <c r="Z1301" s="34">
        <v>6</v>
      </c>
      <c r="AA1301" s="34" t="s">
        <v>6869</v>
      </c>
      <c r="AB1301" s="34" t="s">
        <v>6869</v>
      </c>
      <c r="AC1301" s="34" t="s">
        <v>6273</v>
      </c>
      <c r="AD1301" s="34" t="s">
        <v>6273</v>
      </c>
      <c r="AE1301" s="34" t="s">
        <v>4741</v>
      </c>
      <c r="AF1301" s="34" t="s">
        <v>3772</v>
      </c>
      <c r="AG1301" s="34" t="s">
        <v>5042</v>
      </c>
      <c r="AH1301" s="34" t="s">
        <v>6870</v>
      </c>
      <c r="AL1301" s="34">
        <v>18</v>
      </c>
      <c r="AM1301" s="40" t="s">
        <v>9</v>
      </c>
      <c r="AP1301" s="34">
        <v>0</v>
      </c>
      <c r="AQ1301" s="34">
        <v>4390</v>
      </c>
      <c r="AR1301" s="34">
        <v>2744</v>
      </c>
      <c r="AT1301" s="44">
        <v>340000</v>
      </c>
      <c r="AU1301" s="44"/>
      <c r="AV1301" s="46">
        <f>ROUND(Товары[[#This Row],[РРЦ финальная, руб.]]/$AU$1,2)</f>
        <v>0</v>
      </c>
      <c r="AW1301" s="45" t="str">
        <f>IFERROR(Товары[[#This Row],[РРЦ, евро]]/Товары[[#This Row],[IRP, Eur]],"-")</f>
        <v>-</v>
      </c>
      <c r="AX1301" s="42">
        <f>IFERROR(VLOOKUP(Товары[[#This Row],[SubGroup]],'Структура цен DIY'!$B:$C,2,FALSE),0)</f>
        <v>0.25</v>
      </c>
      <c r="AY1301" s="44">
        <v>0</v>
      </c>
    </row>
    <row r="1302" spans="1:51" x14ac:dyDescent="0.25">
      <c r="A1302" s="34">
        <v>1300</v>
      </c>
      <c r="B1302" s="34" t="s">
        <v>49</v>
      </c>
      <c r="C1302" s="110" t="str">
        <f>IFERROR(INDEX(Структура_ассортимента[SuperCategory],MATCH(Товары[[#This Row],[SubGroup]],Структура_ассортимента[Subgroup],0)),"")</f>
        <v>W</v>
      </c>
      <c r="D130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0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02" s="110" t="str">
        <f>IFERROR(INDEX(Структура_ассортимента[Product group],MATCH(Товары[[#This Row],[SubGroup]],Структура_ассортимента[Subgroup],0)),"")</f>
        <v>WMT_C</v>
      </c>
      <c r="G1302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02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02" s="36">
        <v>9015</v>
      </c>
      <c r="J1302" s="36" t="str">
        <f>IFERROR(INDEX(Структура_ассортимента[Generic Name (long)],MATCH(Товары[[#This Row],[SubGroup]],Структура_ассортимента[Subgroup],0)),"")</f>
        <v>WALL HOSE BRACKET</v>
      </c>
      <c r="L1302" s="36">
        <v>966609901</v>
      </c>
      <c r="M1302" s="35" t="s">
        <v>2978</v>
      </c>
      <c r="O1302" s="35" t="s">
        <v>6871</v>
      </c>
      <c r="P1302" s="37" t="s">
        <v>6872</v>
      </c>
      <c r="Q1302" s="34" t="s">
        <v>3549</v>
      </c>
      <c r="R1302" s="34" t="s">
        <v>3540</v>
      </c>
      <c r="S1302" s="47">
        <v>40452</v>
      </c>
      <c r="T1302" s="47">
        <v>0</v>
      </c>
      <c r="U1302" s="47">
        <v>0</v>
      </c>
      <c r="V1302" s="34">
        <v>4078500800709</v>
      </c>
      <c r="W1302" s="34" t="s">
        <v>3543</v>
      </c>
      <c r="X1302" s="34" t="s">
        <v>3579</v>
      </c>
      <c r="Y1302" s="34" t="s">
        <v>3542</v>
      </c>
      <c r="Z1302" s="34">
        <v>1</v>
      </c>
      <c r="AA1302" s="34" t="s">
        <v>6873</v>
      </c>
      <c r="AB1302" s="34" t="s">
        <v>6873</v>
      </c>
      <c r="AC1302" s="34" t="s">
        <v>6377</v>
      </c>
      <c r="AD1302" s="34" t="s">
        <v>6377</v>
      </c>
      <c r="AE1302" s="34" t="s">
        <v>6874</v>
      </c>
      <c r="AF1302" s="34" t="s">
        <v>5373</v>
      </c>
      <c r="AG1302" s="34" t="s">
        <v>6875</v>
      </c>
      <c r="AH1302" s="34" t="s">
        <v>6876</v>
      </c>
      <c r="AL1302" s="34">
        <v>32</v>
      </c>
      <c r="AM1302" s="40" t="s">
        <v>9</v>
      </c>
      <c r="AP1302" s="34">
        <v>0</v>
      </c>
      <c r="AQ1302" s="34">
        <v>4390</v>
      </c>
      <c r="AR1302" s="34">
        <v>2707</v>
      </c>
      <c r="AT1302" s="44">
        <v>340000</v>
      </c>
      <c r="AU1302" s="44"/>
      <c r="AV1302" s="46">
        <f>ROUND(Товары[[#This Row],[РРЦ финальная, руб.]]/$AU$1,2)</f>
        <v>0</v>
      </c>
      <c r="AW1302" s="45" t="str">
        <f>IFERROR(Товары[[#This Row],[РРЦ, евро]]/Товары[[#This Row],[IRP, Eur]],"-")</f>
        <v>-</v>
      </c>
      <c r="AX1302" s="42">
        <f>IFERROR(VLOOKUP(Товары[[#This Row],[SubGroup]],'Структура цен DIY'!$B:$C,2,FALSE),0)</f>
        <v>0.25</v>
      </c>
      <c r="AY1302" s="44">
        <v>0</v>
      </c>
    </row>
    <row r="1303" spans="1:51" x14ac:dyDescent="0.25">
      <c r="A1303" s="34">
        <v>1301</v>
      </c>
      <c r="B1303" s="34" t="s">
        <v>49</v>
      </c>
      <c r="C1303" s="110" t="str">
        <f>IFERROR(INDEX(Структура_ассортимента[SuperCategory],MATCH(Товары[[#This Row],[SubGroup]],Структура_ассортимента[Subgroup],0)),"")</f>
        <v>W</v>
      </c>
      <c r="D130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0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03" s="110" t="str">
        <f>IFERROR(INDEX(Структура_ассортимента[Product group],MATCH(Товары[[#This Row],[SubGroup]],Структура_ассортимента[Subgroup],0)),"")</f>
        <v>WMT_C</v>
      </c>
      <c r="G1303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03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03" s="36">
        <v>9015</v>
      </c>
      <c r="J1303" s="36" t="str">
        <f>IFERROR(INDEX(Структура_ассортимента[Generic Name (long)],MATCH(Товары[[#This Row],[SubGroup]],Структура_ассортимента[Subgroup],0)),"")</f>
        <v>WALL HOSE BRACKET</v>
      </c>
      <c r="L1303" s="36">
        <v>966610101</v>
      </c>
      <c r="M1303" s="35" t="s">
        <v>2979</v>
      </c>
      <c r="O1303" s="35" t="s">
        <v>6877</v>
      </c>
      <c r="P1303" s="37" t="s">
        <v>6878</v>
      </c>
      <c r="Q1303" s="34" t="s">
        <v>3549</v>
      </c>
      <c r="R1303" s="34" t="s">
        <v>3540</v>
      </c>
      <c r="S1303" s="47">
        <v>40452</v>
      </c>
      <c r="T1303" s="47">
        <v>0</v>
      </c>
      <c r="U1303" s="47">
        <v>0</v>
      </c>
      <c r="V1303" s="34">
        <v>4078500801003</v>
      </c>
      <c r="W1303" s="34" t="s">
        <v>3547</v>
      </c>
      <c r="X1303" s="34" t="s">
        <v>3579</v>
      </c>
      <c r="Y1303" s="34" t="s">
        <v>3542</v>
      </c>
      <c r="Z1303" s="34">
        <v>1</v>
      </c>
      <c r="AA1303" s="34" t="s">
        <v>6879</v>
      </c>
      <c r="AB1303" s="34" t="s">
        <v>6879</v>
      </c>
      <c r="AC1303" s="34" t="s">
        <v>6880</v>
      </c>
      <c r="AD1303" s="34" t="s">
        <v>6880</v>
      </c>
      <c r="AE1303" s="34" t="s">
        <v>4984</v>
      </c>
      <c r="AF1303" s="34" t="s">
        <v>3590</v>
      </c>
      <c r="AG1303" s="34" t="s">
        <v>6881</v>
      </c>
      <c r="AH1303" s="34" t="s">
        <v>6882</v>
      </c>
      <c r="AL1303" s="34">
        <v>24</v>
      </c>
      <c r="AM1303" s="40" t="s">
        <v>9</v>
      </c>
      <c r="AP1303" s="34">
        <v>0</v>
      </c>
      <c r="AQ1303" s="34">
        <v>4390</v>
      </c>
      <c r="AR1303" s="34">
        <v>2744</v>
      </c>
      <c r="AT1303" s="44">
        <v>340000</v>
      </c>
      <c r="AU1303" s="44"/>
      <c r="AV1303" s="46">
        <f>ROUND(Товары[[#This Row],[РРЦ финальная, руб.]]/$AU$1,2)</f>
        <v>0</v>
      </c>
      <c r="AW1303" s="45" t="str">
        <f>IFERROR(Товары[[#This Row],[РРЦ, евро]]/Товары[[#This Row],[IRP, Eur]],"-")</f>
        <v>-</v>
      </c>
      <c r="AX1303" s="42">
        <f>IFERROR(VLOOKUP(Товары[[#This Row],[SubGroup]],'Структура цен DIY'!$B:$C,2,FALSE),0)</f>
        <v>0.25</v>
      </c>
      <c r="AY1303" s="44">
        <v>0</v>
      </c>
    </row>
    <row r="1304" spans="1:51" x14ac:dyDescent="0.25">
      <c r="A1304" s="34">
        <v>1302</v>
      </c>
      <c r="B1304" s="34" t="s">
        <v>49</v>
      </c>
      <c r="C1304" s="110" t="str">
        <f>IFERROR(INDEX(Структура_ассортимента[SuperCategory],MATCH(Товары[[#This Row],[SubGroup]],Структура_ассортимента[Subgroup],0)),"")</f>
        <v>W</v>
      </c>
      <c r="D130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0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04" s="110" t="str">
        <f>IFERROR(INDEX(Структура_ассортимента[Product group],MATCH(Товары[[#This Row],[SubGroup]],Структура_ассортимента[Subgroup],0)),"")</f>
        <v>WMT_C</v>
      </c>
      <c r="G1304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04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04" s="36">
        <v>9015</v>
      </c>
      <c r="J1304" s="36" t="str">
        <f>IFERROR(INDEX(Структура_ассортимента[Generic Name (long)],MATCH(Товары[[#This Row],[SubGroup]],Структура_ассортимента[Subgroup],0)),"")</f>
        <v>WALL HOSE BRACKET</v>
      </c>
      <c r="L1304" s="36">
        <v>966609701</v>
      </c>
      <c r="M1304" s="35" t="s">
        <v>2980</v>
      </c>
      <c r="Q1304" s="34" t="s">
        <v>3549</v>
      </c>
      <c r="R1304" s="34" t="s">
        <v>3540</v>
      </c>
      <c r="S1304" s="47">
        <v>40452</v>
      </c>
      <c r="T1304" s="47">
        <v>0</v>
      </c>
      <c r="U1304" s="47">
        <v>0</v>
      </c>
      <c r="V1304" s="34">
        <v>4078500266208</v>
      </c>
      <c r="W1304" s="34" t="s">
        <v>3543</v>
      </c>
      <c r="X1304" s="34" t="s">
        <v>3579</v>
      </c>
      <c r="Y1304" s="34" t="s">
        <v>3542</v>
      </c>
      <c r="Z1304" s="34">
        <v>1</v>
      </c>
      <c r="AA1304" s="34" t="s">
        <v>6883</v>
      </c>
      <c r="AB1304" s="34" t="s">
        <v>6883</v>
      </c>
      <c r="AC1304" s="34" t="s">
        <v>5413</v>
      </c>
      <c r="AD1304" s="34" t="s">
        <v>5413</v>
      </c>
      <c r="AE1304" s="34" t="s">
        <v>3853</v>
      </c>
      <c r="AF1304" s="34" t="s">
        <v>4220</v>
      </c>
      <c r="AG1304" s="34" t="s">
        <v>4810</v>
      </c>
      <c r="AH1304" s="34" t="s">
        <v>6884</v>
      </c>
      <c r="AL1304" s="34">
        <v>24</v>
      </c>
      <c r="AM1304" s="40" t="s">
        <v>8095</v>
      </c>
      <c r="AT1304" s="44">
        <v>0</v>
      </c>
      <c r="AU1304" s="44"/>
      <c r="AV1304" s="46">
        <f>ROUND(Товары[[#This Row],[РРЦ финальная, руб.]]/$AU$1,2)</f>
        <v>0</v>
      </c>
      <c r="AW1304" s="45" t="str">
        <f>IFERROR(Товары[[#This Row],[РРЦ, евро]]/Товары[[#This Row],[IRP, Eur]],"-")</f>
        <v>-</v>
      </c>
      <c r="AX1304" s="42">
        <f>IFERROR(VLOOKUP(Товары[[#This Row],[SubGroup]],'Структура цен DIY'!$B:$C,2,FALSE),0)</f>
        <v>0.25</v>
      </c>
      <c r="AY1304" s="44">
        <v>0</v>
      </c>
    </row>
    <row r="1305" spans="1:51" x14ac:dyDescent="0.25">
      <c r="A1305" s="34">
        <v>1303</v>
      </c>
      <c r="B1305" s="34" t="s">
        <v>49</v>
      </c>
      <c r="C1305" s="110" t="str">
        <f>IFERROR(INDEX(Структура_ассортимента[SuperCategory],MATCH(Товары[[#This Row],[SubGroup]],Структура_ассортимента[Subgroup],0)),"")</f>
        <v>W</v>
      </c>
      <c r="D130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0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05" s="110" t="str">
        <f>IFERROR(INDEX(Структура_ассортимента[Product group],MATCH(Товары[[#This Row],[SubGroup]],Структура_ассортимента[Subgroup],0)),"")</f>
        <v>WMT_C</v>
      </c>
      <c r="G1305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05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05" s="36">
        <v>9015</v>
      </c>
      <c r="J1305" s="36" t="str">
        <f>IFERROR(INDEX(Структура_ассортимента[Generic Name (long)],MATCH(Товары[[#This Row],[SubGroup]],Структура_ассортимента[Subgroup],0)),"")</f>
        <v>WALL HOSE BRACKET</v>
      </c>
      <c r="L1305" s="36">
        <v>967089201</v>
      </c>
      <c r="M1305" s="35" t="s">
        <v>2981</v>
      </c>
      <c r="Q1305" s="34" t="s">
        <v>3549</v>
      </c>
      <c r="R1305" s="34" t="s">
        <v>3540</v>
      </c>
      <c r="S1305" s="47">
        <v>42736</v>
      </c>
      <c r="T1305" s="47">
        <v>0</v>
      </c>
      <c r="U1305" s="47">
        <v>0</v>
      </c>
      <c r="V1305" s="34">
        <v>4078500023276</v>
      </c>
      <c r="W1305" s="34" t="s">
        <v>3543</v>
      </c>
      <c r="X1305" s="34" t="s">
        <v>3579</v>
      </c>
      <c r="Y1305" s="34" t="s">
        <v>3542</v>
      </c>
      <c r="Z1305" s="34">
        <v>1</v>
      </c>
      <c r="AA1305" s="34">
        <v>0</v>
      </c>
      <c r="AB1305" s="34" t="s">
        <v>6883</v>
      </c>
      <c r="AC1305" s="34">
        <v>0</v>
      </c>
      <c r="AD1305" s="34" t="s">
        <v>5413</v>
      </c>
      <c r="AE1305" s="34" t="s">
        <v>3853</v>
      </c>
      <c r="AF1305" s="34" t="s">
        <v>4220</v>
      </c>
      <c r="AG1305" s="34" t="s">
        <v>4810</v>
      </c>
      <c r="AH1305" s="34" t="s">
        <v>6884</v>
      </c>
      <c r="AL1305" s="34" t="s">
        <v>3842</v>
      </c>
      <c r="AM1305" s="40" t="s">
        <v>8095</v>
      </c>
      <c r="AT1305" s="44">
        <v>0</v>
      </c>
      <c r="AU1305" s="44"/>
      <c r="AV1305" s="46">
        <f>ROUND(Товары[[#This Row],[РРЦ финальная, руб.]]/$AU$1,2)</f>
        <v>0</v>
      </c>
      <c r="AW1305" s="45" t="str">
        <f>IFERROR(Товары[[#This Row],[РРЦ, евро]]/Товары[[#This Row],[IRP, Eur]],"-")</f>
        <v>-</v>
      </c>
      <c r="AX1305" s="42">
        <f>IFERROR(VLOOKUP(Товары[[#This Row],[SubGroup]],'Структура цен DIY'!$B:$C,2,FALSE),0)</f>
        <v>0.25</v>
      </c>
      <c r="AY1305" s="44">
        <v>0</v>
      </c>
    </row>
    <row r="1306" spans="1:51" x14ac:dyDescent="0.25">
      <c r="A1306" s="34">
        <v>1304</v>
      </c>
      <c r="B1306" s="34" t="s">
        <v>49</v>
      </c>
      <c r="C1306" s="110" t="str">
        <f>IFERROR(INDEX(Структура_ассортимента[SuperCategory],MATCH(Товары[[#This Row],[SubGroup]],Структура_ассортимента[Subgroup],0)),"")</f>
        <v>W</v>
      </c>
      <c r="D130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0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06" s="110" t="str">
        <f>IFERROR(INDEX(Структура_ассортимента[Product group],MATCH(Товары[[#This Row],[SubGroup]],Структура_ассортимента[Subgroup],0)),"")</f>
        <v>WMT_C</v>
      </c>
      <c r="G1306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06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06" s="36">
        <v>9015</v>
      </c>
      <c r="J1306" s="36" t="str">
        <f>IFERROR(INDEX(Структура_ассортимента[Generic Name (long)],MATCH(Товары[[#This Row],[SubGroup]],Структура_ассортимента[Subgroup],0)),"")</f>
        <v>WALL HOSE BRACKET</v>
      </c>
      <c r="L1306" s="36">
        <v>967089301</v>
      </c>
      <c r="M1306" s="35" t="s">
        <v>2982</v>
      </c>
      <c r="Q1306" s="34" t="s">
        <v>3549</v>
      </c>
      <c r="R1306" s="34" t="s">
        <v>3540</v>
      </c>
      <c r="S1306" s="47">
        <v>42736</v>
      </c>
      <c r="T1306" s="47">
        <v>0</v>
      </c>
      <c r="U1306" s="47">
        <v>0</v>
      </c>
      <c r="V1306" s="34">
        <v>4078500023283</v>
      </c>
      <c r="W1306" s="34" t="s">
        <v>3543</v>
      </c>
      <c r="X1306" s="34" t="s">
        <v>3579</v>
      </c>
      <c r="Y1306" s="34" t="s">
        <v>3542</v>
      </c>
      <c r="Z1306" s="34">
        <v>1</v>
      </c>
      <c r="AA1306" s="34">
        <v>724</v>
      </c>
      <c r="AB1306" s="34" t="s">
        <v>6885</v>
      </c>
      <c r="AC1306" s="34">
        <v>0</v>
      </c>
      <c r="AD1306" s="34" t="s">
        <v>4707</v>
      </c>
      <c r="AE1306" s="34" t="s">
        <v>3857</v>
      </c>
      <c r="AF1306" s="34" t="s">
        <v>3623</v>
      </c>
      <c r="AG1306" s="34" t="s">
        <v>3765</v>
      </c>
      <c r="AH1306" s="34" t="s">
        <v>6886</v>
      </c>
      <c r="AL1306" s="34" t="s">
        <v>5442</v>
      </c>
      <c r="AM1306" s="40" t="s">
        <v>8095</v>
      </c>
      <c r="AT1306" s="44">
        <v>0</v>
      </c>
      <c r="AU1306" s="44"/>
      <c r="AV1306" s="46">
        <f>ROUND(Товары[[#This Row],[РРЦ финальная, руб.]]/$AU$1,2)</f>
        <v>0</v>
      </c>
      <c r="AW1306" s="45" t="str">
        <f>IFERROR(Товары[[#This Row],[РРЦ, евро]]/Товары[[#This Row],[IRP, Eur]],"-")</f>
        <v>-</v>
      </c>
      <c r="AX1306" s="42">
        <f>IFERROR(VLOOKUP(Товары[[#This Row],[SubGroup]],'Структура цен DIY'!$B:$C,2,FALSE),0)</f>
        <v>0.25</v>
      </c>
      <c r="AY1306" s="44">
        <v>0</v>
      </c>
    </row>
    <row r="1307" spans="1:51" x14ac:dyDescent="0.25">
      <c r="A1307" s="34">
        <v>1305</v>
      </c>
      <c r="B1307" s="34" t="s">
        <v>49</v>
      </c>
      <c r="C1307" s="110" t="str">
        <f>IFERROR(INDEX(Структура_ассортимента[SuperCategory],MATCH(Товары[[#This Row],[SubGroup]],Структура_ассортимента[Subgroup],0)),"")</f>
        <v>W</v>
      </c>
      <c r="D130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0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07" s="110" t="str">
        <f>IFERROR(INDEX(Структура_ассортимента[Product group],MATCH(Товары[[#This Row],[SubGroup]],Структура_ассортимента[Subgroup],0)),"")</f>
        <v>WMT_C</v>
      </c>
      <c r="G1307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07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07" s="36">
        <v>9015</v>
      </c>
      <c r="J1307" s="36" t="str">
        <f>IFERROR(INDEX(Структура_ассортимента[Generic Name (long)],MATCH(Товары[[#This Row],[SubGroup]],Структура_ассортимента[Subgroup],0)),"")</f>
        <v>WALL HOSE BRACKET</v>
      </c>
      <c r="L1307" s="36">
        <v>967109101</v>
      </c>
      <c r="M1307" s="35" t="s">
        <v>2983</v>
      </c>
      <c r="Q1307" s="34" t="s">
        <v>3549</v>
      </c>
      <c r="R1307" s="34" t="s">
        <v>3540</v>
      </c>
      <c r="S1307" s="47">
        <v>42736</v>
      </c>
      <c r="T1307" s="47">
        <v>0</v>
      </c>
      <c r="U1307" s="47">
        <v>0</v>
      </c>
      <c r="V1307" s="34">
        <v>4078500025379</v>
      </c>
      <c r="W1307" s="34" t="s">
        <v>3543</v>
      </c>
      <c r="X1307" s="34" t="s">
        <v>3579</v>
      </c>
      <c r="Y1307" s="34" t="s">
        <v>3542</v>
      </c>
      <c r="Z1307" s="34">
        <v>1</v>
      </c>
      <c r="AA1307" s="34">
        <v>744</v>
      </c>
      <c r="AB1307" s="34" t="s">
        <v>6887</v>
      </c>
      <c r="AC1307" s="34">
        <v>0</v>
      </c>
      <c r="AD1307" s="34" t="s">
        <v>6888</v>
      </c>
      <c r="AE1307" s="34" t="s">
        <v>3857</v>
      </c>
      <c r="AF1307" s="34" t="s">
        <v>3623</v>
      </c>
      <c r="AG1307" s="34" t="s">
        <v>3765</v>
      </c>
      <c r="AH1307" s="34" t="s">
        <v>6886</v>
      </c>
      <c r="AL1307" s="34" t="s">
        <v>5442</v>
      </c>
      <c r="AM1307" s="40" t="s">
        <v>8095</v>
      </c>
      <c r="AT1307" s="44">
        <v>0</v>
      </c>
      <c r="AU1307" s="44"/>
      <c r="AV1307" s="46">
        <f>ROUND(Товары[[#This Row],[РРЦ финальная, руб.]]/$AU$1,2)</f>
        <v>0</v>
      </c>
      <c r="AW1307" s="45" t="str">
        <f>IFERROR(Товары[[#This Row],[РРЦ, евро]]/Товары[[#This Row],[IRP, Eur]],"-")</f>
        <v>-</v>
      </c>
      <c r="AX1307" s="42">
        <f>IFERROR(VLOOKUP(Товары[[#This Row],[SubGroup]],'Структура цен DIY'!$B:$C,2,FALSE),0)</f>
        <v>0.25</v>
      </c>
      <c r="AY1307" s="44">
        <v>0</v>
      </c>
    </row>
    <row r="1308" spans="1:51" x14ac:dyDescent="0.25">
      <c r="A1308" s="34">
        <v>1306</v>
      </c>
      <c r="B1308" s="34" t="s">
        <v>49</v>
      </c>
      <c r="C1308" s="110" t="str">
        <f>IFERROR(INDEX(Структура_ассортимента[SuperCategory],MATCH(Товары[[#This Row],[SubGroup]],Структура_ассортимента[Subgroup],0)),"")</f>
        <v>W</v>
      </c>
      <c r="D130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0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08" s="110" t="str">
        <f>IFERROR(INDEX(Структура_ассортимента[Product group],MATCH(Товары[[#This Row],[SubGroup]],Структура_ассортимента[Subgroup],0)),"")</f>
        <v>WMT_C</v>
      </c>
      <c r="G1308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08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08" s="36">
        <v>9015</v>
      </c>
      <c r="J1308" s="36" t="str">
        <f>IFERROR(INDEX(Структура_ассортимента[Generic Name (long)],MATCH(Товары[[#This Row],[SubGroup]],Структура_ассортимента[Subgroup],0)),"")</f>
        <v>WALL HOSE BRACKET</v>
      </c>
      <c r="L1308" s="36">
        <v>901007001</v>
      </c>
      <c r="M1308" s="35" t="s">
        <v>2984</v>
      </c>
      <c r="O1308" s="35" t="s">
        <v>6889</v>
      </c>
      <c r="P1308" s="37" t="s">
        <v>6890</v>
      </c>
      <c r="Q1308" s="34" t="s">
        <v>3549</v>
      </c>
      <c r="R1308" s="34" t="s">
        <v>3540</v>
      </c>
      <c r="S1308" s="47">
        <v>35704</v>
      </c>
      <c r="T1308" s="47">
        <v>0</v>
      </c>
      <c r="U1308" s="47">
        <v>0</v>
      </c>
      <c r="V1308" s="34">
        <v>4078500267403</v>
      </c>
      <c r="W1308" s="34" t="s">
        <v>3936</v>
      </c>
      <c r="X1308" s="34" t="s">
        <v>3579</v>
      </c>
      <c r="Y1308" s="34" t="s">
        <v>3542</v>
      </c>
      <c r="Z1308" s="34">
        <v>1</v>
      </c>
      <c r="AA1308" s="34" t="s">
        <v>6891</v>
      </c>
      <c r="AB1308" s="34" t="s">
        <v>6892</v>
      </c>
      <c r="AC1308" s="34" t="s">
        <v>6893</v>
      </c>
      <c r="AD1308" s="34" t="s">
        <v>6894</v>
      </c>
      <c r="AE1308" s="34" t="s">
        <v>6895</v>
      </c>
      <c r="AF1308" s="34" t="s">
        <v>6896</v>
      </c>
      <c r="AG1308" s="34" t="s">
        <v>4540</v>
      </c>
      <c r="AH1308" s="34" t="s">
        <v>6897</v>
      </c>
      <c r="AL1308" s="34" t="s">
        <v>4972</v>
      </c>
      <c r="AM1308" s="40" t="s">
        <v>9</v>
      </c>
      <c r="AP1308" s="34">
        <v>0</v>
      </c>
      <c r="AQ1308" s="34">
        <v>24190</v>
      </c>
      <c r="AR1308" s="34">
        <v>15119</v>
      </c>
      <c r="AT1308" s="44">
        <v>1873600</v>
      </c>
      <c r="AU1308" s="44"/>
      <c r="AV1308" s="46">
        <f>ROUND(Товары[[#This Row],[РРЦ финальная, руб.]]/$AU$1,2)</f>
        <v>0</v>
      </c>
      <c r="AW1308" s="45" t="str">
        <f>IFERROR(Товары[[#This Row],[РРЦ, евро]]/Товары[[#This Row],[IRP, Eur]],"-")</f>
        <v>-</v>
      </c>
      <c r="AX1308" s="42">
        <f>IFERROR(VLOOKUP(Товары[[#This Row],[SubGroup]],'Структура цен DIY'!$B:$C,2,FALSE),0)</f>
        <v>0.25</v>
      </c>
      <c r="AY1308" s="44">
        <v>0</v>
      </c>
    </row>
    <row r="1309" spans="1:51" x14ac:dyDescent="0.25">
      <c r="A1309" s="34">
        <v>1307</v>
      </c>
      <c r="B1309" s="34" t="s">
        <v>49</v>
      </c>
      <c r="C1309" s="110" t="str">
        <f>IFERROR(INDEX(Структура_ассортимента[SuperCategory],MATCH(Товары[[#This Row],[SubGroup]],Структура_ассортимента[Subgroup],0)),"")</f>
        <v>W</v>
      </c>
      <c r="D130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0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09" s="110" t="str">
        <f>IFERROR(INDEX(Структура_ассортимента[Product group],MATCH(Товары[[#This Row],[SubGroup]],Структура_ассортимента[Subgroup],0)),"")</f>
        <v>WMT_C</v>
      </c>
      <c r="G1309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09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09" s="36">
        <v>9015</v>
      </c>
      <c r="J1309" s="36" t="str">
        <f>IFERROR(INDEX(Структура_ассортимента[Generic Name (long)],MATCH(Товары[[#This Row],[SubGroup]],Структура_ассортимента[Subgroup],0)),"")</f>
        <v>WALL HOSE BRACKET</v>
      </c>
      <c r="L1309" s="36">
        <v>967674501</v>
      </c>
      <c r="M1309" s="35" t="s">
        <v>2985</v>
      </c>
      <c r="O1309" s="35" t="s">
        <v>6898</v>
      </c>
      <c r="P1309" s="37" t="s">
        <v>6899</v>
      </c>
      <c r="Q1309" s="34" t="s">
        <v>3549</v>
      </c>
      <c r="R1309" s="34" t="s">
        <v>3540</v>
      </c>
      <c r="S1309" s="47">
        <v>43101</v>
      </c>
      <c r="T1309" s="47">
        <v>0</v>
      </c>
      <c r="U1309" s="47">
        <v>0</v>
      </c>
      <c r="V1309" s="34">
        <v>4078500033084</v>
      </c>
      <c r="W1309" s="34" t="s">
        <v>3543</v>
      </c>
      <c r="X1309" s="34" t="s">
        <v>3579</v>
      </c>
      <c r="Y1309" s="34" t="s">
        <v>3542</v>
      </c>
      <c r="Z1309" s="34">
        <v>1</v>
      </c>
      <c r="AA1309" s="34">
        <v>2235</v>
      </c>
      <c r="AB1309" s="34" t="s">
        <v>5096</v>
      </c>
      <c r="AC1309" s="34">
        <v>1800</v>
      </c>
      <c r="AD1309" s="34" t="s">
        <v>3970</v>
      </c>
      <c r="AE1309" s="34" t="s">
        <v>4217</v>
      </c>
      <c r="AF1309" s="34" t="s">
        <v>3978</v>
      </c>
      <c r="AG1309" s="34" t="s">
        <v>6026</v>
      </c>
      <c r="AH1309" s="34" t="s">
        <v>6900</v>
      </c>
      <c r="AI1309" s="34" t="s">
        <v>6901</v>
      </c>
      <c r="AJ1309" s="34" t="s">
        <v>6902</v>
      </c>
      <c r="AK1309" s="34" t="s">
        <v>6903</v>
      </c>
      <c r="AL1309" s="34" t="s">
        <v>5442</v>
      </c>
      <c r="AM1309" s="40" t="s">
        <v>9</v>
      </c>
      <c r="AP1309" s="34">
        <v>0</v>
      </c>
      <c r="AQ1309" s="34">
        <v>4129</v>
      </c>
      <c r="AR1309" s="34">
        <v>2581</v>
      </c>
      <c r="AT1309" s="44">
        <v>319800</v>
      </c>
      <c r="AU1309" s="44"/>
      <c r="AV1309" s="46">
        <f>ROUND(Товары[[#This Row],[РРЦ финальная, руб.]]/$AU$1,2)</f>
        <v>0</v>
      </c>
      <c r="AW1309" s="45" t="str">
        <f>IFERROR(Товары[[#This Row],[РРЦ, евро]]/Товары[[#This Row],[IRP, Eur]],"-")</f>
        <v>-</v>
      </c>
      <c r="AX1309" s="42">
        <f>IFERROR(VLOOKUP(Товары[[#This Row],[SubGroup]],'Структура цен DIY'!$B:$C,2,FALSE),0)</f>
        <v>0.25</v>
      </c>
      <c r="AY1309" s="44">
        <v>0</v>
      </c>
    </row>
    <row r="1310" spans="1:51" x14ac:dyDescent="0.25">
      <c r="A1310" s="34">
        <v>1308</v>
      </c>
      <c r="B1310" s="34" t="s">
        <v>49</v>
      </c>
      <c r="C1310" s="110" t="str">
        <f>IFERROR(INDEX(Структура_ассортимента[SuperCategory],MATCH(Товары[[#This Row],[SubGroup]],Структура_ассортимента[Subgroup],0)),"")</f>
        <v>W</v>
      </c>
      <c r="D131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1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10" s="110" t="str">
        <f>IFERROR(INDEX(Структура_ассортимента[Product group],MATCH(Товары[[#This Row],[SubGroup]],Структура_ассортимента[Subgroup],0)),"")</f>
        <v>WMT_C</v>
      </c>
      <c r="G1310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10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10" s="36">
        <v>9015</v>
      </c>
      <c r="J1310" s="36" t="str">
        <f>IFERROR(INDEX(Структура_ассортимента[Generic Name (long)],MATCH(Товары[[#This Row],[SubGroup]],Структура_ассортимента[Subgroup],0)),"")</f>
        <v>WALL HOSE BRACKET</v>
      </c>
      <c r="L1310" s="36">
        <v>967674601</v>
      </c>
      <c r="M1310" s="35" t="s">
        <v>2986</v>
      </c>
      <c r="O1310" s="35" t="s">
        <v>6904</v>
      </c>
      <c r="P1310" s="37" t="s">
        <v>6905</v>
      </c>
      <c r="Q1310" s="34" t="s">
        <v>3549</v>
      </c>
      <c r="R1310" s="34" t="s">
        <v>3540</v>
      </c>
      <c r="S1310" s="47">
        <v>43101</v>
      </c>
      <c r="T1310" s="47">
        <v>0</v>
      </c>
      <c r="U1310" s="47">
        <v>0</v>
      </c>
      <c r="V1310" s="34">
        <v>4078500033091</v>
      </c>
      <c r="W1310" s="34" t="s">
        <v>3543</v>
      </c>
      <c r="X1310" s="34" t="s">
        <v>3579</v>
      </c>
      <c r="Y1310" s="34" t="s">
        <v>3542</v>
      </c>
      <c r="Z1310" s="34">
        <v>18</v>
      </c>
      <c r="AA1310" s="34">
        <v>5540</v>
      </c>
      <c r="AB1310" s="34" t="s">
        <v>6906</v>
      </c>
      <c r="AC1310" s="34">
        <v>5116</v>
      </c>
      <c r="AD1310" s="34" t="s">
        <v>5501</v>
      </c>
      <c r="AE1310" s="34" t="s">
        <v>5048</v>
      </c>
      <c r="AF1310" s="34" t="s">
        <v>4582</v>
      </c>
      <c r="AG1310" s="34" t="s">
        <v>4741</v>
      </c>
      <c r="AH1310" s="34" t="s">
        <v>6907</v>
      </c>
      <c r="AI1310" s="34" t="s">
        <v>4510</v>
      </c>
      <c r="AJ1310" s="34" t="s">
        <v>4557</v>
      </c>
      <c r="AK1310" s="34" t="s">
        <v>4582</v>
      </c>
      <c r="AL1310" s="34" t="s">
        <v>5433</v>
      </c>
      <c r="AM1310" s="40" t="s">
        <v>9</v>
      </c>
      <c r="AP1310" s="34">
        <v>0</v>
      </c>
      <c r="AQ1310" s="34">
        <v>5590</v>
      </c>
      <c r="AR1310" s="34">
        <v>3494</v>
      </c>
      <c r="AT1310" s="44">
        <v>433000</v>
      </c>
      <c r="AU1310" s="44"/>
      <c r="AV1310" s="46">
        <f>ROUND(Товары[[#This Row],[РРЦ финальная, руб.]]/$AU$1,2)</f>
        <v>0</v>
      </c>
      <c r="AW1310" s="45" t="str">
        <f>IFERROR(Товары[[#This Row],[РРЦ, евро]]/Товары[[#This Row],[IRP, Eur]],"-")</f>
        <v>-</v>
      </c>
      <c r="AX1310" s="42">
        <f>IFERROR(VLOOKUP(Товары[[#This Row],[SubGroup]],'Структура цен DIY'!$B:$C,2,FALSE),0)</f>
        <v>0.25</v>
      </c>
      <c r="AY1310" s="44">
        <v>0</v>
      </c>
    </row>
    <row r="1311" spans="1:51" x14ac:dyDescent="0.25">
      <c r="A1311" s="34">
        <v>1309</v>
      </c>
      <c r="B1311" s="34" t="s">
        <v>49</v>
      </c>
      <c r="C1311" s="110" t="str">
        <f>IFERROR(INDEX(Структура_ассортимента[SuperCategory],MATCH(Товары[[#This Row],[SubGroup]],Структура_ассортимента[Subgroup],0)),"")</f>
        <v>W</v>
      </c>
      <c r="D131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1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11" s="110" t="str">
        <f>IFERROR(INDEX(Структура_ассортимента[Product group],MATCH(Товары[[#This Row],[SubGroup]],Структура_ассортимента[Subgroup],0)),"")</f>
        <v>WMT_C</v>
      </c>
      <c r="G1311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11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11" s="36">
        <v>9015</v>
      </c>
      <c r="J1311" s="36" t="str">
        <f>IFERROR(INDEX(Структура_ассортимента[Generic Name (long)],MATCH(Товары[[#This Row],[SubGroup]],Структура_ассортимента[Subgroup],0)),"")</f>
        <v>WALL HOSE BRACKET</v>
      </c>
      <c r="L1311" s="36">
        <v>967679601</v>
      </c>
      <c r="M1311" s="35" t="s">
        <v>2987</v>
      </c>
      <c r="O1311" s="35" t="s">
        <v>6904</v>
      </c>
      <c r="P1311" s="37" t="s">
        <v>6908</v>
      </c>
      <c r="Q1311" s="34" t="s">
        <v>3549</v>
      </c>
      <c r="R1311" s="34" t="s">
        <v>3540</v>
      </c>
      <c r="S1311" s="47">
        <v>43101</v>
      </c>
      <c r="T1311" s="47">
        <v>0</v>
      </c>
      <c r="U1311" s="47">
        <v>0</v>
      </c>
      <c r="V1311" s="34">
        <v>4078500033855</v>
      </c>
      <c r="W1311" s="34" t="s">
        <v>3543</v>
      </c>
      <c r="X1311" s="34" t="s">
        <v>3579</v>
      </c>
      <c r="Y1311" s="34" t="s">
        <v>3542</v>
      </c>
      <c r="Z1311" s="34">
        <v>1</v>
      </c>
      <c r="AA1311" s="34">
        <v>5300</v>
      </c>
      <c r="AB1311" s="34" t="s">
        <v>6909</v>
      </c>
      <c r="AC1311" s="34">
        <v>5300</v>
      </c>
      <c r="AD1311" s="34" t="s">
        <v>5335</v>
      </c>
      <c r="AE1311" s="34" t="s">
        <v>3923</v>
      </c>
      <c r="AF1311" s="34" t="s">
        <v>4644</v>
      </c>
      <c r="AG1311" s="34" t="s">
        <v>4202</v>
      </c>
      <c r="AH1311" s="34" t="s">
        <v>6910</v>
      </c>
      <c r="AL1311" s="34" t="s">
        <v>4609</v>
      </c>
      <c r="AM1311" s="40" t="s">
        <v>9</v>
      </c>
      <c r="AP1311" s="34">
        <v>0</v>
      </c>
      <c r="AQ1311" s="34">
        <v>5590</v>
      </c>
      <c r="AR1311" s="34">
        <v>3494</v>
      </c>
      <c r="AT1311" s="44">
        <v>433000</v>
      </c>
      <c r="AU1311" s="44"/>
      <c r="AV1311" s="46">
        <f>ROUND(Товары[[#This Row],[РРЦ финальная, руб.]]/$AU$1,2)</f>
        <v>0</v>
      </c>
      <c r="AW1311" s="45" t="str">
        <f>IFERROR(Товары[[#This Row],[РРЦ, евро]]/Товары[[#This Row],[IRP, Eur]],"-")</f>
        <v>-</v>
      </c>
      <c r="AX1311" s="42">
        <f>IFERROR(VLOOKUP(Товары[[#This Row],[SubGroup]],'Структура цен DIY'!$B:$C,2,FALSE),0)</f>
        <v>0.25</v>
      </c>
      <c r="AY1311" s="44">
        <v>0</v>
      </c>
    </row>
    <row r="1312" spans="1:51" x14ac:dyDescent="0.25">
      <c r="A1312" s="34">
        <v>1310</v>
      </c>
      <c r="B1312" s="34" t="s">
        <v>49</v>
      </c>
      <c r="C1312" s="110" t="str">
        <f>IFERROR(INDEX(Структура_ассортимента[SuperCategory],MATCH(Товары[[#This Row],[SubGroup]],Структура_ассортимента[Subgroup],0)),"")</f>
        <v>W</v>
      </c>
      <c r="D131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1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12" s="110" t="str">
        <f>IFERROR(INDEX(Структура_ассортимента[Product group],MATCH(Товары[[#This Row],[SubGroup]],Структура_ассортимента[Subgroup],0)),"")</f>
        <v>WMT_C</v>
      </c>
      <c r="G1312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12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12" s="36">
        <v>9015</v>
      </c>
      <c r="J1312" s="36" t="str">
        <f>IFERROR(INDEX(Структура_ассортимента[Generic Name (long)],MATCH(Товары[[#This Row],[SubGroup]],Структура_ассортимента[Subgroup],0)),"")</f>
        <v>WALL HOSE BRACKET</v>
      </c>
      <c r="L1312" s="36">
        <v>967791101</v>
      </c>
      <c r="M1312" s="35" t="s">
        <v>2988</v>
      </c>
      <c r="Q1312" s="34" t="s">
        <v>3549</v>
      </c>
      <c r="R1312" s="34" t="s">
        <v>3540</v>
      </c>
      <c r="S1312" s="47">
        <v>43101</v>
      </c>
      <c r="T1312" s="47">
        <v>0</v>
      </c>
      <c r="U1312" s="47">
        <v>0</v>
      </c>
      <c r="V1312" s="34">
        <v>4078500036368</v>
      </c>
      <c r="W1312" s="34" t="s">
        <v>3543</v>
      </c>
      <c r="X1312" s="34" t="s">
        <v>3579</v>
      </c>
      <c r="Y1312" s="34" t="s">
        <v>3542</v>
      </c>
      <c r="Z1312" s="34">
        <v>6</v>
      </c>
      <c r="AA1312" s="34">
        <v>0</v>
      </c>
      <c r="AB1312" s="34" t="s">
        <v>5501</v>
      </c>
      <c r="AC1312" s="34">
        <v>5116</v>
      </c>
      <c r="AD1312" s="34" t="s">
        <v>6911</v>
      </c>
      <c r="AE1312" s="34" t="s">
        <v>5048</v>
      </c>
      <c r="AF1312" s="34" t="s">
        <v>4582</v>
      </c>
      <c r="AG1312" s="34" t="s">
        <v>4741</v>
      </c>
      <c r="AH1312" s="34" t="s">
        <v>6907</v>
      </c>
      <c r="AL1312" s="34" t="s">
        <v>3617</v>
      </c>
      <c r="AM1312" s="40" t="s">
        <v>8095</v>
      </c>
      <c r="AT1312" s="44">
        <v>0</v>
      </c>
      <c r="AU1312" s="44"/>
      <c r="AV1312" s="46">
        <f>ROUND(Товары[[#This Row],[РРЦ финальная, руб.]]/$AU$1,2)</f>
        <v>0</v>
      </c>
      <c r="AW1312" s="45" t="str">
        <f>IFERROR(Товары[[#This Row],[РРЦ, евро]]/Товары[[#This Row],[IRP, Eur]],"-")</f>
        <v>-</v>
      </c>
      <c r="AX1312" s="42">
        <f>IFERROR(VLOOKUP(Товары[[#This Row],[SubGroup]],'Структура цен DIY'!$B:$C,2,FALSE),0)</f>
        <v>0.25</v>
      </c>
      <c r="AY1312" s="44">
        <v>0</v>
      </c>
    </row>
    <row r="1313" spans="1:51" x14ac:dyDescent="0.25">
      <c r="A1313" s="34">
        <v>1311</v>
      </c>
      <c r="B1313" s="34" t="s">
        <v>49</v>
      </c>
      <c r="C1313" s="110" t="str">
        <f>IFERROR(INDEX(Структура_ассортимента[SuperCategory],MATCH(Товары[[#This Row],[SubGroup]],Структура_ассортимента[Subgroup],0)),"")</f>
        <v>W</v>
      </c>
      <c r="D131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1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13" s="110" t="str">
        <f>IFERROR(INDEX(Структура_ассортимента[Product group],MATCH(Товары[[#This Row],[SubGroup]],Структура_ассортимента[Subgroup],0)),"")</f>
        <v>WMT_C</v>
      </c>
      <c r="G1313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13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13" s="36">
        <v>9015</v>
      </c>
      <c r="J1313" s="36" t="str">
        <f>IFERROR(INDEX(Структура_ассортимента[Generic Name (long)],MATCH(Товары[[#This Row],[SubGroup]],Структура_ассортимента[Subgroup],0)),"")</f>
        <v>WALL HOSE BRACKET</v>
      </c>
      <c r="L1313" s="36">
        <v>967845901</v>
      </c>
      <c r="M1313" s="35" t="s">
        <v>2989</v>
      </c>
      <c r="Q1313" s="34" t="s">
        <v>3549</v>
      </c>
      <c r="R1313" s="34" t="s">
        <v>3540</v>
      </c>
      <c r="S1313" s="47">
        <v>43101</v>
      </c>
      <c r="T1313" s="47">
        <v>0</v>
      </c>
      <c r="U1313" s="47">
        <v>0</v>
      </c>
      <c r="V1313" s="34">
        <v>4078500042161</v>
      </c>
      <c r="W1313" s="34" t="s">
        <v>3543</v>
      </c>
      <c r="X1313" s="34" t="s">
        <v>3579</v>
      </c>
      <c r="Y1313" s="34" t="s">
        <v>3542</v>
      </c>
      <c r="Z1313" s="34">
        <v>6</v>
      </c>
      <c r="AB1313" s="34" t="s">
        <v>6906</v>
      </c>
      <c r="AD1313" s="34" t="s">
        <v>5501</v>
      </c>
      <c r="AE1313" s="34" t="s">
        <v>5048</v>
      </c>
      <c r="AF1313" s="34" t="s">
        <v>4582</v>
      </c>
      <c r="AG1313" s="34" t="s">
        <v>4741</v>
      </c>
      <c r="AH1313" s="34" t="s">
        <v>6907</v>
      </c>
      <c r="AL1313" s="34" t="s">
        <v>3617</v>
      </c>
      <c r="AM1313" s="40" t="s">
        <v>8095</v>
      </c>
      <c r="AT1313" s="44">
        <v>0</v>
      </c>
      <c r="AU1313" s="44"/>
      <c r="AV1313" s="46">
        <f>ROUND(Товары[[#This Row],[РРЦ финальная, руб.]]/$AU$1,2)</f>
        <v>0</v>
      </c>
      <c r="AW1313" s="45" t="str">
        <f>IFERROR(Товары[[#This Row],[РРЦ, евро]]/Товары[[#This Row],[IRP, Eur]],"-")</f>
        <v>-</v>
      </c>
      <c r="AX1313" s="42">
        <f>IFERROR(VLOOKUP(Товары[[#This Row],[SubGroup]],'Структура цен DIY'!$B:$C,2,FALSE),0)</f>
        <v>0.25</v>
      </c>
      <c r="AY1313" s="44">
        <v>0</v>
      </c>
    </row>
    <row r="1314" spans="1:51" x14ac:dyDescent="0.25">
      <c r="A1314" s="34">
        <v>1312</v>
      </c>
      <c r="B1314" s="34" t="s">
        <v>49</v>
      </c>
      <c r="C1314" s="110" t="str">
        <f>IFERROR(INDEX(Структура_ассортимента[SuperCategory],MATCH(Товары[[#This Row],[SubGroup]],Структура_ассортимента[Subgroup],0)),"")</f>
        <v>W</v>
      </c>
      <c r="D131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1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14" s="110" t="str">
        <f>IFERROR(INDEX(Структура_ассортимента[Product group],MATCH(Товары[[#This Row],[SubGroup]],Структура_ассортимента[Subgroup],0)),"")</f>
        <v>WMT_C</v>
      </c>
      <c r="G1314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14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14" s="36">
        <v>9015</v>
      </c>
      <c r="J1314" s="36" t="str">
        <f>IFERROR(INDEX(Структура_ассортимента[Generic Name (long)],MATCH(Товары[[#This Row],[SubGroup]],Структура_ассортимента[Subgroup],0)),"")</f>
        <v>WALL HOSE BRACKET</v>
      </c>
      <c r="L1314" s="36">
        <v>967674901</v>
      </c>
      <c r="M1314" s="35" t="s">
        <v>2990</v>
      </c>
      <c r="O1314" s="35" t="s">
        <v>6912</v>
      </c>
      <c r="P1314" s="37" t="s">
        <v>6913</v>
      </c>
      <c r="Q1314" s="34" t="s">
        <v>3549</v>
      </c>
      <c r="R1314" s="34" t="s">
        <v>3540</v>
      </c>
      <c r="S1314" s="47">
        <v>43101</v>
      </c>
      <c r="T1314" s="47">
        <v>0</v>
      </c>
      <c r="U1314" s="47">
        <v>0</v>
      </c>
      <c r="V1314" s="34">
        <v>4078500033114</v>
      </c>
      <c r="W1314" s="34" t="s">
        <v>3543</v>
      </c>
      <c r="X1314" s="34" t="s">
        <v>3579</v>
      </c>
      <c r="Y1314" s="34" t="s">
        <v>3542</v>
      </c>
      <c r="Z1314" s="34">
        <v>1</v>
      </c>
      <c r="AA1314" s="34">
        <v>4500</v>
      </c>
      <c r="AB1314" s="34" t="s">
        <v>5446</v>
      </c>
      <c r="AC1314" s="34">
        <v>4000</v>
      </c>
      <c r="AD1314" s="34" t="s">
        <v>5426</v>
      </c>
      <c r="AE1314" s="34" t="s">
        <v>4202</v>
      </c>
      <c r="AF1314" s="34" t="s">
        <v>4486</v>
      </c>
      <c r="AG1314" s="34" t="s">
        <v>6914</v>
      </c>
      <c r="AH1314" s="34" t="s">
        <v>6915</v>
      </c>
      <c r="AI1314" s="34" t="s">
        <v>6916</v>
      </c>
      <c r="AJ1314" s="34" t="s">
        <v>3910</v>
      </c>
      <c r="AK1314" s="34" t="s">
        <v>4768</v>
      </c>
      <c r="AL1314" s="34" t="s">
        <v>6917</v>
      </c>
      <c r="AM1314" s="40" t="s">
        <v>9</v>
      </c>
      <c r="AP1314" s="34">
        <v>0</v>
      </c>
      <c r="AQ1314" s="34">
        <v>6090</v>
      </c>
      <c r="AR1314" s="34">
        <v>3806</v>
      </c>
      <c r="AT1314" s="44">
        <v>471700</v>
      </c>
      <c r="AU1314" s="44"/>
      <c r="AV1314" s="46">
        <f>ROUND(Товары[[#This Row],[РРЦ финальная, руб.]]/$AU$1,2)</f>
        <v>0</v>
      </c>
      <c r="AW1314" s="45" t="str">
        <f>IFERROR(Товары[[#This Row],[РРЦ, евро]]/Товары[[#This Row],[IRP, Eur]],"-")</f>
        <v>-</v>
      </c>
      <c r="AX1314" s="42">
        <f>IFERROR(VLOOKUP(Товары[[#This Row],[SubGroup]],'Структура цен DIY'!$B:$C,2,FALSE),0)</f>
        <v>0.25</v>
      </c>
      <c r="AY1314" s="44">
        <v>0</v>
      </c>
    </row>
    <row r="1315" spans="1:51" x14ac:dyDescent="0.25">
      <c r="A1315" s="34">
        <v>1313</v>
      </c>
      <c r="B1315" s="34" t="s">
        <v>49</v>
      </c>
      <c r="C1315" s="110" t="str">
        <f>IFERROR(INDEX(Структура_ассортимента[SuperCategory],MATCH(Товары[[#This Row],[SubGroup]],Структура_ассортимента[Subgroup],0)),"")</f>
        <v>W</v>
      </c>
      <c r="D131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1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15" s="110" t="str">
        <f>IFERROR(INDEX(Структура_ассортимента[Product group],MATCH(Товары[[#This Row],[SubGroup]],Структура_ассортимента[Subgroup],0)),"")</f>
        <v>WMT_C</v>
      </c>
      <c r="G1315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15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15" s="36">
        <v>9015</v>
      </c>
      <c r="J1315" s="36" t="str">
        <f>IFERROR(INDEX(Структура_ассортимента[Generic Name (long)],MATCH(Товары[[#This Row],[SubGroup]],Структура_ассортимента[Subgroup],0)),"")</f>
        <v>WALL HOSE BRACKET</v>
      </c>
      <c r="L1315" s="36">
        <v>967675001</v>
      </c>
      <c r="M1315" s="35" t="s">
        <v>2991</v>
      </c>
      <c r="Q1315" s="34" t="s">
        <v>3549</v>
      </c>
      <c r="R1315" s="34" t="s">
        <v>3540</v>
      </c>
      <c r="S1315" s="47">
        <v>43101</v>
      </c>
      <c r="T1315" s="47">
        <v>0</v>
      </c>
      <c r="U1315" s="47">
        <v>0</v>
      </c>
      <c r="V1315" s="34">
        <v>4078500032834</v>
      </c>
      <c r="W1315" s="34" t="s">
        <v>3543</v>
      </c>
      <c r="X1315" s="34" t="s">
        <v>3579</v>
      </c>
      <c r="Y1315" s="34" t="s">
        <v>3542</v>
      </c>
      <c r="Z1315" s="34">
        <v>1</v>
      </c>
      <c r="AA1315" s="34">
        <v>3940</v>
      </c>
      <c r="AB1315" s="34" t="s">
        <v>6918</v>
      </c>
      <c r="AC1315" s="34">
        <v>3800</v>
      </c>
      <c r="AD1315" s="34" t="s">
        <v>5436</v>
      </c>
      <c r="AE1315" s="34" t="s">
        <v>4202</v>
      </c>
      <c r="AF1315" s="34" t="s">
        <v>4486</v>
      </c>
      <c r="AG1315" s="34" t="s">
        <v>6914</v>
      </c>
      <c r="AH1315" s="34" t="s">
        <v>6915</v>
      </c>
      <c r="AI1315" s="34" t="s">
        <v>5766</v>
      </c>
      <c r="AJ1315" s="34" t="s">
        <v>3687</v>
      </c>
      <c r="AK1315" s="34" t="s">
        <v>4293</v>
      </c>
      <c r="AL1315" s="34" t="s">
        <v>6917</v>
      </c>
      <c r="AM1315" s="40" t="s">
        <v>8095</v>
      </c>
      <c r="AT1315" s="44">
        <v>0</v>
      </c>
      <c r="AU1315" s="44"/>
      <c r="AV1315" s="46">
        <f>ROUND(Товары[[#This Row],[РРЦ финальная, руб.]]/$AU$1,2)</f>
        <v>0</v>
      </c>
      <c r="AW1315" s="45" t="str">
        <f>IFERROR(Товары[[#This Row],[РРЦ, евро]]/Товары[[#This Row],[IRP, Eur]],"-")</f>
        <v>-</v>
      </c>
      <c r="AX1315" s="42">
        <f>IFERROR(VLOOKUP(Товары[[#This Row],[SubGroup]],'Структура цен DIY'!$B:$C,2,FALSE),0)</f>
        <v>0.25</v>
      </c>
      <c r="AY1315" s="44">
        <v>0</v>
      </c>
    </row>
    <row r="1316" spans="1:51" x14ac:dyDescent="0.25">
      <c r="A1316" s="34">
        <v>1314</v>
      </c>
      <c r="B1316" s="34" t="s">
        <v>49</v>
      </c>
      <c r="C1316" s="110" t="str">
        <f>IFERROR(INDEX(Структура_ассортимента[SuperCategory],MATCH(Товары[[#This Row],[SubGroup]],Структура_ассортимента[Subgroup],0)),"")</f>
        <v>W</v>
      </c>
      <c r="D131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1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16" s="110" t="str">
        <f>IFERROR(INDEX(Структура_ассортимента[Product group],MATCH(Товары[[#This Row],[SubGroup]],Структура_ассортимента[Subgroup],0)),"")</f>
        <v>WMT_C</v>
      </c>
      <c r="G1316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16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16" s="36">
        <v>9015</v>
      </c>
      <c r="J1316" s="36" t="str">
        <f>IFERROR(INDEX(Структура_ассортимента[Generic Name (long)],MATCH(Товары[[#This Row],[SubGroup]],Структура_ассортимента[Subgroup],0)),"")</f>
        <v>WALL HOSE BRACKET</v>
      </c>
      <c r="L1316" s="36">
        <v>967675101</v>
      </c>
      <c r="M1316" s="35" t="s">
        <v>2992</v>
      </c>
      <c r="O1316" s="35" t="s">
        <v>6919</v>
      </c>
      <c r="P1316" s="37" t="s">
        <v>6920</v>
      </c>
      <c r="Q1316" s="34" t="s">
        <v>3549</v>
      </c>
      <c r="R1316" s="34" t="s">
        <v>3540</v>
      </c>
      <c r="S1316" s="47">
        <v>43101</v>
      </c>
      <c r="T1316" s="47">
        <v>0</v>
      </c>
      <c r="U1316" s="47">
        <v>0</v>
      </c>
      <c r="V1316" s="34">
        <v>4078500032858</v>
      </c>
      <c r="W1316" s="34" t="s">
        <v>3543</v>
      </c>
      <c r="X1316" s="34" t="s">
        <v>3579</v>
      </c>
      <c r="Y1316" s="34" t="s">
        <v>3542</v>
      </c>
      <c r="Z1316" s="34">
        <v>2</v>
      </c>
      <c r="AA1316" s="34">
        <v>3500</v>
      </c>
      <c r="AB1316" s="34" t="s">
        <v>6921</v>
      </c>
      <c r="AC1316" s="34">
        <v>3200</v>
      </c>
      <c r="AD1316" s="34" t="s">
        <v>6922</v>
      </c>
      <c r="AE1316" s="34" t="s">
        <v>4733</v>
      </c>
      <c r="AF1316" s="34" t="s">
        <v>3722</v>
      </c>
      <c r="AG1316" s="34" t="s">
        <v>4014</v>
      </c>
      <c r="AH1316" s="34" t="s">
        <v>6923</v>
      </c>
      <c r="AL1316" s="34" t="s">
        <v>3858</v>
      </c>
      <c r="AM1316" s="40" t="s">
        <v>9</v>
      </c>
      <c r="AP1316" s="34">
        <v>0</v>
      </c>
      <c r="AQ1316" s="34">
        <v>8490</v>
      </c>
      <c r="AR1316" s="34">
        <v>5306</v>
      </c>
      <c r="AT1316" s="44">
        <v>657600</v>
      </c>
      <c r="AU1316" s="44"/>
      <c r="AV1316" s="46">
        <f>ROUND(Товары[[#This Row],[РРЦ финальная, руб.]]/$AU$1,2)</f>
        <v>0</v>
      </c>
      <c r="AW1316" s="45" t="str">
        <f>IFERROR(Товары[[#This Row],[РРЦ, евро]]/Товары[[#This Row],[IRP, Eur]],"-")</f>
        <v>-</v>
      </c>
      <c r="AX1316" s="42">
        <f>IFERROR(VLOOKUP(Товары[[#This Row],[SubGroup]],'Структура цен DIY'!$B:$C,2,FALSE),0)</f>
        <v>0.25</v>
      </c>
      <c r="AY1316" s="44">
        <v>0</v>
      </c>
    </row>
    <row r="1317" spans="1:51" x14ac:dyDescent="0.25">
      <c r="A1317" s="34">
        <v>1315</v>
      </c>
      <c r="B1317" s="34" t="s">
        <v>49</v>
      </c>
      <c r="C1317" s="110" t="str">
        <f>IFERROR(INDEX(Структура_ассортимента[SuperCategory],MATCH(Товары[[#This Row],[SubGroup]],Структура_ассортимента[Subgroup],0)),"")</f>
        <v>W</v>
      </c>
      <c r="D131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1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17" s="110" t="str">
        <f>IFERROR(INDEX(Структура_ассортимента[Product group],MATCH(Товары[[#This Row],[SubGroup]],Структура_ассортимента[Subgroup],0)),"")</f>
        <v>WMT_C</v>
      </c>
      <c r="G1317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17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17" s="36">
        <v>9015</v>
      </c>
      <c r="J1317" s="36" t="str">
        <f>IFERROR(INDEX(Структура_ассортимента[Generic Name (long)],MATCH(Товары[[#This Row],[SubGroup]],Структура_ассортимента[Subgroup],0)),"")</f>
        <v>WALL HOSE BRACKET</v>
      </c>
      <c r="L1317" s="36">
        <v>967679901</v>
      </c>
      <c r="M1317" s="35" t="s">
        <v>2993</v>
      </c>
      <c r="Q1317" s="34" t="s">
        <v>3549</v>
      </c>
      <c r="R1317" s="34" t="s">
        <v>3540</v>
      </c>
      <c r="S1317" s="47">
        <v>43101</v>
      </c>
      <c r="T1317" s="47">
        <v>0</v>
      </c>
      <c r="U1317" s="47">
        <v>0</v>
      </c>
      <c r="V1317" s="34">
        <v>4078500033886</v>
      </c>
      <c r="W1317" s="34" t="s">
        <v>3543</v>
      </c>
      <c r="X1317" s="34" t="s">
        <v>3579</v>
      </c>
      <c r="Y1317" s="34" t="s">
        <v>3542</v>
      </c>
      <c r="Z1317" s="34">
        <v>2</v>
      </c>
      <c r="AA1317" s="34">
        <v>0</v>
      </c>
      <c r="AB1317" s="34" t="s">
        <v>6921</v>
      </c>
      <c r="AC1317" s="34">
        <v>0</v>
      </c>
      <c r="AD1317" s="34" t="s">
        <v>6922</v>
      </c>
      <c r="AE1317" s="34" t="s">
        <v>4733</v>
      </c>
      <c r="AF1317" s="34" t="s">
        <v>3722</v>
      </c>
      <c r="AG1317" s="34" t="s">
        <v>4014</v>
      </c>
      <c r="AH1317" s="34" t="s">
        <v>6923</v>
      </c>
      <c r="AL1317" s="34" t="s">
        <v>3858</v>
      </c>
      <c r="AM1317" s="40" t="s">
        <v>8095</v>
      </c>
      <c r="AT1317" s="44">
        <v>0</v>
      </c>
      <c r="AU1317" s="44"/>
      <c r="AV1317" s="46">
        <f>ROUND(Товары[[#This Row],[РРЦ финальная, руб.]]/$AU$1,2)</f>
        <v>0</v>
      </c>
      <c r="AW1317" s="45" t="str">
        <f>IFERROR(Товары[[#This Row],[РРЦ, евро]]/Товары[[#This Row],[IRP, Eur]],"-")</f>
        <v>-</v>
      </c>
      <c r="AX1317" s="42">
        <f>IFERROR(VLOOKUP(Товары[[#This Row],[SubGroup]],'Структура цен DIY'!$B:$C,2,FALSE),0)</f>
        <v>0.25</v>
      </c>
      <c r="AY1317" s="44">
        <v>0</v>
      </c>
    </row>
    <row r="1318" spans="1:51" x14ac:dyDescent="0.25">
      <c r="A1318" s="34">
        <v>1316</v>
      </c>
      <c r="B1318" s="34" t="s">
        <v>49</v>
      </c>
      <c r="C1318" s="110" t="str">
        <f>IFERROR(INDEX(Структура_ассортимента[SuperCategory],MATCH(Товары[[#This Row],[SubGroup]],Структура_ассортимента[Subgroup],0)),"")</f>
        <v>W</v>
      </c>
      <c r="D131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1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18" s="110" t="str">
        <f>IFERROR(INDEX(Структура_ассортимента[Product group],MATCH(Товары[[#This Row],[SubGroup]],Структура_ассортимента[Subgroup],0)),"")</f>
        <v>WMT_C</v>
      </c>
      <c r="G1318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18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18" s="36">
        <v>9015</v>
      </c>
      <c r="J1318" s="36" t="str">
        <f>IFERROR(INDEX(Структура_ассортимента[Generic Name (long)],MATCH(Товары[[#This Row],[SubGroup]],Структура_ассортимента[Subgroup],0)),"")</f>
        <v>WALL HOSE BRACKET</v>
      </c>
      <c r="L1318" s="36">
        <v>967680001</v>
      </c>
      <c r="M1318" s="35" t="s">
        <v>2994</v>
      </c>
      <c r="Q1318" s="34" t="s">
        <v>3549</v>
      </c>
      <c r="R1318" s="34" t="s">
        <v>3540</v>
      </c>
      <c r="S1318" s="47">
        <v>43101</v>
      </c>
      <c r="T1318" s="47">
        <v>0</v>
      </c>
      <c r="U1318" s="47">
        <v>0</v>
      </c>
      <c r="V1318" s="34">
        <v>4078500034098</v>
      </c>
      <c r="W1318" s="34" t="s">
        <v>3543</v>
      </c>
      <c r="X1318" s="34" t="s">
        <v>3579</v>
      </c>
      <c r="Y1318" s="34" t="s">
        <v>3542</v>
      </c>
      <c r="Z1318" s="34">
        <v>1</v>
      </c>
      <c r="AA1318" s="34">
        <v>7000</v>
      </c>
      <c r="AB1318" s="34" t="s">
        <v>6924</v>
      </c>
      <c r="AC1318" s="34">
        <v>6500</v>
      </c>
      <c r="AD1318" s="34" t="s">
        <v>5734</v>
      </c>
      <c r="AE1318" s="34" t="s">
        <v>6925</v>
      </c>
      <c r="AF1318" s="34" t="s">
        <v>4486</v>
      </c>
      <c r="AG1318" s="34" t="s">
        <v>6926</v>
      </c>
      <c r="AH1318" s="34" t="s">
        <v>6927</v>
      </c>
      <c r="AL1318" s="34" t="s">
        <v>4865</v>
      </c>
      <c r="AM1318" s="40" t="s">
        <v>8095</v>
      </c>
      <c r="AT1318" s="44">
        <v>0</v>
      </c>
      <c r="AU1318" s="44"/>
      <c r="AV1318" s="46">
        <f>ROUND(Товары[[#This Row],[РРЦ финальная, руб.]]/$AU$1,2)</f>
        <v>0</v>
      </c>
      <c r="AW1318" s="45" t="str">
        <f>IFERROR(Товары[[#This Row],[РРЦ, евро]]/Товары[[#This Row],[IRP, Eur]],"-")</f>
        <v>-</v>
      </c>
      <c r="AX1318" s="42">
        <f>IFERROR(VLOOKUP(Товары[[#This Row],[SubGroup]],'Структура цен DIY'!$B:$C,2,FALSE),0)</f>
        <v>0.25</v>
      </c>
      <c r="AY1318" s="44">
        <v>0</v>
      </c>
    </row>
    <row r="1319" spans="1:51" x14ac:dyDescent="0.25">
      <c r="A1319" s="34">
        <v>1317</v>
      </c>
      <c r="B1319" s="34" t="s">
        <v>49</v>
      </c>
      <c r="C1319" s="110" t="str">
        <f>IFERROR(INDEX(Структура_ассортимента[SuperCategory],MATCH(Товары[[#This Row],[SubGroup]],Структура_ассортимента[Subgroup],0)),"")</f>
        <v>W</v>
      </c>
      <c r="D131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1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19" s="110" t="str">
        <f>IFERROR(INDEX(Структура_ассортимента[Product group],MATCH(Товары[[#This Row],[SubGroup]],Структура_ассортимента[Subgroup],0)),"")</f>
        <v>WMT_C</v>
      </c>
      <c r="G1319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19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19" s="36">
        <v>9015</v>
      </c>
      <c r="J1319" s="36" t="str">
        <f>IFERROR(INDEX(Структура_ассортимента[Generic Name (long)],MATCH(Товары[[#This Row],[SubGroup]],Структура_ассортимента[Subgroup],0)),"")</f>
        <v>WALL HOSE BRACKET</v>
      </c>
      <c r="L1319" s="36">
        <v>967675201</v>
      </c>
      <c r="M1319" s="35" t="s">
        <v>2995</v>
      </c>
      <c r="Q1319" s="34" t="s">
        <v>3549</v>
      </c>
      <c r="R1319" s="34" t="s">
        <v>3540</v>
      </c>
      <c r="S1319" s="47">
        <v>43101</v>
      </c>
      <c r="T1319" s="47">
        <v>0</v>
      </c>
      <c r="U1319" s="47">
        <v>0</v>
      </c>
      <c r="V1319" s="34">
        <v>4078500032872</v>
      </c>
      <c r="W1319" s="34" t="s">
        <v>3543</v>
      </c>
      <c r="X1319" s="34" t="s">
        <v>3579</v>
      </c>
      <c r="Y1319" s="34" t="s">
        <v>3542</v>
      </c>
      <c r="Z1319" s="34">
        <v>2</v>
      </c>
      <c r="AA1319" s="34">
        <v>7860</v>
      </c>
      <c r="AB1319" s="34" t="s">
        <v>6928</v>
      </c>
      <c r="AC1319" s="34">
        <v>7860</v>
      </c>
      <c r="AD1319" s="34" t="s">
        <v>5407</v>
      </c>
      <c r="AE1319" s="34" t="s">
        <v>3772</v>
      </c>
      <c r="AF1319" s="34" t="s">
        <v>3722</v>
      </c>
      <c r="AG1319" s="34" t="s">
        <v>4013</v>
      </c>
      <c r="AH1319" s="34" t="s">
        <v>6929</v>
      </c>
      <c r="AL1319" s="34" t="s">
        <v>3858</v>
      </c>
      <c r="AM1319" s="40" t="s">
        <v>8095</v>
      </c>
      <c r="AT1319" s="44">
        <v>0</v>
      </c>
      <c r="AU1319" s="44"/>
      <c r="AV1319" s="46">
        <f>ROUND(Товары[[#This Row],[РРЦ финальная, руб.]]/$AU$1,2)</f>
        <v>0</v>
      </c>
      <c r="AW1319" s="45" t="str">
        <f>IFERROR(Товары[[#This Row],[РРЦ, евро]]/Товары[[#This Row],[IRP, Eur]],"-")</f>
        <v>-</v>
      </c>
      <c r="AX1319" s="42">
        <f>IFERROR(VLOOKUP(Товары[[#This Row],[SubGroup]],'Структура цен DIY'!$B:$C,2,FALSE),0)</f>
        <v>0.25</v>
      </c>
      <c r="AY1319" s="44">
        <v>0</v>
      </c>
    </row>
    <row r="1320" spans="1:51" x14ac:dyDescent="0.25">
      <c r="A1320" s="34">
        <v>1318</v>
      </c>
      <c r="B1320" s="34" t="s">
        <v>49</v>
      </c>
      <c r="C1320" s="110" t="str">
        <f>IFERROR(INDEX(Структура_ассортимента[SuperCategory],MATCH(Товары[[#This Row],[SubGroup]],Структура_ассортимента[Subgroup],0)),"")</f>
        <v>W</v>
      </c>
      <c r="D132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2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20" s="110" t="str">
        <f>IFERROR(INDEX(Структура_ассортимента[Product group],MATCH(Товары[[#This Row],[SubGroup]],Структура_ассортимента[Subgroup],0)),"")</f>
        <v>WMT_C</v>
      </c>
      <c r="G1320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20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20" s="36">
        <v>9015</v>
      </c>
      <c r="J1320" s="36" t="str">
        <f>IFERROR(INDEX(Структура_ассортимента[Generic Name (long)],MATCH(Товары[[#This Row],[SubGroup]],Структура_ассортимента[Subgroup],0)),"")</f>
        <v>WALL HOSE BRACKET</v>
      </c>
      <c r="L1320" s="36">
        <v>967675401</v>
      </c>
      <c r="M1320" s="35" t="s">
        <v>2996</v>
      </c>
      <c r="O1320" s="35" t="s">
        <v>6930</v>
      </c>
      <c r="P1320" s="37" t="s">
        <v>6931</v>
      </c>
      <c r="Q1320" s="34" t="s">
        <v>3549</v>
      </c>
      <c r="R1320" s="34" t="s">
        <v>3540</v>
      </c>
      <c r="S1320" s="47">
        <v>43101</v>
      </c>
      <c r="T1320" s="47">
        <v>0</v>
      </c>
      <c r="U1320" s="47">
        <v>0</v>
      </c>
      <c r="V1320" s="34">
        <v>4078500032902</v>
      </c>
      <c r="W1320" s="34" t="s">
        <v>3543</v>
      </c>
      <c r="X1320" s="34" t="s">
        <v>3579</v>
      </c>
      <c r="Y1320" s="34" t="s">
        <v>3542</v>
      </c>
      <c r="Z1320" s="34">
        <v>1</v>
      </c>
      <c r="AA1320" s="34">
        <v>4455</v>
      </c>
      <c r="AB1320" s="34" t="s">
        <v>6932</v>
      </c>
      <c r="AC1320" s="34">
        <v>3805</v>
      </c>
      <c r="AD1320" s="34" t="s">
        <v>6933</v>
      </c>
      <c r="AE1320" s="34" t="s">
        <v>4202</v>
      </c>
      <c r="AF1320" s="34" t="s">
        <v>4486</v>
      </c>
      <c r="AG1320" s="34" t="s">
        <v>6914</v>
      </c>
      <c r="AH1320" s="34" t="s">
        <v>6915</v>
      </c>
      <c r="AL1320" s="34" t="s">
        <v>6917</v>
      </c>
      <c r="AM1320" s="40" t="s">
        <v>9</v>
      </c>
      <c r="AP1320" s="34">
        <v>0</v>
      </c>
      <c r="AQ1320" s="34">
        <v>7690</v>
      </c>
      <c r="AR1320" s="34">
        <v>4806</v>
      </c>
      <c r="AT1320" s="44">
        <v>595600</v>
      </c>
      <c r="AU1320" s="44"/>
      <c r="AV1320" s="46">
        <f>ROUND(Товары[[#This Row],[РРЦ финальная, руб.]]/$AU$1,2)</f>
        <v>0</v>
      </c>
      <c r="AW1320" s="45" t="str">
        <f>IFERROR(Товары[[#This Row],[РРЦ, евро]]/Товары[[#This Row],[IRP, Eur]],"-")</f>
        <v>-</v>
      </c>
      <c r="AX1320" s="42">
        <f>IFERROR(VLOOKUP(Товары[[#This Row],[SubGroup]],'Структура цен DIY'!$B:$C,2,FALSE),0)</f>
        <v>0.25</v>
      </c>
      <c r="AY1320" s="44">
        <v>0</v>
      </c>
    </row>
    <row r="1321" spans="1:51" x14ac:dyDescent="0.25">
      <c r="A1321" s="34">
        <v>1319</v>
      </c>
      <c r="B1321" s="34" t="s">
        <v>49</v>
      </c>
      <c r="C1321" s="110" t="str">
        <f>IFERROR(INDEX(Структура_ассортимента[SuperCategory],MATCH(Товары[[#This Row],[SubGroup]],Структура_ассортимента[Subgroup],0)),"")</f>
        <v>W</v>
      </c>
      <c r="D132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2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21" s="110" t="str">
        <f>IFERROR(INDEX(Структура_ассортимента[Product group],MATCH(Товары[[#This Row],[SubGroup]],Структура_ассортимента[Subgroup],0)),"")</f>
        <v>WMT_C</v>
      </c>
      <c r="G1321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21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21" s="36">
        <v>9015</v>
      </c>
      <c r="J1321" s="36" t="str">
        <f>IFERROR(INDEX(Структура_ассортимента[Generic Name (long)],MATCH(Товары[[#This Row],[SubGroup]],Структура_ассортимента[Subgroup],0)),"")</f>
        <v>WALL HOSE BRACKET</v>
      </c>
      <c r="L1321" s="36">
        <v>967675501</v>
      </c>
      <c r="M1321" s="35" t="s">
        <v>2997</v>
      </c>
      <c r="O1321" s="35" t="s">
        <v>6934</v>
      </c>
      <c r="P1321" s="37" t="s">
        <v>6935</v>
      </c>
      <c r="Q1321" s="34" t="s">
        <v>3549</v>
      </c>
      <c r="R1321" s="34" t="s">
        <v>3540</v>
      </c>
      <c r="S1321" s="47">
        <v>43101</v>
      </c>
      <c r="T1321" s="47">
        <v>0</v>
      </c>
      <c r="U1321" s="47">
        <v>0</v>
      </c>
      <c r="V1321" s="34">
        <v>4078500032919</v>
      </c>
      <c r="W1321" s="34" t="s">
        <v>3543</v>
      </c>
      <c r="X1321" s="34" t="s">
        <v>3579</v>
      </c>
      <c r="Y1321" s="34" t="s">
        <v>3542</v>
      </c>
      <c r="Z1321" s="34">
        <v>1</v>
      </c>
      <c r="AA1321" s="34">
        <v>4395</v>
      </c>
      <c r="AB1321" s="34" t="s">
        <v>6936</v>
      </c>
      <c r="AC1321" s="34">
        <v>4150</v>
      </c>
      <c r="AD1321" s="34" t="s">
        <v>6227</v>
      </c>
      <c r="AE1321" s="34" t="s">
        <v>6914</v>
      </c>
      <c r="AF1321" s="34" t="s">
        <v>4741</v>
      </c>
      <c r="AG1321" s="34" t="s">
        <v>4458</v>
      </c>
      <c r="AH1321" s="34" t="s">
        <v>6937</v>
      </c>
      <c r="AI1321" s="34" t="s">
        <v>5439</v>
      </c>
      <c r="AJ1321" s="34" t="s">
        <v>6938</v>
      </c>
      <c r="AK1321" s="34" t="s">
        <v>4504</v>
      </c>
      <c r="AL1321" s="34" t="s">
        <v>4865</v>
      </c>
      <c r="AM1321" s="40" t="s">
        <v>9</v>
      </c>
      <c r="AP1321" s="34">
        <v>0</v>
      </c>
      <c r="AQ1321" s="34">
        <v>8790</v>
      </c>
      <c r="AR1321" s="34">
        <v>5494</v>
      </c>
      <c r="AT1321" s="44">
        <v>680800</v>
      </c>
      <c r="AU1321" s="44"/>
      <c r="AV1321" s="46">
        <f>ROUND(Товары[[#This Row],[РРЦ финальная, руб.]]/$AU$1,2)</f>
        <v>0</v>
      </c>
      <c r="AW1321" s="45" t="str">
        <f>IFERROR(Товары[[#This Row],[РРЦ, евро]]/Товары[[#This Row],[IRP, Eur]],"-")</f>
        <v>-</v>
      </c>
      <c r="AX1321" s="42">
        <f>IFERROR(VLOOKUP(Товары[[#This Row],[SubGroup]],'Структура цен DIY'!$B:$C,2,FALSE),0)</f>
        <v>0.25</v>
      </c>
      <c r="AY1321" s="44">
        <v>0</v>
      </c>
    </row>
    <row r="1322" spans="1:51" x14ac:dyDescent="0.25">
      <c r="A1322" s="34">
        <v>1320</v>
      </c>
      <c r="B1322" s="34" t="s">
        <v>49</v>
      </c>
      <c r="C1322" s="110" t="str">
        <f>IFERROR(INDEX(Структура_ассортимента[SuperCategory],MATCH(Товары[[#This Row],[SubGroup]],Структура_ассортимента[Subgroup],0)),"")</f>
        <v>W</v>
      </c>
      <c r="D132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2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22" s="110" t="str">
        <f>IFERROR(INDEX(Структура_ассортимента[Product group],MATCH(Товары[[#This Row],[SubGroup]],Структура_ассортимента[Subgroup],0)),"")</f>
        <v>WMT_C</v>
      </c>
      <c r="G1322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22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22" s="36">
        <v>9015</v>
      </c>
      <c r="J1322" s="36" t="str">
        <f>IFERROR(INDEX(Структура_ассортимента[Generic Name (long)],MATCH(Товары[[#This Row],[SubGroup]],Структура_ассортимента[Subgroup],0)),"")</f>
        <v>WALL HOSE BRACKET</v>
      </c>
      <c r="L1322" s="36">
        <v>967675601</v>
      </c>
      <c r="M1322" s="35" t="s">
        <v>2998</v>
      </c>
      <c r="Q1322" s="34" t="s">
        <v>3549</v>
      </c>
      <c r="R1322" s="34" t="s">
        <v>3540</v>
      </c>
      <c r="S1322" s="47">
        <v>43101</v>
      </c>
      <c r="T1322" s="47">
        <v>0</v>
      </c>
      <c r="U1322" s="47">
        <v>0</v>
      </c>
      <c r="V1322" s="34">
        <v>4078500032926</v>
      </c>
      <c r="W1322" s="34" t="s">
        <v>3543</v>
      </c>
      <c r="X1322" s="34" t="s">
        <v>3579</v>
      </c>
      <c r="Y1322" s="34" t="s">
        <v>3542</v>
      </c>
      <c r="Z1322" s="34">
        <v>1</v>
      </c>
      <c r="AA1322" s="34">
        <v>12195</v>
      </c>
      <c r="AB1322" s="34" t="s">
        <v>6939</v>
      </c>
      <c r="AC1322" s="34">
        <v>10830</v>
      </c>
      <c r="AD1322" s="34" t="s">
        <v>4010</v>
      </c>
      <c r="AE1322" s="34" t="s">
        <v>4017</v>
      </c>
      <c r="AF1322" s="34" t="s">
        <v>4202</v>
      </c>
      <c r="AG1322" s="34" t="s">
        <v>5360</v>
      </c>
      <c r="AH1322" s="34" t="s">
        <v>6940</v>
      </c>
      <c r="AL1322" s="34" t="s">
        <v>4019</v>
      </c>
      <c r="AM1322" s="40" t="s">
        <v>8095</v>
      </c>
      <c r="AT1322" s="44">
        <v>0</v>
      </c>
      <c r="AU1322" s="44"/>
      <c r="AV1322" s="46">
        <f>ROUND(Товары[[#This Row],[РРЦ финальная, руб.]]/$AU$1,2)</f>
        <v>0</v>
      </c>
      <c r="AW1322" s="45" t="str">
        <f>IFERROR(Товары[[#This Row],[РРЦ, евро]]/Товары[[#This Row],[IRP, Eur]],"-")</f>
        <v>-</v>
      </c>
      <c r="AX1322" s="42">
        <f>IFERROR(VLOOKUP(Товары[[#This Row],[SubGroup]],'Структура цен DIY'!$B:$C,2,FALSE),0)</f>
        <v>0.25</v>
      </c>
      <c r="AY1322" s="44">
        <v>0</v>
      </c>
    </row>
    <row r="1323" spans="1:51" x14ac:dyDescent="0.25">
      <c r="A1323" s="34">
        <v>1321</v>
      </c>
      <c r="B1323" s="34" t="s">
        <v>49</v>
      </c>
      <c r="C1323" s="110" t="str">
        <f>IFERROR(INDEX(Структура_ассортимента[SuperCategory],MATCH(Товары[[#This Row],[SubGroup]],Структура_ассортимента[Subgroup],0)),"")</f>
        <v>W</v>
      </c>
      <c r="D132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2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23" s="110" t="str">
        <f>IFERROR(INDEX(Структура_ассортимента[Product group],MATCH(Товары[[#This Row],[SubGroup]],Структура_ассортимента[Subgroup],0)),"")</f>
        <v>WMT_C</v>
      </c>
      <c r="G1323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23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23" s="36">
        <v>9015</v>
      </c>
      <c r="J1323" s="36" t="str">
        <f>IFERROR(INDEX(Структура_ассортимента[Generic Name (long)],MATCH(Товары[[#This Row],[SubGroup]],Структура_ассортимента[Subgroup],0)),"")</f>
        <v>WALL HOSE BRACKET</v>
      </c>
      <c r="L1323" s="36">
        <v>967798501</v>
      </c>
      <c r="M1323" s="35" t="s">
        <v>2999</v>
      </c>
      <c r="Q1323" s="34" t="s">
        <v>3549</v>
      </c>
      <c r="R1323" s="34" t="s">
        <v>3540</v>
      </c>
      <c r="S1323" s="47">
        <v>43101</v>
      </c>
      <c r="T1323" s="47">
        <v>0</v>
      </c>
      <c r="U1323" s="47">
        <v>0</v>
      </c>
      <c r="V1323" s="34">
        <v>4078500038638</v>
      </c>
      <c r="W1323" s="34" t="s">
        <v>3543</v>
      </c>
      <c r="X1323" s="34" t="s">
        <v>3579</v>
      </c>
      <c r="Y1323" s="34" t="s">
        <v>3542</v>
      </c>
      <c r="Z1323" s="34">
        <v>1</v>
      </c>
      <c r="AB1323" s="34" t="s">
        <v>6941</v>
      </c>
      <c r="AD1323" s="34" t="s">
        <v>4010</v>
      </c>
      <c r="AE1323" s="34" t="s">
        <v>4017</v>
      </c>
      <c r="AF1323" s="34" t="s">
        <v>4202</v>
      </c>
      <c r="AG1323" s="34" t="s">
        <v>5360</v>
      </c>
      <c r="AH1323" s="34" t="s">
        <v>6940</v>
      </c>
      <c r="AL1323" s="34" t="s">
        <v>4019</v>
      </c>
      <c r="AM1323" s="40" t="s">
        <v>8095</v>
      </c>
      <c r="AT1323" s="44">
        <v>0</v>
      </c>
      <c r="AU1323" s="44"/>
      <c r="AV1323" s="46">
        <f>ROUND(Товары[[#This Row],[РРЦ финальная, руб.]]/$AU$1,2)</f>
        <v>0</v>
      </c>
      <c r="AW1323" s="45" t="str">
        <f>IFERROR(Товары[[#This Row],[РРЦ, евро]]/Товары[[#This Row],[IRP, Eur]],"-")</f>
        <v>-</v>
      </c>
      <c r="AX1323" s="42">
        <f>IFERROR(VLOOKUP(Товары[[#This Row],[SubGroup]],'Структура цен DIY'!$B:$C,2,FALSE),0)</f>
        <v>0.25</v>
      </c>
      <c r="AY1323" s="44">
        <v>0</v>
      </c>
    </row>
    <row r="1324" spans="1:51" x14ac:dyDescent="0.25">
      <c r="A1324" s="34">
        <v>1322</v>
      </c>
      <c r="B1324" s="34" t="s">
        <v>49</v>
      </c>
      <c r="C1324" s="110" t="str">
        <f>IFERROR(INDEX(Структура_ассортимента[SuperCategory],MATCH(Товары[[#This Row],[SubGroup]],Структура_ассортимента[Subgroup],0)),"")</f>
        <v>W</v>
      </c>
      <c r="D132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2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24" s="110" t="str">
        <f>IFERROR(INDEX(Структура_ассортимента[Product group],MATCH(Товары[[#This Row],[SubGroup]],Структура_ассортимента[Subgroup],0)),"")</f>
        <v>WMT_C</v>
      </c>
      <c r="G1324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24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24" s="36">
        <v>9015</v>
      </c>
      <c r="J1324" s="36" t="str">
        <f>IFERROR(INDEX(Структура_ассортимента[Generic Name (long)],MATCH(Товары[[#This Row],[SubGroup]],Структура_ассортимента[Subgroup],0)),"")</f>
        <v>WALL HOSE BRACKET</v>
      </c>
      <c r="L1324" s="36">
        <v>967846001</v>
      </c>
      <c r="M1324" s="35" t="s">
        <v>3000</v>
      </c>
      <c r="Q1324" s="34" t="s">
        <v>3549</v>
      </c>
      <c r="R1324" s="34" t="s">
        <v>3540</v>
      </c>
      <c r="S1324" s="47">
        <v>43101</v>
      </c>
      <c r="T1324" s="47">
        <v>0</v>
      </c>
      <c r="U1324" s="47">
        <v>0</v>
      </c>
      <c r="V1324" s="34">
        <v>4078500042154</v>
      </c>
      <c r="W1324" s="34" t="s">
        <v>3543</v>
      </c>
      <c r="X1324" s="34" t="s">
        <v>3579</v>
      </c>
      <c r="Y1324" s="34" t="s">
        <v>3542</v>
      </c>
      <c r="Z1324" s="34">
        <v>1</v>
      </c>
      <c r="AB1324" s="34" t="s">
        <v>6942</v>
      </c>
      <c r="AD1324" s="34" t="s">
        <v>6928</v>
      </c>
      <c r="AE1324" s="34" t="s">
        <v>4017</v>
      </c>
      <c r="AF1324" s="34" t="s">
        <v>4202</v>
      </c>
      <c r="AG1324" s="34" t="s">
        <v>5360</v>
      </c>
      <c r="AH1324" s="34" t="s">
        <v>6940</v>
      </c>
      <c r="AL1324" s="34" t="s">
        <v>4019</v>
      </c>
      <c r="AM1324" s="40" t="s">
        <v>8095</v>
      </c>
      <c r="AT1324" s="44">
        <v>0</v>
      </c>
      <c r="AU1324" s="44"/>
      <c r="AV1324" s="46">
        <f>ROUND(Товары[[#This Row],[РРЦ финальная, руб.]]/$AU$1,2)</f>
        <v>0</v>
      </c>
      <c r="AW1324" s="45" t="str">
        <f>IFERROR(Товары[[#This Row],[РРЦ, евро]]/Товары[[#This Row],[IRP, Eur]],"-")</f>
        <v>-</v>
      </c>
      <c r="AX1324" s="42">
        <f>IFERROR(VLOOKUP(Товары[[#This Row],[SubGroup]],'Структура цен DIY'!$B:$C,2,FALSE),0)</f>
        <v>0.25</v>
      </c>
      <c r="AY1324" s="44">
        <v>0</v>
      </c>
    </row>
    <row r="1325" spans="1:51" x14ac:dyDescent="0.25">
      <c r="A1325" s="34">
        <v>1323</v>
      </c>
      <c r="B1325" s="34" t="s">
        <v>49</v>
      </c>
      <c r="C1325" s="110" t="str">
        <f>IFERROR(INDEX(Структура_ассортимента[SuperCategory],MATCH(Товары[[#This Row],[SubGroup]],Структура_ассортимента[Subgroup],0)),"")</f>
        <v>W</v>
      </c>
      <c r="D132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2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25" s="110" t="str">
        <f>IFERROR(INDEX(Структура_ассортимента[Product group],MATCH(Товары[[#This Row],[SubGroup]],Структура_ассортимента[Subgroup],0)),"")</f>
        <v>WMT_C</v>
      </c>
      <c r="G1325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25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25" s="36">
        <v>9015</v>
      </c>
      <c r="J1325" s="36" t="str">
        <f>IFERROR(INDEX(Структура_ассортимента[Generic Name (long)],MATCH(Товары[[#This Row],[SubGroup]],Структура_ассортимента[Subgroup],0)),"")</f>
        <v>WALL HOSE BRACKET</v>
      </c>
      <c r="L1325" s="36">
        <v>967687901</v>
      </c>
      <c r="M1325" s="35" t="s">
        <v>3001</v>
      </c>
      <c r="Q1325" s="34" t="s">
        <v>3549</v>
      </c>
      <c r="R1325" s="34" t="s">
        <v>3540</v>
      </c>
      <c r="S1325" s="47">
        <v>43101</v>
      </c>
      <c r="T1325" s="47">
        <v>0</v>
      </c>
      <c r="U1325" s="47">
        <v>0</v>
      </c>
      <c r="V1325" s="34">
        <v>4078500034531</v>
      </c>
      <c r="W1325" s="34" t="s">
        <v>3543</v>
      </c>
      <c r="X1325" s="34" t="s">
        <v>3579</v>
      </c>
      <c r="Y1325" s="34" t="s">
        <v>3542</v>
      </c>
      <c r="Z1325" s="34">
        <v>1</v>
      </c>
      <c r="AA1325" s="34">
        <v>6990</v>
      </c>
      <c r="AB1325" s="34" t="s">
        <v>6943</v>
      </c>
      <c r="AC1325" s="34">
        <v>6382</v>
      </c>
      <c r="AD1325" s="34" t="s">
        <v>6944</v>
      </c>
      <c r="AE1325" s="34" t="s">
        <v>4017</v>
      </c>
      <c r="AF1325" s="34" t="s">
        <v>4202</v>
      </c>
      <c r="AG1325" s="34" t="s">
        <v>5360</v>
      </c>
      <c r="AH1325" s="34" t="s">
        <v>6929</v>
      </c>
      <c r="AL1325" s="34" t="s">
        <v>4019</v>
      </c>
      <c r="AM1325" s="40" t="s">
        <v>8095</v>
      </c>
      <c r="AT1325" s="44">
        <v>0</v>
      </c>
      <c r="AU1325" s="44"/>
      <c r="AV1325" s="46">
        <f>ROUND(Товары[[#This Row],[РРЦ финальная, руб.]]/$AU$1,2)</f>
        <v>0</v>
      </c>
      <c r="AW1325" s="45" t="str">
        <f>IFERROR(Товары[[#This Row],[РРЦ, евро]]/Товары[[#This Row],[IRP, Eur]],"-")</f>
        <v>-</v>
      </c>
      <c r="AX1325" s="42">
        <f>IFERROR(VLOOKUP(Товары[[#This Row],[SubGroup]],'Структура цен DIY'!$B:$C,2,FALSE),0)</f>
        <v>0.25</v>
      </c>
      <c r="AY1325" s="44">
        <v>0</v>
      </c>
    </row>
    <row r="1326" spans="1:51" x14ac:dyDescent="0.25">
      <c r="A1326" s="34">
        <v>1324</v>
      </c>
      <c r="B1326" s="34" t="s">
        <v>49</v>
      </c>
      <c r="C1326" s="110" t="str">
        <f>IFERROR(INDEX(Структура_ассортимента[SuperCategory],MATCH(Товары[[#This Row],[SubGroup]],Структура_ассортимента[Subgroup],0)),"")</f>
        <v>W</v>
      </c>
      <c r="D132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2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26" s="110" t="str">
        <f>IFERROR(INDEX(Структура_ассортимента[Product group],MATCH(Товары[[#This Row],[SubGroup]],Структура_ассортимента[Subgroup],0)),"")</f>
        <v>WMT_C</v>
      </c>
      <c r="G1326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26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26" s="36">
        <v>9015</v>
      </c>
      <c r="J1326" s="36" t="str">
        <f>IFERROR(INDEX(Структура_ассортимента[Generic Name (long)],MATCH(Товары[[#This Row],[SubGroup]],Структура_ассортимента[Subgroup],0)),"")</f>
        <v>WALL HOSE BRACKET</v>
      </c>
      <c r="L1326" s="36">
        <v>967689601</v>
      </c>
      <c r="M1326" s="35" t="s">
        <v>3002</v>
      </c>
      <c r="Q1326" s="34" t="s">
        <v>3549</v>
      </c>
      <c r="R1326" s="34" t="s">
        <v>3540</v>
      </c>
      <c r="S1326" s="47">
        <v>43101</v>
      </c>
      <c r="T1326" s="47">
        <v>0</v>
      </c>
      <c r="U1326" s="47">
        <v>0</v>
      </c>
      <c r="V1326" s="34">
        <v>4078500034555</v>
      </c>
      <c r="W1326" s="34" t="s">
        <v>3543</v>
      </c>
      <c r="X1326" s="34" t="s">
        <v>3579</v>
      </c>
      <c r="Y1326" s="34" t="s">
        <v>3542</v>
      </c>
      <c r="Z1326" s="34">
        <v>1</v>
      </c>
      <c r="AA1326" s="34">
        <v>0</v>
      </c>
      <c r="AB1326" s="34" t="s">
        <v>6945</v>
      </c>
      <c r="AC1326" s="34">
        <v>0</v>
      </c>
      <c r="AD1326" s="34" t="s">
        <v>6928</v>
      </c>
      <c r="AE1326" s="34" t="s">
        <v>4017</v>
      </c>
      <c r="AF1326" s="34" t="s">
        <v>4202</v>
      </c>
      <c r="AG1326" s="34" t="s">
        <v>5360</v>
      </c>
      <c r="AH1326" s="34" t="s">
        <v>6940</v>
      </c>
      <c r="AL1326" s="34" t="s">
        <v>4019</v>
      </c>
      <c r="AM1326" s="40" t="s">
        <v>8095</v>
      </c>
      <c r="AT1326" s="44">
        <v>0</v>
      </c>
      <c r="AU1326" s="44"/>
      <c r="AV1326" s="46">
        <f>ROUND(Товары[[#This Row],[РРЦ финальная, руб.]]/$AU$1,2)</f>
        <v>0</v>
      </c>
      <c r="AW1326" s="45" t="str">
        <f>IFERROR(Товары[[#This Row],[РРЦ, евро]]/Товары[[#This Row],[IRP, Eur]],"-")</f>
        <v>-</v>
      </c>
      <c r="AX1326" s="42">
        <f>IFERROR(VLOOKUP(Товары[[#This Row],[SubGroup]],'Структура цен DIY'!$B:$C,2,FALSE),0)</f>
        <v>0.25</v>
      </c>
      <c r="AY1326" s="44">
        <v>0</v>
      </c>
    </row>
    <row r="1327" spans="1:51" x14ac:dyDescent="0.25">
      <c r="A1327" s="34">
        <v>1325</v>
      </c>
      <c r="B1327" s="34" t="s">
        <v>49</v>
      </c>
      <c r="C1327" s="110" t="str">
        <f>IFERROR(INDEX(Структура_ассортимента[SuperCategory],MATCH(Товары[[#This Row],[SubGroup]],Структура_ассортимента[Subgroup],0)),"")</f>
        <v>W</v>
      </c>
      <c r="D132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2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27" s="110" t="str">
        <f>IFERROR(INDEX(Структура_ассортимента[Product group],MATCH(Товары[[#This Row],[SubGroup]],Структура_ассортимента[Subgroup],0)),"")</f>
        <v>WMT_C</v>
      </c>
      <c r="G1327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27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27" s="36">
        <v>9015</v>
      </c>
      <c r="J1327" s="36" t="str">
        <f>IFERROR(INDEX(Структура_ассортимента[Generic Name (long)],MATCH(Товары[[#This Row],[SubGroup]],Структура_ассортимента[Subgroup],0)),"")</f>
        <v>WALL HOSE BRACKET</v>
      </c>
      <c r="L1327" s="36">
        <v>967916601</v>
      </c>
      <c r="M1327" s="35" t="s">
        <v>3003</v>
      </c>
      <c r="O1327" s="35" t="s">
        <v>6946</v>
      </c>
      <c r="P1327" s="37" t="s">
        <v>6947</v>
      </c>
      <c r="Q1327" s="34" t="s">
        <v>3549</v>
      </c>
      <c r="R1327" s="34" t="s">
        <v>3540</v>
      </c>
      <c r="S1327" s="47">
        <v>43466</v>
      </c>
      <c r="T1327" s="47">
        <v>0</v>
      </c>
      <c r="U1327" s="47">
        <v>0</v>
      </c>
      <c r="V1327" s="34">
        <v>4078500045018</v>
      </c>
      <c r="W1327" s="34" t="s">
        <v>3543</v>
      </c>
      <c r="X1327" s="34" t="s">
        <v>3579</v>
      </c>
      <c r="Y1327" s="34" t="s">
        <v>3542</v>
      </c>
      <c r="Z1327" s="34">
        <v>2</v>
      </c>
      <c r="AB1327" s="34" t="s">
        <v>6948</v>
      </c>
      <c r="AD1327" s="34" t="s">
        <v>6949</v>
      </c>
      <c r="AE1327" s="34" t="s">
        <v>6950</v>
      </c>
      <c r="AF1327" s="34" t="s">
        <v>3722</v>
      </c>
      <c r="AG1327" s="34" t="s">
        <v>4582</v>
      </c>
      <c r="AH1327" s="34" t="s">
        <v>6929</v>
      </c>
      <c r="AI1327" s="34" t="s">
        <v>5766</v>
      </c>
      <c r="AJ1327" s="34" t="s">
        <v>3687</v>
      </c>
      <c r="AK1327" s="34" t="s">
        <v>6854</v>
      </c>
      <c r="AL1327" s="34" t="s">
        <v>3858</v>
      </c>
      <c r="AM1327" s="40" t="s">
        <v>9</v>
      </c>
      <c r="AP1327" s="34">
        <v>0</v>
      </c>
      <c r="AQ1327" s="34">
        <v>6790</v>
      </c>
      <c r="AR1327" s="34">
        <v>4244</v>
      </c>
      <c r="AT1327" s="44">
        <v>525900</v>
      </c>
      <c r="AU1327" s="44"/>
      <c r="AV1327" s="46">
        <f>ROUND(Товары[[#This Row],[РРЦ финальная, руб.]]/$AU$1,2)</f>
        <v>0</v>
      </c>
      <c r="AW1327" s="45" t="str">
        <f>IFERROR(Товары[[#This Row],[РРЦ, евро]]/Товары[[#This Row],[IRP, Eur]],"-")</f>
        <v>-</v>
      </c>
      <c r="AX1327" s="42">
        <f>IFERROR(VLOOKUP(Товары[[#This Row],[SubGroup]],'Структура цен DIY'!$B:$C,2,FALSE),0)</f>
        <v>0.25</v>
      </c>
      <c r="AY1327" s="44">
        <v>0</v>
      </c>
    </row>
    <row r="1328" spans="1:51" x14ac:dyDescent="0.25">
      <c r="A1328" s="34">
        <v>1326</v>
      </c>
      <c r="B1328" s="34" t="s">
        <v>49</v>
      </c>
      <c r="C1328" s="110" t="str">
        <f>IFERROR(INDEX(Структура_ассортимента[SuperCategory],MATCH(Товары[[#This Row],[SubGroup]],Структура_ассортимента[Subgroup],0)),"")</f>
        <v>W</v>
      </c>
      <c r="D132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2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28" s="110" t="str">
        <f>IFERROR(INDEX(Структура_ассортимента[Product group],MATCH(Товары[[#This Row],[SubGroup]],Структура_ассортимента[Subgroup],0)),"")</f>
        <v>WMT_C</v>
      </c>
      <c r="G1328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28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28" s="36">
        <v>9015</v>
      </c>
      <c r="J1328" s="36" t="str">
        <f>IFERROR(INDEX(Структура_ассортимента[Generic Name (long)],MATCH(Товары[[#This Row],[SubGroup]],Структура_ассортимента[Subgroup],0)),"")</f>
        <v>WALL HOSE BRACKET</v>
      </c>
      <c r="L1328" s="36">
        <v>967916701</v>
      </c>
      <c r="M1328" s="35" t="s">
        <v>3004</v>
      </c>
      <c r="O1328" s="35" t="s">
        <v>6946</v>
      </c>
      <c r="P1328" s="37" t="s">
        <v>6951</v>
      </c>
      <c r="Q1328" s="34" t="s">
        <v>3549</v>
      </c>
      <c r="R1328" s="34" t="s">
        <v>3540</v>
      </c>
      <c r="S1328" s="47">
        <v>43466</v>
      </c>
      <c r="T1328" s="47">
        <v>0</v>
      </c>
      <c r="U1328" s="47">
        <v>0</v>
      </c>
      <c r="V1328" s="34">
        <v>4078500045032</v>
      </c>
      <c r="W1328" s="34" t="s">
        <v>3543</v>
      </c>
      <c r="X1328" s="34" t="s">
        <v>3579</v>
      </c>
      <c r="Y1328" s="34" t="s">
        <v>3542</v>
      </c>
      <c r="Z1328" s="34">
        <v>2</v>
      </c>
      <c r="AB1328" s="34" t="s">
        <v>6952</v>
      </c>
      <c r="AD1328" s="34" t="s">
        <v>6273</v>
      </c>
      <c r="AE1328" s="34" t="s">
        <v>3772</v>
      </c>
      <c r="AF1328" s="34" t="s">
        <v>3722</v>
      </c>
      <c r="AG1328" s="34" t="s">
        <v>4013</v>
      </c>
      <c r="AH1328" s="34" t="s">
        <v>6929</v>
      </c>
      <c r="AI1328" s="34" t="s">
        <v>5766</v>
      </c>
      <c r="AJ1328" s="34" t="s">
        <v>3687</v>
      </c>
      <c r="AK1328" s="34" t="s">
        <v>6854</v>
      </c>
      <c r="AL1328" s="34" t="s">
        <v>3858</v>
      </c>
      <c r="AM1328" s="40" t="s">
        <v>9</v>
      </c>
      <c r="AP1328" s="34">
        <v>0</v>
      </c>
      <c r="AQ1328" s="34">
        <v>7790</v>
      </c>
      <c r="AR1328" s="34">
        <v>4869</v>
      </c>
      <c r="AT1328" s="44">
        <v>603400</v>
      </c>
      <c r="AU1328" s="44"/>
      <c r="AV1328" s="46">
        <f>ROUND(Товары[[#This Row],[РРЦ финальная, руб.]]/$AU$1,2)</f>
        <v>0</v>
      </c>
      <c r="AW1328" s="45" t="str">
        <f>IFERROR(Товары[[#This Row],[РРЦ, евро]]/Товары[[#This Row],[IRP, Eur]],"-")</f>
        <v>-</v>
      </c>
      <c r="AX1328" s="42">
        <f>IFERROR(VLOOKUP(Товары[[#This Row],[SubGroup]],'Структура цен DIY'!$B:$C,2,FALSE),0)</f>
        <v>0.25</v>
      </c>
      <c r="AY1328" s="44">
        <v>0</v>
      </c>
    </row>
    <row r="1329" spans="1:51" x14ac:dyDescent="0.25">
      <c r="A1329" s="34">
        <v>1327</v>
      </c>
      <c r="B1329" s="34" t="s">
        <v>49</v>
      </c>
      <c r="C1329" s="110" t="str">
        <f>IFERROR(INDEX(Структура_ассортимента[SuperCategory],MATCH(Товары[[#This Row],[SubGroup]],Структура_ассортимента[Subgroup],0)),"")</f>
        <v>W</v>
      </c>
      <c r="D132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2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29" s="110" t="str">
        <f>IFERROR(INDEX(Структура_ассортимента[Product group],MATCH(Товары[[#This Row],[SubGroup]],Структура_ассортимента[Subgroup],0)),"")</f>
        <v>WMT_C</v>
      </c>
      <c r="G1329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29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29" s="36">
        <v>9015</v>
      </c>
      <c r="J1329" s="36" t="str">
        <f>IFERROR(INDEX(Структура_ассортимента[Generic Name (long)],MATCH(Товары[[#This Row],[SubGroup]],Структура_ассортимента[Subgroup],0)),"")</f>
        <v>WALL HOSE BRACKET</v>
      </c>
      <c r="L1329" s="36">
        <v>967916801</v>
      </c>
      <c r="M1329" s="35" t="s">
        <v>3005</v>
      </c>
      <c r="O1329" s="35" t="s">
        <v>6953</v>
      </c>
      <c r="P1329" s="37" t="s">
        <v>6954</v>
      </c>
      <c r="Q1329" s="34" t="s">
        <v>3549</v>
      </c>
      <c r="R1329" s="34" t="s">
        <v>3540</v>
      </c>
      <c r="S1329" s="47">
        <v>43466</v>
      </c>
      <c r="T1329" s="47">
        <v>0</v>
      </c>
      <c r="U1329" s="47">
        <v>0</v>
      </c>
      <c r="V1329" s="34">
        <v>4078500045056</v>
      </c>
      <c r="W1329" s="34" t="s">
        <v>3543</v>
      </c>
      <c r="X1329" s="34" t="s">
        <v>3579</v>
      </c>
      <c r="Y1329" s="34" t="s">
        <v>3542</v>
      </c>
      <c r="Z1329" s="34">
        <v>2</v>
      </c>
      <c r="AB1329" s="34" t="s">
        <v>6955</v>
      </c>
      <c r="AD1329" s="34" t="s">
        <v>6956</v>
      </c>
      <c r="AE1329" s="34" t="s">
        <v>3772</v>
      </c>
      <c r="AF1329" s="34" t="s">
        <v>3722</v>
      </c>
      <c r="AG1329" s="34" t="s">
        <v>4013</v>
      </c>
      <c r="AH1329" s="34" t="s">
        <v>6929</v>
      </c>
      <c r="AI1329" s="34" t="s">
        <v>5766</v>
      </c>
      <c r="AJ1329" s="34" t="s">
        <v>3687</v>
      </c>
      <c r="AK1329" s="34" t="s">
        <v>6854</v>
      </c>
      <c r="AL1329" s="34" t="s">
        <v>3858</v>
      </c>
      <c r="AM1329" s="40" t="s">
        <v>9</v>
      </c>
      <c r="AP1329" s="34">
        <v>0</v>
      </c>
      <c r="AQ1329" s="34">
        <v>8490</v>
      </c>
      <c r="AR1329" s="34">
        <v>5306</v>
      </c>
      <c r="AT1329" s="44">
        <v>657600</v>
      </c>
      <c r="AU1329" s="44"/>
      <c r="AV1329" s="46">
        <f>ROUND(Товары[[#This Row],[РРЦ финальная, руб.]]/$AU$1,2)</f>
        <v>0</v>
      </c>
      <c r="AW1329" s="45" t="str">
        <f>IFERROR(Товары[[#This Row],[РРЦ, евро]]/Товары[[#This Row],[IRP, Eur]],"-")</f>
        <v>-</v>
      </c>
      <c r="AX1329" s="42">
        <f>IFERROR(VLOOKUP(Товары[[#This Row],[SubGroup]],'Структура цен DIY'!$B:$C,2,FALSE),0)</f>
        <v>0.25</v>
      </c>
      <c r="AY1329" s="44">
        <v>0</v>
      </c>
    </row>
    <row r="1330" spans="1:51" x14ac:dyDescent="0.25">
      <c r="A1330" s="34">
        <v>1328</v>
      </c>
      <c r="B1330" s="34" t="s">
        <v>49</v>
      </c>
      <c r="C1330" s="110" t="str">
        <f>IFERROR(INDEX(Структура_ассортимента[SuperCategory],MATCH(Товары[[#This Row],[SubGroup]],Структура_ассортимента[Subgroup],0)),"")</f>
        <v>W</v>
      </c>
      <c r="D133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3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30" s="110" t="str">
        <f>IFERROR(INDEX(Структура_ассортимента[Product group],MATCH(Товары[[#This Row],[SubGroup]],Структура_ассортимента[Subgroup],0)),"")</f>
        <v>WMT_C</v>
      </c>
      <c r="G1330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30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30" s="36">
        <v>9015</v>
      </c>
      <c r="J1330" s="36" t="str">
        <f>IFERROR(INDEX(Структура_ассортимента[Generic Name (long)],MATCH(Товары[[#This Row],[SubGroup]],Структура_ассортимента[Subgroup],0)),"")</f>
        <v>WALL HOSE BRACKET</v>
      </c>
      <c r="L1330" s="36">
        <v>967948401</v>
      </c>
      <c r="M1330" s="35" t="s">
        <v>3006</v>
      </c>
      <c r="Q1330" s="34" t="s">
        <v>3549</v>
      </c>
      <c r="R1330" s="34" t="s">
        <v>3540</v>
      </c>
      <c r="S1330" s="47">
        <v>43466</v>
      </c>
      <c r="T1330" s="47">
        <v>0</v>
      </c>
      <c r="U1330" s="47">
        <v>0</v>
      </c>
      <c r="V1330" s="34">
        <v>4078500046329</v>
      </c>
      <c r="W1330" s="34" t="s">
        <v>3543</v>
      </c>
      <c r="X1330" s="34" t="s">
        <v>3579</v>
      </c>
      <c r="Y1330" s="34" t="s">
        <v>3542</v>
      </c>
      <c r="Z1330" s="34">
        <v>2</v>
      </c>
      <c r="AB1330" s="34" t="s">
        <v>6957</v>
      </c>
      <c r="AD1330" s="34" t="s">
        <v>6958</v>
      </c>
      <c r="AE1330" s="34" t="s">
        <v>3772</v>
      </c>
      <c r="AF1330" s="34" t="s">
        <v>3722</v>
      </c>
      <c r="AG1330" s="34" t="s">
        <v>4013</v>
      </c>
      <c r="AH1330" s="34" t="s">
        <v>6929</v>
      </c>
      <c r="AI1330" s="34" t="s">
        <v>5766</v>
      </c>
      <c r="AJ1330" s="34" t="s">
        <v>3687</v>
      </c>
      <c r="AK1330" s="34" t="s">
        <v>6854</v>
      </c>
      <c r="AL1330" s="34" t="s">
        <v>3858</v>
      </c>
      <c r="AM1330" s="40" t="s">
        <v>8095</v>
      </c>
      <c r="AT1330" s="44">
        <v>0</v>
      </c>
      <c r="AU1330" s="44"/>
      <c r="AV1330" s="46">
        <f>ROUND(Товары[[#This Row],[РРЦ финальная, руб.]]/$AU$1,2)</f>
        <v>0</v>
      </c>
      <c r="AW1330" s="45" t="str">
        <f>IFERROR(Товары[[#This Row],[РРЦ, евро]]/Товары[[#This Row],[IRP, Eur]],"-")</f>
        <v>-</v>
      </c>
      <c r="AX1330" s="42">
        <f>IFERROR(VLOOKUP(Товары[[#This Row],[SubGroup]],'Структура цен DIY'!$B:$C,2,FALSE),0)</f>
        <v>0.25</v>
      </c>
      <c r="AY1330" s="44">
        <v>0</v>
      </c>
    </row>
    <row r="1331" spans="1:51" x14ac:dyDescent="0.25">
      <c r="A1331" s="34">
        <v>1329</v>
      </c>
      <c r="B1331" s="34" t="s">
        <v>49</v>
      </c>
      <c r="C1331" s="110" t="str">
        <f>IFERROR(INDEX(Структура_ассортимента[SuperCategory],MATCH(Товары[[#This Row],[SubGroup]],Структура_ассортимента[Subgroup],0)),"")</f>
        <v>W</v>
      </c>
      <c r="D133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3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31" s="110" t="str">
        <f>IFERROR(INDEX(Структура_ассортимента[Product group],MATCH(Товары[[#This Row],[SubGroup]],Структура_ассортимента[Subgroup],0)),"")</f>
        <v>WMT_C</v>
      </c>
      <c r="G1331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31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31" s="36">
        <v>9015</v>
      </c>
      <c r="J1331" s="36" t="str">
        <f>IFERROR(INDEX(Структура_ассортимента[Generic Name (long)],MATCH(Товары[[#This Row],[SubGroup]],Структура_ассортимента[Subgroup],0)),"")</f>
        <v>WALL HOSE BRACKET</v>
      </c>
      <c r="L1331" s="36">
        <v>967916901</v>
      </c>
      <c r="M1331" s="35" t="s">
        <v>3007</v>
      </c>
      <c r="O1331" s="35" t="s">
        <v>6959</v>
      </c>
      <c r="P1331" s="37" t="s">
        <v>6960</v>
      </c>
      <c r="Q1331" s="34" t="s">
        <v>3549</v>
      </c>
      <c r="R1331" s="34" t="s">
        <v>3540</v>
      </c>
      <c r="S1331" s="47">
        <v>43466</v>
      </c>
      <c r="T1331" s="47">
        <v>0</v>
      </c>
      <c r="U1331" s="47">
        <v>0</v>
      </c>
      <c r="V1331" s="34">
        <v>4078500045070</v>
      </c>
      <c r="W1331" s="34" t="s">
        <v>3543</v>
      </c>
      <c r="X1331" s="34" t="s">
        <v>3579</v>
      </c>
      <c r="Y1331" s="34" t="s">
        <v>3542</v>
      </c>
      <c r="Z1331" s="34">
        <v>1</v>
      </c>
      <c r="AB1331" s="34" t="s">
        <v>6961</v>
      </c>
      <c r="AD1331" s="34" t="s">
        <v>6962</v>
      </c>
      <c r="AE1331" s="34" t="s">
        <v>4017</v>
      </c>
      <c r="AF1331" s="34" t="s">
        <v>4202</v>
      </c>
      <c r="AG1331" s="34" t="s">
        <v>5360</v>
      </c>
      <c r="AH1331" s="34" t="s">
        <v>6940</v>
      </c>
      <c r="AI1331" s="34" t="s">
        <v>5766</v>
      </c>
      <c r="AJ1331" s="34" t="s">
        <v>3687</v>
      </c>
      <c r="AK1331" s="34" t="s">
        <v>6854</v>
      </c>
      <c r="AL1331" s="34" t="s">
        <v>4019</v>
      </c>
      <c r="AM1331" s="40" t="s">
        <v>9</v>
      </c>
      <c r="AP1331" s="34">
        <v>0</v>
      </c>
      <c r="AQ1331" s="34">
        <v>10890</v>
      </c>
      <c r="AR1331" s="34">
        <v>6806</v>
      </c>
      <c r="AT1331" s="44">
        <v>843500</v>
      </c>
      <c r="AU1331" s="44"/>
      <c r="AV1331" s="46">
        <f>ROUND(Товары[[#This Row],[РРЦ финальная, руб.]]/$AU$1,2)</f>
        <v>0</v>
      </c>
      <c r="AW1331" s="45" t="str">
        <f>IFERROR(Товары[[#This Row],[РРЦ, евро]]/Товары[[#This Row],[IRP, Eur]],"-")</f>
        <v>-</v>
      </c>
      <c r="AX1331" s="42">
        <f>IFERROR(VLOOKUP(Товары[[#This Row],[SubGroup]],'Структура цен DIY'!$B:$C,2,FALSE),0)</f>
        <v>0.25</v>
      </c>
      <c r="AY1331" s="44">
        <v>0</v>
      </c>
    </row>
    <row r="1332" spans="1:51" x14ac:dyDescent="0.25">
      <c r="A1332" s="34">
        <v>1330</v>
      </c>
      <c r="B1332" s="34" t="s">
        <v>49</v>
      </c>
      <c r="C1332" s="110" t="str">
        <f>IFERROR(INDEX(Структура_ассортимента[SuperCategory],MATCH(Товары[[#This Row],[SubGroup]],Структура_ассортимента[Subgroup],0)),"")</f>
        <v>W</v>
      </c>
      <c r="D133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3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32" s="110" t="str">
        <f>IFERROR(INDEX(Структура_ассортимента[Product group],MATCH(Товары[[#This Row],[SubGroup]],Структура_ассортимента[Subgroup],0)),"")</f>
        <v>WMT_C</v>
      </c>
      <c r="G1332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32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32" s="36">
        <v>9015</v>
      </c>
      <c r="J1332" s="36" t="str">
        <f>IFERROR(INDEX(Структура_ассортимента[Generic Name (long)],MATCH(Товары[[#This Row],[SubGroup]],Структура_ассортимента[Subgroup],0)),"")</f>
        <v>WALL HOSE BRACKET</v>
      </c>
      <c r="L1332" s="36">
        <v>967917301</v>
      </c>
      <c r="M1332" s="35" t="s">
        <v>3008</v>
      </c>
      <c r="O1332" s="35" t="s">
        <v>6963</v>
      </c>
      <c r="P1332" s="37" t="s">
        <v>6964</v>
      </c>
      <c r="Q1332" s="34" t="s">
        <v>3549</v>
      </c>
      <c r="R1332" s="34" t="s">
        <v>3540</v>
      </c>
      <c r="S1332" s="47">
        <v>43466</v>
      </c>
      <c r="T1332" s="47">
        <v>0</v>
      </c>
      <c r="U1332" s="47">
        <v>0</v>
      </c>
      <c r="V1332" s="34">
        <v>4078500045087</v>
      </c>
      <c r="W1332" s="34" t="s">
        <v>3543</v>
      </c>
      <c r="X1332" s="34" t="s">
        <v>3579</v>
      </c>
      <c r="Y1332" s="34" t="s">
        <v>3542</v>
      </c>
      <c r="Z1332" s="34">
        <v>1</v>
      </c>
      <c r="AB1332" s="34" t="s">
        <v>6965</v>
      </c>
      <c r="AD1332" s="34" t="s">
        <v>6966</v>
      </c>
      <c r="AE1332" s="34" t="s">
        <v>4017</v>
      </c>
      <c r="AF1332" s="34" t="s">
        <v>4202</v>
      </c>
      <c r="AG1332" s="34" t="s">
        <v>5360</v>
      </c>
      <c r="AH1332" s="34" t="s">
        <v>6940</v>
      </c>
      <c r="AI1332" s="34" t="s">
        <v>5766</v>
      </c>
      <c r="AJ1332" s="34" t="s">
        <v>3687</v>
      </c>
      <c r="AK1332" s="34" t="s">
        <v>6854</v>
      </c>
      <c r="AL1332" s="34" t="s">
        <v>4019</v>
      </c>
      <c r="AM1332" s="40" t="s">
        <v>9</v>
      </c>
      <c r="AP1332" s="34">
        <v>0</v>
      </c>
      <c r="AQ1332" s="34">
        <v>9990</v>
      </c>
      <c r="AR1332" s="34">
        <v>6244</v>
      </c>
      <c r="AT1332" s="44">
        <v>773800</v>
      </c>
      <c r="AU1332" s="44"/>
      <c r="AV1332" s="46">
        <f>ROUND(Товары[[#This Row],[РРЦ финальная, руб.]]/$AU$1,2)</f>
        <v>0</v>
      </c>
      <c r="AW1332" s="45" t="str">
        <f>IFERROR(Товары[[#This Row],[РРЦ, евро]]/Товары[[#This Row],[IRP, Eur]],"-")</f>
        <v>-</v>
      </c>
      <c r="AX1332" s="42">
        <f>IFERROR(VLOOKUP(Товары[[#This Row],[SubGroup]],'Структура цен DIY'!$B:$C,2,FALSE),0)</f>
        <v>0.25</v>
      </c>
      <c r="AY1332" s="44">
        <v>0</v>
      </c>
    </row>
    <row r="1333" spans="1:51" x14ac:dyDescent="0.25">
      <c r="A1333" s="34">
        <v>1331</v>
      </c>
      <c r="B1333" s="34" t="s">
        <v>49</v>
      </c>
      <c r="C1333" s="110" t="str">
        <f>IFERROR(INDEX(Структура_ассортимента[SuperCategory],MATCH(Товары[[#This Row],[SubGroup]],Структура_ассортимента[Subgroup],0)),"")</f>
        <v>W</v>
      </c>
      <c r="D133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3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33" s="110" t="str">
        <f>IFERROR(INDEX(Структура_ассортимента[Product group],MATCH(Товары[[#This Row],[SubGroup]],Структура_ассортимента[Subgroup],0)),"")</f>
        <v>WMT_C</v>
      </c>
      <c r="G1333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33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33" s="36">
        <v>9015</v>
      </c>
      <c r="J1333" s="36" t="str">
        <f>IFERROR(INDEX(Структура_ассортимента[Generic Name (long)],MATCH(Товары[[#This Row],[SubGroup]],Структура_ассортимента[Subgroup],0)),"")</f>
        <v>WALL HOSE BRACKET</v>
      </c>
      <c r="L1333" s="36">
        <v>967944201</v>
      </c>
      <c r="M1333" s="35" t="s">
        <v>3009</v>
      </c>
      <c r="Q1333" s="34" t="s">
        <v>3713</v>
      </c>
      <c r="R1333" s="34" t="s">
        <v>3540</v>
      </c>
      <c r="S1333" s="47">
        <v>43466</v>
      </c>
      <c r="T1333" s="47">
        <v>43830</v>
      </c>
      <c r="U1333" s="47">
        <v>43830</v>
      </c>
      <c r="V1333" s="34">
        <v>4078500046053</v>
      </c>
      <c r="W1333" s="34" t="s">
        <v>3543</v>
      </c>
      <c r="Y1333" s="34" t="s">
        <v>3542</v>
      </c>
      <c r="Z1333" s="34">
        <v>2</v>
      </c>
      <c r="AB1333" s="34" t="s">
        <v>6967</v>
      </c>
      <c r="AD1333" s="34" t="s">
        <v>6968</v>
      </c>
      <c r="AE1333" s="34" t="s">
        <v>3772</v>
      </c>
      <c r="AF1333" s="34" t="s">
        <v>3722</v>
      </c>
      <c r="AG1333" s="34" t="s">
        <v>4013</v>
      </c>
      <c r="AH1333" s="34" t="s">
        <v>6929</v>
      </c>
      <c r="AI1333" s="34" t="s">
        <v>5766</v>
      </c>
      <c r="AJ1333" s="34" t="s">
        <v>3687</v>
      </c>
      <c r="AK1333" s="34" t="s">
        <v>6854</v>
      </c>
      <c r="AL1333" s="34" t="s">
        <v>3858</v>
      </c>
      <c r="AM1333" s="40" t="s">
        <v>8094</v>
      </c>
      <c r="AT1333" s="44">
        <v>0</v>
      </c>
      <c r="AU1333" s="44"/>
      <c r="AV1333" s="46">
        <f>ROUND(Товары[[#This Row],[РРЦ финальная, руб.]]/$AU$1,2)</f>
        <v>0</v>
      </c>
      <c r="AW1333" s="45" t="str">
        <f>IFERROR(Товары[[#This Row],[РРЦ, евро]]/Товары[[#This Row],[IRP, Eur]],"-")</f>
        <v>-</v>
      </c>
      <c r="AX1333" s="42">
        <f>IFERROR(VLOOKUP(Товары[[#This Row],[SubGroup]],'Структура цен DIY'!$B:$C,2,FALSE),0)</f>
        <v>0.25</v>
      </c>
      <c r="AY1333" s="44">
        <v>0</v>
      </c>
    </row>
    <row r="1334" spans="1:51" x14ac:dyDescent="0.25">
      <c r="A1334" s="34">
        <v>1332</v>
      </c>
      <c r="B1334" s="34" t="s">
        <v>49</v>
      </c>
      <c r="C1334" s="110" t="str">
        <f>IFERROR(INDEX(Структура_ассортимента[SuperCategory],MATCH(Товары[[#This Row],[SubGroup]],Структура_ассортимента[Subgroup],0)),"")</f>
        <v>W</v>
      </c>
      <c r="D133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3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34" s="110" t="str">
        <f>IFERROR(INDEX(Структура_ассортимента[Product group],MATCH(Товары[[#This Row],[SubGroup]],Структура_ассортимента[Subgroup],0)),"")</f>
        <v>WMT_C</v>
      </c>
      <c r="G1334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34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34" s="36">
        <v>9015</v>
      </c>
      <c r="J1334" s="36" t="str">
        <f>IFERROR(INDEX(Структура_ассортимента[Generic Name (long)],MATCH(Товары[[#This Row],[SubGroup]],Структура_ассортимента[Subgroup],0)),"")</f>
        <v>WALL HOSE BRACKET</v>
      </c>
      <c r="L1334" s="36">
        <v>967948601</v>
      </c>
      <c r="M1334" s="35" t="s">
        <v>3010</v>
      </c>
      <c r="Q1334" s="34" t="s">
        <v>3549</v>
      </c>
      <c r="R1334" s="34" t="s">
        <v>3540</v>
      </c>
      <c r="S1334" s="47">
        <v>43466</v>
      </c>
      <c r="T1334" s="47">
        <v>0</v>
      </c>
      <c r="U1334" s="47">
        <v>0</v>
      </c>
      <c r="V1334" s="34">
        <v>4078500046343</v>
      </c>
      <c r="W1334" s="34" t="s">
        <v>3543</v>
      </c>
      <c r="X1334" s="34" t="s">
        <v>3579</v>
      </c>
      <c r="Y1334" s="34" t="s">
        <v>3542</v>
      </c>
      <c r="Z1334" s="34">
        <v>1</v>
      </c>
      <c r="AB1334" s="34" t="s">
        <v>6969</v>
      </c>
      <c r="AD1334" s="34" t="s">
        <v>6970</v>
      </c>
      <c r="AE1334" s="34" t="s">
        <v>4017</v>
      </c>
      <c r="AF1334" s="34" t="s">
        <v>4202</v>
      </c>
      <c r="AG1334" s="34" t="s">
        <v>5360</v>
      </c>
      <c r="AH1334" s="34" t="s">
        <v>6940</v>
      </c>
      <c r="AI1334" s="34" t="s">
        <v>5766</v>
      </c>
      <c r="AJ1334" s="34" t="s">
        <v>3687</v>
      </c>
      <c r="AK1334" s="34" t="s">
        <v>6854</v>
      </c>
      <c r="AL1334" s="34" t="s">
        <v>4019</v>
      </c>
      <c r="AM1334" s="40" t="s">
        <v>8095</v>
      </c>
      <c r="AT1334" s="44">
        <v>0</v>
      </c>
      <c r="AU1334" s="44"/>
      <c r="AV1334" s="46">
        <f>ROUND(Товары[[#This Row],[РРЦ финальная, руб.]]/$AU$1,2)</f>
        <v>0</v>
      </c>
      <c r="AW1334" s="45" t="str">
        <f>IFERROR(Товары[[#This Row],[РРЦ, евро]]/Товары[[#This Row],[IRP, Eur]],"-")</f>
        <v>-</v>
      </c>
      <c r="AX1334" s="42">
        <f>IFERROR(VLOOKUP(Товары[[#This Row],[SubGroup]],'Структура цен DIY'!$B:$C,2,FALSE),0)</f>
        <v>0.25</v>
      </c>
      <c r="AY1334" s="44">
        <v>0</v>
      </c>
    </row>
    <row r="1335" spans="1:51" x14ac:dyDescent="0.25">
      <c r="A1335" s="34">
        <v>1333</v>
      </c>
      <c r="B1335" s="34" t="s">
        <v>49</v>
      </c>
      <c r="C1335" s="110" t="str">
        <f>IFERROR(INDEX(Структура_ассортимента[SuperCategory],MATCH(Товары[[#This Row],[SubGroup]],Структура_ассортимента[Subgroup],0)),"")</f>
        <v>W</v>
      </c>
      <c r="D133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3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35" s="110" t="str">
        <f>IFERROR(INDEX(Структура_ассортимента[Product group],MATCH(Товары[[#This Row],[SubGroup]],Структура_ассортимента[Subgroup],0)),"")</f>
        <v>WMT_C</v>
      </c>
      <c r="G1335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35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35" s="36">
        <v>9015</v>
      </c>
      <c r="J1335" s="36" t="str">
        <f>IFERROR(INDEX(Структура_ассортимента[Generic Name (long)],MATCH(Товары[[#This Row],[SubGroup]],Структура_ассортимента[Subgroup],0)),"")</f>
        <v>WALL HOSE BRACKET</v>
      </c>
      <c r="L1335" s="36">
        <v>967966301</v>
      </c>
      <c r="M1335" s="35" t="s">
        <v>3011</v>
      </c>
      <c r="Q1335" s="34" t="s">
        <v>3549</v>
      </c>
      <c r="R1335" s="34" t="s">
        <v>3540</v>
      </c>
      <c r="S1335" s="47">
        <v>43466</v>
      </c>
      <c r="T1335" s="47">
        <v>0</v>
      </c>
      <c r="U1335" s="47">
        <v>0</v>
      </c>
      <c r="V1335" s="34">
        <v>4078500047593</v>
      </c>
      <c r="W1335" s="34" t="s">
        <v>3543</v>
      </c>
      <c r="X1335" s="34" t="s">
        <v>3579</v>
      </c>
      <c r="Y1335" s="34" t="s">
        <v>3542</v>
      </c>
      <c r="Z1335" s="34">
        <v>1</v>
      </c>
      <c r="AB1335" s="34" t="s">
        <v>6961</v>
      </c>
      <c r="AD1335" s="34" t="s">
        <v>6971</v>
      </c>
      <c r="AE1335" s="34" t="s">
        <v>4017</v>
      </c>
      <c r="AF1335" s="34" t="s">
        <v>4202</v>
      </c>
      <c r="AG1335" s="34" t="s">
        <v>5360</v>
      </c>
      <c r="AH1335" s="34" t="s">
        <v>6940</v>
      </c>
      <c r="AL1335" s="34" t="s">
        <v>4019</v>
      </c>
      <c r="AM1335" s="40" t="s">
        <v>8095</v>
      </c>
      <c r="AT1335" s="44">
        <v>0</v>
      </c>
      <c r="AU1335" s="44"/>
      <c r="AV1335" s="46">
        <f>ROUND(Товары[[#This Row],[РРЦ финальная, руб.]]/$AU$1,2)</f>
        <v>0</v>
      </c>
      <c r="AW1335" s="45" t="str">
        <f>IFERROR(Товары[[#This Row],[РРЦ, евро]]/Товары[[#This Row],[IRP, Eur]],"-")</f>
        <v>-</v>
      </c>
      <c r="AX1335" s="42">
        <f>IFERROR(VLOOKUP(Товары[[#This Row],[SubGroup]],'Структура цен DIY'!$B:$C,2,FALSE),0)</f>
        <v>0.25</v>
      </c>
      <c r="AY1335" s="44">
        <v>0</v>
      </c>
    </row>
    <row r="1336" spans="1:51" x14ac:dyDescent="0.25">
      <c r="A1336" s="34">
        <v>1334</v>
      </c>
      <c r="B1336" s="34" t="s">
        <v>49</v>
      </c>
      <c r="C1336" s="110" t="str">
        <f>IFERROR(INDEX(Структура_ассортимента[SuperCategory],MATCH(Товары[[#This Row],[SubGroup]],Структура_ассортимента[Subgroup],0)),"")</f>
        <v>W</v>
      </c>
      <c r="D133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3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36" s="110" t="str">
        <f>IFERROR(INDEX(Структура_ассортимента[Product group],MATCH(Товары[[#This Row],[SubGroup]],Структура_ассортимента[Subgroup],0)),"")</f>
        <v>WMT_C</v>
      </c>
      <c r="G1336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36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36" s="36">
        <v>9015</v>
      </c>
      <c r="J1336" s="36" t="str">
        <f>IFERROR(INDEX(Структура_ассортимента[Generic Name (long)],MATCH(Товары[[#This Row],[SubGroup]],Структура_ассортимента[Subgroup],0)),"")</f>
        <v>WALL HOSE BRACKET</v>
      </c>
      <c r="L1336" s="36">
        <v>900834201</v>
      </c>
      <c r="M1336" s="35" t="s">
        <v>3012</v>
      </c>
      <c r="Q1336" s="34" t="s">
        <v>3549</v>
      </c>
      <c r="R1336" s="34" t="s">
        <v>3540</v>
      </c>
      <c r="S1336" s="47">
        <v>36434</v>
      </c>
      <c r="T1336" s="47">
        <v>0</v>
      </c>
      <c r="U1336" s="47">
        <v>0</v>
      </c>
      <c r="V1336" s="34">
        <v>4078500023801</v>
      </c>
      <c r="W1336" s="34" t="s">
        <v>3936</v>
      </c>
      <c r="X1336" s="34" t="s">
        <v>3579</v>
      </c>
      <c r="Y1336" s="34" t="s">
        <v>3542</v>
      </c>
      <c r="Z1336" s="34">
        <v>5</v>
      </c>
      <c r="AA1336" s="34" t="s">
        <v>6031</v>
      </c>
      <c r="AB1336" s="34" t="s">
        <v>6031</v>
      </c>
      <c r="AC1336" s="34" t="s">
        <v>4502</v>
      </c>
      <c r="AD1336" s="34" t="s">
        <v>4502</v>
      </c>
      <c r="AE1336" s="34" t="s">
        <v>3590</v>
      </c>
      <c r="AF1336" s="34" t="s">
        <v>4257</v>
      </c>
      <c r="AG1336" s="34" t="s">
        <v>4499</v>
      </c>
      <c r="AH1336" s="34" t="s">
        <v>6972</v>
      </c>
      <c r="AI1336" s="34" t="s">
        <v>3590</v>
      </c>
      <c r="AJ1336" s="34" t="s">
        <v>4257</v>
      </c>
      <c r="AK1336" s="34" t="s">
        <v>3693</v>
      </c>
      <c r="AL1336" s="34">
        <v>90</v>
      </c>
      <c r="AM1336" s="40" t="s">
        <v>8095</v>
      </c>
      <c r="AT1336" s="44">
        <v>0</v>
      </c>
      <c r="AU1336" s="44"/>
      <c r="AV1336" s="46">
        <f>ROUND(Товары[[#This Row],[РРЦ финальная, руб.]]/$AU$1,2)</f>
        <v>0</v>
      </c>
      <c r="AW1336" s="45" t="str">
        <f>IFERROR(Товары[[#This Row],[РРЦ, евро]]/Товары[[#This Row],[IRP, Eur]],"-")</f>
        <v>-</v>
      </c>
      <c r="AX1336" s="42">
        <f>IFERROR(VLOOKUP(Товары[[#This Row],[SubGroup]],'Структура цен DIY'!$B:$C,2,FALSE),0)</f>
        <v>0.25</v>
      </c>
      <c r="AY1336" s="44">
        <v>0</v>
      </c>
    </row>
    <row r="1337" spans="1:51" x14ac:dyDescent="0.25">
      <c r="A1337" s="34">
        <v>1335</v>
      </c>
      <c r="B1337" s="34" t="s">
        <v>49</v>
      </c>
      <c r="C1337" s="110" t="str">
        <f>IFERROR(INDEX(Структура_ассортимента[SuperCategory],MATCH(Товары[[#This Row],[SubGroup]],Структура_ассортимента[Subgroup],0)),"")</f>
        <v>W</v>
      </c>
      <c r="D133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3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37" s="110" t="str">
        <f>IFERROR(INDEX(Структура_ассортимента[Product group],MATCH(Товары[[#This Row],[SubGroup]],Структура_ассортимента[Subgroup],0)),"")</f>
        <v>WMT_C</v>
      </c>
      <c r="G1337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37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37" s="36">
        <v>9015</v>
      </c>
      <c r="J1337" s="36" t="str">
        <f>IFERROR(INDEX(Структура_ассортимента[Generic Name (long)],MATCH(Товары[[#This Row],[SubGroup]],Структура_ассортимента[Subgroup],0)),"")</f>
        <v>WALL HOSE BRACKET</v>
      </c>
      <c r="L1337" s="36">
        <v>901005501</v>
      </c>
      <c r="M1337" s="35" t="s">
        <v>3013</v>
      </c>
      <c r="Q1337" s="34" t="s">
        <v>3549</v>
      </c>
      <c r="R1337" s="34" t="s">
        <v>3540</v>
      </c>
      <c r="S1337" s="47">
        <v>34215</v>
      </c>
      <c r="T1337" s="47">
        <v>0</v>
      </c>
      <c r="U1337" s="47">
        <v>0</v>
      </c>
      <c r="V1337" s="34">
        <v>4078500265003</v>
      </c>
      <c r="W1337" s="34" t="s">
        <v>3546</v>
      </c>
      <c r="X1337" s="34" t="s">
        <v>3704</v>
      </c>
      <c r="Y1337" s="34" t="s">
        <v>3542</v>
      </c>
      <c r="Z1337" s="34">
        <v>1</v>
      </c>
      <c r="AA1337" s="34" t="s">
        <v>6238</v>
      </c>
      <c r="AB1337" s="34" t="s">
        <v>6238</v>
      </c>
      <c r="AC1337" s="34" t="s">
        <v>5447</v>
      </c>
      <c r="AD1337" s="34" t="s">
        <v>5447</v>
      </c>
      <c r="AE1337" s="34" t="s">
        <v>3722</v>
      </c>
      <c r="AF1337" s="34" t="s">
        <v>3878</v>
      </c>
      <c r="AG1337" s="34" t="s">
        <v>3912</v>
      </c>
      <c r="AH1337" s="34" t="s">
        <v>6973</v>
      </c>
      <c r="AL1337" s="34">
        <v>22</v>
      </c>
      <c r="AM1337" s="40" t="s">
        <v>8095</v>
      </c>
      <c r="AT1337" s="44">
        <v>0</v>
      </c>
      <c r="AU1337" s="44"/>
      <c r="AV1337" s="46">
        <f>ROUND(Товары[[#This Row],[РРЦ финальная, руб.]]/$AU$1,2)</f>
        <v>0</v>
      </c>
      <c r="AW1337" s="45" t="str">
        <f>IFERROR(Товары[[#This Row],[РРЦ, евро]]/Товары[[#This Row],[IRP, Eur]],"-")</f>
        <v>-</v>
      </c>
      <c r="AX1337" s="42">
        <f>IFERROR(VLOOKUP(Товары[[#This Row],[SubGroup]],'Структура цен DIY'!$B:$C,2,FALSE),0)</f>
        <v>0.25</v>
      </c>
      <c r="AY1337" s="44">
        <v>0</v>
      </c>
    </row>
    <row r="1338" spans="1:51" x14ac:dyDescent="0.25">
      <c r="A1338" s="34">
        <v>1336</v>
      </c>
      <c r="B1338" s="34" t="s">
        <v>49</v>
      </c>
      <c r="C1338" s="110" t="str">
        <f>IFERROR(INDEX(Структура_ассортимента[SuperCategory],MATCH(Товары[[#This Row],[SubGroup]],Структура_ассортимента[Subgroup],0)),"")</f>
        <v>W</v>
      </c>
      <c r="D133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3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38" s="110" t="str">
        <f>IFERROR(INDEX(Структура_ассортимента[Product group],MATCH(Товары[[#This Row],[SubGroup]],Структура_ассортимента[Subgroup],0)),"")</f>
        <v>WMT_C</v>
      </c>
      <c r="G1338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38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38" s="36">
        <v>9015</v>
      </c>
      <c r="J1338" s="36" t="str">
        <f>IFERROR(INDEX(Структура_ассортимента[Generic Name (long)],MATCH(Товары[[#This Row],[SubGroup]],Структура_ассортимента[Subgroup],0)),"")</f>
        <v>WALL HOSE BRACKET</v>
      </c>
      <c r="L1338" s="36">
        <v>966610001</v>
      </c>
      <c r="M1338" s="35" t="s">
        <v>3014</v>
      </c>
      <c r="Q1338" s="34" t="s">
        <v>3549</v>
      </c>
      <c r="R1338" s="34" t="s">
        <v>3540</v>
      </c>
      <c r="S1338" s="47">
        <v>40452</v>
      </c>
      <c r="T1338" s="47">
        <v>0</v>
      </c>
      <c r="U1338" s="47">
        <v>0</v>
      </c>
      <c r="V1338" s="34">
        <v>4078500800907</v>
      </c>
      <c r="W1338" s="34" t="s">
        <v>3543</v>
      </c>
      <c r="X1338" s="34" t="s">
        <v>3579</v>
      </c>
      <c r="Y1338" s="34" t="s">
        <v>3542</v>
      </c>
      <c r="Z1338" s="34">
        <v>12</v>
      </c>
      <c r="AA1338" s="34" t="s">
        <v>6974</v>
      </c>
      <c r="AB1338" s="34" t="s">
        <v>6974</v>
      </c>
      <c r="AC1338" s="34" t="s">
        <v>6975</v>
      </c>
      <c r="AD1338" s="34" t="s">
        <v>6975</v>
      </c>
      <c r="AE1338" s="34" t="s">
        <v>3857</v>
      </c>
      <c r="AF1338" s="34" t="s">
        <v>3857</v>
      </c>
      <c r="AG1338" s="34" t="s">
        <v>4741</v>
      </c>
      <c r="AH1338" s="34" t="s">
        <v>6976</v>
      </c>
      <c r="AL1338" s="34">
        <v>12</v>
      </c>
      <c r="AM1338" s="40" t="s">
        <v>8095</v>
      </c>
      <c r="AT1338" s="44">
        <v>0</v>
      </c>
      <c r="AU1338" s="44"/>
      <c r="AV1338" s="46">
        <f>ROUND(Товары[[#This Row],[РРЦ финальная, руб.]]/$AU$1,2)</f>
        <v>0</v>
      </c>
      <c r="AW1338" s="45" t="str">
        <f>IFERROR(Товары[[#This Row],[РРЦ, евро]]/Товары[[#This Row],[IRP, Eur]],"-")</f>
        <v>-</v>
      </c>
      <c r="AX1338" s="42">
        <f>IFERROR(VLOOKUP(Товары[[#This Row],[SubGroup]],'Структура цен DIY'!$B:$C,2,FALSE),0)</f>
        <v>0.25</v>
      </c>
      <c r="AY1338" s="44">
        <v>0</v>
      </c>
    </row>
    <row r="1339" spans="1:51" x14ac:dyDescent="0.25">
      <c r="A1339" s="34">
        <v>1337</v>
      </c>
      <c r="B1339" s="34" t="s">
        <v>49</v>
      </c>
      <c r="C1339" s="110" t="str">
        <f>IFERROR(INDEX(Структура_ассортимента[SuperCategory],MATCH(Товары[[#This Row],[SubGroup]],Структура_ассортимента[Subgroup],0)),"")</f>
        <v>W</v>
      </c>
      <c r="D133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3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39" s="110" t="str">
        <f>IFERROR(INDEX(Структура_ассортимента[Product group],MATCH(Товары[[#This Row],[SubGroup]],Структура_ассортимента[Subgroup],0)),"")</f>
        <v>WMT_C</v>
      </c>
      <c r="G1339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39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39" s="36">
        <v>9015</v>
      </c>
      <c r="J1339" s="36" t="str">
        <f>IFERROR(INDEX(Структура_ассортимента[Generic Name (long)],MATCH(Товары[[#This Row],[SubGroup]],Структура_ассортимента[Subgroup],0)),"")</f>
        <v>WALL HOSE BRACKET</v>
      </c>
      <c r="L1339" s="36">
        <v>967845001</v>
      </c>
      <c r="M1339" s="35" t="s">
        <v>3015</v>
      </c>
      <c r="Q1339" s="34" t="s">
        <v>3549</v>
      </c>
      <c r="R1339" s="34" t="s">
        <v>3540</v>
      </c>
      <c r="S1339" s="47">
        <v>43101</v>
      </c>
      <c r="T1339" s="47">
        <v>0</v>
      </c>
      <c r="U1339" s="47">
        <v>0</v>
      </c>
      <c r="V1339" s="34">
        <v>4078500041867</v>
      </c>
      <c r="W1339" s="34" t="s">
        <v>3543</v>
      </c>
      <c r="X1339" s="34" t="s">
        <v>3579</v>
      </c>
      <c r="Y1339" s="34" t="s">
        <v>3542</v>
      </c>
      <c r="Z1339" s="34">
        <v>12</v>
      </c>
      <c r="AB1339" s="34" t="s">
        <v>5734</v>
      </c>
      <c r="AD1339" s="34" t="s">
        <v>4858</v>
      </c>
      <c r="AE1339" s="34" t="s">
        <v>3857</v>
      </c>
      <c r="AF1339" s="34" t="s">
        <v>3857</v>
      </c>
      <c r="AG1339" s="34" t="s">
        <v>4741</v>
      </c>
      <c r="AH1339" s="34" t="s">
        <v>6976</v>
      </c>
      <c r="AL1339" s="34" t="s">
        <v>3617</v>
      </c>
      <c r="AM1339" s="40" t="s">
        <v>8095</v>
      </c>
      <c r="AT1339" s="44">
        <v>0</v>
      </c>
      <c r="AU1339" s="44"/>
      <c r="AV1339" s="46">
        <f>ROUND(Товары[[#This Row],[РРЦ финальная, руб.]]/$AU$1,2)</f>
        <v>0</v>
      </c>
      <c r="AW1339" s="45" t="str">
        <f>IFERROR(Товары[[#This Row],[РРЦ, евро]]/Товары[[#This Row],[IRP, Eur]],"-")</f>
        <v>-</v>
      </c>
      <c r="AX1339" s="42">
        <f>IFERROR(VLOOKUP(Товары[[#This Row],[SubGroup]],'Структура цен DIY'!$B:$C,2,FALSE),0)</f>
        <v>0.25</v>
      </c>
      <c r="AY1339" s="44">
        <v>0</v>
      </c>
    </row>
    <row r="1340" spans="1:51" x14ac:dyDescent="0.25">
      <c r="A1340" s="34">
        <v>1338</v>
      </c>
      <c r="B1340" s="34" t="s">
        <v>49</v>
      </c>
      <c r="C1340" s="110" t="str">
        <f>IFERROR(INDEX(Структура_ассортимента[SuperCategory],MATCH(Товары[[#This Row],[SubGroup]],Структура_ассортимента[Subgroup],0)),"")</f>
        <v>W</v>
      </c>
      <c r="D134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4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40" s="110" t="str">
        <f>IFERROR(INDEX(Структура_ассортимента[Product group],MATCH(Товары[[#This Row],[SubGroup]],Структура_ассортимента[Subgroup],0)),"")</f>
        <v>WMT_C</v>
      </c>
      <c r="G1340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40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40" s="36">
        <v>9015</v>
      </c>
      <c r="J1340" s="36" t="str">
        <f>IFERROR(INDEX(Структура_ассортимента[Generic Name (long)],MATCH(Товары[[#This Row],[SubGroup]],Структура_ассортимента[Subgroup],0)),"")</f>
        <v>WALL HOSE BRACKET</v>
      </c>
      <c r="L1340" s="36">
        <v>967169301</v>
      </c>
      <c r="M1340" s="35" t="s">
        <v>3016</v>
      </c>
      <c r="Q1340" s="34" t="s">
        <v>3652</v>
      </c>
      <c r="R1340" s="34" t="s">
        <v>3540</v>
      </c>
      <c r="S1340" s="47">
        <v>41183</v>
      </c>
      <c r="T1340" s="47">
        <v>44196</v>
      </c>
      <c r="U1340" s="47">
        <v>0</v>
      </c>
      <c r="V1340" s="34">
        <v>4078500802208</v>
      </c>
      <c r="W1340" s="34" t="s">
        <v>3546</v>
      </c>
      <c r="X1340" s="34" t="s">
        <v>3704</v>
      </c>
      <c r="Y1340" s="34" t="s">
        <v>3542</v>
      </c>
      <c r="Z1340" s="34">
        <v>1</v>
      </c>
      <c r="AA1340" s="34" t="s">
        <v>5407</v>
      </c>
      <c r="AB1340" s="34" t="s">
        <v>5407</v>
      </c>
      <c r="AC1340" s="34" t="s">
        <v>6977</v>
      </c>
      <c r="AD1340" s="34" t="s">
        <v>6978</v>
      </c>
      <c r="AE1340" s="34" t="s">
        <v>3852</v>
      </c>
      <c r="AF1340" s="34" t="s">
        <v>3987</v>
      </c>
      <c r="AG1340" s="34" t="s">
        <v>4540</v>
      </c>
      <c r="AH1340" s="34" t="s">
        <v>6979</v>
      </c>
      <c r="AI1340" s="34" t="s">
        <v>6980</v>
      </c>
      <c r="AJ1340" s="34" t="s">
        <v>3857</v>
      </c>
      <c r="AK1340" s="34" t="s">
        <v>6981</v>
      </c>
      <c r="AL1340" s="34" t="s">
        <v>4865</v>
      </c>
      <c r="AM1340" s="40" t="s">
        <v>8095</v>
      </c>
      <c r="AT1340" s="44">
        <v>0</v>
      </c>
      <c r="AU1340" s="44"/>
      <c r="AV1340" s="46">
        <f>ROUND(Товары[[#This Row],[РРЦ финальная, руб.]]/$AU$1,2)</f>
        <v>0</v>
      </c>
      <c r="AW1340" s="45" t="str">
        <f>IFERROR(Товары[[#This Row],[РРЦ, евро]]/Товары[[#This Row],[IRP, Eur]],"-")</f>
        <v>-</v>
      </c>
      <c r="AX1340" s="42">
        <f>IFERROR(VLOOKUP(Товары[[#This Row],[SubGroup]],'Структура цен DIY'!$B:$C,2,FALSE),0)</f>
        <v>0.25</v>
      </c>
      <c r="AY1340" s="44">
        <v>0</v>
      </c>
    </row>
    <row r="1341" spans="1:51" x14ac:dyDescent="0.25">
      <c r="A1341" s="34">
        <v>1339</v>
      </c>
      <c r="B1341" s="34" t="s">
        <v>49</v>
      </c>
      <c r="C1341" s="110" t="str">
        <f>IFERROR(INDEX(Структура_ассортимента[SuperCategory],MATCH(Товары[[#This Row],[SubGroup]],Структура_ассортимента[Subgroup],0)),"")</f>
        <v>W</v>
      </c>
      <c r="D134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4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41" s="110" t="str">
        <f>IFERROR(INDEX(Структура_ассортимента[Product group],MATCH(Товары[[#This Row],[SubGroup]],Структура_ассортимента[Subgroup],0)),"")</f>
        <v>WMT_C</v>
      </c>
      <c r="G1341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41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41" s="36">
        <v>9015</v>
      </c>
      <c r="J1341" s="36" t="str">
        <f>IFERROR(INDEX(Структура_ассортимента[Generic Name (long)],MATCH(Товары[[#This Row],[SubGroup]],Структура_ассортимента[Subgroup],0)),"")</f>
        <v>WALL HOSE BRACKET</v>
      </c>
      <c r="L1341" s="36">
        <v>967169401</v>
      </c>
      <c r="M1341" s="35" t="s">
        <v>3017</v>
      </c>
      <c r="O1341" s="35" t="s">
        <v>6982</v>
      </c>
      <c r="P1341" s="37" t="s">
        <v>6983</v>
      </c>
      <c r="Q1341" s="34" t="s">
        <v>3652</v>
      </c>
      <c r="R1341" s="34" t="s">
        <v>3540</v>
      </c>
      <c r="S1341" s="47">
        <v>41183</v>
      </c>
      <c r="T1341" s="47">
        <v>44196</v>
      </c>
      <c r="U1341" s="47">
        <v>0</v>
      </c>
      <c r="V1341" s="34">
        <v>4078500802307</v>
      </c>
      <c r="W1341" s="34" t="s">
        <v>3546</v>
      </c>
      <c r="X1341" s="34" t="s">
        <v>6984</v>
      </c>
      <c r="Y1341" s="34" t="s">
        <v>3542</v>
      </c>
      <c r="Z1341" s="34">
        <v>1</v>
      </c>
      <c r="AA1341" s="34" t="s">
        <v>6985</v>
      </c>
      <c r="AB1341" s="34" t="s">
        <v>6985</v>
      </c>
      <c r="AC1341" s="34" t="s">
        <v>5810</v>
      </c>
      <c r="AD1341" s="34" t="s">
        <v>5810</v>
      </c>
      <c r="AE1341" s="34" t="s">
        <v>6986</v>
      </c>
      <c r="AF1341" s="34" t="s">
        <v>5285</v>
      </c>
      <c r="AG1341" s="34" t="s">
        <v>4266</v>
      </c>
      <c r="AH1341" s="34" t="s">
        <v>6987</v>
      </c>
      <c r="AI1341" s="34" t="s">
        <v>4233</v>
      </c>
      <c r="AJ1341" s="34" t="s">
        <v>6988</v>
      </c>
      <c r="AK1341" s="34" t="s">
        <v>4309</v>
      </c>
      <c r="AL1341" s="34" t="s">
        <v>3617</v>
      </c>
      <c r="AM1341" s="40" t="s">
        <v>9</v>
      </c>
      <c r="AP1341" s="34">
        <v>0</v>
      </c>
      <c r="AQ1341" s="34">
        <v>16590</v>
      </c>
      <c r="AR1341" s="34">
        <v>10369</v>
      </c>
      <c r="AT1341" s="44">
        <v>1285000</v>
      </c>
      <c r="AU1341" s="44"/>
      <c r="AV1341" s="46">
        <f>ROUND(Товары[[#This Row],[РРЦ финальная, руб.]]/$AU$1,2)</f>
        <v>0</v>
      </c>
      <c r="AW1341" s="45" t="str">
        <f>IFERROR(Товары[[#This Row],[РРЦ, евро]]/Товары[[#This Row],[IRP, Eur]],"-")</f>
        <v>-</v>
      </c>
      <c r="AX1341" s="42">
        <f>IFERROR(VLOOKUP(Товары[[#This Row],[SubGroup]],'Структура цен DIY'!$B:$C,2,FALSE),0)</f>
        <v>0.25</v>
      </c>
      <c r="AY1341" s="44">
        <v>0</v>
      </c>
    </row>
    <row r="1342" spans="1:51" x14ac:dyDescent="0.25">
      <c r="A1342" s="34">
        <v>1340</v>
      </c>
      <c r="B1342" s="34" t="s">
        <v>49</v>
      </c>
      <c r="C1342" s="110" t="str">
        <f>IFERROR(INDEX(Структура_ассортимента[SuperCategory],MATCH(Товары[[#This Row],[SubGroup]],Структура_ассортимента[Subgroup],0)),"")</f>
        <v>W</v>
      </c>
      <c r="D134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4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42" s="110" t="str">
        <f>IFERROR(INDEX(Структура_ассортимента[Product group],MATCH(Товары[[#This Row],[SubGroup]],Структура_ассортимента[Subgroup],0)),"")</f>
        <v>WMT_C</v>
      </c>
      <c r="G1342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42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42" s="36">
        <v>9015</v>
      </c>
      <c r="J1342" s="36" t="str">
        <f>IFERROR(INDEX(Структура_ассортимента[Generic Name (long)],MATCH(Товары[[#This Row],[SubGroup]],Структура_ассортимента[Subgroup],0)),"")</f>
        <v>WALL HOSE BRACKET</v>
      </c>
      <c r="L1342" s="36">
        <v>967169501</v>
      </c>
      <c r="M1342" s="35" t="s">
        <v>3018</v>
      </c>
      <c r="O1342" s="35" t="s">
        <v>6989</v>
      </c>
      <c r="P1342" s="37" t="s">
        <v>6990</v>
      </c>
      <c r="Q1342" s="34" t="s">
        <v>3652</v>
      </c>
      <c r="R1342" s="34" t="s">
        <v>3540</v>
      </c>
      <c r="S1342" s="47">
        <v>41183</v>
      </c>
      <c r="T1342" s="47">
        <v>44196</v>
      </c>
      <c r="U1342" s="47">
        <v>0</v>
      </c>
      <c r="V1342" s="34">
        <v>4078500802406</v>
      </c>
      <c r="W1342" s="34" t="s">
        <v>3546</v>
      </c>
      <c r="X1342" s="34" t="s">
        <v>6984</v>
      </c>
      <c r="Y1342" s="34" t="s">
        <v>3542</v>
      </c>
      <c r="Z1342" s="34">
        <v>1</v>
      </c>
      <c r="AA1342" s="34" t="s">
        <v>5810</v>
      </c>
      <c r="AB1342" s="34" t="s">
        <v>5853</v>
      </c>
      <c r="AC1342" s="34" t="s">
        <v>5788</v>
      </c>
      <c r="AD1342" s="34" t="s">
        <v>6991</v>
      </c>
      <c r="AE1342" s="34" t="s">
        <v>6986</v>
      </c>
      <c r="AF1342" s="34" t="s">
        <v>5285</v>
      </c>
      <c r="AG1342" s="34" t="s">
        <v>4266</v>
      </c>
      <c r="AH1342" s="34" t="s">
        <v>6987</v>
      </c>
      <c r="AI1342" s="34" t="s">
        <v>4233</v>
      </c>
      <c r="AJ1342" s="34" t="s">
        <v>6988</v>
      </c>
      <c r="AK1342" s="34" t="s">
        <v>4309</v>
      </c>
      <c r="AL1342" s="34" t="s">
        <v>3617</v>
      </c>
      <c r="AM1342" s="40" t="s">
        <v>9</v>
      </c>
      <c r="AP1342" s="34">
        <v>0</v>
      </c>
      <c r="AQ1342" s="34">
        <v>18990</v>
      </c>
      <c r="AR1342" s="34">
        <v>11869</v>
      </c>
      <c r="AT1342" s="44">
        <v>1470900</v>
      </c>
      <c r="AU1342" s="44"/>
      <c r="AV1342" s="46">
        <f>ROUND(Товары[[#This Row],[РРЦ финальная, руб.]]/$AU$1,2)</f>
        <v>0</v>
      </c>
      <c r="AW1342" s="45" t="str">
        <f>IFERROR(Товары[[#This Row],[РРЦ, евро]]/Товары[[#This Row],[IRP, Eur]],"-")</f>
        <v>-</v>
      </c>
      <c r="AX1342" s="42">
        <f>IFERROR(VLOOKUP(Товары[[#This Row],[SubGroup]],'Структура цен DIY'!$B:$C,2,FALSE),0)</f>
        <v>0.25</v>
      </c>
      <c r="AY1342" s="44">
        <v>0</v>
      </c>
    </row>
    <row r="1343" spans="1:51" x14ac:dyDescent="0.25">
      <c r="A1343" s="34">
        <v>1341</v>
      </c>
      <c r="B1343" s="34" t="s">
        <v>49</v>
      </c>
      <c r="C1343" s="110" t="str">
        <f>IFERROR(INDEX(Структура_ассортимента[SuperCategory],MATCH(Товары[[#This Row],[SubGroup]],Структура_ассортимента[Subgroup],0)),"")</f>
        <v>W</v>
      </c>
      <c r="D134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4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43" s="110" t="str">
        <f>IFERROR(INDEX(Структура_ассортимента[Product group],MATCH(Товары[[#This Row],[SubGroup]],Структура_ассортимента[Subgroup],0)),"")</f>
        <v>WMT_C</v>
      </c>
      <c r="G1343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43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43" s="36">
        <v>9015</v>
      </c>
      <c r="J1343" s="36" t="str">
        <f>IFERROR(INDEX(Структура_ассортимента[Generic Name (long)],MATCH(Товары[[#This Row],[SubGroup]],Структура_ассортимента[Subgroup],0)),"")</f>
        <v>WALL HOSE BRACKET</v>
      </c>
      <c r="L1343" s="36">
        <v>967689501</v>
      </c>
      <c r="M1343" s="35" t="s">
        <v>3019</v>
      </c>
      <c r="Q1343" s="34" t="s">
        <v>3652</v>
      </c>
      <c r="R1343" s="34" t="s">
        <v>3540</v>
      </c>
      <c r="S1343" s="47">
        <v>43101</v>
      </c>
      <c r="T1343" s="47">
        <v>44196</v>
      </c>
      <c r="U1343" s="47">
        <v>0</v>
      </c>
      <c r="V1343" s="34">
        <v>4078500034579</v>
      </c>
      <c r="W1343" s="34" t="s">
        <v>3546</v>
      </c>
      <c r="X1343" s="34" t="s">
        <v>6984</v>
      </c>
      <c r="Y1343" s="34" t="s">
        <v>3542</v>
      </c>
      <c r="Z1343" s="34">
        <v>1</v>
      </c>
      <c r="AB1343" s="34" t="s">
        <v>5853</v>
      </c>
      <c r="AD1343" s="34" t="s">
        <v>6991</v>
      </c>
      <c r="AE1343" s="34" t="s">
        <v>6986</v>
      </c>
      <c r="AF1343" s="34" t="s">
        <v>5285</v>
      </c>
      <c r="AG1343" s="34" t="s">
        <v>4266</v>
      </c>
      <c r="AH1343" s="34" t="s">
        <v>6987</v>
      </c>
      <c r="AL1343" s="34" t="s">
        <v>3658</v>
      </c>
      <c r="AM1343" s="40" t="s">
        <v>8095</v>
      </c>
      <c r="AT1343" s="44">
        <v>0</v>
      </c>
      <c r="AU1343" s="44"/>
      <c r="AV1343" s="46">
        <f>ROUND(Товары[[#This Row],[РРЦ финальная, руб.]]/$AU$1,2)</f>
        <v>0</v>
      </c>
      <c r="AW1343" s="45" t="str">
        <f>IFERROR(Товары[[#This Row],[РРЦ, евро]]/Товары[[#This Row],[IRP, Eur]],"-")</f>
        <v>-</v>
      </c>
      <c r="AX1343" s="42">
        <f>IFERROR(VLOOKUP(Товары[[#This Row],[SubGroup]],'Структура цен DIY'!$B:$C,2,FALSE),0)</f>
        <v>0.25</v>
      </c>
      <c r="AY1343" s="44">
        <v>0</v>
      </c>
    </row>
    <row r="1344" spans="1:51" x14ac:dyDescent="0.25">
      <c r="A1344" s="34">
        <v>1342</v>
      </c>
      <c r="B1344" s="34" t="s">
        <v>49</v>
      </c>
      <c r="C1344" s="110" t="str">
        <f>IFERROR(INDEX(Структура_ассортимента[SuperCategory],MATCH(Товары[[#This Row],[SubGroup]],Структура_ассортимента[Subgroup],0)),"")</f>
        <v>W</v>
      </c>
      <c r="D134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4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44" s="110" t="str">
        <f>IFERROR(INDEX(Структура_ассортимента[Product group],MATCH(Товары[[#This Row],[SubGroup]],Структура_ассортимента[Subgroup],0)),"")</f>
        <v>WMT_C</v>
      </c>
      <c r="G1344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44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44" s="36">
        <v>9015</v>
      </c>
      <c r="J1344" s="36" t="str">
        <f>IFERROR(INDEX(Структура_ассортимента[Generic Name (long)],MATCH(Товары[[#This Row],[SubGroup]],Структура_ассортимента[Subgroup],0)),"")</f>
        <v>WALL HOSE BRACKET</v>
      </c>
      <c r="L1344" s="36">
        <v>967169601</v>
      </c>
      <c r="M1344" s="35" t="s">
        <v>3020</v>
      </c>
      <c r="Q1344" s="34" t="s">
        <v>3713</v>
      </c>
      <c r="R1344" s="34" t="s">
        <v>3540</v>
      </c>
      <c r="S1344" s="47">
        <v>41183</v>
      </c>
      <c r="T1344" s="47">
        <v>43830</v>
      </c>
      <c r="U1344" s="47">
        <v>43830</v>
      </c>
      <c r="V1344" s="34">
        <v>4078500802505</v>
      </c>
      <c r="W1344" s="34" t="s">
        <v>3546</v>
      </c>
      <c r="Y1344" s="34" t="s">
        <v>3542</v>
      </c>
      <c r="Z1344" s="34">
        <v>1</v>
      </c>
      <c r="AA1344" s="34" t="s">
        <v>5808</v>
      </c>
      <c r="AB1344" s="34" t="s">
        <v>5808</v>
      </c>
      <c r="AC1344" s="34" t="s">
        <v>5765</v>
      </c>
      <c r="AD1344" s="34" t="s">
        <v>5765</v>
      </c>
      <c r="AE1344" s="34" t="s">
        <v>6986</v>
      </c>
      <c r="AF1344" s="34" t="s">
        <v>5285</v>
      </c>
      <c r="AG1344" s="34" t="s">
        <v>4266</v>
      </c>
      <c r="AH1344" s="34" t="s">
        <v>6987</v>
      </c>
      <c r="AL1344" s="34" t="s">
        <v>3617</v>
      </c>
      <c r="AM1344" s="40" t="s">
        <v>8094</v>
      </c>
      <c r="AT1344" s="44">
        <v>0</v>
      </c>
      <c r="AU1344" s="44"/>
      <c r="AV1344" s="46">
        <f>ROUND(Товары[[#This Row],[РРЦ финальная, руб.]]/$AU$1,2)</f>
        <v>0</v>
      </c>
      <c r="AW1344" s="45" t="str">
        <f>IFERROR(Товары[[#This Row],[РРЦ, евро]]/Товары[[#This Row],[IRP, Eur]],"-")</f>
        <v>-</v>
      </c>
      <c r="AX1344" s="42">
        <f>IFERROR(VLOOKUP(Товары[[#This Row],[SubGroup]],'Структура цен DIY'!$B:$C,2,FALSE),0)</f>
        <v>0.25</v>
      </c>
      <c r="AY1344" s="44">
        <v>0</v>
      </c>
    </row>
    <row r="1345" spans="1:51" x14ac:dyDescent="0.25">
      <c r="A1345" s="34">
        <v>1343</v>
      </c>
      <c r="B1345" s="34" t="s">
        <v>49</v>
      </c>
      <c r="C1345" s="110" t="str">
        <f>IFERROR(INDEX(Структура_ассортимента[SuperCategory],MATCH(Товары[[#This Row],[SubGroup]],Структура_ассортимента[Subgroup],0)),"")</f>
        <v>W</v>
      </c>
      <c r="D134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4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45" s="110" t="str">
        <f>IFERROR(INDEX(Структура_ассортимента[Product group],MATCH(Товары[[#This Row],[SubGroup]],Структура_ассортимента[Subgroup],0)),"")</f>
        <v>WMT_C</v>
      </c>
      <c r="G1345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45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45" s="36">
        <v>9015</v>
      </c>
      <c r="J1345" s="36" t="str">
        <f>IFERROR(INDEX(Структура_ассортимента[Generic Name (long)],MATCH(Товары[[#This Row],[SubGroup]],Структура_ассортимента[Subgroup],0)),"")</f>
        <v>WALL HOSE BRACKET</v>
      </c>
      <c r="L1345" s="36">
        <v>967239601</v>
      </c>
      <c r="M1345" s="35" t="s">
        <v>3021</v>
      </c>
      <c r="O1345" s="35" t="s">
        <v>6992</v>
      </c>
      <c r="P1345" s="37" t="s">
        <v>6993</v>
      </c>
      <c r="Q1345" s="34" t="s">
        <v>3549</v>
      </c>
      <c r="R1345" s="34" t="s">
        <v>3540</v>
      </c>
      <c r="S1345" s="47">
        <v>41640</v>
      </c>
      <c r="T1345" s="47">
        <v>0</v>
      </c>
      <c r="U1345" s="47">
        <v>0</v>
      </c>
      <c r="V1345" s="34">
        <v>4078500024105</v>
      </c>
      <c r="W1345" s="34" t="s">
        <v>3936</v>
      </c>
      <c r="X1345" s="34" t="s">
        <v>3579</v>
      </c>
      <c r="Y1345" s="34" t="s">
        <v>3542</v>
      </c>
      <c r="Z1345" s="34">
        <v>10</v>
      </c>
      <c r="AA1345" s="34" t="s">
        <v>4904</v>
      </c>
      <c r="AB1345" s="34" t="s">
        <v>6994</v>
      </c>
      <c r="AC1345" s="34" t="s">
        <v>6994</v>
      </c>
      <c r="AD1345" s="34" t="s">
        <v>4006</v>
      </c>
      <c r="AE1345" s="34" t="s">
        <v>6723</v>
      </c>
      <c r="AF1345" s="34" t="s">
        <v>4499</v>
      </c>
      <c r="AG1345" s="34" t="s">
        <v>6500</v>
      </c>
      <c r="AH1345" s="34" t="s">
        <v>6995</v>
      </c>
      <c r="AI1345" s="34" t="s">
        <v>6723</v>
      </c>
      <c r="AJ1345" s="34" t="s">
        <v>6500</v>
      </c>
      <c r="AK1345" s="34" t="s">
        <v>4384</v>
      </c>
      <c r="AL1345" s="34" t="s">
        <v>3747</v>
      </c>
      <c r="AM1345" s="40" t="s">
        <v>9</v>
      </c>
      <c r="AP1345" s="34">
        <v>0</v>
      </c>
      <c r="AQ1345" s="34">
        <v>659</v>
      </c>
      <c r="AR1345" s="34">
        <v>412</v>
      </c>
      <c r="AT1345" s="44">
        <v>51000</v>
      </c>
      <c r="AU1345" s="44"/>
      <c r="AV1345" s="46">
        <f>ROUND(Товары[[#This Row],[РРЦ финальная, руб.]]/$AU$1,2)</f>
        <v>0</v>
      </c>
      <c r="AW1345" s="45" t="str">
        <f>IFERROR(Товары[[#This Row],[РРЦ, евро]]/Товары[[#This Row],[IRP, Eur]],"-")</f>
        <v>-</v>
      </c>
      <c r="AX1345" s="42">
        <f>IFERROR(VLOOKUP(Товары[[#This Row],[SubGroup]],'Структура цен DIY'!$B:$C,2,FALSE),0)</f>
        <v>0.25</v>
      </c>
      <c r="AY1345" s="44">
        <v>0</v>
      </c>
    </row>
    <row r="1346" spans="1:51" x14ac:dyDescent="0.25">
      <c r="A1346" s="34">
        <v>1344</v>
      </c>
      <c r="B1346" s="34" t="s">
        <v>49</v>
      </c>
      <c r="C1346" s="110" t="str">
        <f>IFERROR(INDEX(Структура_ассортимента[SuperCategory],MATCH(Товары[[#This Row],[SubGroup]],Структура_ассортимента[Subgroup],0)),"")</f>
        <v>W</v>
      </c>
      <c r="D134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4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46" s="110" t="str">
        <f>IFERROR(INDEX(Структура_ассортимента[Product group],MATCH(Товары[[#This Row],[SubGroup]],Структура_ассортимента[Subgroup],0)),"")</f>
        <v>WMT_C</v>
      </c>
      <c r="G1346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46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46" s="36">
        <v>9015</v>
      </c>
      <c r="J1346" s="36" t="str">
        <f>IFERROR(INDEX(Структура_ассортимента[Generic Name (long)],MATCH(Товары[[#This Row],[SubGroup]],Структура_ассортимента[Subgroup],0)),"")</f>
        <v>WALL HOSE BRACKET</v>
      </c>
      <c r="L1346" s="36">
        <v>967678101</v>
      </c>
      <c r="M1346" s="35" t="s">
        <v>3022</v>
      </c>
      <c r="O1346" s="35" t="s">
        <v>6996</v>
      </c>
      <c r="P1346" s="37" t="s">
        <v>6997</v>
      </c>
      <c r="Q1346" s="34" t="s">
        <v>3652</v>
      </c>
      <c r="R1346" s="34" t="s">
        <v>3540</v>
      </c>
      <c r="S1346" s="47">
        <v>0</v>
      </c>
      <c r="T1346" s="47">
        <v>44196</v>
      </c>
      <c r="U1346" s="47">
        <v>0</v>
      </c>
      <c r="V1346" s="34">
        <v>4078500033534</v>
      </c>
      <c r="W1346" s="34" t="s">
        <v>3546</v>
      </c>
      <c r="X1346" s="34" t="s">
        <v>3704</v>
      </c>
      <c r="Y1346" s="34" t="s">
        <v>3542</v>
      </c>
      <c r="Z1346" s="34">
        <v>1</v>
      </c>
      <c r="AA1346" s="34">
        <v>8193</v>
      </c>
      <c r="AB1346" s="34" t="s">
        <v>5407</v>
      </c>
      <c r="AC1346" s="34">
        <v>6500</v>
      </c>
      <c r="AD1346" s="34" t="s">
        <v>6998</v>
      </c>
      <c r="AE1346" s="34" t="s">
        <v>4703</v>
      </c>
      <c r="AF1346" s="34" t="s">
        <v>3987</v>
      </c>
      <c r="AG1346" s="34" t="s">
        <v>4540</v>
      </c>
      <c r="AH1346" s="34" t="s">
        <v>6999</v>
      </c>
      <c r="AI1346" s="34" t="s">
        <v>6980</v>
      </c>
      <c r="AJ1346" s="34" t="s">
        <v>3857</v>
      </c>
      <c r="AK1346" s="34" t="s">
        <v>6981</v>
      </c>
      <c r="AL1346" s="34" t="s">
        <v>4865</v>
      </c>
      <c r="AM1346" s="40" t="s">
        <v>9</v>
      </c>
      <c r="AP1346" s="34">
        <v>0</v>
      </c>
      <c r="AQ1346" s="34">
        <v>10690</v>
      </c>
      <c r="AR1346" s="34">
        <v>6681</v>
      </c>
      <c r="AT1346" s="44">
        <v>828000</v>
      </c>
      <c r="AU1346" s="44"/>
      <c r="AV1346" s="46">
        <f>ROUND(Товары[[#This Row],[РРЦ финальная, руб.]]/$AU$1,2)</f>
        <v>0</v>
      </c>
      <c r="AW1346" s="45" t="str">
        <f>IFERROR(Товары[[#This Row],[РРЦ, евро]]/Товары[[#This Row],[IRP, Eur]],"-")</f>
        <v>-</v>
      </c>
      <c r="AX1346" s="42">
        <f>IFERROR(VLOOKUP(Товары[[#This Row],[SubGroup]],'Структура цен DIY'!$B:$C,2,FALSE),0)</f>
        <v>0.25</v>
      </c>
      <c r="AY1346" s="44">
        <v>0</v>
      </c>
    </row>
    <row r="1347" spans="1:51" x14ac:dyDescent="0.25">
      <c r="A1347" s="34">
        <v>1345</v>
      </c>
      <c r="B1347" s="34" t="s">
        <v>49</v>
      </c>
      <c r="C1347" s="110" t="str">
        <f>IFERROR(INDEX(Структура_ассортимента[SuperCategory],MATCH(Товары[[#This Row],[SubGroup]],Структура_ассортимента[Subgroup],0)),"")</f>
        <v>W</v>
      </c>
      <c r="D134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4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47" s="110" t="str">
        <f>IFERROR(INDEX(Структура_ассортимента[Product group],MATCH(Товары[[#This Row],[SubGroup]],Структура_ассортимента[Subgroup],0)),"")</f>
        <v>WMT_C</v>
      </c>
      <c r="G1347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47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47" s="36">
        <v>9015</v>
      </c>
      <c r="J1347" s="36" t="str">
        <f>IFERROR(INDEX(Структура_ассортимента[Generic Name (long)],MATCH(Товары[[#This Row],[SubGroup]],Структура_ассортимента[Subgroup],0)),"")</f>
        <v>WALL HOSE BRACKET</v>
      </c>
      <c r="L1347" s="36">
        <v>967680101</v>
      </c>
      <c r="M1347" s="35" t="s">
        <v>3023</v>
      </c>
      <c r="Q1347" s="34" t="s">
        <v>3652</v>
      </c>
      <c r="R1347" s="34" t="s">
        <v>3540</v>
      </c>
      <c r="S1347" s="47">
        <v>43101</v>
      </c>
      <c r="T1347" s="47">
        <v>44196</v>
      </c>
      <c r="U1347" s="47">
        <v>0</v>
      </c>
      <c r="V1347" s="34">
        <v>4078500033848</v>
      </c>
      <c r="W1347" s="34" t="s">
        <v>3547</v>
      </c>
      <c r="X1347" s="34" t="s">
        <v>3704</v>
      </c>
      <c r="Y1347" s="34" t="s">
        <v>3542</v>
      </c>
      <c r="Z1347" s="34">
        <v>1</v>
      </c>
      <c r="AB1347" s="34" t="s">
        <v>5407</v>
      </c>
      <c r="AD1347" s="34" t="s">
        <v>7000</v>
      </c>
      <c r="AE1347" s="34" t="s">
        <v>4703</v>
      </c>
      <c r="AF1347" s="34" t="s">
        <v>3987</v>
      </c>
      <c r="AG1347" s="34" t="s">
        <v>4540</v>
      </c>
      <c r="AH1347" s="34" t="s">
        <v>6999</v>
      </c>
      <c r="AL1347" s="34" t="s">
        <v>4865</v>
      </c>
      <c r="AM1347" s="40" t="s">
        <v>8095</v>
      </c>
      <c r="AT1347" s="44">
        <v>0</v>
      </c>
      <c r="AU1347" s="44"/>
      <c r="AV1347" s="46">
        <f>ROUND(Товары[[#This Row],[РРЦ финальная, руб.]]/$AU$1,2)</f>
        <v>0</v>
      </c>
      <c r="AW1347" s="45" t="str">
        <f>IFERROR(Товары[[#This Row],[РРЦ, евро]]/Товары[[#This Row],[IRP, Eur]],"-")</f>
        <v>-</v>
      </c>
      <c r="AX1347" s="42">
        <f>IFERROR(VLOOKUP(Товары[[#This Row],[SubGroup]],'Структура цен DIY'!$B:$C,2,FALSE),0)</f>
        <v>0.25</v>
      </c>
      <c r="AY1347" s="44">
        <v>0</v>
      </c>
    </row>
    <row r="1348" spans="1:51" x14ac:dyDescent="0.25">
      <c r="A1348" s="34">
        <v>1346</v>
      </c>
      <c r="B1348" s="34" t="s">
        <v>49</v>
      </c>
      <c r="C1348" s="110" t="str">
        <f>IFERROR(INDEX(Структура_ассортимента[SuperCategory],MATCH(Товары[[#This Row],[SubGroup]],Структура_ассортимента[Subgroup],0)),"")</f>
        <v>W</v>
      </c>
      <c r="D134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4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48" s="110" t="str">
        <f>IFERROR(INDEX(Структура_ассортимента[Product group],MATCH(Товары[[#This Row],[SubGroup]],Структура_ассортимента[Subgroup],0)),"")</f>
        <v>WMT_C</v>
      </c>
      <c r="G1348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48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48" s="36">
        <v>9015</v>
      </c>
      <c r="J1348" s="36" t="str">
        <f>IFERROR(INDEX(Структура_ассортимента[Generic Name (long)],MATCH(Товары[[#This Row],[SubGroup]],Структура_ассортимента[Subgroup],0)),"")</f>
        <v>WALL HOSE BRACKET</v>
      </c>
      <c r="L1348" s="36">
        <v>967690001</v>
      </c>
      <c r="M1348" s="35" t="s">
        <v>3024</v>
      </c>
      <c r="O1348" s="35" t="s">
        <v>7001</v>
      </c>
      <c r="P1348" s="37" t="s">
        <v>7002</v>
      </c>
      <c r="Q1348" s="34" t="s">
        <v>3652</v>
      </c>
      <c r="R1348" s="34" t="s">
        <v>3540</v>
      </c>
      <c r="S1348" s="47">
        <v>43101</v>
      </c>
      <c r="T1348" s="47">
        <v>44196</v>
      </c>
      <c r="U1348" s="47">
        <v>0</v>
      </c>
      <c r="V1348" s="34">
        <v>4078500034586</v>
      </c>
      <c r="W1348" s="34" t="s">
        <v>3546</v>
      </c>
      <c r="X1348" s="34" t="s">
        <v>6984</v>
      </c>
      <c r="Y1348" s="34" t="s">
        <v>3542</v>
      </c>
      <c r="Z1348" s="34">
        <v>1</v>
      </c>
      <c r="AB1348" s="34" t="s">
        <v>7003</v>
      </c>
      <c r="AD1348" s="34" t="s">
        <v>7004</v>
      </c>
      <c r="AE1348" s="34" t="s">
        <v>6986</v>
      </c>
      <c r="AF1348" s="34" t="s">
        <v>5285</v>
      </c>
      <c r="AG1348" s="34" t="s">
        <v>4266</v>
      </c>
      <c r="AH1348" s="34" t="s">
        <v>6987</v>
      </c>
      <c r="AL1348" s="34" t="s">
        <v>3658</v>
      </c>
      <c r="AM1348" s="40" t="s">
        <v>9</v>
      </c>
      <c r="AP1348" s="34">
        <v>0</v>
      </c>
      <c r="AQ1348" s="34">
        <v>17490</v>
      </c>
      <c r="AR1348" s="34">
        <v>10931</v>
      </c>
      <c r="AT1348" s="44">
        <v>1354700</v>
      </c>
      <c r="AU1348" s="44"/>
      <c r="AV1348" s="46">
        <f>ROUND(Товары[[#This Row],[РРЦ финальная, руб.]]/$AU$1,2)</f>
        <v>0</v>
      </c>
      <c r="AW1348" s="45" t="str">
        <f>IFERROR(Товары[[#This Row],[РРЦ, евро]]/Товары[[#This Row],[IRP, Eur]],"-")</f>
        <v>-</v>
      </c>
      <c r="AX1348" s="42">
        <f>IFERROR(VLOOKUP(Товары[[#This Row],[SubGroup]],'Структура цен DIY'!$B:$C,2,FALSE),0)</f>
        <v>0.25</v>
      </c>
      <c r="AY1348" s="44">
        <v>0</v>
      </c>
    </row>
    <row r="1349" spans="1:51" x14ac:dyDescent="0.25">
      <c r="A1349" s="34">
        <v>1347</v>
      </c>
      <c r="B1349" s="34" t="s">
        <v>49</v>
      </c>
      <c r="C1349" s="110" t="str">
        <f>IFERROR(INDEX(Структура_ассортимента[SuperCategory],MATCH(Товары[[#This Row],[SubGroup]],Структура_ассортимента[Subgroup],0)),"")</f>
        <v>W</v>
      </c>
      <c r="D134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4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49" s="110" t="str">
        <f>IFERROR(INDEX(Структура_ассортимента[Product group],MATCH(Товары[[#This Row],[SubGroup]],Структура_ассортимента[Subgroup],0)),"")</f>
        <v>WMT_C</v>
      </c>
      <c r="G1349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49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49" s="36">
        <v>9015</v>
      </c>
      <c r="J1349" s="36" t="str">
        <f>IFERROR(INDEX(Структура_ассортимента[Generic Name (long)],MATCH(Товары[[#This Row],[SubGroup]],Структура_ассортимента[Subgroup],0)),"")</f>
        <v>WALL HOSE BRACKET</v>
      </c>
      <c r="L1349" s="36">
        <v>967690301</v>
      </c>
      <c r="M1349" s="35" t="s">
        <v>3025</v>
      </c>
      <c r="O1349" s="35" t="s">
        <v>7001</v>
      </c>
      <c r="P1349" s="37" t="s">
        <v>7005</v>
      </c>
      <c r="Q1349" s="34" t="s">
        <v>3652</v>
      </c>
      <c r="R1349" s="34" t="s">
        <v>3540</v>
      </c>
      <c r="S1349" s="47">
        <v>43101</v>
      </c>
      <c r="T1349" s="47">
        <v>44196</v>
      </c>
      <c r="U1349" s="47">
        <v>0</v>
      </c>
      <c r="V1349" s="34">
        <v>4078500034616</v>
      </c>
      <c r="W1349" s="34" t="s">
        <v>3546</v>
      </c>
      <c r="X1349" s="34" t="s">
        <v>6984</v>
      </c>
      <c r="Y1349" s="34" t="s">
        <v>3542</v>
      </c>
      <c r="Z1349" s="34">
        <v>1</v>
      </c>
      <c r="AB1349" s="34" t="s">
        <v>7006</v>
      </c>
      <c r="AD1349" s="34" t="s">
        <v>7004</v>
      </c>
      <c r="AE1349" s="34" t="s">
        <v>6986</v>
      </c>
      <c r="AF1349" s="34" t="s">
        <v>5285</v>
      </c>
      <c r="AG1349" s="34" t="s">
        <v>4266</v>
      </c>
      <c r="AH1349" s="34" t="s">
        <v>6987</v>
      </c>
      <c r="AL1349" s="34" t="s">
        <v>3617</v>
      </c>
      <c r="AM1349" s="40" t="s">
        <v>233</v>
      </c>
      <c r="AT1349" s="44">
        <v>0</v>
      </c>
      <c r="AU1349" s="44"/>
      <c r="AV1349" s="46">
        <f>ROUND(Товары[[#This Row],[РРЦ финальная, руб.]]/$AU$1,2)</f>
        <v>0</v>
      </c>
      <c r="AW1349" s="45" t="str">
        <f>IFERROR(Товары[[#This Row],[РРЦ, евро]]/Товары[[#This Row],[IRP, Eur]],"-")</f>
        <v>-</v>
      </c>
      <c r="AX1349" s="42">
        <f>IFERROR(VLOOKUP(Товары[[#This Row],[SubGroup]],'Структура цен DIY'!$B:$C,2,FALSE),0)</f>
        <v>0.25</v>
      </c>
      <c r="AY1349" s="44">
        <v>0</v>
      </c>
    </row>
    <row r="1350" spans="1:51" x14ac:dyDescent="0.25">
      <c r="A1350" s="34">
        <v>1348</v>
      </c>
      <c r="B1350" s="34" t="s">
        <v>49</v>
      </c>
      <c r="C1350" s="110" t="str">
        <f>IFERROR(INDEX(Структура_ассортимента[SuperCategory],MATCH(Товары[[#This Row],[SubGroup]],Структура_ассортимента[Subgroup],0)),"")</f>
        <v>W</v>
      </c>
      <c r="D135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5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50" s="110" t="str">
        <f>IFERROR(INDEX(Структура_ассортимента[Product group],MATCH(Товары[[#This Row],[SubGroup]],Структура_ассортимента[Subgroup],0)),"")</f>
        <v>WMT_C</v>
      </c>
      <c r="G1350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50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50" s="36">
        <v>9015</v>
      </c>
      <c r="J1350" s="36" t="str">
        <f>IFERROR(INDEX(Структура_ассортимента[Generic Name (long)],MATCH(Товары[[#This Row],[SubGroup]],Структура_ассортимента[Subgroup],0)),"")</f>
        <v>WALL HOSE BRACKET</v>
      </c>
      <c r="L1350" s="36">
        <v>967028601</v>
      </c>
      <c r="M1350" s="35" t="s">
        <v>3026</v>
      </c>
      <c r="Q1350" s="34" t="s">
        <v>3549</v>
      </c>
      <c r="R1350" s="34" t="s">
        <v>3540</v>
      </c>
      <c r="S1350" s="47">
        <v>40909</v>
      </c>
      <c r="T1350" s="47">
        <v>0</v>
      </c>
      <c r="U1350" s="47">
        <v>0</v>
      </c>
      <c r="V1350" s="34">
        <v>4078500268783</v>
      </c>
      <c r="W1350" s="34" t="s">
        <v>3543</v>
      </c>
      <c r="X1350" s="34" t="s">
        <v>3704</v>
      </c>
      <c r="Y1350" s="34" t="s">
        <v>3542</v>
      </c>
      <c r="Z1350" s="34">
        <v>12</v>
      </c>
      <c r="AA1350" s="34" t="s">
        <v>7007</v>
      </c>
      <c r="AB1350" s="34" t="s">
        <v>6170</v>
      </c>
      <c r="AC1350" s="34" t="s">
        <v>6210</v>
      </c>
      <c r="AD1350" s="34" t="s">
        <v>5482</v>
      </c>
      <c r="AE1350" s="34" t="s">
        <v>4202</v>
      </c>
      <c r="AF1350" s="34" t="s">
        <v>3722</v>
      </c>
      <c r="AG1350" s="34" t="s">
        <v>3722</v>
      </c>
      <c r="AH1350" s="34" t="s">
        <v>7008</v>
      </c>
      <c r="AL1350" s="34" t="s">
        <v>3617</v>
      </c>
      <c r="AM1350" s="40" t="s">
        <v>8095</v>
      </c>
      <c r="AT1350" s="44">
        <v>0</v>
      </c>
      <c r="AU1350" s="44"/>
      <c r="AV1350" s="46">
        <f>ROUND(Товары[[#This Row],[РРЦ финальная, руб.]]/$AU$1,2)</f>
        <v>0</v>
      </c>
      <c r="AW1350" s="45" t="str">
        <f>IFERROR(Товары[[#This Row],[РРЦ, евро]]/Товары[[#This Row],[IRP, Eur]],"-")</f>
        <v>-</v>
      </c>
      <c r="AX1350" s="42">
        <f>IFERROR(VLOOKUP(Товары[[#This Row],[SubGroup]],'Структура цен DIY'!$B:$C,2,FALSE),0)</f>
        <v>0.25</v>
      </c>
      <c r="AY1350" s="44">
        <v>0</v>
      </c>
    </row>
    <row r="1351" spans="1:51" x14ac:dyDescent="0.25">
      <c r="A1351" s="34">
        <v>1349</v>
      </c>
      <c r="B1351" s="34" t="s">
        <v>49</v>
      </c>
      <c r="C1351" s="110" t="str">
        <f>IFERROR(INDEX(Структура_ассортимента[SuperCategory],MATCH(Товары[[#This Row],[SubGroup]],Структура_ассортимента[Subgroup],0)),"")</f>
        <v>W</v>
      </c>
      <c r="D135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5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51" s="110" t="str">
        <f>IFERROR(INDEX(Структура_ассортимента[Product group],MATCH(Товары[[#This Row],[SubGroup]],Структура_ассортимента[Subgroup],0)),"")</f>
        <v>WMT_C</v>
      </c>
      <c r="G1351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51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51" s="36">
        <v>9015</v>
      </c>
      <c r="J1351" s="36" t="str">
        <f>IFERROR(INDEX(Структура_ассортимента[Generic Name (long)],MATCH(Товары[[#This Row],[SubGroup]],Структура_ассортимента[Subgroup],0)),"")</f>
        <v>WALL HOSE BRACKET</v>
      </c>
      <c r="L1351" s="36">
        <v>970458001</v>
      </c>
      <c r="M1351" s="35" t="s">
        <v>3027</v>
      </c>
      <c r="Q1351" s="34" t="s">
        <v>3652</v>
      </c>
      <c r="R1351" s="34" t="s">
        <v>3540</v>
      </c>
      <c r="S1351" s="47">
        <v>43831</v>
      </c>
      <c r="T1351" s="47">
        <v>44196</v>
      </c>
      <c r="U1351" s="47">
        <v>0</v>
      </c>
      <c r="V1351" s="34">
        <v>4078500051040</v>
      </c>
      <c r="W1351" s="34" t="s">
        <v>3546</v>
      </c>
      <c r="X1351" s="34" t="s">
        <v>6984</v>
      </c>
      <c r="Y1351" s="34" t="s">
        <v>3542</v>
      </c>
      <c r="Z1351" s="34">
        <v>1</v>
      </c>
      <c r="AB1351" s="34" t="s">
        <v>6985</v>
      </c>
      <c r="AD1351" s="34" t="s">
        <v>5810</v>
      </c>
      <c r="AE1351" s="34" t="s">
        <v>6986</v>
      </c>
      <c r="AF1351" s="34" t="s">
        <v>5285</v>
      </c>
      <c r="AG1351" s="34" t="s">
        <v>4266</v>
      </c>
      <c r="AH1351" s="34" t="s">
        <v>6987</v>
      </c>
      <c r="AM1351" s="40" t="s">
        <v>8095</v>
      </c>
      <c r="AT1351" s="44">
        <v>0</v>
      </c>
      <c r="AU1351" s="44"/>
      <c r="AV1351" s="46">
        <f>ROUND(Товары[[#This Row],[РРЦ финальная, руб.]]/$AU$1,2)</f>
        <v>0</v>
      </c>
      <c r="AW1351" s="45" t="str">
        <f>IFERROR(Товары[[#This Row],[РРЦ, евро]]/Товары[[#This Row],[IRP, Eur]],"-")</f>
        <v>-</v>
      </c>
      <c r="AX1351" s="42">
        <f>IFERROR(VLOOKUP(Товары[[#This Row],[SubGroup]],'Структура цен DIY'!$B:$C,2,FALSE),0)</f>
        <v>0.25</v>
      </c>
      <c r="AY1351" s="44">
        <v>0</v>
      </c>
    </row>
    <row r="1352" spans="1:51" x14ac:dyDescent="0.25">
      <c r="A1352" s="34">
        <v>1350</v>
      </c>
      <c r="B1352" s="34" t="s">
        <v>49</v>
      </c>
      <c r="C1352" s="110" t="str">
        <f>IFERROR(INDEX(Структура_ассортимента[SuperCategory],MATCH(Товары[[#This Row],[SubGroup]],Структура_ассортимента[Subgroup],0)),"")</f>
        <v>W</v>
      </c>
      <c r="D135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5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52" s="110" t="str">
        <f>IFERROR(INDEX(Структура_ассортимента[Product group],MATCH(Товары[[#This Row],[SubGroup]],Структура_ассортимента[Subgroup],0)),"")</f>
        <v>WMT_C</v>
      </c>
      <c r="G1352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52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52" s="36">
        <v>9015</v>
      </c>
      <c r="J1352" s="36" t="str">
        <f>IFERROR(INDEX(Структура_ассортимента[Generic Name (long)],MATCH(Товары[[#This Row],[SubGroup]],Структура_ассортимента[Subgroup],0)),"")</f>
        <v>WALL HOSE BRACKET</v>
      </c>
      <c r="L1352" s="36">
        <v>970456301</v>
      </c>
      <c r="M1352" s="35" t="s">
        <v>3028</v>
      </c>
      <c r="Q1352" s="34" t="s">
        <v>3549</v>
      </c>
      <c r="R1352" s="34" t="s">
        <v>3540</v>
      </c>
      <c r="S1352" s="47">
        <v>43831</v>
      </c>
      <c r="T1352" s="47">
        <v>0</v>
      </c>
      <c r="U1352" s="47">
        <v>0</v>
      </c>
      <c r="V1352" s="34">
        <v>4078500050913</v>
      </c>
      <c r="W1352" s="34" t="s">
        <v>3543</v>
      </c>
      <c r="X1352" s="34" t="s">
        <v>3579</v>
      </c>
      <c r="Y1352" s="34" t="s">
        <v>3542</v>
      </c>
      <c r="Z1352" s="34">
        <v>6</v>
      </c>
      <c r="AB1352" s="34" t="s">
        <v>6906</v>
      </c>
      <c r="AD1352" s="34" t="s">
        <v>5501</v>
      </c>
      <c r="AE1352" s="34" t="s">
        <v>5048</v>
      </c>
      <c r="AF1352" s="34" t="s">
        <v>4582</v>
      </c>
      <c r="AG1352" s="34" t="s">
        <v>4741</v>
      </c>
      <c r="AH1352" s="34" t="s">
        <v>6907</v>
      </c>
      <c r="AL1352" s="34" t="s">
        <v>3617</v>
      </c>
      <c r="AM1352" s="40" t="s">
        <v>8095</v>
      </c>
      <c r="AT1352" s="44">
        <v>0</v>
      </c>
      <c r="AU1352" s="44"/>
      <c r="AV1352" s="46">
        <f>ROUND(Товары[[#This Row],[РРЦ финальная, руб.]]/$AU$1,2)</f>
        <v>0</v>
      </c>
      <c r="AW1352" s="45" t="str">
        <f>IFERROR(Товары[[#This Row],[РРЦ, евро]]/Товары[[#This Row],[IRP, Eur]],"-")</f>
        <v>-</v>
      </c>
      <c r="AX1352" s="42">
        <f>IFERROR(VLOOKUP(Товары[[#This Row],[SubGroup]],'Структура цен DIY'!$B:$C,2,FALSE),0)</f>
        <v>0.25</v>
      </c>
      <c r="AY1352" s="44">
        <v>0</v>
      </c>
    </row>
    <row r="1353" spans="1:51" x14ac:dyDescent="0.25">
      <c r="A1353" s="34">
        <v>1351</v>
      </c>
      <c r="B1353" s="34" t="s">
        <v>49</v>
      </c>
      <c r="C1353" s="110" t="str">
        <f>IFERROR(INDEX(Структура_ассортимента[SuperCategory],MATCH(Товары[[#This Row],[SubGroup]],Структура_ассортимента[Subgroup],0)),"")</f>
        <v>W</v>
      </c>
      <c r="D135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5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53" s="110" t="str">
        <f>IFERROR(INDEX(Структура_ассортимента[Product group],MATCH(Товары[[#This Row],[SubGroup]],Структура_ассортимента[Subgroup],0)),"")</f>
        <v>WMT_C</v>
      </c>
      <c r="G1353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53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53" s="36">
        <v>9015</v>
      </c>
      <c r="J1353" s="36" t="str">
        <f>IFERROR(INDEX(Структура_ассортимента[Generic Name (long)],MATCH(Товары[[#This Row],[SubGroup]],Структура_ассортимента[Subgroup],0)),"")</f>
        <v>WALL HOSE BRACKET</v>
      </c>
      <c r="L1353" s="36">
        <v>970460301</v>
      </c>
      <c r="M1353" s="35" t="s">
        <v>3029</v>
      </c>
      <c r="Q1353" s="34" t="s">
        <v>3549</v>
      </c>
      <c r="R1353" s="34" t="s">
        <v>3540</v>
      </c>
      <c r="S1353" s="47">
        <v>43831</v>
      </c>
      <c r="T1353" s="47">
        <v>0</v>
      </c>
      <c r="U1353" s="47">
        <v>0</v>
      </c>
      <c r="V1353" s="34">
        <v>4078500051071</v>
      </c>
      <c r="W1353" s="34" t="s">
        <v>3543</v>
      </c>
      <c r="X1353" s="34" t="s">
        <v>3579</v>
      </c>
      <c r="Y1353" s="34" t="s">
        <v>3542</v>
      </c>
      <c r="Z1353" s="34">
        <v>1</v>
      </c>
      <c r="AM1353" s="40" t="s">
        <v>8095</v>
      </c>
      <c r="AT1353" s="44">
        <v>0</v>
      </c>
      <c r="AU1353" s="44"/>
      <c r="AV1353" s="46">
        <f>ROUND(Товары[[#This Row],[РРЦ финальная, руб.]]/$AU$1,2)</f>
        <v>0</v>
      </c>
      <c r="AW1353" s="45" t="str">
        <f>IFERROR(Товары[[#This Row],[РРЦ, евро]]/Товары[[#This Row],[IRP, Eur]],"-")</f>
        <v>-</v>
      </c>
      <c r="AX1353" s="42">
        <f>IFERROR(VLOOKUP(Товары[[#This Row],[SubGroup]],'Структура цен DIY'!$B:$C,2,FALSE),0)</f>
        <v>0.25</v>
      </c>
      <c r="AY1353" s="44">
        <v>0</v>
      </c>
    </row>
    <row r="1354" spans="1:51" x14ac:dyDescent="0.25">
      <c r="A1354" s="34">
        <v>1352</v>
      </c>
      <c r="B1354" s="34" t="s">
        <v>49</v>
      </c>
      <c r="C1354" s="110" t="str">
        <f>IFERROR(INDEX(Структура_ассортимента[SuperCategory],MATCH(Товары[[#This Row],[SubGroup]],Структура_ассортимента[Subgroup],0)),"")</f>
        <v>W</v>
      </c>
      <c r="D135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5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54" s="110" t="str">
        <f>IFERROR(INDEX(Структура_ассортимента[Product group],MATCH(Товары[[#This Row],[SubGroup]],Структура_ассортимента[Subgroup],0)),"")</f>
        <v>WMT_C</v>
      </c>
      <c r="G1354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54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54" s="36">
        <v>9015</v>
      </c>
      <c r="J1354" s="36" t="str">
        <f>IFERROR(INDEX(Структура_ассортимента[Generic Name (long)],MATCH(Товары[[#This Row],[SubGroup]],Структура_ассортимента[Subgroup],0)),"")</f>
        <v>WALL HOSE BRACKET</v>
      </c>
      <c r="L1354" s="36">
        <v>970472701</v>
      </c>
      <c r="M1354" s="35" t="s">
        <v>3030</v>
      </c>
      <c r="O1354" s="35" t="s">
        <v>7009</v>
      </c>
      <c r="P1354" s="37" t="s">
        <v>7010</v>
      </c>
      <c r="Q1354" s="34" t="s">
        <v>3549</v>
      </c>
      <c r="R1354" s="34" t="s">
        <v>3540</v>
      </c>
      <c r="S1354" s="47">
        <v>44197</v>
      </c>
      <c r="T1354" s="47">
        <v>0</v>
      </c>
      <c r="U1354" s="47">
        <v>0</v>
      </c>
      <c r="V1354" s="34">
        <v>4078500052085</v>
      </c>
      <c r="W1354" s="34" t="s">
        <v>3547</v>
      </c>
      <c r="Y1354" s="34" t="s">
        <v>3542</v>
      </c>
      <c r="Z1354" s="34">
        <v>1</v>
      </c>
      <c r="AM1354" s="40" t="s">
        <v>11</v>
      </c>
      <c r="AT1354" s="44">
        <v>0</v>
      </c>
      <c r="AU1354" s="44"/>
      <c r="AV1354" s="46">
        <f>ROUND(Товары[[#This Row],[РРЦ финальная, руб.]]/$AU$1,2)</f>
        <v>0</v>
      </c>
      <c r="AW1354" s="45" t="str">
        <f>IFERROR(Товары[[#This Row],[РРЦ, евро]]/Товары[[#This Row],[IRP, Eur]],"-")</f>
        <v>-</v>
      </c>
      <c r="AX1354" s="42">
        <f>IFERROR(VLOOKUP(Товары[[#This Row],[SubGroup]],'Структура цен DIY'!$B:$C,2,FALSE),0)</f>
        <v>0.25</v>
      </c>
      <c r="AY1354" s="44">
        <v>0</v>
      </c>
    </row>
    <row r="1355" spans="1:51" x14ac:dyDescent="0.25">
      <c r="A1355" s="34">
        <v>1353</v>
      </c>
      <c r="B1355" s="34" t="s">
        <v>49</v>
      </c>
      <c r="C1355" s="110" t="str">
        <f>IFERROR(INDEX(Структура_ассортимента[SuperCategory],MATCH(Товары[[#This Row],[SubGroup]],Структура_ассортимента[Subgroup],0)),"")</f>
        <v>W</v>
      </c>
      <c r="D135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5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55" s="110" t="str">
        <f>IFERROR(INDEX(Структура_ассортимента[Product group],MATCH(Товары[[#This Row],[SubGroup]],Структура_ассортимента[Subgroup],0)),"")</f>
        <v>WMT_C</v>
      </c>
      <c r="G1355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55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55" s="36">
        <v>9015</v>
      </c>
      <c r="J1355" s="36" t="str">
        <f>IFERROR(INDEX(Структура_ассортимента[Generic Name (long)],MATCH(Товары[[#This Row],[SubGroup]],Структура_ассортимента[Subgroup],0)),"")</f>
        <v>WALL HOSE BRACKET</v>
      </c>
      <c r="L1355" s="36">
        <v>970472801</v>
      </c>
      <c r="M1355" s="35" t="s">
        <v>3031</v>
      </c>
      <c r="O1355" s="35" t="s">
        <v>7009</v>
      </c>
      <c r="P1355" s="37" t="s">
        <v>7011</v>
      </c>
      <c r="Q1355" s="34" t="s">
        <v>3549</v>
      </c>
      <c r="R1355" s="34" t="s">
        <v>3540</v>
      </c>
      <c r="S1355" s="47">
        <v>44197</v>
      </c>
      <c r="T1355" s="47">
        <v>0</v>
      </c>
      <c r="U1355" s="47">
        <v>0</v>
      </c>
      <c r="V1355" s="34">
        <v>4078500051941</v>
      </c>
      <c r="W1355" s="34" t="s">
        <v>3547</v>
      </c>
      <c r="Y1355" s="34" t="s">
        <v>3542</v>
      </c>
      <c r="Z1355" s="34">
        <v>1</v>
      </c>
      <c r="AM1355" s="40" t="s">
        <v>11</v>
      </c>
      <c r="AT1355" s="44">
        <v>0</v>
      </c>
      <c r="AU1355" s="44"/>
      <c r="AV1355" s="46">
        <f>ROUND(Товары[[#This Row],[РРЦ финальная, руб.]]/$AU$1,2)</f>
        <v>0</v>
      </c>
      <c r="AW1355" s="45" t="str">
        <f>IFERROR(Товары[[#This Row],[РРЦ, евро]]/Товары[[#This Row],[IRP, Eur]],"-")</f>
        <v>-</v>
      </c>
      <c r="AX1355" s="42">
        <f>IFERROR(VLOOKUP(Товары[[#This Row],[SubGroup]],'Структура цен DIY'!$B:$C,2,FALSE),0)</f>
        <v>0.25</v>
      </c>
      <c r="AY1355" s="44">
        <v>0</v>
      </c>
    </row>
    <row r="1356" spans="1:51" x14ac:dyDescent="0.25">
      <c r="A1356" s="34">
        <v>1354</v>
      </c>
      <c r="B1356" s="34" t="s">
        <v>49</v>
      </c>
      <c r="C1356" s="110" t="str">
        <f>IFERROR(INDEX(Структура_ассортимента[SuperCategory],MATCH(Товары[[#This Row],[SubGroup]],Структура_ассортимента[Subgroup],0)),"")</f>
        <v>W</v>
      </c>
      <c r="D135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5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56" s="110" t="str">
        <f>IFERROR(INDEX(Структура_ассортимента[Product group],MATCH(Товары[[#This Row],[SubGroup]],Структура_ассортимента[Subgroup],0)),"")</f>
        <v>WMT_C</v>
      </c>
      <c r="G1356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56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56" s="36">
        <v>9015</v>
      </c>
      <c r="J1356" s="36" t="str">
        <f>IFERROR(INDEX(Структура_ассортимента[Generic Name (long)],MATCH(Товары[[#This Row],[SubGroup]],Структура_ассортимента[Subgroup],0)),"")</f>
        <v>WALL HOSE BRACKET</v>
      </c>
      <c r="L1356" s="36">
        <v>970472901</v>
      </c>
      <c r="M1356" s="35" t="s">
        <v>3032</v>
      </c>
      <c r="O1356" s="35" t="s">
        <v>7012</v>
      </c>
      <c r="P1356" s="37" t="s">
        <v>7013</v>
      </c>
      <c r="Q1356" s="34" t="s">
        <v>3549</v>
      </c>
      <c r="R1356" s="34" t="s">
        <v>3540</v>
      </c>
      <c r="S1356" s="47">
        <v>44197</v>
      </c>
      <c r="T1356" s="47">
        <v>0</v>
      </c>
      <c r="U1356" s="47">
        <v>0</v>
      </c>
      <c r="V1356" s="34">
        <v>4078500051958</v>
      </c>
      <c r="W1356" s="34" t="s">
        <v>3547</v>
      </c>
      <c r="Y1356" s="34" t="s">
        <v>3542</v>
      </c>
      <c r="Z1356" s="34">
        <v>1</v>
      </c>
      <c r="AM1356" s="40" t="s">
        <v>11</v>
      </c>
      <c r="AT1356" s="44">
        <v>0</v>
      </c>
      <c r="AU1356" s="44"/>
      <c r="AV1356" s="46">
        <f>ROUND(Товары[[#This Row],[РРЦ финальная, руб.]]/$AU$1,2)</f>
        <v>0</v>
      </c>
      <c r="AW1356" s="45" t="str">
        <f>IFERROR(Товары[[#This Row],[РРЦ, евро]]/Товары[[#This Row],[IRP, Eur]],"-")</f>
        <v>-</v>
      </c>
      <c r="AX1356" s="42">
        <f>IFERROR(VLOOKUP(Товары[[#This Row],[SubGroup]],'Структура цен DIY'!$B:$C,2,FALSE),0)</f>
        <v>0.25</v>
      </c>
      <c r="AY1356" s="44">
        <v>0</v>
      </c>
    </row>
    <row r="1357" spans="1:51" x14ac:dyDescent="0.25">
      <c r="A1357" s="34">
        <v>1355</v>
      </c>
      <c r="B1357" s="34" t="s">
        <v>49</v>
      </c>
      <c r="C1357" s="110" t="str">
        <f>IFERROR(INDEX(Структура_ассортимента[SuperCategory],MATCH(Товары[[#This Row],[SubGroup]],Структура_ассортимента[Subgroup],0)),"")</f>
        <v>W</v>
      </c>
      <c r="D135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5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57" s="110" t="str">
        <f>IFERROR(INDEX(Структура_ассортимента[Product group],MATCH(Товары[[#This Row],[SubGroup]],Структура_ассортимента[Subgroup],0)),"")</f>
        <v>WMT_C</v>
      </c>
      <c r="G1357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57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57" s="36">
        <v>9015</v>
      </c>
      <c r="J1357" s="36" t="str">
        <f>IFERROR(INDEX(Структура_ассортимента[Generic Name (long)],MATCH(Товары[[#This Row],[SubGroup]],Структура_ассортимента[Subgroup],0)),"")</f>
        <v>WALL HOSE BRACKET</v>
      </c>
      <c r="L1357" s="36">
        <v>970473001</v>
      </c>
      <c r="M1357" s="35" t="s">
        <v>3033</v>
      </c>
      <c r="O1357" s="35" t="s">
        <v>7012</v>
      </c>
      <c r="P1357" s="37" t="s">
        <v>7014</v>
      </c>
      <c r="Q1357" s="34" t="s">
        <v>3549</v>
      </c>
      <c r="R1357" s="34" t="s">
        <v>3540</v>
      </c>
      <c r="S1357" s="47">
        <v>44197</v>
      </c>
      <c r="T1357" s="47">
        <v>0</v>
      </c>
      <c r="U1357" s="47">
        <v>0</v>
      </c>
      <c r="V1357" s="34">
        <v>4078500051965</v>
      </c>
      <c r="W1357" s="34" t="s">
        <v>3547</v>
      </c>
      <c r="Y1357" s="34" t="s">
        <v>3542</v>
      </c>
      <c r="Z1357" s="34">
        <v>1</v>
      </c>
      <c r="AM1357" s="40" t="s">
        <v>11</v>
      </c>
      <c r="AT1357" s="44">
        <v>0</v>
      </c>
      <c r="AU1357" s="44"/>
      <c r="AV1357" s="46">
        <f>ROUND(Товары[[#This Row],[РРЦ финальная, руб.]]/$AU$1,2)</f>
        <v>0</v>
      </c>
      <c r="AW1357" s="45" t="str">
        <f>IFERROR(Товары[[#This Row],[РРЦ, евро]]/Товары[[#This Row],[IRP, Eur]],"-")</f>
        <v>-</v>
      </c>
      <c r="AX1357" s="42">
        <f>IFERROR(VLOOKUP(Товары[[#This Row],[SubGroup]],'Структура цен DIY'!$B:$C,2,FALSE),0)</f>
        <v>0.25</v>
      </c>
      <c r="AY1357" s="44">
        <v>0</v>
      </c>
    </row>
    <row r="1358" spans="1:51" x14ac:dyDescent="0.25">
      <c r="A1358" s="34">
        <v>1356</v>
      </c>
      <c r="B1358" s="34" t="s">
        <v>49</v>
      </c>
      <c r="C1358" s="110" t="str">
        <f>IFERROR(INDEX(Структура_ассортимента[SuperCategory],MATCH(Товары[[#This Row],[SubGroup]],Структура_ассортимента[Subgroup],0)),"")</f>
        <v>W</v>
      </c>
      <c r="D135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5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58" s="110" t="str">
        <f>IFERROR(INDEX(Структура_ассортимента[Product group],MATCH(Товары[[#This Row],[SubGroup]],Структура_ассортимента[Subgroup],0)),"")</f>
        <v>WMT_C</v>
      </c>
      <c r="G1358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58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58" s="36">
        <v>9015</v>
      </c>
      <c r="J1358" s="36" t="str">
        <f>IFERROR(INDEX(Структура_ассортимента[Generic Name (long)],MATCH(Товары[[#This Row],[SubGroup]],Структура_ассортимента[Subgroup],0)),"")</f>
        <v>WALL HOSE BRACKET</v>
      </c>
      <c r="L1358" s="36">
        <v>970473101</v>
      </c>
      <c r="M1358" s="35" t="s">
        <v>3034</v>
      </c>
      <c r="O1358" s="35" t="s">
        <v>7015</v>
      </c>
      <c r="P1358" s="37" t="s">
        <v>7016</v>
      </c>
      <c r="Q1358" s="34" t="s">
        <v>3549</v>
      </c>
      <c r="R1358" s="34" t="s">
        <v>3540</v>
      </c>
      <c r="S1358" s="47">
        <v>44197</v>
      </c>
      <c r="T1358" s="47">
        <v>0</v>
      </c>
      <c r="U1358" s="47">
        <v>0</v>
      </c>
      <c r="V1358" s="34">
        <v>4078500051972</v>
      </c>
      <c r="W1358" s="34" t="s">
        <v>3547</v>
      </c>
      <c r="Y1358" s="34" t="s">
        <v>3542</v>
      </c>
      <c r="Z1358" s="34">
        <v>1</v>
      </c>
      <c r="AM1358" s="40" t="s">
        <v>11</v>
      </c>
      <c r="AT1358" s="44">
        <v>0</v>
      </c>
      <c r="AU1358" s="44"/>
      <c r="AV1358" s="46">
        <f>ROUND(Товары[[#This Row],[РРЦ финальная, руб.]]/$AU$1,2)</f>
        <v>0</v>
      </c>
      <c r="AW1358" s="45" t="str">
        <f>IFERROR(Товары[[#This Row],[РРЦ, евро]]/Товары[[#This Row],[IRP, Eur]],"-")</f>
        <v>-</v>
      </c>
      <c r="AX1358" s="42">
        <f>IFERROR(VLOOKUP(Товары[[#This Row],[SubGroup]],'Структура цен DIY'!$B:$C,2,FALSE),0)</f>
        <v>0.25</v>
      </c>
      <c r="AY1358" s="44">
        <v>0</v>
      </c>
    </row>
    <row r="1359" spans="1:51" x14ac:dyDescent="0.25">
      <c r="A1359" s="34">
        <v>1357</v>
      </c>
      <c r="B1359" s="34" t="s">
        <v>49</v>
      </c>
      <c r="C1359" s="110" t="str">
        <f>IFERROR(INDEX(Структура_ассортимента[SuperCategory],MATCH(Товары[[#This Row],[SubGroup]],Структура_ассортимента[Subgroup],0)),"")</f>
        <v>W</v>
      </c>
      <c r="D135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5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59" s="110" t="str">
        <f>IFERROR(INDEX(Структура_ассортимента[Product group],MATCH(Товары[[#This Row],[SubGroup]],Структура_ассортимента[Subgroup],0)),"")</f>
        <v>WMT_C</v>
      </c>
      <c r="G1359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59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59" s="36">
        <v>9015</v>
      </c>
      <c r="J1359" s="36" t="str">
        <f>IFERROR(INDEX(Структура_ассортимента[Generic Name (long)],MATCH(Товары[[#This Row],[SubGroup]],Структура_ассортимента[Subgroup],0)),"")</f>
        <v>WALL HOSE BRACKET</v>
      </c>
      <c r="L1359" s="36">
        <v>970473201</v>
      </c>
      <c r="M1359" s="35" t="s">
        <v>3035</v>
      </c>
      <c r="O1359" s="35" t="s">
        <v>7015</v>
      </c>
      <c r="P1359" s="37" t="s">
        <v>7017</v>
      </c>
      <c r="Q1359" s="34" t="s">
        <v>3549</v>
      </c>
      <c r="R1359" s="34" t="s">
        <v>3540</v>
      </c>
      <c r="S1359" s="47">
        <v>44197</v>
      </c>
      <c r="T1359" s="47">
        <v>0</v>
      </c>
      <c r="U1359" s="47">
        <v>0</v>
      </c>
      <c r="V1359" s="34">
        <v>4078500051989</v>
      </c>
      <c r="W1359" s="34" t="s">
        <v>3547</v>
      </c>
      <c r="Y1359" s="34" t="s">
        <v>3542</v>
      </c>
      <c r="Z1359" s="34">
        <v>1</v>
      </c>
      <c r="AM1359" s="40" t="s">
        <v>11</v>
      </c>
      <c r="AT1359" s="44">
        <v>0</v>
      </c>
      <c r="AU1359" s="44"/>
      <c r="AV1359" s="46">
        <f>ROUND(Товары[[#This Row],[РРЦ финальная, руб.]]/$AU$1,2)</f>
        <v>0</v>
      </c>
      <c r="AW1359" s="45" t="str">
        <f>IFERROR(Товары[[#This Row],[РРЦ, евро]]/Товары[[#This Row],[IRP, Eur]],"-")</f>
        <v>-</v>
      </c>
      <c r="AX1359" s="42">
        <f>IFERROR(VLOOKUP(Товары[[#This Row],[SubGroup]],'Структура цен DIY'!$B:$C,2,FALSE),0)</f>
        <v>0.25</v>
      </c>
      <c r="AY1359" s="44">
        <v>0</v>
      </c>
    </row>
    <row r="1360" spans="1:51" x14ac:dyDescent="0.25">
      <c r="A1360" s="34">
        <v>1358</v>
      </c>
      <c r="B1360" s="34" t="s">
        <v>49</v>
      </c>
      <c r="C1360" s="110" t="str">
        <f>IFERROR(INDEX(Структура_ассортимента[SuperCategory],MATCH(Товары[[#This Row],[SubGroup]],Структура_ассортимента[Subgroup],0)),"")</f>
        <v>W</v>
      </c>
      <c r="D136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6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60" s="110" t="str">
        <f>IFERROR(INDEX(Структура_ассортимента[Product group],MATCH(Товары[[#This Row],[SubGroup]],Структура_ассортимента[Subgroup],0)),"")</f>
        <v>WMT_C</v>
      </c>
      <c r="G1360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60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60" s="36">
        <v>9015</v>
      </c>
      <c r="J1360" s="36" t="str">
        <f>IFERROR(INDEX(Структура_ассортимента[Generic Name (long)],MATCH(Товары[[#This Row],[SubGroup]],Структура_ассортимента[Subgroup],0)),"")</f>
        <v>WALL HOSE BRACKET</v>
      </c>
      <c r="L1360" s="36">
        <v>970473301</v>
      </c>
      <c r="M1360" s="35" t="s">
        <v>3036</v>
      </c>
      <c r="O1360" s="35" t="s">
        <v>7018</v>
      </c>
      <c r="P1360" s="37" t="s">
        <v>7019</v>
      </c>
      <c r="Q1360" s="34" t="s">
        <v>3549</v>
      </c>
      <c r="R1360" s="34" t="s">
        <v>3540</v>
      </c>
      <c r="S1360" s="47">
        <v>44197</v>
      </c>
      <c r="T1360" s="47">
        <v>0</v>
      </c>
      <c r="U1360" s="47">
        <v>0</v>
      </c>
      <c r="V1360" s="34">
        <v>4078500051996</v>
      </c>
      <c r="W1360" s="34" t="s">
        <v>3547</v>
      </c>
      <c r="Y1360" s="34" t="s">
        <v>3542</v>
      </c>
      <c r="Z1360" s="34">
        <v>1</v>
      </c>
      <c r="AM1360" s="40" t="s">
        <v>11</v>
      </c>
      <c r="AT1360" s="44">
        <v>0</v>
      </c>
      <c r="AU1360" s="44"/>
      <c r="AV1360" s="46">
        <f>ROUND(Товары[[#This Row],[РРЦ финальная, руб.]]/$AU$1,2)</f>
        <v>0</v>
      </c>
      <c r="AW1360" s="45" t="str">
        <f>IFERROR(Товары[[#This Row],[РРЦ, евро]]/Товары[[#This Row],[IRP, Eur]],"-")</f>
        <v>-</v>
      </c>
      <c r="AX1360" s="42">
        <f>IFERROR(VLOOKUP(Товары[[#This Row],[SubGroup]],'Структура цен DIY'!$B:$C,2,FALSE),0)</f>
        <v>0.25</v>
      </c>
      <c r="AY1360" s="44">
        <v>0</v>
      </c>
    </row>
    <row r="1361" spans="1:51" x14ac:dyDescent="0.25">
      <c r="A1361" s="34">
        <v>1359</v>
      </c>
      <c r="B1361" s="34" t="s">
        <v>49</v>
      </c>
      <c r="C1361" s="110" t="str">
        <f>IFERROR(INDEX(Структура_ассортимента[SuperCategory],MATCH(Товары[[#This Row],[SubGroup]],Структура_ассортимента[Subgroup],0)),"")</f>
        <v>W</v>
      </c>
      <c r="D136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6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61" s="110" t="str">
        <f>IFERROR(INDEX(Структура_ассортимента[Product group],MATCH(Товары[[#This Row],[SubGroup]],Структура_ассортимента[Subgroup],0)),"")</f>
        <v>WMT_C</v>
      </c>
      <c r="G1361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61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61" s="36">
        <v>9015</v>
      </c>
      <c r="J1361" s="36" t="str">
        <f>IFERROR(INDEX(Структура_ассортимента[Generic Name (long)],MATCH(Товары[[#This Row],[SubGroup]],Структура_ассортимента[Subgroup],0)),"")</f>
        <v>WALL HOSE BRACKET</v>
      </c>
      <c r="L1361" s="36">
        <v>970473401</v>
      </c>
      <c r="M1361" s="35" t="s">
        <v>3037</v>
      </c>
      <c r="O1361" s="35" t="s">
        <v>7018</v>
      </c>
      <c r="P1361" s="37" t="s">
        <v>7020</v>
      </c>
      <c r="Q1361" s="34" t="s">
        <v>3549</v>
      </c>
      <c r="R1361" s="34" t="s">
        <v>3540</v>
      </c>
      <c r="S1361" s="47">
        <v>44197</v>
      </c>
      <c r="T1361" s="47">
        <v>0</v>
      </c>
      <c r="U1361" s="47">
        <v>0</v>
      </c>
      <c r="V1361" s="34">
        <v>4078500052009</v>
      </c>
      <c r="W1361" s="34" t="s">
        <v>3547</v>
      </c>
      <c r="Y1361" s="34" t="s">
        <v>3542</v>
      </c>
      <c r="Z1361" s="34">
        <v>1</v>
      </c>
      <c r="AM1361" s="40" t="s">
        <v>11</v>
      </c>
      <c r="AT1361" s="44">
        <v>0</v>
      </c>
      <c r="AU1361" s="44"/>
      <c r="AV1361" s="46">
        <f>ROUND(Товары[[#This Row],[РРЦ финальная, руб.]]/$AU$1,2)</f>
        <v>0</v>
      </c>
      <c r="AW1361" s="45" t="str">
        <f>IFERROR(Товары[[#This Row],[РРЦ, евро]]/Товары[[#This Row],[IRP, Eur]],"-")</f>
        <v>-</v>
      </c>
      <c r="AX1361" s="42">
        <f>IFERROR(VLOOKUP(Товары[[#This Row],[SubGroup]],'Структура цен DIY'!$B:$C,2,FALSE),0)</f>
        <v>0.25</v>
      </c>
      <c r="AY1361" s="44">
        <v>0</v>
      </c>
    </row>
    <row r="1362" spans="1:51" x14ac:dyDescent="0.25">
      <c r="A1362" s="34">
        <v>1360</v>
      </c>
      <c r="B1362" s="34" t="s">
        <v>49</v>
      </c>
      <c r="C1362" s="110" t="str">
        <f>IFERROR(INDEX(Структура_ассортимента[SuperCategory],MATCH(Товары[[#This Row],[SubGroup]],Структура_ассортимента[Subgroup],0)),"")</f>
        <v>W</v>
      </c>
      <c r="D136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6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62" s="110" t="str">
        <f>IFERROR(INDEX(Структура_ассортимента[Product group],MATCH(Товары[[#This Row],[SubGroup]],Структура_ассортимента[Subgroup],0)),"")</f>
        <v>WMT_C</v>
      </c>
      <c r="G1362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62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62" s="36">
        <v>9015</v>
      </c>
      <c r="J1362" s="36" t="str">
        <f>IFERROR(INDEX(Структура_ассортимента[Generic Name (long)],MATCH(Товары[[#This Row],[SubGroup]],Структура_ассортимента[Subgroup],0)),"")</f>
        <v>WALL HOSE BRACKET</v>
      </c>
      <c r="L1362" s="36">
        <v>970473501</v>
      </c>
      <c r="M1362" s="35" t="s">
        <v>3038</v>
      </c>
      <c r="O1362" s="35" t="s">
        <v>7021</v>
      </c>
      <c r="P1362" s="37" t="s">
        <v>7022</v>
      </c>
      <c r="Q1362" s="34" t="s">
        <v>3549</v>
      </c>
      <c r="R1362" s="34" t="s">
        <v>3540</v>
      </c>
      <c r="S1362" s="47">
        <v>44197</v>
      </c>
      <c r="T1362" s="47">
        <v>0</v>
      </c>
      <c r="U1362" s="47">
        <v>0</v>
      </c>
      <c r="V1362" s="34">
        <v>4078500052023</v>
      </c>
      <c r="W1362" s="34" t="s">
        <v>3546</v>
      </c>
      <c r="Y1362" s="34" t="s">
        <v>3542</v>
      </c>
      <c r="Z1362" s="34">
        <v>1</v>
      </c>
      <c r="AM1362" s="40" t="s">
        <v>11</v>
      </c>
      <c r="AT1362" s="44">
        <v>0</v>
      </c>
      <c r="AU1362" s="44"/>
      <c r="AV1362" s="46">
        <f>ROUND(Товары[[#This Row],[РРЦ финальная, руб.]]/$AU$1,2)</f>
        <v>0</v>
      </c>
      <c r="AW1362" s="45" t="str">
        <f>IFERROR(Товары[[#This Row],[РРЦ, евро]]/Товары[[#This Row],[IRP, Eur]],"-")</f>
        <v>-</v>
      </c>
      <c r="AX1362" s="42">
        <f>IFERROR(VLOOKUP(Товары[[#This Row],[SubGroup]],'Структура цен DIY'!$B:$C,2,FALSE),0)</f>
        <v>0.25</v>
      </c>
      <c r="AY1362" s="44">
        <v>0</v>
      </c>
    </row>
    <row r="1363" spans="1:51" x14ac:dyDescent="0.25">
      <c r="A1363" s="34">
        <v>1361</v>
      </c>
      <c r="B1363" s="34" t="s">
        <v>49</v>
      </c>
      <c r="C1363" s="110" t="str">
        <f>IFERROR(INDEX(Структура_ассортимента[SuperCategory],MATCH(Товары[[#This Row],[SubGroup]],Структура_ассортимента[Subgroup],0)),"")</f>
        <v>W</v>
      </c>
      <c r="D136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6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63" s="110" t="str">
        <f>IFERROR(INDEX(Структура_ассортимента[Product group],MATCH(Товары[[#This Row],[SubGroup]],Структура_ассортимента[Subgroup],0)),"")</f>
        <v>WMT_C</v>
      </c>
      <c r="G1363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63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63" s="36">
        <v>9015</v>
      </c>
      <c r="J1363" s="36" t="str">
        <f>IFERROR(INDEX(Структура_ассортимента[Generic Name (long)],MATCH(Товары[[#This Row],[SubGroup]],Структура_ассортимента[Subgroup],0)),"")</f>
        <v>WALL HOSE BRACKET</v>
      </c>
      <c r="L1363" s="36">
        <v>970473601</v>
      </c>
      <c r="M1363" s="35" t="s">
        <v>3039</v>
      </c>
      <c r="O1363" s="35" t="s">
        <v>7023</v>
      </c>
      <c r="P1363" s="37" t="s">
        <v>7024</v>
      </c>
      <c r="Q1363" s="34" t="s">
        <v>3549</v>
      </c>
      <c r="R1363" s="34" t="s">
        <v>3540</v>
      </c>
      <c r="S1363" s="47">
        <v>44197</v>
      </c>
      <c r="T1363" s="47">
        <v>0</v>
      </c>
      <c r="U1363" s="47">
        <v>0</v>
      </c>
      <c r="V1363" s="34">
        <v>4078500052030</v>
      </c>
      <c r="W1363" s="34" t="s">
        <v>3546</v>
      </c>
      <c r="Y1363" s="34" t="s">
        <v>3542</v>
      </c>
      <c r="Z1363" s="34">
        <v>1</v>
      </c>
      <c r="AM1363" s="40" t="s">
        <v>11</v>
      </c>
      <c r="AT1363" s="44">
        <v>0</v>
      </c>
      <c r="AU1363" s="44"/>
      <c r="AV1363" s="46">
        <f>ROUND(Товары[[#This Row],[РРЦ финальная, руб.]]/$AU$1,2)</f>
        <v>0</v>
      </c>
      <c r="AW1363" s="45" t="str">
        <f>IFERROR(Товары[[#This Row],[РРЦ, евро]]/Товары[[#This Row],[IRP, Eur]],"-")</f>
        <v>-</v>
      </c>
      <c r="AX1363" s="42">
        <f>IFERROR(VLOOKUP(Товары[[#This Row],[SubGroup]],'Структура цен DIY'!$B:$C,2,FALSE),0)</f>
        <v>0.25</v>
      </c>
      <c r="AY1363" s="44">
        <v>0</v>
      </c>
    </row>
    <row r="1364" spans="1:51" x14ac:dyDescent="0.25">
      <c r="A1364" s="34">
        <v>1362</v>
      </c>
      <c r="B1364" s="34" t="s">
        <v>49</v>
      </c>
      <c r="C1364" s="110" t="str">
        <f>IFERROR(INDEX(Структура_ассортимента[SuperCategory],MATCH(Товары[[#This Row],[SubGroup]],Структура_ассортимента[Subgroup],0)),"")</f>
        <v>W</v>
      </c>
      <c r="D136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6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64" s="110" t="str">
        <f>IFERROR(INDEX(Структура_ассортимента[Product group],MATCH(Товары[[#This Row],[SubGroup]],Структура_ассортимента[Subgroup],0)),"")</f>
        <v>WMT_C</v>
      </c>
      <c r="G1364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64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64" s="36">
        <v>9015</v>
      </c>
      <c r="J1364" s="36" t="str">
        <f>IFERROR(INDEX(Структура_ассортимента[Generic Name (long)],MATCH(Товары[[#This Row],[SubGroup]],Структура_ассортимента[Subgroup],0)),"")</f>
        <v>WALL HOSE BRACKET</v>
      </c>
      <c r="L1364" s="36">
        <v>970474001</v>
      </c>
      <c r="M1364" s="35" t="s">
        <v>3040</v>
      </c>
      <c r="O1364" s="35" t="s">
        <v>7025</v>
      </c>
      <c r="P1364" s="37" t="s">
        <v>7026</v>
      </c>
      <c r="Q1364" s="34" t="s">
        <v>3549</v>
      </c>
      <c r="R1364" s="34" t="s">
        <v>3540</v>
      </c>
      <c r="S1364" s="47">
        <v>44197</v>
      </c>
      <c r="T1364" s="47">
        <v>0</v>
      </c>
      <c r="U1364" s="47">
        <v>0</v>
      </c>
      <c r="V1364" s="34">
        <v>4078500052047</v>
      </c>
      <c r="W1364" s="34" t="s">
        <v>3546</v>
      </c>
      <c r="Y1364" s="34" t="s">
        <v>3542</v>
      </c>
      <c r="Z1364" s="34">
        <v>1</v>
      </c>
      <c r="AM1364" s="40" t="s">
        <v>11</v>
      </c>
      <c r="AT1364" s="44">
        <v>0</v>
      </c>
      <c r="AU1364" s="44"/>
      <c r="AV1364" s="46">
        <f>ROUND(Товары[[#This Row],[РРЦ финальная, руб.]]/$AU$1,2)</f>
        <v>0</v>
      </c>
      <c r="AW1364" s="45" t="str">
        <f>IFERROR(Товары[[#This Row],[РРЦ, евро]]/Товары[[#This Row],[IRP, Eur]],"-")</f>
        <v>-</v>
      </c>
      <c r="AX1364" s="42">
        <f>IFERROR(VLOOKUP(Товары[[#This Row],[SubGroup]],'Структура цен DIY'!$B:$C,2,FALSE),0)</f>
        <v>0.25</v>
      </c>
      <c r="AY1364" s="44">
        <v>0</v>
      </c>
    </row>
    <row r="1365" spans="1:51" x14ac:dyDescent="0.25">
      <c r="A1365" s="34">
        <v>1363</v>
      </c>
      <c r="B1365" s="34" t="s">
        <v>49</v>
      </c>
      <c r="C1365" s="110" t="str">
        <f>IFERROR(INDEX(Структура_ассортимента[SuperCategory],MATCH(Товары[[#This Row],[SubGroup]],Структура_ассортимента[Subgroup],0)),"")</f>
        <v>W</v>
      </c>
      <c r="D136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6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65" s="110" t="str">
        <f>IFERROR(INDEX(Структура_ассортимента[Product group],MATCH(Товары[[#This Row],[SubGroup]],Структура_ассортимента[Subgroup],0)),"")</f>
        <v>WMT_C</v>
      </c>
      <c r="G1365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65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65" s="36">
        <v>9015</v>
      </c>
      <c r="J1365" s="36" t="str">
        <f>IFERROR(INDEX(Структура_ассортимента[Generic Name (long)],MATCH(Товары[[#This Row],[SubGroup]],Структура_ассортимента[Subgroup],0)),"")</f>
        <v>WALL HOSE BRACKET</v>
      </c>
      <c r="L1365" s="36">
        <v>970474101</v>
      </c>
      <c r="M1365" s="35" t="s">
        <v>3041</v>
      </c>
      <c r="O1365" s="35" t="s">
        <v>7025</v>
      </c>
      <c r="P1365" s="37" t="s">
        <v>7027</v>
      </c>
      <c r="Q1365" s="34" t="s">
        <v>3549</v>
      </c>
      <c r="R1365" s="34" t="s">
        <v>3540</v>
      </c>
      <c r="S1365" s="47">
        <v>44197</v>
      </c>
      <c r="T1365" s="47">
        <v>0</v>
      </c>
      <c r="U1365" s="47">
        <v>0</v>
      </c>
      <c r="V1365" s="34">
        <v>4078500052054</v>
      </c>
      <c r="W1365" s="34" t="s">
        <v>3546</v>
      </c>
      <c r="Y1365" s="34" t="s">
        <v>3542</v>
      </c>
      <c r="Z1365" s="34">
        <v>1</v>
      </c>
      <c r="AM1365" s="40" t="s">
        <v>11</v>
      </c>
      <c r="AT1365" s="44">
        <v>0</v>
      </c>
      <c r="AU1365" s="44"/>
      <c r="AV1365" s="46">
        <f>ROUND(Товары[[#This Row],[РРЦ финальная, руб.]]/$AU$1,2)</f>
        <v>0</v>
      </c>
      <c r="AW1365" s="45" t="str">
        <f>IFERROR(Товары[[#This Row],[РРЦ, евро]]/Товары[[#This Row],[IRP, Eur]],"-")</f>
        <v>-</v>
      </c>
      <c r="AX1365" s="42">
        <f>IFERROR(VLOOKUP(Товары[[#This Row],[SubGroup]],'Структура цен DIY'!$B:$C,2,FALSE),0)</f>
        <v>0.25</v>
      </c>
      <c r="AY1365" s="44">
        <v>0</v>
      </c>
    </row>
    <row r="1366" spans="1:51" x14ac:dyDescent="0.25">
      <c r="A1366" s="34">
        <v>1364</v>
      </c>
      <c r="B1366" s="34" t="s">
        <v>49</v>
      </c>
      <c r="C1366" s="110" t="str">
        <f>IFERROR(INDEX(Структура_ассортимента[SuperCategory],MATCH(Товары[[#This Row],[SubGroup]],Структура_ассортимента[Subgroup],0)),"")</f>
        <v>W</v>
      </c>
      <c r="D136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6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66" s="110" t="str">
        <f>IFERROR(INDEX(Структура_ассортимента[Product group],MATCH(Товары[[#This Row],[SubGroup]],Структура_ассортимента[Subgroup],0)),"")</f>
        <v>WMT_C</v>
      </c>
      <c r="G1366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66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66" s="36">
        <v>9015</v>
      </c>
      <c r="J1366" s="36" t="str">
        <f>IFERROR(INDEX(Структура_ассортимента[Generic Name (long)],MATCH(Товары[[#This Row],[SubGroup]],Структура_ассортимента[Subgroup],0)),"")</f>
        <v>WALL HOSE BRACKET</v>
      </c>
      <c r="L1366" s="36">
        <v>970474201</v>
      </c>
      <c r="M1366" s="35" t="s">
        <v>3042</v>
      </c>
      <c r="O1366" s="35" t="s">
        <v>7028</v>
      </c>
      <c r="P1366" s="37" t="s">
        <v>7029</v>
      </c>
      <c r="Q1366" s="34" t="s">
        <v>3549</v>
      </c>
      <c r="R1366" s="34" t="s">
        <v>3540</v>
      </c>
      <c r="S1366" s="47">
        <v>44197</v>
      </c>
      <c r="T1366" s="47">
        <v>0</v>
      </c>
      <c r="U1366" s="47">
        <v>0</v>
      </c>
      <c r="V1366" s="34">
        <v>4078500052061</v>
      </c>
      <c r="W1366" s="34" t="s">
        <v>3546</v>
      </c>
      <c r="Y1366" s="34" t="s">
        <v>3542</v>
      </c>
      <c r="Z1366" s="34">
        <v>1</v>
      </c>
      <c r="AM1366" s="40" t="s">
        <v>11</v>
      </c>
      <c r="AT1366" s="44">
        <v>0</v>
      </c>
      <c r="AU1366" s="44"/>
      <c r="AV1366" s="46">
        <f>ROUND(Товары[[#This Row],[РРЦ финальная, руб.]]/$AU$1,2)</f>
        <v>0</v>
      </c>
      <c r="AW1366" s="45" t="str">
        <f>IFERROR(Товары[[#This Row],[РРЦ, евро]]/Товары[[#This Row],[IRP, Eur]],"-")</f>
        <v>-</v>
      </c>
      <c r="AX1366" s="42">
        <f>IFERROR(VLOOKUP(Товары[[#This Row],[SubGroup]],'Структура цен DIY'!$B:$C,2,FALSE),0)</f>
        <v>0.25</v>
      </c>
      <c r="AY1366" s="44">
        <v>0</v>
      </c>
    </row>
    <row r="1367" spans="1:51" x14ac:dyDescent="0.25">
      <c r="A1367" s="34">
        <v>1365</v>
      </c>
      <c r="B1367" s="34" t="s">
        <v>49</v>
      </c>
      <c r="C1367" s="110" t="str">
        <f>IFERROR(INDEX(Структура_ассортимента[SuperCategory],MATCH(Товары[[#This Row],[SubGroup]],Структура_ассортимента[Subgroup],0)),"")</f>
        <v>W</v>
      </c>
      <c r="D136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6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67" s="110" t="str">
        <f>IFERROR(INDEX(Структура_ассортимента[Product group],MATCH(Товары[[#This Row],[SubGroup]],Структура_ассортимента[Subgroup],0)),"")</f>
        <v>WMT_C</v>
      </c>
      <c r="G1367" s="110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67" s="110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67" s="36">
        <v>9015</v>
      </c>
      <c r="J1367" s="36" t="str">
        <f>IFERROR(INDEX(Структура_ассортимента[Generic Name (long)],MATCH(Товары[[#This Row],[SubGroup]],Структура_ассортимента[Subgroup],0)),"")</f>
        <v>WALL HOSE BRACKET</v>
      </c>
      <c r="L1367" s="36">
        <v>970474301</v>
      </c>
      <c r="M1367" s="35" t="s">
        <v>3043</v>
      </c>
      <c r="O1367" s="35" t="s">
        <v>7030</v>
      </c>
      <c r="P1367" s="37" t="s">
        <v>7031</v>
      </c>
      <c r="Q1367" s="34" t="s">
        <v>3549</v>
      </c>
      <c r="R1367" s="34" t="s">
        <v>3540</v>
      </c>
      <c r="S1367" s="47">
        <v>44197</v>
      </c>
      <c r="T1367" s="47">
        <v>0</v>
      </c>
      <c r="U1367" s="47">
        <v>0</v>
      </c>
      <c r="V1367" s="34">
        <v>4078500052078</v>
      </c>
      <c r="W1367" s="34" t="s">
        <v>3546</v>
      </c>
      <c r="Y1367" s="34" t="s">
        <v>3542</v>
      </c>
      <c r="Z1367" s="34">
        <v>1</v>
      </c>
      <c r="AM1367" s="40" t="s">
        <v>11</v>
      </c>
      <c r="AT1367" s="44">
        <v>0</v>
      </c>
      <c r="AU1367" s="44"/>
      <c r="AV1367" s="46">
        <f>ROUND(Товары[[#This Row],[РРЦ финальная, руб.]]/$AU$1,2)</f>
        <v>0</v>
      </c>
      <c r="AW1367" s="45" t="str">
        <f>IFERROR(Товары[[#This Row],[РРЦ, евро]]/Товары[[#This Row],[IRP, Eur]],"-")</f>
        <v>-</v>
      </c>
      <c r="AX1367" s="42">
        <f>IFERROR(VLOOKUP(Товары[[#This Row],[SubGroup]],'Структура цен DIY'!$B:$C,2,FALSE),0)</f>
        <v>0.25</v>
      </c>
      <c r="AY1367" s="44">
        <v>0</v>
      </c>
    </row>
    <row r="1368" spans="1:51" x14ac:dyDescent="0.25">
      <c r="A1368" s="34">
        <v>1366</v>
      </c>
      <c r="B1368" s="34" t="s">
        <v>49</v>
      </c>
      <c r="C1368" s="110" t="str">
        <f>IFERROR(INDEX(Структура_ассортимента[SuperCategory],MATCH(Товары[[#This Row],[SubGroup]],Структура_ассортимента[Subgroup],0)),"")</f>
        <v>W</v>
      </c>
      <c r="D136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6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68" s="110" t="str">
        <f>IFERROR(INDEX(Структура_ассортимента[Product group],MATCH(Товары[[#This Row],[SubGroup]],Структура_ассортимента[Subgroup],0)),"")</f>
        <v>WPO_C</v>
      </c>
      <c r="G1368" s="110" t="str">
        <f>IFERROR(INDEX(Структура_ассортимента[Product group name ENG],MATCH(Товары[[#This Row],[SubGroup]],Структура_ассортимента[Subgroup],0)),"")</f>
        <v>Watering, Pond</v>
      </c>
      <c r="H1368" s="110" t="str">
        <f>IFERROR(INDEX(Структура_ассортимента[Generic Name (long)3],MATCH(Товары[[#This Row],[SubGroup]],Структура_ассортимента[Subgroup],0)),"")</f>
        <v>Оборудования для прудов</v>
      </c>
      <c r="I1368" s="36">
        <v>9143</v>
      </c>
      <c r="J1368" s="36" t="str">
        <f>IFERROR(INDEX(Структура_ассортимента[Generic Name (long)],MATCH(Товары[[#This Row],[SubGroup]],Структура_ассортимента[Subgroup],0)),"")</f>
        <v>POND HOSE</v>
      </c>
      <c r="L1368" s="36">
        <v>901126401</v>
      </c>
      <c r="M1368" s="35" t="s">
        <v>3044</v>
      </c>
      <c r="Q1368" s="34" t="s">
        <v>3549</v>
      </c>
      <c r="R1368" s="34" t="s">
        <v>3540</v>
      </c>
      <c r="S1368" s="47">
        <v>38261</v>
      </c>
      <c r="T1368" s="47">
        <v>0</v>
      </c>
      <c r="U1368" s="47">
        <v>0</v>
      </c>
      <c r="V1368" s="34">
        <v>4078500783002</v>
      </c>
      <c r="W1368" s="34" t="s">
        <v>3550</v>
      </c>
      <c r="X1368" s="34" t="s">
        <v>7032</v>
      </c>
      <c r="Y1368" s="34" t="s">
        <v>5981</v>
      </c>
      <c r="Z1368" s="34">
        <v>25</v>
      </c>
      <c r="AA1368" s="34" t="s">
        <v>6072</v>
      </c>
      <c r="AB1368" s="34" t="s">
        <v>6072</v>
      </c>
      <c r="AC1368" s="34" t="s">
        <v>6075</v>
      </c>
      <c r="AD1368" s="34" t="s">
        <v>6075</v>
      </c>
      <c r="AE1368" s="34" t="s">
        <v>3756</v>
      </c>
      <c r="AF1368" s="34" t="s">
        <v>3924</v>
      </c>
      <c r="AG1368" s="34" t="s">
        <v>3924</v>
      </c>
      <c r="AH1368" s="34" t="s">
        <v>5701</v>
      </c>
      <c r="AL1368" s="34" t="s">
        <v>7033</v>
      </c>
      <c r="AM1368" s="40" t="s">
        <v>8095</v>
      </c>
      <c r="AT1368" s="44">
        <v>0</v>
      </c>
      <c r="AU1368" s="44"/>
      <c r="AV1368" s="46">
        <f>ROUND(Товары[[#This Row],[РРЦ финальная, руб.]]/$AU$1,2)</f>
        <v>0</v>
      </c>
      <c r="AW1368" s="45" t="str">
        <f>IFERROR(Товары[[#This Row],[РРЦ, евро]]/Товары[[#This Row],[IRP, Eur]],"-")</f>
        <v>-</v>
      </c>
      <c r="AX1368" s="42">
        <f>IFERROR(VLOOKUP(Товары[[#This Row],[SubGroup]],'Структура цен DIY'!$B:$C,2,FALSE),0)</f>
        <v>0</v>
      </c>
      <c r="AY1368" s="44">
        <v>0</v>
      </c>
    </row>
    <row r="1369" spans="1:51" x14ac:dyDescent="0.25">
      <c r="A1369" s="34">
        <v>1367</v>
      </c>
      <c r="B1369" s="34" t="s">
        <v>49</v>
      </c>
      <c r="C1369" s="110" t="str">
        <f>IFERROR(INDEX(Структура_ассортимента[SuperCategory],MATCH(Товары[[#This Row],[SubGroup]],Структура_ассортимента[Subgroup],0)),"")</f>
        <v>W</v>
      </c>
      <c r="D136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6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69" s="110" t="str">
        <f>IFERROR(INDEX(Структура_ассортимента[Product group],MATCH(Товары[[#This Row],[SubGroup]],Структура_ассортимента[Subgroup],0)),"")</f>
        <v>WPO_C</v>
      </c>
      <c r="G1369" s="110" t="str">
        <f>IFERROR(INDEX(Структура_ассортимента[Product group name ENG],MATCH(Товары[[#This Row],[SubGroup]],Структура_ассортимента[Subgroup],0)),"")</f>
        <v>Watering, Pond</v>
      </c>
      <c r="H1369" s="110" t="str">
        <f>IFERROR(INDEX(Структура_ассортимента[Generic Name (long)3],MATCH(Товары[[#This Row],[SubGroup]],Структура_ассортимента[Subgroup],0)),"")</f>
        <v>Оборудования для прудов</v>
      </c>
      <c r="I1369" s="36">
        <v>9143</v>
      </c>
      <c r="J1369" s="36" t="str">
        <f>IFERROR(INDEX(Структура_ассортимента[Generic Name (long)],MATCH(Товары[[#This Row],[SubGroup]],Структура_ассортимента[Subgroup],0)),"")</f>
        <v>POND HOSE</v>
      </c>
      <c r="L1369" s="36">
        <v>901126501</v>
      </c>
      <c r="M1369" s="35" t="s">
        <v>3045</v>
      </c>
      <c r="Q1369" s="34" t="s">
        <v>3549</v>
      </c>
      <c r="R1369" s="34" t="s">
        <v>3540</v>
      </c>
      <c r="S1369" s="47">
        <v>38261</v>
      </c>
      <c r="T1369" s="47">
        <v>0</v>
      </c>
      <c r="U1369" s="47">
        <v>0</v>
      </c>
      <c r="V1369" s="34">
        <v>4078500783101</v>
      </c>
      <c r="W1369" s="34" t="s">
        <v>3550</v>
      </c>
      <c r="X1369" s="34" t="s">
        <v>7032</v>
      </c>
      <c r="Y1369" s="34" t="s">
        <v>5981</v>
      </c>
      <c r="Z1369" s="34">
        <v>25</v>
      </c>
      <c r="AA1369" s="34" t="s">
        <v>6773</v>
      </c>
      <c r="AB1369" s="34" t="s">
        <v>6773</v>
      </c>
      <c r="AC1369" s="34" t="s">
        <v>4091</v>
      </c>
      <c r="AD1369" s="34" t="s">
        <v>4091</v>
      </c>
      <c r="AE1369" s="34" t="s">
        <v>3756</v>
      </c>
      <c r="AF1369" s="34" t="s">
        <v>5126</v>
      </c>
      <c r="AG1369" s="34" t="s">
        <v>5126</v>
      </c>
      <c r="AH1369" s="34" t="s">
        <v>6230</v>
      </c>
      <c r="AL1369" s="34" t="s">
        <v>7034</v>
      </c>
      <c r="AM1369" s="40" t="s">
        <v>8095</v>
      </c>
      <c r="AT1369" s="44">
        <v>0</v>
      </c>
      <c r="AU1369" s="44"/>
      <c r="AV1369" s="46">
        <f>ROUND(Товары[[#This Row],[РРЦ финальная, руб.]]/$AU$1,2)</f>
        <v>0</v>
      </c>
      <c r="AW1369" s="45" t="str">
        <f>IFERROR(Товары[[#This Row],[РРЦ, евро]]/Товары[[#This Row],[IRP, Eur]],"-")</f>
        <v>-</v>
      </c>
      <c r="AX1369" s="42">
        <f>IFERROR(VLOOKUP(Товары[[#This Row],[SubGroup]],'Структура цен DIY'!$B:$C,2,FALSE),0)</f>
        <v>0</v>
      </c>
      <c r="AY1369" s="44">
        <v>0</v>
      </c>
    </row>
    <row r="1370" spans="1:51" x14ac:dyDescent="0.25">
      <c r="A1370" s="34">
        <v>1368</v>
      </c>
      <c r="B1370" s="34" t="s">
        <v>49</v>
      </c>
      <c r="C1370" s="110" t="str">
        <f>IFERROR(INDEX(Структура_ассортимента[SuperCategory],MATCH(Товары[[#This Row],[SubGroup]],Структура_ассортимента[Subgroup],0)),"")</f>
        <v>W</v>
      </c>
      <c r="D137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7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70" s="110" t="str">
        <f>IFERROR(INDEX(Структура_ассортимента[Product group],MATCH(Товары[[#This Row],[SubGroup]],Структура_ассортимента[Subgroup],0)),"")</f>
        <v>WPO_C</v>
      </c>
      <c r="G1370" s="110" t="str">
        <f>IFERROR(INDEX(Структура_ассортимента[Product group name ENG],MATCH(Товары[[#This Row],[SubGroup]],Структура_ассортимента[Subgroup],0)),"")</f>
        <v>Watering, Pond</v>
      </c>
      <c r="H1370" s="110" t="str">
        <f>IFERROR(INDEX(Структура_ассортимента[Generic Name (long)3],MATCH(Товары[[#This Row],[SubGroup]],Структура_ассортимента[Subgroup],0)),"")</f>
        <v>Оборудования для прудов</v>
      </c>
      <c r="I1370" s="36">
        <v>9143</v>
      </c>
      <c r="J1370" s="36" t="str">
        <f>IFERROR(INDEX(Структура_ассортимента[Generic Name (long)],MATCH(Товары[[#This Row],[SubGroup]],Структура_ассортимента[Subgroup],0)),"")</f>
        <v>POND HOSE</v>
      </c>
      <c r="L1370" s="36">
        <v>901126601</v>
      </c>
      <c r="M1370" s="35" t="s">
        <v>3046</v>
      </c>
      <c r="Q1370" s="34" t="s">
        <v>3549</v>
      </c>
      <c r="R1370" s="34" t="s">
        <v>3540</v>
      </c>
      <c r="S1370" s="47">
        <v>38261</v>
      </c>
      <c r="T1370" s="47">
        <v>0</v>
      </c>
      <c r="U1370" s="47">
        <v>0</v>
      </c>
      <c r="V1370" s="34">
        <v>4078500783200</v>
      </c>
      <c r="W1370" s="34" t="s">
        <v>3550</v>
      </c>
      <c r="X1370" s="34" t="s">
        <v>7032</v>
      </c>
      <c r="Y1370" s="34" t="s">
        <v>5981</v>
      </c>
      <c r="Z1370" s="34">
        <v>25</v>
      </c>
      <c r="AA1370" s="34" t="s">
        <v>7035</v>
      </c>
      <c r="AB1370" s="34" t="s">
        <v>7035</v>
      </c>
      <c r="AC1370" s="34" t="s">
        <v>6162</v>
      </c>
      <c r="AD1370" s="34" t="s">
        <v>6162</v>
      </c>
      <c r="AE1370" s="34" t="s">
        <v>3756</v>
      </c>
      <c r="AF1370" s="34" t="s">
        <v>4775</v>
      </c>
      <c r="AG1370" s="34" t="s">
        <v>4775</v>
      </c>
      <c r="AH1370" s="34" t="s">
        <v>7036</v>
      </c>
      <c r="AL1370" s="34" t="s">
        <v>5004</v>
      </c>
      <c r="AM1370" s="40" t="s">
        <v>8095</v>
      </c>
      <c r="AT1370" s="44">
        <v>0</v>
      </c>
      <c r="AU1370" s="44"/>
      <c r="AV1370" s="46">
        <f>ROUND(Товары[[#This Row],[РРЦ финальная, руб.]]/$AU$1,2)</f>
        <v>0</v>
      </c>
      <c r="AW1370" s="45" t="str">
        <f>IFERROR(Товары[[#This Row],[РРЦ, евро]]/Товары[[#This Row],[IRP, Eur]],"-")</f>
        <v>-</v>
      </c>
      <c r="AX1370" s="42">
        <f>IFERROR(VLOOKUP(Товары[[#This Row],[SubGroup]],'Структура цен DIY'!$B:$C,2,FALSE),0)</f>
        <v>0</v>
      </c>
      <c r="AY1370" s="44">
        <v>0</v>
      </c>
    </row>
    <row r="1371" spans="1:51" x14ac:dyDescent="0.25">
      <c r="A1371" s="34">
        <v>1369</v>
      </c>
      <c r="B1371" s="34" t="s">
        <v>49</v>
      </c>
      <c r="C1371" s="110" t="str">
        <f>IFERROR(INDEX(Структура_ассортимента[SuperCategory],MATCH(Товары[[#This Row],[SubGroup]],Структура_ассортимента[Subgroup],0)),"")</f>
        <v>W</v>
      </c>
      <c r="D137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7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71" s="110" t="str">
        <f>IFERROR(INDEX(Структура_ассортимента[Product group],MATCH(Товары[[#This Row],[SubGroup]],Структура_ассортимента[Subgroup],0)),"")</f>
        <v>WPO_C</v>
      </c>
      <c r="G1371" s="110" t="str">
        <f>IFERROR(INDEX(Структура_ассортимента[Product group name ENG],MATCH(Товары[[#This Row],[SubGroup]],Структура_ассортимента[Subgroup],0)),"")</f>
        <v>Watering, Pond</v>
      </c>
      <c r="H1371" s="110" t="str">
        <f>IFERROR(INDEX(Структура_ассортимента[Generic Name (long)3],MATCH(Товары[[#This Row],[SubGroup]],Структура_ассортимента[Subgroup],0)),"")</f>
        <v>Оборудования для прудов</v>
      </c>
      <c r="I1371" s="36">
        <v>9143</v>
      </c>
      <c r="J1371" s="36" t="str">
        <f>IFERROR(INDEX(Структура_ассортимента[Generic Name (long)],MATCH(Товары[[#This Row],[SubGroup]],Структура_ассортимента[Subgroup],0)),"")</f>
        <v>POND HOSE</v>
      </c>
      <c r="L1371" s="36">
        <v>901126701</v>
      </c>
      <c r="M1371" s="35" t="s">
        <v>3047</v>
      </c>
      <c r="Q1371" s="34" t="s">
        <v>3549</v>
      </c>
      <c r="R1371" s="34" t="s">
        <v>3540</v>
      </c>
      <c r="S1371" s="47">
        <v>38261</v>
      </c>
      <c r="T1371" s="47">
        <v>0</v>
      </c>
      <c r="U1371" s="47">
        <v>0</v>
      </c>
      <c r="V1371" s="34">
        <v>4078500783309</v>
      </c>
      <c r="W1371" s="34" t="s">
        <v>3550</v>
      </c>
      <c r="X1371" s="34" t="s">
        <v>7032</v>
      </c>
      <c r="Y1371" s="34" t="s">
        <v>5981</v>
      </c>
      <c r="Z1371" s="34">
        <v>20</v>
      </c>
      <c r="AA1371" s="34" t="s">
        <v>7037</v>
      </c>
      <c r="AB1371" s="34" t="s">
        <v>7037</v>
      </c>
      <c r="AC1371" s="34" t="s">
        <v>4165</v>
      </c>
      <c r="AD1371" s="34" t="s">
        <v>4165</v>
      </c>
      <c r="AE1371" s="34" t="s">
        <v>3756</v>
      </c>
      <c r="AF1371" s="34" t="s">
        <v>4432</v>
      </c>
      <c r="AG1371" s="34" t="s">
        <v>4432</v>
      </c>
      <c r="AH1371" s="34" t="s">
        <v>7038</v>
      </c>
      <c r="AL1371" s="34" t="s">
        <v>4176</v>
      </c>
      <c r="AM1371" s="40" t="s">
        <v>8095</v>
      </c>
      <c r="AT1371" s="44">
        <v>0</v>
      </c>
      <c r="AU1371" s="44"/>
      <c r="AV1371" s="46">
        <f>ROUND(Товары[[#This Row],[РРЦ финальная, руб.]]/$AU$1,2)</f>
        <v>0</v>
      </c>
      <c r="AW1371" s="45" t="str">
        <f>IFERROR(Товары[[#This Row],[РРЦ, евро]]/Товары[[#This Row],[IRP, Eur]],"-")</f>
        <v>-</v>
      </c>
      <c r="AX1371" s="42">
        <f>IFERROR(VLOOKUP(Товары[[#This Row],[SubGroup]],'Структура цен DIY'!$B:$C,2,FALSE),0)</f>
        <v>0</v>
      </c>
      <c r="AY1371" s="44">
        <v>0</v>
      </c>
    </row>
    <row r="1372" spans="1:51" x14ac:dyDescent="0.25">
      <c r="A1372" s="34">
        <v>1370</v>
      </c>
      <c r="B1372" s="34" t="s">
        <v>54</v>
      </c>
      <c r="C1372" s="110" t="str">
        <f>IFERROR(INDEX(Структура_ассортимента[SuperCategory],MATCH(Товары[[#This Row],[SubGroup]],Структура_ассортимента[Subgroup],0)),"")</f>
        <v>O</v>
      </c>
      <c r="D1372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72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72" s="110" t="str">
        <f>IFERROR(INDEX(Структура_ассортимента[Product group],MATCH(Товары[[#This Row],[SubGroup]],Структура_ассортимента[Subgroup],0)),"")</f>
        <v>WPU_C</v>
      </c>
      <c r="G1372" s="110" t="str">
        <f>IFERROR(INDEX(Структура_ассортимента[Product group name ENG],MATCH(Товары[[#This Row],[SubGroup]],Структура_ассортимента[Subgroup],0)),"")</f>
        <v>Watering, Pumps</v>
      </c>
      <c r="H1372" s="110" t="str">
        <f>IFERROR(INDEX(Структура_ассортимента[Generic Name (long)3],MATCH(Товары[[#This Row],[SubGroup]],Структура_ассортимента[Subgroup],0)),"")</f>
        <v>Насосы напорные автоматические</v>
      </c>
      <c r="I1372" s="36">
        <v>9112</v>
      </c>
      <c r="J1372" s="36" t="str">
        <f>IFERROR(INDEX(Структура_ассортимента[Generic Name (long)],MATCH(Товары[[#This Row],[SubGroup]],Структура_ассортимента[Subgroup],0)),"")</f>
        <v>PUMP, CORDED</v>
      </c>
      <c r="L1372" s="36">
        <v>967085301</v>
      </c>
      <c r="M1372" s="35" t="s">
        <v>3048</v>
      </c>
      <c r="Q1372" s="34" t="s">
        <v>4565</v>
      </c>
      <c r="R1372" s="34" t="s">
        <v>3540</v>
      </c>
      <c r="S1372" s="47">
        <v>0</v>
      </c>
      <c r="T1372" s="47">
        <v>0</v>
      </c>
      <c r="U1372" s="47">
        <v>0</v>
      </c>
      <c r="V1372" s="34">
        <v>4078500022538</v>
      </c>
      <c r="W1372" s="34" t="s">
        <v>7039</v>
      </c>
      <c r="Y1372" s="34" t="s">
        <v>3542</v>
      </c>
      <c r="Z1372" s="34">
        <v>1</v>
      </c>
      <c r="AE1372" s="34">
        <v>496</v>
      </c>
      <c r="AF1372" s="34">
        <v>269</v>
      </c>
      <c r="AG1372" s="34">
        <v>358</v>
      </c>
      <c r="AH1372" s="34">
        <v>47766</v>
      </c>
      <c r="AL1372" s="34">
        <v>12</v>
      </c>
      <c r="AM1372" s="40" t="s">
        <v>8094</v>
      </c>
      <c r="AT1372" s="44">
        <v>0</v>
      </c>
      <c r="AU1372" s="44"/>
      <c r="AV1372" s="46">
        <f>ROUND(Товары[[#This Row],[РРЦ финальная, руб.]]/$AU$1,2)</f>
        <v>0</v>
      </c>
      <c r="AW1372" s="45" t="str">
        <f>IFERROR(Товары[[#This Row],[РРЦ, евро]]/Товары[[#This Row],[IRP, Eur]],"-")</f>
        <v>-</v>
      </c>
      <c r="AX1372" s="42">
        <f>IFERROR(VLOOKUP(Товары[[#This Row],[SubGroup]],'Структура цен DIY'!$B:$C,2,FALSE),0)</f>
        <v>0.28000000000000003</v>
      </c>
      <c r="AY1372" s="44">
        <v>0</v>
      </c>
    </row>
    <row r="1373" spans="1:51" x14ac:dyDescent="0.25">
      <c r="A1373" s="34">
        <v>1371</v>
      </c>
      <c r="B1373" s="34" t="s">
        <v>54</v>
      </c>
      <c r="C1373" s="110" t="str">
        <f>IFERROR(INDEX(Структура_ассортимента[SuperCategory],MATCH(Товары[[#This Row],[SubGroup]],Структура_ассортимента[Subgroup],0)),"")</f>
        <v>O</v>
      </c>
      <c r="D1373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73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73" s="110" t="str">
        <f>IFERROR(INDEX(Структура_ассортимента[Product group],MATCH(Товары[[#This Row],[SubGroup]],Структура_ассортимента[Subgroup],0)),"")</f>
        <v>WPU_C</v>
      </c>
      <c r="G1373" s="110" t="str">
        <f>IFERROR(INDEX(Структура_ассортимента[Product group name ENG],MATCH(Товары[[#This Row],[SubGroup]],Структура_ассортимента[Subgroup],0)),"")</f>
        <v>Watering, Pumps</v>
      </c>
      <c r="H1373" s="110" t="str">
        <f>IFERROR(INDEX(Структура_ассортимента[Generic Name (long)3],MATCH(Товары[[#This Row],[SubGroup]],Структура_ассортимента[Subgroup],0)),"")</f>
        <v>Насосы напорные автоматические</v>
      </c>
      <c r="I1373" s="36">
        <v>9112</v>
      </c>
      <c r="J1373" s="36" t="str">
        <f>IFERROR(INDEX(Структура_ассортимента[Generic Name (long)],MATCH(Товары[[#This Row],[SubGroup]],Структура_ассортимента[Subgroup],0)),"")</f>
        <v>PUMP, CORDED</v>
      </c>
      <c r="L1373" s="36">
        <v>967085401</v>
      </c>
      <c r="M1373" s="35" t="s">
        <v>3049</v>
      </c>
      <c r="Q1373" s="34" t="s">
        <v>4565</v>
      </c>
      <c r="R1373" s="34" t="s">
        <v>3540</v>
      </c>
      <c r="S1373" s="47">
        <v>0</v>
      </c>
      <c r="T1373" s="47">
        <v>0</v>
      </c>
      <c r="U1373" s="47">
        <v>0</v>
      </c>
      <c r="V1373" s="34">
        <v>4078500022545</v>
      </c>
      <c r="W1373" s="34" t="s">
        <v>7039</v>
      </c>
      <c r="Y1373" s="34" t="s">
        <v>3542</v>
      </c>
      <c r="Z1373" s="34">
        <v>1</v>
      </c>
      <c r="AE1373" s="34">
        <v>496</v>
      </c>
      <c r="AF1373" s="34">
        <v>269</v>
      </c>
      <c r="AG1373" s="34">
        <v>358</v>
      </c>
      <c r="AH1373" s="34">
        <v>47766</v>
      </c>
      <c r="AL1373" s="34">
        <v>12</v>
      </c>
      <c r="AM1373" s="40" t="s">
        <v>8094</v>
      </c>
      <c r="AT1373" s="44">
        <v>0</v>
      </c>
      <c r="AU1373" s="44"/>
      <c r="AV1373" s="46">
        <f>ROUND(Товары[[#This Row],[РРЦ финальная, руб.]]/$AU$1,2)</f>
        <v>0</v>
      </c>
      <c r="AW1373" s="45" t="str">
        <f>IFERROR(Товары[[#This Row],[РРЦ, евро]]/Товары[[#This Row],[IRP, Eur]],"-")</f>
        <v>-</v>
      </c>
      <c r="AX1373" s="42">
        <f>IFERROR(VLOOKUP(Товары[[#This Row],[SubGroup]],'Структура цен DIY'!$B:$C,2,FALSE),0)</f>
        <v>0.28000000000000003</v>
      </c>
      <c r="AY1373" s="44">
        <v>0</v>
      </c>
    </row>
    <row r="1374" spans="1:51" x14ac:dyDescent="0.25">
      <c r="A1374" s="34">
        <v>1372</v>
      </c>
      <c r="B1374" s="34" t="s">
        <v>54</v>
      </c>
      <c r="C1374" s="110" t="str">
        <f>IFERROR(INDEX(Структура_ассортимента[SuperCategory],MATCH(Товары[[#This Row],[SubGroup]],Структура_ассортимента[Subgroup],0)),"")</f>
        <v>O</v>
      </c>
      <c r="D1374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74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74" s="110" t="str">
        <f>IFERROR(INDEX(Структура_ассортимента[Product group],MATCH(Товары[[#This Row],[SubGroup]],Структура_ассортимента[Subgroup],0)),"")</f>
        <v>WPU_C</v>
      </c>
      <c r="G1374" s="110" t="str">
        <f>IFERROR(INDEX(Структура_ассортимента[Product group name ENG],MATCH(Товары[[#This Row],[SubGroup]],Структура_ассортимента[Subgroup],0)),"")</f>
        <v>Watering, Pumps</v>
      </c>
      <c r="H1374" s="110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374" s="36">
        <v>9111</v>
      </c>
      <c r="J1374" s="36" t="str">
        <f>IFERROR(INDEX(Структура_ассортимента[Generic Name (long)],MATCH(Товары[[#This Row],[SubGroup]],Структура_ассортимента[Subgroup],0)),"")</f>
        <v>PUMP, CORDED</v>
      </c>
      <c r="L1374" s="36">
        <v>967005301</v>
      </c>
      <c r="M1374" s="35" t="s">
        <v>3050</v>
      </c>
      <c r="Q1374" s="34" t="s">
        <v>3652</v>
      </c>
      <c r="R1374" s="34" t="s">
        <v>3540</v>
      </c>
      <c r="S1374" s="47">
        <v>40909</v>
      </c>
      <c r="T1374" s="47">
        <v>0</v>
      </c>
      <c r="U1374" s="47">
        <v>0</v>
      </c>
      <c r="V1374" s="34">
        <v>4078500171861</v>
      </c>
      <c r="W1374" s="34" t="s">
        <v>3543</v>
      </c>
      <c r="X1374" s="34" t="s">
        <v>3551</v>
      </c>
      <c r="Y1374" s="34" t="s">
        <v>3542</v>
      </c>
      <c r="Z1374" s="34">
        <v>1</v>
      </c>
      <c r="AA1374" s="34" t="s">
        <v>7040</v>
      </c>
      <c r="AB1374" s="34" t="s">
        <v>5772</v>
      </c>
      <c r="AC1374" s="34" t="s">
        <v>7041</v>
      </c>
      <c r="AD1374" s="34" t="s">
        <v>7042</v>
      </c>
      <c r="AE1374" s="34" t="s">
        <v>7043</v>
      </c>
      <c r="AF1374" s="34" t="s">
        <v>6755</v>
      </c>
      <c r="AG1374" s="34" t="s">
        <v>5817</v>
      </c>
      <c r="AH1374" s="34" t="s">
        <v>7044</v>
      </c>
      <c r="AL1374" s="34" t="s">
        <v>3617</v>
      </c>
      <c r="AM1374" s="40" t="s">
        <v>8095</v>
      </c>
      <c r="AT1374" s="44">
        <v>0</v>
      </c>
      <c r="AU1374" s="44"/>
      <c r="AV1374" s="46">
        <f>ROUND(Товары[[#This Row],[РРЦ финальная, руб.]]/$AU$1,2)</f>
        <v>0</v>
      </c>
      <c r="AW1374" s="45" t="str">
        <f>IFERROR(Товары[[#This Row],[РРЦ, евро]]/Товары[[#This Row],[IRP, Eur]],"-")</f>
        <v>-</v>
      </c>
      <c r="AX1374" s="42">
        <f>IFERROR(VLOOKUP(Товары[[#This Row],[SubGroup]],'Структура цен DIY'!$B:$C,2,FALSE),0)</f>
        <v>0.23</v>
      </c>
      <c r="AY1374" s="44">
        <v>0</v>
      </c>
    </row>
    <row r="1375" spans="1:51" x14ac:dyDescent="0.25">
      <c r="A1375" s="34">
        <v>1373</v>
      </c>
      <c r="B1375" s="34" t="s">
        <v>54</v>
      </c>
      <c r="C1375" s="110" t="str">
        <f>IFERROR(INDEX(Структура_ассортимента[SuperCategory],MATCH(Товары[[#This Row],[SubGroup]],Структура_ассортимента[Subgroup],0)),"")</f>
        <v>O</v>
      </c>
      <c r="D1375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75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75" s="110" t="str">
        <f>IFERROR(INDEX(Структура_ассортимента[Product group],MATCH(Товары[[#This Row],[SubGroup]],Структура_ассортимента[Subgroup],0)),"")</f>
        <v>WPU_C</v>
      </c>
      <c r="G1375" s="110" t="str">
        <f>IFERROR(INDEX(Структура_ассортимента[Product group name ENG],MATCH(Товары[[#This Row],[SubGroup]],Структура_ассортимента[Subgroup],0)),"")</f>
        <v>Watering, Pumps</v>
      </c>
      <c r="H1375" s="110" t="str">
        <f>IFERROR(INDEX(Структура_ассортимента[Generic Name (long)3],MATCH(Товары[[#This Row],[SubGroup]],Структура_ассортимента[Subgroup],0)),"")</f>
        <v>Станции бытового водоснабжения автоматические электрические</v>
      </c>
      <c r="I1375" s="36">
        <v>9113</v>
      </c>
      <c r="J1375" s="36" t="str">
        <f>IFERROR(INDEX(Структура_ассортимента[Generic Name (long)],MATCH(Товары[[#This Row],[SubGroup]],Структура_ассортимента[Subgroup],0)),"")</f>
        <v>PUMP, CORDED</v>
      </c>
      <c r="L1375" s="36">
        <v>967331501</v>
      </c>
      <c r="M1375" s="35" t="s">
        <v>3051</v>
      </c>
      <c r="P1375" s="37" t="s">
        <v>7045</v>
      </c>
      <c r="Q1375" s="34" t="s">
        <v>3713</v>
      </c>
      <c r="R1375" s="34" t="s">
        <v>3540</v>
      </c>
      <c r="S1375" s="47">
        <v>42036</v>
      </c>
      <c r="T1375" s="47">
        <v>43830</v>
      </c>
      <c r="U1375" s="47">
        <v>43830</v>
      </c>
      <c r="V1375" s="34">
        <v>4078500015523</v>
      </c>
      <c r="W1375" s="34" t="s">
        <v>3550</v>
      </c>
      <c r="Y1375" s="34" t="s">
        <v>3542</v>
      </c>
      <c r="Z1375" s="34">
        <v>1</v>
      </c>
      <c r="AA1375" s="34" t="s">
        <v>7046</v>
      </c>
      <c r="AB1375" s="34" t="s">
        <v>7046</v>
      </c>
      <c r="AC1375" s="34" t="s">
        <v>7047</v>
      </c>
      <c r="AD1375" s="34" t="s">
        <v>7047</v>
      </c>
      <c r="AE1375" s="34" t="s">
        <v>6749</v>
      </c>
      <c r="AF1375" s="34" t="s">
        <v>3559</v>
      </c>
      <c r="AG1375" s="34" t="s">
        <v>5165</v>
      </c>
      <c r="AH1375" s="34" t="s">
        <v>7048</v>
      </c>
      <c r="AI1375" s="34" t="s">
        <v>4014</v>
      </c>
      <c r="AJ1375" s="34" t="s">
        <v>3930</v>
      </c>
      <c r="AK1375" s="34" t="s">
        <v>3662</v>
      </c>
      <c r="AL1375" s="34" t="s">
        <v>4019</v>
      </c>
      <c r="AM1375" s="40" t="s">
        <v>233</v>
      </c>
      <c r="AP1375" s="34">
        <v>0</v>
      </c>
      <c r="AQ1375" s="34">
        <v>11590</v>
      </c>
      <c r="AR1375" s="34">
        <v>6886</v>
      </c>
      <c r="AT1375" s="44">
        <v>897700</v>
      </c>
      <c r="AU1375" s="44"/>
      <c r="AV1375" s="46">
        <f>ROUND(Товары[[#This Row],[РРЦ финальная, руб.]]/$AU$1,2)</f>
        <v>0</v>
      </c>
      <c r="AW1375" s="45" t="str">
        <f>IFERROR(Товары[[#This Row],[РРЦ, евро]]/Товары[[#This Row],[IRP, Eur]],"-")</f>
        <v>-</v>
      </c>
      <c r="AX1375" s="42">
        <f>IFERROR(VLOOKUP(Товары[[#This Row],[SubGroup]],'Структура цен DIY'!$B:$C,2,FALSE),0)</f>
        <v>0.28708823582733556</v>
      </c>
      <c r="AY1375" s="44">
        <v>0</v>
      </c>
    </row>
    <row r="1376" spans="1:51" x14ac:dyDescent="0.25">
      <c r="A1376" s="34">
        <v>1374</v>
      </c>
      <c r="B1376" s="34" t="s">
        <v>50</v>
      </c>
      <c r="C1376" s="110" t="str">
        <f>IFERROR(INDEX(Структура_ассортимента[SuperCategory],MATCH(Товары[[#This Row],[SubGroup]],Структура_ассортимента[Subgroup],0)),"")</f>
        <v>O</v>
      </c>
      <c r="D1376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76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76" s="110" t="str">
        <f>IFERROR(INDEX(Структура_ассортимента[Product group],MATCH(Товары[[#This Row],[SubGroup]],Структура_ассортимента[Subgroup],0)),"")</f>
        <v>WPU_C</v>
      </c>
      <c r="G1376" s="110" t="str">
        <f>IFERROR(INDEX(Структура_ассортимента[Product group name ENG],MATCH(Товары[[#This Row],[SubGroup]],Структура_ассортимента[Subgroup],0)),"")</f>
        <v>Watering, Pumps</v>
      </c>
      <c r="H1376" s="110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376" s="36">
        <v>9116</v>
      </c>
      <c r="J1376" s="36" t="str">
        <f>IFERROR(INDEX(Структура_ассортимента[Generic Name (long)],MATCH(Товары[[#This Row],[SubGroup]],Структура_ассортимента[Subgroup],0)),"")</f>
        <v>SUCTION HOSE</v>
      </c>
      <c r="L1376" s="36">
        <v>900917201</v>
      </c>
      <c r="M1376" s="35" t="s">
        <v>3052</v>
      </c>
      <c r="O1376" s="35" t="s">
        <v>7049</v>
      </c>
      <c r="P1376" s="37" t="s">
        <v>7050</v>
      </c>
      <c r="Q1376" s="34" t="s">
        <v>3549</v>
      </c>
      <c r="R1376" s="34" t="s">
        <v>3540</v>
      </c>
      <c r="S1376" s="47">
        <v>36434</v>
      </c>
      <c r="T1376" s="47">
        <v>0</v>
      </c>
      <c r="U1376" s="47">
        <v>0</v>
      </c>
      <c r="V1376" s="34">
        <v>4078500141109</v>
      </c>
      <c r="W1376" s="34" t="s">
        <v>3543</v>
      </c>
      <c r="X1376" s="34" t="s">
        <v>3579</v>
      </c>
      <c r="Y1376" s="34" t="s">
        <v>3542</v>
      </c>
      <c r="Z1376" s="34">
        <v>1</v>
      </c>
      <c r="AA1376" s="34" t="s">
        <v>3636</v>
      </c>
      <c r="AB1376" s="34" t="s">
        <v>3636</v>
      </c>
      <c r="AC1376" s="34" t="s">
        <v>6790</v>
      </c>
      <c r="AD1376" s="34" t="s">
        <v>6790</v>
      </c>
      <c r="AE1376" s="34" t="s">
        <v>3722</v>
      </c>
      <c r="AF1376" s="34" t="s">
        <v>3722</v>
      </c>
      <c r="AG1376" s="34" t="s">
        <v>4659</v>
      </c>
      <c r="AH1376" s="34" t="s">
        <v>7051</v>
      </c>
      <c r="AL1376" s="34" t="s">
        <v>3830</v>
      </c>
      <c r="AM1376" s="40" t="s">
        <v>9</v>
      </c>
      <c r="AP1376" s="34">
        <v>0</v>
      </c>
      <c r="AQ1376" s="34">
        <v>3839</v>
      </c>
      <c r="AR1376" s="34">
        <v>2150</v>
      </c>
      <c r="AT1376" s="44">
        <v>297300</v>
      </c>
      <c r="AU1376" s="44"/>
      <c r="AV1376" s="46">
        <f>ROUND(Товары[[#This Row],[РРЦ финальная, руб.]]/$AU$1,2)</f>
        <v>0</v>
      </c>
      <c r="AW1376" s="45" t="str">
        <f>IFERROR(Товары[[#This Row],[РРЦ, евро]]/Товары[[#This Row],[IRP, Eur]],"-")</f>
        <v>-</v>
      </c>
      <c r="AX1376" s="42">
        <f>IFERROR(VLOOKUP(Товары[[#This Row],[SubGroup]],'Структура цен DIY'!$B:$C,2,FALSE),0)</f>
        <v>0.33</v>
      </c>
      <c r="AY1376" s="44">
        <v>0</v>
      </c>
    </row>
    <row r="1377" spans="1:51" x14ac:dyDescent="0.25">
      <c r="A1377" s="34">
        <v>1375</v>
      </c>
      <c r="B1377" s="34" t="s">
        <v>50</v>
      </c>
      <c r="C1377" s="110" t="str">
        <f>IFERROR(INDEX(Структура_ассортимента[SuperCategory],MATCH(Товары[[#This Row],[SubGroup]],Структура_ассортимента[Subgroup],0)),"")</f>
        <v>O</v>
      </c>
      <c r="D1377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77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77" s="110" t="str">
        <f>IFERROR(INDEX(Структура_ассортимента[Product group],MATCH(Товары[[#This Row],[SubGroup]],Структура_ассортимента[Subgroup],0)),"")</f>
        <v>WPU_C</v>
      </c>
      <c r="G1377" s="110" t="str">
        <f>IFERROR(INDEX(Структура_ассортимента[Product group name ENG],MATCH(Товары[[#This Row],[SubGroup]],Структура_ассортимента[Subgroup],0)),"")</f>
        <v>Watering, Pumps</v>
      </c>
      <c r="H1377" s="110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377" s="36">
        <v>9116</v>
      </c>
      <c r="J1377" s="36" t="str">
        <f>IFERROR(INDEX(Структура_ассортимента[Generic Name (long)],MATCH(Товары[[#This Row],[SubGroup]],Структура_ассортимента[Subgroup],0)),"")</f>
        <v>SUCTION HOSE</v>
      </c>
      <c r="L1377" s="36">
        <v>900947401</v>
      </c>
      <c r="M1377" s="35" t="s">
        <v>3053</v>
      </c>
      <c r="O1377" s="35" t="s">
        <v>7052</v>
      </c>
      <c r="P1377" s="37" t="s">
        <v>7053</v>
      </c>
      <c r="Q1377" s="34" t="s">
        <v>3549</v>
      </c>
      <c r="R1377" s="34" t="s">
        <v>3540</v>
      </c>
      <c r="S1377" s="47">
        <v>37530</v>
      </c>
      <c r="T1377" s="47">
        <v>0</v>
      </c>
      <c r="U1377" s="47">
        <v>0</v>
      </c>
      <c r="V1377" s="34">
        <v>4078500172028</v>
      </c>
      <c r="W1377" s="34" t="s">
        <v>3550</v>
      </c>
      <c r="X1377" s="34" t="s">
        <v>3907</v>
      </c>
      <c r="Y1377" s="34" t="s">
        <v>5981</v>
      </c>
      <c r="Z1377" s="34">
        <v>50</v>
      </c>
      <c r="AA1377" s="34" t="s">
        <v>4159</v>
      </c>
      <c r="AB1377" s="34" t="s">
        <v>4159</v>
      </c>
      <c r="AC1377" s="34" t="s">
        <v>4400</v>
      </c>
      <c r="AD1377" s="34" t="s">
        <v>4400</v>
      </c>
      <c r="AE1377" s="34" t="s">
        <v>3756</v>
      </c>
      <c r="AF1377" s="34" t="s">
        <v>3800</v>
      </c>
      <c r="AG1377" s="34" t="s">
        <v>3800</v>
      </c>
      <c r="AH1377" s="34" t="s">
        <v>7054</v>
      </c>
      <c r="AL1377" s="34" t="s">
        <v>5009</v>
      </c>
      <c r="AM1377" s="40" t="s">
        <v>9</v>
      </c>
      <c r="AP1377" s="34">
        <v>0</v>
      </c>
      <c r="AQ1377" s="34">
        <v>539</v>
      </c>
      <c r="AR1377" s="34">
        <v>294</v>
      </c>
      <c r="AT1377" s="44">
        <v>41700</v>
      </c>
      <c r="AU1377" s="44"/>
      <c r="AV1377" s="46">
        <f>ROUND(Товары[[#This Row],[РРЦ финальная, руб.]]/$AU$1,2)</f>
        <v>0</v>
      </c>
      <c r="AW1377" s="45" t="str">
        <f>IFERROR(Товары[[#This Row],[РРЦ, евро]]/Товары[[#This Row],[IRP, Eur]],"-")</f>
        <v>-</v>
      </c>
      <c r="AX1377" s="42">
        <f>IFERROR(VLOOKUP(Товары[[#This Row],[SubGroup]],'Структура цен DIY'!$B:$C,2,FALSE),0)</f>
        <v>0.33</v>
      </c>
      <c r="AY1377" s="44">
        <v>0</v>
      </c>
    </row>
    <row r="1378" spans="1:51" x14ac:dyDescent="0.25">
      <c r="A1378" s="34">
        <v>1376</v>
      </c>
      <c r="B1378" s="34" t="s">
        <v>50</v>
      </c>
      <c r="C1378" s="110" t="str">
        <f>IFERROR(INDEX(Структура_ассортимента[SuperCategory],MATCH(Товары[[#This Row],[SubGroup]],Структура_ассортимента[Subgroup],0)),"")</f>
        <v>O</v>
      </c>
      <c r="D1378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78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78" s="110" t="str">
        <f>IFERROR(INDEX(Структура_ассортимента[Product group],MATCH(Товары[[#This Row],[SubGroup]],Структура_ассортимента[Subgroup],0)),"")</f>
        <v>WPU_C</v>
      </c>
      <c r="G1378" s="110" t="str">
        <f>IFERROR(INDEX(Структура_ассортимента[Product group name ENG],MATCH(Товары[[#This Row],[SubGroup]],Структура_ассортимента[Subgroup],0)),"")</f>
        <v>Watering, Pumps</v>
      </c>
      <c r="H1378" s="110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378" s="36">
        <v>9116</v>
      </c>
      <c r="J1378" s="36" t="str">
        <f>IFERROR(INDEX(Структура_ассортимента[Generic Name (long)],MATCH(Товары[[#This Row],[SubGroup]],Структура_ассортимента[Subgroup],0)),"")</f>
        <v>SUCTION HOSE</v>
      </c>
      <c r="L1378" s="36">
        <v>900947701</v>
      </c>
      <c r="M1378" s="35" t="s">
        <v>3054</v>
      </c>
      <c r="O1378" s="35" t="s">
        <v>7055</v>
      </c>
      <c r="P1378" s="37" t="s">
        <v>7056</v>
      </c>
      <c r="Q1378" s="34" t="s">
        <v>3549</v>
      </c>
      <c r="R1378" s="34" t="s">
        <v>3540</v>
      </c>
      <c r="S1378" s="47">
        <v>37530</v>
      </c>
      <c r="T1378" s="47">
        <v>0</v>
      </c>
      <c r="U1378" s="47">
        <v>0</v>
      </c>
      <c r="V1378" s="34">
        <v>4078500172127</v>
      </c>
      <c r="W1378" s="34" t="s">
        <v>3550</v>
      </c>
      <c r="X1378" s="34" t="s">
        <v>3907</v>
      </c>
      <c r="Y1378" s="34" t="s">
        <v>5981</v>
      </c>
      <c r="Z1378" s="34">
        <v>45</v>
      </c>
      <c r="AA1378" s="34" t="s">
        <v>4497</v>
      </c>
      <c r="AB1378" s="34" t="s">
        <v>4497</v>
      </c>
      <c r="AC1378" s="34" t="s">
        <v>6149</v>
      </c>
      <c r="AD1378" s="34" t="s">
        <v>6149</v>
      </c>
      <c r="AE1378" s="34" t="s">
        <v>3756</v>
      </c>
      <c r="AF1378" s="34" t="s">
        <v>3801</v>
      </c>
      <c r="AG1378" s="34" t="s">
        <v>3801</v>
      </c>
      <c r="AH1378" s="34" t="s">
        <v>7057</v>
      </c>
      <c r="AL1378" s="34" t="s">
        <v>7058</v>
      </c>
      <c r="AM1378" s="40" t="s">
        <v>9</v>
      </c>
      <c r="AP1378" s="34">
        <v>0</v>
      </c>
      <c r="AQ1378" s="34">
        <v>539</v>
      </c>
      <c r="AR1378" s="34">
        <v>294</v>
      </c>
      <c r="AT1378" s="44">
        <v>41700</v>
      </c>
      <c r="AU1378" s="44"/>
      <c r="AV1378" s="46">
        <f>ROUND(Товары[[#This Row],[РРЦ финальная, руб.]]/$AU$1,2)</f>
        <v>0</v>
      </c>
      <c r="AW1378" s="45" t="str">
        <f>IFERROR(Товары[[#This Row],[РРЦ, евро]]/Товары[[#This Row],[IRP, Eur]],"-")</f>
        <v>-</v>
      </c>
      <c r="AX1378" s="42">
        <f>IFERROR(VLOOKUP(Товары[[#This Row],[SubGroup]],'Структура цен DIY'!$B:$C,2,FALSE),0)</f>
        <v>0.33</v>
      </c>
      <c r="AY1378" s="44">
        <v>0</v>
      </c>
    </row>
    <row r="1379" spans="1:51" x14ac:dyDescent="0.25">
      <c r="A1379" s="34">
        <v>1377</v>
      </c>
      <c r="B1379" s="34" t="s">
        <v>50</v>
      </c>
      <c r="C1379" s="110" t="str">
        <f>IFERROR(INDEX(Структура_ассортимента[SuperCategory],MATCH(Товары[[#This Row],[SubGroup]],Структура_ассортимента[Subgroup],0)),"")</f>
        <v>O</v>
      </c>
      <c r="D1379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79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79" s="110" t="str">
        <f>IFERROR(INDEX(Структура_ассортимента[Product group],MATCH(Товары[[#This Row],[SubGroup]],Структура_ассортимента[Subgroup],0)),"")</f>
        <v>WPU_C</v>
      </c>
      <c r="G1379" s="110" t="str">
        <f>IFERROR(INDEX(Структура_ассортимента[Product group name ENG],MATCH(Товары[[#This Row],[SubGroup]],Структура_ассортимента[Subgroup],0)),"")</f>
        <v>Watering, Pumps</v>
      </c>
      <c r="H1379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79" s="36">
        <v>9117</v>
      </c>
      <c r="J1379" s="36" t="str">
        <f>IFERROR(INDEX(Структура_ассортимента[Generic Name (long)],MATCH(Товары[[#This Row],[SubGroup]],Структура_ассортимента[Subgroup],0)),"")</f>
        <v>TECHNICAL HOSE</v>
      </c>
      <c r="L1379" s="36">
        <v>901099901</v>
      </c>
      <c r="M1379" s="35" t="s">
        <v>3055</v>
      </c>
      <c r="Q1379" s="34" t="s">
        <v>3549</v>
      </c>
      <c r="R1379" s="34" t="s">
        <v>3540</v>
      </c>
      <c r="S1379" s="47">
        <v>35440</v>
      </c>
      <c r="T1379" s="47">
        <v>0</v>
      </c>
      <c r="U1379" s="47">
        <v>0</v>
      </c>
      <c r="V1379" s="34">
        <v>4078500711807</v>
      </c>
      <c r="W1379" s="34" t="s">
        <v>3550</v>
      </c>
      <c r="X1379" s="34" t="s">
        <v>3551</v>
      </c>
      <c r="Y1379" s="34" t="s">
        <v>3542</v>
      </c>
      <c r="Z1379" s="34">
        <v>5</v>
      </c>
      <c r="AA1379" s="34" t="s">
        <v>6048</v>
      </c>
      <c r="AB1379" s="34" t="s">
        <v>6048</v>
      </c>
      <c r="AC1379" s="34" t="s">
        <v>3654</v>
      </c>
      <c r="AD1379" s="34" t="s">
        <v>3654</v>
      </c>
      <c r="AE1379" s="34" t="s">
        <v>3711</v>
      </c>
      <c r="AF1379" s="34" t="s">
        <v>4351</v>
      </c>
      <c r="AG1379" s="34" t="s">
        <v>3672</v>
      </c>
      <c r="AH1379" s="34" t="s">
        <v>7059</v>
      </c>
      <c r="AL1379" s="34" t="s">
        <v>7060</v>
      </c>
      <c r="AM1379" s="40" t="s">
        <v>8095</v>
      </c>
      <c r="AT1379" s="44">
        <v>0</v>
      </c>
      <c r="AU1379" s="44"/>
      <c r="AV1379" s="46">
        <f>ROUND(Товары[[#This Row],[РРЦ финальная, руб.]]/$AU$1,2)</f>
        <v>0</v>
      </c>
      <c r="AW1379" s="45" t="str">
        <f>IFERROR(Товары[[#This Row],[РРЦ, евро]]/Товары[[#This Row],[IRP, Eur]],"-")</f>
        <v>-</v>
      </c>
      <c r="AX1379" s="42">
        <f>IFERROR(VLOOKUP(Товары[[#This Row],[SubGroup]],'Структура цен DIY'!$B:$C,2,FALSE),0)</f>
        <v>0.30000000000000004</v>
      </c>
      <c r="AY1379" s="44">
        <v>0</v>
      </c>
    </row>
    <row r="1380" spans="1:51" x14ac:dyDescent="0.25">
      <c r="A1380" s="34">
        <v>1378</v>
      </c>
      <c r="B1380" s="34" t="s">
        <v>50</v>
      </c>
      <c r="C1380" s="110" t="str">
        <f>IFERROR(INDEX(Структура_ассортимента[SuperCategory],MATCH(Товары[[#This Row],[SubGroup]],Структура_ассортимента[Subgroup],0)),"")</f>
        <v>O</v>
      </c>
      <c r="D1380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80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80" s="110" t="str">
        <f>IFERROR(INDEX(Структура_ассортимента[Product group],MATCH(Товары[[#This Row],[SubGroup]],Структура_ассортимента[Subgroup],0)),"")</f>
        <v>WPU_C</v>
      </c>
      <c r="G1380" s="110" t="str">
        <f>IFERROR(INDEX(Структура_ассортимента[Product group name ENG],MATCH(Товары[[#This Row],[SubGroup]],Структура_ассортимента[Subgroup],0)),"")</f>
        <v>Watering, Pumps</v>
      </c>
      <c r="H1380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80" s="36">
        <v>9117</v>
      </c>
      <c r="J1380" s="36" t="str">
        <f>IFERROR(INDEX(Структура_ассортимента[Generic Name (long)],MATCH(Товары[[#This Row],[SubGroup]],Структура_ассортимента[Subgroup],0)),"")</f>
        <v>TECHNICAL HOSE</v>
      </c>
      <c r="L1380" s="36">
        <v>901100001</v>
      </c>
      <c r="M1380" s="35" t="s">
        <v>3056</v>
      </c>
      <c r="Q1380" s="34" t="s">
        <v>3549</v>
      </c>
      <c r="R1380" s="34" t="s">
        <v>3540</v>
      </c>
      <c r="S1380" s="47">
        <v>35440</v>
      </c>
      <c r="T1380" s="47">
        <v>0</v>
      </c>
      <c r="U1380" s="47">
        <v>0</v>
      </c>
      <c r="V1380" s="34">
        <v>4078500711906</v>
      </c>
      <c r="W1380" s="34" t="s">
        <v>3550</v>
      </c>
      <c r="X1380" s="34" t="s">
        <v>3551</v>
      </c>
      <c r="Y1380" s="34" t="s">
        <v>3542</v>
      </c>
      <c r="Z1380" s="34">
        <v>2</v>
      </c>
      <c r="AA1380" s="34" t="s">
        <v>5954</v>
      </c>
      <c r="AB1380" s="34" t="s">
        <v>5954</v>
      </c>
      <c r="AC1380" s="34" t="s">
        <v>5954</v>
      </c>
      <c r="AD1380" s="34" t="s">
        <v>5954</v>
      </c>
      <c r="AE1380" s="34" t="s">
        <v>3576</v>
      </c>
      <c r="AF1380" s="34" t="s">
        <v>3566</v>
      </c>
      <c r="AG1380" s="34" t="s">
        <v>4097</v>
      </c>
      <c r="AH1380" s="34" t="s">
        <v>7061</v>
      </c>
      <c r="AL1380" s="34" t="s">
        <v>4407</v>
      </c>
      <c r="AM1380" s="40" t="s">
        <v>8095</v>
      </c>
      <c r="AT1380" s="44">
        <v>0</v>
      </c>
      <c r="AU1380" s="44"/>
      <c r="AV1380" s="46">
        <f>ROUND(Товары[[#This Row],[РРЦ финальная, руб.]]/$AU$1,2)</f>
        <v>0</v>
      </c>
      <c r="AW1380" s="45" t="str">
        <f>IFERROR(Товары[[#This Row],[РРЦ, евро]]/Товары[[#This Row],[IRP, Eur]],"-")</f>
        <v>-</v>
      </c>
      <c r="AX1380" s="42">
        <f>IFERROR(VLOOKUP(Товары[[#This Row],[SubGroup]],'Структура цен DIY'!$B:$C,2,FALSE),0)</f>
        <v>0.30000000000000004</v>
      </c>
      <c r="AY1380" s="44">
        <v>0</v>
      </c>
    </row>
    <row r="1381" spans="1:51" x14ac:dyDescent="0.25">
      <c r="A1381" s="34">
        <v>1379</v>
      </c>
      <c r="B1381" s="34" t="s">
        <v>50</v>
      </c>
      <c r="C1381" s="110" t="str">
        <f>IFERROR(INDEX(Структура_ассортимента[SuperCategory],MATCH(Товары[[#This Row],[SubGroup]],Структура_ассортимента[Subgroup],0)),"")</f>
        <v>O</v>
      </c>
      <c r="D1381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81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81" s="110" t="str">
        <f>IFERROR(INDEX(Структура_ассортимента[Product group],MATCH(Товары[[#This Row],[SubGroup]],Структура_ассортимента[Subgroup],0)),"")</f>
        <v>WPU_C</v>
      </c>
      <c r="G1381" s="110" t="str">
        <f>IFERROR(INDEX(Структура_ассортимента[Product group name ENG],MATCH(Товары[[#This Row],[SubGroup]],Структура_ассортимента[Subgroup],0)),"")</f>
        <v>Watering, Pumps</v>
      </c>
      <c r="H1381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81" s="36">
        <v>9117</v>
      </c>
      <c r="J1381" s="36" t="str">
        <f>IFERROR(INDEX(Структура_ассортимента[Generic Name (long)],MATCH(Товары[[#This Row],[SubGroup]],Структура_ассортимента[Subgroup],0)),"")</f>
        <v>TECHNICAL HOSE</v>
      </c>
      <c r="L1381" s="36">
        <v>901098701</v>
      </c>
      <c r="M1381" s="35" t="s">
        <v>3057</v>
      </c>
      <c r="Q1381" s="34" t="s">
        <v>3549</v>
      </c>
      <c r="R1381" s="34" t="s">
        <v>3540</v>
      </c>
      <c r="S1381" s="47">
        <v>35440</v>
      </c>
      <c r="T1381" s="47">
        <v>0</v>
      </c>
      <c r="U1381" s="47">
        <v>0</v>
      </c>
      <c r="V1381" s="34">
        <v>4078500710008</v>
      </c>
      <c r="W1381" s="34" t="s">
        <v>3550</v>
      </c>
      <c r="X1381" s="34" t="s">
        <v>3551</v>
      </c>
      <c r="Y1381" s="34" t="s">
        <v>3542</v>
      </c>
      <c r="Z1381" s="34">
        <v>5</v>
      </c>
      <c r="AA1381" s="34" t="s">
        <v>3719</v>
      </c>
      <c r="AB1381" s="34" t="s">
        <v>3719</v>
      </c>
      <c r="AC1381" s="34" t="s">
        <v>3654</v>
      </c>
      <c r="AD1381" s="34" t="s">
        <v>3654</v>
      </c>
      <c r="AE1381" s="34" t="s">
        <v>4942</v>
      </c>
      <c r="AF1381" s="34" t="s">
        <v>4432</v>
      </c>
      <c r="AG1381" s="34" t="s">
        <v>4239</v>
      </c>
      <c r="AH1381" s="34" t="s">
        <v>7062</v>
      </c>
      <c r="AL1381" s="34" t="s">
        <v>7060</v>
      </c>
      <c r="AM1381" s="40" t="s">
        <v>8095</v>
      </c>
      <c r="AT1381" s="44">
        <v>0</v>
      </c>
      <c r="AU1381" s="44"/>
      <c r="AV1381" s="46">
        <f>ROUND(Товары[[#This Row],[РРЦ финальная, руб.]]/$AU$1,2)</f>
        <v>0</v>
      </c>
      <c r="AW1381" s="45" t="str">
        <f>IFERROR(Товары[[#This Row],[РРЦ, евро]]/Товары[[#This Row],[IRP, Eur]],"-")</f>
        <v>-</v>
      </c>
      <c r="AX1381" s="42">
        <f>IFERROR(VLOOKUP(Товары[[#This Row],[SubGroup]],'Структура цен DIY'!$B:$C,2,FALSE),0)</f>
        <v>0.30000000000000004</v>
      </c>
      <c r="AY1381" s="44">
        <v>0</v>
      </c>
    </row>
    <row r="1382" spans="1:51" x14ac:dyDescent="0.25">
      <c r="A1382" s="34">
        <v>1380</v>
      </c>
      <c r="B1382" s="34" t="s">
        <v>50</v>
      </c>
      <c r="C1382" s="110" t="str">
        <f>IFERROR(INDEX(Структура_ассортимента[SuperCategory],MATCH(Товары[[#This Row],[SubGroup]],Структура_ассортимента[Subgroup],0)),"")</f>
        <v>O</v>
      </c>
      <c r="D1382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82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82" s="110" t="str">
        <f>IFERROR(INDEX(Структура_ассортимента[Product group],MATCH(Товары[[#This Row],[SubGroup]],Структура_ассортимента[Subgroup],0)),"")</f>
        <v>WPU_C</v>
      </c>
      <c r="G1382" s="110" t="str">
        <f>IFERROR(INDEX(Структура_ассортимента[Product group name ENG],MATCH(Товары[[#This Row],[SubGroup]],Структура_ассортимента[Subgroup],0)),"")</f>
        <v>Watering, Pumps</v>
      </c>
      <c r="H1382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82" s="36">
        <v>9117</v>
      </c>
      <c r="J1382" s="36" t="str">
        <f>IFERROR(INDEX(Структура_ассортимента[Generic Name (long)],MATCH(Товары[[#This Row],[SubGroup]],Структура_ассортимента[Subgroup],0)),"")</f>
        <v>TECHNICAL HOSE</v>
      </c>
      <c r="L1382" s="36">
        <v>901098801</v>
      </c>
      <c r="M1382" s="35" t="s">
        <v>3058</v>
      </c>
      <c r="Q1382" s="34" t="s">
        <v>3549</v>
      </c>
      <c r="R1382" s="34" t="s">
        <v>3540</v>
      </c>
      <c r="S1382" s="47">
        <v>35440</v>
      </c>
      <c r="T1382" s="47">
        <v>0</v>
      </c>
      <c r="U1382" s="47">
        <v>0</v>
      </c>
      <c r="V1382" s="34">
        <v>4078500710206</v>
      </c>
      <c r="W1382" s="34" t="s">
        <v>3550</v>
      </c>
      <c r="X1382" s="34" t="s">
        <v>3551</v>
      </c>
      <c r="Y1382" s="34" t="s">
        <v>3542</v>
      </c>
      <c r="Z1382" s="34">
        <v>5</v>
      </c>
      <c r="AA1382" s="34" t="s">
        <v>5649</v>
      </c>
      <c r="AB1382" s="34" t="s">
        <v>5649</v>
      </c>
      <c r="AC1382" s="34" t="s">
        <v>7063</v>
      </c>
      <c r="AD1382" s="34" t="s">
        <v>7063</v>
      </c>
      <c r="AE1382" s="34" t="s">
        <v>3711</v>
      </c>
      <c r="AF1382" s="34" t="s">
        <v>4802</v>
      </c>
      <c r="AG1382" s="34" t="s">
        <v>4351</v>
      </c>
      <c r="AH1382" s="34" t="s">
        <v>7064</v>
      </c>
      <c r="AL1382" s="34" t="s">
        <v>7060</v>
      </c>
      <c r="AM1382" s="40" t="s">
        <v>8095</v>
      </c>
      <c r="AT1382" s="44">
        <v>0</v>
      </c>
      <c r="AU1382" s="44"/>
      <c r="AV1382" s="46">
        <f>ROUND(Товары[[#This Row],[РРЦ финальная, руб.]]/$AU$1,2)</f>
        <v>0</v>
      </c>
      <c r="AW1382" s="45" t="str">
        <f>IFERROR(Товары[[#This Row],[РРЦ, евро]]/Товары[[#This Row],[IRP, Eur]],"-")</f>
        <v>-</v>
      </c>
      <c r="AX1382" s="42">
        <f>IFERROR(VLOOKUP(Товары[[#This Row],[SubGroup]],'Структура цен DIY'!$B:$C,2,FALSE),0)</f>
        <v>0.30000000000000004</v>
      </c>
      <c r="AY1382" s="44">
        <v>0</v>
      </c>
    </row>
    <row r="1383" spans="1:51" x14ac:dyDescent="0.25">
      <c r="A1383" s="34">
        <v>1381</v>
      </c>
      <c r="B1383" s="34" t="s">
        <v>50</v>
      </c>
      <c r="C1383" s="110" t="str">
        <f>IFERROR(INDEX(Структура_ассортимента[SuperCategory],MATCH(Товары[[#This Row],[SubGroup]],Структура_ассортимента[Subgroup],0)),"")</f>
        <v>O</v>
      </c>
      <c r="D1383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83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83" s="110" t="str">
        <f>IFERROR(INDEX(Структура_ассортимента[Product group],MATCH(Товары[[#This Row],[SubGroup]],Структура_ассортимента[Subgroup],0)),"")</f>
        <v>WPU_C</v>
      </c>
      <c r="G1383" s="110" t="str">
        <f>IFERROR(INDEX(Структура_ассортимента[Product group name ENG],MATCH(Товары[[#This Row],[SubGroup]],Структура_ассортимента[Subgroup],0)),"")</f>
        <v>Watering, Pumps</v>
      </c>
      <c r="H1383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83" s="36">
        <v>9117</v>
      </c>
      <c r="J1383" s="36" t="str">
        <f>IFERROR(INDEX(Структура_ассортимента[Generic Name (long)],MATCH(Товары[[#This Row],[SubGroup]],Структура_ассортимента[Subgroup],0)),"")</f>
        <v>TECHNICAL HOSE</v>
      </c>
      <c r="L1383" s="36">
        <v>901098901</v>
      </c>
      <c r="M1383" s="35" t="s">
        <v>3059</v>
      </c>
      <c r="Q1383" s="34" t="s">
        <v>3549</v>
      </c>
      <c r="R1383" s="34" t="s">
        <v>3540</v>
      </c>
      <c r="S1383" s="47">
        <v>35440</v>
      </c>
      <c r="T1383" s="47">
        <v>0</v>
      </c>
      <c r="U1383" s="47">
        <v>0</v>
      </c>
      <c r="V1383" s="34">
        <v>4078500710305</v>
      </c>
      <c r="W1383" s="34" t="s">
        <v>3550</v>
      </c>
      <c r="X1383" s="34" t="s">
        <v>3551</v>
      </c>
      <c r="Y1383" s="34" t="s">
        <v>3542</v>
      </c>
      <c r="Z1383" s="34">
        <v>5</v>
      </c>
      <c r="AA1383" s="34" t="s">
        <v>6613</v>
      </c>
      <c r="AB1383" s="34" t="s">
        <v>6613</v>
      </c>
      <c r="AC1383" s="34" t="s">
        <v>4090</v>
      </c>
      <c r="AD1383" s="34" t="s">
        <v>4090</v>
      </c>
      <c r="AE1383" s="34" t="s">
        <v>4097</v>
      </c>
      <c r="AF1383" s="34" t="s">
        <v>4402</v>
      </c>
      <c r="AG1383" s="34" t="s">
        <v>4432</v>
      </c>
      <c r="AH1383" s="34" t="s">
        <v>7065</v>
      </c>
      <c r="AL1383" s="34" t="s">
        <v>7066</v>
      </c>
      <c r="AM1383" s="40" t="s">
        <v>8095</v>
      </c>
      <c r="AT1383" s="44">
        <v>0</v>
      </c>
      <c r="AU1383" s="44"/>
      <c r="AV1383" s="46">
        <f>ROUND(Товары[[#This Row],[РРЦ финальная, руб.]]/$AU$1,2)</f>
        <v>0</v>
      </c>
      <c r="AW1383" s="45" t="str">
        <f>IFERROR(Товары[[#This Row],[РРЦ, евро]]/Товары[[#This Row],[IRP, Eur]],"-")</f>
        <v>-</v>
      </c>
      <c r="AX1383" s="42">
        <f>IFERROR(VLOOKUP(Товары[[#This Row],[SubGroup]],'Структура цен DIY'!$B:$C,2,FALSE),0)</f>
        <v>0.30000000000000004</v>
      </c>
      <c r="AY1383" s="44">
        <v>0</v>
      </c>
    </row>
    <row r="1384" spans="1:51" x14ac:dyDescent="0.25">
      <c r="A1384" s="34">
        <v>1382</v>
      </c>
      <c r="B1384" s="34" t="s">
        <v>50</v>
      </c>
      <c r="C1384" s="110" t="str">
        <f>IFERROR(INDEX(Структура_ассортимента[SuperCategory],MATCH(Товары[[#This Row],[SubGroup]],Структура_ассортимента[Subgroup],0)),"")</f>
        <v>O</v>
      </c>
      <c r="D1384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84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84" s="110" t="str">
        <f>IFERROR(INDEX(Структура_ассортимента[Product group],MATCH(Товары[[#This Row],[SubGroup]],Структура_ассортимента[Subgroup],0)),"")</f>
        <v>WPU_C</v>
      </c>
      <c r="G1384" s="110" t="str">
        <f>IFERROR(INDEX(Структура_ассортимента[Product group name ENG],MATCH(Товары[[#This Row],[SubGroup]],Структура_ассортимента[Subgroup],0)),"")</f>
        <v>Watering, Pumps</v>
      </c>
      <c r="H1384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84" s="36">
        <v>9117</v>
      </c>
      <c r="J1384" s="36" t="str">
        <f>IFERROR(INDEX(Структура_ассортимента[Generic Name (long)],MATCH(Товары[[#This Row],[SubGroup]],Структура_ассортимента[Subgroup],0)),"")</f>
        <v>TECHNICAL HOSE</v>
      </c>
      <c r="L1384" s="36">
        <v>901099001</v>
      </c>
      <c r="M1384" s="35" t="s">
        <v>3060</v>
      </c>
      <c r="Q1384" s="34" t="s">
        <v>3549</v>
      </c>
      <c r="R1384" s="34" t="s">
        <v>3540</v>
      </c>
      <c r="S1384" s="47">
        <v>35440</v>
      </c>
      <c r="T1384" s="47">
        <v>0</v>
      </c>
      <c r="U1384" s="47">
        <v>0</v>
      </c>
      <c r="V1384" s="34">
        <v>4078500710404</v>
      </c>
      <c r="W1384" s="34" t="s">
        <v>3550</v>
      </c>
      <c r="X1384" s="34" t="s">
        <v>3551</v>
      </c>
      <c r="Y1384" s="34" t="s">
        <v>3542</v>
      </c>
      <c r="Z1384" s="34">
        <v>5</v>
      </c>
      <c r="AA1384" s="34" t="s">
        <v>6265</v>
      </c>
      <c r="AB1384" s="34" t="s">
        <v>6265</v>
      </c>
      <c r="AC1384" s="34" t="s">
        <v>3996</v>
      </c>
      <c r="AD1384" s="34" t="s">
        <v>3996</v>
      </c>
      <c r="AE1384" s="34" t="s">
        <v>4335</v>
      </c>
      <c r="AF1384" s="34" t="s">
        <v>4402</v>
      </c>
      <c r="AG1384" s="34" t="s">
        <v>4351</v>
      </c>
      <c r="AH1384" s="34" t="s">
        <v>7067</v>
      </c>
      <c r="AL1384" s="34" t="s">
        <v>7066</v>
      </c>
      <c r="AM1384" s="40" t="s">
        <v>8095</v>
      </c>
      <c r="AT1384" s="44">
        <v>0</v>
      </c>
      <c r="AU1384" s="44"/>
      <c r="AV1384" s="46">
        <f>ROUND(Товары[[#This Row],[РРЦ финальная, руб.]]/$AU$1,2)</f>
        <v>0</v>
      </c>
      <c r="AW1384" s="45" t="str">
        <f>IFERROR(Товары[[#This Row],[РРЦ, евро]]/Товары[[#This Row],[IRP, Eur]],"-")</f>
        <v>-</v>
      </c>
      <c r="AX1384" s="42">
        <f>IFERROR(VLOOKUP(Товары[[#This Row],[SubGroup]],'Структура цен DIY'!$B:$C,2,FALSE),0)</f>
        <v>0.30000000000000004</v>
      </c>
      <c r="AY1384" s="44">
        <v>0</v>
      </c>
    </row>
    <row r="1385" spans="1:51" x14ac:dyDescent="0.25">
      <c r="A1385" s="34">
        <v>1383</v>
      </c>
      <c r="B1385" s="34" t="s">
        <v>50</v>
      </c>
      <c r="C1385" s="110" t="str">
        <f>IFERROR(INDEX(Структура_ассортимента[SuperCategory],MATCH(Товары[[#This Row],[SubGroup]],Структура_ассортимента[Subgroup],0)),"")</f>
        <v>O</v>
      </c>
      <c r="D1385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85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85" s="110" t="str">
        <f>IFERROR(INDEX(Структура_ассортимента[Product group],MATCH(Товары[[#This Row],[SubGroup]],Структура_ассортимента[Subgroup],0)),"")</f>
        <v>WPU_C</v>
      </c>
      <c r="G1385" s="110" t="str">
        <f>IFERROR(INDEX(Структура_ассортимента[Product group name ENG],MATCH(Товары[[#This Row],[SubGroup]],Структура_ассортимента[Subgroup],0)),"")</f>
        <v>Watering, Pumps</v>
      </c>
      <c r="H1385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85" s="36">
        <v>9117</v>
      </c>
      <c r="J1385" s="36" t="str">
        <f>IFERROR(INDEX(Структура_ассортимента[Generic Name (long)],MATCH(Товары[[#This Row],[SubGroup]],Структура_ассортимента[Subgroup],0)),"")</f>
        <v>TECHNICAL HOSE</v>
      </c>
      <c r="L1385" s="36">
        <v>901099101</v>
      </c>
      <c r="M1385" s="35" t="s">
        <v>3061</v>
      </c>
      <c r="Q1385" s="34" t="s">
        <v>3549</v>
      </c>
      <c r="R1385" s="34" t="s">
        <v>3540</v>
      </c>
      <c r="S1385" s="47">
        <v>35440</v>
      </c>
      <c r="T1385" s="47">
        <v>0</v>
      </c>
      <c r="U1385" s="47">
        <v>0</v>
      </c>
      <c r="V1385" s="34">
        <v>4078500710602</v>
      </c>
      <c r="W1385" s="34" t="s">
        <v>3550</v>
      </c>
      <c r="X1385" s="34" t="s">
        <v>3551</v>
      </c>
      <c r="Y1385" s="34" t="s">
        <v>3542</v>
      </c>
      <c r="Z1385" s="34">
        <v>10</v>
      </c>
      <c r="AA1385" s="34" t="s">
        <v>5653</v>
      </c>
      <c r="AB1385" s="34" t="s">
        <v>5653</v>
      </c>
      <c r="AC1385" s="34" t="s">
        <v>3719</v>
      </c>
      <c r="AD1385" s="34" t="s">
        <v>3719</v>
      </c>
      <c r="AE1385" s="34" t="s">
        <v>4942</v>
      </c>
      <c r="AF1385" s="34" t="s">
        <v>4432</v>
      </c>
      <c r="AG1385" s="34" t="s">
        <v>3699</v>
      </c>
      <c r="AH1385" s="34" t="s">
        <v>7068</v>
      </c>
      <c r="AL1385" s="34" t="s">
        <v>7069</v>
      </c>
      <c r="AM1385" s="40" t="s">
        <v>8095</v>
      </c>
      <c r="AT1385" s="44">
        <v>0</v>
      </c>
      <c r="AU1385" s="44"/>
      <c r="AV1385" s="46">
        <f>ROUND(Товары[[#This Row],[РРЦ финальная, руб.]]/$AU$1,2)</f>
        <v>0</v>
      </c>
      <c r="AW1385" s="45" t="str">
        <f>IFERROR(Товары[[#This Row],[РРЦ, евро]]/Товары[[#This Row],[IRP, Eur]],"-")</f>
        <v>-</v>
      </c>
      <c r="AX1385" s="42">
        <f>IFERROR(VLOOKUP(Товары[[#This Row],[SubGroup]],'Структура цен DIY'!$B:$C,2,FALSE),0)</f>
        <v>0.30000000000000004</v>
      </c>
      <c r="AY1385" s="44">
        <v>0</v>
      </c>
    </row>
    <row r="1386" spans="1:51" x14ac:dyDescent="0.25">
      <c r="A1386" s="34">
        <v>1384</v>
      </c>
      <c r="B1386" s="34" t="s">
        <v>50</v>
      </c>
      <c r="C1386" s="110" t="str">
        <f>IFERROR(INDEX(Структура_ассортимента[SuperCategory],MATCH(Товары[[#This Row],[SubGroup]],Структура_ассортимента[Subgroup],0)),"")</f>
        <v>O</v>
      </c>
      <c r="D1386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86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86" s="110" t="str">
        <f>IFERROR(INDEX(Структура_ассортимента[Product group],MATCH(Товары[[#This Row],[SubGroup]],Структура_ассортимента[Subgroup],0)),"")</f>
        <v>WPU_C</v>
      </c>
      <c r="G1386" s="110" t="str">
        <f>IFERROR(INDEX(Структура_ассортимента[Product group name ENG],MATCH(Товары[[#This Row],[SubGroup]],Структура_ассортимента[Subgroup],0)),"")</f>
        <v>Watering, Pumps</v>
      </c>
      <c r="H1386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86" s="36">
        <v>9117</v>
      </c>
      <c r="J1386" s="36" t="str">
        <f>IFERROR(INDEX(Структура_ассортимента[Generic Name (long)],MATCH(Товары[[#This Row],[SubGroup]],Структура_ассортимента[Subgroup],0)),"")</f>
        <v>TECHNICAL HOSE</v>
      </c>
      <c r="L1386" s="36">
        <v>901099201</v>
      </c>
      <c r="M1386" s="35" t="s">
        <v>3062</v>
      </c>
      <c r="Q1386" s="34" t="s">
        <v>3549</v>
      </c>
      <c r="R1386" s="34" t="s">
        <v>3540</v>
      </c>
      <c r="S1386" s="47">
        <v>35440</v>
      </c>
      <c r="T1386" s="47">
        <v>0</v>
      </c>
      <c r="U1386" s="47">
        <v>0</v>
      </c>
      <c r="V1386" s="34">
        <v>4078500710800</v>
      </c>
      <c r="W1386" s="34" t="s">
        <v>3550</v>
      </c>
      <c r="X1386" s="34" t="s">
        <v>3551</v>
      </c>
      <c r="Y1386" s="34" t="s">
        <v>3542</v>
      </c>
      <c r="Z1386" s="34">
        <v>10</v>
      </c>
      <c r="AA1386" s="34" t="s">
        <v>5653</v>
      </c>
      <c r="AB1386" s="34" t="s">
        <v>5653</v>
      </c>
      <c r="AC1386" s="34" t="s">
        <v>3719</v>
      </c>
      <c r="AD1386" s="34" t="s">
        <v>3719</v>
      </c>
      <c r="AE1386" s="34" t="s">
        <v>3711</v>
      </c>
      <c r="AF1386" s="34" t="s">
        <v>4351</v>
      </c>
      <c r="AG1386" s="34" t="s">
        <v>3699</v>
      </c>
      <c r="AH1386" s="34" t="s">
        <v>7070</v>
      </c>
      <c r="AL1386" s="34" t="s">
        <v>7069</v>
      </c>
      <c r="AM1386" s="40" t="s">
        <v>8095</v>
      </c>
      <c r="AT1386" s="44">
        <v>0</v>
      </c>
      <c r="AU1386" s="44"/>
      <c r="AV1386" s="46">
        <f>ROUND(Товары[[#This Row],[РРЦ финальная, руб.]]/$AU$1,2)</f>
        <v>0</v>
      </c>
      <c r="AW1386" s="45" t="str">
        <f>IFERROR(Товары[[#This Row],[РРЦ, евро]]/Товары[[#This Row],[IRP, Eur]],"-")</f>
        <v>-</v>
      </c>
      <c r="AX1386" s="42">
        <f>IFERROR(VLOOKUP(Товары[[#This Row],[SubGroup]],'Структура цен DIY'!$B:$C,2,FALSE),0)</f>
        <v>0.30000000000000004</v>
      </c>
      <c r="AY1386" s="44">
        <v>0</v>
      </c>
    </row>
    <row r="1387" spans="1:51" x14ac:dyDescent="0.25">
      <c r="A1387" s="34">
        <v>1385</v>
      </c>
      <c r="B1387" s="34" t="s">
        <v>50</v>
      </c>
      <c r="C1387" s="110" t="str">
        <f>IFERROR(INDEX(Структура_ассортимента[SuperCategory],MATCH(Товары[[#This Row],[SubGroup]],Структура_ассортимента[Subgroup],0)),"")</f>
        <v>O</v>
      </c>
      <c r="D1387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87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87" s="110" t="str">
        <f>IFERROR(INDEX(Структура_ассортимента[Product group],MATCH(Товары[[#This Row],[SubGroup]],Структура_ассортимента[Subgroup],0)),"")</f>
        <v>WPU_C</v>
      </c>
      <c r="G1387" s="110" t="str">
        <f>IFERROR(INDEX(Структура_ассортимента[Product group name ENG],MATCH(Товары[[#This Row],[SubGroup]],Структура_ассортимента[Subgroup],0)),"")</f>
        <v>Watering, Pumps</v>
      </c>
      <c r="H1387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87" s="36">
        <v>9117</v>
      </c>
      <c r="J1387" s="36" t="str">
        <f>IFERROR(INDEX(Структура_ассортимента[Generic Name (long)],MATCH(Товары[[#This Row],[SubGroup]],Структура_ассортимента[Subgroup],0)),"")</f>
        <v>TECHNICAL HOSE</v>
      </c>
      <c r="L1387" s="36">
        <v>901099301</v>
      </c>
      <c r="M1387" s="35" t="s">
        <v>3063</v>
      </c>
      <c r="Q1387" s="34" t="s">
        <v>3549</v>
      </c>
      <c r="R1387" s="34" t="s">
        <v>3540</v>
      </c>
      <c r="S1387" s="47">
        <v>35440</v>
      </c>
      <c r="T1387" s="47">
        <v>0</v>
      </c>
      <c r="U1387" s="47">
        <v>0</v>
      </c>
      <c r="V1387" s="34">
        <v>4078500710909</v>
      </c>
      <c r="W1387" s="34" t="s">
        <v>3550</v>
      </c>
      <c r="X1387" s="34" t="s">
        <v>3551</v>
      </c>
      <c r="Y1387" s="34" t="s">
        <v>3542</v>
      </c>
      <c r="Z1387" s="34">
        <v>5</v>
      </c>
      <c r="AA1387" s="34" t="s">
        <v>3727</v>
      </c>
      <c r="AB1387" s="34" t="s">
        <v>3727</v>
      </c>
      <c r="AC1387" s="34" t="s">
        <v>3719</v>
      </c>
      <c r="AD1387" s="34" t="s">
        <v>3719</v>
      </c>
      <c r="AE1387" s="34" t="s">
        <v>4942</v>
      </c>
      <c r="AF1387" s="34" t="s">
        <v>4432</v>
      </c>
      <c r="AG1387" s="34" t="s">
        <v>3699</v>
      </c>
      <c r="AH1387" s="34" t="s">
        <v>7068</v>
      </c>
      <c r="AL1387" s="34" t="s">
        <v>7060</v>
      </c>
      <c r="AM1387" s="40" t="s">
        <v>8095</v>
      </c>
      <c r="AT1387" s="44">
        <v>0</v>
      </c>
      <c r="AU1387" s="44"/>
      <c r="AV1387" s="46">
        <f>ROUND(Товары[[#This Row],[РРЦ финальная, руб.]]/$AU$1,2)</f>
        <v>0</v>
      </c>
      <c r="AW1387" s="45" t="str">
        <f>IFERROR(Товары[[#This Row],[РРЦ, евро]]/Товары[[#This Row],[IRP, Eur]],"-")</f>
        <v>-</v>
      </c>
      <c r="AX1387" s="42">
        <f>IFERROR(VLOOKUP(Товары[[#This Row],[SubGroup]],'Структура цен DIY'!$B:$C,2,FALSE),0)</f>
        <v>0.30000000000000004</v>
      </c>
      <c r="AY1387" s="44">
        <v>0</v>
      </c>
    </row>
    <row r="1388" spans="1:51" x14ac:dyDescent="0.25">
      <c r="A1388" s="34">
        <v>1386</v>
      </c>
      <c r="B1388" s="34" t="s">
        <v>50</v>
      </c>
      <c r="C1388" s="110" t="str">
        <f>IFERROR(INDEX(Структура_ассортимента[SuperCategory],MATCH(Товары[[#This Row],[SubGroup]],Структура_ассортимента[Subgroup],0)),"")</f>
        <v>O</v>
      </c>
      <c r="D1388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88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88" s="110" t="str">
        <f>IFERROR(INDEX(Структура_ассортимента[Product group],MATCH(Товары[[#This Row],[SubGroup]],Структура_ассортимента[Subgroup],0)),"")</f>
        <v>WPU_C</v>
      </c>
      <c r="G1388" s="110" t="str">
        <f>IFERROR(INDEX(Структура_ассортимента[Product group name ENG],MATCH(Товары[[#This Row],[SubGroup]],Структура_ассортимента[Subgroup],0)),"")</f>
        <v>Watering, Pumps</v>
      </c>
      <c r="H1388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88" s="36">
        <v>9117</v>
      </c>
      <c r="J1388" s="36" t="str">
        <f>IFERROR(INDEX(Структура_ассортимента[Generic Name (long)],MATCH(Товары[[#This Row],[SubGroup]],Структура_ассортимента[Subgroup],0)),"")</f>
        <v>TECHNICAL HOSE</v>
      </c>
      <c r="L1388" s="36">
        <v>901099401</v>
      </c>
      <c r="M1388" s="35" t="s">
        <v>3064</v>
      </c>
      <c r="Q1388" s="34" t="s">
        <v>3549</v>
      </c>
      <c r="R1388" s="34" t="s">
        <v>3540</v>
      </c>
      <c r="S1388" s="47">
        <v>35440</v>
      </c>
      <c r="T1388" s="47">
        <v>0</v>
      </c>
      <c r="U1388" s="47">
        <v>0</v>
      </c>
      <c r="V1388" s="34">
        <v>4078500711005</v>
      </c>
      <c r="W1388" s="34" t="s">
        <v>3550</v>
      </c>
      <c r="X1388" s="34" t="s">
        <v>3551</v>
      </c>
      <c r="Y1388" s="34" t="s">
        <v>3542</v>
      </c>
      <c r="Z1388" s="34">
        <v>5</v>
      </c>
      <c r="AA1388" s="34" t="s">
        <v>3996</v>
      </c>
      <c r="AB1388" s="34" t="s">
        <v>4090</v>
      </c>
      <c r="AC1388" s="34" t="s">
        <v>4101</v>
      </c>
      <c r="AD1388" s="34" t="s">
        <v>3727</v>
      </c>
      <c r="AE1388" s="34" t="s">
        <v>4097</v>
      </c>
      <c r="AF1388" s="34" t="s">
        <v>4468</v>
      </c>
      <c r="AG1388" s="34" t="s">
        <v>4956</v>
      </c>
      <c r="AH1388" s="34" t="s">
        <v>6347</v>
      </c>
      <c r="AL1388" s="34" t="s">
        <v>7066</v>
      </c>
      <c r="AM1388" s="40" t="s">
        <v>8095</v>
      </c>
      <c r="AT1388" s="44">
        <v>0</v>
      </c>
      <c r="AU1388" s="44"/>
      <c r="AV1388" s="46">
        <f>ROUND(Товары[[#This Row],[РРЦ финальная, руб.]]/$AU$1,2)</f>
        <v>0</v>
      </c>
      <c r="AW1388" s="45" t="str">
        <f>IFERROR(Товары[[#This Row],[РРЦ, евро]]/Товары[[#This Row],[IRP, Eur]],"-")</f>
        <v>-</v>
      </c>
      <c r="AX1388" s="42">
        <f>IFERROR(VLOOKUP(Товары[[#This Row],[SubGroup]],'Структура цен DIY'!$B:$C,2,FALSE),0)</f>
        <v>0.30000000000000004</v>
      </c>
      <c r="AY1388" s="44">
        <v>0</v>
      </c>
    </row>
    <row r="1389" spans="1:51" x14ac:dyDescent="0.25">
      <c r="A1389" s="34">
        <v>1387</v>
      </c>
      <c r="B1389" s="34" t="s">
        <v>50</v>
      </c>
      <c r="C1389" s="110" t="str">
        <f>IFERROR(INDEX(Структура_ассортимента[SuperCategory],MATCH(Товары[[#This Row],[SubGroup]],Структура_ассортимента[Subgroup],0)),"")</f>
        <v>O</v>
      </c>
      <c r="D1389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89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89" s="110" t="str">
        <f>IFERROR(INDEX(Структура_ассортимента[Product group],MATCH(Товары[[#This Row],[SubGroup]],Структура_ассортимента[Subgroup],0)),"")</f>
        <v>WPU_C</v>
      </c>
      <c r="G1389" s="110" t="str">
        <f>IFERROR(INDEX(Структура_ассортимента[Product group name ENG],MATCH(Товары[[#This Row],[SubGroup]],Структура_ассортимента[Subgroup],0)),"")</f>
        <v>Watering, Pumps</v>
      </c>
      <c r="H1389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89" s="36">
        <v>9117</v>
      </c>
      <c r="J1389" s="36" t="str">
        <f>IFERROR(INDEX(Структура_ассортимента[Generic Name (long)],MATCH(Товары[[#This Row],[SubGroup]],Структура_ассортимента[Subgroup],0)),"")</f>
        <v>TECHNICAL HOSE</v>
      </c>
      <c r="L1389" s="36">
        <v>901099501</v>
      </c>
      <c r="M1389" s="35" t="s">
        <v>3065</v>
      </c>
      <c r="Q1389" s="34" t="s">
        <v>3549</v>
      </c>
      <c r="R1389" s="34" t="s">
        <v>3540</v>
      </c>
      <c r="S1389" s="47">
        <v>35440</v>
      </c>
      <c r="T1389" s="47">
        <v>0</v>
      </c>
      <c r="U1389" s="47">
        <v>0</v>
      </c>
      <c r="V1389" s="34">
        <v>4078500711203</v>
      </c>
      <c r="W1389" s="34" t="s">
        <v>3550</v>
      </c>
      <c r="X1389" s="34" t="s">
        <v>3551</v>
      </c>
      <c r="Y1389" s="34" t="s">
        <v>3542</v>
      </c>
      <c r="Z1389" s="34">
        <v>10</v>
      </c>
      <c r="AA1389" s="34" t="s">
        <v>5645</v>
      </c>
      <c r="AB1389" s="34" t="s">
        <v>5645</v>
      </c>
      <c r="AC1389" s="34" t="s">
        <v>3653</v>
      </c>
      <c r="AD1389" s="34" t="s">
        <v>3653</v>
      </c>
      <c r="AE1389" s="34" t="s">
        <v>4942</v>
      </c>
      <c r="AF1389" s="34" t="s">
        <v>4432</v>
      </c>
      <c r="AG1389" s="34" t="s">
        <v>4231</v>
      </c>
      <c r="AH1389" s="34" t="s">
        <v>7071</v>
      </c>
      <c r="AL1389" s="34" t="s">
        <v>7069</v>
      </c>
      <c r="AM1389" s="40" t="s">
        <v>8095</v>
      </c>
      <c r="AT1389" s="44">
        <v>0</v>
      </c>
      <c r="AU1389" s="44"/>
      <c r="AV1389" s="46">
        <f>ROUND(Товары[[#This Row],[РРЦ финальная, руб.]]/$AU$1,2)</f>
        <v>0</v>
      </c>
      <c r="AW1389" s="45" t="str">
        <f>IFERROR(Товары[[#This Row],[РРЦ, евро]]/Товары[[#This Row],[IRP, Eur]],"-")</f>
        <v>-</v>
      </c>
      <c r="AX1389" s="42">
        <f>IFERROR(VLOOKUP(Товары[[#This Row],[SubGroup]],'Структура цен DIY'!$B:$C,2,FALSE),0)</f>
        <v>0.30000000000000004</v>
      </c>
      <c r="AY1389" s="44">
        <v>0</v>
      </c>
    </row>
    <row r="1390" spans="1:51" x14ac:dyDescent="0.25">
      <c r="A1390" s="34">
        <v>1388</v>
      </c>
      <c r="B1390" s="34" t="s">
        <v>50</v>
      </c>
      <c r="C1390" s="110" t="str">
        <f>IFERROR(INDEX(Структура_ассортимента[SuperCategory],MATCH(Товары[[#This Row],[SubGroup]],Структура_ассортимента[Subgroup],0)),"")</f>
        <v>O</v>
      </c>
      <c r="D1390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90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90" s="110" t="str">
        <f>IFERROR(INDEX(Структура_ассортимента[Product group],MATCH(Товары[[#This Row],[SubGroup]],Структура_ассортимента[Subgroup],0)),"")</f>
        <v>WPU_C</v>
      </c>
      <c r="G1390" s="110" t="str">
        <f>IFERROR(INDEX(Структура_ассортимента[Product group name ENG],MATCH(Товары[[#This Row],[SubGroup]],Структура_ассортимента[Subgroup],0)),"")</f>
        <v>Watering, Pumps</v>
      </c>
      <c r="H1390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90" s="36">
        <v>9117</v>
      </c>
      <c r="J1390" s="36" t="str">
        <f>IFERROR(INDEX(Структура_ассортимента[Generic Name (long)],MATCH(Товары[[#This Row],[SubGroup]],Структура_ассортимента[Subgroup],0)),"")</f>
        <v>TECHNICAL HOSE</v>
      </c>
      <c r="L1390" s="36">
        <v>901099601</v>
      </c>
      <c r="M1390" s="35" t="s">
        <v>3066</v>
      </c>
      <c r="Q1390" s="34" t="s">
        <v>3549</v>
      </c>
      <c r="R1390" s="34" t="s">
        <v>3540</v>
      </c>
      <c r="S1390" s="47">
        <v>35440</v>
      </c>
      <c r="T1390" s="47">
        <v>0</v>
      </c>
      <c r="U1390" s="47">
        <v>0</v>
      </c>
      <c r="V1390" s="34">
        <v>4078500711401</v>
      </c>
      <c r="W1390" s="34" t="s">
        <v>3550</v>
      </c>
      <c r="X1390" s="34" t="s">
        <v>3551</v>
      </c>
      <c r="Y1390" s="34" t="s">
        <v>3542</v>
      </c>
      <c r="Z1390" s="34">
        <v>10</v>
      </c>
      <c r="AA1390" s="34" t="s">
        <v>3654</v>
      </c>
      <c r="AB1390" s="34" t="s">
        <v>3654</v>
      </c>
      <c r="AC1390" s="34" t="s">
        <v>6452</v>
      </c>
      <c r="AD1390" s="34" t="s">
        <v>6452</v>
      </c>
      <c r="AE1390" s="34" t="s">
        <v>4942</v>
      </c>
      <c r="AF1390" s="34" t="s">
        <v>4432</v>
      </c>
      <c r="AG1390" s="34" t="s">
        <v>3699</v>
      </c>
      <c r="AH1390" s="34" t="s">
        <v>7068</v>
      </c>
      <c r="AL1390" s="34" t="s">
        <v>7069</v>
      </c>
      <c r="AM1390" s="40" t="s">
        <v>8095</v>
      </c>
      <c r="AT1390" s="44">
        <v>0</v>
      </c>
      <c r="AU1390" s="44"/>
      <c r="AV1390" s="46">
        <f>ROUND(Товары[[#This Row],[РРЦ финальная, руб.]]/$AU$1,2)</f>
        <v>0</v>
      </c>
      <c r="AW1390" s="45" t="str">
        <f>IFERROR(Товары[[#This Row],[РРЦ, евро]]/Товары[[#This Row],[IRP, Eur]],"-")</f>
        <v>-</v>
      </c>
      <c r="AX1390" s="42">
        <f>IFERROR(VLOOKUP(Товары[[#This Row],[SubGroup]],'Структура цен DIY'!$B:$C,2,FALSE),0)</f>
        <v>0.30000000000000004</v>
      </c>
      <c r="AY1390" s="44">
        <v>0</v>
      </c>
    </row>
    <row r="1391" spans="1:51" x14ac:dyDescent="0.25">
      <c r="A1391" s="34">
        <v>1389</v>
      </c>
      <c r="B1391" s="34" t="s">
        <v>50</v>
      </c>
      <c r="C1391" s="110" t="str">
        <f>IFERROR(INDEX(Структура_ассортимента[SuperCategory],MATCH(Товары[[#This Row],[SubGroup]],Структура_ассортимента[Subgroup],0)),"")</f>
        <v>O</v>
      </c>
      <c r="D1391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91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91" s="110" t="str">
        <f>IFERROR(INDEX(Структура_ассортимента[Product group],MATCH(Товары[[#This Row],[SubGroup]],Структура_ассортимента[Subgroup],0)),"")</f>
        <v>WPU_C</v>
      </c>
      <c r="G1391" s="110" t="str">
        <f>IFERROR(INDEX(Структура_ассортимента[Product group name ENG],MATCH(Товары[[#This Row],[SubGroup]],Структура_ассортимента[Subgroup],0)),"")</f>
        <v>Watering, Pumps</v>
      </c>
      <c r="H1391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91" s="36">
        <v>9117</v>
      </c>
      <c r="J1391" s="36" t="str">
        <f>IFERROR(INDEX(Структура_ассортимента[Generic Name (long)],MATCH(Товары[[#This Row],[SubGroup]],Структура_ассортимента[Subgroup],0)),"")</f>
        <v>TECHNICAL HOSE</v>
      </c>
      <c r="L1391" s="36">
        <v>901099701</v>
      </c>
      <c r="M1391" s="35" t="s">
        <v>3067</v>
      </c>
      <c r="Q1391" s="34" t="s">
        <v>3549</v>
      </c>
      <c r="R1391" s="34" t="s">
        <v>3540</v>
      </c>
      <c r="S1391" s="47">
        <v>35440</v>
      </c>
      <c r="T1391" s="47">
        <v>0</v>
      </c>
      <c r="U1391" s="47">
        <v>0</v>
      </c>
      <c r="V1391" s="34">
        <v>4078500711500</v>
      </c>
      <c r="W1391" s="34" t="s">
        <v>3550</v>
      </c>
      <c r="X1391" s="34" t="s">
        <v>3551</v>
      </c>
      <c r="Y1391" s="34" t="s">
        <v>3542</v>
      </c>
      <c r="Z1391" s="34">
        <v>5</v>
      </c>
      <c r="AA1391" s="34" t="s">
        <v>3788</v>
      </c>
      <c r="AB1391" s="34" t="s">
        <v>3788</v>
      </c>
      <c r="AC1391" s="34" t="s">
        <v>3719</v>
      </c>
      <c r="AD1391" s="34" t="s">
        <v>3719</v>
      </c>
      <c r="AE1391" s="34" t="s">
        <v>4942</v>
      </c>
      <c r="AF1391" s="34" t="s">
        <v>4432</v>
      </c>
      <c r="AG1391" s="34" t="s">
        <v>3699</v>
      </c>
      <c r="AH1391" s="34" t="s">
        <v>7068</v>
      </c>
      <c r="AL1391" s="34" t="s">
        <v>7060</v>
      </c>
      <c r="AM1391" s="40" t="s">
        <v>8095</v>
      </c>
      <c r="AT1391" s="44">
        <v>0</v>
      </c>
      <c r="AU1391" s="44"/>
      <c r="AV1391" s="46">
        <f>ROUND(Товары[[#This Row],[РРЦ финальная, руб.]]/$AU$1,2)</f>
        <v>0</v>
      </c>
      <c r="AW1391" s="45" t="str">
        <f>IFERROR(Товары[[#This Row],[РРЦ, евро]]/Товары[[#This Row],[IRP, Eur]],"-")</f>
        <v>-</v>
      </c>
      <c r="AX1391" s="42">
        <f>IFERROR(VLOOKUP(Товары[[#This Row],[SubGroup]],'Структура цен DIY'!$B:$C,2,FALSE),0)</f>
        <v>0.30000000000000004</v>
      </c>
      <c r="AY1391" s="44">
        <v>0</v>
      </c>
    </row>
    <row r="1392" spans="1:51" x14ac:dyDescent="0.25">
      <c r="A1392" s="34">
        <v>1390</v>
      </c>
      <c r="B1392" s="34" t="s">
        <v>50</v>
      </c>
      <c r="C1392" s="110" t="str">
        <f>IFERROR(INDEX(Структура_ассортимента[SuperCategory],MATCH(Товары[[#This Row],[SubGroup]],Структура_ассортимента[Subgroup],0)),"")</f>
        <v>O</v>
      </c>
      <c r="D1392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92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92" s="110" t="str">
        <f>IFERROR(INDEX(Структура_ассортимента[Product group],MATCH(Товары[[#This Row],[SubGroup]],Структура_ассортимента[Subgroup],0)),"")</f>
        <v>WPU_C</v>
      </c>
      <c r="G1392" s="110" t="str">
        <f>IFERROR(INDEX(Структура_ассортимента[Product group name ENG],MATCH(Товары[[#This Row],[SubGroup]],Структура_ассортимента[Subgroup],0)),"")</f>
        <v>Watering, Pumps</v>
      </c>
      <c r="H1392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92" s="36">
        <v>9117</v>
      </c>
      <c r="J1392" s="36" t="str">
        <f>IFERROR(INDEX(Структура_ассортимента[Generic Name (long)],MATCH(Товары[[#This Row],[SubGroup]],Структура_ассортимента[Subgroup],0)),"")</f>
        <v>TECHNICAL HOSE</v>
      </c>
      <c r="L1392" s="36">
        <v>901099801</v>
      </c>
      <c r="M1392" s="35" t="s">
        <v>3068</v>
      </c>
      <c r="Q1392" s="34" t="s">
        <v>3549</v>
      </c>
      <c r="R1392" s="34" t="s">
        <v>3540</v>
      </c>
      <c r="S1392" s="47">
        <v>35440</v>
      </c>
      <c r="T1392" s="47">
        <v>0</v>
      </c>
      <c r="U1392" s="47">
        <v>0</v>
      </c>
      <c r="V1392" s="34">
        <v>4078500711609</v>
      </c>
      <c r="W1392" s="34" t="s">
        <v>3550</v>
      </c>
      <c r="X1392" s="34" t="s">
        <v>3551</v>
      </c>
      <c r="Y1392" s="34" t="s">
        <v>3542</v>
      </c>
      <c r="Z1392" s="34">
        <v>5</v>
      </c>
      <c r="AA1392" s="34" t="s">
        <v>7072</v>
      </c>
      <c r="AB1392" s="34" t="s">
        <v>7072</v>
      </c>
      <c r="AC1392" s="34" t="s">
        <v>3729</v>
      </c>
      <c r="AD1392" s="34" t="s">
        <v>3729</v>
      </c>
      <c r="AE1392" s="34" t="s">
        <v>3711</v>
      </c>
      <c r="AF1392" s="34" t="s">
        <v>4351</v>
      </c>
      <c r="AG1392" s="34" t="s">
        <v>4472</v>
      </c>
      <c r="AH1392" s="34" t="s">
        <v>7073</v>
      </c>
      <c r="AL1392" s="34" t="s">
        <v>7060</v>
      </c>
      <c r="AM1392" s="40" t="s">
        <v>8095</v>
      </c>
      <c r="AT1392" s="44">
        <v>0</v>
      </c>
      <c r="AU1392" s="44"/>
      <c r="AV1392" s="46">
        <f>ROUND(Товары[[#This Row],[РРЦ финальная, руб.]]/$AU$1,2)</f>
        <v>0</v>
      </c>
      <c r="AW1392" s="45" t="str">
        <f>IFERROR(Товары[[#This Row],[РРЦ, евро]]/Товары[[#This Row],[IRP, Eur]],"-")</f>
        <v>-</v>
      </c>
      <c r="AX1392" s="42">
        <f>IFERROR(VLOOKUP(Товары[[#This Row],[SubGroup]],'Структура цен DIY'!$B:$C,2,FALSE),0)</f>
        <v>0.30000000000000004</v>
      </c>
      <c r="AY1392" s="44">
        <v>0</v>
      </c>
    </row>
    <row r="1393" spans="1:51" x14ac:dyDescent="0.25">
      <c r="A1393" s="34">
        <v>1391</v>
      </c>
      <c r="B1393" s="34" t="s">
        <v>50</v>
      </c>
      <c r="C1393" s="110" t="str">
        <f>IFERROR(INDEX(Структура_ассортимента[SuperCategory],MATCH(Товары[[#This Row],[SubGroup]],Структура_ассортимента[Subgroup],0)),"")</f>
        <v>O</v>
      </c>
      <c r="D1393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93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93" s="110" t="str">
        <f>IFERROR(INDEX(Структура_ассортимента[Product group],MATCH(Товары[[#This Row],[SubGroup]],Структура_ассортимента[Subgroup],0)),"")</f>
        <v>WPU_C</v>
      </c>
      <c r="G1393" s="110" t="str">
        <f>IFERROR(INDEX(Структура_ассортимента[Product group name ENG],MATCH(Товары[[#This Row],[SubGroup]],Структура_ассортимента[Subgroup],0)),"")</f>
        <v>Watering, Pumps</v>
      </c>
      <c r="H1393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93" s="36">
        <v>9117</v>
      </c>
      <c r="J1393" s="36" t="str">
        <f>IFERROR(INDEX(Структура_ассортимента[Generic Name (long)],MATCH(Товары[[#This Row],[SubGroup]],Структура_ассортимента[Subgroup],0)),"")</f>
        <v>TECHNICAL HOSE</v>
      </c>
      <c r="L1393" s="36">
        <v>901100101</v>
      </c>
      <c r="M1393" s="35" t="s">
        <v>3069</v>
      </c>
      <c r="Q1393" s="34" t="s">
        <v>3549</v>
      </c>
      <c r="R1393" s="34" t="s">
        <v>3540</v>
      </c>
      <c r="S1393" s="47">
        <v>35440</v>
      </c>
      <c r="T1393" s="47">
        <v>0</v>
      </c>
      <c r="U1393" s="47">
        <v>0</v>
      </c>
      <c r="V1393" s="34">
        <v>4078500712002</v>
      </c>
      <c r="W1393" s="34" t="s">
        <v>3550</v>
      </c>
      <c r="X1393" s="34" t="s">
        <v>3551</v>
      </c>
      <c r="Y1393" s="34" t="s">
        <v>3542</v>
      </c>
      <c r="Z1393" s="34">
        <v>5</v>
      </c>
      <c r="AA1393" s="34" t="s">
        <v>7074</v>
      </c>
      <c r="AB1393" s="34" t="s">
        <v>7074</v>
      </c>
      <c r="AC1393" s="34" t="s">
        <v>3928</v>
      </c>
      <c r="AD1393" s="34" t="s">
        <v>3928</v>
      </c>
      <c r="AE1393" s="34" t="s">
        <v>3800</v>
      </c>
      <c r="AF1393" s="34" t="s">
        <v>4402</v>
      </c>
      <c r="AG1393" s="34" t="s">
        <v>4432</v>
      </c>
      <c r="AH1393" s="34" t="s">
        <v>6579</v>
      </c>
      <c r="AL1393" s="34" t="s">
        <v>7066</v>
      </c>
      <c r="AM1393" s="40" t="s">
        <v>8095</v>
      </c>
      <c r="AT1393" s="44">
        <v>0</v>
      </c>
      <c r="AU1393" s="44"/>
      <c r="AV1393" s="46">
        <f>ROUND(Товары[[#This Row],[РРЦ финальная, руб.]]/$AU$1,2)</f>
        <v>0</v>
      </c>
      <c r="AW1393" s="45" t="str">
        <f>IFERROR(Товары[[#This Row],[РРЦ, евро]]/Товары[[#This Row],[IRP, Eur]],"-")</f>
        <v>-</v>
      </c>
      <c r="AX1393" s="42">
        <f>IFERROR(VLOOKUP(Товары[[#This Row],[SubGroup]],'Структура цен DIY'!$B:$C,2,FALSE),0)</f>
        <v>0.30000000000000004</v>
      </c>
      <c r="AY1393" s="44">
        <v>0</v>
      </c>
    </row>
    <row r="1394" spans="1:51" x14ac:dyDescent="0.25">
      <c r="A1394" s="34">
        <v>1392</v>
      </c>
      <c r="B1394" s="34" t="s">
        <v>50</v>
      </c>
      <c r="C1394" s="110" t="str">
        <f>IFERROR(INDEX(Структура_ассортимента[SuperCategory],MATCH(Товары[[#This Row],[SubGroup]],Структура_ассортимента[Subgroup],0)),"")</f>
        <v>O</v>
      </c>
      <c r="D1394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94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94" s="110" t="str">
        <f>IFERROR(INDEX(Структура_ассортимента[Product group],MATCH(Товары[[#This Row],[SubGroup]],Структура_ассортимента[Subgroup],0)),"")</f>
        <v>WPU_C</v>
      </c>
      <c r="G1394" s="110" t="str">
        <f>IFERROR(INDEX(Структура_ассортимента[Product group name ENG],MATCH(Товары[[#This Row],[SubGroup]],Структура_ассортимента[Subgroup],0)),"")</f>
        <v>Watering, Pumps</v>
      </c>
      <c r="H1394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94" s="36">
        <v>9117</v>
      </c>
      <c r="J1394" s="36" t="str">
        <f>IFERROR(INDEX(Структура_ассортимента[Generic Name (long)],MATCH(Товары[[#This Row],[SubGroup]],Структура_ассортимента[Subgroup],0)),"")</f>
        <v>TECHNICAL HOSE</v>
      </c>
      <c r="L1394" s="36">
        <v>901100201</v>
      </c>
      <c r="M1394" s="35" t="s">
        <v>3070</v>
      </c>
      <c r="Q1394" s="34" t="s">
        <v>3549</v>
      </c>
      <c r="R1394" s="34" t="s">
        <v>3540</v>
      </c>
      <c r="S1394" s="47">
        <v>35440</v>
      </c>
      <c r="T1394" s="47">
        <v>0</v>
      </c>
      <c r="U1394" s="47">
        <v>0</v>
      </c>
      <c r="V1394" s="34">
        <v>4078500712101</v>
      </c>
      <c r="W1394" s="34" t="s">
        <v>3550</v>
      </c>
      <c r="X1394" s="34" t="s">
        <v>3551</v>
      </c>
      <c r="Y1394" s="34" t="s">
        <v>3542</v>
      </c>
      <c r="Z1394" s="34">
        <v>5</v>
      </c>
      <c r="AA1394" s="34" t="s">
        <v>7035</v>
      </c>
      <c r="AB1394" s="34" t="s">
        <v>7075</v>
      </c>
      <c r="AC1394" s="34" t="s">
        <v>4819</v>
      </c>
      <c r="AD1394" s="34" t="s">
        <v>4152</v>
      </c>
      <c r="AE1394" s="34" t="s">
        <v>4549</v>
      </c>
      <c r="AF1394" s="34" t="s">
        <v>4942</v>
      </c>
      <c r="AG1394" s="34" t="s">
        <v>4432</v>
      </c>
      <c r="AH1394" s="34" t="s">
        <v>7076</v>
      </c>
      <c r="AL1394" s="34" t="s">
        <v>7077</v>
      </c>
      <c r="AM1394" s="40" t="s">
        <v>8095</v>
      </c>
      <c r="AT1394" s="44">
        <v>0</v>
      </c>
      <c r="AU1394" s="44"/>
      <c r="AV1394" s="46">
        <f>ROUND(Товары[[#This Row],[РРЦ финальная, руб.]]/$AU$1,2)</f>
        <v>0</v>
      </c>
      <c r="AW1394" s="45" t="str">
        <f>IFERROR(Товары[[#This Row],[РРЦ, евро]]/Товары[[#This Row],[IRP, Eur]],"-")</f>
        <v>-</v>
      </c>
      <c r="AX1394" s="42">
        <f>IFERROR(VLOOKUP(Товары[[#This Row],[SubGroup]],'Структура цен DIY'!$B:$C,2,FALSE),0)</f>
        <v>0.30000000000000004</v>
      </c>
      <c r="AY1394" s="44">
        <v>0</v>
      </c>
    </row>
    <row r="1395" spans="1:51" x14ac:dyDescent="0.25">
      <c r="A1395" s="34">
        <v>1393</v>
      </c>
      <c r="B1395" s="34" t="s">
        <v>50</v>
      </c>
      <c r="C1395" s="110" t="str">
        <f>IFERROR(INDEX(Структура_ассортимента[SuperCategory],MATCH(Товары[[#This Row],[SubGroup]],Структура_ассортимента[Subgroup],0)),"")</f>
        <v>O</v>
      </c>
      <c r="D1395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95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95" s="110" t="str">
        <f>IFERROR(INDEX(Структура_ассортимента[Product group],MATCH(Товары[[#This Row],[SubGroup]],Структура_ассортимента[Subgroup],0)),"")</f>
        <v>WPU_C</v>
      </c>
      <c r="G1395" s="110" t="str">
        <f>IFERROR(INDEX(Структура_ассортимента[Product group name ENG],MATCH(Товары[[#This Row],[SubGroup]],Структура_ассортимента[Subgroup],0)),"")</f>
        <v>Watering, Pumps</v>
      </c>
      <c r="H1395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95" s="36">
        <v>9117</v>
      </c>
      <c r="J1395" s="36" t="str">
        <f>IFERROR(INDEX(Структура_ассортимента[Generic Name (long)],MATCH(Товары[[#This Row],[SubGroup]],Структура_ассортимента[Subgroup],0)),"")</f>
        <v>TECHNICAL HOSE</v>
      </c>
      <c r="L1395" s="36">
        <v>901100301</v>
      </c>
      <c r="M1395" s="35" t="s">
        <v>3071</v>
      </c>
      <c r="Q1395" s="34" t="s">
        <v>3549</v>
      </c>
      <c r="R1395" s="34" t="s">
        <v>3540</v>
      </c>
      <c r="S1395" s="47">
        <v>35440</v>
      </c>
      <c r="T1395" s="47">
        <v>0</v>
      </c>
      <c r="U1395" s="47">
        <v>0</v>
      </c>
      <c r="V1395" s="34">
        <v>4078500712200</v>
      </c>
      <c r="W1395" s="34" t="s">
        <v>3550</v>
      </c>
      <c r="X1395" s="34" t="s">
        <v>3551</v>
      </c>
      <c r="Y1395" s="34" t="s">
        <v>3542</v>
      </c>
      <c r="Z1395" s="34">
        <v>5</v>
      </c>
      <c r="AA1395" s="34" t="s">
        <v>4889</v>
      </c>
      <c r="AB1395" s="34" t="s">
        <v>4889</v>
      </c>
      <c r="AC1395" s="34" t="s">
        <v>4140</v>
      </c>
      <c r="AD1395" s="34" t="s">
        <v>4140</v>
      </c>
      <c r="AE1395" s="34" t="s">
        <v>4192</v>
      </c>
      <c r="AF1395" s="34" t="s">
        <v>3711</v>
      </c>
      <c r="AG1395" s="34" t="s">
        <v>4351</v>
      </c>
      <c r="AH1395" s="34" t="s">
        <v>7078</v>
      </c>
      <c r="AL1395" s="34" t="s">
        <v>7077</v>
      </c>
      <c r="AM1395" s="40" t="s">
        <v>8095</v>
      </c>
      <c r="AT1395" s="44">
        <v>0</v>
      </c>
      <c r="AU1395" s="44"/>
      <c r="AV1395" s="46">
        <f>ROUND(Товары[[#This Row],[РРЦ финальная, руб.]]/$AU$1,2)</f>
        <v>0</v>
      </c>
      <c r="AW1395" s="45" t="str">
        <f>IFERROR(Товары[[#This Row],[РРЦ, евро]]/Товары[[#This Row],[IRP, Eur]],"-")</f>
        <v>-</v>
      </c>
      <c r="AX1395" s="42">
        <f>IFERROR(VLOOKUP(Товары[[#This Row],[SubGroup]],'Структура цен DIY'!$B:$C,2,FALSE),0)</f>
        <v>0.30000000000000004</v>
      </c>
      <c r="AY1395" s="44">
        <v>0</v>
      </c>
    </row>
    <row r="1396" spans="1:51" x14ac:dyDescent="0.25">
      <c r="A1396" s="34">
        <v>1394</v>
      </c>
      <c r="B1396" s="34" t="s">
        <v>50</v>
      </c>
      <c r="C1396" s="110" t="str">
        <f>IFERROR(INDEX(Структура_ассортимента[SuperCategory],MATCH(Товары[[#This Row],[SubGroup]],Структура_ассортимента[Subgroup],0)),"")</f>
        <v>O</v>
      </c>
      <c r="D1396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96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96" s="110" t="str">
        <f>IFERROR(INDEX(Структура_ассортимента[Product group],MATCH(Товары[[#This Row],[SubGroup]],Структура_ассортимента[Subgroup],0)),"")</f>
        <v>WPU_C</v>
      </c>
      <c r="G1396" s="110" t="str">
        <f>IFERROR(INDEX(Структура_ассортимента[Product group name ENG],MATCH(Товары[[#This Row],[SubGroup]],Структура_ассортимента[Subgroup],0)),"")</f>
        <v>Watering, Pumps</v>
      </c>
      <c r="H1396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96" s="36">
        <v>9117</v>
      </c>
      <c r="J1396" s="36" t="str">
        <f>IFERROR(INDEX(Структура_ассортимента[Generic Name (long)],MATCH(Товары[[#This Row],[SubGroup]],Структура_ассортимента[Subgroup],0)),"")</f>
        <v>TECHNICAL HOSE</v>
      </c>
      <c r="L1396" s="36">
        <v>901100401</v>
      </c>
      <c r="M1396" s="35" t="s">
        <v>3072</v>
      </c>
      <c r="Q1396" s="34" t="s">
        <v>3549</v>
      </c>
      <c r="R1396" s="34" t="s">
        <v>3540</v>
      </c>
      <c r="S1396" s="47">
        <v>35440</v>
      </c>
      <c r="T1396" s="47">
        <v>0</v>
      </c>
      <c r="U1396" s="47">
        <v>0</v>
      </c>
      <c r="V1396" s="34">
        <v>4078500713009</v>
      </c>
      <c r="W1396" s="34" t="s">
        <v>3550</v>
      </c>
      <c r="X1396" s="34" t="s">
        <v>3551</v>
      </c>
      <c r="Y1396" s="34" t="s">
        <v>3542</v>
      </c>
      <c r="Z1396" s="34">
        <v>3</v>
      </c>
      <c r="AA1396" s="34" t="s">
        <v>4400</v>
      </c>
      <c r="AB1396" s="34" t="s">
        <v>4400</v>
      </c>
      <c r="AC1396" s="34" t="s">
        <v>4927</v>
      </c>
      <c r="AD1396" s="34" t="s">
        <v>4927</v>
      </c>
      <c r="AE1396" s="34" t="s">
        <v>4633</v>
      </c>
      <c r="AF1396" s="34" t="s">
        <v>4942</v>
      </c>
      <c r="AG1396" s="34" t="s">
        <v>4432</v>
      </c>
      <c r="AH1396" s="34" t="s">
        <v>7079</v>
      </c>
      <c r="AL1396" s="34" t="s">
        <v>5283</v>
      </c>
      <c r="AM1396" s="40" t="s">
        <v>8095</v>
      </c>
      <c r="AT1396" s="44">
        <v>0</v>
      </c>
      <c r="AU1396" s="44"/>
      <c r="AV1396" s="46">
        <f>ROUND(Товары[[#This Row],[РРЦ финальная, руб.]]/$AU$1,2)</f>
        <v>0</v>
      </c>
      <c r="AW1396" s="45" t="str">
        <f>IFERROR(Товары[[#This Row],[РРЦ, евро]]/Товары[[#This Row],[IRP, Eur]],"-")</f>
        <v>-</v>
      </c>
      <c r="AX1396" s="42">
        <f>IFERROR(VLOOKUP(Товары[[#This Row],[SubGroup]],'Структура цен DIY'!$B:$C,2,FALSE),0)</f>
        <v>0.30000000000000004</v>
      </c>
      <c r="AY1396" s="44">
        <v>0</v>
      </c>
    </row>
    <row r="1397" spans="1:51" x14ac:dyDescent="0.25">
      <c r="A1397" s="34">
        <v>1395</v>
      </c>
      <c r="B1397" s="34" t="s">
        <v>50</v>
      </c>
      <c r="C1397" s="110" t="str">
        <f>IFERROR(INDEX(Структура_ассортимента[SuperCategory],MATCH(Товары[[#This Row],[SubGroup]],Структура_ассортимента[Subgroup],0)),"")</f>
        <v>O</v>
      </c>
      <c r="D1397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97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97" s="110" t="str">
        <f>IFERROR(INDEX(Структура_ассортимента[Product group],MATCH(Товары[[#This Row],[SubGroup]],Структура_ассортимента[Subgroup],0)),"")</f>
        <v>WPU_C</v>
      </c>
      <c r="G1397" s="110" t="str">
        <f>IFERROR(INDEX(Структура_ассортимента[Product group name ENG],MATCH(Товары[[#This Row],[SubGroup]],Структура_ассортимента[Subgroup],0)),"")</f>
        <v>Watering, Pumps</v>
      </c>
      <c r="H1397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97" s="36">
        <v>9117</v>
      </c>
      <c r="J1397" s="36" t="str">
        <f>IFERROR(INDEX(Структура_ассортимента[Generic Name (long)],MATCH(Товары[[#This Row],[SubGroup]],Структура_ассортимента[Subgroup],0)),"")</f>
        <v>TECHNICAL HOSE</v>
      </c>
      <c r="L1397" s="36">
        <v>901100501</v>
      </c>
      <c r="M1397" s="35" t="s">
        <v>3073</v>
      </c>
      <c r="Q1397" s="34" t="s">
        <v>3549</v>
      </c>
      <c r="R1397" s="34" t="s">
        <v>3540</v>
      </c>
      <c r="S1397" s="47">
        <v>35440</v>
      </c>
      <c r="T1397" s="47">
        <v>0</v>
      </c>
      <c r="U1397" s="47">
        <v>0</v>
      </c>
      <c r="V1397" s="34">
        <v>4078500713108</v>
      </c>
      <c r="W1397" s="34" t="s">
        <v>3550</v>
      </c>
      <c r="X1397" s="34" t="s">
        <v>3551</v>
      </c>
      <c r="Y1397" s="34" t="s">
        <v>3542</v>
      </c>
      <c r="Z1397" s="34">
        <v>3</v>
      </c>
      <c r="AA1397" s="34" t="s">
        <v>6078</v>
      </c>
      <c r="AB1397" s="34" t="s">
        <v>6078</v>
      </c>
      <c r="AC1397" s="34" t="s">
        <v>4152</v>
      </c>
      <c r="AD1397" s="34" t="s">
        <v>4152</v>
      </c>
      <c r="AE1397" s="34" t="s">
        <v>3624</v>
      </c>
      <c r="AF1397" s="34" t="s">
        <v>4942</v>
      </c>
      <c r="AG1397" s="34" t="s">
        <v>4432</v>
      </c>
      <c r="AH1397" s="34" t="s">
        <v>7080</v>
      </c>
      <c r="AL1397" s="34" t="s">
        <v>5283</v>
      </c>
      <c r="AM1397" s="40" t="s">
        <v>8095</v>
      </c>
      <c r="AT1397" s="44">
        <v>0</v>
      </c>
      <c r="AU1397" s="44"/>
      <c r="AV1397" s="46">
        <f>ROUND(Товары[[#This Row],[РРЦ финальная, руб.]]/$AU$1,2)</f>
        <v>0</v>
      </c>
      <c r="AW1397" s="45" t="str">
        <f>IFERROR(Товары[[#This Row],[РРЦ, евро]]/Товары[[#This Row],[IRP, Eur]],"-")</f>
        <v>-</v>
      </c>
      <c r="AX1397" s="42">
        <f>IFERROR(VLOOKUP(Товары[[#This Row],[SubGroup]],'Структура цен DIY'!$B:$C,2,FALSE),0)</f>
        <v>0.30000000000000004</v>
      </c>
      <c r="AY1397" s="44">
        <v>0</v>
      </c>
    </row>
    <row r="1398" spans="1:51" x14ac:dyDescent="0.25">
      <c r="A1398" s="34">
        <v>1396</v>
      </c>
      <c r="B1398" s="34" t="s">
        <v>50</v>
      </c>
      <c r="C1398" s="110" t="str">
        <f>IFERROR(INDEX(Структура_ассортимента[SuperCategory],MATCH(Товары[[#This Row],[SubGroup]],Структура_ассортимента[Subgroup],0)),"")</f>
        <v>O</v>
      </c>
      <c r="D1398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98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98" s="110" t="str">
        <f>IFERROR(INDEX(Структура_ассортимента[Product group],MATCH(Товары[[#This Row],[SubGroup]],Структура_ассортимента[Subgroup],0)),"")</f>
        <v>WPU_C</v>
      </c>
      <c r="G1398" s="110" t="str">
        <f>IFERROR(INDEX(Структура_ассортимента[Product group name ENG],MATCH(Товары[[#This Row],[SubGroup]],Структура_ассортимента[Subgroup],0)),"")</f>
        <v>Watering, Pumps</v>
      </c>
      <c r="H1398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98" s="36">
        <v>9117</v>
      </c>
      <c r="J1398" s="36" t="str">
        <f>IFERROR(INDEX(Структура_ассортимента[Generic Name (long)],MATCH(Товары[[#This Row],[SubGroup]],Структура_ассортимента[Subgroup],0)),"")</f>
        <v>TECHNICAL HOSE</v>
      </c>
      <c r="L1398" s="36">
        <v>901100601</v>
      </c>
      <c r="M1398" s="35" t="s">
        <v>3074</v>
      </c>
      <c r="Q1398" s="34" t="s">
        <v>3549</v>
      </c>
      <c r="R1398" s="34" t="s">
        <v>3540</v>
      </c>
      <c r="S1398" s="47">
        <v>35440</v>
      </c>
      <c r="T1398" s="47">
        <v>0</v>
      </c>
      <c r="U1398" s="47">
        <v>0</v>
      </c>
      <c r="V1398" s="34">
        <v>4078500713207</v>
      </c>
      <c r="W1398" s="34" t="s">
        <v>3550</v>
      </c>
      <c r="X1398" s="34" t="s">
        <v>3551</v>
      </c>
      <c r="Y1398" s="34" t="s">
        <v>3542</v>
      </c>
      <c r="Z1398" s="34">
        <v>3</v>
      </c>
      <c r="AA1398" s="34" t="s">
        <v>6018</v>
      </c>
      <c r="AB1398" s="34" t="s">
        <v>6018</v>
      </c>
      <c r="AC1398" s="34" t="s">
        <v>4389</v>
      </c>
      <c r="AD1398" s="34" t="s">
        <v>4389</v>
      </c>
      <c r="AE1398" s="34" t="s">
        <v>3591</v>
      </c>
      <c r="AF1398" s="34" t="s">
        <v>4942</v>
      </c>
      <c r="AG1398" s="34" t="s">
        <v>4432</v>
      </c>
      <c r="AH1398" s="34" t="s">
        <v>7081</v>
      </c>
      <c r="AL1398" s="34" t="s">
        <v>5656</v>
      </c>
      <c r="AM1398" s="40" t="s">
        <v>8095</v>
      </c>
      <c r="AT1398" s="44">
        <v>0</v>
      </c>
      <c r="AU1398" s="44"/>
      <c r="AV1398" s="46">
        <f>ROUND(Товары[[#This Row],[РРЦ финальная, руб.]]/$AU$1,2)</f>
        <v>0</v>
      </c>
      <c r="AW1398" s="45" t="str">
        <f>IFERROR(Товары[[#This Row],[РРЦ, евро]]/Товары[[#This Row],[IRP, Eur]],"-")</f>
        <v>-</v>
      </c>
      <c r="AX1398" s="42">
        <f>IFERROR(VLOOKUP(Товары[[#This Row],[SubGroup]],'Структура цен DIY'!$B:$C,2,FALSE),0)</f>
        <v>0.30000000000000004</v>
      </c>
      <c r="AY1398" s="44">
        <v>0</v>
      </c>
    </row>
    <row r="1399" spans="1:51" x14ac:dyDescent="0.25">
      <c r="A1399" s="34">
        <v>1397</v>
      </c>
      <c r="B1399" s="34" t="s">
        <v>50</v>
      </c>
      <c r="C1399" s="110" t="str">
        <f>IFERROR(INDEX(Структура_ассортимента[SuperCategory],MATCH(Товары[[#This Row],[SubGroup]],Структура_ассортимента[Subgroup],0)),"")</f>
        <v>O</v>
      </c>
      <c r="D1399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99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99" s="110" t="str">
        <f>IFERROR(INDEX(Структура_ассортимента[Product group],MATCH(Товары[[#This Row],[SubGroup]],Структура_ассортимента[Subgroup],0)),"")</f>
        <v>WPU_C</v>
      </c>
      <c r="G1399" s="110" t="str">
        <f>IFERROR(INDEX(Структура_ассортимента[Product group name ENG],MATCH(Товары[[#This Row],[SubGroup]],Структура_ассортимента[Subgroup],0)),"")</f>
        <v>Watering, Pumps</v>
      </c>
      <c r="H1399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99" s="36">
        <v>9117</v>
      </c>
      <c r="J1399" s="36" t="str">
        <f>IFERROR(INDEX(Структура_ассортимента[Generic Name (long)],MATCH(Товары[[#This Row],[SubGroup]],Структура_ассортимента[Subgroup],0)),"")</f>
        <v>TECHNICAL HOSE</v>
      </c>
      <c r="L1399" s="36">
        <v>901101601</v>
      </c>
      <c r="M1399" s="35" t="s">
        <v>3075</v>
      </c>
      <c r="Q1399" s="34" t="s">
        <v>3549</v>
      </c>
      <c r="R1399" s="34" t="s">
        <v>3540</v>
      </c>
      <c r="S1399" s="47">
        <v>35440</v>
      </c>
      <c r="T1399" s="47">
        <v>0</v>
      </c>
      <c r="U1399" s="47">
        <v>0</v>
      </c>
      <c r="V1399" s="34">
        <v>4078500714907</v>
      </c>
      <c r="W1399" s="34" t="s">
        <v>3550</v>
      </c>
      <c r="X1399" s="34" t="s">
        <v>3551</v>
      </c>
      <c r="Y1399" s="34" t="s">
        <v>3542</v>
      </c>
      <c r="Z1399" s="34">
        <v>10</v>
      </c>
      <c r="AA1399" s="34" t="s">
        <v>6265</v>
      </c>
      <c r="AB1399" s="34" t="s">
        <v>6265</v>
      </c>
      <c r="AC1399" s="34" t="s">
        <v>4095</v>
      </c>
      <c r="AD1399" s="34" t="s">
        <v>4095</v>
      </c>
      <c r="AE1399" s="34" t="s">
        <v>4720</v>
      </c>
      <c r="AF1399" s="34" t="s">
        <v>4181</v>
      </c>
      <c r="AG1399" s="34" t="s">
        <v>4181</v>
      </c>
      <c r="AH1399" s="34" t="s">
        <v>7082</v>
      </c>
      <c r="AL1399" s="34" t="s">
        <v>6504</v>
      </c>
      <c r="AM1399" s="40" t="s">
        <v>8095</v>
      </c>
      <c r="AT1399" s="44">
        <v>0</v>
      </c>
      <c r="AU1399" s="44"/>
      <c r="AV1399" s="46">
        <f>ROUND(Товары[[#This Row],[РРЦ финальная, руб.]]/$AU$1,2)</f>
        <v>0</v>
      </c>
      <c r="AW1399" s="45" t="str">
        <f>IFERROR(Товары[[#This Row],[РРЦ, евро]]/Товары[[#This Row],[IRP, Eur]],"-")</f>
        <v>-</v>
      </c>
      <c r="AX1399" s="42">
        <f>IFERROR(VLOOKUP(Товары[[#This Row],[SubGroup]],'Структура цен DIY'!$B:$C,2,FALSE),0)</f>
        <v>0.30000000000000004</v>
      </c>
      <c r="AY1399" s="44">
        <v>0</v>
      </c>
    </row>
    <row r="1400" spans="1:51" x14ac:dyDescent="0.25">
      <c r="A1400" s="34">
        <v>1398</v>
      </c>
      <c r="B1400" s="34" t="s">
        <v>50</v>
      </c>
      <c r="C1400" s="110" t="str">
        <f>IFERROR(INDEX(Структура_ассортимента[SuperCategory],MATCH(Товары[[#This Row],[SubGroup]],Структура_ассортимента[Subgroup],0)),"")</f>
        <v>O</v>
      </c>
      <c r="D1400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00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00" s="110" t="str">
        <f>IFERROR(INDEX(Структура_ассортимента[Product group],MATCH(Товары[[#This Row],[SubGroup]],Структура_ассортимента[Subgroup],0)),"")</f>
        <v>WPU_C</v>
      </c>
      <c r="G1400" s="110" t="str">
        <f>IFERROR(INDEX(Структура_ассортимента[Product group name ENG],MATCH(Товары[[#This Row],[SubGroup]],Структура_ассортимента[Subgroup],0)),"")</f>
        <v>Watering, Pumps</v>
      </c>
      <c r="H1400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00" s="36">
        <v>9117</v>
      </c>
      <c r="J1400" s="36" t="str">
        <f>IFERROR(INDEX(Структура_ассортимента[Generic Name (long)],MATCH(Товары[[#This Row],[SubGroup]],Структура_ассортимента[Subgroup],0)),"")</f>
        <v>TECHNICAL HOSE</v>
      </c>
      <c r="L1400" s="36">
        <v>901101901</v>
      </c>
      <c r="M1400" s="35" t="s">
        <v>3076</v>
      </c>
      <c r="Q1400" s="34" t="s">
        <v>3549</v>
      </c>
      <c r="R1400" s="34" t="s">
        <v>3540</v>
      </c>
      <c r="S1400" s="47">
        <v>35440</v>
      </c>
      <c r="T1400" s="47">
        <v>0</v>
      </c>
      <c r="U1400" s="47">
        <v>0</v>
      </c>
      <c r="V1400" s="34">
        <v>4078500715508</v>
      </c>
      <c r="W1400" s="34" t="s">
        <v>3550</v>
      </c>
      <c r="X1400" s="34" t="s">
        <v>3551</v>
      </c>
      <c r="Y1400" s="34" t="s">
        <v>3542</v>
      </c>
      <c r="Z1400" s="34">
        <v>5</v>
      </c>
      <c r="AA1400" s="34" t="s">
        <v>3917</v>
      </c>
      <c r="AB1400" s="34" t="s">
        <v>3917</v>
      </c>
      <c r="AC1400" s="34" t="s">
        <v>3670</v>
      </c>
      <c r="AD1400" s="34" t="s">
        <v>3670</v>
      </c>
      <c r="AE1400" s="34" t="s">
        <v>4184</v>
      </c>
      <c r="AF1400" s="34" t="s">
        <v>4181</v>
      </c>
      <c r="AG1400" s="34" t="s">
        <v>4221</v>
      </c>
      <c r="AH1400" s="34" t="s">
        <v>7083</v>
      </c>
      <c r="AL1400" s="34" t="s">
        <v>7060</v>
      </c>
      <c r="AM1400" s="40" t="s">
        <v>8095</v>
      </c>
      <c r="AT1400" s="44">
        <v>0</v>
      </c>
      <c r="AU1400" s="44"/>
      <c r="AV1400" s="46">
        <f>ROUND(Товары[[#This Row],[РРЦ финальная, руб.]]/$AU$1,2)</f>
        <v>0</v>
      </c>
      <c r="AW1400" s="45" t="str">
        <f>IFERROR(Товары[[#This Row],[РРЦ, евро]]/Товары[[#This Row],[IRP, Eur]],"-")</f>
        <v>-</v>
      </c>
      <c r="AX1400" s="42">
        <f>IFERROR(VLOOKUP(Товары[[#This Row],[SubGroup]],'Структура цен DIY'!$B:$C,2,FALSE),0)</f>
        <v>0.30000000000000004</v>
      </c>
      <c r="AY1400" s="44">
        <v>0</v>
      </c>
    </row>
    <row r="1401" spans="1:51" x14ac:dyDescent="0.25">
      <c r="A1401" s="34">
        <v>1399</v>
      </c>
      <c r="B1401" s="34" t="s">
        <v>50</v>
      </c>
      <c r="C1401" s="110" t="str">
        <f>IFERROR(INDEX(Структура_ассортимента[SuperCategory],MATCH(Товары[[#This Row],[SubGroup]],Структура_ассортимента[Subgroup],0)),"")</f>
        <v>O</v>
      </c>
      <c r="D1401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01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01" s="110" t="str">
        <f>IFERROR(INDEX(Структура_ассортимента[Product group],MATCH(Товары[[#This Row],[SubGroup]],Структура_ассортимента[Subgroup],0)),"")</f>
        <v>WPU_C</v>
      </c>
      <c r="G1401" s="110" t="str">
        <f>IFERROR(INDEX(Структура_ассортимента[Product group name ENG],MATCH(Товары[[#This Row],[SubGroup]],Структура_ассортимента[Subgroup],0)),"")</f>
        <v>Watering, Pumps</v>
      </c>
      <c r="H1401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01" s="36">
        <v>9117</v>
      </c>
      <c r="J1401" s="36" t="str">
        <f>IFERROR(INDEX(Структура_ассортимента[Generic Name (long)],MATCH(Товары[[#This Row],[SubGroup]],Структура_ассортимента[Subgroup],0)),"")</f>
        <v>TECHNICAL HOSE</v>
      </c>
      <c r="L1401" s="36">
        <v>901102001</v>
      </c>
      <c r="M1401" s="35" t="s">
        <v>3077</v>
      </c>
      <c r="Q1401" s="34" t="s">
        <v>3549</v>
      </c>
      <c r="R1401" s="34" t="s">
        <v>3540</v>
      </c>
      <c r="S1401" s="47">
        <v>35440</v>
      </c>
      <c r="T1401" s="47">
        <v>0</v>
      </c>
      <c r="U1401" s="47">
        <v>0</v>
      </c>
      <c r="V1401" s="34">
        <v>4078500716000</v>
      </c>
      <c r="W1401" s="34" t="s">
        <v>3550</v>
      </c>
      <c r="X1401" s="34" t="s">
        <v>3551</v>
      </c>
      <c r="Y1401" s="34" t="s">
        <v>3542</v>
      </c>
      <c r="Z1401" s="34">
        <v>5</v>
      </c>
      <c r="AA1401" s="34" t="s">
        <v>7084</v>
      </c>
      <c r="AB1401" s="34" t="s">
        <v>7084</v>
      </c>
      <c r="AC1401" s="34" t="s">
        <v>4101</v>
      </c>
      <c r="AD1401" s="34" t="s">
        <v>4101</v>
      </c>
      <c r="AE1401" s="34" t="s">
        <v>4335</v>
      </c>
      <c r="AF1401" s="34" t="s">
        <v>4231</v>
      </c>
      <c r="AG1401" s="34" t="s">
        <v>4231</v>
      </c>
      <c r="AH1401" s="34" t="s">
        <v>7085</v>
      </c>
      <c r="AL1401" s="34" t="s">
        <v>7060</v>
      </c>
      <c r="AM1401" s="40" t="s">
        <v>8095</v>
      </c>
      <c r="AT1401" s="44">
        <v>0</v>
      </c>
      <c r="AU1401" s="44"/>
      <c r="AV1401" s="46">
        <f>ROUND(Товары[[#This Row],[РРЦ финальная, руб.]]/$AU$1,2)</f>
        <v>0</v>
      </c>
      <c r="AW1401" s="45" t="str">
        <f>IFERROR(Товары[[#This Row],[РРЦ, евро]]/Товары[[#This Row],[IRP, Eur]],"-")</f>
        <v>-</v>
      </c>
      <c r="AX1401" s="42">
        <f>IFERROR(VLOOKUP(Товары[[#This Row],[SubGroup]],'Структура цен DIY'!$B:$C,2,FALSE),0)</f>
        <v>0.30000000000000004</v>
      </c>
      <c r="AY1401" s="44">
        <v>0</v>
      </c>
    </row>
    <row r="1402" spans="1:51" x14ac:dyDescent="0.25">
      <c r="A1402" s="34">
        <v>1400</v>
      </c>
      <c r="B1402" s="34" t="s">
        <v>50</v>
      </c>
      <c r="C1402" s="110" t="str">
        <f>IFERROR(INDEX(Структура_ассортимента[SuperCategory],MATCH(Товары[[#This Row],[SubGroup]],Структура_ассортимента[Subgroup],0)),"")</f>
        <v>O</v>
      </c>
      <c r="D1402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02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02" s="110" t="str">
        <f>IFERROR(INDEX(Структура_ассортимента[Product group],MATCH(Товары[[#This Row],[SubGroup]],Структура_ассортимента[Subgroup],0)),"")</f>
        <v>WPU_C</v>
      </c>
      <c r="G1402" s="110" t="str">
        <f>IFERROR(INDEX(Структура_ассортимента[Product group name ENG],MATCH(Товары[[#This Row],[SubGroup]],Структура_ассортимента[Subgroup],0)),"")</f>
        <v>Watering, Pumps</v>
      </c>
      <c r="H1402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02" s="36">
        <v>9117</v>
      </c>
      <c r="J1402" s="36" t="str">
        <f>IFERROR(INDEX(Структура_ассортимента[Generic Name (long)],MATCH(Товары[[#This Row],[SubGroup]],Структура_ассортимента[Subgroup],0)),"")</f>
        <v>TECHNICAL HOSE</v>
      </c>
      <c r="L1402" s="36">
        <v>901106801</v>
      </c>
      <c r="M1402" s="35" t="s">
        <v>3078</v>
      </c>
      <c r="Q1402" s="34" t="s">
        <v>3549</v>
      </c>
      <c r="R1402" s="34" t="s">
        <v>3540</v>
      </c>
      <c r="S1402" s="47">
        <v>35440</v>
      </c>
      <c r="T1402" s="47">
        <v>0</v>
      </c>
      <c r="U1402" s="47">
        <v>0</v>
      </c>
      <c r="V1402" s="34">
        <v>4078500728607</v>
      </c>
      <c r="W1402" s="34" t="s">
        <v>3550</v>
      </c>
      <c r="X1402" s="34" t="s">
        <v>3551</v>
      </c>
      <c r="Y1402" s="34" t="s">
        <v>3542</v>
      </c>
      <c r="Z1402" s="34">
        <v>5</v>
      </c>
      <c r="AA1402" s="34" t="s">
        <v>5633</v>
      </c>
      <c r="AB1402" s="34" t="s">
        <v>5633</v>
      </c>
      <c r="AC1402" s="34" t="s">
        <v>5628</v>
      </c>
      <c r="AD1402" s="34" t="s">
        <v>5628</v>
      </c>
      <c r="AE1402" s="34" t="s">
        <v>4181</v>
      </c>
      <c r="AF1402" s="34" t="s">
        <v>4351</v>
      </c>
      <c r="AG1402" s="34" t="s">
        <v>4472</v>
      </c>
      <c r="AH1402" s="34" t="s">
        <v>7070</v>
      </c>
      <c r="AL1402" s="34" t="s">
        <v>7060</v>
      </c>
      <c r="AM1402" s="40" t="s">
        <v>8095</v>
      </c>
      <c r="AT1402" s="44">
        <v>0</v>
      </c>
      <c r="AU1402" s="44"/>
      <c r="AV1402" s="46">
        <f>ROUND(Товары[[#This Row],[РРЦ финальная, руб.]]/$AU$1,2)</f>
        <v>0</v>
      </c>
      <c r="AW1402" s="45" t="str">
        <f>IFERROR(Товары[[#This Row],[РРЦ, евро]]/Товары[[#This Row],[IRP, Eur]],"-")</f>
        <v>-</v>
      </c>
      <c r="AX1402" s="42">
        <f>IFERROR(VLOOKUP(Товары[[#This Row],[SubGroup]],'Структура цен DIY'!$B:$C,2,FALSE),0)</f>
        <v>0.30000000000000004</v>
      </c>
      <c r="AY1402" s="44">
        <v>0</v>
      </c>
    </row>
    <row r="1403" spans="1:51" x14ac:dyDescent="0.25">
      <c r="A1403" s="34">
        <v>1401</v>
      </c>
      <c r="B1403" s="34" t="s">
        <v>50</v>
      </c>
      <c r="C1403" s="110" t="str">
        <f>IFERROR(INDEX(Структура_ассортимента[SuperCategory],MATCH(Товары[[#This Row],[SubGroup]],Структура_ассортимента[Subgroup],0)),"")</f>
        <v>O</v>
      </c>
      <c r="D1403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03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03" s="110" t="str">
        <f>IFERROR(INDEX(Структура_ассортимента[Product group],MATCH(Товары[[#This Row],[SubGroup]],Структура_ассортимента[Subgroup],0)),"")</f>
        <v>WPU_C</v>
      </c>
      <c r="G1403" s="110" t="str">
        <f>IFERROR(INDEX(Структура_ассортимента[Product group name ENG],MATCH(Товары[[#This Row],[SubGroup]],Структура_ассортимента[Subgroup],0)),"")</f>
        <v>Watering, Pumps</v>
      </c>
      <c r="H1403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03" s="36">
        <v>9117</v>
      </c>
      <c r="J1403" s="36" t="str">
        <f>IFERROR(INDEX(Структура_ассортимента[Generic Name (long)],MATCH(Товары[[#This Row],[SubGroup]],Структура_ассортимента[Subgroup],0)),"")</f>
        <v>TECHNICAL HOSE</v>
      </c>
      <c r="L1403" s="36">
        <v>901100801</v>
      </c>
      <c r="M1403" s="35" t="s">
        <v>3079</v>
      </c>
      <c r="Q1403" s="34" t="s">
        <v>3549</v>
      </c>
      <c r="R1403" s="34" t="s">
        <v>3540</v>
      </c>
      <c r="S1403" s="47">
        <v>35440</v>
      </c>
      <c r="T1403" s="47">
        <v>0</v>
      </c>
      <c r="U1403" s="47">
        <v>0</v>
      </c>
      <c r="V1403" s="34">
        <v>4078500714006</v>
      </c>
      <c r="W1403" s="34" t="s">
        <v>3550</v>
      </c>
      <c r="X1403" s="34" t="s">
        <v>3551</v>
      </c>
      <c r="Y1403" s="34" t="s">
        <v>3542</v>
      </c>
      <c r="Z1403" s="34">
        <v>10</v>
      </c>
      <c r="AA1403" s="34" t="s">
        <v>5629</v>
      </c>
      <c r="AB1403" s="34" t="s">
        <v>5629</v>
      </c>
      <c r="AC1403" s="34" t="s">
        <v>5888</v>
      </c>
      <c r="AD1403" s="34" t="s">
        <v>5888</v>
      </c>
      <c r="AE1403" s="34" t="s">
        <v>4468</v>
      </c>
      <c r="AF1403" s="34" t="s">
        <v>4780</v>
      </c>
      <c r="AG1403" s="34" t="s">
        <v>4234</v>
      </c>
      <c r="AH1403" s="34" t="s">
        <v>7086</v>
      </c>
      <c r="AL1403" s="34" t="s">
        <v>7087</v>
      </c>
      <c r="AM1403" s="40" t="s">
        <v>8095</v>
      </c>
      <c r="AT1403" s="44">
        <v>0</v>
      </c>
      <c r="AU1403" s="44"/>
      <c r="AV1403" s="46">
        <f>ROUND(Товары[[#This Row],[РРЦ финальная, руб.]]/$AU$1,2)</f>
        <v>0</v>
      </c>
      <c r="AW1403" s="45" t="str">
        <f>IFERROR(Товары[[#This Row],[РРЦ, евро]]/Товары[[#This Row],[IRP, Eur]],"-")</f>
        <v>-</v>
      </c>
      <c r="AX1403" s="42">
        <f>IFERROR(VLOOKUP(Товары[[#This Row],[SubGroup]],'Структура цен DIY'!$B:$C,2,FALSE),0)</f>
        <v>0.30000000000000004</v>
      </c>
      <c r="AY1403" s="44">
        <v>0</v>
      </c>
    </row>
    <row r="1404" spans="1:51" x14ac:dyDescent="0.25">
      <c r="A1404" s="34">
        <v>1402</v>
      </c>
      <c r="B1404" s="34" t="s">
        <v>50</v>
      </c>
      <c r="C1404" s="110" t="str">
        <f>IFERROR(INDEX(Структура_ассортимента[SuperCategory],MATCH(Товары[[#This Row],[SubGroup]],Структура_ассортимента[Subgroup],0)),"")</f>
        <v>O</v>
      </c>
      <c r="D1404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04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04" s="110" t="str">
        <f>IFERROR(INDEX(Структура_ассортимента[Product group],MATCH(Товары[[#This Row],[SubGroup]],Структура_ассортимента[Subgroup],0)),"")</f>
        <v>WPU_C</v>
      </c>
      <c r="G1404" s="110" t="str">
        <f>IFERROR(INDEX(Структура_ассортимента[Product group name ENG],MATCH(Товары[[#This Row],[SubGroup]],Структура_ассортимента[Subgroup],0)),"")</f>
        <v>Watering, Pumps</v>
      </c>
      <c r="H1404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04" s="36">
        <v>9117</v>
      </c>
      <c r="J1404" s="36" t="str">
        <f>IFERROR(INDEX(Структура_ассортимента[Generic Name (long)],MATCH(Товары[[#This Row],[SubGroup]],Структура_ассортимента[Subgroup],0)),"")</f>
        <v>TECHNICAL HOSE</v>
      </c>
      <c r="L1404" s="36">
        <v>901100901</v>
      </c>
      <c r="M1404" s="35" t="s">
        <v>3080</v>
      </c>
      <c r="Q1404" s="34" t="s">
        <v>3549</v>
      </c>
      <c r="R1404" s="34" t="s">
        <v>3540</v>
      </c>
      <c r="S1404" s="47">
        <v>35440</v>
      </c>
      <c r="T1404" s="47">
        <v>0</v>
      </c>
      <c r="U1404" s="47">
        <v>0</v>
      </c>
      <c r="V1404" s="34">
        <v>4078500714105</v>
      </c>
      <c r="W1404" s="34" t="s">
        <v>3550</v>
      </c>
      <c r="X1404" s="34" t="s">
        <v>3551</v>
      </c>
      <c r="Y1404" s="34" t="s">
        <v>3542</v>
      </c>
      <c r="Z1404" s="34">
        <v>10</v>
      </c>
      <c r="AA1404" s="34" t="s">
        <v>5644</v>
      </c>
      <c r="AB1404" s="34" t="s">
        <v>5644</v>
      </c>
      <c r="AC1404" s="34" t="s">
        <v>6584</v>
      </c>
      <c r="AD1404" s="34" t="s">
        <v>6584</v>
      </c>
      <c r="AE1404" s="34" t="s">
        <v>4239</v>
      </c>
      <c r="AF1404" s="34" t="s">
        <v>3931</v>
      </c>
      <c r="AG1404" s="34" t="s">
        <v>4231</v>
      </c>
      <c r="AH1404" s="34" t="s">
        <v>7088</v>
      </c>
      <c r="AL1404" s="34" t="s">
        <v>7069</v>
      </c>
      <c r="AM1404" s="40" t="s">
        <v>8095</v>
      </c>
      <c r="AT1404" s="44">
        <v>0</v>
      </c>
      <c r="AU1404" s="44"/>
      <c r="AV1404" s="46">
        <f>ROUND(Товары[[#This Row],[РРЦ финальная, руб.]]/$AU$1,2)</f>
        <v>0</v>
      </c>
      <c r="AW1404" s="45" t="str">
        <f>IFERROR(Товары[[#This Row],[РРЦ, евро]]/Товары[[#This Row],[IRP, Eur]],"-")</f>
        <v>-</v>
      </c>
      <c r="AX1404" s="42">
        <f>IFERROR(VLOOKUP(Товары[[#This Row],[SubGroup]],'Структура цен DIY'!$B:$C,2,FALSE),0)</f>
        <v>0.30000000000000004</v>
      </c>
      <c r="AY1404" s="44">
        <v>0</v>
      </c>
    </row>
    <row r="1405" spans="1:51" x14ac:dyDescent="0.25">
      <c r="A1405" s="34">
        <v>1403</v>
      </c>
      <c r="B1405" s="34" t="s">
        <v>50</v>
      </c>
      <c r="C1405" s="110" t="str">
        <f>IFERROR(INDEX(Структура_ассортимента[SuperCategory],MATCH(Товары[[#This Row],[SubGroup]],Структура_ассортимента[Subgroup],0)),"")</f>
        <v>O</v>
      </c>
      <c r="D1405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05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05" s="110" t="str">
        <f>IFERROR(INDEX(Структура_ассортимента[Product group],MATCH(Товары[[#This Row],[SubGroup]],Структура_ассортимента[Subgroup],0)),"")</f>
        <v>WPU_C</v>
      </c>
      <c r="G1405" s="110" t="str">
        <f>IFERROR(INDEX(Структура_ассортимента[Product group name ENG],MATCH(Товары[[#This Row],[SubGroup]],Структура_ассортимента[Subgroup],0)),"")</f>
        <v>Watering, Pumps</v>
      </c>
      <c r="H1405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05" s="36">
        <v>9117</v>
      </c>
      <c r="J1405" s="36" t="str">
        <f>IFERROR(INDEX(Структура_ассортимента[Generic Name (long)],MATCH(Товары[[#This Row],[SubGroup]],Структура_ассортимента[Subgroup],0)),"")</f>
        <v>TECHNICAL HOSE</v>
      </c>
      <c r="L1405" s="36">
        <v>901101001</v>
      </c>
      <c r="M1405" s="35" t="s">
        <v>3081</v>
      </c>
      <c r="Q1405" s="34" t="s">
        <v>3549</v>
      </c>
      <c r="R1405" s="34" t="s">
        <v>3540</v>
      </c>
      <c r="S1405" s="47">
        <v>35440</v>
      </c>
      <c r="T1405" s="47">
        <v>0</v>
      </c>
      <c r="U1405" s="47">
        <v>0</v>
      </c>
      <c r="V1405" s="34">
        <v>4078500714204</v>
      </c>
      <c r="W1405" s="34" t="s">
        <v>3550</v>
      </c>
      <c r="X1405" s="34" t="s">
        <v>3551</v>
      </c>
      <c r="Y1405" s="34" t="s">
        <v>3542</v>
      </c>
      <c r="Z1405" s="34">
        <v>5</v>
      </c>
      <c r="AA1405" s="34" t="s">
        <v>3654</v>
      </c>
      <c r="AB1405" s="34" t="s">
        <v>3654</v>
      </c>
      <c r="AC1405" s="34" t="s">
        <v>5645</v>
      </c>
      <c r="AD1405" s="34" t="s">
        <v>5645</v>
      </c>
      <c r="AE1405" s="34" t="s">
        <v>4239</v>
      </c>
      <c r="AF1405" s="34" t="s">
        <v>4463</v>
      </c>
      <c r="AG1405" s="34" t="s">
        <v>3699</v>
      </c>
      <c r="AH1405" s="34" t="s">
        <v>6503</v>
      </c>
      <c r="AL1405" s="34" t="s">
        <v>7060</v>
      </c>
      <c r="AM1405" s="40" t="s">
        <v>8095</v>
      </c>
      <c r="AT1405" s="44">
        <v>0</v>
      </c>
      <c r="AU1405" s="44"/>
      <c r="AV1405" s="46">
        <f>ROUND(Товары[[#This Row],[РРЦ финальная, руб.]]/$AU$1,2)</f>
        <v>0</v>
      </c>
      <c r="AW1405" s="45" t="str">
        <f>IFERROR(Товары[[#This Row],[РРЦ, евро]]/Товары[[#This Row],[IRP, Eur]],"-")</f>
        <v>-</v>
      </c>
      <c r="AX1405" s="42">
        <f>IFERROR(VLOOKUP(Товары[[#This Row],[SubGroup]],'Структура цен DIY'!$B:$C,2,FALSE),0)</f>
        <v>0.30000000000000004</v>
      </c>
      <c r="AY1405" s="44">
        <v>0</v>
      </c>
    </row>
    <row r="1406" spans="1:51" x14ac:dyDescent="0.25">
      <c r="A1406" s="34">
        <v>1404</v>
      </c>
      <c r="B1406" s="34" t="s">
        <v>50</v>
      </c>
      <c r="C1406" s="110" t="str">
        <f>IFERROR(INDEX(Структура_ассортимента[SuperCategory],MATCH(Товары[[#This Row],[SubGroup]],Структура_ассортимента[Subgroup],0)),"")</f>
        <v>O</v>
      </c>
      <c r="D1406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06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06" s="110" t="str">
        <f>IFERROR(INDEX(Структура_ассортимента[Product group],MATCH(Товары[[#This Row],[SubGroup]],Структура_ассортимента[Subgroup],0)),"")</f>
        <v>WPU_C</v>
      </c>
      <c r="G1406" s="110" t="str">
        <f>IFERROR(INDEX(Структура_ассортимента[Product group name ENG],MATCH(Товары[[#This Row],[SubGroup]],Структура_ассортимента[Subgroup],0)),"")</f>
        <v>Watering, Pumps</v>
      </c>
      <c r="H1406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06" s="36">
        <v>9117</v>
      </c>
      <c r="J1406" s="36" t="str">
        <f>IFERROR(INDEX(Структура_ассортимента[Generic Name (long)],MATCH(Товары[[#This Row],[SubGroup]],Структура_ассортимента[Subgroup],0)),"")</f>
        <v>TECHNICAL HOSE</v>
      </c>
      <c r="L1406" s="36">
        <v>901101101</v>
      </c>
      <c r="M1406" s="35" t="s">
        <v>3082</v>
      </c>
      <c r="Q1406" s="34" t="s">
        <v>3549</v>
      </c>
      <c r="R1406" s="34" t="s">
        <v>3540</v>
      </c>
      <c r="S1406" s="47">
        <v>35440</v>
      </c>
      <c r="T1406" s="47">
        <v>0</v>
      </c>
      <c r="U1406" s="47">
        <v>0</v>
      </c>
      <c r="V1406" s="34">
        <v>4078500714303</v>
      </c>
      <c r="W1406" s="34" t="s">
        <v>3550</v>
      </c>
      <c r="X1406" s="34" t="s">
        <v>3551</v>
      </c>
      <c r="Y1406" s="34" t="s">
        <v>3542</v>
      </c>
      <c r="Z1406" s="34">
        <v>10</v>
      </c>
      <c r="AA1406" s="34" t="s">
        <v>5628</v>
      </c>
      <c r="AB1406" s="34" t="s">
        <v>3653</v>
      </c>
      <c r="AC1406" s="34" t="s">
        <v>3779</v>
      </c>
      <c r="AD1406" s="34" t="s">
        <v>3779</v>
      </c>
      <c r="AE1406" s="34" t="s">
        <v>4239</v>
      </c>
      <c r="AF1406" s="34" t="s">
        <v>4468</v>
      </c>
      <c r="AG1406" s="34" t="s">
        <v>4231</v>
      </c>
      <c r="AH1406" s="34" t="s">
        <v>7089</v>
      </c>
      <c r="AL1406" s="34" t="s">
        <v>7087</v>
      </c>
      <c r="AM1406" s="40" t="s">
        <v>8095</v>
      </c>
      <c r="AT1406" s="44">
        <v>0</v>
      </c>
      <c r="AU1406" s="44"/>
      <c r="AV1406" s="46">
        <f>ROUND(Товары[[#This Row],[РРЦ финальная, руб.]]/$AU$1,2)</f>
        <v>0</v>
      </c>
      <c r="AW1406" s="45" t="str">
        <f>IFERROR(Товары[[#This Row],[РРЦ, евро]]/Товары[[#This Row],[IRP, Eur]],"-")</f>
        <v>-</v>
      </c>
      <c r="AX1406" s="42">
        <f>IFERROR(VLOOKUP(Товары[[#This Row],[SubGroup]],'Структура цен DIY'!$B:$C,2,FALSE),0)</f>
        <v>0.30000000000000004</v>
      </c>
      <c r="AY1406" s="44">
        <v>0</v>
      </c>
    </row>
    <row r="1407" spans="1:51" x14ac:dyDescent="0.25">
      <c r="A1407" s="34">
        <v>1405</v>
      </c>
      <c r="B1407" s="34" t="s">
        <v>50</v>
      </c>
      <c r="C1407" s="110" t="str">
        <f>IFERROR(INDEX(Структура_ассортимента[SuperCategory],MATCH(Товары[[#This Row],[SubGroup]],Структура_ассортимента[Subgroup],0)),"")</f>
        <v>O</v>
      </c>
      <c r="D1407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07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07" s="110" t="str">
        <f>IFERROR(INDEX(Структура_ассортимента[Product group],MATCH(Товары[[#This Row],[SubGroup]],Структура_ассортимента[Subgroup],0)),"")</f>
        <v>WPU_C</v>
      </c>
      <c r="G1407" s="110" t="str">
        <f>IFERROR(INDEX(Структура_ассортимента[Product group name ENG],MATCH(Товары[[#This Row],[SubGroup]],Структура_ассортимента[Subgroup],0)),"")</f>
        <v>Watering, Pumps</v>
      </c>
      <c r="H1407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07" s="36">
        <v>9117</v>
      </c>
      <c r="J1407" s="36" t="str">
        <f>IFERROR(INDEX(Структура_ассортимента[Generic Name (long)],MATCH(Товары[[#This Row],[SubGroup]],Структура_ассортимента[Subgroup],0)),"")</f>
        <v>TECHNICAL HOSE</v>
      </c>
      <c r="L1407" s="36">
        <v>901101201</v>
      </c>
      <c r="M1407" s="35" t="s">
        <v>3083</v>
      </c>
      <c r="Q1407" s="34" t="s">
        <v>3549</v>
      </c>
      <c r="R1407" s="34" t="s">
        <v>3540</v>
      </c>
      <c r="S1407" s="47">
        <v>35440</v>
      </c>
      <c r="T1407" s="47">
        <v>0</v>
      </c>
      <c r="U1407" s="47">
        <v>0</v>
      </c>
      <c r="V1407" s="34">
        <v>4078500714402</v>
      </c>
      <c r="W1407" s="34" t="s">
        <v>3550</v>
      </c>
      <c r="X1407" s="34" t="s">
        <v>3551</v>
      </c>
      <c r="Y1407" s="34" t="s">
        <v>3542</v>
      </c>
      <c r="Z1407" s="34">
        <v>10</v>
      </c>
      <c r="AA1407" s="34" t="s">
        <v>6526</v>
      </c>
      <c r="AB1407" s="34" t="s">
        <v>6526</v>
      </c>
      <c r="AC1407" s="34" t="s">
        <v>7090</v>
      </c>
      <c r="AD1407" s="34" t="s">
        <v>7090</v>
      </c>
      <c r="AE1407" s="34" t="s">
        <v>4468</v>
      </c>
      <c r="AF1407" s="34" t="s">
        <v>4775</v>
      </c>
      <c r="AG1407" s="34" t="s">
        <v>4234</v>
      </c>
      <c r="AH1407" s="34" t="s">
        <v>6491</v>
      </c>
      <c r="AL1407" s="34" t="s">
        <v>7087</v>
      </c>
      <c r="AM1407" s="40" t="s">
        <v>8095</v>
      </c>
      <c r="AT1407" s="44">
        <v>0</v>
      </c>
      <c r="AU1407" s="44"/>
      <c r="AV1407" s="46">
        <f>ROUND(Товары[[#This Row],[РРЦ финальная, руб.]]/$AU$1,2)</f>
        <v>0</v>
      </c>
      <c r="AW1407" s="45" t="str">
        <f>IFERROR(Товары[[#This Row],[РРЦ, евро]]/Товары[[#This Row],[IRP, Eur]],"-")</f>
        <v>-</v>
      </c>
      <c r="AX1407" s="42">
        <f>IFERROR(VLOOKUP(Товары[[#This Row],[SubGroup]],'Структура цен DIY'!$B:$C,2,FALSE),0)</f>
        <v>0.30000000000000004</v>
      </c>
      <c r="AY1407" s="44">
        <v>0</v>
      </c>
    </row>
    <row r="1408" spans="1:51" x14ac:dyDescent="0.25">
      <c r="A1408" s="34">
        <v>1406</v>
      </c>
      <c r="B1408" s="34" t="s">
        <v>50</v>
      </c>
      <c r="C1408" s="110" t="str">
        <f>IFERROR(INDEX(Структура_ассортимента[SuperCategory],MATCH(Товары[[#This Row],[SubGroup]],Структура_ассортимента[Subgroup],0)),"")</f>
        <v>O</v>
      </c>
      <c r="D1408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08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08" s="110" t="str">
        <f>IFERROR(INDEX(Структура_ассортимента[Product group],MATCH(Товары[[#This Row],[SubGroup]],Структура_ассортимента[Subgroup],0)),"")</f>
        <v>WPU_C</v>
      </c>
      <c r="G1408" s="110" t="str">
        <f>IFERROR(INDEX(Структура_ассортимента[Product group name ENG],MATCH(Товары[[#This Row],[SubGroup]],Структура_ассортимента[Subgroup],0)),"")</f>
        <v>Watering, Pumps</v>
      </c>
      <c r="H1408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08" s="36">
        <v>9117</v>
      </c>
      <c r="J1408" s="36" t="str">
        <f>IFERROR(INDEX(Структура_ассортимента[Generic Name (long)],MATCH(Товары[[#This Row],[SubGroup]],Структура_ассортимента[Subgroup],0)),"")</f>
        <v>TECHNICAL HOSE</v>
      </c>
      <c r="L1408" s="36">
        <v>901101301</v>
      </c>
      <c r="M1408" s="35" t="s">
        <v>3084</v>
      </c>
      <c r="Q1408" s="34" t="s">
        <v>3549</v>
      </c>
      <c r="R1408" s="34" t="s">
        <v>3540</v>
      </c>
      <c r="S1408" s="47">
        <v>35440</v>
      </c>
      <c r="T1408" s="47">
        <v>0</v>
      </c>
      <c r="U1408" s="47">
        <v>0</v>
      </c>
      <c r="V1408" s="34">
        <v>4078500714600</v>
      </c>
      <c r="W1408" s="34" t="s">
        <v>3550</v>
      </c>
      <c r="X1408" s="34" t="s">
        <v>3551</v>
      </c>
      <c r="Y1408" s="34" t="s">
        <v>3542</v>
      </c>
      <c r="Z1408" s="34">
        <v>10</v>
      </c>
      <c r="AA1408" s="34" t="s">
        <v>3780</v>
      </c>
      <c r="AB1408" s="34" t="s">
        <v>3780</v>
      </c>
      <c r="AC1408" s="34" t="s">
        <v>6455</v>
      </c>
      <c r="AD1408" s="34" t="s">
        <v>6455</v>
      </c>
      <c r="AE1408" s="34" t="s">
        <v>4231</v>
      </c>
      <c r="AF1408" s="34" t="s">
        <v>5126</v>
      </c>
      <c r="AG1408" s="34" t="s">
        <v>5126</v>
      </c>
      <c r="AH1408" s="34" t="s">
        <v>7091</v>
      </c>
      <c r="AL1408" s="34" t="s">
        <v>7087</v>
      </c>
      <c r="AM1408" s="40" t="s">
        <v>8095</v>
      </c>
      <c r="AT1408" s="44">
        <v>0</v>
      </c>
      <c r="AU1408" s="44"/>
      <c r="AV1408" s="46">
        <f>ROUND(Товары[[#This Row],[РРЦ финальная, руб.]]/$AU$1,2)</f>
        <v>0</v>
      </c>
      <c r="AW1408" s="45" t="str">
        <f>IFERROR(Товары[[#This Row],[РРЦ, евро]]/Товары[[#This Row],[IRP, Eur]],"-")</f>
        <v>-</v>
      </c>
      <c r="AX1408" s="42">
        <f>IFERROR(VLOOKUP(Товары[[#This Row],[SubGroup]],'Структура цен DIY'!$B:$C,2,FALSE),0)</f>
        <v>0.30000000000000004</v>
      </c>
      <c r="AY1408" s="44">
        <v>0</v>
      </c>
    </row>
    <row r="1409" spans="1:51" x14ac:dyDescent="0.25">
      <c r="A1409" s="34">
        <v>1407</v>
      </c>
      <c r="B1409" s="34" t="s">
        <v>50</v>
      </c>
      <c r="C1409" s="110" t="str">
        <f>IFERROR(INDEX(Структура_ассортимента[SuperCategory],MATCH(Товары[[#This Row],[SubGroup]],Структура_ассортимента[Subgroup],0)),"")</f>
        <v>O</v>
      </c>
      <c r="D1409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09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09" s="110" t="str">
        <f>IFERROR(INDEX(Структура_ассортимента[Product group],MATCH(Товары[[#This Row],[SubGroup]],Структура_ассортимента[Subgroup],0)),"")</f>
        <v>WPU_C</v>
      </c>
      <c r="G1409" s="110" t="str">
        <f>IFERROR(INDEX(Структура_ассортимента[Product group name ENG],MATCH(Товары[[#This Row],[SubGroup]],Структура_ассортимента[Subgroup],0)),"")</f>
        <v>Watering, Pumps</v>
      </c>
      <c r="H1409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09" s="36">
        <v>9117</v>
      </c>
      <c r="J1409" s="36" t="str">
        <f>IFERROR(INDEX(Структура_ассортимента[Generic Name (long)],MATCH(Товары[[#This Row],[SubGroup]],Структура_ассортимента[Subgroup],0)),"")</f>
        <v>TECHNICAL HOSE</v>
      </c>
      <c r="L1409" s="36">
        <v>901101401</v>
      </c>
      <c r="M1409" s="35" t="s">
        <v>3085</v>
      </c>
      <c r="Q1409" s="34" t="s">
        <v>3549</v>
      </c>
      <c r="R1409" s="34" t="s">
        <v>3540</v>
      </c>
      <c r="S1409" s="47">
        <v>35440</v>
      </c>
      <c r="T1409" s="47">
        <v>0</v>
      </c>
      <c r="U1409" s="47">
        <v>0</v>
      </c>
      <c r="V1409" s="34">
        <v>4078500714709</v>
      </c>
      <c r="W1409" s="34" t="s">
        <v>3550</v>
      </c>
      <c r="X1409" s="34" t="s">
        <v>3551</v>
      </c>
      <c r="Y1409" s="34" t="s">
        <v>3542</v>
      </c>
      <c r="Z1409" s="34">
        <v>10</v>
      </c>
      <c r="AA1409" s="34" t="s">
        <v>5602</v>
      </c>
      <c r="AB1409" s="34" t="s">
        <v>6470</v>
      </c>
      <c r="AC1409" s="34" t="s">
        <v>3780</v>
      </c>
      <c r="AD1409" s="34" t="s">
        <v>3780</v>
      </c>
      <c r="AE1409" s="34" t="s">
        <v>3699</v>
      </c>
      <c r="AF1409" s="34" t="s">
        <v>3932</v>
      </c>
      <c r="AG1409" s="34" t="s">
        <v>3932</v>
      </c>
      <c r="AH1409" s="34" t="s">
        <v>7092</v>
      </c>
      <c r="AL1409" s="34" t="s">
        <v>7087</v>
      </c>
      <c r="AM1409" s="40" t="s">
        <v>8095</v>
      </c>
      <c r="AT1409" s="44">
        <v>0</v>
      </c>
      <c r="AU1409" s="44"/>
      <c r="AV1409" s="46">
        <f>ROUND(Товары[[#This Row],[РРЦ финальная, руб.]]/$AU$1,2)</f>
        <v>0</v>
      </c>
      <c r="AW1409" s="45" t="str">
        <f>IFERROR(Товары[[#This Row],[РРЦ, евро]]/Товары[[#This Row],[IRP, Eur]],"-")</f>
        <v>-</v>
      </c>
      <c r="AX1409" s="42">
        <f>IFERROR(VLOOKUP(Товары[[#This Row],[SubGroup]],'Структура цен DIY'!$B:$C,2,FALSE),0)</f>
        <v>0.30000000000000004</v>
      </c>
      <c r="AY1409" s="44">
        <v>0</v>
      </c>
    </row>
    <row r="1410" spans="1:51" x14ac:dyDescent="0.25">
      <c r="A1410" s="34">
        <v>1408</v>
      </c>
      <c r="B1410" s="34" t="s">
        <v>50</v>
      </c>
      <c r="C1410" s="110" t="str">
        <f>IFERROR(INDEX(Структура_ассортимента[SuperCategory],MATCH(Товары[[#This Row],[SubGroup]],Структура_ассортимента[Subgroup],0)),"")</f>
        <v>O</v>
      </c>
      <c r="D1410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10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10" s="110" t="str">
        <f>IFERROR(INDEX(Структура_ассортимента[Product group],MATCH(Товары[[#This Row],[SubGroup]],Структура_ассортимента[Subgroup],0)),"")</f>
        <v>WPU_C</v>
      </c>
      <c r="G1410" s="110" t="str">
        <f>IFERROR(INDEX(Структура_ассортимента[Product group name ENG],MATCH(Товары[[#This Row],[SubGroup]],Структура_ассортимента[Subgroup],0)),"")</f>
        <v>Watering, Pumps</v>
      </c>
      <c r="H1410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10" s="36">
        <v>9117</v>
      </c>
      <c r="J1410" s="36" t="str">
        <f>IFERROR(INDEX(Структура_ассортимента[Generic Name (long)],MATCH(Товары[[#This Row],[SubGroup]],Структура_ассортимента[Subgroup],0)),"")</f>
        <v>TECHNICAL HOSE</v>
      </c>
      <c r="L1410" s="36">
        <v>901101501</v>
      </c>
      <c r="M1410" s="35" t="s">
        <v>3086</v>
      </c>
      <c r="Q1410" s="34" t="s">
        <v>3549</v>
      </c>
      <c r="R1410" s="34" t="s">
        <v>3540</v>
      </c>
      <c r="S1410" s="47">
        <v>35440</v>
      </c>
      <c r="T1410" s="47">
        <v>0</v>
      </c>
      <c r="U1410" s="47">
        <v>0</v>
      </c>
      <c r="V1410" s="34">
        <v>4078500714808</v>
      </c>
      <c r="W1410" s="34" t="s">
        <v>3550</v>
      </c>
      <c r="X1410" s="34" t="s">
        <v>3551</v>
      </c>
      <c r="Y1410" s="34" t="s">
        <v>3542</v>
      </c>
      <c r="Z1410" s="34">
        <v>10</v>
      </c>
      <c r="AA1410" s="34" t="s">
        <v>6594</v>
      </c>
      <c r="AB1410" s="34" t="s">
        <v>6594</v>
      </c>
      <c r="AC1410" s="34" t="s">
        <v>3776</v>
      </c>
      <c r="AD1410" s="34" t="s">
        <v>3776</v>
      </c>
      <c r="AE1410" s="34" t="s">
        <v>4780</v>
      </c>
      <c r="AF1410" s="34" t="s">
        <v>4260</v>
      </c>
      <c r="AG1410" s="34" t="s">
        <v>4260</v>
      </c>
      <c r="AH1410" s="34" t="s">
        <v>7093</v>
      </c>
      <c r="AL1410" s="34" t="s">
        <v>7087</v>
      </c>
      <c r="AM1410" s="40" t="s">
        <v>8095</v>
      </c>
      <c r="AT1410" s="44">
        <v>0</v>
      </c>
      <c r="AU1410" s="44"/>
      <c r="AV1410" s="46">
        <f>ROUND(Товары[[#This Row],[РРЦ финальная, руб.]]/$AU$1,2)</f>
        <v>0</v>
      </c>
      <c r="AW1410" s="45" t="str">
        <f>IFERROR(Товары[[#This Row],[РРЦ, евро]]/Товары[[#This Row],[IRP, Eur]],"-")</f>
        <v>-</v>
      </c>
      <c r="AX1410" s="42">
        <f>IFERROR(VLOOKUP(Товары[[#This Row],[SubGroup]],'Структура цен DIY'!$B:$C,2,FALSE),0)</f>
        <v>0.30000000000000004</v>
      </c>
      <c r="AY1410" s="44">
        <v>0</v>
      </c>
    </row>
    <row r="1411" spans="1:51" x14ac:dyDescent="0.25">
      <c r="A1411" s="34">
        <v>1409</v>
      </c>
      <c r="B1411" s="34" t="s">
        <v>50</v>
      </c>
      <c r="C1411" s="110" t="str">
        <f>IFERROR(INDEX(Структура_ассортимента[SuperCategory],MATCH(Товары[[#This Row],[SubGroup]],Структура_ассортимента[Subgroup],0)),"")</f>
        <v>O</v>
      </c>
      <c r="D1411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11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11" s="110" t="str">
        <f>IFERROR(INDEX(Структура_ассортимента[Product group],MATCH(Товары[[#This Row],[SubGroup]],Структура_ассортимента[Subgroup],0)),"")</f>
        <v>WPU_C</v>
      </c>
      <c r="G1411" s="110" t="str">
        <f>IFERROR(INDEX(Структура_ассортимента[Product group name ENG],MATCH(Товары[[#This Row],[SubGroup]],Структура_ассортимента[Subgroup],0)),"")</f>
        <v>Watering, Pumps</v>
      </c>
      <c r="H1411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11" s="36">
        <v>9117</v>
      </c>
      <c r="J1411" s="36" t="str">
        <f>IFERROR(INDEX(Структура_ассортимента[Generic Name (long)],MATCH(Товары[[#This Row],[SubGroup]],Структура_ассортимента[Subgroup],0)),"")</f>
        <v>TECHNICAL HOSE</v>
      </c>
      <c r="L1411" s="36">
        <v>901101701</v>
      </c>
      <c r="M1411" s="35" t="s">
        <v>3087</v>
      </c>
      <c r="Q1411" s="34" t="s">
        <v>3549</v>
      </c>
      <c r="R1411" s="34" t="s">
        <v>3540</v>
      </c>
      <c r="S1411" s="47">
        <v>35440</v>
      </c>
      <c r="T1411" s="47">
        <v>0</v>
      </c>
      <c r="U1411" s="47">
        <v>0</v>
      </c>
      <c r="V1411" s="34">
        <v>4078500715102</v>
      </c>
      <c r="W1411" s="34" t="s">
        <v>3550</v>
      </c>
      <c r="X1411" s="34" t="s">
        <v>3551</v>
      </c>
      <c r="Y1411" s="34" t="s">
        <v>3542</v>
      </c>
      <c r="Z1411" s="34">
        <v>5</v>
      </c>
      <c r="AA1411" s="34" t="s">
        <v>6048</v>
      </c>
      <c r="AB1411" s="34" t="s">
        <v>6048</v>
      </c>
      <c r="AC1411" s="34" t="s">
        <v>3719</v>
      </c>
      <c r="AD1411" s="34" t="s">
        <v>3719</v>
      </c>
      <c r="AE1411" s="34" t="s">
        <v>4161</v>
      </c>
      <c r="AF1411" s="34" t="s">
        <v>5125</v>
      </c>
      <c r="AG1411" s="34" t="s">
        <v>3672</v>
      </c>
      <c r="AH1411" s="34" t="s">
        <v>7059</v>
      </c>
      <c r="AL1411" s="34" t="s">
        <v>7060</v>
      </c>
      <c r="AM1411" s="40" t="s">
        <v>8095</v>
      </c>
      <c r="AT1411" s="44">
        <v>0</v>
      </c>
      <c r="AU1411" s="44"/>
      <c r="AV1411" s="46">
        <f>ROUND(Товары[[#This Row],[РРЦ финальная, руб.]]/$AU$1,2)</f>
        <v>0</v>
      </c>
      <c r="AW1411" s="45" t="str">
        <f>IFERROR(Товары[[#This Row],[РРЦ, евро]]/Товары[[#This Row],[IRP, Eur]],"-")</f>
        <v>-</v>
      </c>
      <c r="AX1411" s="42">
        <f>IFERROR(VLOOKUP(Товары[[#This Row],[SubGroup]],'Структура цен DIY'!$B:$C,2,FALSE),0)</f>
        <v>0.30000000000000004</v>
      </c>
      <c r="AY1411" s="44">
        <v>0</v>
      </c>
    </row>
    <row r="1412" spans="1:51" x14ac:dyDescent="0.25">
      <c r="A1412" s="34">
        <v>1410</v>
      </c>
      <c r="B1412" s="34" t="s">
        <v>50</v>
      </c>
      <c r="C1412" s="110" t="str">
        <f>IFERROR(INDEX(Структура_ассортимента[SuperCategory],MATCH(Товары[[#This Row],[SubGroup]],Структура_ассортимента[Subgroup],0)),"")</f>
        <v>O</v>
      </c>
      <c r="D1412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12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12" s="110" t="str">
        <f>IFERROR(INDEX(Структура_ассортимента[Product group],MATCH(Товары[[#This Row],[SubGroup]],Структура_ассортимента[Subgroup],0)),"")</f>
        <v>WPU_C</v>
      </c>
      <c r="G1412" s="110" t="str">
        <f>IFERROR(INDEX(Структура_ассортимента[Product group name ENG],MATCH(Товары[[#This Row],[SubGroup]],Структура_ассортимента[Subgroup],0)),"")</f>
        <v>Watering, Pumps</v>
      </c>
      <c r="H1412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12" s="36">
        <v>9117</v>
      </c>
      <c r="J1412" s="36" t="str">
        <f>IFERROR(INDEX(Структура_ассортимента[Generic Name (long)],MATCH(Товары[[#This Row],[SubGroup]],Структура_ассортимента[Subgroup],0)),"")</f>
        <v>TECHNICAL HOSE</v>
      </c>
      <c r="L1412" s="36">
        <v>901101801</v>
      </c>
      <c r="M1412" s="35" t="s">
        <v>3088</v>
      </c>
      <c r="Q1412" s="34" t="s">
        <v>3549</v>
      </c>
      <c r="R1412" s="34" t="s">
        <v>3540</v>
      </c>
      <c r="S1412" s="47">
        <v>35440</v>
      </c>
      <c r="T1412" s="47">
        <v>0</v>
      </c>
      <c r="U1412" s="47">
        <v>0</v>
      </c>
      <c r="V1412" s="34">
        <v>4078500715201</v>
      </c>
      <c r="W1412" s="34" t="s">
        <v>3550</v>
      </c>
      <c r="X1412" s="34" t="s">
        <v>3551</v>
      </c>
      <c r="Y1412" s="34" t="s">
        <v>3542</v>
      </c>
      <c r="Z1412" s="34">
        <v>5</v>
      </c>
      <c r="AA1412" s="34" t="s">
        <v>4101</v>
      </c>
      <c r="AB1412" s="34" t="s">
        <v>4101</v>
      </c>
      <c r="AC1412" s="34" t="s">
        <v>3676</v>
      </c>
      <c r="AD1412" s="34" t="s">
        <v>3676</v>
      </c>
      <c r="AE1412" s="34" t="s">
        <v>4335</v>
      </c>
      <c r="AF1412" s="34" t="s">
        <v>4207</v>
      </c>
      <c r="AG1412" s="34" t="s">
        <v>4231</v>
      </c>
      <c r="AH1412" s="34" t="s">
        <v>7094</v>
      </c>
      <c r="AL1412" s="34" t="s">
        <v>7060</v>
      </c>
      <c r="AM1412" s="40" t="s">
        <v>8095</v>
      </c>
      <c r="AT1412" s="44">
        <v>0</v>
      </c>
      <c r="AU1412" s="44"/>
      <c r="AV1412" s="46">
        <f>ROUND(Товары[[#This Row],[РРЦ финальная, руб.]]/$AU$1,2)</f>
        <v>0</v>
      </c>
      <c r="AW1412" s="45" t="str">
        <f>IFERROR(Товары[[#This Row],[РРЦ, евро]]/Товары[[#This Row],[IRP, Eur]],"-")</f>
        <v>-</v>
      </c>
      <c r="AX1412" s="42">
        <f>IFERROR(VLOOKUP(Товары[[#This Row],[SubGroup]],'Структура цен DIY'!$B:$C,2,FALSE),0)</f>
        <v>0.30000000000000004</v>
      </c>
      <c r="AY1412" s="44">
        <v>0</v>
      </c>
    </row>
    <row r="1413" spans="1:51" x14ac:dyDescent="0.25">
      <c r="A1413" s="34">
        <v>1411</v>
      </c>
      <c r="B1413" s="34" t="s">
        <v>50</v>
      </c>
      <c r="C1413" s="110" t="str">
        <f>IFERROR(INDEX(Структура_ассортимента[SuperCategory],MATCH(Товары[[#This Row],[SubGroup]],Структура_ассортимента[Subgroup],0)),"")</f>
        <v>O</v>
      </c>
      <c r="D1413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13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13" s="110" t="str">
        <f>IFERROR(INDEX(Структура_ассортимента[Product group],MATCH(Товары[[#This Row],[SubGroup]],Структура_ассортимента[Subgroup],0)),"")</f>
        <v>WPU_C</v>
      </c>
      <c r="G1413" s="110" t="str">
        <f>IFERROR(INDEX(Структура_ассортимента[Product group name ENG],MATCH(Товары[[#This Row],[SubGroup]],Структура_ассортимента[Subgroup],0)),"")</f>
        <v>Watering, Pumps</v>
      </c>
      <c r="H1413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13" s="36">
        <v>9117</v>
      </c>
      <c r="J1413" s="36" t="str">
        <f>IFERROR(INDEX(Структура_ассортимента[Generic Name (long)],MATCH(Товары[[#This Row],[SubGroup]],Структура_ассортимента[Subgroup],0)),"")</f>
        <v>TECHNICAL HOSE</v>
      </c>
      <c r="L1413" s="36">
        <v>901102101</v>
      </c>
      <c r="M1413" s="35" t="s">
        <v>3089</v>
      </c>
      <c r="Q1413" s="34" t="s">
        <v>3549</v>
      </c>
      <c r="R1413" s="34" t="s">
        <v>3540</v>
      </c>
      <c r="S1413" s="47">
        <v>35440</v>
      </c>
      <c r="T1413" s="47">
        <v>0</v>
      </c>
      <c r="U1413" s="47">
        <v>0</v>
      </c>
      <c r="V1413" s="34">
        <v>4078500716505</v>
      </c>
      <c r="W1413" s="34" t="s">
        <v>3550</v>
      </c>
      <c r="X1413" s="34" t="s">
        <v>3551</v>
      </c>
      <c r="Y1413" s="34" t="s">
        <v>3542</v>
      </c>
      <c r="Z1413" s="34">
        <v>5</v>
      </c>
      <c r="AA1413" s="34" t="s">
        <v>3671</v>
      </c>
      <c r="AB1413" s="34" t="s">
        <v>3671</v>
      </c>
      <c r="AC1413" s="34" t="s">
        <v>3670</v>
      </c>
      <c r="AD1413" s="34" t="s">
        <v>3670</v>
      </c>
      <c r="AE1413" s="34" t="s">
        <v>5613</v>
      </c>
      <c r="AF1413" s="34" t="s">
        <v>4421</v>
      </c>
      <c r="AG1413" s="34" t="s">
        <v>4421</v>
      </c>
      <c r="AH1413" s="34" t="s">
        <v>7083</v>
      </c>
      <c r="AL1413" s="34" t="s">
        <v>7060</v>
      </c>
      <c r="AM1413" s="40" t="s">
        <v>8095</v>
      </c>
      <c r="AT1413" s="44">
        <v>0</v>
      </c>
      <c r="AU1413" s="44"/>
      <c r="AV1413" s="46">
        <f>ROUND(Товары[[#This Row],[РРЦ финальная, руб.]]/$AU$1,2)</f>
        <v>0</v>
      </c>
      <c r="AW1413" s="45" t="str">
        <f>IFERROR(Товары[[#This Row],[РРЦ, евро]]/Товары[[#This Row],[IRP, Eur]],"-")</f>
        <v>-</v>
      </c>
      <c r="AX1413" s="42">
        <f>IFERROR(VLOOKUP(Товары[[#This Row],[SubGroup]],'Структура цен DIY'!$B:$C,2,FALSE),0)</f>
        <v>0.30000000000000004</v>
      </c>
      <c r="AY1413" s="44">
        <v>0</v>
      </c>
    </row>
    <row r="1414" spans="1:51" x14ac:dyDescent="0.25">
      <c r="A1414" s="34">
        <v>1412</v>
      </c>
      <c r="B1414" s="34" t="s">
        <v>50</v>
      </c>
      <c r="C1414" s="110" t="str">
        <f>IFERROR(INDEX(Структура_ассортимента[SuperCategory],MATCH(Товары[[#This Row],[SubGroup]],Структура_ассортимента[Subgroup],0)),"")</f>
        <v>O</v>
      </c>
      <c r="D1414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14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14" s="110" t="str">
        <f>IFERROR(INDEX(Структура_ассортимента[Product group],MATCH(Товары[[#This Row],[SubGroup]],Структура_ассортимента[Subgroup],0)),"")</f>
        <v>WPU_C</v>
      </c>
      <c r="G1414" s="110" t="str">
        <f>IFERROR(INDEX(Структура_ассортимента[Product group name ENG],MATCH(Товары[[#This Row],[SubGroup]],Структура_ассортимента[Subgroup],0)),"")</f>
        <v>Watering, Pumps</v>
      </c>
      <c r="H1414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14" s="36">
        <v>9117</v>
      </c>
      <c r="J1414" s="36" t="str">
        <f>IFERROR(INDEX(Структура_ассортимента[Generic Name (long)],MATCH(Товары[[#This Row],[SubGroup]],Структура_ассортимента[Subgroup],0)),"")</f>
        <v>TECHNICAL HOSE</v>
      </c>
      <c r="L1414" s="36">
        <v>901102201</v>
      </c>
      <c r="M1414" s="35" t="s">
        <v>3090</v>
      </c>
      <c r="Q1414" s="34" t="s">
        <v>3549</v>
      </c>
      <c r="R1414" s="34" t="s">
        <v>3540</v>
      </c>
      <c r="S1414" s="47">
        <v>35440</v>
      </c>
      <c r="T1414" s="47">
        <v>0</v>
      </c>
      <c r="U1414" s="47">
        <v>0</v>
      </c>
      <c r="V1414" s="34">
        <v>4078500716604</v>
      </c>
      <c r="W1414" s="34" t="s">
        <v>3550</v>
      </c>
      <c r="X1414" s="34" t="s">
        <v>3551</v>
      </c>
      <c r="Y1414" s="34" t="s">
        <v>3542</v>
      </c>
      <c r="Z1414" s="34">
        <v>5</v>
      </c>
      <c r="AA1414" s="34" t="s">
        <v>7095</v>
      </c>
      <c r="AB1414" s="34" t="s">
        <v>7095</v>
      </c>
      <c r="AC1414" s="34" t="s">
        <v>3670</v>
      </c>
      <c r="AD1414" s="34" t="s">
        <v>3670</v>
      </c>
      <c r="AE1414" s="34" t="s">
        <v>3576</v>
      </c>
      <c r="AF1414" s="34" t="s">
        <v>4406</v>
      </c>
      <c r="AG1414" s="34" t="s">
        <v>4406</v>
      </c>
      <c r="AH1414" s="34" t="s">
        <v>7096</v>
      </c>
      <c r="AL1414" s="34" t="s">
        <v>7066</v>
      </c>
      <c r="AM1414" s="40" t="s">
        <v>8095</v>
      </c>
      <c r="AT1414" s="44">
        <v>0</v>
      </c>
      <c r="AU1414" s="44"/>
      <c r="AV1414" s="46">
        <f>ROUND(Товары[[#This Row],[РРЦ финальная, руб.]]/$AU$1,2)</f>
        <v>0</v>
      </c>
      <c r="AW1414" s="45" t="str">
        <f>IFERROR(Товары[[#This Row],[РРЦ, евро]]/Товары[[#This Row],[IRP, Eur]],"-")</f>
        <v>-</v>
      </c>
      <c r="AX1414" s="42">
        <f>IFERROR(VLOOKUP(Товары[[#This Row],[SubGroup]],'Структура цен DIY'!$B:$C,2,FALSE),0)</f>
        <v>0.30000000000000004</v>
      </c>
      <c r="AY1414" s="44">
        <v>0</v>
      </c>
    </row>
    <row r="1415" spans="1:51" x14ac:dyDescent="0.25">
      <c r="A1415" s="34">
        <v>1413</v>
      </c>
      <c r="B1415" s="34" t="s">
        <v>50</v>
      </c>
      <c r="C1415" s="110" t="str">
        <f>IFERROR(INDEX(Структура_ассортимента[SuperCategory],MATCH(Товары[[#This Row],[SubGroup]],Структура_ассортимента[Subgroup],0)),"")</f>
        <v>O</v>
      </c>
      <c r="D1415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15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15" s="110" t="str">
        <f>IFERROR(INDEX(Структура_ассортимента[Product group],MATCH(Товары[[#This Row],[SubGroup]],Структура_ассортимента[Subgroup],0)),"")</f>
        <v>WPU_C</v>
      </c>
      <c r="G1415" s="110" t="str">
        <f>IFERROR(INDEX(Структура_ассортимента[Product group name ENG],MATCH(Товары[[#This Row],[SubGroup]],Структура_ассортимента[Subgroup],0)),"")</f>
        <v>Watering, Pumps</v>
      </c>
      <c r="H1415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15" s="36">
        <v>9117</v>
      </c>
      <c r="J1415" s="36" t="str">
        <f>IFERROR(INDEX(Структура_ассортимента[Generic Name (long)],MATCH(Товары[[#This Row],[SubGroup]],Структура_ассортимента[Subgroup],0)),"")</f>
        <v>TECHNICAL HOSE</v>
      </c>
      <c r="L1415" s="36">
        <v>901102301</v>
      </c>
      <c r="M1415" s="35" t="s">
        <v>3091</v>
      </c>
      <c r="Q1415" s="34" t="s">
        <v>3549</v>
      </c>
      <c r="R1415" s="34" t="s">
        <v>3540</v>
      </c>
      <c r="S1415" s="47">
        <v>35440</v>
      </c>
      <c r="T1415" s="47">
        <v>0</v>
      </c>
      <c r="U1415" s="47">
        <v>0</v>
      </c>
      <c r="V1415" s="34">
        <v>4078500718004</v>
      </c>
      <c r="W1415" s="34" t="s">
        <v>3550</v>
      </c>
      <c r="X1415" s="34" t="s">
        <v>3551</v>
      </c>
      <c r="Y1415" s="34" t="s">
        <v>3542</v>
      </c>
      <c r="Z1415" s="34">
        <v>10</v>
      </c>
      <c r="AA1415" s="34" t="s">
        <v>7097</v>
      </c>
      <c r="AB1415" s="34" t="s">
        <v>7097</v>
      </c>
      <c r="AC1415" s="34" t="s">
        <v>3780</v>
      </c>
      <c r="AD1415" s="34" t="s">
        <v>3780</v>
      </c>
      <c r="AE1415" s="34" t="s">
        <v>3754</v>
      </c>
      <c r="AF1415" s="34" t="s">
        <v>3808</v>
      </c>
      <c r="AG1415" s="34" t="s">
        <v>3808</v>
      </c>
      <c r="AH1415" s="34" t="s">
        <v>7098</v>
      </c>
      <c r="AL1415" s="34" t="s">
        <v>7087</v>
      </c>
      <c r="AM1415" s="40" t="s">
        <v>8095</v>
      </c>
      <c r="AT1415" s="44">
        <v>0</v>
      </c>
      <c r="AU1415" s="44"/>
      <c r="AV1415" s="46">
        <f>ROUND(Товары[[#This Row],[РРЦ финальная, руб.]]/$AU$1,2)</f>
        <v>0</v>
      </c>
      <c r="AW1415" s="45" t="str">
        <f>IFERROR(Товары[[#This Row],[РРЦ, евро]]/Товары[[#This Row],[IRP, Eur]],"-")</f>
        <v>-</v>
      </c>
      <c r="AX1415" s="42">
        <f>IFERROR(VLOOKUP(Товары[[#This Row],[SubGroup]],'Структура цен DIY'!$B:$C,2,FALSE),0)</f>
        <v>0.30000000000000004</v>
      </c>
      <c r="AY1415" s="44">
        <v>0</v>
      </c>
    </row>
    <row r="1416" spans="1:51" x14ac:dyDescent="0.25">
      <c r="A1416" s="34">
        <v>1414</v>
      </c>
      <c r="B1416" s="34" t="s">
        <v>50</v>
      </c>
      <c r="C1416" s="110" t="str">
        <f>IFERROR(INDEX(Структура_ассортимента[SuperCategory],MATCH(Товары[[#This Row],[SubGroup]],Структура_ассортимента[Subgroup],0)),"")</f>
        <v>O</v>
      </c>
      <c r="D1416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16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16" s="110" t="str">
        <f>IFERROR(INDEX(Структура_ассортимента[Product group],MATCH(Товары[[#This Row],[SubGroup]],Структура_ассортимента[Subgroup],0)),"")</f>
        <v>WPU_C</v>
      </c>
      <c r="G1416" s="110" t="str">
        <f>IFERROR(INDEX(Структура_ассортимента[Product group name ENG],MATCH(Товары[[#This Row],[SubGroup]],Структура_ассортимента[Subgroup],0)),"")</f>
        <v>Watering, Pumps</v>
      </c>
      <c r="H1416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16" s="36">
        <v>9117</v>
      </c>
      <c r="J1416" s="36" t="str">
        <f>IFERROR(INDEX(Структура_ассортимента[Generic Name (long)],MATCH(Товары[[#This Row],[SubGroup]],Структура_ассортимента[Subgroup],0)),"")</f>
        <v>TECHNICAL HOSE</v>
      </c>
      <c r="L1416" s="36">
        <v>901102401</v>
      </c>
      <c r="M1416" s="35" t="s">
        <v>3092</v>
      </c>
      <c r="Q1416" s="34" t="s">
        <v>3549</v>
      </c>
      <c r="R1416" s="34" t="s">
        <v>3540</v>
      </c>
      <c r="S1416" s="47">
        <v>35440</v>
      </c>
      <c r="T1416" s="47">
        <v>0</v>
      </c>
      <c r="U1416" s="47">
        <v>0</v>
      </c>
      <c r="V1416" s="34">
        <v>4078500718103</v>
      </c>
      <c r="W1416" s="34" t="s">
        <v>3550</v>
      </c>
      <c r="X1416" s="34" t="s">
        <v>3551</v>
      </c>
      <c r="Y1416" s="34" t="s">
        <v>3542</v>
      </c>
      <c r="Z1416" s="34">
        <v>10</v>
      </c>
      <c r="AA1416" s="34" t="s">
        <v>6518</v>
      </c>
      <c r="AB1416" s="34" t="s">
        <v>6518</v>
      </c>
      <c r="AC1416" s="34" t="s">
        <v>5629</v>
      </c>
      <c r="AD1416" s="34" t="s">
        <v>5629</v>
      </c>
      <c r="AE1416" s="34" t="s">
        <v>3754</v>
      </c>
      <c r="AF1416" s="34" t="s">
        <v>3678</v>
      </c>
      <c r="AG1416" s="34" t="s">
        <v>3678</v>
      </c>
      <c r="AH1416" s="34" t="s">
        <v>7099</v>
      </c>
      <c r="AL1416" s="34" t="s">
        <v>7087</v>
      </c>
      <c r="AM1416" s="40" t="s">
        <v>8095</v>
      </c>
      <c r="AT1416" s="44">
        <v>0</v>
      </c>
      <c r="AU1416" s="44"/>
      <c r="AV1416" s="46">
        <f>ROUND(Товары[[#This Row],[РРЦ финальная, руб.]]/$AU$1,2)</f>
        <v>0</v>
      </c>
      <c r="AW1416" s="45" t="str">
        <f>IFERROR(Товары[[#This Row],[РРЦ, евро]]/Товары[[#This Row],[IRP, Eur]],"-")</f>
        <v>-</v>
      </c>
      <c r="AX1416" s="42">
        <f>IFERROR(VLOOKUP(Товары[[#This Row],[SubGroup]],'Структура цен DIY'!$B:$C,2,FALSE),0)</f>
        <v>0.30000000000000004</v>
      </c>
      <c r="AY1416" s="44">
        <v>0</v>
      </c>
    </row>
    <row r="1417" spans="1:51" x14ac:dyDescent="0.25">
      <c r="A1417" s="34">
        <v>1415</v>
      </c>
      <c r="B1417" s="34" t="s">
        <v>50</v>
      </c>
      <c r="C1417" s="110" t="str">
        <f>IFERROR(INDEX(Структура_ассортимента[SuperCategory],MATCH(Товары[[#This Row],[SubGroup]],Структура_ассортимента[Subgroup],0)),"")</f>
        <v>O</v>
      </c>
      <c r="D1417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17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17" s="110" t="str">
        <f>IFERROR(INDEX(Структура_ассортимента[Product group],MATCH(Товары[[#This Row],[SubGroup]],Структура_ассортимента[Subgroup],0)),"")</f>
        <v>WPU_C</v>
      </c>
      <c r="G1417" s="110" t="str">
        <f>IFERROR(INDEX(Структура_ассортимента[Product group name ENG],MATCH(Товары[[#This Row],[SubGroup]],Структура_ассортимента[Subgroup],0)),"")</f>
        <v>Watering, Pumps</v>
      </c>
      <c r="H1417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17" s="36">
        <v>9117</v>
      </c>
      <c r="J1417" s="36" t="str">
        <f>IFERROR(INDEX(Структура_ассортимента[Generic Name (long)],MATCH(Товары[[#This Row],[SubGroup]],Структура_ассортимента[Subgroup],0)),"")</f>
        <v>TECHNICAL HOSE</v>
      </c>
      <c r="L1417" s="36">
        <v>901102501</v>
      </c>
      <c r="M1417" s="35" t="s">
        <v>3093</v>
      </c>
      <c r="Q1417" s="34" t="s">
        <v>3549</v>
      </c>
      <c r="R1417" s="34" t="s">
        <v>3540</v>
      </c>
      <c r="S1417" s="47">
        <v>35440</v>
      </c>
      <c r="T1417" s="47">
        <v>0</v>
      </c>
      <c r="U1417" s="47">
        <v>0</v>
      </c>
      <c r="V1417" s="34">
        <v>4078500718202</v>
      </c>
      <c r="W1417" s="34" t="s">
        <v>3550</v>
      </c>
      <c r="X1417" s="34" t="s">
        <v>3551</v>
      </c>
      <c r="Y1417" s="34" t="s">
        <v>3542</v>
      </c>
      <c r="Z1417" s="34">
        <v>5</v>
      </c>
      <c r="AA1417" s="34" t="s">
        <v>3653</v>
      </c>
      <c r="AB1417" s="34" t="s">
        <v>3653</v>
      </c>
      <c r="AC1417" s="34" t="s">
        <v>6530</v>
      </c>
      <c r="AD1417" s="34" t="s">
        <v>6530</v>
      </c>
      <c r="AE1417" s="34" t="s">
        <v>4181</v>
      </c>
      <c r="AF1417" s="34" t="s">
        <v>3801</v>
      </c>
      <c r="AG1417" s="34" t="s">
        <v>3801</v>
      </c>
      <c r="AH1417" s="34" t="s">
        <v>7100</v>
      </c>
      <c r="AL1417" s="34" t="s">
        <v>7060</v>
      </c>
      <c r="AM1417" s="40" t="s">
        <v>8095</v>
      </c>
      <c r="AT1417" s="44">
        <v>0</v>
      </c>
      <c r="AU1417" s="44"/>
      <c r="AV1417" s="46">
        <f>ROUND(Товары[[#This Row],[РРЦ финальная, руб.]]/$AU$1,2)</f>
        <v>0</v>
      </c>
      <c r="AW1417" s="45" t="str">
        <f>IFERROR(Товары[[#This Row],[РРЦ, евро]]/Товары[[#This Row],[IRP, Eur]],"-")</f>
        <v>-</v>
      </c>
      <c r="AX1417" s="42">
        <f>IFERROR(VLOOKUP(Товары[[#This Row],[SubGroup]],'Структура цен DIY'!$B:$C,2,FALSE),0)</f>
        <v>0.30000000000000004</v>
      </c>
      <c r="AY1417" s="44">
        <v>0</v>
      </c>
    </row>
    <row r="1418" spans="1:51" x14ac:dyDescent="0.25">
      <c r="A1418" s="34">
        <v>1416</v>
      </c>
      <c r="B1418" s="34" t="s">
        <v>50</v>
      </c>
      <c r="C1418" s="110" t="str">
        <f>IFERROR(INDEX(Структура_ассортимента[SuperCategory],MATCH(Товары[[#This Row],[SubGroup]],Структура_ассортимента[Subgroup],0)),"")</f>
        <v>O</v>
      </c>
      <c r="D1418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18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18" s="110" t="str">
        <f>IFERROR(INDEX(Структура_ассортимента[Product group],MATCH(Товары[[#This Row],[SubGroup]],Структура_ассортимента[Subgroup],0)),"")</f>
        <v>WPU_C</v>
      </c>
      <c r="G1418" s="110" t="str">
        <f>IFERROR(INDEX(Структура_ассортимента[Product group name ENG],MATCH(Товары[[#This Row],[SubGroup]],Структура_ассортимента[Subgroup],0)),"")</f>
        <v>Watering, Pumps</v>
      </c>
      <c r="H1418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18" s="36">
        <v>9117</v>
      </c>
      <c r="J1418" s="36" t="str">
        <f>IFERROR(INDEX(Структура_ассортимента[Generic Name (long)],MATCH(Товары[[#This Row],[SubGroup]],Структура_ассортимента[Subgroup],0)),"")</f>
        <v>TECHNICAL HOSE</v>
      </c>
      <c r="L1418" s="36">
        <v>901102601</v>
      </c>
      <c r="M1418" s="35" t="s">
        <v>3094</v>
      </c>
      <c r="Q1418" s="34" t="s">
        <v>3549</v>
      </c>
      <c r="R1418" s="34" t="s">
        <v>3540</v>
      </c>
      <c r="S1418" s="47">
        <v>35440</v>
      </c>
      <c r="T1418" s="47">
        <v>0</v>
      </c>
      <c r="U1418" s="47">
        <v>0</v>
      </c>
      <c r="V1418" s="34">
        <v>4078500718301</v>
      </c>
      <c r="W1418" s="34" t="s">
        <v>3550</v>
      </c>
      <c r="X1418" s="34" t="s">
        <v>3551</v>
      </c>
      <c r="Y1418" s="34" t="s">
        <v>3542</v>
      </c>
      <c r="Z1418" s="34">
        <v>5</v>
      </c>
      <c r="AA1418" s="34" t="s">
        <v>6028</v>
      </c>
      <c r="AB1418" s="34" t="s">
        <v>6028</v>
      </c>
      <c r="AC1418" s="34" t="s">
        <v>4090</v>
      </c>
      <c r="AD1418" s="34" t="s">
        <v>4090</v>
      </c>
      <c r="AE1418" s="34" t="s">
        <v>4161</v>
      </c>
      <c r="AF1418" s="34" t="s">
        <v>4260</v>
      </c>
      <c r="AG1418" s="34" t="s">
        <v>4260</v>
      </c>
      <c r="AH1418" s="34" t="s">
        <v>7101</v>
      </c>
      <c r="AL1418" s="34" t="s">
        <v>7060</v>
      </c>
      <c r="AM1418" s="40" t="s">
        <v>8095</v>
      </c>
      <c r="AT1418" s="44">
        <v>0</v>
      </c>
      <c r="AU1418" s="44"/>
      <c r="AV1418" s="46">
        <f>ROUND(Товары[[#This Row],[РРЦ финальная, руб.]]/$AU$1,2)</f>
        <v>0</v>
      </c>
      <c r="AW1418" s="45" t="str">
        <f>IFERROR(Товары[[#This Row],[РРЦ, евро]]/Товары[[#This Row],[IRP, Eur]],"-")</f>
        <v>-</v>
      </c>
      <c r="AX1418" s="42">
        <f>IFERROR(VLOOKUP(Товары[[#This Row],[SubGroup]],'Структура цен DIY'!$B:$C,2,FALSE),0)</f>
        <v>0.30000000000000004</v>
      </c>
      <c r="AY1418" s="44">
        <v>0</v>
      </c>
    </row>
    <row r="1419" spans="1:51" x14ac:dyDescent="0.25">
      <c r="A1419" s="34">
        <v>1417</v>
      </c>
      <c r="B1419" s="34" t="s">
        <v>50</v>
      </c>
      <c r="C1419" s="110" t="str">
        <f>IFERROR(INDEX(Структура_ассортимента[SuperCategory],MATCH(Товары[[#This Row],[SubGroup]],Структура_ассортимента[Subgroup],0)),"")</f>
        <v>O</v>
      </c>
      <c r="D1419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19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19" s="110" t="str">
        <f>IFERROR(INDEX(Структура_ассортимента[Product group],MATCH(Товары[[#This Row],[SubGroup]],Структура_ассортимента[Subgroup],0)),"")</f>
        <v>WPU_C</v>
      </c>
      <c r="G1419" s="110" t="str">
        <f>IFERROR(INDEX(Структура_ассортимента[Product group name ENG],MATCH(Товары[[#This Row],[SubGroup]],Структура_ассортимента[Subgroup],0)),"")</f>
        <v>Watering, Pumps</v>
      </c>
      <c r="H1419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19" s="36">
        <v>9117</v>
      </c>
      <c r="J1419" s="36" t="str">
        <f>IFERROR(INDEX(Структура_ассортимента[Generic Name (long)],MATCH(Товары[[#This Row],[SubGroup]],Структура_ассортимента[Subgroup],0)),"")</f>
        <v>TECHNICAL HOSE</v>
      </c>
      <c r="L1419" s="36">
        <v>901103901</v>
      </c>
      <c r="M1419" s="35" t="s">
        <v>3095</v>
      </c>
      <c r="Q1419" s="34" t="s">
        <v>3549</v>
      </c>
      <c r="R1419" s="34" t="s">
        <v>3540</v>
      </c>
      <c r="S1419" s="47">
        <v>35440</v>
      </c>
      <c r="T1419" s="47">
        <v>0</v>
      </c>
      <c r="U1419" s="47">
        <v>0</v>
      </c>
      <c r="V1419" s="34">
        <v>4078500722001</v>
      </c>
      <c r="W1419" s="34" t="s">
        <v>3550</v>
      </c>
      <c r="X1419" s="34" t="s">
        <v>3551</v>
      </c>
      <c r="Y1419" s="34" t="s">
        <v>3542</v>
      </c>
      <c r="Z1419" s="34">
        <v>5</v>
      </c>
      <c r="AA1419" s="34" t="s">
        <v>7102</v>
      </c>
      <c r="AB1419" s="34" t="s">
        <v>7102</v>
      </c>
      <c r="AC1419" s="34" t="s">
        <v>4101</v>
      </c>
      <c r="AD1419" s="34" t="s">
        <v>4101</v>
      </c>
      <c r="AE1419" s="34" t="s">
        <v>3800</v>
      </c>
      <c r="AF1419" s="34" t="s">
        <v>4472</v>
      </c>
      <c r="AG1419" s="34" t="s">
        <v>4472</v>
      </c>
      <c r="AH1419" s="34" t="s">
        <v>7103</v>
      </c>
      <c r="AL1419" s="34" t="s">
        <v>7066</v>
      </c>
      <c r="AM1419" s="40" t="s">
        <v>8095</v>
      </c>
      <c r="AT1419" s="44">
        <v>0</v>
      </c>
      <c r="AU1419" s="44"/>
      <c r="AV1419" s="46">
        <f>ROUND(Товары[[#This Row],[РРЦ финальная, руб.]]/$AU$1,2)</f>
        <v>0</v>
      </c>
      <c r="AW1419" s="45" t="str">
        <f>IFERROR(Товары[[#This Row],[РРЦ, евро]]/Товары[[#This Row],[IRP, Eur]],"-")</f>
        <v>-</v>
      </c>
      <c r="AX1419" s="42">
        <f>IFERROR(VLOOKUP(Товары[[#This Row],[SubGroup]],'Структура цен DIY'!$B:$C,2,FALSE),0)</f>
        <v>0.30000000000000004</v>
      </c>
      <c r="AY1419" s="44">
        <v>0</v>
      </c>
    </row>
    <row r="1420" spans="1:51" x14ac:dyDescent="0.25">
      <c r="A1420" s="34">
        <v>1418</v>
      </c>
      <c r="B1420" s="34" t="s">
        <v>50</v>
      </c>
      <c r="C1420" s="110" t="str">
        <f>IFERROR(INDEX(Структура_ассортимента[SuperCategory],MATCH(Товары[[#This Row],[SubGroup]],Структура_ассортимента[Subgroup],0)),"")</f>
        <v>O</v>
      </c>
      <c r="D1420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20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20" s="110" t="str">
        <f>IFERROR(INDEX(Структура_ассортимента[Product group],MATCH(Товары[[#This Row],[SubGroup]],Структура_ассортимента[Subgroup],0)),"")</f>
        <v>WPU_C</v>
      </c>
      <c r="G1420" s="110" t="str">
        <f>IFERROR(INDEX(Структура_ассортимента[Product group name ENG],MATCH(Товары[[#This Row],[SubGroup]],Структура_ассортимента[Subgroup],0)),"")</f>
        <v>Watering, Pumps</v>
      </c>
      <c r="H1420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20" s="36">
        <v>9117</v>
      </c>
      <c r="J1420" s="36" t="str">
        <f>IFERROR(INDEX(Структура_ассортимента[Generic Name (long)],MATCH(Товары[[#This Row],[SubGroup]],Структура_ассортимента[Subgroup],0)),"")</f>
        <v>TECHNICAL HOSE</v>
      </c>
      <c r="L1420" s="36">
        <v>901104101</v>
      </c>
      <c r="M1420" s="35" t="s">
        <v>3096</v>
      </c>
      <c r="Q1420" s="34" t="s">
        <v>3549</v>
      </c>
      <c r="R1420" s="34" t="s">
        <v>3540</v>
      </c>
      <c r="S1420" s="47">
        <v>35440</v>
      </c>
      <c r="T1420" s="47">
        <v>0</v>
      </c>
      <c r="U1420" s="47">
        <v>0</v>
      </c>
      <c r="V1420" s="34">
        <v>4078500722209</v>
      </c>
      <c r="W1420" s="34" t="s">
        <v>3550</v>
      </c>
      <c r="X1420" s="34" t="s">
        <v>3551</v>
      </c>
      <c r="Y1420" s="34" t="s">
        <v>3542</v>
      </c>
      <c r="Z1420" s="34">
        <v>3</v>
      </c>
      <c r="AA1420" s="34" t="s">
        <v>7075</v>
      </c>
      <c r="AB1420" s="34" t="s">
        <v>7075</v>
      </c>
      <c r="AC1420" s="34" t="s">
        <v>4400</v>
      </c>
      <c r="AD1420" s="34" t="s">
        <v>4400</v>
      </c>
      <c r="AE1420" s="34" t="s">
        <v>4681</v>
      </c>
      <c r="AF1420" s="34" t="s">
        <v>3711</v>
      </c>
      <c r="AG1420" s="34" t="s">
        <v>3711</v>
      </c>
      <c r="AH1420" s="34" t="s">
        <v>7104</v>
      </c>
      <c r="AL1420" s="34" t="s">
        <v>5283</v>
      </c>
      <c r="AM1420" s="40" t="s">
        <v>8095</v>
      </c>
      <c r="AT1420" s="44">
        <v>0</v>
      </c>
      <c r="AU1420" s="44"/>
      <c r="AV1420" s="46">
        <f>ROUND(Товары[[#This Row],[РРЦ финальная, руб.]]/$AU$1,2)</f>
        <v>0</v>
      </c>
      <c r="AW1420" s="45" t="str">
        <f>IFERROR(Товары[[#This Row],[РРЦ, евро]]/Товары[[#This Row],[IRP, Eur]],"-")</f>
        <v>-</v>
      </c>
      <c r="AX1420" s="42">
        <f>IFERROR(VLOOKUP(Товары[[#This Row],[SubGroup]],'Структура цен DIY'!$B:$C,2,FALSE),0)</f>
        <v>0.30000000000000004</v>
      </c>
      <c r="AY1420" s="44">
        <v>0</v>
      </c>
    </row>
    <row r="1421" spans="1:51" x14ac:dyDescent="0.25">
      <c r="A1421" s="34">
        <v>1419</v>
      </c>
      <c r="B1421" s="34" t="s">
        <v>50</v>
      </c>
      <c r="C1421" s="110" t="str">
        <f>IFERROR(INDEX(Структура_ассортимента[SuperCategory],MATCH(Товары[[#This Row],[SubGroup]],Структура_ассортимента[Subgroup],0)),"")</f>
        <v>O</v>
      </c>
      <c r="D1421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21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21" s="110" t="str">
        <f>IFERROR(INDEX(Структура_ассортимента[Product group],MATCH(Товары[[#This Row],[SubGroup]],Структура_ассортимента[Subgroup],0)),"")</f>
        <v>WPU_C</v>
      </c>
      <c r="G1421" s="110" t="str">
        <f>IFERROR(INDEX(Структура_ассортимента[Product group name ENG],MATCH(Товары[[#This Row],[SubGroup]],Структура_ассортимента[Subgroup],0)),"")</f>
        <v>Watering, Pumps</v>
      </c>
      <c r="H1421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21" s="36">
        <v>9117</v>
      </c>
      <c r="J1421" s="36" t="str">
        <f>IFERROR(INDEX(Структура_ассортимента[Generic Name (long)],MATCH(Товары[[#This Row],[SubGroup]],Структура_ассортимента[Subgroup],0)),"")</f>
        <v>TECHNICAL HOSE</v>
      </c>
      <c r="L1421" s="36">
        <v>901104001</v>
      </c>
      <c r="M1421" s="35" t="s">
        <v>3097</v>
      </c>
      <c r="Q1421" s="34" t="s">
        <v>3549</v>
      </c>
      <c r="R1421" s="34" t="s">
        <v>3540</v>
      </c>
      <c r="S1421" s="47">
        <v>35440</v>
      </c>
      <c r="T1421" s="47">
        <v>0</v>
      </c>
      <c r="U1421" s="47">
        <v>0</v>
      </c>
      <c r="V1421" s="34">
        <v>4078500722100</v>
      </c>
      <c r="W1421" s="34" t="s">
        <v>3550</v>
      </c>
      <c r="X1421" s="34" t="s">
        <v>3551</v>
      </c>
      <c r="Y1421" s="34" t="s">
        <v>3542</v>
      </c>
      <c r="Z1421" s="34">
        <v>5</v>
      </c>
      <c r="AA1421" s="34" t="s">
        <v>7105</v>
      </c>
      <c r="AB1421" s="34" t="s">
        <v>3741</v>
      </c>
      <c r="AC1421" s="34" t="s">
        <v>4100</v>
      </c>
      <c r="AD1421" s="34" t="s">
        <v>3728</v>
      </c>
      <c r="AE1421" s="34" t="s">
        <v>3557</v>
      </c>
      <c r="AF1421" s="34" t="s">
        <v>4351</v>
      </c>
      <c r="AG1421" s="34" t="s">
        <v>4351</v>
      </c>
      <c r="AH1421" s="34" t="s">
        <v>7106</v>
      </c>
      <c r="AL1421" s="34" t="s">
        <v>7077</v>
      </c>
      <c r="AM1421" s="40" t="s">
        <v>8095</v>
      </c>
      <c r="AT1421" s="44">
        <v>0</v>
      </c>
      <c r="AU1421" s="44"/>
      <c r="AV1421" s="46">
        <f>ROUND(Товары[[#This Row],[РРЦ финальная, руб.]]/$AU$1,2)</f>
        <v>0</v>
      </c>
      <c r="AW1421" s="45" t="str">
        <f>IFERROR(Товары[[#This Row],[РРЦ, евро]]/Товары[[#This Row],[IRP, Eur]],"-")</f>
        <v>-</v>
      </c>
      <c r="AX1421" s="42">
        <f>IFERROR(VLOOKUP(Товары[[#This Row],[SubGroup]],'Структура цен DIY'!$B:$C,2,FALSE),0)</f>
        <v>0.30000000000000004</v>
      </c>
      <c r="AY1421" s="44">
        <v>0</v>
      </c>
    </row>
    <row r="1422" spans="1:51" x14ac:dyDescent="0.25">
      <c r="A1422" s="34">
        <v>1420</v>
      </c>
      <c r="B1422" s="34" t="s">
        <v>50</v>
      </c>
      <c r="C1422" s="110" t="str">
        <f>IFERROR(INDEX(Структура_ассортимента[SuperCategory],MATCH(Товары[[#This Row],[SubGroup]],Структура_ассортимента[Subgroup],0)),"")</f>
        <v>O</v>
      </c>
      <c r="D1422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22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22" s="110" t="str">
        <f>IFERROR(INDEX(Структура_ассортимента[Product group],MATCH(Товары[[#This Row],[SubGroup]],Структура_ассортимента[Subgroup],0)),"")</f>
        <v>WPU_C</v>
      </c>
      <c r="G1422" s="110" t="str">
        <f>IFERROR(INDEX(Структура_ассортимента[Product group name ENG],MATCH(Товары[[#This Row],[SubGroup]],Структура_ассортимента[Subgroup],0)),"")</f>
        <v>Watering, Pumps</v>
      </c>
      <c r="H1422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22" s="36">
        <v>9117</v>
      </c>
      <c r="J1422" s="36" t="str">
        <f>IFERROR(INDEX(Структура_ассортимента[Generic Name (long)],MATCH(Товары[[#This Row],[SubGroup]],Структура_ассортимента[Subgroup],0)),"")</f>
        <v>TECHNICAL HOSE</v>
      </c>
      <c r="L1422" s="36">
        <v>901104201</v>
      </c>
      <c r="M1422" s="35" t="s">
        <v>3098</v>
      </c>
      <c r="Q1422" s="34" t="s">
        <v>3549</v>
      </c>
      <c r="R1422" s="34" t="s">
        <v>3540</v>
      </c>
      <c r="S1422" s="47">
        <v>35440</v>
      </c>
      <c r="T1422" s="47">
        <v>0</v>
      </c>
      <c r="U1422" s="47">
        <v>0</v>
      </c>
      <c r="V1422" s="34">
        <v>4078500723008</v>
      </c>
      <c r="W1422" s="34" t="s">
        <v>3550</v>
      </c>
      <c r="X1422" s="34" t="s">
        <v>3551</v>
      </c>
      <c r="Y1422" s="34" t="s">
        <v>3542</v>
      </c>
      <c r="Z1422" s="34">
        <v>5</v>
      </c>
      <c r="AA1422" s="34" t="s">
        <v>4002</v>
      </c>
      <c r="AB1422" s="34" t="s">
        <v>4100</v>
      </c>
      <c r="AC1422" s="34" t="s">
        <v>3806</v>
      </c>
      <c r="AD1422" s="34" t="s">
        <v>3728</v>
      </c>
      <c r="AE1422" s="34" t="s">
        <v>6501</v>
      </c>
      <c r="AF1422" s="34" t="s">
        <v>4218</v>
      </c>
      <c r="AG1422" s="34" t="s">
        <v>4218</v>
      </c>
      <c r="AH1422" s="34" t="s">
        <v>7088</v>
      </c>
      <c r="AL1422" s="34" t="s">
        <v>7066</v>
      </c>
      <c r="AM1422" s="40" t="s">
        <v>8095</v>
      </c>
      <c r="AT1422" s="44">
        <v>0</v>
      </c>
      <c r="AU1422" s="44"/>
      <c r="AV1422" s="46">
        <f>ROUND(Товары[[#This Row],[РРЦ финальная, руб.]]/$AU$1,2)</f>
        <v>0</v>
      </c>
      <c r="AW1422" s="45" t="str">
        <f>IFERROR(Товары[[#This Row],[РРЦ, евро]]/Товары[[#This Row],[IRP, Eur]],"-")</f>
        <v>-</v>
      </c>
      <c r="AX1422" s="42">
        <f>IFERROR(VLOOKUP(Товары[[#This Row],[SubGroup]],'Структура цен DIY'!$B:$C,2,FALSE),0)</f>
        <v>0.30000000000000004</v>
      </c>
      <c r="AY1422" s="44">
        <v>0</v>
      </c>
    </row>
    <row r="1423" spans="1:51" x14ac:dyDescent="0.25">
      <c r="A1423" s="34">
        <v>1421</v>
      </c>
      <c r="B1423" s="34" t="s">
        <v>50</v>
      </c>
      <c r="C1423" s="110" t="str">
        <f>IFERROR(INDEX(Структура_ассортимента[SuperCategory],MATCH(Товары[[#This Row],[SubGroup]],Структура_ассортимента[Subgroup],0)),"")</f>
        <v>O</v>
      </c>
      <c r="D1423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23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23" s="110" t="str">
        <f>IFERROR(INDEX(Структура_ассортимента[Product group],MATCH(Товары[[#This Row],[SubGroup]],Структура_ассортимента[Subgroup],0)),"")</f>
        <v>WPU_C</v>
      </c>
      <c r="G1423" s="110" t="str">
        <f>IFERROR(INDEX(Структура_ассортимента[Product group name ENG],MATCH(Товары[[#This Row],[SubGroup]],Структура_ассортимента[Subgroup],0)),"")</f>
        <v>Watering, Pumps</v>
      </c>
      <c r="H1423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23" s="36">
        <v>9117</v>
      </c>
      <c r="J1423" s="36" t="str">
        <f>IFERROR(INDEX(Структура_ассортимента[Generic Name (long)],MATCH(Товары[[#This Row],[SubGroup]],Структура_ассортимента[Subgroup],0)),"")</f>
        <v>TECHNICAL HOSE</v>
      </c>
      <c r="L1423" s="36">
        <v>901104401</v>
      </c>
      <c r="M1423" s="35" t="s">
        <v>3099</v>
      </c>
      <c r="Q1423" s="34" t="s">
        <v>3549</v>
      </c>
      <c r="R1423" s="34" t="s">
        <v>3540</v>
      </c>
      <c r="S1423" s="47">
        <v>35440</v>
      </c>
      <c r="T1423" s="47">
        <v>0</v>
      </c>
      <c r="U1423" s="47">
        <v>0</v>
      </c>
      <c r="V1423" s="34">
        <v>4078500723206</v>
      </c>
      <c r="W1423" s="34" t="s">
        <v>3550</v>
      </c>
      <c r="X1423" s="34" t="s">
        <v>3551</v>
      </c>
      <c r="Y1423" s="34" t="s">
        <v>3542</v>
      </c>
      <c r="Z1423" s="34">
        <v>3</v>
      </c>
      <c r="AA1423" s="34" t="s">
        <v>4502</v>
      </c>
      <c r="AB1423" s="34" t="s">
        <v>4502</v>
      </c>
      <c r="AC1423" s="34" t="s">
        <v>6824</v>
      </c>
      <c r="AD1423" s="34" t="s">
        <v>6824</v>
      </c>
      <c r="AE1423" s="34" t="s">
        <v>4324</v>
      </c>
      <c r="AF1423" s="34" t="s">
        <v>4097</v>
      </c>
      <c r="AG1423" s="34" t="s">
        <v>4097</v>
      </c>
      <c r="AH1423" s="34" t="s">
        <v>7107</v>
      </c>
      <c r="AL1423" s="34" t="s">
        <v>5656</v>
      </c>
      <c r="AM1423" s="40" t="s">
        <v>8095</v>
      </c>
      <c r="AT1423" s="44">
        <v>0</v>
      </c>
      <c r="AU1423" s="44"/>
      <c r="AV1423" s="46">
        <f>ROUND(Товары[[#This Row],[РРЦ финальная, руб.]]/$AU$1,2)</f>
        <v>0</v>
      </c>
      <c r="AW1423" s="45" t="str">
        <f>IFERROR(Товары[[#This Row],[РРЦ, евро]]/Товары[[#This Row],[IRP, Eur]],"-")</f>
        <v>-</v>
      </c>
      <c r="AX1423" s="42">
        <f>IFERROR(VLOOKUP(Товары[[#This Row],[SubGroup]],'Структура цен DIY'!$B:$C,2,FALSE),0)</f>
        <v>0.30000000000000004</v>
      </c>
      <c r="AY1423" s="44">
        <v>0</v>
      </c>
    </row>
    <row r="1424" spans="1:51" x14ac:dyDescent="0.25">
      <c r="A1424" s="34">
        <v>1422</v>
      </c>
      <c r="B1424" s="34" t="s">
        <v>50</v>
      </c>
      <c r="C1424" s="110" t="str">
        <f>IFERROR(INDEX(Структура_ассортимента[SuperCategory],MATCH(Товары[[#This Row],[SubGroup]],Структура_ассортимента[Subgroup],0)),"")</f>
        <v>O</v>
      </c>
      <c r="D1424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24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24" s="110" t="str">
        <f>IFERROR(INDEX(Структура_ассортимента[Product group],MATCH(Товары[[#This Row],[SubGroup]],Структура_ассортимента[Subgroup],0)),"")</f>
        <v>WPU_C</v>
      </c>
      <c r="G1424" s="110" t="str">
        <f>IFERROR(INDEX(Структура_ассортимента[Product group name ENG],MATCH(Товары[[#This Row],[SubGroup]],Структура_ассортимента[Subgroup],0)),"")</f>
        <v>Watering, Pumps</v>
      </c>
      <c r="H1424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24" s="36">
        <v>9117</v>
      </c>
      <c r="J1424" s="36" t="str">
        <f>IFERROR(INDEX(Структура_ассортимента[Generic Name (long)],MATCH(Товары[[#This Row],[SubGroup]],Структура_ассортимента[Subgroup],0)),"")</f>
        <v>TECHNICAL HOSE</v>
      </c>
      <c r="L1424" s="36">
        <v>901104301</v>
      </c>
      <c r="M1424" s="35" t="s">
        <v>3100</v>
      </c>
      <c r="Q1424" s="34" t="s">
        <v>3549</v>
      </c>
      <c r="R1424" s="34" t="s">
        <v>3540</v>
      </c>
      <c r="S1424" s="47">
        <v>35440</v>
      </c>
      <c r="T1424" s="47">
        <v>0</v>
      </c>
      <c r="U1424" s="47">
        <v>0</v>
      </c>
      <c r="V1424" s="34">
        <v>4078500723107</v>
      </c>
      <c r="W1424" s="34" t="s">
        <v>3550</v>
      </c>
      <c r="X1424" s="34" t="s">
        <v>3551</v>
      </c>
      <c r="Y1424" s="34" t="s">
        <v>3542</v>
      </c>
      <c r="Z1424" s="34">
        <v>5</v>
      </c>
      <c r="AA1424" s="34" t="s">
        <v>4475</v>
      </c>
      <c r="AB1424" s="34" t="s">
        <v>4475</v>
      </c>
      <c r="AC1424" s="34" t="s">
        <v>4141</v>
      </c>
      <c r="AD1424" s="34" t="s">
        <v>4141</v>
      </c>
      <c r="AE1424" s="34" t="s">
        <v>3711</v>
      </c>
      <c r="AF1424" s="34" t="s">
        <v>5148</v>
      </c>
      <c r="AG1424" s="34" t="s">
        <v>5148</v>
      </c>
      <c r="AH1424" s="34" t="s">
        <v>7108</v>
      </c>
      <c r="AL1424" s="34" t="s">
        <v>7077</v>
      </c>
      <c r="AM1424" s="40" t="s">
        <v>8095</v>
      </c>
      <c r="AT1424" s="44">
        <v>0</v>
      </c>
      <c r="AU1424" s="44"/>
      <c r="AV1424" s="46">
        <f>ROUND(Товары[[#This Row],[РРЦ финальная, руб.]]/$AU$1,2)</f>
        <v>0</v>
      </c>
      <c r="AW1424" s="45" t="str">
        <f>IFERROR(Товары[[#This Row],[РРЦ, евро]]/Товары[[#This Row],[IRP, Eur]],"-")</f>
        <v>-</v>
      </c>
      <c r="AX1424" s="42">
        <f>IFERROR(VLOOKUP(Товары[[#This Row],[SubGroup]],'Структура цен DIY'!$B:$C,2,FALSE),0)</f>
        <v>0.30000000000000004</v>
      </c>
      <c r="AY1424" s="44">
        <v>0</v>
      </c>
    </row>
    <row r="1425" spans="1:51" x14ac:dyDescent="0.25">
      <c r="A1425" s="34">
        <v>1423</v>
      </c>
      <c r="B1425" s="34" t="s">
        <v>50</v>
      </c>
      <c r="C1425" s="110" t="str">
        <f>IFERROR(INDEX(Структура_ассортимента[SuperCategory],MATCH(Товары[[#This Row],[SubGroup]],Структура_ассортимента[Subgroup],0)),"")</f>
        <v>O</v>
      </c>
      <c r="D1425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25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25" s="110" t="str">
        <f>IFERROR(INDEX(Структура_ассортимента[Product group],MATCH(Товары[[#This Row],[SubGroup]],Структура_ассортимента[Subgroup],0)),"")</f>
        <v>WPU_C</v>
      </c>
      <c r="G1425" s="110" t="str">
        <f>IFERROR(INDEX(Структура_ассортимента[Product group name ENG],MATCH(Товары[[#This Row],[SubGroup]],Структура_ассортимента[Subgroup],0)),"")</f>
        <v>Watering, Pumps</v>
      </c>
      <c r="H1425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25" s="36">
        <v>9117</v>
      </c>
      <c r="J1425" s="36" t="str">
        <f>IFERROR(INDEX(Структура_ассортимента[Generic Name (long)],MATCH(Товары[[#This Row],[SubGroup]],Структура_ассортимента[Subgroup],0)),"")</f>
        <v>TECHNICAL HOSE</v>
      </c>
      <c r="L1425" s="36">
        <v>901104501</v>
      </c>
      <c r="M1425" s="35" t="s">
        <v>3101</v>
      </c>
      <c r="Q1425" s="34" t="s">
        <v>3652</v>
      </c>
      <c r="R1425" s="34" t="s">
        <v>3540</v>
      </c>
      <c r="S1425" s="47">
        <v>35440</v>
      </c>
      <c r="T1425" s="47">
        <v>44196</v>
      </c>
      <c r="U1425" s="47">
        <v>0</v>
      </c>
      <c r="V1425" s="34">
        <v>4078500724005</v>
      </c>
      <c r="W1425" s="34" t="s">
        <v>3550</v>
      </c>
      <c r="X1425" s="34" t="s">
        <v>3551</v>
      </c>
      <c r="Y1425" s="34" t="s">
        <v>3542</v>
      </c>
      <c r="Z1425" s="34">
        <v>5</v>
      </c>
      <c r="AA1425" s="34" t="s">
        <v>3797</v>
      </c>
      <c r="AB1425" s="34" t="s">
        <v>3797</v>
      </c>
      <c r="AC1425" s="34" t="s">
        <v>6490</v>
      </c>
      <c r="AD1425" s="34" t="s">
        <v>6490</v>
      </c>
      <c r="AE1425" s="34" t="s">
        <v>5282</v>
      </c>
      <c r="AF1425" s="34" t="s">
        <v>3699</v>
      </c>
      <c r="AG1425" s="34" t="s">
        <v>3699</v>
      </c>
      <c r="AH1425" s="34" t="s">
        <v>7109</v>
      </c>
      <c r="AL1425" s="34">
        <v>3240</v>
      </c>
      <c r="AM1425" s="40" t="s">
        <v>8095</v>
      </c>
      <c r="AT1425" s="44">
        <v>0</v>
      </c>
      <c r="AU1425" s="44"/>
      <c r="AV1425" s="46">
        <f>ROUND(Товары[[#This Row],[РРЦ финальная, руб.]]/$AU$1,2)</f>
        <v>0</v>
      </c>
      <c r="AW1425" s="45" t="str">
        <f>IFERROR(Товары[[#This Row],[РРЦ, евро]]/Товары[[#This Row],[IRP, Eur]],"-")</f>
        <v>-</v>
      </c>
      <c r="AX1425" s="42">
        <f>IFERROR(VLOOKUP(Товары[[#This Row],[SubGroup]],'Структура цен DIY'!$B:$C,2,FALSE),0)</f>
        <v>0.30000000000000004</v>
      </c>
      <c r="AY1425" s="44">
        <v>0</v>
      </c>
    </row>
    <row r="1426" spans="1:51" x14ac:dyDescent="0.25">
      <c r="A1426" s="34">
        <v>1424</v>
      </c>
      <c r="B1426" s="34" t="s">
        <v>50</v>
      </c>
      <c r="C1426" s="110" t="str">
        <f>IFERROR(INDEX(Структура_ассортимента[SuperCategory],MATCH(Товары[[#This Row],[SubGroup]],Структура_ассортимента[Subgroup],0)),"")</f>
        <v>O</v>
      </c>
      <c r="D1426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26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26" s="110" t="str">
        <f>IFERROR(INDEX(Структура_ассортимента[Product group],MATCH(Товары[[#This Row],[SubGroup]],Структура_ассортимента[Subgroup],0)),"")</f>
        <v>WPU_C</v>
      </c>
      <c r="G1426" s="110" t="str">
        <f>IFERROR(INDEX(Структура_ассортимента[Product group name ENG],MATCH(Товары[[#This Row],[SubGroup]],Структура_ассортимента[Subgroup],0)),"")</f>
        <v>Watering, Pumps</v>
      </c>
      <c r="H1426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26" s="36">
        <v>9117</v>
      </c>
      <c r="J1426" s="36" t="str">
        <f>IFERROR(INDEX(Структура_ассортимента[Generic Name (long)],MATCH(Товары[[#This Row],[SubGroup]],Структура_ассортимента[Subgroup],0)),"")</f>
        <v>TECHNICAL HOSE</v>
      </c>
      <c r="L1426" s="36">
        <v>901104601</v>
      </c>
      <c r="M1426" s="35" t="s">
        <v>3102</v>
      </c>
      <c r="Q1426" s="34" t="s">
        <v>3652</v>
      </c>
      <c r="R1426" s="34" t="s">
        <v>3540</v>
      </c>
      <c r="S1426" s="47">
        <v>35440</v>
      </c>
      <c r="T1426" s="47">
        <v>44196</v>
      </c>
      <c r="U1426" s="47">
        <v>0</v>
      </c>
      <c r="V1426" s="34">
        <v>4078500724104</v>
      </c>
      <c r="W1426" s="34" t="s">
        <v>3550</v>
      </c>
      <c r="X1426" s="34" t="s">
        <v>3551</v>
      </c>
      <c r="Y1426" s="34" t="s">
        <v>3542</v>
      </c>
      <c r="Z1426" s="34">
        <v>5</v>
      </c>
      <c r="AA1426" s="34" t="s">
        <v>6512</v>
      </c>
      <c r="AB1426" s="34" t="s">
        <v>6512</v>
      </c>
      <c r="AC1426" s="34" t="s">
        <v>6515</v>
      </c>
      <c r="AD1426" s="34" t="s">
        <v>6515</v>
      </c>
      <c r="AE1426" s="34" t="s">
        <v>4184</v>
      </c>
      <c r="AF1426" s="34" t="s">
        <v>4468</v>
      </c>
      <c r="AG1426" s="34" t="s">
        <v>4468</v>
      </c>
      <c r="AH1426" s="34" t="s">
        <v>5664</v>
      </c>
      <c r="AL1426" s="34">
        <v>1680</v>
      </c>
      <c r="AM1426" s="40" t="s">
        <v>8095</v>
      </c>
      <c r="AT1426" s="44">
        <v>0</v>
      </c>
      <c r="AU1426" s="44"/>
      <c r="AV1426" s="46">
        <f>ROUND(Товары[[#This Row],[РРЦ финальная, руб.]]/$AU$1,2)</f>
        <v>0</v>
      </c>
      <c r="AW1426" s="45" t="str">
        <f>IFERROR(Товары[[#This Row],[РРЦ, евро]]/Товары[[#This Row],[IRP, Eur]],"-")</f>
        <v>-</v>
      </c>
      <c r="AX1426" s="42">
        <f>IFERROR(VLOOKUP(Товары[[#This Row],[SubGroup]],'Структура цен DIY'!$B:$C,2,FALSE),0)</f>
        <v>0.30000000000000004</v>
      </c>
      <c r="AY1426" s="44">
        <v>0</v>
      </c>
    </row>
    <row r="1427" spans="1:51" x14ac:dyDescent="0.25">
      <c r="A1427" s="34">
        <v>1425</v>
      </c>
      <c r="B1427" s="34" t="s">
        <v>50</v>
      </c>
      <c r="C1427" s="110" t="str">
        <f>IFERROR(INDEX(Структура_ассортимента[SuperCategory],MATCH(Товары[[#This Row],[SubGroup]],Структура_ассортимента[Subgroup],0)),"")</f>
        <v>O</v>
      </c>
      <c r="D1427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27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27" s="110" t="str">
        <f>IFERROR(INDEX(Структура_ассортимента[Product group],MATCH(Товары[[#This Row],[SubGroup]],Структура_ассортимента[Subgroup],0)),"")</f>
        <v>WPU_C</v>
      </c>
      <c r="G1427" s="110" t="str">
        <f>IFERROR(INDEX(Структура_ассортимента[Product group name ENG],MATCH(Товары[[#This Row],[SubGroup]],Структура_ассортимента[Subgroup],0)),"")</f>
        <v>Watering, Pumps</v>
      </c>
      <c r="H1427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27" s="36">
        <v>9117</v>
      </c>
      <c r="J1427" s="36" t="str">
        <f>IFERROR(INDEX(Структура_ассортимента[Generic Name (long)],MATCH(Товары[[#This Row],[SubGroup]],Структура_ассортимента[Subgroup],0)),"")</f>
        <v>TECHNICAL HOSE</v>
      </c>
      <c r="L1427" s="36">
        <v>901104701</v>
      </c>
      <c r="M1427" s="35" t="s">
        <v>3103</v>
      </c>
      <c r="Q1427" s="34" t="s">
        <v>3652</v>
      </c>
      <c r="R1427" s="34" t="s">
        <v>3540</v>
      </c>
      <c r="S1427" s="47">
        <v>35440</v>
      </c>
      <c r="T1427" s="47">
        <v>44196</v>
      </c>
      <c r="U1427" s="47">
        <v>0</v>
      </c>
      <c r="V1427" s="34">
        <v>4078500724203</v>
      </c>
      <c r="W1427" s="34" t="s">
        <v>3550</v>
      </c>
      <c r="X1427" s="34" t="s">
        <v>3551</v>
      </c>
      <c r="Y1427" s="34" t="s">
        <v>3542</v>
      </c>
      <c r="Z1427" s="34">
        <v>5</v>
      </c>
      <c r="AA1427" s="34" t="s">
        <v>5647</v>
      </c>
      <c r="AB1427" s="34" t="s">
        <v>5647</v>
      </c>
      <c r="AC1427" s="34" t="s">
        <v>5603</v>
      </c>
      <c r="AD1427" s="34" t="s">
        <v>5603</v>
      </c>
      <c r="AE1427" s="34" t="s">
        <v>4335</v>
      </c>
      <c r="AF1427" s="34" t="s">
        <v>4181</v>
      </c>
      <c r="AG1427" s="34" t="s">
        <v>4181</v>
      </c>
      <c r="AH1427" s="34" t="s">
        <v>7110</v>
      </c>
      <c r="AL1427" s="34">
        <v>1680</v>
      </c>
      <c r="AM1427" s="40" t="s">
        <v>8095</v>
      </c>
      <c r="AT1427" s="44">
        <v>0</v>
      </c>
      <c r="AU1427" s="44"/>
      <c r="AV1427" s="46">
        <f>ROUND(Товары[[#This Row],[РРЦ финальная, руб.]]/$AU$1,2)</f>
        <v>0</v>
      </c>
      <c r="AW1427" s="45" t="str">
        <f>IFERROR(Товары[[#This Row],[РРЦ, евро]]/Товары[[#This Row],[IRP, Eur]],"-")</f>
        <v>-</v>
      </c>
      <c r="AX1427" s="42">
        <f>IFERROR(VLOOKUP(Товары[[#This Row],[SubGroup]],'Структура цен DIY'!$B:$C,2,FALSE),0)</f>
        <v>0.30000000000000004</v>
      </c>
      <c r="AY1427" s="44">
        <v>0</v>
      </c>
    </row>
    <row r="1428" spans="1:51" x14ac:dyDescent="0.25">
      <c r="A1428" s="34">
        <v>1426</v>
      </c>
      <c r="B1428" s="34" t="s">
        <v>50</v>
      </c>
      <c r="C1428" s="110" t="str">
        <f>IFERROR(INDEX(Структура_ассортимента[SuperCategory],MATCH(Товары[[#This Row],[SubGroup]],Структура_ассортимента[Subgroup],0)),"")</f>
        <v>O</v>
      </c>
      <c r="D1428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28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28" s="110" t="str">
        <f>IFERROR(INDEX(Структура_ассортимента[Product group],MATCH(Товары[[#This Row],[SubGroup]],Структура_ассортимента[Subgroup],0)),"")</f>
        <v>WPU_C</v>
      </c>
      <c r="G1428" s="110" t="str">
        <f>IFERROR(INDEX(Структура_ассортимента[Product group name ENG],MATCH(Товары[[#This Row],[SubGroup]],Структура_ассортимента[Subgroup],0)),"")</f>
        <v>Watering, Pumps</v>
      </c>
      <c r="H1428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28" s="36">
        <v>9117</v>
      </c>
      <c r="J1428" s="36" t="str">
        <f>IFERROR(INDEX(Структура_ассортимента[Generic Name (long)],MATCH(Товары[[#This Row],[SubGroup]],Структура_ассортимента[Subgroup],0)),"")</f>
        <v>TECHNICAL HOSE</v>
      </c>
      <c r="L1428" s="36">
        <v>901104801</v>
      </c>
      <c r="M1428" s="35" t="s">
        <v>3104</v>
      </c>
      <c r="Q1428" s="34" t="s">
        <v>3549</v>
      </c>
      <c r="R1428" s="34" t="s">
        <v>3540</v>
      </c>
      <c r="S1428" s="47">
        <v>35440</v>
      </c>
      <c r="T1428" s="47">
        <v>0</v>
      </c>
      <c r="U1428" s="47">
        <v>0</v>
      </c>
      <c r="V1428" s="34">
        <v>4078500725002</v>
      </c>
      <c r="W1428" s="34" t="s">
        <v>3550</v>
      </c>
      <c r="X1428" s="34" t="s">
        <v>3551</v>
      </c>
      <c r="Y1428" s="34" t="s">
        <v>3542</v>
      </c>
      <c r="Z1428" s="34">
        <v>5</v>
      </c>
      <c r="AA1428" s="34" t="s">
        <v>5628</v>
      </c>
      <c r="AB1428" s="34" t="s">
        <v>5628</v>
      </c>
      <c r="AC1428" s="34" t="s">
        <v>5603</v>
      </c>
      <c r="AD1428" s="34" t="s">
        <v>5603</v>
      </c>
      <c r="AE1428" s="34" t="s">
        <v>4472</v>
      </c>
      <c r="AF1428" s="34" t="s">
        <v>3672</v>
      </c>
      <c r="AG1428" s="34" t="s">
        <v>3672</v>
      </c>
      <c r="AH1428" s="34" t="s">
        <v>7093</v>
      </c>
      <c r="AL1428" s="34" t="s">
        <v>7060</v>
      </c>
      <c r="AM1428" s="40" t="s">
        <v>8095</v>
      </c>
      <c r="AT1428" s="44">
        <v>0</v>
      </c>
      <c r="AU1428" s="44"/>
      <c r="AV1428" s="46">
        <f>ROUND(Товары[[#This Row],[РРЦ финальная, руб.]]/$AU$1,2)</f>
        <v>0</v>
      </c>
      <c r="AW1428" s="45" t="str">
        <f>IFERROR(Товары[[#This Row],[РРЦ, евро]]/Товары[[#This Row],[IRP, Eur]],"-")</f>
        <v>-</v>
      </c>
      <c r="AX1428" s="42">
        <f>IFERROR(VLOOKUP(Товары[[#This Row],[SubGroup]],'Структура цен DIY'!$B:$C,2,FALSE),0)</f>
        <v>0.30000000000000004</v>
      </c>
      <c r="AY1428" s="44">
        <v>0</v>
      </c>
    </row>
    <row r="1429" spans="1:51" x14ac:dyDescent="0.25">
      <c r="A1429" s="34">
        <v>1427</v>
      </c>
      <c r="B1429" s="34" t="s">
        <v>50</v>
      </c>
      <c r="C1429" s="110" t="str">
        <f>IFERROR(INDEX(Структура_ассортимента[SuperCategory],MATCH(Товары[[#This Row],[SubGroup]],Структура_ассортимента[Subgroup],0)),"")</f>
        <v>O</v>
      </c>
      <c r="D1429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29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29" s="110" t="str">
        <f>IFERROR(INDEX(Структура_ассортимента[Product group],MATCH(Товары[[#This Row],[SubGroup]],Структура_ассортимента[Subgroup],0)),"")</f>
        <v>WPU_C</v>
      </c>
      <c r="G1429" s="110" t="str">
        <f>IFERROR(INDEX(Структура_ассортимента[Product group name ENG],MATCH(Товары[[#This Row],[SubGroup]],Структура_ассортимента[Subgroup],0)),"")</f>
        <v>Watering, Pumps</v>
      </c>
      <c r="H1429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29" s="36">
        <v>9117</v>
      </c>
      <c r="J1429" s="36" t="str">
        <f>IFERROR(INDEX(Структура_ассортимента[Generic Name (long)],MATCH(Товары[[#This Row],[SubGroup]],Структура_ассортимента[Subgroup],0)),"")</f>
        <v>TECHNICAL HOSE</v>
      </c>
      <c r="L1429" s="36">
        <v>901104901</v>
      </c>
      <c r="M1429" s="35" t="s">
        <v>3105</v>
      </c>
      <c r="Q1429" s="34" t="s">
        <v>3549</v>
      </c>
      <c r="R1429" s="34" t="s">
        <v>3540</v>
      </c>
      <c r="S1429" s="47">
        <v>35440</v>
      </c>
      <c r="T1429" s="47">
        <v>0</v>
      </c>
      <c r="U1429" s="47">
        <v>0</v>
      </c>
      <c r="V1429" s="34">
        <v>4078500725101</v>
      </c>
      <c r="W1429" s="34" t="s">
        <v>3550</v>
      </c>
      <c r="X1429" s="34" t="s">
        <v>3551</v>
      </c>
      <c r="Y1429" s="34" t="s">
        <v>3542</v>
      </c>
      <c r="Z1429" s="34">
        <v>5</v>
      </c>
      <c r="AA1429" s="34" t="s">
        <v>5653</v>
      </c>
      <c r="AB1429" s="34" t="s">
        <v>5653</v>
      </c>
      <c r="AC1429" s="34" t="s">
        <v>6048</v>
      </c>
      <c r="AD1429" s="34" t="s">
        <v>6048</v>
      </c>
      <c r="AE1429" s="34" t="s">
        <v>4181</v>
      </c>
      <c r="AF1429" s="34" t="s">
        <v>4775</v>
      </c>
      <c r="AG1429" s="34" t="s">
        <v>4775</v>
      </c>
      <c r="AH1429" s="34" t="s">
        <v>6453</v>
      </c>
      <c r="AL1429" s="34" t="s">
        <v>7060</v>
      </c>
      <c r="AM1429" s="40" t="s">
        <v>8095</v>
      </c>
      <c r="AT1429" s="44">
        <v>0</v>
      </c>
      <c r="AU1429" s="44"/>
      <c r="AV1429" s="46">
        <f>ROUND(Товары[[#This Row],[РРЦ финальная, руб.]]/$AU$1,2)</f>
        <v>0</v>
      </c>
      <c r="AW1429" s="45" t="str">
        <f>IFERROR(Товары[[#This Row],[РРЦ, евро]]/Товары[[#This Row],[IRP, Eur]],"-")</f>
        <v>-</v>
      </c>
      <c r="AX1429" s="42">
        <f>IFERROR(VLOOKUP(Товары[[#This Row],[SubGroup]],'Структура цен DIY'!$B:$C,2,FALSE),0)</f>
        <v>0.30000000000000004</v>
      </c>
      <c r="AY1429" s="44">
        <v>0</v>
      </c>
    </row>
    <row r="1430" spans="1:51" x14ac:dyDescent="0.25">
      <c r="A1430" s="34">
        <v>1428</v>
      </c>
      <c r="B1430" s="34" t="s">
        <v>50</v>
      </c>
      <c r="C1430" s="110" t="str">
        <f>IFERROR(INDEX(Структура_ассортимента[SuperCategory],MATCH(Товары[[#This Row],[SubGroup]],Структура_ассортимента[Subgroup],0)),"")</f>
        <v>O</v>
      </c>
      <c r="D1430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30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30" s="110" t="str">
        <f>IFERROR(INDEX(Структура_ассортимента[Product group],MATCH(Товары[[#This Row],[SubGroup]],Структура_ассортимента[Subgroup],0)),"")</f>
        <v>WPU_C</v>
      </c>
      <c r="G1430" s="110" t="str">
        <f>IFERROR(INDEX(Структура_ассортимента[Product group name ENG],MATCH(Товары[[#This Row],[SubGroup]],Структура_ассортимента[Subgroup],0)),"")</f>
        <v>Watering, Pumps</v>
      </c>
      <c r="H1430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30" s="36">
        <v>9117</v>
      </c>
      <c r="J1430" s="36" t="str">
        <f>IFERROR(INDEX(Структура_ассортимента[Generic Name (long)],MATCH(Товары[[#This Row],[SubGroup]],Структура_ассортимента[Subgroup],0)),"")</f>
        <v>TECHNICAL HOSE</v>
      </c>
      <c r="L1430" s="36">
        <v>901105001</v>
      </c>
      <c r="M1430" s="35" t="s">
        <v>3106</v>
      </c>
      <c r="Q1430" s="34" t="s">
        <v>3549</v>
      </c>
      <c r="R1430" s="34" t="s">
        <v>3540</v>
      </c>
      <c r="S1430" s="47">
        <v>35440</v>
      </c>
      <c r="T1430" s="47">
        <v>0</v>
      </c>
      <c r="U1430" s="47">
        <v>0</v>
      </c>
      <c r="V1430" s="34">
        <v>4078500725200</v>
      </c>
      <c r="W1430" s="34" t="s">
        <v>3550</v>
      </c>
      <c r="X1430" s="34" t="s">
        <v>3551</v>
      </c>
      <c r="Y1430" s="34" t="s">
        <v>3542</v>
      </c>
      <c r="Z1430" s="34">
        <v>3</v>
      </c>
      <c r="AA1430" s="34" t="s">
        <v>3721</v>
      </c>
      <c r="AB1430" s="34" t="s">
        <v>3721</v>
      </c>
      <c r="AC1430" s="34" t="s">
        <v>3720</v>
      </c>
      <c r="AD1430" s="34" t="s">
        <v>3720</v>
      </c>
      <c r="AE1430" s="34" t="s">
        <v>3754</v>
      </c>
      <c r="AF1430" s="34" t="s">
        <v>4468</v>
      </c>
      <c r="AG1430" s="34" t="s">
        <v>4468</v>
      </c>
      <c r="AH1430" s="34" t="s">
        <v>7111</v>
      </c>
      <c r="AL1430" s="34" t="s">
        <v>7112</v>
      </c>
      <c r="AM1430" s="40" t="s">
        <v>8095</v>
      </c>
      <c r="AT1430" s="44">
        <v>0</v>
      </c>
      <c r="AU1430" s="44"/>
      <c r="AV1430" s="46">
        <f>ROUND(Товары[[#This Row],[РРЦ финальная, руб.]]/$AU$1,2)</f>
        <v>0</v>
      </c>
      <c r="AW1430" s="45" t="str">
        <f>IFERROR(Товары[[#This Row],[РРЦ, евро]]/Товары[[#This Row],[IRP, Eur]],"-")</f>
        <v>-</v>
      </c>
      <c r="AX1430" s="42">
        <f>IFERROR(VLOOKUP(Товары[[#This Row],[SubGroup]],'Структура цен DIY'!$B:$C,2,FALSE),0)</f>
        <v>0.30000000000000004</v>
      </c>
      <c r="AY1430" s="44">
        <v>0</v>
      </c>
    </row>
    <row r="1431" spans="1:51" x14ac:dyDescent="0.25">
      <c r="A1431" s="34">
        <v>1429</v>
      </c>
      <c r="B1431" s="34" t="s">
        <v>50</v>
      </c>
      <c r="C1431" s="110" t="str">
        <f>IFERROR(INDEX(Структура_ассортимента[SuperCategory],MATCH(Товары[[#This Row],[SubGroup]],Структура_ассортимента[Subgroup],0)),"")</f>
        <v>O</v>
      </c>
      <c r="D1431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31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31" s="110" t="str">
        <f>IFERROR(INDEX(Структура_ассортимента[Product group],MATCH(Товары[[#This Row],[SubGroup]],Структура_ассортимента[Subgroup],0)),"")</f>
        <v>WPU_C</v>
      </c>
      <c r="G1431" s="110" t="str">
        <f>IFERROR(INDEX(Структура_ассортимента[Product group name ENG],MATCH(Товары[[#This Row],[SubGroup]],Структура_ассортимента[Subgroup],0)),"")</f>
        <v>Watering, Pumps</v>
      </c>
      <c r="H1431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31" s="36">
        <v>9117</v>
      </c>
      <c r="J1431" s="36" t="str">
        <f>IFERROR(INDEX(Структура_ассортимента[Generic Name (long)],MATCH(Товары[[#This Row],[SubGroup]],Структура_ассортимента[Subgroup],0)),"")</f>
        <v>TECHNICAL HOSE</v>
      </c>
      <c r="L1431" s="36">
        <v>901105101</v>
      </c>
      <c r="M1431" s="35" t="s">
        <v>3107</v>
      </c>
      <c r="Q1431" s="34" t="s">
        <v>3549</v>
      </c>
      <c r="R1431" s="34" t="s">
        <v>3540</v>
      </c>
      <c r="S1431" s="47">
        <v>35440</v>
      </c>
      <c r="T1431" s="47">
        <v>0</v>
      </c>
      <c r="U1431" s="47">
        <v>0</v>
      </c>
      <c r="V1431" s="34">
        <v>4078500726009</v>
      </c>
      <c r="W1431" s="34" t="s">
        <v>3550</v>
      </c>
      <c r="X1431" s="34" t="s">
        <v>3551</v>
      </c>
      <c r="Y1431" s="34" t="s">
        <v>3542</v>
      </c>
      <c r="Z1431" s="34">
        <v>5</v>
      </c>
      <c r="AA1431" s="34" t="s">
        <v>5633</v>
      </c>
      <c r="AB1431" s="34" t="s">
        <v>5633</v>
      </c>
      <c r="AC1431" s="34" t="s">
        <v>5628</v>
      </c>
      <c r="AD1431" s="34" t="s">
        <v>5628</v>
      </c>
      <c r="AE1431" s="34" t="s">
        <v>4260</v>
      </c>
      <c r="AF1431" s="34" t="s">
        <v>4260</v>
      </c>
      <c r="AG1431" s="34" t="s">
        <v>5126</v>
      </c>
      <c r="AH1431" s="34" t="s">
        <v>7113</v>
      </c>
      <c r="AL1431" s="34" t="s">
        <v>7060</v>
      </c>
      <c r="AM1431" s="40" t="s">
        <v>8095</v>
      </c>
      <c r="AT1431" s="44">
        <v>0</v>
      </c>
      <c r="AU1431" s="44"/>
      <c r="AV1431" s="46">
        <f>ROUND(Товары[[#This Row],[РРЦ финальная, руб.]]/$AU$1,2)</f>
        <v>0</v>
      </c>
      <c r="AW1431" s="45" t="str">
        <f>IFERROR(Товары[[#This Row],[РРЦ, евро]]/Товары[[#This Row],[IRP, Eur]],"-")</f>
        <v>-</v>
      </c>
      <c r="AX1431" s="42">
        <f>IFERROR(VLOOKUP(Товары[[#This Row],[SubGroup]],'Структура цен DIY'!$B:$C,2,FALSE),0)</f>
        <v>0.30000000000000004</v>
      </c>
      <c r="AY1431" s="44">
        <v>0</v>
      </c>
    </row>
    <row r="1432" spans="1:51" x14ac:dyDescent="0.25">
      <c r="A1432" s="34">
        <v>1430</v>
      </c>
      <c r="B1432" s="34" t="s">
        <v>50</v>
      </c>
      <c r="C1432" s="110" t="str">
        <f>IFERROR(INDEX(Структура_ассортимента[SuperCategory],MATCH(Товары[[#This Row],[SubGroup]],Структура_ассортимента[Subgroup],0)),"")</f>
        <v>O</v>
      </c>
      <c r="D1432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32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32" s="110" t="str">
        <f>IFERROR(INDEX(Структура_ассортимента[Product group],MATCH(Товары[[#This Row],[SubGroup]],Структура_ассортимента[Subgroup],0)),"")</f>
        <v>WPU_C</v>
      </c>
      <c r="G1432" s="110" t="str">
        <f>IFERROR(INDEX(Структура_ассортимента[Product group name ENG],MATCH(Товары[[#This Row],[SubGroup]],Структура_ассортимента[Subgroup],0)),"")</f>
        <v>Watering, Pumps</v>
      </c>
      <c r="H1432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32" s="36">
        <v>9117</v>
      </c>
      <c r="J1432" s="36" t="str">
        <f>IFERROR(INDEX(Структура_ассортимента[Generic Name (long)],MATCH(Товары[[#This Row],[SubGroup]],Структура_ассортимента[Subgroup],0)),"")</f>
        <v>TECHNICAL HOSE</v>
      </c>
      <c r="L1432" s="36">
        <v>901105201</v>
      </c>
      <c r="M1432" s="35" t="s">
        <v>3108</v>
      </c>
      <c r="Q1432" s="34" t="s">
        <v>3549</v>
      </c>
      <c r="R1432" s="34" t="s">
        <v>3540</v>
      </c>
      <c r="S1432" s="47">
        <v>35440</v>
      </c>
      <c r="T1432" s="47">
        <v>0</v>
      </c>
      <c r="U1432" s="47">
        <v>0</v>
      </c>
      <c r="V1432" s="34">
        <v>4078500726108</v>
      </c>
      <c r="W1432" s="34" t="s">
        <v>3550</v>
      </c>
      <c r="X1432" s="34" t="s">
        <v>3551</v>
      </c>
      <c r="Y1432" s="34" t="s">
        <v>3542</v>
      </c>
      <c r="Z1432" s="34">
        <v>5</v>
      </c>
      <c r="AA1432" s="34" t="s">
        <v>6495</v>
      </c>
      <c r="AB1432" s="34" t="s">
        <v>6495</v>
      </c>
      <c r="AC1432" s="34" t="s">
        <v>5649</v>
      </c>
      <c r="AD1432" s="34" t="s">
        <v>5649</v>
      </c>
      <c r="AE1432" s="34" t="s">
        <v>4421</v>
      </c>
      <c r="AF1432" s="34" t="s">
        <v>3931</v>
      </c>
      <c r="AG1432" s="34" t="s">
        <v>3931</v>
      </c>
      <c r="AH1432" s="34" t="s">
        <v>7114</v>
      </c>
      <c r="AL1432" s="34" t="s">
        <v>7060</v>
      </c>
      <c r="AM1432" s="40" t="s">
        <v>8095</v>
      </c>
      <c r="AT1432" s="44">
        <v>0</v>
      </c>
      <c r="AU1432" s="44"/>
      <c r="AV1432" s="46">
        <f>ROUND(Товары[[#This Row],[РРЦ финальная, руб.]]/$AU$1,2)</f>
        <v>0</v>
      </c>
      <c r="AW1432" s="45" t="str">
        <f>IFERROR(Товары[[#This Row],[РРЦ, евро]]/Товары[[#This Row],[IRP, Eur]],"-")</f>
        <v>-</v>
      </c>
      <c r="AX1432" s="42">
        <f>IFERROR(VLOOKUP(Товары[[#This Row],[SubGroup]],'Структура цен DIY'!$B:$C,2,FALSE),0)</f>
        <v>0.30000000000000004</v>
      </c>
      <c r="AY1432" s="44">
        <v>0</v>
      </c>
    </row>
    <row r="1433" spans="1:51" x14ac:dyDescent="0.25">
      <c r="A1433" s="34">
        <v>1431</v>
      </c>
      <c r="B1433" s="34" t="s">
        <v>50</v>
      </c>
      <c r="C1433" s="110" t="str">
        <f>IFERROR(INDEX(Структура_ассортимента[SuperCategory],MATCH(Товары[[#This Row],[SubGroup]],Структура_ассортимента[Subgroup],0)),"")</f>
        <v>O</v>
      </c>
      <c r="D1433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33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33" s="110" t="str">
        <f>IFERROR(INDEX(Структура_ассортимента[Product group],MATCH(Товары[[#This Row],[SubGroup]],Структура_ассортимента[Subgroup],0)),"")</f>
        <v>WPU_C</v>
      </c>
      <c r="G1433" s="110" t="str">
        <f>IFERROR(INDEX(Структура_ассортимента[Product group name ENG],MATCH(Товары[[#This Row],[SubGroup]],Структура_ассортимента[Subgroup],0)),"")</f>
        <v>Watering, Pumps</v>
      </c>
      <c r="H1433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33" s="36">
        <v>9117</v>
      </c>
      <c r="J1433" s="36" t="str">
        <f>IFERROR(INDEX(Структура_ассортимента[Generic Name (long)],MATCH(Товары[[#This Row],[SubGroup]],Структура_ассортимента[Subgroup],0)),"")</f>
        <v>TECHNICAL HOSE</v>
      </c>
      <c r="L1433" s="36">
        <v>901105301</v>
      </c>
      <c r="M1433" s="35" t="s">
        <v>3109</v>
      </c>
      <c r="Q1433" s="34" t="s">
        <v>3549</v>
      </c>
      <c r="R1433" s="34" t="s">
        <v>3540</v>
      </c>
      <c r="S1433" s="47">
        <v>35440</v>
      </c>
      <c r="T1433" s="47">
        <v>0</v>
      </c>
      <c r="U1433" s="47">
        <v>0</v>
      </c>
      <c r="V1433" s="34">
        <v>4078500726207</v>
      </c>
      <c r="W1433" s="34" t="s">
        <v>3550</v>
      </c>
      <c r="X1433" s="34" t="s">
        <v>3551</v>
      </c>
      <c r="Y1433" s="34" t="s">
        <v>3542</v>
      </c>
      <c r="Z1433" s="34">
        <v>5</v>
      </c>
      <c r="AA1433" s="34" t="s">
        <v>6584</v>
      </c>
      <c r="AB1433" s="34" t="s">
        <v>6584</v>
      </c>
      <c r="AC1433" s="34" t="s">
        <v>3717</v>
      </c>
      <c r="AD1433" s="34" t="s">
        <v>3717</v>
      </c>
      <c r="AE1433" s="34" t="s">
        <v>4221</v>
      </c>
      <c r="AF1433" s="34" t="s">
        <v>4221</v>
      </c>
      <c r="AG1433" s="34" t="s">
        <v>3924</v>
      </c>
      <c r="AH1433" s="34" t="s">
        <v>6589</v>
      </c>
      <c r="AL1433" s="34" t="s">
        <v>7060</v>
      </c>
      <c r="AM1433" s="40" t="s">
        <v>8095</v>
      </c>
      <c r="AT1433" s="44">
        <v>0</v>
      </c>
      <c r="AU1433" s="44"/>
      <c r="AV1433" s="46">
        <f>ROUND(Товары[[#This Row],[РРЦ финальная, руб.]]/$AU$1,2)</f>
        <v>0</v>
      </c>
      <c r="AW1433" s="45" t="str">
        <f>IFERROR(Товары[[#This Row],[РРЦ, евро]]/Товары[[#This Row],[IRP, Eur]],"-")</f>
        <v>-</v>
      </c>
      <c r="AX1433" s="42">
        <f>IFERROR(VLOOKUP(Товары[[#This Row],[SubGroup]],'Структура цен DIY'!$B:$C,2,FALSE),0)</f>
        <v>0.30000000000000004</v>
      </c>
      <c r="AY1433" s="44">
        <v>0</v>
      </c>
    </row>
    <row r="1434" spans="1:51" x14ac:dyDescent="0.25">
      <c r="A1434" s="34">
        <v>1432</v>
      </c>
      <c r="B1434" s="34" t="s">
        <v>50</v>
      </c>
      <c r="C1434" s="110" t="str">
        <f>IFERROR(INDEX(Структура_ассортимента[SuperCategory],MATCH(Товары[[#This Row],[SubGroup]],Структура_ассортимента[Subgroup],0)),"")</f>
        <v>O</v>
      </c>
      <c r="D1434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34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34" s="110" t="str">
        <f>IFERROR(INDEX(Структура_ассортимента[Product group],MATCH(Товары[[#This Row],[SubGroup]],Структура_ассортимента[Subgroup],0)),"")</f>
        <v>WPU_C</v>
      </c>
      <c r="G1434" s="110" t="str">
        <f>IFERROR(INDEX(Структура_ассортимента[Product group name ENG],MATCH(Товары[[#This Row],[SubGroup]],Структура_ассортимента[Subgroup],0)),"")</f>
        <v>Watering, Pumps</v>
      </c>
      <c r="H1434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34" s="36">
        <v>9117</v>
      </c>
      <c r="J1434" s="36" t="str">
        <f>IFERROR(INDEX(Структура_ассортимента[Generic Name (long)],MATCH(Товары[[#This Row],[SubGroup]],Структура_ассортимента[Subgroup],0)),"")</f>
        <v>TECHNICAL HOSE</v>
      </c>
      <c r="L1434" s="36">
        <v>901105401</v>
      </c>
      <c r="M1434" s="35" t="s">
        <v>3110</v>
      </c>
      <c r="Q1434" s="34" t="s">
        <v>3549</v>
      </c>
      <c r="R1434" s="34" t="s">
        <v>3540</v>
      </c>
      <c r="S1434" s="47">
        <v>35440</v>
      </c>
      <c r="T1434" s="47">
        <v>0</v>
      </c>
      <c r="U1434" s="47">
        <v>0</v>
      </c>
      <c r="V1434" s="34">
        <v>4078500726306</v>
      </c>
      <c r="W1434" s="34" t="s">
        <v>3550</v>
      </c>
      <c r="X1434" s="34" t="s">
        <v>3551</v>
      </c>
      <c r="Y1434" s="34" t="s">
        <v>3542</v>
      </c>
      <c r="Z1434" s="34">
        <v>5</v>
      </c>
      <c r="AA1434" s="34" t="s">
        <v>7063</v>
      </c>
      <c r="AB1434" s="34" t="s">
        <v>7063</v>
      </c>
      <c r="AC1434" s="34" t="s">
        <v>3727</v>
      </c>
      <c r="AD1434" s="34" t="s">
        <v>3727</v>
      </c>
      <c r="AE1434" s="34" t="s">
        <v>4218</v>
      </c>
      <c r="AF1434" s="34" t="s">
        <v>4218</v>
      </c>
      <c r="AG1434" s="34" t="s">
        <v>4234</v>
      </c>
      <c r="AH1434" s="34" t="s">
        <v>7115</v>
      </c>
      <c r="AL1434" s="34" t="s">
        <v>7060</v>
      </c>
      <c r="AM1434" s="40" t="s">
        <v>8095</v>
      </c>
      <c r="AT1434" s="44">
        <v>0</v>
      </c>
      <c r="AU1434" s="44"/>
      <c r="AV1434" s="46">
        <f>ROUND(Товары[[#This Row],[РРЦ финальная, руб.]]/$AU$1,2)</f>
        <v>0</v>
      </c>
      <c r="AW1434" s="45" t="str">
        <f>IFERROR(Товары[[#This Row],[РРЦ, евро]]/Товары[[#This Row],[IRP, Eur]],"-")</f>
        <v>-</v>
      </c>
      <c r="AX1434" s="42">
        <f>IFERROR(VLOOKUP(Товары[[#This Row],[SubGroup]],'Структура цен DIY'!$B:$C,2,FALSE),0)</f>
        <v>0.30000000000000004</v>
      </c>
      <c r="AY1434" s="44">
        <v>0</v>
      </c>
    </row>
    <row r="1435" spans="1:51" x14ac:dyDescent="0.25">
      <c r="A1435" s="34">
        <v>1433</v>
      </c>
      <c r="B1435" s="34" t="s">
        <v>50</v>
      </c>
      <c r="C1435" s="110" t="str">
        <f>IFERROR(INDEX(Структура_ассортимента[SuperCategory],MATCH(Товары[[#This Row],[SubGroup]],Структура_ассортимента[Subgroup],0)),"")</f>
        <v>O</v>
      </c>
      <c r="D1435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35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35" s="110" t="str">
        <f>IFERROR(INDEX(Структура_ассортимента[Product group],MATCH(Товары[[#This Row],[SubGroup]],Структура_ассортимента[Subgroup],0)),"")</f>
        <v>WPU_C</v>
      </c>
      <c r="G1435" s="110" t="str">
        <f>IFERROR(INDEX(Структура_ассортимента[Product group name ENG],MATCH(Товары[[#This Row],[SubGroup]],Структура_ассортимента[Subgroup],0)),"")</f>
        <v>Watering, Pumps</v>
      </c>
      <c r="H1435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35" s="36">
        <v>9117</v>
      </c>
      <c r="J1435" s="36" t="str">
        <f>IFERROR(INDEX(Структура_ассортимента[Generic Name (long)],MATCH(Товары[[#This Row],[SubGroup]],Структура_ассортимента[Subgroup],0)),"")</f>
        <v>TECHNICAL HOSE</v>
      </c>
      <c r="L1435" s="36">
        <v>901105501</v>
      </c>
      <c r="M1435" s="35" t="s">
        <v>3111</v>
      </c>
      <c r="Q1435" s="34" t="s">
        <v>3549</v>
      </c>
      <c r="R1435" s="34" t="s">
        <v>3540</v>
      </c>
      <c r="S1435" s="47">
        <v>35440</v>
      </c>
      <c r="T1435" s="47">
        <v>0</v>
      </c>
      <c r="U1435" s="47">
        <v>0</v>
      </c>
      <c r="V1435" s="34">
        <v>4078500726405</v>
      </c>
      <c r="W1435" s="34" t="s">
        <v>3550</v>
      </c>
      <c r="X1435" s="34" t="s">
        <v>3551</v>
      </c>
      <c r="Y1435" s="34" t="s">
        <v>3542</v>
      </c>
      <c r="Z1435" s="34">
        <v>5</v>
      </c>
      <c r="AA1435" s="34" t="s">
        <v>5644</v>
      </c>
      <c r="AB1435" s="34" t="s">
        <v>5644</v>
      </c>
      <c r="AC1435" s="34" t="s">
        <v>3714</v>
      </c>
      <c r="AD1435" s="34" t="s">
        <v>3714</v>
      </c>
      <c r="AE1435" s="34" t="s">
        <v>3931</v>
      </c>
      <c r="AF1435" s="34" t="s">
        <v>3931</v>
      </c>
      <c r="AG1435" s="34" t="s">
        <v>3932</v>
      </c>
      <c r="AH1435" s="34" t="s">
        <v>7116</v>
      </c>
      <c r="AL1435" s="34" t="s">
        <v>7060</v>
      </c>
      <c r="AM1435" s="40" t="s">
        <v>8095</v>
      </c>
      <c r="AT1435" s="44">
        <v>0</v>
      </c>
      <c r="AU1435" s="44"/>
      <c r="AV1435" s="46">
        <f>ROUND(Товары[[#This Row],[РРЦ финальная, руб.]]/$AU$1,2)</f>
        <v>0</v>
      </c>
      <c r="AW1435" s="45" t="str">
        <f>IFERROR(Товары[[#This Row],[РРЦ, евро]]/Товары[[#This Row],[IRP, Eur]],"-")</f>
        <v>-</v>
      </c>
      <c r="AX1435" s="42">
        <f>IFERROR(VLOOKUP(Товары[[#This Row],[SubGroup]],'Структура цен DIY'!$B:$C,2,FALSE),0)</f>
        <v>0.30000000000000004</v>
      </c>
      <c r="AY1435" s="44">
        <v>0</v>
      </c>
    </row>
    <row r="1436" spans="1:51" x14ac:dyDescent="0.25">
      <c r="A1436" s="34">
        <v>1434</v>
      </c>
      <c r="B1436" s="34" t="s">
        <v>50</v>
      </c>
      <c r="C1436" s="110" t="str">
        <f>IFERROR(INDEX(Структура_ассортимента[SuperCategory],MATCH(Товары[[#This Row],[SubGroup]],Структура_ассортимента[Subgroup],0)),"")</f>
        <v>O</v>
      </c>
      <c r="D1436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36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36" s="110" t="str">
        <f>IFERROR(INDEX(Структура_ассортимента[Product group],MATCH(Товары[[#This Row],[SubGroup]],Структура_ассортимента[Subgroup],0)),"")</f>
        <v>WPU_C</v>
      </c>
      <c r="G1436" s="110" t="str">
        <f>IFERROR(INDEX(Структура_ассортимента[Product group name ENG],MATCH(Товары[[#This Row],[SubGroup]],Структура_ассортимента[Subgroup],0)),"")</f>
        <v>Watering, Pumps</v>
      </c>
      <c r="H1436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36" s="36">
        <v>9117</v>
      </c>
      <c r="J1436" s="36" t="str">
        <f>IFERROR(INDEX(Структура_ассортимента[Generic Name (long)],MATCH(Товары[[#This Row],[SubGroup]],Структура_ассортимента[Subgroup],0)),"")</f>
        <v>TECHNICAL HOSE</v>
      </c>
      <c r="L1436" s="36">
        <v>901105601</v>
      </c>
      <c r="M1436" s="35" t="s">
        <v>3112</v>
      </c>
      <c r="Q1436" s="34" t="s">
        <v>3549</v>
      </c>
      <c r="R1436" s="34" t="s">
        <v>3540</v>
      </c>
      <c r="S1436" s="47">
        <v>35440</v>
      </c>
      <c r="T1436" s="47">
        <v>0</v>
      </c>
      <c r="U1436" s="47">
        <v>0</v>
      </c>
      <c r="V1436" s="34">
        <v>4078500726504</v>
      </c>
      <c r="W1436" s="34" t="s">
        <v>3550</v>
      </c>
      <c r="X1436" s="34" t="s">
        <v>3551</v>
      </c>
      <c r="Y1436" s="34" t="s">
        <v>3542</v>
      </c>
      <c r="Z1436" s="34">
        <v>5</v>
      </c>
      <c r="AA1436" s="34" t="s">
        <v>5640</v>
      </c>
      <c r="AB1436" s="34" t="s">
        <v>5640</v>
      </c>
      <c r="AC1436" s="34" t="s">
        <v>6073</v>
      </c>
      <c r="AD1436" s="34" t="s">
        <v>6073</v>
      </c>
      <c r="AE1436" s="34" t="s">
        <v>4780</v>
      </c>
      <c r="AF1436" s="34" t="s">
        <v>4780</v>
      </c>
      <c r="AG1436" s="34" t="s">
        <v>3801</v>
      </c>
      <c r="AH1436" s="34" t="s">
        <v>7100</v>
      </c>
      <c r="AL1436" s="34" t="s">
        <v>7060</v>
      </c>
      <c r="AM1436" s="40" t="s">
        <v>8095</v>
      </c>
      <c r="AT1436" s="44">
        <v>0</v>
      </c>
      <c r="AU1436" s="44"/>
      <c r="AV1436" s="46">
        <f>ROUND(Товары[[#This Row],[РРЦ финальная, руб.]]/$AU$1,2)</f>
        <v>0</v>
      </c>
      <c r="AW1436" s="45" t="str">
        <f>IFERROR(Товары[[#This Row],[РРЦ, евро]]/Товары[[#This Row],[IRP, Eur]],"-")</f>
        <v>-</v>
      </c>
      <c r="AX1436" s="42">
        <f>IFERROR(VLOOKUP(Товары[[#This Row],[SubGroup]],'Структура цен DIY'!$B:$C,2,FALSE),0)</f>
        <v>0.30000000000000004</v>
      </c>
      <c r="AY1436" s="44">
        <v>0</v>
      </c>
    </row>
    <row r="1437" spans="1:51" x14ac:dyDescent="0.25">
      <c r="A1437" s="34">
        <v>1435</v>
      </c>
      <c r="B1437" s="34" t="s">
        <v>50</v>
      </c>
      <c r="C1437" s="110" t="str">
        <f>IFERROR(INDEX(Структура_ассортимента[SuperCategory],MATCH(Товары[[#This Row],[SubGroup]],Структура_ассортимента[Subgroup],0)),"")</f>
        <v>O</v>
      </c>
      <c r="D1437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37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37" s="110" t="str">
        <f>IFERROR(INDEX(Структура_ассортимента[Product group],MATCH(Товары[[#This Row],[SubGroup]],Структура_ассортимента[Subgroup],0)),"")</f>
        <v>WPU_C</v>
      </c>
      <c r="G1437" s="110" t="str">
        <f>IFERROR(INDEX(Структура_ассортимента[Product group name ENG],MATCH(Товары[[#This Row],[SubGroup]],Структура_ассортимента[Subgroup],0)),"")</f>
        <v>Watering, Pumps</v>
      </c>
      <c r="H1437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37" s="36">
        <v>9117</v>
      </c>
      <c r="J1437" s="36" t="str">
        <f>IFERROR(INDEX(Структура_ассортимента[Generic Name (long)],MATCH(Товары[[#This Row],[SubGroup]],Структура_ассортимента[Subgroup],0)),"")</f>
        <v>TECHNICAL HOSE</v>
      </c>
      <c r="L1437" s="36">
        <v>901105701</v>
      </c>
      <c r="M1437" s="35" t="s">
        <v>3113</v>
      </c>
      <c r="Q1437" s="34" t="s">
        <v>3549</v>
      </c>
      <c r="R1437" s="34" t="s">
        <v>3540</v>
      </c>
      <c r="S1437" s="47">
        <v>37749</v>
      </c>
      <c r="T1437" s="47">
        <v>0</v>
      </c>
      <c r="U1437" s="47">
        <v>0</v>
      </c>
      <c r="V1437" s="34">
        <v>4078500726603</v>
      </c>
      <c r="W1437" s="34" t="s">
        <v>3550</v>
      </c>
      <c r="X1437" s="34" t="s">
        <v>3551</v>
      </c>
      <c r="Y1437" s="34" t="s">
        <v>3542</v>
      </c>
      <c r="Z1437" s="34">
        <v>5</v>
      </c>
      <c r="AA1437" s="34" t="s">
        <v>3670</v>
      </c>
      <c r="AB1437" s="34" t="s">
        <v>3670</v>
      </c>
      <c r="AC1437" s="34" t="s">
        <v>6613</v>
      </c>
      <c r="AD1437" s="34" t="s">
        <v>6613</v>
      </c>
      <c r="AE1437" s="34" t="s">
        <v>4780</v>
      </c>
      <c r="AF1437" s="34" t="s">
        <v>4780</v>
      </c>
      <c r="AG1437" s="34" t="s">
        <v>3801</v>
      </c>
      <c r="AH1437" s="34" t="s">
        <v>7100</v>
      </c>
      <c r="AL1437" s="34" t="s">
        <v>7060</v>
      </c>
      <c r="AM1437" s="40" t="s">
        <v>8095</v>
      </c>
      <c r="AT1437" s="44">
        <v>0</v>
      </c>
      <c r="AU1437" s="44"/>
      <c r="AV1437" s="46">
        <f>ROUND(Товары[[#This Row],[РРЦ финальная, руб.]]/$AU$1,2)</f>
        <v>0</v>
      </c>
      <c r="AW1437" s="45" t="str">
        <f>IFERROR(Товары[[#This Row],[РРЦ, евро]]/Товары[[#This Row],[IRP, Eur]],"-")</f>
        <v>-</v>
      </c>
      <c r="AX1437" s="42">
        <f>IFERROR(VLOOKUP(Товары[[#This Row],[SubGroup]],'Структура цен DIY'!$B:$C,2,FALSE),0)</f>
        <v>0.30000000000000004</v>
      </c>
      <c r="AY1437" s="44">
        <v>0</v>
      </c>
    </row>
    <row r="1438" spans="1:51" x14ac:dyDescent="0.25">
      <c r="A1438" s="34">
        <v>1436</v>
      </c>
      <c r="B1438" s="34" t="s">
        <v>50</v>
      </c>
      <c r="C1438" s="110" t="str">
        <f>IFERROR(INDEX(Структура_ассортимента[SuperCategory],MATCH(Товары[[#This Row],[SubGroup]],Структура_ассортимента[Subgroup],0)),"")</f>
        <v>O</v>
      </c>
      <c r="D1438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38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38" s="110" t="str">
        <f>IFERROR(INDEX(Структура_ассортимента[Product group],MATCH(Товары[[#This Row],[SubGroup]],Структура_ассортимента[Subgroup],0)),"")</f>
        <v>WPU_C</v>
      </c>
      <c r="G1438" s="110" t="str">
        <f>IFERROR(INDEX(Структура_ассортимента[Product group name ENG],MATCH(Товары[[#This Row],[SubGroup]],Структура_ассортимента[Subgroup],0)),"")</f>
        <v>Watering, Pumps</v>
      </c>
      <c r="H1438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38" s="36">
        <v>9117</v>
      </c>
      <c r="J1438" s="36" t="str">
        <f>IFERROR(INDEX(Структура_ассортимента[Generic Name (long)],MATCH(Товары[[#This Row],[SubGroup]],Структура_ассортимента[Subgroup],0)),"")</f>
        <v>TECHNICAL HOSE</v>
      </c>
      <c r="L1438" s="36">
        <v>901105801</v>
      </c>
      <c r="M1438" s="35" t="s">
        <v>3114</v>
      </c>
      <c r="Q1438" s="34" t="s">
        <v>3549</v>
      </c>
      <c r="R1438" s="34" t="s">
        <v>3540</v>
      </c>
      <c r="S1438" s="47">
        <v>35440</v>
      </c>
      <c r="T1438" s="47">
        <v>0</v>
      </c>
      <c r="U1438" s="47">
        <v>0</v>
      </c>
      <c r="V1438" s="34">
        <v>4078500727006</v>
      </c>
      <c r="W1438" s="34" t="s">
        <v>3550</v>
      </c>
      <c r="X1438" s="34" t="s">
        <v>3551</v>
      </c>
      <c r="Y1438" s="34" t="s">
        <v>3542</v>
      </c>
      <c r="Z1438" s="34">
        <v>5</v>
      </c>
      <c r="AA1438" s="34" t="s">
        <v>6594</v>
      </c>
      <c r="AB1438" s="34" t="s">
        <v>6594</v>
      </c>
      <c r="AC1438" s="34" t="s">
        <v>6471</v>
      </c>
      <c r="AD1438" s="34" t="s">
        <v>6471</v>
      </c>
      <c r="AE1438" s="34" t="s">
        <v>4421</v>
      </c>
      <c r="AF1438" s="34" t="s">
        <v>4421</v>
      </c>
      <c r="AG1438" s="34" t="s">
        <v>4406</v>
      </c>
      <c r="AH1438" s="34" t="s">
        <v>7113</v>
      </c>
      <c r="AL1438" s="34" t="s">
        <v>7060</v>
      </c>
      <c r="AM1438" s="40" t="s">
        <v>8095</v>
      </c>
      <c r="AT1438" s="44">
        <v>0</v>
      </c>
      <c r="AU1438" s="44"/>
      <c r="AV1438" s="46">
        <f>ROUND(Товары[[#This Row],[РРЦ финальная, руб.]]/$AU$1,2)</f>
        <v>0</v>
      </c>
      <c r="AW1438" s="45" t="str">
        <f>IFERROR(Товары[[#This Row],[РРЦ, евро]]/Товары[[#This Row],[IRP, Eur]],"-")</f>
        <v>-</v>
      </c>
      <c r="AX1438" s="42">
        <f>IFERROR(VLOOKUP(Товары[[#This Row],[SubGroup]],'Структура цен DIY'!$B:$C,2,FALSE),0)</f>
        <v>0.30000000000000004</v>
      </c>
      <c r="AY1438" s="44">
        <v>0</v>
      </c>
    </row>
    <row r="1439" spans="1:51" x14ac:dyDescent="0.25">
      <c r="A1439" s="34">
        <v>1437</v>
      </c>
      <c r="B1439" s="34" t="s">
        <v>50</v>
      </c>
      <c r="C1439" s="110" t="str">
        <f>IFERROR(INDEX(Структура_ассортимента[SuperCategory],MATCH(Товары[[#This Row],[SubGroup]],Структура_ассортимента[Subgroup],0)),"")</f>
        <v>O</v>
      </c>
      <c r="D1439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39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39" s="110" t="str">
        <f>IFERROR(INDEX(Структура_ассортимента[Product group],MATCH(Товары[[#This Row],[SubGroup]],Структура_ассортимента[Subgroup],0)),"")</f>
        <v>WPU_C</v>
      </c>
      <c r="G1439" s="110" t="str">
        <f>IFERROR(INDEX(Структура_ассортимента[Product group name ENG],MATCH(Товары[[#This Row],[SubGroup]],Структура_ассортимента[Subgroup],0)),"")</f>
        <v>Watering, Pumps</v>
      </c>
      <c r="H1439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39" s="36">
        <v>9117</v>
      </c>
      <c r="J1439" s="36" t="str">
        <f>IFERROR(INDEX(Структура_ассортимента[Generic Name (long)],MATCH(Товары[[#This Row],[SubGroup]],Структура_ассортимента[Subgroup],0)),"")</f>
        <v>TECHNICAL HOSE</v>
      </c>
      <c r="L1439" s="36">
        <v>901105901</v>
      </c>
      <c r="M1439" s="35" t="s">
        <v>3115</v>
      </c>
      <c r="Q1439" s="34" t="s">
        <v>3549</v>
      </c>
      <c r="R1439" s="34" t="s">
        <v>3540</v>
      </c>
      <c r="S1439" s="47">
        <v>35440</v>
      </c>
      <c r="T1439" s="47">
        <v>0</v>
      </c>
      <c r="U1439" s="47">
        <v>0</v>
      </c>
      <c r="V1439" s="34">
        <v>4078500727105</v>
      </c>
      <c r="W1439" s="34" t="s">
        <v>3550</v>
      </c>
      <c r="X1439" s="34" t="s">
        <v>3551</v>
      </c>
      <c r="Y1439" s="34" t="s">
        <v>3542</v>
      </c>
      <c r="Z1439" s="34">
        <v>5</v>
      </c>
      <c r="AA1439" s="34" t="s">
        <v>6584</v>
      </c>
      <c r="AB1439" s="34" t="s">
        <v>6584</v>
      </c>
      <c r="AC1439" s="34" t="s">
        <v>3717</v>
      </c>
      <c r="AD1439" s="34" t="s">
        <v>3717</v>
      </c>
      <c r="AE1439" s="34" t="s">
        <v>4775</v>
      </c>
      <c r="AF1439" s="34" t="s">
        <v>4221</v>
      </c>
      <c r="AG1439" s="34" t="s">
        <v>4111</v>
      </c>
      <c r="AH1439" s="34" t="s">
        <v>7113</v>
      </c>
      <c r="AL1439" s="34" t="s">
        <v>7060</v>
      </c>
      <c r="AM1439" s="40" t="s">
        <v>8095</v>
      </c>
      <c r="AT1439" s="44">
        <v>0</v>
      </c>
      <c r="AU1439" s="44"/>
      <c r="AV1439" s="46">
        <f>ROUND(Товары[[#This Row],[РРЦ финальная, руб.]]/$AU$1,2)</f>
        <v>0</v>
      </c>
      <c r="AW1439" s="45" t="str">
        <f>IFERROR(Товары[[#This Row],[РРЦ, евро]]/Товары[[#This Row],[IRP, Eur]],"-")</f>
        <v>-</v>
      </c>
      <c r="AX1439" s="42">
        <f>IFERROR(VLOOKUP(Товары[[#This Row],[SubGroup]],'Структура цен DIY'!$B:$C,2,FALSE),0)</f>
        <v>0.30000000000000004</v>
      </c>
      <c r="AY1439" s="44">
        <v>0</v>
      </c>
    </row>
    <row r="1440" spans="1:51" x14ac:dyDescent="0.25">
      <c r="A1440" s="34">
        <v>1438</v>
      </c>
      <c r="B1440" s="34" t="s">
        <v>50</v>
      </c>
      <c r="C1440" s="110" t="str">
        <f>IFERROR(INDEX(Структура_ассортимента[SuperCategory],MATCH(Товары[[#This Row],[SubGroup]],Структура_ассортимента[Subgroup],0)),"")</f>
        <v>O</v>
      </c>
      <c r="D1440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40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40" s="110" t="str">
        <f>IFERROR(INDEX(Структура_ассортимента[Product group],MATCH(Товары[[#This Row],[SubGroup]],Структура_ассортимента[Subgroup],0)),"")</f>
        <v>WPU_C</v>
      </c>
      <c r="G1440" s="110" t="str">
        <f>IFERROR(INDEX(Структура_ассортимента[Product group name ENG],MATCH(Товары[[#This Row],[SubGroup]],Структура_ассортимента[Subgroup],0)),"")</f>
        <v>Watering, Pumps</v>
      </c>
      <c r="H1440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40" s="36">
        <v>9117</v>
      </c>
      <c r="J1440" s="36" t="str">
        <f>IFERROR(INDEX(Структура_ассортимента[Generic Name (long)],MATCH(Товары[[#This Row],[SubGroup]],Структура_ассортимента[Subgroup],0)),"")</f>
        <v>TECHNICAL HOSE</v>
      </c>
      <c r="L1440" s="36">
        <v>901106001</v>
      </c>
      <c r="M1440" s="35" t="s">
        <v>3116</v>
      </c>
      <c r="Q1440" s="34" t="s">
        <v>3549</v>
      </c>
      <c r="R1440" s="34" t="s">
        <v>3540</v>
      </c>
      <c r="S1440" s="47">
        <v>35440</v>
      </c>
      <c r="T1440" s="47">
        <v>0</v>
      </c>
      <c r="U1440" s="47">
        <v>0</v>
      </c>
      <c r="V1440" s="34">
        <v>4078500727204</v>
      </c>
      <c r="W1440" s="34" t="s">
        <v>3550</v>
      </c>
      <c r="X1440" s="34" t="s">
        <v>3551</v>
      </c>
      <c r="Y1440" s="34" t="s">
        <v>3542</v>
      </c>
      <c r="Z1440" s="34">
        <v>5</v>
      </c>
      <c r="AA1440" s="34" t="s">
        <v>7117</v>
      </c>
      <c r="AB1440" s="34" t="s">
        <v>7117</v>
      </c>
      <c r="AC1440" s="34" t="s">
        <v>3676</v>
      </c>
      <c r="AD1440" s="34" t="s">
        <v>3676</v>
      </c>
      <c r="AE1440" s="34" t="s">
        <v>4463</v>
      </c>
      <c r="AF1440" s="34" t="s">
        <v>4463</v>
      </c>
      <c r="AG1440" s="34" t="s">
        <v>6551</v>
      </c>
      <c r="AH1440" s="34" t="s">
        <v>7118</v>
      </c>
      <c r="AL1440" s="34" t="s">
        <v>7060</v>
      </c>
      <c r="AM1440" s="40" t="s">
        <v>8095</v>
      </c>
      <c r="AT1440" s="44">
        <v>0</v>
      </c>
      <c r="AU1440" s="44"/>
      <c r="AV1440" s="46">
        <f>ROUND(Товары[[#This Row],[РРЦ финальная, руб.]]/$AU$1,2)</f>
        <v>0</v>
      </c>
      <c r="AW1440" s="45" t="str">
        <f>IFERROR(Товары[[#This Row],[РРЦ, евро]]/Товары[[#This Row],[IRP, Eur]],"-")</f>
        <v>-</v>
      </c>
      <c r="AX1440" s="42">
        <f>IFERROR(VLOOKUP(Товары[[#This Row],[SubGroup]],'Структура цен DIY'!$B:$C,2,FALSE),0)</f>
        <v>0.30000000000000004</v>
      </c>
      <c r="AY1440" s="44">
        <v>0</v>
      </c>
    </row>
    <row r="1441" spans="1:51" x14ac:dyDescent="0.25">
      <c r="A1441" s="34">
        <v>1439</v>
      </c>
      <c r="B1441" s="34" t="s">
        <v>50</v>
      </c>
      <c r="C1441" s="110" t="str">
        <f>IFERROR(INDEX(Структура_ассортимента[SuperCategory],MATCH(Товары[[#This Row],[SubGroup]],Структура_ассортимента[Subgroup],0)),"")</f>
        <v>O</v>
      </c>
      <c r="D1441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41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41" s="110" t="str">
        <f>IFERROR(INDEX(Структура_ассортимента[Product group],MATCH(Товары[[#This Row],[SubGroup]],Структура_ассортимента[Subgroup],0)),"")</f>
        <v>WPU_C</v>
      </c>
      <c r="G1441" s="110" t="str">
        <f>IFERROR(INDEX(Структура_ассортимента[Product group name ENG],MATCH(Товары[[#This Row],[SubGroup]],Структура_ассортимента[Subgroup],0)),"")</f>
        <v>Watering, Pumps</v>
      </c>
      <c r="H1441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41" s="36">
        <v>9117</v>
      </c>
      <c r="J1441" s="36" t="str">
        <f>IFERROR(INDEX(Структура_ассортимента[Generic Name (long)],MATCH(Товары[[#This Row],[SubGroup]],Структура_ассортимента[Subgroup],0)),"")</f>
        <v>TECHNICAL HOSE</v>
      </c>
      <c r="L1441" s="36">
        <v>901106101</v>
      </c>
      <c r="M1441" s="35" t="s">
        <v>3117</v>
      </c>
      <c r="Q1441" s="34" t="s">
        <v>3549</v>
      </c>
      <c r="R1441" s="34" t="s">
        <v>3540</v>
      </c>
      <c r="S1441" s="47">
        <v>35440</v>
      </c>
      <c r="T1441" s="47">
        <v>0</v>
      </c>
      <c r="U1441" s="47">
        <v>0</v>
      </c>
      <c r="V1441" s="34">
        <v>4078500727303</v>
      </c>
      <c r="W1441" s="34" t="s">
        <v>3550</v>
      </c>
      <c r="X1441" s="34" t="s">
        <v>3551</v>
      </c>
      <c r="Y1441" s="34" t="s">
        <v>3542</v>
      </c>
      <c r="Z1441" s="34">
        <v>5</v>
      </c>
      <c r="AA1441" s="34" t="s">
        <v>7119</v>
      </c>
      <c r="AB1441" s="34" t="s">
        <v>7119</v>
      </c>
      <c r="AC1441" s="34" t="s">
        <v>3676</v>
      </c>
      <c r="AD1441" s="34" t="s">
        <v>3676</v>
      </c>
      <c r="AE1441" s="34" t="s">
        <v>5282</v>
      </c>
      <c r="AF1441" s="34" t="s">
        <v>5282</v>
      </c>
      <c r="AG1441" s="34" t="s">
        <v>6551</v>
      </c>
      <c r="AH1441" s="34" t="s">
        <v>7120</v>
      </c>
      <c r="AL1441" s="34" t="s">
        <v>7060</v>
      </c>
      <c r="AM1441" s="40" t="s">
        <v>8095</v>
      </c>
      <c r="AT1441" s="44">
        <v>0</v>
      </c>
      <c r="AU1441" s="44"/>
      <c r="AV1441" s="46">
        <f>ROUND(Товары[[#This Row],[РРЦ финальная, руб.]]/$AU$1,2)</f>
        <v>0</v>
      </c>
      <c r="AW1441" s="45" t="str">
        <f>IFERROR(Товары[[#This Row],[РРЦ, евро]]/Товары[[#This Row],[IRP, Eur]],"-")</f>
        <v>-</v>
      </c>
      <c r="AX1441" s="42">
        <f>IFERROR(VLOOKUP(Товары[[#This Row],[SubGroup]],'Структура цен DIY'!$B:$C,2,FALSE),0)</f>
        <v>0.30000000000000004</v>
      </c>
      <c r="AY1441" s="44">
        <v>0</v>
      </c>
    </row>
    <row r="1442" spans="1:51" x14ac:dyDescent="0.25">
      <c r="A1442" s="34">
        <v>1440</v>
      </c>
      <c r="B1442" s="34" t="s">
        <v>50</v>
      </c>
      <c r="C1442" s="110" t="str">
        <f>IFERROR(INDEX(Структура_ассортимента[SuperCategory],MATCH(Товары[[#This Row],[SubGroup]],Структура_ассортимента[Subgroup],0)),"")</f>
        <v>O</v>
      </c>
      <c r="D1442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42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42" s="110" t="str">
        <f>IFERROR(INDEX(Структура_ассортимента[Product group],MATCH(Товары[[#This Row],[SubGroup]],Структура_ассортимента[Subgroup],0)),"")</f>
        <v>WPU_C</v>
      </c>
      <c r="G1442" s="110" t="str">
        <f>IFERROR(INDEX(Структура_ассортимента[Product group name ENG],MATCH(Товары[[#This Row],[SubGroup]],Структура_ассортимента[Subgroup],0)),"")</f>
        <v>Watering, Pumps</v>
      </c>
      <c r="H1442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42" s="36">
        <v>9117</v>
      </c>
      <c r="J1442" s="36" t="str">
        <f>IFERROR(INDEX(Структура_ассортимента[Generic Name (long)],MATCH(Товары[[#This Row],[SubGroup]],Структура_ассортимента[Subgroup],0)),"")</f>
        <v>TECHNICAL HOSE</v>
      </c>
      <c r="L1442" s="36">
        <v>901106201</v>
      </c>
      <c r="M1442" s="35" t="s">
        <v>3118</v>
      </c>
      <c r="Q1442" s="34" t="s">
        <v>3549</v>
      </c>
      <c r="R1442" s="34" t="s">
        <v>3540</v>
      </c>
      <c r="S1442" s="47">
        <v>35440</v>
      </c>
      <c r="T1442" s="47">
        <v>0</v>
      </c>
      <c r="U1442" s="47">
        <v>0</v>
      </c>
      <c r="V1442" s="34">
        <v>4078500728003</v>
      </c>
      <c r="W1442" s="34" t="s">
        <v>3550</v>
      </c>
      <c r="X1442" s="34" t="s">
        <v>3551</v>
      </c>
      <c r="Y1442" s="34" t="s">
        <v>3542</v>
      </c>
      <c r="Z1442" s="34">
        <v>5</v>
      </c>
      <c r="AA1442" s="34" t="s">
        <v>6602</v>
      </c>
      <c r="AB1442" s="34" t="s">
        <v>6602</v>
      </c>
      <c r="AC1442" s="34" t="s">
        <v>3670</v>
      </c>
      <c r="AD1442" s="34" t="s">
        <v>3670</v>
      </c>
      <c r="AE1442" s="34" t="s">
        <v>4351</v>
      </c>
      <c r="AF1442" s="34" t="s">
        <v>4231</v>
      </c>
      <c r="AG1442" s="34" t="s">
        <v>4231</v>
      </c>
      <c r="AH1442" s="34" t="s">
        <v>7121</v>
      </c>
      <c r="AL1442" s="34" t="s">
        <v>7060</v>
      </c>
      <c r="AM1442" s="40" t="s">
        <v>8095</v>
      </c>
      <c r="AT1442" s="44">
        <v>0</v>
      </c>
      <c r="AU1442" s="44"/>
      <c r="AV1442" s="46">
        <f>ROUND(Товары[[#This Row],[РРЦ финальная, руб.]]/$AU$1,2)</f>
        <v>0</v>
      </c>
      <c r="AW1442" s="45" t="str">
        <f>IFERROR(Товары[[#This Row],[РРЦ, евро]]/Товары[[#This Row],[IRP, Eur]],"-")</f>
        <v>-</v>
      </c>
      <c r="AX1442" s="42">
        <f>IFERROR(VLOOKUP(Товары[[#This Row],[SubGroup]],'Структура цен DIY'!$B:$C,2,FALSE),0)</f>
        <v>0.30000000000000004</v>
      </c>
      <c r="AY1442" s="44">
        <v>0</v>
      </c>
    </row>
    <row r="1443" spans="1:51" x14ac:dyDescent="0.25">
      <c r="A1443" s="34">
        <v>1441</v>
      </c>
      <c r="B1443" s="34" t="s">
        <v>50</v>
      </c>
      <c r="C1443" s="110" t="str">
        <f>IFERROR(INDEX(Структура_ассортимента[SuperCategory],MATCH(Товары[[#This Row],[SubGroup]],Структура_ассортимента[Subgroup],0)),"")</f>
        <v>O</v>
      </c>
      <c r="D1443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43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43" s="110" t="str">
        <f>IFERROR(INDEX(Структура_ассортимента[Product group],MATCH(Товары[[#This Row],[SubGroup]],Структура_ассортимента[Subgroup],0)),"")</f>
        <v>WPU_C</v>
      </c>
      <c r="G1443" s="110" t="str">
        <f>IFERROR(INDEX(Структура_ассортимента[Product group name ENG],MATCH(Товары[[#This Row],[SubGroup]],Структура_ассортимента[Subgroup],0)),"")</f>
        <v>Watering, Pumps</v>
      </c>
      <c r="H1443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43" s="36">
        <v>9117</v>
      </c>
      <c r="J1443" s="36" t="str">
        <f>IFERROR(INDEX(Структура_ассортимента[Generic Name (long)],MATCH(Товары[[#This Row],[SubGroup]],Структура_ассортимента[Subgroup],0)),"")</f>
        <v>TECHNICAL HOSE</v>
      </c>
      <c r="L1443" s="36">
        <v>901106301</v>
      </c>
      <c r="M1443" s="35" t="s">
        <v>3119</v>
      </c>
      <c r="Q1443" s="34" t="s">
        <v>3549</v>
      </c>
      <c r="R1443" s="34" t="s">
        <v>3540</v>
      </c>
      <c r="S1443" s="47">
        <v>35440</v>
      </c>
      <c r="T1443" s="47">
        <v>0</v>
      </c>
      <c r="U1443" s="47">
        <v>0</v>
      </c>
      <c r="V1443" s="34">
        <v>4078500728102</v>
      </c>
      <c r="W1443" s="34" t="s">
        <v>3550</v>
      </c>
      <c r="X1443" s="34" t="s">
        <v>3551</v>
      </c>
      <c r="Y1443" s="34" t="s">
        <v>3542</v>
      </c>
      <c r="Z1443" s="34">
        <v>5</v>
      </c>
      <c r="AA1443" s="34" t="s">
        <v>7122</v>
      </c>
      <c r="AB1443" s="34" t="s">
        <v>7122</v>
      </c>
      <c r="AC1443" s="34" t="s">
        <v>3728</v>
      </c>
      <c r="AD1443" s="34" t="s">
        <v>3728</v>
      </c>
      <c r="AE1443" s="34" t="s">
        <v>4181</v>
      </c>
      <c r="AF1443" s="34" t="s">
        <v>4181</v>
      </c>
      <c r="AG1443" s="34" t="s">
        <v>4956</v>
      </c>
      <c r="AH1443" s="34" t="s">
        <v>7123</v>
      </c>
      <c r="AL1443" s="34" t="s">
        <v>7066</v>
      </c>
      <c r="AM1443" s="40" t="s">
        <v>8095</v>
      </c>
      <c r="AT1443" s="44">
        <v>0</v>
      </c>
      <c r="AU1443" s="44"/>
      <c r="AV1443" s="46">
        <f>ROUND(Товары[[#This Row],[РРЦ финальная, руб.]]/$AU$1,2)</f>
        <v>0</v>
      </c>
      <c r="AW1443" s="45" t="str">
        <f>IFERROR(Товары[[#This Row],[РРЦ, евро]]/Товары[[#This Row],[IRP, Eur]],"-")</f>
        <v>-</v>
      </c>
      <c r="AX1443" s="42">
        <f>IFERROR(VLOOKUP(Товары[[#This Row],[SubGroup]],'Структура цен DIY'!$B:$C,2,FALSE),0)</f>
        <v>0.30000000000000004</v>
      </c>
      <c r="AY1443" s="44">
        <v>0</v>
      </c>
    </row>
    <row r="1444" spans="1:51" x14ac:dyDescent="0.25">
      <c r="A1444" s="34">
        <v>1442</v>
      </c>
      <c r="B1444" s="34" t="s">
        <v>50</v>
      </c>
      <c r="C1444" s="110" t="str">
        <f>IFERROR(INDEX(Структура_ассортимента[SuperCategory],MATCH(Товары[[#This Row],[SubGroup]],Структура_ассортимента[Subgroup],0)),"")</f>
        <v>O</v>
      </c>
      <c r="D1444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44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44" s="110" t="str">
        <f>IFERROR(INDEX(Структура_ассортимента[Product group],MATCH(Товары[[#This Row],[SubGroup]],Структура_ассортимента[Subgroup],0)),"")</f>
        <v>WPU_C</v>
      </c>
      <c r="G1444" s="110" t="str">
        <f>IFERROR(INDEX(Структура_ассортимента[Product group name ENG],MATCH(Товары[[#This Row],[SubGroup]],Структура_ассортимента[Subgroup],0)),"")</f>
        <v>Watering, Pumps</v>
      </c>
      <c r="H1444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44" s="36">
        <v>9117</v>
      </c>
      <c r="J1444" s="36" t="str">
        <f>IFERROR(INDEX(Структура_ассортимента[Generic Name (long)],MATCH(Товары[[#This Row],[SubGroup]],Структура_ассортимента[Subgroup],0)),"")</f>
        <v>TECHNICAL HOSE</v>
      </c>
      <c r="L1444" s="36">
        <v>901106401</v>
      </c>
      <c r="M1444" s="35" t="s">
        <v>3120</v>
      </c>
      <c r="Q1444" s="34" t="s">
        <v>3549</v>
      </c>
      <c r="R1444" s="34" t="s">
        <v>3540</v>
      </c>
      <c r="S1444" s="47">
        <v>35440</v>
      </c>
      <c r="T1444" s="47">
        <v>0</v>
      </c>
      <c r="U1444" s="47">
        <v>0</v>
      </c>
      <c r="V1444" s="34">
        <v>4078500728201</v>
      </c>
      <c r="W1444" s="34" t="s">
        <v>3550</v>
      </c>
      <c r="X1444" s="34" t="s">
        <v>3551</v>
      </c>
      <c r="Y1444" s="34" t="s">
        <v>3542</v>
      </c>
      <c r="Z1444" s="34">
        <v>5</v>
      </c>
      <c r="AA1444" s="34" t="s">
        <v>4141</v>
      </c>
      <c r="AB1444" s="34" t="s">
        <v>4141</v>
      </c>
      <c r="AC1444" s="34" t="s">
        <v>4400</v>
      </c>
      <c r="AD1444" s="34" t="s">
        <v>4400</v>
      </c>
      <c r="AE1444" s="34" t="s">
        <v>4324</v>
      </c>
      <c r="AF1444" s="34" t="s">
        <v>4463</v>
      </c>
      <c r="AG1444" s="34" t="s">
        <v>4463</v>
      </c>
      <c r="AH1444" s="34" t="s">
        <v>7124</v>
      </c>
      <c r="AL1444" s="34" t="s">
        <v>7077</v>
      </c>
      <c r="AM1444" s="40" t="s">
        <v>8095</v>
      </c>
      <c r="AT1444" s="44">
        <v>0</v>
      </c>
      <c r="AU1444" s="44"/>
      <c r="AV1444" s="46">
        <f>ROUND(Товары[[#This Row],[РРЦ финальная, руб.]]/$AU$1,2)</f>
        <v>0</v>
      </c>
      <c r="AW1444" s="45" t="str">
        <f>IFERROR(Товары[[#This Row],[РРЦ, евро]]/Товары[[#This Row],[IRP, Eur]],"-")</f>
        <v>-</v>
      </c>
      <c r="AX1444" s="42">
        <f>IFERROR(VLOOKUP(Товары[[#This Row],[SubGroup]],'Структура цен DIY'!$B:$C,2,FALSE),0)</f>
        <v>0.30000000000000004</v>
      </c>
      <c r="AY1444" s="44">
        <v>0</v>
      </c>
    </row>
    <row r="1445" spans="1:51" x14ac:dyDescent="0.25">
      <c r="A1445" s="34">
        <v>1443</v>
      </c>
      <c r="B1445" s="34" t="s">
        <v>50</v>
      </c>
      <c r="C1445" s="110" t="str">
        <f>IFERROR(INDEX(Структура_ассортимента[SuperCategory],MATCH(Товары[[#This Row],[SubGroup]],Структура_ассортимента[Subgroup],0)),"")</f>
        <v>O</v>
      </c>
      <c r="D1445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45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45" s="110" t="str">
        <f>IFERROR(INDEX(Структура_ассортимента[Product group],MATCH(Товары[[#This Row],[SubGroup]],Структура_ассортимента[Subgroup],0)),"")</f>
        <v>WPU_C</v>
      </c>
      <c r="G1445" s="110" t="str">
        <f>IFERROR(INDEX(Структура_ассортимента[Product group name ENG],MATCH(Товары[[#This Row],[SubGroup]],Структура_ассортимента[Subgroup],0)),"")</f>
        <v>Watering, Pumps</v>
      </c>
      <c r="H1445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45" s="36">
        <v>9117</v>
      </c>
      <c r="J1445" s="36" t="str">
        <f>IFERROR(INDEX(Структура_ассортимента[Generic Name (long)],MATCH(Товары[[#This Row],[SubGroup]],Структура_ассортимента[Subgroup],0)),"")</f>
        <v>TECHNICAL HOSE</v>
      </c>
      <c r="L1445" s="36">
        <v>901106501</v>
      </c>
      <c r="M1445" s="35" t="s">
        <v>3121</v>
      </c>
      <c r="Q1445" s="34" t="s">
        <v>3549</v>
      </c>
      <c r="R1445" s="34" t="s">
        <v>3540</v>
      </c>
      <c r="S1445" s="47">
        <v>35440</v>
      </c>
      <c r="T1445" s="47">
        <v>0</v>
      </c>
      <c r="U1445" s="47">
        <v>0</v>
      </c>
      <c r="V1445" s="34">
        <v>4078500728300</v>
      </c>
      <c r="W1445" s="34" t="s">
        <v>3550</v>
      </c>
      <c r="X1445" s="34" t="s">
        <v>3551</v>
      </c>
      <c r="Y1445" s="34" t="s">
        <v>3542</v>
      </c>
      <c r="Z1445" s="34">
        <v>5</v>
      </c>
      <c r="AA1445" s="34" t="s">
        <v>7102</v>
      </c>
      <c r="AB1445" s="34" t="s">
        <v>7102</v>
      </c>
      <c r="AC1445" s="34" t="s">
        <v>3720</v>
      </c>
      <c r="AD1445" s="34" t="s">
        <v>3720</v>
      </c>
      <c r="AE1445" s="34" t="s">
        <v>4239</v>
      </c>
      <c r="AF1445" s="34" t="s">
        <v>4181</v>
      </c>
      <c r="AG1445" s="34" t="s">
        <v>4780</v>
      </c>
      <c r="AH1445" s="34" t="s">
        <v>5648</v>
      </c>
      <c r="AL1445" s="34" t="s">
        <v>7066</v>
      </c>
      <c r="AM1445" s="40" t="s">
        <v>8095</v>
      </c>
      <c r="AT1445" s="44">
        <v>0</v>
      </c>
      <c r="AU1445" s="44"/>
      <c r="AV1445" s="46">
        <f>ROUND(Товары[[#This Row],[РРЦ финальная, руб.]]/$AU$1,2)</f>
        <v>0</v>
      </c>
      <c r="AW1445" s="45" t="str">
        <f>IFERROR(Товары[[#This Row],[РРЦ, евро]]/Товары[[#This Row],[IRP, Eur]],"-")</f>
        <v>-</v>
      </c>
      <c r="AX1445" s="42">
        <f>IFERROR(VLOOKUP(Товары[[#This Row],[SubGroup]],'Структура цен DIY'!$B:$C,2,FALSE),0)</f>
        <v>0.30000000000000004</v>
      </c>
      <c r="AY1445" s="44">
        <v>0</v>
      </c>
    </row>
    <row r="1446" spans="1:51" x14ac:dyDescent="0.25">
      <c r="A1446" s="34">
        <v>1444</v>
      </c>
      <c r="B1446" s="34" t="s">
        <v>50</v>
      </c>
      <c r="C1446" s="110" t="str">
        <f>IFERROR(INDEX(Структура_ассортимента[SuperCategory],MATCH(Товары[[#This Row],[SubGroup]],Структура_ассортимента[Subgroup],0)),"")</f>
        <v>O</v>
      </c>
      <c r="D1446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46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46" s="110" t="str">
        <f>IFERROR(INDEX(Структура_ассортимента[Product group],MATCH(Товары[[#This Row],[SubGroup]],Структура_ассортимента[Subgroup],0)),"")</f>
        <v>WPU_C</v>
      </c>
      <c r="G1446" s="110" t="str">
        <f>IFERROR(INDEX(Структура_ассортимента[Product group name ENG],MATCH(Товары[[#This Row],[SubGroup]],Структура_ассортимента[Subgroup],0)),"")</f>
        <v>Watering, Pumps</v>
      </c>
      <c r="H1446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46" s="36">
        <v>9117</v>
      </c>
      <c r="J1446" s="36" t="str">
        <f>IFERROR(INDEX(Структура_ассортимента[Generic Name (long)],MATCH(Товары[[#This Row],[SubGroup]],Структура_ассортимента[Subgroup],0)),"")</f>
        <v>TECHNICAL HOSE</v>
      </c>
      <c r="L1446" s="36">
        <v>901106601</v>
      </c>
      <c r="M1446" s="35" t="s">
        <v>3122</v>
      </c>
      <c r="Q1446" s="34" t="s">
        <v>3549</v>
      </c>
      <c r="R1446" s="34" t="s">
        <v>3540</v>
      </c>
      <c r="S1446" s="47">
        <v>35440</v>
      </c>
      <c r="T1446" s="47">
        <v>0</v>
      </c>
      <c r="U1446" s="47">
        <v>0</v>
      </c>
      <c r="V1446" s="34">
        <v>4078500728409</v>
      </c>
      <c r="W1446" s="34" t="s">
        <v>3550</v>
      </c>
      <c r="X1446" s="34" t="s">
        <v>3551</v>
      </c>
      <c r="Y1446" s="34" t="s">
        <v>3542</v>
      </c>
      <c r="Z1446" s="34">
        <v>5</v>
      </c>
      <c r="AA1446" s="34" t="s">
        <v>3928</v>
      </c>
      <c r="AB1446" s="34" t="s">
        <v>3928</v>
      </c>
      <c r="AC1446" s="34" t="s">
        <v>3806</v>
      </c>
      <c r="AD1446" s="34" t="s">
        <v>3806</v>
      </c>
      <c r="AE1446" s="34" t="s">
        <v>4546</v>
      </c>
      <c r="AF1446" s="34" t="s">
        <v>4546</v>
      </c>
      <c r="AG1446" s="34" t="s">
        <v>3931</v>
      </c>
      <c r="AH1446" s="34" t="s">
        <v>5132</v>
      </c>
      <c r="AL1446" s="34" t="s">
        <v>7077</v>
      </c>
      <c r="AM1446" s="40" t="s">
        <v>8095</v>
      </c>
      <c r="AT1446" s="44">
        <v>0</v>
      </c>
      <c r="AU1446" s="44"/>
      <c r="AV1446" s="46">
        <f>ROUND(Товары[[#This Row],[РРЦ финальная, руб.]]/$AU$1,2)</f>
        <v>0</v>
      </c>
      <c r="AW1446" s="45" t="str">
        <f>IFERROR(Товары[[#This Row],[РРЦ, евро]]/Товары[[#This Row],[IRP, Eur]],"-")</f>
        <v>-</v>
      </c>
      <c r="AX1446" s="42">
        <f>IFERROR(VLOOKUP(Товары[[#This Row],[SubGroup]],'Структура цен DIY'!$B:$C,2,FALSE),0)</f>
        <v>0.30000000000000004</v>
      </c>
      <c r="AY1446" s="44">
        <v>0</v>
      </c>
    </row>
    <row r="1447" spans="1:51" x14ac:dyDescent="0.25">
      <c r="A1447" s="34">
        <v>1445</v>
      </c>
      <c r="B1447" s="34" t="s">
        <v>50</v>
      </c>
      <c r="C1447" s="110" t="str">
        <f>IFERROR(INDEX(Структура_ассортимента[SuperCategory],MATCH(Товары[[#This Row],[SubGroup]],Структура_ассортимента[Subgroup],0)),"")</f>
        <v>O</v>
      </c>
      <c r="D1447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47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47" s="110" t="str">
        <f>IFERROR(INDEX(Структура_ассортимента[Product group],MATCH(Товары[[#This Row],[SubGroup]],Структура_ассортимента[Subgroup],0)),"")</f>
        <v>WPU_C</v>
      </c>
      <c r="G1447" s="110" t="str">
        <f>IFERROR(INDEX(Структура_ассортимента[Product group name ENG],MATCH(Товары[[#This Row],[SubGroup]],Структура_ассортимента[Subgroup],0)),"")</f>
        <v>Watering, Pumps</v>
      </c>
      <c r="H1447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47" s="36">
        <v>9117</v>
      </c>
      <c r="J1447" s="36" t="str">
        <f>IFERROR(INDEX(Структура_ассортимента[Generic Name (long)],MATCH(Товары[[#This Row],[SubGroup]],Структура_ассортимента[Subgroup],0)),"")</f>
        <v>TECHNICAL HOSE</v>
      </c>
      <c r="L1447" s="36">
        <v>901106701</v>
      </c>
      <c r="M1447" s="35" t="s">
        <v>3123</v>
      </c>
      <c r="Q1447" s="34" t="s">
        <v>3549</v>
      </c>
      <c r="R1447" s="34" t="s">
        <v>3540</v>
      </c>
      <c r="S1447" s="47">
        <v>35440</v>
      </c>
      <c r="T1447" s="47">
        <v>0</v>
      </c>
      <c r="U1447" s="47">
        <v>0</v>
      </c>
      <c r="V1447" s="34">
        <v>4078500728508</v>
      </c>
      <c r="W1447" s="34" t="s">
        <v>3550</v>
      </c>
      <c r="X1447" s="34" t="s">
        <v>3551</v>
      </c>
      <c r="Y1447" s="34" t="s">
        <v>3542</v>
      </c>
      <c r="Z1447" s="34">
        <v>5</v>
      </c>
      <c r="AA1447" s="34" t="s">
        <v>7125</v>
      </c>
      <c r="AB1447" s="34" t="s">
        <v>3691</v>
      </c>
      <c r="AC1447" s="34" t="s">
        <v>4497</v>
      </c>
      <c r="AD1447" s="34" t="s">
        <v>4007</v>
      </c>
      <c r="AE1447" s="34" t="s">
        <v>4324</v>
      </c>
      <c r="AF1447" s="34" t="s">
        <v>4468</v>
      </c>
      <c r="AG1447" s="34" t="s">
        <v>4468</v>
      </c>
      <c r="AH1447" s="34" t="s">
        <v>6520</v>
      </c>
      <c r="AL1447" s="34" t="s">
        <v>7077</v>
      </c>
      <c r="AM1447" s="40" t="s">
        <v>8095</v>
      </c>
      <c r="AT1447" s="44">
        <v>0</v>
      </c>
      <c r="AU1447" s="44"/>
      <c r="AV1447" s="46">
        <f>ROUND(Товары[[#This Row],[РРЦ финальная, руб.]]/$AU$1,2)</f>
        <v>0</v>
      </c>
      <c r="AW1447" s="45" t="str">
        <f>IFERROR(Товары[[#This Row],[РРЦ, евро]]/Товары[[#This Row],[IRP, Eur]],"-")</f>
        <v>-</v>
      </c>
      <c r="AX1447" s="42">
        <f>IFERROR(VLOOKUP(Товары[[#This Row],[SubGroup]],'Структура цен DIY'!$B:$C,2,FALSE),0)</f>
        <v>0.30000000000000004</v>
      </c>
      <c r="AY1447" s="44">
        <v>0</v>
      </c>
    </row>
    <row r="1448" spans="1:51" x14ac:dyDescent="0.25">
      <c r="A1448" s="34">
        <v>1446</v>
      </c>
      <c r="B1448" s="34" t="s">
        <v>50</v>
      </c>
      <c r="C1448" s="110" t="str">
        <f>IFERROR(INDEX(Структура_ассортимента[SuperCategory],MATCH(Товары[[#This Row],[SubGroup]],Структура_ассортимента[Subgroup],0)),"")</f>
        <v>O</v>
      </c>
      <c r="D1448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48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48" s="110" t="str">
        <f>IFERROR(INDEX(Структура_ассортимента[Product group],MATCH(Товары[[#This Row],[SubGroup]],Структура_ассортимента[Subgroup],0)),"")</f>
        <v>WPU_C</v>
      </c>
      <c r="G1448" s="110" t="str">
        <f>IFERROR(INDEX(Структура_ассортимента[Product group name ENG],MATCH(Товары[[#This Row],[SubGroup]],Структура_ассортимента[Subgroup],0)),"")</f>
        <v>Watering, Pumps</v>
      </c>
      <c r="H1448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48" s="36">
        <v>9117</v>
      </c>
      <c r="J1448" s="36" t="str">
        <f>IFERROR(INDEX(Структура_ассортимента[Generic Name (long)],MATCH(Товары[[#This Row],[SubGroup]],Структура_ассортимента[Subgroup],0)),"")</f>
        <v>TECHNICAL HOSE</v>
      </c>
      <c r="L1448" s="36">
        <v>901102701</v>
      </c>
      <c r="M1448" s="35" t="s">
        <v>3124</v>
      </c>
      <c r="Q1448" s="34" t="s">
        <v>3549</v>
      </c>
      <c r="R1448" s="34" t="s">
        <v>3540</v>
      </c>
      <c r="S1448" s="47">
        <v>35440</v>
      </c>
      <c r="T1448" s="47">
        <v>0</v>
      </c>
      <c r="U1448" s="47">
        <v>0</v>
      </c>
      <c r="V1448" s="34">
        <v>4078500719001</v>
      </c>
      <c r="W1448" s="34" t="s">
        <v>3550</v>
      </c>
      <c r="X1448" s="34" t="s">
        <v>3551</v>
      </c>
      <c r="Y1448" s="34" t="s">
        <v>3542</v>
      </c>
      <c r="Z1448" s="34">
        <v>20</v>
      </c>
      <c r="AA1448" s="34" t="s">
        <v>6556</v>
      </c>
      <c r="AB1448" s="34" t="s">
        <v>6556</v>
      </c>
      <c r="AC1448" s="34" t="s">
        <v>3803</v>
      </c>
      <c r="AD1448" s="34" t="s">
        <v>3803</v>
      </c>
      <c r="AE1448" s="34" t="s">
        <v>3672</v>
      </c>
      <c r="AF1448" s="34" t="s">
        <v>3801</v>
      </c>
      <c r="AG1448" s="34" t="s">
        <v>3801</v>
      </c>
      <c r="AH1448" s="34" t="s">
        <v>7126</v>
      </c>
      <c r="AL1448" s="34" t="s">
        <v>7127</v>
      </c>
      <c r="AM1448" s="40" t="s">
        <v>8095</v>
      </c>
      <c r="AT1448" s="44">
        <v>0</v>
      </c>
      <c r="AU1448" s="44"/>
      <c r="AV1448" s="46">
        <f>ROUND(Товары[[#This Row],[РРЦ финальная, руб.]]/$AU$1,2)</f>
        <v>0</v>
      </c>
      <c r="AW1448" s="45" t="str">
        <f>IFERROR(Товары[[#This Row],[РРЦ, евро]]/Товары[[#This Row],[IRP, Eur]],"-")</f>
        <v>-</v>
      </c>
      <c r="AX1448" s="42">
        <f>IFERROR(VLOOKUP(Товары[[#This Row],[SubGroup]],'Структура цен DIY'!$B:$C,2,FALSE),0)</f>
        <v>0.30000000000000004</v>
      </c>
      <c r="AY1448" s="44">
        <v>0</v>
      </c>
    </row>
    <row r="1449" spans="1:51" x14ac:dyDescent="0.25">
      <c r="A1449" s="34">
        <v>1447</v>
      </c>
      <c r="B1449" s="34" t="s">
        <v>50</v>
      </c>
      <c r="C1449" s="110" t="str">
        <f>IFERROR(INDEX(Структура_ассортимента[SuperCategory],MATCH(Товары[[#This Row],[SubGroup]],Структура_ассортимента[Subgroup],0)),"")</f>
        <v>O</v>
      </c>
      <c r="D1449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49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49" s="110" t="str">
        <f>IFERROR(INDEX(Структура_ассортимента[Product group],MATCH(Товары[[#This Row],[SubGroup]],Структура_ассортимента[Subgroup],0)),"")</f>
        <v>WPU_C</v>
      </c>
      <c r="G1449" s="110" t="str">
        <f>IFERROR(INDEX(Структура_ассортимента[Product group name ENG],MATCH(Товары[[#This Row],[SubGroup]],Структура_ассортимента[Subgroup],0)),"")</f>
        <v>Watering, Pumps</v>
      </c>
      <c r="H1449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49" s="36">
        <v>9117</v>
      </c>
      <c r="J1449" s="36" t="str">
        <f>IFERROR(INDEX(Структура_ассортимента[Generic Name (long)],MATCH(Товары[[#This Row],[SubGroup]],Структура_ассортимента[Subgroup],0)),"")</f>
        <v>TECHNICAL HOSE</v>
      </c>
      <c r="L1449" s="36">
        <v>901102801</v>
      </c>
      <c r="M1449" s="35" t="s">
        <v>3125</v>
      </c>
      <c r="Q1449" s="34" t="s">
        <v>3549</v>
      </c>
      <c r="R1449" s="34" t="s">
        <v>3540</v>
      </c>
      <c r="S1449" s="47">
        <v>35440</v>
      </c>
      <c r="T1449" s="47">
        <v>0</v>
      </c>
      <c r="U1449" s="47">
        <v>0</v>
      </c>
      <c r="V1449" s="34">
        <v>4078500719100</v>
      </c>
      <c r="W1449" s="34" t="s">
        <v>3550</v>
      </c>
      <c r="X1449" s="34" t="s">
        <v>3551</v>
      </c>
      <c r="Y1449" s="34" t="s">
        <v>3542</v>
      </c>
      <c r="Z1449" s="34">
        <v>20</v>
      </c>
      <c r="AA1449" s="34" t="s">
        <v>6512</v>
      </c>
      <c r="AB1449" s="34" t="s">
        <v>6512</v>
      </c>
      <c r="AC1449" s="34" t="s">
        <v>6556</v>
      </c>
      <c r="AD1449" s="34" t="s">
        <v>6556</v>
      </c>
      <c r="AE1449" s="34" t="s">
        <v>4260</v>
      </c>
      <c r="AF1449" s="34" t="s">
        <v>6551</v>
      </c>
      <c r="AG1449" s="34" t="s">
        <v>5950</v>
      </c>
      <c r="AH1449" s="34" t="s">
        <v>7128</v>
      </c>
      <c r="AL1449" s="34" t="s">
        <v>7127</v>
      </c>
      <c r="AM1449" s="40" t="s">
        <v>8095</v>
      </c>
      <c r="AT1449" s="44">
        <v>0</v>
      </c>
      <c r="AU1449" s="44"/>
      <c r="AV1449" s="46">
        <f>ROUND(Товары[[#This Row],[РРЦ финальная, руб.]]/$AU$1,2)</f>
        <v>0</v>
      </c>
      <c r="AW1449" s="45" t="str">
        <f>IFERROR(Товары[[#This Row],[РРЦ, евро]]/Товары[[#This Row],[IRP, Eur]],"-")</f>
        <v>-</v>
      </c>
      <c r="AX1449" s="42">
        <f>IFERROR(VLOOKUP(Товары[[#This Row],[SubGroup]],'Структура цен DIY'!$B:$C,2,FALSE),0)</f>
        <v>0.30000000000000004</v>
      </c>
      <c r="AY1449" s="44">
        <v>0</v>
      </c>
    </row>
    <row r="1450" spans="1:51" x14ac:dyDescent="0.25">
      <c r="A1450" s="34">
        <v>1448</v>
      </c>
      <c r="B1450" s="34" t="s">
        <v>50</v>
      </c>
      <c r="C1450" s="110" t="str">
        <f>IFERROR(INDEX(Структура_ассортимента[SuperCategory],MATCH(Товары[[#This Row],[SubGroup]],Структура_ассортимента[Subgroup],0)),"")</f>
        <v>O</v>
      </c>
      <c r="D1450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50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50" s="110" t="str">
        <f>IFERROR(INDEX(Структура_ассортимента[Product group],MATCH(Товары[[#This Row],[SubGroup]],Структура_ассортимента[Subgroup],0)),"")</f>
        <v>WPU_C</v>
      </c>
      <c r="G1450" s="110" t="str">
        <f>IFERROR(INDEX(Структура_ассортимента[Product group name ENG],MATCH(Товары[[#This Row],[SubGroup]],Структура_ассортимента[Subgroup],0)),"")</f>
        <v>Watering, Pumps</v>
      </c>
      <c r="H1450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50" s="36">
        <v>9117</v>
      </c>
      <c r="J1450" s="36" t="str">
        <f>IFERROR(INDEX(Структура_ассортимента[Generic Name (long)],MATCH(Товары[[#This Row],[SubGroup]],Структура_ассортимента[Subgroup],0)),"")</f>
        <v>TECHNICAL HOSE</v>
      </c>
      <c r="L1450" s="36">
        <v>901102901</v>
      </c>
      <c r="M1450" s="35" t="s">
        <v>3126</v>
      </c>
      <c r="Q1450" s="34" t="s">
        <v>3549</v>
      </c>
      <c r="R1450" s="34" t="s">
        <v>3540</v>
      </c>
      <c r="S1450" s="47">
        <v>35440</v>
      </c>
      <c r="T1450" s="47">
        <v>0</v>
      </c>
      <c r="U1450" s="47">
        <v>0</v>
      </c>
      <c r="V1450" s="34">
        <v>4078500719209</v>
      </c>
      <c r="W1450" s="34" t="s">
        <v>3550</v>
      </c>
      <c r="X1450" s="34" t="s">
        <v>3551</v>
      </c>
      <c r="Y1450" s="34" t="s">
        <v>3542</v>
      </c>
      <c r="Z1450" s="34">
        <v>20</v>
      </c>
      <c r="AA1450" s="34" t="s">
        <v>6471</v>
      </c>
      <c r="AB1450" s="34" t="s">
        <v>6471</v>
      </c>
      <c r="AC1450" s="34" t="s">
        <v>5647</v>
      </c>
      <c r="AD1450" s="34" t="s">
        <v>5647</v>
      </c>
      <c r="AE1450" s="34" t="s">
        <v>5148</v>
      </c>
      <c r="AF1450" s="34" t="s">
        <v>4780</v>
      </c>
      <c r="AG1450" s="34" t="s">
        <v>3746</v>
      </c>
      <c r="AH1450" s="34" t="s">
        <v>7129</v>
      </c>
      <c r="AL1450" s="34" t="s">
        <v>6546</v>
      </c>
      <c r="AM1450" s="40" t="s">
        <v>8095</v>
      </c>
      <c r="AT1450" s="44">
        <v>0</v>
      </c>
      <c r="AU1450" s="44"/>
      <c r="AV1450" s="46">
        <f>ROUND(Товары[[#This Row],[РРЦ финальная, руб.]]/$AU$1,2)</f>
        <v>0</v>
      </c>
      <c r="AW1450" s="45" t="str">
        <f>IFERROR(Товары[[#This Row],[РРЦ, евро]]/Товары[[#This Row],[IRP, Eur]],"-")</f>
        <v>-</v>
      </c>
      <c r="AX1450" s="42">
        <f>IFERROR(VLOOKUP(Товары[[#This Row],[SubGroup]],'Структура цен DIY'!$B:$C,2,FALSE),0)</f>
        <v>0.30000000000000004</v>
      </c>
      <c r="AY1450" s="44">
        <v>0</v>
      </c>
    </row>
    <row r="1451" spans="1:51" x14ac:dyDescent="0.25">
      <c r="A1451" s="34">
        <v>1449</v>
      </c>
      <c r="B1451" s="34" t="s">
        <v>50</v>
      </c>
      <c r="C1451" s="110" t="str">
        <f>IFERROR(INDEX(Структура_ассортимента[SuperCategory],MATCH(Товары[[#This Row],[SubGroup]],Структура_ассортимента[Subgroup],0)),"")</f>
        <v>O</v>
      </c>
      <c r="D1451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51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51" s="110" t="str">
        <f>IFERROR(INDEX(Структура_ассортимента[Product group],MATCH(Товары[[#This Row],[SubGroup]],Структура_ассортимента[Subgroup],0)),"")</f>
        <v>WPU_C</v>
      </c>
      <c r="G1451" s="110" t="str">
        <f>IFERROR(INDEX(Структура_ассортимента[Product group name ENG],MATCH(Товары[[#This Row],[SubGroup]],Структура_ассортимента[Subgroup],0)),"")</f>
        <v>Watering, Pumps</v>
      </c>
      <c r="H1451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51" s="36">
        <v>9117</v>
      </c>
      <c r="J1451" s="36" t="str">
        <f>IFERROR(INDEX(Структура_ассортимента[Generic Name (long)],MATCH(Товары[[#This Row],[SubGroup]],Структура_ассортимента[Subgroup],0)),"")</f>
        <v>TECHNICAL HOSE</v>
      </c>
      <c r="L1451" s="36">
        <v>901103301</v>
      </c>
      <c r="M1451" s="35" t="s">
        <v>3127</v>
      </c>
      <c r="Q1451" s="34" t="s">
        <v>3549</v>
      </c>
      <c r="R1451" s="34" t="s">
        <v>3540</v>
      </c>
      <c r="S1451" s="47">
        <v>35440</v>
      </c>
      <c r="T1451" s="47">
        <v>0</v>
      </c>
      <c r="U1451" s="47">
        <v>0</v>
      </c>
      <c r="V1451" s="34">
        <v>4078500719605</v>
      </c>
      <c r="W1451" s="34" t="s">
        <v>3550</v>
      </c>
      <c r="X1451" s="34" t="s">
        <v>3551</v>
      </c>
      <c r="Y1451" s="34" t="s">
        <v>3542</v>
      </c>
      <c r="Z1451" s="34">
        <v>5</v>
      </c>
      <c r="AA1451" s="34" t="s">
        <v>5651</v>
      </c>
      <c r="AB1451" s="34" t="s">
        <v>5651</v>
      </c>
      <c r="AC1451" s="34" t="s">
        <v>3717</v>
      </c>
      <c r="AD1451" s="34" t="s">
        <v>3717</v>
      </c>
      <c r="AE1451" s="34" t="s">
        <v>3576</v>
      </c>
      <c r="AF1451" s="34" t="s">
        <v>4646</v>
      </c>
      <c r="AG1451" s="34" t="s">
        <v>5950</v>
      </c>
      <c r="AH1451" s="34" t="s">
        <v>6648</v>
      </c>
      <c r="AL1451" s="34" t="s">
        <v>7130</v>
      </c>
      <c r="AM1451" s="40" t="s">
        <v>8095</v>
      </c>
      <c r="AT1451" s="44">
        <v>0</v>
      </c>
      <c r="AU1451" s="44"/>
      <c r="AV1451" s="46">
        <f>ROUND(Товары[[#This Row],[РРЦ финальная, руб.]]/$AU$1,2)</f>
        <v>0</v>
      </c>
      <c r="AW1451" s="45" t="str">
        <f>IFERROR(Товары[[#This Row],[РРЦ, евро]]/Товары[[#This Row],[IRP, Eur]],"-")</f>
        <v>-</v>
      </c>
      <c r="AX1451" s="42">
        <f>IFERROR(VLOOKUP(Товары[[#This Row],[SubGroup]],'Структура цен DIY'!$B:$C,2,FALSE),0)</f>
        <v>0.30000000000000004</v>
      </c>
      <c r="AY1451" s="44">
        <v>0</v>
      </c>
    </row>
    <row r="1452" spans="1:51" x14ac:dyDescent="0.25">
      <c r="A1452" s="34">
        <v>1450</v>
      </c>
      <c r="B1452" s="34" t="s">
        <v>50</v>
      </c>
      <c r="C1452" s="110" t="str">
        <f>IFERROR(INDEX(Структура_ассортимента[SuperCategory],MATCH(Товары[[#This Row],[SubGroup]],Структура_ассортимента[Subgroup],0)),"")</f>
        <v>O</v>
      </c>
      <c r="D1452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52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52" s="110" t="str">
        <f>IFERROR(INDEX(Структура_ассортимента[Product group],MATCH(Товары[[#This Row],[SubGroup]],Структура_ассортимента[Subgroup],0)),"")</f>
        <v>WPU_C</v>
      </c>
      <c r="G1452" s="110" t="str">
        <f>IFERROR(INDEX(Структура_ассортимента[Product group name ENG],MATCH(Товары[[#This Row],[SubGroup]],Структура_ассортимента[Subgroup],0)),"")</f>
        <v>Watering, Pumps</v>
      </c>
      <c r="H1452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52" s="36">
        <v>9117</v>
      </c>
      <c r="J1452" s="36" t="str">
        <f>IFERROR(INDEX(Структура_ассортимента[Generic Name (long)],MATCH(Товары[[#This Row],[SubGroup]],Структура_ассортимента[Subgroup],0)),"")</f>
        <v>TECHNICAL HOSE</v>
      </c>
      <c r="L1452" s="36">
        <v>901103001</v>
      </c>
      <c r="M1452" s="35" t="s">
        <v>3128</v>
      </c>
      <c r="Q1452" s="34" t="s">
        <v>3549</v>
      </c>
      <c r="R1452" s="34" t="s">
        <v>3540</v>
      </c>
      <c r="S1452" s="47">
        <v>35440</v>
      </c>
      <c r="T1452" s="47">
        <v>0</v>
      </c>
      <c r="U1452" s="47">
        <v>0</v>
      </c>
      <c r="V1452" s="34">
        <v>4078500719308</v>
      </c>
      <c r="W1452" s="34" t="s">
        <v>3550</v>
      </c>
      <c r="X1452" s="34" t="s">
        <v>3551</v>
      </c>
      <c r="Y1452" s="34" t="s">
        <v>3542</v>
      </c>
      <c r="Z1452" s="34">
        <v>10</v>
      </c>
      <c r="AA1452" s="34" t="s">
        <v>6518</v>
      </c>
      <c r="AB1452" s="34" t="s">
        <v>6518</v>
      </c>
      <c r="AC1452" s="34" t="s">
        <v>5629</v>
      </c>
      <c r="AD1452" s="34" t="s">
        <v>5629</v>
      </c>
      <c r="AE1452" s="34" t="s">
        <v>5282</v>
      </c>
      <c r="AF1452" s="34" t="s">
        <v>4351</v>
      </c>
      <c r="AG1452" s="34" t="s">
        <v>3932</v>
      </c>
      <c r="AH1452" s="34" t="s">
        <v>6543</v>
      </c>
      <c r="AL1452" s="34" t="s">
        <v>6521</v>
      </c>
      <c r="AM1452" s="40" t="s">
        <v>8095</v>
      </c>
      <c r="AT1452" s="44">
        <v>0</v>
      </c>
      <c r="AU1452" s="44"/>
      <c r="AV1452" s="46">
        <f>ROUND(Товары[[#This Row],[РРЦ финальная, руб.]]/$AU$1,2)</f>
        <v>0</v>
      </c>
      <c r="AW1452" s="45" t="str">
        <f>IFERROR(Товары[[#This Row],[РРЦ, евро]]/Товары[[#This Row],[IRP, Eur]],"-")</f>
        <v>-</v>
      </c>
      <c r="AX1452" s="42">
        <f>IFERROR(VLOOKUP(Товары[[#This Row],[SubGroup]],'Структура цен DIY'!$B:$C,2,FALSE),0)</f>
        <v>0.30000000000000004</v>
      </c>
      <c r="AY1452" s="44">
        <v>0</v>
      </c>
    </row>
    <row r="1453" spans="1:51" x14ac:dyDescent="0.25">
      <c r="A1453" s="34">
        <v>1451</v>
      </c>
      <c r="B1453" s="34" t="s">
        <v>50</v>
      </c>
      <c r="C1453" s="110" t="str">
        <f>IFERROR(INDEX(Структура_ассортимента[SuperCategory],MATCH(Товары[[#This Row],[SubGroup]],Структура_ассортимента[Subgroup],0)),"")</f>
        <v>O</v>
      </c>
      <c r="D1453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53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53" s="110" t="str">
        <f>IFERROR(INDEX(Структура_ассортимента[Product group],MATCH(Товары[[#This Row],[SubGroup]],Структура_ассортимента[Subgroup],0)),"")</f>
        <v>WPU_C</v>
      </c>
      <c r="G1453" s="110" t="str">
        <f>IFERROR(INDEX(Структура_ассортимента[Product group name ENG],MATCH(Товары[[#This Row],[SubGroup]],Структура_ассортимента[Subgroup],0)),"")</f>
        <v>Watering, Pumps</v>
      </c>
      <c r="H1453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53" s="36">
        <v>9117</v>
      </c>
      <c r="J1453" s="36" t="str">
        <f>IFERROR(INDEX(Структура_ассортимента[Generic Name (long)],MATCH(Товары[[#This Row],[SubGroup]],Структура_ассортимента[Subgroup],0)),"")</f>
        <v>TECHNICAL HOSE</v>
      </c>
      <c r="L1453" s="36">
        <v>901103101</v>
      </c>
      <c r="M1453" s="35" t="s">
        <v>3129</v>
      </c>
      <c r="Q1453" s="34" t="s">
        <v>3549</v>
      </c>
      <c r="R1453" s="34" t="s">
        <v>3540</v>
      </c>
      <c r="S1453" s="47">
        <v>35440</v>
      </c>
      <c r="T1453" s="47">
        <v>0</v>
      </c>
      <c r="U1453" s="47">
        <v>0</v>
      </c>
      <c r="V1453" s="34">
        <v>4078500719407</v>
      </c>
      <c r="W1453" s="34" t="s">
        <v>3550</v>
      </c>
      <c r="X1453" s="34" t="s">
        <v>3551</v>
      </c>
      <c r="Y1453" s="34" t="s">
        <v>3542</v>
      </c>
      <c r="Z1453" s="34">
        <v>10</v>
      </c>
      <c r="AA1453" s="34" t="s">
        <v>5628</v>
      </c>
      <c r="AB1453" s="34" t="s">
        <v>5628</v>
      </c>
      <c r="AC1453" s="34" t="s">
        <v>5603</v>
      </c>
      <c r="AD1453" s="34" t="s">
        <v>5603</v>
      </c>
      <c r="AE1453" s="34" t="s">
        <v>4468</v>
      </c>
      <c r="AF1453" s="34" t="s">
        <v>4468</v>
      </c>
      <c r="AG1453" s="34" t="s">
        <v>3808</v>
      </c>
      <c r="AH1453" s="34" t="s">
        <v>7092</v>
      </c>
      <c r="AL1453" s="34" t="s">
        <v>6521</v>
      </c>
      <c r="AM1453" s="40" t="s">
        <v>8095</v>
      </c>
      <c r="AT1453" s="44">
        <v>0</v>
      </c>
      <c r="AU1453" s="44"/>
      <c r="AV1453" s="46">
        <f>ROUND(Товары[[#This Row],[РРЦ финальная, руб.]]/$AU$1,2)</f>
        <v>0</v>
      </c>
      <c r="AW1453" s="45" t="str">
        <f>IFERROR(Товары[[#This Row],[РРЦ, евро]]/Товары[[#This Row],[IRP, Eur]],"-")</f>
        <v>-</v>
      </c>
      <c r="AX1453" s="42">
        <f>IFERROR(VLOOKUP(Товары[[#This Row],[SubGroup]],'Структура цен DIY'!$B:$C,2,FALSE),0)</f>
        <v>0.30000000000000004</v>
      </c>
      <c r="AY1453" s="44">
        <v>0</v>
      </c>
    </row>
    <row r="1454" spans="1:51" x14ac:dyDescent="0.25">
      <c r="A1454" s="34">
        <v>1452</v>
      </c>
      <c r="B1454" s="34" t="s">
        <v>50</v>
      </c>
      <c r="C1454" s="110" t="str">
        <f>IFERROR(INDEX(Структура_ассортимента[SuperCategory],MATCH(Товары[[#This Row],[SubGroup]],Структура_ассортимента[Subgroup],0)),"")</f>
        <v>O</v>
      </c>
      <c r="D1454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54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54" s="110" t="str">
        <f>IFERROR(INDEX(Структура_ассортимента[Product group],MATCH(Товары[[#This Row],[SubGroup]],Структура_ассортимента[Subgroup],0)),"")</f>
        <v>WPU_C</v>
      </c>
      <c r="G1454" s="110" t="str">
        <f>IFERROR(INDEX(Структура_ассортимента[Product group name ENG],MATCH(Товары[[#This Row],[SubGroup]],Структура_ассортимента[Subgroup],0)),"")</f>
        <v>Watering, Pumps</v>
      </c>
      <c r="H1454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54" s="36">
        <v>9117</v>
      </c>
      <c r="J1454" s="36" t="str">
        <f>IFERROR(INDEX(Структура_ассортимента[Generic Name (long)],MATCH(Товары[[#This Row],[SubGroup]],Структура_ассортимента[Subgroup],0)),"")</f>
        <v>TECHNICAL HOSE</v>
      </c>
      <c r="L1454" s="36">
        <v>901103201</v>
      </c>
      <c r="M1454" s="35" t="s">
        <v>3130</v>
      </c>
      <c r="Q1454" s="34" t="s">
        <v>3549</v>
      </c>
      <c r="R1454" s="34" t="s">
        <v>3540</v>
      </c>
      <c r="S1454" s="47">
        <v>35440</v>
      </c>
      <c r="T1454" s="47">
        <v>0</v>
      </c>
      <c r="U1454" s="47">
        <v>0</v>
      </c>
      <c r="V1454" s="34">
        <v>4078500719506</v>
      </c>
      <c r="W1454" s="34" t="s">
        <v>3550</v>
      </c>
      <c r="X1454" s="34" t="s">
        <v>3551</v>
      </c>
      <c r="Y1454" s="34" t="s">
        <v>3542</v>
      </c>
      <c r="Z1454" s="34">
        <v>5</v>
      </c>
      <c r="AA1454" s="34" t="s">
        <v>7090</v>
      </c>
      <c r="AB1454" s="34" t="s">
        <v>7090</v>
      </c>
      <c r="AC1454" s="34" t="s">
        <v>3779</v>
      </c>
      <c r="AD1454" s="34" t="s">
        <v>3779</v>
      </c>
      <c r="AE1454" s="34" t="s">
        <v>3561</v>
      </c>
      <c r="AF1454" s="34" t="s">
        <v>4161</v>
      </c>
      <c r="AG1454" s="34" t="s">
        <v>4111</v>
      </c>
      <c r="AH1454" s="34" t="s">
        <v>6347</v>
      </c>
      <c r="AL1454" s="34" t="s">
        <v>7130</v>
      </c>
      <c r="AM1454" s="40" t="s">
        <v>8095</v>
      </c>
      <c r="AT1454" s="44">
        <v>0</v>
      </c>
      <c r="AU1454" s="44"/>
      <c r="AV1454" s="46">
        <f>ROUND(Товары[[#This Row],[РРЦ финальная, руб.]]/$AU$1,2)</f>
        <v>0</v>
      </c>
      <c r="AW1454" s="45" t="str">
        <f>IFERROR(Товары[[#This Row],[РРЦ, евро]]/Товары[[#This Row],[IRP, Eur]],"-")</f>
        <v>-</v>
      </c>
      <c r="AX1454" s="42">
        <f>IFERROR(VLOOKUP(Товары[[#This Row],[SubGroup]],'Структура цен DIY'!$B:$C,2,FALSE),0)</f>
        <v>0.30000000000000004</v>
      </c>
      <c r="AY1454" s="44">
        <v>0</v>
      </c>
    </row>
    <row r="1455" spans="1:51" x14ac:dyDescent="0.25">
      <c r="A1455" s="34">
        <v>1453</v>
      </c>
      <c r="B1455" s="34" t="s">
        <v>50</v>
      </c>
      <c r="C1455" s="110" t="str">
        <f>IFERROR(INDEX(Структура_ассортимента[SuperCategory],MATCH(Товары[[#This Row],[SubGroup]],Структура_ассортимента[Subgroup],0)),"")</f>
        <v>O</v>
      </c>
      <c r="D1455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55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55" s="110" t="str">
        <f>IFERROR(INDEX(Структура_ассортимента[Product group],MATCH(Товары[[#This Row],[SubGroup]],Структура_ассортимента[Subgroup],0)),"")</f>
        <v>WPU_C</v>
      </c>
      <c r="G1455" s="110" t="str">
        <f>IFERROR(INDEX(Структура_ассортимента[Product group name ENG],MATCH(Товары[[#This Row],[SubGroup]],Структура_ассортимента[Subgroup],0)),"")</f>
        <v>Watering, Pumps</v>
      </c>
      <c r="H1455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55" s="36">
        <v>9117</v>
      </c>
      <c r="J1455" s="36" t="str">
        <f>IFERROR(INDEX(Структура_ассортимента[Generic Name (long)],MATCH(Товары[[#This Row],[SubGroup]],Структура_ассортимента[Subgroup],0)),"")</f>
        <v>TECHNICAL HOSE</v>
      </c>
      <c r="L1455" s="36">
        <v>901103401</v>
      </c>
      <c r="M1455" s="35" t="s">
        <v>3131</v>
      </c>
      <c r="Q1455" s="34" t="s">
        <v>3549</v>
      </c>
      <c r="R1455" s="34" t="s">
        <v>3540</v>
      </c>
      <c r="S1455" s="47">
        <v>35440</v>
      </c>
      <c r="T1455" s="47">
        <v>0</v>
      </c>
      <c r="U1455" s="47">
        <v>0</v>
      </c>
      <c r="V1455" s="34">
        <v>4078500719704</v>
      </c>
      <c r="W1455" s="34" t="s">
        <v>3550</v>
      </c>
      <c r="X1455" s="34" t="s">
        <v>3551</v>
      </c>
      <c r="Y1455" s="34" t="s">
        <v>3542</v>
      </c>
      <c r="Z1455" s="34">
        <v>20</v>
      </c>
      <c r="AA1455" s="34" t="s">
        <v>3811</v>
      </c>
      <c r="AB1455" s="34" t="s">
        <v>3811</v>
      </c>
      <c r="AC1455" s="34" t="s">
        <v>6553</v>
      </c>
      <c r="AD1455" s="34" t="s">
        <v>6553</v>
      </c>
      <c r="AE1455" s="34" t="s">
        <v>3678</v>
      </c>
      <c r="AF1455" s="34" t="s">
        <v>6045</v>
      </c>
      <c r="AG1455" s="34" t="s">
        <v>6045</v>
      </c>
      <c r="AH1455" s="34" t="s">
        <v>7131</v>
      </c>
      <c r="AL1455" s="34" t="s">
        <v>7127</v>
      </c>
      <c r="AM1455" s="40" t="s">
        <v>8095</v>
      </c>
      <c r="AT1455" s="44">
        <v>0</v>
      </c>
      <c r="AU1455" s="44"/>
      <c r="AV1455" s="46">
        <f>ROUND(Товары[[#This Row],[РРЦ финальная, руб.]]/$AU$1,2)</f>
        <v>0</v>
      </c>
      <c r="AW1455" s="45" t="str">
        <f>IFERROR(Товары[[#This Row],[РРЦ, евро]]/Товары[[#This Row],[IRP, Eur]],"-")</f>
        <v>-</v>
      </c>
      <c r="AX1455" s="42">
        <f>IFERROR(VLOOKUP(Товары[[#This Row],[SubGroup]],'Структура цен DIY'!$B:$C,2,FALSE),0)</f>
        <v>0.30000000000000004</v>
      </c>
      <c r="AY1455" s="44">
        <v>0</v>
      </c>
    </row>
    <row r="1456" spans="1:51" x14ac:dyDescent="0.25">
      <c r="A1456" s="34">
        <v>1454</v>
      </c>
      <c r="B1456" s="34" t="s">
        <v>50</v>
      </c>
      <c r="C1456" s="110" t="str">
        <f>IFERROR(INDEX(Структура_ассортимента[SuperCategory],MATCH(Товары[[#This Row],[SubGroup]],Структура_ассортимента[Subgroup],0)),"")</f>
        <v>O</v>
      </c>
      <c r="D1456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56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56" s="110" t="str">
        <f>IFERROR(INDEX(Структура_ассортимента[Product group],MATCH(Товары[[#This Row],[SubGroup]],Структура_ассортимента[Subgroup],0)),"")</f>
        <v>WPU_C</v>
      </c>
      <c r="G1456" s="110" t="str">
        <f>IFERROR(INDEX(Структура_ассортимента[Product group name ENG],MATCH(Товары[[#This Row],[SubGroup]],Структура_ассортимента[Subgroup],0)),"")</f>
        <v>Watering, Pumps</v>
      </c>
      <c r="H1456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56" s="36">
        <v>9117</v>
      </c>
      <c r="J1456" s="36" t="str">
        <f>IFERROR(INDEX(Структура_ассортимента[Generic Name (long)],MATCH(Товары[[#This Row],[SubGroup]],Структура_ассортимента[Subgroup],0)),"")</f>
        <v>TECHNICAL HOSE</v>
      </c>
      <c r="L1456" s="36">
        <v>901103501</v>
      </c>
      <c r="M1456" s="35" t="s">
        <v>3132</v>
      </c>
      <c r="Q1456" s="34" t="s">
        <v>3549</v>
      </c>
      <c r="R1456" s="34" t="s">
        <v>3540</v>
      </c>
      <c r="S1456" s="47">
        <v>35440</v>
      </c>
      <c r="T1456" s="47">
        <v>0</v>
      </c>
      <c r="U1456" s="47">
        <v>0</v>
      </c>
      <c r="V1456" s="34">
        <v>4078500721004</v>
      </c>
      <c r="W1456" s="34" t="s">
        <v>3550</v>
      </c>
      <c r="X1456" s="34" t="s">
        <v>3551</v>
      </c>
      <c r="Y1456" s="34" t="s">
        <v>3542</v>
      </c>
      <c r="Z1456" s="34">
        <v>10</v>
      </c>
      <c r="AA1456" s="34" t="s">
        <v>7084</v>
      </c>
      <c r="AB1456" s="34" t="s">
        <v>7084</v>
      </c>
      <c r="AC1456" s="34" t="s">
        <v>3996</v>
      </c>
      <c r="AD1456" s="34" t="s">
        <v>3996</v>
      </c>
      <c r="AE1456" s="34" t="s">
        <v>3711</v>
      </c>
      <c r="AF1456" s="34" t="s">
        <v>3672</v>
      </c>
      <c r="AG1456" s="34" t="s">
        <v>3672</v>
      </c>
      <c r="AH1456" s="34" t="s">
        <v>6649</v>
      </c>
      <c r="AL1456" s="34" t="s">
        <v>6504</v>
      </c>
      <c r="AM1456" s="40" t="s">
        <v>8095</v>
      </c>
      <c r="AT1456" s="44">
        <v>0</v>
      </c>
      <c r="AU1456" s="44"/>
      <c r="AV1456" s="46">
        <f>ROUND(Товары[[#This Row],[РРЦ финальная, руб.]]/$AU$1,2)</f>
        <v>0</v>
      </c>
      <c r="AW1456" s="45" t="str">
        <f>IFERROR(Товары[[#This Row],[РРЦ, евро]]/Товары[[#This Row],[IRP, Eur]],"-")</f>
        <v>-</v>
      </c>
      <c r="AX1456" s="42">
        <f>IFERROR(VLOOKUP(Товары[[#This Row],[SubGroup]],'Структура цен DIY'!$B:$C,2,FALSE),0)</f>
        <v>0.30000000000000004</v>
      </c>
      <c r="AY1456" s="44">
        <v>0</v>
      </c>
    </row>
    <row r="1457" spans="1:51" x14ac:dyDescent="0.25">
      <c r="A1457" s="34">
        <v>1455</v>
      </c>
      <c r="B1457" s="34" t="s">
        <v>50</v>
      </c>
      <c r="C1457" s="110" t="str">
        <f>IFERROR(INDEX(Структура_ассортимента[SuperCategory],MATCH(Товары[[#This Row],[SubGroup]],Структура_ассортимента[Subgroup],0)),"")</f>
        <v>O</v>
      </c>
      <c r="D1457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57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57" s="110" t="str">
        <f>IFERROR(INDEX(Структура_ассортимента[Product group],MATCH(Товары[[#This Row],[SubGroup]],Структура_ассортимента[Subgroup],0)),"")</f>
        <v>WPU_C</v>
      </c>
      <c r="G1457" s="110" t="str">
        <f>IFERROR(INDEX(Структура_ассортимента[Product group name ENG],MATCH(Товары[[#This Row],[SubGroup]],Структура_ассортимента[Subgroup],0)),"")</f>
        <v>Watering, Pumps</v>
      </c>
      <c r="H1457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57" s="36">
        <v>9117</v>
      </c>
      <c r="J1457" s="36" t="str">
        <f>IFERROR(INDEX(Структура_ассортимента[Generic Name (long)],MATCH(Товары[[#This Row],[SubGroup]],Структура_ассортимента[Subgroup],0)),"")</f>
        <v>TECHNICAL HOSE</v>
      </c>
      <c r="L1457" s="36">
        <v>901103601</v>
      </c>
      <c r="M1457" s="35" t="s">
        <v>3133</v>
      </c>
      <c r="Q1457" s="34" t="s">
        <v>3549</v>
      </c>
      <c r="R1457" s="34" t="s">
        <v>3540</v>
      </c>
      <c r="S1457" s="47">
        <v>35440</v>
      </c>
      <c r="T1457" s="47">
        <v>0</v>
      </c>
      <c r="U1457" s="47">
        <v>0</v>
      </c>
      <c r="V1457" s="34">
        <v>4078500721103</v>
      </c>
      <c r="W1457" s="34" t="s">
        <v>3550</v>
      </c>
      <c r="X1457" s="34" t="s">
        <v>3551</v>
      </c>
      <c r="Y1457" s="34" t="s">
        <v>3542</v>
      </c>
      <c r="Z1457" s="34">
        <v>10</v>
      </c>
      <c r="AA1457" s="34" t="s">
        <v>7132</v>
      </c>
      <c r="AB1457" s="34" t="s">
        <v>7132</v>
      </c>
      <c r="AC1457" s="34" t="s">
        <v>4115</v>
      </c>
      <c r="AD1457" s="34" t="s">
        <v>4115</v>
      </c>
      <c r="AE1457" s="34" t="s">
        <v>4324</v>
      </c>
      <c r="AF1457" s="34" t="s">
        <v>4260</v>
      </c>
      <c r="AG1457" s="34" t="s">
        <v>3932</v>
      </c>
      <c r="AH1457" s="34" t="s">
        <v>7133</v>
      </c>
      <c r="AL1457" s="34" t="s">
        <v>6504</v>
      </c>
      <c r="AM1457" s="40" t="s">
        <v>8095</v>
      </c>
      <c r="AT1457" s="44">
        <v>0</v>
      </c>
      <c r="AU1457" s="44"/>
      <c r="AV1457" s="46">
        <f>ROUND(Товары[[#This Row],[РРЦ финальная, руб.]]/$AU$1,2)</f>
        <v>0</v>
      </c>
      <c r="AW1457" s="45" t="str">
        <f>IFERROR(Товары[[#This Row],[РРЦ, евро]]/Товары[[#This Row],[IRP, Eur]],"-")</f>
        <v>-</v>
      </c>
      <c r="AX1457" s="42">
        <f>IFERROR(VLOOKUP(Товары[[#This Row],[SubGroup]],'Структура цен DIY'!$B:$C,2,FALSE),0)</f>
        <v>0.30000000000000004</v>
      </c>
      <c r="AY1457" s="44">
        <v>0</v>
      </c>
    </row>
    <row r="1458" spans="1:51" x14ac:dyDescent="0.25">
      <c r="A1458" s="34">
        <v>1456</v>
      </c>
      <c r="B1458" s="34" t="s">
        <v>50</v>
      </c>
      <c r="C1458" s="110" t="str">
        <f>IFERROR(INDEX(Структура_ассортимента[SuperCategory],MATCH(Товары[[#This Row],[SubGroup]],Структура_ассортимента[Subgroup],0)),"")</f>
        <v>O</v>
      </c>
      <c r="D1458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58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58" s="110" t="str">
        <f>IFERROR(INDEX(Структура_ассортимента[Product group],MATCH(Товары[[#This Row],[SubGroup]],Структура_ассортимента[Subgroup],0)),"")</f>
        <v>WPU_C</v>
      </c>
      <c r="G1458" s="110" t="str">
        <f>IFERROR(INDEX(Структура_ассортимента[Product group name ENG],MATCH(Товары[[#This Row],[SubGroup]],Структура_ассортимента[Subgroup],0)),"")</f>
        <v>Watering, Pumps</v>
      </c>
      <c r="H1458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58" s="36">
        <v>9117</v>
      </c>
      <c r="J1458" s="36" t="str">
        <f>IFERROR(INDEX(Структура_ассортимента[Generic Name (long)],MATCH(Товары[[#This Row],[SubGroup]],Структура_ассортимента[Subgroup],0)),"")</f>
        <v>TECHNICAL HOSE</v>
      </c>
      <c r="L1458" s="36">
        <v>901103701</v>
      </c>
      <c r="M1458" s="35" t="s">
        <v>3134</v>
      </c>
      <c r="Q1458" s="34" t="s">
        <v>3549</v>
      </c>
      <c r="R1458" s="34" t="s">
        <v>3540</v>
      </c>
      <c r="S1458" s="47">
        <v>35440</v>
      </c>
      <c r="T1458" s="47">
        <v>0</v>
      </c>
      <c r="U1458" s="47">
        <v>0</v>
      </c>
      <c r="V1458" s="34">
        <v>4078500721202</v>
      </c>
      <c r="W1458" s="34" t="s">
        <v>3550</v>
      </c>
      <c r="X1458" s="34" t="s">
        <v>3551</v>
      </c>
      <c r="Y1458" s="34" t="s">
        <v>3542</v>
      </c>
      <c r="Z1458" s="34">
        <v>10</v>
      </c>
      <c r="AA1458" s="34" t="s">
        <v>3734</v>
      </c>
      <c r="AB1458" s="34" t="s">
        <v>3734</v>
      </c>
      <c r="AC1458" s="34" t="s">
        <v>6081</v>
      </c>
      <c r="AD1458" s="34" t="s">
        <v>6081</v>
      </c>
      <c r="AE1458" s="34" t="s">
        <v>4153</v>
      </c>
      <c r="AF1458" s="34" t="s">
        <v>4472</v>
      </c>
      <c r="AG1458" s="34" t="s">
        <v>4231</v>
      </c>
      <c r="AH1458" s="34" t="s">
        <v>7083</v>
      </c>
      <c r="AL1458" s="34" t="s">
        <v>6504</v>
      </c>
      <c r="AM1458" s="40" t="s">
        <v>8095</v>
      </c>
      <c r="AT1458" s="44">
        <v>0</v>
      </c>
      <c r="AU1458" s="44"/>
      <c r="AV1458" s="46">
        <f>ROUND(Товары[[#This Row],[РРЦ финальная, руб.]]/$AU$1,2)</f>
        <v>0</v>
      </c>
      <c r="AW1458" s="45" t="str">
        <f>IFERROR(Товары[[#This Row],[РРЦ, евро]]/Товары[[#This Row],[IRP, Eur]],"-")</f>
        <v>-</v>
      </c>
      <c r="AX1458" s="42">
        <f>IFERROR(VLOOKUP(Товары[[#This Row],[SubGroup]],'Структура цен DIY'!$B:$C,2,FALSE),0)</f>
        <v>0.30000000000000004</v>
      </c>
      <c r="AY1458" s="44">
        <v>0</v>
      </c>
    </row>
    <row r="1459" spans="1:51" x14ac:dyDescent="0.25">
      <c r="A1459" s="34">
        <v>1457</v>
      </c>
      <c r="B1459" s="34" t="s">
        <v>50</v>
      </c>
      <c r="C1459" s="110" t="str">
        <f>IFERROR(INDEX(Структура_ассортимента[SuperCategory],MATCH(Товары[[#This Row],[SubGroup]],Структура_ассортимента[Subgroup],0)),"")</f>
        <v>O</v>
      </c>
      <c r="D1459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59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59" s="110" t="str">
        <f>IFERROR(INDEX(Структура_ассортимента[Product group],MATCH(Товары[[#This Row],[SubGroup]],Структура_ассортимента[Subgroup],0)),"")</f>
        <v>WPU_C</v>
      </c>
      <c r="G1459" s="110" t="str">
        <f>IFERROR(INDEX(Структура_ассортимента[Product group name ENG],MATCH(Товары[[#This Row],[SubGroup]],Структура_ассортимента[Subgroup],0)),"")</f>
        <v>Watering, Pumps</v>
      </c>
      <c r="H1459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59" s="36">
        <v>9117</v>
      </c>
      <c r="J1459" s="36" t="str">
        <f>IFERROR(INDEX(Структура_ассортимента[Generic Name (long)],MATCH(Товары[[#This Row],[SubGroup]],Структура_ассортимента[Subgroup],0)),"")</f>
        <v>TECHNICAL HOSE</v>
      </c>
      <c r="L1459" s="36">
        <v>901107301</v>
      </c>
      <c r="M1459" s="35" t="s">
        <v>3135</v>
      </c>
      <c r="Q1459" s="34" t="s">
        <v>3549</v>
      </c>
      <c r="R1459" s="34" t="s">
        <v>3540</v>
      </c>
      <c r="S1459" s="47">
        <v>35440</v>
      </c>
      <c r="T1459" s="47">
        <v>0</v>
      </c>
      <c r="U1459" s="47">
        <v>0</v>
      </c>
      <c r="V1459" s="34">
        <v>4078500729406</v>
      </c>
      <c r="W1459" s="34" t="s">
        <v>3543</v>
      </c>
      <c r="X1459" s="34" t="s">
        <v>3579</v>
      </c>
      <c r="Y1459" s="34" t="s">
        <v>3542</v>
      </c>
      <c r="Z1459" s="34">
        <v>10</v>
      </c>
      <c r="AA1459" s="34" t="s">
        <v>6512</v>
      </c>
      <c r="AB1459" s="34" t="s">
        <v>6512</v>
      </c>
      <c r="AC1459" s="34" t="s">
        <v>6556</v>
      </c>
      <c r="AD1459" s="34" t="s">
        <v>6556</v>
      </c>
      <c r="AE1459" s="34" t="s">
        <v>3693</v>
      </c>
      <c r="AF1459" s="34" t="s">
        <v>3576</v>
      </c>
      <c r="AG1459" s="34" t="s">
        <v>3678</v>
      </c>
      <c r="AH1459" s="34" t="s">
        <v>3798</v>
      </c>
      <c r="AL1459" s="34" t="s">
        <v>3810</v>
      </c>
      <c r="AM1459" s="40" t="s">
        <v>8095</v>
      </c>
      <c r="AT1459" s="44">
        <v>0</v>
      </c>
      <c r="AU1459" s="44"/>
      <c r="AV1459" s="46">
        <f>ROUND(Товары[[#This Row],[РРЦ финальная, руб.]]/$AU$1,2)</f>
        <v>0</v>
      </c>
      <c r="AW1459" s="45" t="str">
        <f>IFERROR(Товары[[#This Row],[РРЦ, евро]]/Товары[[#This Row],[IRP, Eur]],"-")</f>
        <v>-</v>
      </c>
      <c r="AX1459" s="42">
        <f>IFERROR(VLOOKUP(Товары[[#This Row],[SubGroup]],'Структура цен DIY'!$B:$C,2,FALSE),0)</f>
        <v>0.30000000000000004</v>
      </c>
      <c r="AY1459" s="44">
        <v>0</v>
      </c>
    </row>
    <row r="1460" spans="1:51" x14ac:dyDescent="0.25">
      <c r="A1460" s="34">
        <v>1458</v>
      </c>
      <c r="B1460" s="34" t="s">
        <v>50</v>
      </c>
      <c r="C1460" s="110" t="str">
        <f>IFERROR(INDEX(Структура_ассортимента[SuperCategory],MATCH(Товары[[#This Row],[SubGroup]],Структура_ассортимента[Subgroup],0)),"")</f>
        <v>O</v>
      </c>
      <c r="D1460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60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60" s="110" t="str">
        <f>IFERROR(INDEX(Структура_ассортимента[Product group],MATCH(Товары[[#This Row],[SubGroup]],Структура_ассортимента[Subgroup],0)),"")</f>
        <v>WPU_C</v>
      </c>
      <c r="G1460" s="110" t="str">
        <f>IFERROR(INDEX(Структура_ассортимента[Product group name ENG],MATCH(Товары[[#This Row],[SubGroup]],Структура_ассортимента[Subgroup],0)),"")</f>
        <v>Watering, Pumps</v>
      </c>
      <c r="H1460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60" s="36">
        <v>9117</v>
      </c>
      <c r="J1460" s="36" t="str">
        <f>IFERROR(INDEX(Структура_ассортимента[Generic Name (long)],MATCH(Товары[[#This Row],[SubGroup]],Структура_ассортимента[Subgroup],0)),"")</f>
        <v>TECHNICAL HOSE</v>
      </c>
      <c r="L1460" s="36">
        <v>901109201</v>
      </c>
      <c r="M1460" s="35" t="s">
        <v>3136</v>
      </c>
      <c r="Q1460" s="34" t="s">
        <v>3549</v>
      </c>
      <c r="R1460" s="34" t="s">
        <v>3540</v>
      </c>
      <c r="S1460" s="47">
        <v>35440</v>
      </c>
      <c r="T1460" s="47">
        <v>0</v>
      </c>
      <c r="U1460" s="47">
        <v>0</v>
      </c>
      <c r="V1460" s="34">
        <v>4078500734004</v>
      </c>
      <c r="W1460" s="34" t="s">
        <v>3550</v>
      </c>
      <c r="X1460" s="34" t="s">
        <v>3551</v>
      </c>
      <c r="Y1460" s="34" t="s">
        <v>3542</v>
      </c>
      <c r="Z1460" s="34">
        <v>5</v>
      </c>
      <c r="AA1460" s="34" t="s">
        <v>3928</v>
      </c>
      <c r="AB1460" s="34" t="s">
        <v>3928</v>
      </c>
      <c r="AC1460" s="34" t="s">
        <v>4517</v>
      </c>
      <c r="AD1460" s="34" t="s">
        <v>4517</v>
      </c>
      <c r="AE1460" s="34" t="s">
        <v>4381</v>
      </c>
      <c r="AF1460" s="34" t="s">
        <v>5924</v>
      </c>
      <c r="AG1460" s="34" t="s">
        <v>5924</v>
      </c>
      <c r="AH1460" s="34" t="s">
        <v>7134</v>
      </c>
      <c r="AL1460" s="34" t="s">
        <v>7066</v>
      </c>
      <c r="AM1460" s="40" t="s">
        <v>8095</v>
      </c>
      <c r="AT1460" s="44">
        <v>0</v>
      </c>
      <c r="AU1460" s="44"/>
      <c r="AV1460" s="46">
        <f>ROUND(Товары[[#This Row],[РРЦ финальная, руб.]]/$AU$1,2)</f>
        <v>0</v>
      </c>
      <c r="AW1460" s="45" t="str">
        <f>IFERROR(Товары[[#This Row],[РРЦ, евро]]/Товары[[#This Row],[IRP, Eur]],"-")</f>
        <v>-</v>
      </c>
      <c r="AX1460" s="42">
        <f>IFERROR(VLOOKUP(Товары[[#This Row],[SubGroup]],'Структура цен DIY'!$B:$C,2,FALSE),0)</f>
        <v>0.30000000000000004</v>
      </c>
      <c r="AY1460" s="44">
        <v>0</v>
      </c>
    </row>
    <row r="1461" spans="1:51" x14ac:dyDescent="0.25">
      <c r="A1461" s="34">
        <v>1459</v>
      </c>
      <c r="B1461" s="34" t="s">
        <v>50</v>
      </c>
      <c r="C1461" s="110" t="str">
        <f>IFERROR(INDEX(Структура_ассортимента[SuperCategory],MATCH(Товары[[#This Row],[SubGroup]],Структура_ассортимента[Subgroup],0)),"")</f>
        <v>O</v>
      </c>
      <c r="D1461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61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61" s="110" t="str">
        <f>IFERROR(INDEX(Структура_ассортимента[Product group],MATCH(Товары[[#This Row],[SubGroup]],Структура_ассортимента[Subgroup],0)),"")</f>
        <v>WPU_C</v>
      </c>
      <c r="G1461" s="110" t="str">
        <f>IFERROR(INDEX(Структура_ассортимента[Product group name ENG],MATCH(Товары[[#This Row],[SubGroup]],Структура_ассортимента[Subgroup],0)),"")</f>
        <v>Watering, Pumps</v>
      </c>
      <c r="H1461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61" s="36">
        <v>9117</v>
      </c>
      <c r="J1461" s="36" t="str">
        <f>IFERROR(INDEX(Структура_ассортимента[Generic Name (long)],MATCH(Товары[[#This Row],[SubGroup]],Структура_ассортимента[Subgroup],0)),"")</f>
        <v>TECHNICAL HOSE</v>
      </c>
      <c r="L1461" s="36">
        <v>901109301</v>
      </c>
      <c r="M1461" s="35" t="s">
        <v>3137</v>
      </c>
      <c r="Q1461" s="34" t="s">
        <v>3549</v>
      </c>
      <c r="R1461" s="34" t="s">
        <v>3540</v>
      </c>
      <c r="S1461" s="47">
        <v>35440</v>
      </c>
      <c r="T1461" s="47">
        <v>0</v>
      </c>
      <c r="U1461" s="47">
        <v>0</v>
      </c>
      <c r="V1461" s="34">
        <v>4078500734103</v>
      </c>
      <c r="W1461" s="34" t="s">
        <v>3550</v>
      </c>
      <c r="X1461" s="34" t="s">
        <v>3551</v>
      </c>
      <c r="Y1461" s="34" t="s">
        <v>3542</v>
      </c>
      <c r="Z1461" s="34">
        <v>3</v>
      </c>
      <c r="AA1461" s="34" t="s">
        <v>4939</v>
      </c>
      <c r="AB1461" s="34" t="s">
        <v>4939</v>
      </c>
      <c r="AC1461" s="34" t="s">
        <v>4180</v>
      </c>
      <c r="AD1461" s="34" t="s">
        <v>4180</v>
      </c>
      <c r="AE1461" s="34" t="s">
        <v>3886</v>
      </c>
      <c r="AF1461" s="34" t="s">
        <v>4351</v>
      </c>
      <c r="AG1461" s="34" t="s">
        <v>4780</v>
      </c>
      <c r="AH1461" s="34" t="s">
        <v>7064</v>
      </c>
      <c r="AL1461" s="34" t="s">
        <v>5283</v>
      </c>
      <c r="AM1461" s="40" t="s">
        <v>8095</v>
      </c>
      <c r="AT1461" s="44">
        <v>0</v>
      </c>
      <c r="AU1461" s="44"/>
      <c r="AV1461" s="46">
        <f>ROUND(Товары[[#This Row],[РРЦ финальная, руб.]]/$AU$1,2)</f>
        <v>0</v>
      </c>
      <c r="AW1461" s="45" t="str">
        <f>IFERROR(Товары[[#This Row],[РРЦ, евро]]/Товары[[#This Row],[IRP, Eur]],"-")</f>
        <v>-</v>
      </c>
      <c r="AX1461" s="42">
        <f>IFERROR(VLOOKUP(Товары[[#This Row],[SubGroup]],'Структура цен DIY'!$B:$C,2,FALSE),0)</f>
        <v>0.30000000000000004</v>
      </c>
      <c r="AY1461" s="44">
        <v>0</v>
      </c>
    </row>
    <row r="1462" spans="1:51" x14ac:dyDescent="0.25">
      <c r="A1462" s="34">
        <v>1460</v>
      </c>
      <c r="B1462" s="34" t="s">
        <v>50</v>
      </c>
      <c r="C1462" s="110" t="str">
        <f>IFERROR(INDEX(Структура_ассортимента[SuperCategory],MATCH(Товары[[#This Row],[SubGroup]],Структура_ассортимента[Subgroup],0)),"")</f>
        <v>O</v>
      </c>
      <c r="D1462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62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62" s="110" t="str">
        <f>IFERROR(INDEX(Структура_ассортимента[Product group],MATCH(Товары[[#This Row],[SubGroup]],Структура_ассортимента[Subgroup],0)),"")</f>
        <v>WPU_C</v>
      </c>
      <c r="G1462" s="110" t="str">
        <f>IFERROR(INDEX(Структура_ассортимента[Product group name ENG],MATCH(Товары[[#This Row],[SubGroup]],Структура_ассортимента[Subgroup],0)),"")</f>
        <v>Watering, Pumps</v>
      </c>
      <c r="H1462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62" s="36">
        <v>9117</v>
      </c>
      <c r="J1462" s="36" t="str">
        <f>IFERROR(INDEX(Структура_ассортимента[Generic Name (long)],MATCH(Товары[[#This Row],[SubGroup]],Структура_ассортимента[Subgroup],0)),"")</f>
        <v>TECHNICAL HOSE</v>
      </c>
      <c r="L1462" s="36">
        <v>901109401</v>
      </c>
      <c r="M1462" s="35" t="s">
        <v>3138</v>
      </c>
      <c r="Q1462" s="34" t="s">
        <v>3549</v>
      </c>
      <c r="R1462" s="34" t="s">
        <v>3540</v>
      </c>
      <c r="S1462" s="47">
        <v>35440</v>
      </c>
      <c r="T1462" s="47">
        <v>0</v>
      </c>
      <c r="U1462" s="47">
        <v>0</v>
      </c>
      <c r="V1462" s="34">
        <v>4078500734202</v>
      </c>
      <c r="W1462" s="34" t="s">
        <v>3550</v>
      </c>
      <c r="X1462" s="34" t="s">
        <v>3551</v>
      </c>
      <c r="Y1462" s="34" t="s">
        <v>3542</v>
      </c>
      <c r="Z1462" s="34">
        <v>3</v>
      </c>
      <c r="AA1462" s="34" t="s">
        <v>4519</v>
      </c>
      <c r="AB1462" s="34" t="s">
        <v>4519</v>
      </c>
      <c r="AC1462" s="34" t="s">
        <v>4765</v>
      </c>
      <c r="AD1462" s="34" t="s">
        <v>4765</v>
      </c>
      <c r="AE1462" s="34" t="s">
        <v>3698</v>
      </c>
      <c r="AF1462" s="34" t="s">
        <v>4402</v>
      </c>
      <c r="AG1462" s="34" t="s">
        <v>4402</v>
      </c>
      <c r="AH1462" s="34" t="s">
        <v>7135</v>
      </c>
      <c r="AL1462" s="34" t="s">
        <v>5656</v>
      </c>
      <c r="AM1462" s="40" t="s">
        <v>8095</v>
      </c>
      <c r="AT1462" s="44">
        <v>0</v>
      </c>
      <c r="AU1462" s="44"/>
      <c r="AV1462" s="46">
        <f>ROUND(Товары[[#This Row],[РРЦ финальная, руб.]]/$AU$1,2)</f>
        <v>0</v>
      </c>
      <c r="AW1462" s="45" t="str">
        <f>IFERROR(Товары[[#This Row],[РРЦ, евро]]/Товары[[#This Row],[IRP, Eur]],"-")</f>
        <v>-</v>
      </c>
      <c r="AX1462" s="42">
        <f>IFERROR(VLOOKUP(Товары[[#This Row],[SubGroup]],'Структура цен DIY'!$B:$C,2,FALSE),0)</f>
        <v>0.30000000000000004</v>
      </c>
      <c r="AY1462" s="44">
        <v>0</v>
      </c>
    </row>
    <row r="1463" spans="1:51" x14ac:dyDescent="0.25">
      <c r="A1463" s="34">
        <v>1461</v>
      </c>
      <c r="B1463" s="34" t="s">
        <v>50</v>
      </c>
      <c r="C1463" s="110" t="str">
        <f>IFERROR(INDEX(Структура_ассортимента[SuperCategory],MATCH(Товары[[#This Row],[SubGroup]],Структура_ассортимента[Subgroup],0)),"")</f>
        <v>O</v>
      </c>
      <c r="D1463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63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63" s="110" t="str">
        <f>IFERROR(INDEX(Структура_ассортимента[Product group],MATCH(Товары[[#This Row],[SubGroup]],Структура_ассортимента[Subgroup],0)),"")</f>
        <v>WPU_C</v>
      </c>
      <c r="G1463" s="110" t="str">
        <f>IFERROR(INDEX(Структура_ассортимента[Product group name ENG],MATCH(Товары[[#This Row],[SubGroup]],Структура_ассортимента[Subgroup],0)),"")</f>
        <v>Watering, Pumps</v>
      </c>
      <c r="H1463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63" s="36">
        <v>9117</v>
      </c>
      <c r="J1463" s="36" t="str">
        <f>IFERROR(INDEX(Структура_ассортимента[Generic Name (long)],MATCH(Товары[[#This Row],[SubGroup]],Структура_ассортимента[Subgroup],0)),"")</f>
        <v>TECHNICAL HOSE</v>
      </c>
      <c r="L1463" s="36">
        <v>901108701</v>
      </c>
      <c r="M1463" s="35" t="s">
        <v>3139</v>
      </c>
      <c r="Q1463" s="34" t="s">
        <v>3549</v>
      </c>
      <c r="R1463" s="34" t="s">
        <v>3540</v>
      </c>
      <c r="S1463" s="47">
        <v>35440</v>
      </c>
      <c r="T1463" s="47">
        <v>0</v>
      </c>
      <c r="U1463" s="47">
        <v>0</v>
      </c>
      <c r="V1463" s="34">
        <v>4078500733007</v>
      </c>
      <c r="W1463" s="34" t="s">
        <v>3550</v>
      </c>
      <c r="X1463" s="34" t="s">
        <v>3551</v>
      </c>
      <c r="Y1463" s="34" t="s">
        <v>3542</v>
      </c>
      <c r="Z1463" s="34">
        <v>5</v>
      </c>
      <c r="AA1463" s="34" t="s">
        <v>4159</v>
      </c>
      <c r="AB1463" s="34" t="s">
        <v>4159</v>
      </c>
      <c r="AC1463" s="34" t="s">
        <v>4987</v>
      </c>
      <c r="AD1463" s="34" t="s">
        <v>4987</v>
      </c>
      <c r="AE1463" s="34" t="s">
        <v>4471</v>
      </c>
      <c r="AF1463" s="34" t="s">
        <v>5641</v>
      </c>
      <c r="AG1463" s="34" t="s">
        <v>4406</v>
      </c>
      <c r="AH1463" s="34" t="s">
        <v>6567</v>
      </c>
      <c r="AI1463" s="34" t="s">
        <v>5641</v>
      </c>
      <c r="AJ1463" s="34" t="s">
        <v>3576</v>
      </c>
      <c r="AK1463" s="34" t="s">
        <v>3672</v>
      </c>
      <c r="AL1463" s="34" t="s">
        <v>7077</v>
      </c>
      <c r="AM1463" s="40" t="s">
        <v>8095</v>
      </c>
      <c r="AT1463" s="44">
        <v>0</v>
      </c>
      <c r="AU1463" s="44"/>
      <c r="AV1463" s="46">
        <f>ROUND(Товары[[#This Row],[РРЦ финальная, руб.]]/$AU$1,2)</f>
        <v>0</v>
      </c>
      <c r="AW1463" s="45" t="str">
        <f>IFERROR(Товары[[#This Row],[РРЦ, евро]]/Товары[[#This Row],[IRP, Eur]],"-")</f>
        <v>-</v>
      </c>
      <c r="AX1463" s="42">
        <f>IFERROR(VLOOKUP(Товары[[#This Row],[SubGroup]],'Структура цен DIY'!$B:$C,2,FALSE),0)</f>
        <v>0.30000000000000004</v>
      </c>
      <c r="AY1463" s="44">
        <v>0</v>
      </c>
    </row>
    <row r="1464" spans="1:51" x14ac:dyDescent="0.25">
      <c r="A1464" s="34">
        <v>1462</v>
      </c>
      <c r="B1464" s="34" t="s">
        <v>50</v>
      </c>
      <c r="C1464" s="110" t="str">
        <f>IFERROR(INDEX(Структура_ассортимента[SuperCategory],MATCH(Товары[[#This Row],[SubGroup]],Структура_ассортимента[Subgroup],0)),"")</f>
        <v>O</v>
      </c>
      <c r="D1464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64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64" s="110" t="str">
        <f>IFERROR(INDEX(Структура_ассортимента[Product group],MATCH(Товары[[#This Row],[SubGroup]],Структура_ассортимента[Subgroup],0)),"")</f>
        <v>WPU_C</v>
      </c>
      <c r="G1464" s="110" t="str">
        <f>IFERROR(INDEX(Структура_ассортимента[Product group name ENG],MATCH(Товары[[#This Row],[SubGroup]],Структура_ассортимента[Subgroup],0)),"")</f>
        <v>Watering, Pumps</v>
      </c>
      <c r="H1464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64" s="36">
        <v>9117</v>
      </c>
      <c r="J1464" s="36" t="str">
        <f>IFERROR(INDEX(Структура_ассортимента[Generic Name (long)],MATCH(Товары[[#This Row],[SubGroup]],Структура_ассортимента[Subgroup],0)),"")</f>
        <v>TECHNICAL HOSE</v>
      </c>
      <c r="L1464" s="36">
        <v>901108801</v>
      </c>
      <c r="M1464" s="35" t="s">
        <v>3140</v>
      </c>
      <c r="Q1464" s="34" t="s">
        <v>3549</v>
      </c>
      <c r="R1464" s="34" t="s">
        <v>3540</v>
      </c>
      <c r="S1464" s="47">
        <v>35440</v>
      </c>
      <c r="T1464" s="47">
        <v>0</v>
      </c>
      <c r="U1464" s="47">
        <v>0</v>
      </c>
      <c r="V1464" s="34">
        <v>4078500733106</v>
      </c>
      <c r="W1464" s="34" t="s">
        <v>3550</v>
      </c>
      <c r="X1464" s="34" t="s">
        <v>3551</v>
      </c>
      <c r="Y1464" s="34" t="s">
        <v>3542</v>
      </c>
      <c r="Z1464" s="34">
        <v>5</v>
      </c>
      <c r="AA1464" s="34" t="s">
        <v>4638</v>
      </c>
      <c r="AB1464" s="34" t="s">
        <v>4136</v>
      </c>
      <c r="AC1464" s="34" t="s">
        <v>4625</v>
      </c>
      <c r="AD1464" s="34" t="s">
        <v>3929</v>
      </c>
      <c r="AE1464" s="34" t="s">
        <v>5373</v>
      </c>
      <c r="AF1464" s="34" t="s">
        <v>4003</v>
      </c>
      <c r="AG1464" s="34" t="s">
        <v>4218</v>
      </c>
      <c r="AH1464" s="34" t="s">
        <v>7136</v>
      </c>
      <c r="AL1464" s="34" t="s">
        <v>6681</v>
      </c>
      <c r="AM1464" s="40" t="s">
        <v>8095</v>
      </c>
      <c r="AT1464" s="44">
        <v>0</v>
      </c>
      <c r="AU1464" s="44"/>
      <c r="AV1464" s="46">
        <f>ROUND(Товары[[#This Row],[РРЦ финальная, руб.]]/$AU$1,2)</f>
        <v>0</v>
      </c>
      <c r="AW1464" s="45" t="str">
        <f>IFERROR(Товары[[#This Row],[РРЦ, евро]]/Товары[[#This Row],[IRP, Eur]],"-")</f>
        <v>-</v>
      </c>
      <c r="AX1464" s="42">
        <f>IFERROR(VLOOKUP(Товары[[#This Row],[SubGroup]],'Структура цен DIY'!$B:$C,2,FALSE),0)</f>
        <v>0.30000000000000004</v>
      </c>
      <c r="AY1464" s="44">
        <v>0</v>
      </c>
    </row>
    <row r="1465" spans="1:51" x14ac:dyDescent="0.25">
      <c r="A1465" s="34">
        <v>1463</v>
      </c>
      <c r="B1465" s="34" t="s">
        <v>50</v>
      </c>
      <c r="C1465" s="110" t="str">
        <f>IFERROR(INDEX(Структура_ассортимента[SuperCategory],MATCH(Товары[[#This Row],[SubGroup]],Структура_ассортимента[Subgroup],0)),"")</f>
        <v>O</v>
      </c>
      <c r="D1465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65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65" s="110" t="str">
        <f>IFERROR(INDEX(Структура_ассортимента[Product group],MATCH(Товары[[#This Row],[SubGroup]],Структура_ассортимента[Subgroup],0)),"")</f>
        <v>WPU_C</v>
      </c>
      <c r="G1465" s="110" t="str">
        <f>IFERROR(INDEX(Структура_ассортимента[Product group name ENG],MATCH(Товары[[#This Row],[SubGroup]],Структура_ассортимента[Subgroup],0)),"")</f>
        <v>Watering, Pumps</v>
      </c>
      <c r="H1465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65" s="36">
        <v>9117</v>
      </c>
      <c r="J1465" s="36" t="str">
        <f>IFERROR(INDEX(Структура_ассортимента[Generic Name (long)],MATCH(Товары[[#This Row],[SubGroup]],Структура_ассортимента[Subgroup],0)),"")</f>
        <v>TECHNICAL HOSE</v>
      </c>
      <c r="L1465" s="36">
        <v>901108901</v>
      </c>
      <c r="M1465" s="35" t="s">
        <v>3141</v>
      </c>
      <c r="Q1465" s="34" t="s">
        <v>3549</v>
      </c>
      <c r="R1465" s="34" t="s">
        <v>3540</v>
      </c>
      <c r="S1465" s="47">
        <v>35440</v>
      </c>
      <c r="T1465" s="47">
        <v>0</v>
      </c>
      <c r="U1465" s="47">
        <v>0</v>
      </c>
      <c r="V1465" s="34">
        <v>4078500733502</v>
      </c>
      <c r="W1465" s="34" t="s">
        <v>3550</v>
      </c>
      <c r="X1465" s="34" t="s">
        <v>3551</v>
      </c>
      <c r="Y1465" s="34" t="s">
        <v>3542</v>
      </c>
      <c r="Z1465" s="34">
        <v>5</v>
      </c>
      <c r="AA1465" s="34" t="s">
        <v>4002</v>
      </c>
      <c r="AB1465" s="34" t="s">
        <v>4002</v>
      </c>
      <c r="AC1465" s="34" t="s">
        <v>3728</v>
      </c>
      <c r="AD1465" s="34" t="s">
        <v>3728</v>
      </c>
      <c r="AE1465" s="34" t="s">
        <v>3566</v>
      </c>
      <c r="AF1465" s="34" t="s">
        <v>3711</v>
      </c>
      <c r="AG1465" s="34" t="s">
        <v>3672</v>
      </c>
      <c r="AH1465" s="34" t="s">
        <v>7137</v>
      </c>
      <c r="AL1465" s="34" t="s">
        <v>7066</v>
      </c>
      <c r="AM1465" s="40" t="s">
        <v>8095</v>
      </c>
      <c r="AT1465" s="44">
        <v>0</v>
      </c>
      <c r="AU1465" s="44"/>
      <c r="AV1465" s="46">
        <f>ROUND(Товары[[#This Row],[РРЦ финальная, руб.]]/$AU$1,2)</f>
        <v>0</v>
      </c>
      <c r="AW1465" s="45" t="str">
        <f>IFERROR(Товары[[#This Row],[РРЦ, евро]]/Товары[[#This Row],[IRP, Eur]],"-")</f>
        <v>-</v>
      </c>
      <c r="AX1465" s="42">
        <f>IFERROR(VLOOKUP(Товары[[#This Row],[SubGroup]],'Структура цен DIY'!$B:$C,2,FALSE),0)</f>
        <v>0.30000000000000004</v>
      </c>
      <c r="AY1465" s="44">
        <v>0</v>
      </c>
    </row>
    <row r="1466" spans="1:51" x14ac:dyDescent="0.25">
      <c r="A1466" s="34">
        <v>1464</v>
      </c>
      <c r="B1466" s="34" t="s">
        <v>50</v>
      </c>
      <c r="C1466" s="110" t="str">
        <f>IFERROR(INDEX(Структура_ассортимента[SuperCategory],MATCH(Товары[[#This Row],[SubGroup]],Структура_ассортимента[Subgroup],0)),"")</f>
        <v>O</v>
      </c>
      <c r="D1466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66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66" s="110" t="str">
        <f>IFERROR(INDEX(Структура_ассортимента[Product group],MATCH(Товары[[#This Row],[SubGroup]],Структура_ассортимента[Subgroup],0)),"")</f>
        <v>WPU_C</v>
      </c>
      <c r="G1466" s="110" t="str">
        <f>IFERROR(INDEX(Структура_ассортимента[Product group name ENG],MATCH(Товары[[#This Row],[SubGroup]],Структура_ассортимента[Subgroup],0)),"")</f>
        <v>Watering, Pumps</v>
      </c>
      <c r="H1466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66" s="36">
        <v>9117</v>
      </c>
      <c r="J1466" s="36" t="str">
        <f>IFERROR(INDEX(Структура_ассортимента[Generic Name (long)],MATCH(Товары[[#This Row],[SubGroup]],Структура_ассортимента[Subgroup],0)),"")</f>
        <v>TECHNICAL HOSE</v>
      </c>
      <c r="L1466" s="36">
        <v>901109001</v>
      </c>
      <c r="M1466" s="35" t="s">
        <v>3142</v>
      </c>
      <c r="Q1466" s="34" t="s">
        <v>3549</v>
      </c>
      <c r="R1466" s="34" t="s">
        <v>3540</v>
      </c>
      <c r="S1466" s="47">
        <v>35440</v>
      </c>
      <c r="T1466" s="47">
        <v>0</v>
      </c>
      <c r="U1466" s="47">
        <v>0</v>
      </c>
      <c r="V1466" s="34">
        <v>4078500733601</v>
      </c>
      <c r="W1466" s="34" t="s">
        <v>3550</v>
      </c>
      <c r="X1466" s="34" t="s">
        <v>3551</v>
      </c>
      <c r="Y1466" s="34" t="s">
        <v>3542</v>
      </c>
      <c r="Z1466" s="34">
        <v>5</v>
      </c>
      <c r="AA1466" s="34" t="s">
        <v>4400</v>
      </c>
      <c r="AB1466" s="34" t="s">
        <v>4400</v>
      </c>
      <c r="AC1466" s="34" t="s">
        <v>3929</v>
      </c>
      <c r="AD1466" s="34" t="s">
        <v>3929</v>
      </c>
      <c r="AE1466" s="34" t="s">
        <v>4471</v>
      </c>
      <c r="AF1466" s="34" t="s">
        <v>5680</v>
      </c>
      <c r="AG1466" s="34" t="s">
        <v>4218</v>
      </c>
      <c r="AH1466" s="34" t="s">
        <v>7138</v>
      </c>
      <c r="AL1466" s="34" t="s">
        <v>7077</v>
      </c>
      <c r="AM1466" s="40" t="s">
        <v>8095</v>
      </c>
      <c r="AT1466" s="44">
        <v>0</v>
      </c>
      <c r="AU1466" s="44"/>
      <c r="AV1466" s="46">
        <f>ROUND(Товары[[#This Row],[РРЦ финальная, руб.]]/$AU$1,2)</f>
        <v>0</v>
      </c>
      <c r="AW1466" s="45" t="str">
        <f>IFERROR(Товары[[#This Row],[РРЦ, евро]]/Товары[[#This Row],[IRP, Eur]],"-")</f>
        <v>-</v>
      </c>
      <c r="AX1466" s="42">
        <f>IFERROR(VLOOKUP(Товары[[#This Row],[SubGroup]],'Структура цен DIY'!$B:$C,2,FALSE),0)</f>
        <v>0.30000000000000004</v>
      </c>
      <c r="AY1466" s="44">
        <v>0</v>
      </c>
    </row>
    <row r="1467" spans="1:51" x14ac:dyDescent="0.25">
      <c r="A1467" s="34">
        <v>1465</v>
      </c>
      <c r="B1467" s="34" t="s">
        <v>50</v>
      </c>
      <c r="C1467" s="110" t="str">
        <f>IFERROR(INDEX(Структура_ассортимента[SuperCategory],MATCH(Товары[[#This Row],[SubGroup]],Структура_ассортимента[Subgroup],0)),"")</f>
        <v>O</v>
      </c>
      <c r="D1467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67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67" s="110" t="str">
        <f>IFERROR(INDEX(Структура_ассортимента[Product group],MATCH(Товары[[#This Row],[SubGroup]],Структура_ассортимента[Subgroup],0)),"")</f>
        <v>WPU_C</v>
      </c>
      <c r="G1467" s="110" t="str">
        <f>IFERROR(INDEX(Структура_ассортимента[Product group name ENG],MATCH(Товары[[#This Row],[SubGroup]],Структура_ассортимента[Subgroup],0)),"")</f>
        <v>Watering, Pumps</v>
      </c>
      <c r="H1467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67" s="36">
        <v>9117</v>
      </c>
      <c r="J1467" s="36" t="str">
        <f>IFERROR(INDEX(Структура_ассортимента[Generic Name (long)],MATCH(Товары[[#This Row],[SubGroup]],Структура_ассортимента[Subgroup],0)),"")</f>
        <v>TECHNICAL HOSE</v>
      </c>
      <c r="L1467" s="36">
        <v>901109101</v>
      </c>
      <c r="M1467" s="35" t="s">
        <v>3143</v>
      </c>
      <c r="Q1467" s="34" t="s">
        <v>3549</v>
      </c>
      <c r="R1467" s="34" t="s">
        <v>3540</v>
      </c>
      <c r="S1467" s="47">
        <v>35440</v>
      </c>
      <c r="T1467" s="47">
        <v>0</v>
      </c>
      <c r="U1467" s="47">
        <v>0</v>
      </c>
      <c r="V1467" s="34">
        <v>4078500733700</v>
      </c>
      <c r="W1467" s="34" t="s">
        <v>3550</v>
      </c>
      <c r="X1467" s="34" t="s">
        <v>3551</v>
      </c>
      <c r="Y1467" s="34" t="s">
        <v>3542</v>
      </c>
      <c r="Z1467" s="34">
        <v>3</v>
      </c>
      <c r="AA1467" s="34" t="s">
        <v>7139</v>
      </c>
      <c r="AB1467" s="34" t="s">
        <v>7139</v>
      </c>
      <c r="AC1467" s="34" t="s">
        <v>4389</v>
      </c>
      <c r="AD1467" s="34" t="s">
        <v>4389</v>
      </c>
      <c r="AE1467" s="34" t="s">
        <v>5373</v>
      </c>
      <c r="AF1467" s="34" t="s">
        <v>4980</v>
      </c>
      <c r="AG1467" s="34" t="s">
        <v>5125</v>
      </c>
      <c r="AH1467" s="34" t="s">
        <v>7140</v>
      </c>
      <c r="AL1467" s="34" t="s">
        <v>5656</v>
      </c>
      <c r="AM1467" s="40" t="s">
        <v>8095</v>
      </c>
      <c r="AT1467" s="44">
        <v>0</v>
      </c>
      <c r="AU1467" s="44"/>
      <c r="AV1467" s="46">
        <f>ROUND(Товары[[#This Row],[РРЦ финальная, руб.]]/$AU$1,2)</f>
        <v>0</v>
      </c>
      <c r="AW1467" s="45" t="str">
        <f>IFERROR(Товары[[#This Row],[РРЦ, евро]]/Товары[[#This Row],[IRP, Eur]],"-")</f>
        <v>-</v>
      </c>
      <c r="AX1467" s="42">
        <f>IFERROR(VLOOKUP(Товары[[#This Row],[SubGroup]],'Структура цен DIY'!$B:$C,2,FALSE),0)</f>
        <v>0.30000000000000004</v>
      </c>
      <c r="AY1467" s="44">
        <v>0</v>
      </c>
    </row>
    <row r="1468" spans="1:51" x14ac:dyDescent="0.25">
      <c r="A1468" s="34">
        <v>1466</v>
      </c>
      <c r="B1468" s="34" t="s">
        <v>50</v>
      </c>
      <c r="C1468" s="110" t="str">
        <f>IFERROR(INDEX(Структура_ассортимента[SuperCategory],MATCH(Товары[[#This Row],[SubGroup]],Структура_ассортимента[Subgroup],0)),"")</f>
        <v>O</v>
      </c>
      <c r="D1468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68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68" s="110" t="str">
        <f>IFERROR(INDEX(Структура_ассортимента[Product group],MATCH(Товары[[#This Row],[SubGroup]],Структура_ассортимента[Subgroup],0)),"")</f>
        <v>WPU_C</v>
      </c>
      <c r="G1468" s="110" t="str">
        <f>IFERROR(INDEX(Структура_ассортимента[Product group name ENG],MATCH(Товары[[#This Row],[SubGroup]],Структура_ассортимента[Subgroup],0)),"")</f>
        <v>Watering, Pumps</v>
      </c>
      <c r="H1468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68" s="36">
        <v>9117</v>
      </c>
      <c r="J1468" s="36" t="str">
        <f>IFERROR(INDEX(Структура_ассортимента[Generic Name (long)],MATCH(Товары[[#This Row],[SubGroup]],Структура_ассортимента[Subgroup],0)),"")</f>
        <v>TECHNICAL HOSE</v>
      </c>
      <c r="L1468" s="36">
        <v>966677101</v>
      </c>
      <c r="M1468" s="35" t="s">
        <v>3144</v>
      </c>
      <c r="Q1468" s="34" t="s">
        <v>3549</v>
      </c>
      <c r="R1468" s="34" t="s">
        <v>3540</v>
      </c>
      <c r="S1468" s="47">
        <v>40452</v>
      </c>
      <c r="T1468" s="47">
        <v>0</v>
      </c>
      <c r="U1468" s="47">
        <v>0</v>
      </c>
      <c r="V1468" s="34">
        <v>4078500733205</v>
      </c>
      <c r="W1468" s="34" t="s">
        <v>3550</v>
      </c>
      <c r="X1468" s="34" t="s">
        <v>3551</v>
      </c>
      <c r="Y1468" s="34" t="s">
        <v>3542</v>
      </c>
      <c r="Z1468" s="34">
        <v>5</v>
      </c>
      <c r="AA1468" s="34" t="s">
        <v>4180</v>
      </c>
      <c r="AB1468" s="34" t="s">
        <v>7141</v>
      </c>
      <c r="AC1468" s="34" t="s">
        <v>4147</v>
      </c>
      <c r="AD1468" s="34" t="s">
        <v>6081</v>
      </c>
      <c r="AE1468" s="34" t="s">
        <v>4471</v>
      </c>
      <c r="AF1468" s="34" t="s">
        <v>5641</v>
      </c>
      <c r="AG1468" s="34" t="s">
        <v>4406</v>
      </c>
      <c r="AH1468" s="34" t="s">
        <v>6567</v>
      </c>
      <c r="AL1468" s="34" t="s">
        <v>7077</v>
      </c>
      <c r="AM1468" s="40" t="s">
        <v>8095</v>
      </c>
      <c r="AT1468" s="44">
        <v>0</v>
      </c>
      <c r="AU1468" s="44"/>
      <c r="AV1468" s="46">
        <f>ROUND(Товары[[#This Row],[РРЦ финальная, руб.]]/$AU$1,2)</f>
        <v>0</v>
      </c>
      <c r="AW1468" s="45" t="str">
        <f>IFERROR(Товары[[#This Row],[РРЦ, евро]]/Товары[[#This Row],[IRP, Eur]],"-")</f>
        <v>-</v>
      </c>
      <c r="AX1468" s="42">
        <f>IFERROR(VLOOKUP(Товары[[#This Row],[SubGroup]],'Структура цен DIY'!$B:$C,2,FALSE),0)</f>
        <v>0.30000000000000004</v>
      </c>
      <c r="AY1468" s="44">
        <v>0</v>
      </c>
    </row>
    <row r="1469" spans="1:51" x14ac:dyDescent="0.25">
      <c r="A1469" s="34">
        <v>1467</v>
      </c>
      <c r="B1469" s="34" t="s">
        <v>50</v>
      </c>
      <c r="C1469" s="110" t="str">
        <f>IFERROR(INDEX(Структура_ассортимента[SuperCategory],MATCH(Товары[[#This Row],[SubGroup]],Структура_ассортимента[Subgroup],0)),"")</f>
        <v>O</v>
      </c>
      <c r="D1469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69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69" s="110" t="str">
        <f>IFERROR(INDEX(Структура_ассортимента[Product group],MATCH(Товары[[#This Row],[SubGroup]],Структура_ассортимента[Subgroup],0)),"")</f>
        <v>WPU_C</v>
      </c>
      <c r="G1469" s="110" t="str">
        <f>IFERROR(INDEX(Структура_ассортимента[Product group name ENG],MATCH(Товары[[#This Row],[SubGroup]],Структура_ассортимента[Subgroup],0)),"")</f>
        <v>Watering, Pumps</v>
      </c>
      <c r="H1469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69" s="36">
        <v>9117</v>
      </c>
      <c r="J1469" s="36" t="str">
        <f>IFERROR(INDEX(Структура_ассортимента[Generic Name (long)],MATCH(Товары[[#This Row],[SubGroup]],Структура_ассортимента[Subgroup],0)),"")</f>
        <v>TECHNICAL HOSE</v>
      </c>
      <c r="L1469" s="36">
        <v>966677201</v>
      </c>
      <c r="M1469" s="35" t="s">
        <v>3145</v>
      </c>
      <c r="Q1469" s="34" t="s">
        <v>3549</v>
      </c>
      <c r="R1469" s="34" t="s">
        <v>3540</v>
      </c>
      <c r="S1469" s="47">
        <v>40452</v>
      </c>
      <c r="T1469" s="47">
        <v>0</v>
      </c>
      <c r="U1469" s="47">
        <v>0</v>
      </c>
      <c r="V1469" s="34">
        <v>4078500733304</v>
      </c>
      <c r="W1469" s="34" t="s">
        <v>3550</v>
      </c>
      <c r="X1469" s="34" t="s">
        <v>3551</v>
      </c>
      <c r="Y1469" s="34" t="s">
        <v>3542</v>
      </c>
      <c r="Z1469" s="34">
        <v>5</v>
      </c>
      <c r="AA1469" s="34" t="s">
        <v>4939</v>
      </c>
      <c r="AB1469" s="34" t="s">
        <v>4939</v>
      </c>
      <c r="AC1469" s="34" t="s">
        <v>4180</v>
      </c>
      <c r="AD1469" s="34" t="s">
        <v>4180</v>
      </c>
      <c r="AE1469" s="34" t="s">
        <v>5373</v>
      </c>
      <c r="AF1469" s="34" t="s">
        <v>4003</v>
      </c>
      <c r="AG1469" s="34" t="s">
        <v>4218</v>
      </c>
      <c r="AH1469" s="34" t="s">
        <v>7136</v>
      </c>
      <c r="AL1469" s="34" t="s">
        <v>6681</v>
      </c>
      <c r="AM1469" s="40" t="s">
        <v>8095</v>
      </c>
      <c r="AT1469" s="44">
        <v>0</v>
      </c>
      <c r="AU1469" s="44"/>
      <c r="AV1469" s="46">
        <f>ROUND(Товары[[#This Row],[РРЦ финальная, руб.]]/$AU$1,2)</f>
        <v>0</v>
      </c>
      <c r="AW1469" s="45" t="str">
        <f>IFERROR(Товары[[#This Row],[РРЦ, евро]]/Товары[[#This Row],[IRP, Eur]],"-")</f>
        <v>-</v>
      </c>
      <c r="AX1469" s="42">
        <f>IFERROR(VLOOKUP(Товары[[#This Row],[SubGroup]],'Структура цен DIY'!$B:$C,2,FALSE),0)</f>
        <v>0.30000000000000004</v>
      </c>
      <c r="AY1469" s="44">
        <v>0</v>
      </c>
    </row>
    <row r="1470" spans="1:51" x14ac:dyDescent="0.25">
      <c r="A1470" s="34">
        <v>1468</v>
      </c>
      <c r="B1470" s="34" t="s">
        <v>50</v>
      </c>
      <c r="C1470" s="110" t="str">
        <f>IFERROR(INDEX(Структура_ассортимента[SuperCategory],MATCH(Товары[[#This Row],[SubGroup]],Структура_ассортимента[Subgroup],0)),"")</f>
        <v>O</v>
      </c>
      <c r="D1470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70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70" s="110" t="str">
        <f>IFERROR(INDEX(Структура_ассортимента[Product group],MATCH(Товары[[#This Row],[SubGroup]],Структура_ассортимента[Subgroup],0)),"")</f>
        <v>WPU_C</v>
      </c>
      <c r="G1470" s="110" t="str">
        <f>IFERROR(INDEX(Структура_ассортимента[Product group name ENG],MATCH(Товары[[#This Row],[SubGroup]],Структура_ассортимента[Subgroup],0)),"")</f>
        <v>Watering, Pumps</v>
      </c>
      <c r="H1470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70" s="36">
        <v>9117</v>
      </c>
      <c r="J1470" s="36" t="str">
        <f>IFERROR(INDEX(Структура_ассортимента[Generic Name (long)],MATCH(Товары[[#This Row],[SubGroup]],Структура_ассортимента[Subgroup],0)),"")</f>
        <v>TECHNICAL HOSE</v>
      </c>
      <c r="L1470" s="36">
        <v>901079401</v>
      </c>
      <c r="M1470" s="35" t="s">
        <v>3146</v>
      </c>
      <c r="Q1470" s="34" t="s">
        <v>3549</v>
      </c>
      <c r="R1470" s="34" t="s">
        <v>3540</v>
      </c>
      <c r="S1470" s="47">
        <v>35096</v>
      </c>
      <c r="T1470" s="47">
        <v>0</v>
      </c>
      <c r="U1470" s="47">
        <v>0</v>
      </c>
      <c r="V1470" s="34">
        <v>4078500495103</v>
      </c>
      <c r="W1470" s="34" t="s">
        <v>3550</v>
      </c>
      <c r="X1470" s="34" t="s">
        <v>3907</v>
      </c>
      <c r="Y1470" s="34" t="s">
        <v>5981</v>
      </c>
      <c r="Z1470" s="34">
        <v>200</v>
      </c>
      <c r="AA1470" s="34" t="s">
        <v>3803</v>
      </c>
      <c r="AB1470" s="34" t="s">
        <v>3803</v>
      </c>
      <c r="AC1470" s="34" t="s">
        <v>3803</v>
      </c>
      <c r="AD1470" s="34" t="s">
        <v>3803</v>
      </c>
      <c r="AE1470" s="34" t="s">
        <v>3756</v>
      </c>
      <c r="AF1470" s="34" t="s">
        <v>3656</v>
      </c>
      <c r="AG1470" s="34" t="s">
        <v>3656</v>
      </c>
      <c r="AH1470" s="34" t="s">
        <v>7142</v>
      </c>
      <c r="AL1470" s="34" t="s">
        <v>7143</v>
      </c>
      <c r="AM1470" s="40" t="s">
        <v>8095</v>
      </c>
      <c r="AT1470" s="44">
        <v>0</v>
      </c>
      <c r="AU1470" s="44"/>
      <c r="AV1470" s="46">
        <f>ROUND(Товары[[#This Row],[РРЦ финальная, руб.]]/$AU$1,2)</f>
        <v>0</v>
      </c>
      <c r="AW1470" s="45" t="str">
        <f>IFERROR(Товары[[#This Row],[РРЦ, евро]]/Товары[[#This Row],[IRP, Eur]],"-")</f>
        <v>-</v>
      </c>
      <c r="AX1470" s="42">
        <f>IFERROR(VLOOKUP(Товары[[#This Row],[SubGroup]],'Структура цен DIY'!$B:$C,2,FALSE),0)</f>
        <v>0.30000000000000004</v>
      </c>
      <c r="AY1470" s="44">
        <v>0</v>
      </c>
    </row>
    <row r="1471" spans="1:51" x14ac:dyDescent="0.25">
      <c r="A1471" s="34">
        <v>1469</v>
      </c>
      <c r="B1471" s="34" t="s">
        <v>50</v>
      </c>
      <c r="C1471" s="110" t="str">
        <f>IFERROR(INDEX(Структура_ассортимента[SuperCategory],MATCH(Товары[[#This Row],[SubGroup]],Структура_ассортимента[Subgroup],0)),"")</f>
        <v>O</v>
      </c>
      <c r="D1471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71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71" s="110" t="str">
        <f>IFERROR(INDEX(Структура_ассортимента[Product group],MATCH(Товары[[#This Row],[SubGroup]],Структура_ассортимента[Subgroup],0)),"")</f>
        <v>WPU_C</v>
      </c>
      <c r="G1471" s="110" t="str">
        <f>IFERROR(INDEX(Структура_ассортимента[Product group name ENG],MATCH(Товары[[#This Row],[SubGroup]],Структура_ассортимента[Subgroup],0)),"")</f>
        <v>Watering, Pumps</v>
      </c>
      <c r="H1471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71" s="36">
        <v>9117</v>
      </c>
      <c r="J1471" s="36" t="str">
        <f>IFERROR(INDEX(Структура_ассортимента[Generic Name (long)],MATCH(Товары[[#This Row],[SubGroup]],Структура_ассортимента[Subgroup],0)),"")</f>
        <v>TECHNICAL HOSE</v>
      </c>
      <c r="L1471" s="36">
        <v>901079501</v>
      </c>
      <c r="M1471" s="35" t="s">
        <v>3147</v>
      </c>
      <c r="Q1471" s="34" t="s">
        <v>3549</v>
      </c>
      <c r="R1471" s="34" t="s">
        <v>3540</v>
      </c>
      <c r="S1471" s="47">
        <v>35096</v>
      </c>
      <c r="T1471" s="47">
        <v>0</v>
      </c>
      <c r="U1471" s="47">
        <v>0</v>
      </c>
      <c r="V1471" s="34">
        <v>4078500495301</v>
      </c>
      <c r="W1471" s="34" t="s">
        <v>3550</v>
      </c>
      <c r="X1471" s="34" t="s">
        <v>3907</v>
      </c>
      <c r="Y1471" s="34" t="s">
        <v>5981</v>
      </c>
      <c r="Z1471" s="34">
        <v>100</v>
      </c>
      <c r="AA1471" s="34" t="s">
        <v>6458</v>
      </c>
      <c r="AB1471" s="34" t="s">
        <v>6458</v>
      </c>
      <c r="AC1471" s="34" t="s">
        <v>6458</v>
      </c>
      <c r="AD1471" s="34" t="s">
        <v>6458</v>
      </c>
      <c r="AE1471" s="34" t="s">
        <v>3756</v>
      </c>
      <c r="AF1471" s="34" t="s">
        <v>7144</v>
      </c>
      <c r="AG1471" s="34" t="s">
        <v>7144</v>
      </c>
      <c r="AH1471" s="34" t="s">
        <v>7145</v>
      </c>
      <c r="AL1471" s="34" t="s">
        <v>7146</v>
      </c>
      <c r="AM1471" s="40" t="s">
        <v>8095</v>
      </c>
      <c r="AT1471" s="44">
        <v>0</v>
      </c>
      <c r="AU1471" s="44"/>
      <c r="AV1471" s="46">
        <f>ROUND(Товары[[#This Row],[РРЦ финальная, руб.]]/$AU$1,2)</f>
        <v>0</v>
      </c>
      <c r="AW1471" s="45" t="str">
        <f>IFERROR(Товары[[#This Row],[РРЦ, евро]]/Товары[[#This Row],[IRP, Eur]],"-")</f>
        <v>-</v>
      </c>
      <c r="AX1471" s="42">
        <f>IFERROR(VLOOKUP(Товары[[#This Row],[SubGroup]],'Структура цен DIY'!$B:$C,2,FALSE),0)</f>
        <v>0.30000000000000004</v>
      </c>
      <c r="AY1471" s="44">
        <v>0</v>
      </c>
    </row>
    <row r="1472" spans="1:51" x14ac:dyDescent="0.25">
      <c r="A1472" s="34">
        <v>1470</v>
      </c>
      <c r="B1472" s="34" t="s">
        <v>50</v>
      </c>
      <c r="C1472" s="110" t="str">
        <f>IFERROR(INDEX(Структура_ассортимента[SuperCategory],MATCH(Товары[[#This Row],[SubGroup]],Структура_ассортимента[Subgroup],0)),"")</f>
        <v>O</v>
      </c>
      <c r="D1472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72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72" s="110" t="str">
        <f>IFERROR(INDEX(Структура_ассортимента[Product group],MATCH(Товары[[#This Row],[SubGroup]],Структура_ассортимента[Subgroup],0)),"")</f>
        <v>WPU_C</v>
      </c>
      <c r="G1472" s="110" t="str">
        <f>IFERROR(INDEX(Структура_ассортимента[Product group name ENG],MATCH(Товары[[#This Row],[SubGroup]],Структура_ассортимента[Subgroup],0)),"")</f>
        <v>Watering, Pumps</v>
      </c>
      <c r="H1472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72" s="36">
        <v>9117</v>
      </c>
      <c r="J1472" s="36" t="str">
        <f>IFERROR(INDEX(Структура_ассортимента[Generic Name (long)],MATCH(Товары[[#This Row],[SubGroup]],Структура_ассортимента[Subgroup],0)),"")</f>
        <v>TECHNICAL HOSE</v>
      </c>
      <c r="L1472" s="36">
        <v>901079601</v>
      </c>
      <c r="M1472" s="35" t="s">
        <v>3148</v>
      </c>
      <c r="Q1472" s="34" t="s">
        <v>3549</v>
      </c>
      <c r="R1472" s="34" t="s">
        <v>3540</v>
      </c>
      <c r="S1472" s="47">
        <v>35096</v>
      </c>
      <c r="T1472" s="47">
        <v>0</v>
      </c>
      <c r="U1472" s="47">
        <v>0</v>
      </c>
      <c r="V1472" s="34">
        <v>4078500495509</v>
      </c>
      <c r="W1472" s="34" t="s">
        <v>3550</v>
      </c>
      <c r="X1472" s="34" t="s">
        <v>3907</v>
      </c>
      <c r="Y1472" s="34" t="s">
        <v>5981</v>
      </c>
      <c r="Z1472" s="34">
        <v>80</v>
      </c>
      <c r="AA1472" s="34" t="s">
        <v>3661</v>
      </c>
      <c r="AB1472" s="34" t="s">
        <v>3661</v>
      </c>
      <c r="AC1472" s="34" t="s">
        <v>3661</v>
      </c>
      <c r="AD1472" s="34" t="s">
        <v>3661</v>
      </c>
      <c r="AE1472" s="34" t="s">
        <v>3756</v>
      </c>
      <c r="AF1472" s="34" t="s">
        <v>4189</v>
      </c>
      <c r="AG1472" s="34" t="s">
        <v>4189</v>
      </c>
      <c r="AH1472" s="34" t="s">
        <v>7147</v>
      </c>
      <c r="AL1472" s="34" t="s">
        <v>7148</v>
      </c>
      <c r="AM1472" s="40" t="s">
        <v>8095</v>
      </c>
      <c r="AT1472" s="44">
        <v>0</v>
      </c>
      <c r="AU1472" s="44"/>
      <c r="AV1472" s="46">
        <f>ROUND(Товары[[#This Row],[РРЦ финальная, руб.]]/$AU$1,2)</f>
        <v>0</v>
      </c>
      <c r="AW1472" s="45" t="str">
        <f>IFERROR(Товары[[#This Row],[РРЦ, евро]]/Товары[[#This Row],[IRP, Eur]],"-")</f>
        <v>-</v>
      </c>
      <c r="AX1472" s="42">
        <f>IFERROR(VLOOKUP(Товары[[#This Row],[SubGroup]],'Структура цен DIY'!$B:$C,2,FALSE),0)</f>
        <v>0.30000000000000004</v>
      </c>
      <c r="AY1472" s="44">
        <v>0</v>
      </c>
    </row>
    <row r="1473" spans="1:51" x14ac:dyDescent="0.25">
      <c r="A1473" s="34">
        <v>1471</v>
      </c>
      <c r="B1473" s="34" t="s">
        <v>50</v>
      </c>
      <c r="C1473" s="110" t="str">
        <f>IFERROR(INDEX(Структура_ассортимента[SuperCategory],MATCH(Товары[[#This Row],[SubGroup]],Структура_ассортимента[Subgroup],0)),"")</f>
        <v>O</v>
      </c>
      <c r="D1473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73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73" s="110" t="str">
        <f>IFERROR(INDEX(Структура_ассортимента[Product group],MATCH(Товары[[#This Row],[SubGroup]],Структура_ассортимента[Subgroup],0)),"")</f>
        <v>WPU_C</v>
      </c>
      <c r="G1473" s="110" t="str">
        <f>IFERROR(INDEX(Структура_ассортимента[Product group name ENG],MATCH(Товары[[#This Row],[SubGroup]],Структура_ассортимента[Subgroup],0)),"")</f>
        <v>Watering, Pumps</v>
      </c>
      <c r="H1473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73" s="36">
        <v>9117</v>
      </c>
      <c r="J1473" s="36" t="str">
        <f>IFERROR(INDEX(Структура_ассортимента[Generic Name (long)],MATCH(Товары[[#This Row],[SubGroup]],Структура_ассортимента[Subgroup],0)),"")</f>
        <v>TECHNICAL HOSE</v>
      </c>
      <c r="L1473" s="36">
        <v>901080001</v>
      </c>
      <c r="M1473" s="35" t="s">
        <v>3149</v>
      </c>
      <c r="Q1473" s="34" t="s">
        <v>3549</v>
      </c>
      <c r="R1473" s="34" t="s">
        <v>3540</v>
      </c>
      <c r="S1473" s="47">
        <v>35096</v>
      </c>
      <c r="T1473" s="47">
        <v>0</v>
      </c>
      <c r="U1473" s="47">
        <v>0</v>
      </c>
      <c r="V1473" s="34">
        <v>4078500496209</v>
      </c>
      <c r="W1473" s="34" t="s">
        <v>3550</v>
      </c>
      <c r="X1473" s="34" t="s">
        <v>3907</v>
      </c>
      <c r="Y1473" s="34" t="s">
        <v>5981</v>
      </c>
      <c r="Z1473" s="34">
        <v>50</v>
      </c>
      <c r="AA1473" s="34" t="s">
        <v>7149</v>
      </c>
      <c r="AB1473" s="34" t="s">
        <v>7149</v>
      </c>
      <c r="AC1473" s="34" t="s">
        <v>4006</v>
      </c>
      <c r="AD1473" s="34" t="s">
        <v>4006</v>
      </c>
      <c r="AE1473" s="34" t="s">
        <v>3756</v>
      </c>
      <c r="AF1473" s="34" t="s">
        <v>3678</v>
      </c>
      <c r="AG1473" s="34" t="s">
        <v>3678</v>
      </c>
      <c r="AH1473" s="34" t="s">
        <v>6282</v>
      </c>
      <c r="AL1473" s="34" t="s">
        <v>7150</v>
      </c>
      <c r="AM1473" s="40" t="s">
        <v>8095</v>
      </c>
      <c r="AT1473" s="44">
        <v>0</v>
      </c>
      <c r="AU1473" s="44"/>
      <c r="AV1473" s="46">
        <f>ROUND(Товары[[#This Row],[РРЦ финальная, руб.]]/$AU$1,2)</f>
        <v>0</v>
      </c>
      <c r="AW1473" s="45" t="str">
        <f>IFERROR(Товары[[#This Row],[РРЦ, евро]]/Товары[[#This Row],[IRP, Eur]],"-")</f>
        <v>-</v>
      </c>
      <c r="AX1473" s="42">
        <f>IFERROR(VLOOKUP(Товары[[#This Row],[SubGroup]],'Структура цен DIY'!$B:$C,2,FALSE),0)</f>
        <v>0.30000000000000004</v>
      </c>
      <c r="AY1473" s="44">
        <v>0</v>
      </c>
    </row>
    <row r="1474" spans="1:51" x14ac:dyDescent="0.25">
      <c r="A1474" s="34">
        <v>1472</v>
      </c>
      <c r="B1474" s="34" t="s">
        <v>50</v>
      </c>
      <c r="C1474" s="110" t="str">
        <f>IFERROR(INDEX(Структура_ассортимента[SuperCategory],MATCH(Товары[[#This Row],[SubGroup]],Структура_ассортимента[Subgroup],0)),"")</f>
        <v>O</v>
      </c>
      <c r="D1474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74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74" s="110" t="str">
        <f>IFERROR(INDEX(Структура_ассортимента[Product group],MATCH(Товары[[#This Row],[SubGroup]],Структура_ассортимента[Subgroup],0)),"")</f>
        <v>WPU_C</v>
      </c>
      <c r="G1474" s="110" t="str">
        <f>IFERROR(INDEX(Структура_ассортимента[Product group name ENG],MATCH(Товары[[#This Row],[SubGroup]],Структура_ассортимента[Subgroup],0)),"")</f>
        <v>Watering, Pumps</v>
      </c>
      <c r="H1474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74" s="36">
        <v>9117</v>
      </c>
      <c r="J1474" s="36" t="str">
        <f>IFERROR(INDEX(Структура_ассортимента[Generic Name (long)],MATCH(Товары[[#This Row],[SubGroup]],Структура_ассортимента[Subgroup],0)),"")</f>
        <v>TECHNICAL HOSE</v>
      </c>
      <c r="L1474" s="36">
        <v>901079701</v>
      </c>
      <c r="M1474" s="35" t="s">
        <v>3150</v>
      </c>
      <c r="Q1474" s="34" t="s">
        <v>3549</v>
      </c>
      <c r="R1474" s="34" t="s">
        <v>3540</v>
      </c>
      <c r="S1474" s="47">
        <v>35096</v>
      </c>
      <c r="T1474" s="47">
        <v>0</v>
      </c>
      <c r="U1474" s="47">
        <v>0</v>
      </c>
      <c r="V1474" s="34">
        <v>4078500495608</v>
      </c>
      <c r="W1474" s="34" t="s">
        <v>3550</v>
      </c>
      <c r="X1474" s="34" t="s">
        <v>3907</v>
      </c>
      <c r="Y1474" s="34" t="s">
        <v>5981</v>
      </c>
      <c r="Z1474" s="34">
        <v>50</v>
      </c>
      <c r="AA1474" s="34" t="s">
        <v>4090</v>
      </c>
      <c r="AB1474" s="34" t="s">
        <v>4090</v>
      </c>
      <c r="AC1474" s="34" t="s">
        <v>4090</v>
      </c>
      <c r="AD1474" s="34" t="s">
        <v>4090</v>
      </c>
      <c r="AE1474" s="34" t="s">
        <v>3756</v>
      </c>
      <c r="AF1474" s="34" t="s">
        <v>3678</v>
      </c>
      <c r="AG1474" s="34" t="s">
        <v>3678</v>
      </c>
      <c r="AH1474" s="34" t="s">
        <v>6282</v>
      </c>
      <c r="AL1474" s="34" t="s">
        <v>4193</v>
      </c>
      <c r="AM1474" s="40" t="s">
        <v>8095</v>
      </c>
      <c r="AT1474" s="44">
        <v>0</v>
      </c>
      <c r="AU1474" s="44"/>
      <c r="AV1474" s="46">
        <f>ROUND(Товары[[#This Row],[РРЦ финальная, руб.]]/$AU$1,2)</f>
        <v>0</v>
      </c>
      <c r="AW1474" s="45" t="str">
        <f>IFERROR(Товары[[#This Row],[РРЦ, евро]]/Товары[[#This Row],[IRP, Eur]],"-")</f>
        <v>-</v>
      </c>
      <c r="AX1474" s="42">
        <f>IFERROR(VLOOKUP(Товары[[#This Row],[SubGroup]],'Структура цен DIY'!$B:$C,2,FALSE),0)</f>
        <v>0.30000000000000004</v>
      </c>
      <c r="AY1474" s="44">
        <v>0</v>
      </c>
    </row>
    <row r="1475" spans="1:51" x14ac:dyDescent="0.25">
      <c r="A1475" s="34">
        <v>1473</v>
      </c>
      <c r="B1475" s="34" t="s">
        <v>50</v>
      </c>
      <c r="C1475" s="110" t="str">
        <f>IFERROR(INDEX(Структура_ассортимента[SuperCategory],MATCH(Товары[[#This Row],[SubGroup]],Структура_ассортимента[Subgroup],0)),"")</f>
        <v>O</v>
      </c>
      <c r="D1475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75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75" s="110" t="str">
        <f>IFERROR(INDEX(Структура_ассортимента[Product group],MATCH(Товары[[#This Row],[SubGroup]],Структура_ассортимента[Subgroup],0)),"")</f>
        <v>WPU_C</v>
      </c>
      <c r="G1475" s="110" t="str">
        <f>IFERROR(INDEX(Структура_ассортимента[Product group name ENG],MATCH(Товары[[#This Row],[SubGroup]],Структура_ассортимента[Subgroup],0)),"")</f>
        <v>Watering, Pumps</v>
      </c>
      <c r="H1475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75" s="36">
        <v>9117</v>
      </c>
      <c r="J1475" s="36" t="str">
        <f>IFERROR(INDEX(Структура_ассортимента[Generic Name (long)],MATCH(Товары[[#This Row],[SubGroup]],Структура_ассортимента[Subgroup],0)),"")</f>
        <v>TECHNICAL HOSE</v>
      </c>
      <c r="L1475" s="36">
        <v>901079801</v>
      </c>
      <c r="M1475" s="35" t="s">
        <v>3151</v>
      </c>
      <c r="Q1475" s="34" t="s">
        <v>3549</v>
      </c>
      <c r="R1475" s="34" t="s">
        <v>3540</v>
      </c>
      <c r="S1475" s="47">
        <v>35096</v>
      </c>
      <c r="T1475" s="47">
        <v>0</v>
      </c>
      <c r="U1475" s="47">
        <v>0</v>
      </c>
      <c r="V1475" s="34">
        <v>4078500495806</v>
      </c>
      <c r="W1475" s="34" t="s">
        <v>3550</v>
      </c>
      <c r="X1475" s="34" t="s">
        <v>3907</v>
      </c>
      <c r="Y1475" s="34" t="s">
        <v>5981</v>
      </c>
      <c r="Z1475" s="34">
        <v>50</v>
      </c>
      <c r="AA1475" s="34" t="s">
        <v>3917</v>
      </c>
      <c r="AB1475" s="34" t="s">
        <v>3917</v>
      </c>
      <c r="AC1475" s="34" t="s">
        <v>7119</v>
      </c>
      <c r="AD1475" s="34" t="s">
        <v>7119</v>
      </c>
      <c r="AE1475" s="34" t="s">
        <v>3756</v>
      </c>
      <c r="AF1475" s="34" t="s">
        <v>3808</v>
      </c>
      <c r="AG1475" s="34" t="s">
        <v>3808</v>
      </c>
      <c r="AH1475" s="34" t="s">
        <v>7124</v>
      </c>
      <c r="AL1475" s="34" t="s">
        <v>6231</v>
      </c>
      <c r="AM1475" s="40" t="s">
        <v>8095</v>
      </c>
      <c r="AT1475" s="44">
        <v>0</v>
      </c>
      <c r="AU1475" s="44"/>
      <c r="AV1475" s="46">
        <f>ROUND(Товары[[#This Row],[РРЦ финальная, руб.]]/$AU$1,2)</f>
        <v>0</v>
      </c>
      <c r="AW1475" s="45" t="str">
        <f>IFERROR(Товары[[#This Row],[РРЦ, евро]]/Товары[[#This Row],[IRP, Eur]],"-")</f>
        <v>-</v>
      </c>
      <c r="AX1475" s="42">
        <f>IFERROR(VLOOKUP(Товары[[#This Row],[SubGroup]],'Структура цен DIY'!$B:$C,2,FALSE),0)</f>
        <v>0.30000000000000004</v>
      </c>
      <c r="AY1475" s="44">
        <v>0</v>
      </c>
    </row>
    <row r="1476" spans="1:51" x14ac:dyDescent="0.25">
      <c r="A1476" s="34">
        <v>1474</v>
      </c>
      <c r="B1476" s="34" t="s">
        <v>50</v>
      </c>
      <c r="C1476" s="110" t="str">
        <f>IFERROR(INDEX(Структура_ассортимента[SuperCategory],MATCH(Товары[[#This Row],[SubGroup]],Структура_ассортимента[Subgroup],0)),"")</f>
        <v>O</v>
      </c>
      <c r="D1476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76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76" s="110" t="str">
        <f>IFERROR(INDEX(Структура_ассортимента[Product group],MATCH(Товары[[#This Row],[SubGroup]],Структура_ассортимента[Subgroup],0)),"")</f>
        <v>WPU_C</v>
      </c>
      <c r="G1476" s="110" t="str">
        <f>IFERROR(INDEX(Структура_ассортимента[Product group name ENG],MATCH(Товары[[#This Row],[SubGroup]],Структура_ассортимента[Subgroup],0)),"")</f>
        <v>Watering, Pumps</v>
      </c>
      <c r="H1476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76" s="36">
        <v>9117</v>
      </c>
      <c r="J1476" s="36" t="str">
        <f>IFERROR(INDEX(Структура_ассортимента[Generic Name (long)],MATCH(Товары[[#This Row],[SubGroup]],Структура_ассортимента[Subgroup],0)),"")</f>
        <v>TECHNICAL HOSE</v>
      </c>
      <c r="L1476" s="36">
        <v>901079901</v>
      </c>
      <c r="M1476" s="35" t="s">
        <v>3152</v>
      </c>
      <c r="Q1476" s="34" t="s">
        <v>3549</v>
      </c>
      <c r="R1476" s="34" t="s">
        <v>3540</v>
      </c>
      <c r="S1476" s="47">
        <v>35096</v>
      </c>
      <c r="T1476" s="47">
        <v>0</v>
      </c>
      <c r="U1476" s="47">
        <v>0</v>
      </c>
      <c r="V1476" s="34">
        <v>4078500496001</v>
      </c>
      <c r="W1476" s="34" t="s">
        <v>3550</v>
      </c>
      <c r="X1476" s="34" t="s">
        <v>3907</v>
      </c>
      <c r="Y1476" s="34" t="s">
        <v>5981</v>
      </c>
      <c r="Z1476" s="34">
        <v>50</v>
      </c>
      <c r="AA1476" s="34" t="s">
        <v>4002</v>
      </c>
      <c r="AB1476" s="34" t="s">
        <v>4002</v>
      </c>
      <c r="AC1476" s="34" t="s">
        <v>4002</v>
      </c>
      <c r="AD1476" s="34" t="s">
        <v>4002</v>
      </c>
      <c r="AE1476" s="34" t="s">
        <v>3756</v>
      </c>
      <c r="AF1476" s="34" t="s">
        <v>6049</v>
      </c>
      <c r="AG1476" s="34" t="s">
        <v>6049</v>
      </c>
      <c r="AH1476" s="34" t="s">
        <v>7151</v>
      </c>
      <c r="AL1476" s="34" t="s">
        <v>6231</v>
      </c>
      <c r="AM1476" s="40" t="s">
        <v>8095</v>
      </c>
      <c r="AT1476" s="44">
        <v>0</v>
      </c>
      <c r="AU1476" s="44"/>
      <c r="AV1476" s="46">
        <f>ROUND(Товары[[#This Row],[РРЦ финальная, руб.]]/$AU$1,2)</f>
        <v>0</v>
      </c>
      <c r="AW1476" s="45" t="str">
        <f>IFERROR(Товары[[#This Row],[РРЦ, евро]]/Товары[[#This Row],[IRP, Eur]],"-")</f>
        <v>-</v>
      </c>
      <c r="AX1476" s="42">
        <f>IFERROR(VLOOKUP(Товары[[#This Row],[SubGroup]],'Структура цен DIY'!$B:$C,2,FALSE),0)</f>
        <v>0.30000000000000004</v>
      </c>
      <c r="AY1476" s="44">
        <v>0</v>
      </c>
    </row>
    <row r="1477" spans="1:51" x14ac:dyDescent="0.25">
      <c r="A1477" s="34">
        <v>1475</v>
      </c>
      <c r="B1477" s="34" t="s">
        <v>50</v>
      </c>
      <c r="C1477" s="110" t="str">
        <f>IFERROR(INDEX(Структура_ассортимента[SuperCategory],MATCH(Товары[[#This Row],[SubGroup]],Структура_ассортимента[Subgroup],0)),"")</f>
        <v>O</v>
      </c>
      <c r="D1477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77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77" s="110" t="str">
        <f>IFERROR(INDEX(Структура_ассортимента[Product group],MATCH(Товары[[#This Row],[SubGroup]],Структура_ассортимента[Subgroup],0)),"")</f>
        <v>WPU_C</v>
      </c>
      <c r="G1477" s="110" t="str">
        <f>IFERROR(INDEX(Структура_ассортимента[Product group name ENG],MATCH(Товары[[#This Row],[SubGroup]],Структура_ассортимента[Subgroup],0)),"")</f>
        <v>Watering, Pumps</v>
      </c>
      <c r="H1477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77" s="36">
        <v>9117</v>
      </c>
      <c r="J1477" s="36" t="str">
        <f>IFERROR(INDEX(Структура_ассортимента[Generic Name (long)],MATCH(Товары[[#This Row],[SubGroup]],Структура_ассортимента[Subgroup],0)),"")</f>
        <v>TECHNICAL HOSE</v>
      </c>
      <c r="L1477" s="36">
        <v>901080101</v>
      </c>
      <c r="M1477" s="35" t="s">
        <v>3153</v>
      </c>
      <c r="Q1477" s="34" t="s">
        <v>3549</v>
      </c>
      <c r="R1477" s="34" t="s">
        <v>3540</v>
      </c>
      <c r="S1477" s="47">
        <v>35096</v>
      </c>
      <c r="T1477" s="47">
        <v>0</v>
      </c>
      <c r="U1477" s="47">
        <v>0</v>
      </c>
      <c r="V1477" s="34">
        <v>4078500496407</v>
      </c>
      <c r="W1477" s="34" t="s">
        <v>3550</v>
      </c>
      <c r="X1477" s="34" t="s">
        <v>3907</v>
      </c>
      <c r="Y1477" s="34" t="s">
        <v>5981</v>
      </c>
      <c r="Z1477" s="34">
        <v>40</v>
      </c>
      <c r="AA1477" s="34" t="s">
        <v>4147</v>
      </c>
      <c r="AB1477" s="34" t="s">
        <v>4147</v>
      </c>
      <c r="AC1477" s="34" t="s">
        <v>4147</v>
      </c>
      <c r="AD1477" s="34" t="s">
        <v>4147</v>
      </c>
      <c r="AE1477" s="34" t="s">
        <v>3756</v>
      </c>
      <c r="AF1477" s="34" t="s">
        <v>6572</v>
      </c>
      <c r="AG1477" s="34" t="s">
        <v>6572</v>
      </c>
      <c r="AH1477" s="34" t="s">
        <v>7152</v>
      </c>
      <c r="AL1477" s="34" t="s">
        <v>4176</v>
      </c>
      <c r="AM1477" s="40" t="s">
        <v>8095</v>
      </c>
      <c r="AT1477" s="44">
        <v>0</v>
      </c>
      <c r="AU1477" s="44"/>
      <c r="AV1477" s="46">
        <f>ROUND(Товары[[#This Row],[РРЦ финальная, руб.]]/$AU$1,2)</f>
        <v>0</v>
      </c>
      <c r="AW1477" s="45" t="str">
        <f>IFERROR(Товары[[#This Row],[РРЦ, евро]]/Товары[[#This Row],[IRP, Eur]],"-")</f>
        <v>-</v>
      </c>
      <c r="AX1477" s="42">
        <f>IFERROR(VLOOKUP(Товары[[#This Row],[SubGroup]],'Структура цен DIY'!$B:$C,2,FALSE),0)</f>
        <v>0.30000000000000004</v>
      </c>
      <c r="AY1477" s="44">
        <v>0</v>
      </c>
    </row>
    <row r="1478" spans="1:51" x14ac:dyDescent="0.25">
      <c r="A1478" s="34">
        <v>1476</v>
      </c>
      <c r="B1478" s="34" t="s">
        <v>50</v>
      </c>
      <c r="C1478" s="110" t="str">
        <f>IFERROR(INDEX(Структура_ассортимента[SuperCategory],MATCH(Товары[[#This Row],[SubGroup]],Структура_ассортимента[Subgroup],0)),"")</f>
        <v>O</v>
      </c>
      <c r="D1478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78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78" s="110" t="str">
        <f>IFERROR(INDEX(Структура_ассортимента[Product group],MATCH(Товары[[#This Row],[SubGroup]],Структура_ассортимента[Subgroup],0)),"")</f>
        <v>WPU_C</v>
      </c>
      <c r="G1478" s="110" t="str">
        <f>IFERROR(INDEX(Структура_ассортимента[Product group name ENG],MATCH(Товары[[#This Row],[SubGroup]],Структура_ассортимента[Subgroup],0)),"")</f>
        <v>Watering, Pumps</v>
      </c>
      <c r="H1478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78" s="36">
        <v>9117</v>
      </c>
      <c r="J1478" s="36" t="str">
        <f>IFERROR(INDEX(Структура_ассортимента[Generic Name (long)],MATCH(Товары[[#This Row],[SubGroup]],Структура_ассортимента[Subgroup],0)),"")</f>
        <v>TECHNICAL HOSE</v>
      </c>
      <c r="L1478" s="36">
        <v>901080201</v>
      </c>
      <c r="M1478" s="35" t="s">
        <v>3154</v>
      </c>
      <c r="Q1478" s="34" t="s">
        <v>3549</v>
      </c>
      <c r="R1478" s="34" t="s">
        <v>3540</v>
      </c>
      <c r="S1478" s="47">
        <v>35096</v>
      </c>
      <c r="T1478" s="47">
        <v>0</v>
      </c>
      <c r="U1478" s="47">
        <v>0</v>
      </c>
      <c r="V1478" s="34">
        <v>4078500496605</v>
      </c>
      <c r="W1478" s="34" t="s">
        <v>3550</v>
      </c>
      <c r="X1478" s="34" t="s">
        <v>3907</v>
      </c>
      <c r="Y1478" s="34" t="s">
        <v>5981</v>
      </c>
      <c r="Z1478" s="34">
        <v>25</v>
      </c>
      <c r="AA1478" s="34" t="s">
        <v>4765</v>
      </c>
      <c r="AB1478" s="34" t="s">
        <v>4765</v>
      </c>
      <c r="AC1478" s="34" t="s">
        <v>4765</v>
      </c>
      <c r="AD1478" s="34" t="s">
        <v>4765</v>
      </c>
      <c r="AE1478" s="34" t="s">
        <v>3756</v>
      </c>
      <c r="AF1478" s="34" t="s">
        <v>4231</v>
      </c>
      <c r="AG1478" s="34" t="s">
        <v>4231</v>
      </c>
      <c r="AH1478" s="34" t="s">
        <v>7153</v>
      </c>
      <c r="AL1478" s="34" t="s">
        <v>4916</v>
      </c>
      <c r="AM1478" s="40" t="s">
        <v>8095</v>
      </c>
      <c r="AT1478" s="44">
        <v>0</v>
      </c>
      <c r="AU1478" s="44"/>
      <c r="AV1478" s="46">
        <f>ROUND(Товары[[#This Row],[РРЦ финальная, руб.]]/$AU$1,2)</f>
        <v>0</v>
      </c>
      <c r="AW1478" s="45" t="str">
        <f>IFERROR(Товары[[#This Row],[РРЦ, евро]]/Товары[[#This Row],[IRP, Eur]],"-")</f>
        <v>-</v>
      </c>
      <c r="AX1478" s="42">
        <f>IFERROR(VLOOKUP(Товары[[#This Row],[SubGroup]],'Структура цен DIY'!$B:$C,2,FALSE),0)</f>
        <v>0.30000000000000004</v>
      </c>
      <c r="AY1478" s="44">
        <v>0</v>
      </c>
    </row>
    <row r="1479" spans="1:51" x14ac:dyDescent="0.25">
      <c r="A1479" s="34">
        <v>1477</v>
      </c>
      <c r="B1479" s="34" t="s">
        <v>50</v>
      </c>
      <c r="C1479" s="110" t="str">
        <f>IFERROR(INDEX(Структура_ассортимента[SuperCategory],MATCH(Товары[[#This Row],[SubGroup]],Структура_ассортимента[Subgroup],0)),"")</f>
        <v>O</v>
      </c>
      <c r="D1479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79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79" s="110" t="str">
        <f>IFERROR(INDEX(Структура_ассортимента[Product group],MATCH(Товары[[#This Row],[SubGroup]],Структура_ассортимента[Subgroup],0)),"")</f>
        <v>WPU_C</v>
      </c>
      <c r="G1479" s="110" t="str">
        <f>IFERROR(INDEX(Структура_ассортимента[Product group name ENG],MATCH(Товары[[#This Row],[SubGroup]],Структура_ассортимента[Subgroup],0)),"")</f>
        <v>Watering, Pumps</v>
      </c>
      <c r="H1479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79" s="36">
        <v>9117</v>
      </c>
      <c r="J1479" s="36" t="str">
        <f>IFERROR(INDEX(Структура_ассортимента[Generic Name (long)],MATCH(Товары[[#This Row],[SubGroup]],Структура_ассортимента[Subgroup],0)),"")</f>
        <v>TECHNICAL HOSE</v>
      </c>
      <c r="L1479" s="36">
        <v>901080301</v>
      </c>
      <c r="M1479" s="35" t="s">
        <v>3155</v>
      </c>
      <c r="Q1479" s="34" t="s">
        <v>3549</v>
      </c>
      <c r="R1479" s="34" t="s">
        <v>3540</v>
      </c>
      <c r="S1479" s="47">
        <v>35096</v>
      </c>
      <c r="T1479" s="47">
        <v>0</v>
      </c>
      <c r="U1479" s="47">
        <v>0</v>
      </c>
      <c r="V1479" s="34">
        <v>4078500496803</v>
      </c>
      <c r="W1479" s="34" t="s">
        <v>3550</v>
      </c>
      <c r="X1479" s="34" t="s">
        <v>3907</v>
      </c>
      <c r="Y1479" s="34" t="s">
        <v>5981</v>
      </c>
      <c r="Z1479" s="34">
        <v>25</v>
      </c>
      <c r="AA1479" s="34" t="s">
        <v>5230</v>
      </c>
      <c r="AB1479" s="34" t="s">
        <v>5230</v>
      </c>
      <c r="AC1479" s="34" t="s">
        <v>5230</v>
      </c>
      <c r="AD1479" s="34" t="s">
        <v>5230</v>
      </c>
      <c r="AE1479" s="34" t="s">
        <v>3557</v>
      </c>
      <c r="AF1479" s="34" t="s">
        <v>4260</v>
      </c>
      <c r="AG1479" s="34" t="s">
        <v>4260</v>
      </c>
      <c r="AH1479" s="34" t="s">
        <v>7083</v>
      </c>
      <c r="AL1479" s="34" t="s">
        <v>7154</v>
      </c>
      <c r="AM1479" s="40" t="s">
        <v>8095</v>
      </c>
      <c r="AT1479" s="44">
        <v>0</v>
      </c>
      <c r="AU1479" s="44"/>
      <c r="AV1479" s="46">
        <f>ROUND(Товары[[#This Row],[РРЦ финальная, руб.]]/$AU$1,2)</f>
        <v>0</v>
      </c>
      <c r="AW1479" s="45" t="str">
        <f>IFERROR(Товары[[#This Row],[РРЦ, евро]]/Товары[[#This Row],[IRP, Eur]],"-")</f>
        <v>-</v>
      </c>
      <c r="AX1479" s="42">
        <f>IFERROR(VLOOKUP(Товары[[#This Row],[SubGroup]],'Структура цен DIY'!$B:$C,2,FALSE),0)</f>
        <v>0.30000000000000004</v>
      </c>
      <c r="AY1479" s="44">
        <v>0</v>
      </c>
    </row>
    <row r="1480" spans="1:51" x14ac:dyDescent="0.25">
      <c r="A1480" s="34">
        <v>1478</v>
      </c>
      <c r="B1480" s="34" t="s">
        <v>50</v>
      </c>
      <c r="C1480" s="110" t="str">
        <f>IFERROR(INDEX(Структура_ассортимента[SuperCategory],MATCH(Товары[[#This Row],[SubGroup]],Структура_ассортимента[Subgroup],0)),"")</f>
        <v>O</v>
      </c>
      <c r="D1480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80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80" s="110" t="str">
        <f>IFERROR(INDEX(Структура_ассортимента[Product group],MATCH(Товары[[#This Row],[SubGroup]],Структура_ассортимента[Subgroup],0)),"")</f>
        <v>WPU_C</v>
      </c>
      <c r="G1480" s="110" t="str">
        <f>IFERROR(INDEX(Структура_ассортимента[Product group name ENG],MATCH(Товары[[#This Row],[SubGroup]],Структура_ассортимента[Subgroup],0)),"")</f>
        <v>Watering, Pumps</v>
      </c>
      <c r="H1480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80" s="36">
        <v>9117</v>
      </c>
      <c r="J1480" s="36" t="str">
        <f>IFERROR(INDEX(Структура_ассортимента[Generic Name (long)],MATCH(Товары[[#This Row],[SubGroup]],Структура_ассортимента[Subgroup],0)),"")</f>
        <v>TECHNICAL HOSE</v>
      </c>
      <c r="L1480" s="36">
        <v>901080401</v>
      </c>
      <c r="M1480" s="35" t="s">
        <v>3156</v>
      </c>
      <c r="O1480" s="35" t="s">
        <v>7155</v>
      </c>
      <c r="P1480" s="37" t="s">
        <v>7156</v>
      </c>
      <c r="Q1480" s="34" t="s">
        <v>3549</v>
      </c>
      <c r="R1480" s="34" t="s">
        <v>3540</v>
      </c>
      <c r="S1480" s="47">
        <v>35096</v>
      </c>
      <c r="T1480" s="47">
        <v>0</v>
      </c>
      <c r="U1480" s="47">
        <v>0</v>
      </c>
      <c r="V1480" s="34">
        <v>4078500497107</v>
      </c>
      <c r="W1480" s="34" t="s">
        <v>3550</v>
      </c>
      <c r="X1480" s="34" t="s">
        <v>3907</v>
      </c>
      <c r="Y1480" s="34" t="s">
        <v>5981</v>
      </c>
      <c r="Z1480" s="34">
        <v>50</v>
      </c>
      <c r="AA1480" s="34" t="s">
        <v>4101</v>
      </c>
      <c r="AB1480" s="34" t="s">
        <v>4101</v>
      </c>
      <c r="AC1480" s="34" t="s">
        <v>4101</v>
      </c>
      <c r="AD1480" s="34" t="s">
        <v>4101</v>
      </c>
      <c r="AE1480" s="34" t="s">
        <v>3756</v>
      </c>
      <c r="AF1480" s="34" t="s">
        <v>3678</v>
      </c>
      <c r="AG1480" s="34" t="s">
        <v>3678</v>
      </c>
      <c r="AH1480" s="34" t="s">
        <v>6282</v>
      </c>
      <c r="AL1480" s="34" t="s">
        <v>7157</v>
      </c>
      <c r="AM1480" s="40" t="s">
        <v>9</v>
      </c>
      <c r="AP1480" s="34">
        <v>0</v>
      </c>
      <c r="AQ1480" s="34">
        <v>209</v>
      </c>
      <c r="AR1480" s="34">
        <v>122</v>
      </c>
      <c r="AT1480" s="44">
        <v>16200</v>
      </c>
      <c r="AU1480" s="44"/>
      <c r="AV1480" s="46">
        <f>ROUND(Товары[[#This Row],[РРЦ финальная, руб.]]/$AU$1,2)</f>
        <v>0</v>
      </c>
      <c r="AW1480" s="45" t="str">
        <f>IFERROR(Товары[[#This Row],[РРЦ, евро]]/Товары[[#This Row],[IRP, Eur]],"-")</f>
        <v>-</v>
      </c>
      <c r="AX1480" s="42">
        <f>IFERROR(VLOOKUP(Товары[[#This Row],[SubGroup]],'Структура цен DIY'!$B:$C,2,FALSE),0)</f>
        <v>0.30000000000000004</v>
      </c>
      <c r="AY1480" s="44">
        <v>0</v>
      </c>
    </row>
    <row r="1481" spans="1:51" x14ac:dyDescent="0.25">
      <c r="A1481" s="34">
        <v>1479</v>
      </c>
      <c r="B1481" s="34" t="s">
        <v>50</v>
      </c>
      <c r="C1481" s="110" t="str">
        <f>IFERROR(INDEX(Структура_ассортимента[SuperCategory],MATCH(Товары[[#This Row],[SubGroup]],Структура_ассортимента[Subgroup],0)),"")</f>
        <v>O</v>
      </c>
      <c r="D1481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81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81" s="110" t="str">
        <f>IFERROR(INDEX(Структура_ассортимента[Product group],MATCH(Товары[[#This Row],[SubGroup]],Структура_ассортимента[Subgroup],0)),"")</f>
        <v>WPU_C</v>
      </c>
      <c r="G1481" s="110" t="str">
        <f>IFERROR(INDEX(Структура_ассортимента[Product group name ENG],MATCH(Товары[[#This Row],[SubGroup]],Структура_ассортимента[Subgroup],0)),"")</f>
        <v>Watering, Pumps</v>
      </c>
      <c r="H1481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81" s="36">
        <v>9117</v>
      </c>
      <c r="J1481" s="36" t="str">
        <f>IFERROR(INDEX(Структура_ассортимента[Generic Name (long)],MATCH(Товары[[#This Row],[SubGroup]],Структура_ассортимента[Subgroup],0)),"")</f>
        <v>TECHNICAL HOSE</v>
      </c>
      <c r="L1481" s="36">
        <v>901080501</v>
      </c>
      <c r="M1481" s="35" t="s">
        <v>3157</v>
      </c>
      <c r="O1481" s="35" t="s">
        <v>7158</v>
      </c>
      <c r="P1481" s="37" t="s">
        <v>7159</v>
      </c>
      <c r="Q1481" s="34" t="s">
        <v>3549</v>
      </c>
      <c r="R1481" s="34" t="s">
        <v>3540</v>
      </c>
      <c r="S1481" s="47">
        <v>35096</v>
      </c>
      <c r="T1481" s="47">
        <v>0</v>
      </c>
      <c r="U1481" s="47">
        <v>0</v>
      </c>
      <c r="V1481" s="34">
        <v>4078500497305</v>
      </c>
      <c r="W1481" s="34" t="s">
        <v>3550</v>
      </c>
      <c r="X1481" s="34" t="s">
        <v>3907</v>
      </c>
      <c r="Y1481" s="34" t="s">
        <v>5981</v>
      </c>
      <c r="Z1481" s="34">
        <v>50</v>
      </c>
      <c r="AA1481" s="34" t="s">
        <v>6721</v>
      </c>
      <c r="AB1481" s="34" t="s">
        <v>6721</v>
      </c>
      <c r="AC1481" s="34" t="s">
        <v>6721</v>
      </c>
      <c r="AD1481" s="34" t="s">
        <v>6721</v>
      </c>
      <c r="AE1481" s="34" t="s">
        <v>3756</v>
      </c>
      <c r="AF1481" s="34" t="s">
        <v>4189</v>
      </c>
      <c r="AG1481" s="34" t="s">
        <v>4189</v>
      </c>
      <c r="AH1481" s="34" t="s">
        <v>7147</v>
      </c>
      <c r="AL1481" s="34" t="s">
        <v>7157</v>
      </c>
      <c r="AM1481" s="40" t="s">
        <v>9</v>
      </c>
      <c r="AP1481" s="34">
        <v>0</v>
      </c>
      <c r="AQ1481" s="34">
        <v>209</v>
      </c>
      <c r="AR1481" s="34">
        <v>122</v>
      </c>
      <c r="AT1481" s="44">
        <v>16200</v>
      </c>
      <c r="AU1481" s="44"/>
      <c r="AV1481" s="46">
        <f>ROUND(Товары[[#This Row],[РРЦ финальная, руб.]]/$AU$1,2)</f>
        <v>0</v>
      </c>
      <c r="AW1481" s="45" t="str">
        <f>IFERROR(Товары[[#This Row],[РРЦ, евро]]/Товары[[#This Row],[IRP, Eur]],"-")</f>
        <v>-</v>
      </c>
      <c r="AX1481" s="42">
        <f>IFERROR(VLOOKUP(Товары[[#This Row],[SubGroup]],'Структура цен DIY'!$B:$C,2,FALSE),0)</f>
        <v>0.30000000000000004</v>
      </c>
      <c r="AY1481" s="44">
        <v>0</v>
      </c>
    </row>
    <row r="1482" spans="1:51" x14ac:dyDescent="0.25">
      <c r="A1482" s="34">
        <v>1480</v>
      </c>
      <c r="B1482" s="34" t="s">
        <v>50</v>
      </c>
      <c r="C1482" s="110" t="str">
        <f>IFERROR(INDEX(Структура_ассортимента[SuperCategory],MATCH(Товары[[#This Row],[SubGroup]],Структура_ассортимента[Subgroup],0)),"")</f>
        <v>O</v>
      </c>
      <c r="D1482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82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82" s="110" t="str">
        <f>IFERROR(INDEX(Структура_ассортимента[Product group],MATCH(Товары[[#This Row],[SubGroup]],Структура_ассортимента[Subgroup],0)),"")</f>
        <v>WPU_C</v>
      </c>
      <c r="G1482" s="110" t="str">
        <f>IFERROR(INDEX(Структура_ассортимента[Product group name ENG],MATCH(Товары[[#This Row],[SubGroup]],Структура_ассортимента[Subgroup],0)),"")</f>
        <v>Watering, Pumps</v>
      </c>
      <c r="H1482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82" s="36">
        <v>9117</v>
      </c>
      <c r="J1482" s="36" t="str">
        <f>IFERROR(INDEX(Структура_ассортимента[Generic Name (long)],MATCH(Товары[[#This Row],[SubGroup]],Структура_ассортимента[Subgroup],0)),"")</f>
        <v>TECHNICAL HOSE</v>
      </c>
      <c r="L1482" s="36">
        <v>901080601</v>
      </c>
      <c r="M1482" s="35" t="s">
        <v>3158</v>
      </c>
      <c r="O1482" s="35" t="s">
        <v>7160</v>
      </c>
      <c r="P1482" s="37" t="s">
        <v>7161</v>
      </c>
      <c r="Q1482" s="34" t="s">
        <v>3549</v>
      </c>
      <c r="R1482" s="34" t="s">
        <v>3540</v>
      </c>
      <c r="S1482" s="47">
        <v>35096</v>
      </c>
      <c r="T1482" s="47">
        <v>0</v>
      </c>
      <c r="U1482" s="47">
        <v>0</v>
      </c>
      <c r="V1482" s="34">
        <v>4078500497503</v>
      </c>
      <c r="W1482" s="34" t="s">
        <v>3550</v>
      </c>
      <c r="X1482" s="34" t="s">
        <v>3907</v>
      </c>
      <c r="Y1482" s="34" t="s">
        <v>5981</v>
      </c>
      <c r="Z1482" s="34">
        <v>40</v>
      </c>
      <c r="AA1482" s="34" t="s">
        <v>3728</v>
      </c>
      <c r="AB1482" s="34" t="s">
        <v>3728</v>
      </c>
      <c r="AC1482" s="34" t="s">
        <v>3728</v>
      </c>
      <c r="AD1482" s="34" t="s">
        <v>3728</v>
      </c>
      <c r="AE1482" s="34" t="s">
        <v>3756</v>
      </c>
      <c r="AF1482" s="34" t="s">
        <v>3672</v>
      </c>
      <c r="AG1482" s="34" t="s">
        <v>3672</v>
      </c>
      <c r="AH1482" s="34" t="s">
        <v>5930</v>
      </c>
      <c r="AL1482" s="34" t="s">
        <v>7162</v>
      </c>
      <c r="AM1482" s="40" t="s">
        <v>9</v>
      </c>
      <c r="AP1482" s="34">
        <v>0</v>
      </c>
      <c r="AQ1482" s="34">
        <v>319</v>
      </c>
      <c r="AR1482" s="34">
        <v>186</v>
      </c>
      <c r="AT1482" s="44">
        <v>24700</v>
      </c>
      <c r="AU1482" s="44"/>
      <c r="AV1482" s="46">
        <f>ROUND(Товары[[#This Row],[РРЦ финальная, руб.]]/$AU$1,2)</f>
        <v>0</v>
      </c>
      <c r="AW1482" s="45" t="str">
        <f>IFERROR(Товары[[#This Row],[РРЦ, евро]]/Товары[[#This Row],[IRP, Eur]],"-")</f>
        <v>-</v>
      </c>
      <c r="AX1482" s="42">
        <f>IFERROR(VLOOKUP(Товары[[#This Row],[SubGroup]],'Структура цен DIY'!$B:$C,2,FALSE),0)</f>
        <v>0.30000000000000004</v>
      </c>
      <c r="AY1482" s="44">
        <v>0</v>
      </c>
    </row>
    <row r="1483" spans="1:51" x14ac:dyDescent="0.25">
      <c r="A1483" s="34">
        <v>1481</v>
      </c>
      <c r="B1483" s="34" t="s">
        <v>50</v>
      </c>
      <c r="C1483" s="110" t="str">
        <f>IFERROR(INDEX(Структура_ассортимента[SuperCategory],MATCH(Товары[[#This Row],[SubGroup]],Структура_ассортимента[Subgroup],0)),"")</f>
        <v>O</v>
      </c>
      <c r="D1483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83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83" s="110" t="str">
        <f>IFERROR(INDEX(Структура_ассортимента[Product group],MATCH(Товары[[#This Row],[SubGroup]],Структура_ассортимента[Subgroup],0)),"")</f>
        <v>WPU_C</v>
      </c>
      <c r="G1483" s="110" t="str">
        <f>IFERROR(INDEX(Структура_ассортимента[Product group name ENG],MATCH(Товары[[#This Row],[SubGroup]],Структура_ассортимента[Subgroup],0)),"")</f>
        <v>Watering, Pumps</v>
      </c>
      <c r="H1483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83" s="36">
        <v>9117</v>
      </c>
      <c r="J1483" s="36" t="str">
        <f>IFERROR(INDEX(Структура_ассортимента[Generic Name (long)],MATCH(Товары[[#This Row],[SubGroup]],Структура_ассортимента[Subgroup],0)),"")</f>
        <v>TECHNICAL HOSE</v>
      </c>
      <c r="L1483" s="36">
        <v>901080701</v>
      </c>
      <c r="M1483" s="35" t="s">
        <v>3159</v>
      </c>
      <c r="O1483" s="35" t="s">
        <v>7163</v>
      </c>
      <c r="P1483" s="37" t="s">
        <v>7164</v>
      </c>
      <c r="Q1483" s="34" t="s">
        <v>3549</v>
      </c>
      <c r="R1483" s="34" t="s">
        <v>3540</v>
      </c>
      <c r="S1483" s="47">
        <v>35096</v>
      </c>
      <c r="T1483" s="47">
        <v>0</v>
      </c>
      <c r="U1483" s="47">
        <v>0</v>
      </c>
      <c r="V1483" s="34">
        <v>4078500497602</v>
      </c>
      <c r="W1483" s="34" t="s">
        <v>3550</v>
      </c>
      <c r="X1483" s="34" t="s">
        <v>3907</v>
      </c>
      <c r="Y1483" s="34" t="s">
        <v>5981</v>
      </c>
      <c r="Z1483" s="34">
        <v>50</v>
      </c>
      <c r="AA1483" s="34" t="s">
        <v>7165</v>
      </c>
      <c r="AB1483" s="34" t="s">
        <v>7165</v>
      </c>
      <c r="AC1483" s="34" t="s">
        <v>3728</v>
      </c>
      <c r="AD1483" s="34" t="s">
        <v>3728</v>
      </c>
      <c r="AE1483" s="34" t="s">
        <v>3756</v>
      </c>
      <c r="AF1483" s="34" t="s">
        <v>3656</v>
      </c>
      <c r="AG1483" s="34" t="s">
        <v>3656</v>
      </c>
      <c r="AH1483" s="34" t="s">
        <v>6347</v>
      </c>
      <c r="AL1483" s="34" t="s">
        <v>6231</v>
      </c>
      <c r="AM1483" s="40" t="s">
        <v>9</v>
      </c>
      <c r="AP1483" s="34">
        <v>0</v>
      </c>
      <c r="AQ1483" s="34">
        <v>319</v>
      </c>
      <c r="AR1483" s="34">
        <v>186</v>
      </c>
      <c r="AT1483" s="44">
        <v>24700</v>
      </c>
      <c r="AU1483" s="44"/>
      <c r="AV1483" s="46">
        <f>ROUND(Товары[[#This Row],[РРЦ финальная, руб.]]/$AU$1,2)</f>
        <v>0</v>
      </c>
      <c r="AW1483" s="45" t="str">
        <f>IFERROR(Товары[[#This Row],[РРЦ, евро]]/Товары[[#This Row],[IRP, Eur]],"-")</f>
        <v>-</v>
      </c>
      <c r="AX1483" s="42">
        <f>IFERROR(VLOOKUP(Товары[[#This Row],[SubGroup]],'Структура цен DIY'!$B:$C,2,FALSE),0)</f>
        <v>0.30000000000000004</v>
      </c>
      <c r="AY1483" s="44">
        <v>0</v>
      </c>
    </row>
    <row r="1484" spans="1:51" x14ac:dyDescent="0.25">
      <c r="A1484" s="34">
        <v>1482</v>
      </c>
      <c r="B1484" s="34" t="s">
        <v>50</v>
      </c>
      <c r="C1484" s="110" t="str">
        <f>IFERROR(INDEX(Структура_ассортимента[SuperCategory],MATCH(Товары[[#This Row],[SubGroup]],Структура_ассортимента[Subgroup],0)),"")</f>
        <v>O</v>
      </c>
      <c r="D1484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84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84" s="110" t="str">
        <f>IFERROR(INDEX(Структура_ассортимента[Product group],MATCH(Товары[[#This Row],[SubGroup]],Структура_ассортимента[Subgroup],0)),"")</f>
        <v>WPU_C</v>
      </c>
      <c r="G1484" s="110" t="str">
        <f>IFERROR(INDEX(Структура_ассортимента[Product group name ENG],MATCH(Товары[[#This Row],[SubGroup]],Структура_ассортимента[Subgroup],0)),"")</f>
        <v>Watering, Pumps</v>
      </c>
      <c r="H1484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84" s="36">
        <v>9117</v>
      </c>
      <c r="J1484" s="36" t="str">
        <f>IFERROR(INDEX(Структура_ассортимента[Generic Name (long)],MATCH(Товары[[#This Row],[SubGroup]],Структура_ассортимента[Subgroup],0)),"")</f>
        <v>TECHNICAL HOSE</v>
      </c>
      <c r="L1484" s="36">
        <v>901080801</v>
      </c>
      <c r="M1484" s="35" t="s">
        <v>3160</v>
      </c>
      <c r="O1484" s="35" t="s">
        <v>7166</v>
      </c>
      <c r="P1484" s="37" t="s">
        <v>7167</v>
      </c>
      <c r="Q1484" s="34" t="s">
        <v>3549</v>
      </c>
      <c r="R1484" s="34" t="s">
        <v>3540</v>
      </c>
      <c r="S1484" s="47">
        <v>35096</v>
      </c>
      <c r="T1484" s="47">
        <v>0</v>
      </c>
      <c r="U1484" s="47">
        <v>0</v>
      </c>
      <c r="V1484" s="34">
        <v>4078500497800</v>
      </c>
      <c r="W1484" s="34" t="s">
        <v>3550</v>
      </c>
      <c r="X1484" s="34" t="s">
        <v>3907</v>
      </c>
      <c r="Y1484" s="34" t="s">
        <v>5981</v>
      </c>
      <c r="Z1484" s="34">
        <v>50</v>
      </c>
      <c r="AA1484" s="34" t="s">
        <v>3929</v>
      </c>
      <c r="AB1484" s="34" t="s">
        <v>3929</v>
      </c>
      <c r="AC1484" s="34" t="s">
        <v>7168</v>
      </c>
      <c r="AD1484" s="34" t="s">
        <v>7168</v>
      </c>
      <c r="AE1484" s="34" t="s">
        <v>3756</v>
      </c>
      <c r="AF1484" s="34" t="s">
        <v>6049</v>
      </c>
      <c r="AG1484" s="34" t="s">
        <v>6049</v>
      </c>
      <c r="AH1484" s="34" t="s">
        <v>7151</v>
      </c>
      <c r="AL1484" s="34" t="s">
        <v>6283</v>
      </c>
      <c r="AM1484" s="40" t="s">
        <v>9</v>
      </c>
      <c r="AP1484" s="34">
        <v>0</v>
      </c>
      <c r="AQ1484" s="34">
        <v>319</v>
      </c>
      <c r="AR1484" s="34">
        <v>186</v>
      </c>
      <c r="AT1484" s="44">
        <v>24700</v>
      </c>
      <c r="AU1484" s="44"/>
      <c r="AV1484" s="46">
        <f>ROUND(Товары[[#This Row],[РРЦ финальная, руб.]]/$AU$1,2)</f>
        <v>0</v>
      </c>
      <c r="AW1484" s="45" t="str">
        <f>IFERROR(Товары[[#This Row],[РРЦ, евро]]/Товары[[#This Row],[IRP, Eur]],"-")</f>
        <v>-</v>
      </c>
      <c r="AX1484" s="42">
        <f>IFERROR(VLOOKUP(Товары[[#This Row],[SubGroup]],'Структура цен DIY'!$B:$C,2,FALSE),0)</f>
        <v>0.30000000000000004</v>
      </c>
      <c r="AY1484" s="44">
        <v>0</v>
      </c>
    </row>
    <row r="1485" spans="1:51" x14ac:dyDescent="0.25">
      <c r="A1485" s="34">
        <v>1483</v>
      </c>
      <c r="B1485" s="34" t="s">
        <v>50</v>
      </c>
      <c r="C1485" s="110" t="str">
        <f>IFERROR(INDEX(Структура_ассортимента[SuperCategory],MATCH(Товары[[#This Row],[SubGroup]],Структура_ассортимента[Subgroup],0)),"")</f>
        <v>O</v>
      </c>
      <c r="D1485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85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85" s="110" t="str">
        <f>IFERROR(INDEX(Структура_ассортимента[Product group],MATCH(Товары[[#This Row],[SubGroup]],Структура_ассортимента[Subgroup],0)),"")</f>
        <v>WPU_C</v>
      </c>
      <c r="G1485" s="110" t="str">
        <f>IFERROR(INDEX(Структура_ассортимента[Product group name ENG],MATCH(Товары[[#This Row],[SubGroup]],Структура_ассортимента[Subgroup],0)),"")</f>
        <v>Watering, Pumps</v>
      </c>
      <c r="H1485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85" s="36">
        <v>9117</v>
      </c>
      <c r="J1485" s="36" t="str">
        <f>IFERROR(INDEX(Структура_ассортимента[Generic Name (long)],MATCH(Товары[[#This Row],[SubGroup]],Структура_ассортимента[Subgroup],0)),"")</f>
        <v>TECHNICAL HOSE</v>
      </c>
      <c r="L1485" s="36">
        <v>901080901</v>
      </c>
      <c r="M1485" s="35" t="s">
        <v>3161</v>
      </c>
      <c r="O1485" s="35" t="s">
        <v>7169</v>
      </c>
      <c r="P1485" s="37" t="s">
        <v>7170</v>
      </c>
      <c r="Q1485" s="34" t="s">
        <v>3549</v>
      </c>
      <c r="R1485" s="34" t="s">
        <v>3540</v>
      </c>
      <c r="S1485" s="47">
        <v>35096</v>
      </c>
      <c r="T1485" s="47">
        <v>0</v>
      </c>
      <c r="U1485" s="47">
        <v>0</v>
      </c>
      <c r="V1485" s="34">
        <v>4078500498203</v>
      </c>
      <c r="W1485" s="34" t="s">
        <v>3550</v>
      </c>
      <c r="X1485" s="34" t="s">
        <v>3907</v>
      </c>
      <c r="Y1485" s="34" t="s">
        <v>5981</v>
      </c>
      <c r="Z1485" s="34">
        <v>200</v>
      </c>
      <c r="AA1485" s="34" t="s">
        <v>6455</v>
      </c>
      <c r="AB1485" s="34" t="s">
        <v>6455</v>
      </c>
      <c r="AC1485" s="34" t="s">
        <v>6455</v>
      </c>
      <c r="AD1485" s="34" t="s">
        <v>6455</v>
      </c>
      <c r="AE1485" s="34" t="s">
        <v>3662</v>
      </c>
      <c r="AF1485" s="34" t="s">
        <v>3792</v>
      </c>
      <c r="AG1485" s="34" t="s">
        <v>3808</v>
      </c>
      <c r="AH1485" s="34" t="s">
        <v>7145</v>
      </c>
      <c r="AL1485" s="34" t="s">
        <v>7143</v>
      </c>
      <c r="AM1485" s="40" t="s">
        <v>9</v>
      </c>
      <c r="AP1485" s="34">
        <v>0</v>
      </c>
      <c r="AQ1485" s="34">
        <v>72</v>
      </c>
      <c r="AR1485" s="34">
        <v>42</v>
      </c>
      <c r="AT1485" s="44">
        <v>5600</v>
      </c>
      <c r="AU1485" s="44"/>
      <c r="AV1485" s="46">
        <f>ROUND(Товары[[#This Row],[РРЦ финальная, руб.]]/$AU$1,2)</f>
        <v>0</v>
      </c>
      <c r="AW1485" s="45" t="str">
        <f>IFERROR(Товары[[#This Row],[РРЦ, евро]]/Товары[[#This Row],[IRP, Eur]],"-")</f>
        <v>-</v>
      </c>
      <c r="AX1485" s="42">
        <f>IFERROR(VLOOKUP(Товары[[#This Row],[SubGroup]],'Структура цен DIY'!$B:$C,2,FALSE),0)</f>
        <v>0.30000000000000004</v>
      </c>
      <c r="AY1485" s="44">
        <v>0</v>
      </c>
    </row>
    <row r="1486" spans="1:51" x14ac:dyDescent="0.25">
      <c r="A1486" s="34">
        <v>1484</v>
      </c>
      <c r="B1486" s="34" t="s">
        <v>50</v>
      </c>
      <c r="C1486" s="110" t="str">
        <f>IFERROR(INDEX(Структура_ассортимента[SuperCategory],MATCH(Товары[[#This Row],[SubGroup]],Структура_ассортимента[Subgroup],0)),"")</f>
        <v>O</v>
      </c>
      <c r="D1486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86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86" s="110" t="str">
        <f>IFERROR(INDEX(Структура_ассортимента[Product group],MATCH(Товары[[#This Row],[SubGroup]],Структура_ассортимента[Subgroup],0)),"")</f>
        <v>WPU_C</v>
      </c>
      <c r="G1486" s="110" t="str">
        <f>IFERROR(INDEX(Структура_ассортимента[Product group name ENG],MATCH(Товары[[#This Row],[SubGroup]],Структура_ассортимента[Subgroup],0)),"")</f>
        <v>Watering, Pumps</v>
      </c>
      <c r="H1486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86" s="36">
        <v>9117</v>
      </c>
      <c r="J1486" s="36" t="str">
        <f>IFERROR(INDEX(Структура_ассортимента[Generic Name (long)],MATCH(Товары[[#This Row],[SubGroup]],Структура_ассортимента[Subgroup],0)),"")</f>
        <v>TECHNICAL HOSE</v>
      </c>
      <c r="L1486" s="36">
        <v>901081001</v>
      </c>
      <c r="M1486" s="35" t="s">
        <v>3162</v>
      </c>
      <c r="O1486" s="35" t="s">
        <v>7171</v>
      </c>
      <c r="P1486" s="37" t="s">
        <v>7172</v>
      </c>
      <c r="Q1486" s="34" t="s">
        <v>3549</v>
      </c>
      <c r="R1486" s="34" t="s">
        <v>3540</v>
      </c>
      <c r="S1486" s="47">
        <v>35096</v>
      </c>
      <c r="T1486" s="47">
        <v>0</v>
      </c>
      <c r="U1486" s="47">
        <v>0</v>
      </c>
      <c r="V1486" s="34">
        <v>4078500498500</v>
      </c>
      <c r="W1486" s="34" t="s">
        <v>3550</v>
      </c>
      <c r="X1486" s="34" t="s">
        <v>3907</v>
      </c>
      <c r="Y1486" s="34" t="s">
        <v>5981</v>
      </c>
      <c r="Z1486" s="34">
        <v>100</v>
      </c>
      <c r="AA1486" s="34" t="s">
        <v>5633</v>
      </c>
      <c r="AB1486" s="34" t="s">
        <v>5633</v>
      </c>
      <c r="AC1486" s="34" t="s">
        <v>5633</v>
      </c>
      <c r="AD1486" s="34" t="s">
        <v>5633</v>
      </c>
      <c r="AE1486" s="34" t="s">
        <v>3756</v>
      </c>
      <c r="AF1486" s="34" t="s">
        <v>3663</v>
      </c>
      <c r="AG1486" s="34" t="s">
        <v>3663</v>
      </c>
      <c r="AH1486" s="34" t="s">
        <v>7173</v>
      </c>
      <c r="AL1486" s="34" t="s">
        <v>7146</v>
      </c>
      <c r="AM1486" s="40" t="s">
        <v>9</v>
      </c>
      <c r="AP1486" s="34">
        <v>0</v>
      </c>
      <c r="AQ1486" s="34">
        <v>140</v>
      </c>
      <c r="AR1486" s="34">
        <v>82</v>
      </c>
      <c r="AT1486" s="44">
        <v>10800</v>
      </c>
      <c r="AU1486" s="44"/>
      <c r="AV1486" s="46">
        <f>ROUND(Товары[[#This Row],[РРЦ финальная, руб.]]/$AU$1,2)</f>
        <v>0</v>
      </c>
      <c r="AW1486" s="45" t="str">
        <f>IFERROR(Товары[[#This Row],[РРЦ, евро]]/Товары[[#This Row],[IRP, Eur]],"-")</f>
        <v>-</v>
      </c>
      <c r="AX1486" s="42">
        <f>IFERROR(VLOOKUP(Товары[[#This Row],[SubGroup]],'Структура цен DIY'!$B:$C,2,FALSE),0)</f>
        <v>0.30000000000000004</v>
      </c>
      <c r="AY1486" s="44">
        <v>0</v>
      </c>
    </row>
    <row r="1487" spans="1:51" x14ac:dyDescent="0.25">
      <c r="A1487" s="34">
        <v>1485</v>
      </c>
      <c r="B1487" s="34" t="s">
        <v>50</v>
      </c>
      <c r="C1487" s="110" t="str">
        <f>IFERROR(INDEX(Структура_ассортимента[SuperCategory],MATCH(Товары[[#This Row],[SubGroup]],Структура_ассортимента[Subgroup],0)),"")</f>
        <v>O</v>
      </c>
      <c r="D1487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87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87" s="110" t="str">
        <f>IFERROR(INDEX(Структура_ассортимента[Product group],MATCH(Товары[[#This Row],[SubGroup]],Структура_ассортимента[Subgroup],0)),"")</f>
        <v>WPU_C</v>
      </c>
      <c r="G1487" s="110" t="str">
        <f>IFERROR(INDEX(Структура_ассортимента[Product group name ENG],MATCH(Товары[[#This Row],[SubGroup]],Структура_ассортимента[Subgroup],0)),"")</f>
        <v>Watering, Pumps</v>
      </c>
      <c r="H1487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87" s="36">
        <v>9117</v>
      </c>
      <c r="J1487" s="36" t="str">
        <f>IFERROR(INDEX(Структура_ассортимента[Generic Name (long)],MATCH(Товары[[#This Row],[SubGroup]],Структура_ассортимента[Subgroup],0)),"")</f>
        <v>TECHNICAL HOSE</v>
      </c>
      <c r="L1487" s="36">
        <v>901081101</v>
      </c>
      <c r="M1487" s="35" t="s">
        <v>3163</v>
      </c>
      <c r="O1487" s="35" t="s">
        <v>7174</v>
      </c>
      <c r="P1487" s="37" t="s">
        <v>7175</v>
      </c>
      <c r="Q1487" s="34" t="s">
        <v>3549</v>
      </c>
      <c r="R1487" s="34" t="s">
        <v>3540</v>
      </c>
      <c r="S1487" s="47">
        <v>35096</v>
      </c>
      <c r="T1487" s="47">
        <v>0</v>
      </c>
      <c r="U1487" s="47">
        <v>0</v>
      </c>
      <c r="V1487" s="34">
        <v>4078500498609</v>
      </c>
      <c r="W1487" s="34" t="s">
        <v>3550</v>
      </c>
      <c r="X1487" s="34" t="s">
        <v>3907</v>
      </c>
      <c r="Y1487" s="34" t="s">
        <v>5981</v>
      </c>
      <c r="Z1487" s="34">
        <v>80</v>
      </c>
      <c r="AA1487" s="34" t="s">
        <v>3661</v>
      </c>
      <c r="AB1487" s="34" t="s">
        <v>3661</v>
      </c>
      <c r="AC1487" s="34" t="s">
        <v>3661</v>
      </c>
      <c r="AD1487" s="34" t="s">
        <v>3661</v>
      </c>
      <c r="AE1487" s="34" t="s">
        <v>3656</v>
      </c>
      <c r="AF1487" s="34" t="s">
        <v>3656</v>
      </c>
      <c r="AG1487" s="34" t="s">
        <v>3656</v>
      </c>
      <c r="AH1487" s="34" t="s">
        <v>6603</v>
      </c>
      <c r="AL1487" s="34" t="s">
        <v>7148</v>
      </c>
      <c r="AM1487" s="40" t="s">
        <v>9</v>
      </c>
      <c r="AP1487" s="34">
        <v>0</v>
      </c>
      <c r="AQ1487" s="34">
        <v>209</v>
      </c>
      <c r="AR1487" s="34">
        <v>122</v>
      </c>
      <c r="AT1487" s="44">
        <v>16200</v>
      </c>
      <c r="AU1487" s="44"/>
      <c r="AV1487" s="46">
        <f>ROUND(Товары[[#This Row],[РРЦ финальная, руб.]]/$AU$1,2)</f>
        <v>0</v>
      </c>
      <c r="AW1487" s="45" t="str">
        <f>IFERROR(Товары[[#This Row],[РРЦ, евро]]/Товары[[#This Row],[IRP, Eur]],"-")</f>
        <v>-</v>
      </c>
      <c r="AX1487" s="42">
        <f>IFERROR(VLOOKUP(Товары[[#This Row],[SubGroup]],'Структура цен DIY'!$B:$C,2,FALSE),0)</f>
        <v>0.30000000000000004</v>
      </c>
      <c r="AY1487" s="44">
        <v>0</v>
      </c>
    </row>
    <row r="1488" spans="1:51" x14ac:dyDescent="0.25">
      <c r="A1488" s="34">
        <v>1486</v>
      </c>
      <c r="B1488" s="34" t="s">
        <v>50</v>
      </c>
      <c r="C1488" s="110" t="str">
        <f>IFERROR(INDEX(Структура_ассортимента[SuperCategory],MATCH(Товары[[#This Row],[SubGroup]],Структура_ассортимента[Subgroup],0)),"")</f>
        <v>O</v>
      </c>
      <c r="D1488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88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88" s="110" t="str">
        <f>IFERROR(INDEX(Структура_ассортимента[Product group],MATCH(Товары[[#This Row],[SubGroup]],Структура_ассортимента[Subgroup],0)),"")</f>
        <v>WPU_C</v>
      </c>
      <c r="G1488" s="110" t="str">
        <f>IFERROR(INDEX(Структура_ассортимента[Product group name ENG],MATCH(Товары[[#This Row],[SubGroup]],Структура_ассортимента[Subgroup],0)),"")</f>
        <v>Watering, Pumps</v>
      </c>
      <c r="H1488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88" s="36">
        <v>9117</v>
      </c>
      <c r="J1488" s="36" t="str">
        <f>IFERROR(INDEX(Структура_ассортимента[Generic Name (long)],MATCH(Товары[[#This Row],[SubGroup]],Структура_ассортимента[Subgroup],0)),"")</f>
        <v>TECHNICAL HOSE</v>
      </c>
      <c r="L1488" s="36">
        <v>901081201</v>
      </c>
      <c r="M1488" s="35" t="s">
        <v>3164</v>
      </c>
      <c r="O1488" s="35" t="s">
        <v>7176</v>
      </c>
      <c r="P1488" s="37" t="s">
        <v>7177</v>
      </c>
      <c r="Q1488" s="34" t="s">
        <v>3549</v>
      </c>
      <c r="R1488" s="34" t="s">
        <v>3540</v>
      </c>
      <c r="S1488" s="47">
        <v>35096</v>
      </c>
      <c r="T1488" s="47">
        <v>0</v>
      </c>
      <c r="U1488" s="47">
        <v>0</v>
      </c>
      <c r="V1488" s="34">
        <v>4078500498807</v>
      </c>
      <c r="W1488" s="34" t="s">
        <v>3550</v>
      </c>
      <c r="X1488" s="34" t="s">
        <v>3907</v>
      </c>
      <c r="Y1488" s="34" t="s">
        <v>5981</v>
      </c>
      <c r="Z1488" s="34">
        <v>50</v>
      </c>
      <c r="AA1488" s="34" t="s">
        <v>3671</v>
      </c>
      <c r="AB1488" s="34" t="s">
        <v>3671</v>
      </c>
      <c r="AC1488" s="34" t="s">
        <v>3671</v>
      </c>
      <c r="AD1488" s="34" t="s">
        <v>3671</v>
      </c>
      <c r="AE1488" s="34" t="s">
        <v>3590</v>
      </c>
      <c r="AF1488" s="34" t="s">
        <v>6052</v>
      </c>
      <c r="AG1488" s="34" t="s">
        <v>4234</v>
      </c>
      <c r="AH1488" s="34" t="s">
        <v>7178</v>
      </c>
      <c r="AL1488" s="34" t="s">
        <v>7157</v>
      </c>
      <c r="AM1488" s="40" t="s">
        <v>9</v>
      </c>
      <c r="AP1488" s="34">
        <v>0</v>
      </c>
      <c r="AQ1488" s="34">
        <v>209</v>
      </c>
      <c r="AR1488" s="34">
        <v>122</v>
      </c>
      <c r="AT1488" s="44">
        <v>16200</v>
      </c>
      <c r="AU1488" s="44"/>
      <c r="AV1488" s="46">
        <f>ROUND(Товары[[#This Row],[РРЦ финальная, руб.]]/$AU$1,2)</f>
        <v>0</v>
      </c>
      <c r="AW1488" s="45" t="str">
        <f>IFERROR(Товары[[#This Row],[РРЦ, евро]]/Товары[[#This Row],[IRP, Eur]],"-")</f>
        <v>-</v>
      </c>
      <c r="AX1488" s="42">
        <f>IFERROR(VLOOKUP(Товары[[#This Row],[SubGroup]],'Структура цен DIY'!$B:$C,2,FALSE),0)</f>
        <v>0.30000000000000004</v>
      </c>
      <c r="AY1488" s="44">
        <v>0</v>
      </c>
    </row>
    <row r="1489" spans="1:51" x14ac:dyDescent="0.25">
      <c r="A1489" s="34">
        <v>1487</v>
      </c>
      <c r="B1489" s="34" t="s">
        <v>50</v>
      </c>
      <c r="C1489" s="110" t="str">
        <f>IFERROR(INDEX(Структура_ассортимента[SuperCategory],MATCH(Товары[[#This Row],[SubGroup]],Структура_ассортимента[Subgroup],0)),"")</f>
        <v>O</v>
      </c>
      <c r="D1489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89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89" s="110" t="str">
        <f>IFERROR(INDEX(Структура_ассортимента[Product group],MATCH(Товары[[#This Row],[SubGroup]],Структура_ассортимента[Subgroup],0)),"")</f>
        <v>WPU_C</v>
      </c>
      <c r="G1489" s="110" t="str">
        <f>IFERROR(INDEX(Структура_ассортимента[Product group name ENG],MATCH(Товары[[#This Row],[SubGroup]],Структура_ассортимента[Subgroup],0)),"")</f>
        <v>Watering, Pumps</v>
      </c>
      <c r="H1489" s="110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489" s="36">
        <v>9116</v>
      </c>
      <c r="J1489" s="36" t="str">
        <f>IFERROR(INDEX(Структура_ассортимента[Generic Name (long)],MATCH(Товары[[#This Row],[SubGroup]],Структура_ассортимента[Subgroup],0)),"")</f>
        <v>SUCTION HOSE</v>
      </c>
      <c r="L1489" s="36">
        <v>900917401</v>
      </c>
      <c r="M1489" s="35" t="s">
        <v>3165</v>
      </c>
      <c r="Q1489" s="34" t="s">
        <v>3549</v>
      </c>
      <c r="R1489" s="34" t="s">
        <v>3540</v>
      </c>
      <c r="S1489" s="47">
        <v>36434</v>
      </c>
      <c r="T1489" s="47">
        <v>0</v>
      </c>
      <c r="U1489" s="47">
        <v>0</v>
      </c>
      <c r="V1489" s="34">
        <v>4078500141208</v>
      </c>
      <c r="W1489" s="34" t="s">
        <v>3543</v>
      </c>
      <c r="X1489" s="34" t="s">
        <v>3579</v>
      </c>
      <c r="Y1489" s="34" t="s">
        <v>3542</v>
      </c>
      <c r="Z1489" s="34">
        <v>1</v>
      </c>
      <c r="AA1489" s="34" t="s">
        <v>4596</v>
      </c>
      <c r="AB1489" s="34" t="s">
        <v>4596</v>
      </c>
      <c r="AC1489" s="34" t="s">
        <v>3573</v>
      </c>
      <c r="AD1489" s="34" t="s">
        <v>3573</v>
      </c>
      <c r="AE1489" s="34" t="s">
        <v>3722</v>
      </c>
      <c r="AF1489" s="34" t="s">
        <v>3722</v>
      </c>
      <c r="AG1489" s="34" t="s">
        <v>4659</v>
      </c>
      <c r="AH1489" s="34" t="s">
        <v>5029</v>
      </c>
      <c r="AL1489" s="34" t="s">
        <v>3830</v>
      </c>
      <c r="AM1489" s="40" t="s">
        <v>8095</v>
      </c>
      <c r="AT1489" s="44">
        <v>0</v>
      </c>
      <c r="AU1489" s="44"/>
      <c r="AV1489" s="46">
        <f>ROUND(Товары[[#This Row],[РРЦ финальная, руб.]]/$AU$1,2)</f>
        <v>0</v>
      </c>
      <c r="AW1489" s="45" t="str">
        <f>IFERROR(Товары[[#This Row],[РРЦ, евро]]/Товары[[#This Row],[IRP, Eur]],"-")</f>
        <v>-</v>
      </c>
      <c r="AX1489" s="42">
        <f>IFERROR(VLOOKUP(Товары[[#This Row],[SubGroup]],'Структура цен DIY'!$B:$C,2,FALSE),0)</f>
        <v>0.33</v>
      </c>
      <c r="AY1489" s="44">
        <v>0</v>
      </c>
    </row>
    <row r="1490" spans="1:51" x14ac:dyDescent="0.25">
      <c r="A1490" s="34">
        <v>1488</v>
      </c>
      <c r="B1490" s="34" t="s">
        <v>54</v>
      </c>
      <c r="C1490" s="110" t="str">
        <f>IFERROR(INDEX(Структура_ассортимента[SuperCategory],MATCH(Товары[[#This Row],[SubGroup]],Структура_ассортимента[Subgroup],0)),"")</f>
        <v>O</v>
      </c>
      <c r="D1490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90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90" s="110" t="str">
        <f>IFERROR(INDEX(Структура_ассортимента[Product group],MATCH(Товары[[#This Row],[SubGroup]],Структура_ассортимента[Subgroup],0)),"")</f>
        <v>WPU_C</v>
      </c>
      <c r="G1490" s="110" t="str">
        <f>IFERROR(INDEX(Структура_ассортимента[Product group name ENG],MATCH(Товары[[#This Row],[SubGroup]],Структура_ассортимента[Subgroup],0)),"")</f>
        <v>Watering, Pumps</v>
      </c>
      <c r="H1490" s="110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490" s="36">
        <v>9116</v>
      </c>
      <c r="J1490" s="36" t="str">
        <f>IFERROR(INDEX(Структура_ассортимента[Generic Name (long)],MATCH(Товары[[#This Row],[SubGroup]],Структура_ассортимента[Subgroup],0)),"")</f>
        <v>SUCTION HOSE</v>
      </c>
      <c r="L1490" s="36">
        <v>967974501</v>
      </c>
      <c r="M1490" s="35" t="s">
        <v>3166</v>
      </c>
      <c r="O1490" s="35" t="s">
        <v>7179</v>
      </c>
      <c r="P1490" s="37" t="s">
        <v>7180</v>
      </c>
      <c r="Q1490" s="34" t="s">
        <v>3549</v>
      </c>
      <c r="R1490" s="34" t="s">
        <v>3540</v>
      </c>
      <c r="S1490" s="47">
        <v>43831</v>
      </c>
      <c r="T1490" s="47">
        <v>0</v>
      </c>
      <c r="U1490" s="47">
        <v>0</v>
      </c>
      <c r="V1490" s="34">
        <v>4078500047944</v>
      </c>
      <c r="W1490" s="34" t="s">
        <v>3546</v>
      </c>
      <c r="X1490" s="34" t="s">
        <v>3551</v>
      </c>
      <c r="Y1490" s="34" t="s">
        <v>3542</v>
      </c>
      <c r="Z1490" s="34">
        <v>2</v>
      </c>
      <c r="AA1490" s="34" t="s">
        <v>4638</v>
      </c>
      <c r="AB1490" s="34" t="s">
        <v>4576</v>
      </c>
      <c r="AC1490" s="34" t="s">
        <v>4764</v>
      </c>
      <c r="AD1490" s="34" t="s">
        <v>4389</v>
      </c>
      <c r="AE1490" s="34" t="s">
        <v>3955</v>
      </c>
      <c r="AF1490" s="34" t="s">
        <v>3955</v>
      </c>
      <c r="AG1490" s="34" t="s">
        <v>3708</v>
      </c>
      <c r="AH1490" s="34" t="s">
        <v>7181</v>
      </c>
      <c r="AI1490" s="34" t="s">
        <v>3955</v>
      </c>
      <c r="AJ1490" s="34" t="s">
        <v>3708</v>
      </c>
      <c r="AK1490" s="34" t="s">
        <v>3955</v>
      </c>
      <c r="AL1490" s="34" t="s">
        <v>4302</v>
      </c>
      <c r="AM1490" s="40" t="s">
        <v>10</v>
      </c>
      <c r="AP1490" s="34">
        <v>0</v>
      </c>
      <c r="AQ1490" s="34">
        <v>2739</v>
      </c>
      <c r="AR1490" s="34">
        <v>1506</v>
      </c>
      <c r="AT1490" s="44">
        <v>212100</v>
      </c>
      <c r="AU1490" s="44"/>
      <c r="AV1490" s="46">
        <f>ROUND(Товары[[#This Row],[РРЦ финальная, руб.]]/$AU$1,2)</f>
        <v>0</v>
      </c>
      <c r="AW1490" s="45" t="str">
        <f>IFERROR(Товары[[#This Row],[РРЦ, евро]]/Товары[[#This Row],[IRP, Eur]],"-")</f>
        <v>-</v>
      </c>
      <c r="AX1490" s="42">
        <f>IFERROR(VLOOKUP(Товары[[#This Row],[SubGroup]],'Структура цен DIY'!$B:$C,2,FALSE),0)</f>
        <v>0.33</v>
      </c>
      <c r="AY1490" s="44">
        <v>0</v>
      </c>
    </row>
    <row r="1491" spans="1:51" x14ac:dyDescent="0.25">
      <c r="A1491" s="34">
        <v>1489</v>
      </c>
      <c r="B1491" s="34" t="s">
        <v>50</v>
      </c>
      <c r="C1491" s="110" t="str">
        <f>IFERROR(INDEX(Структура_ассортимента[SuperCategory],MATCH(Товары[[#This Row],[SubGroup]],Структура_ассортимента[Subgroup],0)),"")</f>
        <v>O</v>
      </c>
      <c r="D1491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91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91" s="110" t="str">
        <f>IFERROR(INDEX(Структура_ассортимента[Product group],MATCH(Товары[[#This Row],[SubGroup]],Структура_ассортимента[Subgroup],0)),"")</f>
        <v>WPU_C</v>
      </c>
      <c r="G1491" s="110" t="str">
        <f>IFERROR(INDEX(Структура_ассортимента[Product group name ENG],MATCH(Товары[[#This Row],[SubGroup]],Структура_ассортимента[Subgroup],0)),"")</f>
        <v>Watering, Pumps</v>
      </c>
      <c r="H1491" s="110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491" s="36">
        <v>9116</v>
      </c>
      <c r="J1491" s="36" t="str">
        <f>IFERROR(INDEX(Структура_ассортимента[Generic Name (long)],MATCH(Товары[[#This Row],[SubGroup]],Структура_ассортимента[Subgroup],0)),"")</f>
        <v>SUCTION HOSE</v>
      </c>
      <c r="L1491" s="36">
        <v>900917901</v>
      </c>
      <c r="M1491" s="35" t="s">
        <v>3167</v>
      </c>
      <c r="O1491" s="35" t="s">
        <v>7182</v>
      </c>
      <c r="P1491" s="37" t="s">
        <v>7183</v>
      </c>
      <c r="Q1491" s="34" t="s">
        <v>3549</v>
      </c>
      <c r="R1491" s="34" t="s">
        <v>3540</v>
      </c>
      <c r="S1491" s="47">
        <v>35704</v>
      </c>
      <c r="T1491" s="47">
        <v>0</v>
      </c>
      <c r="U1491" s="47">
        <v>0</v>
      </c>
      <c r="V1491" s="34">
        <v>4078500141802</v>
      </c>
      <c r="W1491" s="34" t="s">
        <v>3543</v>
      </c>
      <c r="X1491" s="34" t="s">
        <v>3579</v>
      </c>
      <c r="Y1491" s="34" t="s">
        <v>3542</v>
      </c>
      <c r="Z1491" s="34">
        <v>1</v>
      </c>
      <c r="AA1491" s="34" t="s">
        <v>5513</v>
      </c>
      <c r="AB1491" s="34" t="s">
        <v>5513</v>
      </c>
      <c r="AC1491" s="34" t="s">
        <v>4211</v>
      </c>
      <c r="AD1491" s="34" t="s">
        <v>4211</v>
      </c>
      <c r="AE1491" s="34" t="s">
        <v>3684</v>
      </c>
      <c r="AF1491" s="34" t="s">
        <v>3684</v>
      </c>
      <c r="AG1491" s="34" t="s">
        <v>3911</v>
      </c>
      <c r="AH1491" s="34" t="s">
        <v>7184</v>
      </c>
      <c r="AL1491" s="34" t="s">
        <v>5442</v>
      </c>
      <c r="AM1491" s="40" t="s">
        <v>9</v>
      </c>
      <c r="AP1491" s="34">
        <v>0</v>
      </c>
      <c r="AQ1491" s="34">
        <v>5379</v>
      </c>
      <c r="AR1491" s="34">
        <v>3013</v>
      </c>
      <c r="AT1491" s="44">
        <v>416600</v>
      </c>
      <c r="AU1491" s="44"/>
      <c r="AV1491" s="46">
        <f>ROUND(Товары[[#This Row],[РРЦ финальная, руб.]]/$AU$1,2)</f>
        <v>0</v>
      </c>
      <c r="AW1491" s="45" t="str">
        <f>IFERROR(Товары[[#This Row],[РРЦ, евро]]/Товары[[#This Row],[IRP, Eur]],"-")</f>
        <v>-</v>
      </c>
      <c r="AX1491" s="42">
        <f>IFERROR(VLOOKUP(Товары[[#This Row],[SubGroup]],'Структура цен DIY'!$B:$C,2,FALSE),0)</f>
        <v>0.33</v>
      </c>
      <c r="AY1491" s="44">
        <v>0</v>
      </c>
    </row>
    <row r="1492" spans="1:51" x14ac:dyDescent="0.25">
      <c r="A1492" s="34">
        <v>1490</v>
      </c>
      <c r="B1492" s="34" t="s">
        <v>54</v>
      </c>
      <c r="C1492" s="110" t="str">
        <f>IFERROR(INDEX(Структура_ассортимента[SuperCategory],MATCH(Товары[[#This Row],[SubGroup]],Структура_ассортимента[Subgroup],0)),"")</f>
        <v>O</v>
      </c>
      <c r="D1492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92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92" s="110" t="str">
        <f>IFERROR(INDEX(Структура_ассортимента[Product group],MATCH(Товары[[#This Row],[SubGroup]],Структура_ассортимента[Subgroup],0)),"")</f>
        <v>WPU_C</v>
      </c>
      <c r="G1492" s="110" t="str">
        <f>IFERROR(INDEX(Структура_ассортимента[Product group name ENG],MATCH(Товары[[#This Row],[SubGroup]],Структура_ассортимента[Subgroup],0)),"")</f>
        <v>Watering, Pumps</v>
      </c>
      <c r="H1492" s="110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492" s="36">
        <v>9114</v>
      </c>
      <c r="J1492" s="36" t="str">
        <f>IFERROR(INDEX(Структура_ассортимента[Generic Name (long)],MATCH(Товары[[#This Row],[SubGroup]],Структура_ассортимента[Subgroup],0)),"")</f>
        <v>PUMP, CORDED</v>
      </c>
      <c r="L1492" s="36">
        <v>900924901</v>
      </c>
      <c r="M1492" s="35" t="s">
        <v>3168</v>
      </c>
      <c r="O1492" s="35" t="s">
        <v>7185</v>
      </c>
      <c r="P1492" s="37" t="s">
        <v>7186</v>
      </c>
      <c r="Q1492" s="34" t="s">
        <v>3549</v>
      </c>
      <c r="R1492" s="34" t="s">
        <v>3540</v>
      </c>
      <c r="S1492" s="47">
        <v>39356</v>
      </c>
      <c r="T1492" s="47">
        <v>0</v>
      </c>
      <c r="U1492" s="47">
        <v>0</v>
      </c>
      <c r="V1492" s="34">
        <v>4078500147606</v>
      </c>
      <c r="W1492" s="34" t="s">
        <v>3550</v>
      </c>
      <c r="X1492" s="34" t="s">
        <v>3551</v>
      </c>
      <c r="Y1492" s="34" t="s">
        <v>3542</v>
      </c>
      <c r="Z1492" s="34">
        <v>1</v>
      </c>
      <c r="AA1492" s="34" t="s">
        <v>7187</v>
      </c>
      <c r="AB1492" s="34" t="s">
        <v>7187</v>
      </c>
      <c r="AC1492" s="34" t="s">
        <v>7188</v>
      </c>
      <c r="AD1492" s="34" t="s">
        <v>7188</v>
      </c>
      <c r="AE1492" s="34" t="s">
        <v>3987</v>
      </c>
      <c r="AF1492" s="34" t="s">
        <v>3920</v>
      </c>
      <c r="AG1492" s="34" t="s">
        <v>4323</v>
      </c>
      <c r="AH1492" s="34" t="s">
        <v>7189</v>
      </c>
      <c r="AI1492" s="34" t="s">
        <v>3708</v>
      </c>
      <c r="AJ1492" s="34" t="s">
        <v>4217</v>
      </c>
      <c r="AK1492" s="34" t="s">
        <v>3708</v>
      </c>
      <c r="AL1492" s="34" t="s">
        <v>7190</v>
      </c>
      <c r="AM1492" s="40" t="s">
        <v>9</v>
      </c>
      <c r="AP1492" s="34">
        <v>0</v>
      </c>
      <c r="AQ1492" s="34">
        <v>36890</v>
      </c>
      <c r="AR1492" s="34">
        <v>22169</v>
      </c>
      <c r="AT1492" s="44">
        <v>2857300</v>
      </c>
      <c r="AU1492" s="44"/>
      <c r="AV1492" s="46">
        <f>ROUND(Товары[[#This Row],[РРЦ финальная, руб.]]/$AU$1,2)</f>
        <v>0</v>
      </c>
      <c r="AW1492" s="45" t="str">
        <f>IFERROR(Товары[[#This Row],[РРЦ, евро]]/Товары[[#This Row],[IRP, Eur]],"-")</f>
        <v>-</v>
      </c>
      <c r="AX1492" s="42">
        <f>IFERROR(VLOOKUP(Товары[[#This Row],[SubGroup]],'Структура цен DIY'!$B:$C,2,FALSE),0)</f>
        <v>0.25</v>
      </c>
      <c r="AY1492" s="44">
        <v>0</v>
      </c>
    </row>
    <row r="1493" spans="1:51" x14ac:dyDescent="0.25">
      <c r="A1493" s="34">
        <v>1491</v>
      </c>
      <c r="B1493" s="34" t="s">
        <v>54</v>
      </c>
      <c r="C1493" s="110" t="str">
        <f>IFERROR(INDEX(Структура_ассортимента[SuperCategory],MATCH(Товары[[#This Row],[SubGroup]],Структура_ассортимента[Subgroup],0)),"")</f>
        <v>O</v>
      </c>
      <c r="D1493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93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93" s="110" t="str">
        <f>IFERROR(INDEX(Структура_ассортимента[Product group],MATCH(Товары[[#This Row],[SubGroup]],Структура_ассортимента[Subgroup],0)),"")</f>
        <v>WPU_C</v>
      </c>
      <c r="G1493" s="110" t="str">
        <f>IFERROR(INDEX(Структура_ассортимента[Product group name ENG],MATCH(Товары[[#This Row],[SubGroup]],Структура_ассортимента[Subgroup],0)),"")</f>
        <v>Watering, Pumps</v>
      </c>
      <c r="H1493" s="110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493" s="36">
        <v>9114</v>
      </c>
      <c r="J1493" s="36" t="str">
        <f>IFERROR(INDEX(Структура_ассортимента[Generic Name (long)],MATCH(Товары[[#This Row],[SubGroup]],Структура_ассортимента[Subgroup],0)),"")</f>
        <v>PUMP, CORDED</v>
      </c>
      <c r="L1493" s="36">
        <v>966424101</v>
      </c>
      <c r="M1493" s="35" t="s">
        <v>3169</v>
      </c>
      <c r="O1493" s="35" t="s">
        <v>7191</v>
      </c>
      <c r="P1493" s="37" t="s">
        <v>7192</v>
      </c>
      <c r="Q1493" s="34" t="s">
        <v>3549</v>
      </c>
      <c r="R1493" s="34" t="s">
        <v>3540</v>
      </c>
      <c r="S1493" s="47">
        <v>40087</v>
      </c>
      <c r="T1493" s="47">
        <v>0</v>
      </c>
      <c r="U1493" s="47">
        <v>0</v>
      </c>
      <c r="V1493" s="34">
        <v>4078500148900</v>
      </c>
      <c r="W1493" s="34" t="s">
        <v>3550</v>
      </c>
      <c r="X1493" s="34" t="s">
        <v>3551</v>
      </c>
      <c r="Y1493" s="34" t="s">
        <v>3542</v>
      </c>
      <c r="Z1493" s="34">
        <v>1</v>
      </c>
      <c r="AA1493" s="34" t="s">
        <v>7193</v>
      </c>
      <c r="AB1493" s="34" t="s">
        <v>7193</v>
      </c>
      <c r="AC1493" s="34" t="s">
        <v>5845</v>
      </c>
      <c r="AD1493" s="34" t="s">
        <v>5845</v>
      </c>
      <c r="AE1493" s="34" t="s">
        <v>4358</v>
      </c>
      <c r="AF1493" s="34" t="s">
        <v>3826</v>
      </c>
      <c r="AG1493" s="34" t="s">
        <v>4458</v>
      </c>
      <c r="AH1493" s="34" t="s">
        <v>7194</v>
      </c>
      <c r="AI1493" s="34" t="s">
        <v>4272</v>
      </c>
      <c r="AJ1493" s="34" t="s">
        <v>4534</v>
      </c>
      <c r="AK1493" s="34" t="s">
        <v>4272</v>
      </c>
      <c r="AL1493" s="34" t="s">
        <v>3842</v>
      </c>
      <c r="AM1493" s="40" t="s">
        <v>9</v>
      </c>
      <c r="AP1493" s="34">
        <v>0</v>
      </c>
      <c r="AQ1493" s="34">
        <v>30790</v>
      </c>
      <c r="AR1493" s="34">
        <v>19736</v>
      </c>
      <c r="AT1493" s="44">
        <v>2384800</v>
      </c>
      <c r="AU1493" s="44"/>
      <c r="AV1493" s="46">
        <f>ROUND(Товары[[#This Row],[РРЦ финальная, руб.]]/$AU$1,2)</f>
        <v>0</v>
      </c>
      <c r="AW1493" s="45" t="str">
        <f>IFERROR(Товары[[#This Row],[РРЦ, евро]]/Товары[[#This Row],[IRP, Eur]],"-")</f>
        <v>-</v>
      </c>
      <c r="AX1493" s="42">
        <f>IFERROR(VLOOKUP(Товары[[#This Row],[SubGroup]],'Структура цен DIY'!$B:$C,2,FALSE),0)</f>
        <v>0.25</v>
      </c>
      <c r="AY1493" s="44">
        <v>0</v>
      </c>
    </row>
    <row r="1494" spans="1:51" x14ac:dyDescent="0.25">
      <c r="A1494" s="34">
        <v>1492</v>
      </c>
      <c r="B1494" s="34" t="s">
        <v>50</v>
      </c>
      <c r="C1494" s="110" t="str">
        <f>IFERROR(INDEX(Структура_ассортимента[SuperCategory],MATCH(Товары[[#This Row],[SubGroup]],Структура_ассортимента[Subgroup],0)),"")</f>
        <v>O</v>
      </c>
      <c r="D1494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94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94" s="110" t="str">
        <f>IFERROR(INDEX(Структура_ассортимента[Product group],MATCH(Товары[[#This Row],[SubGroup]],Структура_ассортимента[Subgroup],0)),"")</f>
        <v>WPU_C</v>
      </c>
      <c r="G1494" s="110" t="str">
        <f>IFERROR(INDEX(Структура_ассортимента[Product group name ENG],MATCH(Товары[[#This Row],[SubGroup]],Структура_ассортимента[Subgroup],0)),"")</f>
        <v>Watering, Pumps</v>
      </c>
      <c r="H1494" s="110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494" s="36">
        <v>9116</v>
      </c>
      <c r="J1494" s="36" t="str">
        <f>IFERROR(INDEX(Структура_ассортимента[Generic Name (long)],MATCH(Товары[[#This Row],[SubGroup]],Структура_ассортимента[Subgroup],0)),"")</f>
        <v>SUCTION HOSE</v>
      </c>
      <c r="L1494" s="36">
        <v>900926801</v>
      </c>
      <c r="M1494" s="35" t="s">
        <v>3170</v>
      </c>
      <c r="Q1494" s="34" t="s">
        <v>3549</v>
      </c>
      <c r="R1494" s="34" t="s">
        <v>3540</v>
      </c>
      <c r="S1494" s="47">
        <v>36434</v>
      </c>
      <c r="T1494" s="47">
        <v>0</v>
      </c>
      <c r="U1494" s="47">
        <v>0</v>
      </c>
      <c r="V1494" s="34">
        <v>4078500149006</v>
      </c>
      <c r="W1494" s="34" t="s">
        <v>3543</v>
      </c>
      <c r="X1494" s="34" t="s">
        <v>3579</v>
      </c>
      <c r="Y1494" s="34" t="s">
        <v>3542</v>
      </c>
      <c r="Z1494" s="34">
        <v>5</v>
      </c>
      <c r="AA1494" s="34" t="s">
        <v>4939</v>
      </c>
      <c r="AB1494" s="34" t="s">
        <v>4417</v>
      </c>
      <c r="AC1494" s="34" t="s">
        <v>4400</v>
      </c>
      <c r="AD1494" s="34" t="s">
        <v>4400</v>
      </c>
      <c r="AE1494" s="34" t="s">
        <v>3942</v>
      </c>
      <c r="AF1494" s="34" t="s">
        <v>6781</v>
      </c>
      <c r="AG1494" s="34" t="s">
        <v>4324</v>
      </c>
      <c r="AH1494" s="34" t="s">
        <v>7195</v>
      </c>
      <c r="AL1494" s="34" t="s">
        <v>7196</v>
      </c>
      <c r="AM1494" s="40" t="s">
        <v>8095</v>
      </c>
      <c r="AT1494" s="44">
        <v>0</v>
      </c>
      <c r="AU1494" s="44"/>
      <c r="AV1494" s="46">
        <f>ROUND(Товары[[#This Row],[РРЦ финальная, руб.]]/$AU$1,2)</f>
        <v>0</v>
      </c>
      <c r="AW1494" s="45" t="str">
        <f>IFERROR(Товары[[#This Row],[РРЦ, евро]]/Товары[[#This Row],[IRP, Eur]],"-")</f>
        <v>-</v>
      </c>
      <c r="AX1494" s="42">
        <f>IFERROR(VLOOKUP(Товары[[#This Row],[SubGroup]],'Структура цен DIY'!$B:$C,2,FALSE),0)</f>
        <v>0.33</v>
      </c>
      <c r="AY1494" s="44">
        <v>0</v>
      </c>
    </row>
    <row r="1495" spans="1:51" x14ac:dyDescent="0.25">
      <c r="A1495" s="34">
        <v>1493</v>
      </c>
      <c r="B1495" s="34" t="s">
        <v>54</v>
      </c>
      <c r="C1495" s="110" t="str">
        <f>IFERROR(INDEX(Структура_ассортимента[SuperCategory],MATCH(Товары[[#This Row],[SubGroup]],Структура_ассортимента[Subgroup],0)),"")</f>
        <v>O</v>
      </c>
      <c r="D1495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95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95" s="110" t="str">
        <f>IFERROR(INDEX(Структура_ассортимента[Product group],MATCH(Товары[[#This Row],[SubGroup]],Структура_ассортимента[Subgroup],0)),"")</f>
        <v>WPU_C</v>
      </c>
      <c r="G1495" s="110" t="str">
        <f>IFERROR(INDEX(Структура_ассортимента[Product group name ENG],MATCH(Товары[[#This Row],[SubGroup]],Структура_ассортимента[Subgroup],0)),"")</f>
        <v>Watering, Pumps</v>
      </c>
      <c r="H1495" s="110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495" s="36">
        <v>9114</v>
      </c>
      <c r="J1495" s="36" t="str">
        <f>IFERROR(INDEX(Структура_ассортимента[Generic Name (long)],MATCH(Товары[[#This Row],[SubGroup]],Структура_ассортимента[Subgroup],0)),"")</f>
        <v>PUMP, CORDED</v>
      </c>
      <c r="L1495" s="36">
        <v>966424201</v>
      </c>
      <c r="M1495" s="35" t="s">
        <v>3171</v>
      </c>
      <c r="O1495" s="35" t="s">
        <v>7197</v>
      </c>
      <c r="P1495" s="37" t="s">
        <v>7198</v>
      </c>
      <c r="Q1495" s="34" t="s">
        <v>3549</v>
      </c>
      <c r="R1495" s="34" t="s">
        <v>3540</v>
      </c>
      <c r="S1495" s="47">
        <v>40087</v>
      </c>
      <c r="T1495" s="47">
        <v>0</v>
      </c>
      <c r="U1495" s="47">
        <v>0</v>
      </c>
      <c r="V1495" s="34">
        <v>4078500149204</v>
      </c>
      <c r="W1495" s="34" t="s">
        <v>3550</v>
      </c>
      <c r="X1495" s="34" t="s">
        <v>3551</v>
      </c>
      <c r="Y1495" s="34" t="s">
        <v>3542</v>
      </c>
      <c r="Z1495" s="34">
        <v>1</v>
      </c>
      <c r="AA1495" s="34" t="s">
        <v>7199</v>
      </c>
      <c r="AB1495" s="34" t="s">
        <v>7199</v>
      </c>
      <c r="AC1495" s="34" t="s">
        <v>7200</v>
      </c>
      <c r="AD1495" s="34" t="s">
        <v>7200</v>
      </c>
      <c r="AE1495" s="34" t="s">
        <v>4017</v>
      </c>
      <c r="AF1495" s="34" t="s">
        <v>3826</v>
      </c>
      <c r="AG1495" s="34" t="s">
        <v>4458</v>
      </c>
      <c r="AH1495" s="34" t="s">
        <v>7201</v>
      </c>
      <c r="AI1495" s="34" t="s">
        <v>4272</v>
      </c>
      <c r="AJ1495" s="34" t="s">
        <v>4534</v>
      </c>
      <c r="AK1495" s="34" t="s">
        <v>4272</v>
      </c>
      <c r="AL1495" s="34" t="s">
        <v>3842</v>
      </c>
      <c r="AM1495" s="40" t="s">
        <v>9</v>
      </c>
      <c r="AP1495" s="34">
        <v>0</v>
      </c>
      <c r="AQ1495" s="34">
        <v>34890</v>
      </c>
      <c r="AR1495" s="34">
        <v>22388</v>
      </c>
      <c r="AT1495" s="44">
        <v>2702400</v>
      </c>
      <c r="AU1495" s="44"/>
      <c r="AV1495" s="46">
        <f>ROUND(Товары[[#This Row],[РРЦ финальная, руб.]]/$AU$1,2)</f>
        <v>0</v>
      </c>
      <c r="AW1495" s="45" t="str">
        <f>IFERROR(Товары[[#This Row],[РРЦ, евро]]/Товары[[#This Row],[IRP, Eur]],"-")</f>
        <v>-</v>
      </c>
      <c r="AX1495" s="42">
        <f>IFERROR(VLOOKUP(Товары[[#This Row],[SubGroup]],'Структура цен DIY'!$B:$C,2,FALSE),0)</f>
        <v>0.25</v>
      </c>
      <c r="AY1495" s="44">
        <v>0</v>
      </c>
    </row>
    <row r="1496" spans="1:51" x14ac:dyDescent="0.25">
      <c r="A1496" s="34">
        <v>1494</v>
      </c>
      <c r="B1496" s="34" t="s">
        <v>54</v>
      </c>
      <c r="C1496" s="110" t="str">
        <f>IFERROR(INDEX(Структура_ассортимента[SuperCategory],MATCH(Товары[[#This Row],[SubGroup]],Структура_ассортимента[Subgroup],0)),"")</f>
        <v>O</v>
      </c>
      <c r="D1496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96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96" s="110" t="str">
        <f>IFERROR(INDEX(Структура_ассортимента[Product group],MATCH(Товары[[#This Row],[SubGroup]],Структура_ассортимента[Subgroup],0)),"")</f>
        <v>WPU_C</v>
      </c>
      <c r="G1496" s="110" t="str">
        <f>IFERROR(INDEX(Структура_ассортимента[Product group name ENG],MATCH(Товары[[#This Row],[SubGroup]],Структура_ассортимента[Subgroup],0)),"")</f>
        <v>Watering, Pumps</v>
      </c>
      <c r="H1496" s="110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496" s="36">
        <v>9114</v>
      </c>
      <c r="J1496" s="36" t="str">
        <f>IFERROR(INDEX(Структура_ассортимента[Generic Name (long)],MATCH(Товары[[#This Row],[SubGroup]],Структура_ассортимента[Subgroup],0)),"")</f>
        <v>PUMP, CORDED</v>
      </c>
      <c r="L1496" s="36">
        <v>966606501</v>
      </c>
      <c r="M1496" s="35" t="s">
        <v>3172</v>
      </c>
      <c r="Q1496" s="34" t="s">
        <v>3549</v>
      </c>
      <c r="R1496" s="34" t="s">
        <v>3540</v>
      </c>
      <c r="S1496" s="47">
        <v>40452</v>
      </c>
      <c r="T1496" s="47">
        <v>0</v>
      </c>
      <c r="U1496" s="47">
        <v>0</v>
      </c>
      <c r="V1496" s="34">
        <v>4078500149907</v>
      </c>
      <c r="W1496" s="34" t="s">
        <v>3550</v>
      </c>
      <c r="X1496" s="34" t="s">
        <v>3551</v>
      </c>
      <c r="Y1496" s="34" t="s">
        <v>3542</v>
      </c>
      <c r="Z1496" s="34">
        <v>1</v>
      </c>
      <c r="AA1496" s="34" t="s">
        <v>7202</v>
      </c>
      <c r="AB1496" s="34" t="s">
        <v>7202</v>
      </c>
      <c r="AC1496" s="34" t="s">
        <v>5765</v>
      </c>
      <c r="AD1496" s="34" t="s">
        <v>5765</v>
      </c>
      <c r="AE1496" s="34" t="s">
        <v>5439</v>
      </c>
      <c r="AF1496" s="34" t="s">
        <v>3826</v>
      </c>
      <c r="AG1496" s="34" t="s">
        <v>4458</v>
      </c>
      <c r="AH1496" s="34" t="s">
        <v>7203</v>
      </c>
      <c r="AI1496" s="34" t="s">
        <v>4272</v>
      </c>
      <c r="AJ1496" s="34" t="s">
        <v>7204</v>
      </c>
      <c r="AK1496" s="34" t="s">
        <v>4272</v>
      </c>
      <c r="AL1496" s="34" t="s">
        <v>6917</v>
      </c>
      <c r="AM1496" s="40" t="s">
        <v>8095</v>
      </c>
      <c r="AT1496" s="44">
        <v>0</v>
      </c>
      <c r="AU1496" s="44"/>
      <c r="AV1496" s="46">
        <f>ROUND(Товары[[#This Row],[РРЦ финальная, руб.]]/$AU$1,2)</f>
        <v>0</v>
      </c>
      <c r="AW1496" s="45" t="str">
        <f>IFERROR(Товары[[#This Row],[РРЦ, евро]]/Товары[[#This Row],[IRP, Eur]],"-")</f>
        <v>-</v>
      </c>
      <c r="AX1496" s="42">
        <f>IFERROR(VLOOKUP(Товары[[#This Row],[SubGroup]],'Структура цен DIY'!$B:$C,2,FALSE),0)</f>
        <v>0.25</v>
      </c>
      <c r="AY1496" s="44">
        <v>0</v>
      </c>
    </row>
    <row r="1497" spans="1:51" x14ac:dyDescent="0.25">
      <c r="A1497" s="34">
        <v>1495</v>
      </c>
      <c r="B1497" s="34" t="s">
        <v>54</v>
      </c>
      <c r="C1497" s="110" t="str">
        <f>IFERROR(INDEX(Структура_ассортимента[SuperCategory],MATCH(Товары[[#This Row],[SubGroup]],Структура_ассортимента[Subgroup],0)),"")</f>
        <v>O</v>
      </c>
      <c r="D1497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97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97" s="110" t="str">
        <f>IFERROR(INDEX(Структура_ассортимента[Product group],MATCH(Товары[[#This Row],[SubGroup]],Структура_ассортимента[Subgroup],0)),"")</f>
        <v>WPU_C</v>
      </c>
      <c r="G1497" s="110" t="str">
        <f>IFERROR(INDEX(Структура_ассортимента[Product group name ENG],MATCH(Товары[[#This Row],[SubGroup]],Структура_ассортимента[Subgroup],0)),"")</f>
        <v>Watering, Pumps</v>
      </c>
      <c r="H1497" s="110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497" s="36">
        <v>9115</v>
      </c>
      <c r="J1497" s="36" t="str">
        <f>IFERROR(INDEX(Структура_ассортимента[Generic Name (long)],MATCH(Товары[[#This Row],[SubGroup]],Структура_ассортимента[Subgroup],0)),"")</f>
        <v>PUMP, CORDED</v>
      </c>
      <c r="L1497" s="36">
        <v>967102701</v>
      </c>
      <c r="M1497" s="35" t="s">
        <v>3173</v>
      </c>
      <c r="Q1497" s="34" t="s">
        <v>3652</v>
      </c>
      <c r="R1497" s="34" t="s">
        <v>3540</v>
      </c>
      <c r="S1497" s="47">
        <v>42767</v>
      </c>
      <c r="T1497" s="47">
        <v>0</v>
      </c>
      <c r="U1497" s="47">
        <v>44196</v>
      </c>
      <c r="V1497" s="34">
        <v>4078500023122</v>
      </c>
      <c r="W1497" s="34" t="s">
        <v>3543</v>
      </c>
      <c r="X1497" s="34" t="s">
        <v>3551</v>
      </c>
      <c r="Y1497" s="34" t="s">
        <v>3542</v>
      </c>
      <c r="Z1497" s="34">
        <v>1</v>
      </c>
      <c r="AB1497" s="34" t="s">
        <v>7205</v>
      </c>
      <c r="AD1497" s="34" t="s">
        <v>7206</v>
      </c>
      <c r="AE1497" s="34" t="s">
        <v>4017</v>
      </c>
      <c r="AF1497" s="34" t="s">
        <v>4992</v>
      </c>
      <c r="AG1497" s="34" t="s">
        <v>7207</v>
      </c>
      <c r="AH1497" s="34" t="s">
        <v>7208</v>
      </c>
      <c r="AL1497" s="34" t="s">
        <v>5239</v>
      </c>
      <c r="AM1497" s="40" t="s">
        <v>8095</v>
      </c>
      <c r="AT1497" s="44">
        <v>0</v>
      </c>
      <c r="AU1497" s="44"/>
      <c r="AV1497" s="46">
        <f>ROUND(Товары[[#This Row],[РРЦ финальная, руб.]]/$AU$1,2)</f>
        <v>0</v>
      </c>
      <c r="AW1497" s="45" t="str">
        <f>IFERROR(Товары[[#This Row],[РРЦ, евро]]/Товары[[#This Row],[IRP, Eur]],"-")</f>
        <v>-</v>
      </c>
      <c r="AX1497" s="42">
        <f>IFERROR(VLOOKUP(Товары[[#This Row],[SubGroup]],'Структура цен DIY'!$B:$C,2,FALSE),0)</f>
        <v>0.26834498834498843</v>
      </c>
      <c r="AY1497" s="44">
        <v>0</v>
      </c>
    </row>
    <row r="1498" spans="1:51" x14ac:dyDescent="0.25">
      <c r="A1498" s="34">
        <v>1496</v>
      </c>
      <c r="B1498" s="34" t="s">
        <v>54</v>
      </c>
      <c r="C1498" s="110" t="str">
        <f>IFERROR(INDEX(Структура_ассортимента[SuperCategory],MATCH(Товары[[#This Row],[SubGroup]],Структура_ассортимента[Subgroup],0)),"")</f>
        <v>O</v>
      </c>
      <c r="D1498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98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98" s="110" t="str">
        <f>IFERROR(INDEX(Структура_ассортимента[Product group],MATCH(Товары[[#This Row],[SubGroup]],Структура_ассортимента[Subgroup],0)),"")</f>
        <v>WPU_C</v>
      </c>
      <c r="G1498" s="110" t="str">
        <f>IFERROR(INDEX(Структура_ассортимента[Product group name ENG],MATCH(Товары[[#This Row],[SubGroup]],Структура_ассортимента[Subgroup],0)),"")</f>
        <v>Watering, Pumps</v>
      </c>
      <c r="H1498" s="110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498" s="36">
        <v>9115</v>
      </c>
      <c r="J1498" s="36" t="str">
        <f>IFERROR(INDEX(Структура_ассортимента[Generic Name (long)],MATCH(Товары[[#This Row],[SubGroup]],Структура_ассортимента[Subgroup],0)),"")</f>
        <v>PUMP, CORDED</v>
      </c>
      <c r="L1498" s="36">
        <v>967068401</v>
      </c>
      <c r="M1498" s="35" t="s">
        <v>3174</v>
      </c>
      <c r="O1498" s="35" t="s">
        <v>7209</v>
      </c>
      <c r="P1498" s="37" t="s">
        <v>7210</v>
      </c>
      <c r="Q1498" s="34" t="s">
        <v>3652</v>
      </c>
      <c r="R1498" s="34" t="s">
        <v>3540</v>
      </c>
      <c r="S1498" s="47">
        <v>42767</v>
      </c>
      <c r="T1498" s="47">
        <v>44196</v>
      </c>
      <c r="U1498" s="47">
        <v>0</v>
      </c>
      <c r="V1498" s="34">
        <v>4078500022385</v>
      </c>
      <c r="W1498" s="34" t="s">
        <v>3546</v>
      </c>
      <c r="X1498" s="34" t="s">
        <v>3551</v>
      </c>
      <c r="Y1498" s="34" t="s">
        <v>3542</v>
      </c>
      <c r="Z1498" s="34">
        <v>1</v>
      </c>
      <c r="AA1498" s="34">
        <v>4700</v>
      </c>
      <c r="AB1498" s="34" t="s">
        <v>5553</v>
      </c>
      <c r="AC1498" s="34">
        <v>4000</v>
      </c>
      <c r="AD1498" s="34" t="s">
        <v>7211</v>
      </c>
      <c r="AE1498" s="34" t="s">
        <v>4309</v>
      </c>
      <c r="AF1498" s="34" t="s">
        <v>4257</v>
      </c>
      <c r="AG1498" s="34" t="s">
        <v>4510</v>
      </c>
      <c r="AH1498" s="34" t="s">
        <v>7212</v>
      </c>
      <c r="AL1498" s="34" t="s">
        <v>7213</v>
      </c>
      <c r="AM1498" s="40" t="s">
        <v>233</v>
      </c>
      <c r="AP1498" s="34">
        <v>0</v>
      </c>
      <c r="AQ1498" s="34">
        <v>6690</v>
      </c>
      <c r="AR1498" s="34">
        <v>4235</v>
      </c>
      <c r="AT1498" s="44">
        <v>518200</v>
      </c>
      <c r="AU1498" s="44"/>
      <c r="AV1498" s="46">
        <f>ROUND(Товары[[#This Row],[РРЦ финальная, руб.]]/$AU$1,2)</f>
        <v>0</v>
      </c>
      <c r="AW1498" s="45" t="str">
        <f>IFERROR(Товары[[#This Row],[РРЦ, евро]]/Товары[[#This Row],[IRP, Eur]],"-")</f>
        <v>-</v>
      </c>
      <c r="AX1498" s="42">
        <f>IFERROR(VLOOKUP(Товары[[#This Row],[SubGroup]],'Структура цен DIY'!$B:$C,2,FALSE),0)</f>
        <v>0.26834498834498843</v>
      </c>
      <c r="AY1498" s="44">
        <v>0</v>
      </c>
    </row>
    <row r="1499" spans="1:51" x14ac:dyDescent="0.25">
      <c r="A1499" s="34">
        <v>1497</v>
      </c>
      <c r="B1499" s="34" t="s">
        <v>54</v>
      </c>
      <c r="C1499" s="110" t="str">
        <f>IFERROR(INDEX(Структура_ассортимента[SuperCategory],MATCH(Товары[[#This Row],[SubGroup]],Структура_ассортимента[Subgroup],0)),"")</f>
        <v>O</v>
      </c>
      <c r="D1499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99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99" s="110" t="str">
        <f>IFERROR(INDEX(Структура_ассортимента[Product group],MATCH(Товары[[#This Row],[SubGroup]],Структура_ассортимента[Subgroup],0)),"")</f>
        <v>WPU_C</v>
      </c>
      <c r="G1499" s="110" t="str">
        <f>IFERROR(INDEX(Структура_ассортимента[Product group name ENG],MATCH(Товары[[#This Row],[SubGroup]],Структура_ассортимента[Subgroup],0)),"")</f>
        <v>Watering, Pumps</v>
      </c>
      <c r="H1499" s="110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499" s="36">
        <v>9115</v>
      </c>
      <c r="J1499" s="36" t="str">
        <f>IFERROR(INDEX(Структура_ассортимента[Generic Name (long)],MATCH(Товары[[#This Row],[SubGroup]],Структура_ассортимента[Subgroup],0)),"")</f>
        <v>PUMP, CORDED</v>
      </c>
      <c r="L1499" s="36">
        <v>967102601</v>
      </c>
      <c r="M1499" s="35" t="s">
        <v>3175</v>
      </c>
      <c r="Q1499" s="34" t="s">
        <v>3652</v>
      </c>
      <c r="R1499" s="34" t="s">
        <v>3540</v>
      </c>
      <c r="S1499" s="47">
        <v>42767</v>
      </c>
      <c r="T1499" s="47">
        <v>0</v>
      </c>
      <c r="U1499" s="47">
        <v>44196</v>
      </c>
      <c r="V1499" s="34">
        <v>4078500023139</v>
      </c>
      <c r="W1499" s="34" t="s">
        <v>3543</v>
      </c>
      <c r="X1499" s="34" t="s">
        <v>3551</v>
      </c>
      <c r="Y1499" s="34" t="s">
        <v>3542</v>
      </c>
      <c r="Z1499" s="34">
        <v>1</v>
      </c>
      <c r="AB1499" s="34" t="s">
        <v>7214</v>
      </c>
      <c r="AD1499" s="34" t="s">
        <v>7206</v>
      </c>
      <c r="AE1499" s="34" t="s">
        <v>7215</v>
      </c>
      <c r="AF1499" s="34" t="s">
        <v>4358</v>
      </c>
      <c r="AG1499" s="34" t="s">
        <v>3687</v>
      </c>
      <c r="AH1499" s="34" t="s">
        <v>7216</v>
      </c>
      <c r="AL1499" s="34" t="s">
        <v>5239</v>
      </c>
      <c r="AM1499" s="40" t="s">
        <v>8095</v>
      </c>
      <c r="AT1499" s="44">
        <v>0</v>
      </c>
      <c r="AU1499" s="44"/>
      <c r="AV1499" s="46">
        <f>ROUND(Товары[[#This Row],[РРЦ финальная, руб.]]/$AU$1,2)</f>
        <v>0</v>
      </c>
      <c r="AW1499" s="45" t="str">
        <f>IFERROR(Товары[[#This Row],[РРЦ, евро]]/Товары[[#This Row],[IRP, Eur]],"-")</f>
        <v>-</v>
      </c>
      <c r="AX1499" s="42">
        <f>IFERROR(VLOOKUP(Товары[[#This Row],[SubGroup]],'Структура цен DIY'!$B:$C,2,FALSE),0)</f>
        <v>0.26834498834498843</v>
      </c>
      <c r="AY1499" s="44">
        <v>0</v>
      </c>
    </row>
    <row r="1500" spans="1:51" x14ac:dyDescent="0.25">
      <c r="A1500" s="34">
        <v>1498</v>
      </c>
      <c r="B1500" s="34" t="s">
        <v>54</v>
      </c>
      <c r="C1500" s="110" t="str">
        <f>IFERROR(INDEX(Структура_ассортимента[SuperCategory],MATCH(Товары[[#This Row],[SubGroup]],Структура_ассортимента[Subgroup],0)),"")</f>
        <v>O</v>
      </c>
      <c r="D1500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00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00" s="110" t="str">
        <f>IFERROR(INDEX(Структура_ассортимента[Product group],MATCH(Товары[[#This Row],[SubGroup]],Структура_ассортимента[Subgroup],0)),"")</f>
        <v>WPU_C</v>
      </c>
      <c r="G1500" s="110" t="str">
        <f>IFERROR(INDEX(Структура_ассортимента[Product group name ENG],MATCH(Товары[[#This Row],[SubGroup]],Структура_ассортимента[Subgroup],0)),"")</f>
        <v>Watering, Pumps</v>
      </c>
      <c r="H1500" s="110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00" s="36">
        <v>9111</v>
      </c>
      <c r="J1500" s="36" t="str">
        <f>IFERROR(INDEX(Структура_ассортимента[Generic Name (long)],MATCH(Товары[[#This Row],[SubGroup]],Структура_ассортимента[Subgroup],0)),"")</f>
        <v>PUMP, CORDED</v>
      </c>
      <c r="L1500" s="36">
        <v>966625801</v>
      </c>
      <c r="M1500" s="35" t="s">
        <v>3176</v>
      </c>
      <c r="O1500" s="35" t="s">
        <v>7217</v>
      </c>
      <c r="P1500" s="37" t="s">
        <v>7218</v>
      </c>
      <c r="Q1500" s="34" t="s">
        <v>3549</v>
      </c>
      <c r="R1500" s="34" t="s">
        <v>3540</v>
      </c>
      <c r="S1500" s="47">
        <v>40452</v>
      </c>
      <c r="T1500" s="47">
        <v>0</v>
      </c>
      <c r="U1500" s="47">
        <v>0</v>
      </c>
      <c r="V1500" s="34">
        <v>4078500170703</v>
      </c>
      <c r="W1500" s="34" t="s">
        <v>3550</v>
      </c>
      <c r="X1500" s="34" t="s">
        <v>3551</v>
      </c>
      <c r="Y1500" s="34" t="s">
        <v>3542</v>
      </c>
      <c r="Z1500" s="34">
        <v>1</v>
      </c>
      <c r="AA1500" s="34" t="s">
        <v>7219</v>
      </c>
      <c r="AB1500" s="34" t="s">
        <v>7219</v>
      </c>
      <c r="AC1500" s="34" t="s">
        <v>6922</v>
      </c>
      <c r="AD1500" s="34" t="s">
        <v>6922</v>
      </c>
      <c r="AE1500" s="34" t="s">
        <v>3684</v>
      </c>
      <c r="AF1500" s="34" t="s">
        <v>3743</v>
      </c>
      <c r="AG1500" s="34" t="s">
        <v>4174</v>
      </c>
      <c r="AH1500" s="34" t="s">
        <v>7220</v>
      </c>
      <c r="AI1500" s="34" t="s">
        <v>4891</v>
      </c>
      <c r="AJ1500" s="34" t="s">
        <v>3655</v>
      </c>
      <c r="AK1500" s="34" t="s">
        <v>4257</v>
      </c>
      <c r="AL1500" s="34" t="s">
        <v>5364</v>
      </c>
      <c r="AM1500" s="40" t="s">
        <v>233</v>
      </c>
      <c r="AP1500" s="34">
        <v>0</v>
      </c>
      <c r="AQ1500" s="34">
        <v>8990</v>
      </c>
      <c r="AR1500" s="34">
        <v>5835</v>
      </c>
      <c r="AT1500" s="44">
        <v>696300</v>
      </c>
      <c r="AU1500" s="44"/>
      <c r="AV1500" s="46">
        <f>ROUND(Товары[[#This Row],[РРЦ финальная, руб.]]/$AU$1,2)</f>
        <v>0</v>
      </c>
      <c r="AW1500" s="45" t="str">
        <f>IFERROR(Товары[[#This Row],[РРЦ, евро]]/Товары[[#This Row],[IRP, Eur]],"-")</f>
        <v>-</v>
      </c>
      <c r="AX1500" s="42">
        <f>IFERROR(VLOOKUP(Товары[[#This Row],[SubGroup]],'Структура цен DIY'!$B:$C,2,FALSE),0)</f>
        <v>0.23</v>
      </c>
      <c r="AY1500" s="44">
        <v>0</v>
      </c>
    </row>
    <row r="1501" spans="1:51" x14ac:dyDescent="0.25">
      <c r="A1501" s="34">
        <v>1499</v>
      </c>
      <c r="B1501" s="34" t="s">
        <v>54</v>
      </c>
      <c r="C1501" s="110" t="str">
        <f>IFERROR(INDEX(Структура_ассортимента[SuperCategory],MATCH(Товары[[#This Row],[SubGroup]],Структура_ассортимента[Subgroup],0)),"")</f>
        <v>O</v>
      </c>
      <c r="D1501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01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01" s="110" t="str">
        <f>IFERROR(INDEX(Структура_ассортимента[Product group],MATCH(Товары[[#This Row],[SubGroup]],Структура_ассортимента[Subgroup],0)),"")</f>
        <v>WPU_C</v>
      </c>
      <c r="G1501" s="110" t="str">
        <f>IFERROR(INDEX(Структура_ассортимента[Product group name ENG],MATCH(Товары[[#This Row],[SubGroup]],Структура_ассортимента[Subgroup],0)),"")</f>
        <v>Watering, Pumps</v>
      </c>
      <c r="H1501" s="110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01" s="36">
        <v>9111</v>
      </c>
      <c r="J1501" s="36" t="str">
        <f>IFERROR(INDEX(Структура_ассортимента[Generic Name (long)],MATCH(Товары[[#This Row],[SubGroup]],Структура_ассортимента[Subgroup],0)),"")</f>
        <v>PUMP, CORDED</v>
      </c>
      <c r="L1501" s="36">
        <v>966625901</v>
      </c>
      <c r="M1501" s="35" t="s">
        <v>3177</v>
      </c>
      <c r="O1501" s="35" t="s">
        <v>7221</v>
      </c>
      <c r="P1501" s="37" t="s">
        <v>7222</v>
      </c>
      <c r="Q1501" s="34" t="s">
        <v>3549</v>
      </c>
      <c r="R1501" s="34" t="s">
        <v>3540</v>
      </c>
      <c r="S1501" s="47">
        <v>40452</v>
      </c>
      <c r="T1501" s="47">
        <v>0</v>
      </c>
      <c r="U1501" s="47">
        <v>0</v>
      </c>
      <c r="V1501" s="34">
        <v>4078500170901</v>
      </c>
      <c r="W1501" s="34" t="s">
        <v>3550</v>
      </c>
      <c r="X1501" s="34" t="s">
        <v>3551</v>
      </c>
      <c r="Y1501" s="34" t="s">
        <v>3542</v>
      </c>
      <c r="Z1501" s="34">
        <v>1</v>
      </c>
      <c r="AA1501" s="34" t="s">
        <v>7000</v>
      </c>
      <c r="AB1501" s="34" t="s">
        <v>7000</v>
      </c>
      <c r="AC1501" s="34" t="s">
        <v>6965</v>
      </c>
      <c r="AD1501" s="34" t="s">
        <v>6965</v>
      </c>
      <c r="AE1501" s="34" t="s">
        <v>3684</v>
      </c>
      <c r="AF1501" s="34" t="s">
        <v>3743</v>
      </c>
      <c r="AG1501" s="34" t="s">
        <v>4174</v>
      </c>
      <c r="AH1501" s="34" t="s">
        <v>7220</v>
      </c>
      <c r="AI1501" s="34" t="s">
        <v>4891</v>
      </c>
      <c r="AJ1501" s="34" t="s">
        <v>3655</v>
      </c>
      <c r="AK1501" s="34" t="s">
        <v>4257</v>
      </c>
      <c r="AL1501" s="34" t="s">
        <v>5364</v>
      </c>
      <c r="AM1501" s="40" t="s">
        <v>233</v>
      </c>
      <c r="AP1501" s="34">
        <v>0</v>
      </c>
      <c r="AQ1501" s="34">
        <v>9790</v>
      </c>
      <c r="AR1501" s="34">
        <v>6276</v>
      </c>
      <c r="AT1501" s="44">
        <v>758300</v>
      </c>
      <c r="AU1501" s="44"/>
      <c r="AV1501" s="46">
        <f>ROUND(Товары[[#This Row],[РРЦ финальная, руб.]]/$AU$1,2)</f>
        <v>0</v>
      </c>
      <c r="AW1501" s="45" t="str">
        <f>IFERROR(Товары[[#This Row],[РРЦ, евро]]/Товары[[#This Row],[IRP, Eur]],"-")</f>
        <v>-</v>
      </c>
      <c r="AX1501" s="42">
        <f>IFERROR(VLOOKUP(Товары[[#This Row],[SubGroup]],'Структура цен DIY'!$B:$C,2,FALSE),0)</f>
        <v>0.23</v>
      </c>
      <c r="AY1501" s="44">
        <v>0</v>
      </c>
    </row>
    <row r="1502" spans="1:51" x14ac:dyDescent="0.25">
      <c r="A1502" s="34">
        <v>1500</v>
      </c>
      <c r="B1502" s="34" t="s">
        <v>54</v>
      </c>
      <c r="C1502" s="110" t="str">
        <f>IFERROR(INDEX(Структура_ассортимента[SuperCategory],MATCH(Товары[[#This Row],[SubGroup]],Структура_ассортимента[Subgroup],0)),"")</f>
        <v>O</v>
      </c>
      <c r="D1502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02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02" s="110" t="str">
        <f>IFERROR(INDEX(Структура_ассортимента[Product group],MATCH(Товары[[#This Row],[SubGroup]],Структура_ассортимента[Subgroup],0)),"")</f>
        <v>WPU_C</v>
      </c>
      <c r="G1502" s="110" t="str">
        <f>IFERROR(INDEX(Структура_ассортимента[Product group name ENG],MATCH(Товары[[#This Row],[SubGroup]],Структура_ассортимента[Subgroup],0)),"")</f>
        <v>Watering, Pumps</v>
      </c>
      <c r="H1502" s="110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02" s="36">
        <v>9111</v>
      </c>
      <c r="J1502" s="36" t="str">
        <f>IFERROR(INDEX(Структура_ассортимента[Generic Name (long)],MATCH(Товары[[#This Row],[SubGroup]],Структура_ассортимента[Subgroup],0)),"")</f>
        <v>PUMP, CORDED</v>
      </c>
      <c r="L1502" s="36">
        <v>967822101</v>
      </c>
      <c r="M1502" s="35" t="s">
        <v>3178</v>
      </c>
      <c r="Q1502" s="34" t="s">
        <v>3549</v>
      </c>
      <c r="R1502" s="34" t="s">
        <v>3540</v>
      </c>
      <c r="S1502" s="47">
        <v>43101</v>
      </c>
      <c r="T1502" s="47">
        <v>0</v>
      </c>
      <c r="U1502" s="47">
        <v>0</v>
      </c>
      <c r="V1502" s="34">
        <v>4078500040020</v>
      </c>
      <c r="W1502" s="34" t="s">
        <v>3543</v>
      </c>
      <c r="X1502" s="34" t="s">
        <v>3551</v>
      </c>
      <c r="Y1502" s="34" t="s">
        <v>3542</v>
      </c>
      <c r="Z1502" s="34">
        <v>1</v>
      </c>
      <c r="AB1502" s="34" t="s">
        <v>7000</v>
      </c>
      <c r="AD1502" s="34" t="s">
        <v>6965</v>
      </c>
      <c r="AE1502" s="34" t="s">
        <v>3684</v>
      </c>
      <c r="AF1502" s="34" t="s">
        <v>3743</v>
      </c>
      <c r="AG1502" s="34" t="s">
        <v>4174</v>
      </c>
      <c r="AH1502" s="34" t="s">
        <v>7220</v>
      </c>
      <c r="AI1502" s="34" t="s">
        <v>4891</v>
      </c>
      <c r="AJ1502" s="34" t="s">
        <v>3655</v>
      </c>
      <c r="AK1502" s="34" t="s">
        <v>4257</v>
      </c>
      <c r="AL1502" s="34" t="s">
        <v>5364</v>
      </c>
      <c r="AM1502" s="40" t="s">
        <v>8095</v>
      </c>
      <c r="AT1502" s="44">
        <v>0</v>
      </c>
      <c r="AU1502" s="44"/>
      <c r="AV1502" s="46">
        <f>ROUND(Товары[[#This Row],[РРЦ финальная, руб.]]/$AU$1,2)</f>
        <v>0</v>
      </c>
      <c r="AW1502" s="45" t="str">
        <f>IFERROR(Товары[[#This Row],[РРЦ, евро]]/Товары[[#This Row],[IRP, Eur]],"-")</f>
        <v>-</v>
      </c>
      <c r="AX1502" s="42">
        <f>IFERROR(VLOOKUP(Товары[[#This Row],[SubGroup]],'Структура цен DIY'!$B:$C,2,FALSE),0)</f>
        <v>0.23</v>
      </c>
      <c r="AY1502" s="44">
        <v>0</v>
      </c>
    </row>
    <row r="1503" spans="1:51" x14ac:dyDescent="0.25">
      <c r="A1503" s="34">
        <v>1501</v>
      </c>
      <c r="B1503" s="34" t="s">
        <v>54</v>
      </c>
      <c r="C1503" s="110" t="str">
        <f>IFERROR(INDEX(Структура_ассортимента[SuperCategory],MATCH(Товары[[#This Row],[SubGroup]],Структура_ассортимента[Subgroup],0)),"")</f>
        <v>O</v>
      </c>
      <c r="D1503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03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03" s="110" t="str">
        <f>IFERROR(INDEX(Структура_ассортимента[Product group],MATCH(Товары[[#This Row],[SubGroup]],Структура_ассортимента[Subgroup],0)),"")</f>
        <v>WPU_C</v>
      </c>
      <c r="G1503" s="110" t="str">
        <f>IFERROR(INDEX(Структура_ассортимента[Product group name ENG],MATCH(Товары[[#This Row],[SubGroup]],Структура_ассортимента[Subgroup],0)),"")</f>
        <v>Watering, Pumps</v>
      </c>
      <c r="H1503" s="110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03" s="36">
        <v>9111</v>
      </c>
      <c r="J1503" s="36" t="str">
        <f>IFERROR(INDEX(Структура_ассортимента[Generic Name (long)],MATCH(Товары[[#This Row],[SubGroup]],Структура_ассортимента[Subgroup],0)),"")</f>
        <v>PUMP, CORDED</v>
      </c>
      <c r="L1503" s="36">
        <v>966626001</v>
      </c>
      <c r="M1503" s="35" t="s">
        <v>3179</v>
      </c>
      <c r="O1503" s="35" t="s">
        <v>7223</v>
      </c>
      <c r="P1503" s="37" t="s">
        <v>7224</v>
      </c>
      <c r="Q1503" s="34" t="s">
        <v>3549</v>
      </c>
      <c r="R1503" s="34" t="s">
        <v>3540</v>
      </c>
      <c r="S1503" s="47">
        <v>40452</v>
      </c>
      <c r="T1503" s="47">
        <v>0</v>
      </c>
      <c r="U1503" s="47">
        <v>0</v>
      </c>
      <c r="V1503" s="34">
        <v>4078500171700</v>
      </c>
      <c r="W1503" s="34" t="s">
        <v>3543</v>
      </c>
      <c r="X1503" s="34" t="s">
        <v>3579</v>
      </c>
      <c r="Y1503" s="34" t="s">
        <v>3542</v>
      </c>
      <c r="Z1503" s="34">
        <v>1</v>
      </c>
      <c r="AA1503" s="34" t="s">
        <v>7225</v>
      </c>
      <c r="AB1503" s="34" t="s">
        <v>7226</v>
      </c>
      <c r="AC1503" s="34" t="s">
        <v>7227</v>
      </c>
      <c r="AD1503" s="34" t="s">
        <v>5845</v>
      </c>
      <c r="AE1503" s="34" t="s">
        <v>7043</v>
      </c>
      <c r="AF1503" s="34" t="s">
        <v>6755</v>
      </c>
      <c r="AG1503" s="34" t="s">
        <v>5817</v>
      </c>
      <c r="AH1503" s="34" t="s">
        <v>7044</v>
      </c>
      <c r="AI1503" s="34" t="s">
        <v>4891</v>
      </c>
      <c r="AJ1503" s="34" t="s">
        <v>3655</v>
      </c>
      <c r="AK1503" s="34" t="s">
        <v>4257</v>
      </c>
      <c r="AL1503" s="34" t="s">
        <v>3617</v>
      </c>
      <c r="AM1503" s="40" t="s">
        <v>233</v>
      </c>
      <c r="AP1503" s="34">
        <v>0</v>
      </c>
      <c r="AQ1503" s="34">
        <v>10790</v>
      </c>
      <c r="AR1503" s="34">
        <v>6917</v>
      </c>
      <c r="AT1503" s="44">
        <v>835700</v>
      </c>
      <c r="AU1503" s="44"/>
      <c r="AV1503" s="46">
        <f>ROUND(Товары[[#This Row],[РРЦ финальная, руб.]]/$AU$1,2)</f>
        <v>0</v>
      </c>
      <c r="AW1503" s="45" t="str">
        <f>IFERROR(Товары[[#This Row],[РРЦ, евро]]/Товары[[#This Row],[IRP, Eur]],"-")</f>
        <v>-</v>
      </c>
      <c r="AX1503" s="42">
        <f>IFERROR(VLOOKUP(Товары[[#This Row],[SubGroup]],'Структура цен DIY'!$B:$C,2,FALSE),0)</f>
        <v>0.23</v>
      </c>
      <c r="AY1503" s="44">
        <v>0</v>
      </c>
    </row>
    <row r="1504" spans="1:51" x14ac:dyDescent="0.25">
      <c r="A1504" s="34">
        <v>1502</v>
      </c>
      <c r="B1504" s="34" t="s">
        <v>54</v>
      </c>
      <c r="C1504" s="110" t="str">
        <f>IFERROR(INDEX(Структура_ассортимента[SuperCategory],MATCH(Товары[[#This Row],[SubGroup]],Структура_ассортимента[Subgroup],0)),"")</f>
        <v>O</v>
      </c>
      <c r="D1504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04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04" s="110" t="str">
        <f>IFERROR(INDEX(Структура_ассортимента[Product group],MATCH(Товары[[#This Row],[SubGroup]],Структура_ассортимента[Subgroup],0)),"")</f>
        <v>WPU_C</v>
      </c>
      <c r="G1504" s="110" t="str">
        <f>IFERROR(INDEX(Структура_ассортимента[Product group name ENG],MATCH(Товары[[#This Row],[SubGroup]],Структура_ассортимента[Subgroup],0)),"")</f>
        <v>Watering, Pumps</v>
      </c>
      <c r="H1504" s="110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04" s="36">
        <v>9111</v>
      </c>
      <c r="J1504" s="36" t="str">
        <f>IFERROR(INDEX(Структура_ассортимента[Generic Name (long)],MATCH(Товары[[#This Row],[SubGroup]],Структура_ассортимента[Subgroup],0)),"")</f>
        <v>PUMP, CORDED</v>
      </c>
      <c r="L1504" s="36">
        <v>966626101</v>
      </c>
      <c r="M1504" s="35" t="s">
        <v>3180</v>
      </c>
      <c r="Q1504" s="34" t="s">
        <v>3549</v>
      </c>
      <c r="R1504" s="34" t="s">
        <v>3540</v>
      </c>
      <c r="S1504" s="47">
        <v>40452</v>
      </c>
      <c r="T1504" s="47">
        <v>0</v>
      </c>
      <c r="U1504" s="47">
        <v>0</v>
      </c>
      <c r="V1504" s="34">
        <v>4078500171908</v>
      </c>
      <c r="W1504" s="34" t="s">
        <v>3543</v>
      </c>
      <c r="X1504" s="34" t="s">
        <v>3579</v>
      </c>
      <c r="Y1504" s="34" t="s">
        <v>3542</v>
      </c>
      <c r="Z1504" s="34">
        <v>1</v>
      </c>
      <c r="AA1504" s="34" t="s">
        <v>7225</v>
      </c>
      <c r="AB1504" s="34" t="s">
        <v>7225</v>
      </c>
      <c r="AC1504" s="34" t="s">
        <v>7227</v>
      </c>
      <c r="AD1504" s="34" t="s">
        <v>7227</v>
      </c>
      <c r="AE1504" s="34" t="s">
        <v>7043</v>
      </c>
      <c r="AF1504" s="34" t="s">
        <v>6755</v>
      </c>
      <c r="AG1504" s="34" t="s">
        <v>5817</v>
      </c>
      <c r="AH1504" s="34" t="s">
        <v>7044</v>
      </c>
      <c r="AI1504" s="34" t="s">
        <v>4891</v>
      </c>
      <c r="AJ1504" s="34" t="s">
        <v>3655</v>
      </c>
      <c r="AK1504" s="34" t="s">
        <v>4257</v>
      </c>
      <c r="AL1504" s="34" t="s">
        <v>3617</v>
      </c>
      <c r="AM1504" s="40" t="s">
        <v>8095</v>
      </c>
      <c r="AT1504" s="44">
        <v>0</v>
      </c>
      <c r="AU1504" s="44"/>
      <c r="AV1504" s="46">
        <f>ROUND(Товары[[#This Row],[РРЦ финальная, руб.]]/$AU$1,2)</f>
        <v>0</v>
      </c>
      <c r="AW1504" s="45" t="str">
        <f>IFERROR(Товары[[#This Row],[РРЦ, евро]]/Товары[[#This Row],[IRP, Eur]],"-")</f>
        <v>-</v>
      </c>
      <c r="AX1504" s="42">
        <f>IFERROR(VLOOKUP(Товары[[#This Row],[SubGroup]],'Структура цен DIY'!$B:$C,2,FALSE),0)</f>
        <v>0.23</v>
      </c>
      <c r="AY1504" s="44">
        <v>0</v>
      </c>
    </row>
    <row r="1505" spans="1:51" x14ac:dyDescent="0.25">
      <c r="A1505" s="34">
        <v>1503</v>
      </c>
      <c r="B1505" s="34" t="s">
        <v>50</v>
      </c>
      <c r="C1505" s="110" t="str">
        <f>IFERROR(INDEX(Структура_ассортимента[SuperCategory],MATCH(Товары[[#This Row],[SubGroup]],Структура_ассортимента[Subgroup],0)),"")</f>
        <v>O</v>
      </c>
      <c r="D1505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05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05" s="110" t="str">
        <f>IFERROR(INDEX(Структура_ассортимента[Product group],MATCH(Товары[[#This Row],[SubGroup]],Структура_ассортимента[Subgroup],0)),"")</f>
        <v>WPU_C</v>
      </c>
      <c r="G1505" s="110" t="str">
        <f>IFERROR(INDEX(Структура_ассортимента[Product group name ENG],MATCH(Товары[[#This Row],[SubGroup]],Структура_ассортимента[Subgroup],0)),"")</f>
        <v>Watering, Pumps</v>
      </c>
      <c r="H1505" s="110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05" s="36">
        <v>9116</v>
      </c>
      <c r="J1505" s="36" t="str">
        <f>IFERROR(INDEX(Структура_ассортимента[Generic Name (long)],MATCH(Товары[[#This Row],[SubGroup]],Структура_ассортимента[Subgroup],0)),"")</f>
        <v>SUCTION HOSE</v>
      </c>
      <c r="L1505" s="36">
        <v>900947901</v>
      </c>
      <c r="M1505" s="35" t="s">
        <v>3181</v>
      </c>
      <c r="Q1505" s="34" t="s">
        <v>3549</v>
      </c>
      <c r="R1505" s="34" t="s">
        <v>3540</v>
      </c>
      <c r="S1505" s="47">
        <v>37530</v>
      </c>
      <c r="T1505" s="47">
        <v>0</v>
      </c>
      <c r="U1505" s="47">
        <v>0</v>
      </c>
      <c r="V1505" s="34">
        <v>4078500172226</v>
      </c>
      <c r="W1505" s="34" t="s">
        <v>3550</v>
      </c>
      <c r="X1505" s="34" t="s">
        <v>3907</v>
      </c>
      <c r="Y1505" s="34" t="s">
        <v>5981</v>
      </c>
      <c r="Z1505" s="34">
        <v>25</v>
      </c>
      <c r="AA1505" s="34" t="s">
        <v>7228</v>
      </c>
      <c r="AB1505" s="34" t="s">
        <v>7228</v>
      </c>
      <c r="AC1505" s="34" t="s">
        <v>4791</v>
      </c>
      <c r="AD1505" s="34" t="s">
        <v>4791</v>
      </c>
      <c r="AE1505" s="34" t="s">
        <v>3756</v>
      </c>
      <c r="AF1505" s="34" t="s">
        <v>4181</v>
      </c>
      <c r="AG1505" s="34" t="s">
        <v>4181</v>
      </c>
      <c r="AH1505" s="34" t="s">
        <v>7229</v>
      </c>
      <c r="AL1505" s="34" t="s">
        <v>4302</v>
      </c>
      <c r="AM1505" s="40" t="s">
        <v>8095</v>
      </c>
      <c r="AT1505" s="44">
        <v>0</v>
      </c>
      <c r="AU1505" s="44"/>
      <c r="AV1505" s="46">
        <f>ROUND(Товары[[#This Row],[РРЦ финальная, руб.]]/$AU$1,2)</f>
        <v>0</v>
      </c>
      <c r="AW1505" s="45" t="str">
        <f>IFERROR(Товары[[#This Row],[РРЦ, евро]]/Товары[[#This Row],[IRP, Eur]],"-")</f>
        <v>-</v>
      </c>
      <c r="AX1505" s="42">
        <f>IFERROR(VLOOKUP(Товары[[#This Row],[SubGroup]],'Структура цен DIY'!$B:$C,2,FALSE),0)</f>
        <v>0.33</v>
      </c>
      <c r="AY1505" s="44">
        <v>0</v>
      </c>
    </row>
    <row r="1506" spans="1:51" x14ac:dyDescent="0.25">
      <c r="A1506" s="34">
        <v>1504</v>
      </c>
      <c r="B1506" s="34" t="s">
        <v>50</v>
      </c>
      <c r="C1506" s="110" t="str">
        <f>IFERROR(INDEX(Структура_ассортимента[SuperCategory],MATCH(Товары[[#This Row],[SubGroup]],Структура_ассортимента[Subgroup],0)),"")</f>
        <v>O</v>
      </c>
      <c r="D1506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06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06" s="110" t="str">
        <f>IFERROR(INDEX(Структура_ассортимента[Product group],MATCH(Товары[[#This Row],[SubGroup]],Структура_ассортимента[Subgroup],0)),"")</f>
        <v>WPU_C</v>
      </c>
      <c r="G1506" s="110" t="str">
        <f>IFERROR(INDEX(Структура_ассортимента[Product group name ENG],MATCH(Товары[[#This Row],[SubGroup]],Структура_ассортимента[Subgroup],0)),"")</f>
        <v>Watering, Pumps</v>
      </c>
      <c r="H1506" s="110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06" s="36">
        <v>9116</v>
      </c>
      <c r="J1506" s="36" t="str">
        <f>IFERROR(INDEX(Структура_ассортимента[Generic Name (long)],MATCH(Товары[[#This Row],[SubGroup]],Структура_ассортимента[Subgroup],0)),"")</f>
        <v>SUCTION HOSE</v>
      </c>
      <c r="L1506" s="36">
        <v>900948001</v>
      </c>
      <c r="M1506" s="35" t="s">
        <v>3182</v>
      </c>
      <c r="O1506" s="35" t="s">
        <v>7230</v>
      </c>
      <c r="P1506" s="37" t="s">
        <v>7231</v>
      </c>
      <c r="Q1506" s="34" t="s">
        <v>3549</v>
      </c>
      <c r="R1506" s="34" t="s">
        <v>3540</v>
      </c>
      <c r="S1506" s="47">
        <v>34973</v>
      </c>
      <c r="T1506" s="47">
        <v>0</v>
      </c>
      <c r="U1506" s="47">
        <v>0</v>
      </c>
      <c r="V1506" s="34">
        <v>4078500172301</v>
      </c>
      <c r="W1506" s="34" t="s">
        <v>3543</v>
      </c>
      <c r="X1506" s="34" t="s">
        <v>3579</v>
      </c>
      <c r="Y1506" s="34" t="s">
        <v>3542</v>
      </c>
      <c r="Z1506" s="34">
        <v>6</v>
      </c>
      <c r="AA1506" s="34" t="s">
        <v>6530</v>
      </c>
      <c r="AB1506" s="34" t="s">
        <v>6530</v>
      </c>
      <c r="AC1506" s="34" t="s">
        <v>6655</v>
      </c>
      <c r="AD1506" s="34" t="s">
        <v>6655</v>
      </c>
      <c r="AE1506" s="34" t="s">
        <v>3693</v>
      </c>
      <c r="AF1506" s="34" t="s">
        <v>3576</v>
      </c>
      <c r="AG1506" s="34" t="s">
        <v>4780</v>
      </c>
      <c r="AH1506" s="34" t="s">
        <v>7232</v>
      </c>
      <c r="AL1506" s="34" t="s">
        <v>6606</v>
      </c>
      <c r="AM1506" s="40" t="s">
        <v>9</v>
      </c>
      <c r="AP1506" s="34">
        <v>0</v>
      </c>
      <c r="AQ1506" s="34">
        <v>649</v>
      </c>
      <c r="AR1506" s="34">
        <v>355</v>
      </c>
      <c r="AT1506" s="44">
        <v>50300</v>
      </c>
      <c r="AU1506" s="44"/>
      <c r="AV1506" s="46">
        <f>ROUND(Товары[[#This Row],[РРЦ финальная, руб.]]/$AU$1,2)</f>
        <v>0</v>
      </c>
      <c r="AW1506" s="45" t="str">
        <f>IFERROR(Товары[[#This Row],[РРЦ, евро]]/Товары[[#This Row],[IRP, Eur]],"-")</f>
        <v>-</v>
      </c>
      <c r="AX1506" s="42">
        <f>IFERROR(VLOOKUP(Товары[[#This Row],[SubGroup]],'Структура цен DIY'!$B:$C,2,FALSE),0)</f>
        <v>0.33</v>
      </c>
      <c r="AY1506" s="44">
        <v>0</v>
      </c>
    </row>
    <row r="1507" spans="1:51" x14ac:dyDescent="0.25">
      <c r="A1507" s="34">
        <v>1505</v>
      </c>
      <c r="B1507" s="34" t="s">
        <v>50</v>
      </c>
      <c r="C1507" s="110" t="str">
        <f>IFERROR(INDEX(Структура_ассортимента[SuperCategory],MATCH(Товары[[#This Row],[SubGroup]],Структура_ассортимента[Subgroup],0)),"")</f>
        <v>O</v>
      </c>
      <c r="D1507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07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07" s="110" t="str">
        <f>IFERROR(INDEX(Структура_ассортимента[Product group],MATCH(Товары[[#This Row],[SubGroup]],Структура_ассортимента[Subgroup],0)),"")</f>
        <v>WPU_C</v>
      </c>
      <c r="G1507" s="110" t="str">
        <f>IFERROR(INDEX(Структура_ассортимента[Product group name ENG],MATCH(Товары[[#This Row],[SubGroup]],Структура_ассортимента[Subgroup],0)),"")</f>
        <v>Watering, Pumps</v>
      </c>
      <c r="H1507" s="110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07" s="36">
        <v>9116</v>
      </c>
      <c r="J1507" s="36" t="str">
        <f>IFERROR(INDEX(Структура_ассортимента[Generic Name (long)],MATCH(Товары[[#This Row],[SubGroup]],Структура_ассортимента[Subgroup],0)),"")</f>
        <v>SUCTION HOSE</v>
      </c>
      <c r="L1507" s="36">
        <v>900948101</v>
      </c>
      <c r="M1507" s="35" t="s">
        <v>3183</v>
      </c>
      <c r="O1507" s="35" t="s">
        <v>7233</v>
      </c>
      <c r="P1507" s="37" t="s">
        <v>7234</v>
      </c>
      <c r="Q1507" s="34" t="s">
        <v>3549</v>
      </c>
      <c r="R1507" s="34" t="s">
        <v>3540</v>
      </c>
      <c r="S1507" s="47">
        <v>34973</v>
      </c>
      <c r="T1507" s="47">
        <v>0</v>
      </c>
      <c r="U1507" s="47">
        <v>0</v>
      </c>
      <c r="V1507" s="34">
        <v>4078500172400</v>
      </c>
      <c r="W1507" s="34" t="s">
        <v>3543</v>
      </c>
      <c r="X1507" s="34" t="s">
        <v>3579</v>
      </c>
      <c r="Y1507" s="34" t="s">
        <v>3542</v>
      </c>
      <c r="Z1507" s="34">
        <v>6</v>
      </c>
      <c r="AA1507" s="34" t="s">
        <v>3653</v>
      </c>
      <c r="AB1507" s="34" t="s">
        <v>3653</v>
      </c>
      <c r="AC1507" s="34" t="s">
        <v>5651</v>
      </c>
      <c r="AD1507" s="34" t="s">
        <v>5651</v>
      </c>
      <c r="AE1507" s="34" t="s">
        <v>4335</v>
      </c>
      <c r="AF1507" s="34" t="s">
        <v>3754</v>
      </c>
      <c r="AG1507" s="34" t="s">
        <v>4468</v>
      </c>
      <c r="AH1507" s="34" t="s">
        <v>7232</v>
      </c>
      <c r="AL1507" s="34" t="s">
        <v>6606</v>
      </c>
      <c r="AM1507" s="40" t="s">
        <v>9</v>
      </c>
      <c r="AP1507" s="34">
        <v>0</v>
      </c>
      <c r="AQ1507" s="34">
        <v>759</v>
      </c>
      <c r="AR1507" s="34">
        <v>416</v>
      </c>
      <c r="AT1507" s="44">
        <v>58800</v>
      </c>
      <c r="AU1507" s="44"/>
      <c r="AV1507" s="46">
        <f>ROUND(Товары[[#This Row],[РРЦ финальная, руб.]]/$AU$1,2)</f>
        <v>0</v>
      </c>
      <c r="AW1507" s="45" t="str">
        <f>IFERROR(Товары[[#This Row],[РРЦ, евро]]/Товары[[#This Row],[IRP, Eur]],"-")</f>
        <v>-</v>
      </c>
      <c r="AX1507" s="42">
        <f>IFERROR(VLOOKUP(Товары[[#This Row],[SubGroup]],'Структура цен DIY'!$B:$C,2,FALSE),0)</f>
        <v>0.33</v>
      </c>
      <c r="AY1507" s="44">
        <v>0</v>
      </c>
    </row>
    <row r="1508" spans="1:51" x14ac:dyDescent="0.25">
      <c r="A1508" s="34">
        <v>1506</v>
      </c>
      <c r="B1508" s="34" t="s">
        <v>50</v>
      </c>
      <c r="C1508" s="110" t="str">
        <f>IFERROR(INDEX(Структура_ассортимента[SuperCategory],MATCH(Товары[[#This Row],[SubGroup]],Структура_ассортимента[Subgroup],0)),"")</f>
        <v>O</v>
      </c>
      <c r="D1508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08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08" s="110" t="str">
        <f>IFERROR(INDEX(Структура_ассортимента[Product group],MATCH(Товары[[#This Row],[SubGroup]],Структура_ассортимента[Subgroup],0)),"")</f>
        <v>WPU_C</v>
      </c>
      <c r="G1508" s="110" t="str">
        <f>IFERROR(INDEX(Структура_ассортимента[Product group name ENG],MATCH(Товары[[#This Row],[SubGroup]],Структура_ассортимента[Subgroup],0)),"")</f>
        <v>Watering, Pumps</v>
      </c>
      <c r="H1508" s="110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08" s="36">
        <v>9116</v>
      </c>
      <c r="J1508" s="36" t="str">
        <f>IFERROR(INDEX(Структура_ассортимента[Generic Name (long)],MATCH(Товары[[#This Row],[SubGroup]],Структура_ассортимента[Subgroup],0)),"")</f>
        <v>SUCTION HOSE</v>
      </c>
      <c r="L1508" s="36">
        <v>900948201</v>
      </c>
      <c r="M1508" s="35" t="s">
        <v>3184</v>
      </c>
      <c r="O1508" s="35" t="s">
        <v>7235</v>
      </c>
      <c r="P1508" s="37" t="s">
        <v>7236</v>
      </c>
      <c r="Q1508" s="34" t="s">
        <v>3549</v>
      </c>
      <c r="R1508" s="34" t="s">
        <v>3540</v>
      </c>
      <c r="S1508" s="47">
        <v>34973</v>
      </c>
      <c r="T1508" s="47">
        <v>0</v>
      </c>
      <c r="U1508" s="47">
        <v>0</v>
      </c>
      <c r="V1508" s="34">
        <v>4078500172608</v>
      </c>
      <c r="W1508" s="34" t="s">
        <v>3543</v>
      </c>
      <c r="X1508" s="34" t="s">
        <v>3579</v>
      </c>
      <c r="Y1508" s="34" t="s">
        <v>3542</v>
      </c>
      <c r="Z1508" s="34">
        <v>4</v>
      </c>
      <c r="AA1508" s="34" t="s">
        <v>3996</v>
      </c>
      <c r="AB1508" s="34" t="s">
        <v>3996</v>
      </c>
      <c r="AC1508" s="34" t="s">
        <v>7237</v>
      </c>
      <c r="AD1508" s="34" t="s">
        <v>7237</v>
      </c>
      <c r="AE1508" s="34" t="s">
        <v>4391</v>
      </c>
      <c r="AF1508" s="34" t="s">
        <v>3931</v>
      </c>
      <c r="AG1508" s="34" t="s">
        <v>3800</v>
      </c>
      <c r="AH1508" s="34" t="s">
        <v>7238</v>
      </c>
      <c r="AL1508" s="34" t="s">
        <v>6607</v>
      </c>
      <c r="AM1508" s="40" t="s">
        <v>9</v>
      </c>
      <c r="AP1508" s="34">
        <v>0</v>
      </c>
      <c r="AQ1508" s="34">
        <v>1529</v>
      </c>
      <c r="AR1508" s="34">
        <v>833</v>
      </c>
      <c r="AT1508" s="44">
        <v>118400</v>
      </c>
      <c r="AU1508" s="44"/>
      <c r="AV1508" s="46">
        <f>ROUND(Товары[[#This Row],[РРЦ финальная, руб.]]/$AU$1,2)</f>
        <v>0</v>
      </c>
      <c r="AW1508" s="45" t="str">
        <f>IFERROR(Товары[[#This Row],[РРЦ, евро]]/Товары[[#This Row],[IRP, Eur]],"-")</f>
        <v>-</v>
      </c>
      <c r="AX1508" s="42">
        <f>IFERROR(VLOOKUP(Товары[[#This Row],[SubGroup]],'Структура цен DIY'!$B:$C,2,FALSE),0)</f>
        <v>0.33</v>
      </c>
      <c r="AY1508" s="44">
        <v>0</v>
      </c>
    </row>
    <row r="1509" spans="1:51" x14ac:dyDescent="0.25">
      <c r="A1509" s="34">
        <v>1507</v>
      </c>
      <c r="B1509" s="34" t="s">
        <v>50</v>
      </c>
      <c r="C1509" s="110" t="str">
        <f>IFERROR(INDEX(Структура_ассортимента[SuperCategory],MATCH(Товары[[#This Row],[SubGroup]],Структура_ассортимента[Subgroup],0)),"")</f>
        <v>O</v>
      </c>
      <c r="D1509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09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09" s="110" t="str">
        <f>IFERROR(INDEX(Структура_ассортимента[Product group],MATCH(Товары[[#This Row],[SubGroup]],Структура_ассортимента[Subgroup],0)),"")</f>
        <v>WPU_C</v>
      </c>
      <c r="G1509" s="110" t="str">
        <f>IFERROR(INDEX(Структура_ассортимента[Product group name ENG],MATCH(Товары[[#This Row],[SubGroup]],Структура_ассортимента[Subgroup],0)),"")</f>
        <v>Watering, Pumps</v>
      </c>
      <c r="H1509" s="110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09" s="36">
        <v>9116</v>
      </c>
      <c r="J1509" s="36" t="str">
        <f>IFERROR(INDEX(Структура_ассортимента[Generic Name (long)],MATCH(Товары[[#This Row],[SubGroup]],Структура_ассортимента[Subgroup],0)),"")</f>
        <v>SUCTION HOSE</v>
      </c>
      <c r="L1509" s="36">
        <v>900948301</v>
      </c>
      <c r="M1509" s="35" t="s">
        <v>3185</v>
      </c>
      <c r="O1509" s="35" t="s">
        <v>7235</v>
      </c>
      <c r="P1509" s="37" t="s">
        <v>7239</v>
      </c>
      <c r="Q1509" s="34" t="s">
        <v>3549</v>
      </c>
      <c r="R1509" s="34" t="s">
        <v>3540</v>
      </c>
      <c r="S1509" s="47">
        <v>34973</v>
      </c>
      <c r="T1509" s="47">
        <v>0</v>
      </c>
      <c r="U1509" s="47">
        <v>0</v>
      </c>
      <c r="V1509" s="34">
        <v>4078500172707</v>
      </c>
      <c r="W1509" s="34" t="s">
        <v>3543</v>
      </c>
      <c r="X1509" s="34" t="s">
        <v>3579</v>
      </c>
      <c r="Y1509" s="34" t="s">
        <v>3542</v>
      </c>
      <c r="Z1509" s="34">
        <v>4</v>
      </c>
      <c r="AA1509" s="34" t="s">
        <v>7240</v>
      </c>
      <c r="AB1509" s="34" t="s">
        <v>7240</v>
      </c>
      <c r="AC1509" s="34" t="s">
        <v>3996</v>
      </c>
      <c r="AD1509" s="34" t="s">
        <v>3996</v>
      </c>
      <c r="AE1509" s="34" t="s">
        <v>4391</v>
      </c>
      <c r="AF1509" s="34" t="s">
        <v>3931</v>
      </c>
      <c r="AG1509" s="34" t="s">
        <v>4632</v>
      </c>
      <c r="AH1509" s="34" t="s">
        <v>7241</v>
      </c>
      <c r="AL1509" s="34" t="s">
        <v>5233</v>
      </c>
      <c r="AM1509" s="40" t="s">
        <v>9</v>
      </c>
      <c r="AP1509" s="34">
        <v>0</v>
      </c>
      <c r="AQ1509" s="34">
        <v>1639</v>
      </c>
      <c r="AR1509" s="34">
        <v>893</v>
      </c>
      <c r="AT1509" s="44">
        <v>126900</v>
      </c>
      <c r="AU1509" s="44"/>
      <c r="AV1509" s="46">
        <f>ROUND(Товары[[#This Row],[РРЦ финальная, руб.]]/$AU$1,2)</f>
        <v>0</v>
      </c>
      <c r="AW1509" s="45" t="str">
        <f>IFERROR(Товары[[#This Row],[РРЦ, евро]]/Товары[[#This Row],[IRP, Eur]],"-")</f>
        <v>-</v>
      </c>
      <c r="AX1509" s="42">
        <f>IFERROR(VLOOKUP(Товары[[#This Row],[SubGroup]],'Структура цен DIY'!$B:$C,2,FALSE),0)</f>
        <v>0.33</v>
      </c>
      <c r="AY1509" s="44">
        <v>0</v>
      </c>
    </row>
    <row r="1510" spans="1:51" x14ac:dyDescent="0.25">
      <c r="A1510" s="34">
        <v>1508</v>
      </c>
      <c r="B1510" s="34" t="s">
        <v>50</v>
      </c>
      <c r="C1510" s="110" t="str">
        <f>IFERROR(INDEX(Структура_ассортимента[SuperCategory],MATCH(Товары[[#This Row],[SubGroup]],Структура_ассортимента[Subgroup],0)),"")</f>
        <v>O</v>
      </c>
      <c r="D1510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10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10" s="110" t="str">
        <f>IFERROR(INDEX(Структура_ассортимента[Product group],MATCH(Товары[[#This Row],[SubGroup]],Структура_ассортимента[Subgroup],0)),"")</f>
        <v>WPU_C</v>
      </c>
      <c r="G1510" s="110" t="str">
        <f>IFERROR(INDEX(Структура_ассортимента[Product group name ENG],MATCH(Товары[[#This Row],[SubGroup]],Структура_ассортимента[Subgroup],0)),"")</f>
        <v>Watering, Pumps</v>
      </c>
      <c r="H1510" s="110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10" s="36">
        <v>9116</v>
      </c>
      <c r="J1510" s="36" t="str">
        <f>IFERROR(INDEX(Структура_ассортимента[Generic Name (long)],MATCH(Товары[[#This Row],[SubGroup]],Структура_ассортимента[Subgroup],0)),"")</f>
        <v>SUCTION HOSE</v>
      </c>
      <c r="L1510" s="36">
        <v>900948401</v>
      </c>
      <c r="M1510" s="35" t="s">
        <v>3186</v>
      </c>
      <c r="Q1510" s="34" t="s">
        <v>3549</v>
      </c>
      <c r="R1510" s="34" t="s">
        <v>3540</v>
      </c>
      <c r="S1510" s="47">
        <v>34973</v>
      </c>
      <c r="T1510" s="47">
        <v>0</v>
      </c>
      <c r="U1510" s="47">
        <v>0</v>
      </c>
      <c r="V1510" s="34">
        <v>4078500172806</v>
      </c>
      <c r="W1510" s="34" t="s">
        <v>3543</v>
      </c>
      <c r="X1510" s="34" t="s">
        <v>3579</v>
      </c>
      <c r="Y1510" s="34" t="s">
        <v>3542</v>
      </c>
      <c r="Z1510" s="34">
        <v>4</v>
      </c>
      <c r="AA1510" s="34" t="s">
        <v>4180</v>
      </c>
      <c r="AB1510" s="34" t="s">
        <v>3928</v>
      </c>
      <c r="AC1510" s="34" t="s">
        <v>4919</v>
      </c>
      <c r="AD1510" s="34" t="s">
        <v>4002</v>
      </c>
      <c r="AE1510" s="34" t="s">
        <v>3576</v>
      </c>
      <c r="AF1510" s="34" t="s">
        <v>3866</v>
      </c>
      <c r="AG1510" s="34" t="s">
        <v>4207</v>
      </c>
      <c r="AH1510" s="34" t="s">
        <v>6074</v>
      </c>
      <c r="AL1510" s="34" t="s">
        <v>7242</v>
      </c>
      <c r="AM1510" s="40" t="s">
        <v>8095</v>
      </c>
      <c r="AT1510" s="44">
        <v>0</v>
      </c>
      <c r="AU1510" s="44"/>
      <c r="AV1510" s="46">
        <f>ROUND(Товары[[#This Row],[РРЦ финальная, руб.]]/$AU$1,2)</f>
        <v>0</v>
      </c>
      <c r="AW1510" s="45" t="str">
        <f>IFERROR(Товары[[#This Row],[РРЦ, евро]]/Товары[[#This Row],[IRP, Eur]],"-")</f>
        <v>-</v>
      </c>
      <c r="AX1510" s="42">
        <f>IFERROR(VLOOKUP(Товары[[#This Row],[SubGroup]],'Структура цен DIY'!$B:$C,2,FALSE),0)</f>
        <v>0.33</v>
      </c>
      <c r="AY1510" s="44">
        <v>0</v>
      </c>
    </row>
    <row r="1511" spans="1:51" x14ac:dyDescent="0.25">
      <c r="A1511" s="34">
        <v>1509</v>
      </c>
      <c r="B1511" s="34" t="s">
        <v>50</v>
      </c>
      <c r="C1511" s="110" t="str">
        <f>IFERROR(INDEX(Структура_ассортимента[SuperCategory],MATCH(Товары[[#This Row],[SubGroup]],Структура_ассортимента[Subgroup],0)),"")</f>
        <v>O</v>
      </c>
      <c r="D1511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11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11" s="110" t="str">
        <f>IFERROR(INDEX(Структура_ассортимента[Product group],MATCH(Товары[[#This Row],[SubGroup]],Структура_ассортимента[Subgroup],0)),"")</f>
        <v>WPU_C</v>
      </c>
      <c r="G1511" s="110" t="str">
        <f>IFERROR(INDEX(Структура_ассортимента[Product group name ENG],MATCH(Товары[[#This Row],[SubGroup]],Структура_ассортимента[Subgroup],0)),"")</f>
        <v>Watering, Pumps</v>
      </c>
      <c r="H1511" s="110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11" s="36">
        <v>9116</v>
      </c>
      <c r="J1511" s="36" t="str">
        <f>IFERROR(INDEX(Структура_ассортимента[Generic Name (long)],MATCH(Товары[[#This Row],[SubGroup]],Структура_ассортимента[Subgroup],0)),"")</f>
        <v>SUCTION HOSE</v>
      </c>
      <c r="L1511" s="36">
        <v>900948501</v>
      </c>
      <c r="M1511" s="35" t="s">
        <v>3187</v>
      </c>
      <c r="O1511" s="35" t="s">
        <v>7243</v>
      </c>
      <c r="P1511" s="37" t="s">
        <v>7244</v>
      </c>
      <c r="Q1511" s="34" t="s">
        <v>3549</v>
      </c>
      <c r="R1511" s="34" t="s">
        <v>3540</v>
      </c>
      <c r="S1511" s="47">
        <v>34973</v>
      </c>
      <c r="T1511" s="47">
        <v>0</v>
      </c>
      <c r="U1511" s="47">
        <v>0</v>
      </c>
      <c r="V1511" s="34">
        <v>4078500172905</v>
      </c>
      <c r="W1511" s="34" t="s">
        <v>3543</v>
      </c>
      <c r="X1511" s="34" t="s">
        <v>3579</v>
      </c>
      <c r="Y1511" s="34" t="s">
        <v>3542</v>
      </c>
      <c r="Z1511" s="34">
        <v>4</v>
      </c>
      <c r="AA1511" s="34" t="s">
        <v>4783</v>
      </c>
      <c r="AB1511" s="34" t="s">
        <v>4783</v>
      </c>
      <c r="AC1511" s="34" t="s">
        <v>4179</v>
      </c>
      <c r="AD1511" s="34" t="s">
        <v>4179</v>
      </c>
      <c r="AE1511" s="34" t="s">
        <v>3655</v>
      </c>
      <c r="AF1511" s="34" t="s">
        <v>3764</v>
      </c>
      <c r="AG1511" s="34" t="s">
        <v>4181</v>
      </c>
      <c r="AH1511" s="34" t="s">
        <v>7245</v>
      </c>
      <c r="AL1511" s="34" t="s">
        <v>4903</v>
      </c>
      <c r="AM1511" s="40" t="s">
        <v>9</v>
      </c>
      <c r="AP1511" s="34">
        <v>0</v>
      </c>
      <c r="AQ1511" s="34">
        <v>1859</v>
      </c>
      <c r="AR1511" s="34">
        <v>1018</v>
      </c>
      <c r="AT1511" s="44">
        <v>144000</v>
      </c>
      <c r="AU1511" s="44"/>
      <c r="AV1511" s="46">
        <f>ROUND(Товары[[#This Row],[РРЦ финальная, руб.]]/$AU$1,2)</f>
        <v>0</v>
      </c>
      <c r="AW1511" s="45" t="str">
        <f>IFERROR(Товары[[#This Row],[РРЦ, евро]]/Товары[[#This Row],[IRP, Eur]],"-")</f>
        <v>-</v>
      </c>
      <c r="AX1511" s="42">
        <f>IFERROR(VLOOKUP(Товары[[#This Row],[SubGroup]],'Структура цен DIY'!$B:$C,2,FALSE),0)</f>
        <v>0.33</v>
      </c>
      <c r="AY1511" s="44">
        <v>0</v>
      </c>
    </row>
    <row r="1512" spans="1:51" x14ac:dyDescent="0.25">
      <c r="A1512" s="34">
        <v>1510</v>
      </c>
      <c r="B1512" s="34" t="s">
        <v>50</v>
      </c>
      <c r="C1512" s="110" t="str">
        <f>IFERROR(INDEX(Структура_ассортимента[SuperCategory],MATCH(Товары[[#This Row],[SubGroup]],Структура_ассортимента[Subgroup],0)),"")</f>
        <v>O</v>
      </c>
      <c r="D1512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12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12" s="110" t="str">
        <f>IFERROR(INDEX(Структура_ассортимента[Product group],MATCH(Товары[[#This Row],[SubGroup]],Структура_ассортимента[Subgroup],0)),"")</f>
        <v>WPU_C</v>
      </c>
      <c r="G1512" s="110" t="str">
        <f>IFERROR(INDEX(Структура_ассортимента[Product group name ENG],MATCH(Товары[[#This Row],[SubGroup]],Структура_ассортимента[Subgroup],0)),"")</f>
        <v>Watering, Pumps</v>
      </c>
      <c r="H1512" s="110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12" s="36">
        <v>9116</v>
      </c>
      <c r="J1512" s="36" t="str">
        <f>IFERROR(INDEX(Структура_ассортимента[Generic Name (long)],MATCH(Товары[[#This Row],[SubGroup]],Структура_ассортимента[Subgroup],0)),"")</f>
        <v>SUCTION HOSE</v>
      </c>
      <c r="L1512" s="36">
        <v>900948601</v>
      </c>
      <c r="M1512" s="35" t="s">
        <v>3188</v>
      </c>
      <c r="O1512" s="35" t="s">
        <v>7246</v>
      </c>
      <c r="P1512" s="37" t="s">
        <v>7247</v>
      </c>
      <c r="Q1512" s="34" t="s">
        <v>3549</v>
      </c>
      <c r="R1512" s="34" t="s">
        <v>3540</v>
      </c>
      <c r="S1512" s="47">
        <v>35704</v>
      </c>
      <c r="T1512" s="47">
        <v>0</v>
      </c>
      <c r="U1512" s="47">
        <v>0</v>
      </c>
      <c r="V1512" s="34">
        <v>4078500173001</v>
      </c>
      <c r="W1512" s="34" t="s">
        <v>3550</v>
      </c>
      <c r="X1512" s="34" t="s">
        <v>3907</v>
      </c>
      <c r="Y1512" s="34" t="s">
        <v>3542</v>
      </c>
      <c r="Z1512" s="34">
        <v>2</v>
      </c>
      <c r="AA1512" s="34" t="s">
        <v>7248</v>
      </c>
      <c r="AB1512" s="34" t="s">
        <v>7248</v>
      </c>
      <c r="AC1512" s="34" t="s">
        <v>3899</v>
      </c>
      <c r="AD1512" s="34" t="s">
        <v>3899</v>
      </c>
      <c r="AE1512" s="34" t="s">
        <v>6009</v>
      </c>
      <c r="AF1512" s="34" t="s">
        <v>3556</v>
      </c>
      <c r="AG1512" s="34" t="s">
        <v>3556</v>
      </c>
      <c r="AH1512" s="34" t="s">
        <v>7249</v>
      </c>
      <c r="AI1512" s="34" t="s">
        <v>3968</v>
      </c>
      <c r="AJ1512" s="34" t="s">
        <v>4202</v>
      </c>
      <c r="AK1512" s="34" t="s">
        <v>3560</v>
      </c>
      <c r="AL1512" s="34" t="s">
        <v>3593</v>
      </c>
      <c r="AM1512" s="40" t="s">
        <v>9</v>
      </c>
      <c r="AP1512" s="34">
        <v>0</v>
      </c>
      <c r="AQ1512" s="34">
        <v>5379</v>
      </c>
      <c r="AR1512" s="34">
        <v>2944</v>
      </c>
      <c r="AT1512" s="44">
        <v>416600</v>
      </c>
      <c r="AU1512" s="44"/>
      <c r="AV1512" s="46">
        <f>ROUND(Товары[[#This Row],[РРЦ финальная, руб.]]/$AU$1,2)</f>
        <v>0</v>
      </c>
      <c r="AW1512" s="45" t="str">
        <f>IFERROR(Товары[[#This Row],[РРЦ, евро]]/Товары[[#This Row],[IRP, Eur]],"-")</f>
        <v>-</v>
      </c>
      <c r="AX1512" s="42">
        <f>IFERROR(VLOOKUP(Товары[[#This Row],[SubGroup]],'Структура цен DIY'!$B:$C,2,FALSE),0)</f>
        <v>0.33</v>
      </c>
      <c r="AY1512" s="44">
        <v>0</v>
      </c>
    </row>
    <row r="1513" spans="1:51" x14ac:dyDescent="0.25">
      <c r="A1513" s="34">
        <v>1511</v>
      </c>
      <c r="B1513" s="34" t="s">
        <v>50</v>
      </c>
      <c r="C1513" s="110" t="str">
        <f>IFERROR(INDEX(Структура_ассортимента[SuperCategory],MATCH(Товары[[#This Row],[SubGroup]],Структура_ассортимента[Subgroup],0)),"")</f>
        <v>O</v>
      </c>
      <c r="D1513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13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13" s="110" t="str">
        <f>IFERROR(INDEX(Структура_ассортимента[Product group],MATCH(Товары[[#This Row],[SubGroup]],Структура_ассортимента[Subgroup],0)),"")</f>
        <v>WPU_C</v>
      </c>
      <c r="G1513" s="110" t="str">
        <f>IFERROR(INDEX(Структура_ассортимента[Product group name ENG],MATCH(Товары[[#This Row],[SubGroup]],Структура_ассортимента[Subgroup],0)),"")</f>
        <v>Watering, Pumps</v>
      </c>
      <c r="H1513" s="110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13" s="36">
        <v>9116</v>
      </c>
      <c r="J1513" s="36" t="str">
        <f>IFERROR(INDEX(Структура_ассортимента[Generic Name (long)],MATCH(Товары[[#This Row],[SubGroup]],Структура_ассортимента[Subgroup],0)),"")</f>
        <v>SUCTION HOSE</v>
      </c>
      <c r="L1513" s="36">
        <v>900948701</v>
      </c>
      <c r="M1513" s="35" t="s">
        <v>3189</v>
      </c>
      <c r="O1513" s="35" t="s">
        <v>7250</v>
      </c>
      <c r="P1513" s="37" t="s">
        <v>7251</v>
      </c>
      <c r="Q1513" s="34" t="s">
        <v>3549</v>
      </c>
      <c r="R1513" s="34" t="s">
        <v>3540</v>
      </c>
      <c r="S1513" s="47">
        <v>34973</v>
      </c>
      <c r="T1513" s="47">
        <v>0</v>
      </c>
      <c r="U1513" s="47">
        <v>0</v>
      </c>
      <c r="V1513" s="34">
        <v>4078500173100</v>
      </c>
      <c r="W1513" s="34" t="s">
        <v>3550</v>
      </c>
      <c r="X1513" s="34" t="s">
        <v>3907</v>
      </c>
      <c r="Y1513" s="34" t="s">
        <v>3542</v>
      </c>
      <c r="Z1513" s="34">
        <v>2</v>
      </c>
      <c r="AA1513" s="34" t="s">
        <v>4825</v>
      </c>
      <c r="AB1513" s="34" t="s">
        <v>4825</v>
      </c>
      <c r="AC1513" s="34" t="s">
        <v>7252</v>
      </c>
      <c r="AD1513" s="34" t="s">
        <v>7252</v>
      </c>
      <c r="AE1513" s="34" t="s">
        <v>3826</v>
      </c>
      <c r="AF1513" s="34" t="s">
        <v>3556</v>
      </c>
      <c r="AG1513" s="34" t="s">
        <v>3556</v>
      </c>
      <c r="AH1513" s="34" t="s">
        <v>7253</v>
      </c>
      <c r="AI1513" s="34" t="s">
        <v>3968</v>
      </c>
      <c r="AJ1513" s="34" t="s">
        <v>3920</v>
      </c>
      <c r="AK1513" s="34" t="s">
        <v>3560</v>
      </c>
      <c r="AL1513" s="34" t="s">
        <v>7254</v>
      </c>
      <c r="AM1513" s="40" t="s">
        <v>9</v>
      </c>
      <c r="AP1513" s="34">
        <v>0</v>
      </c>
      <c r="AQ1513" s="34">
        <v>4829</v>
      </c>
      <c r="AR1513" s="34">
        <v>2643</v>
      </c>
      <c r="AT1513" s="44">
        <v>374000</v>
      </c>
      <c r="AU1513" s="44"/>
      <c r="AV1513" s="46">
        <f>ROUND(Товары[[#This Row],[РРЦ финальная, руб.]]/$AU$1,2)</f>
        <v>0</v>
      </c>
      <c r="AW1513" s="45" t="str">
        <f>IFERROR(Товары[[#This Row],[РРЦ, евро]]/Товары[[#This Row],[IRP, Eur]],"-")</f>
        <v>-</v>
      </c>
      <c r="AX1513" s="42">
        <f>IFERROR(VLOOKUP(Товары[[#This Row],[SubGroup]],'Структура цен DIY'!$B:$C,2,FALSE),0)</f>
        <v>0.33</v>
      </c>
      <c r="AY1513" s="44">
        <v>0</v>
      </c>
    </row>
    <row r="1514" spans="1:51" x14ac:dyDescent="0.25">
      <c r="A1514" s="34">
        <v>1512</v>
      </c>
      <c r="B1514" s="34" t="s">
        <v>54</v>
      </c>
      <c r="C1514" s="110" t="str">
        <f>IFERROR(INDEX(Структура_ассортимента[SuperCategory],MATCH(Товары[[#This Row],[SubGroup]],Структура_ассортимента[Subgroup],0)),"")</f>
        <v>O</v>
      </c>
      <c r="D1514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14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14" s="110" t="str">
        <f>IFERROR(INDEX(Структура_ассортимента[Product group],MATCH(Товары[[#This Row],[SubGroup]],Структура_ассортимента[Subgroup],0)),"")</f>
        <v>WPU_C</v>
      </c>
      <c r="G1514" s="110" t="str">
        <f>IFERROR(INDEX(Структура_ассортимента[Product group name ENG],MATCH(Товары[[#This Row],[SubGroup]],Структура_ассортимента[Subgroup],0)),"")</f>
        <v>Watering, Pumps</v>
      </c>
      <c r="H1514" s="110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14" s="36">
        <v>9111</v>
      </c>
      <c r="J1514" s="36" t="str">
        <f>IFERROR(INDEX(Структура_ассортимента[Generic Name (long)],MATCH(Товары[[#This Row],[SubGroup]],Структура_ассортимента[Subgroup],0)),"")</f>
        <v>PUMP, CORDED</v>
      </c>
      <c r="L1514" s="36">
        <v>966606601</v>
      </c>
      <c r="M1514" s="35" t="s">
        <v>3190</v>
      </c>
      <c r="O1514" s="35" t="s">
        <v>7255</v>
      </c>
      <c r="P1514" s="37" t="s">
        <v>7256</v>
      </c>
      <c r="Q1514" s="34" t="s">
        <v>3549</v>
      </c>
      <c r="R1514" s="34" t="s">
        <v>3540</v>
      </c>
      <c r="S1514" s="47">
        <v>40452</v>
      </c>
      <c r="T1514" s="47">
        <v>0</v>
      </c>
      <c r="U1514" s="47">
        <v>0</v>
      </c>
      <c r="V1514" s="34">
        <v>4078500173209</v>
      </c>
      <c r="W1514" s="34" t="s">
        <v>3550</v>
      </c>
      <c r="X1514" s="34" t="s">
        <v>3551</v>
      </c>
      <c r="Y1514" s="34" t="s">
        <v>3542</v>
      </c>
      <c r="Z1514" s="34">
        <v>1</v>
      </c>
      <c r="AA1514" s="34" t="s">
        <v>7257</v>
      </c>
      <c r="AB1514" s="34" t="s">
        <v>7257</v>
      </c>
      <c r="AC1514" s="34" t="s">
        <v>7003</v>
      </c>
      <c r="AD1514" s="34" t="s">
        <v>7003</v>
      </c>
      <c r="AE1514" s="34" t="s">
        <v>4413</v>
      </c>
      <c r="AF1514" s="34" t="s">
        <v>5028</v>
      </c>
      <c r="AG1514" s="34" t="s">
        <v>4510</v>
      </c>
      <c r="AH1514" s="34" t="s">
        <v>7258</v>
      </c>
      <c r="AI1514" s="34" t="s">
        <v>4457</v>
      </c>
      <c r="AJ1514" s="34" t="s">
        <v>5048</v>
      </c>
      <c r="AK1514" s="34" t="s">
        <v>4309</v>
      </c>
      <c r="AL1514" s="34" t="s">
        <v>3617</v>
      </c>
      <c r="AM1514" s="40" t="s">
        <v>9</v>
      </c>
      <c r="AP1514" s="34">
        <v>0</v>
      </c>
      <c r="AQ1514" s="34">
        <v>14790</v>
      </c>
      <c r="AR1514" s="34">
        <v>9481</v>
      </c>
      <c r="AT1514" s="44">
        <v>1145600</v>
      </c>
      <c r="AU1514" s="44"/>
      <c r="AV1514" s="46">
        <f>ROUND(Товары[[#This Row],[РРЦ финальная, руб.]]/$AU$1,2)</f>
        <v>0</v>
      </c>
      <c r="AW1514" s="45" t="str">
        <f>IFERROR(Товары[[#This Row],[РРЦ, евро]]/Товары[[#This Row],[IRP, Eur]],"-")</f>
        <v>-</v>
      </c>
      <c r="AX1514" s="42">
        <f>IFERROR(VLOOKUP(Товары[[#This Row],[SubGroup]],'Структура цен DIY'!$B:$C,2,FALSE),0)</f>
        <v>0.23</v>
      </c>
      <c r="AY1514" s="44">
        <v>0</v>
      </c>
    </row>
    <row r="1515" spans="1:51" x14ac:dyDescent="0.25">
      <c r="A1515" s="34">
        <v>1513</v>
      </c>
      <c r="B1515" s="34" t="s">
        <v>54</v>
      </c>
      <c r="C1515" s="110" t="str">
        <f>IFERROR(INDEX(Структура_ассортимента[SuperCategory],MATCH(Товары[[#This Row],[SubGroup]],Структура_ассортимента[Subgroup],0)),"")</f>
        <v>O</v>
      </c>
      <c r="D1515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15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15" s="110" t="str">
        <f>IFERROR(INDEX(Структура_ассортимента[Product group],MATCH(Товары[[#This Row],[SubGroup]],Структура_ассортимента[Subgroup],0)),"")</f>
        <v>WPU_C</v>
      </c>
      <c r="G1515" s="110" t="str">
        <f>IFERROR(INDEX(Структура_ассортимента[Product group name ENG],MATCH(Товары[[#This Row],[SubGroup]],Структура_ассортимента[Subgroup],0)),"")</f>
        <v>Watering, Pumps</v>
      </c>
      <c r="H1515" s="110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15" s="36">
        <v>9111</v>
      </c>
      <c r="J1515" s="36" t="str">
        <f>IFERROR(INDEX(Структура_ассортимента[Generic Name (long)],MATCH(Товары[[#This Row],[SubGroup]],Структура_ассортимента[Subgroup],0)),"")</f>
        <v>PUMP, CORDED</v>
      </c>
      <c r="L1515" s="36">
        <v>966606701</v>
      </c>
      <c r="M1515" s="35" t="s">
        <v>3191</v>
      </c>
      <c r="O1515" s="35" t="s">
        <v>7259</v>
      </c>
      <c r="P1515" s="37" t="s">
        <v>7260</v>
      </c>
      <c r="Q1515" s="34" t="s">
        <v>3549</v>
      </c>
      <c r="R1515" s="34" t="s">
        <v>3540</v>
      </c>
      <c r="S1515" s="47">
        <v>40452</v>
      </c>
      <c r="T1515" s="47">
        <v>0</v>
      </c>
      <c r="U1515" s="47">
        <v>0</v>
      </c>
      <c r="V1515" s="34">
        <v>4078500173407</v>
      </c>
      <c r="W1515" s="34" t="s">
        <v>3550</v>
      </c>
      <c r="X1515" s="34" t="s">
        <v>3551</v>
      </c>
      <c r="Y1515" s="34" t="s">
        <v>3542</v>
      </c>
      <c r="Z1515" s="34">
        <v>1</v>
      </c>
      <c r="AA1515" s="34" t="s">
        <v>7261</v>
      </c>
      <c r="AB1515" s="34" t="s">
        <v>7261</v>
      </c>
      <c r="AC1515" s="34" t="s">
        <v>7262</v>
      </c>
      <c r="AD1515" s="34" t="s">
        <v>7262</v>
      </c>
      <c r="AE1515" s="34" t="s">
        <v>4413</v>
      </c>
      <c r="AF1515" s="34" t="s">
        <v>5028</v>
      </c>
      <c r="AG1515" s="34" t="s">
        <v>4510</v>
      </c>
      <c r="AH1515" s="34" t="s">
        <v>7258</v>
      </c>
      <c r="AI1515" s="34" t="s">
        <v>4457</v>
      </c>
      <c r="AJ1515" s="34" t="s">
        <v>5048</v>
      </c>
      <c r="AK1515" s="34" t="s">
        <v>4309</v>
      </c>
      <c r="AL1515" s="34" t="s">
        <v>3617</v>
      </c>
      <c r="AM1515" s="40" t="s">
        <v>9</v>
      </c>
      <c r="AP1515" s="34">
        <v>0</v>
      </c>
      <c r="AQ1515" s="34">
        <v>18090</v>
      </c>
      <c r="AR1515" s="34">
        <v>11596</v>
      </c>
      <c r="AT1515" s="44">
        <v>1401200</v>
      </c>
      <c r="AU1515" s="44"/>
      <c r="AV1515" s="46">
        <f>ROUND(Товары[[#This Row],[РРЦ финальная, руб.]]/$AU$1,2)</f>
        <v>0</v>
      </c>
      <c r="AW1515" s="45" t="str">
        <f>IFERROR(Товары[[#This Row],[РРЦ, евро]]/Товары[[#This Row],[IRP, Eur]],"-")</f>
        <v>-</v>
      </c>
      <c r="AX1515" s="42">
        <f>IFERROR(VLOOKUP(Товары[[#This Row],[SubGroup]],'Структура цен DIY'!$B:$C,2,FALSE),0)</f>
        <v>0.23</v>
      </c>
      <c r="AY1515" s="44">
        <v>0</v>
      </c>
    </row>
    <row r="1516" spans="1:51" x14ac:dyDescent="0.25">
      <c r="A1516" s="34">
        <v>1514</v>
      </c>
      <c r="B1516" s="34" t="s">
        <v>54</v>
      </c>
      <c r="C1516" s="110" t="str">
        <f>IFERROR(INDEX(Структура_ассортимента[SuperCategory],MATCH(Товары[[#This Row],[SubGroup]],Структура_ассортимента[Subgroup],0)),"")</f>
        <v>O</v>
      </c>
      <c r="D1516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16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16" s="110" t="str">
        <f>IFERROR(INDEX(Структура_ассортимента[Product group],MATCH(Товары[[#This Row],[SubGroup]],Структура_ассортимента[Subgroup],0)),"")</f>
        <v>WPU_C</v>
      </c>
      <c r="G1516" s="110" t="str">
        <f>IFERROR(INDEX(Структура_ассортимента[Product group name ENG],MATCH(Товары[[#This Row],[SubGroup]],Структура_ассортимента[Subgroup],0)),"")</f>
        <v>Watering, Pumps</v>
      </c>
      <c r="H1516" s="110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16" s="36">
        <v>9111</v>
      </c>
      <c r="J1516" s="36" t="str">
        <f>IFERROR(INDEX(Структура_ассортимента[Generic Name (long)],MATCH(Товары[[#This Row],[SubGroup]],Структура_ассортимента[Subgroup],0)),"")</f>
        <v>PUMP, CORDED</v>
      </c>
      <c r="L1516" s="36">
        <v>966606801</v>
      </c>
      <c r="M1516" s="35" t="s">
        <v>3192</v>
      </c>
      <c r="O1516" s="35" t="s">
        <v>7263</v>
      </c>
      <c r="P1516" s="37" t="s">
        <v>7264</v>
      </c>
      <c r="Q1516" s="34" t="s">
        <v>3549</v>
      </c>
      <c r="R1516" s="34" t="s">
        <v>3540</v>
      </c>
      <c r="S1516" s="47">
        <v>40452</v>
      </c>
      <c r="T1516" s="47">
        <v>0</v>
      </c>
      <c r="U1516" s="47">
        <v>0</v>
      </c>
      <c r="V1516" s="34">
        <v>4078500173605</v>
      </c>
      <c r="W1516" s="34" t="s">
        <v>3550</v>
      </c>
      <c r="X1516" s="34" t="s">
        <v>3551</v>
      </c>
      <c r="Y1516" s="34" t="s">
        <v>3542</v>
      </c>
      <c r="Z1516" s="34">
        <v>1</v>
      </c>
      <c r="AA1516" s="34" t="s">
        <v>7265</v>
      </c>
      <c r="AB1516" s="34" t="s">
        <v>7265</v>
      </c>
      <c r="AC1516" s="34" t="s">
        <v>5853</v>
      </c>
      <c r="AD1516" s="34" t="s">
        <v>5853</v>
      </c>
      <c r="AE1516" s="34" t="s">
        <v>4420</v>
      </c>
      <c r="AF1516" s="34" t="s">
        <v>5028</v>
      </c>
      <c r="AG1516" s="34" t="s">
        <v>4510</v>
      </c>
      <c r="AH1516" s="34" t="s">
        <v>7266</v>
      </c>
      <c r="AI1516" s="34" t="s">
        <v>4223</v>
      </c>
      <c r="AJ1516" s="34" t="s">
        <v>5048</v>
      </c>
      <c r="AK1516" s="34" t="s">
        <v>4309</v>
      </c>
      <c r="AL1516" s="34" t="s">
        <v>3617</v>
      </c>
      <c r="AM1516" s="40" t="s">
        <v>9</v>
      </c>
      <c r="AP1516" s="34">
        <v>0</v>
      </c>
      <c r="AQ1516" s="34">
        <v>23190</v>
      </c>
      <c r="AR1516" s="34">
        <v>14865</v>
      </c>
      <c r="AT1516" s="44">
        <v>1796200</v>
      </c>
      <c r="AU1516" s="44"/>
      <c r="AV1516" s="46">
        <f>ROUND(Товары[[#This Row],[РРЦ финальная, руб.]]/$AU$1,2)</f>
        <v>0</v>
      </c>
      <c r="AW1516" s="45" t="str">
        <f>IFERROR(Товары[[#This Row],[РРЦ, евро]]/Товары[[#This Row],[IRP, Eur]],"-")</f>
        <v>-</v>
      </c>
      <c r="AX1516" s="42">
        <f>IFERROR(VLOOKUP(Товары[[#This Row],[SubGroup]],'Структура цен DIY'!$B:$C,2,FALSE),0)</f>
        <v>0.23</v>
      </c>
      <c r="AY1516" s="44">
        <v>0</v>
      </c>
    </row>
    <row r="1517" spans="1:51" x14ac:dyDescent="0.25">
      <c r="A1517" s="34">
        <v>1515</v>
      </c>
      <c r="B1517" s="34" t="s">
        <v>50</v>
      </c>
      <c r="C1517" s="110" t="str">
        <f>IFERROR(INDEX(Структура_ассортимента[SuperCategory],MATCH(Товары[[#This Row],[SubGroup]],Структура_ассортимента[Subgroup],0)),"")</f>
        <v>O</v>
      </c>
      <c r="D1517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17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17" s="110" t="str">
        <f>IFERROR(INDEX(Структура_ассортимента[Product group],MATCH(Товары[[#This Row],[SubGroup]],Структура_ассортимента[Subgroup],0)),"")</f>
        <v>WPU_C</v>
      </c>
      <c r="G1517" s="110" t="str">
        <f>IFERROR(INDEX(Структура_ассортимента[Product group name ENG],MATCH(Товары[[#This Row],[SubGroup]],Структура_ассортимента[Subgroup],0)),"")</f>
        <v>Watering, Pumps</v>
      </c>
      <c r="H1517" s="110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17" s="36">
        <v>9116</v>
      </c>
      <c r="J1517" s="36" t="str">
        <f>IFERROR(INDEX(Структура_ассортимента[Generic Name (long)],MATCH(Товары[[#This Row],[SubGroup]],Структура_ассортимента[Subgroup],0)),"")</f>
        <v>SUCTION HOSE</v>
      </c>
      <c r="L1517" s="36">
        <v>900948901</v>
      </c>
      <c r="M1517" s="35" t="s">
        <v>3193</v>
      </c>
      <c r="O1517" s="35" t="s">
        <v>7267</v>
      </c>
      <c r="P1517" s="37" t="s">
        <v>7268</v>
      </c>
      <c r="Q1517" s="34" t="s">
        <v>3549</v>
      </c>
      <c r="R1517" s="34" t="s">
        <v>3540</v>
      </c>
      <c r="S1517" s="47">
        <v>34973</v>
      </c>
      <c r="T1517" s="47">
        <v>0</v>
      </c>
      <c r="U1517" s="47">
        <v>0</v>
      </c>
      <c r="V1517" s="34">
        <v>4078500173902</v>
      </c>
      <c r="W1517" s="34" t="s">
        <v>3550</v>
      </c>
      <c r="X1517" s="34" t="s">
        <v>3907</v>
      </c>
      <c r="Y1517" s="34" t="s">
        <v>3542</v>
      </c>
      <c r="Z1517" s="34">
        <v>2</v>
      </c>
      <c r="AA1517" s="34" t="s">
        <v>6384</v>
      </c>
      <c r="AB1517" s="34" t="s">
        <v>6384</v>
      </c>
      <c r="AC1517" s="34" t="s">
        <v>7269</v>
      </c>
      <c r="AD1517" s="34" t="s">
        <v>7269</v>
      </c>
      <c r="AE1517" s="34" t="s">
        <v>4174</v>
      </c>
      <c r="AF1517" s="34" t="s">
        <v>3944</v>
      </c>
      <c r="AG1517" s="34" t="s">
        <v>4499</v>
      </c>
      <c r="AH1517" s="34" t="s">
        <v>7270</v>
      </c>
      <c r="AL1517" s="34" t="s">
        <v>4306</v>
      </c>
      <c r="AM1517" s="40" t="s">
        <v>9</v>
      </c>
      <c r="AP1517" s="34">
        <v>0</v>
      </c>
      <c r="AQ1517" s="34">
        <v>12749</v>
      </c>
      <c r="AR1517" s="34">
        <v>7974</v>
      </c>
      <c r="AT1517" s="44">
        <v>987500</v>
      </c>
      <c r="AU1517" s="44"/>
      <c r="AV1517" s="46">
        <f>ROUND(Товары[[#This Row],[РРЦ финальная, руб.]]/$AU$1,2)</f>
        <v>0</v>
      </c>
      <c r="AW1517" s="45" t="str">
        <f>IFERROR(Товары[[#This Row],[РРЦ, евро]]/Товары[[#This Row],[IRP, Eur]],"-")</f>
        <v>-</v>
      </c>
      <c r="AX1517" s="42">
        <f>IFERROR(VLOOKUP(Товары[[#This Row],[SubGroup]],'Структура цен DIY'!$B:$C,2,FALSE),0)</f>
        <v>0.33</v>
      </c>
      <c r="AY1517" s="44">
        <v>0</v>
      </c>
    </row>
    <row r="1518" spans="1:51" x14ac:dyDescent="0.25">
      <c r="A1518" s="34">
        <v>1516</v>
      </c>
      <c r="B1518" s="34" t="s">
        <v>50</v>
      </c>
      <c r="C1518" s="110" t="str">
        <f>IFERROR(INDEX(Структура_ассортимента[SuperCategory],MATCH(Товары[[#This Row],[SubGroup]],Структура_ассортимента[Subgroup],0)),"")</f>
        <v>O</v>
      </c>
      <c r="D1518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18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18" s="110" t="str">
        <f>IFERROR(INDEX(Структура_ассортимента[Product group],MATCH(Товары[[#This Row],[SubGroup]],Структура_ассортимента[Subgroup],0)),"")</f>
        <v>WPU_C</v>
      </c>
      <c r="G1518" s="110" t="str">
        <f>IFERROR(INDEX(Структура_ассортимента[Product group name ENG],MATCH(Товары[[#This Row],[SubGroup]],Структура_ассортимента[Subgroup],0)),"")</f>
        <v>Watering, Pumps</v>
      </c>
      <c r="H1518" s="110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18" s="36">
        <v>9116</v>
      </c>
      <c r="J1518" s="36" t="str">
        <f>IFERROR(INDEX(Структура_ассортимента[Generic Name (long)],MATCH(Товары[[#This Row],[SubGroup]],Структура_ассортимента[Subgroup],0)),"")</f>
        <v>SUCTION HOSE</v>
      </c>
      <c r="L1518" s="36">
        <v>900949201</v>
      </c>
      <c r="M1518" s="35" t="s">
        <v>3194</v>
      </c>
      <c r="O1518" s="35" t="s">
        <v>7271</v>
      </c>
      <c r="P1518" s="37" t="s">
        <v>7272</v>
      </c>
      <c r="Q1518" s="34" t="s">
        <v>3549</v>
      </c>
      <c r="R1518" s="34" t="s">
        <v>3540</v>
      </c>
      <c r="S1518" s="47">
        <v>34973</v>
      </c>
      <c r="T1518" s="47">
        <v>0</v>
      </c>
      <c r="U1518" s="47">
        <v>0</v>
      </c>
      <c r="V1518" s="34">
        <v>4078500174305</v>
      </c>
      <c r="W1518" s="34" t="s">
        <v>3543</v>
      </c>
      <c r="X1518" s="34" t="s">
        <v>3579</v>
      </c>
      <c r="Y1518" s="34" t="s">
        <v>3542</v>
      </c>
      <c r="Z1518" s="34">
        <v>6</v>
      </c>
      <c r="AA1518" s="34" t="s">
        <v>3653</v>
      </c>
      <c r="AB1518" s="34" t="s">
        <v>3653</v>
      </c>
      <c r="AC1518" s="34" t="s">
        <v>5633</v>
      </c>
      <c r="AD1518" s="34" t="s">
        <v>5633</v>
      </c>
      <c r="AE1518" s="34" t="s">
        <v>4549</v>
      </c>
      <c r="AF1518" s="34" t="s">
        <v>4659</v>
      </c>
      <c r="AG1518" s="34" t="s">
        <v>4432</v>
      </c>
      <c r="AH1518" s="34" t="s">
        <v>6483</v>
      </c>
      <c r="AL1518" s="34" t="s">
        <v>6606</v>
      </c>
      <c r="AM1518" s="40" t="s">
        <v>9</v>
      </c>
      <c r="AP1518" s="34">
        <v>0</v>
      </c>
      <c r="AQ1518" s="34">
        <v>649</v>
      </c>
      <c r="AR1518" s="34">
        <v>355</v>
      </c>
      <c r="AT1518" s="44">
        <v>50300</v>
      </c>
      <c r="AU1518" s="44"/>
      <c r="AV1518" s="46">
        <f>ROUND(Товары[[#This Row],[РРЦ финальная, руб.]]/$AU$1,2)</f>
        <v>0</v>
      </c>
      <c r="AW1518" s="45" t="str">
        <f>IFERROR(Товары[[#This Row],[РРЦ, евро]]/Товары[[#This Row],[IRP, Eur]],"-")</f>
        <v>-</v>
      </c>
      <c r="AX1518" s="42">
        <f>IFERROR(VLOOKUP(Товары[[#This Row],[SubGroup]],'Структура цен DIY'!$B:$C,2,FALSE),0)</f>
        <v>0.33</v>
      </c>
      <c r="AY1518" s="44">
        <v>0</v>
      </c>
    </row>
    <row r="1519" spans="1:51" x14ac:dyDescent="0.25">
      <c r="A1519" s="34">
        <v>1517</v>
      </c>
      <c r="B1519" s="34" t="s">
        <v>50</v>
      </c>
      <c r="C1519" s="110" t="str">
        <f>IFERROR(INDEX(Структура_ассортимента[SuperCategory],MATCH(Товары[[#This Row],[SubGroup]],Структура_ассортимента[Subgroup],0)),"")</f>
        <v>O</v>
      </c>
      <c r="D1519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19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19" s="110" t="str">
        <f>IFERROR(INDEX(Структура_ассортимента[Product group],MATCH(Товары[[#This Row],[SubGroup]],Структура_ассортимента[Subgroup],0)),"")</f>
        <v>WPU_C</v>
      </c>
      <c r="G1519" s="110" t="str">
        <f>IFERROR(INDEX(Структура_ассортимента[Product group name ENG],MATCH(Товары[[#This Row],[SubGroup]],Структура_ассортимента[Subgroup],0)),"")</f>
        <v>Watering, Pumps</v>
      </c>
      <c r="H1519" s="110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19" s="36">
        <v>9116</v>
      </c>
      <c r="J1519" s="36" t="str">
        <f>IFERROR(INDEX(Структура_ассортимента[Generic Name (long)],MATCH(Товары[[#This Row],[SubGroup]],Структура_ассортимента[Subgroup],0)),"")</f>
        <v>SUCTION HOSE</v>
      </c>
      <c r="L1519" s="36">
        <v>900949301</v>
      </c>
      <c r="M1519" s="35" t="s">
        <v>3195</v>
      </c>
      <c r="O1519" s="35" t="s">
        <v>7273</v>
      </c>
      <c r="P1519" s="37" t="s">
        <v>7274</v>
      </c>
      <c r="Q1519" s="34" t="s">
        <v>3549</v>
      </c>
      <c r="R1519" s="34" t="s">
        <v>3540</v>
      </c>
      <c r="S1519" s="47">
        <v>34973</v>
      </c>
      <c r="T1519" s="47">
        <v>0</v>
      </c>
      <c r="U1519" s="47">
        <v>0</v>
      </c>
      <c r="V1519" s="34">
        <v>4078500174404</v>
      </c>
      <c r="W1519" s="34" t="s">
        <v>3543</v>
      </c>
      <c r="X1519" s="34" t="s">
        <v>3579</v>
      </c>
      <c r="Y1519" s="34" t="s">
        <v>3542</v>
      </c>
      <c r="Z1519" s="34">
        <v>6</v>
      </c>
      <c r="AA1519" s="34" t="s">
        <v>5633</v>
      </c>
      <c r="AB1519" s="34" t="s">
        <v>5633</v>
      </c>
      <c r="AC1519" s="34" t="s">
        <v>5628</v>
      </c>
      <c r="AD1519" s="34" t="s">
        <v>5628</v>
      </c>
      <c r="AE1519" s="34" t="s">
        <v>4659</v>
      </c>
      <c r="AF1519" s="34" t="s">
        <v>4139</v>
      </c>
      <c r="AG1519" s="34" t="s">
        <v>4432</v>
      </c>
      <c r="AH1519" s="34" t="s">
        <v>5650</v>
      </c>
      <c r="AL1519" s="34" t="s">
        <v>6606</v>
      </c>
      <c r="AM1519" s="40" t="s">
        <v>9</v>
      </c>
      <c r="AP1519" s="34">
        <v>0</v>
      </c>
      <c r="AQ1519" s="34">
        <v>759</v>
      </c>
      <c r="AR1519" s="34">
        <v>416</v>
      </c>
      <c r="AT1519" s="44">
        <v>58800</v>
      </c>
      <c r="AU1519" s="44"/>
      <c r="AV1519" s="46">
        <f>ROUND(Товары[[#This Row],[РРЦ финальная, руб.]]/$AU$1,2)</f>
        <v>0</v>
      </c>
      <c r="AW1519" s="45" t="str">
        <f>IFERROR(Товары[[#This Row],[РРЦ, евро]]/Товары[[#This Row],[IRP, Eur]],"-")</f>
        <v>-</v>
      </c>
      <c r="AX1519" s="42">
        <f>IFERROR(VLOOKUP(Товары[[#This Row],[SubGroup]],'Структура цен DIY'!$B:$C,2,FALSE),0)</f>
        <v>0.33</v>
      </c>
      <c r="AY1519" s="44">
        <v>0</v>
      </c>
    </row>
    <row r="1520" spans="1:51" x14ac:dyDescent="0.25">
      <c r="A1520" s="34">
        <v>1518</v>
      </c>
      <c r="B1520" s="34" t="s">
        <v>50</v>
      </c>
      <c r="C1520" s="110" t="str">
        <f>IFERROR(INDEX(Структура_ассортимента[SuperCategory],MATCH(Товары[[#This Row],[SubGroup]],Структура_ассортимента[Subgroup],0)),"")</f>
        <v>O</v>
      </c>
      <c r="D1520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20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20" s="110" t="str">
        <f>IFERROR(INDEX(Структура_ассортимента[Product group],MATCH(Товары[[#This Row],[SubGroup]],Структура_ассортимента[Subgroup],0)),"")</f>
        <v>WPU_C</v>
      </c>
      <c r="G1520" s="110" t="str">
        <f>IFERROR(INDEX(Структура_ассортимента[Product group name ENG],MATCH(Товары[[#This Row],[SubGroup]],Структура_ассортимента[Subgroup],0)),"")</f>
        <v>Watering, Pumps</v>
      </c>
      <c r="H1520" s="110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20" s="36">
        <v>9116</v>
      </c>
      <c r="J1520" s="36" t="str">
        <f>IFERROR(INDEX(Структура_ассортимента[Generic Name (long)],MATCH(Товары[[#This Row],[SubGroup]],Структура_ассортимента[Subgroup],0)),"")</f>
        <v>SUCTION HOSE</v>
      </c>
      <c r="L1520" s="36">
        <v>900949401</v>
      </c>
      <c r="M1520" s="35" t="s">
        <v>3196</v>
      </c>
      <c r="O1520" s="35" t="s">
        <v>7275</v>
      </c>
      <c r="P1520" s="37" t="s">
        <v>7276</v>
      </c>
      <c r="Q1520" s="34" t="s">
        <v>3549</v>
      </c>
      <c r="R1520" s="34" t="s">
        <v>3540</v>
      </c>
      <c r="S1520" s="47">
        <v>34973</v>
      </c>
      <c r="T1520" s="47">
        <v>0</v>
      </c>
      <c r="U1520" s="47">
        <v>0</v>
      </c>
      <c r="V1520" s="34">
        <v>4078500174503</v>
      </c>
      <c r="W1520" s="34" t="s">
        <v>3543</v>
      </c>
      <c r="X1520" s="34" t="s">
        <v>3579</v>
      </c>
      <c r="Y1520" s="34" t="s">
        <v>3542</v>
      </c>
      <c r="Z1520" s="34">
        <v>6</v>
      </c>
      <c r="AA1520" s="34" t="s">
        <v>6516</v>
      </c>
      <c r="AB1520" s="34" t="s">
        <v>6516</v>
      </c>
      <c r="AC1520" s="34" t="s">
        <v>7097</v>
      </c>
      <c r="AD1520" s="34" t="s">
        <v>7097</v>
      </c>
      <c r="AE1520" s="34" t="s">
        <v>5006</v>
      </c>
      <c r="AF1520" s="34" t="s">
        <v>4181</v>
      </c>
      <c r="AG1520" s="34" t="s">
        <v>3931</v>
      </c>
      <c r="AH1520" s="34" t="s">
        <v>7065</v>
      </c>
      <c r="AI1520" s="34" t="s">
        <v>4432</v>
      </c>
      <c r="AJ1520" s="34" t="s">
        <v>4780</v>
      </c>
      <c r="AK1520" s="34" t="s">
        <v>4468</v>
      </c>
      <c r="AL1520" s="34" t="s">
        <v>7277</v>
      </c>
      <c r="AM1520" s="40" t="s">
        <v>9</v>
      </c>
      <c r="AP1520" s="34">
        <v>0</v>
      </c>
      <c r="AQ1520" s="34">
        <v>429</v>
      </c>
      <c r="AR1520" s="34">
        <v>234</v>
      </c>
      <c r="AT1520" s="44">
        <v>33200</v>
      </c>
      <c r="AU1520" s="44"/>
      <c r="AV1520" s="46">
        <f>ROUND(Товары[[#This Row],[РРЦ финальная, руб.]]/$AU$1,2)</f>
        <v>0</v>
      </c>
      <c r="AW1520" s="45" t="str">
        <f>IFERROR(Товары[[#This Row],[РРЦ, евро]]/Товары[[#This Row],[IRP, Eur]],"-")</f>
        <v>-</v>
      </c>
      <c r="AX1520" s="42">
        <f>IFERROR(VLOOKUP(Товары[[#This Row],[SubGroup]],'Структура цен DIY'!$B:$C,2,FALSE),0)</f>
        <v>0.33</v>
      </c>
      <c r="AY1520" s="44">
        <v>0</v>
      </c>
    </row>
    <row r="1521" spans="1:51" x14ac:dyDescent="0.25">
      <c r="A1521" s="34">
        <v>1519</v>
      </c>
      <c r="B1521" s="34" t="s">
        <v>50</v>
      </c>
      <c r="C1521" s="110" t="str">
        <f>IFERROR(INDEX(Структура_ассортимента[SuperCategory],MATCH(Товары[[#This Row],[SubGroup]],Структура_ассортимента[Subgroup],0)),"")</f>
        <v>O</v>
      </c>
      <c r="D1521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21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21" s="110" t="str">
        <f>IFERROR(INDEX(Структура_ассортимента[Product group],MATCH(Товары[[#This Row],[SubGroup]],Структура_ассортимента[Subgroup],0)),"")</f>
        <v>WPU_C</v>
      </c>
      <c r="G1521" s="110" t="str">
        <f>IFERROR(INDEX(Структура_ассортимента[Product group name ENG],MATCH(Товары[[#This Row],[SubGroup]],Структура_ассортимента[Subgroup],0)),"")</f>
        <v>Watering, Pumps</v>
      </c>
      <c r="H1521" s="110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21" s="36">
        <v>9116</v>
      </c>
      <c r="J1521" s="36" t="str">
        <f>IFERROR(INDEX(Структура_ассортимента[Generic Name (long)],MATCH(Товары[[#This Row],[SubGroup]],Структура_ассортимента[Subgroup],0)),"")</f>
        <v>SUCTION HOSE</v>
      </c>
      <c r="L1521" s="36">
        <v>900949501</v>
      </c>
      <c r="M1521" s="35" t="s">
        <v>3197</v>
      </c>
      <c r="Q1521" s="34" t="s">
        <v>3549</v>
      </c>
      <c r="R1521" s="34" t="s">
        <v>3540</v>
      </c>
      <c r="S1521" s="47">
        <v>34973</v>
      </c>
      <c r="T1521" s="47">
        <v>0</v>
      </c>
      <c r="U1521" s="47">
        <v>0</v>
      </c>
      <c r="V1521" s="34">
        <v>4078500175005</v>
      </c>
      <c r="W1521" s="34" t="s">
        <v>3543</v>
      </c>
      <c r="X1521" s="34" t="s">
        <v>3579</v>
      </c>
      <c r="Y1521" s="34" t="s">
        <v>3542</v>
      </c>
      <c r="Z1521" s="34">
        <v>6</v>
      </c>
      <c r="AA1521" s="34" t="s">
        <v>6051</v>
      </c>
      <c r="AB1521" s="34" t="s">
        <v>6051</v>
      </c>
      <c r="AC1521" s="34" t="s">
        <v>5603</v>
      </c>
      <c r="AD1521" s="34" t="s">
        <v>5603</v>
      </c>
      <c r="AE1521" s="34" t="s">
        <v>3999</v>
      </c>
      <c r="AF1521" s="34" t="s">
        <v>4632</v>
      </c>
      <c r="AG1521" s="34" t="s">
        <v>4432</v>
      </c>
      <c r="AH1521" s="34" t="s">
        <v>7278</v>
      </c>
      <c r="AL1521" s="34" t="s">
        <v>6606</v>
      </c>
      <c r="AM1521" s="40" t="s">
        <v>8095</v>
      </c>
      <c r="AT1521" s="44">
        <v>0</v>
      </c>
      <c r="AU1521" s="44"/>
      <c r="AV1521" s="46">
        <f>ROUND(Товары[[#This Row],[РРЦ финальная, руб.]]/$AU$1,2)</f>
        <v>0</v>
      </c>
      <c r="AW1521" s="45" t="str">
        <f>IFERROR(Товары[[#This Row],[РРЦ, евро]]/Товары[[#This Row],[IRP, Eur]],"-")</f>
        <v>-</v>
      </c>
      <c r="AX1521" s="42">
        <f>IFERROR(VLOOKUP(Товары[[#This Row],[SubGroup]],'Структура цен DIY'!$B:$C,2,FALSE),0)</f>
        <v>0.33</v>
      </c>
      <c r="AY1521" s="44">
        <v>0</v>
      </c>
    </row>
    <row r="1522" spans="1:51" x14ac:dyDescent="0.25">
      <c r="A1522" s="34">
        <v>1520</v>
      </c>
      <c r="B1522" s="34" t="s">
        <v>50</v>
      </c>
      <c r="C1522" s="110" t="str">
        <f>IFERROR(INDEX(Структура_ассортимента[SuperCategory],MATCH(Товары[[#This Row],[SubGroup]],Структура_ассортимента[Subgroup],0)),"")</f>
        <v>O</v>
      </c>
      <c r="D1522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22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22" s="110" t="str">
        <f>IFERROR(INDEX(Структура_ассортимента[Product group],MATCH(Товары[[#This Row],[SubGroup]],Структура_ассортимента[Subgroup],0)),"")</f>
        <v>WPU_C</v>
      </c>
      <c r="G1522" s="110" t="str">
        <f>IFERROR(INDEX(Структура_ассортимента[Product group name ENG],MATCH(Товары[[#This Row],[SubGroup]],Структура_ассортимента[Subgroup],0)),"")</f>
        <v>Watering, Pumps</v>
      </c>
      <c r="H1522" s="110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22" s="36">
        <v>9116</v>
      </c>
      <c r="J1522" s="36" t="str">
        <f>IFERROR(INDEX(Структура_ассортимента[Generic Name (long)],MATCH(Товары[[#This Row],[SubGroup]],Структура_ассортимента[Subgroup],0)),"")</f>
        <v>SUCTION HOSE</v>
      </c>
      <c r="L1522" s="36">
        <v>900949601</v>
      </c>
      <c r="M1522" s="35" t="s">
        <v>3198</v>
      </c>
      <c r="O1522" s="35" t="s">
        <v>7279</v>
      </c>
      <c r="P1522" s="37" t="s">
        <v>7280</v>
      </c>
      <c r="Q1522" s="34" t="s">
        <v>3549</v>
      </c>
      <c r="R1522" s="34" t="s">
        <v>3540</v>
      </c>
      <c r="S1522" s="47">
        <v>34973</v>
      </c>
      <c r="T1522" s="47">
        <v>0</v>
      </c>
      <c r="U1522" s="47">
        <v>0</v>
      </c>
      <c r="V1522" s="34">
        <v>4078500175203</v>
      </c>
      <c r="W1522" s="34" t="s">
        <v>3543</v>
      </c>
      <c r="X1522" s="34" t="s">
        <v>3579</v>
      </c>
      <c r="Y1522" s="34" t="s">
        <v>3542</v>
      </c>
      <c r="Z1522" s="34">
        <v>6</v>
      </c>
      <c r="AA1522" s="34" t="s">
        <v>7237</v>
      </c>
      <c r="AB1522" s="34" t="s">
        <v>7237</v>
      </c>
      <c r="AC1522" s="34" t="s">
        <v>4090</v>
      </c>
      <c r="AD1522" s="34" t="s">
        <v>4090</v>
      </c>
      <c r="AE1522" s="34" t="s">
        <v>3698</v>
      </c>
      <c r="AF1522" s="34" t="s">
        <v>4207</v>
      </c>
      <c r="AG1522" s="34" t="s">
        <v>5125</v>
      </c>
      <c r="AH1522" s="34" t="s">
        <v>7281</v>
      </c>
      <c r="AL1522" s="34" t="s">
        <v>7282</v>
      </c>
      <c r="AM1522" s="40" t="s">
        <v>9</v>
      </c>
      <c r="AP1522" s="34">
        <v>0</v>
      </c>
      <c r="AQ1522" s="34">
        <v>1419</v>
      </c>
      <c r="AR1522" s="34">
        <v>777</v>
      </c>
      <c r="AT1522" s="44">
        <v>109900</v>
      </c>
      <c r="AU1522" s="44"/>
      <c r="AV1522" s="46">
        <f>ROUND(Товары[[#This Row],[РРЦ финальная, руб.]]/$AU$1,2)</f>
        <v>0</v>
      </c>
      <c r="AW1522" s="45" t="str">
        <f>IFERROR(Товары[[#This Row],[РРЦ, евро]]/Товары[[#This Row],[IRP, Eur]],"-")</f>
        <v>-</v>
      </c>
      <c r="AX1522" s="42">
        <f>IFERROR(VLOOKUP(Товары[[#This Row],[SubGroup]],'Структура цен DIY'!$B:$C,2,FALSE),0)</f>
        <v>0.33</v>
      </c>
      <c r="AY1522" s="44">
        <v>0</v>
      </c>
    </row>
    <row r="1523" spans="1:51" x14ac:dyDescent="0.25">
      <c r="A1523" s="34">
        <v>1521</v>
      </c>
      <c r="B1523" s="34" t="s">
        <v>54</v>
      </c>
      <c r="C1523" s="110" t="str">
        <f>IFERROR(INDEX(Структура_ассортимента[SuperCategory],MATCH(Товары[[#This Row],[SubGroup]],Структура_ассортимента[Subgroup],0)),"")</f>
        <v>O</v>
      </c>
      <c r="D1523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23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23" s="110" t="str">
        <f>IFERROR(INDEX(Структура_ассортимента[Product group],MATCH(Товары[[#This Row],[SubGroup]],Структура_ассортимента[Subgroup],0)),"")</f>
        <v>WPU_C</v>
      </c>
      <c r="G1523" s="110" t="str">
        <f>IFERROR(INDEX(Структура_ассортимента[Product group name ENG],MATCH(Товары[[#This Row],[SubGroup]],Структура_ассортимента[Subgroup],0)),"")</f>
        <v>Watering, Pumps</v>
      </c>
      <c r="H1523" s="110" t="str">
        <f>IFERROR(INDEX(Структура_ассортимента[Generic Name (long)3],MATCH(Товары[[#This Row],[SubGroup]],Структура_ассортимента[Subgroup],0)),"")</f>
        <v>Станции бытового водоснабжения автоматические электрические</v>
      </c>
      <c r="I1523" s="36">
        <v>9113</v>
      </c>
      <c r="J1523" s="36" t="str">
        <f>IFERROR(INDEX(Структура_ассортимента[Generic Name (long)],MATCH(Товары[[#This Row],[SubGroup]],Структура_ассортимента[Subgroup],0)),"")</f>
        <v>PUMP, CORDED</v>
      </c>
      <c r="L1523" s="36">
        <v>967245901</v>
      </c>
      <c r="M1523" s="35" t="s">
        <v>3199</v>
      </c>
      <c r="O1523" s="35" t="s">
        <v>7283</v>
      </c>
      <c r="P1523" s="37" t="s">
        <v>7284</v>
      </c>
      <c r="Q1523" s="34" t="s">
        <v>3549</v>
      </c>
      <c r="R1523" s="34" t="s">
        <v>3540</v>
      </c>
      <c r="S1523" s="47">
        <v>41640</v>
      </c>
      <c r="T1523" s="47">
        <v>0</v>
      </c>
      <c r="U1523" s="47">
        <v>0</v>
      </c>
      <c r="V1523" s="34">
        <v>4078500175302</v>
      </c>
      <c r="W1523" s="34" t="s">
        <v>3550</v>
      </c>
      <c r="X1523" s="34" t="s">
        <v>3551</v>
      </c>
      <c r="Y1523" s="34" t="s">
        <v>3542</v>
      </c>
      <c r="Z1523" s="34">
        <v>1</v>
      </c>
      <c r="AA1523" s="34" t="s">
        <v>7285</v>
      </c>
      <c r="AB1523" s="34" t="s">
        <v>7286</v>
      </c>
      <c r="AC1523" s="34" t="s">
        <v>5810</v>
      </c>
      <c r="AD1523" s="34" t="s">
        <v>7287</v>
      </c>
      <c r="AE1523" s="34" t="s">
        <v>7288</v>
      </c>
      <c r="AF1523" s="34" t="s">
        <v>6017</v>
      </c>
      <c r="AG1523" s="34" t="s">
        <v>4364</v>
      </c>
      <c r="AH1523" s="34" t="s">
        <v>7289</v>
      </c>
      <c r="AI1523" s="34" t="s">
        <v>4014</v>
      </c>
      <c r="AJ1523" s="34" t="s">
        <v>3930</v>
      </c>
      <c r="AK1523" s="34" t="s">
        <v>3662</v>
      </c>
      <c r="AL1523" s="34" t="s">
        <v>7290</v>
      </c>
      <c r="AM1523" s="40" t="s">
        <v>9</v>
      </c>
      <c r="AP1523" s="34">
        <v>0</v>
      </c>
      <c r="AQ1523" s="34">
        <v>15390</v>
      </c>
      <c r="AR1523" s="34">
        <v>9143</v>
      </c>
      <c r="AT1523" s="44">
        <v>1192000</v>
      </c>
      <c r="AU1523" s="44"/>
      <c r="AV1523" s="46">
        <f>ROUND(Товары[[#This Row],[РРЦ финальная, руб.]]/$AU$1,2)</f>
        <v>0</v>
      </c>
      <c r="AW1523" s="45" t="str">
        <f>IFERROR(Товары[[#This Row],[РРЦ, евро]]/Товары[[#This Row],[IRP, Eur]],"-")</f>
        <v>-</v>
      </c>
      <c r="AX1523" s="42">
        <f>IFERROR(VLOOKUP(Товары[[#This Row],[SubGroup]],'Структура цен DIY'!$B:$C,2,FALSE),0)</f>
        <v>0.28708823582733556</v>
      </c>
      <c r="AY1523" s="44">
        <v>0</v>
      </c>
    </row>
    <row r="1524" spans="1:51" x14ac:dyDescent="0.25">
      <c r="A1524" s="34">
        <v>1522</v>
      </c>
      <c r="B1524" s="34" t="s">
        <v>54</v>
      </c>
      <c r="C1524" s="110" t="str">
        <f>IFERROR(INDEX(Структура_ассортимента[SuperCategory],MATCH(Товары[[#This Row],[SubGroup]],Структура_ассортимента[Subgroup],0)),"")</f>
        <v>O</v>
      </c>
      <c r="D1524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24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24" s="110" t="str">
        <f>IFERROR(INDEX(Структура_ассортимента[Product group],MATCH(Товары[[#This Row],[SubGroup]],Структура_ассортимента[Subgroup],0)),"")</f>
        <v>WPU_C</v>
      </c>
      <c r="G1524" s="110" t="str">
        <f>IFERROR(INDEX(Структура_ассортимента[Product group name ENG],MATCH(Товары[[#This Row],[SubGroup]],Структура_ассортимента[Subgroup],0)),"")</f>
        <v>Watering, Pumps</v>
      </c>
      <c r="H1524" s="110" t="str">
        <f>IFERROR(INDEX(Структура_ассортимента[Generic Name (long)3],MATCH(Товары[[#This Row],[SubGroup]],Структура_ассортимента[Subgroup],0)),"")</f>
        <v>Станции бытового водоснабжения автоматические электрические</v>
      </c>
      <c r="I1524" s="36">
        <v>9113</v>
      </c>
      <c r="J1524" s="36" t="str">
        <f>IFERROR(INDEX(Структура_ассортимента[Generic Name (long)],MATCH(Товары[[#This Row],[SubGroup]],Структура_ассортимента[Subgroup],0)),"")</f>
        <v>PUMP, CORDED</v>
      </c>
      <c r="L1524" s="36">
        <v>967246001</v>
      </c>
      <c r="M1524" s="35" t="s">
        <v>3200</v>
      </c>
      <c r="O1524" s="35" t="s">
        <v>7291</v>
      </c>
      <c r="P1524" s="37" t="s">
        <v>7292</v>
      </c>
      <c r="Q1524" s="34" t="s">
        <v>3549</v>
      </c>
      <c r="R1524" s="34" t="s">
        <v>3540</v>
      </c>
      <c r="S1524" s="47">
        <v>41640</v>
      </c>
      <c r="T1524" s="47">
        <v>0</v>
      </c>
      <c r="U1524" s="47">
        <v>0</v>
      </c>
      <c r="V1524" s="34">
        <v>4078500175401</v>
      </c>
      <c r="W1524" s="34" t="s">
        <v>3550</v>
      </c>
      <c r="X1524" s="34" t="s">
        <v>3551</v>
      </c>
      <c r="Y1524" s="34" t="s">
        <v>3542</v>
      </c>
      <c r="Z1524" s="34">
        <v>1</v>
      </c>
      <c r="AA1524" s="34" t="s">
        <v>7293</v>
      </c>
      <c r="AB1524" s="34" t="s">
        <v>7294</v>
      </c>
      <c r="AC1524" s="34" t="s">
        <v>5788</v>
      </c>
      <c r="AD1524" s="34" t="s">
        <v>7295</v>
      </c>
      <c r="AE1524" s="34" t="s">
        <v>7288</v>
      </c>
      <c r="AF1524" s="34" t="s">
        <v>6017</v>
      </c>
      <c r="AG1524" s="34" t="s">
        <v>4364</v>
      </c>
      <c r="AH1524" s="34" t="s">
        <v>7289</v>
      </c>
      <c r="AI1524" s="34" t="s">
        <v>4014</v>
      </c>
      <c r="AJ1524" s="34" t="s">
        <v>3930</v>
      </c>
      <c r="AK1524" s="34" t="s">
        <v>3662</v>
      </c>
      <c r="AL1524" s="34" t="s">
        <v>7290</v>
      </c>
      <c r="AM1524" s="40" t="s">
        <v>9</v>
      </c>
      <c r="AP1524" s="34">
        <v>0</v>
      </c>
      <c r="AQ1524" s="34">
        <v>22090</v>
      </c>
      <c r="AR1524" s="34">
        <v>13124</v>
      </c>
      <c r="AT1524" s="44">
        <v>1711000</v>
      </c>
      <c r="AU1524" s="44"/>
      <c r="AV1524" s="46">
        <f>ROUND(Товары[[#This Row],[РРЦ финальная, руб.]]/$AU$1,2)</f>
        <v>0</v>
      </c>
      <c r="AW1524" s="45" t="str">
        <f>IFERROR(Товары[[#This Row],[РРЦ, евро]]/Товары[[#This Row],[IRP, Eur]],"-")</f>
        <v>-</v>
      </c>
      <c r="AX1524" s="42">
        <f>IFERROR(VLOOKUP(Товары[[#This Row],[SubGroup]],'Структура цен DIY'!$B:$C,2,FALSE),0)</f>
        <v>0.28708823582733556</v>
      </c>
      <c r="AY1524" s="44">
        <v>0</v>
      </c>
    </row>
    <row r="1525" spans="1:51" x14ac:dyDescent="0.25">
      <c r="A1525" s="34">
        <v>1523</v>
      </c>
      <c r="B1525" s="34" t="s">
        <v>54</v>
      </c>
      <c r="C1525" s="110" t="str">
        <f>IFERROR(INDEX(Структура_ассортимента[SuperCategory],MATCH(Товары[[#This Row],[SubGroup]],Структура_ассортимента[Subgroup],0)),"")</f>
        <v>O</v>
      </c>
      <c r="D1525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25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25" s="110" t="str">
        <f>IFERROR(INDEX(Структура_ассортимента[Product group],MATCH(Товары[[#This Row],[SubGroup]],Структура_ассортимента[Subgroup],0)),"")</f>
        <v>WPU_C</v>
      </c>
      <c r="G1525" s="110" t="str">
        <f>IFERROR(INDEX(Структура_ассортимента[Product group name ENG],MATCH(Товары[[#This Row],[SubGroup]],Структура_ассортимента[Subgroup],0)),"")</f>
        <v>Watering, Pumps</v>
      </c>
      <c r="H1525" s="110" t="str">
        <f>IFERROR(INDEX(Структура_ассортимента[Generic Name (long)3],MATCH(Товары[[#This Row],[SubGroup]],Структура_ассортимента[Subgroup],0)),"")</f>
        <v>Станции бытового водоснабжения автоматические электрические</v>
      </c>
      <c r="I1525" s="36">
        <v>9113</v>
      </c>
      <c r="J1525" s="36" t="str">
        <f>IFERROR(INDEX(Структура_ассортимента[Generic Name (long)],MATCH(Товары[[#This Row],[SubGroup]],Структура_ассортимента[Subgroup],0)),"")</f>
        <v>PUMP, CORDED</v>
      </c>
      <c r="L1525" s="36">
        <v>967246101</v>
      </c>
      <c r="M1525" s="35" t="s">
        <v>3201</v>
      </c>
      <c r="O1525" s="35" t="s">
        <v>7296</v>
      </c>
      <c r="P1525" s="37" t="s">
        <v>7297</v>
      </c>
      <c r="Q1525" s="34" t="s">
        <v>3549</v>
      </c>
      <c r="R1525" s="34" t="s">
        <v>3540</v>
      </c>
      <c r="S1525" s="47">
        <v>41640</v>
      </c>
      <c r="T1525" s="47">
        <v>0</v>
      </c>
      <c r="U1525" s="47">
        <v>0</v>
      </c>
      <c r="V1525" s="34">
        <v>4078500175500</v>
      </c>
      <c r="W1525" s="34" t="s">
        <v>3550</v>
      </c>
      <c r="X1525" s="34" t="s">
        <v>3551</v>
      </c>
      <c r="Y1525" s="34" t="s">
        <v>3542</v>
      </c>
      <c r="Z1525" s="34">
        <v>1</v>
      </c>
      <c r="AA1525" s="34" t="s">
        <v>7298</v>
      </c>
      <c r="AB1525" s="34" t="s">
        <v>7299</v>
      </c>
      <c r="AC1525" s="34" t="s">
        <v>7300</v>
      </c>
      <c r="AD1525" s="34" t="s">
        <v>7301</v>
      </c>
      <c r="AE1525" s="34" t="s">
        <v>7288</v>
      </c>
      <c r="AF1525" s="34" t="s">
        <v>6017</v>
      </c>
      <c r="AG1525" s="34" t="s">
        <v>4364</v>
      </c>
      <c r="AH1525" s="34" t="s">
        <v>7289</v>
      </c>
      <c r="AI1525" s="34" t="s">
        <v>4014</v>
      </c>
      <c r="AJ1525" s="34" t="s">
        <v>3930</v>
      </c>
      <c r="AK1525" s="34" t="s">
        <v>3662</v>
      </c>
      <c r="AL1525" s="34" t="s">
        <v>7290</v>
      </c>
      <c r="AM1525" s="40" t="s">
        <v>9</v>
      </c>
      <c r="AP1525" s="34">
        <v>0</v>
      </c>
      <c r="AQ1525" s="34">
        <v>26490</v>
      </c>
      <c r="AR1525" s="34">
        <v>15531</v>
      </c>
      <c r="AT1525" s="44">
        <v>2051800</v>
      </c>
      <c r="AU1525" s="44"/>
      <c r="AV1525" s="46">
        <f>ROUND(Товары[[#This Row],[РРЦ финальная, руб.]]/$AU$1,2)</f>
        <v>0</v>
      </c>
      <c r="AW1525" s="45" t="str">
        <f>IFERROR(Товары[[#This Row],[РРЦ, евро]]/Товары[[#This Row],[IRP, Eur]],"-")</f>
        <v>-</v>
      </c>
      <c r="AX1525" s="42">
        <f>IFERROR(VLOOKUP(Товары[[#This Row],[SubGroup]],'Структура цен DIY'!$B:$C,2,FALSE),0)</f>
        <v>0.28708823582733556</v>
      </c>
      <c r="AY1525" s="44">
        <v>0</v>
      </c>
    </row>
    <row r="1526" spans="1:51" x14ac:dyDescent="0.25">
      <c r="A1526" s="34">
        <v>1524</v>
      </c>
      <c r="B1526" s="34" t="s">
        <v>54</v>
      </c>
      <c r="C1526" s="110" t="str">
        <f>IFERROR(INDEX(Структура_ассортимента[SuperCategory],MATCH(Товары[[#This Row],[SubGroup]],Структура_ассортимента[Subgroup],0)),"")</f>
        <v>O</v>
      </c>
      <c r="D1526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26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26" s="110" t="str">
        <f>IFERROR(INDEX(Структура_ассортимента[Product group],MATCH(Товары[[#This Row],[SubGroup]],Структура_ассортимента[Subgroup],0)),"")</f>
        <v>WPU_C</v>
      </c>
      <c r="G1526" s="110" t="str">
        <f>IFERROR(INDEX(Структура_ассортимента[Product group name ENG],MATCH(Товары[[#This Row],[SubGroup]],Структура_ассортимента[Subgroup],0)),"")</f>
        <v>Watering, Pumps</v>
      </c>
      <c r="H1526" s="110" t="str">
        <f>IFERROR(INDEX(Структура_ассортимента[Generic Name (long)3],MATCH(Товары[[#This Row],[SubGroup]],Структура_ассортимента[Subgroup],0)),"")</f>
        <v>Станции бытового водоснабжения автоматические электрические</v>
      </c>
      <c r="I1526" s="36">
        <v>9113</v>
      </c>
      <c r="J1526" s="36" t="str">
        <f>IFERROR(INDEX(Структура_ассортимента[Generic Name (long)],MATCH(Товары[[#This Row],[SubGroup]],Структура_ассортимента[Subgroup],0)),"")</f>
        <v>PUMP, CORDED</v>
      </c>
      <c r="L1526" s="36">
        <v>967246201</v>
      </c>
      <c r="M1526" s="35" t="s">
        <v>3202</v>
      </c>
      <c r="O1526" s="35" t="s">
        <v>7302</v>
      </c>
      <c r="P1526" s="37" t="s">
        <v>7303</v>
      </c>
      <c r="Q1526" s="34" t="s">
        <v>3549</v>
      </c>
      <c r="R1526" s="34" t="s">
        <v>3540</v>
      </c>
      <c r="S1526" s="47">
        <v>41640</v>
      </c>
      <c r="T1526" s="47">
        <v>0</v>
      </c>
      <c r="U1526" s="47">
        <v>0</v>
      </c>
      <c r="V1526" s="34">
        <v>4078500175609</v>
      </c>
      <c r="W1526" s="34" t="s">
        <v>3550</v>
      </c>
      <c r="X1526" s="34" t="s">
        <v>3551</v>
      </c>
      <c r="Y1526" s="34" t="s">
        <v>3542</v>
      </c>
      <c r="Z1526" s="34">
        <v>1</v>
      </c>
      <c r="AA1526" s="34" t="s">
        <v>7298</v>
      </c>
      <c r="AB1526" s="34" t="s">
        <v>7304</v>
      </c>
      <c r="AC1526" s="34" t="s">
        <v>7300</v>
      </c>
      <c r="AD1526" s="34" t="s">
        <v>7305</v>
      </c>
      <c r="AE1526" s="34" t="s">
        <v>7288</v>
      </c>
      <c r="AF1526" s="34" t="s">
        <v>6017</v>
      </c>
      <c r="AG1526" s="34" t="s">
        <v>4364</v>
      </c>
      <c r="AH1526" s="34" t="s">
        <v>7289</v>
      </c>
      <c r="AI1526" s="34" t="s">
        <v>4014</v>
      </c>
      <c r="AJ1526" s="34" t="s">
        <v>3930</v>
      </c>
      <c r="AK1526" s="34" t="s">
        <v>3662</v>
      </c>
      <c r="AL1526" s="34" t="s">
        <v>7290</v>
      </c>
      <c r="AM1526" s="40" t="s">
        <v>9</v>
      </c>
      <c r="AP1526" s="34">
        <v>0</v>
      </c>
      <c r="AQ1526" s="34">
        <v>30190</v>
      </c>
      <c r="AR1526" s="34">
        <v>17701</v>
      </c>
      <c r="AT1526" s="44">
        <v>2338400</v>
      </c>
      <c r="AU1526" s="44"/>
      <c r="AV1526" s="46">
        <f>ROUND(Товары[[#This Row],[РРЦ финальная, руб.]]/$AU$1,2)</f>
        <v>0</v>
      </c>
      <c r="AW1526" s="45" t="str">
        <f>IFERROR(Товары[[#This Row],[РРЦ, евро]]/Товары[[#This Row],[IRP, Eur]],"-")</f>
        <v>-</v>
      </c>
      <c r="AX1526" s="42">
        <f>IFERROR(VLOOKUP(Товары[[#This Row],[SubGroup]],'Структура цен DIY'!$B:$C,2,FALSE),0)</f>
        <v>0.28708823582733556</v>
      </c>
      <c r="AY1526" s="44">
        <v>0</v>
      </c>
    </row>
    <row r="1527" spans="1:51" x14ac:dyDescent="0.25">
      <c r="A1527" s="34">
        <v>1525</v>
      </c>
      <c r="B1527" s="34" t="s">
        <v>54</v>
      </c>
      <c r="C1527" s="110" t="str">
        <f>IFERROR(INDEX(Структура_ассортимента[SuperCategory],MATCH(Товары[[#This Row],[SubGroup]],Структура_ассортимента[Subgroup],0)),"")</f>
        <v>O</v>
      </c>
      <c r="D1527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27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27" s="110" t="str">
        <f>IFERROR(INDEX(Структура_ассортимента[Product group],MATCH(Товары[[#This Row],[SubGroup]],Структура_ассортимента[Subgroup],0)),"")</f>
        <v>WPU_C</v>
      </c>
      <c r="G1527" s="110" t="str">
        <f>IFERROR(INDEX(Структура_ассортимента[Product group name ENG],MATCH(Товары[[#This Row],[SubGroup]],Структура_ассортимента[Subgroup],0)),"")</f>
        <v>Watering, Pumps</v>
      </c>
      <c r="H1527" s="110" t="str">
        <f>IFERROR(INDEX(Структура_ассортимента[Generic Name (long)3],MATCH(Товары[[#This Row],[SubGroup]],Структура_ассортимента[Subgroup],0)),"")</f>
        <v>Насосы напорные автоматические</v>
      </c>
      <c r="I1527" s="36">
        <v>9112</v>
      </c>
      <c r="J1527" s="36" t="str">
        <f>IFERROR(INDEX(Структура_ассортимента[Generic Name (long)],MATCH(Товары[[#This Row],[SubGroup]],Структура_ассортимента[Subgroup],0)),"")</f>
        <v>PUMP, CORDED</v>
      </c>
      <c r="L1527" s="36">
        <v>967296301</v>
      </c>
      <c r="M1527" s="35" t="s">
        <v>3203</v>
      </c>
      <c r="O1527" s="35" t="s">
        <v>7306</v>
      </c>
      <c r="P1527" s="37" t="s">
        <v>7307</v>
      </c>
      <c r="Q1527" s="34" t="s">
        <v>3549</v>
      </c>
      <c r="R1527" s="34" t="s">
        <v>3540</v>
      </c>
      <c r="S1527" s="47">
        <v>42036</v>
      </c>
      <c r="T1527" s="47">
        <v>0</v>
      </c>
      <c r="U1527" s="47">
        <v>0</v>
      </c>
      <c r="V1527" s="34">
        <v>4078500004534</v>
      </c>
      <c r="W1527" s="34" t="s">
        <v>3550</v>
      </c>
      <c r="X1527" s="34" t="s">
        <v>3551</v>
      </c>
      <c r="Y1527" s="34" t="s">
        <v>3542</v>
      </c>
      <c r="Z1527" s="34">
        <v>1</v>
      </c>
      <c r="AA1527" s="34" t="s">
        <v>7308</v>
      </c>
      <c r="AB1527" s="34" t="s">
        <v>7309</v>
      </c>
      <c r="AC1527" s="34" t="s">
        <v>7310</v>
      </c>
      <c r="AD1527" s="34" t="s">
        <v>7311</v>
      </c>
      <c r="AE1527" s="34" t="s">
        <v>7312</v>
      </c>
      <c r="AF1527" s="34" t="s">
        <v>7313</v>
      </c>
      <c r="AG1527" s="34" t="s">
        <v>7314</v>
      </c>
      <c r="AH1527" s="34" t="s">
        <v>7315</v>
      </c>
      <c r="AI1527" s="34" t="s">
        <v>4457</v>
      </c>
      <c r="AJ1527" s="34" t="s">
        <v>5048</v>
      </c>
      <c r="AK1527" s="34" t="s">
        <v>4203</v>
      </c>
      <c r="AL1527" s="34" t="s">
        <v>3617</v>
      </c>
      <c r="AM1527" s="40" t="s">
        <v>9</v>
      </c>
      <c r="AP1527" s="34">
        <v>0</v>
      </c>
      <c r="AQ1527" s="34">
        <v>21490</v>
      </c>
      <c r="AR1527" s="34">
        <v>13104</v>
      </c>
      <c r="AT1527" s="44">
        <v>1664500</v>
      </c>
      <c r="AU1527" s="44"/>
      <c r="AV1527" s="46">
        <f>ROUND(Товары[[#This Row],[РРЦ финальная, руб.]]/$AU$1,2)</f>
        <v>0</v>
      </c>
      <c r="AW1527" s="45" t="str">
        <f>IFERROR(Товары[[#This Row],[РРЦ, евро]]/Товары[[#This Row],[IRP, Eur]],"-")</f>
        <v>-</v>
      </c>
      <c r="AX1527" s="42">
        <f>IFERROR(VLOOKUP(Товары[[#This Row],[SubGroup]],'Структура цен DIY'!$B:$C,2,FALSE),0)</f>
        <v>0.28000000000000003</v>
      </c>
      <c r="AY1527" s="44">
        <v>0</v>
      </c>
    </row>
    <row r="1528" spans="1:51" x14ac:dyDescent="0.25">
      <c r="A1528" s="34">
        <v>1526</v>
      </c>
      <c r="B1528" s="34" t="s">
        <v>54</v>
      </c>
      <c r="C1528" s="110" t="str">
        <f>IFERROR(INDEX(Структура_ассортимента[SuperCategory],MATCH(Товары[[#This Row],[SubGroup]],Структура_ассортимента[Subgroup],0)),"")</f>
        <v>O</v>
      </c>
      <c r="D1528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28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28" s="110" t="str">
        <f>IFERROR(INDEX(Структура_ассортимента[Product group],MATCH(Товары[[#This Row],[SubGroup]],Структура_ассортимента[Subgroup],0)),"")</f>
        <v>WPU_C</v>
      </c>
      <c r="G1528" s="110" t="str">
        <f>IFERROR(INDEX(Структура_ассортимента[Product group name ENG],MATCH(Товары[[#This Row],[SubGroup]],Структура_ассортимента[Subgroup],0)),"")</f>
        <v>Watering, Pumps</v>
      </c>
      <c r="H1528" s="110" t="str">
        <f>IFERROR(INDEX(Структура_ассортимента[Generic Name (long)3],MATCH(Товары[[#This Row],[SubGroup]],Структура_ассортимента[Subgroup],0)),"")</f>
        <v>Насосы напорные автоматические</v>
      </c>
      <c r="I1528" s="36">
        <v>9112</v>
      </c>
      <c r="J1528" s="36" t="str">
        <f>IFERROR(INDEX(Структура_ассортимента[Generic Name (long)],MATCH(Товары[[#This Row],[SubGroup]],Структура_ассортимента[Subgroup],0)),"")</f>
        <v>PUMP, CORDED</v>
      </c>
      <c r="L1528" s="36">
        <v>967339901</v>
      </c>
      <c r="M1528" s="35" t="s">
        <v>3204</v>
      </c>
      <c r="Q1528" s="34" t="s">
        <v>3549</v>
      </c>
      <c r="R1528" s="34" t="s">
        <v>3540</v>
      </c>
      <c r="S1528" s="47">
        <v>42019</v>
      </c>
      <c r="T1528" s="47">
        <v>0</v>
      </c>
      <c r="U1528" s="47">
        <v>0</v>
      </c>
      <c r="V1528" s="34">
        <v>4078500016100</v>
      </c>
      <c r="W1528" s="34" t="s">
        <v>3543</v>
      </c>
      <c r="X1528" s="34" t="s">
        <v>3579</v>
      </c>
      <c r="Y1528" s="34" t="s">
        <v>3542</v>
      </c>
      <c r="Z1528" s="34">
        <v>1</v>
      </c>
      <c r="AA1528" s="34" t="s">
        <v>5810</v>
      </c>
      <c r="AB1528" s="34" t="s">
        <v>7316</v>
      </c>
      <c r="AC1528" s="34" t="s">
        <v>7227</v>
      </c>
      <c r="AD1528" s="34" t="s">
        <v>7317</v>
      </c>
      <c r="AE1528" s="34" t="s">
        <v>7312</v>
      </c>
      <c r="AF1528" s="34" t="s">
        <v>7313</v>
      </c>
      <c r="AG1528" s="34" t="s">
        <v>7314</v>
      </c>
      <c r="AH1528" s="34" t="s">
        <v>7315</v>
      </c>
      <c r="AI1528" s="34" t="s">
        <v>4457</v>
      </c>
      <c r="AJ1528" s="34" t="s">
        <v>5048</v>
      </c>
      <c r="AK1528" s="34" t="s">
        <v>4203</v>
      </c>
      <c r="AL1528" s="34" t="s">
        <v>3617</v>
      </c>
      <c r="AM1528" s="40" t="s">
        <v>8095</v>
      </c>
      <c r="AT1528" s="44">
        <v>0</v>
      </c>
      <c r="AU1528" s="44"/>
      <c r="AV1528" s="46">
        <f>ROUND(Товары[[#This Row],[РРЦ финальная, руб.]]/$AU$1,2)</f>
        <v>0</v>
      </c>
      <c r="AW1528" s="45" t="str">
        <f>IFERROR(Товары[[#This Row],[РРЦ, евро]]/Товары[[#This Row],[IRP, Eur]],"-")</f>
        <v>-</v>
      </c>
      <c r="AX1528" s="42">
        <f>IFERROR(VLOOKUP(Товары[[#This Row],[SubGroup]],'Структура цен DIY'!$B:$C,2,FALSE),0)</f>
        <v>0.28000000000000003</v>
      </c>
      <c r="AY1528" s="44">
        <v>0</v>
      </c>
    </row>
    <row r="1529" spans="1:51" x14ac:dyDescent="0.25">
      <c r="A1529" s="34">
        <v>1527</v>
      </c>
      <c r="B1529" s="34" t="s">
        <v>54</v>
      </c>
      <c r="C1529" s="110" t="str">
        <f>IFERROR(INDEX(Структура_ассортимента[SuperCategory],MATCH(Товары[[#This Row],[SubGroup]],Структура_ассортимента[Subgroup],0)),"")</f>
        <v>O</v>
      </c>
      <c r="D1529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29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29" s="110" t="str">
        <f>IFERROR(INDEX(Структура_ассортимента[Product group],MATCH(Товары[[#This Row],[SubGroup]],Структура_ассортимента[Subgroup],0)),"")</f>
        <v>WPU_C</v>
      </c>
      <c r="G1529" s="110" t="str">
        <f>IFERROR(INDEX(Структура_ассортимента[Product group name ENG],MATCH(Товары[[#This Row],[SubGroup]],Структура_ассортимента[Subgroup],0)),"")</f>
        <v>Watering, Pumps</v>
      </c>
      <c r="H1529" s="110" t="str">
        <f>IFERROR(INDEX(Структура_ассортимента[Generic Name (long)3],MATCH(Товары[[#This Row],[SubGroup]],Структура_ассортимента[Subgroup],0)),"")</f>
        <v>Насосы напорные автоматические</v>
      </c>
      <c r="I1529" s="36">
        <v>9112</v>
      </c>
      <c r="J1529" s="36" t="str">
        <f>IFERROR(INDEX(Структура_ассортимента[Generic Name (long)],MATCH(Товары[[#This Row],[SubGroup]],Структура_ассортимента[Subgroup],0)),"")</f>
        <v>PUMP, CORDED</v>
      </c>
      <c r="L1529" s="36">
        <v>967296401</v>
      </c>
      <c r="M1529" s="35" t="s">
        <v>3205</v>
      </c>
      <c r="O1529" s="35" t="s">
        <v>7318</v>
      </c>
      <c r="P1529" s="37" t="s">
        <v>7319</v>
      </c>
      <c r="Q1529" s="34" t="s">
        <v>3549</v>
      </c>
      <c r="R1529" s="34" t="s">
        <v>3540</v>
      </c>
      <c r="S1529" s="47">
        <v>42036</v>
      </c>
      <c r="T1529" s="47">
        <v>0</v>
      </c>
      <c r="U1529" s="47">
        <v>0</v>
      </c>
      <c r="V1529" s="34">
        <v>4078500004541</v>
      </c>
      <c r="W1529" s="34" t="s">
        <v>3550</v>
      </c>
      <c r="X1529" s="34" t="s">
        <v>3551</v>
      </c>
      <c r="Y1529" s="34" t="s">
        <v>3542</v>
      </c>
      <c r="Z1529" s="34">
        <v>1</v>
      </c>
      <c r="AA1529" s="34" t="s">
        <v>7320</v>
      </c>
      <c r="AB1529" s="34" t="s">
        <v>7321</v>
      </c>
      <c r="AC1529" s="34" t="s">
        <v>5810</v>
      </c>
      <c r="AD1529" s="34" t="s">
        <v>5838</v>
      </c>
      <c r="AE1529" s="34" t="s">
        <v>7312</v>
      </c>
      <c r="AF1529" s="34" t="s">
        <v>7313</v>
      </c>
      <c r="AG1529" s="34" t="s">
        <v>7314</v>
      </c>
      <c r="AH1529" s="34" t="s">
        <v>7315</v>
      </c>
      <c r="AI1529" s="34" t="s">
        <v>4457</v>
      </c>
      <c r="AJ1529" s="34" t="s">
        <v>5048</v>
      </c>
      <c r="AK1529" s="34" t="s">
        <v>4203</v>
      </c>
      <c r="AL1529" s="34" t="s">
        <v>3617</v>
      </c>
      <c r="AM1529" s="40" t="s">
        <v>9</v>
      </c>
      <c r="AP1529" s="34">
        <v>0</v>
      </c>
      <c r="AQ1529" s="34">
        <v>26390</v>
      </c>
      <c r="AR1529" s="34">
        <v>15473</v>
      </c>
      <c r="AT1529" s="44">
        <v>2044000</v>
      </c>
      <c r="AU1529" s="44"/>
      <c r="AV1529" s="46">
        <f>ROUND(Товары[[#This Row],[РРЦ финальная, руб.]]/$AU$1,2)</f>
        <v>0</v>
      </c>
      <c r="AW1529" s="45" t="str">
        <f>IFERROR(Товары[[#This Row],[РРЦ, евро]]/Товары[[#This Row],[IRP, Eur]],"-")</f>
        <v>-</v>
      </c>
      <c r="AX1529" s="42">
        <f>IFERROR(VLOOKUP(Товары[[#This Row],[SubGroup]],'Структура цен DIY'!$B:$C,2,FALSE),0)</f>
        <v>0.28000000000000003</v>
      </c>
      <c r="AY1529" s="44">
        <v>0</v>
      </c>
    </row>
    <row r="1530" spans="1:51" x14ac:dyDescent="0.25">
      <c r="A1530" s="34">
        <v>1528</v>
      </c>
      <c r="B1530" s="34" t="s">
        <v>54</v>
      </c>
      <c r="C1530" s="110" t="str">
        <f>IFERROR(INDEX(Структура_ассортимента[SuperCategory],MATCH(Товары[[#This Row],[SubGroup]],Структура_ассортимента[Subgroup],0)),"")</f>
        <v>O</v>
      </c>
      <c r="D1530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30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30" s="110" t="str">
        <f>IFERROR(INDEX(Структура_ассортимента[Product group],MATCH(Товары[[#This Row],[SubGroup]],Структура_ассортимента[Subgroup],0)),"")</f>
        <v>WPU_C</v>
      </c>
      <c r="G1530" s="110" t="str">
        <f>IFERROR(INDEX(Структура_ассортимента[Product group name ENG],MATCH(Товары[[#This Row],[SubGroup]],Структура_ассортимента[Subgroup],0)),"")</f>
        <v>Watering, Pumps</v>
      </c>
      <c r="H1530" s="110" t="str">
        <f>IFERROR(INDEX(Структура_ассортимента[Generic Name (long)3],MATCH(Товары[[#This Row],[SubGroup]],Структура_ассортимента[Subgroup],0)),"")</f>
        <v>Насосы напорные автоматические</v>
      </c>
      <c r="I1530" s="36">
        <v>9112</v>
      </c>
      <c r="J1530" s="36" t="str">
        <f>IFERROR(INDEX(Структура_ассортимента[Generic Name (long)],MATCH(Товары[[#This Row],[SubGroup]],Структура_ассортимента[Subgroup],0)),"")</f>
        <v>PUMP, CORDED</v>
      </c>
      <c r="L1530" s="36">
        <v>967296501</v>
      </c>
      <c r="M1530" s="35" t="s">
        <v>3206</v>
      </c>
      <c r="O1530" s="35" t="s">
        <v>7322</v>
      </c>
      <c r="P1530" s="37" t="s">
        <v>7323</v>
      </c>
      <c r="Q1530" s="34" t="s">
        <v>3549</v>
      </c>
      <c r="R1530" s="34" t="s">
        <v>3540</v>
      </c>
      <c r="S1530" s="47">
        <v>42036</v>
      </c>
      <c r="T1530" s="47">
        <v>0</v>
      </c>
      <c r="U1530" s="47">
        <v>0</v>
      </c>
      <c r="V1530" s="34">
        <v>4078500004558</v>
      </c>
      <c r="W1530" s="34" t="s">
        <v>3550</v>
      </c>
      <c r="X1530" s="34" t="s">
        <v>3551</v>
      </c>
      <c r="Y1530" s="34" t="s">
        <v>3542</v>
      </c>
      <c r="Z1530" s="34">
        <v>1</v>
      </c>
      <c r="AA1530" s="34" t="s">
        <v>7320</v>
      </c>
      <c r="AB1530" s="34" t="s">
        <v>7324</v>
      </c>
      <c r="AC1530" s="34" t="s">
        <v>5810</v>
      </c>
      <c r="AD1530" s="34" t="s">
        <v>7325</v>
      </c>
      <c r="AE1530" s="34" t="s">
        <v>7326</v>
      </c>
      <c r="AF1530" s="34" t="s">
        <v>7313</v>
      </c>
      <c r="AG1530" s="34" t="s">
        <v>7327</v>
      </c>
      <c r="AH1530" s="34" t="s">
        <v>7328</v>
      </c>
      <c r="AI1530" s="34" t="s">
        <v>4223</v>
      </c>
      <c r="AJ1530" s="34" t="s">
        <v>5048</v>
      </c>
      <c r="AK1530" s="34" t="s">
        <v>4203</v>
      </c>
      <c r="AL1530" s="34" t="s">
        <v>3617</v>
      </c>
      <c r="AM1530" s="40" t="s">
        <v>9</v>
      </c>
      <c r="AP1530" s="34">
        <v>0</v>
      </c>
      <c r="AQ1530" s="34">
        <v>32190</v>
      </c>
      <c r="AR1530" s="34">
        <v>18873</v>
      </c>
      <c r="AT1530" s="44">
        <v>2493300</v>
      </c>
      <c r="AU1530" s="44"/>
      <c r="AV1530" s="46">
        <f>ROUND(Товары[[#This Row],[РРЦ финальная, руб.]]/$AU$1,2)</f>
        <v>0</v>
      </c>
      <c r="AW1530" s="45" t="str">
        <f>IFERROR(Товары[[#This Row],[РРЦ, евро]]/Товары[[#This Row],[IRP, Eur]],"-")</f>
        <v>-</v>
      </c>
      <c r="AX1530" s="42">
        <f>IFERROR(VLOOKUP(Товары[[#This Row],[SubGroup]],'Структура цен DIY'!$B:$C,2,FALSE),0)</f>
        <v>0.28000000000000003</v>
      </c>
      <c r="AY1530" s="44">
        <v>0</v>
      </c>
    </row>
    <row r="1531" spans="1:51" x14ac:dyDescent="0.25">
      <c r="A1531" s="34">
        <v>1529</v>
      </c>
      <c r="B1531" s="34" t="s">
        <v>54</v>
      </c>
      <c r="C1531" s="110" t="str">
        <f>IFERROR(INDEX(Структура_ассортимента[SuperCategory],MATCH(Товары[[#This Row],[SubGroup]],Структура_ассортимента[Subgroup],0)),"")</f>
        <v>O</v>
      </c>
      <c r="D1531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31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31" s="110" t="str">
        <f>IFERROR(INDEX(Структура_ассортимента[Product group],MATCH(Товары[[#This Row],[SubGroup]],Структура_ассортимента[Subgroup],0)),"")</f>
        <v>WPU_C</v>
      </c>
      <c r="G1531" s="110" t="str">
        <f>IFERROR(INDEX(Структура_ассортимента[Product group name ENG],MATCH(Товары[[#This Row],[SubGroup]],Структура_ассортимента[Subgroup],0)),"")</f>
        <v>Watering, Pumps</v>
      </c>
      <c r="H1531" s="110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31" s="36">
        <v>9114</v>
      </c>
      <c r="J1531" s="36" t="str">
        <f>IFERROR(INDEX(Структура_ассортимента[Generic Name (long)],MATCH(Товары[[#This Row],[SubGroup]],Структура_ассортимента[Subgroup],0)),"")</f>
        <v>PUMP, CORDED</v>
      </c>
      <c r="L1531" s="36">
        <v>967974601</v>
      </c>
      <c r="M1531" s="35" t="s">
        <v>3207</v>
      </c>
      <c r="O1531" s="35" t="s">
        <v>7329</v>
      </c>
      <c r="P1531" s="37" t="s">
        <v>7330</v>
      </c>
      <c r="Q1531" s="34" t="s">
        <v>3549</v>
      </c>
      <c r="R1531" s="34" t="s">
        <v>3540</v>
      </c>
      <c r="S1531" s="47">
        <v>43831</v>
      </c>
      <c r="T1531" s="47">
        <v>0</v>
      </c>
      <c r="U1531" s="47">
        <v>0</v>
      </c>
      <c r="V1531" s="34">
        <v>4078500047821</v>
      </c>
      <c r="W1531" s="34" t="s">
        <v>3546</v>
      </c>
      <c r="X1531" s="34" t="s">
        <v>3551</v>
      </c>
      <c r="Y1531" s="34" t="s">
        <v>3542</v>
      </c>
      <c r="Z1531" s="34">
        <v>1</v>
      </c>
      <c r="AA1531" s="34" t="s">
        <v>7331</v>
      </c>
      <c r="AB1531" s="34" t="s">
        <v>7332</v>
      </c>
      <c r="AC1531" s="34" t="s">
        <v>7333</v>
      </c>
      <c r="AD1531" s="34" t="s">
        <v>7334</v>
      </c>
      <c r="AE1531" s="34" t="s">
        <v>3997</v>
      </c>
      <c r="AF1531" s="34" t="s">
        <v>3920</v>
      </c>
      <c r="AG1531" s="34" t="s">
        <v>3574</v>
      </c>
      <c r="AH1531" s="34" t="s">
        <v>7335</v>
      </c>
      <c r="AI1531" s="34" t="s">
        <v>5526</v>
      </c>
      <c r="AJ1531" s="34" t="s">
        <v>7336</v>
      </c>
      <c r="AK1531" s="34" t="s">
        <v>5526</v>
      </c>
      <c r="AL1531" s="34" t="s">
        <v>4214</v>
      </c>
      <c r="AM1531" s="40" t="s">
        <v>10</v>
      </c>
      <c r="AP1531" s="34">
        <v>0</v>
      </c>
      <c r="AQ1531" s="34">
        <v>4990</v>
      </c>
      <c r="AR1531" s="34">
        <v>3077</v>
      </c>
      <c r="AT1531" s="44">
        <v>386500</v>
      </c>
      <c r="AU1531" s="44"/>
      <c r="AV1531" s="46">
        <f>ROUND(Товары[[#This Row],[РРЦ финальная, руб.]]/$AU$1,2)</f>
        <v>0</v>
      </c>
      <c r="AW1531" s="45" t="str">
        <f>IFERROR(Товары[[#This Row],[РРЦ, евро]]/Товары[[#This Row],[IRP, Eur]],"-")</f>
        <v>-</v>
      </c>
      <c r="AX1531" s="42">
        <f>IFERROR(VLOOKUP(Товары[[#This Row],[SubGroup]],'Структура цен DIY'!$B:$C,2,FALSE),0)</f>
        <v>0.25</v>
      </c>
      <c r="AY1531" s="44">
        <v>0</v>
      </c>
    </row>
    <row r="1532" spans="1:51" x14ac:dyDescent="0.25">
      <c r="A1532" s="34">
        <v>1530</v>
      </c>
      <c r="B1532" s="34" t="s">
        <v>54</v>
      </c>
      <c r="C1532" s="110" t="str">
        <f>IFERROR(INDEX(Структура_ассортимента[SuperCategory],MATCH(Товары[[#This Row],[SubGroup]],Структура_ассортимента[Subgroup],0)),"")</f>
        <v>O</v>
      </c>
      <c r="D1532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32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32" s="110" t="str">
        <f>IFERROR(INDEX(Структура_ассортимента[Product group],MATCH(Товары[[#This Row],[SubGroup]],Структура_ассортимента[Subgroup],0)),"")</f>
        <v>WPU_C</v>
      </c>
      <c r="G1532" s="110" t="str">
        <f>IFERROR(INDEX(Структура_ассортимента[Product group name ENG],MATCH(Товары[[#This Row],[SubGroup]],Структура_ассортимента[Subgroup],0)),"")</f>
        <v>Watering, Pumps</v>
      </c>
      <c r="H1532" s="110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32" s="36">
        <v>9114</v>
      </c>
      <c r="J1532" s="36" t="str">
        <f>IFERROR(INDEX(Структура_ассортимента[Generic Name (long)],MATCH(Товары[[#This Row],[SubGroup]],Структура_ассортимента[Subgroup],0)),"")</f>
        <v>PUMP, CORDED</v>
      </c>
      <c r="L1532" s="36">
        <v>967974801</v>
      </c>
      <c r="M1532" s="35" t="s">
        <v>3208</v>
      </c>
      <c r="O1532" s="35" t="s">
        <v>7337</v>
      </c>
      <c r="P1532" s="37" t="s">
        <v>7338</v>
      </c>
      <c r="Q1532" s="34" t="s">
        <v>3549</v>
      </c>
      <c r="R1532" s="34" t="s">
        <v>3540</v>
      </c>
      <c r="S1532" s="47">
        <v>43831</v>
      </c>
      <c r="T1532" s="47">
        <v>0</v>
      </c>
      <c r="U1532" s="47">
        <v>0</v>
      </c>
      <c r="V1532" s="34">
        <v>4078500047845</v>
      </c>
      <c r="W1532" s="34" t="s">
        <v>3546</v>
      </c>
      <c r="X1532" s="34" t="s">
        <v>3551</v>
      </c>
      <c r="Y1532" s="34" t="s">
        <v>3542</v>
      </c>
      <c r="Z1532" s="34">
        <v>1</v>
      </c>
      <c r="AA1532" s="34" t="s">
        <v>7339</v>
      </c>
      <c r="AB1532" s="34" t="s">
        <v>7340</v>
      </c>
      <c r="AC1532" s="34" t="s">
        <v>7341</v>
      </c>
      <c r="AD1532" s="34" t="s">
        <v>7339</v>
      </c>
      <c r="AE1532" s="34" t="s">
        <v>3819</v>
      </c>
      <c r="AF1532" s="34" t="s">
        <v>3920</v>
      </c>
      <c r="AG1532" s="34" t="s">
        <v>4747</v>
      </c>
      <c r="AH1532" s="34" t="s">
        <v>7342</v>
      </c>
      <c r="AI1532" s="34" t="s">
        <v>5526</v>
      </c>
      <c r="AJ1532" s="34" t="s">
        <v>4283</v>
      </c>
      <c r="AK1532" s="34" t="s">
        <v>5526</v>
      </c>
      <c r="AL1532" s="34" t="s">
        <v>4874</v>
      </c>
      <c r="AM1532" s="40" t="s">
        <v>10</v>
      </c>
      <c r="AP1532" s="34">
        <v>0</v>
      </c>
      <c r="AQ1532" s="34">
        <v>7790</v>
      </c>
      <c r="AR1532" s="34">
        <v>4804</v>
      </c>
      <c r="AT1532" s="44">
        <v>603400</v>
      </c>
      <c r="AU1532" s="44"/>
      <c r="AV1532" s="46">
        <f>ROUND(Товары[[#This Row],[РРЦ финальная, руб.]]/$AU$1,2)</f>
        <v>0</v>
      </c>
      <c r="AW1532" s="45" t="str">
        <f>IFERROR(Товары[[#This Row],[РРЦ, евро]]/Товары[[#This Row],[IRP, Eur]],"-")</f>
        <v>-</v>
      </c>
      <c r="AX1532" s="42">
        <f>IFERROR(VLOOKUP(Товары[[#This Row],[SubGroup]],'Структура цен DIY'!$B:$C,2,FALSE),0)</f>
        <v>0.25</v>
      </c>
      <c r="AY1532" s="44">
        <v>0</v>
      </c>
    </row>
    <row r="1533" spans="1:51" x14ac:dyDescent="0.25">
      <c r="A1533" s="34">
        <v>1531</v>
      </c>
      <c r="B1533" s="34" t="s">
        <v>54</v>
      </c>
      <c r="C1533" s="110" t="str">
        <f>IFERROR(INDEX(Структура_ассортимента[SuperCategory],MATCH(Товары[[#This Row],[SubGroup]],Структура_ассортимента[Subgroup],0)),"")</f>
        <v>O</v>
      </c>
      <c r="D1533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33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33" s="110" t="str">
        <f>IFERROR(INDEX(Структура_ассортимента[Product group],MATCH(Товары[[#This Row],[SubGroup]],Структура_ассортимента[Subgroup],0)),"")</f>
        <v>WPU_C</v>
      </c>
      <c r="G1533" s="110" t="str">
        <f>IFERROR(INDEX(Структура_ассортимента[Product group name ENG],MATCH(Товары[[#This Row],[SubGroup]],Структура_ассортимента[Subgroup],0)),"")</f>
        <v>Watering, Pumps</v>
      </c>
      <c r="H1533" s="110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33" s="36">
        <v>9114</v>
      </c>
      <c r="J1533" s="36" t="str">
        <f>IFERROR(INDEX(Структура_ассортимента[Generic Name (long)],MATCH(Товары[[#This Row],[SubGroup]],Структура_ассортимента[Subgroup],0)),"")</f>
        <v>PUMP, CORDED</v>
      </c>
      <c r="L1533" s="36">
        <v>967975001</v>
      </c>
      <c r="M1533" s="35" t="s">
        <v>3209</v>
      </c>
      <c r="O1533" s="35" t="s">
        <v>7343</v>
      </c>
      <c r="P1533" s="37" t="s">
        <v>7344</v>
      </c>
      <c r="Q1533" s="34" t="s">
        <v>3549</v>
      </c>
      <c r="R1533" s="34" t="s">
        <v>3540</v>
      </c>
      <c r="S1533" s="47">
        <v>43831</v>
      </c>
      <c r="T1533" s="47">
        <v>0</v>
      </c>
      <c r="U1533" s="47">
        <v>0</v>
      </c>
      <c r="V1533" s="34">
        <v>4078500047869</v>
      </c>
      <c r="W1533" s="34" t="s">
        <v>3546</v>
      </c>
      <c r="X1533" s="34" t="s">
        <v>3551</v>
      </c>
      <c r="Y1533" s="34" t="s">
        <v>3542</v>
      </c>
      <c r="Z1533" s="34">
        <v>1</v>
      </c>
      <c r="AA1533" s="34" t="s">
        <v>7345</v>
      </c>
      <c r="AB1533" s="34" t="s">
        <v>7346</v>
      </c>
      <c r="AC1533" s="34" t="s">
        <v>6190</v>
      </c>
      <c r="AD1533" s="34" t="s">
        <v>7347</v>
      </c>
      <c r="AE1533" s="34" t="s">
        <v>3819</v>
      </c>
      <c r="AF1533" s="34" t="s">
        <v>3920</v>
      </c>
      <c r="AG1533" s="34" t="s">
        <v>4582</v>
      </c>
      <c r="AH1533" s="34" t="s">
        <v>7348</v>
      </c>
      <c r="AI1533" s="34" t="s">
        <v>5526</v>
      </c>
      <c r="AJ1533" s="34" t="s">
        <v>3745</v>
      </c>
      <c r="AK1533" s="34" t="s">
        <v>5526</v>
      </c>
      <c r="AL1533" s="34" t="s">
        <v>6113</v>
      </c>
      <c r="AM1533" s="40" t="s">
        <v>10</v>
      </c>
      <c r="AP1533" s="34">
        <v>0</v>
      </c>
      <c r="AQ1533" s="34">
        <v>10590</v>
      </c>
      <c r="AR1533" s="34">
        <v>6531</v>
      </c>
      <c r="AT1533" s="44">
        <v>820200</v>
      </c>
      <c r="AU1533" s="44"/>
      <c r="AV1533" s="46">
        <f>ROUND(Товары[[#This Row],[РРЦ финальная, руб.]]/$AU$1,2)</f>
        <v>0</v>
      </c>
      <c r="AW1533" s="45" t="str">
        <f>IFERROR(Товары[[#This Row],[РРЦ, евро]]/Товары[[#This Row],[IRP, Eur]],"-")</f>
        <v>-</v>
      </c>
      <c r="AX1533" s="42">
        <f>IFERROR(VLOOKUP(Товары[[#This Row],[SubGroup]],'Структура цен DIY'!$B:$C,2,FALSE),0)</f>
        <v>0.25</v>
      </c>
      <c r="AY1533" s="44">
        <v>0</v>
      </c>
    </row>
    <row r="1534" spans="1:51" x14ac:dyDescent="0.25">
      <c r="A1534" s="34">
        <v>1532</v>
      </c>
      <c r="B1534" s="34" t="s">
        <v>54</v>
      </c>
      <c r="C1534" s="110" t="str">
        <f>IFERROR(INDEX(Структура_ассортимента[SuperCategory],MATCH(Товары[[#This Row],[SubGroup]],Структура_ассортимента[Subgroup],0)),"")</f>
        <v>O</v>
      </c>
      <c r="D1534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34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34" s="110" t="str">
        <f>IFERROR(INDEX(Структура_ассортимента[Product group],MATCH(Товары[[#This Row],[SubGroup]],Структура_ассортимента[Subgroup],0)),"")</f>
        <v>WPU_C</v>
      </c>
      <c r="G1534" s="110" t="str">
        <f>IFERROR(INDEX(Структура_ассортимента[Product group name ENG],MATCH(Товары[[#This Row],[SubGroup]],Структура_ассортимента[Subgroup],0)),"")</f>
        <v>Watering, Pumps</v>
      </c>
      <c r="H1534" s="110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34" s="36">
        <v>9114</v>
      </c>
      <c r="J1534" s="36" t="str">
        <f>IFERROR(INDEX(Структура_ассортимента[Generic Name (long)],MATCH(Товары[[#This Row],[SubGroup]],Структура_ассортимента[Subgroup],0)),"")</f>
        <v>PUMP, CORDED</v>
      </c>
      <c r="L1534" s="36">
        <v>967975201</v>
      </c>
      <c r="M1534" s="35" t="s">
        <v>3210</v>
      </c>
      <c r="O1534" s="35" t="s">
        <v>7349</v>
      </c>
      <c r="P1534" s="37" t="s">
        <v>7350</v>
      </c>
      <c r="Q1534" s="34" t="s">
        <v>3549</v>
      </c>
      <c r="R1534" s="34" t="s">
        <v>3540</v>
      </c>
      <c r="S1534" s="47">
        <v>43831</v>
      </c>
      <c r="T1534" s="47">
        <v>0</v>
      </c>
      <c r="U1534" s="47">
        <v>0</v>
      </c>
      <c r="V1534" s="34">
        <v>4078500047883</v>
      </c>
      <c r="W1534" s="34" t="s">
        <v>3546</v>
      </c>
      <c r="X1534" s="34" t="s">
        <v>3551</v>
      </c>
      <c r="Y1534" s="34" t="s">
        <v>3542</v>
      </c>
      <c r="Z1534" s="34">
        <v>1</v>
      </c>
      <c r="AA1534" s="34" t="s">
        <v>7351</v>
      </c>
      <c r="AB1534" s="34" t="s">
        <v>7352</v>
      </c>
      <c r="AC1534" s="34" t="s">
        <v>5800</v>
      </c>
      <c r="AD1534" s="34" t="s">
        <v>7353</v>
      </c>
      <c r="AE1534" s="34" t="s">
        <v>3753</v>
      </c>
      <c r="AF1534" s="34" t="s">
        <v>3955</v>
      </c>
      <c r="AG1534" s="34" t="s">
        <v>4287</v>
      </c>
      <c r="AH1534" s="34" t="s">
        <v>7354</v>
      </c>
      <c r="AI1534" s="34" t="s">
        <v>5526</v>
      </c>
      <c r="AJ1534" s="34" t="s">
        <v>6854</v>
      </c>
      <c r="AK1534" s="34" t="s">
        <v>5526</v>
      </c>
      <c r="AL1534" s="34" t="s">
        <v>4321</v>
      </c>
      <c r="AM1534" s="40" t="s">
        <v>10</v>
      </c>
      <c r="AP1534" s="34">
        <v>0</v>
      </c>
      <c r="AQ1534" s="34">
        <v>14790</v>
      </c>
      <c r="AR1534" s="34">
        <v>9490</v>
      </c>
      <c r="AT1534" s="44">
        <v>1145600</v>
      </c>
      <c r="AU1534" s="44"/>
      <c r="AV1534" s="46">
        <f>ROUND(Товары[[#This Row],[РРЦ финальная, руб.]]/$AU$1,2)</f>
        <v>0</v>
      </c>
      <c r="AW1534" s="45" t="str">
        <f>IFERROR(Товары[[#This Row],[РРЦ, евро]]/Товары[[#This Row],[IRP, Eur]],"-")</f>
        <v>-</v>
      </c>
      <c r="AX1534" s="42">
        <f>IFERROR(VLOOKUP(Товары[[#This Row],[SubGroup]],'Структура цен DIY'!$B:$C,2,FALSE),0)</f>
        <v>0.25</v>
      </c>
      <c r="AY1534" s="44">
        <v>0</v>
      </c>
    </row>
    <row r="1535" spans="1:51" x14ac:dyDescent="0.25">
      <c r="A1535" s="34">
        <v>1533</v>
      </c>
      <c r="B1535" s="34" t="s">
        <v>54</v>
      </c>
      <c r="C1535" s="110" t="str">
        <f>IFERROR(INDEX(Структура_ассортимента[SuperCategory],MATCH(Товары[[#This Row],[SubGroup]],Структура_ассортимента[Subgroup],0)),"")</f>
        <v>O</v>
      </c>
      <c r="D1535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35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35" s="110" t="str">
        <f>IFERROR(INDEX(Структура_ассортимента[Product group],MATCH(Товары[[#This Row],[SubGroup]],Структура_ассортимента[Subgroup],0)),"")</f>
        <v>WPU_C</v>
      </c>
      <c r="G1535" s="110" t="str">
        <f>IFERROR(INDEX(Структура_ассортимента[Product group name ENG],MATCH(Товары[[#This Row],[SubGroup]],Структура_ассортимента[Subgroup],0)),"")</f>
        <v>Watering, Pumps</v>
      </c>
      <c r="H1535" s="110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35" s="36">
        <v>9114</v>
      </c>
      <c r="J1535" s="36" t="str">
        <f>IFERROR(INDEX(Структура_ассортимента[Generic Name (long)],MATCH(Товары[[#This Row],[SubGroup]],Структура_ассортимента[Subgroup],0)),"")</f>
        <v>PUMP, CORDED</v>
      </c>
      <c r="L1535" s="36">
        <v>967975401</v>
      </c>
      <c r="M1535" s="35" t="s">
        <v>3211</v>
      </c>
      <c r="O1535" s="35" t="s">
        <v>7355</v>
      </c>
      <c r="P1535" s="37" t="s">
        <v>7356</v>
      </c>
      <c r="Q1535" s="34" t="s">
        <v>3549</v>
      </c>
      <c r="R1535" s="34" t="s">
        <v>3540</v>
      </c>
      <c r="S1535" s="47">
        <v>43831</v>
      </c>
      <c r="T1535" s="47">
        <v>0</v>
      </c>
      <c r="U1535" s="47">
        <v>0</v>
      </c>
      <c r="V1535" s="34">
        <v>4078500047906</v>
      </c>
      <c r="W1535" s="34" t="s">
        <v>3546</v>
      </c>
      <c r="X1535" s="34" t="s">
        <v>3551</v>
      </c>
      <c r="Y1535" s="34" t="s">
        <v>3542</v>
      </c>
      <c r="Z1535" s="34">
        <v>1</v>
      </c>
      <c r="AA1535" s="34" t="s">
        <v>7357</v>
      </c>
      <c r="AB1535" s="34" t="s">
        <v>7358</v>
      </c>
      <c r="AC1535" s="34" t="s">
        <v>7359</v>
      </c>
      <c r="AD1535" s="34" t="s">
        <v>7360</v>
      </c>
      <c r="AE1535" s="34" t="s">
        <v>3753</v>
      </c>
      <c r="AF1535" s="34" t="s">
        <v>3955</v>
      </c>
      <c r="AG1535" s="34" t="s">
        <v>5816</v>
      </c>
      <c r="AH1535" s="34" t="s">
        <v>7354</v>
      </c>
      <c r="AI1535" s="34" t="s">
        <v>5526</v>
      </c>
      <c r="AJ1535" s="34" t="s">
        <v>6854</v>
      </c>
      <c r="AK1535" s="34" t="s">
        <v>5526</v>
      </c>
      <c r="AL1535" s="34" t="s">
        <v>4321</v>
      </c>
      <c r="AM1535" s="40" t="s">
        <v>10</v>
      </c>
      <c r="AP1535" s="34">
        <v>0</v>
      </c>
      <c r="AQ1535" s="34">
        <v>20490</v>
      </c>
      <c r="AR1535" s="34">
        <v>13148</v>
      </c>
      <c r="AT1535" s="44">
        <v>1587000</v>
      </c>
      <c r="AU1535" s="44"/>
      <c r="AV1535" s="46">
        <f>ROUND(Товары[[#This Row],[РРЦ финальная, руб.]]/$AU$1,2)</f>
        <v>0</v>
      </c>
      <c r="AW1535" s="45" t="str">
        <f>IFERROR(Товары[[#This Row],[РРЦ, евро]]/Товары[[#This Row],[IRP, Eur]],"-")</f>
        <v>-</v>
      </c>
      <c r="AX1535" s="42">
        <f>IFERROR(VLOOKUP(Товары[[#This Row],[SubGroup]],'Структура цен DIY'!$B:$C,2,FALSE),0)</f>
        <v>0.25</v>
      </c>
      <c r="AY1535" s="44">
        <v>0</v>
      </c>
    </row>
    <row r="1536" spans="1:51" x14ac:dyDescent="0.25">
      <c r="A1536" s="34">
        <v>1534</v>
      </c>
      <c r="B1536" s="34" t="s">
        <v>54</v>
      </c>
      <c r="C1536" s="110" t="str">
        <f>IFERROR(INDEX(Структура_ассортимента[SuperCategory],MATCH(Товары[[#This Row],[SubGroup]],Структура_ассортимента[Subgroup],0)),"")</f>
        <v>O</v>
      </c>
      <c r="D1536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36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36" s="110" t="str">
        <f>IFERROR(INDEX(Структура_ассортимента[Product group],MATCH(Товары[[#This Row],[SubGroup]],Структура_ассортимента[Subgroup],0)),"")</f>
        <v>WPU_C</v>
      </c>
      <c r="G1536" s="110" t="str">
        <f>IFERROR(INDEX(Структура_ассортимента[Product group name ENG],MATCH(Товары[[#This Row],[SubGroup]],Структура_ассортимента[Subgroup],0)),"")</f>
        <v>Watering, Pumps</v>
      </c>
      <c r="H1536" s="110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36" s="36">
        <v>9114</v>
      </c>
      <c r="J1536" s="36" t="str">
        <f>IFERROR(INDEX(Структура_ассортимента[Generic Name (long)],MATCH(Товары[[#This Row],[SubGroup]],Структура_ассортимента[Subgroup],0)),"")</f>
        <v>PUMP, CORDED</v>
      </c>
      <c r="L1536" s="36">
        <v>967975601</v>
      </c>
      <c r="M1536" s="35" t="s">
        <v>3212</v>
      </c>
      <c r="O1536" s="35" t="s">
        <v>7361</v>
      </c>
      <c r="P1536" s="37" t="s">
        <v>7362</v>
      </c>
      <c r="Q1536" s="34" t="s">
        <v>3549</v>
      </c>
      <c r="R1536" s="34" t="s">
        <v>3540</v>
      </c>
      <c r="S1536" s="47">
        <v>43831</v>
      </c>
      <c r="T1536" s="47">
        <v>0</v>
      </c>
      <c r="U1536" s="47">
        <v>0</v>
      </c>
      <c r="V1536" s="34">
        <v>4078500047920</v>
      </c>
      <c r="W1536" s="34" t="s">
        <v>3546</v>
      </c>
      <c r="X1536" s="34" t="s">
        <v>3551</v>
      </c>
      <c r="Y1536" s="34" t="s">
        <v>3542</v>
      </c>
      <c r="Z1536" s="34">
        <v>1</v>
      </c>
      <c r="AA1536" s="34" t="s">
        <v>5825</v>
      </c>
      <c r="AB1536" s="34" t="s">
        <v>7363</v>
      </c>
      <c r="AC1536" s="34" t="s">
        <v>7364</v>
      </c>
      <c r="AD1536" s="34" t="s">
        <v>5825</v>
      </c>
      <c r="AE1536" s="34" t="s">
        <v>3743</v>
      </c>
      <c r="AF1536" s="34" t="s">
        <v>3877</v>
      </c>
      <c r="AG1536" s="34" t="s">
        <v>4439</v>
      </c>
      <c r="AH1536" s="34" t="s">
        <v>7365</v>
      </c>
      <c r="AI1536" s="34" t="s">
        <v>5526</v>
      </c>
      <c r="AJ1536" s="34" t="s">
        <v>4223</v>
      </c>
      <c r="AK1536" s="34" t="s">
        <v>5526</v>
      </c>
      <c r="AL1536" s="34" t="s">
        <v>3842</v>
      </c>
      <c r="AM1536" s="40" t="s">
        <v>10</v>
      </c>
      <c r="AP1536" s="34">
        <v>0</v>
      </c>
      <c r="AQ1536" s="34">
        <v>24590</v>
      </c>
      <c r="AR1536" s="34">
        <v>15779</v>
      </c>
      <c r="AT1536" s="44">
        <v>1904600</v>
      </c>
      <c r="AU1536" s="44"/>
      <c r="AV1536" s="46">
        <f>ROUND(Товары[[#This Row],[РРЦ финальная, руб.]]/$AU$1,2)</f>
        <v>0</v>
      </c>
      <c r="AW1536" s="45" t="str">
        <f>IFERROR(Товары[[#This Row],[РРЦ, евро]]/Товары[[#This Row],[IRP, Eur]],"-")</f>
        <v>-</v>
      </c>
      <c r="AX1536" s="42">
        <f>IFERROR(VLOOKUP(Товары[[#This Row],[SubGroup]],'Структура цен DIY'!$B:$C,2,FALSE),0)</f>
        <v>0.25</v>
      </c>
      <c r="AY1536" s="44">
        <v>0</v>
      </c>
    </row>
    <row r="1537" spans="1:51" x14ac:dyDescent="0.25">
      <c r="A1537" s="34">
        <v>1535</v>
      </c>
      <c r="B1537" s="34" t="s">
        <v>54</v>
      </c>
      <c r="C1537" s="110" t="str">
        <f>IFERROR(INDEX(Структура_ассортимента[SuperCategory],MATCH(Товары[[#This Row],[SubGroup]],Структура_ассортимента[Subgroup],0)),"")</f>
        <v>O</v>
      </c>
      <c r="D1537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37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37" s="110" t="str">
        <f>IFERROR(INDEX(Структура_ассортимента[Product group],MATCH(Товары[[#This Row],[SubGroup]],Структура_ассортимента[Subgroup],0)),"")</f>
        <v>WPU_C</v>
      </c>
      <c r="G1537" s="110" t="str">
        <f>IFERROR(INDEX(Структура_ассортимента[Product group name ENG],MATCH(Товары[[#This Row],[SubGroup]],Структура_ассортимента[Subgroup],0)),"")</f>
        <v>Watering, Pumps</v>
      </c>
      <c r="H1537" s="110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37" s="36">
        <v>9115</v>
      </c>
      <c r="J1537" s="36" t="str">
        <f>IFERROR(INDEX(Структура_ассортимента[Generic Name (long)],MATCH(Товары[[#This Row],[SubGroup]],Структура_ассортимента[Subgroup],0)),"")</f>
        <v>PUMP, CORDED</v>
      </c>
      <c r="L1537" s="36">
        <v>900952701</v>
      </c>
      <c r="M1537" s="35" t="s">
        <v>3213</v>
      </c>
      <c r="O1537" s="35" t="s">
        <v>7366</v>
      </c>
      <c r="P1537" s="37" t="s">
        <v>7367</v>
      </c>
      <c r="Q1537" s="34" t="s">
        <v>3652</v>
      </c>
      <c r="R1537" s="34" t="s">
        <v>3540</v>
      </c>
      <c r="S1537" s="47">
        <v>37165</v>
      </c>
      <c r="T1537" s="47">
        <v>44196</v>
      </c>
      <c r="U1537" s="47">
        <v>0</v>
      </c>
      <c r="V1537" s="34">
        <v>4078500178006</v>
      </c>
      <c r="W1537" s="34" t="s">
        <v>3550</v>
      </c>
      <c r="X1537" s="34" t="s">
        <v>3551</v>
      </c>
      <c r="Y1537" s="34" t="s">
        <v>3542</v>
      </c>
      <c r="Z1537" s="34">
        <v>1</v>
      </c>
      <c r="AA1537" s="34" t="s">
        <v>5501</v>
      </c>
      <c r="AB1537" s="34" t="s">
        <v>5501</v>
      </c>
      <c r="AC1537" s="34" t="s">
        <v>4858</v>
      </c>
      <c r="AD1537" s="34" t="s">
        <v>4858</v>
      </c>
      <c r="AE1537" s="34" t="s">
        <v>4309</v>
      </c>
      <c r="AF1537" s="34" t="s">
        <v>5919</v>
      </c>
      <c r="AG1537" s="34" t="s">
        <v>7368</v>
      </c>
      <c r="AH1537" s="34" t="s">
        <v>7369</v>
      </c>
      <c r="AL1537" s="34">
        <v>48</v>
      </c>
      <c r="AM1537" s="40" t="s">
        <v>9</v>
      </c>
      <c r="AP1537" s="34">
        <v>0</v>
      </c>
      <c r="AQ1537" s="34">
        <v>9090</v>
      </c>
      <c r="AR1537" s="34">
        <v>5542</v>
      </c>
      <c r="AT1537" s="44">
        <v>704100</v>
      </c>
      <c r="AU1537" s="44"/>
      <c r="AV1537" s="46">
        <f>ROUND(Товары[[#This Row],[РРЦ финальная, руб.]]/$AU$1,2)</f>
        <v>0</v>
      </c>
      <c r="AW1537" s="45" t="str">
        <f>IFERROR(Товары[[#This Row],[РРЦ, евро]]/Товары[[#This Row],[IRP, Eur]],"-")</f>
        <v>-</v>
      </c>
      <c r="AX1537" s="42">
        <f>IFERROR(VLOOKUP(Товары[[#This Row],[SubGroup]],'Структура цен DIY'!$B:$C,2,FALSE),0)</f>
        <v>0.26834498834498843</v>
      </c>
      <c r="AY1537" s="44">
        <v>0</v>
      </c>
    </row>
    <row r="1538" spans="1:51" x14ac:dyDescent="0.25">
      <c r="A1538" s="34">
        <v>1536</v>
      </c>
      <c r="B1538" s="34" t="s">
        <v>54</v>
      </c>
      <c r="C1538" s="110" t="str">
        <f>IFERROR(INDEX(Структура_ассортимента[SuperCategory],MATCH(Товары[[#This Row],[SubGroup]],Структура_ассортимента[Subgroup],0)),"")</f>
        <v>O</v>
      </c>
      <c r="D1538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38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38" s="110" t="str">
        <f>IFERROR(INDEX(Структура_ассортимента[Product group],MATCH(Товары[[#This Row],[SubGroup]],Структура_ассортимента[Subgroup],0)),"")</f>
        <v>WPU_C</v>
      </c>
      <c r="G1538" s="110" t="str">
        <f>IFERROR(INDEX(Структура_ассортимента[Product group name ENG],MATCH(Товары[[#This Row],[SubGroup]],Структура_ассортимента[Subgroup],0)),"")</f>
        <v>Watering, Pumps</v>
      </c>
      <c r="H1538" s="110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38" s="36">
        <v>9115</v>
      </c>
      <c r="J1538" s="36" t="str">
        <f>IFERROR(INDEX(Структура_ассортимента[Generic Name (long)],MATCH(Товары[[#This Row],[SubGroup]],Структура_ассортимента[Subgroup],0)),"")</f>
        <v>PUMP, CORDED</v>
      </c>
      <c r="L1538" s="36">
        <v>900953401</v>
      </c>
      <c r="M1538" s="35" t="s">
        <v>3214</v>
      </c>
      <c r="Q1538" s="34" t="s">
        <v>3652</v>
      </c>
      <c r="R1538" s="34" t="s">
        <v>3540</v>
      </c>
      <c r="S1538" s="47">
        <v>39448</v>
      </c>
      <c r="T1538" s="47">
        <v>44196</v>
      </c>
      <c r="U1538" s="47">
        <v>0</v>
      </c>
      <c r="V1538" s="34">
        <v>4078500178303</v>
      </c>
      <c r="W1538" s="34" t="s">
        <v>3550</v>
      </c>
      <c r="X1538" s="34" t="s">
        <v>3551</v>
      </c>
      <c r="Y1538" s="34" t="s">
        <v>3542</v>
      </c>
      <c r="Z1538" s="34">
        <v>1</v>
      </c>
      <c r="AA1538" s="34" t="s">
        <v>5560</v>
      </c>
      <c r="AB1538" s="34" t="s">
        <v>5560</v>
      </c>
      <c r="AC1538" s="34" t="s">
        <v>7370</v>
      </c>
      <c r="AD1538" s="34" t="s">
        <v>7370</v>
      </c>
      <c r="AE1538" s="34" t="s">
        <v>3662</v>
      </c>
      <c r="AF1538" s="34" t="s">
        <v>4257</v>
      </c>
      <c r="AG1538" s="34" t="s">
        <v>5906</v>
      </c>
      <c r="AH1538" s="34" t="s">
        <v>7371</v>
      </c>
      <c r="AL1538" s="34">
        <v>36</v>
      </c>
      <c r="AM1538" s="40" t="s">
        <v>8095</v>
      </c>
      <c r="AT1538" s="44">
        <v>0</v>
      </c>
      <c r="AU1538" s="44"/>
      <c r="AV1538" s="46">
        <f>ROUND(Товары[[#This Row],[РРЦ финальная, руб.]]/$AU$1,2)</f>
        <v>0</v>
      </c>
      <c r="AW1538" s="45" t="str">
        <f>IFERROR(Товары[[#This Row],[РРЦ, евро]]/Товары[[#This Row],[IRP, Eur]],"-")</f>
        <v>-</v>
      </c>
      <c r="AX1538" s="42">
        <f>IFERROR(VLOOKUP(Товары[[#This Row],[SubGroup]],'Структура цен DIY'!$B:$C,2,FALSE),0)</f>
        <v>0.26834498834498843</v>
      </c>
      <c r="AY1538" s="44">
        <v>0</v>
      </c>
    </row>
    <row r="1539" spans="1:51" x14ac:dyDescent="0.25">
      <c r="A1539" s="34">
        <v>1537</v>
      </c>
      <c r="B1539" s="34" t="s">
        <v>54</v>
      </c>
      <c r="C1539" s="110" t="str">
        <f>IFERROR(INDEX(Структура_ассортимента[SuperCategory],MATCH(Товары[[#This Row],[SubGroup]],Структура_ассортимента[Subgroup],0)),"")</f>
        <v>O</v>
      </c>
      <c r="D1539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39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39" s="110" t="str">
        <f>IFERROR(INDEX(Структура_ассортимента[Product group],MATCH(Товары[[#This Row],[SubGroup]],Структура_ассортимента[Subgroup],0)),"")</f>
        <v>WPU_C</v>
      </c>
      <c r="G1539" s="110" t="str">
        <f>IFERROR(INDEX(Структура_ассортимента[Product group name ENG],MATCH(Товары[[#This Row],[SubGroup]],Структура_ассортимента[Subgroup],0)),"")</f>
        <v>Watering, Pumps</v>
      </c>
      <c r="H1539" s="110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39" s="36">
        <v>9115</v>
      </c>
      <c r="J1539" s="36" t="str">
        <f>IFERROR(INDEX(Структура_ассортимента[Generic Name (long)],MATCH(Товары[[#This Row],[SubGroup]],Структура_ассортимента[Subgroup],0)),"")</f>
        <v>PUMP, CORDED</v>
      </c>
      <c r="L1539" s="36">
        <v>967064601</v>
      </c>
      <c r="M1539" s="35" t="s">
        <v>3215</v>
      </c>
      <c r="Q1539" s="34" t="s">
        <v>3652</v>
      </c>
      <c r="R1539" s="34" t="s">
        <v>3540</v>
      </c>
      <c r="S1539" s="47">
        <v>42401</v>
      </c>
      <c r="T1539" s="47">
        <v>44196</v>
      </c>
      <c r="U1539" s="47">
        <v>0</v>
      </c>
      <c r="V1539" s="34">
        <v>4078500022286</v>
      </c>
      <c r="W1539" s="34" t="s">
        <v>3543</v>
      </c>
      <c r="X1539" s="34" t="s">
        <v>3551</v>
      </c>
      <c r="Y1539" s="34" t="s">
        <v>3542</v>
      </c>
      <c r="Z1539" s="34">
        <v>1</v>
      </c>
      <c r="AA1539" s="34">
        <v>5770</v>
      </c>
      <c r="AB1539" s="34" t="s">
        <v>7372</v>
      </c>
      <c r="AC1539" s="34">
        <v>4805</v>
      </c>
      <c r="AD1539" s="34" t="s">
        <v>7373</v>
      </c>
      <c r="AE1539" s="34" t="s">
        <v>3662</v>
      </c>
      <c r="AF1539" s="34" t="s">
        <v>4257</v>
      </c>
      <c r="AG1539" s="34" t="s">
        <v>5906</v>
      </c>
      <c r="AH1539" s="34" t="s">
        <v>7371</v>
      </c>
      <c r="AL1539" s="34" t="s">
        <v>5442</v>
      </c>
      <c r="AM1539" s="40" t="s">
        <v>8095</v>
      </c>
      <c r="AT1539" s="44">
        <v>0</v>
      </c>
      <c r="AU1539" s="44"/>
      <c r="AV1539" s="46">
        <f>ROUND(Товары[[#This Row],[РРЦ финальная, руб.]]/$AU$1,2)</f>
        <v>0</v>
      </c>
      <c r="AW1539" s="45" t="str">
        <f>IFERROR(Товары[[#This Row],[РРЦ, евро]]/Товары[[#This Row],[IRP, Eur]],"-")</f>
        <v>-</v>
      </c>
      <c r="AX1539" s="42">
        <f>IFERROR(VLOOKUP(Товары[[#This Row],[SubGroup]],'Структура цен DIY'!$B:$C,2,FALSE),0)</f>
        <v>0.26834498834498843</v>
      </c>
      <c r="AY1539" s="44">
        <v>0</v>
      </c>
    </row>
    <row r="1540" spans="1:51" x14ac:dyDescent="0.25">
      <c r="A1540" s="34">
        <v>1538</v>
      </c>
      <c r="B1540" s="34" t="s">
        <v>54</v>
      </c>
      <c r="C1540" s="110" t="str">
        <f>IFERROR(INDEX(Структура_ассортимента[SuperCategory],MATCH(Товары[[#This Row],[SubGroup]],Структура_ассортимента[Subgroup],0)),"")</f>
        <v>O</v>
      </c>
      <c r="D1540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40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40" s="110" t="str">
        <f>IFERROR(INDEX(Структура_ассортимента[Product group],MATCH(Товары[[#This Row],[SubGroup]],Структура_ассортимента[Subgroup],0)),"")</f>
        <v>WPU_C</v>
      </c>
      <c r="G1540" s="110" t="str">
        <f>IFERROR(INDEX(Структура_ассортимента[Product group name ENG],MATCH(Товары[[#This Row],[SubGroup]],Структура_ассортимента[Subgroup],0)),"")</f>
        <v>Watering, Pumps</v>
      </c>
      <c r="H1540" s="110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40" s="36">
        <v>9115</v>
      </c>
      <c r="J1540" s="36" t="str">
        <f>IFERROR(INDEX(Структура_ассортимента[Generic Name (long)],MATCH(Товары[[#This Row],[SubGroup]],Структура_ассортимента[Subgroup],0)),"")</f>
        <v>PUMP, CORDED</v>
      </c>
      <c r="L1540" s="36">
        <v>900953901</v>
      </c>
      <c r="M1540" s="35" t="s">
        <v>3216</v>
      </c>
      <c r="O1540" s="35" t="s">
        <v>7374</v>
      </c>
      <c r="P1540" s="37" t="s">
        <v>7375</v>
      </c>
      <c r="Q1540" s="34" t="s">
        <v>3652</v>
      </c>
      <c r="R1540" s="34" t="s">
        <v>3540</v>
      </c>
      <c r="S1540" s="47">
        <v>39448</v>
      </c>
      <c r="T1540" s="47">
        <v>44196</v>
      </c>
      <c r="U1540" s="47">
        <v>0</v>
      </c>
      <c r="V1540" s="34">
        <v>4078500178501</v>
      </c>
      <c r="W1540" s="34" t="s">
        <v>3550</v>
      </c>
      <c r="X1540" s="34" t="s">
        <v>3551</v>
      </c>
      <c r="Y1540" s="34" t="s">
        <v>3542</v>
      </c>
      <c r="Z1540" s="34">
        <v>1</v>
      </c>
      <c r="AA1540" s="34" t="s">
        <v>6928</v>
      </c>
      <c r="AB1540" s="34" t="s">
        <v>6928</v>
      </c>
      <c r="AC1540" s="34" t="s">
        <v>7376</v>
      </c>
      <c r="AD1540" s="34" t="s">
        <v>7376</v>
      </c>
      <c r="AE1540" s="34" t="s">
        <v>7377</v>
      </c>
      <c r="AF1540" s="34" t="s">
        <v>4200</v>
      </c>
      <c r="AG1540" s="34" t="s">
        <v>6714</v>
      </c>
      <c r="AH1540" s="34" t="s">
        <v>7378</v>
      </c>
      <c r="AL1540" s="34">
        <v>36</v>
      </c>
      <c r="AM1540" s="40" t="s">
        <v>9</v>
      </c>
      <c r="AP1540" s="34">
        <v>0</v>
      </c>
      <c r="AQ1540" s="34">
        <v>15990</v>
      </c>
      <c r="AR1540" s="34">
        <v>9375</v>
      </c>
      <c r="AT1540" s="44">
        <v>1238500</v>
      </c>
      <c r="AU1540" s="44"/>
      <c r="AV1540" s="46">
        <f>ROUND(Товары[[#This Row],[РРЦ финальная, руб.]]/$AU$1,2)</f>
        <v>0</v>
      </c>
      <c r="AW1540" s="45" t="str">
        <f>IFERROR(Товары[[#This Row],[РРЦ, евро]]/Товары[[#This Row],[IRP, Eur]],"-")</f>
        <v>-</v>
      </c>
      <c r="AX1540" s="42">
        <f>IFERROR(VLOOKUP(Товары[[#This Row],[SubGroup]],'Структура цен DIY'!$B:$C,2,FALSE),0)</f>
        <v>0.26834498834498843</v>
      </c>
      <c r="AY1540" s="44">
        <v>0</v>
      </c>
    </row>
    <row r="1541" spans="1:51" x14ac:dyDescent="0.25">
      <c r="A1541" s="34">
        <v>1539</v>
      </c>
      <c r="B1541" s="34" t="s">
        <v>54</v>
      </c>
      <c r="C1541" s="110" t="str">
        <f>IFERROR(INDEX(Структура_ассортимента[SuperCategory],MATCH(Товары[[#This Row],[SubGroup]],Структура_ассортимента[Subgroup],0)),"")</f>
        <v>O</v>
      </c>
      <c r="D1541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41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41" s="110" t="str">
        <f>IFERROR(INDEX(Структура_ассортимента[Product group],MATCH(Товары[[#This Row],[SubGroup]],Структура_ассортимента[Subgroup],0)),"")</f>
        <v>WPU_C</v>
      </c>
      <c r="G1541" s="110" t="str">
        <f>IFERROR(INDEX(Структура_ассортимента[Product group name ENG],MATCH(Товары[[#This Row],[SubGroup]],Структура_ассортимента[Subgroup],0)),"")</f>
        <v>Watering, Pumps</v>
      </c>
      <c r="H1541" s="110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41" s="36">
        <v>9115</v>
      </c>
      <c r="J1541" s="36" t="str">
        <f>IFERROR(INDEX(Структура_ассортимента[Generic Name (long)],MATCH(Товары[[#This Row],[SubGroup]],Структура_ассортимента[Subgroup],0)),"")</f>
        <v>PUMP, CORDED</v>
      </c>
      <c r="L1541" s="36">
        <v>900954401</v>
      </c>
      <c r="M1541" s="35" t="s">
        <v>3217</v>
      </c>
      <c r="O1541" s="35" t="s">
        <v>7379</v>
      </c>
      <c r="P1541" s="37" t="s">
        <v>7380</v>
      </c>
      <c r="Q1541" s="34" t="s">
        <v>3652</v>
      </c>
      <c r="R1541" s="34" t="s">
        <v>3540</v>
      </c>
      <c r="S1541" s="47">
        <v>39448</v>
      </c>
      <c r="T1541" s="47">
        <v>44196</v>
      </c>
      <c r="U1541" s="47">
        <v>0</v>
      </c>
      <c r="V1541" s="34">
        <v>4078500178709</v>
      </c>
      <c r="W1541" s="34" t="s">
        <v>3550</v>
      </c>
      <c r="X1541" s="34" t="s">
        <v>3551</v>
      </c>
      <c r="Y1541" s="34" t="s">
        <v>3542</v>
      </c>
      <c r="Z1541" s="34">
        <v>1</v>
      </c>
      <c r="AA1541" s="34" t="s">
        <v>5757</v>
      </c>
      <c r="AB1541" s="34" t="s">
        <v>5757</v>
      </c>
      <c r="AC1541" s="34" t="s">
        <v>7381</v>
      </c>
      <c r="AD1541" s="34" t="s">
        <v>7381</v>
      </c>
      <c r="AE1541" s="34" t="s">
        <v>3975</v>
      </c>
      <c r="AF1541" s="34" t="s">
        <v>4257</v>
      </c>
      <c r="AG1541" s="34" t="s">
        <v>7382</v>
      </c>
      <c r="AH1541" s="34" t="s">
        <v>7383</v>
      </c>
      <c r="AL1541" s="34">
        <v>28</v>
      </c>
      <c r="AM1541" s="40" t="s">
        <v>9</v>
      </c>
      <c r="AP1541" s="34">
        <v>0</v>
      </c>
      <c r="AQ1541" s="34">
        <v>19790</v>
      </c>
      <c r="AR1541" s="34">
        <v>11602</v>
      </c>
      <c r="AT1541" s="44">
        <v>1532800</v>
      </c>
      <c r="AU1541" s="44"/>
      <c r="AV1541" s="46">
        <f>ROUND(Товары[[#This Row],[РРЦ финальная, руб.]]/$AU$1,2)</f>
        <v>0</v>
      </c>
      <c r="AW1541" s="45" t="str">
        <f>IFERROR(Товары[[#This Row],[РРЦ, евро]]/Товары[[#This Row],[IRP, Eur]],"-")</f>
        <v>-</v>
      </c>
      <c r="AX1541" s="42">
        <f>IFERROR(VLOOKUP(Товары[[#This Row],[SubGroup]],'Структура цен DIY'!$B:$C,2,FALSE),0)</f>
        <v>0.26834498834498843</v>
      </c>
      <c r="AY1541" s="44">
        <v>0</v>
      </c>
    </row>
    <row r="1542" spans="1:51" x14ac:dyDescent="0.25">
      <c r="A1542" s="34">
        <v>1540</v>
      </c>
      <c r="B1542" s="34" t="s">
        <v>54</v>
      </c>
      <c r="C1542" s="110" t="str">
        <f>IFERROR(INDEX(Структура_ассортимента[SuperCategory],MATCH(Товары[[#This Row],[SubGroup]],Структура_ассортимента[Subgroup],0)),"")</f>
        <v>O</v>
      </c>
      <c r="D1542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42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42" s="110" t="str">
        <f>IFERROR(INDEX(Структура_ассортимента[Product group],MATCH(Товары[[#This Row],[SubGroup]],Структура_ассортимента[Subgroup],0)),"")</f>
        <v>WPU_C</v>
      </c>
      <c r="G1542" s="110" t="str">
        <f>IFERROR(INDEX(Структура_ассортимента[Product group name ENG],MATCH(Товары[[#This Row],[SubGroup]],Структура_ассортимента[Subgroup],0)),"")</f>
        <v>Watering, Pumps</v>
      </c>
      <c r="H1542" s="110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42" s="36">
        <v>9115</v>
      </c>
      <c r="J1542" s="36" t="str">
        <f>IFERROR(INDEX(Структура_ассортимента[Generic Name (long)],MATCH(Товары[[#This Row],[SubGroup]],Структура_ассортимента[Subgroup],0)),"")</f>
        <v>PUMP, CORDED</v>
      </c>
      <c r="L1542" s="36">
        <v>900956401</v>
      </c>
      <c r="M1542" s="35" t="s">
        <v>3218</v>
      </c>
      <c r="O1542" s="35" t="s">
        <v>7384</v>
      </c>
      <c r="P1542" s="37" t="s">
        <v>7385</v>
      </c>
      <c r="Q1542" s="34" t="s">
        <v>3652</v>
      </c>
      <c r="R1542" s="34" t="s">
        <v>3540</v>
      </c>
      <c r="S1542" s="47">
        <v>39448</v>
      </c>
      <c r="T1542" s="47">
        <v>44196</v>
      </c>
      <c r="U1542" s="47">
        <v>0</v>
      </c>
      <c r="V1542" s="34">
        <v>4078500179508</v>
      </c>
      <c r="W1542" s="34" t="s">
        <v>3550</v>
      </c>
      <c r="X1542" s="34" t="s">
        <v>3551</v>
      </c>
      <c r="Y1542" s="34" t="s">
        <v>3542</v>
      </c>
      <c r="Z1542" s="34">
        <v>1</v>
      </c>
      <c r="AA1542" s="34" t="s">
        <v>6273</v>
      </c>
      <c r="AB1542" s="34" t="s">
        <v>6273</v>
      </c>
      <c r="AC1542" s="34" t="s">
        <v>7386</v>
      </c>
      <c r="AD1542" s="34" t="s">
        <v>7386</v>
      </c>
      <c r="AE1542" s="34" t="s">
        <v>3987</v>
      </c>
      <c r="AF1542" s="34" t="s">
        <v>4205</v>
      </c>
      <c r="AG1542" s="34" t="s">
        <v>6806</v>
      </c>
      <c r="AH1542" s="34" t="s">
        <v>7387</v>
      </c>
      <c r="AL1542" s="34">
        <v>48</v>
      </c>
      <c r="AM1542" s="40" t="s">
        <v>9</v>
      </c>
      <c r="AP1542" s="34">
        <v>0</v>
      </c>
      <c r="AQ1542" s="34">
        <v>9990</v>
      </c>
      <c r="AR1542" s="34">
        <v>6091</v>
      </c>
      <c r="AT1542" s="44">
        <v>773800</v>
      </c>
      <c r="AU1542" s="44"/>
      <c r="AV1542" s="46">
        <f>ROUND(Товары[[#This Row],[РРЦ финальная, руб.]]/$AU$1,2)</f>
        <v>0</v>
      </c>
      <c r="AW1542" s="45" t="str">
        <f>IFERROR(Товары[[#This Row],[РРЦ, евро]]/Товары[[#This Row],[IRP, Eur]],"-")</f>
        <v>-</v>
      </c>
      <c r="AX1542" s="42">
        <f>IFERROR(VLOOKUP(Товары[[#This Row],[SubGroup]],'Структура цен DIY'!$B:$C,2,FALSE),0)</f>
        <v>0.26834498834498843</v>
      </c>
      <c r="AY1542" s="44">
        <v>0</v>
      </c>
    </row>
    <row r="1543" spans="1:51" x14ac:dyDescent="0.25">
      <c r="A1543" s="34">
        <v>1541</v>
      </c>
      <c r="B1543" s="34" t="s">
        <v>54</v>
      </c>
      <c r="C1543" s="110" t="str">
        <f>IFERROR(INDEX(Структура_ассортимента[SuperCategory],MATCH(Товары[[#This Row],[SubGroup]],Структура_ассортимента[Subgroup],0)),"")</f>
        <v>O</v>
      </c>
      <c r="D1543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43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43" s="110" t="str">
        <f>IFERROR(INDEX(Структура_ассортимента[Product group],MATCH(Товары[[#This Row],[SubGroup]],Структура_ассортимента[Subgroup],0)),"")</f>
        <v>WPU_C</v>
      </c>
      <c r="G1543" s="110" t="str">
        <f>IFERROR(INDEX(Структура_ассортимента[Product group name ENG],MATCH(Товары[[#This Row],[SubGroup]],Структура_ассортимента[Subgroup],0)),"")</f>
        <v>Watering, Pumps</v>
      </c>
      <c r="H1543" s="110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43" s="36">
        <v>9115</v>
      </c>
      <c r="J1543" s="36" t="str">
        <f>IFERROR(INDEX(Структура_ассортимента[Generic Name (long)],MATCH(Товары[[#This Row],[SubGroup]],Структура_ассортимента[Subgroup],0)),"")</f>
        <v>PUMP, CORDED</v>
      </c>
      <c r="L1543" s="36">
        <v>900956801</v>
      </c>
      <c r="M1543" s="35" t="s">
        <v>3219</v>
      </c>
      <c r="O1543" s="35" t="s">
        <v>7388</v>
      </c>
      <c r="P1543" s="37" t="s">
        <v>7389</v>
      </c>
      <c r="Q1543" s="34" t="s">
        <v>3652</v>
      </c>
      <c r="R1543" s="34" t="s">
        <v>3540</v>
      </c>
      <c r="S1543" s="47">
        <v>39448</v>
      </c>
      <c r="T1543" s="47">
        <v>44196</v>
      </c>
      <c r="U1543" s="47">
        <v>0</v>
      </c>
      <c r="V1543" s="34">
        <v>4078500179706</v>
      </c>
      <c r="W1543" s="34" t="s">
        <v>3550</v>
      </c>
      <c r="X1543" s="34" t="s">
        <v>3551</v>
      </c>
      <c r="Y1543" s="34" t="s">
        <v>3542</v>
      </c>
      <c r="Z1543" s="34">
        <v>1</v>
      </c>
      <c r="AA1543" s="34" t="s">
        <v>7390</v>
      </c>
      <c r="AB1543" s="34" t="s">
        <v>7390</v>
      </c>
      <c r="AC1543" s="34" t="s">
        <v>7391</v>
      </c>
      <c r="AD1543" s="34" t="s">
        <v>7391</v>
      </c>
      <c r="AE1543" s="34" t="s">
        <v>6120</v>
      </c>
      <c r="AF1543" s="34" t="s">
        <v>3753</v>
      </c>
      <c r="AG1543" s="34" t="s">
        <v>3623</v>
      </c>
      <c r="AH1543" s="34" t="s">
        <v>7392</v>
      </c>
      <c r="AL1543" s="34">
        <v>30</v>
      </c>
      <c r="AM1543" s="40" t="s">
        <v>9</v>
      </c>
      <c r="AP1543" s="34">
        <v>0</v>
      </c>
      <c r="AQ1543" s="34">
        <v>14090</v>
      </c>
      <c r="AR1543" s="34">
        <v>8261</v>
      </c>
      <c r="AT1543" s="44">
        <v>1091300</v>
      </c>
      <c r="AU1543" s="44"/>
      <c r="AV1543" s="46">
        <f>ROUND(Товары[[#This Row],[РРЦ финальная, руб.]]/$AU$1,2)</f>
        <v>0</v>
      </c>
      <c r="AW1543" s="45" t="str">
        <f>IFERROR(Товары[[#This Row],[РРЦ, евро]]/Товары[[#This Row],[IRP, Eur]],"-")</f>
        <v>-</v>
      </c>
      <c r="AX1543" s="42">
        <f>IFERROR(VLOOKUP(Товары[[#This Row],[SubGroup]],'Структура цен DIY'!$B:$C,2,FALSE),0)</f>
        <v>0.26834498834498843</v>
      </c>
      <c r="AY1543" s="44">
        <v>0</v>
      </c>
    </row>
    <row r="1544" spans="1:51" x14ac:dyDescent="0.25">
      <c r="A1544" s="34">
        <v>1542</v>
      </c>
      <c r="B1544" s="34" t="s">
        <v>54</v>
      </c>
      <c r="C1544" s="110" t="str">
        <f>IFERROR(INDEX(Структура_ассортимента[SuperCategory],MATCH(Товары[[#This Row],[SubGroup]],Структура_ассортимента[Subgroup],0)),"")</f>
        <v>O</v>
      </c>
      <c r="D1544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44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44" s="110" t="str">
        <f>IFERROR(INDEX(Структура_ассортимента[Product group],MATCH(Товары[[#This Row],[SubGroup]],Структура_ассортимента[Subgroup],0)),"")</f>
        <v>WPU_C</v>
      </c>
      <c r="G1544" s="110" t="str">
        <f>IFERROR(INDEX(Структура_ассортимента[Product group name ENG],MATCH(Товары[[#This Row],[SubGroup]],Структура_ассортимента[Subgroup],0)),"")</f>
        <v>Watering, Pumps</v>
      </c>
      <c r="H1544" s="110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44" s="36">
        <v>9115</v>
      </c>
      <c r="J1544" s="36" t="str">
        <f>IFERROR(INDEX(Структура_ассортимента[Generic Name (long)],MATCH(Товары[[#This Row],[SubGroup]],Структура_ассортимента[Subgroup],0)),"")</f>
        <v>PUMP, CORDED</v>
      </c>
      <c r="L1544" s="36">
        <v>900957501</v>
      </c>
      <c r="M1544" s="35" t="s">
        <v>3220</v>
      </c>
      <c r="O1544" s="35" t="s">
        <v>7393</v>
      </c>
      <c r="P1544" s="37" t="s">
        <v>7394</v>
      </c>
      <c r="Q1544" s="34" t="s">
        <v>3652</v>
      </c>
      <c r="R1544" s="34" t="s">
        <v>3540</v>
      </c>
      <c r="S1544" s="47">
        <v>39448</v>
      </c>
      <c r="T1544" s="47">
        <v>44196</v>
      </c>
      <c r="U1544" s="47">
        <v>0</v>
      </c>
      <c r="V1544" s="34">
        <v>4078500179904</v>
      </c>
      <c r="W1544" s="34" t="s">
        <v>3550</v>
      </c>
      <c r="X1544" s="34" t="s">
        <v>3551</v>
      </c>
      <c r="Y1544" s="34" t="s">
        <v>3542</v>
      </c>
      <c r="Z1544" s="34">
        <v>1</v>
      </c>
      <c r="AA1544" s="34" t="s">
        <v>6928</v>
      </c>
      <c r="AB1544" s="34" t="s">
        <v>6928</v>
      </c>
      <c r="AC1544" s="34" t="s">
        <v>7395</v>
      </c>
      <c r="AD1544" s="34" t="s">
        <v>7395</v>
      </c>
      <c r="AE1544" s="34" t="s">
        <v>6120</v>
      </c>
      <c r="AF1544" s="34" t="s">
        <v>3753</v>
      </c>
      <c r="AG1544" s="34" t="s">
        <v>6755</v>
      </c>
      <c r="AH1544" s="34" t="s">
        <v>7396</v>
      </c>
      <c r="AL1544" s="34">
        <v>26</v>
      </c>
      <c r="AM1544" s="40" t="s">
        <v>9</v>
      </c>
      <c r="AP1544" s="34">
        <v>0</v>
      </c>
      <c r="AQ1544" s="34">
        <v>16590</v>
      </c>
      <c r="AR1544" s="34">
        <v>9726</v>
      </c>
      <c r="AT1544" s="44">
        <v>1285000</v>
      </c>
      <c r="AU1544" s="44"/>
      <c r="AV1544" s="46">
        <f>ROUND(Товары[[#This Row],[РРЦ финальная, руб.]]/$AU$1,2)</f>
        <v>0</v>
      </c>
      <c r="AW1544" s="45" t="str">
        <f>IFERROR(Товары[[#This Row],[РРЦ, евро]]/Товары[[#This Row],[IRP, Eur]],"-")</f>
        <v>-</v>
      </c>
      <c r="AX1544" s="42">
        <f>IFERROR(VLOOKUP(Товары[[#This Row],[SubGroup]],'Структура цен DIY'!$B:$C,2,FALSE),0)</f>
        <v>0.26834498834498843</v>
      </c>
      <c r="AY1544" s="44">
        <v>0</v>
      </c>
    </row>
    <row r="1545" spans="1:51" x14ac:dyDescent="0.25">
      <c r="A1545" s="34">
        <v>1543</v>
      </c>
      <c r="B1545" s="34" t="s">
        <v>54</v>
      </c>
      <c r="C1545" s="110" t="str">
        <f>IFERROR(INDEX(Структура_ассортимента[SuperCategory],MATCH(Товары[[#This Row],[SubGroup]],Структура_ассортимента[Subgroup],0)),"")</f>
        <v>O</v>
      </c>
      <c r="D1545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45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45" s="110" t="str">
        <f>IFERROR(INDEX(Структура_ассортимента[Product group],MATCH(Товары[[#This Row],[SubGroup]],Структура_ассортимента[Subgroup],0)),"")</f>
        <v>WPU_C</v>
      </c>
      <c r="G1545" s="110" t="str">
        <f>IFERROR(INDEX(Структура_ассортимента[Product group name ENG],MATCH(Товары[[#This Row],[SubGroup]],Структура_ассортимента[Subgroup],0)),"")</f>
        <v>Watering, Pumps</v>
      </c>
      <c r="H1545" s="110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45" s="36">
        <v>9115</v>
      </c>
      <c r="J1545" s="36" t="str">
        <f>IFERROR(INDEX(Структура_ассортимента[Generic Name (long)],MATCH(Товары[[#This Row],[SubGroup]],Структура_ассортимента[Subgroup],0)),"")</f>
        <v>PUMP, CORDED</v>
      </c>
      <c r="L1545" s="36">
        <v>900957901</v>
      </c>
      <c r="M1545" s="35" t="s">
        <v>3221</v>
      </c>
      <c r="O1545" s="35" t="s">
        <v>7397</v>
      </c>
      <c r="P1545" s="37" t="s">
        <v>7398</v>
      </c>
      <c r="Q1545" s="34" t="s">
        <v>3652</v>
      </c>
      <c r="R1545" s="34" t="s">
        <v>3540</v>
      </c>
      <c r="S1545" s="47">
        <v>39448</v>
      </c>
      <c r="T1545" s="47">
        <v>44196</v>
      </c>
      <c r="U1545" s="47">
        <v>0</v>
      </c>
      <c r="V1545" s="34">
        <v>4078500180207</v>
      </c>
      <c r="W1545" s="34" t="s">
        <v>3550</v>
      </c>
      <c r="X1545" s="34" t="s">
        <v>3551</v>
      </c>
      <c r="Y1545" s="34" t="s">
        <v>3542</v>
      </c>
      <c r="Z1545" s="34">
        <v>1</v>
      </c>
      <c r="AA1545" s="34" t="s">
        <v>5757</v>
      </c>
      <c r="AB1545" s="34" t="s">
        <v>5757</v>
      </c>
      <c r="AC1545" s="34" t="s">
        <v>6958</v>
      </c>
      <c r="AD1545" s="34" t="s">
        <v>6958</v>
      </c>
      <c r="AE1545" s="34" t="s">
        <v>4203</v>
      </c>
      <c r="AF1545" s="34" t="s">
        <v>3743</v>
      </c>
      <c r="AG1545" s="34" t="s">
        <v>4341</v>
      </c>
      <c r="AH1545" s="34" t="s">
        <v>7399</v>
      </c>
      <c r="AL1545" s="34">
        <v>30</v>
      </c>
      <c r="AM1545" s="40" t="s">
        <v>9</v>
      </c>
      <c r="AP1545" s="34">
        <v>0</v>
      </c>
      <c r="AQ1545" s="34">
        <v>20690</v>
      </c>
      <c r="AR1545" s="34">
        <v>12130</v>
      </c>
      <c r="AT1545" s="44">
        <v>1602500</v>
      </c>
      <c r="AU1545" s="44"/>
      <c r="AV1545" s="46">
        <f>ROUND(Товары[[#This Row],[РРЦ финальная, руб.]]/$AU$1,2)</f>
        <v>0</v>
      </c>
      <c r="AW1545" s="45" t="str">
        <f>IFERROR(Товары[[#This Row],[РРЦ, евро]]/Товары[[#This Row],[IRP, Eur]],"-")</f>
        <v>-</v>
      </c>
      <c r="AX1545" s="42">
        <f>IFERROR(VLOOKUP(Товары[[#This Row],[SubGroup]],'Структура цен DIY'!$B:$C,2,FALSE),0)</f>
        <v>0.26834498834498843</v>
      </c>
      <c r="AY1545" s="44">
        <v>0</v>
      </c>
    </row>
    <row r="1546" spans="1:51" x14ac:dyDescent="0.25">
      <c r="A1546" s="34">
        <v>1544</v>
      </c>
      <c r="B1546" s="34" t="s">
        <v>54</v>
      </c>
      <c r="C1546" s="110" t="str">
        <f>IFERROR(INDEX(Структура_ассортимента[SuperCategory],MATCH(Товары[[#This Row],[SubGroup]],Структура_ассортимента[Subgroup],0)),"")</f>
        <v>O</v>
      </c>
      <c r="D1546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46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46" s="110" t="str">
        <f>IFERROR(INDEX(Структура_ассортимента[Product group],MATCH(Товары[[#This Row],[SubGroup]],Структура_ассортимента[Subgroup],0)),"")</f>
        <v>WPU_C</v>
      </c>
      <c r="G1546" s="110" t="str">
        <f>IFERROR(INDEX(Структура_ассортимента[Product group name ENG],MATCH(Товары[[#This Row],[SubGroup]],Структура_ассортимента[Subgroup],0)),"")</f>
        <v>Watering, Pumps</v>
      </c>
      <c r="H1546" s="110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46" s="36">
        <v>9115</v>
      </c>
      <c r="J1546" s="36" t="str">
        <f>IFERROR(INDEX(Структура_ассортимента[Generic Name (long)],MATCH(Товары[[#This Row],[SubGroup]],Структура_ассортимента[Subgroup],0)),"")</f>
        <v>PUMP, CORDED</v>
      </c>
      <c r="L1546" s="36">
        <v>970442301</v>
      </c>
      <c r="M1546" s="35" t="s">
        <v>3222</v>
      </c>
      <c r="O1546" s="35" t="s">
        <v>7400</v>
      </c>
      <c r="P1546" s="37" t="s">
        <v>7401</v>
      </c>
      <c r="Q1546" s="34" t="s">
        <v>3549</v>
      </c>
      <c r="R1546" s="34" t="s">
        <v>3540</v>
      </c>
      <c r="S1546" s="47">
        <v>43831</v>
      </c>
      <c r="T1546" s="47">
        <v>0</v>
      </c>
      <c r="U1546" s="47">
        <v>0</v>
      </c>
      <c r="V1546" s="34">
        <v>4078500049696</v>
      </c>
      <c r="W1546" s="34" t="s">
        <v>3546</v>
      </c>
      <c r="X1546" s="34" t="s">
        <v>3551</v>
      </c>
      <c r="Y1546" s="34" t="s">
        <v>3542</v>
      </c>
      <c r="Z1546" s="34">
        <v>4</v>
      </c>
      <c r="AA1546" s="34" t="s">
        <v>5436</v>
      </c>
      <c r="AB1546" s="34" t="s">
        <v>7402</v>
      </c>
      <c r="AC1546" s="34" t="s">
        <v>6210</v>
      </c>
      <c r="AD1546" s="34" t="s">
        <v>7403</v>
      </c>
      <c r="AE1546" s="34" t="s">
        <v>5919</v>
      </c>
      <c r="AF1546" s="34" t="s">
        <v>3968</v>
      </c>
      <c r="AG1546" s="34" t="s">
        <v>5906</v>
      </c>
      <c r="AH1546" s="34" t="s">
        <v>7404</v>
      </c>
      <c r="AI1546" s="34" t="s">
        <v>7405</v>
      </c>
      <c r="AJ1546" s="34" t="s">
        <v>7406</v>
      </c>
      <c r="AK1546" s="34" t="s">
        <v>5526</v>
      </c>
      <c r="AL1546" s="34" t="s">
        <v>6736</v>
      </c>
      <c r="AM1546" s="40" t="s">
        <v>10</v>
      </c>
      <c r="AP1546" s="34">
        <v>0</v>
      </c>
      <c r="AQ1546" s="34">
        <v>3590</v>
      </c>
      <c r="AR1546" s="34">
        <v>2184</v>
      </c>
      <c r="AT1546" s="44">
        <v>278100</v>
      </c>
      <c r="AU1546" s="44"/>
      <c r="AV1546" s="46">
        <f>ROUND(Товары[[#This Row],[РРЦ финальная, руб.]]/$AU$1,2)</f>
        <v>0</v>
      </c>
      <c r="AW1546" s="45" t="str">
        <f>IFERROR(Товары[[#This Row],[РРЦ, евро]]/Товары[[#This Row],[IRP, Eur]],"-")</f>
        <v>-</v>
      </c>
      <c r="AX1546" s="42">
        <f>IFERROR(VLOOKUP(Товары[[#This Row],[SubGroup]],'Структура цен DIY'!$B:$C,2,FALSE),0)</f>
        <v>0.26834498834498843</v>
      </c>
      <c r="AY1546" s="44">
        <v>0</v>
      </c>
    </row>
    <row r="1547" spans="1:51" x14ac:dyDescent="0.25">
      <c r="A1547" s="34">
        <v>1545</v>
      </c>
      <c r="B1547" s="34" t="s">
        <v>54</v>
      </c>
      <c r="C1547" s="110" t="str">
        <f>IFERROR(INDEX(Структура_ассортимента[SuperCategory],MATCH(Товары[[#This Row],[SubGroup]],Структура_ассортимента[Subgroup],0)),"")</f>
        <v>O</v>
      </c>
      <c r="D1547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47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47" s="110" t="str">
        <f>IFERROR(INDEX(Структура_ассортимента[Product group],MATCH(Товары[[#This Row],[SubGroup]],Структура_ассортимента[Subgroup],0)),"")</f>
        <v>WPU_C</v>
      </c>
      <c r="G1547" s="110" t="str">
        <f>IFERROR(INDEX(Структура_ассортимента[Product group name ENG],MATCH(Товары[[#This Row],[SubGroup]],Структура_ассортимента[Subgroup],0)),"")</f>
        <v>Watering, Pumps</v>
      </c>
      <c r="H1547" s="110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47" s="36">
        <v>9115</v>
      </c>
      <c r="J1547" s="36" t="str">
        <f>IFERROR(INDEX(Структура_ассортимента[Generic Name (long)],MATCH(Товары[[#This Row],[SubGroup]],Структура_ассортимента[Subgroup],0)),"")</f>
        <v>PUMP, CORDED</v>
      </c>
      <c r="L1547" s="36">
        <v>970442501</v>
      </c>
      <c r="M1547" s="35" t="s">
        <v>3223</v>
      </c>
      <c r="O1547" s="35" t="s">
        <v>7407</v>
      </c>
      <c r="P1547" s="37" t="s">
        <v>7408</v>
      </c>
      <c r="Q1547" s="34" t="s">
        <v>3549</v>
      </c>
      <c r="R1547" s="34" t="s">
        <v>3540</v>
      </c>
      <c r="S1547" s="47">
        <v>43831</v>
      </c>
      <c r="T1547" s="47">
        <v>0</v>
      </c>
      <c r="U1547" s="47">
        <v>0</v>
      </c>
      <c r="V1547" s="34">
        <v>4078500049702</v>
      </c>
      <c r="W1547" s="34" t="s">
        <v>3546</v>
      </c>
      <c r="X1547" s="34" t="s">
        <v>3551</v>
      </c>
      <c r="Y1547" s="34" t="s">
        <v>3542</v>
      </c>
      <c r="Z1547" s="34">
        <v>4</v>
      </c>
      <c r="AA1547" s="34" t="s">
        <v>5436</v>
      </c>
      <c r="AB1547" s="34" t="s">
        <v>7409</v>
      </c>
      <c r="AC1547" s="34" t="s">
        <v>6210</v>
      </c>
      <c r="AD1547" s="34" t="s">
        <v>7410</v>
      </c>
      <c r="AE1547" s="34" t="s">
        <v>5919</v>
      </c>
      <c r="AF1547" s="34" t="s">
        <v>3968</v>
      </c>
      <c r="AG1547" s="34" t="s">
        <v>5906</v>
      </c>
      <c r="AH1547" s="34" t="s">
        <v>7404</v>
      </c>
      <c r="AI1547" s="34" t="s">
        <v>7405</v>
      </c>
      <c r="AJ1547" s="34" t="s">
        <v>7406</v>
      </c>
      <c r="AK1547" s="34" t="s">
        <v>5526</v>
      </c>
      <c r="AL1547" s="34" t="s">
        <v>6736</v>
      </c>
      <c r="AM1547" s="40" t="s">
        <v>10</v>
      </c>
      <c r="AP1547" s="34">
        <v>0</v>
      </c>
      <c r="AQ1547" s="34">
        <v>4690</v>
      </c>
      <c r="AR1547" s="34">
        <v>2853</v>
      </c>
      <c r="AT1547" s="44">
        <v>363300</v>
      </c>
      <c r="AU1547" s="44"/>
      <c r="AV1547" s="46">
        <f>ROUND(Товары[[#This Row],[РРЦ финальная, руб.]]/$AU$1,2)</f>
        <v>0</v>
      </c>
      <c r="AW1547" s="45" t="str">
        <f>IFERROR(Товары[[#This Row],[РРЦ, евро]]/Товары[[#This Row],[IRP, Eur]],"-")</f>
        <v>-</v>
      </c>
      <c r="AX1547" s="42">
        <f>IFERROR(VLOOKUP(Товары[[#This Row],[SubGroup]],'Структура цен DIY'!$B:$C,2,FALSE),0)</f>
        <v>0.26834498834498843</v>
      </c>
      <c r="AY1547" s="44">
        <v>0</v>
      </c>
    </row>
    <row r="1548" spans="1:51" x14ac:dyDescent="0.25">
      <c r="A1548" s="34">
        <v>1546</v>
      </c>
      <c r="B1548" s="34" t="s">
        <v>54</v>
      </c>
      <c r="C1548" s="110" t="str">
        <f>IFERROR(INDEX(Структура_ассортимента[SuperCategory],MATCH(Товары[[#This Row],[SubGroup]],Структура_ассортимента[Subgroup],0)),"")</f>
        <v>O</v>
      </c>
      <c r="D1548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48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48" s="110" t="str">
        <f>IFERROR(INDEX(Структура_ассортимента[Product group],MATCH(Товары[[#This Row],[SubGroup]],Структура_ассортимента[Subgroup],0)),"")</f>
        <v>WPU_C</v>
      </c>
      <c r="G1548" s="110" t="str">
        <f>IFERROR(INDEX(Структура_ассортимента[Product group name ENG],MATCH(Товары[[#This Row],[SubGroup]],Структура_ассортимента[Subgroup],0)),"")</f>
        <v>Watering, Pumps</v>
      </c>
      <c r="H1548" s="110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48" s="36">
        <v>9115</v>
      </c>
      <c r="J1548" s="36" t="str">
        <f>IFERROR(INDEX(Структура_ассортимента[Generic Name (long)],MATCH(Товары[[#This Row],[SubGroup]],Структура_ассортимента[Subgroup],0)),"")</f>
        <v>PUMP, CORDED</v>
      </c>
      <c r="L1548" s="36">
        <v>970442701</v>
      </c>
      <c r="M1548" s="35" t="s">
        <v>3224</v>
      </c>
      <c r="O1548" s="35" t="s">
        <v>7411</v>
      </c>
      <c r="P1548" s="37" t="s">
        <v>7412</v>
      </c>
      <c r="Q1548" s="34" t="s">
        <v>3549</v>
      </c>
      <c r="R1548" s="34" t="s">
        <v>3540</v>
      </c>
      <c r="S1548" s="47">
        <v>43831</v>
      </c>
      <c r="T1548" s="47">
        <v>0</v>
      </c>
      <c r="U1548" s="47">
        <v>0</v>
      </c>
      <c r="V1548" s="34">
        <v>4078500049719</v>
      </c>
      <c r="W1548" s="34" t="s">
        <v>3546</v>
      </c>
      <c r="X1548" s="34" t="s">
        <v>3551</v>
      </c>
      <c r="Y1548" s="34" t="s">
        <v>3542</v>
      </c>
      <c r="Z1548" s="34">
        <v>4</v>
      </c>
      <c r="AA1548" s="34" t="s">
        <v>5436</v>
      </c>
      <c r="AB1548" s="34" t="s">
        <v>7413</v>
      </c>
      <c r="AC1548" s="34" t="s">
        <v>6210</v>
      </c>
      <c r="AD1548" s="34" t="s">
        <v>7414</v>
      </c>
      <c r="AE1548" s="34" t="s">
        <v>5919</v>
      </c>
      <c r="AF1548" s="34" t="s">
        <v>3968</v>
      </c>
      <c r="AG1548" s="34" t="s">
        <v>6017</v>
      </c>
      <c r="AH1548" s="34" t="s">
        <v>7415</v>
      </c>
      <c r="AI1548" s="34" t="s">
        <v>7405</v>
      </c>
      <c r="AJ1548" s="34" t="s">
        <v>6696</v>
      </c>
      <c r="AK1548" s="34" t="s">
        <v>3894</v>
      </c>
      <c r="AL1548" s="34" t="s">
        <v>4214</v>
      </c>
      <c r="AM1548" s="40" t="s">
        <v>9</v>
      </c>
      <c r="AP1548" s="34">
        <v>0</v>
      </c>
      <c r="AQ1548" s="34">
        <v>3590</v>
      </c>
      <c r="AR1548" s="34">
        <v>2274</v>
      </c>
      <c r="AT1548" s="44">
        <v>278100</v>
      </c>
      <c r="AU1548" s="44"/>
      <c r="AV1548" s="46">
        <f>ROUND(Товары[[#This Row],[РРЦ финальная, руб.]]/$AU$1,2)</f>
        <v>0</v>
      </c>
      <c r="AW1548" s="45" t="str">
        <f>IFERROR(Товары[[#This Row],[РРЦ, евро]]/Товары[[#This Row],[IRP, Eur]],"-")</f>
        <v>-</v>
      </c>
      <c r="AX1548" s="42">
        <f>IFERROR(VLOOKUP(Товары[[#This Row],[SubGroup]],'Структура цен DIY'!$B:$C,2,FALSE),0)</f>
        <v>0.26834498834498843</v>
      </c>
      <c r="AY1548" s="44">
        <v>0</v>
      </c>
    </row>
    <row r="1549" spans="1:51" x14ac:dyDescent="0.25">
      <c r="A1549" s="34">
        <v>1547</v>
      </c>
      <c r="B1549" s="34" t="s">
        <v>54</v>
      </c>
      <c r="C1549" s="110" t="str">
        <f>IFERROR(INDEX(Структура_ассортимента[SuperCategory],MATCH(Товары[[#This Row],[SubGroup]],Структура_ассортимента[Subgroup],0)),"")</f>
        <v>O</v>
      </c>
      <c r="D1549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49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49" s="110" t="str">
        <f>IFERROR(INDEX(Структура_ассортимента[Product group],MATCH(Товары[[#This Row],[SubGroup]],Структура_ассортимента[Subgroup],0)),"")</f>
        <v>WPU_C</v>
      </c>
      <c r="G1549" s="110" t="str">
        <f>IFERROR(INDEX(Структура_ассортимента[Product group name ENG],MATCH(Товары[[#This Row],[SubGroup]],Структура_ассортимента[Subgroup],0)),"")</f>
        <v>Watering, Pumps</v>
      </c>
      <c r="H1549" s="110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49" s="36">
        <v>9115</v>
      </c>
      <c r="J1549" s="36" t="str">
        <f>IFERROR(INDEX(Структура_ассортимента[Generic Name (long)],MATCH(Товары[[#This Row],[SubGroup]],Структура_ассортимента[Subgroup],0)),"")</f>
        <v>PUMP, CORDED</v>
      </c>
      <c r="L1549" s="36">
        <v>970442901</v>
      </c>
      <c r="M1549" s="35" t="s">
        <v>3225</v>
      </c>
      <c r="O1549" s="35" t="s">
        <v>7416</v>
      </c>
      <c r="P1549" s="37" t="s">
        <v>7417</v>
      </c>
      <c r="Q1549" s="34" t="s">
        <v>3549</v>
      </c>
      <c r="R1549" s="34" t="s">
        <v>3540</v>
      </c>
      <c r="S1549" s="47">
        <v>43831</v>
      </c>
      <c r="T1549" s="47">
        <v>0</v>
      </c>
      <c r="U1549" s="47">
        <v>0</v>
      </c>
      <c r="V1549" s="34">
        <v>4078500049726</v>
      </c>
      <c r="W1549" s="34" t="s">
        <v>3546</v>
      </c>
      <c r="X1549" s="34" t="s">
        <v>3551</v>
      </c>
      <c r="Y1549" s="34" t="s">
        <v>3542</v>
      </c>
      <c r="Z1549" s="34">
        <v>4</v>
      </c>
      <c r="AA1549" s="34" t="s">
        <v>5436</v>
      </c>
      <c r="AB1549" s="34" t="s">
        <v>7418</v>
      </c>
      <c r="AC1549" s="34" t="s">
        <v>6210</v>
      </c>
      <c r="AD1549" s="34" t="s">
        <v>7419</v>
      </c>
      <c r="AE1549" s="34" t="s">
        <v>5919</v>
      </c>
      <c r="AF1549" s="34" t="s">
        <v>3968</v>
      </c>
      <c r="AG1549" s="34" t="s">
        <v>6017</v>
      </c>
      <c r="AH1549" s="34" t="s">
        <v>7415</v>
      </c>
      <c r="AI1549" s="34" t="s">
        <v>7405</v>
      </c>
      <c r="AJ1549" s="34" t="s">
        <v>6696</v>
      </c>
      <c r="AK1549" s="34" t="s">
        <v>3894</v>
      </c>
      <c r="AL1549" s="34" t="s">
        <v>4214</v>
      </c>
      <c r="AM1549" s="40" t="s">
        <v>10</v>
      </c>
      <c r="AP1549" s="34">
        <v>0</v>
      </c>
      <c r="AQ1549" s="34">
        <v>4690</v>
      </c>
      <c r="AR1549" s="34">
        <v>2853</v>
      </c>
      <c r="AT1549" s="44">
        <v>363300</v>
      </c>
      <c r="AU1549" s="44"/>
      <c r="AV1549" s="46">
        <f>ROUND(Товары[[#This Row],[РРЦ финальная, руб.]]/$AU$1,2)</f>
        <v>0</v>
      </c>
      <c r="AW1549" s="45" t="str">
        <f>IFERROR(Товары[[#This Row],[РРЦ, евро]]/Товары[[#This Row],[IRP, Eur]],"-")</f>
        <v>-</v>
      </c>
      <c r="AX1549" s="42">
        <f>IFERROR(VLOOKUP(Товары[[#This Row],[SubGroup]],'Структура цен DIY'!$B:$C,2,FALSE),0)</f>
        <v>0.26834498834498843</v>
      </c>
      <c r="AY1549" s="44">
        <v>0</v>
      </c>
    </row>
    <row r="1550" spans="1:51" x14ac:dyDescent="0.25">
      <c r="A1550" s="34">
        <v>1548</v>
      </c>
      <c r="B1550" s="34" t="s">
        <v>54</v>
      </c>
      <c r="C1550" s="110" t="str">
        <f>IFERROR(INDEX(Структура_ассортимента[SuperCategory],MATCH(Товары[[#This Row],[SubGroup]],Структура_ассортимента[Subgroup],0)),"")</f>
        <v>O</v>
      </c>
      <c r="D1550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50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50" s="110" t="str">
        <f>IFERROR(INDEX(Структура_ассортимента[Product group],MATCH(Товары[[#This Row],[SubGroup]],Структура_ассортимента[Subgroup],0)),"")</f>
        <v>WPU_C</v>
      </c>
      <c r="G1550" s="110" t="str">
        <f>IFERROR(INDEX(Структура_ассортимента[Product group name ENG],MATCH(Товары[[#This Row],[SubGroup]],Структура_ассортимента[Subgroup],0)),"")</f>
        <v>Watering, Pumps</v>
      </c>
      <c r="H1550" s="110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50" s="36">
        <v>9111</v>
      </c>
      <c r="J1550" s="36" t="str">
        <f>IFERROR(INDEX(Структура_ассортимента[Generic Name (long)],MATCH(Товары[[#This Row],[SubGroup]],Структура_ассортимента[Subgroup],0)),"")</f>
        <v>PUMP, CORDED</v>
      </c>
      <c r="L1550" s="36">
        <v>970443101</v>
      </c>
      <c r="M1550" s="35" t="s">
        <v>3226</v>
      </c>
      <c r="O1550" s="35" t="s">
        <v>7420</v>
      </c>
      <c r="P1550" s="37" t="s">
        <v>7421</v>
      </c>
      <c r="Q1550" s="34" t="s">
        <v>3549</v>
      </c>
      <c r="R1550" s="34" t="s">
        <v>3540</v>
      </c>
      <c r="S1550" s="47">
        <v>43831</v>
      </c>
      <c r="T1550" s="47">
        <v>0</v>
      </c>
      <c r="U1550" s="47">
        <v>0</v>
      </c>
      <c r="V1550" s="34">
        <v>4078500049733</v>
      </c>
      <c r="W1550" s="34" t="s">
        <v>3546</v>
      </c>
      <c r="X1550" s="34" t="s">
        <v>3551</v>
      </c>
      <c r="Y1550" s="34" t="s">
        <v>3542</v>
      </c>
      <c r="Z1550" s="34">
        <v>1</v>
      </c>
      <c r="AA1550" s="34" t="s">
        <v>7422</v>
      </c>
      <c r="AB1550" s="34" t="s">
        <v>7423</v>
      </c>
      <c r="AC1550" s="34" t="s">
        <v>7424</v>
      </c>
      <c r="AD1550" s="34" t="s">
        <v>7425</v>
      </c>
      <c r="AE1550" s="34" t="s">
        <v>4427</v>
      </c>
      <c r="AF1550" s="34" t="s">
        <v>3987</v>
      </c>
      <c r="AG1550" s="34" t="s">
        <v>4309</v>
      </c>
      <c r="AH1550" s="34" t="s">
        <v>7426</v>
      </c>
      <c r="AI1550" s="34" t="s">
        <v>4210</v>
      </c>
      <c r="AJ1550" s="34" t="s">
        <v>4200</v>
      </c>
      <c r="AK1550" s="34" t="s">
        <v>4458</v>
      </c>
      <c r="AL1550" s="34" t="s">
        <v>4513</v>
      </c>
      <c r="AM1550" s="40" t="s">
        <v>9</v>
      </c>
      <c r="AP1550" s="34">
        <v>0</v>
      </c>
      <c r="AQ1550" s="34">
        <v>5590</v>
      </c>
      <c r="AR1550" s="34">
        <v>3401</v>
      </c>
      <c r="AT1550" s="44">
        <v>433000</v>
      </c>
      <c r="AU1550" s="44"/>
      <c r="AV1550" s="46">
        <f>ROUND(Товары[[#This Row],[РРЦ финальная, руб.]]/$AU$1,2)</f>
        <v>0</v>
      </c>
      <c r="AW1550" s="45" t="str">
        <f>IFERROR(Товары[[#This Row],[РРЦ, евро]]/Товары[[#This Row],[IRP, Eur]],"-")</f>
        <v>-</v>
      </c>
      <c r="AX1550" s="42">
        <f>IFERROR(VLOOKUP(Товары[[#This Row],[SubGroup]],'Структура цен DIY'!$B:$C,2,FALSE),0)</f>
        <v>0.23</v>
      </c>
      <c r="AY1550" s="44">
        <v>0</v>
      </c>
    </row>
    <row r="1551" spans="1:51" x14ac:dyDescent="0.25">
      <c r="A1551" s="34">
        <v>1549</v>
      </c>
      <c r="B1551" s="34" t="s">
        <v>54</v>
      </c>
      <c r="C1551" s="110" t="str">
        <f>IFERROR(INDEX(Структура_ассортимента[SuperCategory],MATCH(Товары[[#This Row],[SubGroup]],Структура_ассортимента[Subgroup],0)),"")</f>
        <v>O</v>
      </c>
      <c r="D1551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51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51" s="110" t="str">
        <f>IFERROR(INDEX(Структура_ассортимента[Product group],MATCH(Товары[[#This Row],[SubGroup]],Структура_ассортимента[Subgroup],0)),"")</f>
        <v>WPU_C</v>
      </c>
      <c r="G1551" s="110" t="str">
        <f>IFERROR(INDEX(Структура_ассортимента[Product group name ENG],MATCH(Товары[[#This Row],[SubGroup]],Структура_ассортимента[Subgroup],0)),"")</f>
        <v>Watering, Pumps</v>
      </c>
      <c r="H1551" s="110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51" s="36">
        <v>9111</v>
      </c>
      <c r="J1551" s="36" t="str">
        <f>IFERROR(INDEX(Структура_ассортимента[Generic Name (long)],MATCH(Товары[[#This Row],[SubGroup]],Структура_ассортимента[Subgroup],0)),"")</f>
        <v>PUMP, CORDED</v>
      </c>
      <c r="L1551" s="36">
        <v>970442801</v>
      </c>
      <c r="M1551" s="35" t="s">
        <v>3227</v>
      </c>
      <c r="O1551" s="35" t="s">
        <v>7427</v>
      </c>
      <c r="P1551" s="37" t="s">
        <v>7428</v>
      </c>
      <c r="Q1551" s="34" t="s">
        <v>3549</v>
      </c>
      <c r="R1551" s="34" t="s">
        <v>3540</v>
      </c>
      <c r="S1551" s="47">
        <v>43831</v>
      </c>
      <c r="T1551" s="47">
        <v>0</v>
      </c>
      <c r="U1551" s="47">
        <v>0</v>
      </c>
      <c r="V1551" s="34">
        <v>4078500049740</v>
      </c>
      <c r="W1551" s="34" t="s">
        <v>3546</v>
      </c>
      <c r="X1551" s="34" t="s">
        <v>3551</v>
      </c>
      <c r="Y1551" s="34" t="s">
        <v>3542</v>
      </c>
      <c r="Z1551" s="34">
        <v>1</v>
      </c>
      <c r="AA1551" s="34" t="s">
        <v>7429</v>
      </c>
      <c r="AC1551" s="34" t="s">
        <v>7430</v>
      </c>
      <c r="AE1551" s="34" t="s">
        <v>4202</v>
      </c>
      <c r="AF1551" s="34" t="s">
        <v>4582</v>
      </c>
      <c r="AG1551" s="34" t="s">
        <v>4309</v>
      </c>
      <c r="AH1551" s="34" t="s">
        <v>7431</v>
      </c>
      <c r="AI1551" s="34" t="s">
        <v>4210</v>
      </c>
      <c r="AJ1551" s="34" t="s">
        <v>4200</v>
      </c>
      <c r="AK1551" s="34" t="s">
        <v>4458</v>
      </c>
      <c r="AL1551" s="34" t="s">
        <v>3617</v>
      </c>
      <c r="AM1551" s="40" t="s">
        <v>10</v>
      </c>
      <c r="AP1551" s="34">
        <v>0</v>
      </c>
      <c r="AQ1551" s="34">
        <v>9190</v>
      </c>
      <c r="AR1551" s="34">
        <v>5897</v>
      </c>
      <c r="AT1551" s="44">
        <v>711800</v>
      </c>
      <c r="AU1551" s="44"/>
      <c r="AV1551" s="46">
        <f>ROUND(Товары[[#This Row],[РРЦ финальная, руб.]]/$AU$1,2)</f>
        <v>0</v>
      </c>
      <c r="AW1551" s="45" t="str">
        <f>IFERROR(Товары[[#This Row],[РРЦ, евро]]/Товары[[#This Row],[IRP, Eur]],"-")</f>
        <v>-</v>
      </c>
      <c r="AX1551" s="42">
        <f>IFERROR(VLOOKUP(Товары[[#This Row],[SubGroup]],'Структура цен DIY'!$B:$C,2,FALSE),0)</f>
        <v>0.23</v>
      </c>
      <c r="AY1551" s="44">
        <v>0</v>
      </c>
    </row>
    <row r="1552" spans="1:51" x14ac:dyDescent="0.25">
      <c r="A1552" s="34">
        <v>1550</v>
      </c>
      <c r="B1552" s="34" t="s">
        <v>54</v>
      </c>
      <c r="C1552" s="110" t="str">
        <f>IFERROR(INDEX(Структура_ассортимента[SuperCategory],MATCH(Товары[[#This Row],[SubGroup]],Структура_ассортимента[Subgroup],0)),"")</f>
        <v>O</v>
      </c>
      <c r="D1552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52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52" s="110" t="str">
        <f>IFERROR(INDEX(Структура_ассортимента[Product group],MATCH(Товары[[#This Row],[SubGroup]],Структура_ассортимента[Subgroup],0)),"")</f>
        <v>WPU_C</v>
      </c>
      <c r="G1552" s="110" t="str">
        <f>IFERROR(INDEX(Структура_ассортимента[Product group name ENG],MATCH(Товары[[#This Row],[SubGroup]],Структура_ассортимента[Subgroup],0)),"")</f>
        <v>Watering, Pumps</v>
      </c>
      <c r="H1552" s="110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52" s="36">
        <v>9111</v>
      </c>
      <c r="J1552" s="36" t="str">
        <f>IFERROR(INDEX(Структура_ассортимента[Generic Name (long)],MATCH(Товары[[#This Row],[SubGroup]],Структура_ассортимента[Subgroup],0)),"")</f>
        <v>PUMP, CORDED</v>
      </c>
      <c r="L1552" s="36">
        <v>970442601</v>
      </c>
      <c r="M1552" s="35" t="s">
        <v>3228</v>
      </c>
      <c r="O1552" s="35" t="s">
        <v>7432</v>
      </c>
      <c r="P1552" s="37" t="s">
        <v>7433</v>
      </c>
      <c r="Q1552" s="34" t="s">
        <v>3549</v>
      </c>
      <c r="R1552" s="34" t="s">
        <v>3540</v>
      </c>
      <c r="S1552" s="47">
        <v>43831</v>
      </c>
      <c r="T1552" s="47">
        <v>0</v>
      </c>
      <c r="U1552" s="47">
        <v>0</v>
      </c>
      <c r="V1552" s="34">
        <v>4078500049757</v>
      </c>
      <c r="W1552" s="34" t="s">
        <v>3546</v>
      </c>
      <c r="X1552" s="34" t="s">
        <v>3551</v>
      </c>
      <c r="Y1552" s="34" t="s">
        <v>3542</v>
      </c>
      <c r="Z1552" s="34">
        <v>1</v>
      </c>
      <c r="AA1552" s="34" t="s">
        <v>6894</v>
      </c>
      <c r="AB1552" s="34" t="s">
        <v>7434</v>
      </c>
      <c r="AC1552" s="34" t="s">
        <v>5721</v>
      </c>
      <c r="AD1552" s="34" t="s">
        <v>7435</v>
      </c>
      <c r="AE1552" s="34" t="s">
        <v>3722</v>
      </c>
      <c r="AF1552" s="34" t="s">
        <v>7436</v>
      </c>
      <c r="AG1552" s="34" t="s">
        <v>4309</v>
      </c>
      <c r="AH1552" s="34" t="s">
        <v>7437</v>
      </c>
      <c r="AI1552" s="34" t="s">
        <v>5728</v>
      </c>
      <c r="AJ1552" s="34" t="s">
        <v>7438</v>
      </c>
      <c r="AK1552" s="34" t="s">
        <v>4458</v>
      </c>
      <c r="AL1552" s="34" t="s">
        <v>4513</v>
      </c>
      <c r="AM1552" s="40" t="s">
        <v>10</v>
      </c>
      <c r="AP1552" s="34">
        <v>0</v>
      </c>
      <c r="AQ1552" s="34">
        <v>7490</v>
      </c>
      <c r="AR1552" s="34">
        <v>4806</v>
      </c>
      <c r="AT1552" s="44">
        <v>580100</v>
      </c>
      <c r="AU1552" s="44"/>
      <c r="AV1552" s="46">
        <f>ROUND(Товары[[#This Row],[РРЦ финальная, руб.]]/$AU$1,2)</f>
        <v>0</v>
      </c>
      <c r="AW1552" s="45" t="str">
        <f>IFERROR(Товары[[#This Row],[РРЦ, евро]]/Товары[[#This Row],[IRP, Eur]],"-")</f>
        <v>-</v>
      </c>
      <c r="AX1552" s="42">
        <f>IFERROR(VLOOKUP(Товары[[#This Row],[SubGroup]],'Структура цен DIY'!$B:$C,2,FALSE),0)</f>
        <v>0.23</v>
      </c>
      <c r="AY1552" s="44">
        <v>0</v>
      </c>
    </row>
    <row r="1553" spans="1:51" x14ac:dyDescent="0.25">
      <c r="A1553" s="34">
        <v>1551</v>
      </c>
      <c r="B1553" s="34" t="s">
        <v>54</v>
      </c>
      <c r="C1553" s="110" t="str">
        <f>IFERROR(INDEX(Структура_ассортимента[SuperCategory],MATCH(Товары[[#This Row],[SubGroup]],Структура_ассортимента[Subgroup],0)),"")</f>
        <v>O</v>
      </c>
      <c r="D1553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53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53" s="110" t="str">
        <f>IFERROR(INDEX(Структура_ассортимента[Product group],MATCH(Товары[[#This Row],[SubGroup]],Структура_ассортимента[Subgroup],0)),"")</f>
        <v>WPU_C</v>
      </c>
      <c r="G1553" s="110" t="str">
        <f>IFERROR(INDEX(Структура_ассортимента[Product group name ENG],MATCH(Товары[[#This Row],[SubGroup]],Структура_ассортимента[Subgroup],0)),"")</f>
        <v>Watering, Pumps</v>
      </c>
      <c r="H1553" s="110" t="str">
        <f>IFERROR(INDEX(Структура_ассортимента[Generic Name (long)3],MATCH(Товары[[#This Row],[SubGroup]],Структура_ассортимента[Subgroup],0)),"")</f>
        <v>Станции бытового водоснабжения автоматические электрические</v>
      </c>
      <c r="I1553" s="36">
        <v>9113</v>
      </c>
      <c r="J1553" s="36" t="str">
        <f>IFERROR(INDEX(Структура_ассортимента[Generic Name (long)],MATCH(Товары[[#This Row],[SubGroup]],Структура_ассортимента[Subgroup],0)),"")</f>
        <v>PUMP, CORDED</v>
      </c>
      <c r="L1553" s="36">
        <v>970443201</v>
      </c>
      <c r="M1553" s="35" t="s">
        <v>3229</v>
      </c>
      <c r="O1553" s="35" t="s">
        <v>7439</v>
      </c>
      <c r="P1553" s="37" t="s">
        <v>7440</v>
      </c>
      <c r="Q1553" s="34" t="s">
        <v>3549</v>
      </c>
      <c r="R1553" s="34" t="s">
        <v>3540</v>
      </c>
      <c r="S1553" s="47">
        <v>43831</v>
      </c>
      <c r="T1553" s="47">
        <v>0</v>
      </c>
      <c r="U1553" s="47">
        <v>0</v>
      </c>
      <c r="V1553" s="34">
        <v>4078500049764</v>
      </c>
      <c r="W1553" s="34" t="s">
        <v>3546</v>
      </c>
      <c r="X1553" s="34" t="s">
        <v>3551</v>
      </c>
      <c r="Y1553" s="34" t="s">
        <v>3542</v>
      </c>
      <c r="Z1553" s="34">
        <v>1</v>
      </c>
      <c r="AA1553" s="34" t="s">
        <v>7441</v>
      </c>
      <c r="AB1553" s="34" t="s">
        <v>7442</v>
      </c>
      <c r="AC1553" s="34" t="s">
        <v>7443</v>
      </c>
      <c r="AD1553" s="34" t="s">
        <v>7444</v>
      </c>
      <c r="AE1553" s="34" t="s">
        <v>4420</v>
      </c>
      <c r="AF1553" s="34" t="s">
        <v>4430</v>
      </c>
      <c r="AG1553" s="34" t="s">
        <v>4393</v>
      </c>
      <c r="AH1553" s="34" t="s">
        <v>7445</v>
      </c>
      <c r="AI1553" s="34" t="s">
        <v>7446</v>
      </c>
      <c r="AJ1553" s="34" t="s">
        <v>4840</v>
      </c>
      <c r="AK1553" s="34" t="s">
        <v>4195</v>
      </c>
      <c r="AL1553" s="34" t="s">
        <v>4019</v>
      </c>
      <c r="AM1553" s="40" t="s">
        <v>10</v>
      </c>
      <c r="AP1553" s="34">
        <v>0</v>
      </c>
      <c r="AQ1553" s="34">
        <v>8590</v>
      </c>
      <c r="AR1553" s="34">
        <v>5226</v>
      </c>
      <c r="AT1553" s="44">
        <v>665300</v>
      </c>
      <c r="AU1553" s="44"/>
      <c r="AV1553" s="46">
        <f>ROUND(Товары[[#This Row],[РРЦ финальная, руб.]]/$AU$1,2)</f>
        <v>0</v>
      </c>
      <c r="AW1553" s="45" t="str">
        <f>IFERROR(Товары[[#This Row],[РРЦ, евро]]/Товары[[#This Row],[IRP, Eur]],"-")</f>
        <v>-</v>
      </c>
      <c r="AX1553" s="42">
        <f>IFERROR(VLOOKUP(Товары[[#This Row],[SubGroup]],'Структура цен DIY'!$B:$C,2,FALSE),0)</f>
        <v>0.28708823582733556</v>
      </c>
      <c r="AY1553" s="44">
        <v>0</v>
      </c>
    </row>
    <row r="1554" spans="1:51" x14ac:dyDescent="0.25">
      <c r="A1554" s="34">
        <v>1552</v>
      </c>
      <c r="B1554" s="34" t="s">
        <v>54</v>
      </c>
      <c r="C1554" s="110" t="str">
        <f>IFERROR(INDEX(Структура_ассортимента[SuperCategory],MATCH(Товары[[#This Row],[SubGroup]],Структура_ассортимента[Subgroup],0)),"")</f>
        <v>O</v>
      </c>
      <c r="D1554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54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54" s="110" t="str">
        <f>IFERROR(INDEX(Структура_ассортимента[Product group],MATCH(Товары[[#This Row],[SubGroup]],Структура_ассортимента[Subgroup],0)),"")</f>
        <v>WPU_C</v>
      </c>
      <c r="G1554" s="110" t="str">
        <f>IFERROR(INDEX(Структура_ассортимента[Product group name ENG],MATCH(Товары[[#This Row],[SubGroup]],Структура_ассортимента[Subgroup],0)),"")</f>
        <v>Watering, Pumps</v>
      </c>
      <c r="H1554" s="110" t="str">
        <f>IFERROR(INDEX(Структура_ассортимента[Generic Name (long)3],MATCH(Товары[[#This Row],[SubGroup]],Структура_ассортимента[Subgroup],0)),"")</f>
        <v>Станции бытового водоснабжения автоматические электрические</v>
      </c>
      <c r="I1554" s="36">
        <v>9113</v>
      </c>
      <c r="J1554" s="36" t="str">
        <f>IFERROR(INDEX(Структура_ассортимента[Generic Name (long)],MATCH(Товары[[#This Row],[SubGroup]],Структура_ассортимента[Subgroup],0)),"")</f>
        <v>PUMP, CORDED</v>
      </c>
      <c r="L1554" s="36">
        <v>970442401</v>
      </c>
      <c r="M1554" s="35" t="s">
        <v>3230</v>
      </c>
      <c r="O1554" s="35" t="s">
        <v>7447</v>
      </c>
      <c r="P1554" s="37" t="s">
        <v>7448</v>
      </c>
      <c r="Q1554" s="34" t="s">
        <v>3549</v>
      </c>
      <c r="R1554" s="34" t="s">
        <v>3540</v>
      </c>
      <c r="S1554" s="47">
        <v>43831</v>
      </c>
      <c r="T1554" s="47">
        <v>0</v>
      </c>
      <c r="U1554" s="47">
        <v>0</v>
      </c>
      <c r="V1554" s="34">
        <v>4078500049771</v>
      </c>
      <c r="W1554" s="34" t="s">
        <v>3546</v>
      </c>
      <c r="X1554" s="34" t="s">
        <v>3551</v>
      </c>
      <c r="Y1554" s="34" t="s">
        <v>3542</v>
      </c>
      <c r="Z1554" s="34">
        <v>1</v>
      </c>
      <c r="AA1554" s="34" t="s">
        <v>5810</v>
      </c>
      <c r="AB1554" s="34" t="s">
        <v>7449</v>
      </c>
      <c r="AC1554" s="34" t="s">
        <v>7450</v>
      </c>
      <c r="AD1554" s="34" t="s">
        <v>7451</v>
      </c>
      <c r="AE1554" s="34" t="s">
        <v>4420</v>
      </c>
      <c r="AF1554" s="34" t="s">
        <v>4430</v>
      </c>
      <c r="AG1554" s="34" t="s">
        <v>4393</v>
      </c>
      <c r="AH1554" s="34" t="s">
        <v>7445</v>
      </c>
      <c r="AI1554" s="34" t="s">
        <v>7446</v>
      </c>
      <c r="AJ1554" s="34" t="s">
        <v>7452</v>
      </c>
      <c r="AK1554" s="34" t="s">
        <v>4195</v>
      </c>
      <c r="AL1554" s="34" t="s">
        <v>4019</v>
      </c>
      <c r="AM1554" s="40" t="s">
        <v>10</v>
      </c>
      <c r="AP1554" s="34">
        <v>0</v>
      </c>
      <c r="AQ1554" s="34">
        <v>11390</v>
      </c>
      <c r="AR1554" s="34">
        <v>6739</v>
      </c>
      <c r="AT1554" s="44">
        <v>882200</v>
      </c>
      <c r="AU1554" s="44"/>
      <c r="AV1554" s="46">
        <f>ROUND(Товары[[#This Row],[РРЦ финальная, руб.]]/$AU$1,2)</f>
        <v>0</v>
      </c>
      <c r="AW1554" s="45" t="str">
        <f>IFERROR(Товары[[#This Row],[РРЦ, евро]]/Товары[[#This Row],[IRP, Eur]],"-")</f>
        <v>-</v>
      </c>
      <c r="AX1554" s="42">
        <f>IFERROR(VLOOKUP(Товары[[#This Row],[SubGroup]],'Структура цен DIY'!$B:$C,2,FALSE),0)</f>
        <v>0.28708823582733556</v>
      </c>
      <c r="AY1554" s="44">
        <v>0</v>
      </c>
    </row>
    <row r="1555" spans="1:51" x14ac:dyDescent="0.25">
      <c r="A1555" s="34">
        <v>1553</v>
      </c>
      <c r="B1555" s="34" t="s">
        <v>54</v>
      </c>
      <c r="C1555" s="110" t="str">
        <f>IFERROR(INDEX(Структура_ассортимента[SuperCategory],MATCH(Товары[[#This Row],[SubGroup]],Структура_ассортимента[Subgroup],0)),"")</f>
        <v>O</v>
      </c>
      <c r="D1555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55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55" s="110" t="str">
        <f>IFERROR(INDEX(Структура_ассортимента[Product group],MATCH(Товары[[#This Row],[SubGroup]],Структура_ассортимента[Subgroup],0)),"")</f>
        <v>WPU_C</v>
      </c>
      <c r="G1555" s="110" t="str">
        <f>IFERROR(INDEX(Структура_ассортимента[Product group name ENG],MATCH(Товары[[#This Row],[SubGroup]],Структура_ассортимента[Subgroup],0)),"")</f>
        <v>Watering, Pumps</v>
      </c>
      <c r="H1555" s="110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55" s="36">
        <v>9114</v>
      </c>
      <c r="J1555" s="36" t="str">
        <f>IFERROR(INDEX(Структура_ассортимента[Generic Name (long)],MATCH(Товары[[#This Row],[SubGroup]],Структура_ассортимента[Subgroup],0)),"")</f>
        <v>PUMP, CORDED</v>
      </c>
      <c r="L1555" s="36">
        <v>970443001</v>
      </c>
      <c r="M1555" s="35" t="s">
        <v>3231</v>
      </c>
      <c r="O1555" s="35" t="s">
        <v>7453</v>
      </c>
      <c r="P1555" s="37" t="s">
        <v>7454</v>
      </c>
      <c r="Q1555" s="34" t="s">
        <v>3549</v>
      </c>
      <c r="R1555" s="34" t="s">
        <v>3540</v>
      </c>
      <c r="S1555" s="47">
        <v>43831</v>
      </c>
      <c r="T1555" s="47">
        <v>0</v>
      </c>
      <c r="U1555" s="47">
        <v>0</v>
      </c>
      <c r="V1555" s="34">
        <v>4078500049689</v>
      </c>
      <c r="W1555" s="34" t="s">
        <v>3546</v>
      </c>
      <c r="X1555" s="34" t="s">
        <v>3551</v>
      </c>
      <c r="Y1555" s="34" t="s">
        <v>3542</v>
      </c>
      <c r="Z1555" s="34">
        <v>1</v>
      </c>
      <c r="AA1555" s="34" t="s">
        <v>7455</v>
      </c>
      <c r="AB1555" s="34" t="s">
        <v>7456</v>
      </c>
      <c r="AC1555" s="34" t="s">
        <v>7457</v>
      </c>
      <c r="AD1555" s="34" t="s">
        <v>5734</v>
      </c>
      <c r="AE1555" s="34" t="s">
        <v>6610</v>
      </c>
      <c r="AF1555" s="34" t="s">
        <v>3938</v>
      </c>
      <c r="AG1555" s="34" t="s">
        <v>4671</v>
      </c>
      <c r="AH1555" s="34" t="s">
        <v>7458</v>
      </c>
      <c r="AI1555" s="34" t="s">
        <v>5526</v>
      </c>
      <c r="AJ1555" s="34" t="s">
        <v>6881</v>
      </c>
      <c r="AK1555" s="34" t="s">
        <v>5526</v>
      </c>
      <c r="AL1555" s="34" t="s">
        <v>7459</v>
      </c>
      <c r="AM1555" s="40" t="s">
        <v>10</v>
      </c>
      <c r="AP1555" s="34">
        <v>0</v>
      </c>
      <c r="AQ1555" s="34">
        <v>7290</v>
      </c>
      <c r="AR1555" s="34">
        <v>4435</v>
      </c>
      <c r="AT1555" s="44">
        <v>564600</v>
      </c>
      <c r="AU1555" s="44"/>
      <c r="AV1555" s="46">
        <f>ROUND(Товары[[#This Row],[РРЦ финальная, руб.]]/$AU$1,2)</f>
        <v>0</v>
      </c>
      <c r="AW1555" s="45" t="str">
        <f>IFERROR(Товары[[#This Row],[РРЦ, евро]]/Товары[[#This Row],[IRP, Eur]],"-")</f>
        <v>-</v>
      </c>
      <c r="AX1555" s="42">
        <f>IFERROR(VLOOKUP(Товары[[#This Row],[SubGroup]],'Структура цен DIY'!$B:$C,2,FALSE),0)</f>
        <v>0.25</v>
      </c>
      <c r="AY1555" s="44">
        <v>0</v>
      </c>
    </row>
    <row r="1556" spans="1:51" x14ac:dyDescent="0.25">
      <c r="A1556" s="34">
        <v>1554</v>
      </c>
      <c r="B1556" s="34" t="s">
        <v>50</v>
      </c>
      <c r="C1556" s="110" t="str">
        <f>IFERROR(INDEX(Структура_ассортимента[SuperCategory],MATCH(Товары[[#This Row],[SubGroup]],Структура_ассортимента[Subgroup],0)),"")</f>
        <v>O</v>
      </c>
      <c r="D1556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56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56" s="110" t="str">
        <f>IFERROR(INDEX(Структура_ассортимента[Product group],MATCH(Товары[[#This Row],[SubGroup]],Структура_ассортимента[Subgroup],0)),"")</f>
        <v>WPU_C</v>
      </c>
      <c r="G1556" s="110" t="str">
        <f>IFERROR(INDEX(Структура_ассортимента[Product group name ENG],MATCH(Товары[[#This Row],[SubGroup]],Структура_ассортимента[Subgroup],0)),"")</f>
        <v>Watering, Pumps</v>
      </c>
      <c r="H1556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556" s="36">
        <v>9117</v>
      </c>
      <c r="J1556" s="36" t="str">
        <f>IFERROR(INDEX(Структура_ассортимента[Generic Name (long)],MATCH(Товары[[#This Row],[SubGroup]],Структура_ассортимента[Subgroup],0)),"")</f>
        <v>TECHNICAL HOSE</v>
      </c>
      <c r="L1556" s="36">
        <v>970489301</v>
      </c>
      <c r="M1556" s="35" t="s">
        <v>3232</v>
      </c>
      <c r="O1556" s="35" t="s">
        <v>7460</v>
      </c>
      <c r="P1556" s="37" t="s">
        <v>7461</v>
      </c>
      <c r="Q1556" s="34" t="s">
        <v>3549</v>
      </c>
      <c r="R1556" s="34" t="s">
        <v>3540</v>
      </c>
      <c r="S1556" s="47">
        <v>44197</v>
      </c>
      <c r="T1556" s="47">
        <v>0</v>
      </c>
      <c r="U1556" s="47">
        <v>0</v>
      </c>
      <c r="V1556" s="34">
        <v>4078500053518</v>
      </c>
      <c r="W1556" s="34" t="s">
        <v>3546</v>
      </c>
      <c r="Y1556" s="34" t="s">
        <v>5981</v>
      </c>
      <c r="Z1556" s="34">
        <v>50</v>
      </c>
      <c r="AM1556" s="40" t="s">
        <v>11</v>
      </c>
      <c r="AT1556" s="44">
        <v>0</v>
      </c>
      <c r="AU1556" s="44"/>
      <c r="AV1556" s="46">
        <f>ROUND(Товары[[#This Row],[РРЦ финальная, руб.]]/$AU$1,2)</f>
        <v>0</v>
      </c>
      <c r="AW1556" s="45" t="str">
        <f>IFERROR(Товары[[#This Row],[РРЦ, евро]]/Товары[[#This Row],[IRP, Eur]],"-")</f>
        <v>-</v>
      </c>
      <c r="AX1556" s="42">
        <f>IFERROR(VLOOKUP(Товары[[#This Row],[SubGroup]],'Структура цен DIY'!$B:$C,2,FALSE),0)</f>
        <v>0.30000000000000004</v>
      </c>
      <c r="AY1556" s="44">
        <v>0</v>
      </c>
    </row>
    <row r="1557" spans="1:51" x14ac:dyDescent="0.25">
      <c r="A1557" s="34">
        <v>1555</v>
      </c>
      <c r="B1557" s="34" t="s">
        <v>50</v>
      </c>
      <c r="C1557" s="110" t="str">
        <f>IFERROR(INDEX(Структура_ассортимента[SuperCategory],MATCH(Товары[[#This Row],[SubGroup]],Структура_ассортимента[Subgroup],0)),"")</f>
        <v>O</v>
      </c>
      <c r="D1557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57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57" s="110" t="str">
        <f>IFERROR(INDEX(Структура_ассортимента[Product group],MATCH(Товары[[#This Row],[SubGroup]],Структура_ассортимента[Subgroup],0)),"")</f>
        <v>WPU_C</v>
      </c>
      <c r="G1557" s="110" t="str">
        <f>IFERROR(INDEX(Структура_ассортимента[Product group name ENG],MATCH(Товары[[#This Row],[SubGroup]],Структура_ассортимента[Subgroup],0)),"")</f>
        <v>Watering, Pumps</v>
      </c>
      <c r="H1557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557" s="36">
        <v>9117</v>
      </c>
      <c r="J1557" s="36" t="str">
        <f>IFERROR(INDEX(Структура_ассортимента[Generic Name (long)],MATCH(Товары[[#This Row],[SubGroup]],Структура_ассортимента[Subgroup],0)),"")</f>
        <v>TECHNICAL HOSE</v>
      </c>
      <c r="L1557" s="36">
        <v>970489401</v>
      </c>
      <c r="M1557" s="35" t="s">
        <v>3233</v>
      </c>
      <c r="O1557" s="35" t="s">
        <v>7462</v>
      </c>
      <c r="P1557" s="37" t="s">
        <v>7463</v>
      </c>
      <c r="Q1557" s="34" t="s">
        <v>3549</v>
      </c>
      <c r="R1557" s="34" t="s">
        <v>3540</v>
      </c>
      <c r="S1557" s="47">
        <v>44197</v>
      </c>
      <c r="T1557" s="47">
        <v>0</v>
      </c>
      <c r="U1557" s="47">
        <v>0</v>
      </c>
      <c r="V1557" s="34">
        <v>4078500053525</v>
      </c>
      <c r="W1557" s="34" t="s">
        <v>3546</v>
      </c>
      <c r="Y1557" s="34" t="s">
        <v>5981</v>
      </c>
      <c r="Z1557" s="34">
        <v>50</v>
      </c>
      <c r="AM1557" s="40" t="s">
        <v>11</v>
      </c>
      <c r="AT1557" s="44">
        <v>0</v>
      </c>
      <c r="AU1557" s="44"/>
      <c r="AV1557" s="46">
        <f>ROUND(Товары[[#This Row],[РРЦ финальная, руб.]]/$AU$1,2)</f>
        <v>0</v>
      </c>
      <c r="AW1557" s="45" t="str">
        <f>IFERROR(Товары[[#This Row],[РРЦ, евро]]/Товары[[#This Row],[IRP, Eur]],"-")</f>
        <v>-</v>
      </c>
      <c r="AX1557" s="42">
        <f>IFERROR(VLOOKUP(Товары[[#This Row],[SubGroup]],'Структура цен DIY'!$B:$C,2,FALSE),0)</f>
        <v>0.30000000000000004</v>
      </c>
      <c r="AY1557" s="44">
        <v>0</v>
      </c>
    </row>
    <row r="1558" spans="1:51" x14ac:dyDescent="0.25">
      <c r="A1558" s="34">
        <v>1556</v>
      </c>
      <c r="B1558" s="34" t="s">
        <v>50</v>
      </c>
      <c r="C1558" s="110" t="str">
        <f>IFERROR(INDEX(Структура_ассортимента[SuperCategory],MATCH(Товары[[#This Row],[SubGroup]],Структура_ассортимента[Subgroup],0)),"")</f>
        <v>O</v>
      </c>
      <c r="D1558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58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58" s="110" t="str">
        <f>IFERROR(INDEX(Структура_ассортимента[Product group],MATCH(Товары[[#This Row],[SubGroup]],Структура_ассортимента[Subgroup],0)),"")</f>
        <v>WPU_C</v>
      </c>
      <c r="G1558" s="110" t="str">
        <f>IFERROR(INDEX(Структура_ассортимента[Product group name ENG],MATCH(Товары[[#This Row],[SubGroup]],Структура_ассортимента[Subgroup],0)),"")</f>
        <v>Watering, Pumps</v>
      </c>
      <c r="H1558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558" s="36">
        <v>9117</v>
      </c>
      <c r="J1558" s="36" t="str">
        <f>IFERROR(INDEX(Структура_ассортимента[Generic Name (long)],MATCH(Товары[[#This Row],[SubGroup]],Структура_ассортимента[Subgroup],0)),"")</f>
        <v>TECHNICAL HOSE</v>
      </c>
      <c r="L1558" s="36">
        <v>970489501</v>
      </c>
      <c r="M1558" s="35" t="s">
        <v>3234</v>
      </c>
      <c r="O1558" s="35" t="s">
        <v>7464</v>
      </c>
      <c r="P1558" s="37" t="s">
        <v>7465</v>
      </c>
      <c r="Q1558" s="34" t="s">
        <v>3549</v>
      </c>
      <c r="R1558" s="34" t="s">
        <v>3540</v>
      </c>
      <c r="S1558" s="47">
        <v>44197</v>
      </c>
      <c r="T1558" s="47">
        <v>0</v>
      </c>
      <c r="U1558" s="47">
        <v>0</v>
      </c>
      <c r="V1558" s="34">
        <v>4078500053532</v>
      </c>
      <c r="W1558" s="34" t="s">
        <v>3546</v>
      </c>
      <c r="Y1558" s="34" t="s">
        <v>5981</v>
      </c>
      <c r="Z1558" s="34">
        <v>50</v>
      </c>
      <c r="AM1558" s="40" t="s">
        <v>11</v>
      </c>
      <c r="AT1558" s="44">
        <v>0</v>
      </c>
      <c r="AU1558" s="44"/>
      <c r="AV1558" s="46">
        <f>ROUND(Товары[[#This Row],[РРЦ финальная, руб.]]/$AU$1,2)</f>
        <v>0</v>
      </c>
      <c r="AW1558" s="45" t="str">
        <f>IFERROR(Товары[[#This Row],[РРЦ, евро]]/Товары[[#This Row],[IRP, Eur]],"-")</f>
        <v>-</v>
      </c>
      <c r="AX1558" s="42">
        <f>IFERROR(VLOOKUP(Товары[[#This Row],[SubGroup]],'Структура цен DIY'!$B:$C,2,FALSE),0)</f>
        <v>0.30000000000000004</v>
      </c>
      <c r="AY1558" s="44">
        <v>0</v>
      </c>
    </row>
    <row r="1559" spans="1:51" x14ac:dyDescent="0.25">
      <c r="A1559" s="34">
        <v>1557</v>
      </c>
      <c r="B1559" s="34" t="s">
        <v>50</v>
      </c>
      <c r="C1559" s="110" t="str">
        <f>IFERROR(INDEX(Структура_ассортимента[SuperCategory],MATCH(Товары[[#This Row],[SubGroup]],Структура_ассортимента[Subgroup],0)),"")</f>
        <v>O</v>
      </c>
      <c r="D1559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59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59" s="110" t="str">
        <f>IFERROR(INDEX(Структура_ассортимента[Product group],MATCH(Товары[[#This Row],[SubGroup]],Структура_ассортимента[Subgroup],0)),"")</f>
        <v>WPU_C</v>
      </c>
      <c r="G1559" s="110" t="str">
        <f>IFERROR(INDEX(Структура_ассортимента[Product group name ENG],MATCH(Товары[[#This Row],[SubGroup]],Структура_ассортимента[Subgroup],0)),"")</f>
        <v>Watering, Pumps</v>
      </c>
      <c r="H1559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559" s="36">
        <v>9117</v>
      </c>
      <c r="J1559" s="36" t="str">
        <f>IFERROR(INDEX(Структура_ассортимента[Generic Name (long)],MATCH(Товары[[#This Row],[SubGroup]],Структура_ассортимента[Subgroup],0)),"")</f>
        <v>TECHNICAL HOSE</v>
      </c>
      <c r="L1559" s="36">
        <v>970489601</v>
      </c>
      <c r="M1559" s="35" t="s">
        <v>3235</v>
      </c>
      <c r="O1559" s="35" t="s">
        <v>7466</v>
      </c>
      <c r="P1559" s="37" t="s">
        <v>7467</v>
      </c>
      <c r="Q1559" s="34" t="s">
        <v>3549</v>
      </c>
      <c r="R1559" s="34" t="s">
        <v>3540</v>
      </c>
      <c r="S1559" s="47">
        <v>44197</v>
      </c>
      <c r="T1559" s="47">
        <v>0</v>
      </c>
      <c r="U1559" s="47">
        <v>0</v>
      </c>
      <c r="V1559" s="34">
        <v>4078500053549</v>
      </c>
      <c r="W1559" s="34" t="s">
        <v>3546</v>
      </c>
      <c r="Y1559" s="34" t="s">
        <v>5981</v>
      </c>
      <c r="Z1559" s="34">
        <v>50</v>
      </c>
      <c r="AM1559" s="40" t="s">
        <v>11</v>
      </c>
      <c r="AT1559" s="44">
        <v>0</v>
      </c>
      <c r="AU1559" s="44"/>
      <c r="AV1559" s="46">
        <f>ROUND(Товары[[#This Row],[РРЦ финальная, руб.]]/$AU$1,2)</f>
        <v>0</v>
      </c>
      <c r="AW1559" s="45" t="str">
        <f>IFERROR(Товары[[#This Row],[РРЦ, евро]]/Товары[[#This Row],[IRP, Eur]],"-")</f>
        <v>-</v>
      </c>
      <c r="AX1559" s="42">
        <f>IFERROR(VLOOKUP(Товары[[#This Row],[SubGroup]],'Структура цен DIY'!$B:$C,2,FALSE),0)</f>
        <v>0.30000000000000004</v>
      </c>
      <c r="AY1559" s="44">
        <v>0</v>
      </c>
    </row>
    <row r="1560" spans="1:51" x14ac:dyDescent="0.25">
      <c r="A1560" s="34">
        <v>1558</v>
      </c>
      <c r="B1560" s="34" t="s">
        <v>50</v>
      </c>
      <c r="C1560" s="110" t="str">
        <f>IFERROR(INDEX(Структура_ассортимента[SuperCategory],MATCH(Товары[[#This Row],[SubGroup]],Структура_ассортимента[Subgroup],0)),"")</f>
        <v>O</v>
      </c>
      <c r="D1560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60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60" s="110" t="str">
        <f>IFERROR(INDEX(Структура_ассортимента[Product group],MATCH(Товары[[#This Row],[SubGroup]],Структура_ассортимента[Subgroup],0)),"")</f>
        <v>WPU_C</v>
      </c>
      <c r="G1560" s="110" t="str">
        <f>IFERROR(INDEX(Структура_ассортимента[Product group name ENG],MATCH(Товары[[#This Row],[SubGroup]],Структура_ассортимента[Subgroup],0)),"")</f>
        <v>Watering, Pumps</v>
      </c>
      <c r="H1560" s="110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560" s="36">
        <v>9117</v>
      </c>
      <c r="J1560" s="36" t="str">
        <f>IFERROR(INDEX(Структура_ассортимента[Generic Name (long)],MATCH(Товары[[#This Row],[SubGroup]],Структура_ассортимента[Subgroup],0)),"")</f>
        <v>TECHNICAL HOSE</v>
      </c>
      <c r="L1560" s="36">
        <v>970489701</v>
      </c>
      <c r="M1560" s="35" t="s">
        <v>3236</v>
      </c>
      <c r="O1560" s="35" t="s">
        <v>7468</v>
      </c>
      <c r="P1560" s="37" t="s">
        <v>7469</v>
      </c>
      <c r="Q1560" s="34" t="s">
        <v>3549</v>
      </c>
      <c r="R1560" s="34" t="s">
        <v>3540</v>
      </c>
      <c r="S1560" s="47">
        <v>44197</v>
      </c>
      <c r="T1560" s="47">
        <v>0</v>
      </c>
      <c r="U1560" s="47">
        <v>0</v>
      </c>
      <c r="V1560" s="34">
        <v>4078500053556</v>
      </c>
      <c r="W1560" s="34" t="s">
        <v>3546</v>
      </c>
      <c r="Y1560" s="34" t="s">
        <v>3542</v>
      </c>
      <c r="Z1560" s="34">
        <v>1</v>
      </c>
      <c r="AM1560" s="40" t="s">
        <v>11</v>
      </c>
      <c r="AT1560" s="44">
        <v>0</v>
      </c>
      <c r="AU1560" s="44"/>
      <c r="AV1560" s="46">
        <f>ROUND(Товары[[#This Row],[РРЦ финальная, руб.]]/$AU$1,2)</f>
        <v>0</v>
      </c>
      <c r="AW1560" s="45" t="str">
        <f>IFERROR(Товары[[#This Row],[РРЦ, евро]]/Товары[[#This Row],[IRP, Eur]],"-")</f>
        <v>-</v>
      </c>
      <c r="AX1560" s="42">
        <f>IFERROR(VLOOKUP(Товары[[#This Row],[SubGroup]],'Структура цен DIY'!$B:$C,2,FALSE),0)</f>
        <v>0.30000000000000004</v>
      </c>
      <c r="AY1560" s="44">
        <v>0</v>
      </c>
    </row>
    <row r="1561" spans="1:51" x14ac:dyDescent="0.25">
      <c r="A1561" s="34">
        <v>1559</v>
      </c>
      <c r="B1561" s="34" t="s">
        <v>54</v>
      </c>
      <c r="C1561" s="110" t="str">
        <f>IFERROR(INDEX(Структура_ассортимента[SuperCategory],MATCH(Товары[[#This Row],[SubGroup]],Структура_ассортимента[Subgroup],0)),"")</f>
        <v>O</v>
      </c>
      <c r="D1561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61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61" s="110" t="str">
        <f>IFERROR(INDEX(Структура_ассортимента[Product group],MATCH(Товары[[#This Row],[SubGroup]],Структура_ассортимента[Subgroup],0)),"")</f>
        <v>WPU_C</v>
      </c>
      <c r="G1561" s="110" t="str">
        <f>IFERROR(INDEX(Структура_ассортимента[Product group name ENG],MATCH(Товары[[#This Row],[SubGroup]],Структура_ассортимента[Subgroup],0)),"")</f>
        <v>Watering, Pumps</v>
      </c>
      <c r="H1561" s="110" t="str">
        <f>IFERROR(INDEX(Структура_ассортимента[Generic Name (long)3],MATCH(Товары[[#This Row],[SubGroup]],Структура_ассортимента[Subgroup],0)),"")</f>
        <v>Станции бытового водоснабжения автоматические электрические</v>
      </c>
      <c r="I1561" s="36">
        <v>9113</v>
      </c>
      <c r="J1561" s="36" t="str">
        <f>IFERROR(INDEX(Структура_ассортимента[Generic Name (long)],MATCH(Товары[[#This Row],[SubGroup]],Структура_ассортимента[Subgroup],0)),"")</f>
        <v>PUMP, CORDED</v>
      </c>
      <c r="L1561" s="36">
        <v>970498601</v>
      </c>
      <c r="M1561" s="35" t="s">
        <v>3237</v>
      </c>
      <c r="Q1561" s="34" t="s">
        <v>3549</v>
      </c>
      <c r="R1561" s="34" t="s">
        <v>3540</v>
      </c>
      <c r="S1561" s="47">
        <v>44197</v>
      </c>
      <c r="T1561" s="47">
        <v>0</v>
      </c>
      <c r="U1561" s="47">
        <v>0</v>
      </c>
      <c r="V1561" s="34">
        <v>4078500054720</v>
      </c>
      <c r="W1561" s="34" t="s">
        <v>3546</v>
      </c>
      <c r="X1561" s="34" t="s">
        <v>3551</v>
      </c>
      <c r="Y1561" s="34" t="s">
        <v>3542</v>
      </c>
      <c r="Z1561" s="34">
        <v>1</v>
      </c>
      <c r="AA1561" s="34" t="s">
        <v>5765</v>
      </c>
      <c r="AC1561" s="34" t="s">
        <v>7470</v>
      </c>
      <c r="AE1561" s="34" t="s">
        <v>4420</v>
      </c>
      <c r="AF1561" s="34" t="s">
        <v>4430</v>
      </c>
      <c r="AG1561" s="34" t="s">
        <v>4393</v>
      </c>
      <c r="AH1561" s="34" t="s">
        <v>7445</v>
      </c>
      <c r="AI1561" s="34" t="s">
        <v>7446</v>
      </c>
      <c r="AJ1561" s="34" t="s">
        <v>4840</v>
      </c>
      <c r="AK1561" s="34" t="s">
        <v>4195</v>
      </c>
      <c r="AL1561" s="34" t="s">
        <v>4019</v>
      </c>
      <c r="AM1561" s="40" t="s">
        <v>8095</v>
      </c>
      <c r="AT1561" s="44">
        <v>0</v>
      </c>
      <c r="AU1561" s="44"/>
      <c r="AV1561" s="46">
        <f>ROUND(Товары[[#This Row],[РРЦ финальная, руб.]]/$AU$1,2)</f>
        <v>0</v>
      </c>
      <c r="AW1561" s="45" t="str">
        <f>IFERROR(Товары[[#This Row],[РРЦ, евро]]/Товары[[#This Row],[IRP, Eur]],"-")</f>
        <v>-</v>
      </c>
      <c r="AX1561" s="42">
        <f>IFERROR(VLOOKUP(Товары[[#This Row],[SubGroup]],'Структура цен DIY'!$B:$C,2,FALSE),0)</f>
        <v>0.28708823582733556</v>
      </c>
      <c r="AY1561" s="44">
        <v>0</v>
      </c>
    </row>
    <row r="1562" spans="1:51" x14ac:dyDescent="0.25">
      <c r="A1562" s="34">
        <v>1560</v>
      </c>
      <c r="B1562" s="34" t="s">
        <v>54</v>
      </c>
      <c r="C1562" s="110" t="str">
        <f>IFERROR(INDEX(Структура_ассортимента[SuperCategory],MATCH(Товары[[#This Row],[SubGroup]],Структура_ассортимента[Subgroup],0)),"")</f>
        <v>O</v>
      </c>
      <c r="D1562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62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62" s="110" t="str">
        <f>IFERROR(INDEX(Структура_ассортимента[Product group],MATCH(Товары[[#This Row],[SubGroup]],Структура_ассортимента[Subgroup],0)),"")</f>
        <v>WPU_C</v>
      </c>
      <c r="G1562" s="110" t="str">
        <f>IFERROR(INDEX(Структура_ассортимента[Product group name ENG],MATCH(Товары[[#This Row],[SubGroup]],Структура_ассортимента[Subgroup],0)),"")</f>
        <v>Watering, Pumps</v>
      </c>
      <c r="H1562" s="110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62" s="36">
        <v>9115</v>
      </c>
      <c r="J1562" s="36" t="str">
        <f>IFERROR(INDEX(Структура_ассортимента[Generic Name (long)],MATCH(Товары[[#This Row],[SubGroup]],Структура_ассортимента[Subgroup],0)),"")</f>
        <v>PUMP, CORDED</v>
      </c>
      <c r="L1562" s="36">
        <v>970485501</v>
      </c>
      <c r="M1562" s="35" t="s">
        <v>3238</v>
      </c>
      <c r="O1562" s="35" t="s">
        <v>7471</v>
      </c>
      <c r="P1562" s="37" t="s">
        <v>7472</v>
      </c>
      <c r="Q1562" s="34" t="s">
        <v>3549</v>
      </c>
      <c r="R1562" s="34" t="s">
        <v>3540</v>
      </c>
      <c r="S1562" s="47">
        <v>44197</v>
      </c>
      <c r="T1562" s="47">
        <v>0</v>
      </c>
      <c r="U1562" s="47">
        <v>0</v>
      </c>
      <c r="V1562" s="34">
        <v>4078500053259</v>
      </c>
      <c r="W1562" s="34" t="s">
        <v>3546</v>
      </c>
      <c r="X1562" s="34" t="s">
        <v>3551</v>
      </c>
      <c r="Y1562" s="34" t="s">
        <v>3542</v>
      </c>
      <c r="Z1562" s="34">
        <v>1</v>
      </c>
      <c r="AA1562" s="34" t="s">
        <v>6273</v>
      </c>
      <c r="AC1562" s="34" t="s">
        <v>6210</v>
      </c>
      <c r="AE1562" s="34" t="s">
        <v>3987</v>
      </c>
      <c r="AF1562" s="34" t="s">
        <v>4160</v>
      </c>
      <c r="AG1562" s="34" t="s">
        <v>5042</v>
      </c>
      <c r="AI1562" s="34" t="s">
        <v>5116</v>
      </c>
      <c r="AJ1562" s="34" t="s">
        <v>6781</v>
      </c>
      <c r="AK1562" s="34" t="s">
        <v>7473</v>
      </c>
      <c r="AL1562" s="34" t="s">
        <v>4874</v>
      </c>
      <c r="AM1562" s="40" t="s">
        <v>11</v>
      </c>
      <c r="AT1562" s="44">
        <v>0</v>
      </c>
      <c r="AU1562" s="44"/>
      <c r="AV1562" s="46">
        <f>ROUND(Товары[[#This Row],[РРЦ финальная, руб.]]/$AU$1,2)</f>
        <v>0</v>
      </c>
      <c r="AW1562" s="45" t="str">
        <f>IFERROR(Товары[[#This Row],[РРЦ, евро]]/Товары[[#This Row],[IRP, Eur]],"-")</f>
        <v>-</v>
      </c>
      <c r="AX1562" s="42">
        <f>IFERROR(VLOOKUP(Товары[[#This Row],[SubGroup]],'Структура цен DIY'!$B:$C,2,FALSE),0)</f>
        <v>0.26834498834498843</v>
      </c>
      <c r="AY1562" s="44">
        <v>0</v>
      </c>
    </row>
    <row r="1563" spans="1:51" x14ac:dyDescent="0.25">
      <c r="A1563" s="34">
        <v>1561</v>
      </c>
      <c r="B1563" s="34" t="s">
        <v>54</v>
      </c>
      <c r="C1563" s="110" t="str">
        <f>IFERROR(INDEX(Структура_ассортимента[SuperCategory],MATCH(Товары[[#This Row],[SubGroup]],Структура_ассортимента[Subgroup],0)),"")</f>
        <v>O</v>
      </c>
      <c r="D1563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63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63" s="110" t="str">
        <f>IFERROR(INDEX(Структура_ассортимента[Product group],MATCH(Товары[[#This Row],[SubGroup]],Структура_ассортимента[Subgroup],0)),"")</f>
        <v>WPU_C</v>
      </c>
      <c r="G1563" s="110" t="str">
        <f>IFERROR(INDEX(Структура_ассортимента[Product group name ENG],MATCH(Товары[[#This Row],[SubGroup]],Структура_ассортимента[Subgroup],0)),"")</f>
        <v>Watering, Pumps</v>
      </c>
      <c r="H1563" s="110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63" s="36">
        <v>9115</v>
      </c>
      <c r="J1563" s="36" t="str">
        <f>IFERROR(INDEX(Структура_ассортимента[Generic Name (long)],MATCH(Товары[[#This Row],[SubGroup]],Структура_ассортимента[Subgroup],0)),"")</f>
        <v>PUMP, CORDED</v>
      </c>
      <c r="L1563" s="36">
        <v>970485601</v>
      </c>
      <c r="M1563" s="35" t="s">
        <v>3239</v>
      </c>
      <c r="O1563" s="35" t="s">
        <v>7474</v>
      </c>
      <c r="P1563" s="37" t="s">
        <v>7475</v>
      </c>
      <c r="Q1563" s="34" t="s">
        <v>3549</v>
      </c>
      <c r="R1563" s="34" t="s">
        <v>3540</v>
      </c>
      <c r="S1563" s="47">
        <v>44197</v>
      </c>
      <c r="T1563" s="47">
        <v>0</v>
      </c>
      <c r="U1563" s="47">
        <v>0</v>
      </c>
      <c r="V1563" s="34">
        <v>4078500053266</v>
      </c>
      <c r="W1563" s="34" t="s">
        <v>3546</v>
      </c>
      <c r="X1563" s="34" t="s">
        <v>3551</v>
      </c>
      <c r="Y1563" s="34" t="s">
        <v>3542</v>
      </c>
      <c r="Z1563" s="34">
        <v>1</v>
      </c>
      <c r="AA1563" s="34" t="s">
        <v>5501</v>
      </c>
      <c r="AC1563" s="34" t="s">
        <v>7476</v>
      </c>
      <c r="AE1563" s="34" t="s">
        <v>6696</v>
      </c>
      <c r="AF1563" s="34" t="s">
        <v>4160</v>
      </c>
      <c r="AG1563" s="34" t="s">
        <v>7477</v>
      </c>
      <c r="AI1563" s="34" t="s">
        <v>5116</v>
      </c>
      <c r="AJ1563" s="34" t="s">
        <v>6781</v>
      </c>
      <c r="AK1563" s="34" t="s">
        <v>6026</v>
      </c>
      <c r="AL1563" s="34" t="s">
        <v>7478</v>
      </c>
      <c r="AM1563" s="40" t="s">
        <v>11</v>
      </c>
      <c r="AT1563" s="44">
        <v>0</v>
      </c>
      <c r="AU1563" s="44"/>
      <c r="AV1563" s="46">
        <f>ROUND(Товары[[#This Row],[РРЦ финальная, руб.]]/$AU$1,2)</f>
        <v>0</v>
      </c>
      <c r="AW1563" s="45" t="str">
        <f>IFERROR(Товары[[#This Row],[РРЦ, евро]]/Товары[[#This Row],[IRP, Eur]],"-")</f>
        <v>-</v>
      </c>
      <c r="AX1563" s="42">
        <f>IFERROR(VLOOKUP(Товары[[#This Row],[SubGroup]],'Структура цен DIY'!$B:$C,2,FALSE),0)</f>
        <v>0.26834498834498843</v>
      </c>
      <c r="AY1563" s="44">
        <v>0</v>
      </c>
    </row>
    <row r="1564" spans="1:51" x14ac:dyDescent="0.25">
      <c r="A1564" s="34">
        <v>1562</v>
      </c>
      <c r="B1564" s="34" t="s">
        <v>54</v>
      </c>
      <c r="C1564" s="110" t="str">
        <f>IFERROR(INDEX(Структура_ассортимента[SuperCategory],MATCH(Товары[[#This Row],[SubGroup]],Структура_ассортимента[Subgroup],0)),"")</f>
        <v>O</v>
      </c>
      <c r="D1564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64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64" s="110" t="str">
        <f>IFERROR(INDEX(Структура_ассортимента[Product group],MATCH(Товары[[#This Row],[SubGroup]],Структура_ассортимента[Subgroup],0)),"")</f>
        <v>WPU_C</v>
      </c>
      <c r="G1564" s="110" t="str">
        <f>IFERROR(INDEX(Структура_ассортимента[Product group name ENG],MATCH(Товары[[#This Row],[SubGroup]],Структура_ассортимента[Subgroup],0)),"")</f>
        <v>Watering, Pumps</v>
      </c>
      <c r="H1564" s="110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64" s="36">
        <v>9115</v>
      </c>
      <c r="J1564" s="36" t="str">
        <f>IFERROR(INDEX(Структура_ассортимента[Generic Name (long)],MATCH(Товары[[#This Row],[SubGroup]],Структура_ассортимента[Subgroup],0)),"")</f>
        <v>PUMP, CORDED</v>
      </c>
      <c r="L1564" s="36">
        <v>970485701</v>
      </c>
      <c r="M1564" s="35" t="s">
        <v>3240</v>
      </c>
      <c r="O1564" s="35" t="s">
        <v>7479</v>
      </c>
      <c r="P1564" s="37" t="s">
        <v>7480</v>
      </c>
      <c r="Q1564" s="34" t="s">
        <v>3549</v>
      </c>
      <c r="R1564" s="34" t="s">
        <v>3540</v>
      </c>
      <c r="S1564" s="47">
        <v>44197</v>
      </c>
      <c r="T1564" s="47">
        <v>0</v>
      </c>
      <c r="U1564" s="47">
        <v>0</v>
      </c>
      <c r="V1564" s="34">
        <v>4078500053273</v>
      </c>
      <c r="W1564" s="34" t="s">
        <v>3546</v>
      </c>
      <c r="X1564" s="34" t="s">
        <v>3551</v>
      </c>
      <c r="Y1564" s="34" t="s">
        <v>3542</v>
      </c>
      <c r="Z1564" s="34">
        <v>1</v>
      </c>
      <c r="AA1564" s="34" t="s">
        <v>7481</v>
      </c>
      <c r="AC1564" s="34" t="s">
        <v>5501</v>
      </c>
      <c r="AE1564" s="34" t="s">
        <v>7482</v>
      </c>
      <c r="AF1564" s="34" t="s">
        <v>3743</v>
      </c>
      <c r="AG1564" s="34" t="s">
        <v>4470</v>
      </c>
      <c r="AI1564" s="34" t="s">
        <v>7483</v>
      </c>
      <c r="AJ1564" s="34" t="s">
        <v>3939</v>
      </c>
      <c r="AK1564" s="34" t="s">
        <v>5903</v>
      </c>
      <c r="AL1564" s="34" t="s">
        <v>7190</v>
      </c>
      <c r="AM1564" s="40" t="s">
        <v>11</v>
      </c>
      <c r="AT1564" s="44">
        <v>0</v>
      </c>
      <c r="AU1564" s="44"/>
      <c r="AV1564" s="46">
        <f>ROUND(Товары[[#This Row],[РРЦ финальная, руб.]]/$AU$1,2)</f>
        <v>0</v>
      </c>
      <c r="AW1564" s="45" t="str">
        <f>IFERROR(Товары[[#This Row],[РРЦ, евро]]/Товары[[#This Row],[IRP, Eur]],"-")</f>
        <v>-</v>
      </c>
      <c r="AX1564" s="42">
        <f>IFERROR(VLOOKUP(Товары[[#This Row],[SubGroup]],'Структура цен DIY'!$B:$C,2,FALSE),0)</f>
        <v>0.26834498834498843</v>
      </c>
      <c r="AY1564" s="44">
        <v>0</v>
      </c>
    </row>
    <row r="1565" spans="1:51" x14ac:dyDescent="0.25">
      <c r="A1565" s="34">
        <v>1563</v>
      </c>
      <c r="B1565" s="34" t="s">
        <v>54</v>
      </c>
      <c r="C1565" s="110" t="str">
        <f>IFERROR(INDEX(Структура_ассортимента[SuperCategory],MATCH(Товары[[#This Row],[SubGroup]],Структура_ассортимента[Subgroup],0)),"")</f>
        <v>O</v>
      </c>
      <c r="D1565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65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65" s="110" t="str">
        <f>IFERROR(INDEX(Структура_ассортимента[Product group],MATCH(Товары[[#This Row],[SubGroup]],Структура_ассортимента[Subgroup],0)),"")</f>
        <v>WPU_C</v>
      </c>
      <c r="G1565" s="110" t="str">
        <f>IFERROR(INDEX(Структура_ассортимента[Product group name ENG],MATCH(Товары[[#This Row],[SubGroup]],Структура_ассортимента[Subgroup],0)),"")</f>
        <v>Watering, Pumps</v>
      </c>
      <c r="H1565" s="110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65" s="36">
        <v>9115</v>
      </c>
      <c r="J1565" s="36" t="str">
        <f>IFERROR(INDEX(Структура_ассортимента[Generic Name (long)],MATCH(Товары[[#This Row],[SubGroup]],Структура_ассортимента[Subgroup],0)),"")</f>
        <v>PUMP, CORDED</v>
      </c>
      <c r="L1565" s="36">
        <v>970485801</v>
      </c>
      <c r="M1565" s="35" t="s">
        <v>3241</v>
      </c>
      <c r="O1565" s="35" t="s">
        <v>7484</v>
      </c>
      <c r="P1565" s="37" t="s">
        <v>7485</v>
      </c>
      <c r="Q1565" s="34" t="s">
        <v>3549</v>
      </c>
      <c r="R1565" s="34" t="s">
        <v>3540</v>
      </c>
      <c r="S1565" s="47">
        <v>44197</v>
      </c>
      <c r="T1565" s="47">
        <v>0</v>
      </c>
      <c r="U1565" s="47">
        <v>0</v>
      </c>
      <c r="V1565" s="34">
        <v>4078500053280</v>
      </c>
      <c r="W1565" s="34" t="s">
        <v>3546</v>
      </c>
      <c r="X1565" s="34" t="s">
        <v>3551</v>
      </c>
      <c r="Y1565" s="34" t="s">
        <v>3542</v>
      </c>
      <c r="Z1565" s="34">
        <v>1</v>
      </c>
      <c r="AA1565" s="34" t="s">
        <v>7457</v>
      </c>
      <c r="AC1565" s="34" t="s">
        <v>7486</v>
      </c>
      <c r="AE1565" s="34" t="s">
        <v>7482</v>
      </c>
      <c r="AF1565" s="34" t="s">
        <v>3743</v>
      </c>
      <c r="AG1565" s="34" t="s">
        <v>4470</v>
      </c>
      <c r="AI1565" s="34" t="s">
        <v>7483</v>
      </c>
      <c r="AJ1565" s="34" t="s">
        <v>3939</v>
      </c>
      <c r="AK1565" s="34" t="s">
        <v>5903</v>
      </c>
      <c r="AL1565" s="34" t="s">
        <v>7190</v>
      </c>
      <c r="AM1565" s="40" t="s">
        <v>11</v>
      </c>
      <c r="AT1565" s="44">
        <v>0</v>
      </c>
      <c r="AU1565" s="44"/>
      <c r="AV1565" s="46">
        <f>ROUND(Товары[[#This Row],[РРЦ финальная, руб.]]/$AU$1,2)</f>
        <v>0</v>
      </c>
      <c r="AW1565" s="45" t="str">
        <f>IFERROR(Товары[[#This Row],[РРЦ, евро]]/Товары[[#This Row],[IRP, Eur]],"-")</f>
        <v>-</v>
      </c>
      <c r="AX1565" s="42">
        <f>IFERROR(VLOOKUP(Товары[[#This Row],[SubGroup]],'Структура цен DIY'!$B:$C,2,FALSE),0)</f>
        <v>0.26834498834498843</v>
      </c>
      <c r="AY1565" s="44">
        <v>0</v>
      </c>
    </row>
    <row r="1566" spans="1:51" x14ac:dyDescent="0.25">
      <c r="A1566" s="34">
        <v>1564</v>
      </c>
      <c r="B1566" s="34" t="s">
        <v>54</v>
      </c>
      <c r="C1566" s="110" t="str">
        <f>IFERROR(INDEX(Структура_ассортимента[SuperCategory],MATCH(Товары[[#This Row],[SubGroup]],Структура_ассортимента[Subgroup],0)),"")</f>
        <v>O</v>
      </c>
      <c r="D1566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66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66" s="110" t="str">
        <f>IFERROR(INDEX(Структура_ассортимента[Product group],MATCH(Товары[[#This Row],[SubGroup]],Структура_ассортимента[Subgroup],0)),"")</f>
        <v>WPU_C</v>
      </c>
      <c r="G1566" s="110" t="str">
        <f>IFERROR(INDEX(Структура_ассортимента[Product group name ENG],MATCH(Товары[[#This Row],[SubGroup]],Структура_ассортимента[Subgroup],0)),"")</f>
        <v>Watering, Pumps</v>
      </c>
      <c r="H1566" s="110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66" s="36">
        <v>9115</v>
      </c>
      <c r="J1566" s="36" t="str">
        <f>IFERROR(INDEX(Структура_ассортимента[Generic Name (long)],MATCH(Товары[[#This Row],[SubGroup]],Структура_ассортимента[Subgroup],0)),"")</f>
        <v>PUMP, CORDED</v>
      </c>
      <c r="L1566" s="36">
        <v>970485901</v>
      </c>
      <c r="M1566" s="35" t="s">
        <v>3242</v>
      </c>
      <c r="O1566" s="35" t="s">
        <v>7487</v>
      </c>
      <c r="P1566" s="37" t="s">
        <v>7488</v>
      </c>
      <c r="Q1566" s="34" t="s">
        <v>3549</v>
      </c>
      <c r="R1566" s="34" t="s">
        <v>3540</v>
      </c>
      <c r="S1566" s="47">
        <v>44197</v>
      </c>
      <c r="T1566" s="47">
        <v>0</v>
      </c>
      <c r="U1566" s="47">
        <v>0</v>
      </c>
      <c r="V1566" s="34">
        <v>4078500053297</v>
      </c>
      <c r="W1566" s="34" t="s">
        <v>3546</v>
      </c>
      <c r="X1566" s="34" t="s">
        <v>3551</v>
      </c>
      <c r="Y1566" s="34" t="s">
        <v>3542</v>
      </c>
      <c r="Z1566" s="34">
        <v>1</v>
      </c>
      <c r="AA1566" s="34" t="s">
        <v>7489</v>
      </c>
      <c r="AC1566" s="34" t="s">
        <v>5422</v>
      </c>
      <c r="AE1566" s="34" t="s">
        <v>5566</v>
      </c>
      <c r="AF1566" s="34" t="s">
        <v>4160</v>
      </c>
      <c r="AG1566" s="34" t="s">
        <v>4936</v>
      </c>
      <c r="AI1566" s="34" t="s">
        <v>4645</v>
      </c>
      <c r="AJ1566" s="34" t="s">
        <v>3944</v>
      </c>
      <c r="AK1566" s="34" t="s">
        <v>4404</v>
      </c>
      <c r="AL1566" s="34" t="s">
        <v>7478</v>
      </c>
      <c r="AM1566" s="40" t="s">
        <v>11</v>
      </c>
      <c r="AT1566" s="44">
        <v>0</v>
      </c>
      <c r="AU1566" s="44"/>
      <c r="AV1566" s="46">
        <f>ROUND(Товары[[#This Row],[РРЦ финальная, руб.]]/$AU$1,2)</f>
        <v>0</v>
      </c>
      <c r="AW1566" s="45" t="str">
        <f>IFERROR(Товары[[#This Row],[РРЦ, евро]]/Товары[[#This Row],[IRP, Eur]],"-")</f>
        <v>-</v>
      </c>
      <c r="AX1566" s="42">
        <f>IFERROR(VLOOKUP(Товары[[#This Row],[SubGroup]],'Структура цен DIY'!$B:$C,2,FALSE),0)</f>
        <v>0.26834498834498843</v>
      </c>
      <c r="AY1566" s="44">
        <v>0</v>
      </c>
    </row>
    <row r="1567" spans="1:51" x14ac:dyDescent="0.25">
      <c r="A1567" s="34">
        <v>1565</v>
      </c>
      <c r="B1567" s="34" t="s">
        <v>54</v>
      </c>
      <c r="C1567" s="110" t="str">
        <f>IFERROR(INDEX(Структура_ассортимента[SuperCategory],MATCH(Товары[[#This Row],[SubGroup]],Структура_ассортимента[Subgroup],0)),"")</f>
        <v>O</v>
      </c>
      <c r="D1567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67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67" s="110" t="str">
        <f>IFERROR(INDEX(Структура_ассортимента[Product group],MATCH(Товары[[#This Row],[SubGroup]],Структура_ассортимента[Subgroup],0)),"")</f>
        <v>WPU_C</v>
      </c>
      <c r="G1567" s="110" t="str">
        <f>IFERROR(INDEX(Структура_ассортимента[Product group name ENG],MATCH(Товары[[#This Row],[SubGroup]],Структура_ассортимента[Subgroup],0)),"")</f>
        <v>Watering, Pumps</v>
      </c>
      <c r="H1567" s="110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67" s="36">
        <v>9115</v>
      </c>
      <c r="J1567" s="36" t="str">
        <f>IFERROR(INDEX(Структура_ассортимента[Generic Name (long)],MATCH(Товары[[#This Row],[SubGroup]],Структура_ассортимента[Subgroup],0)),"")</f>
        <v>PUMP, CORDED</v>
      </c>
      <c r="L1567" s="36">
        <v>970486001</v>
      </c>
      <c r="M1567" s="35" t="s">
        <v>3243</v>
      </c>
      <c r="O1567" s="35" t="s">
        <v>7490</v>
      </c>
      <c r="P1567" s="37" t="s">
        <v>7491</v>
      </c>
      <c r="Q1567" s="34" t="s">
        <v>3549</v>
      </c>
      <c r="R1567" s="34" t="s">
        <v>3540</v>
      </c>
      <c r="S1567" s="47">
        <v>44197</v>
      </c>
      <c r="T1567" s="47">
        <v>0</v>
      </c>
      <c r="U1567" s="47">
        <v>0</v>
      </c>
      <c r="V1567" s="34">
        <v>4078500053303</v>
      </c>
      <c r="W1567" s="34" t="s">
        <v>3546</v>
      </c>
      <c r="X1567" s="34" t="s">
        <v>3551</v>
      </c>
      <c r="Y1567" s="34" t="s">
        <v>3542</v>
      </c>
      <c r="Z1567" s="34">
        <v>1</v>
      </c>
      <c r="AA1567" s="34" t="s">
        <v>5519</v>
      </c>
      <c r="AC1567" s="34" t="s">
        <v>5413</v>
      </c>
      <c r="AE1567" s="34" t="s">
        <v>4567</v>
      </c>
      <c r="AF1567" s="34" t="s">
        <v>4451</v>
      </c>
      <c r="AG1567" s="34" t="s">
        <v>3684</v>
      </c>
      <c r="AI1567" s="34" t="s">
        <v>4951</v>
      </c>
      <c r="AJ1567" s="34" t="s">
        <v>4110</v>
      </c>
      <c r="AK1567" s="34" t="s">
        <v>3623</v>
      </c>
      <c r="AL1567" s="34" t="s">
        <v>7190</v>
      </c>
      <c r="AM1567" s="40" t="s">
        <v>11</v>
      </c>
      <c r="AT1567" s="44">
        <v>0</v>
      </c>
      <c r="AU1567" s="44"/>
      <c r="AV1567" s="46">
        <f>ROUND(Товары[[#This Row],[РРЦ финальная, руб.]]/$AU$1,2)</f>
        <v>0</v>
      </c>
      <c r="AW1567" s="45" t="str">
        <f>IFERROR(Товары[[#This Row],[РРЦ, евро]]/Товары[[#This Row],[IRP, Eur]],"-")</f>
        <v>-</v>
      </c>
      <c r="AX1567" s="42">
        <f>IFERROR(VLOOKUP(Товары[[#This Row],[SubGroup]],'Структура цен DIY'!$B:$C,2,FALSE),0)</f>
        <v>0.26834498834498843</v>
      </c>
      <c r="AY1567" s="44">
        <v>0</v>
      </c>
    </row>
    <row r="1568" spans="1:51" x14ac:dyDescent="0.25">
      <c r="A1568" s="34">
        <v>1566</v>
      </c>
      <c r="B1568" s="34" t="s">
        <v>54</v>
      </c>
      <c r="C1568" s="110" t="str">
        <f>IFERROR(INDEX(Структура_ассортимента[SuperCategory],MATCH(Товары[[#This Row],[SubGroup]],Структура_ассортимента[Subgroup],0)),"")</f>
        <v>O</v>
      </c>
      <c r="D1568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68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68" s="110" t="str">
        <f>IFERROR(INDEX(Структура_ассортимента[Product group],MATCH(Товары[[#This Row],[SubGroup]],Структура_ассортимента[Subgroup],0)),"")</f>
        <v>WPU_C</v>
      </c>
      <c r="G1568" s="110" t="str">
        <f>IFERROR(INDEX(Структура_ассортимента[Product group name ENG],MATCH(Товары[[#This Row],[SubGroup]],Структура_ассортимента[Subgroup],0)),"")</f>
        <v>Watering, Pumps</v>
      </c>
      <c r="H1568" s="110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68" s="36">
        <v>9115</v>
      </c>
      <c r="J1568" s="36" t="str">
        <f>IFERROR(INDEX(Структура_ассортимента[Generic Name (long)],MATCH(Товары[[#This Row],[SubGroup]],Структура_ассортимента[Subgroup],0)),"")</f>
        <v>PUMP, CORDED</v>
      </c>
      <c r="L1568" s="36">
        <v>970486101</v>
      </c>
      <c r="M1568" s="35" t="s">
        <v>3244</v>
      </c>
      <c r="O1568" s="35" t="s">
        <v>7492</v>
      </c>
      <c r="P1568" s="37" t="s">
        <v>7493</v>
      </c>
      <c r="Q1568" s="34" t="s">
        <v>3549</v>
      </c>
      <c r="R1568" s="34" t="s">
        <v>3540</v>
      </c>
      <c r="S1568" s="47">
        <v>44197</v>
      </c>
      <c r="T1568" s="47">
        <v>0</v>
      </c>
      <c r="U1568" s="47">
        <v>0</v>
      </c>
      <c r="V1568" s="34">
        <v>4078500053310</v>
      </c>
      <c r="W1568" s="34" t="s">
        <v>3546</v>
      </c>
      <c r="X1568" s="34" t="s">
        <v>3551</v>
      </c>
      <c r="Y1568" s="34" t="s">
        <v>3542</v>
      </c>
      <c r="Z1568" s="34">
        <v>1</v>
      </c>
      <c r="AA1568" s="34" t="s">
        <v>5407</v>
      </c>
      <c r="AC1568" s="34" t="s">
        <v>6922</v>
      </c>
      <c r="AE1568" s="34" t="s">
        <v>6024</v>
      </c>
      <c r="AF1568" s="34" t="s">
        <v>3764</v>
      </c>
      <c r="AG1568" s="34" t="s">
        <v>7494</v>
      </c>
      <c r="AI1568" s="34" t="s">
        <v>4723</v>
      </c>
      <c r="AJ1568" s="34" t="s">
        <v>3829</v>
      </c>
      <c r="AK1568" s="34" t="s">
        <v>7495</v>
      </c>
      <c r="AL1568" s="34" t="s">
        <v>7496</v>
      </c>
      <c r="AM1568" s="40" t="s">
        <v>11</v>
      </c>
      <c r="AT1568" s="44">
        <v>0</v>
      </c>
      <c r="AU1568" s="44"/>
      <c r="AV1568" s="46">
        <f>ROUND(Товары[[#This Row],[РРЦ финальная, руб.]]/$AU$1,2)</f>
        <v>0</v>
      </c>
      <c r="AW1568" s="45" t="str">
        <f>IFERROR(Товары[[#This Row],[РРЦ, евро]]/Товары[[#This Row],[IRP, Eur]],"-")</f>
        <v>-</v>
      </c>
      <c r="AX1568" s="42">
        <f>IFERROR(VLOOKUP(Товары[[#This Row],[SubGroup]],'Структура цен DIY'!$B:$C,2,FALSE),0)</f>
        <v>0.26834498834498843</v>
      </c>
      <c r="AY1568" s="44">
        <v>0</v>
      </c>
    </row>
    <row r="1569" spans="1:51" x14ac:dyDescent="0.25">
      <c r="A1569" s="34">
        <v>1567</v>
      </c>
      <c r="B1569" s="34" t="s">
        <v>54</v>
      </c>
      <c r="C1569" s="110" t="str">
        <f>IFERROR(INDEX(Структура_ассортимента[SuperCategory],MATCH(Товары[[#This Row],[SubGroup]],Структура_ассортимента[Subgroup],0)),"")</f>
        <v>O</v>
      </c>
      <c r="D1569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69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69" s="110" t="str">
        <f>IFERROR(INDEX(Структура_ассортимента[Product group],MATCH(Товары[[#This Row],[SubGroup]],Структура_ассортимента[Subgroup],0)),"")</f>
        <v>WPU_C</v>
      </c>
      <c r="G1569" s="110" t="str">
        <f>IFERROR(INDEX(Структура_ассортимента[Product group name ENG],MATCH(Товары[[#This Row],[SubGroup]],Структура_ассортимента[Subgroup],0)),"")</f>
        <v>Watering, Pumps</v>
      </c>
      <c r="H1569" s="110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69" s="36">
        <v>9115</v>
      </c>
      <c r="J1569" s="36" t="str">
        <f>IFERROR(INDEX(Структура_ассортимента[Generic Name (long)],MATCH(Товары[[#This Row],[SubGroup]],Структура_ассортимента[Subgroup],0)),"")</f>
        <v>PUMP, CORDED</v>
      </c>
      <c r="L1569" s="36">
        <v>970486201</v>
      </c>
      <c r="M1569" s="35" t="s">
        <v>3245</v>
      </c>
      <c r="O1569" s="35" t="s">
        <v>7497</v>
      </c>
      <c r="P1569" s="37" t="s">
        <v>7498</v>
      </c>
      <c r="Q1569" s="34" t="s">
        <v>3549</v>
      </c>
      <c r="R1569" s="34" t="s">
        <v>3540</v>
      </c>
      <c r="S1569" s="47">
        <v>44197</v>
      </c>
      <c r="T1569" s="47">
        <v>0</v>
      </c>
      <c r="U1569" s="47">
        <v>0</v>
      </c>
      <c r="V1569" s="34">
        <v>4078500053327</v>
      </c>
      <c r="W1569" s="34" t="s">
        <v>3546</v>
      </c>
      <c r="X1569" s="34" t="s">
        <v>3551</v>
      </c>
      <c r="Y1569" s="34" t="s">
        <v>3542</v>
      </c>
      <c r="Z1569" s="34">
        <v>1</v>
      </c>
      <c r="AA1569" s="34" t="s">
        <v>5430</v>
      </c>
      <c r="AC1569" s="34" t="s">
        <v>6965</v>
      </c>
      <c r="AE1569" s="34" t="s">
        <v>7499</v>
      </c>
      <c r="AF1569" s="34" t="s">
        <v>3942</v>
      </c>
      <c r="AG1569" s="34" t="s">
        <v>4582</v>
      </c>
      <c r="AI1569" s="34" t="s">
        <v>7482</v>
      </c>
      <c r="AJ1569" s="34" t="s">
        <v>3955</v>
      </c>
      <c r="AK1569" s="34" t="s">
        <v>7500</v>
      </c>
      <c r="AL1569" s="34" t="s">
        <v>3842</v>
      </c>
      <c r="AM1569" s="40" t="s">
        <v>11</v>
      </c>
      <c r="AT1569" s="44">
        <v>0</v>
      </c>
      <c r="AU1569" s="44"/>
      <c r="AV1569" s="46">
        <f>ROUND(Товары[[#This Row],[РРЦ финальная, руб.]]/$AU$1,2)</f>
        <v>0</v>
      </c>
      <c r="AW1569" s="45" t="str">
        <f>IFERROR(Товары[[#This Row],[РРЦ, евро]]/Товары[[#This Row],[IRP, Eur]],"-")</f>
        <v>-</v>
      </c>
      <c r="AX1569" s="42">
        <f>IFERROR(VLOOKUP(Товары[[#This Row],[SubGroup]],'Структура цен DIY'!$B:$C,2,FALSE),0)</f>
        <v>0.26834498834498843</v>
      </c>
      <c r="AY1569" s="44">
        <v>0</v>
      </c>
    </row>
    <row r="1570" spans="1:51" x14ac:dyDescent="0.25">
      <c r="A1570" s="34">
        <v>1568</v>
      </c>
      <c r="B1570" s="34" t="s">
        <v>54</v>
      </c>
      <c r="C1570" s="110" t="str">
        <f>IFERROR(INDEX(Структура_ассортимента[SuperCategory],MATCH(Товары[[#This Row],[SubGroup]],Структура_ассортимента[Subgroup],0)),"")</f>
        <v>O</v>
      </c>
      <c r="D1570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70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70" s="110" t="str">
        <f>IFERROR(INDEX(Структура_ассортимента[Product group],MATCH(Товары[[#This Row],[SubGroup]],Структура_ассортимента[Subgroup],0)),"")</f>
        <v>WPU_C</v>
      </c>
      <c r="G1570" s="110" t="str">
        <f>IFERROR(INDEX(Структура_ассортимента[Product group name ENG],MATCH(Товары[[#This Row],[SubGroup]],Структура_ассортимента[Subgroup],0)),"")</f>
        <v>Watering, Pumps</v>
      </c>
      <c r="H1570" s="110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70" s="36">
        <v>9115</v>
      </c>
      <c r="J1570" s="36" t="str">
        <f>IFERROR(INDEX(Структура_ассортимента[Generic Name (long)],MATCH(Товары[[#This Row],[SubGroup]],Структура_ассортимента[Subgroup],0)),"")</f>
        <v>PUMP, CORDED</v>
      </c>
      <c r="L1570" s="36">
        <v>970486301</v>
      </c>
      <c r="M1570" s="35" t="s">
        <v>3246</v>
      </c>
      <c r="O1570" s="35" t="s">
        <v>7501</v>
      </c>
      <c r="P1570" s="37" t="s">
        <v>7502</v>
      </c>
      <c r="Q1570" s="34" t="s">
        <v>3549</v>
      </c>
      <c r="R1570" s="34" t="s">
        <v>3540</v>
      </c>
      <c r="S1570" s="47">
        <v>44256</v>
      </c>
      <c r="T1570" s="47">
        <v>0</v>
      </c>
      <c r="U1570" s="47">
        <v>0</v>
      </c>
      <c r="V1570" s="34">
        <v>4078500053334</v>
      </c>
      <c r="W1570" s="34" t="s">
        <v>3546</v>
      </c>
      <c r="X1570" s="34" t="s">
        <v>3551</v>
      </c>
      <c r="Y1570" s="34" t="s">
        <v>3542</v>
      </c>
      <c r="Z1570" s="34">
        <v>1</v>
      </c>
      <c r="AA1570" s="34" t="s">
        <v>7424</v>
      </c>
      <c r="AC1570" s="34" t="s">
        <v>5734</v>
      </c>
      <c r="AE1570" s="34" t="s">
        <v>6024</v>
      </c>
      <c r="AF1570" s="34" t="s">
        <v>4451</v>
      </c>
      <c r="AG1570" s="34" t="s">
        <v>4992</v>
      </c>
      <c r="AI1570" s="34" t="s">
        <v>7503</v>
      </c>
      <c r="AJ1570" s="34" t="s">
        <v>3902</v>
      </c>
      <c r="AK1570" s="34" t="s">
        <v>7504</v>
      </c>
      <c r="AL1570" s="34" t="s">
        <v>3842</v>
      </c>
      <c r="AM1570" s="40" t="s">
        <v>11</v>
      </c>
      <c r="AT1570" s="44">
        <v>0</v>
      </c>
      <c r="AU1570" s="44"/>
      <c r="AV1570" s="46">
        <f>ROUND(Товары[[#This Row],[РРЦ финальная, руб.]]/$AU$1,2)</f>
        <v>0</v>
      </c>
      <c r="AW1570" s="45" t="str">
        <f>IFERROR(Товары[[#This Row],[РРЦ, евро]]/Товары[[#This Row],[IRP, Eur]],"-")</f>
        <v>-</v>
      </c>
      <c r="AX1570" s="42">
        <f>IFERROR(VLOOKUP(Товары[[#This Row],[SubGroup]],'Структура цен DIY'!$B:$C,2,FALSE),0)</f>
        <v>0.26834498834498843</v>
      </c>
      <c r="AY1570" s="44">
        <v>0</v>
      </c>
    </row>
    <row r="1571" spans="1:51" x14ac:dyDescent="0.25">
      <c r="A1571" s="34">
        <v>1569</v>
      </c>
      <c r="B1571" s="34" t="s">
        <v>54</v>
      </c>
      <c r="C1571" s="110" t="str">
        <f>IFERROR(INDEX(Структура_ассортимента[SuperCategory],MATCH(Товары[[#This Row],[SubGroup]],Структура_ассортимента[Subgroup],0)),"")</f>
        <v>O</v>
      </c>
      <c r="D1571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71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71" s="110" t="str">
        <f>IFERROR(INDEX(Структура_ассортимента[Product group],MATCH(Товары[[#This Row],[SubGroup]],Структура_ассортимента[Subgroup],0)),"")</f>
        <v>WPU_C</v>
      </c>
      <c r="G1571" s="110" t="str">
        <f>IFERROR(INDEX(Структура_ассортимента[Product group name ENG],MATCH(Товары[[#This Row],[SubGroup]],Структура_ассортимента[Subgroup],0)),"")</f>
        <v>Watering, Pumps</v>
      </c>
      <c r="H1571" s="110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71" s="36">
        <v>9115</v>
      </c>
      <c r="J1571" s="36" t="str">
        <f>IFERROR(INDEX(Структура_ассортимента[Generic Name (long)],MATCH(Товары[[#This Row],[SubGroup]],Структура_ассортимента[Subgroup],0)),"")</f>
        <v>PUMP, CORDED</v>
      </c>
      <c r="L1571" s="36">
        <v>970486401</v>
      </c>
      <c r="M1571" s="35" t="s">
        <v>3247</v>
      </c>
      <c r="O1571" s="35" t="s">
        <v>7505</v>
      </c>
      <c r="P1571" s="37" t="s">
        <v>7506</v>
      </c>
      <c r="Q1571" s="34" t="s">
        <v>3549</v>
      </c>
      <c r="R1571" s="34" t="s">
        <v>3540</v>
      </c>
      <c r="S1571" s="47">
        <v>44256</v>
      </c>
      <c r="T1571" s="47">
        <v>0</v>
      </c>
      <c r="U1571" s="47">
        <v>0</v>
      </c>
      <c r="V1571" s="34">
        <v>4078500053341</v>
      </c>
      <c r="W1571" s="34" t="s">
        <v>3546</v>
      </c>
      <c r="X1571" s="34" t="s">
        <v>3551</v>
      </c>
      <c r="Y1571" s="34" t="s">
        <v>3542</v>
      </c>
      <c r="Z1571" s="34">
        <v>1</v>
      </c>
      <c r="AA1571" s="34" t="s">
        <v>6944</v>
      </c>
      <c r="AC1571" s="34" t="s">
        <v>6928</v>
      </c>
      <c r="AE1571" s="34" t="s">
        <v>6024</v>
      </c>
      <c r="AF1571" s="34" t="s">
        <v>4451</v>
      </c>
      <c r="AG1571" s="34" t="s">
        <v>4992</v>
      </c>
      <c r="AI1571" s="34" t="s">
        <v>7503</v>
      </c>
      <c r="AJ1571" s="34" t="s">
        <v>3902</v>
      </c>
      <c r="AK1571" s="34" t="s">
        <v>7504</v>
      </c>
      <c r="AL1571" s="34" t="s">
        <v>3842</v>
      </c>
      <c r="AM1571" s="40" t="s">
        <v>11</v>
      </c>
      <c r="AT1571" s="44">
        <v>0</v>
      </c>
      <c r="AU1571" s="44"/>
      <c r="AV1571" s="46">
        <f>ROUND(Товары[[#This Row],[РРЦ финальная, руб.]]/$AU$1,2)</f>
        <v>0</v>
      </c>
      <c r="AW1571" s="45" t="str">
        <f>IFERROR(Товары[[#This Row],[РРЦ, евро]]/Товары[[#This Row],[IRP, Eur]],"-")</f>
        <v>-</v>
      </c>
      <c r="AX1571" s="42">
        <f>IFERROR(VLOOKUP(Товары[[#This Row],[SubGroup]],'Структура цен DIY'!$B:$C,2,FALSE),0)</f>
        <v>0.26834498834498843</v>
      </c>
      <c r="AY1571" s="44">
        <v>0</v>
      </c>
    </row>
    <row r="1572" spans="1:51" x14ac:dyDescent="0.25">
      <c r="A1572" s="34">
        <v>1570</v>
      </c>
      <c r="B1572" s="34" t="s">
        <v>50</v>
      </c>
      <c r="C1572" s="110" t="str">
        <f>IFERROR(INDEX(Структура_ассортимента[SuperCategory],MATCH(Товары[[#This Row],[SubGroup]],Структура_ассортимента[Subgroup],0)),"")</f>
        <v>O</v>
      </c>
      <c r="D1572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72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72" s="110" t="str">
        <f>IFERROR(INDEX(Структура_ассортимента[Product group],MATCH(Товары[[#This Row],[SubGroup]],Структура_ассортимента[Subgroup],0)),"")</f>
        <v>WPU_C</v>
      </c>
      <c r="G1572" s="110" t="str">
        <f>IFERROR(INDEX(Структура_ассортимента[Product group name ENG],MATCH(Товары[[#This Row],[SubGroup]],Структура_ассортимента[Subgroup],0)),"")</f>
        <v>Watering, Pumps</v>
      </c>
      <c r="H1572" s="110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72" s="36">
        <v>9116</v>
      </c>
      <c r="J1572" s="36" t="str">
        <f>IFERROR(INDEX(Структура_ассортимента[Generic Name (long)],MATCH(Товары[[#This Row],[SubGroup]],Структура_ассортимента[Subgroup],0)),"")</f>
        <v>SUCTION HOSE</v>
      </c>
      <c r="L1572" s="36">
        <v>900917301</v>
      </c>
      <c r="M1572" s="35" t="s">
        <v>3248</v>
      </c>
      <c r="Q1572" s="34" t="s">
        <v>3539</v>
      </c>
      <c r="R1572" s="34" t="s">
        <v>3540</v>
      </c>
      <c r="S1572" s="47">
        <v>36069</v>
      </c>
      <c r="T1572" s="47">
        <v>0</v>
      </c>
      <c r="U1572" s="47">
        <v>0</v>
      </c>
      <c r="V1572" s="34">
        <v>4078500141192</v>
      </c>
      <c r="W1572" s="34" t="s">
        <v>3543</v>
      </c>
      <c r="Y1572" s="34" t="s">
        <v>3542</v>
      </c>
      <c r="Z1572" s="34">
        <v>1</v>
      </c>
      <c r="AA1572" s="34">
        <v>1400</v>
      </c>
      <c r="AB1572" s="34">
        <v>1400</v>
      </c>
      <c r="AC1572" s="34">
        <v>1240</v>
      </c>
      <c r="AD1572" s="34">
        <v>1240</v>
      </c>
      <c r="AE1572" s="34">
        <v>375</v>
      </c>
      <c r="AF1572" s="34">
        <v>375</v>
      </c>
      <c r="AG1572" s="34">
        <v>75</v>
      </c>
      <c r="AH1572" s="34">
        <v>9.0719999999999992</v>
      </c>
      <c r="AM1572" s="40" t="s">
        <v>8094</v>
      </c>
      <c r="AT1572" s="44">
        <v>0</v>
      </c>
      <c r="AU1572" s="44"/>
      <c r="AV1572" s="46">
        <f>ROUND(Товары[[#This Row],[РРЦ финальная, руб.]]/$AU$1,2)</f>
        <v>0</v>
      </c>
      <c r="AW1572" s="45" t="str">
        <f>IFERROR(Товары[[#This Row],[РРЦ, евро]]/Товары[[#This Row],[IRP, Eur]],"-")</f>
        <v>-</v>
      </c>
      <c r="AX1572" s="42">
        <f>IFERROR(VLOOKUP(Товары[[#This Row],[SubGroup]],'Структура цен DIY'!$B:$C,2,FALSE),0)</f>
        <v>0.33</v>
      </c>
      <c r="AY1572" s="44">
        <v>0</v>
      </c>
    </row>
    <row r="1573" spans="1:51" x14ac:dyDescent="0.25">
      <c r="A1573" s="34">
        <v>1571</v>
      </c>
      <c r="B1573" s="34" t="s">
        <v>50</v>
      </c>
      <c r="C1573" s="110" t="str">
        <f>IFERROR(INDEX(Структура_ассортимента[SuperCategory],MATCH(Товары[[#This Row],[SubGroup]],Структура_ассортимента[Subgroup],0)),"")</f>
        <v>O</v>
      </c>
      <c r="D1573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73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73" s="110" t="str">
        <f>IFERROR(INDEX(Структура_ассортимента[Product group],MATCH(Товары[[#This Row],[SubGroup]],Структура_ассортимента[Subgroup],0)),"")</f>
        <v>WPU_C</v>
      </c>
      <c r="G1573" s="110" t="str">
        <f>IFERROR(INDEX(Структура_ассортимента[Product group name ENG],MATCH(Товары[[#This Row],[SubGroup]],Структура_ассортимента[Subgroup],0)),"")</f>
        <v>Watering, Pumps</v>
      </c>
      <c r="H1573" s="110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73" s="36">
        <v>9116</v>
      </c>
      <c r="J1573" s="36" t="str">
        <f>IFERROR(INDEX(Структура_ассортимента[Generic Name (long)],MATCH(Товары[[#This Row],[SubGroup]],Структура_ассортимента[Subgroup],0)),"")</f>
        <v>SUCTION HOSE</v>
      </c>
      <c r="L1573" s="36">
        <v>900917501</v>
      </c>
      <c r="M1573" s="35" t="s">
        <v>3249</v>
      </c>
      <c r="Q1573" s="34" t="s">
        <v>3539</v>
      </c>
      <c r="R1573" s="34" t="s">
        <v>3540</v>
      </c>
      <c r="S1573" s="47">
        <v>36069</v>
      </c>
      <c r="T1573" s="47">
        <v>0</v>
      </c>
      <c r="U1573" s="47">
        <v>0</v>
      </c>
      <c r="V1573" s="34">
        <v>4078500141291</v>
      </c>
      <c r="W1573" s="34" t="s">
        <v>3543</v>
      </c>
      <c r="Y1573" s="34" t="s">
        <v>3542</v>
      </c>
      <c r="Z1573" s="34">
        <v>1</v>
      </c>
      <c r="AA1573" s="34">
        <v>1400</v>
      </c>
      <c r="AB1573" s="34">
        <v>1400</v>
      </c>
      <c r="AC1573" s="34">
        <v>1350</v>
      </c>
      <c r="AD1573" s="34">
        <v>1350</v>
      </c>
      <c r="AE1573" s="34">
        <v>380</v>
      </c>
      <c r="AF1573" s="34">
        <v>380</v>
      </c>
      <c r="AG1573" s="34">
        <v>75</v>
      </c>
      <c r="AH1573" s="34">
        <v>9.0719999999999992</v>
      </c>
      <c r="AM1573" s="40" t="s">
        <v>8094</v>
      </c>
      <c r="AT1573" s="44">
        <v>0</v>
      </c>
      <c r="AU1573" s="44"/>
      <c r="AV1573" s="46">
        <f>ROUND(Товары[[#This Row],[РРЦ финальная, руб.]]/$AU$1,2)</f>
        <v>0</v>
      </c>
      <c r="AW1573" s="45" t="str">
        <f>IFERROR(Товары[[#This Row],[РРЦ, евро]]/Товары[[#This Row],[IRP, Eur]],"-")</f>
        <v>-</v>
      </c>
      <c r="AX1573" s="42">
        <f>IFERROR(VLOOKUP(Товары[[#This Row],[SubGroup]],'Структура цен DIY'!$B:$C,2,FALSE),0)</f>
        <v>0.33</v>
      </c>
      <c r="AY1573" s="44">
        <v>0</v>
      </c>
    </row>
    <row r="1574" spans="1:51" x14ac:dyDescent="0.25">
      <c r="A1574" s="34">
        <v>1572</v>
      </c>
      <c r="B1574" s="34" t="s">
        <v>50</v>
      </c>
      <c r="C1574" s="110" t="str">
        <f>IFERROR(INDEX(Структура_ассортимента[SuperCategory],MATCH(Товары[[#This Row],[SubGroup]],Структура_ассортимента[Subgroup],0)),"")</f>
        <v>O</v>
      </c>
      <c r="D1574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74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74" s="110" t="str">
        <f>IFERROR(INDEX(Структура_ассортимента[Product group],MATCH(Товары[[#This Row],[SubGroup]],Структура_ассортимента[Subgroup],0)),"")</f>
        <v>WPU_C</v>
      </c>
      <c r="G1574" s="110" t="str">
        <f>IFERROR(INDEX(Структура_ассортимента[Product group name ENG],MATCH(Товары[[#This Row],[SubGroup]],Структура_ассортимента[Subgroup],0)),"")</f>
        <v>Watering, Pumps</v>
      </c>
      <c r="H1574" s="110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74" s="36">
        <v>9116</v>
      </c>
      <c r="J1574" s="36" t="str">
        <f>IFERROR(INDEX(Структура_ассортимента[Generic Name (long)],MATCH(Товары[[#This Row],[SubGroup]],Структура_ассортимента[Subgroup],0)),"")</f>
        <v>SUCTION HOSE</v>
      </c>
      <c r="L1574" s="36">
        <v>966687801</v>
      </c>
      <c r="M1574" s="35" t="s">
        <v>3250</v>
      </c>
      <c r="Q1574" s="34" t="s">
        <v>3539</v>
      </c>
      <c r="R1574" s="34" t="s">
        <v>3540</v>
      </c>
      <c r="S1574" s="47">
        <v>40452</v>
      </c>
      <c r="T1574" s="47">
        <v>0</v>
      </c>
      <c r="U1574" s="47">
        <v>0</v>
      </c>
      <c r="V1574" s="34">
        <v>4078500141895</v>
      </c>
      <c r="W1574" s="34" t="s">
        <v>3543</v>
      </c>
      <c r="Y1574" s="34" t="s">
        <v>3542</v>
      </c>
      <c r="Z1574" s="34">
        <v>1</v>
      </c>
      <c r="AA1574" s="34">
        <v>2560</v>
      </c>
      <c r="AB1574" s="34">
        <v>2560</v>
      </c>
      <c r="AC1574" s="34">
        <v>2500</v>
      </c>
      <c r="AD1574" s="34">
        <v>2500</v>
      </c>
      <c r="AE1574" s="34">
        <v>385</v>
      </c>
      <c r="AF1574" s="34">
        <v>385</v>
      </c>
      <c r="AG1574" s="34">
        <v>140</v>
      </c>
      <c r="AH1574" s="34">
        <v>20.751999999999999</v>
      </c>
      <c r="AM1574" s="40" t="s">
        <v>8094</v>
      </c>
      <c r="AT1574" s="44">
        <v>0</v>
      </c>
      <c r="AU1574" s="44"/>
      <c r="AV1574" s="46">
        <f>ROUND(Товары[[#This Row],[РРЦ финальная, руб.]]/$AU$1,2)</f>
        <v>0</v>
      </c>
      <c r="AW1574" s="45" t="str">
        <f>IFERROR(Товары[[#This Row],[РРЦ, евро]]/Товары[[#This Row],[IRP, Eur]],"-")</f>
        <v>-</v>
      </c>
      <c r="AX1574" s="42">
        <f>IFERROR(VLOOKUP(Товары[[#This Row],[SubGroup]],'Структура цен DIY'!$B:$C,2,FALSE),0)</f>
        <v>0.33</v>
      </c>
      <c r="AY1574" s="44">
        <v>0</v>
      </c>
    </row>
    <row r="1575" spans="1:51" x14ac:dyDescent="0.25">
      <c r="A1575" s="34">
        <v>1573</v>
      </c>
      <c r="B1575" s="34" t="s">
        <v>54</v>
      </c>
      <c r="C1575" s="110" t="str">
        <f>IFERROR(INDEX(Структура_ассортимента[SuperCategory],MATCH(Товары[[#This Row],[SubGroup]],Структура_ассортимента[Subgroup],0)),"")</f>
        <v>O</v>
      </c>
      <c r="D1575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75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75" s="110" t="str">
        <f>IFERROR(INDEX(Структура_ассортимента[Product group],MATCH(Товары[[#This Row],[SubGroup]],Структура_ассортимента[Subgroup],0)),"")</f>
        <v>WPU_C</v>
      </c>
      <c r="G1575" s="110" t="str">
        <f>IFERROR(INDEX(Структура_ассортимента[Product group name ENG],MATCH(Товары[[#This Row],[SubGroup]],Структура_ассортимента[Subgroup],0)),"")</f>
        <v>Watering, Pumps</v>
      </c>
      <c r="H1575" s="110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75" s="36">
        <v>9111</v>
      </c>
      <c r="J1575" s="36" t="str">
        <f>IFERROR(INDEX(Структура_ассортимента[Generic Name (long)],MATCH(Товары[[#This Row],[SubGroup]],Структура_ассортимента[Subgroup],0)),"")</f>
        <v>PUMP, CORDED</v>
      </c>
      <c r="L1575" s="36">
        <v>966055501</v>
      </c>
      <c r="M1575" s="35" t="s">
        <v>3251</v>
      </c>
      <c r="Q1575" s="34" t="s">
        <v>3539</v>
      </c>
      <c r="R1575" s="34" t="s">
        <v>3540</v>
      </c>
      <c r="S1575" s="47">
        <v>40087</v>
      </c>
      <c r="T1575" s="47">
        <v>0</v>
      </c>
      <c r="U1575" s="47">
        <v>0</v>
      </c>
      <c r="V1575" s="34">
        <v>4078500143608</v>
      </c>
      <c r="W1575" s="34" t="s">
        <v>3550</v>
      </c>
      <c r="Y1575" s="34" t="s">
        <v>3542</v>
      </c>
      <c r="Z1575" s="34">
        <v>1</v>
      </c>
      <c r="AA1575" s="34">
        <v>8300</v>
      </c>
      <c r="AB1575" s="34">
        <v>8300</v>
      </c>
      <c r="AC1575" s="34">
        <v>6400</v>
      </c>
      <c r="AD1575" s="34">
        <v>6400</v>
      </c>
      <c r="AE1575" s="34">
        <v>370</v>
      </c>
      <c r="AF1575" s="34">
        <v>340</v>
      </c>
      <c r="AG1575" s="34">
        <v>325</v>
      </c>
      <c r="AH1575" s="34">
        <v>40.884999999999998</v>
      </c>
      <c r="AM1575" s="40" t="s">
        <v>8094</v>
      </c>
      <c r="AT1575" s="44">
        <v>0</v>
      </c>
      <c r="AU1575" s="44"/>
      <c r="AV1575" s="46">
        <f>ROUND(Товары[[#This Row],[РРЦ финальная, руб.]]/$AU$1,2)</f>
        <v>0</v>
      </c>
      <c r="AW1575" s="45" t="str">
        <f>IFERROR(Товары[[#This Row],[РРЦ, евро]]/Товары[[#This Row],[IRP, Eur]],"-")</f>
        <v>-</v>
      </c>
      <c r="AX1575" s="42">
        <f>IFERROR(VLOOKUP(Товары[[#This Row],[SubGroup]],'Структура цен DIY'!$B:$C,2,FALSE),0)</f>
        <v>0.23</v>
      </c>
      <c r="AY1575" s="44">
        <v>0</v>
      </c>
    </row>
    <row r="1576" spans="1:51" x14ac:dyDescent="0.25">
      <c r="A1576" s="34">
        <v>1574</v>
      </c>
      <c r="B1576" s="34" t="s">
        <v>54</v>
      </c>
      <c r="C1576" s="110" t="str">
        <f>IFERROR(INDEX(Структура_ассортимента[SuperCategory],MATCH(Товары[[#This Row],[SubGroup]],Структура_ассортимента[Subgroup],0)),"")</f>
        <v>O</v>
      </c>
      <c r="D1576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76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76" s="110" t="str">
        <f>IFERROR(INDEX(Структура_ассортимента[Product group],MATCH(Товары[[#This Row],[SubGroup]],Структура_ассортимента[Subgroup],0)),"")</f>
        <v>WPU_C</v>
      </c>
      <c r="G1576" s="110" t="str">
        <f>IFERROR(INDEX(Структура_ассортимента[Product group name ENG],MATCH(Товары[[#This Row],[SubGroup]],Структура_ассортимента[Subgroup],0)),"")</f>
        <v>Watering, Pumps</v>
      </c>
      <c r="H1576" s="110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76" s="36">
        <v>9114</v>
      </c>
      <c r="J1576" s="36" t="str">
        <f>IFERROR(INDEX(Структура_ассортимента[Generic Name (long)],MATCH(Товары[[#This Row],[SubGroup]],Структура_ассортимента[Subgroup],0)),"")</f>
        <v>PUMP, CORDED</v>
      </c>
      <c r="L1576" s="36">
        <v>966963501</v>
      </c>
      <c r="M1576" s="35" t="s">
        <v>3252</v>
      </c>
      <c r="P1576" s="37" t="s">
        <v>7507</v>
      </c>
      <c r="Q1576" s="34" t="s">
        <v>3713</v>
      </c>
      <c r="R1576" s="34" t="s">
        <v>3540</v>
      </c>
      <c r="S1576" s="47">
        <v>39722</v>
      </c>
      <c r="T1576" s="47">
        <v>43830</v>
      </c>
      <c r="U1576" s="47">
        <v>43830</v>
      </c>
      <c r="V1576" s="34">
        <v>4078500146104</v>
      </c>
      <c r="W1576" s="34" t="s">
        <v>3550</v>
      </c>
      <c r="Y1576" s="34" t="s">
        <v>3542</v>
      </c>
      <c r="Z1576" s="34">
        <v>1</v>
      </c>
      <c r="AA1576" s="34" t="s">
        <v>7508</v>
      </c>
      <c r="AB1576" s="34" t="s">
        <v>7508</v>
      </c>
      <c r="AC1576" s="34" t="s">
        <v>7509</v>
      </c>
      <c r="AD1576" s="34" t="s">
        <v>7509</v>
      </c>
      <c r="AE1576" s="34" t="s">
        <v>3987</v>
      </c>
      <c r="AF1576" s="34" t="s">
        <v>3920</v>
      </c>
      <c r="AG1576" s="34" t="s">
        <v>4540</v>
      </c>
      <c r="AH1576" s="34" t="s">
        <v>7510</v>
      </c>
      <c r="AL1576" s="34">
        <v>37</v>
      </c>
      <c r="AM1576" s="40" t="s">
        <v>233</v>
      </c>
      <c r="AP1576" s="34">
        <v>0</v>
      </c>
      <c r="AQ1576" s="34">
        <v>19390</v>
      </c>
      <c r="AR1576" s="34">
        <v>11964</v>
      </c>
      <c r="AT1576" s="44">
        <v>1501800</v>
      </c>
      <c r="AU1576" s="44"/>
      <c r="AV1576" s="46">
        <f>ROUND(Товары[[#This Row],[РРЦ финальная, руб.]]/$AU$1,2)</f>
        <v>0</v>
      </c>
      <c r="AW1576" s="45" t="str">
        <f>IFERROR(Товары[[#This Row],[РРЦ, евро]]/Товары[[#This Row],[IRP, Eur]],"-")</f>
        <v>-</v>
      </c>
      <c r="AX1576" s="42">
        <f>IFERROR(VLOOKUP(Товары[[#This Row],[SubGroup]],'Структура цен DIY'!$B:$C,2,FALSE),0)</f>
        <v>0.25</v>
      </c>
      <c r="AY1576" s="44">
        <v>0</v>
      </c>
    </row>
    <row r="1577" spans="1:51" x14ac:dyDescent="0.25">
      <c r="A1577" s="34">
        <v>1575</v>
      </c>
      <c r="B1577" s="34" t="s">
        <v>54</v>
      </c>
      <c r="C1577" s="110" t="str">
        <f>IFERROR(INDEX(Структура_ассортимента[SuperCategory],MATCH(Товары[[#This Row],[SubGroup]],Структура_ассортимента[Subgroup],0)),"")</f>
        <v>O</v>
      </c>
      <c r="D1577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77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77" s="110" t="str">
        <f>IFERROR(INDEX(Структура_ассортимента[Product group],MATCH(Товары[[#This Row],[SubGroup]],Структура_ассортимента[Subgroup],0)),"")</f>
        <v>WPU_C</v>
      </c>
      <c r="G1577" s="110" t="str">
        <f>IFERROR(INDEX(Структура_ассортимента[Product group name ENG],MATCH(Товары[[#This Row],[SubGroup]],Структура_ассортимента[Subgroup],0)),"")</f>
        <v>Watering, Pumps</v>
      </c>
      <c r="H1577" s="110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77" s="36">
        <v>9114</v>
      </c>
      <c r="J1577" s="36" t="str">
        <f>IFERROR(INDEX(Структура_ассортимента[Generic Name (long)],MATCH(Товары[[#This Row],[SubGroup]],Структура_ассортимента[Subgroup],0)),"")</f>
        <v>PUMP, CORDED</v>
      </c>
      <c r="L1577" s="36">
        <v>966055701</v>
      </c>
      <c r="M1577" s="35" t="s">
        <v>3253</v>
      </c>
      <c r="Q1577" s="34" t="s">
        <v>3713</v>
      </c>
      <c r="R1577" s="34" t="s">
        <v>3540</v>
      </c>
      <c r="S1577" s="47">
        <v>40087</v>
      </c>
      <c r="T1577" s="47">
        <v>43830</v>
      </c>
      <c r="U1577" s="47">
        <v>43830</v>
      </c>
      <c r="V1577" s="34">
        <v>4078500146807</v>
      </c>
      <c r="W1577" s="34" t="s">
        <v>3550</v>
      </c>
      <c r="Y1577" s="34" t="s">
        <v>3542</v>
      </c>
      <c r="Z1577" s="34">
        <v>1</v>
      </c>
      <c r="AA1577" s="34" t="s">
        <v>7227</v>
      </c>
      <c r="AB1577" s="34" t="s">
        <v>7227</v>
      </c>
      <c r="AC1577" s="34" t="s">
        <v>5855</v>
      </c>
      <c r="AD1577" s="34" t="s">
        <v>5855</v>
      </c>
      <c r="AE1577" s="34" t="s">
        <v>3920</v>
      </c>
      <c r="AF1577" s="34" t="s">
        <v>3987</v>
      </c>
      <c r="AG1577" s="34" t="s">
        <v>4217</v>
      </c>
      <c r="AH1577" s="34" t="s">
        <v>7511</v>
      </c>
      <c r="AI1577" s="34" t="s">
        <v>3708</v>
      </c>
      <c r="AJ1577" s="34" t="s">
        <v>4457</v>
      </c>
      <c r="AK1577" s="34" t="s">
        <v>3708</v>
      </c>
      <c r="AL1577" s="34">
        <v>27</v>
      </c>
      <c r="AM1577" s="40" t="s">
        <v>8094</v>
      </c>
      <c r="AT1577" s="44">
        <v>0</v>
      </c>
      <c r="AU1577" s="44"/>
      <c r="AV1577" s="46">
        <f>ROUND(Товары[[#This Row],[РРЦ финальная, руб.]]/$AU$1,2)</f>
        <v>0</v>
      </c>
      <c r="AW1577" s="45" t="str">
        <f>IFERROR(Товары[[#This Row],[РРЦ, евро]]/Товары[[#This Row],[IRP, Eur]],"-")</f>
        <v>-</v>
      </c>
      <c r="AX1577" s="42">
        <f>IFERROR(VLOOKUP(Товары[[#This Row],[SubGroup]],'Структура цен DIY'!$B:$C,2,FALSE),0)</f>
        <v>0.25</v>
      </c>
      <c r="AY1577" s="44">
        <v>0</v>
      </c>
    </row>
    <row r="1578" spans="1:51" x14ac:dyDescent="0.25">
      <c r="A1578" s="34">
        <v>1576</v>
      </c>
      <c r="B1578" s="34" t="s">
        <v>50</v>
      </c>
      <c r="C1578" s="110" t="str">
        <f>IFERROR(INDEX(Структура_ассортимента[SuperCategory],MATCH(Товары[[#This Row],[SubGroup]],Структура_ассортимента[Subgroup],0)),"")</f>
        <v>O</v>
      </c>
      <c r="D1578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78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78" s="110" t="str">
        <f>IFERROR(INDEX(Структура_ассортимента[Product group],MATCH(Товары[[#This Row],[SubGroup]],Структура_ассортимента[Subgroup],0)),"")</f>
        <v>WPU_C</v>
      </c>
      <c r="G1578" s="110" t="str">
        <f>IFERROR(INDEX(Структура_ассортимента[Product group name ENG],MATCH(Товары[[#This Row],[SubGroup]],Структура_ассортимента[Subgroup],0)),"")</f>
        <v>Watering, Pumps</v>
      </c>
      <c r="H1578" s="110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78" s="36">
        <v>9116</v>
      </c>
      <c r="J1578" s="36" t="str">
        <f>IFERROR(INDEX(Структура_ассортимента[Generic Name (long)],MATCH(Товары[[#This Row],[SubGroup]],Структура_ассортимента[Subgroup],0)),"")</f>
        <v>SUCTION HOSE</v>
      </c>
      <c r="L1578" s="36">
        <v>900926901</v>
      </c>
      <c r="M1578" s="35" t="s">
        <v>3254</v>
      </c>
      <c r="Q1578" s="34" t="s">
        <v>3539</v>
      </c>
      <c r="R1578" s="34" t="s">
        <v>3540</v>
      </c>
      <c r="S1578" s="47">
        <v>36069</v>
      </c>
      <c r="T1578" s="47">
        <v>0</v>
      </c>
      <c r="U1578" s="47">
        <v>0</v>
      </c>
      <c r="V1578" s="34">
        <v>4078500149099</v>
      </c>
      <c r="W1578" s="34" t="s">
        <v>3543</v>
      </c>
      <c r="Y1578" s="34" t="s">
        <v>3542</v>
      </c>
      <c r="Z1578" s="34">
        <v>5</v>
      </c>
      <c r="AA1578" s="34">
        <v>275</v>
      </c>
      <c r="AB1578" s="34">
        <v>275</v>
      </c>
      <c r="AC1578" s="34">
        <v>220</v>
      </c>
      <c r="AD1578" s="34">
        <v>220</v>
      </c>
      <c r="AE1578" s="34">
        <v>240</v>
      </c>
      <c r="AF1578" s="34">
        <v>180</v>
      </c>
      <c r="AG1578" s="34">
        <v>64</v>
      </c>
      <c r="AH1578" s="34">
        <v>2.7650000000000001</v>
      </c>
      <c r="AM1578" s="40" t="s">
        <v>8094</v>
      </c>
      <c r="AT1578" s="44">
        <v>0</v>
      </c>
      <c r="AU1578" s="44"/>
      <c r="AV1578" s="46">
        <f>ROUND(Товары[[#This Row],[РРЦ финальная, руб.]]/$AU$1,2)</f>
        <v>0</v>
      </c>
      <c r="AW1578" s="45" t="str">
        <f>IFERROR(Товары[[#This Row],[РРЦ, евро]]/Товары[[#This Row],[IRP, Eur]],"-")</f>
        <v>-</v>
      </c>
      <c r="AX1578" s="42">
        <f>IFERROR(VLOOKUP(Товары[[#This Row],[SubGroup]],'Структура цен DIY'!$B:$C,2,FALSE),0)</f>
        <v>0.33</v>
      </c>
      <c r="AY1578" s="44">
        <v>0</v>
      </c>
    </row>
    <row r="1579" spans="1:51" x14ac:dyDescent="0.25">
      <c r="A1579" s="34">
        <v>1577</v>
      </c>
      <c r="B1579" s="34" t="s">
        <v>54</v>
      </c>
      <c r="C1579" s="110" t="str">
        <f>IFERROR(INDEX(Структура_ассортимента[SuperCategory],MATCH(Товары[[#This Row],[SubGroup]],Структура_ассортимента[Subgroup],0)),"")</f>
        <v>O</v>
      </c>
      <c r="D1579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79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79" s="110" t="str">
        <f>IFERROR(INDEX(Структура_ассортимента[Product group],MATCH(Товары[[#This Row],[SubGroup]],Структура_ассортимента[Subgroup],0)),"")</f>
        <v>WPU_C</v>
      </c>
      <c r="G1579" s="110" t="str">
        <f>IFERROR(INDEX(Структура_ассортимента[Product group name ENG],MATCH(Товары[[#This Row],[SubGroup]],Структура_ассортимента[Subgroup],0)),"")</f>
        <v>Watering, Pumps</v>
      </c>
      <c r="H1579" s="110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79" s="36">
        <v>9114</v>
      </c>
      <c r="J1579" s="36" t="str">
        <f>IFERROR(INDEX(Структура_ассортимента[Generic Name (long)],MATCH(Товары[[#This Row],[SubGroup]],Структура_ассортимента[Subgroup],0)),"")</f>
        <v>PUMP, CORDED</v>
      </c>
      <c r="L1579" s="36">
        <v>966647501</v>
      </c>
      <c r="M1579" s="35" t="s">
        <v>3255</v>
      </c>
      <c r="P1579" s="37" t="s">
        <v>7512</v>
      </c>
      <c r="Q1579" s="34" t="s">
        <v>3713</v>
      </c>
      <c r="R1579" s="34" t="s">
        <v>3540</v>
      </c>
      <c r="S1579" s="47">
        <v>40452</v>
      </c>
      <c r="T1579" s="47">
        <v>43830</v>
      </c>
      <c r="U1579" s="47">
        <v>43830</v>
      </c>
      <c r="V1579" s="34">
        <v>4078500174008</v>
      </c>
      <c r="W1579" s="34" t="s">
        <v>3550</v>
      </c>
      <c r="Y1579" s="34" t="s">
        <v>3542</v>
      </c>
      <c r="Z1579" s="34">
        <v>1</v>
      </c>
      <c r="AA1579" s="34" t="s">
        <v>6215</v>
      </c>
      <c r="AB1579" s="34" t="s">
        <v>7340</v>
      </c>
      <c r="AC1579" s="34" t="s">
        <v>7424</v>
      </c>
      <c r="AD1579" s="34" t="s">
        <v>7513</v>
      </c>
      <c r="AE1579" s="34" t="s">
        <v>4742</v>
      </c>
      <c r="AF1579" s="34" t="s">
        <v>3939</v>
      </c>
      <c r="AG1579" s="34" t="s">
        <v>7514</v>
      </c>
      <c r="AH1579" s="34" t="s">
        <v>7515</v>
      </c>
      <c r="AL1579" s="34">
        <v>36</v>
      </c>
      <c r="AM1579" s="40" t="s">
        <v>233</v>
      </c>
      <c r="AP1579" s="34">
        <v>0</v>
      </c>
      <c r="AQ1579" s="34">
        <v>9190</v>
      </c>
      <c r="AR1579" s="34">
        <v>5670</v>
      </c>
      <c r="AT1579" s="44">
        <v>711800</v>
      </c>
      <c r="AU1579" s="44"/>
      <c r="AV1579" s="46">
        <f>ROUND(Товары[[#This Row],[РРЦ финальная, руб.]]/$AU$1,2)</f>
        <v>0</v>
      </c>
      <c r="AW1579" s="45" t="str">
        <f>IFERROR(Товары[[#This Row],[РРЦ, евро]]/Товары[[#This Row],[IRP, Eur]],"-")</f>
        <v>-</v>
      </c>
      <c r="AX1579" s="42">
        <f>IFERROR(VLOOKUP(Товары[[#This Row],[SubGroup]],'Структура цен DIY'!$B:$C,2,FALSE),0)</f>
        <v>0.25</v>
      </c>
      <c r="AY1579" s="44">
        <v>0</v>
      </c>
    </row>
    <row r="1580" spans="1:51" x14ac:dyDescent="0.25">
      <c r="A1580" s="34">
        <v>1578</v>
      </c>
      <c r="B1580" s="34" t="s">
        <v>50</v>
      </c>
      <c r="C1580" s="110" t="str">
        <f>IFERROR(INDEX(Структура_ассортимента[SuperCategory],MATCH(Товары[[#This Row],[SubGroup]],Структура_ассортимента[Subgroup],0)),"")</f>
        <v>O</v>
      </c>
      <c r="D1580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80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80" s="110" t="str">
        <f>IFERROR(INDEX(Структура_ассортимента[Product group],MATCH(Товары[[#This Row],[SubGroup]],Структура_ассортимента[Subgroup],0)),"")</f>
        <v>WPU_C</v>
      </c>
      <c r="G1580" s="110" t="str">
        <f>IFERROR(INDEX(Структура_ассортимента[Product group name ENG],MATCH(Товары[[#This Row],[SubGroup]],Структура_ассортимента[Subgroup],0)),"")</f>
        <v>Watering, Pumps</v>
      </c>
      <c r="H1580" s="110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80" s="36">
        <v>9116</v>
      </c>
      <c r="J1580" s="36" t="str">
        <f>IFERROR(INDEX(Структура_ассортимента[Generic Name (long)],MATCH(Товары[[#This Row],[SubGroup]],Структура_ассортимента[Subgroup],0)),"")</f>
        <v>SUCTION HOSE</v>
      </c>
      <c r="L1580" s="36">
        <v>900949101</v>
      </c>
      <c r="M1580" s="35" t="s">
        <v>3256</v>
      </c>
      <c r="P1580" s="37" t="s">
        <v>7516</v>
      </c>
      <c r="Q1580" s="34" t="s">
        <v>3713</v>
      </c>
      <c r="R1580" s="34" t="s">
        <v>3540</v>
      </c>
      <c r="S1580" s="47">
        <v>34973</v>
      </c>
      <c r="T1580" s="47">
        <v>43830</v>
      </c>
      <c r="U1580" s="47">
        <v>43830</v>
      </c>
      <c r="V1580" s="34">
        <v>4078500174107</v>
      </c>
      <c r="W1580" s="34" t="s">
        <v>3550</v>
      </c>
      <c r="Y1580" s="34" t="s">
        <v>3542</v>
      </c>
      <c r="Z1580" s="34">
        <v>2</v>
      </c>
      <c r="AA1580" s="34" t="s">
        <v>6888</v>
      </c>
      <c r="AB1580" s="34" t="s">
        <v>6888</v>
      </c>
      <c r="AC1580" s="34" t="s">
        <v>4715</v>
      </c>
      <c r="AD1580" s="34" t="s">
        <v>4715</v>
      </c>
      <c r="AE1580" s="34" t="s">
        <v>3920</v>
      </c>
      <c r="AF1580" s="34" t="s">
        <v>4324</v>
      </c>
      <c r="AG1580" s="34" t="s">
        <v>6781</v>
      </c>
      <c r="AH1580" s="34" t="s">
        <v>7517</v>
      </c>
      <c r="AI1580" s="34" t="s">
        <v>3707</v>
      </c>
      <c r="AJ1580" s="34" t="s">
        <v>4458</v>
      </c>
      <c r="AK1580" s="34" t="s">
        <v>4335</v>
      </c>
      <c r="AL1580" s="34">
        <v>232</v>
      </c>
      <c r="AM1580" s="40" t="s">
        <v>233</v>
      </c>
      <c r="AP1580" s="34">
        <v>0</v>
      </c>
      <c r="AQ1580" s="34">
        <v>7919</v>
      </c>
      <c r="AR1580" s="34">
        <v>4953</v>
      </c>
      <c r="AT1580" s="44">
        <v>613400</v>
      </c>
      <c r="AU1580" s="44"/>
      <c r="AV1580" s="46">
        <f>ROUND(Товары[[#This Row],[РРЦ финальная, руб.]]/$AU$1,2)</f>
        <v>0</v>
      </c>
      <c r="AW1580" s="45" t="str">
        <f>IFERROR(Товары[[#This Row],[РРЦ, евро]]/Товары[[#This Row],[IRP, Eur]],"-")</f>
        <v>-</v>
      </c>
      <c r="AX1580" s="42">
        <f>IFERROR(VLOOKUP(Товары[[#This Row],[SubGroup]],'Структура цен DIY'!$B:$C,2,FALSE),0)</f>
        <v>0.33</v>
      </c>
      <c r="AY1580" s="44">
        <v>0</v>
      </c>
    </row>
    <row r="1581" spans="1:51" x14ac:dyDescent="0.25">
      <c r="A1581" s="34">
        <v>1579</v>
      </c>
      <c r="B1581" s="34" t="s">
        <v>54</v>
      </c>
      <c r="C1581" s="110" t="str">
        <f>IFERROR(INDEX(Структура_ассортимента[SuperCategory],MATCH(Товары[[#This Row],[SubGroup]],Структура_ассортимента[Subgroup],0)),"")</f>
        <v>O</v>
      </c>
      <c r="D1581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81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81" s="110" t="str">
        <f>IFERROR(INDEX(Структура_ассортимента[Product group],MATCH(Товары[[#This Row],[SubGroup]],Структура_ассортимента[Subgroup],0)),"")</f>
        <v>WPU_C</v>
      </c>
      <c r="G1581" s="110" t="str">
        <f>IFERROR(INDEX(Структура_ассортимента[Product group name ENG],MATCH(Товары[[#This Row],[SubGroup]],Структура_ассортимента[Subgroup],0)),"")</f>
        <v>Watering, Pumps</v>
      </c>
      <c r="H1581" s="110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81" s="36">
        <v>9114</v>
      </c>
      <c r="J1581" s="36" t="str">
        <f>IFERROR(INDEX(Структура_ассортимента[Generic Name (long)],MATCH(Товары[[#This Row],[SubGroup]],Структура_ассортимента[Subgroup],0)),"")</f>
        <v>PUMP, CORDED</v>
      </c>
      <c r="L1581" s="36">
        <v>966647601</v>
      </c>
      <c r="M1581" s="35" t="s">
        <v>3257</v>
      </c>
      <c r="P1581" s="37" t="s">
        <v>7518</v>
      </c>
      <c r="Q1581" s="34" t="s">
        <v>3713</v>
      </c>
      <c r="R1581" s="34" t="s">
        <v>3540</v>
      </c>
      <c r="S1581" s="47">
        <v>40452</v>
      </c>
      <c r="T1581" s="47">
        <v>43830</v>
      </c>
      <c r="U1581" s="47">
        <v>43830</v>
      </c>
      <c r="V1581" s="34">
        <v>4078500174206</v>
      </c>
      <c r="W1581" s="34" t="s">
        <v>3550</v>
      </c>
      <c r="Y1581" s="34" t="s">
        <v>3542</v>
      </c>
      <c r="Z1581" s="34">
        <v>1</v>
      </c>
      <c r="AA1581" s="34" t="s">
        <v>6928</v>
      </c>
      <c r="AB1581" s="34" t="s">
        <v>7519</v>
      </c>
      <c r="AC1581" s="34" t="s">
        <v>5734</v>
      </c>
      <c r="AD1581" s="34" t="s">
        <v>7520</v>
      </c>
      <c r="AE1581" s="34" t="s">
        <v>3819</v>
      </c>
      <c r="AF1581" s="34" t="s">
        <v>3920</v>
      </c>
      <c r="AG1581" s="34" t="s">
        <v>7521</v>
      </c>
      <c r="AH1581" s="34" t="s">
        <v>7522</v>
      </c>
      <c r="AL1581" s="34">
        <v>36</v>
      </c>
      <c r="AM1581" s="40" t="s">
        <v>233</v>
      </c>
      <c r="AP1581" s="34">
        <v>0</v>
      </c>
      <c r="AQ1581" s="34">
        <v>12890</v>
      </c>
      <c r="AR1581" s="34">
        <v>7953</v>
      </c>
      <c r="AT1581" s="44">
        <v>998400</v>
      </c>
      <c r="AU1581" s="44"/>
      <c r="AV1581" s="46">
        <f>ROUND(Товары[[#This Row],[РРЦ финальная, руб.]]/$AU$1,2)</f>
        <v>0</v>
      </c>
      <c r="AW1581" s="45" t="str">
        <f>IFERROR(Товары[[#This Row],[РРЦ, евро]]/Товары[[#This Row],[IRP, Eur]],"-")</f>
        <v>-</v>
      </c>
      <c r="AX1581" s="42">
        <f>IFERROR(VLOOKUP(Товары[[#This Row],[SubGroup]],'Структура цен DIY'!$B:$C,2,FALSE),0)</f>
        <v>0.25</v>
      </c>
      <c r="AY1581" s="44">
        <v>0</v>
      </c>
    </row>
    <row r="1582" spans="1:51" x14ac:dyDescent="0.25">
      <c r="A1582" s="34">
        <v>1580</v>
      </c>
      <c r="B1582" s="34" t="s">
        <v>54</v>
      </c>
      <c r="C1582" s="110" t="str">
        <f>IFERROR(INDEX(Структура_ассортимента[SuperCategory],MATCH(Товары[[#This Row],[SubGroup]],Структура_ассортимента[Subgroup],0)),"")</f>
        <v>O</v>
      </c>
      <c r="D1582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82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82" s="110" t="str">
        <f>IFERROR(INDEX(Структура_ассортимента[Product group],MATCH(Товары[[#This Row],[SubGroup]],Структура_ассортимента[Subgroup],0)),"")</f>
        <v>WPU_C</v>
      </c>
      <c r="G1582" s="110" t="str">
        <f>IFERROR(INDEX(Структура_ассортимента[Product group name ENG],MATCH(Товары[[#This Row],[SubGroup]],Структура_ассортимента[Subgroup],0)),"")</f>
        <v>Watering, Pumps</v>
      </c>
      <c r="H1582" s="110" t="str">
        <f>IFERROR(INDEX(Структура_ассортимента[Generic Name (long)3],MATCH(Товары[[#This Row],[SubGroup]],Структура_ассортимента[Subgroup],0)),"")</f>
        <v>Насосы напорные автоматические</v>
      </c>
      <c r="I1582" s="36">
        <v>9112</v>
      </c>
      <c r="J1582" s="36" t="str">
        <f>IFERROR(INDEX(Структура_ассортимента[Generic Name (long)],MATCH(Товары[[#This Row],[SubGroup]],Структура_ассортимента[Subgroup],0)),"")</f>
        <v>PUMP, CORDED</v>
      </c>
      <c r="L1582" s="36">
        <v>967296201</v>
      </c>
      <c r="M1582" s="35" t="s">
        <v>3258</v>
      </c>
      <c r="O1582" s="35" t="s">
        <v>7523</v>
      </c>
      <c r="P1582" s="37" t="s">
        <v>7524</v>
      </c>
      <c r="Q1582" s="34" t="s">
        <v>3549</v>
      </c>
      <c r="R1582" s="34" t="s">
        <v>3540</v>
      </c>
      <c r="S1582" s="47">
        <v>42036</v>
      </c>
      <c r="T1582" s="47">
        <v>0</v>
      </c>
      <c r="U1582" s="47">
        <v>0</v>
      </c>
      <c r="V1582" s="34">
        <v>4078500004527</v>
      </c>
      <c r="W1582" s="34" t="s">
        <v>3550</v>
      </c>
      <c r="X1582" s="34" t="s">
        <v>3551</v>
      </c>
      <c r="Y1582" s="34" t="s">
        <v>3542</v>
      </c>
      <c r="Z1582" s="34">
        <v>1</v>
      </c>
      <c r="AA1582" s="34" t="s">
        <v>7525</v>
      </c>
      <c r="AB1582" s="34" t="s">
        <v>7526</v>
      </c>
      <c r="AC1582" s="34" t="s">
        <v>4143</v>
      </c>
      <c r="AD1582" s="34" t="s">
        <v>7527</v>
      </c>
      <c r="AE1582" s="34" t="s">
        <v>7521</v>
      </c>
      <c r="AF1582" s="34" t="s">
        <v>3743</v>
      </c>
      <c r="AG1582" s="34" t="s">
        <v>6026</v>
      </c>
      <c r="AH1582" s="34" t="s">
        <v>7528</v>
      </c>
      <c r="AI1582" s="34" t="s">
        <v>4582</v>
      </c>
      <c r="AJ1582" s="34" t="s">
        <v>3590</v>
      </c>
      <c r="AK1582" s="34" t="s">
        <v>3955</v>
      </c>
      <c r="AL1582" s="34" t="s">
        <v>5392</v>
      </c>
      <c r="AM1582" s="40" t="s">
        <v>9</v>
      </c>
      <c r="AP1582" s="34">
        <v>0</v>
      </c>
      <c r="AQ1582" s="34">
        <v>17090</v>
      </c>
      <c r="AR1582" s="34">
        <v>10421</v>
      </c>
      <c r="AT1582" s="44">
        <v>1323700</v>
      </c>
      <c r="AU1582" s="44"/>
      <c r="AV1582" s="46">
        <f>ROUND(Товары[[#This Row],[РРЦ финальная, руб.]]/$AU$1,2)</f>
        <v>0</v>
      </c>
      <c r="AW1582" s="45" t="str">
        <f>IFERROR(Товары[[#This Row],[РРЦ, евро]]/Товары[[#This Row],[IRP, Eur]],"-")</f>
        <v>-</v>
      </c>
      <c r="AX1582" s="42">
        <f>IFERROR(VLOOKUP(Товары[[#This Row],[SubGroup]],'Структура цен DIY'!$B:$C,2,FALSE),0)</f>
        <v>0.28000000000000003</v>
      </c>
      <c r="AY1582" s="44">
        <v>0</v>
      </c>
    </row>
    <row r="1583" spans="1:51" x14ac:dyDescent="0.25">
      <c r="A1583" s="34">
        <v>1581</v>
      </c>
      <c r="B1583" s="34" t="s">
        <v>54</v>
      </c>
      <c r="C1583" s="110" t="str">
        <f>IFERROR(INDEX(Структура_ассортимента[SuperCategory],MATCH(Товары[[#This Row],[SubGroup]],Структура_ассортимента[Subgroup],0)),"")</f>
        <v>O</v>
      </c>
      <c r="D1583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83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83" s="110" t="str">
        <f>IFERROR(INDEX(Структура_ассортимента[Product group],MATCH(Товары[[#This Row],[SubGroup]],Структура_ассортимента[Subgroup],0)),"")</f>
        <v>WPU_C</v>
      </c>
      <c r="G1583" s="110" t="str">
        <f>IFERROR(INDEX(Структура_ассортимента[Product group name ENG],MATCH(Товары[[#This Row],[SubGroup]],Структура_ассортимента[Subgroup],0)),"")</f>
        <v>Watering, Pumps</v>
      </c>
      <c r="H1583" s="110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83" s="36">
        <v>9115</v>
      </c>
      <c r="J1583" s="36" t="str">
        <f>IFERROR(INDEX(Структура_ассортимента[Generic Name (long)],MATCH(Товары[[#This Row],[SubGroup]],Структура_ассортимента[Subgroup],0)),"")</f>
        <v>PUMP, CORDED</v>
      </c>
      <c r="L1583" s="36">
        <v>900951601</v>
      </c>
      <c r="M1583" s="35" t="s">
        <v>3259</v>
      </c>
      <c r="P1583" s="37" t="s">
        <v>7529</v>
      </c>
      <c r="Q1583" s="34" t="s">
        <v>4565</v>
      </c>
      <c r="R1583" s="34" t="s">
        <v>3540</v>
      </c>
      <c r="S1583" s="47">
        <v>38626</v>
      </c>
      <c r="T1583" s="47">
        <v>42735</v>
      </c>
      <c r="U1583" s="47">
        <v>42735</v>
      </c>
      <c r="V1583" s="34">
        <v>4078500177702</v>
      </c>
      <c r="W1583" s="34" t="s">
        <v>7530</v>
      </c>
      <c r="Y1583" s="34" t="s">
        <v>3542</v>
      </c>
      <c r="Z1583" s="34">
        <v>1</v>
      </c>
      <c r="AA1583" s="34">
        <v>4425</v>
      </c>
      <c r="AB1583" s="34">
        <v>4425</v>
      </c>
      <c r="AC1583" s="34">
        <v>4035</v>
      </c>
      <c r="AD1583" s="34">
        <v>4035</v>
      </c>
      <c r="AE1583" s="34">
        <v>235</v>
      </c>
      <c r="AF1583" s="34">
        <v>197</v>
      </c>
      <c r="AG1583" s="34">
        <v>324</v>
      </c>
      <c r="AH1583" s="34">
        <v>15</v>
      </c>
      <c r="AM1583" s="40" t="s">
        <v>233</v>
      </c>
      <c r="AT1583" s="44">
        <v>0</v>
      </c>
      <c r="AU1583" s="44"/>
      <c r="AV1583" s="46">
        <f>ROUND(Товары[[#This Row],[РРЦ финальная, руб.]]/$AU$1,2)</f>
        <v>0</v>
      </c>
      <c r="AW1583" s="45" t="str">
        <f>IFERROR(Товары[[#This Row],[РРЦ, евро]]/Товары[[#This Row],[IRP, Eur]],"-")</f>
        <v>-</v>
      </c>
      <c r="AX1583" s="42">
        <f>IFERROR(VLOOKUP(Товары[[#This Row],[SubGroup]],'Структура цен DIY'!$B:$C,2,FALSE),0)</f>
        <v>0.26834498834498843</v>
      </c>
      <c r="AY1583" s="44">
        <v>0</v>
      </c>
    </row>
    <row r="1584" spans="1:51" x14ac:dyDescent="0.25">
      <c r="A1584" s="34">
        <v>1582</v>
      </c>
      <c r="B1584" s="34" t="s">
        <v>54</v>
      </c>
      <c r="C1584" s="110" t="str">
        <f>IFERROR(INDEX(Структура_ассортимента[SuperCategory],MATCH(Товары[[#This Row],[SubGroup]],Структура_ассортимента[Subgroup],0)),"")</f>
        <v>O</v>
      </c>
      <c r="D1584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84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84" s="110" t="str">
        <f>IFERROR(INDEX(Структура_ассортимента[Product group],MATCH(Товары[[#This Row],[SubGroup]],Структура_ассортимента[Subgroup],0)),"")</f>
        <v>WPU_C</v>
      </c>
      <c r="G1584" s="110" t="str">
        <f>IFERROR(INDEX(Структура_ассортимента[Product group name ENG],MATCH(Товары[[#This Row],[SubGroup]],Структура_ассортимента[Subgroup],0)),"")</f>
        <v>Watering, Pumps</v>
      </c>
      <c r="H1584" s="110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84" s="36">
        <v>9115</v>
      </c>
      <c r="J1584" s="36" t="str">
        <f>IFERROR(INDEX(Структура_ассортимента[Generic Name (long)],MATCH(Товары[[#This Row],[SubGroup]],Структура_ассортимента[Subgroup],0)),"")</f>
        <v>PUMP, CORDED</v>
      </c>
      <c r="L1584" s="36">
        <v>900954601</v>
      </c>
      <c r="M1584" s="35" t="s">
        <v>3260</v>
      </c>
      <c r="P1584" s="37" t="s">
        <v>7531</v>
      </c>
      <c r="Q1584" s="34" t="s">
        <v>4565</v>
      </c>
      <c r="R1584" s="34" t="s">
        <v>3540</v>
      </c>
      <c r="S1584" s="47">
        <v>38626</v>
      </c>
      <c r="T1584" s="47">
        <v>42735</v>
      </c>
      <c r="U1584" s="47">
        <v>42735</v>
      </c>
      <c r="V1584" s="34">
        <v>4078500179003</v>
      </c>
      <c r="W1584" s="34" t="s">
        <v>7530</v>
      </c>
      <c r="Y1584" s="34" t="s">
        <v>3542</v>
      </c>
      <c r="Z1584" s="34">
        <v>1</v>
      </c>
      <c r="AA1584" s="34">
        <v>4490</v>
      </c>
      <c r="AB1584" s="34">
        <v>4490</v>
      </c>
      <c r="AC1584" s="34">
        <v>4000</v>
      </c>
      <c r="AD1584" s="34">
        <v>4000</v>
      </c>
      <c r="AE1584" s="34">
        <v>240</v>
      </c>
      <c r="AF1584" s="34">
        <v>197</v>
      </c>
      <c r="AG1584" s="34">
        <v>382</v>
      </c>
      <c r="AH1584" s="34">
        <v>18.061</v>
      </c>
      <c r="AM1584" s="40" t="s">
        <v>233</v>
      </c>
      <c r="AT1584" s="44">
        <v>0</v>
      </c>
      <c r="AU1584" s="44"/>
      <c r="AV1584" s="46">
        <f>ROUND(Товары[[#This Row],[РРЦ финальная, руб.]]/$AU$1,2)</f>
        <v>0</v>
      </c>
      <c r="AW1584" s="45" t="str">
        <f>IFERROR(Товары[[#This Row],[РРЦ, евро]]/Товары[[#This Row],[IRP, Eur]],"-")</f>
        <v>-</v>
      </c>
      <c r="AX1584" s="42">
        <f>IFERROR(VLOOKUP(Товары[[#This Row],[SubGroup]],'Структура цен DIY'!$B:$C,2,FALSE),0)</f>
        <v>0.26834498834498843</v>
      </c>
      <c r="AY1584" s="44">
        <v>0</v>
      </c>
    </row>
    <row r="1585" spans="1:51" x14ac:dyDescent="0.25">
      <c r="A1585" s="34">
        <v>1583</v>
      </c>
      <c r="B1585" s="34" t="s">
        <v>54</v>
      </c>
      <c r="C1585" s="110" t="str">
        <f>IFERROR(INDEX(Структура_ассортимента[SuperCategory],MATCH(Товары[[#This Row],[SubGroup]],Структура_ассортимента[Subgroup],0)),"")</f>
        <v>O</v>
      </c>
      <c r="D1585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85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85" s="110" t="str">
        <f>IFERROR(INDEX(Структура_ассортимента[Product group],MATCH(Товары[[#This Row],[SubGroup]],Структура_ассортимента[Subgroup],0)),"")</f>
        <v>WPU_C</v>
      </c>
      <c r="G1585" s="110" t="str">
        <f>IFERROR(INDEX(Структура_ассортимента[Product group name ENG],MATCH(Товары[[#This Row],[SubGroup]],Структура_ассортимента[Subgroup],0)),"")</f>
        <v>Watering, Pumps</v>
      </c>
      <c r="H1585" s="110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85" s="36">
        <v>9114</v>
      </c>
      <c r="J1585" s="36" t="str">
        <f>IFERROR(INDEX(Структура_ассортимента[Generic Name (long)],MATCH(Товары[[#This Row],[SubGroup]],Структура_ассортимента[Subgroup],0)),"")</f>
        <v>PUMP, CORDED</v>
      </c>
      <c r="L1585" s="36">
        <v>967064101</v>
      </c>
      <c r="M1585" s="35" t="s">
        <v>3261</v>
      </c>
      <c r="Q1585" s="34" t="s">
        <v>3713</v>
      </c>
      <c r="R1585" s="34" t="s">
        <v>3540</v>
      </c>
      <c r="S1585" s="47">
        <v>42401</v>
      </c>
      <c r="T1585" s="47">
        <v>0</v>
      </c>
      <c r="U1585" s="47">
        <v>0</v>
      </c>
      <c r="V1585" s="34">
        <v>4078500022231</v>
      </c>
      <c r="W1585" s="34" t="s">
        <v>3543</v>
      </c>
      <c r="Y1585" s="34" t="s">
        <v>3542</v>
      </c>
      <c r="Z1585" s="34">
        <v>1</v>
      </c>
      <c r="AA1585" s="34">
        <v>10660</v>
      </c>
      <c r="AB1585" s="34" t="s">
        <v>7532</v>
      </c>
      <c r="AC1585" s="34">
        <v>9830</v>
      </c>
      <c r="AD1585" s="34" t="s">
        <v>7533</v>
      </c>
      <c r="AE1585" s="34" t="s">
        <v>3987</v>
      </c>
      <c r="AF1585" s="34" t="s">
        <v>3920</v>
      </c>
      <c r="AG1585" s="34" t="s">
        <v>4323</v>
      </c>
      <c r="AH1585" s="34" t="s">
        <v>7189</v>
      </c>
      <c r="AL1585" s="34" t="s">
        <v>7190</v>
      </c>
      <c r="AM1585" s="40" t="s">
        <v>8094</v>
      </c>
      <c r="AT1585" s="44">
        <v>0</v>
      </c>
      <c r="AU1585" s="44"/>
      <c r="AV1585" s="46">
        <f>ROUND(Товары[[#This Row],[РРЦ финальная, руб.]]/$AU$1,2)</f>
        <v>0</v>
      </c>
      <c r="AW1585" s="45" t="str">
        <f>IFERROR(Товары[[#This Row],[РРЦ, евро]]/Товары[[#This Row],[IRP, Eur]],"-")</f>
        <v>-</v>
      </c>
      <c r="AX1585" s="42">
        <f>IFERROR(VLOOKUP(Товары[[#This Row],[SubGroup]],'Структура цен DIY'!$B:$C,2,FALSE),0)</f>
        <v>0.25</v>
      </c>
      <c r="AY1585" s="44">
        <v>0</v>
      </c>
    </row>
    <row r="1586" spans="1:51" x14ac:dyDescent="0.25">
      <c r="A1586" s="34">
        <v>1584</v>
      </c>
      <c r="B1586" s="34" t="s">
        <v>54</v>
      </c>
      <c r="C1586" s="110" t="str">
        <f>IFERROR(INDEX(Структура_ассортимента[SuperCategory],MATCH(Товары[[#This Row],[SubGroup]],Структура_ассортимента[Subgroup],0)),"")</f>
        <v>O</v>
      </c>
      <c r="D1586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86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86" s="110" t="str">
        <f>IFERROR(INDEX(Структура_ассортимента[Product group],MATCH(Товары[[#This Row],[SubGroup]],Структура_ассортимента[Subgroup],0)),"")</f>
        <v>WPU_C</v>
      </c>
      <c r="G1586" s="110" t="str">
        <f>IFERROR(INDEX(Структура_ассортимента[Product group name ENG],MATCH(Товары[[#This Row],[SubGroup]],Структура_ассортимента[Subgroup],0)),"")</f>
        <v>Watering, Pumps</v>
      </c>
      <c r="H1586" s="110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86" s="36">
        <v>9111</v>
      </c>
      <c r="J1586" s="36" t="str">
        <f>IFERROR(INDEX(Структура_ассортимента[Generic Name (long)],MATCH(Товары[[#This Row],[SubGroup]],Структура_ассортимента[Subgroup],0)),"")</f>
        <v>PUMP, CORDED</v>
      </c>
      <c r="L1586" s="36">
        <v>967344801</v>
      </c>
      <c r="M1586" s="35" t="s">
        <v>3262</v>
      </c>
      <c r="Q1586" s="34" t="s">
        <v>4565</v>
      </c>
      <c r="R1586" s="34" t="s">
        <v>3540</v>
      </c>
      <c r="S1586" s="47">
        <v>0</v>
      </c>
      <c r="T1586" s="47">
        <v>42735</v>
      </c>
      <c r="U1586" s="47">
        <v>42735</v>
      </c>
      <c r="V1586" s="34">
        <v>4078500016360</v>
      </c>
      <c r="W1586" s="34" t="s">
        <v>7039</v>
      </c>
      <c r="Y1586" s="34" t="s">
        <v>3542</v>
      </c>
      <c r="Z1586" s="34">
        <v>1</v>
      </c>
      <c r="AA1586" s="34">
        <v>14132</v>
      </c>
      <c r="AB1586" s="34">
        <v>14132</v>
      </c>
      <c r="AC1586" s="34">
        <v>13545</v>
      </c>
      <c r="AD1586" s="34">
        <v>13545</v>
      </c>
      <c r="AE1586" s="34">
        <v>485</v>
      </c>
      <c r="AF1586" s="34">
        <v>270</v>
      </c>
      <c r="AG1586" s="34">
        <v>360</v>
      </c>
      <c r="AH1586" s="34">
        <v>47142</v>
      </c>
      <c r="AM1586" s="40" t="s">
        <v>8094</v>
      </c>
      <c r="AT1586" s="44">
        <v>0</v>
      </c>
      <c r="AU1586" s="44"/>
      <c r="AV1586" s="46">
        <f>ROUND(Товары[[#This Row],[РРЦ финальная, руб.]]/$AU$1,2)</f>
        <v>0</v>
      </c>
      <c r="AW1586" s="45" t="str">
        <f>IFERROR(Товары[[#This Row],[РРЦ, евро]]/Товары[[#This Row],[IRP, Eur]],"-")</f>
        <v>-</v>
      </c>
      <c r="AX1586" s="42">
        <f>IFERROR(VLOOKUP(Товары[[#This Row],[SubGroup]],'Структура цен DIY'!$B:$C,2,FALSE),0)</f>
        <v>0.23</v>
      </c>
      <c r="AY1586" s="44">
        <v>0</v>
      </c>
    </row>
    <row r="1587" spans="1:51" x14ac:dyDescent="0.25">
      <c r="A1587" s="34">
        <v>1585</v>
      </c>
      <c r="B1587" s="34" t="s">
        <v>54</v>
      </c>
      <c r="C1587" s="110" t="str">
        <f>IFERROR(INDEX(Структура_ассортимента[SuperCategory],MATCH(Товары[[#This Row],[SubGroup]],Структура_ассортимента[Subgroup],0)),"")</f>
        <v>O</v>
      </c>
      <c r="D1587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87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87" s="110" t="str">
        <f>IFERROR(INDEX(Структура_ассортимента[Product group],MATCH(Товары[[#This Row],[SubGroup]],Структура_ассортимента[Subgroup],0)),"")</f>
        <v>WPU_C</v>
      </c>
      <c r="G1587" s="110" t="str">
        <f>IFERROR(INDEX(Структура_ассортимента[Product group name ENG],MATCH(Товары[[#This Row],[SubGroup]],Структура_ассортимента[Subgroup],0)),"")</f>
        <v>Watering, Pumps</v>
      </c>
      <c r="H1587" s="110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87" s="36">
        <v>9111</v>
      </c>
      <c r="J1587" s="36" t="str">
        <f>IFERROR(INDEX(Структура_ассортимента[Generic Name (long)],MATCH(Товары[[#This Row],[SubGroup]],Структура_ассортимента[Subgroup],0)),"")</f>
        <v>PUMP, CORDED</v>
      </c>
      <c r="L1587" s="36">
        <v>967063701</v>
      </c>
      <c r="M1587" s="35" t="s">
        <v>3263</v>
      </c>
      <c r="Q1587" s="34" t="s">
        <v>3713</v>
      </c>
      <c r="R1587" s="34" t="s">
        <v>3540</v>
      </c>
      <c r="S1587" s="47">
        <v>42401</v>
      </c>
      <c r="T1587" s="47">
        <v>0</v>
      </c>
      <c r="U1587" s="47">
        <v>0</v>
      </c>
      <c r="V1587" s="34">
        <v>4078500022248</v>
      </c>
      <c r="W1587" s="34" t="s">
        <v>3543</v>
      </c>
      <c r="Y1587" s="34" t="s">
        <v>3542</v>
      </c>
      <c r="Z1587" s="34">
        <v>1</v>
      </c>
      <c r="AA1587" s="34">
        <v>14210</v>
      </c>
      <c r="AB1587" s="34" t="s">
        <v>7534</v>
      </c>
      <c r="AC1587" s="34">
        <v>13890</v>
      </c>
      <c r="AD1587" s="34" t="s">
        <v>7535</v>
      </c>
      <c r="AE1587" s="34" t="s">
        <v>4413</v>
      </c>
      <c r="AF1587" s="34" t="s">
        <v>5028</v>
      </c>
      <c r="AG1587" s="34" t="s">
        <v>4510</v>
      </c>
      <c r="AH1587" s="34" t="s">
        <v>7258</v>
      </c>
      <c r="AL1587" s="34" t="s">
        <v>3617</v>
      </c>
      <c r="AM1587" s="40" t="s">
        <v>8094</v>
      </c>
      <c r="AT1587" s="44">
        <v>0</v>
      </c>
      <c r="AU1587" s="44"/>
      <c r="AV1587" s="46">
        <f>ROUND(Товары[[#This Row],[РРЦ финальная, руб.]]/$AU$1,2)</f>
        <v>0</v>
      </c>
      <c r="AW1587" s="45" t="str">
        <f>IFERROR(Товары[[#This Row],[РРЦ, евро]]/Товары[[#This Row],[IRP, Eur]],"-")</f>
        <v>-</v>
      </c>
      <c r="AX1587" s="42">
        <f>IFERROR(VLOOKUP(Товары[[#This Row],[SubGroup]],'Структура цен DIY'!$B:$C,2,FALSE),0)</f>
        <v>0.23</v>
      </c>
      <c r="AY1587" s="44">
        <v>0</v>
      </c>
    </row>
    <row r="1588" spans="1:51" x14ac:dyDescent="0.25">
      <c r="A1588" s="34">
        <v>1586</v>
      </c>
      <c r="B1588" s="34" t="s">
        <v>54</v>
      </c>
      <c r="C1588" s="110" t="str">
        <f>IFERROR(INDEX(Структура_ассортимента[SuperCategory],MATCH(Товары[[#This Row],[SubGroup]],Структура_ассортимента[Subgroup],0)),"")</f>
        <v>O</v>
      </c>
      <c r="D1588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88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88" s="110" t="str">
        <f>IFERROR(INDEX(Структура_ассортимента[Product group],MATCH(Товары[[#This Row],[SubGroup]],Структура_ассортимента[Subgroup],0)),"")</f>
        <v>WPU_C</v>
      </c>
      <c r="G1588" s="110" t="str">
        <f>IFERROR(INDEX(Структура_ассортимента[Product group name ENG],MATCH(Товары[[#This Row],[SubGroup]],Структура_ассортимента[Subgroup],0)),"")</f>
        <v>Watering, Pumps</v>
      </c>
      <c r="H1588" s="110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88" s="36">
        <v>9114</v>
      </c>
      <c r="J1588" s="36" t="str">
        <f>IFERROR(INDEX(Структура_ассортимента[Generic Name (long)],MATCH(Товары[[#This Row],[SubGroup]],Структура_ассортимента[Subgroup],0)),"")</f>
        <v>PUMP, CORDED</v>
      </c>
      <c r="L1588" s="36">
        <v>967064301</v>
      </c>
      <c r="M1588" s="35" t="s">
        <v>3264</v>
      </c>
      <c r="Q1588" s="34" t="s">
        <v>3713</v>
      </c>
      <c r="R1588" s="34" t="s">
        <v>3540</v>
      </c>
      <c r="S1588" s="47">
        <v>42401</v>
      </c>
      <c r="T1588" s="47">
        <v>43830</v>
      </c>
      <c r="U1588" s="47">
        <v>43830</v>
      </c>
      <c r="V1588" s="34">
        <v>4078500022224</v>
      </c>
      <c r="W1588" s="34" t="s">
        <v>3543</v>
      </c>
      <c r="Y1588" s="34" t="s">
        <v>3542</v>
      </c>
      <c r="Z1588" s="34">
        <v>1</v>
      </c>
      <c r="AA1588" s="34">
        <v>7115</v>
      </c>
      <c r="AB1588" s="34" t="s">
        <v>7536</v>
      </c>
      <c r="AC1588" s="34">
        <v>6115</v>
      </c>
      <c r="AD1588" s="34" t="s">
        <v>7537</v>
      </c>
      <c r="AE1588" s="34" t="s">
        <v>3819</v>
      </c>
      <c r="AF1588" s="34" t="s">
        <v>3920</v>
      </c>
      <c r="AG1588" s="34" t="s">
        <v>7521</v>
      </c>
      <c r="AH1588" s="34" t="s">
        <v>7522</v>
      </c>
      <c r="AL1588" s="34" t="s">
        <v>5442</v>
      </c>
      <c r="AM1588" s="40" t="s">
        <v>8094</v>
      </c>
      <c r="AT1588" s="44">
        <v>0</v>
      </c>
      <c r="AU1588" s="44"/>
      <c r="AV1588" s="46">
        <f>ROUND(Товары[[#This Row],[РРЦ финальная, руб.]]/$AU$1,2)</f>
        <v>0</v>
      </c>
      <c r="AW1588" s="45" t="str">
        <f>IFERROR(Товары[[#This Row],[РРЦ, евро]]/Товары[[#This Row],[IRP, Eur]],"-")</f>
        <v>-</v>
      </c>
      <c r="AX1588" s="42">
        <f>IFERROR(VLOOKUP(Товары[[#This Row],[SubGroup]],'Структура цен DIY'!$B:$C,2,FALSE),0)</f>
        <v>0.25</v>
      </c>
      <c r="AY1588" s="44">
        <v>0</v>
      </c>
    </row>
    <row r="1589" spans="1:51" x14ac:dyDescent="0.25">
      <c r="A1589" s="34">
        <v>1587</v>
      </c>
      <c r="B1589" s="34" t="s">
        <v>54</v>
      </c>
      <c r="C1589" s="110" t="str">
        <f>IFERROR(INDEX(Структура_ассортимента[SuperCategory],MATCH(Товары[[#This Row],[SubGroup]],Структура_ассортимента[Subgroup],0)),"")</f>
        <v>O</v>
      </c>
      <c r="D1589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89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89" s="110" t="str">
        <f>IFERROR(INDEX(Структура_ассортимента[Product group],MATCH(Товары[[#This Row],[SubGroup]],Структура_ассортимента[Subgroup],0)),"")</f>
        <v>WPU_C</v>
      </c>
      <c r="G1589" s="110" t="str">
        <f>IFERROR(INDEX(Структура_ассортимента[Product group name ENG],MATCH(Товары[[#This Row],[SubGroup]],Структура_ассортимента[Subgroup],0)),"")</f>
        <v>Watering, Pumps</v>
      </c>
      <c r="H1589" s="110" t="str">
        <f>IFERROR(INDEX(Структура_ассортимента[Generic Name (long)3],MATCH(Товары[[#This Row],[SubGroup]],Структура_ассортимента[Subgroup],0)),"")</f>
        <v>Насосы напорные автоматические</v>
      </c>
      <c r="I1589" s="36">
        <v>9112</v>
      </c>
      <c r="J1589" s="36" t="str">
        <f>IFERROR(INDEX(Структура_ассортимента[Generic Name (long)],MATCH(Товары[[#This Row],[SubGroup]],Структура_ассортимента[Subgroup],0)),"")</f>
        <v>PUMP, CORDED</v>
      </c>
      <c r="L1589" s="36">
        <v>967344901</v>
      </c>
      <c r="M1589" s="35" t="s">
        <v>3265</v>
      </c>
      <c r="Q1589" s="34" t="s">
        <v>4565</v>
      </c>
      <c r="R1589" s="34" t="s">
        <v>3540</v>
      </c>
      <c r="S1589" s="47">
        <v>42036</v>
      </c>
      <c r="T1589" s="47">
        <v>42735</v>
      </c>
      <c r="U1589" s="47">
        <v>42735</v>
      </c>
      <c r="V1589" s="34">
        <v>4078500016377</v>
      </c>
      <c r="W1589" s="34" t="s">
        <v>7039</v>
      </c>
      <c r="Y1589" s="34" t="s">
        <v>3542</v>
      </c>
      <c r="Z1589" s="34">
        <v>1</v>
      </c>
      <c r="AA1589" s="34">
        <v>9602</v>
      </c>
      <c r="AB1589" s="34">
        <v>9602</v>
      </c>
      <c r="AC1589" s="34">
        <v>8545</v>
      </c>
      <c r="AD1589" s="34">
        <v>8545</v>
      </c>
      <c r="AE1589" s="34">
        <v>466</v>
      </c>
      <c r="AF1589" s="34">
        <v>230</v>
      </c>
      <c r="AG1589" s="34">
        <v>315</v>
      </c>
      <c r="AH1589" s="34">
        <v>33762</v>
      </c>
      <c r="AM1589" s="40" t="s">
        <v>8094</v>
      </c>
      <c r="AT1589" s="44">
        <v>0</v>
      </c>
      <c r="AU1589" s="44"/>
      <c r="AV1589" s="46">
        <f>ROUND(Товары[[#This Row],[РРЦ финальная, руб.]]/$AU$1,2)</f>
        <v>0</v>
      </c>
      <c r="AW1589" s="45" t="str">
        <f>IFERROR(Товары[[#This Row],[РРЦ, евро]]/Товары[[#This Row],[IRP, Eur]],"-")</f>
        <v>-</v>
      </c>
      <c r="AX1589" s="42">
        <f>IFERROR(VLOOKUP(Товары[[#This Row],[SubGroup]],'Структура цен DIY'!$B:$C,2,FALSE),0)</f>
        <v>0.28000000000000003</v>
      </c>
      <c r="AY1589" s="44">
        <v>0</v>
      </c>
    </row>
    <row r="1590" spans="1:51" x14ac:dyDescent="0.25">
      <c r="A1590" s="34">
        <v>1588</v>
      </c>
      <c r="B1590" s="34" t="s">
        <v>54</v>
      </c>
      <c r="C1590" s="110" t="str">
        <f>IFERROR(INDEX(Структура_ассортимента[SuperCategory],MATCH(Товары[[#This Row],[SubGroup]],Структура_ассортимента[Subgroup],0)),"")</f>
        <v>O</v>
      </c>
      <c r="D1590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90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90" s="110" t="str">
        <f>IFERROR(INDEX(Структура_ассортимента[Product group],MATCH(Товары[[#This Row],[SubGroup]],Структура_ассортимента[Subgroup],0)),"")</f>
        <v>WPU_C</v>
      </c>
      <c r="G1590" s="110" t="str">
        <f>IFERROR(INDEX(Структура_ассортимента[Product group name ENG],MATCH(Товары[[#This Row],[SubGroup]],Структура_ассортимента[Subgroup],0)),"")</f>
        <v>Watering, Pumps</v>
      </c>
      <c r="H1590" s="110" t="str">
        <f>IFERROR(INDEX(Структура_ассортимента[Generic Name (long)3],MATCH(Товары[[#This Row],[SubGroup]],Структура_ассортимента[Subgroup],0)),"")</f>
        <v>Насосы напорные автоматические</v>
      </c>
      <c r="I1590" s="36">
        <v>9112</v>
      </c>
      <c r="J1590" s="36" t="str">
        <f>IFERROR(INDEX(Структура_ассортимента[Generic Name (long)],MATCH(Товары[[#This Row],[SubGroup]],Структура_ассортимента[Subgroup],0)),"")</f>
        <v>PUMP, CORDED</v>
      </c>
      <c r="L1590" s="36">
        <v>967064401</v>
      </c>
      <c r="M1590" s="35" t="s">
        <v>3266</v>
      </c>
      <c r="Q1590" s="34" t="s">
        <v>3713</v>
      </c>
      <c r="R1590" s="34" t="s">
        <v>3540</v>
      </c>
      <c r="S1590" s="47">
        <v>42401</v>
      </c>
      <c r="T1590" s="47">
        <v>0</v>
      </c>
      <c r="U1590" s="47">
        <v>0</v>
      </c>
      <c r="V1590" s="34">
        <v>4078500022262</v>
      </c>
      <c r="W1590" s="34" t="s">
        <v>3543</v>
      </c>
      <c r="Y1590" s="34" t="s">
        <v>3542</v>
      </c>
      <c r="Z1590" s="34">
        <v>1</v>
      </c>
      <c r="AA1590" s="34">
        <v>9640</v>
      </c>
      <c r="AB1590" s="34" t="s">
        <v>7538</v>
      </c>
      <c r="AC1590" s="34">
        <v>8590</v>
      </c>
      <c r="AD1590" s="34" t="s">
        <v>7539</v>
      </c>
      <c r="AE1590" s="34" t="s">
        <v>7521</v>
      </c>
      <c r="AF1590" s="34" t="s">
        <v>3743</v>
      </c>
      <c r="AG1590" s="34" t="s">
        <v>6026</v>
      </c>
      <c r="AH1590" s="34" t="s">
        <v>7528</v>
      </c>
      <c r="AL1590" s="34" t="s">
        <v>5392</v>
      </c>
      <c r="AM1590" s="40" t="s">
        <v>8094</v>
      </c>
      <c r="AT1590" s="44">
        <v>0</v>
      </c>
      <c r="AU1590" s="44"/>
      <c r="AV1590" s="46">
        <f>ROUND(Товары[[#This Row],[РРЦ финальная, руб.]]/$AU$1,2)</f>
        <v>0</v>
      </c>
      <c r="AW1590" s="45" t="str">
        <f>IFERROR(Товары[[#This Row],[РРЦ, евро]]/Товары[[#This Row],[IRP, Eur]],"-")</f>
        <v>-</v>
      </c>
      <c r="AX1590" s="42">
        <f>IFERROR(VLOOKUP(Товары[[#This Row],[SubGroup]],'Структура цен DIY'!$B:$C,2,FALSE),0)</f>
        <v>0.28000000000000003</v>
      </c>
      <c r="AY1590" s="44">
        <v>0</v>
      </c>
    </row>
    <row r="1591" spans="1:51" x14ac:dyDescent="0.25">
      <c r="A1591" s="34">
        <v>1589</v>
      </c>
      <c r="B1591" s="34" t="s">
        <v>54</v>
      </c>
      <c r="C1591" s="110" t="str">
        <f>IFERROR(INDEX(Структура_ассортимента[SuperCategory],MATCH(Товары[[#This Row],[SubGroup]],Структура_ассортимента[Subgroup],0)),"")</f>
        <v>O</v>
      </c>
      <c r="D1591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91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91" s="110" t="str">
        <f>IFERROR(INDEX(Структура_ассортимента[Product group],MATCH(Товары[[#This Row],[SubGroup]],Структура_ассортимента[Subgroup],0)),"")</f>
        <v>WPU_C</v>
      </c>
      <c r="G1591" s="110" t="str">
        <f>IFERROR(INDEX(Структура_ассортимента[Product group name ENG],MATCH(Товары[[#This Row],[SubGroup]],Структура_ассортимента[Subgroup],0)),"")</f>
        <v>Watering, Pumps</v>
      </c>
      <c r="H1591" s="110" t="str">
        <f>IFERROR(INDEX(Структура_ассортимента[Generic Name (long)3],MATCH(Товары[[#This Row],[SubGroup]],Структура_ассортимента[Subgroup],0)),"")</f>
        <v>Насосы напорные автоматические</v>
      </c>
      <c r="I1591" s="36">
        <v>9112</v>
      </c>
      <c r="J1591" s="36" t="str">
        <f>IFERROR(INDEX(Структура_ассортимента[Generic Name (long)],MATCH(Товары[[#This Row],[SubGroup]],Структура_ассортимента[Subgroup],0)),"")</f>
        <v>PUMP, CORDED</v>
      </c>
      <c r="L1591" s="36">
        <v>967064501</v>
      </c>
      <c r="M1591" s="35" t="s">
        <v>3267</v>
      </c>
      <c r="Q1591" s="34" t="s">
        <v>3713</v>
      </c>
      <c r="R1591" s="34" t="s">
        <v>3540</v>
      </c>
      <c r="S1591" s="47">
        <v>42401</v>
      </c>
      <c r="T1591" s="47">
        <v>0</v>
      </c>
      <c r="U1591" s="47">
        <v>0</v>
      </c>
      <c r="V1591" s="34">
        <v>4078500022255</v>
      </c>
      <c r="W1591" s="34" t="s">
        <v>3543</v>
      </c>
      <c r="Y1591" s="34" t="s">
        <v>3542</v>
      </c>
      <c r="Z1591" s="34">
        <v>1</v>
      </c>
      <c r="AA1591" s="34">
        <v>14940</v>
      </c>
      <c r="AB1591" s="34" t="s">
        <v>7540</v>
      </c>
      <c r="AC1591" s="34">
        <v>13090</v>
      </c>
      <c r="AD1591" s="34" t="s">
        <v>7541</v>
      </c>
      <c r="AE1591" s="34" t="s">
        <v>7312</v>
      </c>
      <c r="AF1591" s="34" t="s">
        <v>7313</v>
      </c>
      <c r="AG1591" s="34" t="s">
        <v>7314</v>
      </c>
      <c r="AH1591" s="34" t="s">
        <v>7315</v>
      </c>
      <c r="AL1591" s="34" t="s">
        <v>3617</v>
      </c>
      <c r="AM1591" s="40" t="s">
        <v>8094</v>
      </c>
      <c r="AT1591" s="44">
        <v>0</v>
      </c>
      <c r="AU1591" s="44"/>
      <c r="AV1591" s="46">
        <f>ROUND(Товары[[#This Row],[РРЦ финальная, руб.]]/$AU$1,2)</f>
        <v>0</v>
      </c>
      <c r="AW1591" s="45" t="str">
        <f>IFERROR(Товары[[#This Row],[РРЦ, евро]]/Товары[[#This Row],[IRP, Eur]],"-")</f>
        <v>-</v>
      </c>
      <c r="AX1591" s="42">
        <f>IFERROR(VLOOKUP(Товары[[#This Row],[SubGroup]],'Структура цен DIY'!$B:$C,2,FALSE),0)</f>
        <v>0.28000000000000003</v>
      </c>
      <c r="AY1591" s="44">
        <v>0</v>
      </c>
    </row>
    <row r="1592" spans="1:51" x14ac:dyDescent="0.25">
      <c r="A1592" s="34">
        <v>1590</v>
      </c>
      <c r="B1592" s="34" t="s">
        <v>54</v>
      </c>
      <c r="C1592" s="110" t="str">
        <f>IFERROR(INDEX(Структура_ассортимента[SuperCategory],MATCH(Товары[[#This Row],[SubGroup]],Структура_ассортимента[Subgroup],0)),"")</f>
        <v>O</v>
      </c>
      <c r="D1592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92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92" s="110" t="str">
        <f>IFERROR(INDEX(Структура_ассортимента[Product group],MATCH(Товары[[#This Row],[SubGroup]],Структура_ассортимента[Subgroup],0)),"")</f>
        <v>WPU_C</v>
      </c>
      <c r="G1592" s="110" t="str">
        <f>IFERROR(INDEX(Структура_ассортимента[Product group name ENG],MATCH(Товары[[#This Row],[SubGroup]],Структура_ассортимента[Subgroup],0)),"")</f>
        <v>Watering, Pumps</v>
      </c>
      <c r="H1592" s="110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92" s="36">
        <v>9115</v>
      </c>
      <c r="J1592" s="36" t="str">
        <f>IFERROR(INDEX(Структура_ассортимента[Generic Name (long)],MATCH(Товары[[#This Row],[SubGroup]],Структура_ассортимента[Subgroup],0)),"")</f>
        <v>PUMP, CORDED</v>
      </c>
      <c r="L1592" s="36">
        <v>967064701</v>
      </c>
      <c r="M1592" s="35" t="s">
        <v>3268</v>
      </c>
      <c r="Q1592" s="34" t="s">
        <v>4565</v>
      </c>
      <c r="R1592" s="34" t="s">
        <v>3540</v>
      </c>
      <c r="S1592" s="47">
        <v>0</v>
      </c>
      <c r="T1592" s="47">
        <v>42735</v>
      </c>
      <c r="U1592" s="47">
        <v>42735</v>
      </c>
      <c r="V1592" s="34">
        <v>4078500022293</v>
      </c>
      <c r="W1592" s="34" t="s">
        <v>7530</v>
      </c>
      <c r="Y1592" s="34" t="s">
        <v>3542</v>
      </c>
      <c r="Z1592" s="34">
        <v>1</v>
      </c>
      <c r="AA1592" s="34">
        <v>4580</v>
      </c>
      <c r="AB1592" s="34">
        <v>4580</v>
      </c>
      <c r="AC1592" s="34">
        <v>4090</v>
      </c>
      <c r="AD1592" s="34">
        <v>4090</v>
      </c>
      <c r="AE1592" s="34">
        <v>240</v>
      </c>
      <c r="AF1592" s="34">
        <v>197</v>
      </c>
      <c r="AG1592" s="34">
        <v>382</v>
      </c>
      <c r="AH1592" s="34">
        <v>18.061</v>
      </c>
      <c r="AM1592" s="40" t="s">
        <v>8094</v>
      </c>
      <c r="AT1592" s="44">
        <v>0</v>
      </c>
      <c r="AU1592" s="44"/>
      <c r="AV1592" s="46">
        <f>ROUND(Товары[[#This Row],[РРЦ финальная, руб.]]/$AU$1,2)</f>
        <v>0</v>
      </c>
      <c r="AW1592" s="45" t="str">
        <f>IFERROR(Товары[[#This Row],[РРЦ, евро]]/Товары[[#This Row],[IRP, Eur]],"-")</f>
        <v>-</v>
      </c>
      <c r="AX1592" s="42">
        <f>IFERROR(VLOOKUP(Товары[[#This Row],[SubGroup]],'Структура цен DIY'!$B:$C,2,FALSE),0)</f>
        <v>0.26834498834498843</v>
      </c>
      <c r="AY1592" s="44">
        <v>0</v>
      </c>
    </row>
    <row r="1593" spans="1:51" x14ac:dyDescent="0.25">
      <c r="A1593" s="34">
        <v>1591</v>
      </c>
      <c r="B1593" s="34" t="s">
        <v>54</v>
      </c>
      <c r="C1593" s="110" t="str">
        <f>IFERROR(INDEX(Структура_ассортимента[SuperCategory],MATCH(Товары[[#This Row],[SubGroup]],Структура_ассортимента[Subgroup],0)),"")</f>
        <v>O</v>
      </c>
      <c r="D1593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93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93" s="110" t="str">
        <f>IFERROR(INDEX(Структура_ассортимента[Product group],MATCH(Товары[[#This Row],[SubGroup]],Структура_ассортимента[Subgroup],0)),"")</f>
        <v>WPU_C</v>
      </c>
      <c r="G1593" s="110" t="str">
        <f>IFERROR(INDEX(Структура_ассортимента[Product group name ENG],MATCH(Товары[[#This Row],[SubGroup]],Структура_ассортимента[Subgroup],0)),"")</f>
        <v>Watering, Pumps</v>
      </c>
      <c r="H1593" s="110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93" s="36">
        <v>9115</v>
      </c>
      <c r="J1593" s="36" t="str">
        <f>IFERROR(INDEX(Структура_ассортимента[Generic Name (long)],MATCH(Товары[[#This Row],[SubGroup]],Структура_ассортимента[Subgroup],0)),"")</f>
        <v>PUMP, CORDED</v>
      </c>
      <c r="L1593" s="36">
        <v>967068301</v>
      </c>
      <c r="M1593" s="35" t="s">
        <v>3269</v>
      </c>
      <c r="O1593" s="35" t="s">
        <v>7542</v>
      </c>
      <c r="P1593" s="37" t="s">
        <v>7543</v>
      </c>
      <c r="Q1593" s="34" t="s">
        <v>3652</v>
      </c>
      <c r="R1593" s="34" t="s">
        <v>3540</v>
      </c>
      <c r="S1593" s="47">
        <v>42767</v>
      </c>
      <c r="T1593" s="47">
        <v>44196</v>
      </c>
      <c r="U1593" s="47">
        <v>0</v>
      </c>
      <c r="V1593" s="34">
        <v>4078500022378</v>
      </c>
      <c r="W1593" s="34" t="s">
        <v>3546</v>
      </c>
      <c r="X1593" s="34" t="s">
        <v>3551</v>
      </c>
      <c r="Y1593" s="34" t="s">
        <v>3542</v>
      </c>
      <c r="Z1593" s="34">
        <v>1</v>
      </c>
      <c r="AA1593" s="34">
        <v>4500</v>
      </c>
      <c r="AB1593" s="34" t="s">
        <v>5436</v>
      </c>
      <c r="AC1593" s="34">
        <v>3800</v>
      </c>
      <c r="AD1593" s="34" t="s">
        <v>7544</v>
      </c>
      <c r="AE1593" s="34" t="s">
        <v>3997</v>
      </c>
      <c r="AF1593" s="34" t="s">
        <v>4257</v>
      </c>
      <c r="AG1593" s="34" t="s">
        <v>3555</v>
      </c>
      <c r="AH1593" s="34" t="s">
        <v>7545</v>
      </c>
      <c r="AL1593" s="34" t="s">
        <v>7546</v>
      </c>
      <c r="AM1593" s="40" t="s">
        <v>233</v>
      </c>
      <c r="AP1593" s="34">
        <v>0</v>
      </c>
      <c r="AQ1593" s="34">
        <v>6390</v>
      </c>
      <c r="AR1593" s="34">
        <v>4045</v>
      </c>
      <c r="AT1593" s="44">
        <v>494900</v>
      </c>
      <c r="AU1593" s="44"/>
      <c r="AV1593" s="46">
        <f>ROUND(Товары[[#This Row],[РРЦ финальная, руб.]]/$AU$1,2)</f>
        <v>0</v>
      </c>
      <c r="AW1593" s="45" t="str">
        <f>IFERROR(Товары[[#This Row],[РРЦ, евро]]/Товары[[#This Row],[IRP, Eur]],"-")</f>
        <v>-</v>
      </c>
      <c r="AX1593" s="42">
        <f>IFERROR(VLOOKUP(Товары[[#This Row],[SubGroup]],'Структура цен DIY'!$B:$C,2,FALSE),0)</f>
        <v>0.26834498834498843</v>
      </c>
      <c r="AY1593" s="44">
        <v>0</v>
      </c>
    </row>
    <row r="1594" spans="1:51" x14ac:dyDescent="0.25">
      <c r="A1594" s="34">
        <v>1592</v>
      </c>
      <c r="B1594" s="34" t="s">
        <v>54</v>
      </c>
      <c r="C1594" s="110" t="str">
        <f>IFERROR(INDEX(Структура_ассортимента[SuperCategory],MATCH(Товары[[#This Row],[SubGroup]],Структура_ассортимента[Subgroup],0)),"")</f>
        <v>O</v>
      </c>
      <c r="D1594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94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94" s="110" t="str">
        <f>IFERROR(INDEX(Структура_ассортимента[Product group],MATCH(Товары[[#This Row],[SubGroup]],Структура_ассортимента[Subgroup],0)),"")</f>
        <v>WPU_C</v>
      </c>
      <c r="G1594" s="110" t="str">
        <f>IFERROR(INDEX(Структура_ассортимента[Product group name ENG],MATCH(Товары[[#This Row],[SubGroup]],Структура_ассортимента[Subgroup],0)),"")</f>
        <v>Watering, Pumps</v>
      </c>
      <c r="H1594" s="110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94" s="36">
        <v>9115</v>
      </c>
      <c r="J1594" s="36" t="str">
        <f>IFERROR(INDEX(Структура_ассортимента[Generic Name (long)],MATCH(Товары[[#This Row],[SubGroup]],Структура_ассортимента[Subgroup],0)),"")</f>
        <v>PUMP, CORDED</v>
      </c>
      <c r="L1594" s="36">
        <v>967691501</v>
      </c>
      <c r="M1594" s="35" t="s">
        <v>3270</v>
      </c>
      <c r="Q1594" s="34" t="s">
        <v>3544</v>
      </c>
      <c r="R1594" s="34" t="s">
        <v>3540</v>
      </c>
      <c r="S1594" s="47">
        <v>0</v>
      </c>
      <c r="T1594" s="47">
        <v>0</v>
      </c>
      <c r="U1594" s="47">
        <v>0</v>
      </c>
      <c r="V1594" s="34">
        <v>4078500034838</v>
      </c>
      <c r="W1594" s="34" t="s">
        <v>7547</v>
      </c>
      <c r="Y1594" s="34" t="s">
        <v>3542</v>
      </c>
      <c r="Z1594" s="34">
        <v>1</v>
      </c>
      <c r="AL1594" s="34">
        <v>12</v>
      </c>
      <c r="AM1594" s="40" t="s">
        <v>8094</v>
      </c>
      <c r="AT1594" s="44">
        <v>0</v>
      </c>
      <c r="AU1594" s="44"/>
      <c r="AV1594" s="46">
        <f>ROUND(Товары[[#This Row],[РРЦ финальная, руб.]]/$AU$1,2)</f>
        <v>0</v>
      </c>
      <c r="AW1594" s="45" t="str">
        <f>IFERROR(Товары[[#This Row],[РРЦ, евро]]/Товары[[#This Row],[IRP, Eur]],"-")</f>
        <v>-</v>
      </c>
      <c r="AX1594" s="42">
        <f>IFERROR(VLOOKUP(Товары[[#This Row],[SubGroup]],'Структура цен DIY'!$B:$C,2,FALSE),0)</f>
        <v>0.26834498834498843</v>
      </c>
      <c r="AY1594" s="44">
        <v>0</v>
      </c>
    </row>
    <row r="1595" spans="1:51" x14ac:dyDescent="0.25">
      <c r="A1595" s="34">
        <v>1593</v>
      </c>
      <c r="B1595" s="34" t="s">
        <v>54</v>
      </c>
      <c r="C1595" s="110" t="str">
        <f>IFERROR(INDEX(Структура_ассортимента[SuperCategory],MATCH(Товары[[#This Row],[SubGroup]],Структура_ассортимента[Subgroup],0)),"")</f>
        <v>O</v>
      </c>
      <c r="D1595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95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95" s="110" t="str">
        <f>IFERROR(INDEX(Структура_ассортимента[Product group],MATCH(Товары[[#This Row],[SubGroup]],Структура_ассортимента[Subgroup],0)),"")</f>
        <v>WPU_C</v>
      </c>
      <c r="G1595" s="110" t="str">
        <f>IFERROR(INDEX(Структура_ассортимента[Product group name ENG],MATCH(Товары[[#This Row],[SubGroup]],Структура_ассортимента[Subgroup],0)),"")</f>
        <v>Watering, Pumps</v>
      </c>
      <c r="H1595" s="110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95" s="36">
        <v>9115</v>
      </c>
      <c r="J1595" s="36" t="str">
        <f>IFERROR(INDEX(Структура_ассортимента[Generic Name (long)],MATCH(Товары[[#This Row],[SubGroup]],Структура_ассортимента[Subgroup],0)),"")</f>
        <v>PUMP, CORDED</v>
      </c>
      <c r="L1595" s="36">
        <v>967691601</v>
      </c>
      <c r="M1595" s="35" t="s">
        <v>3271</v>
      </c>
      <c r="Q1595" s="34" t="s">
        <v>3544</v>
      </c>
      <c r="R1595" s="34" t="s">
        <v>3540</v>
      </c>
      <c r="S1595" s="47">
        <v>0</v>
      </c>
      <c r="T1595" s="47">
        <v>0</v>
      </c>
      <c r="U1595" s="47">
        <v>0</v>
      </c>
      <c r="V1595" s="34">
        <v>4078500034845</v>
      </c>
      <c r="W1595" s="34" t="s">
        <v>7547</v>
      </c>
      <c r="Y1595" s="34" t="s">
        <v>3542</v>
      </c>
      <c r="Z1595" s="34">
        <v>1</v>
      </c>
      <c r="AM1595" s="40" t="s">
        <v>8094</v>
      </c>
      <c r="AT1595" s="44">
        <v>0</v>
      </c>
      <c r="AU1595" s="44"/>
      <c r="AV1595" s="46">
        <f>ROUND(Товары[[#This Row],[РРЦ финальная, руб.]]/$AU$1,2)</f>
        <v>0</v>
      </c>
      <c r="AW1595" s="45" t="str">
        <f>IFERROR(Товары[[#This Row],[РРЦ, евро]]/Товары[[#This Row],[IRP, Eur]],"-")</f>
        <v>-</v>
      </c>
      <c r="AX1595" s="42">
        <f>IFERROR(VLOOKUP(Товары[[#This Row],[SubGroup]],'Структура цен DIY'!$B:$C,2,FALSE),0)</f>
        <v>0.26834498834498843</v>
      </c>
      <c r="AY1595" s="44">
        <v>0</v>
      </c>
    </row>
    <row r="1596" spans="1:51" x14ac:dyDescent="0.25">
      <c r="A1596" s="34">
        <v>1594</v>
      </c>
      <c r="B1596" s="34" t="s">
        <v>54</v>
      </c>
      <c r="C1596" s="110" t="str">
        <f>IFERROR(INDEX(Структура_ассортимента[SuperCategory],MATCH(Товары[[#This Row],[SubGroup]],Структура_ассортимента[Subgroup],0)),"")</f>
        <v>O</v>
      </c>
      <c r="D1596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96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96" s="110" t="str">
        <f>IFERROR(INDEX(Структура_ассортимента[Product group],MATCH(Товары[[#This Row],[SubGroup]],Структура_ассортимента[Subgroup],0)),"")</f>
        <v>WPU_P</v>
      </c>
      <c r="G1596" s="110" t="str">
        <f>IFERROR(INDEX(Структура_ассортимента[Product group name ENG],MATCH(Товары[[#This Row],[SubGroup]],Структура_ассортимента[Subgroup],0)),"")</f>
        <v>Watering, Battery, Pumps</v>
      </c>
      <c r="H1596" s="110" t="str">
        <f>IFERROR(INDEX(Структура_ассортимента[Generic Name (long)3],MATCH(Товары[[#This Row],[SubGroup]],Структура_ассортимента[Subgroup],0)),"")</f>
        <v>Насосы аккумуляторные</v>
      </c>
      <c r="I1596" s="36">
        <v>8346</v>
      </c>
      <c r="J1596" s="36" t="str">
        <f>IFERROR(INDEX(Структура_ассортимента[Generic Name (long)],MATCH(Товары[[#This Row],[SubGroup]],Структура_ассортимента[Subgroup],0)),"")</f>
        <v>PUMP</v>
      </c>
      <c r="L1596" s="36">
        <v>967912401</v>
      </c>
      <c r="M1596" s="35" t="s">
        <v>3272</v>
      </c>
      <c r="O1596" s="35" t="s">
        <v>7548</v>
      </c>
      <c r="P1596" s="37" t="s">
        <v>7549</v>
      </c>
      <c r="Q1596" s="34" t="s">
        <v>3549</v>
      </c>
      <c r="R1596" s="34" t="s">
        <v>3540</v>
      </c>
      <c r="S1596" s="47">
        <v>43466</v>
      </c>
      <c r="T1596" s="47">
        <v>0</v>
      </c>
      <c r="U1596" s="47">
        <v>0</v>
      </c>
      <c r="V1596" s="34">
        <v>4078500077804</v>
      </c>
      <c r="W1596" s="34" t="s">
        <v>3546</v>
      </c>
      <c r="X1596" s="34" t="s">
        <v>3551</v>
      </c>
      <c r="Y1596" s="34" t="s">
        <v>3542</v>
      </c>
      <c r="Z1596" s="34">
        <v>1</v>
      </c>
      <c r="AA1596" s="34" t="s">
        <v>5358</v>
      </c>
      <c r="AB1596" s="34" t="s">
        <v>5437</v>
      </c>
      <c r="AC1596" s="34" t="s">
        <v>4449</v>
      </c>
      <c r="AD1596" s="34" t="s">
        <v>5390</v>
      </c>
      <c r="AE1596" s="34" t="s">
        <v>7550</v>
      </c>
      <c r="AF1596" s="34" t="s">
        <v>4394</v>
      </c>
      <c r="AG1596" s="34" t="s">
        <v>6006</v>
      </c>
      <c r="AH1596" s="34" t="s">
        <v>7551</v>
      </c>
      <c r="AI1596" s="34" t="s">
        <v>3911</v>
      </c>
      <c r="AJ1596" s="34" t="s">
        <v>5028</v>
      </c>
      <c r="AK1596" s="34" t="s">
        <v>3911</v>
      </c>
      <c r="AL1596" s="34" t="s">
        <v>4214</v>
      </c>
      <c r="AM1596" s="40" t="s">
        <v>9</v>
      </c>
      <c r="AP1596" s="34">
        <v>0</v>
      </c>
      <c r="AQ1596" s="34">
        <v>12290</v>
      </c>
      <c r="AR1596" s="34">
        <v>7780</v>
      </c>
      <c r="AT1596" s="44">
        <v>951900</v>
      </c>
      <c r="AU1596" s="44"/>
      <c r="AV1596" s="46">
        <f>ROUND(Товары[[#This Row],[РРЦ финальная, руб.]]/$AU$1,2)</f>
        <v>0</v>
      </c>
      <c r="AW1596" s="45" t="str">
        <f>IFERROR(Товары[[#This Row],[РРЦ, евро]]/Товары[[#This Row],[IRP, Eur]],"-")</f>
        <v>-</v>
      </c>
      <c r="AX1596" s="42">
        <f>IFERROR(VLOOKUP(Товары[[#This Row],[SubGroup]],'Структура цен DIY'!$B:$C,2,FALSE),0)</f>
        <v>0.240370291551394</v>
      </c>
      <c r="AY1596" s="44">
        <v>0</v>
      </c>
    </row>
    <row r="1597" spans="1:51" x14ac:dyDescent="0.25">
      <c r="A1597" s="34">
        <v>1595</v>
      </c>
      <c r="B1597" s="34" t="s">
        <v>54</v>
      </c>
      <c r="C1597" s="110" t="str">
        <f>IFERROR(INDEX(Структура_ассортимента[SuperCategory],MATCH(Товары[[#This Row],[SubGroup]],Структура_ассортимента[Subgroup],0)),"")</f>
        <v>O</v>
      </c>
      <c r="D1597" s="110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97" s="110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97" s="110" t="str">
        <f>IFERROR(INDEX(Структура_ассортимента[Product group],MATCH(Товары[[#This Row],[SubGroup]],Структура_ассортимента[Subgroup],0)),"")</f>
        <v>WPU_P</v>
      </c>
      <c r="G1597" s="110" t="str">
        <f>IFERROR(INDEX(Структура_ассортимента[Product group name ENG],MATCH(Товары[[#This Row],[SubGroup]],Структура_ассортимента[Subgroup],0)),"")</f>
        <v>Watering, Battery, Pumps</v>
      </c>
      <c r="H1597" s="110" t="str">
        <f>IFERROR(INDEX(Структура_ассортимента[Generic Name (long)3],MATCH(Товары[[#This Row],[SubGroup]],Структура_ассортимента[Subgroup],0)),"")</f>
        <v>Насосы аккумуляторные</v>
      </c>
      <c r="I1597" s="36">
        <v>8346</v>
      </c>
      <c r="J1597" s="36" t="str">
        <f>IFERROR(INDEX(Структура_ассортимента[Generic Name (long)],MATCH(Товары[[#This Row],[SubGroup]],Структура_ассортимента[Subgroup],0)),"")</f>
        <v>PUMP</v>
      </c>
      <c r="L1597" s="36">
        <v>967912001</v>
      </c>
      <c r="M1597" s="35" t="s">
        <v>3273</v>
      </c>
      <c r="O1597" s="35" t="s">
        <v>7552</v>
      </c>
      <c r="P1597" s="37" t="s">
        <v>7553</v>
      </c>
      <c r="Q1597" s="34" t="s">
        <v>3549</v>
      </c>
      <c r="R1597" s="34" t="s">
        <v>3540</v>
      </c>
      <c r="S1597" s="47">
        <v>43466</v>
      </c>
      <c r="T1597" s="47">
        <v>0</v>
      </c>
      <c r="U1597" s="47">
        <v>0</v>
      </c>
      <c r="V1597" s="34">
        <v>4078500077767</v>
      </c>
      <c r="W1597" s="34" t="s">
        <v>3546</v>
      </c>
      <c r="X1597" s="34" t="s">
        <v>3551</v>
      </c>
      <c r="Y1597" s="34" t="s">
        <v>3542</v>
      </c>
      <c r="Z1597" s="34">
        <v>1</v>
      </c>
      <c r="AA1597" s="34" t="s">
        <v>5596</v>
      </c>
      <c r="AB1597" s="34" t="s">
        <v>7554</v>
      </c>
      <c r="AC1597" s="34" t="s">
        <v>5584</v>
      </c>
      <c r="AD1597" s="34" t="s">
        <v>5596</v>
      </c>
      <c r="AE1597" s="34" t="s">
        <v>7550</v>
      </c>
      <c r="AF1597" s="34" t="s">
        <v>4394</v>
      </c>
      <c r="AG1597" s="34" t="s">
        <v>3772</v>
      </c>
      <c r="AH1597" s="34" t="s">
        <v>7555</v>
      </c>
      <c r="AI1597" s="34" t="s">
        <v>3911</v>
      </c>
      <c r="AJ1597" s="34" t="s">
        <v>4439</v>
      </c>
      <c r="AK1597" s="34" t="s">
        <v>3911</v>
      </c>
      <c r="AL1597" s="34" t="s">
        <v>4214</v>
      </c>
      <c r="AM1597" s="40" t="s">
        <v>9</v>
      </c>
      <c r="AP1597" s="34">
        <v>0</v>
      </c>
      <c r="AQ1597" s="34">
        <v>12790</v>
      </c>
      <c r="AR1597" s="34">
        <v>8096</v>
      </c>
      <c r="AT1597" s="44">
        <v>990600</v>
      </c>
      <c r="AU1597" s="44"/>
      <c r="AV1597" s="46">
        <f>ROUND(Товары[[#This Row],[РРЦ финальная, руб.]]/$AU$1,2)</f>
        <v>0</v>
      </c>
      <c r="AW1597" s="45" t="str">
        <f>IFERROR(Товары[[#This Row],[РРЦ, евро]]/Товары[[#This Row],[IRP, Eur]],"-")</f>
        <v>-</v>
      </c>
      <c r="AX1597" s="42">
        <f>IFERROR(VLOOKUP(Товары[[#This Row],[SubGroup]],'Структура цен DIY'!$B:$C,2,FALSE),0)</f>
        <v>0.240370291551394</v>
      </c>
      <c r="AY1597" s="44">
        <v>0</v>
      </c>
    </row>
    <row r="1598" spans="1:51" x14ac:dyDescent="0.25">
      <c r="A1598" s="34">
        <v>1596</v>
      </c>
      <c r="B1598" s="34" t="s">
        <v>49</v>
      </c>
      <c r="C1598" s="110" t="str">
        <f>IFERROR(INDEX(Структура_ассортимента[SuperCategory],MATCH(Товары[[#This Row],[SubGroup]],Структура_ассортимента[Subgroup],0)),"")</f>
        <v>W</v>
      </c>
      <c r="D159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59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598" s="110" t="str">
        <f>IFERROR(INDEX(Структура_ассортимента[Product group],MATCH(Товары[[#This Row],[SubGroup]],Структура_ассортимента[Subgroup],0)),"")</f>
        <v>WSS_C</v>
      </c>
      <c r="G1598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598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598" s="36">
        <v>9033</v>
      </c>
      <c r="J1598" s="36" t="str">
        <f>IFERROR(INDEX(Структура_ассортимента[Generic Name (long)],MATCH(Товары[[#This Row],[SubGroup]],Структура_ассортимента[Subgroup],0)),"")</f>
        <v>WATERING SET</v>
      </c>
      <c r="L1598" s="36">
        <v>967035601</v>
      </c>
      <c r="M1598" s="35" t="s">
        <v>3274</v>
      </c>
      <c r="Q1598" s="34" t="s">
        <v>4564</v>
      </c>
      <c r="R1598" s="34" t="s">
        <v>3540</v>
      </c>
      <c r="S1598" s="47">
        <v>40909</v>
      </c>
      <c r="T1598" s="47">
        <v>0</v>
      </c>
      <c r="U1598" s="47">
        <v>0</v>
      </c>
      <c r="V1598" s="34">
        <v>4078500137300</v>
      </c>
      <c r="W1598" s="34" t="s">
        <v>3543</v>
      </c>
      <c r="Y1598" s="34" t="s">
        <v>3542</v>
      </c>
      <c r="Z1598" s="34">
        <v>4</v>
      </c>
      <c r="AA1598" s="34">
        <v>1200</v>
      </c>
      <c r="AB1598" s="34">
        <v>1200</v>
      </c>
      <c r="AC1598" s="34">
        <v>318</v>
      </c>
      <c r="AD1598" s="34">
        <v>1070</v>
      </c>
      <c r="AE1598" s="34">
        <v>390</v>
      </c>
      <c r="AF1598" s="34">
        <v>73</v>
      </c>
      <c r="AG1598" s="34">
        <v>430</v>
      </c>
      <c r="AH1598" s="34">
        <v>12.242000000000001</v>
      </c>
      <c r="AM1598" s="40" t="s">
        <v>8094</v>
      </c>
      <c r="AT1598" s="44">
        <v>0</v>
      </c>
      <c r="AU1598" s="44"/>
      <c r="AV1598" s="46">
        <f>ROUND(Товары[[#This Row],[РРЦ финальная, руб.]]/$AU$1,2)</f>
        <v>0</v>
      </c>
      <c r="AW1598" s="45" t="str">
        <f>IFERROR(Товары[[#This Row],[РРЦ, евро]]/Товары[[#This Row],[IRP, Eur]],"-")</f>
        <v>-</v>
      </c>
      <c r="AX1598" s="42">
        <f>IFERROR(VLOOKUP(Товары[[#This Row],[SubGroup]],'Структура цен DIY'!$B:$C,2,FALSE),0)</f>
        <v>0.30000000000000016</v>
      </c>
      <c r="AY1598" s="44">
        <v>0</v>
      </c>
    </row>
    <row r="1599" spans="1:51" x14ac:dyDescent="0.25">
      <c r="A1599" s="34">
        <v>1597</v>
      </c>
      <c r="B1599" s="34" t="s">
        <v>49</v>
      </c>
      <c r="C1599" s="110" t="str">
        <f>IFERROR(INDEX(Структура_ассортимента[SuperCategory],MATCH(Товары[[#This Row],[SubGroup]],Структура_ассортимента[Subgroup],0)),"")</f>
        <v>W</v>
      </c>
      <c r="D159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59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599" s="110" t="str">
        <f>IFERROR(INDEX(Структура_ассортимента[Product group],MATCH(Товары[[#This Row],[SubGroup]],Структура_ассортимента[Subgroup],0)),"")</f>
        <v>WSC_C</v>
      </c>
      <c r="G1599" s="110" t="str">
        <f>IFERROR(INDEX(Структура_ассортимента[Product group name ENG],MATCH(Товары[[#This Row],[SubGroup]],Структура_ассортимента[Subgroup],0)),"")</f>
        <v>Watering Systems Controls</v>
      </c>
      <c r="H1599" s="110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599" s="36">
        <v>9031</v>
      </c>
      <c r="J1599" s="36" t="str">
        <f>IFERROR(INDEX(Структура_ассортимента[Generic Name (long)],MATCH(Товары[[#This Row],[SubGroup]],Структура_ассортимента[Subgroup],0)),"")</f>
        <v>TIMER</v>
      </c>
      <c r="L1599" s="36">
        <v>900898301</v>
      </c>
      <c r="M1599" s="35" t="s">
        <v>3275</v>
      </c>
      <c r="O1599" s="35" t="s">
        <v>7556</v>
      </c>
      <c r="P1599" s="37" t="s">
        <v>7557</v>
      </c>
      <c r="Q1599" s="34" t="s">
        <v>3652</v>
      </c>
      <c r="R1599" s="34" t="s">
        <v>3540</v>
      </c>
      <c r="S1599" s="47">
        <v>33270</v>
      </c>
      <c r="T1599" s="47">
        <v>44196</v>
      </c>
      <c r="U1599" s="47">
        <v>44196</v>
      </c>
      <c r="V1599" s="34">
        <v>4078500118606</v>
      </c>
      <c r="W1599" s="34" t="s">
        <v>3550</v>
      </c>
      <c r="X1599" s="34" t="s">
        <v>3551</v>
      </c>
      <c r="Y1599" s="34" t="s">
        <v>3542</v>
      </c>
      <c r="Z1599" s="34">
        <v>2</v>
      </c>
      <c r="AA1599" s="34" t="s">
        <v>3728</v>
      </c>
      <c r="AB1599" s="34" t="s">
        <v>3728</v>
      </c>
      <c r="AC1599" s="34" t="s">
        <v>4120</v>
      </c>
      <c r="AD1599" s="34" t="s">
        <v>4120</v>
      </c>
      <c r="AE1599" s="34" t="s">
        <v>4110</v>
      </c>
      <c r="AF1599" s="34" t="s">
        <v>4153</v>
      </c>
      <c r="AG1599" s="34" t="s">
        <v>3801</v>
      </c>
      <c r="AH1599" s="34" t="s">
        <v>7558</v>
      </c>
      <c r="AL1599" s="34">
        <v>576</v>
      </c>
      <c r="AM1599" s="40" t="s">
        <v>9</v>
      </c>
      <c r="AP1599" s="34">
        <v>0</v>
      </c>
      <c r="AQ1599" s="34">
        <v>1290</v>
      </c>
      <c r="AR1599" s="34">
        <v>753</v>
      </c>
      <c r="AT1599" s="44">
        <v>99900</v>
      </c>
      <c r="AU1599" s="44"/>
      <c r="AV1599" s="46">
        <f>ROUND(Товары[[#This Row],[РРЦ финальная, руб.]]/$AU$1,2)</f>
        <v>0</v>
      </c>
      <c r="AW1599" s="45" t="str">
        <f>IFERROR(Товары[[#This Row],[РРЦ, евро]]/Товары[[#This Row],[IRP, Eur]],"-")</f>
        <v>-</v>
      </c>
      <c r="AX1599" s="42">
        <f>IFERROR(VLOOKUP(Товары[[#This Row],[SubGroup]],'Структура цен DIY'!$B:$C,2,FALSE),0)</f>
        <v>0.29999999999999993</v>
      </c>
      <c r="AY1599" s="44">
        <v>0</v>
      </c>
    </row>
    <row r="1600" spans="1:51" x14ac:dyDescent="0.25">
      <c r="A1600" s="34">
        <v>1598</v>
      </c>
      <c r="B1600" s="34" t="s">
        <v>49</v>
      </c>
      <c r="C1600" s="110" t="str">
        <f>IFERROR(INDEX(Структура_ассортимента[SuperCategory],MATCH(Товары[[#This Row],[SubGroup]],Структура_ассортимента[Subgroup],0)),"")</f>
        <v>W</v>
      </c>
      <c r="D160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0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00" s="110" t="str">
        <f>IFERROR(INDEX(Структура_ассортимента[Product group],MATCH(Товары[[#This Row],[SubGroup]],Структура_ассортимента[Subgroup],0)),"")</f>
        <v>WSC_C</v>
      </c>
      <c r="G1600" s="110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00" s="110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00" s="36">
        <v>9031</v>
      </c>
      <c r="J1600" s="36" t="str">
        <f>IFERROR(INDEX(Структура_ассортимента[Generic Name (long)],MATCH(Товары[[#This Row],[SubGroup]],Структура_ассортимента[Subgroup],0)),"")</f>
        <v>TIMER</v>
      </c>
      <c r="L1600" s="36">
        <v>900898601</v>
      </c>
      <c r="M1600" s="35" t="s">
        <v>3276</v>
      </c>
      <c r="O1600" s="35" t="s">
        <v>7559</v>
      </c>
      <c r="P1600" s="37" t="s">
        <v>7560</v>
      </c>
      <c r="Q1600" s="34" t="s">
        <v>3652</v>
      </c>
      <c r="R1600" s="34" t="s">
        <v>3540</v>
      </c>
      <c r="S1600" s="47">
        <v>38991</v>
      </c>
      <c r="T1600" s="47">
        <v>44196</v>
      </c>
      <c r="U1600" s="47">
        <v>44196</v>
      </c>
      <c r="V1600" s="34">
        <v>4078500118804</v>
      </c>
      <c r="W1600" s="34" t="s">
        <v>3543</v>
      </c>
      <c r="X1600" s="34" t="s">
        <v>3579</v>
      </c>
      <c r="Y1600" s="34" t="s">
        <v>3542</v>
      </c>
      <c r="Z1600" s="34">
        <v>2</v>
      </c>
      <c r="AA1600" s="34" t="s">
        <v>7561</v>
      </c>
      <c r="AB1600" s="34" t="s">
        <v>7561</v>
      </c>
      <c r="AC1600" s="34" t="s">
        <v>7562</v>
      </c>
      <c r="AD1600" s="34" t="s">
        <v>7562</v>
      </c>
      <c r="AE1600" s="34" t="s">
        <v>5613</v>
      </c>
      <c r="AF1600" s="34" t="s">
        <v>5006</v>
      </c>
      <c r="AG1600" s="34" t="s">
        <v>3712</v>
      </c>
      <c r="AH1600" s="34" t="s">
        <v>7563</v>
      </c>
      <c r="AL1600" s="34">
        <v>304</v>
      </c>
      <c r="AM1600" s="40" t="s">
        <v>9</v>
      </c>
      <c r="AP1600" s="34">
        <v>0</v>
      </c>
      <c r="AQ1600" s="34">
        <v>7590</v>
      </c>
      <c r="AR1600" s="34">
        <v>4428</v>
      </c>
      <c r="AT1600" s="44">
        <v>587900</v>
      </c>
      <c r="AU1600" s="44"/>
      <c r="AV1600" s="46">
        <f>ROUND(Товары[[#This Row],[РРЦ финальная, руб.]]/$AU$1,2)</f>
        <v>0</v>
      </c>
      <c r="AW1600" s="45" t="str">
        <f>IFERROR(Товары[[#This Row],[РРЦ, евро]]/Товары[[#This Row],[IRP, Eur]],"-")</f>
        <v>-</v>
      </c>
      <c r="AX1600" s="42">
        <f>IFERROR(VLOOKUP(Товары[[#This Row],[SubGroup]],'Структура цен DIY'!$B:$C,2,FALSE),0)</f>
        <v>0.29999999999999993</v>
      </c>
      <c r="AY1600" s="44">
        <v>0</v>
      </c>
    </row>
    <row r="1601" spans="1:51" x14ac:dyDescent="0.25">
      <c r="A1601" s="34">
        <v>1599</v>
      </c>
      <c r="B1601" s="34" t="s">
        <v>49</v>
      </c>
      <c r="C1601" s="110" t="str">
        <f>IFERROR(INDEX(Структура_ассортимента[SuperCategory],MATCH(Товары[[#This Row],[SubGroup]],Структура_ассортимента[Subgroup],0)),"")</f>
        <v>W</v>
      </c>
      <c r="D160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0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01" s="110" t="str">
        <f>IFERROR(INDEX(Структура_ассортимента[Product group],MATCH(Товары[[#This Row],[SubGroup]],Структура_ассортимента[Subgroup],0)),"")</f>
        <v>WSC_C</v>
      </c>
      <c r="G1601" s="110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01" s="110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01" s="36">
        <v>9031</v>
      </c>
      <c r="J1601" s="36" t="str">
        <f>IFERROR(INDEX(Структура_ассортимента[Generic Name (long)],MATCH(Товары[[#This Row],[SubGroup]],Структура_ассортимента[Subgroup],0)),"")</f>
        <v>TIMER</v>
      </c>
      <c r="L1601" s="36">
        <v>966769301</v>
      </c>
      <c r="M1601" s="35" t="s">
        <v>3277</v>
      </c>
      <c r="O1601" s="35" t="s">
        <v>7564</v>
      </c>
      <c r="P1601" s="37" t="s">
        <v>7565</v>
      </c>
      <c r="Q1601" s="34" t="s">
        <v>3549</v>
      </c>
      <c r="R1601" s="34" t="s">
        <v>3540</v>
      </c>
      <c r="S1601" s="47">
        <v>40817</v>
      </c>
      <c r="T1601" s="47">
        <v>0</v>
      </c>
      <c r="U1601" s="47">
        <v>0</v>
      </c>
      <c r="V1601" s="34">
        <v>4078500119795</v>
      </c>
      <c r="W1601" s="34" t="s">
        <v>3547</v>
      </c>
      <c r="X1601" s="34" t="s">
        <v>3704</v>
      </c>
      <c r="Y1601" s="34" t="s">
        <v>3542</v>
      </c>
      <c r="Z1601" s="34">
        <v>2</v>
      </c>
      <c r="AA1601" s="34" t="s">
        <v>7566</v>
      </c>
      <c r="AB1601" s="34" t="s">
        <v>7566</v>
      </c>
      <c r="AC1601" s="34" t="s">
        <v>3598</v>
      </c>
      <c r="AD1601" s="34" t="s">
        <v>3598</v>
      </c>
      <c r="AE1601" s="34" t="s">
        <v>3997</v>
      </c>
      <c r="AF1601" s="34" t="s">
        <v>4220</v>
      </c>
      <c r="AG1601" s="34" t="s">
        <v>5086</v>
      </c>
      <c r="AH1601" s="34" t="s">
        <v>7567</v>
      </c>
      <c r="AI1601" s="34" t="s">
        <v>3764</v>
      </c>
      <c r="AJ1601" s="34" t="s">
        <v>5509</v>
      </c>
      <c r="AK1601" s="34" t="s">
        <v>5086</v>
      </c>
      <c r="AL1601" s="34">
        <v>100</v>
      </c>
      <c r="AM1601" s="40" t="s">
        <v>9</v>
      </c>
      <c r="AP1601" s="34">
        <v>0</v>
      </c>
      <c r="AQ1601" s="34">
        <v>9590</v>
      </c>
      <c r="AR1601" s="34">
        <v>5594</v>
      </c>
      <c r="AT1601" s="44">
        <v>742800</v>
      </c>
      <c r="AU1601" s="44"/>
      <c r="AV1601" s="46">
        <f>ROUND(Товары[[#This Row],[РРЦ финальная, руб.]]/$AU$1,2)</f>
        <v>0</v>
      </c>
      <c r="AW1601" s="45" t="str">
        <f>IFERROR(Товары[[#This Row],[РРЦ, евро]]/Товары[[#This Row],[IRP, Eur]],"-")</f>
        <v>-</v>
      </c>
      <c r="AX1601" s="42">
        <f>IFERROR(VLOOKUP(Товары[[#This Row],[SubGroup]],'Структура цен DIY'!$B:$C,2,FALSE),0)</f>
        <v>0.29999999999999993</v>
      </c>
      <c r="AY1601" s="44">
        <v>0</v>
      </c>
    </row>
    <row r="1602" spans="1:51" x14ac:dyDescent="0.25">
      <c r="A1602" s="34">
        <v>1600</v>
      </c>
      <c r="B1602" s="34" t="s">
        <v>49</v>
      </c>
      <c r="C1602" s="110" t="str">
        <f>IFERROR(INDEX(Структура_ассортимента[SuperCategory],MATCH(Товары[[#This Row],[SubGroup]],Структура_ассортимента[Subgroup],0)),"")</f>
        <v>W</v>
      </c>
      <c r="D160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0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02" s="110" t="str">
        <f>IFERROR(INDEX(Структура_ассортимента[Product group],MATCH(Товары[[#This Row],[SubGroup]],Структура_ассортимента[Subgroup],0)),"")</f>
        <v>WSC_C</v>
      </c>
      <c r="G1602" s="110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02" s="110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02" s="36">
        <v>9031</v>
      </c>
      <c r="J1602" s="36" t="str">
        <f>IFERROR(INDEX(Структура_ассортимента[Generic Name (long)],MATCH(Товары[[#This Row],[SubGroup]],Структура_ассортимента[Subgroup],0)),"")</f>
        <v>TIMER</v>
      </c>
      <c r="L1602" s="36">
        <v>900901901</v>
      </c>
      <c r="M1602" s="35" t="s">
        <v>3278</v>
      </c>
      <c r="O1602" s="35" t="s">
        <v>7568</v>
      </c>
      <c r="P1602" s="37" t="s">
        <v>7569</v>
      </c>
      <c r="Q1602" s="34" t="s">
        <v>3652</v>
      </c>
      <c r="R1602" s="34" t="s">
        <v>3540</v>
      </c>
      <c r="S1602" s="47">
        <v>38626</v>
      </c>
      <c r="T1602" s="47">
        <v>0</v>
      </c>
      <c r="U1602" s="47">
        <v>44196</v>
      </c>
      <c r="V1602" s="34">
        <v>4078500125093</v>
      </c>
      <c r="W1602" s="34" t="s">
        <v>3550</v>
      </c>
      <c r="X1602" s="34" t="s">
        <v>7570</v>
      </c>
      <c r="Y1602" s="34" t="s">
        <v>3542</v>
      </c>
      <c r="Z1602" s="34">
        <v>2</v>
      </c>
      <c r="AA1602" s="34" t="s">
        <v>3670</v>
      </c>
      <c r="AB1602" s="34" t="s">
        <v>3670</v>
      </c>
      <c r="AC1602" s="34" t="s">
        <v>4101</v>
      </c>
      <c r="AD1602" s="34" t="s">
        <v>4101</v>
      </c>
      <c r="AE1602" s="34" t="s">
        <v>3866</v>
      </c>
      <c r="AF1602" s="34" t="s">
        <v>4468</v>
      </c>
      <c r="AG1602" s="34" t="s">
        <v>3866</v>
      </c>
      <c r="AH1602" s="34" t="s">
        <v>7571</v>
      </c>
      <c r="AI1602" s="34" t="s">
        <v>3566</v>
      </c>
      <c r="AJ1602" s="34" t="s">
        <v>4505</v>
      </c>
      <c r="AK1602" s="34" t="s">
        <v>3800</v>
      </c>
      <c r="AL1602" s="34">
        <v>1140</v>
      </c>
      <c r="AM1602" s="40" t="s">
        <v>9</v>
      </c>
      <c r="AP1602" s="34">
        <v>0</v>
      </c>
      <c r="AQ1602" s="34">
        <v>5490</v>
      </c>
      <c r="AR1602" s="34">
        <v>3203</v>
      </c>
      <c r="AT1602" s="44">
        <v>425200</v>
      </c>
      <c r="AU1602" s="44"/>
      <c r="AV1602" s="46">
        <f>ROUND(Товары[[#This Row],[РРЦ финальная, руб.]]/$AU$1,2)</f>
        <v>0</v>
      </c>
      <c r="AW1602" s="45" t="str">
        <f>IFERROR(Товары[[#This Row],[РРЦ, евро]]/Товары[[#This Row],[IRP, Eur]],"-")</f>
        <v>-</v>
      </c>
      <c r="AX1602" s="42">
        <f>IFERROR(VLOOKUP(Товары[[#This Row],[SubGroup]],'Структура цен DIY'!$B:$C,2,FALSE),0)</f>
        <v>0.29999999999999993</v>
      </c>
      <c r="AY1602" s="44">
        <v>0</v>
      </c>
    </row>
    <row r="1603" spans="1:51" x14ac:dyDescent="0.25">
      <c r="A1603" s="34">
        <v>1601</v>
      </c>
      <c r="B1603" s="34" t="s">
        <v>49</v>
      </c>
      <c r="C1603" s="110" t="str">
        <f>IFERROR(INDEX(Структура_ассортимента[SuperCategory],MATCH(Товары[[#This Row],[SubGroup]],Структура_ассортимента[Subgroup],0)),"")</f>
        <v>W</v>
      </c>
      <c r="D160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0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03" s="110" t="str">
        <f>IFERROR(INDEX(Структура_ассортимента[Product group],MATCH(Товары[[#This Row],[SubGroup]],Структура_ассортимента[Subgroup],0)),"")</f>
        <v>WSC_C</v>
      </c>
      <c r="G1603" s="110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03" s="110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03" s="36">
        <v>9031</v>
      </c>
      <c r="J1603" s="36" t="str">
        <f>IFERROR(INDEX(Структура_ассортимента[Generic Name (long)],MATCH(Товары[[#This Row],[SubGroup]],Структура_ассортимента[Subgroup],0)),"")</f>
        <v>TIMER</v>
      </c>
      <c r="L1603" s="36">
        <v>900902101</v>
      </c>
      <c r="M1603" s="35" t="s">
        <v>3279</v>
      </c>
      <c r="O1603" s="35" t="s">
        <v>7572</v>
      </c>
      <c r="P1603" s="37" t="s">
        <v>7573</v>
      </c>
      <c r="Q1603" s="34" t="s">
        <v>3652</v>
      </c>
      <c r="R1603" s="34" t="s">
        <v>3540</v>
      </c>
      <c r="S1603" s="47">
        <v>38626</v>
      </c>
      <c r="T1603" s="47">
        <v>0</v>
      </c>
      <c r="U1603" s="47">
        <v>44196</v>
      </c>
      <c r="V1603" s="34">
        <v>4078500125192</v>
      </c>
      <c r="W1603" s="34" t="s">
        <v>3543</v>
      </c>
      <c r="X1603" s="34" t="s">
        <v>3579</v>
      </c>
      <c r="Y1603" s="34" t="s">
        <v>3542</v>
      </c>
      <c r="Z1603" s="34">
        <v>2</v>
      </c>
      <c r="AA1603" s="34" t="s">
        <v>4673</v>
      </c>
      <c r="AB1603" s="34" t="s">
        <v>4673</v>
      </c>
      <c r="AC1603" s="34" t="s">
        <v>3884</v>
      </c>
      <c r="AD1603" s="34" t="s">
        <v>3884</v>
      </c>
      <c r="AE1603" s="34" t="s">
        <v>4384</v>
      </c>
      <c r="AF1603" s="34" t="s">
        <v>4003</v>
      </c>
      <c r="AG1603" s="34" t="s">
        <v>4272</v>
      </c>
      <c r="AH1603" s="34" t="s">
        <v>7574</v>
      </c>
      <c r="AI1603" s="34" t="s">
        <v>4729</v>
      </c>
      <c r="AJ1603" s="34" t="s">
        <v>3978</v>
      </c>
      <c r="AK1603" s="34" t="s">
        <v>4909</v>
      </c>
      <c r="AL1603" s="34">
        <v>264</v>
      </c>
      <c r="AM1603" s="40" t="s">
        <v>9</v>
      </c>
      <c r="AP1603" s="34">
        <v>0</v>
      </c>
      <c r="AQ1603" s="34">
        <v>8190</v>
      </c>
      <c r="AR1603" s="34">
        <v>4778</v>
      </c>
      <c r="AT1603" s="44">
        <v>634400</v>
      </c>
      <c r="AU1603" s="44"/>
      <c r="AV1603" s="46">
        <f>ROUND(Товары[[#This Row],[РРЦ финальная, руб.]]/$AU$1,2)</f>
        <v>0</v>
      </c>
      <c r="AW1603" s="45" t="str">
        <f>IFERROR(Товары[[#This Row],[РРЦ, евро]]/Товары[[#This Row],[IRP, Eur]],"-")</f>
        <v>-</v>
      </c>
      <c r="AX1603" s="42">
        <f>IFERROR(VLOOKUP(Товары[[#This Row],[SubGroup]],'Структура цен DIY'!$B:$C,2,FALSE),0)</f>
        <v>0.29999999999999993</v>
      </c>
      <c r="AY1603" s="44">
        <v>0</v>
      </c>
    </row>
    <row r="1604" spans="1:51" x14ac:dyDescent="0.25">
      <c r="A1604" s="34">
        <v>1602</v>
      </c>
      <c r="B1604" s="34" t="s">
        <v>49</v>
      </c>
      <c r="C1604" s="110" t="str">
        <f>IFERROR(INDEX(Структура_ассортимента[SuperCategory],MATCH(Товары[[#This Row],[SubGroup]],Структура_ассортимента[Subgroup],0)),"")</f>
        <v>W</v>
      </c>
      <c r="D160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0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04" s="110" t="str">
        <f>IFERROR(INDEX(Структура_ассортимента[Product group],MATCH(Товары[[#This Row],[SubGroup]],Структура_ассортимента[Subgroup],0)),"")</f>
        <v>WSC_C</v>
      </c>
      <c r="G1604" s="110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04" s="110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04" s="36">
        <v>9031</v>
      </c>
      <c r="J1604" s="36" t="str">
        <f>IFERROR(INDEX(Структура_ассортимента[Generic Name (long)],MATCH(Товары[[#This Row],[SubGroup]],Структура_ассортимента[Subgroup],0)),"")</f>
        <v>TIMER</v>
      </c>
      <c r="L1604" s="36">
        <v>900902601</v>
      </c>
      <c r="M1604" s="35" t="s">
        <v>3280</v>
      </c>
      <c r="O1604" s="35" t="s">
        <v>7575</v>
      </c>
      <c r="P1604" s="37" t="s">
        <v>7576</v>
      </c>
      <c r="Q1604" s="34" t="s">
        <v>3549</v>
      </c>
      <c r="R1604" s="34" t="s">
        <v>3540</v>
      </c>
      <c r="S1604" s="47">
        <v>37895</v>
      </c>
      <c r="T1604" s="47">
        <v>0</v>
      </c>
      <c r="U1604" s="47">
        <v>0</v>
      </c>
      <c r="V1604" s="34">
        <v>4078500125499</v>
      </c>
      <c r="W1604" s="34" t="s">
        <v>3543</v>
      </c>
      <c r="X1604" s="34" t="s">
        <v>3579</v>
      </c>
      <c r="Y1604" s="34" t="s">
        <v>3542</v>
      </c>
      <c r="Z1604" s="34">
        <v>2</v>
      </c>
      <c r="AA1604" s="34" t="s">
        <v>4201</v>
      </c>
      <c r="AB1604" s="34" t="s">
        <v>4201</v>
      </c>
      <c r="AC1604" s="34" t="s">
        <v>4371</v>
      </c>
      <c r="AD1604" s="34" t="s">
        <v>4371</v>
      </c>
      <c r="AE1604" s="34" t="s">
        <v>3836</v>
      </c>
      <c r="AF1604" s="34" t="s">
        <v>3877</v>
      </c>
      <c r="AG1604" s="34" t="s">
        <v>4110</v>
      </c>
      <c r="AH1604" s="34" t="s">
        <v>7577</v>
      </c>
      <c r="AI1604" s="34" t="s">
        <v>3580</v>
      </c>
      <c r="AJ1604" s="34" t="s">
        <v>5919</v>
      </c>
      <c r="AK1604" s="34" t="s">
        <v>3984</v>
      </c>
      <c r="AL1604" s="34">
        <v>68</v>
      </c>
      <c r="AM1604" s="40" t="s">
        <v>9</v>
      </c>
      <c r="AP1604" s="34">
        <v>0</v>
      </c>
      <c r="AQ1604" s="34">
        <v>5490</v>
      </c>
      <c r="AR1604" s="34">
        <v>3203</v>
      </c>
      <c r="AT1604" s="44">
        <v>425200</v>
      </c>
      <c r="AU1604" s="44"/>
      <c r="AV1604" s="46">
        <f>ROUND(Товары[[#This Row],[РРЦ финальная, руб.]]/$AU$1,2)</f>
        <v>0</v>
      </c>
      <c r="AW1604" s="45" t="str">
        <f>IFERROR(Товары[[#This Row],[РРЦ, евро]]/Товары[[#This Row],[IRP, Eur]],"-")</f>
        <v>-</v>
      </c>
      <c r="AX1604" s="42">
        <f>IFERROR(VLOOKUP(Товары[[#This Row],[SubGroup]],'Структура цен DIY'!$B:$C,2,FALSE),0)</f>
        <v>0.29999999999999993</v>
      </c>
      <c r="AY1604" s="44">
        <v>0</v>
      </c>
    </row>
    <row r="1605" spans="1:51" x14ac:dyDescent="0.25">
      <c r="A1605" s="34">
        <v>1603</v>
      </c>
      <c r="B1605" s="34" t="s">
        <v>49</v>
      </c>
      <c r="C1605" s="110" t="str">
        <f>IFERROR(INDEX(Структура_ассортимента[SuperCategory],MATCH(Товары[[#This Row],[SubGroup]],Структура_ассортимента[Subgroup],0)),"")</f>
        <v>W</v>
      </c>
      <c r="D160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0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05" s="110" t="str">
        <f>IFERROR(INDEX(Структура_ассортимента[Product group],MATCH(Товары[[#This Row],[SubGroup]],Структура_ассортимента[Subgroup],0)),"")</f>
        <v>WSC_C</v>
      </c>
      <c r="G1605" s="110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05" s="110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05" s="36">
        <v>9031</v>
      </c>
      <c r="J1605" s="36" t="str">
        <f>IFERROR(INDEX(Структура_ассортимента[Generic Name (long)],MATCH(Товары[[#This Row],[SubGroup]],Структура_ассортимента[Subgroup],0)),"")</f>
        <v>TIMER</v>
      </c>
      <c r="L1605" s="36">
        <v>900902801</v>
      </c>
      <c r="M1605" s="35" t="s">
        <v>3281</v>
      </c>
      <c r="O1605" s="35" t="s">
        <v>7578</v>
      </c>
      <c r="P1605" s="37" t="s">
        <v>7579</v>
      </c>
      <c r="Q1605" s="34" t="s">
        <v>3549</v>
      </c>
      <c r="R1605" s="34" t="s">
        <v>3540</v>
      </c>
      <c r="S1605" s="47">
        <v>37895</v>
      </c>
      <c r="T1605" s="47">
        <v>0</v>
      </c>
      <c r="U1605" s="47">
        <v>0</v>
      </c>
      <c r="V1605" s="34">
        <v>4078500125598</v>
      </c>
      <c r="W1605" s="34" t="s">
        <v>3543</v>
      </c>
      <c r="X1605" s="34" t="s">
        <v>3579</v>
      </c>
      <c r="Y1605" s="34" t="s">
        <v>3542</v>
      </c>
      <c r="Z1605" s="34">
        <v>2</v>
      </c>
      <c r="AA1605" s="34" t="s">
        <v>5058</v>
      </c>
      <c r="AB1605" s="34" t="s">
        <v>5058</v>
      </c>
      <c r="AC1605" s="34" t="s">
        <v>7580</v>
      </c>
      <c r="AD1605" s="34" t="s">
        <v>7580</v>
      </c>
      <c r="AE1605" s="34" t="s">
        <v>5048</v>
      </c>
      <c r="AF1605" s="34" t="s">
        <v>3655</v>
      </c>
      <c r="AG1605" s="34" t="s">
        <v>4257</v>
      </c>
      <c r="AH1605" s="34" t="s">
        <v>7581</v>
      </c>
      <c r="AI1605" s="34" t="s">
        <v>3684</v>
      </c>
      <c r="AJ1605" s="34" t="s">
        <v>5919</v>
      </c>
      <c r="AK1605" s="34" t="s">
        <v>4941</v>
      </c>
      <c r="AL1605" s="34">
        <v>24</v>
      </c>
      <c r="AM1605" s="40" t="s">
        <v>9</v>
      </c>
      <c r="AP1605" s="34">
        <v>0</v>
      </c>
      <c r="AQ1605" s="34">
        <v>10490</v>
      </c>
      <c r="AR1605" s="34">
        <v>6119</v>
      </c>
      <c r="AT1605" s="44">
        <v>812500</v>
      </c>
      <c r="AU1605" s="44"/>
      <c r="AV1605" s="46">
        <f>ROUND(Товары[[#This Row],[РРЦ финальная, руб.]]/$AU$1,2)</f>
        <v>0</v>
      </c>
      <c r="AW1605" s="45" t="str">
        <f>IFERROR(Товары[[#This Row],[РРЦ, евро]]/Товары[[#This Row],[IRP, Eur]],"-")</f>
        <v>-</v>
      </c>
      <c r="AX1605" s="42">
        <f>IFERROR(VLOOKUP(Товары[[#This Row],[SubGroup]],'Структура цен DIY'!$B:$C,2,FALSE),0)</f>
        <v>0.29999999999999993</v>
      </c>
      <c r="AY1605" s="44">
        <v>0</v>
      </c>
    </row>
    <row r="1606" spans="1:51" x14ac:dyDescent="0.25">
      <c r="A1606" s="34">
        <v>1604</v>
      </c>
      <c r="B1606" s="34" t="s">
        <v>49</v>
      </c>
      <c r="C1606" s="110" t="str">
        <f>IFERROR(INDEX(Структура_ассортимента[SuperCategory],MATCH(Товары[[#This Row],[SubGroup]],Структура_ассортимента[Subgroup],0)),"")</f>
        <v>W</v>
      </c>
      <c r="D160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0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06" s="110" t="str">
        <f>IFERROR(INDEX(Структура_ассортимента[Product group],MATCH(Товары[[#This Row],[SubGroup]],Структура_ассортимента[Subgroup],0)),"")</f>
        <v>WSC_C</v>
      </c>
      <c r="G1606" s="110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06" s="110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06" s="36">
        <v>9031</v>
      </c>
      <c r="J1606" s="36" t="str">
        <f>IFERROR(INDEX(Структура_ассортимента[Generic Name (long)],MATCH(Товары[[#This Row],[SubGroup]],Структура_ассортимента[Subgroup],0)),"")</f>
        <v>TIMER</v>
      </c>
      <c r="L1606" s="36">
        <v>900902701</v>
      </c>
      <c r="M1606" s="35" t="s">
        <v>3282</v>
      </c>
      <c r="Q1606" s="34" t="s">
        <v>3713</v>
      </c>
      <c r="R1606" s="34" t="s">
        <v>3540</v>
      </c>
      <c r="S1606" s="47">
        <v>37895</v>
      </c>
      <c r="T1606" s="47">
        <v>0</v>
      </c>
      <c r="U1606" s="47">
        <v>0</v>
      </c>
      <c r="V1606" s="34">
        <v>4078500125505</v>
      </c>
      <c r="W1606" s="34" t="s">
        <v>3543</v>
      </c>
      <c r="Y1606" s="34" t="s">
        <v>3542</v>
      </c>
      <c r="Z1606" s="34">
        <v>2</v>
      </c>
      <c r="AA1606" s="34" t="s">
        <v>5058</v>
      </c>
      <c r="AB1606" s="34" t="s">
        <v>5058</v>
      </c>
      <c r="AC1606" s="34" t="s">
        <v>7580</v>
      </c>
      <c r="AD1606" s="34" t="s">
        <v>7580</v>
      </c>
      <c r="AE1606" s="34" t="s">
        <v>5048</v>
      </c>
      <c r="AF1606" s="34" t="s">
        <v>3655</v>
      </c>
      <c r="AG1606" s="34" t="s">
        <v>4257</v>
      </c>
      <c r="AH1606" s="34" t="s">
        <v>7581</v>
      </c>
      <c r="AL1606" s="34">
        <v>24</v>
      </c>
      <c r="AM1606" s="40" t="s">
        <v>8094</v>
      </c>
      <c r="AT1606" s="44">
        <v>0</v>
      </c>
      <c r="AU1606" s="44"/>
      <c r="AV1606" s="46">
        <f>ROUND(Товары[[#This Row],[РРЦ финальная, руб.]]/$AU$1,2)</f>
        <v>0</v>
      </c>
      <c r="AW1606" s="45" t="str">
        <f>IFERROR(Товары[[#This Row],[РРЦ, евро]]/Товары[[#This Row],[IRP, Eur]],"-")</f>
        <v>-</v>
      </c>
      <c r="AX1606" s="42">
        <f>IFERROR(VLOOKUP(Товары[[#This Row],[SubGroup]],'Структура цен DIY'!$B:$C,2,FALSE),0)</f>
        <v>0.29999999999999993</v>
      </c>
      <c r="AY1606" s="44">
        <v>0</v>
      </c>
    </row>
    <row r="1607" spans="1:51" x14ac:dyDescent="0.25">
      <c r="A1607" s="34">
        <v>1605</v>
      </c>
      <c r="B1607" s="34" t="s">
        <v>49</v>
      </c>
      <c r="C1607" s="110" t="str">
        <f>IFERROR(INDEX(Структура_ассортимента[SuperCategory],MATCH(Товары[[#This Row],[SubGroup]],Структура_ассортимента[Subgroup],0)),"")</f>
        <v>W</v>
      </c>
      <c r="D160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0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07" s="110" t="str">
        <f>IFERROR(INDEX(Структура_ассортимента[Product group],MATCH(Товары[[#This Row],[SubGroup]],Структура_ассортимента[Subgroup],0)),"")</f>
        <v>WSC_C</v>
      </c>
      <c r="G1607" s="110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07" s="110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07" s="36">
        <v>9031</v>
      </c>
      <c r="J1607" s="36" t="str">
        <f>IFERROR(INDEX(Структура_ассортимента[Generic Name (long)],MATCH(Товары[[#This Row],[SubGroup]],Структура_ассортимента[Subgroup],0)),"")</f>
        <v>TIMER</v>
      </c>
      <c r="L1607" s="36">
        <v>900904201</v>
      </c>
      <c r="M1607" s="35" t="s">
        <v>3283</v>
      </c>
      <c r="O1607" s="35" t="s">
        <v>7582</v>
      </c>
      <c r="P1607" s="37" t="s">
        <v>7583</v>
      </c>
      <c r="Q1607" s="34" t="s">
        <v>3549</v>
      </c>
      <c r="R1607" s="34" t="s">
        <v>3540</v>
      </c>
      <c r="S1607" s="47">
        <v>37204</v>
      </c>
      <c r="T1607" s="47">
        <v>0</v>
      </c>
      <c r="U1607" s="47">
        <v>0</v>
      </c>
      <c r="V1607" s="34">
        <v>4078500127875</v>
      </c>
      <c r="W1607" s="34" t="s">
        <v>3543</v>
      </c>
      <c r="X1607" s="34" t="s">
        <v>3579</v>
      </c>
      <c r="Y1607" s="34" t="s">
        <v>3542</v>
      </c>
      <c r="Z1607" s="34">
        <v>4</v>
      </c>
      <c r="AA1607" s="34" t="s">
        <v>4542</v>
      </c>
      <c r="AB1607" s="34" t="s">
        <v>4542</v>
      </c>
      <c r="AC1607" s="34" t="s">
        <v>4673</v>
      </c>
      <c r="AD1607" s="34" t="s">
        <v>4673</v>
      </c>
      <c r="AE1607" s="34" t="s">
        <v>3611</v>
      </c>
      <c r="AF1607" s="34" t="s">
        <v>4003</v>
      </c>
      <c r="AG1607" s="34" t="s">
        <v>5667</v>
      </c>
      <c r="AH1607" s="34" t="s">
        <v>7584</v>
      </c>
      <c r="AI1607" s="34" t="s">
        <v>3566</v>
      </c>
      <c r="AJ1607" s="34" t="s">
        <v>3560</v>
      </c>
      <c r="AK1607" s="34" t="s">
        <v>3800</v>
      </c>
      <c r="AL1607" s="34">
        <v>340</v>
      </c>
      <c r="AM1607" s="40" t="s">
        <v>9</v>
      </c>
      <c r="AP1607" s="34">
        <v>0</v>
      </c>
      <c r="AQ1607" s="34">
        <v>5290</v>
      </c>
      <c r="AR1607" s="34">
        <v>3086</v>
      </c>
      <c r="AT1607" s="44">
        <v>409700</v>
      </c>
      <c r="AU1607" s="44"/>
      <c r="AV1607" s="46">
        <f>ROUND(Товары[[#This Row],[РРЦ финальная, руб.]]/$AU$1,2)</f>
        <v>0</v>
      </c>
      <c r="AW1607" s="45" t="str">
        <f>IFERROR(Товары[[#This Row],[РРЦ, евро]]/Товары[[#This Row],[IRP, Eur]],"-")</f>
        <v>-</v>
      </c>
      <c r="AX1607" s="42">
        <f>IFERROR(VLOOKUP(Товары[[#This Row],[SubGroup]],'Структура цен DIY'!$B:$C,2,FALSE),0)</f>
        <v>0.29999999999999993</v>
      </c>
      <c r="AY1607" s="44">
        <v>0</v>
      </c>
    </row>
    <row r="1608" spans="1:51" x14ac:dyDescent="0.25">
      <c r="A1608" s="34">
        <v>1606</v>
      </c>
      <c r="B1608" s="34" t="s">
        <v>49</v>
      </c>
      <c r="C1608" s="110" t="str">
        <f>IFERROR(INDEX(Структура_ассортимента[SuperCategory],MATCH(Товары[[#This Row],[SubGroup]],Структура_ассортимента[Subgroup],0)),"")</f>
        <v>W</v>
      </c>
      <c r="D160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0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08" s="110" t="str">
        <f>IFERROR(INDEX(Структура_ассортимента[Product group],MATCH(Товары[[#This Row],[SubGroup]],Структура_ассортимента[Subgroup],0)),"")</f>
        <v>WSC_C</v>
      </c>
      <c r="G1608" s="110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08" s="110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08" s="36">
        <v>9031</v>
      </c>
      <c r="J1608" s="36" t="str">
        <f>IFERROR(INDEX(Структура_ассортимента[Generic Name (long)],MATCH(Товары[[#This Row],[SubGroup]],Структура_ассортимента[Subgroup],0)),"")</f>
        <v>TIMER</v>
      </c>
      <c r="L1608" s="36">
        <v>900904301</v>
      </c>
      <c r="M1608" s="35" t="s">
        <v>3284</v>
      </c>
      <c r="O1608" s="35" t="s">
        <v>7585</v>
      </c>
      <c r="P1608" s="37" t="s">
        <v>7586</v>
      </c>
      <c r="Q1608" s="34" t="s">
        <v>3549</v>
      </c>
      <c r="R1608" s="34" t="s">
        <v>3540</v>
      </c>
      <c r="S1608" s="47">
        <v>36845</v>
      </c>
      <c r="T1608" s="47">
        <v>0</v>
      </c>
      <c r="U1608" s="47">
        <v>0</v>
      </c>
      <c r="V1608" s="34">
        <v>4078500128001</v>
      </c>
      <c r="W1608" s="34" t="s">
        <v>3550</v>
      </c>
      <c r="X1608" s="34" t="s">
        <v>3579</v>
      </c>
      <c r="Y1608" s="34" t="s">
        <v>3542</v>
      </c>
      <c r="Z1608" s="34">
        <v>4</v>
      </c>
      <c r="AA1608" s="34" t="s">
        <v>7587</v>
      </c>
      <c r="AB1608" s="34" t="s">
        <v>7587</v>
      </c>
      <c r="AC1608" s="34" t="s">
        <v>4371</v>
      </c>
      <c r="AD1608" s="34" t="s">
        <v>4371</v>
      </c>
      <c r="AE1608" s="34" t="s">
        <v>5028</v>
      </c>
      <c r="AF1608" s="34" t="s">
        <v>3894</v>
      </c>
      <c r="AG1608" s="34" t="s">
        <v>4472</v>
      </c>
      <c r="AH1608" s="34" t="s">
        <v>7588</v>
      </c>
      <c r="AL1608" s="34">
        <v>304</v>
      </c>
      <c r="AM1608" s="40" t="s">
        <v>9</v>
      </c>
      <c r="AP1608" s="34">
        <v>0</v>
      </c>
      <c r="AQ1608" s="34">
        <v>6290</v>
      </c>
      <c r="AR1608" s="34">
        <v>3669</v>
      </c>
      <c r="AT1608" s="44">
        <v>487200</v>
      </c>
      <c r="AU1608" s="44"/>
      <c r="AV1608" s="46">
        <f>ROUND(Товары[[#This Row],[РРЦ финальная, руб.]]/$AU$1,2)</f>
        <v>0</v>
      </c>
      <c r="AW1608" s="45" t="str">
        <f>IFERROR(Товары[[#This Row],[РРЦ, евро]]/Товары[[#This Row],[IRP, Eur]],"-")</f>
        <v>-</v>
      </c>
      <c r="AX1608" s="42">
        <f>IFERROR(VLOOKUP(Товары[[#This Row],[SubGroup]],'Структура цен DIY'!$B:$C,2,FALSE),0)</f>
        <v>0.29999999999999993</v>
      </c>
      <c r="AY1608" s="44">
        <v>0</v>
      </c>
    </row>
    <row r="1609" spans="1:51" x14ac:dyDescent="0.25">
      <c r="A1609" s="34">
        <v>1607</v>
      </c>
      <c r="B1609" s="34" t="s">
        <v>49</v>
      </c>
      <c r="C1609" s="110" t="str">
        <f>IFERROR(INDEX(Структура_ассортимента[SuperCategory],MATCH(Товары[[#This Row],[SubGroup]],Структура_ассортимента[Subgroup],0)),"")</f>
        <v>W</v>
      </c>
      <c r="D160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0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09" s="110" t="str">
        <f>IFERROR(INDEX(Структура_ассортимента[Product group],MATCH(Товары[[#This Row],[SubGroup]],Структура_ассортимента[Subgroup],0)),"")</f>
        <v>WSC_C</v>
      </c>
      <c r="G1609" s="110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09" s="110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09" s="36">
        <v>9031</v>
      </c>
      <c r="J1609" s="36" t="str">
        <f>IFERROR(INDEX(Структура_ассортимента[Generic Name (long)],MATCH(Товары[[#This Row],[SubGroup]],Структура_ассортимента[Subgroup],0)),"")</f>
        <v>TIMER</v>
      </c>
      <c r="L1609" s="36">
        <v>900904401</v>
      </c>
      <c r="M1609" s="35" t="s">
        <v>3285</v>
      </c>
      <c r="O1609" s="35" t="s">
        <v>7589</v>
      </c>
      <c r="P1609" s="37" t="s">
        <v>7590</v>
      </c>
      <c r="Q1609" s="34" t="s">
        <v>3549</v>
      </c>
      <c r="R1609" s="34" t="s">
        <v>3540</v>
      </c>
      <c r="S1609" s="47">
        <v>36845</v>
      </c>
      <c r="T1609" s="47">
        <v>0</v>
      </c>
      <c r="U1609" s="47">
        <v>0</v>
      </c>
      <c r="V1609" s="34">
        <v>4078500128209</v>
      </c>
      <c r="W1609" s="34" t="s">
        <v>3543</v>
      </c>
      <c r="X1609" s="34" t="s">
        <v>3579</v>
      </c>
      <c r="Y1609" s="34" t="s">
        <v>3542</v>
      </c>
      <c r="Z1609" s="34">
        <v>4</v>
      </c>
      <c r="AA1609" s="34" t="s">
        <v>5603</v>
      </c>
      <c r="AB1609" s="34" t="s">
        <v>5603</v>
      </c>
      <c r="AC1609" s="34" t="s">
        <v>5629</v>
      </c>
      <c r="AD1609" s="34" t="s">
        <v>5629</v>
      </c>
      <c r="AE1609" s="34" t="s">
        <v>3693</v>
      </c>
      <c r="AF1609" s="34" t="s">
        <v>3576</v>
      </c>
      <c r="AG1609" s="34" t="s">
        <v>3924</v>
      </c>
      <c r="AH1609" s="34" t="s">
        <v>7591</v>
      </c>
      <c r="AL1609" s="34">
        <v>1632</v>
      </c>
      <c r="AM1609" s="40" t="s">
        <v>9</v>
      </c>
      <c r="AP1609" s="34">
        <v>0</v>
      </c>
      <c r="AQ1609" s="34">
        <v>1990</v>
      </c>
      <c r="AR1609" s="34">
        <v>1161</v>
      </c>
      <c r="AT1609" s="44">
        <v>154100</v>
      </c>
      <c r="AU1609" s="44"/>
      <c r="AV1609" s="46">
        <f>ROUND(Товары[[#This Row],[РРЦ финальная, руб.]]/$AU$1,2)</f>
        <v>0</v>
      </c>
      <c r="AW1609" s="45" t="str">
        <f>IFERROR(Товары[[#This Row],[РРЦ, евро]]/Товары[[#This Row],[IRP, Eur]],"-")</f>
        <v>-</v>
      </c>
      <c r="AX1609" s="42">
        <f>IFERROR(VLOOKUP(Товары[[#This Row],[SubGroup]],'Структура цен DIY'!$B:$C,2,FALSE),0)</f>
        <v>0.29999999999999993</v>
      </c>
      <c r="AY1609" s="44">
        <v>0</v>
      </c>
    </row>
    <row r="1610" spans="1:51" x14ac:dyDescent="0.25">
      <c r="A1610" s="34">
        <v>1608</v>
      </c>
      <c r="B1610" s="34" t="s">
        <v>49</v>
      </c>
      <c r="C1610" s="110" t="str">
        <f>IFERROR(INDEX(Структура_ассортимента[SuperCategory],MATCH(Товары[[#This Row],[SubGroup]],Структура_ассортимента[Subgroup],0)),"")</f>
        <v>W</v>
      </c>
      <c r="D161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1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10" s="110" t="str">
        <f>IFERROR(INDEX(Структура_ассортимента[Product group],MATCH(Товары[[#This Row],[SubGroup]],Структура_ассортимента[Subgroup],0)),"")</f>
        <v>WSC_C</v>
      </c>
      <c r="G1610" s="110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10" s="110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10" s="36">
        <v>9031</v>
      </c>
      <c r="J1610" s="36" t="str">
        <f>IFERROR(INDEX(Структура_ассортимента[Generic Name (long)],MATCH(Товары[[#This Row],[SubGroup]],Структура_ассортимента[Subgroup],0)),"")</f>
        <v>TIMER</v>
      </c>
      <c r="L1610" s="36">
        <v>966647201</v>
      </c>
      <c r="M1610" s="35" t="s">
        <v>3286</v>
      </c>
      <c r="O1610" s="35" t="s">
        <v>7592</v>
      </c>
      <c r="P1610" s="37" t="s">
        <v>7593</v>
      </c>
      <c r="Q1610" s="34" t="s">
        <v>3549</v>
      </c>
      <c r="R1610" s="34" t="s">
        <v>3540</v>
      </c>
      <c r="S1610" s="47">
        <v>40452</v>
      </c>
      <c r="T1610" s="47">
        <v>0</v>
      </c>
      <c r="U1610" s="47">
        <v>0</v>
      </c>
      <c r="V1610" s="34">
        <v>4078500128391</v>
      </c>
      <c r="W1610" s="34" t="s">
        <v>3550</v>
      </c>
      <c r="X1610" s="34" t="s">
        <v>3551</v>
      </c>
      <c r="Y1610" s="34" t="s">
        <v>3542</v>
      </c>
      <c r="Z1610" s="34">
        <v>2</v>
      </c>
      <c r="AA1610" s="34" t="s">
        <v>7594</v>
      </c>
      <c r="AB1610" s="34" t="s">
        <v>7594</v>
      </c>
      <c r="AC1610" s="34" t="s">
        <v>4530</v>
      </c>
      <c r="AD1610" s="34" t="s">
        <v>4530</v>
      </c>
      <c r="AE1610" s="34" t="s">
        <v>5919</v>
      </c>
      <c r="AF1610" s="34" t="s">
        <v>4248</v>
      </c>
      <c r="AG1610" s="34" t="s">
        <v>3753</v>
      </c>
      <c r="AH1610" s="34" t="s">
        <v>7595</v>
      </c>
      <c r="AI1610" s="34" t="s">
        <v>3955</v>
      </c>
      <c r="AJ1610" s="34" t="s">
        <v>3911</v>
      </c>
      <c r="AK1610" s="34" t="s">
        <v>3672</v>
      </c>
      <c r="AL1610" s="34">
        <v>168</v>
      </c>
      <c r="AM1610" s="40" t="s">
        <v>9</v>
      </c>
      <c r="AP1610" s="34">
        <v>0</v>
      </c>
      <c r="AQ1610" s="34">
        <v>9890</v>
      </c>
      <c r="AR1610" s="34">
        <v>5769</v>
      </c>
      <c r="AT1610" s="44">
        <v>766000</v>
      </c>
      <c r="AU1610" s="44"/>
      <c r="AV1610" s="46">
        <f>ROUND(Товары[[#This Row],[РРЦ финальная, руб.]]/$AU$1,2)</f>
        <v>0</v>
      </c>
      <c r="AW1610" s="45" t="str">
        <f>IFERROR(Товары[[#This Row],[РРЦ, евро]]/Товары[[#This Row],[IRP, Eur]],"-")</f>
        <v>-</v>
      </c>
      <c r="AX1610" s="42">
        <f>IFERROR(VLOOKUP(Товары[[#This Row],[SubGroup]],'Структура цен DIY'!$B:$C,2,FALSE),0)</f>
        <v>0.29999999999999993</v>
      </c>
      <c r="AY1610" s="44">
        <v>0</v>
      </c>
    </row>
    <row r="1611" spans="1:51" x14ac:dyDescent="0.25">
      <c r="A1611" s="34">
        <v>1609</v>
      </c>
      <c r="B1611" s="34" t="s">
        <v>49</v>
      </c>
      <c r="C1611" s="110" t="str">
        <f>IFERROR(INDEX(Структура_ассортимента[SuperCategory],MATCH(Товары[[#This Row],[SubGroup]],Структура_ассортимента[Subgroup],0)),"")</f>
        <v>W</v>
      </c>
      <c r="D161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1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11" s="110" t="str">
        <f>IFERROR(INDEX(Структура_ассортимента[Product group],MATCH(Товары[[#This Row],[SubGroup]],Структура_ассортимента[Subgroup],0)),"")</f>
        <v>WSC_C</v>
      </c>
      <c r="G1611" s="110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11" s="110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11" s="36">
        <v>9031</v>
      </c>
      <c r="J1611" s="36" t="str">
        <f>IFERROR(INDEX(Структура_ассортимента[Generic Name (long)],MATCH(Товары[[#This Row],[SubGroup]],Структура_ассортимента[Subgroup],0)),"")</f>
        <v>TIMER</v>
      </c>
      <c r="L1611" s="36">
        <v>900897501</v>
      </c>
      <c r="M1611" s="35" t="s">
        <v>3287</v>
      </c>
      <c r="O1611" s="35" t="s">
        <v>7596</v>
      </c>
      <c r="P1611" s="37" t="s">
        <v>7597</v>
      </c>
      <c r="Q1611" s="34" t="s">
        <v>3549</v>
      </c>
      <c r="R1611" s="34" t="s">
        <v>3540</v>
      </c>
      <c r="S1611" s="47">
        <v>36069</v>
      </c>
      <c r="T1611" s="47">
        <v>0</v>
      </c>
      <c r="U1611" s="47">
        <v>0</v>
      </c>
      <c r="V1611" s="34">
        <v>4078500116909</v>
      </c>
      <c r="W1611" s="34" t="s">
        <v>3543</v>
      </c>
      <c r="X1611" s="34" t="s">
        <v>3579</v>
      </c>
      <c r="Y1611" s="34" t="s">
        <v>3542</v>
      </c>
      <c r="Z1611" s="34">
        <v>2</v>
      </c>
      <c r="AA1611" s="34" t="s">
        <v>4147</v>
      </c>
      <c r="AB1611" s="34" t="s">
        <v>4147</v>
      </c>
      <c r="AC1611" s="34" t="s">
        <v>4141</v>
      </c>
      <c r="AD1611" s="34" t="s">
        <v>4141</v>
      </c>
      <c r="AE1611" s="34" t="s">
        <v>3590</v>
      </c>
      <c r="AF1611" s="34" t="s">
        <v>4391</v>
      </c>
      <c r="AG1611" s="34" t="s">
        <v>4097</v>
      </c>
      <c r="AH1611" s="34" t="s">
        <v>7598</v>
      </c>
      <c r="AI1611" s="34" t="s">
        <v>3616</v>
      </c>
      <c r="AJ1611" s="34" t="s">
        <v>4909</v>
      </c>
      <c r="AK1611" s="34" t="s">
        <v>3711</v>
      </c>
      <c r="AL1611" s="34">
        <v>288</v>
      </c>
      <c r="AM1611" s="40" t="s">
        <v>9</v>
      </c>
      <c r="AP1611" s="34">
        <v>0</v>
      </c>
      <c r="AQ1611" s="34">
        <v>2590</v>
      </c>
      <c r="AR1611" s="34">
        <v>1511</v>
      </c>
      <c r="AT1611" s="44">
        <v>200600</v>
      </c>
      <c r="AU1611" s="44"/>
      <c r="AV1611" s="46">
        <f>ROUND(Товары[[#This Row],[РРЦ финальная, руб.]]/$AU$1,2)</f>
        <v>0</v>
      </c>
      <c r="AW1611" s="45" t="str">
        <f>IFERROR(Товары[[#This Row],[РРЦ, евро]]/Товары[[#This Row],[IRP, Eur]],"-")</f>
        <v>-</v>
      </c>
      <c r="AX1611" s="42">
        <f>IFERROR(VLOOKUP(Товары[[#This Row],[SubGroup]],'Структура цен DIY'!$B:$C,2,FALSE),0)</f>
        <v>0.29999999999999993</v>
      </c>
      <c r="AY1611" s="44">
        <v>0</v>
      </c>
    </row>
    <row r="1612" spans="1:51" x14ac:dyDescent="0.25">
      <c r="A1612" s="34">
        <v>1610</v>
      </c>
      <c r="B1612" s="34" t="s">
        <v>49</v>
      </c>
      <c r="C1612" s="110" t="str">
        <f>IFERROR(INDEX(Структура_ассортимента[SuperCategory],MATCH(Товары[[#This Row],[SubGroup]],Структура_ассортимента[Subgroup],0)),"")</f>
        <v>W</v>
      </c>
      <c r="D161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1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12" s="110" t="str">
        <f>IFERROR(INDEX(Структура_ассортимента[Product group],MATCH(Товары[[#This Row],[SubGroup]],Структура_ассортимента[Subgroup],0)),"")</f>
        <v>WSC_C</v>
      </c>
      <c r="G1612" s="110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12" s="110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12" s="36">
        <v>9031</v>
      </c>
      <c r="J1612" s="36" t="str">
        <f>IFERROR(INDEX(Структура_ассортимента[Generic Name (long)],MATCH(Товары[[#This Row],[SubGroup]],Структура_ассортимента[Subgroup],0)),"")</f>
        <v>TIMER</v>
      </c>
      <c r="L1612" s="36">
        <v>966769601</v>
      </c>
      <c r="M1612" s="35" t="s">
        <v>3288</v>
      </c>
      <c r="O1612" s="35" t="s">
        <v>7599</v>
      </c>
      <c r="P1612" s="37" t="s">
        <v>7600</v>
      </c>
      <c r="Q1612" s="34" t="s">
        <v>3549</v>
      </c>
      <c r="R1612" s="34" t="s">
        <v>3540</v>
      </c>
      <c r="S1612" s="47">
        <v>40817</v>
      </c>
      <c r="T1612" s="47">
        <v>0</v>
      </c>
      <c r="U1612" s="47">
        <v>0</v>
      </c>
      <c r="V1612" s="34">
        <v>4078500187497</v>
      </c>
      <c r="W1612" s="34" t="s">
        <v>3543</v>
      </c>
      <c r="X1612" s="34" t="s">
        <v>3579</v>
      </c>
      <c r="Y1612" s="34" t="s">
        <v>3542</v>
      </c>
      <c r="Z1612" s="34">
        <v>2</v>
      </c>
      <c r="AA1612" s="34" t="s">
        <v>4237</v>
      </c>
      <c r="AB1612" s="34" t="s">
        <v>4237</v>
      </c>
      <c r="AC1612" s="34" t="s">
        <v>3622</v>
      </c>
      <c r="AD1612" s="34" t="s">
        <v>3622</v>
      </c>
      <c r="AE1612" s="34" t="s">
        <v>3825</v>
      </c>
      <c r="AF1612" s="34" t="s">
        <v>3959</v>
      </c>
      <c r="AG1612" s="34" t="s">
        <v>3903</v>
      </c>
      <c r="AH1612" s="34" t="s">
        <v>7601</v>
      </c>
      <c r="AI1612" s="34" t="s">
        <v>5465</v>
      </c>
      <c r="AJ1612" s="34" t="s">
        <v>6855</v>
      </c>
      <c r="AK1612" s="34" t="s">
        <v>4588</v>
      </c>
      <c r="AL1612" s="34">
        <v>120</v>
      </c>
      <c r="AM1612" s="40" t="s">
        <v>9</v>
      </c>
      <c r="AP1612" s="34">
        <v>0</v>
      </c>
      <c r="AQ1612" s="34">
        <v>13790</v>
      </c>
      <c r="AR1612" s="34">
        <v>8044</v>
      </c>
      <c r="AT1612" s="44">
        <v>1068100</v>
      </c>
      <c r="AU1612" s="44"/>
      <c r="AV1612" s="46">
        <f>ROUND(Товары[[#This Row],[РРЦ финальная, руб.]]/$AU$1,2)</f>
        <v>0</v>
      </c>
      <c r="AW1612" s="45" t="str">
        <f>IFERROR(Товары[[#This Row],[РРЦ, евро]]/Товары[[#This Row],[IRP, Eur]],"-")</f>
        <v>-</v>
      </c>
      <c r="AX1612" s="42">
        <f>IFERROR(VLOOKUP(Товары[[#This Row],[SubGroup]],'Структура цен DIY'!$B:$C,2,FALSE),0)</f>
        <v>0.29999999999999993</v>
      </c>
      <c r="AY1612" s="44">
        <v>0</v>
      </c>
    </row>
    <row r="1613" spans="1:51" x14ac:dyDescent="0.25">
      <c r="A1613" s="34">
        <v>1611</v>
      </c>
      <c r="B1613" s="34" t="s">
        <v>49</v>
      </c>
      <c r="C1613" s="110" t="str">
        <f>IFERROR(INDEX(Структура_ассортимента[SuperCategory],MATCH(Товары[[#This Row],[SubGroup]],Структура_ассортимента[Subgroup],0)),"")</f>
        <v>W</v>
      </c>
      <c r="D161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1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13" s="110" t="str">
        <f>IFERROR(INDEX(Структура_ассортимента[Product group],MATCH(Товары[[#This Row],[SubGroup]],Структура_ассортимента[Subgroup],0)),"")</f>
        <v>WSC_C</v>
      </c>
      <c r="G1613" s="110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13" s="110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13" s="36">
        <v>9031</v>
      </c>
      <c r="J1613" s="36" t="str">
        <f>IFERROR(INDEX(Структура_ассортимента[Generic Name (long)],MATCH(Товары[[#This Row],[SubGroup]],Структура_ассортимента[Subgroup],0)),"")</f>
        <v>TIMER</v>
      </c>
      <c r="L1613" s="36">
        <v>967927401</v>
      </c>
      <c r="M1613" s="35" t="s">
        <v>3289</v>
      </c>
      <c r="O1613" s="35" t="s">
        <v>7602</v>
      </c>
      <c r="P1613" s="37" t="s">
        <v>7603</v>
      </c>
      <c r="Q1613" s="34" t="s">
        <v>3549</v>
      </c>
      <c r="R1613" s="34" t="s">
        <v>3540</v>
      </c>
      <c r="S1613" s="47">
        <v>43466</v>
      </c>
      <c r="T1613" s="47">
        <v>0</v>
      </c>
      <c r="U1613" s="47">
        <v>0</v>
      </c>
      <c r="V1613" s="34">
        <v>4078500045711</v>
      </c>
      <c r="W1613" s="34" t="s">
        <v>3543</v>
      </c>
      <c r="X1613" s="34" t="s">
        <v>3579</v>
      </c>
      <c r="Y1613" s="34" t="s">
        <v>3542</v>
      </c>
      <c r="Z1613" s="34">
        <v>2</v>
      </c>
      <c r="AB1613" s="34" t="s">
        <v>4715</v>
      </c>
      <c r="AD1613" s="34" t="s">
        <v>4664</v>
      </c>
      <c r="AE1613" s="34" t="s">
        <v>5086</v>
      </c>
      <c r="AF1613" s="34" t="s">
        <v>5509</v>
      </c>
      <c r="AG1613" s="34" t="s">
        <v>4680</v>
      </c>
      <c r="AH1613" s="34" t="s">
        <v>7604</v>
      </c>
      <c r="AI1613" s="34" t="s">
        <v>3575</v>
      </c>
      <c r="AJ1613" s="34" t="s">
        <v>3911</v>
      </c>
      <c r="AK1613" s="34" t="s">
        <v>3616</v>
      </c>
      <c r="AL1613" s="34" t="s">
        <v>7605</v>
      </c>
      <c r="AM1613" s="40" t="s">
        <v>9</v>
      </c>
      <c r="AP1613" s="34">
        <v>0</v>
      </c>
      <c r="AQ1613" s="34">
        <v>3890</v>
      </c>
      <c r="AR1613" s="34">
        <v>2269</v>
      </c>
      <c r="AT1613" s="44">
        <v>301300</v>
      </c>
      <c r="AU1613" s="44"/>
      <c r="AV1613" s="46">
        <f>ROUND(Товары[[#This Row],[РРЦ финальная, руб.]]/$AU$1,2)</f>
        <v>0</v>
      </c>
      <c r="AW1613" s="45" t="str">
        <f>IFERROR(Товары[[#This Row],[РРЦ, евро]]/Товары[[#This Row],[IRP, Eur]],"-")</f>
        <v>-</v>
      </c>
      <c r="AX1613" s="42">
        <f>IFERROR(VLOOKUP(Товары[[#This Row],[SubGroup]],'Структура цен DIY'!$B:$C,2,FALSE),0)</f>
        <v>0.29999999999999993</v>
      </c>
      <c r="AY1613" s="44">
        <v>0</v>
      </c>
    </row>
    <row r="1614" spans="1:51" x14ac:dyDescent="0.25">
      <c r="A1614" s="34">
        <v>1612</v>
      </c>
      <c r="B1614" s="34" t="s">
        <v>49</v>
      </c>
      <c r="C1614" s="110" t="str">
        <f>IFERROR(INDEX(Структура_ассортимента[SuperCategory],MATCH(Товары[[#This Row],[SubGroup]],Структура_ассортимента[Subgroup],0)),"")</f>
        <v>W</v>
      </c>
      <c r="D161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1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14" s="110" t="str">
        <f>IFERROR(INDEX(Структура_ассортимента[Product group],MATCH(Товары[[#This Row],[SubGroup]],Структура_ассортимента[Subgroup],0)),"")</f>
        <v>WSC_C</v>
      </c>
      <c r="G1614" s="110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14" s="110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14" s="36">
        <v>9031</v>
      </c>
      <c r="J1614" s="36" t="str">
        <f>IFERROR(INDEX(Структура_ассортимента[Generic Name (long)],MATCH(Товары[[#This Row],[SubGroup]],Структура_ассортимента[Subgroup],0)),"")</f>
        <v>TIMER</v>
      </c>
      <c r="L1614" s="36">
        <v>967946901</v>
      </c>
      <c r="M1614" s="35" t="s">
        <v>3290</v>
      </c>
      <c r="Q1614" s="34" t="s">
        <v>3713</v>
      </c>
      <c r="R1614" s="34" t="s">
        <v>3540</v>
      </c>
      <c r="S1614" s="47">
        <v>43466</v>
      </c>
      <c r="T1614" s="47">
        <v>0</v>
      </c>
      <c r="U1614" s="47">
        <v>0</v>
      </c>
      <c r="V1614" s="34">
        <v>4078500046190</v>
      </c>
      <c r="W1614" s="34" t="s">
        <v>3543</v>
      </c>
      <c r="Y1614" s="34" t="s">
        <v>3542</v>
      </c>
      <c r="Z1614" s="34">
        <v>24</v>
      </c>
      <c r="AB1614" s="34" t="s">
        <v>7606</v>
      </c>
      <c r="AD1614" s="34" t="s">
        <v>4664</v>
      </c>
      <c r="AE1614" s="34" t="s">
        <v>3575</v>
      </c>
      <c r="AF1614" s="34" t="s">
        <v>3616</v>
      </c>
      <c r="AG1614" s="34" t="s">
        <v>3911</v>
      </c>
      <c r="AH1614" s="34" t="s">
        <v>7607</v>
      </c>
      <c r="AI1614" s="34" t="s">
        <v>3575</v>
      </c>
      <c r="AJ1614" s="34" t="s">
        <v>3911</v>
      </c>
      <c r="AK1614" s="34" t="s">
        <v>3616</v>
      </c>
      <c r="AL1614" s="34" t="s">
        <v>3981</v>
      </c>
      <c r="AM1614" s="40" t="s">
        <v>8094</v>
      </c>
      <c r="AT1614" s="44">
        <v>0</v>
      </c>
      <c r="AU1614" s="44"/>
      <c r="AV1614" s="46">
        <f>ROUND(Товары[[#This Row],[РРЦ финальная, руб.]]/$AU$1,2)</f>
        <v>0</v>
      </c>
      <c r="AW1614" s="45" t="str">
        <f>IFERROR(Товары[[#This Row],[РРЦ, евро]]/Товары[[#This Row],[IRP, Eur]],"-")</f>
        <v>-</v>
      </c>
      <c r="AX1614" s="42">
        <f>IFERROR(VLOOKUP(Товары[[#This Row],[SubGroup]],'Структура цен DIY'!$B:$C,2,FALSE),0)</f>
        <v>0.29999999999999993</v>
      </c>
      <c r="AY1614" s="44">
        <v>0</v>
      </c>
    </row>
    <row r="1615" spans="1:51" x14ac:dyDescent="0.25">
      <c r="A1615" s="34">
        <v>1613</v>
      </c>
      <c r="B1615" s="34" t="s">
        <v>49</v>
      </c>
      <c r="C1615" s="110" t="str">
        <f>IFERROR(INDEX(Структура_ассортимента[SuperCategory],MATCH(Товары[[#This Row],[SubGroup]],Структура_ассортимента[Subgroup],0)),"")</f>
        <v>W</v>
      </c>
      <c r="D161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1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15" s="110" t="str">
        <f>IFERROR(INDEX(Структура_ассортимента[Product group],MATCH(Товары[[#This Row],[SubGroup]],Структура_ассортимента[Subgroup],0)),"")</f>
        <v>WSC_C</v>
      </c>
      <c r="G1615" s="110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15" s="110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15" s="36">
        <v>9031</v>
      </c>
      <c r="J1615" s="36" t="str">
        <f>IFERROR(INDEX(Структура_ассортимента[Generic Name (long)],MATCH(Товары[[#This Row],[SubGroup]],Структура_ассортимента[Subgroup],0)),"")</f>
        <v>TIMER</v>
      </c>
      <c r="L1615" s="36">
        <v>967927701</v>
      </c>
      <c r="M1615" s="35" t="s">
        <v>3291</v>
      </c>
      <c r="O1615" s="35" t="s">
        <v>7608</v>
      </c>
      <c r="P1615" s="37" t="s">
        <v>7609</v>
      </c>
      <c r="Q1615" s="34" t="s">
        <v>3549</v>
      </c>
      <c r="R1615" s="34" t="s">
        <v>3540</v>
      </c>
      <c r="S1615" s="47">
        <v>43466</v>
      </c>
      <c r="T1615" s="47">
        <v>0</v>
      </c>
      <c r="U1615" s="47">
        <v>0</v>
      </c>
      <c r="V1615" s="34">
        <v>4078500045650</v>
      </c>
      <c r="W1615" s="34" t="s">
        <v>3543</v>
      </c>
      <c r="X1615" s="34" t="s">
        <v>3579</v>
      </c>
      <c r="Y1615" s="34" t="s">
        <v>3542</v>
      </c>
      <c r="Z1615" s="34">
        <v>2</v>
      </c>
      <c r="AB1615" s="34" t="s">
        <v>5608</v>
      </c>
      <c r="AD1615" s="34" t="s">
        <v>3622</v>
      </c>
      <c r="AE1615" s="34" t="s">
        <v>4471</v>
      </c>
      <c r="AF1615" s="34" t="s">
        <v>4431</v>
      </c>
      <c r="AG1615" s="34" t="s">
        <v>4458</v>
      </c>
      <c r="AH1615" s="34" t="s">
        <v>7610</v>
      </c>
      <c r="AI1615" s="34" t="s">
        <v>3556</v>
      </c>
      <c r="AJ1615" s="34" t="s">
        <v>3911</v>
      </c>
      <c r="AK1615" s="34" t="s">
        <v>3557</v>
      </c>
      <c r="AL1615" s="34" t="s">
        <v>7605</v>
      </c>
      <c r="AM1615" s="40" t="s">
        <v>9</v>
      </c>
      <c r="AP1615" s="34">
        <v>0</v>
      </c>
      <c r="AQ1615" s="34">
        <v>4690</v>
      </c>
      <c r="AR1615" s="34">
        <v>2736</v>
      </c>
      <c r="AT1615" s="44">
        <v>363300</v>
      </c>
      <c r="AU1615" s="44"/>
      <c r="AV1615" s="46">
        <f>ROUND(Товары[[#This Row],[РРЦ финальная, руб.]]/$AU$1,2)</f>
        <v>0</v>
      </c>
      <c r="AW1615" s="45" t="str">
        <f>IFERROR(Товары[[#This Row],[РРЦ, евро]]/Товары[[#This Row],[IRP, Eur]],"-")</f>
        <v>-</v>
      </c>
      <c r="AX1615" s="42">
        <f>IFERROR(VLOOKUP(Товары[[#This Row],[SubGroup]],'Структура цен DIY'!$B:$C,2,FALSE),0)</f>
        <v>0.29999999999999993</v>
      </c>
      <c r="AY1615" s="44">
        <v>0</v>
      </c>
    </row>
    <row r="1616" spans="1:51" x14ac:dyDescent="0.25">
      <c r="A1616" s="34">
        <v>1614</v>
      </c>
      <c r="B1616" s="34" t="s">
        <v>49</v>
      </c>
      <c r="C1616" s="110" t="str">
        <f>IFERROR(INDEX(Структура_ассортимента[SuperCategory],MATCH(Товары[[#This Row],[SubGroup]],Структура_ассортимента[Subgroup],0)),"")</f>
        <v>W</v>
      </c>
      <c r="D161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1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16" s="110" t="str">
        <f>IFERROR(INDEX(Структура_ассортимента[Product group],MATCH(Товары[[#This Row],[SubGroup]],Структура_ассортимента[Subgroup],0)),"")</f>
        <v>WSC_C</v>
      </c>
      <c r="G1616" s="110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16" s="110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16" s="36">
        <v>9031</v>
      </c>
      <c r="J1616" s="36" t="str">
        <f>IFERROR(INDEX(Структура_ассортимента[Generic Name (long)],MATCH(Товары[[#This Row],[SubGroup]],Структура_ассортимента[Subgroup],0)),"")</f>
        <v>TIMER</v>
      </c>
      <c r="L1616" s="36">
        <v>967928001</v>
      </c>
      <c r="M1616" s="35" t="s">
        <v>3292</v>
      </c>
      <c r="O1616" s="35" t="s">
        <v>7611</v>
      </c>
      <c r="P1616" s="37" t="s">
        <v>7612</v>
      </c>
      <c r="Q1616" s="34" t="s">
        <v>3549</v>
      </c>
      <c r="R1616" s="34" t="s">
        <v>3540</v>
      </c>
      <c r="S1616" s="47">
        <v>43466</v>
      </c>
      <c r="T1616" s="47">
        <v>0</v>
      </c>
      <c r="U1616" s="47">
        <v>0</v>
      </c>
      <c r="V1616" s="34">
        <v>4078500045599</v>
      </c>
      <c r="W1616" s="34" t="s">
        <v>3543</v>
      </c>
      <c r="X1616" s="34" t="s">
        <v>3579</v>
      </c>
      <c r="Y1616" s="34" t="s">
        <v>3542</v>
      </c>
      <c r="Z1616" s="34">
        <v>2</v>
      </c>
      <c r="AB1616" s="34" t="s">
        <v>4753</v>
      </c>
      <c r="AD1616" s="34" t="s">
        <v>3861</v>
      </c>
      <c r="AE1616" s="34" t="s">
        <v>7436</v>
      </c>
      <c r="AF1616" s="34" t="s">
        <v>4728</v>
      </c>
      <c r="AG1616" s="34" t="s">
        <v>4642</v>
      </c>
      <c r="AH1616" s="34" t="s">
        <v>7613</v>
      </c>
      <c r="AI1616" s="34" t="s">
        <v>3556</v>
      </c>
      <c r="AJ1616" s="34" t="s">
        <v>3911</v>
      </c>
      <c r="AK1616" s="34" t="s">
        <v>3557</v>
      </c>
      <c r="AL1616" s="34" t="s">
        <v>7605</v>
      </c>
      <c r="AM1616" s="40" t="s">
        <v>9</v>
      </c>
      <c r="AP1616" s="34">
        <v>0</v>
      </c>
      <c r="AQ1616" s="34">
        <v>9090</v>
      </c>
      <c r="AR1616" s="34">
        <v>5303</v>
      </c>
      <c r="AT1616" s="44">
        <v>704100</v>
      </c>
      <c r="AU1616" s="44"/>
      <c r="AV1616" s="46">
        <f>ROUND(Товары[[#This Row],[РРЦ финальная, руб.]]/$AU$1,2)</f>
        <v>0</v>
      </c>
      <c r="AW1616" s="45" t="str">
        <f>IFERROR(Товары[[#This Row],[РРЦ, евро]]/Товары[[#This Row],[IRP, Eur]],"-")</f>
        <v>-</v>
      </c>
      <c r="AX1616" s="42">
        <f>IFERROR(VLOOKUP(Товары[[#This Row],[SubGroup]],'Структура цен DIY'!$B:$C,2,FALSE),0)</f>
        <v>0.29999999999999993</v>
      </c>
      <c r="AY1616" s="44">
        <v>0</v>
      </c>
    </row>
    <row r="1617" spans="1:51" x14ac:dyDescent="0.25">
      <c r="A1617" s="34">
        <v>1615</v>
      </c>
      <c r="B1617" s="34" t="s">
        <v>49</v>
      </c>
      <c r="C1617" s="110" t="str">
        <f>IFERROR(INDEX(Структура_ассортимента[SuperCategory],MATCH(Товары[[#This Row],[SubGroup]],Структура_ассортимента[Subgroup],0)),"")</f>
        <v>W</v>
      </c>
      <c r="D161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1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17" s="110" t="str">
        <f>IFERROR(INDEX(Структура_ассортимента[Product group],MATCH(Товары[[#This Row],[SubGroup]],Структура_ассортимента[Subgroup],0)),"")</f>
        <v>WSC_C</v>
      </c>
      <c r="G1617" s="110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17" s="110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17" s="36">
        <v>9031</v>
      </c>
      <c r="J1617" s="36" t="str">
        <f>IFERROR(INDEX(Структура_ассортимента[Generic Name (long)],MATCH(Товары[[#This Row],[SubGroup]],Структура_ассортимента[Subgroup],0)),"")</f>
        <v>TIMER</v>
      </c>
      <c r="L1617" s="36">
        <v>966647401</v>
      </c>
      <c r="M1617" s="35" t="s">
        <v>3293</v>
      </c>
      <c r="Q1617" s="34" t="s">
        <v>3549</v>
      </c>
      <c r="R1617" s="34" t="s">
        <v>3540</v>
      </c>
      <c r="S1617" s="47">
        <v>40452</v>
      </c>
      <c r="T1617" s="47">
        <v>0</v>
      </c>
      <c r="U1617" s="47">
        <v>0</v>
      </c>
      <c r="V1617" s="34">
        <v>4078500128490</v>
      </c>
      <c r="W1617" s="34" t="s">
        <v>3550</v>
      </c>
      <c r="X1617" s="34" t="s">
        <v>3551</v>
      </c>
      <c r="Y1617" s="34" t="s">
        <v>3542</v>
      </c>
      <c r="Z1617" s="34">
        <v>2</v>
      </c>
      <c r="AA1617" s="34" t="s">
        <v>3563</v>
      </c>
      <c r="AB1617" s="34" t="s">
        <v>3563</v>
      </c>
      <c r="AC1617" s="34" t="s">
        <v>4870</v>
      </c>
      <c r="AD1617" s="34" t="s">
        <v>4870</v>
      </c>
      <c r="AE1617" s="34" t="s">
        <v>5919</v>
      </c>
      <c r="AF1617" s="34" t="s">
        <v>4248</v>
      </c>
      <c r="AG1617" s="34" t="s">
        <v>3753</v>
      </c>
      <c r="AH1617" s="34" t="s">
        <v>7595</v>
      </c>
      <c r="AI1617" s="34" t="s">
        <v>4257</v>
      </c>
      <c r="AJ1617" s="34" t="s">
        <v>4588</v>
      </c>
      <c r="AK1617" s="34" t="s">
        <v>4421</v>
      </c>
      <c r="AL1617" s="34">
        <v>200</v>
      </c>
      <c r="AM1617" s="40" t="s">
        <v>8095</v>
      </c>
      <c r="AT1617" s="44">
        <v>0</v>
      </c>
      <c r="AU1617" s="44"/>
      <c r="AV1617" s="46">
        <f>ROUND(Товары[[#This Row],[РРЦ финальная, руб.]]/$AU$1,2)</f>
        <v>0</v>
      </c>
      <c r="AW1617" s="45" t="str">
        <f>IFERROR(Товары[[#This Row],[РРЦ, евро]]/Товары[[#This Row],[IRP, Eur]],"-")</f>
        <v>-</v>
      </c>
      <c r="AX1617" s="42">
        <f>IFERROR(VLOOKUP(Товары[[#This Row],[SubGroup]],'Структура цен DIY'!$B:$C,2,FALSE),0)</f>
        <v>0.29999999999999993</v>
      </c>
      <c r="AY1617" s="44">
        <v>0</v>
      </c>
    </row>
    <row r="1618" spans="1:51" x14ac:dyDescent="0.25">
      <c r="A1618" s="34">
        <v>1616</v>
      </c>
      <c r="B1618" s="34" t="s">
        <v>49</v>
      </c>
      <c r="C1618" s="110" t="str">
        <f>IFERROR(INDEX(Структура_ассортимента[SuperCategory],MATCH(Товары[[#This Row],[SubGroup]],Структура_ассортимента[Subgroup],0)),"")</f>
        <v>W</v>
      </c>
      <c r="D161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1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18" s="110" t="str">
        <f>IFERROR(INDEX(Структура_ассортимента[Product group],MATCH(Товары[[#This Row],[SubGroup]],Структура_ассортимента[Subgroup],0)),"")</f>
        <v>WSC_C</v>
      </c>
      <c r="G1618" s="110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18" s="110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18" s="36">
        <v>9031</v>
      </c>
      <c r="J1618" s="36" t="str">
        <f>IFERROR(INDEX(Структура_ассортимента[Generic Name (long)],MATCH(Товары[[#This Row],[SubGroup]],Структура_ассортимента[Subgroup],0)),"")</f>
        <v>TIMER</v>
      </c>
      <c r="L1618" s="36">
        <v>970480701</v>
      </c>
      <c r="M1618" s="35" t="s">
        <v>3294</v>
      </c>
      <c r="O1618" s="35" t="s">
        <v>7614</v>
      </c>
      <c r="P1618" s="37" t="s">
        <v>7615</v>
      </c>
      <c r="Q1618" s="34" t="s">
        <v>3549</v>
      </c>
      <c r="R1618" s="34" t="s">
        <v>3540</v>
      </c>
      <c r="S1618" s="47">
        <v>44197</v>
      </c>
      <c r="T1618" s="47">
        <v>0</v>
      </c>
      <c r="U1618" s="47">
        <v>0</v>
      </c>
      <c r="V1618" s="34">
        <v>4078500052962</v>
      </c>
      <c r="W1618" s="34" t="s">
        <v>3543</v>
      </c>
      <c r="Y1618" s="34" t="s">
        <v>3542</v>
      </c>
      <c r="Z1618" s="34">
        <v>2</v>
      </c>
      <c r="AM1618" s="40" t="s">
        <v>11</v>
      </c>
      <c r="AT1618" s="44">
        <v>0</v>
      </c>
      <c r="AU1618" s="44"/>
      <c r="AV1618" s="46">
        <f>ROUND(Товары[[#This Row],[РРЦ финальная, руб.]]/$AU$1,2)</f>
        <v>0</v>
      </c>
      <c r="AW1618" s="45" t="str">
        <f>IFERROR(Товары[[#This Row],[РРЦ, евро]]/Товары[[#This Row],[IRP, Eur]],"-")</f>
        <v>-</v>
      </c>
      <c r="AX1618" s="42">
        <f>IFERROR(VLOOKUP(Товары[[#This Row],[SubGroup]],'Структура цен DIY'!$B:$C,2,FALSE),0)</f>
        <v>0.29999999999999993</v>
      </c>
      <c r="AY1618" s="44">
        <v>0</v>
      </c>
    </row>
    <row r="1619" spans="1:51" x14ac:dyDescent="0.25">
      <c r="A1619" s="34">
        <v>1617</v>
      </c>
      <c r="B1619" s="34" t="s">
        <v>49</v>
      </c>
      <c r="C1619" s="110" t="str">
        <f>IFERROR(INDEX(Структура_ассортимента[SuperCategory],MATCH(Товары[[#This Row],[SubGroup]],Структура_ассортимента[Subgroup],0)),"")</f>
        <v>W</v>
      </c>
      <c r="D161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1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19" s="110" t="str">
        <f>IFERROR(INDEX(Структура_ассортимента[Product group],MATCH(Товары[[#This Row],[SubGroup]],Структура_ассортимента[Subgroup],0)),"")</f>
        <v>WSC_C</v>
      </c>
      <c r="G1619" s="110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19" s="110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19" s="36">
        <v>9031</v>
      </c>
      <c r="J1619" s="36" t="str">
        <f>IFERROR(INDEX(Структура_ассортимента[Generic Name (long)],MATCH(Товары[[#This Row],[SubGroup]],Структура_ассортимента[Subgroup],0)),"")</f>
        <v>TIMER</v>
      </c>
      <c r="L1619" s="36">
        <v>970480601</v>
      </c>
      <c r="M1619" s="35" t="s">
        <v>3295</v>
      </c>
      <c r="O1619" s="35" t="s">
        <v>7616</v>
      </c>
      <c r="P1619" s="37" t="s">
        <v>7617</v>
      </c>
      <c r="Q1619" s="34" t="s">
        <v>3549</v>
      </c>
      <c r="R1619" s="34" t="s">
        <v>3540</v>
      </c>
      <c r="S1619" s="47">
        <v>44197</v>
      </c>
      <c r="T1619" s="47">
        <v>0</v>
      </c>
      <c r="U1619" s="47">
        <v>0</v>
      </c>
      <c r="V1619" s="34">
        <v>4078500052986</v>
      </c>
      <c r="W1619" s="34" t="s">
        <v>3543</v>
      </c>
      <c r="Y1619" s="34" t="s">
        <v>3542</v>
      </c>
      <c r="Z1619" s="34">
        <v>1</v>
      </c>
      <c r="AM1619" s="40" t="s">
        <v>11</v>
      </c>
      <c r="AT1619" s="44">
        <v>0</v>
      </c>
      <c r="AU1619" s="44"/>
      <c r="AV1619" s="46">
        <f>ROUND(Товары[[#This Row],[РРЦ финальная, руб.]]/$AU$1,2)</f>
        <v>0</v>
      </c>
      <c r="AW1619" s="45" t="str">
        <f>IFERROR(Товары[[#This Row],[РРЦ, евро]]/Товары[[#This Row],[IRP, Eur]],"-")</f>
        <v>-</v>
      </c>
      <c r="AX1619" s="42">
        <f>IFERROR(VLOOKUP(Товары[[#This Row],[SubGroup]],'Структура цен DIY'!$B:$C,2,FALSE),0)</f>
        <v>0.29999999999999993</v>
      </c>
      <c r="AY1619" s="44">
        <v>0</v>
      </c>
    </row>
    <row r="1620" spans="1:51" x14ac:dyDescent="0.25">
      <c r="A1620" s="34">
        <v>1618</v>
      </c>
      <c r="B1620" s="34" t="s">
        <v>49</v>
      </c>
      <c r="C1620" s="110" t="str">
        <f>IFERROR(INDEX(Структура_ассортимента[SuperCategory],MATCH(Товары[[#This Row],[SubGroup]],Структура_ассортимента[Subgroup],0)),"")</f>
        <v>W</v>
      </c>
      <c r="D162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2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20" s="110" t="str">
        <f>IFERROR(INDEX(Структура_ассортимента[Product group],MATCH(Товары[[#This Row],[SubGroup]],Структура_ассортимента[Subgroup],0)),"")</f>
        <v>WSC_C</v>
      </c>
      <c r="G1620" s="110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20" s="110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20" s="36">
        <v>9031</v>
      </c>
      <c r="J1620" s="36" t="str">
        <f>IFERROR(INDEX(Структура_ассортимента[Generic Name (long)],MATCH(Товары[[#This Row],[SubGroup]],Структура_ассортимента[Subgroup],0)),"")</f>
        <v>TIMER</v>
      </c>
      <c r="L1620" s="36">
        <v>900904501</v>
      </c>
      <c r="M1620" s="35" t="s">
        <v>3296</v>
      </c>
      <c r="Q1620" s="34" t="s">
        <v>3549</v>
      </c>
      <c r="R1620" s="34" t="s">
        <v>3540</v>
      </c>
      <c r="S1620" s="47">
        <v>36845</v>
      </c>
      <c r="T1620" s="47">
        <v>0</v>
      </c>
      <c r="U1620" s="47">
        <v>0</v>
      </c>
      <c r="V1620" s="34">
        <v>4078500129008</v>
      </c>
      <c r="W1620" s="34" t="s">
        <v>3550</v>
      </c>
      <c r="X1620" s="34" t="s">
        <v>3907</v>
      </c>
      <c r="Y1620" s="34" t="s">
        <v>3542</v>
      </c>
      <c r="Z1620" s="34">
        <v>1</v>
      </c>
      <c r="AA1620" s="34" t="s">
        <v>4673</v>
      </c>
      <c r="AB1620" s="34" t="s">
        <v>4673</v>
      </c>
      <c r="AC1620" s="34" t="s">
        <v>5161</v>
      </c>
      <c r="AD1620" s="34" t="s">
        <v>5161</v>
      </c>
      <c r="AE1620" s="34" t="s">
        <v>3826</v>
      </c>
      <c r="AF1620" s="34" t="s">
        <v>3826</v>
      </c>
      <c r="AG1620" s="34" t="s">
        <v>3800</v>
      </c>
      <c r="AH1620" s="34" t="s">
        <v>7618</v>
      </c>
      <c r="AL1620" s="34">
        <v>242</v>
      </c>
      <c r="AM1620" s="40" t="s">
        <v>8095</v>
      </c>
      <c r="AT1620" s="44">
        <v>0</v>
      </c>
      <c r="AU1620" s="44"/>
      <c r="AV1620" s="46">
        <f>ROUND(Товары[[#This Row],[РРЦ финальная, руб.]]/$AU$1,2)</f>
        <v>0</v>
      </c>
      <c r="AW1620" s="45" t="str">
        <f>IFERROR(Товары[[#This Row],[РРЦ, евро]]/Товары[[#This Row],[IRP, Eur]],"-")</f>
        <v>-</v>
      </c>
      <c r="AX1620" s="42">
        <f>IFERROR(VLOOKUP(Товары[[#This Row],[SubGroup]],'Структура цен DIY'!$B:$C,2,FALSE),0)</f>
        <v>0.29999999999999993</v>
      </c>
      <c r="AY1620" s="44">
        <v>0</v>
      </c>
    </row>
    <row r="1621" spans="1:51" x14ac:dyDescent="0.25">
      <c r="A1621" s="34">
        <v>1619</v>
      </c>
      <c r="B1621" s="34" t="s">
        <v>49</v>
      </c>
      <c r="C1621" s="110" t="str">
        <f>IFERROR(INDEX(Структура_ассортимента[SuperCategory],MATCH(Товары[[#This Row],[SubGroup]],Структура_ассортимента[Subgroup],0)),"")</f>
        <v>W</v>
      </c>
      <c r="D162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2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21" s="110" t="str">
        <f>IFERROR(INDEX(Структура_ассортимента[Product group],MATCH(Товары[[#This Row],[SubGroup]],Структура_ассортимента[Subgroup],0)),"")</f>
        <v>WSC_C</v>
      </c>
      <c r="G1621" s="110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21" s="110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21" s="36">
        <v>9031</v>
      </c>
      <c r="J1621" s="36" t="str">
        <f>IFERROR(INDEX(Структура_ассортимента[Generic Name (long)],MATCH(Товары[[#This Row],[SubGroup]],Структура_ассортимента[Subgroup],0)),"")</f>
        <v>TIMER</v>
      </c>
      <c r="L1621" s="36">
        <v>900904601</v>
      </c>
      <c r="M1621" s="35" t="s">
        <v>3297</v>
      </c>
      <c r="Q1621" s="34" t="s">
        <v>3549</v>
      </c>
      <c r="R1621" s="34" t="s">
        <v>3540</v>
      </c>
      <c r="S1621" s="47">
        <v>36845</v>
      </c>
      <c r="T1621" s="47">
        <v>0</v>
      </c>
      <c r="U1621" s="47">
        <v>0</v>
      </c>
      <c r="V1621" s="34">
        <v>4078500129206</v>
      </c>
      <c r="W1621" s="34" t="s">
        <v>3550</v>
      </c>
      <c r="X1621" s="34" t="s">
        <v>3907</v>
      </c>
      <c r="Y1621" s="34" t="s">
        <v>3542</v>
      </c>
      <c r="Z1621" s="34">
        <v>1</v>
      </c>
      <c r="AA1621" s="34" t="s">
        <v>5508</v>
      </c>
      <c r="AB1621" s="34" t="s">
        <v>5508</v>
      </c>
      <c r="AC1621" s="34" t="s">
        <v>5508</v>
      </c>
      <c r="AD1621" s="34" t="s">
        <v>5508</v>
      </c>
      <c r="AE1621" s="34" t="s">
        <v>4223</v>
      </c>
      <c r="AF1621" s="34" t="s">
        <v>4891</v>
      </c>
      <c r="AG1621" s="34" t="s">
        <v>5042</v>
      </c>
      <c r="AH1621" s="34" t="s">
        <v>7619</v>
      </c>
      <c r="AL1621" s="34">
        <v>36</v>
      </c>
      <c r="AM1621" s="40" t="s">
        <v>8095</v>
      </c>
      <c r="AT1621" s="44">
        <v>0</v>
      </c>
      <c r="AU1621" s="44"/>
      <c r="AV1621" s="46">
        <f>ROUND(Товары[[#This Row],[РРЦ финальная, руб.]]/$AU$1,2)</f>
        <v>0</v>
      </c>
      <c r="AW1621" s="45" t="str">
        <f>IFERROR(Товары[[#This Row],[РРЦ, евро]]/Товары[[#This Row],[IRP, Eur]],"-")</f>
        <v>-</v>
      </c>
      <c r="AX1621" s="42">
        <f>IFERROR(VLOOKUP(Товары[[#This Row],[SubGroup]],'Структура цен DIY'!$B:$C,2,FALSE),0)</f>
        <v>0.29999999999999993</v>
      </c>
      <c r="AY1621" s="44">
        <v>0</v>
      </c>
    </row>
    <row r="1622" spans="1:51" x14ac:dyDescent="0.25">
      <c r="A1622" s="34">
        <v>1620</v>
      </c>
      <c r="B1622" s="34" t="s">
        <v>49</v>
      </c>
      <c r="C1622" s="110" t="str">
        <f>IFERROR(INDEX(Структура_ассортимента[SuperCategory],MATCH(Товары[[#This Row],[SubGroup]],Структура_ассортимента[Subgroup],0)),"")</f>
        <v>W</v>
      </c>
      <c r="D162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2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22" s="110" t="str">
        <f>IFERROR(INDEX(Структура_ассортимента[Product group],MATCH(Товары[[#This Row],[SubGroup]],Структура_ассортимента[Subgroup],0)),"")</f>
        <v>WSC_C</v>
      </c>
      <c r="G1622" s="110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22" s="110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22" s="36">
        <v>9031</v>
      </c>
      <c r="J1622" s="36" t="str">
        <f>IFERROR(INDEX(Структура_ассортимента[Generic Name (long)],MATCH(Товары[[#This Row],[SubGroup]],Структура_ассортимента[Subgroup],0)),"")</f>
        <v>TIMER</v>
      </c>
      <c r="L1622" s="36">
        <v>967926801</v>
      </c>
      <c r="M1622" s="35" t="s">
        <v>3298</v>
      </c>
      <c r="O1622" s="35" t="s">
        <v>7559</v>
      </c>
      <c r="P1622" s="37" t="s">
        <v>7620</v>
      </c>
      <c r="Q1622" s="34" t="s">
        <v>3549</v>
      </c>
      <c r="R1622" s="34" t="s">
        <v>3540</v>
      </c>
      <c r="S1622" s="47">
        <v>43831</v>
      </c>
      <c r="T1622" s="47">
        <v>0</v>
      </c>
      <c r="U1622" s="47">
        <v>0</v>
      </c>
      <c r="V1622" s="34">
        <v>4078500045575</v>
      </c>
      <c r="W1622" s="34" t="s">
        <v>3543</v>
      </c>
      <c r="Y1622" s="34" t="s">
        <v>3542</v>
      </c>
      <c r="Z1622" s="34">
        <v>2</v>
      </c>
      <c r="AH1622" s="34" t="s">
        <v>4076</v>
      </c>
      <c r="AM1622" s="40" t="s">
        <v>11</v>
      </c>
      <c r="AT1622" s="44">
        <v>0</v>
      </c>
      <c r="AU1622" s="44"/>
      <c r="AV1622" s="46">
        <f>ROUND(Товары[[#This Row],[РРЦ финальная, руб.]]/$AU$1,2)</f>
        <v>0</v>
      </c>
      <c r="AW1622" s="45" t="str">
        <f>IFERROR(Товары[[#This Row],[РРЦ, евро]]/Товары[[#This Row],[IRP, Eur]],"-")</f>
        <v>-</v>
      </c>
      <c r="AX1622" s="42">
        <f>IFERROR(VLOOKUP(Товары[[#This Row],[SubGroup]],'Структура цен DIY'!$B:$C,2,FALSE),0)</f>
        <v>0.29999999999999993</v>
      </c>
      <c r="AY1622" s="44">
        <v>0</v>
      </c>
    </row>
    <row r="1623" spans="1:51" x14ac:dyDescent="0.25">
      <c r="A1623" s="34">
        <v>1621</v>
      </c>
      <c r="B1623" s="34" t="s">
        <v>49</v>
      </c>
      <c r="C1623" s="110" t="str">
        <f>IFERROR(INDEX(Структура_ассортимента[SuperCategory],MATCH(Товары[[#This Row],[SubGroup]],Структура_ассортимента[Subgroup],0)),"")</f>
        <v>W</v>
      </c>
      <c r="D162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2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23" s="110" t="str">
        <f>IFERROR(INDEX(Структура_ассортимента[Product group],MATCH(Товары[[#This Row],[SubGroup]],Структура_ассортимента[Subgroup],0)),"")</f>
        <v>WSC_C</v>
      </c>
      <c r="G1623" s="110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23" s="110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23" s="36">
        <v>9031</v>
      </c>
      <c r="J1623" s="36" t="str">
        <f>IFERROR(INDEX(Структура_ассортимента[Generic Name (long)],MATCH(Товары[[#This Row],[SubGroup]],Структура_ассортимента[Subgroup],0)),"")</f>
        <v>TIMER</v>
      </c>
      <c r="L1623" s="36">
        <v>967926901</v>
      </c>
      <c r="M1623" s="35" t="s">
        <v>3299</v>
      </c>
      <c r="O1623" s="35" t="s">
        <v>7621</v>
      </c>
      <c r="P1623" s="37" t="s">
        <v>7622</v>
      </c>
      <c r="Q1623" s="34" t="s">
        <v>3549</v>
      </c>
      <c r="R1623" s="34" t="s">
        <v>3540</v>
      </c>
      <c r="S1623" s="47">
        <v>43831</v>
      </c>
      <c r="T1623" s="47">
        <v>0</v>
      </c>
      <c r="U1623" s="47">
        <v>0</v>
      </c>
      <c r="V1623" s="34">
        <v>4078500045551</v>
      </c>
      <c r="W1623" s="34" t="s">
        <v>3546</v>
      </c>
      <c r="Y1623" s="34" t="s">
        <v>3542</v>
      </c>
      <c r="Z1623" s="34">
        <v>2</v>
      </c>
      <c r="AM1623" s="40" t="s">
        <v>11</v>
      </c>
      <c r="AT1623" s="44">
        <v>0</v>
      </c>
      <c r="AU1623" s="44"/>
      <c r="AV1623" s="46">
        <f>ROUND(Товары[[#This Row],[РРЦ финальная, руб.]]/$AU$1,2)</f>
        <v>0</v>
      </c>
      <c r="AW1623" s="45" t="str">
        <f>IFERROR(Товары[[#This Row],[РРЦ, евро]]/Товары[[#This Row],[IRP, Eur]],"-")</f>
        <v>-</v>
      </c>
      <c r="AX1623" s="42">
        <f>IFERROR(VLOOKUP(Товары[[#This Row],[SubGroup]],'Структура цен DIY'!$B:$C,2,FALSE),0)</f>
        <v>0.29999999999999993</v>
      </c>
      <c r="AY1623" s="44">
        <v>0</v>
      </c>
    </row>
    <row r="1624" spans="1:51" x14ac:dyDescent="0.25">
      <c r="A1624" s="34">
        <v>1622</v>
      </c>
      <c r="B1624" s="34" t="s">
        <v>49</v>
      </c>
      <c r="C1624" s="110" t="str">
        <f>IFERROR(INDEX(Структура_ассортимента[SuperCategory],MATCH(Товары[[#This Row],[SubGroup]],Структура_ассортимента[Subgroup],0)),"")</f>
        <v>W</v>
      </c>
      <c r="D162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2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24" s="110" t="str">
        <f>IFERROR(INDEX(Структура_ассортимента[Product group],MATCH(Товары[[#This Row],[SubGroup]],Структура_ассортимента[Subgroup],0)),"")</f>
        <v>WSC_C</v>
      </c>
      <c r="G1624" s="110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24" s="110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24" s="36">
        <v>9031</v>
      </c>
      <c r="J1624" s="36" t="str">
        <f>IFERROR(INDEX(Структура_ассортимента[Generic Name (long)],MATCH(Товары[[#This Row],[SubGroup]],Структура_ассортимента[Subgroup],0)),"")</f>
        <v>TIMER</v>
      </c>
      <c r="L1624" s="36">
        <v>967999601</v>
      </c>
      <c r="M1624" s="35" t="s">
        <v>3300</v>
      </c>
      <c r="Q1624" s="34" t="s">
        <v>3549</v>
      </c>
      <c r="R1624" s="34" t="s">
        <v>3540</v>
      </c>
      <c r="S1624" s="47">
        <v>43831</v>
      </c>
      <c r="T1624" s="47">
        <v>0</v>
      </c>
      <c r="U1624" s="47">
        <v>0</v>
      </c>
      <c r="V1624" s="34">
        <v>4078500049566</v>
      </c>
      <c r="W1624" s="34" t="s">
        <v>3543</v>
      </c>
      <c r="Y1624" s="34" t="s">
        <v>3542</v>
      </c>
      <c r="Z1624" s="34">
        <v>1</v>
      </c>
      <c r="AM1624" s="40" t="s">
        <v>8095</v>
      </c>
      <c r="AT1624" s="44">
        <v>0</v>
      </c>
      <c r="AU1624" s="44"/>
      <c r="AV1624" s="46">
        <f>ROUND(Товары[[#This Row],[РРЦ финальная, руб.]]/$AU$1,2)</f>
        <v>0</v>
      </c>
      <c r="AW1624" s="45" t="str">
        <f>IFERROR(Товары[[#This Row],[РРЦ, евро]]/Товары[[#This Row],[IRP, Eur]],"-")</f>
        <v>-</v>
      </c>
      <c r="AX1624" s="42">
        <f>IFERROR(VLOOKUP(Товары[[#This Row],[SubGroup]],'Структура цен DIY'!$B:$C,2,FALSE),0)</f>
        <v>0.29999999999999993</v>
      </c>
      <c r="AY1624" s="44">
        <v>0</v>
      </c>
    </row>
    <row r="1625" spans="1:51" x14ac:dyDescent="0.25">
      <c r="A1625" s="34">
        <v>1623</v>
      </c>
      <c r="B1625" s="34" t="s">
        <v>49</v>
      </c>
      <c r="C1625" s="110" t="str">
        <f>IFERROR(INDEX(Структура_ассортимента[SuperCategory],MATCH(Товары[[#This Row],[SubGroup]],Структура_ассортимента[Subgroup],0)),"")</f>
        <v>W</v>
      </c>
      <c r="D162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2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25" s="110" t="str">
        <f>IFERROR(INDEX(Структура_ассортимента[Product group],MATCH(Товары[[#This Row],[SubGroup]],Структура_ассортимента[Subgroup],0)),"")</f>
        <v>WSC_C</v>
      </c>
      <c r="G1625" s="110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25" s="110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25" s="36">
        <v>9031</v>
      </c>
      <c r="J1625" s="36" t="str">
        <f>IFERROR(INDEX(Структура_ассортимента[Generic Name (long)],MATCH(Товары[[#This Row],[SubGroup]],Структура_ассортимента[Subgroup],0)),"")</f>
        <v>TIMER</v>
      </c>
      <c r="L1625" s="36">
        <v>967999701</v>
      </c>
      <c r="M1625" s="35" t="s">
        <v>3301</v>
      </c>
      <c r="Q1625" s="34" t="s">
        <v>3549</v>
      </c>
      <c r="R1625" s="34" t="s">
        <v>3540</v>
      </c>
      <c r="S1625" s="47">
        <v>43831</v>
      </c>
      <c r="T1625" s="47">
        <v>0</v>
      </c>
      <c r="U1625" s="47">
        <v>0</v>
      </c>
      <c r="V1625" s="34">
        <v>4078500049573</v>
      </c>
      <c r="W1625" s="34" t="s">
        <v>3543</v>
      </c>
      <c r="Y1625" s="34" t="s">
        <v>3542</v>
      </c>
      <c r="Z1625" s="34">
        <v>10</v>
      </c>
      <c r="AM1625" s="40" t="s">
        <v>8095</v>
      </c>
      <c r="AT1625" s="44">
        <v>0</v>
      </c>
      <c r="AU1625" s="44"/>
      <c r="AV1625" s="46">
        <f>ROUND(Товары[[#This Row],[РРЦ финальная, руб.]]/$AU$1,2)</f>
        <v>0</v>
      </c>
      <c r="AW1625" s="45" t="str">
        <f>IFERROR(Товары[[#This Row],[РРЦ, евро]]/Товары[[#This Row],[IRP, Eur]],"-")</f>
        <v>-</v>
      </c>
      <c r="AX1625" s="42">
        <f>IFERROR(VLOOKUP(Товары[[#This Row],[SubGroup]],'Структура цен DIY'!$B:$C,2,FALSE),0)</f>
        <v>0.29999999999999993</v>
      </c>
      <c r="AY1625" s="44">
        <v>0</v>
      </c>
    </row>
    <row r="1626" spans="1:51" x14ac:dyDescent="0.25">
      <c r="A1626" s="34">
        <v>1624</v>
      </c>
      <c r="B1626" s="34" t="s">
        <v>49</v>
      </c>
      <c r="C1626" s="110" t="str">
        <f>IFERROR(INDEX(Структура_ассортимента[SuperCategory],MATCH(Товары[[#This Row],[SubGroup]],Структура_ассортимента[Subgroup],0)),"")</f>
        <v>W</v>
      </c>
      <c r="D162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2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26" s="110" t="str">
        <f>IFERROR(INDEX(Структура_ассортимента[Product group],MATCH(Товары[[#This Row],[SubGroup]],Структура_ассортимента[Subgroup],0)),"")</f>
        <v>WSC_C</v>
      </c>
      <c r="G1626" s="110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26" s="110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26" s="36">
        <v>9031</v>
      </c>
      <c r="J1626" s="36" t="str">
        <f>IFERROR(INDEX(Структура_ассортимента[Generic Name (long)],MATCH(Товары[[#This Row],[SubGroup]],Структура_ассортимента[Subgroup],0)),"")</f>
        <v>TIMER</v>
      </c>
      <c r="L1626" s="36">
        <v>970480501</v>
      </c>
      <c r="M1626" s="35" t="s">
        <v>3302</v>
      </c>
      <c r="O1626" s="35" t="s">
        <v>7623</v>
      </c>
      <c r="P1626" s="37" t="s">
        <v>7624</v>
      </c>
      <c r="Q1626" s="34" t="s">
        <v>3549</v>
      </c>
      <c r="R1626" s="34" t="s">
        <v>3540</v>
      </c>
      <c r="S1626" s="47">
        <v>44197</v>
      </c>
      <c r="T1626" s="47">
        <v>0</v>
      </c>
      <c r="U1626" s="47">
        <v>0</v>
      </c>
      <c r="V1626" s="34">
        <v>4078500052924</v>
      </c>
      <c r="W1626" s="34" t="s">
        <v>3543</v>
      </c>
      <c r="Y1626" s="34" t="s">
        <v>3542</v>
      </c>
      <c r="Z1626" s="34">
        <v>2</v>
      </c>
      <c r="AM1626" s="40" t="s">
        <v>11</v>
      </c>
      <c r="AT1626" s="44">
        <v>0</v>
      </c>
      <c r="AU1626" s="44"/>
      <c r="AV1626" s="46">
        <f>ROUND(Товары[[#This Row],[РРЦ финальная, руб.]]/$AU$1,2)</f>
        <v>0</v>
      </c>
      <c r="AW1626" s="45" t="str">
        <f>IFERROR(Товары[[#This Row],[РРЦ, евро]]/Товары[[#This Row],[IRP, Eur]],"-")</f>
        <v>-</v>
      </c>
      <c r="AX1626" s="42">
        <f>IFERROR(VLOOKUP(Товары[[#This Row],[SubGroup]],'Структура цен DIY'!$B:$C,2,FALSE),0)</f>
        <v>0.29999999999999993</v>
      </c>
      <c r="AY1626" s="44">
        <v>0</v>
      </c>
    </row>
    <row r="1627" spans="1:51" x14ac:dyDescent="0.25">
      <c r="A1627" s="34">
        <v>1625</v>
      </c>
      <c r="B1627" s="34" t="s">
        <v>49</v>
      </c>
      <c r="C1627" s="110" t="str">
        <f>IFERROR(INDEX(Структура_ассортимента[SuperCategory],MATCH(Товары[[#This Row],[SubGroup]],Структура_ассортимента[Subgroup],0)),"")</f>
        <v>W</v>
      </c>
      <c r="D162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2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27" s="110" t="str">
        <f>IFERROR(INDEX(Структура_ассортимента[Product group],MATCH(Товары[[#This Row],[SubGroup]],Структура_ассортимента[Subgroup],0)),"")</f>
        <v>WSC_C</v>
      </c>
      <c r="G1627" s="110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27" s="110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27" s="36">
        <v>9031</v>
      </c>
      <c r="J1627" s="36" t="str">
        <f>IFERROR(INDEX(Структура_ассортимента[Generic Name (long)],MATCH(Товары[[#This Row],[SubGroup]],Структура_ассортимента[Subgroup],0)),"")</f>
        <v>TIMER</v>
      </c>
      <c r="L1627" s="36">
        <v>900898701</v>
      </c>
      <c r="M1627" s="35" t="s">
        <v>3303</v>
      </c>
      <c r="Q1627" s="34" t="s">
        <v>3544</v>
      </c>
      <c r="R1627" s="34" t="s">
        <v>3540</v>
      </c>
      <c r="S1627" s="47">
        <v>36069</v>
      </c>
      <c r="T1627" s="47">
        <v>0</v>
      </c>
      <c r="U1627" s="47">
        <v>0</v>
      </c>
      <c r="V1627" s="34">
        <v>4078500118903</v>
      </c>
      <c r="W1627" s="34" t="s">
        <v>3543</v>
      </c>
      <c r="Y1627" s="34" t="s">
        <v>3542</v>
      </c>
      <c r="Z1627" s="34">
        <v>2</v>
      </c>
      <c r="AA1627" s="34">
        <v>400</v>
      </c>
      <c r="AB1627" s="34">
        <v>400</v>
      </c>
      <c r="AC1627" s="34">
        <v>320</v>
      </c>
      <c r="AD1627" s="34">
        <v>320</v>
      </c>
      <c r="AE1627" s="34">
        <v>156</v>
      </c>
      <c r="AF1627" s="34">
        <v>135</v>
      </c>
      <c r="AG1627" s="34">
        <v>85</v>
      </c>
      <c r="AH1627" s="34">
        <v>1.79</v>
      </c>
      <c r="AM1627" s="40" t="s">
        <v>8094</v>
      </c>
      <c r="AT1627" s="44">
        <v>0</v>
      </c>
      <c r="AU1627" s="44"/>
      <c r="AV1627" s="46">
        <f>ROUND(Товары[[#This Row],[РРЦ финальная, руб.]]/$AU$1,2)</f>
        <v>0</v>
      </c>
      <c r="AW1627" s="45" t="str">
        <f>IFERROR(Товары[[#This Row],[РРЦ, евро]]/Товары[[#This Row],[IRP, Eur]],"-")</f>
        <v>-</v>
      </c>
      <c r="AX1627" s="42">
        <f>IFERROR(VLOOKUP(Товары[[#This Row],[SubGroup]],'Структура цен DIY'!$B:$C,2,FALSE),0)</f>
        <v>0.29999999999999993</v>
      </c>
      <c r="AY1627" s="44">
        <v>0</v>
      </c>
    </row>
    <row r="1628" spans="1:51" x14ac:dyDescent="0.25">
      <c r="A1628" s="34">
        <v>1626</v>
      </c>
      <c r="B1628" s="34" t="s">
        <v>49</v>
      </c>
      <c r="C1628" s="110" t="str">
        <f>IFERROR(INDEX(Структура_ассортимента[SuperCategory],MATCH(Товары[[#This Row],[SubGroup]],Структура_ассортимента[Subgroup],0)),"")</f>
        <v>W</v>
      </c>
      <c r="D162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2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28" s="110" t="str">
        <f>IFERROR(INDEX(Структура_ассортимента[Product group],MATCH(Товары[[#This Row],[SubGroup]],Структура_ассортимента[Subgroup],0)),"")</f>
        <v>WSC_C</v>
      </c>
      <c r="G1628" s="110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28" s="110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28" s="36">
        <v>9031</v>
      </c>
      <c r="J1628" s="36" t="str">
        <f>IFERROR(INDEX(Структура_ассортимента[Generic Name (long)],MATCH(Товары[[#This Row],[SubGroup]],Структура_ассортимента[Subgroup],0)),"")</f>
        <v>TIMER</v>
      </c>
      <c r="L1628" s="36">
        <v>900901101</v>
      </c>
      <c r="M1628" s="35" t="s">
        <v>3304</v>
      </c>
      <c r="O1628" s="35" t="s">
        <v>7625</v>
      </c>
      <c r="P1628" s="37" t="s">
        <v>7626</v>
      </c>
      <c r="Q1628" s="34" t="s">
        <v>3652</v>
      </c>
      <c r="R1628" s="34" t="s">
        <v>3540</v>
      </c>
      <c r="S1628" s="47">
        <v>38626</v>
      </c>
      <c r="T1628" s="47">
        <v>0</v>
      </c>
      <c r="U1628" s="47">
        <v>44196</v>
      </c>
      <c r="V1628" s="34">
        <v>4078500124270</v>
      </c>
      <c r="W1628" s="34" t="s">
        <v>3550</v>
      </c>
      <c r="X1628" s="34" t="s">
        <v>7570</v>
      </c>
      <c r="Y1628" s="34" t="s">
        <v>3542</v>
      </c>
      <c r="Z1628" s="34">
        <v>2</v>
      </c>
      <c r="AA1628" s="34" t="s">
        <v>4159</v>
      </c>
      <c r="AB1628" s="34" t="s">
        <v>4159</v>
      </c>
      <c r="AC1628" s="34" t="s">
        <v>7627</v>
      </c>
      <c r="AD1628" s="34" t="s">
        <v>7627</v>
      </c>
      <c r="AE1628" s="34" t="s">
        <v>4257</v>
      </c>
      <c r="AF1628" s="34" t="s">
        <v>3592</v>
      </c>
      <c r="AG1628" s="34" t="s">
        <v>4161</v>
      </c>
      <c r="AH1628" s="34" t="s">
        <v>7628</v>
      </c>
      <c r="AI1628" s="34" t="s">
        <v>3957</v>
      </c>
      <c r="AJ1628" s="34" t="s">
        <v>5924</v>
      </c>
      <c r="AK1628" s="34" t="s">
        <v>4943</v>
      </c>
      <c r="AL1628" s="34">
        <v>304</v>
      </c>
      <c r="AM1628" s="40" t="s">
        <v>9</v>
      </c>
      <c r="AP1628" s="34">
        <v>0</v>
      </c>
      <c r="AQ1628" s="34">
        <v>9390</v>
      </c>
      <c r="AR1628" s="34">
        <v>5478</v>
      </c>
      <c r="AT1628" s="44">
        <v>727300</v>
      </c>
      <c r="AU1628" s="44"/>
      <c r="AV1628" s="46">
        <f>ROUND(Товары[[#This Row],[РРЦ финальная, руб.]]/$AU$1,2)</f>
        <v>0</v>
      </c>
      <c r="AW1628" s="45" t="str">
        <f>IFERROR(Товары[[#This Row],[РРЦ, евро]]/Товары[[#This Row],[IRP, Eur]],"-")</f>
        <v>-</v>
      </c>
      <c r="AX1628" s="42">
        <f>IFERROR(VLOOKUP(Товары[[#This Row],[SubGroup]],'Структура цен DIY'!$B:$C,2,FALSE),0)</f>
        <v>0.29999999999999993</v>
      </c>
      <c r="AY1628" s="44">
        <v>0</v>
      </c>
    </row>
    <row r="1629" spans="1:51" x14ac:dyDescent="0.25">
      <c r="A1629" s="34">
        <v>1627</v>
      </c>
      <c r="B1629" s="34" t="s">
        <v>49</v>
      </c>
      <c r="C1629" s="110" t="str">
        <f>IFERROR(INDEX(Структура_ассортимента[SuperCategory],MATCH(Товары[[#This Row],[SubGroup]],Структура_ассортимента[Subgroup],0)),"")</f>
        <v>W</v>
      </c>
      <c r="D162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2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29" s="110" t="str">
        <f>IFERROR(INDEX(Структура_ассортимента[Product group],MATCH(Товары[[#This Row],[SubGroup]],Структура_ассортимента[Subgroup],0)),"")</f>
        <v>WSC_C</v>
      </c>
      <c r="G1629" s="110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29" s="110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29" s="36">
        <v>9031</v>
      </c>
      <c r="J1629" s="36" t="str">
        <f>IFERROR(INDEX(Структура_ассортимента[Generic Name (long)],MATCH(Товары[[#This Row],[SubGroup]],Структура_ассортимента[Subgroup],0)),"")</f>
        <v>TIMER</v>
      </c>
      <c r="L1629" s="36">
        <v>900903401</v>
      </c>
      <c r="M1629" s="35" t="s">
        <v>3305</v>
      </c>
      <c r="P1629" s="37" t="s">
        <v>7629</v>
      </c>
      <c r="Q1629" s="34" t="s">
        <v>3544</v>
      </c>
      <c r="R1629" s="34" t="s">
        <v>3540</v>
      </c>
      <c r="S1629" s="47">
        <v>37895</v>
      </c>
      <c r="T1629" s="47">
        <v>0</v>
      </c>
      <c r="U1629" s="47">
        <v>0</v>
      </c>
      <c r="V1629" s="34">
        <v>4078500127301</v>
      </c>
      <c r="W1629" s="34" t="s">
        <v>3550</v>
      </c>
      <c r="Y1629" s="34" t="s">
        <v>3542</v>
      </c>
      <c r="Z1629" s="34">
        <v>2</v>
      </c>
      <c r="AA1629" s="34">
        <v>447</v>
      </c>
      <c r="AB1629" s="34">
        <v>447</v>
      </c>
      <c r="AC1629" s="34">
        <v>400</v>
      </c>
      <c r="AD1629" s="34">
        <v>400</v>
      </c>
      <c r="AE1629" s="34">
        <v>192</v>
      </c>
      <c r="AF1629" s="34">
        <v>95</v>
      </c>
      <c r="AG1629" s="34">
        <v>86</v>
      </c>
      <c r="AH1629" s="34">
        <v>1.569</v>
      </c>
      <c r="AM1629" s="40" t="s">
        <v>233</v>
      </c>
      <c r="AP1629" s="34">
        <v>0</v>
      </c>
      <c r="AQ1629" s="34">
        <v>6990</v>
      </c>
      <c r="AR1629" s="34">
        <v>4078</v>
      </c>
      <c r="AT1629" s="44">
        <v>541400</v>
      </c>
      <c r="AU1629" s="44"/>
      <c r="AV1629" s="46">
        <f>ROUND(Товары[[#This Row],[РРЦ финальная, руб.]]/$AU$1,2)</f>
        <v>0</v>
      </c>
      <c r="AW1629" s="45" t="str">
        <f>IFERROR(Товары[[#This Row],[РРЦ, евро]]/Товары[[#This Row],[IRP, Eur]],"-")</f>
        <v>-</v>
      </c>
      <c r="AX1629" s="42">
        <f>IFERROR(VLOOKUP(Товары[[#This Row],[SubGroup]],'Структура цен DIY'!$B:$C,2,FALSE),0)</f>
        <v>0.29999999999999993</v>
      </c>
      <c r="AY1629" s="44">
        <v>0</v>
      </c>
    </row>
    <row r="1630" spans="1:51" x14ac:dyDescent="0.25">
      <c r="A1630" s="34">
        <v>1628</v>
      </c>
      <c r="B1630" s="34" t="s">
        <v>49</v>
      </c>
      <c r="C1630" s="110" t="str">
        <f>IFERROR(INDEX(Структура_ассортимента[SuperCategory],MATCH(Товары[[#This Row],[SubGroup]],Структура_ассортимента[Subgroup],0)),"")</f>
        <v>W</v>
      </c>
      <c r="D163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3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30" s="110" t="str">
        <f>IFERROR(INDEX(Структура_ассортимента[Product group],MATCH(Товары[[#This Row],[SubGroup]],Структура_ассортимента[Subgroup],0)),"")</f>
        <v>WSC_C</v>
      </c>
      <c r="G1630" s="110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30" s="110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30" s="36">
        <v>9031</v>
      </c>
      <c r="J1630" s="36" t="str">
        <f>IFERROR(INDEX(Структура_ассортимента[Generic Name (long)],MATCH(Товары[[#This Row],[SubGroup]],Структура_ассортимента[Subgroup],0)),"")</f>
        <v>TIMER</v>
      </c>
      <c r="L1630" s="36">
        <v>900903801</v>
      </c>
      <c r="M1630" s="35" t="s">
        <v>3306</v>
      </c>
      <c r="P1630" s="37" t="s">
        <v>7630</v>
      </c>
      <c r="Q1630" s="34" t="s">
        <v>3544</v>
      </c>
      <c r="R1630" s="34" t="s">
        <v>3540</v>
      </c>
      <c r="S1630" s="47">
        <v>38261</v>
      </c>
      <c r="T1630" s="47">
        <v>0</v>
      </c>
      <c r="U1630" s="47">
        <v>0</v>
      </c>
      <c r="V1630" s="34">
        <v>4078500127677</v>
      </c>
      <c r="W1630" s="34" t="s">
        <v>3550</v>
      </c>
      <c r="Y1630" s="34" t="s">
        <v>3542</v>
      </c>
      <c r="Z1630" s="34">
        <v>2</v>
      </c>
      <c r="AA1630" s="34">
        <v>1310</v>
      </c>
      <c r="AB1630" s="34">
        <v>1310</v>
      </c>
      <c r="AC1630" s="34">
        <v>1185</v>
      </c>
      <c r="AD1630" s="34">
        <v>1185</v>
      </c>
      <c r="AE1630" s="34">
        <v>180</v>
      </c>
      <c r="AF1630" s="34">
        <v>65</v>
      </c>
      <c r="AG1630" s="34">
        <v>225</v>
      </c>
      <c r="AH1630" s="34">
        <v>2.633</v>
      </c>
      <c r="AM1630" s="40" t="s">
        <v>233</v>
      </c>
      <c r="AT1630" s="44">
        <v>0</v>
      </c>
      <c r="AU1630" s="44"/>
      <c r="AV1630" s="46">
        <f>ROUND(Товары[[#This Row],[РРЦ финальная, руб.]]/$AU$1,2)</f>
        <v>0</v>
      </c>
      <c r="AW1630" s="45" t="str">
        <f>IFERROR(Товары[[#This Row],[РРЦ, евро]]/Товары[[#This Row],[IRP, Eur]],"-")</f>
        <v>-</v>
      </c>
      <c r="AX1630" s="42">
        <f>IFERROR(VLOOKUP(Товары[[#This Row],[SubGroup]],'Структура цен DIY'!$B:$C,2,FALSE),0)</f>
        <v>0.29999999999999993</v>
      </c>
      <c r="AY1630" s="44">
        <v>0</v>
      </c>
    </row>
    <row r="1631" spans="1:51" x14ac:dyDescent="0.25">
      <c r="A1631" s="34">
        <v>1629</v>
      </c>
      <c r="B1631" s="34" t="s">
        <v>49</v>
      </c>
      <c r="C1631" s="110" t="str">
        <f>IFERROR(INDEX(Структура_ассортимента[SuperCategory],MATCH(Товары[[#This Row],[SubGroup]],Структура_ассортимента[Subgroup],0)),"")</f>
        <v>W</v>
      </c>
      <c r="D163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3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31" s="110" t="str">
        <f>IFERROR(INDEX(Структура_ассортимента[Product group],MATCH(Товары[[#This Row],[SubGroup]],Структура_ассортимента[Subgroup],0)),"")</f>
        <v>WSC_C</v>
      </c>
      <c r="G1631" s="110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31" s="110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31" s="36">
        <v>9031</v>
      </c>
      <c r="J1631" s="36" t="str">
        <f>IFERROR(INDEX(Структура_ассортимента[Generic Name (long)],MATCH(Товары[[#This Row],[SubGroup]],Структура_ассортимента[Subgroup],0)),"")</f>
        <v>TIMER</v>
      </c>
      <c r="L1631" s="36">
        <v>900904001</v>
      </c>
      <c r="M1631" s="35" t="s">
        <v>3307</v>
      </c>
      <c r="P1631" s="37" t="s">
        <v>7631</v>
      </c>
      <c r="Q1631" s="34" t="s">
        <v>3544</v>
      </c>
      <c r="R1631" s="34" t="s">
        <v>3540</v>
      </c>
      <c r="S1631" s="47">
        <v>38261</v>
      </c>
      <c r="T1631" s="47">
        <v>0</v>
      </c>
      <c r="U1631" s="47">
        <v>0</v>
      </c>
      <c r="V1631" s="34">
        <v>4078500127776</v>
      </c>
      <c r="W1631" s="34" t="s">
        <v>3550</v>
      </c>
      <c r="Y1631" s="34" t="s">
        <v>3542</v>
      </c>
      <c r="Z1631" s="34">
        <v>4</v>
      </c>
      <c r="AA1631" s="34">
        <v>226</v>
      </c>
      <c r="AB1631" s="34">
        <v>226</v>
      </c>
      <c r="AC1631" s="34">
        <v>210</v>
      </c>
      <c r="AD1631" s="34">
        <v>210</v>
      </c>
      <c r="AE1631" s="34">
        <v>62</v>
      </c>
      <c r="AF1631" s="34">
        <v>52</v>
      </c>
      <c r="AG1631" s="34">
        <v>228</v>
      </c>
      <c r="AH1631" s="34">
        <v>0.73499999999999999</v>
      </c>
      <c r="AM1631" s="40" t="s">
        <v>233</v>
      </c>
      <c r="AT1631" s="44">
        <v>0</v>
      </c>
      <c r="AU1631" s="44"/>
      <c r="AV1631" s="46">
        <f>ROUND(Товары[[#This Row],[РРЦ финальная, руб.]]/$AU$1,2)</f>
        <v>0</v>
      </c>
      <c r="AW1631" s="45" t="str">
        <f>IFERROR(Товары[[#This Row],[РРЦ, евро]]/Товары[[#This Row],[IRP, Eur]],"-")</f>
        <v>-</v>
      </c>
      <c r="AX1631" s="42">
        <f>IFERROR(VLOOKUP(Товары[[#This Row],[SubGroup]],'Структура цен DIY'!$B:$C,2,FALSE),0)</f>
        <v>0.29999999999999993</v>
      </c>
      <c r="AY1631" s="44">
        <v>0</v>
      </c>
    </row>
    <row r="1632" spans="1:51" x14ac:dyDescent="0.25">
      <c r="A1632" s="34">
        <v>1630</v>
      </c>
      <c r="B1632" s="34" t="s">
        <v>49</v>
      </c>
      <c r="C1632" s="110" t="str">
        <f>IFERROR(INDEX(Структура_ассортимента[SuperCategory],MATCH(Товары[[#This Row],[SubGroup]],Структура_ассортимента[Subgroup],0)),"")</f>
        <v>W</v>
      </c>
      <c r="D163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3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32" s="110" t="str">
        <f>IFERROR(INDEX(Структура_ассортимента[Product group],MATCH(Товары[[#This Row],[SubGroup]],Структура_ассортимента[Subgroup],0)),"")</f>
        <v>WSS_C</v>
      </c>
      <c r="G1632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32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32" s="36">
        <v>9033</v>
      </c>
      <c r="J1632" s="36" t="str">
        <f>IFERROR(INDEX(Структура_ассортимента[Generic Name (long)],MATCH(Товары[[#This Row],[SubGroup]],Структура_ассортимента[Subgroup],0)),"")</f>
        <v>WATERING SET</v>
      </c>
      <c r="L1632" s="36">
        <v>900906301</v>
      </c>
      <c r="M1632" s="35" t="s">
        <v>3308</v>
      </c>
      <c r="Q1632" s="34" t="s">
        <v>4564</v>
      </c>
      <c r="R1632" s="34" t="s">
        <v>3540</v>
      </c>
      <c r="S1632" s="47">
        <v>32782</v>
      </c>
      <c r="T1632" s="47">
        <v>0</v>
      </c>
      <c r="U1632" s="47">
        <v>0</v>
      </c>
      <c r="V1632" s="34">
        <v>4078500132787</v>
      </c>
      <c r="W1632" s="34" t="s">
        <v>3543</v>
      </c>
      <c r="Y1632" s="34" t="s">
        <v>3542</v>
      </c>
      <c r="Z1632" s="34">
        <v>10</v>
      </c>
      <c r="AA1632" s="34">
        <v>41</v>
      </c>
      <c r="AB1632" s="34">
        <v>45</v>
      </c>
      <c r="AC1632" s="34">
        <v>35</v>
      </c>
      <c r="AD1632" s="34">
        <v>41</v>
      </c>
      <c r="AE1632" s="34">
        <v>220</v>
      </c>
      <c r="AF1632" s="34">
        <v>106</v>
      </c>
      <c r="AG1632" s="34">
        <v>25</v>
      </c>
      <c r="AH1632" s="34">
        <v>0.58299999999999996</v>
      </c>
      <c r="AM1632" s="40" t="s">
        <v>8094</v>
      </c>
      <c r="AT1632" s="44">
        <v>0</v>
      </c>
      <c r="AU1632" s="44"/>
      <c r="AV1632" s="46">
        <f>ROUND(Товары[[#This Row],[РРЦ финальная, руб.]]/$AU$1,2)</f>
        <v>0</v>
      </c>
      <c r="AW1632" s="45" t="str">
        <f>IFERROR(Товары[[#This Row],[РРЦ, евро]]/Товары[[#This Row],[IRP, Eur]],"-")</f>
        <v>-</v>
      </c>
      <c r="AX1632" s="42">
        <f>IFERROR(VLOOKUP(Товары[[#This Row],[SubGroup]],'Структура цен DIY'!$B:$C,2,FALSE),0)</f>
        <v>0.30000000000000016</v>
      </c>
      <c r="AY1632" s="44">
        <v>0</v>
      </c>
    </row>
    <row r="1633" spans="1:51" x14ac:dyDescent="0.25">
      <c r="A1633" s="34">
        <v>1631</v>
      </c>
      <c r="B1633" s="34" t="s">
        <v>49</v>
      </c>
      <c r="C1633" s="110" t="str">
        <f>IFERROR(INDEX(Структура_ассортимента[SuperCategory],MATCH(Товары[[#This Row],[SubGroup]],Структура_ассортимента[Subgroup],0)),"")</f>
        <v>W</v>
      </c>
      <c r="D163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3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33" s="110" t="str">
        <f>IFERROR(INDEX(Структура_ассортимента[Product group],MATCH(Товары[[#This Row],[SubGroup]],Структура_ассортимента[Subgroup],0)),"")</f>
        <v>WSS_C</v>
      </c>
      <c r="G1633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33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33" s="36">
        <v>9033</v>
      </c>
      <c r="J1633" s="36" t="str">
        <f>IFERROR(INDEX(Структура_ассортимента[Generic Name (long)],MATCH(Товары[[#This Row],[SubGroup]],Структура_ассортимента[Subgroup],0)),"")</f>
        <v>WATERING SET</v>
      </c>
      <c r="L1633" s="36">
        <v>966687901</v>
      </c>
      <c r="M1633" s="35" t="s">
        <v>3309</v>
      </c>
      <c r="Q1633" s="34" t="s">
        <v>4564</v>
      </c>
      <c r="R1633" s="34" t="s">
        <v>3540</v>
      </c>
      <c r="S1633" s="47">
        <v>40452</v>
      </c>
      <c r="T1633" s="47">
        <v>0</v>
      </c>
      <c r="U1633" s="47">
        <v>0</v>
      </c>
      <c r="V1633" s="34">
        <v>4078500134699</v>
      </c>
      <c r="W1633" s="34" t="s">
        <v>3550</v>
      </c>
      <c r="Y1633" s="34" t="s">
        <v>3542</v>
      </c>
      <c r="Z1633" s="34">
        <v>3</v>
      </c>
      <c r="AA1633" s="34">
        <v>991</v>
      </c>
      <c r="AB1633" s="34">
        <v>991</v>
      </c>
      <c r="AC1633" s="34">
        <v>130</v>
      </c>
      <c r="AD1633" s="34">
        <v>800</v>
      </c>
      <c r="AE1633" s="34">
        <v>450</v>
      </c>
      <c r="AF1633" s="34">
        <v>460</v>
      </c>
      <c r="AG1633" s="34">
        <v>55</v>
      </c>
      <c r="AH1633" s="34">
        <v>11.385</v>
      </c>
      <c r="AM1633" s="40" t="s">
        <v>8094</v>
      </c>
      <c r="AT1633" s="44">
        <v>0</v>
      </c>
      <c r="AU1633" s="44"/>
      <c r="AV1633" s="46">
        <f>ROUND(Товары[[#This Row],[РРЦ финальная, руб.]]/$AU$1,2)</f>
        <v>0</v>
      </c>
      <c r="AW1633" s="45" t="str">
        <f>IFERROR(Товары[[#This Row],[РРЦ, евро]]/Товары[[#This Row],[IRP, Eur]],"-")</f>
        <v>-</v>
      </c>
      <c r="AX1633" s="42">
        <f>IFERROR(VLOOKUP(Товары[[#This Row],[SubGroup]],'Структура цен DIY'!$B:$C,2,FALSE),0)</f>
        <v>0.30000000000000016</v>
      </c>
      <c r="AY1633" s="44">
        <v>0</v>
      </c>
    </row>
    <row r="1634" spans="1:51" x14ac:dyDescent="0.25">
      <c r="A1634" s="34">
        <v>1632</v>
      </c>
      <c r="B1634" s="34" t="s">
        <v>49</v>
      </c>
      <c r="C1634" s="110" t="str">
        <f>IFERROR(INDEX(Структура_ассортимента[SuperCategory],MATCH(Товары[[#This Row],[SubGroup]],Структура_ассортимента[Subgroup],0)),"")</f>
        <v>W</v>
      </c>
      <c r="D163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3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34" s="110" t="str">
        <f>IFERROR(INDEX(Структура_ассортимента[Product group],MATCH(Товары[[#This Row],[SubGroup]],Структура_ассортимента[Subgroup],0)),"")</f>
        <v>WSS_C</v>
      </c>
      <c r="G1634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34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34" s="36">
        <v>9033</v>
      </c>
      <c r="J1634" s="36" t="str">
        <f>IFERROR(INDEX(Структура_ассортимента[Generic Name (long)],MATCH(Товары[[#This Row],[SubGroup]],Структура_ассортимента[Subgroup],0)),"")</f>
        <v>WATERING SET</v>
      </c>
      <c r="L1634" s="36">
        <v>966688001</v>
      </c>
      <c r="M1634" s="35" t="s">
        <v>3310</v>
      </c>
      <c r="Q1634" s="34" t="s">
        <v>4564</v>
      </c>
      <c r="R1634" s="34" t="s">
        <v>3540</v>
      </c>
      <c r="S1634" s="47">
        <v>40452</v>
      </c>
      <c r="T1634" s="47">
        <v>0</v>
      </c>
      <c r="U1634" s="47">
        <v>0</v>
      </c>
      <c r="V1634" s="34">
        <v>4078500134798</v>
      </c>
      <c r="W1634" s="34" t="s">
        <v>3550</v>
      </c>
      <c r="Y1634" s="34" t="s">
        <v>3542</v>
      </c>
      <c r="Z1634" s="34">
        <v>1</v>
      </c>
      <c r="AA1634" s="34">
        <v>2250</v>
      </c>
      <c r="AB1634" s="34">
        <v>2250</v>
      </c>
      <c r="AC1634" s="34">
        <v>160</v>
      </c>
      <c r="AD1634" s="34">
        <v>2200</v>
      </c>
      <c r="AE1634" s="34">
        <v>550</v>
      </c>
      <c r="AF1634" s="34">
        <v>550</v>
      </c>
      <c r="AG1634" s="34">
        <v>80</v>
      </c>
      <c r="AH1634" s="34">
        <v>24.2</v>
      </c>
      <c r="AM1634" s="40" t="s">
        <v>8094</v>
      </c>
      <c r="AT1634" s="44">
        <v>0</v>
      </c>
      <c r="AU1634" s="44"/>
      <c r="AV1634" s="46">
        <f>ROUND(Товары[[#This Row],[РРЦ финальная, руб.]]/$AU$1,2)</f>
        <v>0</v>
      </c>
      <c r="AW1634" s="45" t="str">
        <f>IFERROR(Товары[[#This Row],[РРЦ, евро]]/Товары[[#This Row],[IRP, Eur]],"-")</f>
        <v>-</v>
      </c>
      <c r="AX1634" s="42">
        <f>IFERROR(VLOOKUP(Товары[[#This Row],[SubGroup]],'Структура цен DIY'!$B:$C,2,FALSE),0)</f>
        <v>0.30000000000000016</v>
      </c>
      <c r="AY1634" s="44">
        <v>0</v>
      </c>
    </row>
    <row r="1635" spans="1:51" x14ac:dyDescent="0.25">
      <c r="A1635" s="34">
        <v>1633</v>
      </c>
      <c r="B1635" s="34" t="s">
        <v>49</v>
      </c>
      <c r="C1635" s="110" t="str">
        <f>IFERROR(INDEX(Структура_ассортимента[SuperCategory],MATCH(Товары[[#This Row],[SubGroup]],Структура_ассортимента[Subgroup],0)),"")</f>
        <v>W</v>
      </c>
      <c r="D163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3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35" s="110" t="str">
        <f>IFERROR(INDEX(Структура_ассортимента[Product group],MATCH(Товары[[#This Row],[SubGroup]],Структура_ассортимента[Subgroup],0)),"")</f>
        <v>WSS_C</v>
      </c>
      <c r="G1635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35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35" s="36">
        <v>9033</v>
      </c>
      <c r="J1635" s="36" t="str">
        <f>IFERROR(INDEX(Структура_ассортимента[Generic Name (long)],MATCH(Товары[[#This Row],[SubGroup]],Структура_ассортимента[Subgroup],0)),"")</f>
        <v>WATERING SET</v>
      </c>
      <c r="L1635" s="36">
        <v>966688101</v>
      </c>
      <c r="M1635" s="35" t="s">
        <v>3311</v>
      </c>
      <c r="Q1635" s="34" t="s">
        <v>4564</v>
      </c>
      <c r="R1635" s="34" t="s">
        <v>3540</v>
      </c>
      <c r="S1635" s="47">
        <v>40452</v>
      </c>
      <c r="T1635" s="47">
        <v>0</v>
      </c>
      <c r="U1635" s="47">
        <v>0</v>
      </c>
      <c r="V1635" s="34">
        <v>4078500134897</v>
      </c>
      <c r="W1635" s="34" t="s">
        <v>3550</v>
      </c>
      <c r="Y1635" s="34" t="s">
        <v>3542</v>
      </c>
      <c r="Z1635" s="34">
        <v>3</v>
      </c>
      <c r="AA1635" s="34">
        <v>657</v>
      </c>
      <c r="AB1635" s="34">
        <v>657</v>
      </c>
      <c r="AC1635" s="34">
        <v>59</v>
      </c>
      <c r="AD1635" s="34">
        <v>572</v>
      </c>
      <c r="AE1635" s="34">
        <v>325</v>
      </c>
      <c r="AF1635" s="34">
        <v>325</v>
      </c>
      <c r="AG1635" s="34">
        <v>47</v>
      </c>
      <c r="AH1635" s="34">
        <v>4.9640000000000004</v>
      </c>
      <c r="AM1635" s="40" t="s">
        <v>8094</v>
      </c>
      <c r="AT1635" s="44">
        <v>0</v>
      </c>
      <c r="AU1635" s="44"/>
      <c r="AV1635" s="46">
        <f>ROUND(Товары[[#This Row],[РРЦ финальная, руб.]]/$AU$1,2)</f>
        <v>0</v>
      </c>
      <c r="AW1635" s="45" t="str">
        <f>IFERROR(Товары[[#This Row],[РРЦ, евро]]/Товары[[#This Row],[IRP, Eur]],"-")</f>
        <v>-</v>
      </c>
      <c r="AX1635" s="42">
        <f>IFERROR(VLOOKUP(Товары[[#This Row],[SubGroup]],'Структура цен DIY'!$B:$C,2,FALSE),0)</f>
        <v>0.30000000000000016</v>
      </c>
      <c r="AY1635" s="44">
        <v>0</v>
      </c>
    </row>
    <row r="1636" spans="1:51" x14ac:dyDescent="0.25">
      <c r="A1636" s="34">
        <v>1634</v>
      </c>
      <c r="B1636" s="34" t="s">
        <v>49</v>
      </c>
      <c r="C1636" s="110" t="str">
        <f>IFERROR(INDEX(Структура_ассортимента[SuperCategory],MATCH(Товары[[#This Row],[SubGroup]],Структура_ассортимента[Subgroup],0)),"")</f>
        <v>W</v>
      </c>
      <c r="D163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3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36" s="110" t="str">
        <f>IFERROR(INDEX(Структура_ассортимента[Product group],MATCH(Товары[[#This Row],[SubGroup]],Структура_ассортимента[Subgroup],0)),"")</f>
        <v>WSS_C</v>
      </c>
      <c r="G1636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36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36" s="36">
        <v>9033</v>
      </c>
      <c r="J1636" s="36" t="str">
        <f>IFERROR(INDEX(Структура_ассортимента[Generic Name (long)],MATCH(Товары[[#This Row],[SubGroup]],Структура_ассортимента[Subgroup],0)),"")</f>
        <v>WATERING SET</v>
      </c>
      <c r="L1636" s="36">
        <v>966688201</v>
      </c>
      <c r="M1636" s="35" t="s">
        <v>3312</v>
      </c>
      <c r="Q1636" s="34" t="s">
        <v>4564</v>
      </c>
      <c r="R1636" s="34" t="s">
        <v>3540</v>
      </c>
      <c r="S1636" s="47">
        <v>40452</v>
      </c>
      <c r="T1636" s="47">
        <v>0</v>
      </c>
      <c r="U1636" s="47">
        <v>0</v>
      </c>
      <c r="V1636" s="34">
        <v>4078500136174</v>
      </c>
      <c r="W1636" s="34" t="s">
        <v>3550</v>
      </c>
      <c r="Y1636" s="34" t="s">
        <v>3542</v>
      </c>
      <c r="Z1636" s="34">
        <v>4</v>
      </c>
      <c r="AA1636" s="34">
        <v>335</v>
      </c>
      <c r="AB1636" s="34">
        <v>335</v>
      </c>
      <c r="AC1636" s="34">
        <v>80</v>
      </c>
      <c r="AD1636" s="34">
        <v>270</v>
      </c>
      <c r="AE1636" s="34">
        <v>260</v>
      </c>
      <c r="AF1636" s="34">
        <v>225</v>
      </c>
      <c r="AG1636" s="34">
        <v>55</v>
      </c>
      <c r="AH1636" s="34">
        <v>3.218</v>
      </c>
      <c r="AM1636" s="40" t="s">
        <v>8094</v>
      </c>
      <c r="AT1636" s="44">
        <v>0</v>
      </c>
      <c r="AU1636" s="44"/>
      <c r="AV1636" s="46">
        <f>ROUND(Товары[[#This Row],[РРЦ финальная, руб.]]/$AU$1,2)</f>
        <v>0</v>
      </c>
      <c r="AW1636" s="45" t="str">
        <f>IFERROR(Товары[[#This Row],[РРЦ, евро]]/Товары[[#This Row],[IRP, Eur]],"-")</f>
        <v>-</v>
      </c>
      <c r="AX1636" s="42">
        <f>IFERROR(VLOOKUP(Товары[[#This Row],[SubGroup]],'Структура цен DIY'!$B:$C,2,FALSE),0)</f>
        <v>0.30000000000000016</v>
      </c>
      <c r="AY1636" s="44">
        <v>0</v>
      </c>
    </row>
    <row r="1637" spans="1:51" x14ac:dyDescent="0.25">
      <c r="A1637" s="34">
        <v>1635</v>
      </c>
      <c r="B1637" s="34" t="s">
        <v>49</v>
      </c>
      <c r="C1637" s="110" t="str">
        <f>IFERROR(INDEX(Структура_ассортимента[SuperCategory],MATCH(Товары[[#This Row],[SubGroup]],Структура_ассортимента[Subgroup],0)),"")</f>
        <v>W</v>
      </c>
      <c r="D163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3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37" s="110" t="str">
        <f>IFERROR(INDEX(Структура_ассортимента[Product group],MATCH(Товары[[#This Row],[SubGroup]],Структура_ассортимента[Subgroup],0)),"")</f>
        <v>WSS_C</v>
      </c>
      <c r="G1637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37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37" s="36">
        <v>9033</v>
      </c>
      <c r="J1637" s="36" t="str">
        <f>IFERROR(INDEX(Структура_ассортимента[Generic Name (long)],MATCH(Товары[[#This Row],[SubGroup]],Структура_ассортимента[Subgroup],0)),"")</f>
        <v>WATERING SET</v>
      </c>
      <c r="L1637" s="36">
        <v>900913101</v>
      </c>
      <c r="M1637" s="35" t="s">
        <v>3313</v>
      </c>
      <c r="Q1637" s="34" t="s">
        <v>4564</v>
      </c>
      <c r="R1637" s="34" t="s">
        <v>3540</v>
      </c>
      <c r="S1637" s="47">
        <v>32782</v>
      </c>
      <c r="T1637" s="47">
        <v>0</v>
      </c>
      <c r="U1637" s="47">
        <v>0</v>
      </c>
      <c r="V1637" s="34">
        <v>4078500137782</v>
      </c>
      <c r="W1637" s="34" t="s">
        <v>3543</v>
      </c>
      <c r="Y1637" s="34" t="s">
        <v>3542</v>
      </c>
      <c r="Z1637" s="34">
        <v>10</v>
      </c>
      <c r="AA1637" s="34">
        <v>77</v>
      </c>
      <c r="AB1637" s="34">
        <v>77</v>
      </c>
      <c r="AC1637" s="34">
        <v>1</v>
      </c>
      <c r="AD1637" s="34">
        <v>75</v>
      </c>
      <c r="AE1637" s="34">
        <v>384</v>
      </c>
      <c r="AF1637" s="34">
        <v>129</v>
      </c>
      <c r="AG1637" s="34">
        <v>12</v>
      </c>
      <c r="AH1637" s="34">
        <v>0.59399999999999997</v>
      </c>
      <c r="AM1637" s="40" t="s">
        <v>8094</v>
      </c>
      <c r="AT1637" s="44">
        <v>0</v>
      </c>
      <c r="AU1637" s="44"/>
      <c r="AV1637" s="46">
        <f>ROUND(Товары[[#This Row],[РРЦ финальная, руб.]]/$AU$1,2)</f>
        <v>0</v>
      </c>
      <c r="AW1637" s="45" t="str">
        <f>IFERROR(Товары[[#This Row],[РРЦ, евро]]/Товары[[#This Row],[IRP, Eur]],"-")</f>
        <v>-</v>
      </c>
      <c r="AX1637" s="42">
        <f>IFERROR(VLOOKUP(Товары[[#This Row],[SubGroup]],'Структура цен DIY'!$B:$C,2,FALSE),0)</f>
        <v>0.30000000000000016</v>
      </c>
      <c r="AY1637" s="44">
        <v>0</v>
      </c>
    </row>
    <row r="1638" spans="1:51" x14ac:dyDescent="0.25">
      <c r="A1638" s="34">
        <v>1636</v>
      </c>
      <c r="B1638" s="34" t="s">
        <v>49</v>
      </c>
      <c r="C1638" s="110" t="str">
        <f>IFERROR(INDEX(Структура_ассортимента[SuperCategory],MATCH(Товары[[#This Row],[SubGroup]],Структура_ассортимента[Subgroup],0)),"")</f>
        <v>W</v>
      </c>
      <c r="D163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3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38" s="110" t="str">
        <f>IFERROR(INDEX(Структура_ассортимента[Product group],MATCH(Товары[[#This Row],[SubGroup]],Структура_ассортимента[Subgroup],0)),"")</f>
        <v>WSS_C</v>
      </c>
      <c r="G1638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38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38" s="36">
        <v>9033</v>
      </c>
      <c r="J1638" s="36" t="str">
        <f>IFERROR(INDEX(Структура_ассортимента[Generic Name (long)],MATCH(Товары[[#This Row],[SubGroup]],Структура_ассортимента[Subgroup],0)),"")</f>
        <v>WATERING SET</v>
      </c>
      <c r="L1638" s="36">
        <v>900914101</v>
      </c>
      <c r="M1638" s="35" t="s">
        <v>3314</v>
      </c>
      <c r="Q1638" s="34" t="s">
        <v>4564</v>
      </c>
      <c r="R1638" s="34" t="s">
        <v>3540</v>
      </c>
      <c r="S1638" s="47">
        <v>37895</v>
      </c>
      <c r="T1638" s="47">
        <v>0</v>
      </c>
      <c r="U1638" s="47">
        <v>0</v>
      </c>
      <c r="V1638" s="34">
        <v>4078500138598</v>
      </c>
      <c r="W1638" s="34" t="s">
        <v>3550</v>
      </c>
      <c r="Y1638" s="34" t="s">
        <v>3542</v>
      </c>
      <c r="Z1638" s="34">
        <v>1</v>
      </c>
      <c r="AA1638" s="34">
        <v>2900</v>
      </c>
      <c r="AB1638" s="34">
        <v>2900</v>
      </c>
      <c r="AC1638" s="34">
        <v>2700</v>
      </c>
      <c r="AD1638" s="34">
        <v>2700</v>
      </c>
      <c r="AE1638" s="34">
        <v>575</v>
      </c>
      <c r="AF1638" s="34">
        <v>575</v>
      </c>
      <c r="AG1638" s="34">
        <v>115</v>
      </c>
      <c r="AH1638" s="34">
        <v>38.021999999999998</v>
      </c>
      <c r="AM1638" s="40" t="s">
        <v>8094</v>
      </c>
      <c r="AT1638" s="44">
        <v>0</v>
      </c>
      <c r="AU1638" s="44"/>
      <c r="AV1638" s="46">
        <f>ROUND(Товары[[#This Row],[РРЦ финальная, руб.]]/$AU$1,2)</f>
        <v>0</v>
      </c>
      <c r="AW1638" s="45" t="str">
        <f>IFERROR(Товары[[#This Row],[РРЦ, евро]]/Товары[[#This Row],[IRP, Eur]],"-")</f>
        <v>-</v>
      </c>
      <c r="AX1638" s="42">
        <f>IFERROR(VLOOKUP(Товары[[#This Row],[SubGroup]],'Структура цен DIY'!$B:$C,2,FALSE),0)</f>
        <v>0.30000000000000016</v>
      </c>
      <c r="AY1638" s="44">
        <v>0</v>
      </c>
    </row>
    <row r="1639" spans="1:51" x14ac:dyDescent="0.25">
      <c r="A1639" s="34">
        <v>1637</v>
      </c>
      <c r="B1639" s="34" t="s">
        <v>49</v>
      </c>
      <c r="C1639" s="110" t="str">
        <f>IFERROR(INDEX(Структура_ассортимента[SuperCategory],MATCH(Товары[[#This Row],[SubGroup]],Структура_ассортимента[Subgroup],0)),"")</f>
        <v>W</v>
      </c>
      <c r="D163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3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39" s="110" t="str">
        <f>IFERROR(INDEX(Структура_ассортимента[Product group],MATCH(Товары[[#This Row],[SubGroup]],Структура_ассортимента[Subgroup],0)),"")</f>
        <v>WSS_C</v>
      </c>
      <c r="G1639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39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39" s="36">
        <v>9033</v>
      </c>
      <c r="J1639" s="36" t="str">
        <f>IFERROR(INDEX(Структура_ассортимента[Generic Name (long)],MATCH(Товары[[#This Row],[SubGroup]],Структура_ассортимента[Subgroup],0)),"")</f>
        <v>WATERING SET</v>
      </c>
      <c r="L1639" s="36">
        <v>966688301</v>
      </c>
      <c r="M1639" s="35" t="s">
        <v>3315</v>
      </c>
      <c r="Q1639" s="34" t="s">
        <v>3539</v>
      </c>
      <c r="R1639" s="34" t="s">
        <v>3540</v>
      </c>
      <c r="S1639" s="47">
        <v>40452</v>
      </c>
      <c r="T1639" s="47">
        <v>0</v>
      </c>
      <c r="U1639" s="47">
        <v>0</v>
      </c>
      <c r="V1639" s="34">
        <v>4078500138970</v>
      </c>
      <c r="W1639" s="34" t="s">
        <v>3550</v>
      </c>
      <c r="Y1639" s="34" t="s">
        <v>3542</v>
      </c>
      <c r="Z1639" s="34">
        <v>1</v>
      </c>
      <c r="AA1639" s="34">
        <v>2910</v>
      </c>
      <c r="AB1639" s="34">
        <v>2910</v>
      </c>
      <c r="AC1639" s="34">
        <v>2860</v>
      </c>
      <c r="AD1639" s="34">
        <v>2860</v>
      </c>
      <c r="AE1639" s="34">
        <v>550</v>
      </c>
      <c r="AF1639" s="34">
        <v>550</v>
      </c>
      <c r="AG1639" s="34">
        <v>115</v>
      </c>
      <c r="AH1639" s="34">
        <v>34.787999999999997</v>
      </c>
      <c r="AM1639" s="40" t="s">
        <v>8094</v>
      </c>
      <c r="AT1639" s="44">
        <v>0</v>
      </c>
      <c r="AU1639" s="44"/>
      <c r="AV1639" s="46">
        <f>ROUND(Товары[[#This Row],[РРЦ финальная, руб.]]/$AU$1,2)</f>
        <v>0</v>
      </c>
      <c r="AW1639" s="45" t="str">
        <f>IFERROR(Товары[[#This Row],[РРЦ, евро]]/Товары[[#This Row],[IRP, Eur]],"-")</f>
        <v>-</v>
      </c>
      <c r="AX1639" s="42">
        <f>IFERROR(VLOOKUP(Товары[[#This Row],[SubGroup]],'Структура цен DIY'!$B:$C,2,FALSE),0)</f>
        <v>0.30000000000000016</v>
      </c>
      <c r="AY1639" s="44">
        <v>0</v>
      </c>
    </row>
    <row r="1640" spans="1:51" x14ac:dyDescent="0.25">
      <c r="A1640" s="34">
        <v>1638</v>
      </c>
      <c r="B1640" s="34" t="s">
        <v>49</v>
      </c>
      <c r="C1640" s="110" t="str">
        <f>IFERROR(INDEX(Структура_ассортимента[SuperCategory],MATCH(Товары[[#This Row],[SubGroup]],Структура_ассортимента[Subgroup],0)),"")</f>
        <v>W</v>
      </c>
      <c r="D164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4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40" s="110" t="str">
        <f>IFERROR(INDEX(Структура_ассортимента[Product group],MATCH(Товары[[#This Row],[SubGroup]],Структура_ассортимента[Subgroup],0)),"")</f>
        <v>WSS_C</v>
      </c>
      <c r="G1640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40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40" s="36">
        <v>9033</v>
      </c>
      <c r="J1640" s="36" t="str">
        <f>IFERROR(INDEX(Структура_ассортимента[Generic Name (long)],MATCH(Товары[[#This Row],[SubGroup]],Структура_ассортимента[Subgroup],0)),"")</f>
        <v>WATERING SET</v>
      </c>
      <c r="L1640" s="36">
        <v>900915901</v>
      </c>
      <c r="M1640" s="35" t="s">
        <v>3316</v>
      </c>
      <c r="Q1640" s="34" t="s">
        <v>4564</v>
      </c>
      <c r="R1640" s="34" t="s">
        <v>3540</v>
      </c>
      <c r="S1640" s="47">
        <v>37165</v>
      </c>
      <c r="T1640" s="47">
        <v>0</v>
      </c>
      <c r="U1640" s="47">
        <v>0</v>
      </c>
      <c r="V1640" s="34">
        <v>4078500139809</v>
      </c>
      <c r="W1640" s="34" t="s">
        <v>3543</v>
      </c>
      <c r="Y1640" s="34" t="s">
        <v>3542</v>
      </c>
      <c r="Z1640" s="34">
        <v>3</v>
      </c>
      <c r="AA1640" s="34">
        <v>2238</v>
      </c>
      <c r="AB1640" s="34">
        <v>2238</v>
      </c>
      <c r="AC1640" s="34">
        <v>2000</v>
      </c>
      <c r="AD1640" s="34">
        <v>2000</v>
      </c>
      <c r="AE1640" s="34">
        <v>502</v>
      </c>
      <c r="AF1640" s="34">
        <v>500</v>
      </c>
      <c r="AG1640" s="34">
        <v>107</v>
      </c>
      <c r="AH1640" s="34">
        <v>26.856999999999999</v>
      </c>
      <c r="AM1640" s="40" t="s">
        <v>8094</v>
      </c>
      <c r="AT1640" s="44">
        <v>0</v>
      </c>
      <c r="AU1640" s="44"/>
      <c r="AV1640" s="46">
        <f>ROUND(Товары[[#This Row],[РРЦ финальная, руб.]]/$AU$1,2)</f>
        <v>0</v>
      </c>
      <c r="AW1640" s="45" t="str">
        <f>IFERROR(Товары[[#This Row],[РРЦ, евро]]/Товары[[#This Row],[IRP, Eur]],"-")</f>
        <v>-</v>
      </c>
      <c r="AX1640" s="42">
        <f>IFERROR(VLOOKUP(Товары[[#This Row],[SubGroup]],'Структура цен DIY'!$B:$C,2,FALSE),0)</f>
        <v>0.30000000000000016</v>
      </c>
      <c r="AY1640" s="44">
        <v>0</v>
      </c>
    </row>
    <row r="1641" spans="1:51" x14ac:dyDescent="0.25">
      <c r="A1641" s="34">
        <v>1639</v>
      </c>
      <c r="B1641" s="34" t="s">
        <v>49</v>
      </c>
      <c r="C1641" s="110" t="str">
        <f>IFERROR(INDEX(Структура_ассортимента[SuperCategory],MATCH(Товары[[#This Row],[SubGroup]],Структура_ассортимента[Subgroup],0)),"")</f>
        <v>W</v>
      </c>
      <c r="D164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4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41" s="110" t="str">
        <f>IFERROR(INDEX(Структура_ассортимента[Product group],MATCH(Товары[[#This Row],[SubGroup]],Структура_ассортимента[Subgroup],0)),"")</f>
        <v>WSS_C</v>
      </c>
      <c r="G1641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41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41" s="36">
        <v>9033</v>
      </c>
      <c r="J1641" s="36" t="str">
        <f>IFERROR(INDEX(Структура_ассортимента[Generic Name (long)],MATCH(Товары[[#This Row],[SubGroup]],Структура_ассортимента[Subgroup],0)),"")</f>
        <v>WATERING SET</v>
      </c>
      <c r="L1641" s="36">
        <v>900916001</v>
      </c>
      <c r="M1641" s="35" t="s">
        <v>3317</v>
      </c>
      <c r="Q1641" s="34" t="s">
        <v>4564</v>
      </c>
      <c r="R1641" s="34" t="s">
        <v>3540</v>
      </c>
      <c r="S1641" s="47">
        <v>37165</v>
      </c>
      <c r="T1641" s="47">
        <v>0</v>
      </c>
      <c r="U1641" s="47">
        <v>0</v>
      </c>
      <c r="V1641" s="34">
        <v>4078500139908</v>
      </c>
      <c r="W1641" s="34" t="s">
        <v>3543</v>
      </c>
      <c r="Y1641" s="34" t="s">
        <v>3542</v>
      </c>
      <c r="Z1641" s="34">
        <v>3</v>
      </c>
      <c r="AA1641" s="34">
        <v>1620</v>
      </c>
      <c r="AB1641" s="34">
        <v>1620</v>
      </c>
      <c r="AC1641" s="34">
        <v>1500</v>
      </c>
      <c r="AD1641" s="34">
        <v>1500</v>
      </c>
      <c r="AE1641" s="34">
        <v>500</v>
      </c>
      <c r="AF1641" s="34">
        <v>500</v>
      </c>
      <c r="AG1641" s="34">
        <v>76</v>
      </c>
      <c r="AH1641" s="34">
        <v>19</v>
      </c>
      <c r="AM1641" s="40" t="s">
        <v>8094</v>
      </c>
      <c r="AT1641" s="44">
        <v>0</v>
      </c>
      <c r="AU1641" s="44"/>
      <c r="AV1641" s="46">
        <f>ROUND(Товары[[#This Row],[РРЦ финальная, руб.]]/$AU$1,2)</f>
        <v>0</v>
      </c>
      <c r="AW1641" s="45" t="str">
        <f>IFERROR(Товары[[#This Row],[РРЦ, евро]]/Товары[[#This Row],[IRP, Eur]],"-")</f>
        <v>-</v>
      </c>
      <c r="AX1641" s="42">
        <f>IFERROR(VLOOKUP(Товары[[#This Row],[SubGroup]],'Структура цен DIY'!$B:$C,2,FALSE),0)</f>
        <v>0.30000000000000016</v>
      </c>
      <c r="AY1641" s="44">
        <v>0</v>
      </c>
    </row>
    <row r="1642" spans="1:51" x14ac:dyDescent="0.25">
      <c r="A1642" s="34">
        <v>1640</v>
      </c>
      <c r="B1642" s="34" t="s">
        <v>49</v>
      </c>
      <c r="C1642" s="110" t="str">
        <f>IFERROR(INDEX(Структура_ассортимента[SuperCategory],MATCH(Товары[[#This Row],[SubGroup]],Структура_ассортимента[Subgroup],0)),"")</f>
        <v>W</v>
      </c>
      <c r="D164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4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42" s="110" t="str">
        <f>IFERROR(INDEX(Структура_ассортимента[Product group],MATCH(Товары[[#This Row],[SubGroup]],Структура_ассортимента[Subgroup],0)),"")</f>
        <v>WSS_C</v>
      </c>
      <c r="G1642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42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42" s="36">
        <v>9033</v>
      </c>
      <c r="J1642" s="36" t="str">
        <f>IFERROR(INDEX(Структура_ассортимента[Generic Name (long)],MATCH(Товары[[#This Row],[SubGroup]],Структура_ассортимента[Subgroup],0)),"")</f>
        <v>WATERING SET</v>
      </c>
      <c r="L1642" s="36">
        <v>900916201</v>
      </c>
      <c r="M1642" s="35" t="s">
        <v>3318</v>
      </c>
      <c r="Q1642" s="34" t="s">
        <v>4564</v>
      </c>
      <c r="R1642" s="34" t="s">
        <v>3540</v>
      </c>
      <c r="S1642" s="47">
        <v>34215</v>
      </c>
      <c r="T1642" s="47">
        <v>0</v>
      </c>
      <c r="U1642" s="47">
        <v>0</v>
      </c>
      <c r="V1642" s="34">
        <v>4078500140102</v>
      </c>
      <c r="W1642" s="34" t="s">
        <v>3543</v>
      </c>
      <c r="Y1642" s="34" t="s">
        <v>3542</v>
      </c>
      <c r="Z1642" s="34">
        <v>1</v>
      </c>
      <c r="AA1642" s="34">
        <v>1625</v>
      </c>
      <c r="AB1642" s="34">
        <v>1625</v>
      </c>
      <c r="AC1642" s="34">
        <v>1500</v>
      </c>
      <c r="AD1642" s="34">
        <v>1500</v>
      </c>
      <c r="AE1642" s="34">
        <v>500</v>
      </c>
      <c r="AF1642" s="34">
        <v>500</v>
      </c>
      <c r="AG1642" s="34">
        <v>75</v>
      </c>
      <c r="AH1642" s="34">
        <v>18.75</v>
      </c>
      <c r="AM1642" s="40" t="s">
        <v>8094</v>
      </c>
      <c r="AT1642" s="44">
        <v>0</v>
      </c>
      <c r="AU1642" s="44"/>
      <c r="AV1642" s="46">
        <f>ROUND(Товары[[#This Row],[РРЦ финальная, руб.]]/$AU$1,2)</f>
        <v>0</v>
      </c>
      <c r="AW1642" s="45" t="str">
        <f>IFERROR(Товары[[#This Row],[РРЦ, евро]]/Товары[[#This Row],[IRP, Eur]],"-")</f>
        <v>-</v>
      </c>
      <c r="AX1642" s="42">
        <f>IFERROR(VLOOKUP(Товары[[#This Row],[SubGroup]],'Структура цен DIY'!$B:$C,2,FALSE),0)</f>
        <v>0.30000000000000016</v>
      </c>
      <c r="AY1642" s="44">
        <v>0</v>
      </c>
    </row>
    <row r="1643" spans="1:51" x14ac:dyDescent="0.25">
      <c r="A1643" s="34">
        <v>1641</v>
      </c>
      <c r="B1643" s="34" t="s">
        <v>49</v>
      </c>
      <c r="C1643" s="110" t="str">
        <f>IFERROR(INDEX(Структура_ассортимента[SuperCategory],MATCH(Товары[[#This Row],[SubGroup]],Структура_ассортимента[Subgroup],0)),"")</f>
        <v>W</v>
      </c>
      <c r="D164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4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43" s="110" t="str">
        <f>IFERROR(INDEX(Структура_ассортимента[Product group],MATCH(Товары[[#This Row],[SubGroup]],Структура_ассортимента[Subgroup],0)),"")</f>
        <v>WSS_C</v>
      </c>
      <c r="G1643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43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43" s="36">
        <v>9033</v>
      </c>
      <c r="J1643" s="36" t="str">
        <f>IFERROR(INDEX(Структура_ассортимента[Generic Name (long)],MATCH(Товары[[#This Row],[SubGroup]],Структура_ассортимента[Subgroup],0)),"")</f>
        <v>WATERING SET</v>
      </c>
      <c r="L1643" s="36">
        <v>900916301</v>
      </c>
      <c r="M1643" s="35" t="s">
        <v>3319</v>
      </c>
      <c r="Q1643" s="34" t="s">
        <v>4564</v>
      </c>
      <c r="R1643" s="34" t="s">
        <v>3540</v>
      </c>
      <c r="S1643" s="47">
        <v>34215</v>
      </c>
      <c r="T1643" s="47">
        <v>0</v>
      </c>
      <c r="U1643" s="47">
        <v>0</v>
      </c>
      <c r="V1643" s="34">
        <v>4078500140201</v>
      </c>
      <c r="W1643" s="34" t="s">
        <v>3543</v>
      </c>
      <c r="Y1643" s="34" t="s">
        <v>3542</v>
      </c>
      <c r="Z1643" s="34">
        <v>4</v>
      </c>
      <c r="AA1643" s="34">
        <v>387</v>
      </c>
      <c r="AB1643" s="34">
        <v>387</v>
      </c>
      <c r="AC1643" s="34">
        <v>320</v>
      </c>
      <c r="AD1643" s="34">
        <v>320</v>
      </c>
      <c r="AE1643" s="34">
        <v>230</v>
      </c>
      <c r="AF1643" s="34">
        <v>223</v>
      </c>
      <c r="AG1643" s="34">
        <v>40</v>
      </c>
      <c r="AH1643" s="34">
        <v>2.052</v>
      </c>
      <c r="AM1643" s="40" t="s">
        <v>8094</v>
      </c>
      <c r="AT1643" s="44">
        <v>0</v>
      </c>
      <c r="AU1643" s="44"/>
      <c r="AV1643" s="46">
        <f>ROUND(Товары[[#This Row],[РРЦ финальная, руб.]]/$AU$1,2)</f>
        <v>0</v>
      </c>
      <c r="AW1643" s="45" t="str">
        <f>IFERROR(Товары[[#This Row],[РРЦ, евро]]/Товары[[#This Row],[IRP, Eur]],"-")</f>
        <v>-</v>
      </c>
      <c r="AX1643" s="42">
        <f>IFERROR(VLOOKUP(Товары[[#This Row],[SubGroup]],'Структура цен DIY'!$B:$C,2,FALSE),0)</f>
        <v>0.30000000000000016</v>
      </c>
      <c r="AY1643" s="44">
        <v>0</v>
      </c>
    </row>
    <row r="1644" spans="1:51" x14ac:dyDescent="0.25">
      <c r="A1644" s="34">
        <v>1642</v>
      </c>
      <c r="B1644" s="34" t="s">
        <v>49</v>
      </c>
      <c r="C1644" s="110" t="str">
        <f>IFERROR(INDEX(Структура_ассортимента[SuperCategory],MATCH(Товары[[#This Row],[SubGroup]],Структура_ассортимента[Subgroup],0)),"")</f>
        <v>W</v>
      </c>
      <c r="D164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4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44" s="110" t="str">
        <f>IFERROR(INDEX(Структура_ассортимента[Product group],MATCH(Товары[[#This Row],[SubGroup]],Структура_ассортимента[Subgroup],0)),"")</f>
        <v>WSS_C</v>
      </c>
      <c r="G1644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44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44" s="36">
        <v>9033</v>
      </c>
      <c r="J1644" s="36" t="str">
        <f>IFERROR(INDEX(Структура_ассортимента[Generic Name (long)],MATCH(Товары[[#This Row],[SubGroup]],Структура_ассортимента[Subgroup],0)),"")</f>
        <v>WATERING SET</v>
      </c>
      <c r="L1644" s="36">
        <v>900916401</v>
      </c>
      <c r="M1644" s="35" t="s">
        <v>3320</v>
      </c>
      <c r="Q1644" s="34" t="s">
        <v>4564</v>
      </c>
      <c r="R1644" s="34" t="s">
        <v>3540</v>
      </c>
      <c r="S1644" s="47">
        <v>34215</v>
      </c>
      <c r="T1644" s="47">
        <v>0</v>
      </c>
      <c r="U1644" s="47">
        <v>0</v>
      </c>
      <c r="V1644" s="34">
        <v>4078500140300</v>
      </c>
      <c r="W1644" s="34" t="s">
        <v>3543</v>
      </c>
      <c r="Y1644" s="34" t="s">
        <v>3542</v>
      </c>
      <c r="Z1644" s="34">
        <v>1</v>
      </c>
      <c r="AA1644" s="34">
        <v>1595</v>
      </c>
      <c r="AB1644" s="34">
        <v>1595</v>
      </c>
      <c r="AC1644" s="34">
        <v>1530</v>
      </c>
      <c r="AD1644" s="34">
        <v>1530</v>
      </c>
      <c r="AE1644" s="34">
        <v>500</v>
      </c>
      <c r="AF1644" s="34">
        <v>500</v>
      </c>
      <c r="AG1644" s="34">
        <v>75</v>
      </c>
      <c r="AH1644" s="34">
        <v>18.75</v>
      </c>
      <c r="AM1644" s="40" t="s">
        <v>8094</v>
      </c>
      <c r="AT1644" s="44">
        <v>0</v>
      </c>
      <c r="AU1644" s="44"/>
      <c r="AV1644" s="46">
        <f>ROUND(Товары[[#This Row],[РРЦ финальная, руб.]]/$AU$1,2)</f>
        <v>0</v>
      </c>
      <c r="AW1644" s="45" t="str">
        <f>IFERROR(Товары[[#This Row],[РРЦ, евро]]/Товары[[#This Row],[IRP, Eur]],"-")</f>
        <v>-</v>
      </c>
      <c r="AX1644" s="42">
        <f>IFERROR(VLOOKUP(Товары[[#This Row],[SubGroup]],'Структура цен DIY'!$B:$C,2,FALSE),0)</f>
        <v>0.30000000000000016</v>
      </c>
      <c r="AY1644" s="44">
        <v>0</v>
      </c>
    </row>
    <row r="1645" spans="1:51" x14ac:dyDescent="0.25">
      <c r="A1645" s="34">
        <v>1643</v>
      </c>
      <c r="B1645" s="34" t="s">
        <v>49</v>
      </c>
      <c r="C1645" s="110" t="str">
        <f>IFERROR(INDEX(Структура_ассортимента[SuperCategory],MATCH(Товары[[#This Row],[SubGroup]],Структура_ассортимента[Subgroup],0)),"")</f>
        <v>W</v>
      </c>
      <c r="D164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4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45" s="110" t="str">
        <f>IFERROR(INDEX(Структура_ассортимента[Product group],MATCH(Товары[[#This Row],[SubGroup]],Структура_ассортимента[Subgroup],0)),"")</f>
        <v>WSC_C</v>
      </c>
      <c r="G1645" s="110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45" s="110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45" s="36">
        <v>9031</v>
      </c>
      <c r="J1645" s="36" t="str">
        <f>IFERROR(INDEX(Структура_ассортимента[Generic Name (long)],MATCH(Товары[[#This Row],[SubGroup]],Структура_ассортимента[Subgroup],0)),"")</f>
        <v>TIMER</v>
      </c>
      <c r="L1645" s="36">
        <v>900961801</v>
      </c>
      <c r="M1645" s="35" t="s">
        <v>3321</v>
      </c>
      <c r="Q1645" s="34" t="s">
        <v>4564</v>
      </c>
      <c r="R1645" s="34" t="s">
        <v>3540</v>
      </c>
      <c r="S1645" s="47">
        <v>38261</v>
      </c>
      <c r="T1645" s="47">
        <v>0</v>
      </c>
      <c r="U1645" s="47">
        <v>0</v>
      </c>
      <c r="V1645" s="34">
        <v>4078500183086</v>
      </c>
      <c r="W1645" s="34" t="s">
        <v>3543</v>
      </c>
      <c r="Y1645" s="34" t="s">
        <v>3542</v>
      </c>
      <c r="Z1645" s="34">
        <v>2</v>
      </c>
      <c r="AA1645" s="34">
        <v>855</v>
      </c>
      <c r="AB1645" s="34">
        <v>855</v>
      </c>
      <c r="AC1645" s="34">
        <v>830</v>
      </c>
      <c r="AD1645" s="34">
        <v>830</v>
      </c>
      <c r="AE1645" s="34">
        <v>176</v>
      </c>
      <c r="AF1645" s="34">
        <v>125</v>
      </c>
      <c r="AG1645" s="34">
        <v>155</v>
      </c>
      <c r="AH1645" s="34">
        <v>3.41</v>
      </c>
      <c r="AM1645" s="40" t="s">
        <v>8094</v>
      </c>
      <c r="AT1645" s="44">
        <v>0</v>
      </c>
      <c r="AU1645" s="44"/>
      <c r="AV1645" s="46">
        <f>ROUND(Товары[[#This Row],[РРЦ финальная, руб.]]/$AU$1,2)</f>
        <v>0</v>
      </c>
      <c r="AW1645" s="45" t="str">
        <f>IFERROR(Товары[[#This Row],[РРЦ, евро]]/Товары[[#This Row],[IRP, Eur]],"-")</f>
        <v>-</v>
      </c>
      <c r="AX1645" s="42">
        <f>IFERROR(VLOOKUP(Товары[[#This Row],[SubGroup]],'Структура цен DIY'!$B:$C,2,FALSE),0)</f>
        <v>0.29999999999999993</v>
      </c>
      <c r="AY1645" s="44">
        <v>0</v>
      </c>
    </row>
    <row r="1646" spans="1:51" x14ac:dyDescent="0.25">
      <c r="A1646" s="34">
        <v>1644</v>
      </c>
      <c r="B1646" s="34" t="s">
        <v>49</v>
      </c>
      <c r="C1646" s="110" t="str">
        <f>IFERROR(INDEX(Структура_ассортимента[SuperCategory],MATCH(Товары[[#This Row],[SubGroup]],Структура_ассортимента[Subgroup],0)),"")</f>
        <v>W</v>
      </c>
      <c r="D164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4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46" s="110" t="str">
        <f>IFERROR(INDEX(Структура_ассортимента[Product group],MATCH(Товары[[#This Row],[SubGroup]],Структура_ассортимента[Subgroup],0)),"")</f>
        <v>WSC_C</v>
      </c>
      <c r="G1646" s="110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46" s="110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46" s="36">
        <v>9031</v>
      </c>
      <c r="J1646" s="36" t="str">
        <f>IFERROR(INDEX(Структура_ассортимента[Generic Name (long)],MATCH(Товары[[#This Row],[SubGroup]],Структура_ассортимента[Subgroup],0)),"")</f>
        <v>TIMER</v>
      </c>
      <c r="L1646" s="36">
        <v>900963701</v>
      </c>
      <c r="M1646" s="35" t="s">
        <v>3322</v>
      </c>
      <c r="Q1646" s="34" t="s">
        <v>4564</v>
      </c>
      <c r="R1646" s="34" t="s">
        <v>3540</v>
      </c>
      <c r="S1646" s="47">
        <v>39356</v>
      </c>
      <c r="T1646" s="47">
        <v>0</v>
      </c>
      <c r="U1646" s="47">
        <v>0</v>
      </c>
      <c r="V1646" s="34">
        <v>4078500186285</v>
      </c>
      <c r="W1646" s="34" t="s">
        <v>3543</v>
      </c>
      <c r="Y1646" s="34" t="s">
        <v>3542</v>
      </c>
      <c r="Z1646" s="34">
        <v>2</v>
      </c>
      <c r="AA1646" s="34">
        <v>971</v>
      </c>
      <c r="AB1646" s="34">
        <v>900</v>
      </c>
      <c r="AC1646" s="34">
        <v>700</v>
      </c>
      <c r="AD1646" s="34">
        <v>700</v>
      </c>
      <c r="AE1646" s="34">
        <v>238</v>
      </c>
      <c r="AF1646" s="34">
        <v>167</v>
      </c>
      <c r="AG1646" s="34">
        <v>104</v>
      </c>
      <c r="AH1646" s="34">
        <v>4.1340000000000003</v>
      </c>
      <c r="AM1646" s="40" t="s">
        <v>8094</v>
      </c>
      <c r="AT1646" s="44">
        <v>0</v>
      </c>
      <c r="AU1646" s="44"/>
      <c r="AV1646" s="46">
        <f>ROUND(Товары[[#This Row],[РРЦ финальная, руб.]]/$AU$1,2)</f>
        <v>0</v>
      </c>
      <c r="AW1646" s="45" t="str">
        <f>IFERROR(Товары[[#This Row],[РРЦ, евро]]/Товары[[#This Row],[IRP, Eur]],"-")</f>
        <v>-</v>
      </c>
      <c r="AX1646" s="42">
        <f>IFERROR(VLOOKUP(Товары[[#This Row],[SubGroup]],'Структура цен DIY'!$B:$C,2,FALSE),0)</f>
        <v>0.29999999999999993</v>
      </c>
      <c r="AY1646" s="44">
        <v>0</v>
      </c>
    </row>
    <row r="1647" spans="1:51" x14ac:dyDescent="0.25">
      <c r="A1647" s="34">
        <v>1645</v>
      </c>
      <c r="B1647" s="34" t="s">
        <v>49</v>
      </c>
      <c r="C1647" s="110" t="str">
        <f>IFERROR(INDEX(Структура_ассортимента[SuperCategory],MATCH(Товары[[#This Row],[SubGroup]],Структура_ассортимента[Subgroup],0)),"")</f>
        <v>W</v>
      </c>
      <c r="D164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4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47" s="110" t="str">
        <f>IFERROR(INDEX(Структура_ассортимента[Product group],MATCH(Товары[[#This Row],[SubGroup]],Структура_ассортимента[Subgroup],0)),"")</f>
        <v>WSC_C</v>
      </c>
      <c r="G1647" s="110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47" s="110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47" s="36">
        <v>9031</v>
      </c>
      <c r="J1647" s="36" t="str">
        <f>IFERROR(INDEX(Структура_ассортимента[Generic Name (long)],MATCH(Товары[[#This Row],[SubGroup]],Структура_ассортимента[Subgroup],0)),"")</f>
        <v>TIMER</v>
      </c>
      <c r="L1647" s="36">
        <v>900964001</v>
      </c>
      <c r="M1647" s="35" t="s">
        <v>3323</v>
      </c>
      <c r="Q1647" s="34" t="s">
        <v>4564</v>
      </c>
      <c r="R1647" s="34" t="s">
        <v>3540</v>
      </c>
      <c r="S1647" s="47">
        <v>39356</v>
      </c>
      <c r="T1647" s="47">
        <v>0</v>
      </c>
      <c r="U1647" s="47">
        <v>0</v>
      </c>
      <c r="V1647" s="34">
        <v>4078500186483</v>
      </c>
      <c r="W1647" s="34" t="s">
        <v>3543</v>
      </c>
      <c r="Y1647" s="34" t="s">
        <v>3542</v>
      </c>
      <c r="Z1647" s="34">
        <v>2</v>
      </c>
      <c r="AA1647" s="34">
        <v>971</v>
      </c>
      <c r="AB1647" s="34">
        <v>971</v>
      </c>
      <c r="AC1647" s="34">
        <v>700</v>
      </c>
      <c r="AD1647" s="34">
        <v>700</v>
      </c>
      <c r="AE1647" s="34">
        <v>238</v>
      </c>
      <c r="AF1647" s="34">
        <v>167</v>
      </c>
      <c r="AG1647" s="34">
        <v>104</v>
      </c>
      <c r="AH1647" s="34">
        <v>4.1340000000000003</v>
      </c>
      <c r="AM1647" s="40" t="s">
        <v>8094</v>
      </c>
      <c r="AT1647" s="44">
        <v>0</v>
      </c>
      <c r="AU1647" s="44"/>
      <c r="AV1647" s="46">
        <f>ROUND(Товары[[#This Row],[РРЦ финальная, руб.]]/$AU$1,2)</f>
        <v>0</v>
      </c>
      <c r="AW1647" s="45" t="str">
        <f>IFERROR(Товары[[#This Row],[РРЦ, евро]]/Товары[[#This Row],[IRP, Eur]],"-")</f>
        <v>-</v>
      </c>
      <c r="AX1647" s="42">
        <f>IFERROR(VLOOKUP(Товары[[#This Row],[SubGroup]],'Структура цен DIY'!$B:$C,2,FALSE),0)</f>
        <v>0.29999999999999993</v>
      </c>
      <c r="AY1647" s="44">
        <v>0</v>
      </c>
    </row>
    <row r="1648" spans="1:51" x14ac:dyDescent="0.25">
      <c r="A1648" s="34">
        <v>1646</v>
      </c>
      <c r="B1648" s="34" t="s">
        <v>49</v>
      </c>
      <c r="C1648" s="110" t="str">
        <f>IFERROR(INDEX(Структура_ассортимента[SuperCategory],MATCH(Товары[[#This Row],[SubGroup]],Структура_ассортимента[Subgroup],0)),"")</f>
        <v>W</v>
      </c>
      <c r="D164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4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48" s="110" t="str">
        <f>IFERROR(INDEX(Структура_ассортимента[Product group],MATCH(Товары[[#This Row],[SubGroup]],Структура_ассортимента[Subgroup],0)),"")</f>
        <v>WSC_C</v>
      </c>
      <c r="G1648" s="110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48" s="110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48" s="36">
        <v>9031</v>
      </c>
      <c r="J1648" s="36" t="str">
        <f>IFERROR(INDEX(Структура_ассортимента[Generic Name (long)],MATCH(Товары[[#This Row],[SubGroup]],Структура_ассортимента[Subgroup],0)),"")</f>
        <v>TIMER</v>
      </c>
      <c r="L1648" s="36">
        <v>900964301</v>
      </c>
      <c r="M1648" s="35" t="s">
        <v>3324</v>
      </c>
      <c r="Q1648" s="34" t="s">
        <v>4565</v>
      </c>
      <c r="R1648" s="34" t="s">
        <v>3540</v>
      </c>
      <c r="S1648" s="47">
        <v>39083</v>
      </c>
      <c r="T1648" s="47">
        <v>42613</v>
      </c>
      <c r="U1648" s="47">
        <v>42613</v>
      </c>
      <c r="V1648" s="34">
        <v>4078500186681</v>
      </c>
      <c r="W1648" s="34" t="s">
        <v>3543</v>
      </c>
      <c r="Y1648" s="34" t="s">
        <v>3542</v>
      </c>
      <c r="Z1648" s="34">
        <v>2</v>
      </c>
      <c r="AA1648" s="34">
        <v>971</v>
      </c>
      <c r="AB1648" s="34">
        <v>971</v>
      </c>
      <c r="AC1648" s="34">
        <v>700</v>
      </c>
      <c r="AD1648" s="34">
        <v>700</v>
      </c>
      <c r="AE1648" s="34">
        <v>238</v>
      </c>
      <c r="AF1648" s="34">
        <v>167</v>
      </c>
      <c r="AG1648" s="34">
        <v>104</v>
      </c>
      <c r="AH1648" s="34">
        <v>4.1340000000000003</v>
      </c>
      <c r="AM1648" s="40" t="s">
        <v>8094</v>
      </c>
      <c r="AT1648" s="44">
        <v>0</v>
      </c>
      <c r="AU1648" s="44"/>
      <c r="AV1648" s="46">
        <f>ROUND(Товары[[#This Row],[РРЦ финальная, руб.]]/$AU$1,2)</f>
        <v>0</v>
      </c>
      <c r="AW1648" s="45" t="str">
        <f>IFERROR(Товары[[#This Row],[РРЦ, евро]]/Товары[[#This Row],[IRP, Eur]],"-")</f>
        <v>-</v>
      </c>
      <c r="AX1648" s="42">
        <f>IFERROR(VLOOKUP(Товары[[#This Row],[SubGroup]],'Структура цен DIY'!$B:$C,2,FALSE),0)</f>
        <v>0.29999999999999993</v>
      </c>
      <c r="AY1648" s="44">
        <v>0</v>
      </c>
    </row>
    <row r="1649" spans="1:51" x14ac:dyDescent="0.25">
      <c r="A1649" s="34">
        <v>1647</v>
      </c>
      <c r="B1649" s="34" t="s">
        <v>49</v>
      </c>
      <c r="C1649" s="110" t="str">
        <f>IFERROR(INDEX(Структура_ассортимента[SuperCategory],MATCH(Товары[[#This Row],[SubGroup]],Структура_ассортимента[Subgroup],0)),"")</f>
        <v>W</v>
      </c>
      <c r="D164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4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49" s="110" t="str">
        <f>IFERROR(INDEX(Структура_ассортимента[Product group],MATCH(Товары[[#This Row],[SubGroup]],Структура_ассортимента[Subgroup],0)),"")</f>
        <v>WSC_C</v>
      </c>
      <c r="G1649" s="110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49" s="110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49" s="36">
        <v>9031</v>
      </c>
      <c r="J1649" s="36" t="str">
        <f>IFERROR(INDEX(Структура_ассортимента[Generic Name (long)],MATCH(Товары[[#This Row],[SubGroup]],Структура_ассортимента[Subgroup],0)),"")</f>
        <v>TIMER</v>
      </c>
      <c r="L1649" s="36">
        <v>967235401</v>
      </c>
      <c r="M1649" s="35" t="s">
        <v>3325</v>
      </c>
      <c r="Q1649" s="34" t="s">
        <v>3544</v>
      </c>
      <c r="R1649" s="34" t="s">
        <v>3540</v>
      </c>
      <c r="S1649" s="47">
        <v>41628</v>
      </c>
      <c r="T1649" s="47">
        <v>0</v>
      </c>
      <c r="U1649" s="47">
        <v>0</v>
      </c>
      <c r="V1649" s="34">
        <v>4078500188197</v>
      </c>
      <c r="W1649" s="34" t="s">
        <v>3543</v>
      </c>
      <c r="Y1649" s="34" t="s">
        <v>3542</v>
      </c>
      <c r="Z1649" s="34">
        <v>2</v>
      </c>
      <c r="AA1649" s="34">
        <v>800</v>
      </c>
      <c r="AB1649" s="34">
        <v>800</v>
      </c>
      <c r="AC1649" s="34">
        <v>750</v>
      </c>
      <c r="AD1649" s="34">
        <v>750</v>
      </c>
      <c r="AE1649" s="34">
        <v>113</v>
      </c>
      <c r="AF1649" s="34">
        <v>157</v>
      </c>
      <c r="AG1649" s="34">
        <v>160</v>
      </c>
      <c r="AH1649" s="34">
        <v>2.839</v>
      </c>
      <c r="AM1649" s="40" t="s">
        <v>8094</v>
      </c>
      <c r="AT1649" s="44">
        <v>0</v>
      </c>
      <c r="AU1649" s="44"/>
      <c r="AV1649" s="46">
        <f>ROUND(Товары[[#This Row],[РРЦ финальная, руб.]]/$AU$1,2)</f>
        <v>0</v>
      </c>
      <c r="AW1649" s="45" t="str">
        <f>IFERROR(Товары[[#This Row],[РРЦ, евро]]/Товары[[#This Row],[IRP, Eur]],"-")</f>
        <v>-</v>
      </c>
      <c r="AX1649" s="42">
        <f>IFERROR(VLOOKUP(Товары[[#This Row],[SubGroup]],'Структура цен DIY'!$B:$C,2,FALSE),0)</f>
        <v>0.29999999999999993</v>
      </c>
      <c r="AY1649" s="44">
        <v>0</v>
      </c>
    </row>
    <row r="1650" spans="1:51" x14ac:dyDescent="0.25">
      <c r="A1650" s="34">
        <v>1648</v>
      </c>
      <c r="B1650" s="34" t="s">
        <v>49</v>
      </c>
      <c r="C1650" s="110" t="str">
        <f>IFERROR(INDEX(Структура_ассортимента[SuperCategory],MATCH(Товары[[#This Row],[SubGroup]],Структура_ассортимента[Subgroup],0)),"")</f>
        <v>W</v>
      </c>
      <c r="D165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5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50" s="110" t="str">
        <f>IFERROR(INDEX(Структура_ассортимента[Product group],MATCH(Товары[[#This Row],[SubGroup]],Структура_ассортимента[Subgroup],0)),"")</f>
        <v>WSC_C</v>
      </c>
      <c r="G1650" s="110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50" s="110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50" s="36">
        <v>9031</v>
      </c>
      <c r="J1650" s="36" t="str">
        <f>IFERROR(INDEX(Структура_ассортимента[Generic Name (long)],MATCH(Товары[[#This Row],[SubGroup]],Структура_ассортимента[Subgroup],0)),"")</f>
        <v>TIMER</v>
      </c>
      <c r="L1650" s="36">
        <v>967235701</v>
      </c>
      <c r="M1650" s="35" t="s">
        <v>3326</v>
      </c>
      <c r="Q1650" s="34" t="s">
        <v>3544</v>
      </c>
      <c r="R1650" s="34" t="s">
        <v>3540</v>
      </c>
      <c r="S1650" s="47">
        <v>41628</v>
      </c>
      <c r="T1650" s="47">
        <v>0</v>
      </c>
      <c r="U1650" s="47">
        <v>0</v>
      </c>
      <c r="V1650" s="34">
        <v>4078500188395</v>
      </c>
      <c r="W1650" s="34" t="s">
        <v>3543</v>
      </c>
      <c r="Y1650" s="34" t="s">
        <v>3542</v>
      </c>
      <c r="Z1650" s="34">
        <v>2</v>
      </c>
      <c r="AA1650" s="34">
        <v>800</v>
      </c>
      <c r="AB1650" s="34">
        <v>800</v>
      </c>
      <c r="AC1650" s="34">
        <v>750</v>
      </c>
      <c r="AD1650" s="34">
        <v>750</v>
      </c>
      <c r="AE1650" s="34">
        <v>113</v>
      </c>
      <c r="AF1650" s="34">
        <v>157</v>
      </c>
      <c r="AG1650" s="34">
        <v>160</v>
      </c>
      <c r="AH1650" s="34">
        <v>2.839</v>
      </c>
      <c r="AM1650" s="40" t="s">
        <v>8094</v>
      </c>
      <c r="AT1650" s="44">
        <v>0</v>
      </c>
      <c r="AU1650" s="44"/>
      <c r="AV1650" s="46">
        <f>ROUND(Товары[[#This Row],[РРЦ финальная, руб.]]/$AU$1,2)</f>
        <v>0</v>
      </c>
      <c r="AW1650" s="45" t="str">
        <f>IFERROR(Товары[[#This Row],[РРЦ, евро]]/Товары[[#This Row],[IRP, Eur]],"-")</f>
        <v>-</v>
      </c>
      <c r="AX1650" s="42">
        <f>IFERROR(VLOOKUP(Товары[[#This Row],[SubGroup]],'Структура цен DIY'!$B:$C,2,FALSE),0)</f>
        <v>0.29999999999999993</v>
      </c>
      <c r="AY1650" s="44">
        <v>0</v>
      </c>
    </row>
    <row r="1651" spans="1:51" x14ac:dyDescent="0.25">
      <c r="A1651" s="34">
        <v>1649</v>
      </c>
      <c r="B1651" s="34" t="s">
        <v>49</v>
      </c>
      <c r="C1651" s="110" t="str">
        <f>IFERROR(INDEX(Структура_ассортимента[SuperCategory],MATCH(Товары[[#This Row],[SubGroup]],Структура_ассортимента[Subgroup],0)),"")</f>
        <v>W</v>
      </c>
      <c r="D165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5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51" s="110" t="str">
        <f>IFERROR(INDEX(Структура_ассортимента[Product group],MATCH(Товары[[#This Row],[SubGroup]],Структура_ассортимента[Subgroup],0)),"")</f>
        <v>WSC_C</v>
      </c>
      <c r="G1651" s="110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51" s="110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51" s="36">
        <v>9031</v>
      </c>
      <c r="J1651" s="36" t="str">
        <f>IFERROR(INDEX(Структура_ассортимента[Generic Name (long)],MATCH(Товары[[#This Row],[SubGroup]],Структура_ассортимента[Subgroup],0)),"")</f>
        <v>TIMER</v>
      </c>
      <c r="L1651" s="36">
        <v>967236001</v>
      </c>
      <c r="M1651" s="35" t="s">
        <v>3327</v>
      </c>
      <c r="Q1651" s="34" t="s">
        <v>3544</v>
      </c>
      <c r="R1651" s="34" t="s">
        <v>3540</v>
      </c>
      <c r="S1651" s="47">
        <v>41628</v>
      </c>
      <c r="T1651" s="47">
        <v>0</v>
      </c>
      <c r="U1651" s="47">
        <v>0</v>
      </c>
      <c r="V1651" s="34">
        <v>4078500188593</v>
      </c>
      <c r="W1651" s="34" t="s">
        <v>3543</v>
      </c>
      <c r="Y1651" s="34" t="s">
        <v>3542</v>
      </c>
      <c r="Z1651" s="34">
        <v>2</v>
      </c>
      <c r="AA1651" s="34">
        <v>800</v>
      </c>
      <c r="AB1651" s="34">
        <v>800</v>
      </c>
      <c r="AC1651" s="34">
        <v>750</v>
      </c>
      <c r="AD1651" s="34">
        <v>750</v>
      </c>
      <c r="AE1651" s="34">
        <v>113</v>
      </c>
      <c r="AF1651" s="34">
        <v>157</v>
      </c>
      <c r="AG1651" s="34">
        <v>160</v>
      </c>
      <c r="AH1651" s="34">
        <v>2.839</v>
      </c>
      <c r="AM1651" s="40" t="s">
        <v>8094</v>
      </c>
      <c r="AT1651" s="44">
        <v>0</v>
      </c>
      <c r="AU1651" s="44"/>
      <c r="AV1651" s="46">
        <f>ROUND(Товары[[#This Row],[РРЦ финальная, руб.]]/$AU$1,2)</f>
        <v>0</v>
      </c>
      <c r="AW1651" s="45" t="str">
        <f>IFERROR(Товары[[#This Row],[РРЦ, евро]]/Товары[[#This Row],[IRP, Eur]],"-")</f>
        <v>-</v>
      </c>
      <c r="AX1651" s="42">
        <f>IFERROR(VLOOKUP(Товары[[#This Row],[SubGroup]],'Структура цен DIY'!$B:$C,2,FALSE),0)</f>
        <v>0.29999999999999993</v>
      </c>
      <c r="AY1651" s="44">
        <v>0</v>
      </c>
    </row>
    <row r="1652" spans="1:51" x14ac:dyDescent="0.25">
      <c r="A1652" s="34">
        <v>1650</v>
      </c>
      <c r="B1652" s="34" t="s">
        <v>49</v>
      </c>
      <c r="C1652" s="110" t="str">
        <f>IFERROR(INDEX(Структура_ассортимента[SuperCategory],MATCH(Товары[[#This Row],[SubGroup]],Структура_ассортимента[Subgroup],0)),"")</f>
        <v>W</v>
      </c>
      <c r="D165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5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52" s="110" t="str">
        <f>IFERROR(INDEX(Структура_ассортимента[Product group],MATCH(Товары[[#This Row],[SubGroup]],Структура_ассортимента[Subgroup],0)),"")</f>
        <v>WSS_C</v>
      </c>
      <c r="G1652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52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52" s="36">
        <v>9032</v>
      </c>
      <c r="J1652" s="36" t="str">
        <f>IFERROR(INDEX(Структура_ассортимента[Generic Name (long)],MATCH(Товары[[#This Row],[SubGroup]],Структура_ассортимента[Subgroup],0)),"")</f>
        <v>WATERING SET</v>
      </c>
      <c r="L1652" s="36">
        <v>901011001</v>
      </c>
      <c r="M1652" s="35" t="s">
        <v>3328</v>
      </c>
      <c r="Q1652" s="34" t="s">
        <v>3544</v>
      </c>
      <c r="R1652" s="34" t="s">
        <v>3540</v>
      </c>
      <c r="S1652" s="47">
        <v>36845</v>
      </c>
      <c r="T1652" s="47">
        <v>0</v>
      </c>
      <c r="U1652" s="47">
        <v>0</v>
      </c>
      <c r="V1652" s="34">
        <v>4078500270403</v>
      </c>
      <c r="W1652" s="34" t="s">
        <v>3550</v>
      </c>
      <c r="Y1652" s="34" t="s">
        <v>3542</v>
      </c>
      <c r="Z1652" s="34">
        <v>1</v>
      </c>
      <c r="AA1652" s="34">
        <v>5010</v>
      </c>
      <c r="AB1652" s="34">
        <v>5010</v>
      </c>
      <c r="AC1652" s="34">
        <v>5000</v>
      </c>
      <c r="AD1652" s="34">
        <v>5000</v>
      </c>
      <c r="AE1652" s="34">
        <v>800</v>
      </c>
      <c r="AF1652" s="34">
        <v>800</v>
      </c>
      <c r="AG1652" s="34">
        <v>190</v>
      </c>
      <c r="AH1652" s="34">
        <v>121.6</v>
      </c>
      <c r="AM1652" s="40" t="s">
        <v>8094</v>
      </c>
      <c r="AT1652" s="44">
        <v>0</v>
      </c>
      <c r="AU1652" s="44"/>
      <c r="AV1652" s="46">
        <f>ROUND(Товары[[#This Row],[РРЦ финальная, руб.]]/$AU$1,2)</f>
        <v>0</v>
      </c>
      <c r="AW1652" s="45" t="str">
        <f>IFERROR(Товары[[#This Row],[РРЦ, евро]]/Товары[[#This Row],[IRP, Eur]],"-")</f>
        <v>-</v>
      </c>
      <c r="AX1652" s="42">
        <f>IFERROR(VLOOKUP(Товары[[#This Row],[SubGroup]],'Структура цен DIY'!$B:$C,2,FALSE),0)</f>
        <v>0.29999999999999993</v>
      </c>
      <c r="AY1652" s="44">
        <v>0</v>
      </c>
    </row>
    <row r="1653" spans="1:51" x14ac:dyDescent="0.25">
      <c r="A1653" s="34">
        <v>1651</v>
      </c>
      <c r="B1653" s="34" t="s">
        <v>49</v>
      </c>
      <c r="C1653" s="110" t="str">
        <f>IFERROR(INDEX(Структура_ассортимента[SuperCategory],MATCH(Товары[[#This Row],[SubGroup]],Структура_ассортимента[Subgroup],0)),"")</f>
        <v>W</v>
      </c>
      <c r="D165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5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53" s="110" t="str">
        <f>IFERROR(INDEX(Структура_ассортимента[Product group],MATCH(Товары[[#This Row],[SubGroup]],Структура_ассортимента[Subgroup],0)),"")</f>
        <v>WSS_C</v>
      </c>
      <c r="G1653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53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53" s="36">
        <v>9032</v>
      </c>
      <c r="J1653" s="36" t="str">
        <f>IFERROR(INDEX(Структура_ассортимента[Generic Name (long)],MATCH(Товары[[#This Row],[SubGroup]],Структура_ассортимента[Subgroup],0)),"")</f>
        <v>WATERING SET</v>
      </c>
      <c r="L1653" s="36">
        <v>901011101</v>
      </c>
      <c r="M1653" s="35" t="s">
        <v>3329</v>
      </c>
      <c r="Q1653" s="34" t="s">
        <v>3544</v>
      </c>
      <c r="R1653" s="34" t="s">
        <v>3540</v>
      </c>
      <c r="S1653" s="47">
        <v>36845</v>
      </c>
      <c r="T1653" s="47">
        <v>0</v>
      </c>
      <c r="U1653" s="47">
        <v>0</v>
      </c>
      <c r="V1653" s="34">
        <v>4078500270502</v>
      </c>
      <c r="W1653" s="34" t="s">
        <v>3550</v>
      </c>
      <c r="Y1653" s="34" t="s">
        <v>3542</v>
      </c>
      <c r="Z1653" s="34">
        <v>1</v>
      </c>
      <c r="AA1653" s="34">
        <v>9100</v>
      </c>
      <c r="AB1653" s="34">
        <v>9100</v>
      </c>
      <c r="AC1653" s="34">
        <v>9100</v>
      </c>
      <c r="AD1653" s="34">
        <v>9100</v>
      </c>
      <c r="AE1653" s="34">
        <v>800</v>
      </c>
      <c r="AF1653" s="34">
        <v>800</v>
      </c>
      <c r="AG1653" s="34">
        <v>310</v>
      </c>
      <c r="AH1653" s="34">
        <v>198.4</v>
      </c>
      <c r="AM1653" s="40" t="s">
        <v>8094</v>
      </c>
      <c r="AT1653" s="44">
        <v>0</v>
      </c>
      <c r="AU1653" s="44"/>
      <c r="AV1653" s="46">
        <f>ROUND(Товары[[#This Row],[РРЦ финальная, руб.]]/$AU$1,2)</f>
        <v>0</v>
      </c>
      <c r="AW1653" s="45" t="str">
        <f>IFERROR(Товары[[#This Row],[РРЦ, евро]]/Товары[[#This Row],[IRP, Eur]],"-")</f>
        <v>-</v>
      </c>
      <c r="AX1653" s="42">
        <f>IFERROR(VLOOKUP(Товары[[#This Row],[SubGroup]],'Структура цен DIY'!$B:$C,2,FALSE),0)</f>
        <v>0.29999999999999993</v>
      </c>
      <c r="AY1653" s="44">
        <v>0</v>
      </c>
    </row>
    <row r="1654" spans="1:51" x14ac:dyDescent="0.25">
      <c r="A1654" s="34">
        <v>1652</v>
      </c>
      <c r="B1654" s="34" t="s">
        <v>49</v>
      </c>
      <c r="C1654" s="110" t="str">
        <f>IFERROR(INDEX(Структура_ассортимента[SuperCategory],MATCH(Товары[[#This Row],[SubGroup]],Структура_ассортимента[Subgroup],0)),"")</f>
        <v>W</v>
      </c>
      <c r="D165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5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54" s="110" t="str">
        <f>IFERROR(INDEX(Структура_ассортимента[Product group],MATCH(Товары[[#This Row],[SubGroup]],Структура_ассортимента[Subgroup],0)),"")</f>
        <v>WSS_C</v>
      </c>
      <c r="G1654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54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54" s="36">
        <v>9032</v>
      </c>
      <c r="J1654" s="36" t="str">
        <f>IFERROR(INDEX(Структура_ассортимента[Generic Name (long)],MATCH(Товары[[#This Row],[SubGroup]],Структура_ассортимента[Subgroup],0)),"")</f>
        <v>WATERING SET</v>
      </c>
      <c r="L1654" s="36">
        <v>901012901</v>
      </c>
      <c r="M1654" s="35" t="s">
        <v>3330</v>
      </c>
      <c r="Q1654" s="34" t="s">
        <v>3544</v>
      </c>
      <c r="R1654" s="34" t="s">
        <v>3540</v>
      </c>
      <c r="S1654" s="47">
        <v>36845</v>
      </c>
      <c r="T1654" s="47">
        <v>0</v>
      </c>
      <c r="U1654" s="47">
        <v>0</v>
      </c>
      <c r="V1654" s="34">
        <v>4078500272803</v>
      </c>
      <c r="W1654" s="34" t="s">
        <v>3550</v>
      </c>
      <c r="Y1654" s="34" t="s">
        <v>3542</v>
      </c>
      <c r="Z1654" s="34">
        <v>10</v>
      </c>
      <c r="AA1654" s="34">
        <v>72</v>
      </c>
      <c r="AB1654" s="34">
        <v>72</v>
      </c>
      <c r="AC1654" s="34">
        <v>60</v>
      </c>
      <c r="AD1654" s="34">
        <v>60</v>
      </c>
      <c r="AE1654" s="34">
        <v>70</v>
      </c>
      <c r="AF1654" s="34">
        <v>60</v>
      </c>
      <c r="AG1654" s="34">
        <v>60</v>
      </c>
      <c r="AH1654" s="34">
        <v>0.252</v>
      </c>
      <c r="AM1654" s="40" t="s">
        <v>8094</v>
      </c>
      <c r="AT1654" s="44">
        <v>0</v>
      </c>
      <c r="AU1654" s="44"/>
      <c r="AV1654" s="46">
        <f>ROUND(Товары[[#This Row],[РРЦ финальная, руб.]]/$AU$1,2)</f>
        <v>0</v>
      </c>
      <c r="AW1654" s="45" t="str">
        <f>IFERROR(Товары[[#This Row],[РРЦ, евро]]/Товары[[#This Row],[IRP, Eur]],"-")</f>
        <v>-</v>
      </c>
      <c r="AX1654" s="42">
        <f>IFERROR(VLOOKUP(Товары[[#This Row],[SubGroup]],'Структура цен DIY'!$B:$C,2,FALSE),0)</f>
        <v>0.29999999999999993</v>
      </c>
      <c r="AY1654" s="44">
        <v>0</v>
      </c>
    </row>
    <row r="1655" spans="1:51" x14ac:dyDescent="0.25">
      <c r="A1655" s="34">
        <v>1653</v>
      </c>
      <c r="B1655" s="34" t="s">
        <v>49</v>
      </c>
      <c r="C1655" s="110" t="str">
        <f>IFERROR(INDEX(Структура_ассортимента[SuperCategory],MATCH(Товары[[#This Row],[SubGroup]],Структура_ассортимента[Subgroup],0)),"")</f>
        <v>W</v>
      </c>
      <c r="D165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5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55" s="110" t="str">
        <f>IFERROR(INDEX(Структура_ассортимента[Product group],MATCH(Товары[[#This Row],[SubGroup]],Структура_ассортимента[Subgroup],0)),"")</f>
        <v>WSS_C</v>
      </c>
      <c r="G1655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55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55" s="36">
        <v>9032</v>
      </c>
      <c r="J1655" s="36" t="str">
        <f>IFERROR(INDEX(Структура_ассортимента[Generic Name (long)],MATCH(Товары[[#This Row],[SubGroup]],Структура_ассортимента[Subgroup],0)),"")</f>
        <v>WATERING SET</v>
      </c>
      <c r="L1655" s="36">
        <v>901013001</v>
      </c>
      <c r="M1655" s="35" t="s">
        <v>3331</v>
      </c>
      <c r="Q1655" s="34" t="s">
        <v>3544</v>
      </c>
      <c r="R1655" s="34" t="s">
        <v>3540</v>
      </c>
      <c r="S1655" s="47">
        <v>36845</v>
      </c>
      <c r="T1655" s="47">
        <v>0</v>
      </c>
      <c r="U1655" s="47">
        <v>0</v>
      </c>
      <c r="V1655" s="34">
        <v>4078500272902</v>
      </c>
      <c r="W1655" s="34" t="s">
        <v>3550</v>
      </c>
      <c r="Y1655" s="34" t="s">
        <v>3542</v>
      </c>
      <c r="Z1655" s="34">
        <v>10</v>
      </c>
      <c r="AA1655" s="34">
        <v>120</v>
      </c>
      <c r="AB1655" s="34">
        <v>120</v>
      </c>
      <c r="AC1655" s="34">
        <v>115</v>
      </c>
      <c r="AD1655" s="34">
        <v>115</v>
      </c>
      <c r="AE1655" s="34">
        <v>195</v>
      </c>
      <c r="AF1655" s="34">
        <v>190</v>
      </c>
      <c r="AG1655" s="34">
        <v>40</v>
      </c>
      <c r="AH1655" s="34">
        <v>1.482</v>
      </c>
      <c r="AM1655" s="40" t="s">
        <v>8094</v>
      </c>
      <c r="AT1655" s="44">
        <v>0</v>
      </c>
      <c r="AU1655" s="44"/>
      <c r="AV1655" s="46">
        <f>ROUND(Товары[[#This Row],[РРЦ финальная, руб.]]/$AU$1,2)</f>
        <v>0</v>
      </c>
      <c r="AW1655" s="45" t="str">
        <f>IFERROR(Товары[[#This Row],[РРЦ, евро]]/Товары[[#This Row],[IRP, Eur]],"-")</f>
        <v>-</v>
      </c>
      <c r="AX1655" s="42">
        <f>IFERROR(VLOOKUP(Товары[[#This Row],[SubGroup]],'Структура цен DIY'!$B:$C,2,FALSE),0)</f>
        <v>0.29999999999999993</v>
      </c>
      <c r="AY1655" s="44">
        <v>0</v>
      </c>
    </row>
    <row r="1656" spans="1:51" x14ac:dyDescent="0.25">
      <c r="A1656" s="34">
        <v>1654</v>
      </c>
      <c r="B1656" s="34" t="s">
        <v>49</v>
      </c>
      <c r="C1656" s="110" t="str">
        <f>IFERROR(INDEX(Структура_ассортимента[SuperCategory],MATCH(Товары[[#This Row],[SubGroup]],Структура_ассортимента[Subgroup],0)),"")</f>
        <v>W</v>
      </c>
      <c r="D165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5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56" s="110" t="str">
        <f>IFERROR(INDEX(Структура_ассортимента[Product group],MATCH(Товары[[#This Row],[SubGroup]],Структура_ассортимента[Subgroup],0)),"")</f>
        <v>WSS_C</v>
      </c>
      <c r="G1656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56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56" s="36">
        <v>9032</v>
      </c>
      <c r="J1656" s="36" t="str">
        <f>IFERROR(INDEX(Структура_ассортимента[Generic Name (long)],MATCH(Товары[[#This Row],[SubGroup]],Структура_ассортимента[Subgroup],0)),"")</f>
        <v>WATERING SET</v>
      </c>
      <c r="L1656" s="36">
        <v>901016301</v>
      </c>
      <c r="M1656" s="35" t="s">
        <v>3332</v>
      </c>
      <c r="Q1656" s="34" t="s">
        <v>3544</v>
      </c>
      <c r="R1656" s="34" t="s">
        <v>3540</v>
      </c>
      <c r="S1656" s="47">
        <v>37895</v>
      </c>
      <c r="T1656" s="47">
        <v>0</v>
      </c>
      <c r="U1656" s="47">
        <v>0</v>
      </c>
      <c r="V1656" s="34">
        <v>4078500276504</v>
      </c>
      <c r="W1656" s="34" t="s">
        <v>3547</v>
      </c>
      <c r="Y1656" s="34" t="s">
        <v>3542</v>
      </c>
      <c r="Z1656" s="34">
        <v>10</v>
      </c>
      <c r="AA1656" s="34">
        <v>132</v>
      </c>
      <c r="AB1656" s="34">
        <v>132</v>
      </c>
      <c r="AC1656" s="34">
        <v>110</v>
      </c>
      <c r="AD1656" s="34">
        <v>110</v>
      </c>
      <c r="AE1656" s="34">
        <v>221</v>
      </c>
      <c r="AF1656" s="34">
        <v>148</v>
      </c>
      <c r="AG1656" s="34">
        <v>37</v>
      </c>
      <c r="AH1656" s="34">
        <v>1.21</v>
      </c>
      <c r="AM1656" s="40" t="s">
        <v>8094</v>
      </c>
      <c r="AT1656" s="44">
        <v>0</v>
      </c>
      <c r="AU1656" s="44"/>
      <c r="AV1656" s="46">
        <f>ROUND(Товары[[#This Row],[РРЦ финальная, руб.]]/$AU$1,2)</f>
        <v>0</v>
      </c>
      <c r="AW1656" s="45" t="str">
        <f>IFERROR(Товары[[#This Row],[РРЦ, евро]]/Товары[[#This Row],[IRP, Eur]],"-")</f>
        <v>-</v>
      </c>
      <c r="AX1656" s="42">
        <f>IFERROR(VLOOKUP(Товары[[#This Row],[SubGroup]],'Структура цен DIY'!$B:$C,2,FALSE),0)</f>
        <v>0.29999999999999993</v>
      </c>
      <c r="AY1656" s="44">
        <v>0</v>
      </c>
    </row>
    <row r="1657" spans="1:51" x14ac:dyDescent="0.25">
      <c r="A1657" s="34">
        <v>1655</v>
      </c>
      <c r="B1657" s="34" t="s">
        <v>49</v>
      </c>
      <c r="C1657" s="110" t="str">
        <f>IFERROR(INDEX(Структура_ассортимента[SuperCategory],MATCH(Товары[[#This Row],[SubGroup]],Структура_ассортимента[Subgroup],0)),"")</f>
        <v>W</v>
      </c>
      <c r="D165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5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57" s="110" t="str">
        <f>IFERROR(INDEX(Структура_ассортимента[Product group],MATCH(Товары[[#This Row],[SubGroup]],Структура_ассортимента[Subgroup],0)),"")</f>
        <v>WSS_C</v>
      </c>
      <c r="G1657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57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57" s="36">
        <v>9032</v>
      </c>
      <c r="J1657" s="36" t="str">
        <f>IFERROR(INDEX(Структура_ассортимента[Generic Name (long)],MATCH(Товары[[#This Row],[SubGroup]],Структура_ассортимента[Subgroup],0)),"")</f>
        <v>WATERING SET</v>
      </c>
      <c r="L1657" s="36">
        <v>901018201</v>
      </c>
      <c r="M1657" s="35" t="s">
        <v>3333</v>
      </c>
      <c r="Q1657" s="34" t="s">
        <v>3544</v>
      </c>
      <c r="R1657" s="34" t="s">
        <v>3540</v>
      </c>
      <c r="S1657" s="47">
        <v>39356</v>
      </c>
      <c r="T1657" s="47">
        <v>0</v>
      </c>
      <c r="U1657" s="47">
        <v>0</v>
      </c>
      <c r="V1657" s="34">
        <v>4078500278904</v>
      </c>
      <c r="W1657" s="34" t="s">
        <v>3550</v>
      </c>
      <c r="Y1657" s="34" t="s">
        <v>3542</v>
      </c>
      <c r="Z1657" s="34">
        <v>1</v>
      </c>
      <c r="AA1657" s="34">
        <v>1350</v>
      </c>
      <c r="AB1657" s="34">
        <v>1350</v>
      </c>
      <c r="AC1657" s="34">
        <v>1250</v>
      </c>
      <c r="AD1657" s="34">
        <v>1250</v>
      </c>
      <c r="AE1657" s="34">
        <v>540</v>
      </c>
      <c r="AF1657" s="34">
        <v>540</v>
      </c>
      <c r="AG1657" s="34">
        <v>100</v>
      </c>
      <c r="AH1657" s="34">
        <v>29.16</v>
      </c>
      <c r="AM1657" s="40" t="s">
        <v>8094</v>
      </c>
      <c r="AT1657" s="44">
        <v>0</v>
      </c>
      <c r="AU1657" s="44"/>
      <c r="AV1657" s="46">
        <f>ROUND(Товары[[#This Row],[РРЦ финальная, руб.]]/$AU$1,2)</f>
        <v>0</v>
      </c>
      <c r="AW1657" s="45" t="str">
        <f>IFERROR(Товары[[#This Row],[РРЦ, евро]]/Товары[[#This Row],[IRP, Eur]],"-")</f>
        <v>-</v>
      </c>
      <c r="AX1657" s="42">
        <f>IFERROR(VLOOKUP(Товары[[#This Row],[SubGroup]],'Структура цен DIY'!$B:$C,2,FALSE),0)</f>
        <v>0.29999999999999993</v>
      </c>
      <c r="AY1657" s="44">
        <v>0</v>
      </c>
    </row>
    <row r="1658" spans="1:51" x14ac:dyDescent="0.25">
      <c r="A1658" s="34">
        <v>1656</v>
      </c>
      <c r="B1658" s="34" t="s">
        <v>49</v>
      </c>
      <c r="C1658" s="110" t="str">
        <f>IFERROR(INDEX(Структура_ассортимента[SuperCategory],MATCH(Товары[[#This Row],[SubGroup]],Структура_ассортимента[Subgroup],0)),"")</f>
        <v>W</v>
      </c>
      <c r="D165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5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58" s="110" t="str">
        <f>IFERROR(INDEX(Структура_ассортимента[Product group],MATCH(Товары[[#This Row],[SubGroup]],Структура_ассортимента[Subgroup],0)),"")</f>
        <v>WSS_C</v>
      </c>
      <c r="G1658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58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58" s="36">
        <v>9032</v>
      </c>
      <c r="J1658" s="36" t="str">
        <f>IFERROR(INDEX(Структура_ассортимента[Generic Name (long)],MATCH(Товары[[#This Row],[SubGroup]],Структура_ассортимента[Subgroup],0)),"")</f>
        <v>WATERING SET</v>
      </c>
      <c r="L1658" s="36">
        <v>901019501</v>
      </c>
      <c r="M1658" s="35" t="s">
        <v>3334</v>
      </c>
      <c r="Q1658" s="34" t="s">
        <v>3544</v>
      </c>
      <c r="R1658" s="34" t="s">
        <v>3540</v>
      </c>
      <c r="S1658" s="47">
        <v>39356</v>
      </c>
      <c r="T1658" s="47">
        <v>0</v>
      </c>
      <c r="U1658" s="47">
        <v>0</v>
      </c>
      <c r="V1658" s="34">
        <v>4078500279802</v>
      </c>
      <c r="W1658" s="34" t="s">
        <v>3550</v>
      </c>
      <c r="Y1658" s="34" t="s">
        <v>3542</v>
      </c>
      <c r="Z1658" s="34">
        <v>1</v>
      </c>
      <c r="AA1658" s="34">
        <v>4800</v>
      </c>
      <c r="AB1658" s="34">
        <v>4800</v>
      </c>
      <c r="AC1658" s="34">
        <v>4600</v>
      </c>
      <c r="AD1658" s="34">
        <v>4600</v>
      </c>
      <c r="AE1658" s="34">
        <v>800</v>
      </c>
      <c r="AF1658" s="34">
        <v>800</v>
      </c>
      <c r="AG1658" s="34">
        <v>190</v>
      </c>
      <c r="AH1658" s="34">
        <v>121.6</v>
      </c>
      <c r="AM1658" s="40" t="s">
        <v>8094</v>
      </c>
      <c r="AT1658" s="44">
        <v>0</v>
      </c>
      <c r="AU1658" s="44"/>
      <c r="AV1658" s="46">
        <f>ROUND(Товары[[#This Row],[РРЦ финальная, руб.]]/$AU$1,2)</f>
        <v>0</v>
      </c>
      <c r="AW1658" s="45" t="str">
        <f>IFERROR(Товары[[#This Row],[РРЦ, евро]]/Товары[[#This Row],[IRP, Eur]],"-")</f>
        <v>-</v>
      </c>
      <c r="AX1658" s="42">
        <f>IFERROR(VLOOKUP(Товары[[#This Row],[SubGroup]],'Структура цен DIY'!$B:$C,2,FALSE),0)</f>
        <v>0.29999999999999993</v>
      </c>
      <c r="AY1658" s="44">
        <v>0</v>
      </c>
    </row>
    <row r="1659" spans="1:51" x14ac:dyDescent="0.25">
      <c r="A1659" s="34">
        <v>1657</v>
      </c>
      <c r="B1659" s="34" t="s">
        <v>49</v>
      </c>
      <c r="C1659" s="110" t="str">
        <f>IFERROR(INDEX(Структура_ассортимента[SuperCategory],MATCH(Товары[[#This Row],[SubGroup]],Структура_ассортимента[Subgroup],0)),"")</f>
        <v>W</v>
      </c>
      <c r="D165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5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59" s="110" t="str">
        <f>IFERROR(INDEX(Структура_ассортимента[Product group],MATCH(Товары[[#This Row],[SubGroup]],Структура_ассортимента[Subgroup],0)),"")</f>
        <v>WSS_C</v>
      </c>
      <c r="G1659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59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59" s="36">
        <v>9032</v>
      </c>
      <c r="J1659" s="36" t="str">
        <f>IFERROR(INDEX(Структура_ассортимента[Generic Name (long)],MATCH(Товары[[#This Row],[SubGroup]],Структура_ассортимента[Subgroup],0)),"")</f>
        <v>WATERING SET</v>
      </c>
      <c r="L1659" s="36">
        <v>966409301</v>
      </c>
      <c r="M1659" s="35" t="s">
        <v>3335</v>
      </c>
      <c r="Q1659" s="34" t="s">
        <v>3544</v>
      </c>
      <c r="R1659" s="34" t="s">
        <v>3540</v>
      </c>
      <c r="S1659" s="47">
        <v>40087</v>
      </c>
      <c r="T1659" s="47">
        <v>0</v>
      </c>
      <c r="U1659" s="47">
        <v>0</v>
      </c>
      <c r="V1659" s="34">
        <v>4078500820295</v>
      </c>
      <c r="W1659" s="34" t="s">
        <v>3547</v>
      </c>
      <c r="Y1659" s="34" t="s">
        <v>3542</v>
      </c>
      <c r="Z1659" s="34">
        <v>10</v>
      </c>
      <c r="AA1659" s="34">
        <v>252</v>
      </c>
      <c r="AB1659" s="34">
        <v>252</v>
      </c>
      <c r="AC1659" s="34">
        <v>220</v>
      </c>
      <c r="AD1659" s="34">
        <v>220</v>
      </c>
      <c r="AE1659" s="34">
        <v>50</v>
      </c>
      <c r="AF1659" s="34">
        <v>50</v>
      </c>
      <c r="AG1659" s="34">
        <v>170</v>
      </c>
      <c r="AH1659" s="34">
        <v>0.42499999999999999</v>
      </c>
      <c r="AM1659" s="40" t="s">
        <v>8094</v>
      </c>
      <c r="AT1659" s="44">
        <v>0</v>
      </c>
      <c r="AU1659" s="44"/>
      <c r="AV1659" s="46">
        <f>ROUND(Товары[[#This Row],[РРЦ финальная, руб.]]/$AU$1,2)</f>
        <v>0</v>
      </c>
      <c r="AW1659" s="45" t="str">
        <f>IFERROR(Товары[[#This Row],[РРЦ, евро]]/Товары[[#This Row],[IRP, Eur]],"-")</f>
        <v>-</v>
      </c>
      <c r="AX1659" s="42">
        <f>IFERROR(VLOOKUP(Товары[[#This Row],[SubGroup]],'Структура цен DIY'!$B:$C,2,FALSE),0)</f>
        <v>0.29999999999999993</v>
      </c>
      <c r="AY1659" s="44">
        <v>0</v>
      </c>
    </row>
    <row r="1660" spans="1:51" x14ac:dyDescent="0.25">
      <c r="A1660" s="34">
        <v>1658</v>
      </c>
      <c r="B1660" s="34" t="s">
        <v>49</v>
      </c>
      <c r="C1660" s="110" t="str">
        <f>IFERROR(INDEX(Структура_ассортимента[SuperCategory],MATCH(Товары[[#This Row],[SubGroup]],Структура_ассортимента[Subgroup],0)),"")</f>
        <v>W</v>
      </c>
      <c r="D166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6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60" s="110" t="str">
        <f>IFERROR(INDEX(Структура_ассортимента[Product group],MATCH(Товары[[#This Row],[SubGroup]],Структура_ассортимента[Subgroup],0)),"")</f>
        <v>WSS_C</v>
      </c>
      <c r="G1660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60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60" s="36">
        <v>9032</v>
      </c>
      <c r="J1660" s="36" t="str">
        <f>IFERROR(INDEX(Структура_ассортимента[Generic Name (long)],MATCH(Товары[[#This Row],[SubGroup]],Структура_ассортимента[Subgroup],0)),"")</f>
        <v>WATERING SET</v>
      </c>
      <c r="L1660" s="36">
        <v>966409501</v>
      </c>
      <c r="M1660" s="35" t="s">
        <v>3336</v>
      </c>
      <c r="Q1660" s="34" t="s">
        <v>3544</v>
      </c>
      <c r="R1660" s="34" t="s">
        <v>3540</v>
      </c>
      <c r="S1660" s="47">
        <v>40087</v>
      </c>
      <c r="T1660" s="47">
        <v>0</v>
      </c>
      <c r="U1660" s="47">
        <v>0</v>
      </c>
      <c r="V1660" s="34">
        <v>4078500820493</v>
      </c>
      <c r="W1660" s="34" t="s">
        <v>3543</v>
      </c>
      <c r="Y1660" s="34" t="s">
        <v>3542</v>
      </c>
      <c r="Z1660" s="34">
        <v>6</v>
      </c>
      <c r="AA1660" s="34">
        <v>742</v>
      </c>
      <c r="AB1660" s="34">
        <v>742</v>
      </c>
      <c r="AC1660" s="34">
        <v>720</v>
      </c>
      <c r="AD1660" s="34">
        <v>720</v>
      </c>
      <c r="AE1660" s="34">
        <v>210</v>
      </c>
      <c r="AF1660" s="34">
        <v>70</v>
      </c>
      <c r="AG1660" s="34">
        <v>70</v>
      </c>
      <c r="AH1660" s="34">
        <v>1.0289999999999999</v>
      </c>
      <c r="AM1660" s="40" t="s">
        <v>8094</v>
      </c>
      <c r="AT1660" s="44">
        <v>0</v>
      </c>
      <c r="AU1660" s="44"/>
      <c r="AV1660" s="46">
        <f>ROUND(Товары[[#This Row],[РРЦ финальная, руб.]]/$AU$1,2)</f>
        <v>0</v>
      </c>
      <c r="AW1660" s="45" t="str">
        <f>IFERROR(Товары[[#This Row],[РРЦ, евро]]/Товары[[#This Row],[IRP, Eur]],"-")</f>
        <v>-</v>
      </c>
      <c r="AX1660" s="42">
        <f>IFERROR(VLOOKUP(Товары[[#This Row],[SubGroup]],'Структура цен DIY'!$B:$C,2,FALSE),0)</f>
        <v>0.29999999999999993</v>
      </c>
      <c r="AY1660" s="44">
        <v>0</v>
      </c>
    </row>
    <row r="1661" spans="1:51" x14ac:dyDescent="0.25">
      <c r="A1661" s="34">
        <v>1659</v>
      </c>
      <c r="B1661" s="34" t="s">
        <v>49</v>
      </c>
      <c r="C1661" s="110" t="str">
        <f>IFERROR(INDEX(Структура_ассортимента[SuperCategory],MATCH(Товары[[#This Row],[SubGroup]],Структура_ассортимента[Subgroup],0)),"")</f>
        <v>W</v>
      </c>
      <c r="D166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6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61" s="110" t="str">
        <f>IFERROR(INDEX(Структура_ассортимента[Product group],MATCH(Товары[[#This Row],[SubGroup]],Структура_ассортимента[Subgroup],0)),"")</f>
        <v>WSS_C</v>
      </c>
      <c r="G1661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61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61" s="36">
        <v>9032</v>
      </c>
      <c r="J1661" s="36" t="str">
        <f>IFERROR(INDEX(Структура_ассортимента[Generic Name (long)],MATCH(Товары[[#This Row],[SubGroup]],Структура_ассортимента[Subgroup],0)),"")</f>
        <v>WATERING SET</v>
      </c>
      <c r="L1661" s="36">
        <v>966409701</v>
      </c>
      <c r="M1661" s="35" t="s">
        <v>3337</v>
      </c>
      <c r="Q1661" s="34" t="s">
        <v>3544</v>
      </c>
      <c r="R1661" s="34" t="s">
        <v>3540</v>
      </c>
      <c r="S1661" s="47">
        <v>40087</v>
      </c>
      <c r="T1661" s="47">
        <v>0</v>
      </c>
      <c r="U1661" s="47">
        <v>0</v>
      </c>
      <c r="V1661" s="34">
        <v>4078500820691</v>
      </c>
      <c r="W1661" s="34" t="s">
        <v>3543</v>
      </c>
      <c r="Y1661" s="34" t="s">
        <v>3542</v>
      </c>
      <c r="Z1661" s="34">
        <v>6</v>
      </c>
      <c r="AA1661" s="34">
        <v>812</v>
      </c>
      <c r="AB1661" s="34">
        <v>812</v>
      </c>
      <c r="AC1661" s="34">
        <v>750</v>
      </c>
      <c r="AD1661" s="34">
        <v>750</v>
      </c>
      <c r="AE1661" s="34">
        <v>210</v>
      </c>
      <c r="AF1661" s="34">
        <v>70</v>
      </c>
      <c r="AG1661" s="34">
        <v>70</v>
      </c>
      <c r="AH1661" s="34">
        <v>1.0289999999999999</v>
      </c>
      <c r="AM1661" s="40" t="s">
        <v>8094</v>
      </c>
      <c r="AT1661" s="44">
        <v>0</v>
      </c>
      <c r="AU1661" s="44"/>
      <c r="AV1661" s="46">
        <f>ROUND(Товары[[#This Row],[РРЦ финальная, руб.]]/$AU$1,2)</f>
        <v>0</v>
      </c>
      <c r="AW1661" s="45" t="str">
        <f>IFERROR(Товары[[#This Row],[РРЦ, евро]]/Товары[[#This Row],[IRP, Eur]],"-")</f>
        <v>-</v>
      </c>
      <c r="AX1661" s="42">
        <f>IFERROR(VLOOKUP(Товары[[#This Row],[SubGroup]],'Структура цен DIY'!$B:$C,2,FALSE),0)</f>
        <v>0.29999999999999993</v>
      </c>
      <c r="AY1661" s="44">
        <v>0</v>
      </c>
    </row>
    <row r="1662" spans="1:51" x14ac:dyDescent="0.25">
      <c r="A1662" s="34">
        <v>1660</v>
      </c>
      <c r="B1662" s="34" t="s">
        <v>49</v>
      </c>
      <c r="C1662" s="110" t="str">
        <f>IFERROR(INDEX(Структура_ассортимента[SuperCategory],MATCH(Товары[[#This Row],[SubGroup]],Структура_ассортимента[Subgroup],0)),"")</f>
        <v>W</v>
      </c>
      <c r="D166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6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62" s="110" t="str">
        <f>IFERROR(INDEX(Структура_ассортимента[Product group],MATCH(Товары[[#This Row],[SubGroup]],Структура_ассортимента[Subgroup],0)),"")</f>
        <v>WSS_C</v>
      </c>
      <c r="G1662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62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62" s="36">
        <v>9033</v>
      </c>
      <c r="J1662" s="36" t="str">
        <f>IFERROR(INDEX(Структура_ассортимента[Generic Name (long)],MATCH(Товары[[#This Row],[SubGroup]],Структура_ассортимента[Subgroup],0)),"")</f>
        <v>WATERING SET</v>
      </c>
      <c r="L1662" s="36">
        <v>901161401</v>
      </c>
      <c r="M1662" s="35" t="s">
        <v>3338</v>
      </c>
      <c r="Q1662" s="34" t="s">
        <v>3539</v>
      </c>
      <c r="R1662" s="34" t="s">
        <v>3540</v>
      </c>
      <c r="S1662" s="47">
        <v>37895</v>
      </c>
      <c r="T1662" s="47">
        <v>0</v>
      </c>
      <c r="U1662" s="47">
        <v>0</v>
      </c>
      <c r="V1662" s="34">
        <v>4078500831291</v>
      </c>
      <c r="W1662" s="34" t="s">
        <v>3543</v>
      </c>
      <c r="Y1662" s="34" t="s">
        <v>3542</v>
      </c>
      <c r="Z1662" s="34">
        <v>10</v>
      </c>
      <c r="AA1662" s="34">
        <v>35</v>
      </c>
      <c r="AB1662" s="34">
        <v>35</v>
      </c>
      <c r="AC1662" s="34">
        <v>26</v>
      </c>
      <c r="AD1662" s="34">
        <v>26</v>
      </c>
      <c r="AE1662" s="34">
        <v>130</v>
      </c>
      <c r="AF1662" s="34">
        <v>105</v>
      </c>
      <c r="AG1662" s="34">
        <v>20</v>
      </c>
      <c r="AH1662" s="34">
        <v>0.27300000000000002</v>
      </c>
      <c r="AM1662" s="40" t="s">
        <v>8094</v>
      </c>
      <c r="AT1662" s="44">
        <v>0</v>
      </c>
      <c r="AU1662" s="44"/>
      <c r="AV1662" s="46">
        <f>ROUND(Товары[[#This Row],[РРЦ финальная, руб.]]/$AU$1,2)</f>
        <v>0</v>
      </c>
      <c r="AW1662" s="45" t="str">
        <f>IFERROR(Товары[[#This Row],[РРЦ, евро]]/Товары[[#This Row],[IRP, Eur]],"-")</f>
        <v>-</v>
      </c>
      <c r="AX1662" s="42">
        <f>IFERROR(VLOOKUP(Товары[[#This Row],[SubGroup]],'Структура цен DIY'!$B:$C,2,FALSE),0)</f>
        <v>0.30000000000000016</v>
      </c>
      <c r="AY1662" s="44">
        <v>0</v>
      </c>
    </row>
    <row r="1663" spans="1:51" x14ac:dyDescent="0.25">
      <c r="A1663" s="34">
        <v>1661</v>
      </c>
      <c r="B1663" s="34" t="s">
        <v>49</v>
      </c>
      <c r="C1663" s="110" t="str">
        <f>IFERROR(INDEX(Структура_ассортимента[SuperCategory],MATCH(Товары[[#This Row],[SubGroup]],Структура_ассортимента[Subgroup],0)),"")</f>
        <v>W</v>
      </c>
      <c r="D166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6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63" s="110" t="str">
        <f>IFERROR(INDEX(Структура_ассортимента[Product group],MATCH(Товары[[#This Row],[SubGroup]],Структура_ассортимента[Subgroup],0)),"")</f>
        <v>WSS_C</v>
      </c>
      <c r="G1663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63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63" s="36">
        <v>9033</v>
      </c>
      <c r="J1663" s="36" t="str">
        <f>IFERROR(INDEX(Структура_ассортимента[Generic Name (long)],MATCH(Товары[[#This Row],[SubGroup]],Структура_ассортимента[Subgroup],0)),"")</f>
        <v>WATERING SET</v>
      </c>
      <c r="L1663" s="36">
        <v>901161601</v>
      </c>
      <c r="M1663" s="35" t="s">
        <v>3339</v>
      </c>
      <c r="Q1663" s="34" t="s">
        <v>3544</v>
      </c>
      <c r="R1663" s="34" t="s">
        <v>3540</v>
      </c>
      <c r="S1663" s="47">
        <v>39722</v>
      </c>
      <c r="T1663" s="47">
        <v>0</v>
      </c>
      <c r="U1663" s="47">
        <v>0</v>
      </c>
      <c r="V1663" s="34">
        <v>4078500831390</v>
      </c>
      <c r="W1663" s="34" t="s">
        <v>3543</v>
      </c>
      <c r="Y1663" s="34" t="s">
        <v>3542</v>
      </c>
      <c r="Z1663" s="34">
        <v>3</v>
      </c>
      <c r="AA1663" s="34">
        <v>440</v>
      </c>
      <c r="AB1663" s="34">
        <v>440</v>
      </c>
      <c r="AC1663" s="34">
        <v>390</v>
      </c>
      <c r="AD1663" s="34">
        <v>390</v>
      </c>
      <c r="AE1663" s="34">
        <v>127</v>
      </c>
      <c r="AF1663" s="34">
        <v>103</v>
      </c>
      <c r="AG1663" s="34">
        <v>159</v>
      </c>
      <c r="AH1663" s="34">
        <v>2.08</v>
      </c>
      <c r="AM1663" s="40" t="s">
        <v>8094</v>
      </c>
      <c r="AT1663" s="44">
        <v>0</v>
      </c>
      <c r="AU1663" s="44"/>
      <c r="AV1663" s="46">
        <f>ROUND(Товары[[#This Row],[РРЦ финальная, руб.]]/$AU$1,2)</f>
        <v>0</v>
      </c>
      <c r="AW1663" s="45" t="str">
        <f>IFERROR(Товары[[#This Row],[РРЦ, евро]]/Товары[[#This Row],[IRP, Eur]],"-")</f>
        <v>-</v>
      </c>
      <c r="AX1663" s="42">
        <f>IFERROR(VLOOKUP(Товары[[#This Row],[SubGroup]],'Структура цен DIY'!$B:$C,2,FALSE),0)</f>
        <v>0.30000000000000016</v>
      </c>
      <c r="AY1663" s="44">
        <v>0</v>
      </c>
    </row>
    <row r="1664" spans="1:51" x14ac:dyDescent="0.25">
      <c r="A1664" s="34">
        <v>1662</v>
      </c>
      <c r="B1664" s="34" t="s">
        <v>49</v>
      </c>
      <c r="C1664" s="110" t="str">
        <f>IFERROR(INDEX(Структура_ассортимента[SuperCategory],MATCH(Товары[[#This Row],[SubGroup]],Структура_ассортимента[Subgroup],0)),"")</f>
        <v>W</v>
      </c>
      <c r="D166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6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64" s="110" t="str">
        <f>IFERROR(INDEX(Структура_ассортимента[Product group],MATCH(Товары[[#This Row],[SubGroup]],Структура_ассортимента[Subgroup],0)),"")</f>
        <v>WSS_C</v>
      </c>
      <c r="G1664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64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64" s="36">
        <v>9033</v>
      </c>
      <c r="J1664" s="36" t="str">
        <f>IFERROR(INDEX(Структура_ассортимента[Generic Name (long)],MATCH(Товары[[#This Row],[SubGroup]],Структура_ассортимента[Subgroup],0)),"")</f>
        <v>WATERING SET</v>
      </c>
      <c r="L1664" s="36">
        <v>901162601</v>
      </c>
      <c r="M1664" s="35" t="s">
        <v>3340</v>
      </c>
      <c r="Q1664" s="34" t="s">
        <v>3539</v>
      </c>
      <c r="R1664" s="34" t="s">
        <v>3540</v>
      </c>
      <c r="S1664" s="47">
        <v>37530</v>
      </c>
      <c r="T1664" s="47">
        <v>0</v>
      </c>
      <c r="U1664" s="47">
        <v>0</v>
      </c>
      <c r="V1664" s="34">
        <v>4078500832793</v>
      </c>
      <c r="W1664" s="34" t="s">
        <v>3543</v>
      </c>
      <c r="Y1664" s="34" t="s">
        <v>3542</v>
      </c>
      <c r="Z1664" s="34">
        <v>10</v>
      </c>
      <c r="AA1664" s="34">
        <v>57</v>
      </c>
      <c r="AB1664" s="34">
        <v>57</v>
      </c>
      <c r="AC1664" s="34">
        <v>44</v>
      </c>
      <c r="AD1664" s="34">
        <v>44</v>
      </c>
      <c r="AE1664" s="34">
        <v>220</v>
      </c>
      <c r="AF1664" s="34">
        <v>105</v>
      </c>
      <c r="AG1664" s="34">
        <v>35</v>
      </c>
      <c r="AH1664" s="34">
        <v>0.80900000000000005</v>
      </c>
      <c r="AM1664" s="40" t="s">
        <v>8094</v>
      </c>
      <c r="AT1664" s="44">
        <v>0</v>
      </c>
      <c r="AU1664" s="44"/>
      <c r="AV1664" s="46">
        <f>ROUND(Товары[[#This Row],[РРЦ финальная, руб.]]/$AU$1,2)</f>
        <v>0</v>
      </c>
      <c r="AW1664" s="45" t="str">
        <f>IFERROR(Товары[[#This Row],[РРЦ, евро]]/Товары[[#This Row],[IRP, Eur]],"-")</f>
        <v>-</v>
      </c>
      <c r="AX1664" s="42">
        <f>IFERROR(VLOOKUP(Товары[[#This Row],[SubGroup]],'Структура цен DIY'!$B:$C,2,FALSE),0)</f>
        <v>0.30000000000000016</v>
      </c>
      <c r="AY1664" s="44">
        <v>0</v>
      </c>
    </row>
    <row r="1665" spans="1:51" x14ac:dyDescent="0.25">
      <c r="A1665" s="34">
        <v>1663</v>
      </c>
      <c r="B1665" s="34" t="s">
        <v>49</v>
      </c>
      <c r="C1665" s="110" t="str">
        <f>IFERROR(INDEX(Структура_ассортимента[SuperCategory],MATCH(Товары[[#This Row],[SubGroup]],Структура_ассортимента[Subgroup],0)),"")</f>
        <v>W</v>
      </c>
      <c r="D166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6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65" s="110" t="str">
        <f>IFERROR(INDEX(Структура_ассортимента[Product group],MATCH(Товары[[#This Row],[SubGroup]],Структура_ассортимента[Subgroup],0)),"")</f>
        <v>WSS_C</v>
      </c>
      <c r="G1665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65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65" s="36">
        <v>9033</v>
      </c>
      <c r="J1665" s="36" t="str">
        <f>IFERROR(INDEX(Структура_ассортимента[Generic Name (long)],MATCH(Товары[[#This Row],[SubGroup]],Структура_ассортимента[Subgroup],0)),"")</f>
        <v>WATERING SET</v>
      </c>
      <c r="L1665" s="36">
        <v>901162801</v>
      </c>
      <c r="M1665" s="35" t="s">
        <v>3341</v>
      </c>
      <c r="Q1665" s="34" t="s">
        <v>3539</v>
      </c>
      <c r="R1665" s="34" t="s">
        <v>3540</v>
      </c>
      <c r="S1665" s="47">
        <v>37530</v>
      </c>
      <c r="T1665" s="47">
        <v>0</v>
      </c>
      <c r="U1665" s="47">
        <v>0</v>
      </c>
      <c r="V1665" s="34">
        <v>4078500832892</v>
      </c>
      <c r="W1665" s="34" t="s">
        <v>3543</v>
      </c>
      <c r="Y1665" s="34" t="s">
        <v>3542</v>
      </c>
      <c r="Z1665" s="34">
        <v>10</v>
      </c>
      <c r="AA1665" s="34">
        <v>123</v>
      </c>
      <c r="AB1665" s="34">
        <v>123</v>
      </c>
      <c r="AC1665" s="34">
        <v>122</v>
      </c>
      <c r="AD1665" s="34">
        <v>122</v>
      </c>
      <c r="AE1665" s="34">
        <v>130</v>
      </c>
      <c r="AF1665" s="34">
        <v>115</v>
      </c>
      <c r="AG1665" s="34">
        <v>50</v>
      </c>
      <c r="AH1665" s="34">
        <v>0.748</v>
      </c>
      <c r="AM1665" s="40" t="s">
        <v>8094</v>
      </c>
      <c r="AT1665" s="44">
        <v>0</v>
      </c>
      <c r="AU1665" s="44"/>
      <c r="AV1665" s="46">
        <f>ROUND(Товары[[#This Row],[РРЦ финальная, руб.]]/$AU$1,2)</f>
        <v>0</v>
      </c>
      <c r="AW1665" s="45" t="str">
        <f>IFERROR(Товары[[#This Row],[РРЦ, евро]]/Товары[[#This Row],[IRP, Eur]],"-")</f>
        <v>-</v>
      </c>
      <c r="AX1665" s="42">
        <f>IFERROR(VLOOKUP(Товары[[#This Row],[SubGroup]],'Структура цен DIY'!$B:$C,2,FALSE),0)</f>
        <v>0.30000000000000016</v>
      </c>
      <c r="AY1665" s="44">
        <v>0</v>
      </c>
    </row>
    <row r="1666" spans="1:51" x14ac:dyDescent="0.25">
      <c r="A1666" s="34">
        <v>1664</v>
      </c>
      <c r="B1666" s="34" t="s">
        <v>49</v>
      </c>
      <c r="C1666" s="110" t="str">
        <f>IFERROR(INDEX(Структура_ассортимента[SuperCategory],MATCH(Товары[[#This Row],[SubGroup]],Структура_ассортимента[Subgroup],0)),"")</f>
        <v>W</v>
      </c>
      <c r="D166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6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66" s="110" t="str">
        <f>IFERROR(INDEX(Структура_ассортимента[Product group],MATCH(Товары[[#This Row],[SubGroup]],Структура_ассортимента[Subgroup],0)),"")</f>
        <v>WSS_C</v>
      </c>
      <c r="G1666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66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66" s="36">
        <v>9033</v>
      </c>
      <c r="J1666" s="36" t="str">
        <f>IFERROR(INDEX(Структура_ассортимента[Generic Name (long)],MATCH(Товары[[#This Row],[SubGroup]],Структура_ассортимента[Subgroup],0)),"")</f>
        <v>WATERING SET</v>
      </c>
      <c r="L1666" s="36">
        <v>901163801</v>
      </c>
      <c r="M1666" s="35" t="s">
        <v>3342</v>
      </c>
      <c r="Q1666" s="34" t="s">
        <v>3539</v>
      </c>
      <c r="R1666" s="34" t="s">
        <v>3540</v>
      </c>
      <c r="S1666" s="47">
        <v>37530</v>
      </c>
      <c r="T1666" s="47">
        <v>0</v>
      </c>
      <c r="U1666" s="47">
        <v>0</v>
      </c>
      <c r="V1666" s="34">
        <v>4078500833394</v>
      </c>
      <c r="W1666" s="34" t="s">
        <v>3543</v>
      </c>
      <c r="Y1666" s="34" t="s">
        <v>3542</v>
      </c>
      <c r="Z1666" s="34">
        <v>10</v>
      </c>
      <c r="AA1666" s="34">
        <v>81</v>
      </c>
      <c r="AB1666" s="34">
        <v>81</v>
      </c>
      <c r="AC1666" s="34">
        <v>81</v>
      </c>
      <c r="AD1666" s="34">
        <v>81</v>
      </c>
      <c r="AE1666" s="34">
        <v>220</v>
      </c>
      <c r="AF1666" s="34">
        <v>105</v>
      </c>
      <c r="AG1666" s="34">
        <v>35</v>
      </c>
      <c r="AH1666" s="34">
        <v>0.80900000000000005</v>
      </c>
      <c r="AM1666" s="40" t="s">
        <v>8094</v>
      </c>
      <c r="AT1666" s="44">
        <v>0</v>
      </c>
      <c r="AU1666" s="44"/>
      <c r="AV1666" s="46">
        <f>ROUND(Товары[[#This Row],[РРЦ финальная, руб.]]/$AU$1,2)</f>
        <v>0</v>
      </c>
      <c r="AW1666" s="45" t="str">
        <f>IFERROR(Товары[[#This Row],[РРЦ, евро]]/Товары[[#This Row],[IRP, Eur]],"-")</f>
        <v>-</v>
      </c>
      <c r="AX1666" s="42">
        <f>IFERROR(VLOOKUP(Товары[[#This Row],[SubGroup]],'Структура цен DIY'!$B:$C,2,FALSE),0)</f>
        <v>0.30000000000000016</v>
      </c>
      <c r="AY1666" s="44">
        <v>0</v>
      </c>
    </row>
    <row r="1667" spans="1:51" x14ac:dyDescent="0.25">
      <c r="A1667" s="34">
        <v>1665</v>
      </c>
      <c r="B1667" s="34" t="s">
        <v>49</v>
      </c>
      <c r="C1667" s="110" t="str">
        <f>IFERROR(INDEX(Структура_ассортимента[SuperCategory],MATCH(Товары[[#This Row],[SubGroup]],Структура_ассортимента[Subgroup],0)),"")</f>
        <v>W</v>
      </c>
      <c r="D166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6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67" s="110" t="str">
        <f>IFERROR(INDEX(Структура_ассортимента[Product group],MATCH(Товары[[#This Row],[SubGroup]],Структура_ассортимента[Subgroup],0)),"")</f>
        <v>WSS_C</v>
      </c>
      <c r="G1667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67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67" s="36">
        <v>9033</v>
      </c>
      <c r="J1667" s="36" t="str">
        <f>IFERROR(INDEX(Структура_ассортимента[Generic Name (long)],MATCH(Товары[[#This Row],[SubGroup]],Структура_ассортимента[Subgroup],0)),"")</f>
        <v>WATERING SET</v>
      </c>
      <c r="L1667" s="36">
        <v>901165201</v>
      </c>
      <c r="M1667" s="35" t="s">
        <v>3343</v>
      </c>
      <c r="Q1667" s="34" t="s">
        <v>3539</v>
      </c>
      <c r="R1667" s="34" t="s">
        <v>3540</v>
      </c>
      <c r="S1667" s="47">
        <v>37530</v>
      </c>
      <c r="T1667" s="47">
        <v>0</v>
      </c>
      <c r="U1667" s="47">
        <v>0</v>
      </c>
      <c r="V1667" s="34">
        <v>4078500834995</v>
      </c>
      <c r="W1667" s="34" t="s">
        <v>3543</v>
      </c>
      <c r="Y1667" s="34" t="s">
        <v>3542</v>
      </c>
      <c r="Z1667" s="34">
        <v>10</v>
      </c>
      <c r="AA1667" s="34">
        <v>125</v>
      </c>
      <c r="AB1667" s="34">
        <v>125</v>
      </c>
      <c r="AC1667" s="34">
        <v>94</v>
      </c>
      <c r="AD1667" s="34">
        <v>94</v>
      </c>
      <c r="AE1667" s="34">
        <v>220</v>
      </c>
      <c r="AF1667" s="34">
        <v>105</v>
      </c>
      <c r="AG1667" s="34">
        <v>40</v>
      </c>
      <c r="AH1667" s="34">
        <v>0.92400000000000004</v>
      </c>
      <c r="AM1667" s="40" t="s">
        <v>8094</v>
      </c>
      <c r="AT1667" s="44">
        <v>0</v>
      </c>
      <c r="AU1667" s="44"/>
      <c r="AV1667" s="46">
        <f>ROUND(Товары[[#This Row],[РРЦ финальная, руб.]]/$AU$1,2)</f>
        <v>0</v>
      </c>
      <c r="AW1667" s="45" t="str">
        <f>IFERROR(Товары[[#This Row],[РРЦ, евро]]/Товары[[#This Row],[IRP, Eur]],"-")</f>
        <v>-</v>
      </c>
      <c r="AX1667" s="42">
        <f>IFERROR(VLOOKUP(Товары[[#This Row],[SubGroup]],'Структура цен DIY'!$B:$C,2,FALSE),0)</f>
        <v>0.30000000000000016</v>
      </c>
      <c r="AY1667" s="44">
        <v>0</v>
      </c>
    </row>
    <row r="1668" spans="1:51" x14ac:dyDescent="0.25">
      <c r="A1668" s="34">
        <v>1666</v>
      </c>
      <c r="B1668" s="34" t="s">
        <v>49</v>
      </c>
      <c r="C1668" s="110" t="str">
        <f>IFERROR(INDEX(Структура_ассортимента[SuperCategory],MATCH(Товары[[#This Row],[SubGroup]],Структура_ассортимента[Subgroup],0)),"")</f>
        <v>W</v>
      </c>
      <c r="D166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6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68" s="110" t="str">
        <f>IFERROR(INDEX(Структура_ассортимента[Product group],MATCH(Товары[[#This Row],[SubGroup]],Структура_ассортимента[Subgroup],0)),"")</f>
        <v>WSS_C</v>
      </c>
      <c r="G1668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68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68" s="36">
        <v>9033</v>
      </c>
      <c r="J1668" s="36" t="str">
        <f>IFERROR(INDEX(Структура_ассортимента[Generic Name (long)],MATCH(Товары[[#This Row],[SubGroup]],Структура_ассортимента[Subgroup],0)),"")</f>
        <v>WATERING SET</v>
      </c>
      <c r="L1668" s="36">
        <v>900906701</v>
      </c>
      <c r="M1668" s="35" t="s">
        <v>3344</v>
      </c>
      <c r="Q1668" s="34" t="s">
        <v>3544</v>
      </c>
      <c r="R1668" s="34" t="s">
        <v>3540</v>
      </c>
      <c r="S1668" s="47">
        <v>37530</v>
      </c>
      <c r="T1668" s="47">
        <v>0</v>
      </c>
      <c r="U1668" s="47">
        <v>0</v>
      </c>
      <c r="V1668" s="34">
        <v>4078500132831</v>
      </c>
      <c r="W1668" s="34" t="s">
        <v>3543</v>
      </c>
      <c r="Y1668" s="34" t="s">
        <v>3542</v>
      </c>
      <c r="Z1668" s="34">
        <v>20</v>
      </c>
      <c r="AA1668" s="34">
        <v>220</v>
      </c>
      <c r="AB1668" s="34">
        <v>220</v>
      </c>
      <c r="AC1668" s="34">
        <v>215</v>
      </c>
      <c r="AD1668" s="34">
        <v>215</v>
      </c>
      <c r="AE1668" s="34">
        <v>300</v>
      </c>
      <c r="AF1668" s="34">
        <v>115</v>
      </c>
      <c r="AG1668" s="34">
        <v>25</v>
      </c>
      <c r="AH1668" s="34">
        <v>0.86299999999999999</v>
      </c>
      <c r="AM1668" s="40" t="s">
        <v>8094</v>
      </c>
      <c r="AT1668" s="44">
        <v>0</v>
      </c>
      <c r="AU1668" s="44"/>
      <c r="AV1668" s="46">
        <f>ROUND(Товары[[#This Row],[РРЦ финальная, руб.]]/$AU$1,2)</f>
        <v>0</v>
      </c>
      <c r="AW1668" s="45" t="str">
        <f>IFERROR(Товары[[#This Row],[РРЦ, евро]]/Товары[[#This Row],[IRP, Eur]],"-")</f>
        <v>-</v>
      </c>
      <c r="AX1668" s="42">
        <f>IFERROR(VLOOKUP(Товары[[#This Row],[SubGroup]],'Структура цен DIY'!$B:$C,2,FALSE),0)</f>
        <v>0.30000000000000016</v>
      </c>
      <c r="AY1668" s="44">
        <v>0</v>
      </c>
    </row>
    <row r="1669" spans="1:51" x14ac:dyDescent="0.25">
      <c r="A1669" s="34">
        <v>1667</v>
      </c>
      <c r="B1669" s="34" t="s">
        <v>49</v>
      </c>
      <c r="C1669" s="110" t="str">
        <f>IFERROR(INDEX(Структура_ассортимента[SuperCategory],MATCH(Товары[[#This Row],[SubGroup]],Структура_ассортимента[Subgroup],0)),"")</f>
        <v>W</v>
      </c>
      <c r="D166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6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69" s="110" t="str">
        <f>IFERROR(INDEX(Структура_ассортимента[Product group],MATCH(Товары[[#This Row],[SubGroup]],Структура_ассортимента[Subgroup],0)),"")</f>
        <v>WSS_C</v>
      </c>
      <c r="G1669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69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69" s="36">
        <v>9033</v>
      </c>
      <c r="J1669" s="36" t="str">
        <f>IFERROR(INDEX(Структура_ассортимента[Generic Name (long)],MATCH(Товары[[#This Row],[SubGroup]],Структура_ассортимента[Subgroup],0)),"")</f>
        <v>WATERING SET</v>
      </c>
      <c r="L1669" s="36">
        <v>901160901</v>
      </c>
      <c r="M1669" s="35" t="s">
        <v>3345</v>
      </c>
      <c r="Q1669" s="34" t="s">
        <v>4564</v>
      </c>
      <c r="R1669" s="34" t="s">
        <v>3540</v>
      </c>
      <c r="S1669" s="47">
        <v>39722</v>
      </c>
      <c r="T1669" s="47">
        <v>0</v>
      </c>
      <c r="U1669" s="47">
        <v>0</v>
      </c>
      <c r="V1669" s="34">
        <v>4078500830300</v>
      </c>
      <c r="W1669" s="34" t="s">
        <v>3550</v>
      </c>
      <c r="Y1669" s="34" t="s">
        <v>3542</v>
      </c>
      <c r="Z1669" s="34">
        <v>4</v>
      </c>
      <c r="AA1669" s="34">
        <v>1355</v>
      </c>
      <c r="AB1669" s="34">
        <v>1355</v>
      </c>
      <c r="AC1669" s="34">
        <v>1210</v>
      </c>
      <c r="AD1669" s="34">
        <v>1210</v>
      </c>
      <c r="AE1669" s="34">
        <v>98</v>
      </c>
      <c r="AF1669" s="34">
        <v>74</v>
      </c>
      <c r="AG1669" s="34">
        <v>280</v>
      </c>
      <c r="AH1669" s="34">
        <v>2.0310000000000001</v>
      </c>
      <c r="AM1669" s="40" t="s">
        <v>8094</v>
      </c>
      <c r="AT1669" s="44">
        <v>0</v>
      </c>
      <c r="AU1669" s="44"/>
      <c r="AV1669" s="46">
        <f>ROUND(Товары[[#This Row],[РРЦ финальная, руб.]]/$AU$1,2)</f>
        <v>0</v>
      </c>
      <c r="AW1669" s="45" t="str">
        <f>IFERROR(Товары[[#This Row],[РРЦ, евро]]/Товары[[#This Row],[IRP, Eur]],"-")</f>
        <v>-</v>
      </c>
      <c r="AX1669" s="42">
        <f>IFERROR(VLOOKUP(Товары[[#This Row],[SubGroup]],'Структура цен DIY'!$B:$C,2,FALSE),0)</f>
        <v>0.30000000000000016</v>
      </c>
      <c r="AY1669" s="44">
        <v>0</v>
      </c>
    </row>
    <row r="1670" spans="1:51" x14ac:dyDescent="0.25">
      <c r="A1670" s="34">
        <v>1668</v>
      </c>
      <c r="B1670" s="34" t="s">
        <v>49</v>
      </c>
      <c r="C1670" s="110" t="str">
        <f>IFERROR(INDEX(Структура_ассортимента[SuperCategory],MATCH(Товары[[#This Row],[SubGroup]],Структура_ассортимента[Subgroup],0)),"")</f>
        <v>W</v>
      </c>
      <c r="D167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7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70" s="110" t="str">
        <f>IFERROR(INDEX(Структура_ассортимента[Product group],MATCH(Товары[[#This Row],[SubGroup]],Структура_ассортимента[Subgroup],0)),"")</f>
        <v>WSS_C</v>
      </c>
      <c r="G1670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70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70" s="36">
        <v>9033</v>
      </c>
      <c r="J1670" s="36" t="str">
        <f>IFERROR(INDEX(Структура_ассортимента[Generic Name (long)],MATCH(Товары[[#This Row],[SubGroup]],Структура_ассортимента[Subgroup],0)),"")</f>
        <v>WATERING SET</v>
      </c>
      <c r="L1670" s="36">
        <v>967035601</v>
      </c>
      <c r="M1670" s="35" t="s">
        <v>3346</v>
      </c>
      <c r="O1670" s="35" t="s">
        <v>7632</v>
      </c>
      <c r="P1670" s="37" t="s">
        <v>7633</v>
      </c>
      <c r="Q1670" s="34" t="s">
        <v>3549</v>
      </c>
      <c r="R1670" s="34" t="s">
        <v>3540</v>
      </c>
      <c r="S1670" s="47">
        <v>40909</v>
      </c>
      <c r="T1670" s="47">
        <v>0</v>
      </c>
      <c r="U1670" s="47">
        <v>0</v>
      </c>
      <c r="V1670" s="34">
        <v>4078500137300</v>
      </c>
      <c r="W1670" s="34" t="s">
        <v>3543</v>
      </c>
      <c r="X1670" s="34" t="s">
        <v>3579</v>
      </c>
      <c r="Y1670" s="34" t="s">
        <v>3542</v>
      </c>
      <c r="Z1670" s="34">
        <v>4</v>
      </c>
      <c r="AA1670" s="34" t="s">
        <v>3598</v>
      </c>
      <c r="AB1670" s="34" t="s">
        <v>3598</v>
      </c>
      <c r="AC1670" s="34" t="s">
        <v>3633</v>
      </c>
      <c r="AD1670" s="34" t="s">
        <v>3633</v>
      </c>
      <c r="AE1670" s="34" t="s">
        <v>4202</v>
      </c>
      <c r="AF1670" s="34" t="s">
        <v>4139</v>
      </c>
      <c r="AG1670" s="34" t="s">
        <v>3772</v>
      </c>
      <c r="AH1670" s="34" t="s">
        <v>7634</v>
      </c>
      <c r="AL1670" s="34">
        <v>48</v>
      </c>
      <c r="AM1670" s="40" t="s">
        <v>9</v>
      </c>
      <c r="AP1670" s="34">
        <v>0</v>
      </c>
      <c r="AQ1670" s="34">
        <v>5159</v>
      </c>
      <c r="AR1670" s="34">
        <v>3224</v>
      </c>
      <c r="AT1670" s="44">
        <v>399600</v>
      </c>
      <c r="AU1670" s="44"/>
      <c r="AV1670" s="46">
        <f>ROUND(Товары[[#This Row],[РРЦ финальная, руб.]]/$AU$1,2)</f>
        <v>0</v>
      </c>
      <c r="AW1670" s="45" t="str">
        <f>IFERROR(Товары[[#This Row],[РРЦ, евро]]/Товары[[#This Row],[IRP, Eur]],"-")</f>
        <v>-</v>
      </c>
      <c r="AX1670" s="42">
        <f>IFERROR(VLOOKUP(Товары[[#This Row],[SubGroup]],'Структура цен DIY'!$B:$C,2,FALSE),0)</f>
        <v>0.30000000000000016</v>
      </c>
      <c r="AY1670" s="44">
        <v>0</v>
      </c>
    </row>
    <row r="1671" spans="1:51" x14ac:dyDescent="0.25">
      <c r="A1671" s="34">
        <v>1669</v>
      </c>
      <c r="B1671" s="34" t="s">
        <v>49</v>
      </c>
      <c r="C1671" s="110" t="str">
        <f>IFERROR(INDEX(Структура_ассортимента[SuperCategory],MATCH(Товары[[#This Row],[SubGroup]],Структура_ассортимента[Subgroup],0)),"")</f>
        <v>W</v>
      </c>
      <c r="D167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7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71" s="110" t="str">
        <f>IFERROR(INDEX(Структура_ассортимента[Product group],MATCH(Товары[[#This Row],[SubGroup]],Структура_ассортимента[Subgroup],0)),"")</f>
        <v>WSS_C</v>
      </c>
      <c r="G1671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71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71" s="36">
        <v>9032</v>
      </c>
      <c r="J1671" s="36" t="str">
        <f>IFERROR(INDEX(Структура_ассортимента[Generic Name (long)],MATCH(Товары[[#This Row],[SubGroup]],Структура_ассортимента[Subgroup],0)),"")</f>
        <v>WATERING SET</v>
      </c>
      <c r="L1671" s="36">
        <v>901015001</v>
      </c>
      <c r="M1671" s="35" t="s">
        <v>3347</v>
      </c>
      <c r="O1671" s="35" t="s">
        <v>7635</v>
      </c>
      <c r="P1671" s="37" t="s">
        <v>7636</v>
      </c>
      <c r="Q1671" s="34" t="s">
        <v>3549</v>
      </c>
      <c r="R1671" s="34" t="s">
        <v>3540</v>
      </c>
      <c r="S1671" s="47">
        <v>36845</v>
      </c>
      <c r="T1671" s="47">
        <v>0</v>
      </c>
      <c r="U1671" s="47">
        <v>0</v>
      </c>
      <c r="V1671" s="34">
        <v>4078500275002</v>
      </c>
      <c r="W1671" s="34" t="s">
        <v>3550</v>
      </c>
      <c r="X1671" s="34" t="s">
        <v>3907</v>
      </c>
      <c r="Y1671" s="34" t="s">
        <v>3542</v>
      </c>
      <c r="Z1671" s="34">
        <v>10</v>
      </c>
      <c r="AA1671" s="34" t="s">
        <v>6721</v>
      </c>
      <c r="AB1671" s="34" t="s">
        <v>6721</v>
      </c>
      <c r="AC1671" s="34" t="s">
        <v>3996</v>
      </c>
      <c r="AD1671" s="34" t="s">
        <v>3996</v>
      </c>
      <c r="AE1671" s="34" t="s">
        <v>3616</v>
      </c>
      <c r="AF1671" s="34" t="s">
        <v>3557</v>
      </c>
      <c r="AG1671" s="34" t="s">
        <v>4468</v>
      </c>
      <c r="AH1671" s="34" t="s">
        <v>7637</v>
      </c>
      <c r="AL1671" s="34">
        <v>1120</v>
      </c>
      <c r="AM1671" s="40" t="s">
        <v>9</v>
      </c>
      <c r="AP1671" s="34">
        <v>0</v>
      </c>
      <c r="AQ1671" s="34">
        <v>1529</v>
      </c>
      <c r="AR1671" s="34">
        <v>892</v>
      </c>
      <c r="AT1671" s="44">
        <v>118400</v>
      </c>
      <c r="AU1671" s="44"/>
      <c r="AV1671" s="46">
        <f>ROUND(Товары[[#This Row],[РРЦ финальная, руб.]]/$AU$1,2)</f>
        <v>0</v>
      </c>
      <c r="AW1671" s="45" t="str">
        <f>IFERROR(Товары[[#This Row],[РРЦ, евро]]/Товары[[#This Row],[IRP, Eur]],"-")</f>
        <v>-</v>
      </c>
      <c r="AX1671" s="42">
        <f>IFERROR(VLOOKUP(Товары[[#This Row],[SubGroup]],'Структура цен DIY'!$B:$C,2,FALSE),0)</f>
        <v>0.29999999999999993</v>
      </c>
      <c r="AY1671" s="44">
        <v>0</v>
      </c>
    </row>
    <row r="1672" spans="1:51" x14ac:dyDescent="0.25">
      <c r="A1672" s="34">
        <v>1670</v>
      </c>
      <c r="B1672" s="34" t="s">
        <v>49</v>
      </c>
      <c r="C1672" s="110" t="str">
        <f>IFERROR(INDEX(Структура_ассортимента[SuperCategory],MATCH(Товары[[#This Row],[SubGroup]],Структура_ассортимента[Subgroup],0)),"")</f>
        <v>W</v>
      </c>
      <c r="D167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7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72" s="110" t="str">
        <f>IFERROR(INDEX(Структура_ассортимента[Product group],MATCH(Товары[[#This Row],[SubGroup]],Структура_ассортимента[Subgroup],0)),"")</f>
        <v>WSS_C</v>
      </c>
      <c r="G1672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72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72" s="36">
        <v>9032</v>
      </c>
      <c r="J1672" s="36" t="str">
        <f>IFERROR(INDEX(Структура_ассортимента[Generic Name (long)],MATCH(Товары[[#This Row],[SubGroup]],Структура_ассортимента[Subgroup],0)),"")</f>
        <v>WATERING SET</v>
      </c>
      <c r="L1672" s="36">
        <v>901015101</v>
      </c>
      <c r="M1672" s="35" t="s">
        <v>3348</v>
      </c>
      <c r="O1672" s="35" t="s">
        <v>7638</v>
      </c>
      <c r="P1672" s="37" t="s">
        <v>7639</v>
      </c>
      <c r="Q1672" s="34" t="s">
        <v>3549</v>
      </c>
      <c r="R1672" s="34" t="s">
        <v>3540</v>
      </c>
      <c r="S1672" s="47">
        <v>36845</v>
      </c>
      <c r="T1672" s="47">
        <v>0</v>
      </c>
      <c r="U1672" s="47">
        <v>0</v>
      </c>
      <c r="V1672" s="34">
        <v>4078500275101</v>
      </c>
      <c r="W1672" s="34" t="s">
        <v>3550</v>
      </c>
      <c r="X1672" s="34" t="s">
        <v>3907</v>
      </c>
      <c r="Y1672" s="34" t="s">
        <v>3542</v>
      </c>
      <c r="Z1672" s="34">
        <v>10</v>
      </c>
      <c r="AA1672" s="34" t="s">
        <v>7640</v>
      </c>
      <c r="AB1672" s="34" t="s">
        <v>7640</v>
      </c>
      <c r="AC1672" s="34" t="s">
        <v>3670</v>
      </c>
      <c r="AD1672" s="34" t="s">
        <v>3670</v>
      </c>
      <c r="AE1672" s="34" t="s">
        <v>4633</v>
      </c>
      <c r="AF1672" s="34" t="s">
        <v>4324</v>
      </c>
      <c r="AG1672" s="34" t="s">
        <v>4468</v>
      </c>
      <c r="AH1672" s="34" t="s">
        <v>6483</v>
      </c>
      <c r="AL1672" s="34">
        <v>1120</v>
      </c>
      <c r="AM1672" s="40" t="s">
        <v>9</v>
      </c>
      <c r="AP1672" s="34">
        <v>0</v>
      </c>
      <c r="AQ1672" s="34">
        <v>869</v>
      </c>
      <c r="AR1672" s="34">
        <v>507</v>
      </c>
      <c r="AT1672" s="44">
        <v>67300</v>
      </c>
      <c r="AU1672" s="44"/>
      <c r="AV1672" s="46">
        <f>ROUND(Товары[[#This Row],[РРЦ финальная, руб.]]/$AU$1,2)</f>
        <v>0</v>
      </c>
      <c r="AW1672" s="45" t="str">
        <f>IFERROR(Товары[[#This Row],[РРЦ, евро]]/Товары[[#This Row],[IRP, Eur]],"-")</f>
        <v>-</v>
      </c>
      <c r="AX1672" s="42">
        <f>IFERROR(VLOOKUP(Товары[[#This Row],[SubGroup]],'Структура цен DIY'!$B:$C,2,FALSE),0)</f>
        <v>0.29999999999999993</v>
      </c>
      <c r="AY1672" s="44">
        <v>0</v>
      </c>
    </row>
    <row r="1673" spans="1:51" x14ac:dyDescent="0.25">
      <c r="A1673" s="34">
        <v>1671</v>
      </c>
      <c r="B1673" s="34" t="s">
        <v>49</v>
      </c>
      <c r="C1673" s="110" t="str">
        <f>IFERROR(INDEX(Структура_ассортимента[SuperCategory],MATCH(Товары[[#This Row],[SubGroup]],Структура_ассортимента[Subgroup],0)),"")</f>
        <v>W</v>
      </c>
      <c r="D167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7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73" s="110" t="str">
        <f>IFERROR(INDEX(Структура_ассортимента[Product group],MATCH(Товары[[#This Row],[SubGroup]],Структура_ассортимента[Subgroup],0)),"")</f>
        <v>WSS_C</v>
      </c>
      <c r="G1673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73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73" s="36">
        <v>9032</v>
      </c>
      <c r="J1673" s="36" t="str">
        <f>IFERROR(INDEX(Структура_ассортимента[Generic Name (long)],MATCH(Товары[[#This Row],[SubGroup]],Структура_ассортимента[Subgroup],0)),"")</f>
        <v>WATERING SET</v>
      </c>
      <c r="L1673" s="36">
        <v>901015501</v>
      </c>
      <c r="M1673" s="35" t="s">
        <v>3349</v>
      </c>
      <c r="O1673" s="35" t="s">
        <v>7641</v>
      </c>
      <c r="P1673" s="37" t="s">
        <v>7639</v>
      </c>
      <c r="Q1673" s="34" t="s">
        <v>3549</v>
      </c>
      <c r="R1673" s="34" t="s">
        <v>3540</v>
      </c>
      <c r="S1673" s="47">
        <v>36845</v>
      </c>
      <c r="T1673" s="47">
        <v>0</v>
      </c>
      <c r="U1673" s="47">
        <v>0</v>
      </c>
      <c r="V1673" s="34">
        <v>4078500275507</v>
      </c>
      <c r="W1673" s="34" t="s">
        <v>3550</v>
      </c>
      <c r="X1673" s="34" t="s">
        <v>3907</v>
      </c>
      <c r="Y1673" s="34" t="s">
        <v>3542</v>
      </c>
      <c r="Z1673" s="34">
        <v>10</v>
      </c>
      <c r="AA1673" s="34" t="s">
        <v>3726</v>
      </c>
      <c r="AB1673" s="34" t="s">
        <v>3726</v>
      </c>
      <c r="AC1673" s="34" t="s">
        <v>4090</v>
      </c>
      <c r="AD1673" s="34" t="s">
        <v>4090</v>
      </c>
      <c r="AE1673" s="34" t="s">
        <v>4633</v>
      </c>
      <c r="AF1673" s="34" t="s">
        <v>4381</v>
      </c>
      <c r="AG1673" s="34" t="s">
        <v>4468</v>
      </c>
      <c r="AH1673" s="34" t="s">
        <v>7642</v>
      </c>
      <c r="AL1673" s="34">
        <v>1120</v>
      </c>
      <c r="AM1673" s="40" t="s">
        <v>9</v>
      </c>
      <c r="AP1673" s="34">
        <v>0</v>
      </c>
      <c r="AQ1673" s="34">
        <v>759</v>
      </c>
      <c r="AR1673" s="34">
        <v>443</v>
      </c>
      <c r="AT1673" s="44">
        <v>58800</v>
      </c>
      <c r="AU1673" s="44"/>
      <c r="AV1673" s="46">
        <f>ROUND(Товары[[#This Row],[РРЦ финальная, руб.]]/$AU$1,2)</f>
        <v>0</v>
      </c>
      <c r="AW1673" s="45" t="str">
        <f>IFERROR(Товары[[#This Row],[РРЦ, евро]]/Товары[[#This Row],[IRP, Eur]],"-")</f>
        <v>-</v>
      </c>
      <c r="AX1673" s="42">
        <f>IFERROR(VLOOKUP(Товары[[#This Row],[SubGroup]],'Структура цен DIY'!$B:$C,2,FALSE),0)</f>
        <v>0.29999999999999993</v>
      </c>
      <c r="AY1673" s="44">
        <v>0</v>
      </c>
    </row>
    <row r="1674" spans="1:51" x14ac:dyDescent="0.25">
      <c r="A1674" s="34">
        <v>1672</v>
      </c>
      <c r="B1674" s="34" t="s">
        <v>49</v>
      </c>
      <c r="C1674" s="110" t="str">
        <f>IFERROR(INDEX(Структура_ассортимента[SuperCategory],MATCH(Товары[[#This Row],[SubGroup]],Структура_ассортимента[Subgroup],0)),"")</f>
        <v>W</v>
      </c>
      <c r="D167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7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74" s="110" t="str">
        <f>IFERROR(INDEX(Структура_ассортимента[Product group],MATCH(Товары[[#This Row],[SubGroup]],Структура_ассортимента[Subgroup],0)),"")</f>
        <v>WSS_C</v>
      </c>
      <c r="G1674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74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74" s="36">
        <v>9032</v>
      </c>
      <c r="J1674" s="36" t="str">
        <f>IFERROR(INDEX(Структура_ассортимента[Generic Name (long)],MATCH(Товары[[#This Row],[SubGroup]],Структура_ассортимента[Subgroup],0)),"")</f>
        <v>WATERING SET</v>
      </c>
      <c r="L1674" s="36">
        <v>901015201</v>
      </c>
      <c r="M1674" s="35" t="s">
        <v>3350</v>
      </c>
      <c r="O1674" s="35" t="s">
        <v>7643</v>
      </c>
      <c r="P1674" s="37" t="s">
        <v>7644</v>
      </c>
      <c r="Q1674" s="34" t="s">
        <v>3549</v>
      </c>
      <c r="R1674" s="34" t="s">
        <v>3540</v>
      </c>
      <c r="S1674" s="47">
        <v>36845</v>
      </c>
      <c r="T1674" s="47">
        <v>0</v>
      </c>
      <c r="U1674" s="47">
        <v>0</v>
      </c>
      <c r="V1674" s="34">
        <v>4078500275200</v>
      </c>
      <c r="W1674" s="34" t="s">
        <v>3550</v>
      </c>
      <c r="X1674" s="34" t="s">
        <v>3907</v>
      </c>
      <c r="Y1674" s="34" t="s">
        <v>3542</v>
      </c>
      <c r="Z1674" s="34">
        <v>10</v>
      </c>
      <c r="AA1674" s="34" t="s">
        <v>6075</v>
      </c>
      <c r="AB1674" s="34" t="s">
        <v>6075</v>
      </c>
      <c r="AC1674" s="34" t="s">
        <v>3788</v>
      </c>
      <c r="AD1674" s="34" t="s">
        <v>3788</v>
      </c>
      <c r="AE1674" s="34" t="s">
        <v>5003</v>
      </c>
      <c r="AF1674" s="34" t="s">
        <v>4324</v>
      </c>
      <c r="AG1674" s="34" t="s">
        <v>5125</v>
      </c>
      <c r="AH1674" s="34" t="s">
        <v>6590</v>
      </c>
      <c r="AL1674" s="34">
        <v>2310</v>
      </c>
      <c r="AM1674" s="40" t="s">
        <v>9</v>
      </c>
      <c r="AP1674" s="34">
        <v>0</v>
      </c>
      <c r="AQ1674" s="34">
        <v>869</v>
      </c>
      <c r="AR1674" s="34">
        <v>507</v>
      </c>
      <c r="AT1674" s="44">
        <v>67300</v>
      </c>
      <c r="AU1674" s="44"/>
      <c r="AV1674" s="46">
        <f>ROUND(Товары[[#This Row],[РРЦ финальная, руб.]]/$AU$1,2)</f>
        <v>0</v>
      </c>
      <c r="AW1674" s="45" t="str">
        <f>IFERROR(Товары[[#This Row],[РРЦ, евро]]/Товары[[#This Row],[IRP, Eur]],"-")</f>
        <v>-</v>
      </c>
      <c r="AX1674" s="42">
        <f>IFERROR(VLOOKUP(Товары[[#This Row],[SubGroup]],'Структура цен DIY'!$B:$C,2,FALSE),0)</f>
        <v>0.29999999999999993</v>
      </c>
      <c r="AY1674" s="44">
        <v>0</v>
      </c>
    </row>
    <row r="1675" spans="1:51" x14ac:dyDescent="0.25">
      <c r="A1675" s="34">
        <v>1673</v>
      </c>
      <c r="B1675" s="34" t="s">
        <v>49</v>
      </c>
      <c r="C1675" s="110" t="str">
        <f>IFERROR(INDEX(Структура_ассортимента[SuperCategory],MATCH(Товары[[#This Row],[SubGroup]],Структура_ассортимента[Subgroup],0)),"")</f>
        <v>W</v>
      </c>
      <c r="D167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7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75" s="110" t="str">
        <f>IFERROR(INDEX(Структура_ассортимента[Product group],MATCH(Товары[[#This Row],[SubGroup]],Структура_ассортимента[Subgroup],0)),"")</f>
        <v>WSS_C</v>
      </c>
      <c r="G1675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75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75" s="36">
        <v>9032</v>
      </c>
      <c r="J1675" s="36" t="str">
        <f>IFERROR(INDEX(Структура_ассортимента[Generic Name (long)],MATCH(Товары[[#This Row],[SubGroup]],Структура_ассортимента[Subgroup],0)),"")</f>
        <v>WATERING SET</v>
      </c>
      <c r="L1675" s="36">
        <v>901015301</v>
      </c>
      <c r="M1675" s="35" t="s">
        <v>3351</v>
      </c>
      <c r="O1675" s="35" t="s">
        <v>7645</v>
      </c>
      <c r="P1675" s="37" t="s">
        <v>7646</v>
      </c>
      <c r="Q1675" s="34" t="s">
        <v>3549</v>
      </c>
      <c r="R1675" s="34" t="s">
        <v>3540</v>
      </c>
      <c r="S1675" s="47">
        <v>36845</v>
      </c>
      <c r="T1675" s="47">
        <v>0</v>
      </c>
      <c r="U1675" s="47">
        <v>0</v>
      </c>
      <c r="V1675" s="34">
        <v>40785103</v>
      </c>
      <c r="W1675" s="34" t="s">
        <v>3550</v>
      </c>
      <c r="X1675" s="34" t="s">
        <v>3907</v>
      </c>
      <c r="Y1675" s="34" t="s">
        <v>3542</v>
      </c>
      <c r="Z1675" s="34">
        <v>20</v>
      </c>
      <c r="AA1675" s="34" t="s">
        <v>6439</v>
      </c>
      <c r="AB1675" s="34" t="s">
        <v>6439</v>
      </c>
      <c r="AC1675" s="34" t="s">
        <v>6490</v>
      </c>
      <c r="AD1675" s="34" t="s">
        <v>6490</v>
      </c>
      <c r="AE1675" s="34" t="s">
        <v>4207</v>
      </c>
      <c r="AF1675" s="34" t="s">
        <v>4472</v>
      </c>
      <c r="AG1675" s="34" t="s">
        <v>4472</v>
      </c>
      <c r="AH1675" s="34" t="s">
        <v>7085</v>
      </c>
      <c r="AL1675" s="34">
        <v>4620</v>
      </c>
      <c r="AM1675" s="40" t="s">
        <v>9</v>
      </c>
      <c r="AP1675" s="34">
        <v>0</v>
      </c>
      <c r="AQ1675" s="34">
        <v>319</v>
      </c>
      <c r="AR1675" s="34">
        <v>186</v>
      </c>
      <c r="AT1675" s="44">
        <v>24700</v>
      </c>
      <c r="AU1675" s="44"/>
      <c r="AV1675" s="46">
        <f>ROUND(Товары[[#This Row],[РРЦ финальная, руб.]]/$AU$1,2)</f>
        <v>0</v>
      </c>
      <c r="AW1675" s="45" t="str">
        <f>IFERROR(Товары[[#This Row],[РРЦ, евро]]/Товары[[#This Row],[IRP, Eur]],"-")</f>
        <v>-</v>
      </c>
      <c r="AX1675" s="42">
        <f>IFERROR(VLOOKUP(Товары[[#This Row],[SubGroup]],'Структура цен DIY'!$B:$C,2,FALSE),0)</f>
        <v>0.29999999999999993</v>
      </c>
      <c r="AY1675" s="44">
        <v>0</v>
      </c>
    </row>
    <row r="1676" spans="1:51" x14ac:dyDescent="0.25">
      <c r="A1676" s="34">
        <v>1674</v>
      </c>
      <c r="B1676" s="34" t="s">
        <v>49</v>
      </c>
      <c r="C1676" s="110" t="str">
        <f>IFERROR(INDEX(Структура_ассортимента[SuperCategory],MATCH(Товары[[#This Row],[SubGroup]],Структура_ассортимента[Subgroup],0)),"")</f>
        <v>W</v>
      </c>
      <c r="D167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7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76" s="110" t="str">
        <f>IFERROR(INDEX(Структура_ассортимента[Product group],MATCH(Товары[[#This Row],[SubGroup]],Структура_ассортимента[Subgroup],0)),"")</f>
        <v>WSS_C</v>
      </c>
      <c r="G1676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76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76" s="36">
        <v>9032</v>
      </c>
      <c r="J1676" s="36" t="str">
        <f>IFERROR(INDEX(Структура_ассортимента[Generic Name (long)],MATCH(Товары[[#This Row],[SubGroup]],Структура_ассортимента[Subgroup],0)),"")</f>
        <v>WATERING SET</v>
      </c>
      <c r="L1676" s="36">
        <v>901015401</v>
      </c>
      <c r="M1676" s="35" t="s">
        <v>3352</v>
      </c>
      <c r="O1676" s="35" t="s">
        <v>7647</v>
      </c>
      <c r="P1676" s="37" t="s">
        <v>7648</v>
      </c>
      <c r="Q1676" s="34" t="s">
        <v>3549</v>
      </c>
      <c r="R1676" s="34" t="s">
        <v>3540</v>
      </c>
      <c r="S1676" s="47">
        <v>36845</v>
      </c>
      <c r="T1676" s="47">
        <v>0</v>
      </c>
      <c r="U1676" s="47">
        <v>0</v>
      </c>
      <c r="V1676" s="34">
        <v>40785110</v>
      </c>
      <c r="W1676" s="34" t="s">
        <v>3550</v>
      </c>
      <c r="X1676" s="34" t="s">
        <v>3907</v>
      </c>
      <c r="Y1676" s="34" t="s">
        <v>3542</v>
      </c>
      <c r="Z1676" s="34">
        <v>20</v>
      </c>
      <c r="AA1676" s="34" t="s">
        <v>3803</v>
      </c>
      <c r="AB1676" s="34" t="s">
        <v>3803</v>
      </c>
      <c r="AC1676" s="34" t="s">
        <v>3797</v>
      </c>
      <c r="AD1676" s="34" t="s">
        <v>3797</v>
      </c>
      <c r="AE1676" s="34" t="s">
        <v>4207</v>
      </c>
      <c r="AF1676" s="34" t="s">
        <v>4351</v>
      </c>
      <c r="AG1676" s="34" t="s">
        <v>3931</v>
      </c>
      <c r="AH1676" s="34" t="s">
        <v>7070</v>
      </c>
      <c r="AL1676" s="34">
        <v>4620</v>
      </c>
      <c r="AM1676" s="40" t="s">
        <v>9</v>
      </c>
      <c r="AP1676" s="34">
        <v>0</v>
      </c>
      <c r="AQ1676" s="34">
        <v>319</v>
      </c>
      <c r="AR1676" s="34">
        <v>186</v>
      </c>
      <c r="AT1676" s="44">
        <v>24700</v>
      </c>
      <c r="AU1676" s="44"/>
      <c r="AV1676" s="46">
        <f>ROUND(Товары[[#This Row],[РРЦ финальная, руб.]]/$AU$1,2)</f>
        <v>0</v>
      </c>
      <c r="AW1676" s="45" t="str">
        <f>IFERROR(Товары[[#This Row],[РРЦ, евро]]/Товары[[#This Row],[IRP, Eur]],"-")</f>
        <v>-</v>
      </c>
      <c r="AX1676" s="42">
        <f>IFERROR(VLOOKUP(Товары[[#This Row],[SubGroup]],'Структура цен DIY'!$B:$C,2,FALSE),0)</f>
        <v>0.29999999999999993</v>
      </c>
      <c r="AY1676" s="44">
        <v>0</v>
      </c>
    </row>
    <row r="1677" spans="1:51" x14ac:dyDescent="0.25">
      <c r="A1677" s="34">
        <v>1675</v>
      </c>
      <c r="B1677" s="34" t="s">
        <v>49</v>
      </c>
      <c r="C1677" s="110" t="str">
        <f>IFERROR(INDEX(Структура_ассортимента[SuperCategory],MATCH(Товары[[#This Row],[SubGroup]],Структура_ассортимента[Subgroup],0)),"")</f>
        <v>W</v>
      </c>
      <c r="D167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7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77" s="110" t="str">
        <f>IFERROR(INDEX(Структура_ассортимента[Product group],MATCH(Товары[[#This Row],[SubGroup]],Структура_ассортимента[Subgroup],0)),"")</f>
        <v>WSS_C</v>
      </c>
      <c r="G1677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77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77" s="36">
        <v>9032</v>
      </c>
      <c r="J1677" s="36" t="str">
        <f>IFERROR(INDEX(Структура_ассортимента[Generic Name (long)],MATCH(Товары[[#This Row],[SubGroup]],Структура_ассортимента[Subgroup],0)),"")</f>
        <v>WATERING SET</v>
      </c>
      <c r="L1677" s="36">
        <v>901015601</v>
      </c>
      <c r="M1677" s="35" t="s">
        <v>3353</v>
      </c>
      <c r="O1677" s="35" t="s">
        <v>7649</v>
      </c>
      <c r="P1677" s="37" t="s">
        <v>7650</v>
      </c>
      <c r="Q1677" s="34" t="s">
        <v>3549</v>
      </c>
      <c r="R1677" s="34" t="s">
        <v>3540</v>
      </c>
      <c r="S1677" s="47">
        <v>36845</v>
      </c>
      <c r="T1677" s="47">
        <v>0</v>
      </c>
      <c r="U1677" s="47">
        <v>0</v>
      </c>
      <c r="V1677" s="34">
        <v>4078500275606</v>
      </c>
      <c r="W1677" s="34" t="s">
        <v>3550</v>
      </c>
      <c r="X1677" s="34" t="s">
        <v>3551</v>
      </c>
      <c r="Y1677" s="34" t="s">
        <v>3542</v>
      </c>
      <c r="Z1677" s="34">
        <v>10</v>
      </c>
      <c r="AA1677" s="34" t="s">
        <v>3803</v>
      </c>
      <c r="AB1677" s="34" t="s">
        <v>3803</v>
      </c>
      <c r="AC1677" s="34" t="s">
        <v>3797</v>
      </c>
      <c r="AD1677" s="34" t="s">
        <v>3797</v>
      </c>
      <c r="AE1677" s="34" t="s">
        <v>3708</v>
      </c>
      <c r="AF1677" s="34" t="s">
        <v>3800</v>
      </c>
      <c r="AG1677" s="34" t="s">
        <v>3678</v>
      </c>
      <c r="AH1677" s="34" t="s">
        <v>7078</v>
      </c>
      <c r="AL1677" s="34">
        <v>3600</v>
      </c>
      <c r="AM1677" s="40" t="s">
        <v>9</v>
      </c>
      <c r="AP1677" s="34">
        <v>0</v>
      </c>
      <c r="AQ1677" s="34">
        <v>319</v>
      </c>
      <c r="AR1677" s="34">
        <v>186</v>
      </c>
      <c r="AT1677" s="44">
        <v>24700</v>
      </c>
      <c r="AU1677" s="44"/>
      <c r="AV1677" s="46">
        <f>ROUND(Товары[[#This Row],[РРЦ финальная, руб.]]/$AU$1,2)</f>
        <v>0</v>
      </c>
      <c r="AW1677" s="45" t="str">
        <f>IFERROR(Товары[[#This Row],[РРЦ, евро]]/Товары[[#This Row],[IRP, Eur]],"-")</f>
        <v>-</v>
      </c>
      <c r="AX1677" s="42">
        <f>IFERROR(VLOOKUP(Товары[[#This Row],[SubGroup]],'Структура цен DIY'!$B:$C,2,FALSE),0)</f>
        <v>0.29999999999999993</v>
      </c>
      <c r="AY1677" s="44">
        <v>0</v>
      </c>
    </row>
    <row r="1678" spans="1:51" x14ac:dyDescent="0.25">
      <c r="A1678" s="34">
        <v>1676</v>
      </c>
      <c r="B1678" s="34" t="s">
        <v>49</v>
      </c>
      <c r="C1678" s="110" t="str">
        <f>IFERROR(INDEX(Структура_ассортимента[SuperCategory],MATCH(Товары[[#This Row],[SubGroup]],Структура_ассортимента[Subgroup],0)),"")</f>
        <v>W</v>
      </c>
      <c r="D167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7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78" s="110" t="str">
        <f>IFERROR(INDEX(Структура_ассортимента[Product group],MATCH(Товары[[#This Row],[SubGroup]],Структура_ассортимента[Subgroup],0)),"")</f>
        <v>WSS_C</v>
      </c>
      <c r="G1678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78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78" s="36">
        <v>9032</v>
      </c>
      <c r="J1678" s="36" t="str">
        <f>IFERROR(INDEX(Структура_ассортимента[Generic Name (long)],MATCH(Товары[[#This Row],[SubGroup]],Структура_ассортимента[Subgroup],0)),"")</f>
        <v>WATERING SET</v>
      </c>
      <c r="L1678" s="36">
        <v>901010501</v>
      </c>
      <c r="M1678" s="35" t="s">
        <v>3354</v>
      </c>
      <c r="Q1678" s="34" t="s">
        <v>3549</v>
      </c>
      <c r="R1678" s="34" t="s">
        <v>3540</v>
      </c>
      <c r="S1678" s="47">
        <v>36845</v>
      </c>
      <c r="T1678" s="47">
        <v>0</v>
      </c>
      <c r="U1678" s="47">
        <v>0</v>
      </c>
      <c r="V1678" s="34">
        <v>4078500270007</v>
      </c>
      <c r="W1678" s="34" t="s">
        <v>3550</v>
      </c>
      <c r="X1678" s="34" t="s">
        <v>3579</v>
      </c>
      <c r="Y1678" s="34" t="s">
        <v>3542</v>
      </c>
      <c r="Z1678" s="34">
        <v>1</v>
      </c>
      <c r="AA1678" s="34" t="s">
        <v>7651</v>
      </c>
      <c r="AB1678" s="34" t="s">
        <v>7651</v>
      </c>
      <c r="AC1678" s="34" t="s">
        <v>7652</v>
      </c>
      <c r="AD1678" s="34" t="s">
        <v>7652</v>
      </c>
      <c r="AE1678" s="34" t="s">
        <v>4326</v>
      </c>
      <c r="AF1678" s="34" t="s">
        <v>4326</v>
      </c>
      <c r="AG1678" s="34" t="s">
        <v>3920</v>
      </c>
      <c r="AH1678" s="34" t="s">
        <v>7653</v>
      </c>
      <c r="AL1678" s="34">
        <v>44</v>
      </c>
      <c r="AM1678" s="40" t="s">
        <v>8095</v>
      </c>
      <c r="AT1678" s="44">
        <v>0</v>
      </c>
      <c r="AU1678" s="44"/>
      <c r="AV1678" s="46">
        <f>ROUND(Товары[[#This Row],[РРЦ финальная, руб.]]/$AU$1,2)</f>
        <v>0</v>
      </c>
      <c r="AW1678" s="45" t="str">
        <f>IFERROR(Товары[[#This Row],[РРЦ, евро]]/Товары[[#This Row],[IRP, Eur]],"-")</f>
        <v>-</v>
      </c>
      <c r="AX1678" s="42">
        <f>IFERROR(VLOOKUP(Товары[[#This Row],[SubGroup]],'Структура цен DIY'!$B:$C,2,FALSE),0)</f>
        <v>0.29999999999999993</v>
      </c>
      <c r="AY1678" s="44">
        <v>0</v>
      </c>
    </row>
    <row r="1679" spans="1:51" x14ac:dyDescent="0.25">
      <c r="A1679" s="34">
        <v>1677</v>
      </c>
      <c r="B1679" s="34" t="s">
        <v>49</v>
      </c>
      <c r="C1679" s="110" t="str">
        <f>IFERROR(INDEX(Структура_ассортимента[SuperCategory],MATCH(Товары[[#This Row],[SubGroup]],Структура_ассортимента[Subgroup],0)),"")</f>
        <v>W</v>
      </c>
      <c r="D167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7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79" s="110" t="str">
        <f>IFERROR(INDEX(Структура_ассортимента[Product group],MATCH(Товары[[#This Row],[SubGroup]],Структура_ассортимента[Subgroup],0)),"")</f>
        <v>WSS_C</v>
      </c>
      <c r="G1679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79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79" s="36">
        <v>9032</v>
      </c>
      <c r="J1679" s="36" t="str">
        <f>IFERROR(INDEX(Структура_ассортимента[Generic Name (long)],MATCH(Товары[[#This Row],[SubGroup]],Структура_ассортимента[Subgroup],0)),"")</f>
        <v>WATERING SET</v>
      </c>
      <c r="L1679" s="36">
        <v>901010601</v>
      </c>
      <c r="M1679" s="35" t="s">
        <v>3355</v>
      </c>
      <c r="Q1679" s="34" t="s">
        <v>3549</v>
      </c>
      <c r="R1679" s="34" t="s">
        <v>3540</v>
      </c>
      <c r="S1679" s="47">
        <v>36845</v>
      </c>
      <c r="T1679" s="47">
        <v>0</v>
      </c>
      <c r="U1679" s="47">
        <v>0</v>
      </c>
      <c r="V1679" s="34">
        <v>4078500270106</v>
      </c>
      <c r="W1679" s="34" t="s">
        <v>3550</v>
      </c>
      <c r="X1679" s="34" t="s">
        <v>3579</v>
      </c>
      <c r="Y1679" s="34" t="s">
        <v>3542</v>
      </c>
      <c r="Z1679" s="34">
        <v>1</v>
      </c>
      <c r="AA1679" s="34" t="s">
        <v>6928</v>
      </c>
      <c r="AB1679" s="34" t="s">
        <v>6928</v>
      </c>
      <c r="AC1679" s="34" t="s">
        <v>5407</v>
      </c>
      <c r="AD1679" s="34" t="s">
        <v>5407</v>
      </c>
      <c r="AE1679" s="34" t="s">
        <v>4439</v>
      </c>
      <c r="AF1679" s="34" t="s">
        <v>4439</v>
      </c>
      <c r="AG1679" s="34" t="s">
        <v>4309</v>
      </c>
      <c r="AH1679" s="34" t="s">
        <v>7654</v>
      </c>
      <c r="AL1679" s="34">
        <v>36</v>
      </c>
      <c r="AM1679" s="40" t="s">
        <v>8095</v>
      </c>
      <c r="AT1679" s="44">
        <v>0</v>
      </c>
      <c r="AU1679" s="44"/>
      <c r="AV1679" s="46">
        <f>ROUND(Товары[[#This Row],[РРЦ финальная, руб.]]/$AU$1,2)</f>
        <v>0</v>
      </c>
      <c r="AW1679" s="45" t="str">
        <f>IFERROR(Товары[[#This Row],[РРЦ, евро]]/Товары[[#This Row],[IRP, Eur]],"-")</f>
        <v>-</v>
      </c>
      <c r="AX1679" s="42">
        <f>IFERROR(VLOOKUP(Товары[[#This Row],[SubGroup]],'Структура цен DIY'!$B:$C,2,FALSE),0)</f>
        <v>0.29999999999999993</v>
      </c>
      <c r="AY1679" s="44">
        <v>0</v>
      </c>
    </row>
    <row r="1680" spans="1:51" x14ac:dyDescent="0.25">
      <c r="A1680" s="34">
        <v>1678</v>
      </c>
      <c r="B1680" s="34" t="s">
        <v>49</v>
      </c>
      <c r="C1680" s="110" t="str">
        <f>IFERROR(INDEX(Структура_ассортимента[SuperCategory],MATCH(Товары[[#This Row],[SubGroup]],Структура_ассортимента[Subgroup],0)),"")</f>
        <v>W</v>
      </c>
      <c r="D168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8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80" s="110" t="str">
        <f>IFERROR(INDEX(Структура_ассортимента[Product group],MATCH(Товары[[#This Row],[SubGroup]],Структура_ассортимента[Subgroup],0)),"")</f>
        <v>WSS_C</v>
      </c>
      <c r="G1680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80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80" s="36">
        <v>9032</v>
      </c>
      <c r="J1680" s="36" t="str">
        <f>IFERROR(INDEX(Структура_ассортимента[Generic Name (long)],MATCH(Товары[[#This Row],[SubGroup]],Структура_ассортимента[Subgroup],0)),"")</f>
        <v>WATERING SET</v>
      </c>
      <c r="L1680" s="36">
        <v>901018501</v>
      </c>
      <c r="M1680" s="35" t="s">
        <v>3356</v>
      </c>
      <c r="O1680" s="35" t="s">
        <v>7655</v>
      </c>
      <c r="P1680" s="37" t="s">
        <v>7656</v>
      </c>
      <c r="Q1680" s="34" t="s">
        <v>3652</v>
      </c>
      <c r="R1680" s="34" t="s">
        <v>3540</v>
      </c>
      <c r="S1680" s="47">
        <v>39356</v>
      </c>
      <c r="T1680" s="47">
        <v>0</v>
      </c>
      <c r="U1680" s="47">
        <v>0</v>
      </c>
      <c r="V1680" s="34">
        <v>4078500279208</v>
      </c>
      <c r="W1680" s="34" t="s">
        <v>3550</v>
      </c>
      <c r="X1680" s="34" t="s">
        <v>3579</v>
      </c>
      <c r="Y1680" s="34" t="s">
        <v>3542</v>
      </c>
      <c r="Z1680" s="34">
        <v>1</v>
      </c>
      <c r="AA1680" s="34" t="s">
        <v>7652</v>
      </c>
      <c r="AB1680" s="34" t="s">
        <v>7652</v>
      </c>
      <c r="AC1680" s="34" t="s">
        <v>7651</v>
      </c>
      <c r="AD1680" s="34" t="s">
        <v>7651</v>
      </c>
      <c r="AE1680" s="34" t="s">
        <v>4326</v>
      </c>
      <c r="AF1680" s="34" t="s">
        <v>4326</v>
      </c>
      <c r="AG1680" s="34" t="s">
        <v>3920</v>
      </c>
      <c r="AH1680" s="34" t="s">
        <v>7657</v>
      </c>
      <c r="AL1680" s="34">
        <v>44</v>
      </c>
      <c r="AM1680" s="40" t="s">
        <v>9</v>
      </c>
      <c r="AP1680" s="34">
        <v>0</v>
      </c>
      <c r="AQ1680" s="34">
        <v>4939</v>
      </c>
      <c r="AR1680" s="34">
        <v>2881</v>
      </c>
      <c r="AT1680" s="44">
        <v>382500</v>
      </c>
      <c r="AU1680" s="44"/>
      <c r="AV1680" s="46">
        <f>ROUND(Товары[[#This Row],[РРЦ финальная, руб.]]/$AU$1,2)</f>
        <v>0</v>
      </c>
      <c r="AW1680" s="45" t="str">
        <f>IFERROR(Товары[[#This Row],[РРЦ, евро]]/Товары[[#This Row],[IRP, Eur]],"-")</f>
        <v>-</v>
      </c>
      <c r="AX1680" s="42">
        <f>IFERROR(VLOOKUP(Товары[[#This Row],[SubGroup]],'Структура цен DIY'!$B:$C,2,FALSE),0)</f>
        <v>0.29999999999999993</v>
      </c>
      <c r="AY1680" s="44">
        <v>0</v>
      </c>
    </row>
    <row r="1681" spans="1:51" x14ac:dyDescent="0.25">
      <c r="A1681" s="34">
        <v>1679</v>
      </c>
      <c r="B1681" s="34" t="s">
        <v>49</v>
      </c>
      <c r="C1681" s="110" t="str">
        <f>IFERROR(INDEX(Структура_ассортимента[SuperCategory],MATCH(Товары[[#This Row],[SubGroup]],Структура_ассортимента[Subgroup],0)),"")</f>
        <v>W</v>
      </c>
      <c r="D168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8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81" s="110" t="str">
        <f>IFERROR(INDEX(Структура_ассортимента[Product group],MATCH(Товары[[#This Row],[SubGroup]],Структура_ассортимента[Subgroup],0)),"")</f>
        <v>WSS_C</v>
      </c>
      <c r="G1681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81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81" s="36">
        <v>9032</v>
      </c>
      <c r="J1681" s="36" t="str">
        <f>IFERROR(INDEX(Структура_ассортимента[Generic Name (long)],MATCH(Товары[[#This Row],[SubGroup]],Структура_ассортимента[Subgroup],0)),"")</f>
        <v>WATERING SET</v>
      </c>
      <c r="L1681" s="36">
        <v>901018601</v>
      </c>
      <c r="M1681" s="35" t="s">
        <v>3357</v>
      </c>
      <c r="O1681" s="35" t="s">
        <v>7658</v>
      </c>
      <c r="P1681" s="37" t="s">
        <v>7659</v>
      </c>
      <c r="Q1681" s="34" t="s">
        <v>3652</v>
      </c>
      <c r="R1681" s="34" t="s">
        <v>3540</v>
      </c>
      <c r="S1681" s="47">
        <v>39356</v>
      </c>
      <c r="T1681" s="47">
        <v>0</v>
      </c>
      <c r="U1681" s="47">
        <v>0</v>
      </c>
      <c r="V1681" s="34">
        <v>4078500279307</v>
      </c>
      <c r="W1681" s="34" t="s">
        <v>3550</v>
      </c>
      <c r="X1681" s="34" t="s">
        <v>3579</v>
      </c>
      <c r="Y1681" s="34" t="s">
        <v>3542</v>
      </c>
      <c r="Z1681" s="34">
        <v>1</v>
      </c>
      <c r="AA1681" s="34" t="s">
        <v>5407</v>
      </c>
      <c r="AB1681" s="34" t="s">
        <v>5407</v>
      </c>
      <c r="AC1681" s="34" t="s">
        <v>6928</v>
      </c>
      <c r="AD1681" s="34" t="s">
        <v>6928</v>
      </c>
      <c r="AE1681" s="34" t="s">
        <v>4439</v>
      </c>
      <c r="AF1681" s="34" t="s">
        <v>4439</v>
      </c>
      <c r="AG1681" s="34" t="s">
        <v>4309</v>
      </c>
      <c r="AH1681" s="34" t="s">
        <v>7654</v>
      </c>
      <c r="AL1681" s="34">
        <v>36</v>
      </c>
      <c r="AM1681" s="40" t="s">
        <v>9</v>
      </c>
      <c r="AP1681" s="34">
        <v>0</v>
      </c>
      <c r="AQ1681" s="34">
        <v>9559</v>
      </c>
      <c r="AR1681" s="34">
        <v>5576</v>
      </c>
      <c r="AT1681" s="44">
        <v>740400</v>
      </c>
      <c r="AU1681" s="44"/>
      <c r="AV1681" s="46">
        <f>ROUND(Товары[[#This Row],[РРЦ финальная, руб.]]/$AU$1,2)</f>
        <v>0</v>
      </c>
      <c r="AW1681" s="45" t="str">
        <f>IFERROR(Товары[[#This Row],[РРЦ, евро]]/Товары[[#This Row],[IRP, Eur]],"-")</f>
        <v>-</v>
      </c>
      <c r="AX1681" s="42">
        <f>IFERROR(VLOOKUP(Товары[[#This Row],[SubGroup]],'Структура цен DIY'!$B:$C,2,FALSE),0)</f>
        <v>0.29999999999999993</v>
      </c>
      <c r="AY1681" s="44">
        <v>0</v>
      </c>
    </row>
    <row r="1682" spans="1:51" x14ac:dyDescent="0.25">
      <c r="A1682" s="34">
        <v>1680</v>
      </c>
      <c r="B1682" s="34" t="s">
        <v>49</v>
      </c>
      <c r="C1682" s="110" t="str">
        <f>IFERROR(INDEX(Структура_ассортимента[SuperCategory],MATCH(Товары[[#This Row],[SubGroup]],Структура_ассортимента[Subgroup],0)),"")</f>
        <v>W</v>
      </c>
      <c r="D168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8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82" s="110" t="str">
        <f>IFERROR(INDEX(Структура_ассортимента[Product group],MATCH(Товары[[#This Row],[SubGroup]],Структура_ассортимента[Subgroup],0)),"")</f>
        <v>WSS_C</v>
      </c>
      <c r="G1682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82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82" s="36">
        <v>9032</v>
      </c>
      <c r="J1682" s="36" t="str">
        <f>IFERROR(INDEX(Структура_ассортимента[Generic Name (long)],MATCH(Товары[[#This Row],[SubGroup]],Структура_ассортимента[Subgroup],0)),"")</f>
        <v>WATERING SET</v>
      </c>
      <c r="L1682" s="36">
        <v>901019601</v>
      </c>
      <c r="M1682" s="35" t="s">
        <v>3358</v>
      </c>
      <c r="O1682" s="35" t="s">
        <v>7660</v>
      </c>
      <c r="P1682" s="37" t="s">
        <v>7661</v>
      </c>
      <c r="Q1682" s="34" t="s">
        <v>3652</v>
      </c>
      <c r="R1682" s="34" t="s">
        <v>3540</v>
      </c>
      <c r="S1682" s="47">
        <v>39356</v>
      </c>
      <c r="T1682" s="47">
        <v>0</v>
      </c>
      <c r="U1682" s="47">
        <v>0</v>
      </c>
      <c r="V1682" s="34">
        <v>4078500279901</v>
      </c>
      <c r="W1682" s="34" t="s">
        <v>3550</v>
      </c>
      <c r="X1682" s="34" t="s">
        <v>3579</v>
      </c>
      <c r="Y1682" s="34" t="s">
        <v>3542</v>
      </c>
      <c r="Z1682" s="34">
        <v>1</v>
      </c>
      <c r="AA1682" s="34" t="s">
        <v>6893</v>
      </c>
      <c r="AB1682" s="34" t="s">
        <v>6893</v>
      </c>
      <c r="AC1682" s="34" t="s">
        <v>6893</v>
      </c>
      <c r="AD1682" s="34" t="s">
        <v>6893</v>
      </c>
      <c r="AE1682" s="34" t="s">
        <v>3745</v>
      </c>
      <c r="AF1682" s="34" t="s">
        <v>3745</v>
      </c>
      <c r="AG1682" s="34" t="s">
        <v>5042</v>
      </c>
      <c r="AH1682" s="34" t="s">
        <v>7662</v>
      </c>
      <c r="AL1682" s="34">
        <v>4</v>
      </c>
      <c r="AM1682" s="40" t="s">
        <v>9</v>
      </c>
      <c r="AP1682" s="34">
        <v>0</v>
      </c>
      <c r="AQ1682" s="34">
        <v>12969</v>
      </c>
      <c r="AR1682" s="34">
        <v>7565</v>
      </c>
      <c r="AT1682" s="44">
        <v>1004500</v>
      </c>
      <c r="AU1682" s="44"/>
      <c r="AV1682" s="46">
        <f>ROUND(Товары[[#This Row],[РРЦ финальная, руб.]]/$AU$1,2)</f>
        <v>0</v>
      </c>
      <c r="AW1682" s="45" t="str">
        <f>IFERROR(Товары[[#This Row],[РРЦ, евро]]/Товары[[#This Row],[IRP, Eur]],"-")</f>
        <v>-</v>
      </c>
      <c r="AX1682" s="42">
        <f>IFERROR(VLOOKUP(Товары[[#This Row],[SubGroup]],'Структура цен DIY'!$B:$C,2,FALSE),0)</f>
        <v>0.29999999999999993</v>
      </c>
      <c r="AY1682" s="44">
        <v>0</v>
      </c>
    </row>
    <row r="1683" spans="1:51" x14ac:dyDescent="0.25">
      <c r="A1683" s="34">
        <v>1681</v>
      </c>
      <c r="B1683" s="34" t="s">
        <v>49</v>
      </c>
      <c r="C1683" s="110" t="str">
        <f>IFERROR(INDEX(Структура_ассортимента[SuperCategory],MATCH(Товары[[#This Row],[SubGroup]],Структура_ассортимента[Subgroup],0)),"")</f>
        <v>W</v>
      </c>
      <c r="D168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8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83" s="110" t="str">
        <f>IFERROR(INDEX(Структура_ассортимента[Product group],MATCH(Товары[[#This Row],[SubGroup]],Структура_ассортимента[Subgroup],0)),"")</f>
        <v>WSS_C</v>
      </c>
      <c r="G1683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83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83" s="36">
        <v>9032</v>
      </c>
      <c r="J1683" s="36" t="str">
        <f>IFERROR(INDEX(Структура_ассортимента[Generic Name (long)],MATCH(Товары[[#This Row],[SubGroup]],Структура_ассортимента[Subgroup],0)),"")</f>
        <v>WATERING SET</v>
      </c>
      <c r="L1683" s="36">
        <v>901016701</v>
      </c>
      <c r="M1683" s="35" t="s">
        <v>3359</v>
      </c>
      <c r="O1683" s="35" t="s">
        <v>7663</v>
      </c>
      <c r="P1683" s="37" t="s">
        <v>7664</v>
      </c>
      <c r="Q1683" s="34" t="s">
        <v>3549</v>
      </c>
      <c r="R1683" s="34" t="s">
        <v>3540</v>
      </c>
      <c r="S1683" s="47">
        <v>38626</v>
      </c>
      <c r="T1683" s="47">
        <v>0</v>
      </c>
      <c r="U1683" s="47">
        <v>0</v>
      </c>
      <c r="V1683" s="34">
        <v>4078500277105</v>
      </c>
      <c r="W1683" s="34" t="s">
        <v>3543</v>
      </c>
      <c r="X1683" s="34" t="s">
        <v>3579</v>
      </c>
      <c r="Y1683" s="34" t="s">
        <v>3542</v>
      </c>
      <c r="Z1683" s="34">
        <v>10</v>
      </c>
      <c r="AA1683" s="34" t="s">
        <v>3734</v>
      </c>
      <c r="AB1683" s="34" t="s">
        <v>3734</v>
      </c>
      <c r="AC1683" s="34" t="s">
        <v>4100</v>
      </c>
      <c r="AD1683" s="34" t="s">
        <v>4100</v>
      </c>
      <c r="AE1683" s="34" t="s">
        <v>3708</v>
      </c>
      <c r="AF1683" s="34" t="s">
        <v>3754</v>
      </c>
      <c r="AG1683" s="34" t="s">
        <v>3557</v>
      </c>
      <c r="AH1683" s="34" t="s">
        <v>7665</v>
      </c>
      <c r="AI1683" s="34" t="s">
        <v>5509</v>
      </c>
      <c r="AJ1683" s="34" t="s">
        <v>4802</v>
      </c>
      <c r="AK1683" s="34" t="s">
        <v>3616</v>
      </c>
      <c r="AL1683" s="34">
        <v>800</v>
      </c>
      <c r="AM1683" s="40" t="s">
        <v>9</v>
      </c>
      <c r="AP1683" s="34">
        <v>0</v>
      </c>
      <c r="AQ1683" s="34">
        <v>759</v>
      </c>
      <c r="AR1683" s="34">
        <v>443</v>
      </c>
      <c r="AT1683" s="44">
        <v>58800</v>
      </c>
      <c r="AU1683" s="44"/>
      <c r="AV1683" s="46">
        <f>ROUND(Товары[[#This Row],[РРЦ финальная, руб.]]/$AU$1,2)</f>
        <v>0</v>
      </c>
      <c r="AW1683" s="45" t="str">
        <f>IFERROR(Товары[[#This Row],[РРЦ, евро]]/Товары[[#This Row],[IRP, Eur]],"-")</f>
        <v>-</v>
      </c>
      <c r="AX1683" s="42">
        <f>IFERROR(VLOOKUP(Товары[[#This Row],[SubGroup]],'Структура цен DIY'!$B:$C,2,FALSE),0)</f>
        <v>0.29999999999999993</v>
      </c>
      <c r="AY1683" s="44">
        <v>0</v>
      </c>
    </row>
    <row r="1684" spans="1:51" x14ac:dyDescent="0.25">
      <c r="A1684" s="34">
        <v>1682</v>
      </c>
      <c r="B1684" s="34" t="s">
        <v>49</v>
      </c>
      <c r="C1684" s="110" t="str">
        <f>IFERROR(INDEX(Структура_ассортимента[SuperCategory],MATCH(Товары[[#This Row],[SubGroup]],Структура_ассортимента[Subgroup],0)),"")</f>
        <v>W</v>
      </c>
      <c r="D168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8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84" s="110" t="str">
        <f>IFERROR(INDEX(Структура_ассортимента[Product group],MATCH(Товары[[#This Row],[SubGroup]],Структура_ассортимента[Subgroup],0)),"")</f>
        <v>WSS_C</v>
      </c>
      <c r="G1684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84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84" s="36">
        <v>9032</v>
      </c>
      <c r="J1684" s="36" t="str">
        <f>IFERROR(INDEX(Структура_ассортимента[Generic Name (long)],MATCH(Товары[[#This Row],[SubGroup]],Структура_ассортимента[Subgroup],0)),"")</f>
        <v>WATERING SET</v>
      </c>
      <c r="L1684" s="36">
        <v>901016901</v>
      </c>
      <c r="M1684" s="35" t="s">
        <v>3360</v>
      </c>
      <c r="O1684" s="35" t="s">
        <v>7666</v>
      </c>
      <c r="P1684" s="37" t="s">
        <v>7667</v>
      </c>
      <c r="Q1684" s="34" t="s">
        <v>3549</v>
      </c>
      <c r="R1684" s="34" t="s">
        <v>3540</v>
      </c>
      <c r="S1684" s="47">
        <v>38626</v>
      </c>
      <c r="T1684" s="47">
        <v>0</v>
      </c>
      <c r="U1684" s="47">
        <v>0</v>
      </c>
      <c r="V1684" s="34">
        <v>4078500277303</v>
      </c>
      <c r="W1684" s="34" t="s">
        <v>3543</v>
      </c>
      <c r="X1684" s="34" t="s">
        <v>3579</v>
      </c>
      <c r="Y1684" s="34" t="s">
        <v>3542</v>
      </c>
      <c r="Z1684" s="34">
        <v>10</v>
      </c>
      <c r="AA1684" s="34" t="s">
        <v>7668</v>
      </c>
      <c r="AB1684" s="34" t="s">
        <v>7668</v>
      </c>
      <c r="AC1684" s="34" t="s">
        <v>5910</v>
      </c>
      <c r="AD1684" s="34" t="s">
        <v>5910</v>
      </c>
      <c r="AE1684" s="34" t="s">
        <v>3566</v>
      </c>
      <c r="AF1684" s="34" t="s">
        <v>3754</v>
      </c>
      <c r="AG1684" s="34" t="s">
        <v>3566</v>
      </c>
      <c r="AH1684" s="34" t="s">
        <v>4092</v>
      </c>
      <c r="AI1684" s="34" t="s">
        <v>4681</v>
      </c>
      <c r="AJ1684" s="34" t="s">
        <v>4802</v>
      </c>
      <c r="AK1684" s="34" t="s">
        <v>4849</v>
      </c>
      <c r="AL1684" s="34">
        <v>1140</v>
      </c>
      <c r="AM1684" s="40" t="s">
        <v>9</v>
      </c>
      <c r="AP1684" s="34">
        <v>0</v>
      </c>
      <c r="AQ1684" s="34">
        <v>649</v>
      </c>
      <c r="AR1684" s="34">
        <v>379</v>
      </c>
      <c r="AT1684" s="44">
        <v>50300</v>
      </c>
      <c r="AU1684" s="44"/>
      <c r="AV1684" s="46">
        <f>ROUND(Товары[[#This Row],[РРЦ финальная, руб.]]/$AU$1,2)</f>
        <v>0</v>
      </c>
      <c r="AW1684" s="45" t="str">
        <f>IFERROR(Товары[[#This Row],[РРЦ, евро]]/Товары[[#This Row],[IRP, Eur]],"-")</f>
        <v>-</v>
      </c>
      <c r="AX1684" s="42">
        <f>IFERROR(VLOOKUP(Товары[[#This Row],[SubGroup]],'Структура цен DIY'!$B:$C,2,FALSE),0)</f>
        <v>0.29999999999999993</v>
      </c>
      <c r="AY1684" s="44">
        <v>0</v>
      </c>
    </row>
    <row r="1685" spans="1:51" x14ac:dyDescent="0.25">
      <c r="A1685" s="34">
        <v>1683</v>
      </c>
      <c r="B1685" s="34" t="s">
        <v>49</v>
      </c>
      <c r="C1685" s="110" t="str">
        <f>IFERROR(INDEX(Структура_ассортимента[SuperCategory],MATCH(Товары[[#This Row],[SubGroup]],Структура_ассортимента[Subgroup],0)),"")</f>
        <v>W</v>
      </c>
      <c r="D168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8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85" s="110" t="str">
        <f>IFERROR(INDEX(Структура_ассортимента[Product group],MATCH(Товары[[#This Row],[SubGroup]],Структура_ассортимента[Subgroup],0)),"")</f>
        <v>WSS_C</v>
      </c>
      <c r="G1685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85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85" s="36">
        <v>9032</v>
      </c>
      <c r="J1685" s="36" t="str">
        <f>IFERROR(INDEX(Структура_ассортимента[Generic Name (long)],MATCH(Товары[[#This Row],[SubGroup]],Структура_ассортимента[Subgroup],0)),"")</f>
        <v>WATERING SET</v>
      </c>
      <c r="L1685" s="36">
        <v>901017101</v>
      </c>
      <c r="M1685" s="35" t="s">
        <v>3361</v>
      </c>
      <c r="O1685" s="35" t="s">
        <v>7669</v>
      </c>
      <c r="P1685" s="37" t="s">
        <v>7670</v>
      </c>
      <c r="Q1685" s="34" t="s">
        <v>3549</v>
      </c>
      <c r="R1685" s="34" t="s">
        <v>3540</v>
      </c>
      <c r="S1685" s="47">
        <v>38626</v>
      </c>
      <c r="T1685" s="47">
        <v>0</v>
      </c>
      <c r="U1685" s="47">
        <v>0</v>
      </c>
      <c r="V1685" s="34">
        <v>4078500277501</v>
      </c>
      <c r="W1685" s="34" t="s">
        <v>3543</v>
      </c>
      <c r="X1685" s="34" t="s">
        <v>3579</v>
      </c>
      <c r="Y1685" s="34" t="s">
        <v>3542</v>
      </c>
      <c r="Z1685" s="34">
        <v>10</v>
      </c>
      <c r="AA1685" s="34" t="s">
        <v>7640</v>
      </c>
      <c r="AB1685" s="34" t="s">
        <v>6721</v>
      </c>
      <c r="AC1685" s="34" t="s">
        <v>3670</v>
      </c>
      <c r="AD1685" s="34" t="s">
        <v>3670</v>
      </c>
      <c r="AE1685" s="34" t="s">
        <v>3693</v>
      </c>
      <c r="AF1685" s="34" t="s">
        <v>3754</v>
      </c>
      <c r="AG1685" s="34" t="s">
        <v>3754</v>
      </c>
      <c r="AH1685" s="34" t="s">
        <v>7671</v>
      </c>
      <c r="AI1685" s="34" t="s">
        <v>4793</v>
      </c>
      <c r="AJ1685" s="34" t="s">
        <v>4802</v>
      </c>
      <c r="AK1685" s="34" t="s">
        <v>6501</v>
      </c>
      <c r="AL1685" s="34" t="s">
        <v>7672</v>
      </c>
      <c r="AM1685" s="40" t="s">
        <v>9</v>
      </c>
      <c r="AP1685" s="34">
        <v>0</v>
      </c>
      <c r="AQ1685" s="34">
        <v>539</v>
      </c>
      <c r="AR1685" s="34">
        <v>314</v>
      </c>
      <c r="AT1685" s="44">
        <v>41700</v>
      </c>
      <c r="AU1685" s="44"/>
      <c r="AV1685" s="46">
        <f>ROUND(Товары[[#This Row],[РРЦ финальная, руб.]]/$AU$1,2)</f>
        <v>0</v>
      </c>
      <c r="AW1685" s="45" t="str">
        <f>IFERROR(Товары[[#This Row],[РРЦ, евро]]/Товары[[#This Row],[IRP, Eur]],"-")</f>
        <v>-</v>
      </c>
      <c r="AX1685" s="42">
        <f>IFERROR(VLOOKUP(Товары[[#This Row],[SubGroup]],'Структура цен DIY'!$B:$C,2,FALSE),0)</f>
        <v>0.29999999999999993</v>
      </c>
      <c r="AY1685" s="44">
        <v>0</v>
      </c>
    </row>
    <row r="1686" spans="1:51" x14ac:dyDescent="0.25">
      <c r="A1686" s="34">
        <v>1684</v>
      </c>
      <c r="B1686" s="34" t="s">
        <v>49</v>
      </c>
      <c r="C1686" s="110" t="str">
        <f>IFERROR(INDEX(Структура_ассортимента[SuperCategory],MATCH(Товары[[#This Row],[SubGroup]],Структура_ассортимента[Subgroup],0)),"")</f>
        <v>W</v>
      </c>
      <c r="D168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8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86" s="110" t="str">
        <f>IFERROR(INDEX(Структура_ассортимента[Product group],MATCH(Товары[[#This Row],[SubGroup]],Структура_ассортимента[Subgroup],0)),"")</f>
        <v>WSS_C</v>
      </c>
      <c r="G1686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86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86" s="36">
        <v>9032</v>
      </c>
      <c r="J1686" s="36" t="str">
        <f>IFERROR(INDEX(Структура_ассортимента[Generic Name (long)],MATCH(Товары[[#This Row],[SubGroup]],Структура_ассортимента[Subgroup],0)),"")</f>
        <v>WATERING SET</v>
      </c>
      <c r="L1686" s="36">
        <v>901017401</v>
      </c>
      <c r="M1686" s="35" t="s">
        <v>3362</v>
      </c>
      <c r="O1686" s="35" t="s">
        <v>7673</v>
      </c>
      <c r="P1686" s="37" t="s">
        <v>7674</v>
      </c>
      <c r="Q1686" s="34" t="s">
        <v>3549</v>
      </c>
      <c r="R1686" s="34" t="s">
        <v>3540</v>
      </c>
      <c r="S1686" s="47">
        <v>38626</v>
      </c>
      <c r="T1686" s="47">
        <v>0</v>
      </c>
      <c r="U1686" s="47">
        <v>0</v>
      </c>
      <c r="V1686" s="34">
        <v>4078500277808</v>
      </c>
      <c r="W1686" s="34" t="s">
        <v>3543</v>
      </c>
      <c r="X1686" s="34" t="s">
        <v>3579</v>
      </c>
      <c r="Y1686" s="34" t="s">
        <v>3542</v>
      </c>
      <c r="Z1686" s="34">
        <v>10</v>
      </c>
      <c r="AA1686" s="34" t="s">
        <v>5651</v>
      </c>
      <c r="AB1686" s="34" t="s">
        <v>5651</v>
      </c>
      <c r="AC1686" s="34" t="s">
        <v>3717</v>
      </c>
      <c r="AD1686" s="34" t="s">
        <v>3717</v>
      </c>
      <c r="AE1686" s="34" t="s">
        <v>3711</v>
      </c>
      <c r="AF1686" s="34" t="s">
        <v>3754</v>
      </c>
      <c r="AG1686" s="34" t="s">
        <v>4181</v>
      </c>
      <c r="AH1686" s="34" t="s">
        <v>7675</v>
      </c>
      <c r="AI1686" s="34" t="s">
        <v>4184</v>
      </c>
      <c r="AJ1686" s="34" t="s">
        <v>6501</v>
      </c>
      <c r="AK1686" s="34" t="s">
        <v>4802</v>
      </c>
      <c r="AL1686" s="34">
        <v>2560</v>
      </c>
      <c r="AM1686" s="40" t="s">
        <v>9</v>
      </c>
      <c r="AP1686" s="34">
        <v>0</v>
      </c>
      <c r="AQ1686" s="34">
        <v>429</v>
      </c>
      <c r="AR1686" s="34">
        <v>250</v>
      </c>
      <c r="AT1686" s="44">
        <v>33200</v>
      </c>
      <c r="AU1686" s="44"/>
      <c r="AV1686" s="46">
        <f>ROUND(Товары[[#This Row],[РРЦ финальная, руб.]]/$AU$1,2)</f>
        <v>0</v>
      </c>
      <c r="AW1686" s="45" t="str">
        <f>IFERROR(Товары[[#This Row],[РРЦ, евро]]/Товары[[#This Row],[IRP, Eur]],"-")</f>
        <v>-</v>
      </c>
      <c r="AX1686" s="42">
        <f>IFERROR(VLOOKUP(Товары[[#This Row],[SubGroup]],'Структура цен DIY'!$B:$C,2,FALSE),0)</f>
        <v>0.29999999999999993</v>
      </c>
      <c r="AY1686" s="44">
        <v>0</v>
      </c>
    </row>
    <row r="1687" spans="1:51" x14ac:dyDescent="0.25">
      <c r="A1687" s="34">
        <v>1685</v>
      </c>
      <c r="B1687" s="34" t="s">
        <v>49</v>
      </c>
      <c r="C1687" s="110" t="str">
        <f>IFERROR(INDEX(Структура_ассортимента[SuperCategory],MATCH(Товары[[#This Row],[SubGroup]],Структура_ассортимента[Subgroup],0)),"")</f>
        <v>W</v>
      </c>
      <c r="D168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8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87" s="110" t="str">
        <f>IFERROR(INDEX(Структура_ассортимента[Product group],MATCH(Товары[[#This Row],[SubGroup]],Структура_ассортимента[Subgroup],0)),"")</f>
        <v>WSS_C</v>
      </c>
      <c r="G1687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87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87" s="36">
        <v>9032</v>
      </c>
      <c r="J1687" s="36" t="str">
        <f>IFERROR(INDEX(Структура_ассортимента[Generic Name (long)],MATCH(Товары[[#This Row],[SubGroup]],Структура_ассортимента[Subgroup],0)),"")</f>
        <v>WATERING SET</v>
      </c>
      <c r="L1687" s="36">
        <v>901016801</v>
      </c>
      <c r="M1687" s="35" t="s">
        <v>3363</v>
      </c>
      <c r="O1687" s="35" t="s">
        <v>7676</v>
      </c>
      <c r="P1687" s="37" t="s">
        <v>7677</v>
      </c>
      <c r="Q1687" s="34" t="s">
        <v>3652</v>
      </c>
      <c r="R1687" s="34" t="s">
        <v>3540</v>
      </c>
      <c r="S1687" s="47">
        <v>38626</v>
      </c>
      <c r="T1687" s="47">
        <v>0</v>
      </c>
      <c r="U1687" s="47">
        <v>0</v>
      </c>
      <c r="V1687" s="34">
        <v>4078500277204</v>
      </c>
      <c r="W1687" s="34" t="s">
        <v>3543</v>
      </c>
      <c r="X1687" s="34" t="s">
        <v>3579</v>
      </c>
      <c r="Y1687" s="34" t="s">
        <v>3542</v>
      </c>
      <c r="Z1687" s="34">
        <v>10</v>
      </c>
      <c r="AA1687" s="34" t="s">
        <v>3928</v>
      </c>
      <c r="AB1687" s="34" t="s">
        <v>3928</v>
      </c>
      <c r="AC1687" s="34" t="s">
        <v>4159</v>
      </c>
      <c r="AD1687" s="34" t="s">
        <v>4159</v>
      </c>
      <c r="AE1687" s="34" t="s">
        <v>3878</v>
      </c>
      <c r="AF1687" s="34" t="s">
        <v>4391</v>
      </c>
      <c r="AG1687" s="34" t="s">
        <v>3711</v>
      </c>
      <c r="AH1687" s="34" t="s">
        <v>7678</v>
      </c>
      <c r="AI1687" s="34" t="s">
        <v>5086</v>
      </c>
      <c r="AJ1687" s="34" t="s">
        <v>4161</v>
      </c>
      <c r="AK1687" s="34" t="s">
        <v>3566</v>
      </c>
      <c r="AL1687" s="34">
        <v>700</v>
      </c>
      <c r="AM1687" s="40" t="s">
        <v>9</v>
      </c>
      <c r="AP1687" s="34">
        <v>0</v>
      </c>
      <c r="AQ1687" s="34">
        <v>1199</v>
      </c>
      <c r="AR1687" s="34">
        <v>699</v>
      </c>
      <c r="AT1687" s="44">
        <v>92900</v>
      </c>
      <c r="AU1687" s="44"/>
      <c r="AV1687" s="46">
        <f>ROUND(Товары[[#This Row],[РРЦ финальная, руб.]]/$AU$1,2)</f>
        <v>0</v>
      </c>
      <c r="AW1687" s="45" t="str">
        <f>IFERROR(Товары[[#This Row],[РРЦ, евро]]/Товары[[#This Row],[IRP, Eur]],"-")</f>
        <v>-</v>
      </c>
      <c r="AX1687" s="42">
        <f>IFERROR(VLOOKUP(Товары[[#This Row],[SubGroup]],'Структура цен DIY'!$B:$C,2,FALSE),0)</f>
        <v>0.29999999999999993</v>
      </c>
      <c r="AY1687" s="44">
        <v>0</v>
      </c>
    </row>
    <row r="1688" spans="1:51" x14ac:dyDescent="0.25">
      <c r="A1688" s="34">
        <v>1686</v>
      </c>
      <c r="B1688" s="34" t="s">
        <v>49</v>
      </c>
      <c r="C1688" s="110" t="str">
        <f>IFERROR(INDEX(Структура_ассортимента[SuperCategory],MATCH(Товары[[#This Row],[SubGroup]],Структура_ассортимента[Subgroup],0)),"")</f>
        <v>W</v>
      </c>
      <c r="D168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8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88" s="110" t="str">
        <f>IFERROR(INDEX(Структура_ассортимента[Product group],MATCH(Товары[[#This Row],[SubGroup]],Структура_ассортимента[Subgroup],0)),"")</f>
        <v>WSS_C</v>
      </c>
      <c r="G1688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88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88" s="36">
        <v>9032</v>
      </c>
      <c r="J1688" s="36" t="str">
        <f>IFERROR(INDEX(Структура_ассортимента[Generic Name (long)],MATCH(Товары[[#This Row],[SubGroup]],Структура_ассортимента[Subgroup],0)),"")</f>
        <v>WATERING SET</v>
      </c>
      <c r="L1688" s="36">
        <v>901017001</v>
      </c>
      <c r="M1688" s="35" t="s">
        <v>3364</v>
      </c>
      <c r="O1688" s="35" t="s">
        <v>7679</v>
      </c>
      <c r="P1688" s="37" t="s">
        <v>7680</v>
      </c>
      <c r="Q1688" s="34" t="s">
        <v>3652</v>
      </c>
      <c r="R1688" s="34" t="s">
        <v>3540</v>
      </c>
      <c r="S1688" s="47">
        <v>38626</v>
      </c>
      <c r="T1688" s="47">
        <v>0</v>
      </c>
      <c r="U1688" s="47">
        <v>0</v>
      </c>
      <c r="V1688" s="34">
        <v>4078500277402</v>
      </c>
      <c r="W1688" s="34" t="s">
        <v>3543</v>
      </c>
      <c r="X1688" s="34" t="s">
        <v>3579</v>
      </c>
      <c r="Y1688" s="34" t="s">
        <v>3542</v>
      </c>
      <c r="Z1688" s="34">
        <v>10</v>
      </c>
      <c r="AA1688" s="34" t="s">
        <v>4198</v>
      </c>
      <c r="AB1688" s="34" t="s">
        <v>4198</v>
      </c>
      <c r="AC1688" s="34" t="s">
        <v>6079</v>
      </c>
      <c r="AD1688" s="34" t="s">
        <v>6079</v>
      </c>
      <c r="AE1688" s="34" t="s">
        <v>3560</v>
      </c>
      <c r="AF1688" s="34" t="s">
        <v>3560</v>
      </c>
      <c r="AG1688" s="34" t="s">
        <v>3711</v>
      </c>
      <c r="AH1688" s="34" t="s">
        <v>7681</v>
      </c>
      <c r="AI1688" s="34" t="s">
        <v>3599</v>
      </c>
      <c r="AJ1688" s="34" t="s">
        <v>4161</v>
      </c>
      <c r="AK1688" s="34" t="s">
        <v>4621</v>
      </c>
      <c r="AL1688" s="34">
        <v>800</v>
      </c>
      <c r="AM1688" s="40" t="s">
        <v>9</v>
      </c>
      <c r="AP1688" s="34">
        <v>0</v>
      </c>
      <c r="AQ1688" s="34">
        <v>869</v>
      </c>
      <c r="AR1688" s="34">
        <v>507</v>
      </c>
      <c r="AT1688" s="44">
        <v>67300</v>
      </c>
      <c r="AU1688" s="44"/>
      <c r="AV1688" s="46">
        <f>ROUND(Товары[[#This Row],[РРЦ финальная, руб.]]/$AU$1,2)</f>
        <v>0</v>
      </c>
      <c r="AW1688" s="45" t="str">
        <f>IFERROR(Товары[[#This Row],[РРЦ, евро]]/Товары[[#This Row],[IRP, Eur]],"-")</f>
        <v>-</v>
      </c>
      <c r="AX1688" s="42">
        <f>IFERROR(VLOOKUP(Товары[[#This Row],[SubGroup]],'Структура цен DIY'!$B:$C,2,FALSE),0)</f>
        <v>0.29999999999999993</v>
      </c>
      <c r="AY1688" s="44">
        <v>0</v>
      </c>
    </row>
    <row r="1689" spans="1:51" x14ac:dyDescent="0.25">
      <c r="A1689" s="34">
        <v>1687</v>
      </c>
      <c r="B1689" s="34" t="s">
        <v>49</v>
      </c>
      <c r="C1689" s="110" t="str">
        <f>IFERROR(INDEX(Структура_ассортимента[SuperCategory],MATCH(Товары[[#This Row],[SubGroup]],Структура_ассортимента[Subgroup],0)),"")</f>
        <v>W</v>
      </c>
      <c r="D168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8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89" s="110" t="str">
        <f>IFERROR(INDEX(Структура_ассортимента[Product group],MATCH(Товары[[#This Row],[SubGroup]],Структура_ассортимента[Subgroup],0)),"")</f>
        <v>WSS_C</v>
      </c>
      <c r="G1689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89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89" s="36">
        <v>9032</v>
      </c>
      <c r="J1689" s="36" t="str">
        <f>IFERROR(INDEX(Структура_ассортимента[Generic Name (long)],MATCH(Товары[[#This Row],[SubGroup]],Структура_ассортимента[Subgroup],0)),"")</f>
        <v>WATERING SET</v>
      </c>
      <c r="L1689" s="36">
        <v>901017201</v>
      </c>
      <c r="M1689" s="35" t="s">
        <v>3365</v>
      </c>
      <c r="O1689" s="35" t="s">
        <v>7682</v>
      </c>
      <c r="P1689" s="37" t="s">
        <v>7683</v>
      </c>
      <c r="Q1689" s="34" t="s">
        <v>3652</v>
      </c>
      <c r="R1689" s="34" t="s">
        <v>3540</v>
      </c>
      <c r="S1689" s="47">
        <v>38626</v>
      </c>
      <c r="T1689" s="47">
        <v>0</v>
      </c>
      <c r="U1689" s="47">
        <v>0</v>
      </c>
      <c r="V1689" s="34">
        <v>4078500277600</v>
      </c>
      <c r="W1689" s="34" t="s">
        <v>3543</v>
      </c>
      <c r="X1689" s="34" t="s">
        <v>3579</v>
      </c>
      <c r="Y1689" s="34" t="s">
        <v>3542</v>
      </c>
      <c r="Z1689" s="34">
        <v>10</v>
      </c>
      <c r="AA1689" s="34" t="s">
        <v>3728</v>
      </c>
      <c r="AB1689" s="34" t="s">
        <v>3728</v>
      </c>
      <c r="AC1689" s="34" t="s">
        <v>4120</v>
      </c>
      <c r="AD1689" s="34" t="s">
        <v>4120</v>
      </c>
      <c r="AE1689" s="34" t="s">
        <v>3698</v>
      </c>
      <c r="AF1689" s="34" t="s">
        <v>3711</v>
      </c>
      <c r="AG1689" s="34" t="s">
        <v>3711</v>
      </c>
      <c r="AH1689" s="34" t="s">
        <v>7684</v>
      </c>
      <c r="AI1689" s="34" t="s">
        <v>4793</v>
      </c>
      <c r="AJ1689" s="34" t="s">
        <v>4161</v>
      </c>
      <c r="AK1689" s="34" t="s">
        <v>4402</v>
      </c>
      <c r="AL1689" s="34">
        <v>1140</v>
      </c>
      <c r="AM1689" s="40" t="s">
        <v>9</v>
      </c>
      <c r="AP1689" s="34">
        <v>0</v>
      </c>
      <c r="AQ1689" s="34">
        <v>869</v>
      </c>
      <c r="AR1689" s="34">
        <v>507</v>
      </c>
      <c r="AT1689" s="44">
        <v>67300</v>
      </c>
      <c r="AU1689" s="44"/>
      <c r="AV1689" s="46">
        <f>ROUND(Товары[[#This Row],[РРЦ финальная, руб.]]/$AU$1,2)</f>
        <v>0</v>
      </c>
      <c r="AW1689" s="45" t="str">
        <f>IFERROR(Товары[[#This Row],[РРЦ, евро]]/Товары[[#This Row],[IRP, Eur]],"-")</f>
        <v>-</v>
      </c>
      <c r="AX1689" s="42">
        <f>IFERROR(VLOOKUP(Товары[[#This Row],[SubGroup]],'Структура цен DIY'!$B:$C,2,FALSE),0)</f>
        <v>0.29999999999999993</v>
      </c>
      <c r="AY1689" s="44">
        <v>0</v>
      </c>
    </row>
    <row r="1690" spans="1:51" x14ac:dyDescent="0.25">
      <c r="A1690" s="34">
        <v>1688</v>
      </c>
      <c r="B1690" s="34" t="s">
        <v>49</v>
      </c>
      <c r="C1690" s="110" t="str">
        <f>IFERROR(INDEX(Структура_ассортимента[SuperCategory],MATCH(Товары[[#This Row],[SubGroup]],Структура_ассортимента[Subgroup],0)),"")</f>
        <v>W</v>
      </c>
      <c r="D169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9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90" s="110" t="str">
        <f>IFERROR(INDEX(Структура_ассортимента[Product group],MATCH(Товары[[#This Row],[SubGroup]],Структура_ассортимента[Subgroup],0)),"")</f>
        <v>WSS_C</v>
      </c>
      <c r="G1690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90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90" s="36">
        <v>9032</v>
      </c>
      <c r="J1690" s="36" t="str">
        <f>IFERROR(INDEX(Структура_ассортимента[Generic Name (long)],MATCH(Товары[[#This Row],[SubGroup]],Структура_ассортимента[Subgroup],0)),"")</f>
        <v>WATERING SET</v>
      </c>
      <c r="L1690" s="36">
        <v>901017301</v>
      </c>
      <c r="M1690" s="35" t="s">
        <v>3366</v>
      </c>
      <c r="O1690" s="35" t="s">
        <v>7685</v>
      </c>
      <c r="P1690" s="37" t="s">
        <v>7686</v>
      </c>
      <c r="Q1690" s="34" t="s">
        <v>3549</v>
      </c>
      <c r="R1690" s="34" t="s">
        <v>3540</v>
      </c>
      <c r="S1690" s="47">
        <v>38626</v>
      </c>
      <c r="T1690" s="47">
        <v>0</v>
      </c>
      <c r="U1690" s="47">
        <v>0</v>
      </c>
      <c r="V1690" s="34">
        <v>4078500277709</v>
      </c>
      <c r="W1690" s="34" t="s">
        <v>3543</v>
      </c>
      <c r="X1690" s="34" t="s">
        <v>3579</v>
      </c>
      <c r="Y1690" s="34" t="s">
        <v>3542</v>
      </c>
      <c r="Z1690" s="34">
        <v>10</v>
      </c>
      <c r="AA1690" s="34" t="s">
        <v>3728</v>
      </c>
      <c r="AB1690" s="34" t="s">
        <v>3728</v>
      </c>
      <c r="AC1690" s="34" t="s">
        <v>3996</v>
      </c>
      <c r="AD1690" s="34" t="s">
        <v>3996</v>
      </c>
      <c r="AE1690" s="34" t="s">
        <v>3693</v>
      </c>
      <c r="AF1690" s="34" t="s">
        <v>4181</v>
      </c>
      <c r="AG1690" s="34" t="s">
        <v>3754</v>
      </c>
      <c r="AH1690" s="34" t="s">
        <v>7687</v>
      </c>
      <c r="AI1690" s="34" t="s">
        <v>4793</v>
      </c>
      <c r="AJ1690" s="34" t="s">
        <v>4161</v>
      </c>
      <c r="AK1690" s="34" t="s">
        <v>4402</v>
      </c>
      <c r="AL1690" s="34">
        <v>1140</v>
      </c>
      <c r="AM1690" s="40" t="s">
        <v>9</v>
      </c>
      <c r="AP1690" s="34">
        <v>0</v>
      </c>
      <c r="AQ1690" s="34">
        <v>869</v>
      </c>
      <c r="AR1690" s="34">
        <v>507</v>
      </c>
      <c r="AT1690" s="44">
        <v>67300</v>
      </c>
      <c r="AU1690" s="44"/>
      <c r="AV1690" s="46">
        <f>ROUND(Товары[[#This Row],[РРЦ финальная, руб.]]/$AU$1,2)</f>
        <v>0</v>
      </c>
      <c r="AW1690" s="45" t="str">
        <f>IFERROR(Товары[[#This Row],[РРЦ, евро]]/Товары[[#This Row],[IRP, Eur]],"-")</f>
        <v>-</v>
      </c>
      <c r="AX1690" s="42">
        <f>IFERROR(VLOOKUP(Товары[[#This Row],[SubGroup]],'Структура цен DIY'!$B:$C,2,FALSE),0)</f>
        <v>0.29999999999999993</v>
      </c>
      <c r="AY1690" s="44">
        <v>0</v>
      </c>
    </row>
    <row r="1691" spans="1:51" x14ac:dyDescent="0.25">
      <c r="A1691" s="34">
        <v>1689</v>
      </c>
      <c r="B1691" s="34" t="s">
        <v>49</v>
      </c>
      <c r="C1691" s="110" t="str">
        <f>IFERROR(INDEX(Структура_ассортимента[SuperCategory],MATCH(Товары[[#This Row],[SubGroup]],Структура_ассортимента[Subgroup],0)),"")</f>
        <v>W</v>
      </c>
      <c r="D169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9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91" s="110" t="str">
        <f>IFERROR(INDEX(Структура_ассортимента[Product group],MATCH(Товары[[#This Row],[SubGroup]],Структура_ассортимента[Subgroup],0)),"")</f>
        <v>WSS_C</v>
      </c>
      <c r="G1691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91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91" s="36">
        <v>9032</v>
      </c>
      <c r="J1691" s="36" t="str">
        <f>IFERROR(INDEX(Структура_ассортимента[Generic Name (long)],MATCH(Товары[[#This Row],[SubGroup]],Структура_ассортимента[Subgroup],0)),"")</f>
        <v>WATERING SET</v>
      </c>
      <c r="L1691" s="36">
        <v>901017501</v>
      </c>
      <c r="M1691" s="35" t="s">
        <v>3367</v>
      </c>
      <c r="O1691" s="35" t="s">
        <v>7688</v>
      </c>
      <c r="P1691" s="37" t="s">
        <v>7689</v>
      </c>
      <c r="Q1691" s="34" t="s">
        <v>3652</v>
      </c>
      <c r="R1691" s="34" t="s">
        <v>3540</v>
      </c>
      <c r="S1691" s="47">
        <v>38626</v>
      </c>
      <c r="T1691" s="47">
        <v>0</v>
      </c>
      <c r="U1691" s="47">
        <v>0</v>
      </c>
      <c r="V1691" s="34">
        <v>4078500277907</v>
      </c>
      <c r="W1691" s="34" t="s">
        <v>3543</v>
      </c>
      <c r="X1691" s="34" t="s">
        <v>3579</v>
      </c>
      <c r="Y1691" s="34" t="s">
        <v>3542</v>
      </c>
      <c r="Z1691" s="34">
        <v>10</v>
      </c>
      <c r="AA1691" s="34" t="s">
        <v>3719</v>
      </c>
      <c r="AB1691" s="34" t="s">
        <v>3719</v>
      </c>
      <c r="AC1691" s="34" t="s">
        <v>7063</v>
      </c>
      <c r="AD1691" s="34" t="s">
        <v>7063</v>
      </c>
      <c r="AE1691" s="34" t="s">
        <v>4324</v>
      </c>
      <c r="AF1691" s="34" t="s">
        <v>3711</v>
      </c>
      <c r="AG1691" s="34" t="s">
        <v>3711</v>
      </c>
      <c r="AH1691" s="34" t="s">
        <v>7690</v>
      </c>
      <c r="AI1691" s="34" t="s">
        <v>4161</v>
      </c>
      <c r="AJ1691" s="34" t="s">
        <v>4161</v>
      </c>
      <c r="AK1691" s="34" t="s">
        <v>4402</v>
      </c>
      <c r="AL1691" s="34">
        <v>1840</v>
      </c>
      <c r="AM1691" s="40" t="s">
        <v>9</v>
      </c>
      <c r="AP1691" s="34">
        <v>0</v>
      </c>
      <c r="AQ1691" s="34">
        <v>759</v>
      </c>
      <c r="AR1691" s="34">
        <v>443</v>
      </c>
      <c r="AT1691" s="44">
        <v>58800</v>
      </c>
      <c r="AU1691" s="44"/>
      <c r="AV1691" s="46">
        <f>ROUND(Товары[[#This Row],[РРЦ финальная, руб.]]/$AU$1,2)</f>
        <v>0</v>
      </c>
      <c r="AW1691" s="45" t="str">
        <f>IFERROR(Товары[[#This Row],[РРЦ, евро]]/Товары[[#This Row],[IRP, Eur]],"-")</f>
        <v>-</v>
      </c>
      <c r="AX1691" s="42">
        <f>IFERROR(VLOOKUP(Товары[[#This Row],[SubGroup]],'Структура цен DIY'!$B:$C,2,FALSE),0)</f>
        <v>0.29999999999999993</v>
      </c>
      <c r="AY1691" s="44">
        <v>0</v>
      </c>
    </row>
    <row r="1692" spans="1:51" x14ac:dyDescent="0.25">
      <c r="A1692" s="34">
        <v>1690</v>
      </c>
      <c r="B1692" s="34" t="s">
        <v>49</v>
      </c>
      <c r="C1692" s="110" t="str">
        <f>IFERROR(INDEX(Структура_ассортимента[SuperCategory],MATCH(Товары[[#This Row],[SubGroup]],Структура_ассортимента[Subgroup],0)),"")</f>
        <v>W</v>
      </c>
      <c r="D169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9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92" s="110" t="str">
        <f>IFERROR(INDEX(Структура_ассортимента[Product group],MATCH(Товары[[#This Row],[SubGroup]],Структура_ассортимента[Subgroup],0)),"")</f>
        <v>WSS_C</v>
      </c>
      <c r="G1692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92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92" s="36">
        <v>9032</v>
      </c>
      <c r="J1692" s="36" t="str">
        <f>IFERROR(INDEX(Структура_ассортимента[Generic Name (long)],MATCH(Товары[[#This Row],[SubGroup]],Структура_ассортимента[Subgroup],0)),"")</f>
        <v>WATERING SET</v>
      </c>
      <c r="L1692" s="36">
        <v>966409801</v>
      </c>
      <c r="M1692" s="35" t="s">
        <v>3368</v>
      </c>
      <c r="O1692" s="35" t="s">
        <v>7691</v>
      </c>
      <c r="P1692" s="37" t="s">
        <v>7692</v>
      </c>
      <c r="Q1692" s="34" t="s">
        <v>3549</v>
      </c>
      <c r="R1692" s="34" t="s">
        <v>3540</v>
      </c>
      <c r="S1692" s="47">
        <v>40087</v>
      </c>
      <c r="T1692" s="47">
        <v>0</v>
      </c>
      <c r="U1692" s="47">
        <v>0</v>
      </c>
      <c r="V1692" s="34">
        <v>4078500825009</v>
      </c>
      <c r="W1692" s="34" t="s">
        <v>3546</v>
      </c>
      <c r="X1692" s="34" t="s">
        <v>3704</v>
      </c>
      <c r="Y1692" s="34" t="s">
        <v>3542</v>
      </c>
      <c r="Z1692" s="34">
        <v>3</v>
      </c>
      <c r="AA1692" s="34" t="s">
        <v>7693</v>
      </c>
      <c r="AB1692" s="34" t="s">
        <v>7693</v>
      </c>
      <c r="AC1692" s="34" t="s">
        <v>4801</v>
      </c>
      <c r="AD1692" s="34" t="s">
        <v>4801</v>
      </c>
      <c r="AE1692" s="34" t="s">
        <v>4656</v>
      </c>
      <c r="AF1692" s="34" t="s">
        <v>4656</v>
      </c>
      <c r="AG1692" s="34" t="s">
        <v>4458</v>
      </c>
      <c r="AH1692" s="34" t="s">
        <v>7253</v>
      </c>
      <c r="AI1692" s="34" t="s">
        <v>4689</v>
      </c>
      <c r="AJ1692" s="34" t="s">
        <v>5546</v>
      </c>
      <c r="AK1692" s="34" t="s">
        <v>4689</v>
      </c>
      <c r="AL1692" s="34">
        <v>180</v>
      </c>
      <c r="AM1692" s="40" t="s">
        <v>9</v>
      </c>
      <c r="AP1692" s="34">
        <v>0</v>
      </c>
      <c r="AQ1692" s="34">
        <v>4059</v>
      </c>
      <c r="AR1692" s="34">
        <v>2368</v>
      </c>
      <c r="AT1692" s="44">
        <v>314400</v>
      </c>
      <c r="AU1692" s="44"/>
      <c r="AV1692" s="46">
        <f>ROUND(Товары[[#This Row],[РРЦ финальная, руб.]]/$AU$1,2)</f>
        <v>0</v>
      </c>
      <c r="AW1692" s="45" t="str">
        <f>IFERROR(Товары[[#This Row],[РРЦ, евро]]/Товары[[#This Row],[IRP, Eur]],"-")</f>
        <v>-</v>
      </c>
      <c r="AX1692" s="42">
        <f>IFERROR(VLOOKUP(Товары[[#This Row],[SubGroup]],'Структура цен DIY'!$B:$C,2,FALSE),0)</f>
        <v>0.29999999999999993</v>
      </c>
      <c r="AY1692" s="44">
        <v>0</v>
      </c>
    </row>
    <row r="1693" spans="1:51" x14ac:dyDescent="0.25">
      <c r="A1693" s="34">
        <v>1691</v>
      </c>
      <c r="B1693" s="34" t="s">
        <v>49</v>
      </c>
      <c r="C1693" s="110" t="str">
        <f>IFERROR(INDEX(Структура_ассортимента[SuperCategory],MATCH(Товары[[#This Row],[SubGroup]],Структура_ассортимента[Subgroup],0)),"")</f>
        <v>W</v>
      </c>
      <c r="D169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9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93" s="110" t="str">
        <f>IFERROR(INDEX(Структура_ассортимента[Product group],MATCH(Товары[[#This Row],[SubGroup]],Структура_ассортимента[Subgroup],0)),"")</f>
        <v>WSS_C</v>
      </c>
      <c r="G1693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93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93" s="36">
        <v>9032</v>
      </c>
      <c r="J1693" s="36" t="str">
        <f>IFERROR(INDEX(Структура_ассортимента[Generic Name (long)],MATCH(Товары[[#This Row],[SubGroup]],Структура_ассортимента[Subgroup],0)),"")</f>
        <v>WATERING SET</v>
      </c>
      <c r="L1693" s="36">
        <v>966409901</v>
      </c>
      <c r="M1693" s="35" t="s">
        <v>3369</v>
      </c>
      <c r="Q1693" s="34" t="s">
        <v>3549</v>
      </c>
      <c r="R1693" s="34" t="s">
        <v>3540</v>
      </c>
      <c r="S1693" s="47">
        <v>40087</v>
      </c>
      <c r="T1693" s="47">
        <v>0</v>
      </c>
      <c r="U1693" s="47">
        <v>0</v>
      </c>
      <c r="V1693" s="34">
        <v>4078500825405</v>
      </c>
      <c r="W1693" s="34" t="s">
        <v>3543</v>
      </c>
      <c r="X1693" s="34" t="s">
        <v>3579</v>
      </c>
      <c r="Y1693" s="34" t="s">
        <v>3542</v>
      </c>
      <c r="Z1693" s="34">
        <v>2</v>
      </c>
      <c r="AA1693" s="34" t="s">
        <v>6162</v>
      </c>
      <c r="AB1693" s="34" t="s">
        <v>6162</v>
      </c>
      <c r="AC1693" s="34" t="s">
        <v>4120</v>
      </c>
      <c r="AD1693" s="34" t="s">
        <v>4120</v>
      </c>
      <c r="AE1693" s="34" t="s">
        <v>3942</v>
      </c>
      <c r="AF1693" s="34" t="s">
        <v>3968</v>
      </c>
      <c r="AG1693" s="34" t="s">
        <v>4463</v>
      </c>
      <c r="AH1693" s="34" t="s">
        <v>7694</v>
      </c>
      <c r="AI1693" s="34" t="s">
        <v>3765</v>
      </c>
      <c r="AJ1693" s="34" t="s">
        <v>7695</v>
      </c>
      <c r="AK1693" s="34" t="s">
        <v>3931</v>
      </c>
      <c r="AL1693" s="34">
        <v>288</v>
      </c>
      <c r="AM1693" s="40" t="s">
        <v>8095</v>
      </c>
      <c r="AT1693" s="44">
        <v>0</v>
      </c>
      <c r="AU1693" s="44"/>
      <c r="AV1693" s="46">
        <f>ROUND(Товары[[#This Row],[РРЦ финальная, руб.]]/$AU$1,2)</f>
        <v>0</v>
      </c>
      <c r="AW1693" s="45" t="str">
        <f>IFERROR(Товары[[#This Row],[РРЦ, евро]]/Товары[[#This Row],[IRP, Eur]],"-")</f>
        <v>-</v>
      </c>
      <c r="AX1693" s="42">
        <f>IFERROR(VLOOKUP(Товары[[#This Row],[SubGroup]],'Структура цен DIY'!$B:$C,2,FALSE),0)</f>
        <v>0.29999999999999993</v>
      </c>
      <c r="AY1693" s="44">
        <v>0</v>
      </c>
    </row>
    <row r="1694" spans="1:51" x14ac:dyDescent="0.25">
      <c r="A1694" s="34">
        <v>1692</v>
      </c>
      <c r="B1694" s="34" t="s">
        <v>49</v>
      </c>
      <c r="C1694" s="110" t="str">
        <f>IFERROR(INDEX(Структура_ассортимента[SuperCategory],MATCH(Товары[[#This Row],[SubGroup]],Структура_ассортимента[Subgroup],0)),"")</f>
        <v>W</v>
      </c>
      <c r="D169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9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94" s="110" t="str">
        <f>IFERROR(INDEX(Структура_ассортимента[Product group],MATCH(Товары[[#This Row],[SubGroup]],Структура_ассортимента[Subgroup],0)),"")</f>
        <v>WSS_C</v>
      </c>
      <c r="G1694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94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94" s="36">
        <v>9032</v>
      </c>
      <c r="J1694" s="36" t="str">
        <f>IFERROR(INDEX(Структура_ассортимента[Generic Name (long)],MATCH(Товары[[#This Row],[SubGroup]],Структура_ассортимента[Subgroup],0)),"")</f>
        <v>WATERING SET</v>
      </c>
      <c r="L1694" s="36">
        <v>966602801</v>
      </c>
      <c r="M1694" s="35" t="s">
        <v>3370</v>
      </c>
      <c r="P1694" s="37" t="s">
        <v>7696</v>
      </c>
      <c r="Q1694" s="34" t="s">
        <v>3713</v>
      </c>
      <c r="R1694" s="34" t="s">
        <v>3540</v>
      </c>
      <c r="S1694" s="47">
        <v>40452</v>
      </c>
      <c r="T1694" s="47">
        <v>43830</v>
      </c>
      <c r="U1694" s="47">
        <v>43830</v>
      </c>
      <c r="V1694" s="34">
        <v>4078500825306</v>
      </c>
      <c r="W1694" s="34" t="s">
        <v>3936</v>
      </c>
      <c r="Y1694" s="34" t="s">
        <v>3542</v>
      </c>
      <c r="Z1694" s="34">
        <v>1</v>
      </c>
      <c r="AA1694" s="34" t="s">
        <v>7697</v>
      </c>
      <c r="AB1694" s="34" t="s">
        <v>7697</v>
      </c>
      <c r="AC1694" s="34" t="s">
        <v>6307</v>
      </c>
      <c r="AD1694" s="34" t="s">
        <v>6307</v>
      </c>
      <c r="AE1694" s="34" t="s">
        <v>4188</v>
      </c>
      <c r="AF1694" s="34" t="s">
        <v>4951</v>
      </c>
      <c r="AG1694" s="34" t="s">
        <v>3610</v>
      </c>
      <c r="AH1694" s="34" t="s">
        <v>7698</v>
      </c>
      <c r="AL1694" s="34">
        <v>30</v>
      </c>
      <c r="AM1694" s="40" t="s">
        <v>233</v>
      </c>
      <c r="AP1694" s="34">
        <v>0</v>
      </c>
      <c r="AQ1694" s="34">
        <v>8019</v>
      </c>
      <c r="AR1694" s="34">
        <v>4811</v>
      </c>
      <c r="AT1694" s="44">
        <v>621100</v>
      </c>
      <c r="AU1694" s="44"/>
      <c r="AV1694" s="46">
        <f>ROUND(Товары[[#This Row],[РРЦ финальная, руб.]]/$AU$1,2)</f>
        <v>0</v>
      </c>
      <c r="AW1694" s="45" t="str">
        <f>IFERROR(Товары[[#This Row],[РРЦ, евро]]/Товары[[#This Row],[IRP, Eur]],"-")</f>
        <v>-</v>
      </c>
      <c r="AX1694" s="42">
        <f>IFERROR(VLOOKUP(Товары[[#This Row],[SubGroup]],'Структура цен DIY'!$B:$C,2,FALSE),0)</f>
        <v>0.29999999999999993</v>
      </c>
      <c r="AY1694" s="44">
        <v>0</v>
      </c>
    </row>
    <row r="1695" spans="1:51" x14ac:dyDescent="0.25">
      <c r="A1695" s="34">
        <v>1693</v>
      </c>
      <c r="B1695" s="34" t="s">
        <v>49</v>
      </c>
      <c r="C1695" s="110" t="str">
        <f>IFERROR(INDEX(Структура_ассортимента[SuperCategory],MATCH(Товары[[#This Row],[SubGroup]],Структура_ассортимента[Subgroup],0)),"")</f>
        <v>W</v>
      </c>
      <c r="D169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9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95" s="110" t="str">
        <f>IFERROR(INDEX(Структура_ассортимента[Product group],MATCH(Товары[[#This Row],[SubGroup]],Структура_ассортимента[Subgroup],0)),"")</f>
        <v>WSS_C</v>
      </c>
      <c r="G1695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95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95" s="36">
        <v>9032</v>
      </c>
      <c r="J1695" s="36" t="str">
        <f>IFERROR(INDEX(Структура_ассортимента[Generic Name (long)],MATCH(Товары[[#This Row],[SubGroup]],Структура_ассортимента[Subgroup],0)),"")</f>
        <v>WATERING SET</v>
      </c>
      <c r="L1695" s="36">
        <v>900936501</v>
      </c>
      <c r="M1695" s="35" t="s">
        <v>3371</v>
      </c>
      <c r="Q1695" s="34" t="s">
        <v>3713</v>
      </c>
      <c r="R1695" s="34" t="s">
        <v>3540</v>
      </c>
      <c r="S1695" s="47">
        <v>38991</v>
      </c>
      <c r="T1695" s="47">
        <v>43830</v>
      </c>
      <c r="U1695" s="47">
        <v>43830</v>
      </c>
      <c r="V1695" s="34">
        <v>4078500155977</v>
      </c>
      <c r="W1695" s="34" t="s">
        <v>3543</v>
      </c>
      <c r="Y1695" s="34" t="s">
        <v>3542</v>
      </c>
      <c r="Z1695" s="34">
        <v>1</v>
      </c>
      <c r="AA1695" s="34" t="s">
        <v>7699</v>
      </c>
      <c r="AB1695" s="34" t="s">
        <v>7699</v>
      </c>
      <c r="AC1695" s="34" t="s">
        <v>7700</v>
      </c>
      <c r="AD1695" s="34" t="s">
        <v>7700</v>
      </c>
      <c r="AE1695" s="34" t="s">
        <v>7701</v>
      </c>
      <c r="AF1695" s="34" t="s">
        <v>7702</v>
      </c>
      <c r="AG1695" s="34" t="s">
        <v>5919</v>
      </c>
      <c r="AH1695" s="34" t="s">
        <v>7703</v>
      </c>
      <c r="AL1695" s="34">
        <v>36</v>
      </c>
      <c r="AM1695" s="40" t="s">
        <v>8094</v>
      </c>
      <c r="AT1695" s="44">
        <v>0</v>
      </c>
      <c r="AU1695" s="44"/>
      <c r="AV1695" s="46">
        <f>ROUND(Товары[[#This Row],[РРЦ финальная, руб.]]/$AU$1,2)</f>
        <v>0</v>
      </c>
      <c r="AW1695" s="45" t="str">
        <f>IFERROR(Товары[[#This Row],[РРЦ, евро]]/Товары[[#This Row],[IRP, Eur]],"-")</f>
        <v>-</v>
      </c>
      <c r="AX1695" s="42">
        <f>IFERROR(VLOOKUP(Товары[[#This Row],[SubGroup]],'Структура цен DIY'!$B:$C,2,FALSE),0)</f>
        <v>0.29999999999999993</v>
      </c>
      <c r="AY1695" s="44">
        <v>0</v>
      </c>
    </row>
    <row r="1696" spans="1:51" x14ac:dyDescent="0.25">
      <c r="A1696" s="34">
        <v>1694</v>
      </c>
      <c r="B1696" s="34" t="s">
        <v>49</v>
      </c>
      <c r="C1696" s="110" t="str">
        <f>IFERROR(INDEX(Структура_ассортимента[SuperCategory],MATCH(Товары[[#This Row],[SubGroup]],Структура_ассортимента[Subgroup],0)),"")</f>
        <v>W</v>
      </c>
      <c r="D169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9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96" s="110" t="str">
        <f>IFERROR(INDEX(Структура_ассортимента[Product group],MATCH(Товары[[#This Row],[SubGroup]],Структура_ассортимента[Subgroup],0)),"")</f>
        <v>WSS_C</v>
      </c>
      <c r="G1696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96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96" s="36">
        <v>9032</v>
      </c>
      <c r="J1696" s="36" t="str">
        <f>IFERROR(INDEX(Структура_ассортимента[Generic Name (long)],MATCH(Товары[[#This Row],[SubGroup]],Структура_ассортимента[Subgroup],0)),"")</f>
        <v>WATERING SET</v>
      </c>
      <c r="L1696" s="36">
        <v>966409201</v>
      </c>
      <c r="M1696" s="35" t="s">
        <v>3372</v>
      </c>
      <c r="O1696" s="35" t="s">
        <v>7704</v>
      </c>
      <c r="P1696" s="37" t="s">
        <v>7705</v>
      </c>
      <c r="Q1696" s="34" t="s">
        <v>3549</v>
      </c>
      <c r="R1696" s="34" t="s">
        <v>3540</v>
      </c>
      <c r="S1696" s="47">
        <v>40087</v>
      </c>
      <c r="T1696" s="47">
        <v>0</v>
      </c>
      <c r="U1696" s="47">
        <v>0</v>
      </c>
      <c r="V1696" s="34">
        <v>4078500820196</v>
      </c>
      <c r="W1696" s="34" t="s">
        <v>3547</v>
      </c>
      <c r="X1696" s="34" t="s">
        <v>3704</v>
      </c>
      <c r="Y1696" s="34" t="s">
        <v>3542</v>
      </c>
      <c r="Z1696" s="34">
        <v>10</v>
      </c>
      <c r="AA1696" s="34" t="s">
        <v>6346</v>
      </c>
      <c r="AB1696" s="34" t="s">
        <v>6346</v>
      </c>
      <c r="AC1696" s="34" t="s">
        <v>7706</v>
      </c>
      <c r="AD1696" s="34" t="s">
        <v>7706</v>
      </c>
      <c r="AE1696" s="34" t="s">
        <v>4181</v>
      </c>
      <c r="AF1696" s="34" t="s">
        <v>4181</v>
      </c>
      <c r="AG1696" s="34" t="s">
        <v>3865</v>
      </c>
      <c r="AH1696" s="34" t="s">
        <v>7707</v>
      </c>
      <c r="AI1696" s="34" t="s">
        <v>5282</v>
      </c>
      <c r="AJ1696" s="34" t="s">
        <v>4440</v>
      </c>
      <c r="AK1696" s="34" t="s">
        <v>5282</v>
      </c>
      <c r="AL1696" s="34">
        <v>600</v>
      </c>
      <c r="AM1696" s="40" t="s">
        <v>9</v>
      </c>
      <c r="AP1696" s="34">
        <v>0</v>
      </c>
      <c r="AQ1696" s="34">
        <v>1859</v>
      </c>
      <c r="AR1696" s="34">
        <v>1084</v>
      </c>
      <c r="AT1696" s="44">
        <v>144000</v>
      </c>
      <c r="AU1696" s="44"/>
      <c r="AV1696" s="46">
        <f>ROUND(Товары[[#This Row],[РРЦ финальная, руб.]]/$AU$1,2)</f>
        <v>0</v>
      </c>
      <c r="AW1696" s="45" t="str">
        <f>IFERROR(Товары[[#This Row],[РРЦ, евро]]/Товары[[#This Row],[IRP, Eur]],"-")</f>
        <v>-</v>
      </c>
      <c r="AX1696" s="42">
        <f>IFERROR(VLOOKUP(Товары[[#This Row],[SubGroup]],'Структура цен DIY'!$B:$C,2,FALSE),0)</f>
        <v>0.29999999999999993</v>
      </c>
      <c r="AY1696" s="44">
        <v>0</v>
      </c>
    </row>
    <row r="1697" spans="1:51" x14ac:dyDescent="0.25">
      <c r="A1697" s="34">
        <v>1695</v>
      </c>
      <c r="B1697" s="34" t="s">
        <v>49</v>
      </c>
      <c r="C1697" s="110" t="str">
        <f>IFERROR(INDEX(Структура_ассортимента[SuperCategory],MATCH(Товары[[#This Row],[SubGroup]],Структура_ассортимента[Subgroup],0)),"")</f>
        <v>W</v>
      </c>
      <c r="D169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9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97" s="110" t="str">
        <f>IFERROR(INDEX(Структура_ассортимента[Product group],MATCH(Товары[[#This Row],[SubGroup]],Структура_ассортимента[Subgroup],0)),"")</f>
        <v>WSS_C</v>
      </c>
      <c r="G1697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97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97" s="36">
        <v>9032</v>
      </c>
      <c r="J1697" s="36" t="str">
        <f>IFERROR(INDEX(Структура_ассортимента[Generic Name (long)],MATCH(Товары[[#This Row],[SubGroup]],Структура_ассортимента[Subgroup],0)),"")</f>
        <v>WATERING SET</v>
      </c>
      <c r="L1697" s="36">
        <v>966409401</v>
      </c>
      <c r="M1697" s="35" t="s">
        <v>3373</v>
      </c>
      <c r="O1697" s="35" t="s">
        <v>7708</v>
      </c>
      <c r="P1697" s="37" t="s">
        <v>7709</v>
      </c>
      <c r="Q1697" s="34" t="s">
        <v>3549</v>
      </c>
      <c r="R1697" s="34" t="s">
        <v>3540</v>
      </c>
      <c r="S1697" s="47">
        <v>40087</v>
      </c>
      <c r="T1697" s="47">
        <v>0</v>
      </c>
      <c r="U1697" s="47">
        <v>0</v>
      </c>
      <c r="V1697" s="34">
        <v>4078500820394</v>
      </c>
      <c r="W1697" s="34" t="s">
        <v>3543</v>
      </c>
      <c r="X1697" s="34" t="s">
        <v>3579</v>
      </c>
      <c r="Y1697" s="34" t="s">
        <v>3542</v>
      </c>
      <c r="Z1697" s="34">
        <v>6</v>
      </c>
      <c r="AA1697" s="34" t="s">
        <v>4542</v>
      </c>
      <c r="AB1697" s="34" t="s">
        <v>4542</v>
      </c>
      <c r="AC1697" s="34" t="s">
        <v>4683</v>
      </c>
      <c r="AD1697" s="34" t="s">
        <v>4683</v>
      </c>
      <c r="AE1697" s="34" t="s">
        <v>4257</v>
      </c>
      <c r="AF1697" s="34" t="s">
        <v>4335</v>
      </c>
      <c r="AG1697" s="34" t="s">
        <v>4335</v>
      </c>
      <c r="AH1697" s="34" t="s">
        <v>4575</v>
      </c>
      <c r="AI1697" s="34" t="s">
        <v>4405</v>
      </c>
      <c r="AJ1697" s="34" t="s">
        <v>6981</v>
      </c>
      <c r="AK1697" s="34" t="s">
        <v>4405</v>
      </c>
      <c r="AL1697" s="34">
        <v>264</v>
      </c>
      <c r="AM1697" s="40" t="s">
        <v>9</v>
      </c>
      <c r="AP1697" s="34">
        <v>0</v>
      </c>
      <c r="AQ1697" s="34">
        <v>3179</v>
      </c>
      <c r="AR1697" s="34">
        <v>1854</v>
      </c>
      <c r="AT1697" s="44">
        <v>246200</v>
      </c>
      <c r="AU1697" s="44"/>
      <c r="AV1697" s="46">
        <f>ROUND(Товары[[#This Row],[РРЦ финальная, руб.]]/$AU$1,2)</f>
        <v>0</v>
      </c>
      <c r="AW1697" s="45" t="str">
        <f>IFERROR(Товары[[#This Row],[РРЦ, евро]]/Товары[[#This Row],[IRP, Eur]],"-")</f>
        <v>-</v>
      </c>
      <c r="AX1697" s="42">
        <f>IFERROR(VLOOKUP(Товары[[#This Row],[SubGroup]],'Структура цен DIY'!$B:$C,2,FALSE),0)</f>
        <v>0.29999999999999993</v>
      </c>
      <c r="AY1697" s="44">
        <v>0</v>
      </c>
    </row>
    <row r="1698" spans="1:51" x14ac:dyDescent="0.25">
      <c r="A1698" s="34">
        <v>1696</v>
      </c>
      <c r="B1698" s="34" t="s">
        <v>49</v>
      </c>
      <c r="C1698" s="110" t="str">
        <f>IFERROR(INDEX(Структура_ассортимента[SuperCategory],MATCH(Товары[[#This Row],[SubGroup]],Структура_ассортимента[Subgroup],0)),"")</f>
        <v>W</v>
      </c>
      <c r="D169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9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98" s="110" t="str">
        <f>IFERROR(INDEX(Структура_ассортимента[Product group],MATCH(Товары[[#This Row],[SubGroup]],Структура_ассортимента[Subgroup],0)),"")</f>
        <v>WSS_C</v>
      </c>
      <c r="G1698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98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98" s="36">
        <v>9032</v>
      </c>
      <c r="J1698" s="36" t="str">
        <f>IFERROR(INDEX(Структура_ассортимента[Generic Name (long)],MATCH(Товары[[#This Row],[SubGroup]],Структура_ассортимента[Subgroup],0)),"")</f>
        <v>WATERING SET</v>
      </c>
      <c r="L1698" s="36">
        <v>966409601</v>
      </c>
      <c r="M1698" s="35" t="s">
        <v>3374</v>
      </c>
      <c r="O1698" s="35" t="s">
        <v>7710</v>
      </c>
      <c r="P1698" s="37" t="s">
        <v>7711</v>
      </c>
      <c r="Q1698" s="34" t="s">
        <v>3549</v>
      </c>
      <c r="R1698" s="34" t="s">
        <v>3540</v>
      </c>
      <c r="S1698" s="47">
        <v>40087</v>
      </c>
      <c r="T1698" s="47">
        <v>0</v>
      </c>
      <c r="U1698" s="47">
        <v>0</v>
      </c>
      <c r="V1698" s="34">
        <v>4078500820592</v>
      </c>
      <c r="W1698" s="34" t="s">
        <v>3543</v>
      </c>
      <c r="X1698" s="34" t="s">
        <v>3579</v>
      </c>
      <c r="Y1698" s="34" t="s">
        <v>3542</v>
      </c>
      <c r="Z1698" s="34">
        <v>6</v>
      </c>
      <c r="AA1698" s="34" t="s">
        <v>7712</v>
      </c>
      <c r="AB1698" s="34" t="s">
        <v>7712</v>
      </c>
      <c r="AC1698" s="34" t="s">
        <v>4683</v>
      </c>
      <c r="AD1698" s="34" t="s">
        <v>4683</v>
      </c>
      <c r="AE1698" s="34" t="s">
        <v>4257</v>
      </c>
      <c r="AF1698" s="34" t="s">
        <v>4335</v>
      </c>
      <c r="AG1698" s="34" t="s">
        <v>4335</v>
      </c>
      <c r="AH1698" s="34" t="s">
        <v>4575</v>
      </c>
      <c r="AI1698" s="34" t="s">
        <v>4405</v>
      </c>
      <c r="AJ1698" s="34" t="s">
        <v>6981</v>
      </c>
      <c r="AK1698" s="34" t="s">
        <v>4405</v>
      </c>
      <c r="AL1698" s="34" t="s">
        <v>5315</v>
      </c>
      <c r="AM1698" s="40" t="s">
        <v>9</v>
      </c>
      <c r="AP1698" s="34">
        <v>0</v>
      </c>
      <c r="AQ1698" s="34">
        <v>3729</v>
      </c>
      <c r="AR1698" s="34">
        <v>2175</v>
      </c>
      <c r="AT1698" s="44">
        <v>288800</v>
      </c>
      <c r="AU1698" s="44"/>
      <c r="AV1698" s="46">
        <f>ROUND(Товары[[#This Row],[РРЦ финальная, руб.]]/$AU$1,2)</f>
        <v>0</v>
      </c>
      <c r="AW1698" s="45" t="str">
        <f>IFERROR(Товары[[#This Row],[РРЦ, евро]]/Товары[[#This Row],[IRP, Eur]],"-")</f>
        <v>-</v>
      </c>
      <c r="AX1698" s="42">
        <f>IFERROR(VLOOKUP(Товары[[#This Row],[SubGroup]],'Структура цен DIY'!$B:$C,2,FALSE),0)</f>
        <v>0.29999999999999993</v>
      </c>
      <c r="AY1698" s="44">
        <v>0</v>
      </c>
    </row>
    <row r="1699" spans="1:51" x14ac:dyDescent="0.25">
      <c r="A1699" s="34">
        <v>1697</v>
      </c>
      <c r="B1699" s="34" t="s">
        <v>49</v>
      </c>
      <c r="C1699" s="110" t="str">
        <f>IFERROR(INDEX(Структура_ассортимента[SuperCategory],MATCH(Товары[[#This Row],[SubGroup]],Структура_ассортимента[Subgroup],0)),"")</f>
        <v>W</v>
      </c>
      <c r="D169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9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99" s="110" t="str">
        <f>IFERROR(INDEX(Структура_ассортимента[Product group],MATCH(Товары[[#This Row],[SubGroup]],Структура_ассортимента[Subgroup],0)),"")</f>
        <v>WSS_C</v>
      </c>
      <c r="G1699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99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99" s="36">
        <v>9032</v>
      </c>
      <c r="J1699" s="36" t="str">
        <f>IFERROR(INDEX(Структура_ассортимента[Generic Name (long)],MATCH(Товары[[#This Row],[SubGroup]],Структура_ассортимента[Subgroup],0)),"")</f>
        <v>WATERING SET</v>
      </c>
      <c r="L1699" s="36">
        <v>900937701</v>
      </c>
      <c r="M1699" s="35" t="s">
        <v>3375</v>
      </c>
      <c r="O1699" s="35" t="s">
        <v>7713</v>
      </c>
      <c r="P1699" s="37" t="s">
        <v>7714</v>
      </c>
      <c r="Q1699" s="34" t="s">
        <v>3549</v>
      </c>
      <c r="R1699" s="34" t="s">
        <v>3540</v>
      </c>
      <c r="S1699" s="47">
        <v>38626</v>
      </c>
      <c r="T1699" s="47">
        <v>0</v>
      </c>
      <c r="U1699" s="47">
        <v>0</v>
      </c>
      <c r="V1699" s="34">
        <v>4078500156691</v>
      </c>
      <c r="W1699" s="34" t="s">
        <v>3543</v>
      </c>
      <c r="X1699" s="34" t="s">
        <v>3579</v>
      </c>
      <c r="Y1699" s="34" t="s">
        <v>3542</v>
      </c>
      <c r="Z1699" s="34">
        <v>4</v>
      </c>
      <c r="AA1699" s="34" t="s">
        <v>6064</v>
      </c>
      <c r="AB1699" s="34" t="s">
        <v>6064</v>
      </c>
      <c r="AC1699" s="34" t="s">
        <v>3928</v>
      </c>
      <c r="AD1699" s="34" t="s">
        <v>3928</v>
      </c>
      <c r="AE1699" s="34" t="s">
        <v>6854</v>
      </c>
      <c r="AF1699" s="34" t="s">
        <v>4391</v>
      </c>
      <c r="AG1699" s="34" t="s">
        <v>4181</v>
      </c>
      <c r="AH1699" s="34" t="s">
        <v>7715</v>
      </c>
      <c r="AL1699" s="34">
        <v>252</v>
      </c>
      <c r="AM1699" s="40" t="s">
        <v>9</v>
      </c>
      <c r="AP1699" s="34">
        <v>0</v>
      </c>
      <c r="AQ1699" s="34">
        <v>2629</v>
      </c>
      <c r="AR1699" s="34">
        <v>1534</v>
      </c>
      <c r="AT1699" s="44">
        <v>203600</v>
      </c>
      <c r="AU1699" s="44"/>
      <c r="AV1699" s="46">
        <f>ROUND(Товары[[#This Row],[РРЦ финальная, руб.]]/$AU$1,2)</f>
        <v>0</v>
      </c>
      <c r="AW1699" s="45" t="str">
        <f>IFERROR(Товары[[#This Row],[РРЦ, евро]]/Товары[[#This Row],[IRP, Eur]],"-")</f>
        <v>-</v>
      </c>
      <c r="AX1699" s="42">
        <f>IFERROR(VLOOKUP(Товары[[#This Row],[SubGroup]],'Структура цен DIY'!$B:$C,2,FALSE),0)</f>
        <v>0.29999999999999993</v>
      </c>
      <c r="AY1699" s="44">
        <v>0</v>
      </c>
    </row>
    <row r="1700" spans="1:51" x14ac:dyDescent="0.25">
      <c r="A1700" s="34">
        <v>1698</v>
      </c>
      <c r="B1700" s="34" t="s">
        <v>49</v>
      </c>
      <c r="C1700" s="110" t="str">
        <f>IFERROR(INDEX(Структура_ассортимента[SuperCategory],MATCH(Товары[[#This Row],[SubGroup]],Структура_ассортимента[Subgroup],0)),"")</f>
        <v>W</v>
      </c>
      <c r="D170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0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00" s="110" t="str">
        <f>IFERROR(INDEX(Структура_ассортимента[Product group],MATCH(Товары[[#This Row],[SubGroup]],Структура_ассортимента[Subgroup],0)),"")</f>
        <v>WSS_C</v>
      </c>
      <c r="G1700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00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00" s="36">
        <v>9032</v>
      </c>
      <c r="J1700" s="36" t="str">
        <f>IFERROR(INDEX(Структура_ассортимента[Generic Name (long)],MATCH(Товары[[#This Row],[SubGroup]],Структура_ассортимента[Subgroup],0)),"")</f>
        <v>WATERING SET</v>
      </c>
      <c r="L1700" s="36">
        <v>900938401</v>
      </c>
      <c r="M1700" s="35" t="s">
        <v>3376</v>
      </c>
      <c r="Q1700" s="34" t="s">
        <v>3652</v>
      </c>
      <c r="R1700" s="34" t="s">
        <v>3540</v>
      </c>
      <c r="S1700" s="47">
        <v>38626</v>
      </c>
      <c r="T1700" s="47">
        <v>0</v>
      </c>
      <c r="U1700" s="47">
        <v>0</v>
      </c>
      <c r="V1700" s="34">
        <v>4078500156929</v>
      </c>
      <c r="W1700" s="34" t="s">
        <v>3550</v>
      </c>
      <c r="X1700" s="34" t="s">
        <v>3787</v>
      </c>
      <c r="Y1700" s="34" t="s">
        <v>3542</v>
      </c>
      <c r="Z1700" s="34">
        <v>30</v>
      </c>
      <c r="AA1700" s="34" t="s">
        <v>3670</v>
      </c>
      <c r="AB1700" s="34" t="s">
        <v>3670</v>
      </c>
      <c r="AC1700" s="34" t="s">
        <v>6602</v>
      </c>
      <c r="AD1700" s="34" t="s">
        <v>6602</v>
      </c>
      <c r="AE1700" s="34" t="s">
        <v>4505</v>
      </c>
      <c r="AF1700" s="34" t="s">
        <v>3754</v>
      </c>
      <c r="AG1700" s="34" t="s">
        <v>3931</v>
      </c>
      <c r="AH1700" s="34" t="s">
        <v>7716</v>
      </c>
      <c r="AL1700" s="34">
        <v>720</v>
      </c>
      <c r="AM1700" s="40" t="s">
        <v>8095</v>
      </c>
      <c r="AT1700" s="44">
        <v>0</v>
      </c>
      <c r="AU1700" s="44"/>
      <c r="AV1700" s="46">
        <f>ROUND(Товары[[#This Row],[РРЦ финальная, руб.]]/$AU$1,2)</f>
        <v>0</v>
      </c>
      <c r="AW1700" s="45" t="str">
        <f>IFERROR(Товары[[#This Row],[РРЦ, евро]]/Товары[[#This Row],[IRP, Eur]],"-")</f>
        <v>-</v>
      </c>
      <c r="AX1700" s="42">
        <f>IFERROR(VLOOKUP(Товары[[#This Row],[SubGroup]],'Структура цен DIY'!$B:$C,2,FALSE),0)</f>
        <v>0.29999999999999993</v>
      </c>
      <c r="AY1700" s="44">
        <v>0</v>
      </c>
    </row>
    <row r="1701" spans="1:51" x14ac:dyDescent="0.25">
      <c r="A1701" s="34">
        <v>1699</v>
      </c>
      <c r="B1701" s="34" t="s">
        <v>49</v>
      </c>
      <c r="C1701" s="110" t="str">
        <f>IFERROR(INDEX(Структура_ассортимента[SuperCategory],MATCH(Товары[[#This Row],[SubGroup]],Структура_ассортимента[Subgroup],0)),"")</f>
        <v>W</v>
      </c>
      <c r="D170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0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01" s="110" t="str">
        <f>IFERROR(INDEX(Структура_ассортимента[Product group],MATCH(Товары[[#This Row],[SubGroup]],Структура_ассортимента[Subgroup],0)),"")</f>
        <v>WSS_C</v>
      </c>
      <c r="G1701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01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01" s="36">
        <v>9032</v>
      </c>
      <c r="J1701" s="36" t="str">
        <f>IFERROR(INDEX(Структура_ассортимента[Generic Name (long)],MATCH(Товары[[#This Row],[SubGroup]],Структура_ассортимента[Subgroup],0)),"")</f>
        <v>WATERING SET</v>
      </c>
      <c r="L1701" s="36">
        <v>900938501</v>
      </c>
      <c r="M1701" s="35" t="s">
        <v>3377</v>
      </c>
      <c r="O1701" s="35" t="s">
        <v>7717</v>
      </c>
      <c r="P1701" s="37" t="s">
        <v>7718</v>
      </c>
      <c r="Q1701" s="34" t="s">
        <v>3652</v>
      </c>
      <c r="R1701" s="34" t="s">
        <v>3540</v>
      </c>
      <c r="S1701" s="47">
        <v>37204</v>
      </c>
      <c r="T1701" s="47">
        <v>0</v>
      </c>
      <c r="U1701" s="47">
        <v>0</v>
      </c>
      <c r="V1701" s="34">
        <v>4078500156974</v>
      </c>
      <c r="W1701" s="34" t="s">
        <v>3550</v>
      </c>
      <c r="X1701" s="34" t="s">
        <v>3787</v>
      </c>
      <c r="Y1701" s="34" t="s">
        <v>3542</v>
      </c>
      <c r="Z1701" s="34">
        <v>12</v>
      </c>
      <c r="AA1701" s="34" t="s">
        <v>6668</v>
      </c>
      <c r="AB1701" s="34" t="s">
        <v>6668</v>
      </c>
      <c r="AC1701" s="34" t="s">
        <v>3676</v>
      </c>
      <c r="AD1701" s="34" t="s">
        <v>3671</v>
      </c>
      <c r="AE1701" s="34" t="s">
        <v>4505</v>
      </c>
      <c r="AF1701" s="34" t="s">
        <v>3754</v>
      </c>
      <c r="AG1701" s="34" t="s">
        <v>3754</v>
      </c>
      <c r="AH1701" s="34" t="s">
        <v>5617</v>
      </c>
      <c r="AL1701" s="34" t="s">
        <v>3724</v>
      </c>
      <c r="AM1701" s="40" t="s">
        <v>233</v>
      </c>
      <c r="AP1701" s="34">
        <v>0</v>
      </c>
      <c r="AQ1701" s="34">
        <v>979</v>
      </c>
      <c r="AR1701" s="34">
        <v>571</v>
      </c>
      <c r="AT1701" s="44">
        <v>75800</v>
      </c>
      <c r="AU1701" s="44"/>
      <c r="AV1701" s="46">
        <f>ROUND(Товары[[#This Row],[РРЦ финальная, руб.]]/$AU$1,2)</f>
        <v>0</v>
      </c>
      <c r="AW1701" s="45" t="str">
        <f>IFERROR(Товары[[#This Row],[РРЦ, евро]]/Товары[[#This Row],[IRP, Eur]],"-")</f>
        <v>-</v>
      </c>
      <c r="AX1701" s="42">
        <f>IFERROR(VLOOKUP(Товары[[#This Row],[SubGroup]],'Структура цен DIY'!$B:$C,2,FALSE),0)</f>
        <v>0.29999999999999993</v>
      </c>
      <c r="AY1701" s="44">
        <v>0</v>
      </c>
    </row>
    <row r="1702" spans="1:51" x14ac:dyDescent="0.25">
      <c r="A1702" s="34">
        <v>1700</v>
      </c>
      <c r="B1702" s="34" t="s">
        <v>49</v>
      </c>
      <c r="C1702" s="110" t="str">
        <f>IFERROR(INDEX(Структура_ассортимента[SuperCategory],MATCH(Товары[[#This Row],[SubGroup]],Структура_ассортимента[Subgroup],0)),"")</f>
        <v>W</v>
      </c>
      <c r="D170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0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02" s="110" t="str">
        <f>IFERROR(INDEX(Структура_ассортимента[Product group],MATCH(Товары[[#This Row],[SubGroup]],Структура_ассортимента[Subgroup],0)),"")</f>
        <v>WSS_C</v>
      </c>
      <c r="G1702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02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02" s="36">
        <v>9032</v>
      </c>
      <c r="J1702" s="36" t="str">
        <f>IFERROR(INDEX(Структура_ассортимента[Generic Name (long)],MATCH(Товары[[#This Row],[SubGroup]],Структура_ассортимента[Subgroup],0)),"")</f>
        <v>WATERING SET</v>
      </c>
      <c r="L1702" s="36">
        <v>900938601</v>
      </c>
      <c r="M1702" s="35" t="s">
        <v>3378</v>
      </c>
      <c r="O1702" s="35" t="s">
        <v>7717</v>
      </c>
      <c r="P1702" s="37" t="s">
        <v>7718</v>
      </c>
      <c r="Q1702" s="34" t="s">
        <v>3549</v>
      </c>
      <c r="R1702" s="34" t="s">
        <v>3540</v>
      </c>
      <c r="S1702" s="47">
        <v>37165</v>
      </c>
      <c r="T1702" s="47">
        <v>0</v>
      </c>
      <c r="U1702" s="47">
        <v>0</v>
      </c>
      <c r="V1702" s="34">
        <v>4078500156998</v>
      </c>
      <c r="W1702" s="34" t="s">
        <v>3550</v>
      </c>
      <c r="X1702" s="34" t="s">
        <v>3787</v>
      </c>
      <c r="Y1702" s="34" t="s">
        <v>3542</v>
      </c>
      <c r="Z1702" s="34">
        <v>12</v>
      </c>
      <c r="AA1702" s="34" t="s">
        <v>3670</v>
      </c>
      <c r="AB1702" s="34" t="s">
        <v>3670</v>
      </c>
      <c r="AC1702" s="34" t="s">
        <v>3676</v>
      </c>
      <c r="AD1702" s="34" t="s">
        <v>3676</v>
      </c>
      <c r="AE1702" s="34" t="s">
        <v>4505</v>
      </c>
      <c r="AF1702" s="34" t="s">
        <v>3754</v>
      </c>
      <c r="AG1702" s="34" t="s">
        <v>3754</v>
      </c>
      <c r="AH1702" s="34" t="s">
        <v>5617</v>
      </c>
      <c r="AL1702" s="34">
        <v>576</v>
      </c>
      <c r="AM1702" s="40" t="s">
        <v>233</v>
      </c>
      <c r="AP1702" s="34">
        <v>0</v>
      </c>
      <c r="AQ1702" s="34">
        <v>979</v>
      </c>
      <c r="AR1702" s="34">
        <v>571</v>
      </c>
      <c r="AT1702" s="44">
        <v>75800</v>
      </c>
      <c r="AU1702" s="44"/>
      <c r="AV1702" s="46">
        <f>ROUND(Товары[[#This Row],[РРЦ финальная, руб.]]/$AU$1,2)</f>
        <v>0</v>
      </c>
      <c r="AW1702" s="45" t="str">
        <f>IFERROR(Товары[[#This Row],[РРЦ, евро]]/Товары[[#This Row],[IRP, Eur]],"-")</f>
        <v>-</v>
      </c>
      <c r="AX1702" s="42">
        <f>IFERROR(VLOOKUP(Товары[[#This Row],[SubGroup]],'Структура цен DIY'!$B:$C,2,FALSE),0)</f>
        <v>0.29999999999999993</v>
      </c>
      <c r="AY1702" s="44">
        <v>0</v>
      </c>
    </row>
    <row r="1703" spans="1:51" x14ac:dyDescent="0.25">
      <c r="A1703" s="34">
        <v>1701</v>
      </c>
      <c r="B1703" s="34" t="s">
        <v>49</v>
      </c>
      <c r="C1703" s="110" t="str">
        <f>IFERROR(INDEX(Структура_ассортимента[SuperCategory],MATCH(Товары[[#This Row],[SubGroup]],Структура_ассортимента[Subgroup],0)),"")</f>
        <v>W</v>
      </c>
      <c r="D170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0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03" s="110" t="str">
        <f>IFERROR(INDEX(Структура_ассортимента[Product group],MATCH(Товары[[#This Row],[SubGroup]],Структура_ассортимента[Subgroup],0)),"")</f>
        <v>WSS_C</v>
      </c>
      <c r="G1703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03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03" s="36">
        <v>9032</v>
      </c>
      <c r="J1703" s="36" t="str">
        <f>IFERROR(INDEX(Структура_ассортимента[Generic Name (long)],MATCH(Товары[[#This Row],[SubGroup]],Структура_ассортимента[Subgroup],0)),"")</f>
        <v>WATERING SET</v>
      </c>
      <c r="L1703" s="36">
        <v>900936101</v>
      </c>
      <c r="M1703" s="35" t="s">
        <v>3379</v>
      </c>
      <c r="O1703" s="35" t="s">
        <v>7719</v>
      </c>
      <c r="P1703" s="37" t="s">
        <v>7720</v>
      </c>
      <c r="Q1703" s="34" t="s">
        <v>3549</v>
      </c>
      <c r="R1703" s="34" t="s">
        <v>3540</v>
      </c>
      <c r="S1703" s="47">
        <v>38261</v>
      </c>
      <c r="T1703" s="47">
        <v>0</v>
      </c>
      <c r="U1703" s="47">
        <v>0</v>
      </c>
      <c r="V1703" s="34">
        <v>4078500155229</v>
      </c>
      <c r="W1703" s="34" t="s">
        <v>3550</v>
      </c>
      <c r="X1703" s="34" t="s">
        <v>3787</v>
      </c>
      <c r="Y1703" s="34" t="s">
        <v>3542</v>
      </c>
      <c r="Z1703" s="34">
        <v>15</v>
      </c>
      <c r="AA1703" s="34" t="s">
        <v>3671</v>
      </c>
      <c r="AB1703" s="34" t="s">
        <v>3671</v>
      </c>
      <c r="AC1703" s="34" t="s">
        <v>3670</v>
      </c>
      <c r="AD1703" s="34" t="s">
        <v>3670</v>
      </c>
      <c r="AE1703" s="34" t="s">
        <v>3754</v>
      </c>
      <c r="AF1703" s="34" t="s">
        <v>3754</v>
      </c>
      <c r="AG1703" s="34" t="s">
        <v>4505</v>
      </c>
      <c r="AH1703" s="34" t="s">
        <v>5617</v>
      </c>
      <c r="AL1703" s="34">
        <v>720</v>
      </c>
      <c r="AM1703" s="40" t="s">
        <v>9</v>
      </c>
      <c r="AP1703" s="34">
        <v>0</v>
      </c>
      <c r="AQ1703" s="34">
        <v>979</v>
      </c>
      <c r="AR1703" s="34">
        <v>571</v>
      </c>
      <c r="AT1703" s="44">
        <v>75800</v>
      </c>
      <c r="AU1703" s="44"/>
      <c r="AV1703" s="46">
        <f>ROUND(Товары[[#This Row],[РРЦ финальная, руб.]]/$AU$1,2)</f>
        <v>0</v>
      </c>
      <c r="AW1703" s="45" t="str">
        <f>IFERROR(Товары[[#This Row],[РРЦ, евро]]/Товары[[#This Row],[IRP, Eur]],"-")</f>
        <v>-</v>
      </c>
      <c r="AX1703" s="42">
        <f>IFERROR(VLOOKUP(Товары[[#This Row],[SubGroup]],'Структура цен DIY'!$B:$C,2,FALSE),0)</f>
        <v>0.29999999999999993</v>
      </c>
      <c r="AY1703" s="44">
        <v>0</v>
      </c>
    </row>
    <row r="1704" spans="1:51" x14ac:dyDescent="0.25">
      <c r="A1704" s="34">
        <v>1702</v>
      </c>
      <c r="B1704" s="34" t="s">
        <v>49</v>
      </c>
      <c r="C1704" s="110" t="str">
        <f>IFERROR(INDEX(Структура_ассортимента[SuperCategory],MATCH(Товары[[#This Row],[SubGroup]],Структура_ассортимента[Subgroup],0)),"")</f>
        <v>W</v>
      </c>
      <c r="D170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0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04" s="110" t="str">
        <f>IFERROR(INDEX(Структура_ассортимента[Product group],MATCH(Товары[[#This Row],[SubGroup]],Структура_ассортимента[Subgroup],0)),"")</f>
        <v>WSS_C</v>
      </c>
      <c r="G1704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04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04" s="36">
        <v>9032</v>
      </c>
      <c r="J1704" s="36" t="str">
        <f>IFERROR(INDEX(Структура_ассортимента[Generic Name (long)],MATCH(Товары[[#This Row],[SubGroup]],Структура_ассортимента[Subgroup],0)),"")</f>
        <v>WATERING SET</v>
      </c>
      <c r="L1704" s="36">
        <v>900936201</v>
      </c>
      <c r="M1704" s="35" t="s">
        <v>3380</v>
      </c>
      <c r="O1704" s="35" t="s">
        <v>7721</v>
      </c>
      <c r="P1704" s="37" t="s">
        <v>7722</v>
      </c>
      <c r="Q1704" s="34" t="s">
        <v>3549</v>
      </c>
      <c r="R1704" s="34" t="s">
        <v>3540</v>
      </c>
      <c r="S1704" s="47">
        <v>38261</v>
      </c>
      <c r="T1704" s="47">
        <v>0</v>
      </c>
      <c r="U1704" s="47">
        <v>0</v>
      </c>
      <c r="V1704" s="34">
        <v>4078500155328</v>
      </c>
      <c r="W1704" s="34" t="s">
        <v>3550</v>
      </c>
      <c r="X1704" s="34" t="s">
        <v>3787</v>
      </c>
      <c r="Y1704" s="34" t="s">
        <v>3542</v>
      </c>
      <c r="Z1704" s="34">
        <v>15</v>
      </c>
      <c r="AA1704" s="34" t="s">
        <v>6622</v>
      </c>
      <c r="AB1704" s="34" t="s">
        <v>6622</v>
      </c>
      <c r="AC1704" s="34" t="s">
        <v>3670</v>
      </c>
      <c r="AD1704" s="34" t="s">
        <v>3670</v>
      </c>
      <c r="AE1704" s="34" t="s">
        <v>3754</v>
      </c>
      <c r="AF1704" s="34" t="s">
        <v>3754</v>
      </c>
      <c r="AG1704" s="34" t="s">
        <v>4505</v>
      </c>
      <c r="AH1704" s="34" t="s">
        <v>5617</v>
      </c>
      <c r="AL1704" s="34">
        <v>720</v>
      </c>
      <c r="AM1704" s="40" t="s">
        <v>9</v>
      </c>
      <c r="AP1704" s="34">
        <v>0</v>
      </c>
      <c r="AQ1704" s="34">
        <v>979</v>
      </c>
      <c r="AR1704" s="34">
        <v>571</v>
      </c>
      <c r="AT1704" s="44">
        <v>75800</v>
      </c>
      <c r="AU1704" s="44"/>
      <c r="AV1704" s="46">
        <f>ROUND(Товары[[#This Row],[РРЦ финальная, руб.]]/$AU$1,2)</f>
        <v>0</v>
      </c>
      <c r="AW1704" s="45" t="str">
        <f>IFERROR(Товары[[#This Row],[РРЦ, евро]]/Товары[[#This Row],[IRP, Eur]],"-")</f>
        <v>-</v>
      </c>
      <c r="AX1704" s="42">
        <f>IFERROR(VLOOKUP(Товары[[#This Row],[SubGroup]],'Структура цен DIY'!$B:$C,2,FALSE),0)</f>
        <v>0.29999999999999993</v>
      </c>
      <c r="AY1704" s="44">
        <v>0</v>
      </c>
    </row>
    <row r="1705" spans="1:51" x14ac:dyDescent="0.25">
      <c r="A1705" s="34">
        <v>1703</v>
      </c>
      <c r="B1705" s="34" t="s">
        <v>49</v>
      </c>
      <c r="C1705" s="110" t="str">
        <f>IFERROR(INDEX(Структура_ассортимента[SuperCategory],MATCH(Товары[[#This Row],[SubGroup]],Структура_ассортимента[Subgroup],0)),"")</f>
        <v>W</v>
      </c>
      <c r="D170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0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05" s="110" t="str">
        <f>IFERROR(INDEX(Структура_ассортимента[Product group],MATCH(Товары[[#This Row],[SubGroup]],Структура_ассортимента[Subgroup],0)),"")</f>
        <v>WSS_C</v>
      </c>
      <c r="G1705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05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05" s="36">
        <v>9032</v>
      </c>
      <c r="J1705" s="36" t="str">
        <f>IFERROR(INDEX(Структура_ассортимента[Generic Name (long)],MATCH(Товары[[#This Row],[SubGroup]],Структура_ассортимента[Subgroup],0)),"")</f>
        <v>WATERING SET</v>
      </c>
      <c r="L1705" s="36">
        <v>900936301</v>
      </c>
      <c r="M1705" s="35" t="s">
        <v>3381</v>
      </c>
      <c r="O1705" s="35" t="s">
        <v>7723</v>
      </c>
      <c r="P1705" s="37" t="s">
        <v>7724</v>
      </c>
      <c r="Q1705" s="34" t="s">
        <v>3549</v>
      </c>
      <c r="R1705" s="34" t="s">
        <v>3540</v>
      </c>
      <c r="S1705" s="47">
        <v>38261</v>
      </c>
      <c r="T1705" s="47">
        <v>0</v>
      </c>
      <c r="U1705" s="47">
        <v>0</v>
      </c>
      <c r="V1705" s="34">
        <v>4078500155496</v>
      </c>
      <c r="W1705" s="34" t="s">
        <v>3550</v>
      </c>
      <c r="X1705" s="34" t="s">
        <v>3787</v>
      </c>
      <c r="Y1705" s="34" t="s">
        <v>3542</v>
      </c>
      <c r="Z1705" s="34">
        <v>30</v>
      </c>
      <c r="AA1705" s="34" t="s">
        <v>3671</v>
      </c>
      <c r="AB1705" s="34" t="s">
        <v>3671</v>
      </c>
      <c r="AC1705" s="34" t="s">
        <v>3670</v>
      </c>
      <c r="AD1705" s="34" t="s">
        <v>3670</v>
      </c>
      <c r="AE1705" s="34" t="s">
        <v>3754</v>
      </c>
      <c r="AF1705" s="34" t="s">
        <v>3754</v>
      </c>
      <c r="AG1705" s="34" t="s">
        <v>4505</v>
      </c>
      <c r="AH1705" s="34" t="s">
        <v>5617</v>
      </c>
      <c r="AL1705" s="34">
        <v>720</v>
      </c>
      <c r="AM1705" s="40" t="s">
        <v>9</v>
      </c>
      <c r="AP1705" s="34">
        <v>0</v>
      </c>
      <c r="AQ1705" s="34">
        <v>979</v>
      </c>
      <c r="AR1705" s="34">
        <v>571</v>
      </c>
      <c r="AT1705" s="44">
        <v>75800</v>
      </c>
      <c r="AU1705" s="44"/>
      <c r="AV1705" s="46">
        <f>ROUND(Товары[[#This Row],[РРЦ финальная, руб.]]/$AU$1,2)</f>
        <v>0</v>
      </c>
      <c r="AW1705" s="45" t="str">
        <f>IFERROR(Товары[[#This Row],[РРЦ, евро]]/Товары[[#This Row],[IRP, Eur]],"-")</f>
        <v>-</v>
      </c>
      <c r="AX1705" s="42">
        <f>IFERROR(VLOOKUP(Товары[[#This Row],[SubGroup]],'Структура цен DIY'!$B:$C,2,FALSE),0)</f>
        <v>0.29999999999999993</v>
      </c>
      <c r="AY1705" s="44">
        <v>0</v>
      </c>
    </row>
    <row r="1706" spans="1:51" x14ac:dyDescent="0.25">
      <c r="A1706" s="34">
        <v>1704</v>
      </c>
      <c r="B1706" s="34" t="s">
        <v>49</v>
      </c>
      <c r="C1706" s="110" t="str">
        <f>IFERROR(INDEX(Структура_ассортимента[SuperCategory],MATCH(Товары[[#This Row],[SubGroup]],Структура_ассортимента[Subgroup],0)),"")</f>
        <v>W</v>
      </c>
      <c r="D170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0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06" s="110" t="str">
        <f>IFERROR(INDEX(Структура_ассортимента[Product group],MATCH(Товары[[#This Row],[SubGroup]],Структура_ассортимента[Subgroup],0)),"")</f>
        <v>WSS_C</v>
      </c>
      <c r="G1706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06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06" s="36">
        <v>9032</v>
      </c>
      <c r="J1706" s="36" t="str">
        <f>IFERROR(INDEX(Структура_ассортимента[Generic Name (long)],MATCH(Товары[[#This Row],[SubGroup]],Структура_ассортимента[Subgroup],0)),"")</f>
        <v>WATERING SET</v>
      </c>
      <c r="L1706" s="36">
        <v>900936401</v>
      </c>
      <c r="M1706" s="35" t="s">
        <v>3382</v>
      </c>
      <c r="O1706" s="35" t="s">
        <v>7725</v>
      </c>
      <c r="P1706" s="37" t="s">
        <v>7726</v>
      </c>
      <c r="Q1706" s="34" t="s">
        <v>3549</v>
      </c>
      <c r="R1706" s="34" t="s">
        <v>3540</v>
      </c>
      <c r="S1706" s="47">
        <v>37987</v>
      </c>
      <c r="T1706" s="47">
        <v>0</v>
      </c>
      <c r="U1706" s="47">
        <v>0</v>
      </c>
      <c r="V1706" s="34">
        <v>4078500155595</v>
      </c>
      <c r="W1706" s="34" t="s">
        <v>3550</v>
      </c>
      <c r="X1706" s="34" t="s">
        <v>3787</v>
      </c>
      <c r="Y1706" s="34" t="s">
        <v>3542</v>
      </c>
      <c r="Z1706" s="34">
        <v>30</v>
      </c>
      <c r="AA1706" s="34" t="s">
        <v>3671</v>
      </c>
      <c r="AB1706" s="34" t="s">
        <v>3671</v>
      </c>
      <c r="AC1706" s="34" t="s">
        <v>3670</v>
      </c>
      <c r="AD1706" s="34" t="s">
        <v>3670</v>
      </c>
      <c r="AE1706" s="34" t="s">
        <v>3754</v>
      </c>
      <c r="AF1706" s="34" t="s">
        <v>3754</v>
      </c>
      <c r="AG1706" s="34" t="s">
        <v>4505</v>
      </c>
      <c r="AH1706" s="34" t="s">
        <v>5617</v>
      </c>
      <c r="AL1706" s="34">
        <v>720</v>
      </c>
      <c r="AM1706" s="40" t="s">
        <v>9</v>
      </c>
      <c r="AP1706" s="34">
        <v>0</v>
      </c>
      <c r="AQ1706" s="34">
        <v>979</v>
      </c>
      <c r="AR1706" s="34">
        <v>571</v>
      </c>
      <c r="AT1706" s="44">
        <v>75800</v>
      </c>
      <c r="AU1706" s="44"/>
      <c r="AV1706" s="46">
        <f>ROUND(Товары[[#This Row],[РРЦ финальная, руб.]]/$AU$1,2)</f>
        <v>0</v>
      </c>
      <c r="AW1706" s="45" t="str">
        <f>IFERROR(Товары[[#This Row],[РРЦ, евро]]/Товары[[#This Row],[IRP, Eur]],"-")</f>
        <v>-</v>
      </c>
      <c r="AX1706" s="42">
        <f>IFERROR(VLOOKUP(Товары[[#This Row],[SubGroup]],'Структура цен DIY'!$B:$C,2,FALSE),0)</f>
        <v>0.29999999999999993</v>
      </c>
      <c r="AY1706" s="44">
        <v>0</v>
      </c>
    </row>
    <row r="1707" spans="1:51" x14ac:dyDescent="0.25">
      <c r="A1707" s="34">
        <v>1705</v>
      </c>
      <c r="B1707" s="34" t="s">
        <v>49</v>
      </c>
      <c r="C1707" s="110" t="str">
        <f>IFERROR(INDEX(Структура_ассортимента[SuperCategory],MATCH(Товары[[#This Row],[SubGroup]],Структура_ассортимента[Subgroup],0)),"")</f>
        <v>W</v>
      </c>
      <c r="D170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0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07" s="110" t="str">
        <f>IFERROR(INDEX(Структура_ассортимента[Product group],MATCH(Товары[[#This Row],[SubGroup]],Структура_ассортимента[Subgroup],0)),"")</f>
        <v>WSS_C</v>
      </c>
      <c r="G1707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07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07" s="36">
        <v>9032</v>
      </c>
      <c r="J1707" s="36" t="str">
        <f>IFERROR(INDEX(Структура_ассортимента[Generic Name (long)],MATCH(Товары[[#This Row],[SubGroup]],Структура_ассортимента[Subgroup],0)),"")</f>
        <v>WATERING SET</v>
      </c>
      <c r="L1707" s="36">
        <v>967170901</v>
      </c>
      <c r="M1707" s="35" t="s">
        <v>3383</v>
      </c>
      <c r="P1707" s="37" t="s">
        <v>7727</v>
      </c>
      <c r="Q1707" s="34" t="s">
        <v>3713</v>
      </c>
      <c r="R1707" s="34" t="s">
        <v>3540</v>
      </c>
      <c r="S1707" s="47">
        <v>41183</v>
      </c>
      <c r="T1707" s="47">
        <v>43830</v>
      </c>
      <c r="U1707" s="47">
        <v>43830</v>
      </c>
      <c r="V1707" s="34">
        <v>4078500822091</v>
      </c>
      <c r="W1707" s="34" t="s">
        <v>3543</v>
      </c>
      <c r="Y1707" s="34" t="s">
        <v>3542</v>
      </c>
      <c r="Z1707" s="34">
        <v>2</v>
      </c>
      <c r="AA1707" s="34" t="s">
        <v>4545</v>
      </c>
      <c r="AB1707" s="34" t="s">
        <v>4545</v>
      </c>
      <c r="AC1707" s="34" t="s">
        <v>4374</v>
      </c>
      <c r="AD1707" s="34" t="s">
        <v>4374</v>
      </c>
      <c r="AE1707" s="34" t="s">
        <v>3818</v>
      </c>
      <c r="AF1707" s="34" t="s">
        <v>3818</v>
      </c>
      <c r="AG1707" s="34" t="s">
        <v>4641</v>
      </c>
      <c r="AH1707" s="34" t="s">
        <v>7728</v>
      </c>
      <c r="AL1707" s="34" t="s">
        <v>4306</v>
      </c>
      <c r="AM1707" s="40" t="s">
        <v>233</v>
      </c>
      <c r="AP1707" s="34">
        <v>0</v>
      </c>
      <c r="AQ1707" s="34">
        <v>5968</v>
      </c>
      <c r="AR1707" s="34">
        <v>3481</v>
      </c>
      <c r="AT1707" s="44">
        <v>462200</v>
      </c>
      <c r="AU1707" s="44"/>
      <c r="AV1707" s="46">
        <f>ROUND(Товары[[#This Row],[РРЦ финальная, руб.]]/$AU$1,2)</f>
        <v>0</v>
      </c>
      <c r="AW1707" s="45" t="str">
        <f>IFERROR(Товары[[#This Row],[РРЦ, евро]]/Товары[[#This Row],[IRP, Eur]],"-")</f>
        <v>-</v>
      </c>
      <c r="AX1707" s="42">
        <f>IFERROR(VLOOKUP(Товары[[#This Row],[SubGroup]],'Структура цен DIY'!$B:$C,2,FALSE),0)</f>
        <v>0.29999999999999993</v>
      </c>
      <c r="AY1707" s="44">
        <v>0</v>
      </c>
    </row>
    <row r="1708" spans="1:51" x14ac:dyDescent="0.25">
      <c r="A1708" s="34">
        <v>1706</v>
      </c>
      <c r="B1708" s="34" t="s">
        <v>49</v>
      </c>
      <c r="C1708" s="110" t="str">
        <f>IFERROR(INDEX(Структура_ассортимента[SuperCategory],MATCH(Товары[[#This Row],[SubGroup]],Структура_ассортимента[Subgroup],0)),"")</f>
        <v>W</v>
      </c>
      <c r="D170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0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08" s="110" t="str">
        <f>IFERROR(INDEX(Структура_ассортимента[Product group],MATCH(Товары[[#This Row],[SubGroup]],Структура_ассортимента[Subgroup],0)),"")</f>
        <v>WSS_C</v>
      </c>
      <c r="G1708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08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08" s="36">
        <v>9032</v>
      </c>
      <c r="J1708" s="36" t="str">
        <f>IFERROR(INDEX(Структура_ассортимента[Generic Name (long)],MATCH(Товары[[#This Row],[SubGroup]],Структура_ассортимента[Subgroup],0)),"")</f>
        <v>WATERING SET</v>
      </c>
      <c r="L1708" s="36">
        <v>901011401</v>
      </c>
      <c r="M1708" s="35" t="s">
        <v>3384</v>
      </c>
      <c r="Q1708" s="34" t="s">
        <v>3713</v>
      </c>
      <c r="R1708" s="34" t="s">
        <v>3540</v>
      </c>
      <c r="S1708" s="47">
        <v>38991</v>
      </c>
      <c r="T1708" s="47">
        <v>0</v>
      </c>
      <c r="U1708" s="47">
        <v>0</v>
      </c>
      <c r="V1708" s="34">
        <v>4078500270809</v>
      </c>
      <c r="W1708" s="34" t="s">
        <v>3543</v>
      </c>
      <c r="Y1708" s="34" t="s">
        <v>3542</v>
      </c>
      <c r="Z1708" s="34">
        <v>1</v>
      </c>
      <c r="AA1708" s="34" t="s">
        <v>7729</v>
      </c>
      <c r="AB1708" s="34" t="s">
        <v>7730</v>
      </c>
      <c r="AC1708" s="34" t="s">
        <v>7731</v>
      </c>
      <c r="AD1708" s="34" t="s">
        <v>5407</v>
      </c>
      <c r="AE1708" s="34" t="s">
        <v>7732</v>
      </c>
      <c r="AF1708" s="34" t="s">
        <v>4401</v>
      </c>
      <c r="AG1708" s="34" t="s">
        <v>3854</v>
      </c>
      <c r="AH1708" s="34" t="s">
        <v>7733</v>
      </c>
      <c r="AL1708" s="34" t="s">
        <v>7734</v>
      </c>
      <c r="AM1708" s="40" t="s">
        <v>8094</v>
      </c>
      <c r="AT1708" s="44">
        <v>0</v>
      </c>
      <c r="AU1708" s="44"/>
      <c r="AV1708" s="46">
        <f>ROUND(Товары[[#This Row],[РРЦ финальная, руб.]]/$AU$1,2)</f>
        <v>0</v>
      </c>
      <c r="AW1708" s="45" t="str">
        <f>IFERROR(Товары[[#This Row],[РРЦ, евро]]/Товары[[#This Row],[IRP, Eur]],"-")</f>
        <v>-</v>
      </c>
      <c r="AX1708" s="42">
        <f>IFERROR(VLOOKUP(Товары[[#This Row],[SubGroup]],'Структура цен DIY'!$B:$C,2,FALSE),0)</f>
        <v>0.29999999999999993</v>
      </c>
      <c r="AY1708" s="44">
        <v>0</v>
      </c>
    </row>
    <row r="1709" spans="1:51" x14ac:dyDescent="0.25">
      <c r="A1709" s="34">
        <v>1707</v>
      </c>
      <c r="B1709" s="34" t="s">
        <v>49</v>
      </c>
      <c r="C1709" s="110" t="str">
        <f>IFERROR(INDEX(Структура_ассортимента[SuperCategory],MATCH(Товары[[#This Row],[SubGroup]],Структура_ассортимента[Subgroup],0)),"")</f>
        <v>W</v>
      </c>
      <c r="D170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0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09" s="110" t="str">
        <f>IFERROR(INDEX(Структура_ассортимента[Product group],MATCH(Товары[[#This Row],[SubGroup]],Структура_ассортимента[Subgroup],0)),"")</f>
        <v>WSS_C</v>
      </c>
      <c r="G1709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09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09" s="36">
        <v>9032</v>
      </c>
      <c r="J1709" s="36" t="str">
        <f>IFERROR(INDEX(Структура_ассортимента[Generic Name (long)],MATCH(Товары[[#This Row],[SubGroup]],Структура_ассортимента[Subgroup],0)),"")</f>
        <v>WATERING SET</v>
      </c>
      <c r="L1709" s="36">
        <v>966410001</v>
      </c>
      <c r="M1709" s="35" t="s">
        <v>3385</v>
      </c>
      <c r="O1709" s="35" t="s">
        <v>7735</v>
      </c>
      <c r="P1709" s="37" t="s">
        <v>7736</v>
      </c>
      <c r="Q1709" s="34" t="s">
        <v>3549</v>
      </c>
      <c r="R1709" s="34" t="s">
        <v>3540</v>
      </c>
      <c r="S1709" s="47">
        <v>40087</v>
      </c>
      <c r="T1709" s="47">
        <v>0</v>
      </c>
      <c r="U1709" s="47">
        <v>0</v>
      </c>
      <c r="V1709" s="34">
        <v>4078500825504</v>
      </c>
      <c r="W1709" s="34" t="s">
        <v>3546</v>
      </c>
      <c r="X1709" s="34" t="s">
        <v>3704</v>
      </c>
      <c r="Y1709" s="34" t="s">
        <v>3542</v>
      </c>
      <c r="Z1709" s="34">
        <v>3</v>
      </c>
      <c r="AA1709" s="34" t="s">
        <v>7737</v>
      </c>
      <c r="AB1709" s="34" t="s">
        <v>7737</v>
      </c>
      <c r="AC1709" s="34" t="s">
        <v>3983</v>
      </c>
      <c r="AD1709" s="34" t="s">
        <v>3983</v>
      </c>
      <c r="AE1709" s="34" t="s">
        <v>7482</v>
      </c>
      <c r="AF1709" s="34" t="s">
        <v>4431</v>
      </c>
      <c r="AG1709" s="34" t="s">
        <v>4137</v>
      </c>
      <c r="AH1709" s="34" t="s">
        <v>7738</v>
      </c>
      <c r="AL1709" s="34">
        <v>54</v>
      </c>
      <c r="AM1709" s="40" t="s">
        <v>9</v>
      </c>
      <c r="AP1709" s="34">
        <v>0</v>
      </c>
      <c r="AQ1709" s="34">
        <v>13079</v>
      </c>
      <c r="AR1709" s="34">
        <v>7629</v>
      </c>
      <c r="AT1709" s="44">
        <v>1013000</v>
      </c>
      <c r="AU1709" s="44"/>
      <c r="AV1709" s="46">
        <f>ROUND(Товары[[#This Row],[РРЦ финальная, руб.]]/$AU$1,2)</f>
        <v>0</v>
      </c>
      <c r="AW1709" s="45" t="str">
        <f>IFERROR(Товары[[#This Row],[РРЦ, евро]]/Товары[[#This Row],[IRP, Eur]],"-")</f>
        <v>-</v>
      </c>
      <c r="AX1709" s="42">
        <f>IFERROR(VLOOKUP(Товары[[#This Row],[SubGroup]],'Структура цен DIY'!$B:$C,2,FALSE),0)</f>
        <v>0.29999999999999993</v>
      </c>
      <c r="AY1709" s="44">
        <v>0</v>
      </c>
    </row>
    <row r="1710" spans="1:51" x14ac:dyDescent="0.25">
      <c r="A1710" s="34">
        <v>1708</v>
      </c>
      <c r="B1710" s="34" t="s">
        <v>49</v>
      </c>
      <c r="C1710" s="110" t="str">
        <f>IFERROR(INDEX(Структура_ассортимента[SuperCategory],MATCH(Товары[[#This Row],[SubGroup]],Структура_ассортимента[Subgroup],0)),"")</f>
        <v>W</v>
      </c>
      <c r="D171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1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10" s="110" t="str">
        <f>IFERROR(INDEX(Структура_ассортимента[Product group],MATCH(Товары[[#This Row],[SubGroup]],Структура_ассортимента[Subgroup],0)),"")</f>
        <v>WSS_C</v>
      </c>
      <c r="G1710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10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10" s="36">
        <v>9032</v>
      </c>
      <c r="J1710" s="36" t="str">
        <f>IFERROR(INDEX(Структура_ассортимента[Generic Name (long)],MATCH(Товары[[#This Row],[SubGroup]],Структура_ассортимента[Subgroup],0)),"")</f>
        <v>WATERING SET</v>
      </c>
      <c r="L1710" s="36">
        <v>967171801</v>
      </c>
      <c r="M1710" s="35" t="s">
        <v>3386</v>
      </c>
      <c r="Q1710" s="34" t="s">
        <v>3549</v>
      </c>
      <c r="R1710" s="34" t="s">
        <v>3540</v>
      </c>
      <c r="S1710" s="47">
        <v>41183</v>
      </c>
      <c r="T1710" s="47">
        <v>0</v>
      </c>
      <c r="U1710" s="47">
        <v>0</v>
      </c>
      <c r="V1710" s="34">
        <v>4078500822107</v>
      </c>
      <c r="W1710" s="34" t="s">
        <v>3543</v>
      </c>
      <c r="X1710" s="34" t="s">
        <v>3579</v>
      </c>
      <c r="Y1710" s="34" t="s">
        <v>3542</v>
      </c>
      <c r="Z1710" s="34">
        <v>1</v>
      </c>
      <c r="AA1710" s="34" t="s">
        <v>7739</v>
      </c>
      <c r="AB1710" s="34" t="s">
        <v>7740</v>
      </c>
      <c r="AC1710" s="34" t="s">
        <v>7731</v>
      </c>
      <c r="AD1710" s="34" t="s">
        <v>7741</v>
      </c>
      <c r="AE1710" s="34" t="s">
        <v>7732</v>
      </c>
      <c r="AF1710" s="34" t="s">
        <v>4401</v>
      </c>
      <c r="AG1710" s="34" t="s">
        <v>7742</v>
      </c>
      <c r="AH1710" s="34" t="s">
        <v>7743</v>
      </c>
      <c r="AL1710" s="34" t="s">
        <v>7734</v>
      </c>
      <c r="AM1710" s="40" t="s">
        <v>8095</v>
      </c>
      <c r="AT1710" s="44">
        <v>0</v>
      </c>
      <c r="AU1710" s="44"/>
      <c r="AV1710" s="46">
        <f>ROUND(Товары[[#This Row],[РРЦ финальная, руб.]]/$AU$1,2)</f>
        <v>0</v>
      </c>
      <c r="AW1710" s="45" t="str">
        <f>IFERROR(Товары[[#This Row],[РРЦ, евро]]/Товары[[#This Row],[IRP, Eur]],"-")</f>
        <v>-</v>
      </c>
      <c r="AX1710" s="42">
        <f>IFERROR(VLOOKUP(Товары[[#This Row],[SubGroup]],'Структура цен DIY'!$B:$C,2,FALSE),0)</f>
        <v>0.29999999999999993</v>
      </c>
      <c r="AY1710" s="44">
        <v>0</v>
      </c>
    </row>
    <row r="1711" spans="1:51" x14ac:dyDescent="0.25">
      <c r="A1711" s="34">
        <v>1709</v>
      </c>
      <c r="B1711" s="34" t="s">
        <v>49</v>
      </c>
      <c r="C1711" s="110" t="str">
        <f>IFERROR(INDEX(Структура_ассортимента[SuperCategory],MATCH(Товары[[#This Row],[SubGroup]],Структура_ассортимента[Subgroup],0)),"")</f>
        <v>W</v>
      </c>
      <c r="D171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1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11" s="110" t="str">
        <f>IFERROR(INDEX(Структура_ассортимента[Product group],MATCH(Товары[[#This Row],[SubGroup]],Структура_ассортимента[Subgroup],0)),"")</f>
        <v>WSS_C</v>
      </c>
      <c r="G1711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11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11" s="36">
        <v>9032</v>
      </c>
      <c r="J1711" s="36" t="str">
        <f>IFERROR(INDEX(Структура_ассортимента[Generic Name (long)],MATCH(Товары[[#This Row],[SubGroup]],Структура_ассортимента[Subgroup],0)),"")</f>
        <v>WATERING SET</v>
      </c>
      <c r="L1711" s="36">
        <v>967193001</v>
      </c>
      <c r="M1711" s="35" t="s">
        <v>3387</v>
      </c>
      <c r="Q1711" s="34" t="s">
        <v>3652</v>
      </c>
      <c r="R1711" s="34" t="s">
        <v>3540</v>
      </c>
      <c r="S1711" s="47">
        <v>42005</v>
      </c>
      <c r="T1711" s="47">
        <v>0</v>
      </c>
      <c r="U1711" s="47">
        <v>0</v>
      </c>
      <c r="V1711" s="34">
        <v>4078500822206</v>
      </c>
      <c r="W1711" s="34" t="s">
        <v>3543</v>
      </c>
      <c r="X1711" s="34" t="s">
        <v>3579</v>
      </c>
      <c r="Y1711" s="34" t="s">
        <v>3542</v>
      </c>
      <c r="Z1711" s="34">
        <v>5</v>
      </c>
      <c r="AA1711" s="34" t="s">
        <v>7424</v>
      </c>
      <c r="AB1711" s="34" t="s">
        <v>7424</v>
      </c>
      <c r="AC1711" s="34" t="s">
        <v>7744</v>
      </c>
      <c r="AD1711" s="34" t="s">
        <v>7744</v>
      </c>
      <c r="AE1711" s="34" t="s">
        <v>3854</v>
      </c>
      <c r="AF1711" s="34" t="s">
        <v>7732</v>
      </c>
      <c r="AG1711" s="34" t="s">
        <v>4401</v>
      </c>
      <c r="AH1711" s="34" t="s">
        <v>7733</v>
      </c>
      <c r="AL1711" s="34" t="s">
        <v>7745</v>
      </c>
      <c r="AM1711" s="40" t="s">
        <v>8095</v>
      </c>
      <c r="AT1711" s="44">
        <v>0</v>
      </c>
      <c r="AU1711" s="44"/>
      <c r="AV1711" s="46">
        <f>ROUND(Товары[[#This Row],[РРЦ финальная, руб.]]/$AU$1,2)</f>
        <v>0</v>
      </c>
      <c r="AW1711" s="45" t="str">
        <f>IFERROR(Товары[[#This Row],[РРЦ, евро]]/Товары[[#This Row],[IRP, Eur]],"-")</f>
        <v>-</v>
      </c>
      <c r="AX1711" s="42">
        <f>IFERROR(VLOOKUP(Товары[[#This Row],[SubGroup]],'Структура цен DIY'!$B:$C,2,FALSE),0)</f>
        <v>0.29999999999999993</v>
      </c>
      <c r="AY1711" s="44">
        <v>0</v>
      </c>
    </row>
    <row r="1712" spans="1:51" x14ac:dyDescent="0.25">
      <c r="A1712" s="34">
        <v>1710</v>
      </c>
      <c r="B1712" s="34" t="s">
        <v>49</v>
      </c>
      <c r="C1712" s="110" t="str">
        <f>IFERROR(INDEX(Структура_ассортимента[SuperCategory],MATCH(Товары[[#This Row],[SubGroup]],Структура_ассортимента[Subgroup],0)),"")</f>
        <v>W</v>
      </c>
      <c r="D171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1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12" s="110" t="str">
        <f>IFERROR(INDEX(Структура_ассортимента[Product group],MATCH(Товары[[#This Row],[SubGroup]],Структура_ассортимента[Subgroup],0)),"")</f>
        <v>WSS_C</v>
      </c>
      <c r="G1712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12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12" s="36">
        <v>9032</v>
      </c>
      <c r="J1712" s="36" t="str">
        <f>IFERROR(INDEX(Структура_ассортимента[Generic Name (long)],MATCH(Товары[[#This Row],[SubGroup]],Структура_ассортимента[Subgroup],0)),"")</f>
        <v>WATERING SET</v>
      </c>
      <c r="L1712" s="36">
        <v>901017601</v>
      </c>
      <c r="M1712" s="35" t="s">
        <v>3388</v>
      </c>
      <c r="O1712" s="35" t="s">
        <v>7746</v>
      </c>
      <c r="P1712" s="37" t="s">
        <v>7747</v>
      </c>
      <c r="Q1712" s="34" t="s">
        <v>3549</v>
      </c>
      <c r="R1712" s="34" t="s">
        <v>3540</v>
      </c>
      <c r="S1712" s="47">
        <v>38626</v>
      </c>
      <c r="T1712" s="47">
        <v>0</v>
      </c>
      <c r="U1712" s="47">
        <v>0</v>
      </c>
      <c r="V1712" s="34">
        <v>4078500278003</v>
      </c>
      <c r="W1712" s="34" t="s">
        <v>3543</v>
      </c>
      <c r="X1712" s="34" t="s">
        <v>3579</v>
      </c>
      <c r="Y1712" s="34" t="s">
        <v>3542</v>
      </c>
      <c r="Z1712" s="34">
        <v>10</v>
      </c>
      <c r="AA1712" s="34" t="s">
        <v>6776</v>
      </c>
      <c r="AB1712" s="34" t="s">
        <v>7072</v>
      </c>
      <c r="AC1712" s="34" t="s">
        <v>3653</v>
      </c>
      <c r="AD1712" s="34" t="s">
        <v>3719</v>
      </c>
      <c r="AE1712" s="34" t="s">
        <v>3557</v>
      </c>
      <c r="AF1712" s="34" t="s">
        <v>3754</v>
      </c>
      <c r="AG1712" s="34" t="s">
        <v>3711</v>
      </c>
      <c r="AH1712" s="34" t="s">
        <v>7748</v>
      </c>
      <c r="AI1712" s="34" t="s">
        <v>4346</v>
      </c>
      <c r="AJ1712" s="34" t="s">
        <v>3886</v>
      </c>
      <c r="AK1712" s="34" t="s">
        <v>4802</v>
      </c>
      <c r="AL1712" s="34" t="s">
        <v>7749</v>
      </c>
      <c r="AM1712" s="40" t="s">
        <v>9</v>
      </c>
      <c r="AP1712" s="34">
        <v>0</v>
      </c>
      <c r="AQ1712" s="34">
        <v>539</v>
      </c>
      <c r="AR1712" s="34">
        <v>314</v>
      </c>
      <c r="AT1712" s="44">
        <v>41700</v>
      </c>
      <c r="AU1712" s="44"/>
      <c r="AV1712" s="46">
        <f>ROUND(Товары[[#This Row],[РРЦ финальная, руб.]]/$AU$1,2)</f>
        <v>0</v>
      </c>
      <c r="AW1712" s="45" t="str">
        <f>IFERROR(Товары[[#This Row],[РРЦ, евро]]/Товары[[#This Row],[IRP, Eur]],"-")</f>
        <v>-</v>
      </c>
      <c r="AX1712" s="42">
        <f>IFERROR(VLOOKUP(Товары[[#This Row],[SubGroup]],'Структура цен DIY'!$B:$C,2,FALSE),0)</f>
        <v>0.29999999999999993</v>
      </c>
      <c r="AY1712" s="44">
        <v>0</v>
      </c>
    </row>
    <row r="1713" spans="1:51" x14ac:dyDescent="0.25">
      <c r="A1713" s="34">
        <v>1711</v>
      </c>
      <c r="B1713" s="34" t="s">
        <v>49</v>
      </c>
      <c r="C1713" s="110" t="str">
        <f>IFERROR(INDEX(Структура_ассортимента[SuperCategory],MATCH(Товары[[#This Row],[SubGroup]],Структура_ассортимента[Subgroup],0)),"")</f>
        <v>W</v>
      </c>
      <c r="D171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1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13" s="110" t="str">
        <f>IFERROR(INDEX(Структура_ассортимента[Product group],MATCH(Товары[[#This Row],[SubGroup]],Структура_ассортимента[Subgroup],0)),"")</f>
        <v>WSS_C</v>
      </c>
      <c r="G1713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13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13" s="36">
        <v>9032</v>
      </c>
      <c r="J1713" s="36" t="str">
        <f>IFERROR(INDEX(Структура_ассортимента[Generic Name (long)],MATCH(Товары[[#This Row],[SubGroup]],Структура_ассортимента[Subgroup],0)),"")</f>
        <v>WATERING SET</v>
      </c>
      <c r="L1713" s="36">
        <v>901017701</v>
      </c>
      <c r="M1713" s="35" t="s">
        <v>3389</v>
      </c>
      <c r="O1713" s="35" t="s">
        <v>7750</v>
      </c>
      <c r="P1713" s="37" t="s">
        <v>7751</v>
      </c>
      <c r="Q1713" s="34" t="s">
        <v>3549</v>
      </c>
      <c r="R1713" s="34" t="s">
        <v>3540</v>
      </c>
      <c r="S1713" s="47">
        <v>38626</v>
      </c>
      <c r="T1713" s="47">
        <v>0</v>
      </c>
      <c r="U1713" s="47">
        <v>0</v>
      </c>
      <c r="V1713" s="34">
        <v>4078500278102</v>
      </c>
      <c r="W1713" s="34" t="s">
        <v>3543</v>
      </c>
      <c r="X1713" s="34" t="s">
        <v>3579</v>
      </c>
      <c r="Y1713" s="34" t="s">
        <v>3542</v>
      </c>
      <c r="Z1713" s="34">
        <v>10</v>
      </c>
      <c r="AA1713" s="34" t="s">
        <v>6599</v>
      </c>
      <c r="AB1713" s="34" t="s">
        <v>6598</v>
      </c>
      <c r="AC1713" s="34" t="s">
        <v>6446</v>
      </c>
      <c r="AD1713" s="34" t="s">
        <v>3661</v>
      </c>
      <c r="AE1713" s="34" t="s">
        <v>3557</v>
      </c>
      <c r="AF1713" s="34" t="s">
        <v>4659</v>
      </c>
      <c r="AG1713" s="34" t="s">
        <v>3754</v>
      </c>
      <c r="AH1713" s="34" t="s">
        <v>7752</v>
      </c>
      <c r="AI1713" s="34" t="s">
        <v>4346</v>
      </c>
      <c r="AJ1713" s="34" t="s">
        <v>5667</v>
      </c>
      <c r="AK1713" s="34" t="s">
        <v>4802</v>
      </c>
      <c r="AL1713" s="34" t="s">
        <v>7749</v>
      </c>
      <c r="AM1713" s="40" t="s">
        <v>9</v>
      </c>
      <c r="AP1713" s="34">
        <v>0</v>
      </c>
      <c r="AQ1713" s="34">
        <v>539</v>
      </c>
      <c r="AR1713" s="34">
        <v>314</v>
      </c>
      <c r="AT1713" s="44">
        <v>41700</v>
      </c>
      <c r="AU1713" s="44"/>
      <c r="AV1713" s="46">
        <f>ROUND(Товары[[#This Row],[РРЦ финальная, руб.]]/$AU$1,2)</f>
        <v>0</v>
      </c>
      <c r="AW1713" s="45" t="str">
        <f>IFERROR(Товары[[#This Row],[РРЦ, евро]]/Товары[[#This Row],[IRP, Eur]],"-")</f>
        <v>-</v>
      </c>
      <c r="AX1713" s="42">
        <f>IFERROR(VLOOKUP(Товары[[#This Row],[SubGroup]],'Структура цен DIY'!$B:$C,2,FALSE),0)</f>
        <v>0.29999999999999993</v>
      </c>
      <c r="AY1713" s="44">
        <v>0</v>
      </c>
    </row>
    <row r="1714" spans="1:51" x14ac:dyDescent="0.25">
      <c r="A1714" s="34">
        <v>1712</v>
      </c>
      <c r="B1714" s="34" t="s">
        <v>49</v>
      </c>
      <c r="C1714" s="110" t="str">
        <f>IFERROR(INDEX(Структура_ассортимента[SuperCategory],MATCH(Товары[[#This Row],[SubGroup]],Структура_ассортимента[Subgroup],0)),"")</f>
        <v>W</v>
      </c>
      <c r="D171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1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14" s="110" t="str">
        <f>IFERROR(INDEX(Структура_ассортимента[Product group],MATCH(Товары[[#This Row],[SubGroup]],Структура_ассортимента[Subgroup],0)),"")</f>
        <v>WSS_C</v>
      </c>
      <c r="G1714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14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14" s="36">
        <v>9032</v>
      </c>
      <c r="J1714" s="36" t="str">
        <f>IFERROR(INDEX(Структура_ассортимента[Generic Name (long)],MATCH(Товары[[#This Row],[SubGroup]],Структура_ассортимента[Subgroup],0)),"")</f>
        <v>WATERING SET</v>
      </c>
      <c r="L1714" s="36">
        <v>966409001</v>
      </c>
      <c r="M1714" s="35" t="s">
        <v>3390</v>
      </c>
      <c r="O1714" s="35" t="s">
        <v>7753</v>
      </c>
      <c r="P1714" s="37" t="s">
        <v>7754</v>
      </c>
      <c r="Q1714" s="34" t="s">
        <v>3549</v>
      </c>
      <c r="R1714" s="34" t="s">
        <v>3540</v>
      </c>
      <c r="S1714" s="47">
        <v>40087</v>
      </c>
      <c r="T1714" s="47">
        <v>0</v>
      </c>
      <c r="U1714" s="47">
        <v>0</v>
      </c>
      <c r="V1714" s="34">
        <v>4078500278201</v>
      </c>
      <c r="W1714" s="34" t="s">
        <v>3543</v>
      </c>
      <c r="X1714" s="34" t="s">
        <v>3579</v>
      </c>
      <c r="Y1714" s="34" t="s">
        <v>3542</v>
      </c>
      <c r="Z1714" s="34">
        <v>10</v>
      </c>
      <c r="AA1714" s="34" t="s">
        <v>3996</v>
      </c>
      <c r="AB1714" s="34" t="s">
        <v>7165</v>
      </c>
      <c r="AC1714" s="34" t="s">
        <v>6539</v>
      </c>
      <c r="AD1714" s="34" t="s">
        <v>6539</v>
      </c>
      <c r="AE1714" s="34" t="s">
        <v>3566</v>
      </c>
      <c r="AF1714" s="34" t="s">
        <v>3576</v>
      </c>
      <c r="AG1714" s="34" t="s">
        <v>4335</v>
      </c>
      <c r="AH1714" s="34" t="s">
        <v>7755</v>
      </c>
      <c r="AI1714" s="34" t="s">
        <v>4681</v>
      </c>
      <c r="AJ1714" s="34" t="s">
        <v>4153</v>
      </c>
      <c r="AK1714" s="34" t="s">
        <v>4849</v>
      </c>
      <c r="AL1714" s="34" t="s">
        <v>6681</v>
      </c>
      <c r="AM1714" s="40" t="s">
        <v>9</v>
      </c>
      <c r="AP1714" s="34">
        <v>0</v>
      </c>
      <c r="AQ1714" s="34">
        <v>759</v>
      </c>
      <c r="AR1714" s="34">
        <v>443</v>
      </c>
      <c r="AT1714" s="44">
        <v>58800</v>
      </c>
      <c r="AU1714" s="44"/>
      <c r="AV1714" s="46">
        <f>ROUND(Товары[[#This Row],[РРЦ финальная, руб.]]/$AU$1,2)</f>
        <v>0</v>
      </c>
      <c r="AW1714" s="45" t="str">
        <f>IFERROR(Товары[[#This Row],[РРЦ, евро]]/Товары[[#This Row],[IRP, Eur]],"-")</f>
        <v>-</v>
      </c>
      <c r="AX1714" s="42">
        <f>IFERROR(VLOOKUP(Товары[[#This Row],[SubGroup]],'Структура цен DIY'!$B:$C,2,FALSE),0)</f>
        <v>0.29999999999999993</v>
      </c>
      <c r="AY1714" s="44">
        <v>0</v>
      </c>
    </row>
    <row r="1715" spans="1:51" x14ac:dyDescent="0.25">
      <c r="A1715" s="34">
        <v>1713</v>
      </c>
      <c r="B1715" s="34" t="s">
        <v>49</v>
      </c>
      <c r="C1715" s="110" t="str">
        <f>IFERROR(INDEX(Структура_ассортимента[SuperCategory],MATCH(Товары[[#This Row],[SubGroup]],Структура_ассортимента[Subgroup],0)),"")</f>
        <v>W</v>
      </c>
      <c r="D171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1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15" s="110" t="str">
        <f>IFERROR(INDEX(Структура_ассортимента[Product group],MATCH(Товары[[#This Row],[SubGroup]],Структура_ассортимента[Subgroup],0)),"")</f>
        <v>WSS_C</v>
      </c>
      <c r="G1715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15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15" s="36">
        <v>9032</v>
      </c>
      <c r="J1715" s="36" t="str">
        <f>IFERROR(INDEX(Структура_ассортимента[Generic Name (long)],MATCH(Товары[[#This Row],[SubGroup]],Структура_ассортимента[Subgroup],0)),"")</f>
        <v>WATERING SET</v>
      </c>
      <c r="L1715" s="36">
        <v>966409101</v>
      </c>
      <c r="M1715" s="35" t="s">
        <v>3391</v>
      </c>
      <c r="O1715" s="35" t="s">
        <v>7756</v>
      </c>
      <c r="P1715" s="37" t="s">
        <v>7757</v>
      </c>
      <c r="Q1715" s="34" t="s">
        <v>3549</v>
      </c>
      <c r="R1715" s="34" t="s">
        <v>3540</v>
      </c>
      <c r="S1715" s="47">
        <v>40087</v>
      </c>
      <c r="T1715" s="47">
        <v>0</v>
      </c>
      <c r="U1715" s="47">
        <v>0</v>
      </c>
      <c r="V1715" s="34">
        <v>4078500278300</v>
      </c>
      <c r="W1715" s="34" t="s">
        <v>3543</v>
      </c>
      <c r="X1715" s="34" t="s">
        <v>3579</v>
      </c>
      <c r="Y1715" s="34" t="s">
        <v>3542</v>
      </c>
      <c r="Z1715" s="34">
        <v>10</v>
      </c>
      <c r="AA1715" s="34" t="s">
        <v>6265</v>
      </c>
      <c r="AB1715" s="34" t="s">
        <v>7640</v>
      </c>
      <c r="AC1715" s="34" t="s">
        <v>4095</v>
      </c>
      <c r="AD1715" s="34" t="s">
        <v>7640</v>
      </c>
      <c r="AE1715" s="34" t="s">
        <v>3576</v>
      </c>
      <c r="AF1715" s="34" t="s">
        <v>3576</v>
      </c>
      <c r="AG1715" s="34" t="s">
        <v>4659</v>
      </c>
      <c r="AH1715" s="34" t="s">
        <v>7758</v>
      </c>
      <c r="AI1715" s="34" t="s">
        <v>4681</v>
      </c>
      <c r="AJ1715" s="34" t="s">
        <v>4659</v>
      </c>
      <c r="AK1715" s="34" t="s">
        <v>4849</v>
      </c>
      <c r="AL1715" s="34">
        <v>800</v>
      </c>
      <c r="AM1715" s="40" t="s">
        <v>9</v>
      </c>
      <c r="AP1715" s="34">
        <v>0</v>
      </c>
      <c r="AQ1715" s="34">
        <v>759</v>
      </c>
      <c r="AR1715" s="34">
        <v>443</v>
      </c>
      <c r="AT1715" s="44">
        <v>58800</v>
      </c>
      <c r="AU1715" s="44"/>
      <c r="AV1715" s="46">
        <f>ROUND(Товары[[#This Row],[РРЦ финальная, руб.]]/$AU$1,2)</f>
        <v>0</v>
      </c>
      <c r="AW1715" s="45" t="str">
        <f>IFERROR(Товары[[#This Row],[РРЦ, евро]]/Товары[[#This Row],[IRP, Eur]],"-")</f>
        <v>-</v>
      </c>
      <c r="AX1715" s="42">
        <f>IFERROR(VLOOKUP(Товары[[#This Row],[SubGroup]],'Структура цен DIY'!$B:$C,2,FALSE),0)</f>
        <v>0.29999999999999993</v>
      </c>
      <c r="AY1715" s="44">
        <v>0</v>
      </c>
    </row>
    <row r="1716" spans="1:51" x14ac:dyDescent="0.25">
      <c r="A1716" s="34">
        <v>1714</v>
      </c>
      <c r="B1716" s="34" t="s">
        <v>49</v>
      </c>
      <c r="C1716" s="110" t="str">
        <f>IFERROR(INDEX(Структура_ассортимента[SuperCategory],MATCH(Товары[[#This Row],[SubGroup]],Структура_ассортимента[Subgroup],0)),"")</f>
        <v>W</v>
      </c>
      <c r="D171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1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16" s="110" t="str">
        <f>IFERROR(INDEX(Структура_ассортимента[Product group],MATCH(Товары[[#This Row],[SubGroup]],Структура_ассортимента[Subgroup],0)),"")</f>
        <v>WSS_C</v>
      </c>
      <c r="G1716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16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16" s="36">
        <v>9032</v>
      </c>
      <c r="J1716" s="36" t="str">
        <f>IFERROR(INDEX(Структура_ассортимента[Generic Name (long)],MATCH(Товары[[#This Row],[SubGroup]],Структура_ассортимента[Subgroup],0)),"")</f>
        <v>WATERING SET</v>
      </c>
      <c r="L1716" s="36">
        <v>901018001</v>
      </c>
      <c r="M1716" s="35" t="s">
        <v>3392</v>
      </c>
      <c r="O1716" s="35" t="s">
        <v>7746</v>
      </c>
      <c r="P1716" s="37" t="s">
        <v>7759</v>
      </c>
      <c r="Q1716" s="34" t="s">
        <v>3549</v>
      </c>
      <c r="R1716" s="34" t="s">
        <v>3540</v>
      </c>
      <c r="S1716" s="47">
        <v>38626</v>
      </c>
      <c r="T1716" s="47">
        <v>0</v>
      </c>
      <c r="U1716" s="47">
        <v>0</v>
      </c>
      <c r="V1716" s="34">
        <v>4078500278607</v>
      </c>
      <c r="W1716" s="34" t="s">
        <v>3543</v>
      </c>
      <c r="X1716" s="34" t="s">
        <v>3579</v>
      </c>
      <c r="Y1716" s="34" t="s">
        <v>3542</v>
      </c>
      <c r="Z1716" s="34">
        <v>10</v>
      </c>
      <c r="AA1716" s="34" t="s">
        <v>5910</v>
      </c>
      <c r="AB1716" s="34" t="s">
        <v>3728</v>
      </c>
      <c r="AC1716" s="34" t="s">
        <v>3725</v>
      </c>
      <c r="AD1716" s="34" t="s">
        <v>3996</v>
      </c>
      <c r="AE1716" s="34" t="s">
        <v>4486</v>
      </c>
      <c r="AF1716" s="34" t="s">
        <v>4335</v>
      </c>
      <c r="AG1716" s="34" t="s">
        <v>3754</v>
      </c>
      <c r="AH1716" s="34" t="s">
        <v>7760</v>
      </c>
      <c r="AI1716" s="34" t="s">
        <v>5509</v>
      </c>
      <c r="AJ1716" s="34" t="s">
        <v>4346</v>
      </c>
      <c r="AK1716" s="34" t="s">
        <v>4802</v>
      </c>
      <c r="AL1716" s="34" t="s">
        <v>7672</v>
      </c>
      <c r="AM1716" s="40" t="s">
        <v>9</v>
      </c>
      <c r="AP1716" s="34">
        <v>0</v>
      </c>
      <c r="AQ1716" s="34">
        <v>759</v>
      </c>
      <c r="AR1716" s="34">
        <v>443</v>
      </c>
      <c r="AT1716" s="44">
        <v>58800</v>
      </c>
      <c r="AU1716" s="44"/>
      <c r="AV1716" s="46">
        <f>ROUND(Товары[[#This Row],[РРЦ финальная, руб.]]/$AU$1,2)</f>
        <v>0</v>
      </c>
      <c r="AW1716" s="45" t="str">
        <f>IFERROR(Товары[[#This Row],[РРЦ, евро]]/Товары[[#This Row],[IRP, Eur]],"-")</f>
        <v>-</v>
      </c>
      <c r="AX1716" s="42">
        <f>IFERROR(VLOOKUP(Товары[[#This Row],[SubGroup]],'Структура цен DIY'!$B:$C,2,FALSE),0)</f>
        <v>0.29999999999999993</v>
      </c>
      <c r="AY1716" s="44">
        <v>0</v>
      </c>
    </row>
    <row r="1717" spans="1:51" x14ac:dyDescent="0.25">
      <c r="A1717" s="34">
        <v>1715</v>
      </c>
      <c r="B1717" s="34" t="s">
        <v>49</v>
      </c>
      <c r="C1717" s="110" t="str">
        <f>IFERROR(INDEX(Структура_ассортимента[SuperCategory],MATCH(Товары[[#This Row],[SubGroup]],Структура_ассортимента[Subgroup],0)),"")</f>
        <v>W</v>
      </c>
      <c r="D171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1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17" s="110" t="str">
        <f>IFERROR(INDEX(Структура_ассортимента[Product group],MATCH(Товары[[#This Row],[SubGroup]],Структура_ассортимента[Subgroup],0)),"")</f>
        <v>WSS_C</v>
      </c>
      <c r="G1717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17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17" s="36">
        <v>9032</v>
      </c>
      <c r="J1717" s="36" t="str">
        <f>IFERROR(INDEX(Структура_ассортимента[Generic Name (long)],MATCH(Товары[[#This Row],[SubGroup]],Структура_ассортимента[Subgroup],0)),"")</f>
        <v>WATERING SET</v>
      </c>
      <c r="L1717" s="36">
        <v>901018101</v>
      </c>
      <c r="M1717" s="35" t="s">
        <v>3393</v>
      </c>
      <c r="O1717" s="35" t="s">
        <v>7761</v>
      </c>
      <c r="P1717" s="37" t="s">
        <v>7762</v>
      </c>
      <c r="Q1717" s="34" t="s">
        <v>3549</v>
      </c>
      <c r="R1717" s="34" t="s">
        <v>3540</v>
      </c>
      <c r="S1717" s="47">
        <v>38626</v>
      </c>
      <c r="T1717" s="47">
        <v>0</v>
      </c>
      <c r="U1717" s="47">
        <v>0</v>
      </c>
      <c r="V1717" s="34">
        <v>4078500278706</v>
      </c>
      <c r="W1717" s="34" t="s">
        <v>3543</v>
      </c>
      <c r="X1717" s="34" t="s">
        <v>3579</v>
      </c>
      <c r="Y1717" s="34" t="s">
        <v>3542</v>
      </c>
      <c r="Z1717" s="34">
        <v>10</v>
      </c>
      <c r="AA1717" s="34" t="s">
        <v>3735</v>
      </c>
      <c r="AB1717" s="34" t="s">
        <v>6625</v>
      </c>
      <c r="AC1717" s="34" t="s">
        <v>3995</v>
      </c>
      <c r="AD1717" s="34" t="s">
        <v>7706</v>
      </c>
      <c r="AE1717" s="34" t="s">
        <v>4486</v>
      </c>
      <c r="AF1717" s="34" t="s">
        <v>4335</v>
      </c>
      <c r="AG1717" s="34" t="s">
        <v>3754</v>
      </c>
      <c r="AH1717" s="34" t="s">
        <v>7760</v>
      </c>
      <c r="AI1717" s="34" t="s">
        <v>5509</v>
      </c>
      <c r="AJ1717" s="34" t="s">
        <v>4346</v>
      </c>
      <c r="AK1717" s="34" t="s">
        <v>4802</v>
      </c>
      <c r="AL1717" s="34" t="s">
        <v>7672</v>
      </c>
      <c r="AM1717" s="40" t="s">
        <v>9</v>
      </c>
      <c r="AP1717" s="34">
        <v>0</v>
      </c>
      <c r="AQ1717" s="34">
        <v>759</v>
      </c>
      <c r="AR1717" s="34">
        <v>443</v>
      </c>
      <c r="AT1717" s="44">
        <v>58800</v>
      </c>
      <c r="AU1717" s="44"/>
      <c r="AV1717" s="46">
        <f>ROUND(Товары[[#This Row],[РРЦ финальная, руб.]]/$AU$1,2)</f>
        <v>0</v>
      </c>
      <c r="AW1717" s="45" t="str">
        <f>IFERROR(Товары[[#This Row],[РРЦ, евро]]/Товары[[#This Row],[IRP, Eur]],"-")</f>
        <v>-</v>
      </c>
      <c r="AX1717" s="42">
        <f>IFERROR(VLOOKUP(Товары[[#This Row],[SubGroup]],'Структура цен DIY'!$B:$C,2,FALSE),0)</f>
        <v>0.29999999999999993</v>
      </c>
      <c r="AY1717" s="44">
        <v>0</v>
      </c>
    </row>
    <row r="1718" spans="1:51" x14ac:dyDescent="0.25">
      <c r="A1718" s="34">
        <v>1716</v>
      </c>
      <c r="B1718" s="34" t="s">
        <v>49</v>
      </c>
      <c r="C1718" s="110" t="str">
        <f>IFERROR(INDEX(Структура_ассортимента[SuperCategory],MATCH(Товары[[#This Row],[SubGroup]],Структура_ассортимента[Subgroup],0)),"")</f>
        <v>W</v>
      </c>
      <c r="D171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1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18" s="110" t="str">
        <f>IFERROR(INDEX(Структура_ассортимента[Product group],MATCH(Товары[[#This Row],[SubGroup]],Структура_ассортимента[Subgroup],0)),"")</f>
        <v>WSS_C</v>
      </c>
      <c r="G1718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18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18" s="36">
        <v>9032</v>
      </c>
      <c r="J1718" s="36" t="str">
        <f>IFERROR(INDEX(Структура_ассортимента[Generic Name (long)],MATCH(Товары[[#This Row],[SubGroup]],Структура_ассортимента[Subgroup],0)),"")</f>
        <v>WATERING SET</v>
      </c>
      <c r="L1718" s="36">
        <v>901018301</v>
      </c>
      <c r="M1718" s="35" t="s">
        <v>3394</v>
      </c>
      <c r="O1718" s="35" t="s">
        <v>7763</v>
      </c>
      <c r="P1718" s="37" t="s">
        <v>7764</v>
      </c>
      <c r="Q1718" s="34" t="s">
        <v>3549</v>
      </c>
      <c r="R1718" s="34" t="s">
        <v>3540</v>
      </c>
      <c r="S1718" s="47">
        <v>38626</v>
      </c>
      <c r="T1718" s="47">
        <v>0</v>
      </c>
      <c r="U1718" s="47">
        <v>0</v>
      </c>
      <c r="V1718" s="34">
        <v>4078500279000</v>
      </c>
      <c r="W1718" s="34" t="s">
        <v>3543</v>
      </c>
      <c r="X1718" s="34" t="s">
        <v>3579</v>
      </c>
      <c r="Y1718" s="34" t="s">
        <v>3542</v>
      </c>
      <c r="Z1718" s="34">
        <v>10</v>
      </c>
      <c r="AA1718" s="34" t="s">
        <v>7706</v>
      </c>
      <c r="AB1718" s="34" t="s">
        <v>3741</v>
      </c>
      <c r="AC1718" s="34" t="s">
        <v>6539</v>
      </c>
      <c r="AD1718" s="34" t="s">
        <v>6539</v>
      </c>
      <c r="AE1718" s="34" t="s">
        <v>4505</v>
      </c>
      <c r="AF1718" s="34" t="s">
        <v>4335</v>
      </c>
      <c r="AG1718" s="34" t="s">
        <v>3754</v>
      </c>
      <c r="AH1718" s="34" t="s">
        <v>7765</v>
      </c>
      <c r="AI1718" s="34" t="s">
        <v>5509</v>
      </c>
      <c r="AJ1718" s="34" t="s">
        <v>4153</v>
      </c>
      <c r="AK1718" s="34" t="s">
        <v>4802</v>
      </c>
      <c r="AL1718" s="34" t="s">
        <v>6681</v>
      </c>
      <c r="AM1718" s="40" t="s">
        <v>9</v>
      </c>
      <c r="AP1718" s="34">
        <v>0</v>
      </c>
      <c r="AQ1718" s="34">
        <v>759</v>
      </c>
      <c r="AR1718" s="34">
        <v>443</v>
      </c>
      <c r="AT1718" s="44">
        <v>58800</v>
      </c>
      <c r="AU1718" s="44"/>
      <c r="AV1718" s="46">
        <f>ROUND(Товары[[#This Row],[РРЦ финальная, руб.]]/$AU$1,2)</f>
        <v>0</v>
      </c>
      <c r="AW1718" s="45" t="str">
        <f>IFERROR(Товары[[#This Row],[РРЦ, евро]]/Товары[[#This Row],[IRP, Eur]],"-")</f>
        <v>-</v>
      </c>
      <c r="AX1718" s="42">
        <f>IFERROR(VLOOKUP(Товары[[#This Row],[SubGroup]],'Структура цен DIY'!$B:$C,2,FALSE),0)</f>
        <v>0.29999999999999993</v>
      </c>
      <c r="AY1718" s="44">
        <v>0</v>
      </c>
    </row>
    <row r="1719" spans="1:51" x14ac:dyDescent="0.25">
      <c r="A1719" s="34">
        <v>1717</v>
      </c>
      <c r="B1719" s="34" t="s">
        <v>49</v>
      </c>
      <c r="C1719" s="110" t="str">
        <f>IFERROR(INDEX(Структура_ассортимента[SuperCategory],MATCH(Товары[[#This Row],[SubGroup]],Структура_ассортимента[Subgroup],0)),"")</f>
        <v>W</v>
      </c>
      <c r="D171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1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19" s="110" t="str">
        <f>IFERROR(INDEX(Структура_ассортимента[Product group],MATCH(Товары[[#This Row],[SubGroup]],Структура_ассортимента[Subgroup],0)),"")</f>
        <v>WSS_C</v>
      </c>
      <c r="G1719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19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19" s="36">
        <v>9032</v>
      </c>
      <c r="J1719" s="36" t="str">
        <f>IFERROR(INDEX(Структура_ассортимента[Generic Name (long)],MATCH(Товары[[#This Row],[SubGroup]],Структура_ассортимента[Subgroup],0)),"")</f>
        <v>WATERING SET</v>
      </c>
      <c r="L1719" s="36">
        <v>901016001</v>
      </c>
      <c r="M1719" s="35" t="s">
        <v>3395</v>
      </c>
      <c r="O1719" s="35" t="s">
        <v>7766</v>
      </c>
      <c r="P1719" s="37" t="s">
        <v>7767</v>
      </c>
      <c r="Q1719" s="34" t="s">
        <v>3549</v>
      </c>
      <c r="R1719" s="34" t="s">
        <v>3540</v>
      </c>
      <c r="S1719" s="47">
        <v>38626</v>
      </c>
      <c r="T1719" s="47">
        <v>0</v>
      </c>
      <c r="U1719" s="47">
        <v>0</v>
      </c>
      <c r="V1719" s="34">
        <v>4078500276108</v>
      </c>
      <c r="W1719" s="34" t="s">
        <v>3543</v>
      </c>
      <c r="X1719" s="34" t="s">
        <v>3579</v>
      </c>
      <c r="Y1719" s="34" t="s">
        <v>3542</v>
      </c>
      <c r="Z1719" s="34">
        <v>10</v>
      </c>
      <c r="AA1719" s="34" t="s">
        <v>5645</v>
      </c>
      <c r="AB1719" s="34" t="s">
        <v>3788</v>
      </c>
      <c r="AC1719" s="34" t="s">
        <v>3653</v>
      </c>
      <c r="AD1719" s="34" t="s">
        <v>3719</v>
      </c>
      <c r="AE1719" s="34" t="s">
        <v>4549</v>
      </c>
      <c r="AF1719" s="34" t="s">
        <v>3711</v>
      </c>
      <c r="AG1719" s="34" t="s">
        <v>3754</v>
      </c>
      <c r="AH1719" s="34" t="s">
        <v>6483</v>
      </c>
      <c r="AI1719" s="34" t="s">
        <v>5006</v>
      </c>
      <c r="AJ1719" s="34" t="s">
        <v>4802</v>
      </c>
      <c r="AK1719" s="34" t="s">
        <v>6501</v>
      </c>
      <c r="AL1719" s="34" t="s">
        <v>7749</v>
      </c>
      <c r="AM1719" s="40" t="s">
        <v>9</v>
      </c>
      <c r="AP1719" s="34">
        <v>0</v>
      </c>
      <c r="AQ1719" s="34">
        <v>429</v>
      </c>
      <c r="AR1719" s="34">
        <v>250</v>
      </c>
      <c r="AT1719" s="44">
        <v>33200</v>
      </c>
      <c r="AU1719" s="44"/>
      <c r="AV1719" s="46">
        <f>ROUND(Товары[[#This Row],[РРЦ финальная, руб.]]/$AU$1,2)</f>
        <v>0</v>
      </c>
      <c r="AW1719" s="45" t="str">
        <f>IFERROR(Товары[[#This Row],[РРЦ, евро]]/Товары[[#This Row],[IRP, Eur]],"-")</f>
        <v>-</v>
      </c>
      <c r="AX1719" s="42">
        <f>IFERROR(VLOOKUP(Товары[[#This Row],[SubGroup]],'Структура цен DIY'!$B:$C,2,FALSE),0)</f>
        <v>0.29999999999999993</v>
      </c>
      <c r="AY1719" s="44">
        <v>0</v>
      </c>
    </row>
    <row r="1720" spans="1:51" x14ac:dyDescent="0.25">
      <c r="A1720" s="34">
        <v>1718</v>
      </c>
      <c r="B1720" s="34" t="s">
        <v>49</v>
      </c>
      <c r="C1720" s="110" t="str">
        <f>IFERROR(INDEX(Структура_ассортимента[SuperCategory],MATCH(Товары[[#This Row],[SubGroup]],Структура_ассортимента[Subgroup],0)),"")</f>
        <v>W</v>
      </c>
      <c r="D172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2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20" s="110" t="str">
        <f>IFERROR(INDEX(Структура_ассортимента[Product group],MATCH(Товары[[#This Row],[SubGroup]],Структура_ассортимента[Subgroup],0)),"")</f>
        <v>WSS_C</v>
      </c>
      <c r="G1720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20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20" s="36">
        <v>9032</v>
      </c>
      <c r="J1720" s="36" t="str">
        <f>IFERROR(INDEX(Структура_ассортимента[Generic Name (long)],MATCH(Товары[[#This Row],[SubGroup]],Структура_ассортимента[Subgroup],0)),"")</f>
        <v>WATERING SET</v>
      </c>
      <c r="L1720" s="36">
        <v>901016101</v>
      </c>
      <c r="M1720" s="35" t="s">
        <v>3396</v>
      </c>
      <c r="O1720" s="35" t="s">
        <v>7768</v>
      </c>
      <c r="P1720" s="37" t="s">
        <v>7769</v>
      </c>
      <c r="Q1720" s="34" t="s">
        <v>3549</v>
      </c>
      <c r="R1720" s="34" t="s">
        <v>3540</v>
      </c>
      <c r="S1720" s="47">
        <v>38626</v>
      </c>
      <c r="T1720" s="47">
        <v>0</v>
      </c>
      <c r="U1720" s="47">
        <v>0</v>
      </c>
      <c r="V1720" s="34">
        <v>4078500276207</v>
      </c>
      <c r="W1720" s="34" t="s">
        <v>3543</v>
      </c>
      <c r="X1720" s="34" t="s">
        <v>3579</v>
      </c>
      <c r="Y1720" s="34" t="s">
        <v>3542</v>
      </c>
      <c r="Z1720" s="34">
        <v>10</v>
      </c>
      <c r="AA1720" s="34" t="s">
        <v>6073</v>
      </c>
      <c r="AB1720" s="34" t="s">
        <v>6073</v>
      </c>
      <c r="AC1720" s="34" t="s">
        <v>3661</v>
      </c>
      <c r="AD1720" s="34" t="s">
        <v>3661</v>
      </c>
      <c r="AE1720" s="34" t="s">
        <v>3707</v>
      </c>
      <c r="AF1720" s="34" t="s">
        <v>3754</v>
      </c>
      <c r="AG1720" s="34" t="s">
        <v>4181</v>
      </c>
      <c r="AH1720" s="34" t="s">
        <v>7770</v>
      </c>
      <c r="AI1720" s="34" t="s">
        <v>4192</v>
      </c>
      <c r="AJ1720" s="34" t="s">
        <v>4802</v>
      </c>
      <c r="AK1720" s="34" t="s">
        <v>6501</v>
      </c>
      <c r="AL1720" s="34">
        <v>1920</v>
      </c>
      <c r="AM1720" s="40" t="s">
        <v>9</v>
      </c>
      <c r="AP1720" s="34">
        <v>0</v>
      </c>
      <c r="AQ1720" s="34">
        <v>429</v>
      </c>
      <c r="AR1720" s="34">
        <v>250</v>
      </c>
      <c r="AT1720" s="44">
        <v>33200</v>
      </c>
      <c r="AU1720" s="44"/>
      <c r="AV1720" s="46">
        <f>ROUND(Товары[[#This Row],[РРЦ финальная, руб.]]/$AU$1,2)</f>
        <v>0</v>
      </c>
      <c r="AW1720" s="45" t="str">
        <f>IFERROR(Товары[[#This Row],[РРЦ, евро]]/Товары[[#This Row],[IRP, Eur]],"-")</f>
        <v>-</v>
      </c>
      <c r="AX1720" s="42">
        <f>IFERROR(VLOOKUP(Товары[[#This Row],[SubGroup]],'Структура цен DIY'!$B:$C,2,FALSE),0)</f>
        <v>0.29999999999999993</v>
      </c>
      <c r="AY1720" s="44">
        <v>0</v>
      </c>
    </row>
    <row r="1721" spans="1:51" x14ac:dyDescent="0.25">
      <c r="A1721" s="34">
        <v>1719</v>
      </c>
      <c r="B1721" s="34" t="s">
        <v>49</v>
      </c>
      <c r="C1721" s="110" t="str">
        <f>IFERROR(INDEX(Структура_ассортимента[SuperCategory],MATCH(Товары[[#This Row],[SubGroup]],Структура_ассортимента[Subgroup],0)),"")</f>
        <v>W</v>
      </c>
      <c r="D172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2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21" s="110" t="str">
        <f>IFERROR(INDEX(Структура_ассортимента[Product group],MATCH(Товары[[#This Row],[SubGroup]],Структура_ассортимента[Subgroup],0)),"")</f>
        <v>WSS_C</v>
      </c>
      <c r="G1721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21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21" s="36">
        <v>9032</v>
      </c>
      <c r="J1721" s="36" t="str">
        <f>IFERROR(INDEX(Структура_ассортимента[Generic Name (long)],MATCH(Товары[[#This Row],[SubGroup]],Структура_ассортимента[Subgroup],0)),"")</f>
        <v>WATERING SET</v>
      </c>
      <c r="L1721" s="36">
        <v>901016201</v>
      </c>
      <c r="M1721" s="35" t="s">
        <v>3397</v>
      </c>
      <c r="O1721" s="35" t="s">
        <v>7771</v>
      </c>
      <c r="P1721" s="37" t="s">
        <v>7772</v>
      </c>
      <c r="Q1721" s="34" t="s">
        <v>3549</v>
      </c>
      <c r="R1721" s="34" t="s">
        <v>3540</v>
      </c>
      <c r="S1721" s="47">
        <v>38626</v>
      </c>
      <c r="T1721" s="47">
        <v>0</v>
      </c>
      <c r="U1721" s="47">
        <v>0</v>
      </c>
      <c r="V1721" s="34">
        <v>4078500276306</v>
      </c>
      <c r="W1721" s="34" t="s">
        <v>3543</v>
      </c>
      <c r="X1721" s="34" t="s">
        <v>3579</v>
      </c>
      <c r="Y1721" s="34" t="s">
        <v>3542</v>
      </c>
      <c r="Z1721" s="34">
        <v>10</v>
      </c>
      <c r="AA1721" s="34" t="s">
        <v>3654</v>
      </c>
      <c r="AB1721" s="34" t="s">
        <v>3654</v>
      </c>
      <c r="AC1721" s="34" t="s">
        <v>3653</v>
      </c>
      <c r="AD1721" s="34" t="s">
        <v>3653</v>
      </c>
      <c r="AE1721" s="34" t="s">
        <v>3707</v>
      </c>
      <c r="AF1721" s="34" t="s">
        <v>3711</v>
      </c>
      <c r="AG1721" s="34" t="s">
        <v>3754</v>
      </c>
      <c r="AH1721" s="34" t="s">
        <v>7773</v>
      </c>
      <c r="AI1721" s="34" t="s">
        <v>4549</v>
      </c>
      <c r="AJ1721" s="34" t="s">
        <v>4802</v>
      </c>
      <c r="AK1721" s="34" t="s">
        <v>6501</v>
      </c>
      <c r="AL1721" s="34">
        <v>1840</v>
      </c>
      <c r="AM1721" s="40" t="s">
        <v>9</v>
      </c>
      <c r="AP1721" s="34">
        <v>0</v>
      </c>
      <c r="AQ1721" s="34">
        <v>429</v>
      </c>
      <c r="AR1721" s="34">
        <v>250</v>
      </c>
      <c r="AT1721" s="44">
        <v>33200</v>
      </c>
      <c r="AU1721" s="44"/>
      <c r="AV1721" s="46">
        <f>ROUND(Товары[[#This Row],[РРЦ финальная, руб.]]/$AU$1,2)</f>
        <v>0</v>
      </c>
      <c r="AW1721" s="45" t="str">
        <f>IFERROR(Товары[[#This Row],[РРЦ, евро]]/Товары[[#This Row],[IRP, Eur]],"-")</f>
        <v>-</v>
      </c>
      <c r="AX1721" s="42">
        <f>IFERROR(VLOOKUP(Товары[[#This Row],[SubGroup]],'Структура цен DIY'!$B:$C,2,FALSE),0)</f>
        <v>0.29999999999999993</v>
      </c>
      <c r="AY1721" s="44">
        <v>0</v>
      </c>
    </row>
    <row r="1722" spans="1:51" x14ac:dyDescent="0.25">
      <c r="A1722" s="34">
        <v>1720</v>
      </c>
      <c r="B1722" s="34" t="s">
        <v>49</v>
      </c>
      <c r="C1722" s="110" t="str">
        <f>IFERROR(INDEX(Структура_ассортимента[SuperCategory],MATCH(Товары[[#This Row],[SubGroup]],Структура_ассортимента[Subgroup],0)),"")</f>
        <v>W</v>
      </c>
      <c r="D172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2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22" s="110" t="str">
        <f>IFERROR(INDEX(Структура_ассортимента[Product group],MATCH(Товары[[#This Row],[SubGroup]],Структура_ассортимента[Subgroup],0)),"")</f>
        <v>WSS_C</v>
      </c>
      <c r="G1722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22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22" s="36">
        <v>9032</v>
      </c>
      <c r="J1722" s="36" t="str">
        <f>IFERROR(INDEX(Структура_ассортимента[Generic Name (long)],MATCH(Товары[[#This Row],[SubGroup]],Структура_ассортимента[Subgroup],0)),"")</f>
        <v>WATERING SET</v>
      </c>
      <c r="L1722" s="36">
        <v>901018401</v>
      </c>
      <c r="M1722" s="35" t="s">
        <v>3398</v>
      </c>
      <c r="O1722" s="35" t="s">
        <v>7774</v>
      </c>
      <c r="P1722" s="37" t="s">
        <v>7775</v>
      </c>
      <c r="Q1722" s="34" t="s">
        <v>3652</v>
      </c>
      <c r="R1722" s="34" t="s">
        <v>3540</v>
      </c>
      <c r="S1722" s="47">
        <v>38626</v>
      </c>
      <c r="T1722" s="47">
        <v>0</v>
      </c>
      <c r="U1722" s="47">
        <v>0</v>
      </c>
      <c r="V1722" s="34">
        <v>4078500279109</v>
      </c>
      <c r="W1722" s="34" t="s">
        <v>3543</v>
      </c>
      <c r="X1722" s="34" t="s">
        <v>3579</v>
      </c>
      <c r="Y1722" s="34" t="s">
        <v>3542</v>
      </c>
      <c r="Z1722" s="34">
        <v>10</v>
      </c>
      <c r="AA1722" s="34" t="s">
        <v>3730</v>
      </c>
      <c r="AB1722" s="34" t="s">
        <v>3730</v>
      </c>
      <c r="AC1722" s="34" t="s">
        <v>3734</v>
      </c>
      <c r="AD1722" s="34" t="s">
        <v>3734</v>
      </c>
      <c r="AE1722" s="34" t="s">
        <v>4505</v>
      </c>
      <c r="AF1722" s="34" t="s">
        <v>3800</v>
      </c>
      <c r="AG1722" s="34" t="s">
        <v>3711</v>
      </c>
      <c r="AH1722" s="34" t="s">
        <v>7776</v>
      </c>
      <c r="AI1722" s="34" t="s">
        <v>5509</v>
      </c>
      <c r="AJ1722" s="34" t="s">
        <v>5006</v>
      </c>
      <c r="AK1722" s="34" t="s">
        <v>4161</v>
      </c>
      <c r="AL1722" s="34">
        <v>800</v>
      </c>
      <c r="AM1722" s="40" t="s">
        <v>9</v>
      </c>
      <c r="AP1722" s="34">
        <v>0</v>
      </c>
      <c r="AQ1722" s="34">
        <v>869</v>
      </c>
      <c r="AR1722" s="34">
        <v>507</v>
      </c>
      <c r="AT1722" s="44">
        <v>67300</v>
      </c>
      <c r="AU1722" s="44"/>
      <c r="AV1722" s="46">
        <f>ROUND(Товары[[#This Row],[РРЦ финальная, руб.]]/$AU$1,2)</f>
        <v>0</v>
      </c>
      <c r="AW1722" s="45" t="str">
        <f>IFERROR(Товары[[#This Row],[РРЦ, евро]]/Товары[[#This Row],[IRP, Eur]],"-")</f>
        <v>-</v>
      </c>
      <c r="AX1722" s="42">
        <f>IFERROR(VLOOKUP(Товары[[#This Row],[SubGroup]],'Структура цен DIY'!$B:$C,2,FALSE),0)</f>
        <v>0.29999999999999993</v>
      </c>
      <c r="AY1722" s="44">
        <v>0</v>
      </c>
    </row>
    <row r="1723" spans="1:51" x14ac:dyDescent="0.25">
      <c r="A1723" s="34">
        <v>1721</v>
      </c>
      <c r="B1723" s="34" t="s">
        <v>49</v>
      </c>
      <c r="C1723" s="110" t="str">
        <f>IFERROR(INDEX(Структура_ассортимента[SuperCategory],MATCH(Товары[[#This Row],[SubGroup]],Структура_ассортимента[Subgroup],0)),"")</f>
        <v>W</v>
      </c>
      <c r="D172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2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23" s="110" t="str">
        <f>IFERROR(INDEX(Структура_ассортимента[Product group],MATCH(Товары[[#This Row],[SubGroup]],Структура_ассортимента[Subgroup],0)),"")</f>
        <v>WSS_C</v>
      </c>
      <c r="G1723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23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23" s="36">
        <v>9032</v>
      </c>
      <c r="J1723" s="36" t="str">
        <f>IFERROR(INDEX(Структура_ассортимента[Generic Name (long)],MATCH(Товары[[#This Row],[SubGroup]],Структура_ассортимента[Subgroup],0)),"")</f>
        <v>WATERING SET</v>
      </c>
      <c r="L1723" s="36">
        <v>901017801</v>
      </c>
      <c r="M1723" s="35" t="s">
        <v>3399</v>
      </c>
      <c r="O1723" s="35" t="s">
        <v>7777</v>
      </c>
      <c r="P1723" s="37" t="s">
        <v>7778</v>
      </c>
      <c r="Q1723" s="34" t="s">
        <v>3549</v>
      </c>
      <c r="R1723" s="34" t="s">
        <v>3540</v>
      </c>
      <c r="S1723" s="47">
        <v>38626</v>
      </c>
      <c r="T1723" s="47">
        <v>0</v>
      </c>
      <c r="U1723" s="47">
        <v>0</v>
      </c>
      <c r="V1723" s="34">
        <v>4078500278409</v>
      </c>
      <c r="W1723" s="34" t="s">
        <v>3543</v>
      </c>
      <c r="X1723" s="34" t="s">
        <v>3579</v>
      </c>
      <c r="Y1723" s="34" t="s">
        <v>3542</v>
      </c>
      <c r="Z1723" s="34">
        <v>10</v>
      </c>
      <c r="AA1723" s="34" t="s">
        <v>3727</v>
      </c>
      <c r="AB1723" s="34" t="s">
        <v>3727</v>
      </c>
      <c r="AC1723" s="34" t="s">
        <v>6599</v>
      </c>
      <c r="AD1723" s="34" t="s">
        <v>6599</v>
      </c>
      <c r="AE1723" s="34" t="s">
        <v>3557</v>
      </c>
      <c r="AF1723" s="34" t="s">
        <v>4335</v>
      </c>
      <c r="AG1723" s="34" t="s">
        <v>3711</v>
      </c>
      <c r="AH1723" s="34" t="s">
        <v>7779</v>
      </c>
      <c r="AI1723" s="34" t="s">
        <v>3557</v>
      </c>
      <c r="AJ1723" s="34" t="s">
        <v>4153</v>
      </c>
      <c r="AK1723" s="34" t="s">
        <v>4802</v>
      </c>
      <c r="AL1723" s="34">
        <v>1920</v>
      </c>
      <c r="AM1723" s="40" t="s">
        <v>9</v>
      </c>
      <c r="AP1723" s="34">
        <v>0</v>
      </c>
      <c r="AQ1723" s="34">
        <v>539</v>
      </c>
      <c r="AR1723" s="34">
        <v>314</v>
      </c>
      <c r="AT1723" s="44">
        <v>41700</v>
      </c>
      <c r="AU1723" s="44"/>
      <c r="AV1723" s="46">
        <f>ROUND(Товары[[#This Row],[РРЦ финальная, руб.]]/$AU$1,2)</f>
        <v>0</v>
      </c>
      <c r="AW1723" s="45" t="str">
        <f>IFERROR(Товары[[#This Row],[РРЦ, евро]]/Товары[[#This Row],[IRP, Eur]],"-")</f>
        <v>-</v>
      </c>
      <c r="AX1723" s="42">
        <f>IFERROR(VLOOKUP(Товары[[#This Row],[SubGroup]],'Структура цен DIY'!$B:$C,2,FALSE),0)</f>
        <v>0.29999999999999993</v>
      </c>
      <c r="AY1723" s="44">
        <v>0</v>
      </c>
    </row>
    <row r="1724" spans="1:51" x14ac:dyDescent="0.25">
      <c r="A1724" s="34">
        <v>1722</v>
      </c>
      <c r="B1724" s="34" t="s">
        <v>49</v>
      </c>
      <c r="C1724" s="110" t="str">
        <f>IFERROR(INDEX(Структура_ассортимента[SuperCategory],MATCH(Товары[[#This Row],[SubGroup]],Структура_ассортимента[Subgroup],0)),"")</f>
        <v>W</v>
      </c>
      <c r="D172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2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24" s="110" t="str">
        <f>IFERROR(INDEX(Структура_ассортимента[Product group],MATCH(Товары[[#This Row],[SubGroup]],Структура_ассортимента[Subgroup],0)),"")</f>
        <v>WSS_C</v>
      </c>
      <c r="G1724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24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24" s="36">
        <v>9032</v>
      </c>
      <c r="J1724" s="36" t="str">
        <f>IFERROR(INDEX(Структура_ассортимента[Generic Name (long)],MATCH(Товары[[#This Row],[SubGroup]],Структура_ассортимента[Subgroup],0)),"")</f>
        <v>WATERING SET</v>
      </c>
      <c r="L1724" s="36">
        <v>901017901</v>
      </c>
      <c r="M1724" s="35" t="s">
        <v>3400</v>
      </c>
      <c r="O1724" s="35" t="s">
        <v>7780</v>
      </c>
      <c r="P1724" s="37" t="s">
        <v>7781</v>
      </c>
      <c r="Q1724" s="34" t="s">
        <v>3652</v>
      </c>
      <c r="R1724" s="34" t="s">
        <v>3540</v>
      </c>
      <c r="S1724" s="47">
        <v>38626</v>
      </c>
      <c r="T1724" s="47">
        <v>0</v>
      </c>
      <c r="U1724" s="47">
        <v>0</v>
      </c>
      <c r="V1724" s="34">
        <v>4078500278508</v>
      </c>
      <c r="W1724" s="34" t="s">
        <v>3543</v>
      </c>
      <c r="X1724" s="34" t="s">
        <v>3579</v>
      </c>
      <c r="Y1724" s="34" t="s">
        <v>3542</v>
      </c>
      <c r="Z1724" s="34">
        <v>10</v>
      </c>
      <c r="AA1724" s="34" t="s">
        <v>5640</v>
      </c>
      <c r="AB1724" s="34" t="s">
        <v>5640</v>
      </c>
      <c r="AC1724" s="34" t="s">
        <v>3670</v>
      </c>
      <c r="AD1724" s="34" t="s">
        <v>3670</v>
      </c>
      <c r="AE1724" s="34" t="s">
        <v>3566</v>
      </c>
      <c r="AF1724" s="34" t="s">
        <v>3711</v>
      </c>
      <c r="AG1724" s="34" t="s">
        <v>3711</v>
      </c>
      <c r="AH1724" s="34" t="s">
        <v>7782</v>
      </c>
      <c r="AI1724" s="34" t="s">
        <v>4681</v>
      </c>
      <c r="AJ1724" s="34" t="s">
        <v>5006</v>
      </c>
      <c r="AK1724" s="34" t="s">
        <v>4161</v>
      </c>
      <c r="AL1724" s="34">
        <v>1480</v>
      </c>
      <c r="AM1724" s="40" t="s">
        <v>9</v>
      </c>
      <c r="AP1724" s="34">
        <v>0</v>
      </c>
      <c r="AQ1724" s="34">
        <v>759</v>
      </c>
      <c r="AR1724" s="34">
        <v>443</v>
      </c>
      <c r="AT1724" s="44">
        <v>58800</v>
      </c>
      <c r="AU1724" s="44"/>
      <c r="AV1724" s="46">
        <f>ROUND(Товары[[#This Row],[РРЦ финальная, руб.]]/$AU$1,2)</f>
        <v>0</v>
      </c>
      <c r="AW1724" s="45" t="str">
        <f>IFERROR(Товары[[#This Row],[РРЦ, евро]]/Товары[[#This Row],[IRP, Eur]],"-")</f>
        <v>-</v>
      </c>
      <c r="AX1724" s="42">
        <f>IFERROR(VLOOKUP(Товары[[#This Row],[SubGroup]],'Структура цен DIY'!$B:$C,2,FALSE),0)</f>
        <v>0.29999999999999993</v>
      </c>
      <c r="AY1724" s="44">
        <v>0</v>
      </c>
    </row>
    <row r="1725" spans="1:51" x14ac:dyDescent="0.25">
      <c r="A1725" s="34">
        <v>1723</v>
      </c>
      <c r="B1725" s="34" t="s">
        <v>49</v>
      </c>
      <c r="C1725" s="110" t="str">
        <f>IFERROR(INDEX(Структура_ассортимента[SuperCategory],MATCH(Товары[[#This Row],[SubGroup]],Структура_ассортимента[Subgroup],0)),"")</f>
        <v>W</v>
      </c>
      <c r="D172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2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25" s="110" t="str">
        <f>IFERROR(INDEX(Структура_ассортимента[Product group],MATCH(Товары[[#This Row],[SubGroup]],Структура_ассортимента[Subgroup],0)),"")</f>
        <v>WSS_C</v>
      </c>
      <c r="G1725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25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25" s="36">
        <v>9032</v>
      </c>
      <c r="J1725" s="36" t="str">
        <f>IFERROR(INDEX(Структура_ассортимента[Generic Name (long)],MATCH(Товары[[#This Row],[SubGroup]],Структура_ассортимента[Subgroup],0)),"")</f>
        <v>WATERING SET</v>
      </c>
      <c r="L1725" s="36">
        <v>966408901</v>
      </c>
      <c r="M1725" s="35" t="s">
        <v>3401</v>
      </c>
      <c r="O1725" s="35" t="s">
        <v>7783</v>
      </c>
      <c r="P1725" s="37" t="s">
        <v>7784</v>
      </c>
      <c r="Q1725" s="34" t="s">
        <v>3549</v>
      </c>
      <c r="R1725" s="34" t="s">
        <v>3540</v>
      </c>
      <c r="S1725" s="47">
        <v>40087</v>
      </c>
      <c r="T1725" s="47">
        <v>0</v>
      </c>
      <c r="U1725" s="47">
        <v>0</v>
      </c>
      <c r="V1725" s="34">
        <v>4078500276405</v>
      </c>
      <c r="W1725" s="34" t="s">
        <v>3543</v>
      </c>
      <c r="X1725" s="34" t="s">
        <v>3579</v>
      </c>
      <c r="Y1725" s="34" t="s">
        <v>3542</v>
      </c>
      <c r="Z1725" s="34">
        <v>10</v>
      </c>
      <c r="AA1725" s="34" t="s">
        <v>6044</v>
      </c>
      <c r="AB1725" s="34" t="s">
        <v>6044</v>
      </c>
      <c r="AC1725" s="34" t="s">
        <v>7706</v>
      </c>
      <c r="AD1725" s="34" t="s">
        <v>7706</v>
      </c>
      <c r="AE1725" s="34" t="s">
        <v>4391</v>
      </c>
      <c r="AF1725" s="34" t="s">
        <v>3566</v>
      </c>
      <c r="AG1725" s="34" t="s">
        <v>4324</v>
      </c>
      <c r="AH1725" s="34" t="s">
        <v>7785</v>
      </c>
      <c r="AI1725" s="34" t="s">
        <v>4681</v>
      </c>
      <c r="AJ1725" s="34" t="s">
        <v>4133</v>
      </c>
      <c r="AK1725" s="34" t="s">
        <v>4681</v>
      </c>
      <c r="AL1725" s="34">
        <v>800</v>
      </c>
      <c r="AM1725" s="40" t="s">
        <v>9</v>
      </c>
      <c r="AP1725" s="34">
        <v>0</v>
      </c>
      <c r="AQ1725" s="34">
        <v>869</v>
      </c>
      <c r="AR1725" s="34">
        <v>507</v>
      </c>
      <c r="AT1725" s="44">
        <v>67300</v>
      </c>
      <c r="AU1725" s="44"/>
      <c r="AV1725" s="46">
        <f>ROUND(Товары[[#This Row],[РРЦ финальная, руб.]]/$AU$1,2)</f>
        <v>0</v>
      </c>
      <c r="AW1725" s="45" t="str">
        <f>IFERROR(Товары[[#This Row],[РРЦ, евро]]/Товары[[#This Row],[IRP, Eur]],"-")</f>
        <v>-</v>
      </c>
      <c r="AX1725" s="42">
        <f>IFERROR(VLOOKUP(Товары[[#This Row],[SubGroup]],'Структура цен DIY'!$B:$C,2,FALSE),0)</f>
        <v>0.29999999999999993</v>
      </c>
      <c r="AY1725" s="44">
        <v>0</v>
      </c>
    </row>
    <row r="1726" spans="1:51" x14ac:dyDescent="0.25">
      <c r="A1726" s="34">
        <v>1724</v>
      </c>
      <c r="B1726" s="34" t="s">
        <v>49</v>
      </c>
      <c r="C1726" s="110" t="str">
        <f>IFERROR(INDEX(Структура_ассортимента[SuperCategory],MATCH(Товары[[#This Row],[SubGroup]],Структура_ассортимента[Subgroup],0)),"")</f>
        <v>W</v>
      </c>
      <c r="D172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2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26" s="110" t="str">
        <f>IFERROR(INDEX(Структура_ассортимента[Product group],MATCH(Товары[[#This Row],[SubGroup]],Структура_ассортимента[Subgroup],0)),"")</f>
        <v>WSS_C</v>
      </c>
      <c r="G1726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26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26" s="36">
        <v>9032</v>
      </c>
      <c r="J1726" s="36" t="str">
        <f>IFERROR(INDEX(Структура_ассортимента[Generic Name (long)],MATCH(Товары[[#This Row],[SubGroup]],Структура_ассортимента[Subgroup],0)),"")</f>
        <v>WATERING SET</v>
      </c>
      <c r="L1726" s="36">
        <v>901014001</v>
      </c>
      <c r="M1726" s="35" t="s">
        <v>3402</v>
      </c>
      <c r="O1726" s="35" t="s">
        <v>7786</v>
      </c>
      <c r="P1726" s="37" t="s">
        <v>7787</v>
      </c>
      <c r="Q1726" s="34" t="s">
        <v>3549</v>
      </c>
      <c r="R1726" s="34" t="s">
        <v>3540</v>
      </c>
      <c r="S1726" s="47">
        <v>36845</v>
      </c>
      <c r="T1726" s="47">
        <v>0</v>
      </c>
      <c r="U1726" s="47">
        <v>0</v>
      </c>
      <c r="V1726" s="34">
        <v>4078500273909</v>
      </c>
      <c r="W1726" s="34" t="s">
        <v>3550</v>
      </c>
      <c r="X1726" s="34" t="s">
        <v>3579</v>
      </c>
      <c r="Y1726" s="34" t="s">
        <v>3542</v>
      </c>
      <c r="Z1726" s="34">
        <v>10</v>
      </c>
      <c r="AA1726" s="34" t="s">
        <v>5640</v>
      </c>
      <c r="AB1726" s="34" t="s">
        <v>5640</v>
      </c>
      <c r="AC1726" s="34" t="s">
        <v>6075</v>
      </c>
      <c r="AD1726" s="34" t="s">
        <v>6075</v>
      </c>
      <c r="AE1726" s="34" t="s">
        <v>5592</v>
      </c>
      <c r="AF1726" s="34" t="s">
        <v>5680</v>
      </c>
      <c r="AG1726" s="34" t="s">
        <v>4234</v>
      </c>
      <c r="AH1726" s="34" t="s">
        <v>6540</v>
      </c>
      <c r="AL1726" s="34">
        <v>1700</v>
      </c>
      <c r="AM1726" s="40" t="s">
        <v>9</v>
      </c>
      <c r="AP1726" s="34">
        <v>0</v>
      </c>
      <c r="AQ1726" s="34">
        <v>1089</v>
      </c>
      <c r="AR1726" s="34">
        <v>635</v>
      </c>
      <c r="AT1726" s="44">
        <v>84300</v>
      </c>
      <c r="AU1726" s="44"/>
      <c r="AV1726" s="46">
        <f>ROUND(Товары[[#This Row],[РРЦ финальная, руб.]]/$AU$1,2)</f>
        <v>0</v>
      </c>
      <c r="AW1726" s="45" t="str">
        <f>IFERROR(Товары[[#This Row],[РРЦ, евро]]/Товары[[#This Row],[IRP, Eur]],"-")</f>
        <v>-</v>
      </c>
      <c r="AX1726" s="42">
        <f>IFERROR(VLOOKUP(Товары[[#This Row],[SubGroup]],'Структура цен DIY'!$B:$C,2,FALSE),0)</f>
        <v>0.29999999999999993</v>
      </c>
      <c r="AY1726" s="44">
        <v>0</v>
      </c>
    </row>
    <row r="1727" spans="1:51" x14ac:dyDescent="0.25">
      <c r="A1727" s="34">
        <v>1725</v>
      </c>
      <c r="B1727" s="34" t="s">
        <v>49</v>
      </c>
      <c r="C1727" s="110" t="str">
        <f>IFERROR(INDEX(Структура_ассортимента[SuperCategory],MATCH(Товары[[#This Row],[SubGroup]],Структура_ассортимента[Subgroup],0)),"")</f>
        <v>W</v>
      </c>
      <c r="D172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2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27" s="110" t="str">
        <f>IFERROR(INDEX(Структура_ассортимента[Product group],MATCH(Товары[[#This Row],[SubGroup]],Структура_ассортимента[Subgroup],0)),"")</f>
        <v>WSS_C</v>
      </c>
      <c r="G1727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27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27" s="36">
        <v>9032</v>
      </c>
      <c r="J1727" s="36" t="str">
        <f>IFERROR(INDEX(Структура_ассортимента[Generic Name (long)],MATCH(Товары[[#This Row],[SubGroup]],Структура_ассортимента[Subgroup],0)),"")</f>
        <v>WATERING SET</v>
      </c>
      <c r="L1727" s="36">
        <v>901014101</v>
      </c>
      <c r="M1727" s="35" t="s">
        <v>3403</v>
      </c>
      <c r="O1727" s="35" t="s">
        <v>7788</v>
      </c>
      <c r="P1727" s="37" t="s">
        <v>7789</v>
      </c>
      <c r="Q1727" s="34" t="s">
        <v>3549</v>
      </c>
      <c r="R1727" s="34" t="s">
        <v>3540</v>
      </c>
      <c r="S1727" s="47">
        <v>36845</v>
      </c>
      <c r="T1727" s="47">
        <v>0</v>
      </c>
      <c r="U1727" s="47">
        <v>0</v>
      </c>
      <c r="V1727" s="34">
        <v>4078500274005</v>
      </c>
      <c r="W1727" s="34" t="s">
        <v>3550</v>
      </c>
      <c r="X1727" s="34" t="s">
        <v>3579</v>
      </c>
      <c r="Y1727" s="34" t="s">
        <v>3542</v>
      </c>
      <c r="Z1727" s="34">
        <v>10</v>
      </c>
      <c r="AA1727" s="34" t="s">
        <v>6668</v>
      </c>
      <c r="AB1727" s="34" t="s">
        <v>6668</v>
      </c>
      <c r="AC1727" s="34" t="s">
        <v>5640</v>
      </c>
      <c r="AD1727" s="34" t="s">
        <v>5640</v>
      </c>
      <c r="AE1727" s="34" t="s">
        <v>3580</v>
      </c>
      <c r="AF1727" s="34" t="s">
        <v>3800</v>
      </c>
      <c r="AG1727" s="34" t="s">
        <v>3800</v>
      </c>
      <c r="AH1727" s="34" t="s">
        <v>7790</v>
      </c>
      <c r="AL1727" s="34">
        <v>1700</v>
      </c>
      <c r="AM1727" s="40" t="s">
        <v>9</v>
      </c>
      <c r="AP1727" s="34">
        <v>0</v>
      </c>
      <c r="AQ1727" s="34">
        <v>1089</v>
      </c>
      <c r="AR1727" s="34">
        <v>635</v>
      </c>
      <c r="AT1727" s="44">
        <v>84300</v>
      </c>
      <c r="AU1727" s="44"/>
      <c r="AV1727" s="46">
        <f>ROUND(Товары[[#This Row],[РРЦ финальная, руб.]]/$AU$1,2)</f>
        <v>0</v>
      </c>
      <c r="AW1727" s="45" t="str">
        <f>IFERROR(Товары[[#This Row],[РРЦ, евро]]/Товары[[#This Row],[IRP, Eur]],"-")</f>
        <v>-</v>
      </c>
      <c r="AX1727" s="42">
        <f>IFERROR(VLOOKUP(Товары[[#This Row],[SubGroup]],'Структура цен DIY'!$B:$C,2,FALSE),0)</f>
        <v>0.29999999999999993</v>
      </c>
      <c r="AY1727" s="44">
        <v>0</v>
      </c>
    </row>
    <row r="1728" spans="1:51" x14ac:dyDescent="0.25">
      <c r="A1728" s="34">
        <v>1726</v>
      </c>
      <c r="B1728" s="34" t="s">
        <v>49</v>
      </c>
      <c r="C1728" s="110" t="str">
        <f>IFERROR(INDEX(Структура_ассортимента[SuperCategory],MATCH(Товары[[#This Row],[SubGroup]],Структура_ассортимента[Subgroup],0)),"")</f>
        <v>W</v>
      </c>
      <c r="D172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2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28" s="110" t="str">
        <f>IFERROR(INDEX(Структура_ассортимента[Product group],MATCH(Товары[[#This Row],[SubGroup]],Структура_ассортимента[Subgroup],0)),"")</f>
        <v>WSS_C</v>
      </c>
      <c r="G1728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28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28" s="36">
        <v>9032</v>
      </c>
      <c r="J1728" s="36" t="str">
        <f>IFERROR(INDEX(Структура_ассортимента[Generic Name (long)],MATCH(Товары[[#This Row],[SubGroup]],Структура_ассортимента[Subgroup],0)),"")</f>
        <v>WATERING SET</v>
      </c>
      <c r="L1728" s="36">
        <v>901014301</v>
      </c>
      <c r="M1728" s="35" t="s">
        <v>3404</v>
      </c>
      <c r="O1728" s="35" t="s">
        <v>7791</v>
      </c>
      <c r="P1728" s="37" t="s">
        <v>7792</v>
      </c>
      <c r="Q1728" s="34" t="s">
        <v>3549</v>
      </c>
      <c r="R1728" s="34" t="s">
        <v>3540</v>
      </c>
      <c r="S1728" s="47">
        <v>36845</v>
      </c>
      <c r="T1728" s="47">
        <v>0</v>
      </c>
      <c r="U1728" s="47">
        <v>0</v>
      </c>
      <c r="V1728" s="34">
        <v>40785080</v>
      </c>
      <c r="W1728" s="34" t="s">
        <v>3550</v>
      </c>
      <c r="X1728" s="34" t="s">
        <v>3907</v>
      </c>
      <c r="Y1728" s="34" t="s">
        <v>3542</v>
      </c>
      <c r="Z1728" s="34">
        <v>20</v>
      </c>
      <c r="AA1728" s="34" t="s">
        <v>7097</v>
      </c>
      <c r="AB1728" s="34" t="s">
        <v>7097</v>
      </c>
      <c r="AC1728" s="34" t="s">
        <v>6556</v>
      </c>
      <c r="AD1728" s="34" t="s">
        <v>6556</v>
      </c>
      <c r="AE1728" s="34" t="s">
        <v>6811</v>
      </c>
      <c r="AF1728" s="34" t="s">
        <v>4234</v>
      </c>
      <c r="AG1728" s="34" t="s">
        <v>3932</v>
      </c>
      <c r="AH1728" s="34" t="s">
        <v>7793</v>
      </c>
      <c r="AL1728" s="34">
        <v>4620</v>
      </c>
      <c r="AM1728" s="40" t="s">
        <v>9</v>
      </c>
      <c r="AP1728" s="34">
        <v>0</v>
      </c>
      <c r="AQ1728" s="34">
        <v>209</v>
      </c>
      <c r="AR1728" s="34">
        <v>122</v>
      </c>
      <c r="AT1728" s="44">
        <v>16200</v>
      </c>
      <c r="AU1728" s="44"/>
      <c r="AV1728" s="46">
        <f>ROUND(Товары[[#This Row],[РРЦ финальная, руб.]]/$AU$1,2)</f>
        <v>0</v>
      </c>
      <c r="AW1728" s="45" t="str">
        <f>IFERROR(Товары[[#This Row],[РРЦ, евро]]/Товары[[#This Row],[IRP, Eur]],"-")</f>
        <v>-</v>
      </c>
      <c r="AX1728" s="42">
        <f>IFERROR(VLOOKUP(Товары[[#This Row],[SubGroup]],'Структура цен DIY'!$B:$C,2,FALSE),0)</f>
        <v>0.29999999999999993</v>
      </c>
      <c r="AY1728" s="44">
        <v>0</v>
      </c>
    </row>
    <row r="1729" spans="1:51" x14ac:dyDescent="0.25">
      <c r="A1729" s="34">
        <v>1727</v>
      </c>
      <c r="B1729" s="34" t="s">
        <v>49</v>
      </c>
      <c r="C1729" s="110" t="str">
        <f>IFERROR(INDEX(Структура_ассортимента[SuperCategory],MATCH(Товары[[#This Row],[SubGroup]],Структура_ассортимента[Subgroup],0)),"")</f>
        <v>W</v>
      </c>
      <c r="D172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2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29" s="110" t="str">
        <f>IFERROR(INDEX(Структура_ассортимента[Product group],MATCH(Товары[[#This Row],[SubGroup]],Структура_ассортимента[Subgroup],0)),"")</f>
        <v>WSS_C</v>
      </c>
      <c r="G1729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29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29" s="36">
        <v>9032</v>
      </c>
      <c r="J1729" s="36" t="str">
        <f>IFERROR(INDEX(Структура_ассортимента[Generic Name (long)],MATCH(Товары[[#This Row],[SubGroup]],Структура_ассортимента[Subgroup],0)),"")</f>
        <v>WATERING SET</v>
      </c>
      <c r="L1729" s="36">
        <v>901014401</v>
      </c>
      <c r="M1729" s="35" t="s">
        <v>3405</v>
      </c>
      <c r="O1729" s="35" t="s">
        <v>7794</v>
      </c>
      <c r="P1729" s="37" t="s">
        <v>7795</v>
      </c>
      <c r="Q1729" s="34" t="s">
        <v>3549</v>
      </c>
      <c r="R1729" s="34" t="s">
        <v>3540</v>
      </c>
      <c r="S1729" s="47">
        <v>36845</v>
      </c>
      <c r="T1729" s="47">
        <v>0</v>
      </c>
      <c r="U1729" s="47">
        <v>0</v>
      </c>
      <c r="V1729" s="34">
        <v>40785097</v>
      </c>
      <c r="W1729" s="34" t="s">
        <v>3550</v>
      </c>
      <c r="X1729" s="34" t="s">
        <v>3907</v>
      </c>
      <c r="Y1729" s="34" t="s">
        <v>3542</v>
      </c>
      <c r="Z1729" s="34">
        <v>20</v>
      </c>
      <c r="AA1729" s="34" t="s">
        <v>6519</v>
      </c>
      <c r="AB1729" s="34" t="s">
        <v>6519</v>
      </c>
      <c r="AC1729" s="34" t="s">
        <v>5647</v>
      </c>
      <c r="AD1729" s="34" t="s">
        <v>5647</v>
      </c>
      <c r="AE1729" s="34" t="s">
        <v>3894</v>
      </c>
      <c r="AF1729" s="34" t="s">
        <v>3672</v>
      </c>
      <c r="AG1729" s="34" t="s">
        <v>3672</v>
      </c>
      <c r="AH1729" s="34" t="s">
        <v>7796</v>
      </c>
      <c r="AL1729" s="34">
        <v>4620</v>
      </c>
      <c r="AM1729" s="40" t="s">
        <v>9</v>
      </c>
      <c r="AP1729" s="34">
        <v>0</v>
      </c>
      <c r="AQ1729" s="34">
        <v>209</v>
      </c>
      <c r="AR1729" s="34">
        <v>122</v>
      </c>
      <c r="AT1729" s="44">
        <v>16200</v>
      </c>
      <c r="AU1729" s="44"/>
      <c r="AV1729" s="46">
        <f>ROUND(Товары[[#This Row],[РРЦ финальная, руб.]]/$AU$1,2)</f>
        <v>0</v>
      </c>
      <c r="AW1729" s="45" t="str">
        <f>IFERROR(Товары[[#This Row],[РРЦ, евро]]/Товары[[#This Row],[IRP, Eur]],"-")</f>
        <v>-</v>
      </c>
      <c r="AX1729" s="42">
        <f>IFERROR(VLOOKUP(Товары[[#This Row],[SubGroup]],'Структура цен DIY'!$B:$C,2,FALSE),0)</f>
        <v>0.29999999999999993</v>
      </c>
      <c r="AY1729" s="44">
        <v>0</v>
      </c>
    </row>
    <row r="1730" spans="1:51" x14ac:dyDescent="0.25">
      <c r="A1730" s="34">
        <v>1728</v>
      </c>
      <c r="B1730" s="34" t="s">
        <v>49</v>
      </c>
      <c r="C1730" s="110" t="str">
        <f>IFERROR(INDEX(Структура_ассортимента[SuperCategory],MATCH(Товары[[#This Row],[SubGroup]],Структура_ассортимента[Subgroup],0)),"")</f>
        <v>W</v>
      </c>
      <c r="D173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3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30" s="110" t="str">
        <f>IFERROR(INDEX(Структура_ассортимента[Product group],MATCH(Товары[[#This Row],[SubGroup]],Структура_ассортимента[Subgroup],0)),"")</f>
        <v>WSS_C</v>
      </c>
      <c r="G1730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30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30" s="36">
        <v>9032</v>
      </c>
      <c r="J1730" s="36" t="str">
        <f>IFERROR(INDEX(Структура_ассортимента[Generic Name (long)],MATCH(Товары[[#This Row],[SubGroup]],Структура_ассортимента[Subgroup],0)),"")</f>
        <v>WATERING SET</v>
      </c>
      <c r="L1730" s="36">
        <v>901016401</v>
      </c>
      <c r="M1730" s="35" t="s">
        <v>3406</v>
      </c>
      <c r="O1730" s="35" t="s">
        <v>7797</v>
      </c>
      <c r="P1730" s="37" t="s">
        <v>7798</v>
      </c>
      <c r="Q1730" s="34" t="s">
        <v>3652</v>
      </c>
      <c r="R1730" s="34" t="s">
        <v>3540</v>
      </c>
      <c r="S1730" s="47">
        <v>38626</v>
      </c>
      <c r="T1730" s="47">
        <v>0</v>
      </c>
      <c r="U1730" s="47">
        <v>0</v>
      </c>
      <c r="V1730" s="34">
        <v>4078500276702</v>
      </c>
      <c r="W1730" s="34" t="s">
        <v>3543</v>
      </c>
      <c r="X1730" s="34" t="s">
        <v>3579</v>
      </c>
      <c r="Y1730" s="34" t="s">
        <v>3542</v>
      </c>
      <c r="Z1730" s="34">
        <v>10</v>
      </c>
      <c r="AA1730" s="34" t="s">
        <v>3729</v>
      </c>
      <c r="AB1730" s="34" t="s">
        <v>3729</v>
      </c>
      <c r="AC1730" s="34" t="s">
        <v>6669</v>
      </c>
      <c r="AD1730" s="34" t="s">
        <v>6669</v>
      </c>
      <c r="AE1730" s="34" t="s">
        <v>3800</v>
      </c>
      <c r="AF1730" s="34" t="s">
        <v>3711</v>
      </c>
      <c r="AG1730" s="34" t="s">
        <v>3711</v>
      </c>
      <c r="AH1730" s="34" t="s">
        <v>7799</v>
      </c>
      <c r="AI1730" s="34" t="s">
        <v>5006</v>
      </c>
      <c r="AJ1730" s="34" t="s">
        <v>4161</v>
      </c>
      <c r="AK1730" s="34" t="s">
        <v>4402</v>
      </c>
      <c r="AL1730" s="34">
        <v>1840</v>
      </c>
      <c r="AM1730" s="40" t="s">
        <v>9</v>
      </c>
      <c r="AP1730" s="34">
        <v>0</v>
      </c>
      <c r="AQ1730" s="34">
        <v>649</v>
      </c>
      <c r="AR1730" s="34">
        <v>379</v>
      </c>
      <c r="AT1730" s="44">
        <v>50300</v>
      </c>
      <c r="AU1730" s="44"/>
      <c r="AV1730" s="46">
        <f>ROUND(Товары[[#This Row],[РРЦ финальная, руб.]]/$AU$1,2)</f>
        <v>0</v>
      </c>
      <c r="AW1730" s="45" t="str">
        <f>IFERROR(Товары[[#This Row],[РРЦ, евро]]/Товары[[#This Row],[IRP, Eur]],"-")</f>
        <v>-</v>
      </c>
      <c r="AX1730" s="42">
        <f>IFERROR(VLOOKUP(Товары[[#This Row],[SubGroup]],'Структура цен DIY'!$B:$C,2,FALSE),0)</f>
        <v>0.29999999999999993</v>
      </c>
      <c r="AY1730" s="44">
        <v>0</v>
      </c>
    </row>
    <row r="1731" spans="1:51" x14ac:dyDescent="0.25">
      <c r="A1731" s="34">
        <v>1729</v>
      </c>
      <c r="B1731" s="34" t="s">
        <v>49</v>
      </c>
      <c r="C1731" s="110" t="str">
        <f>IFERROR(INDEX(Структура_ассортимента[SuperCategory],MATCH(Товары[[#This Row],[SubGroup]],Структура_ассортимента[Subgroup],0)),"")</f>
        <v>W</v>
      </c>
      <c r="D173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3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31" s="110" t="str">
        <f>IFERROR(INDEX(Структура_ассортимента[Product group],MATCH(Товары[[#This Row],[SubGroup]],Структура_ассортимента[Subgroup],0)),"")</f>
        <v>WSS_C</v>
      </c>
      <c r="G1731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31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31" s="36">
        <v>9032</v>
      </c>
      <c r="J1731" s="36" t="str">
        <f>IFERROR(INDEX(Структура_ассортимента[Generic Name (long)],MATCH(Товары[[#This Row],[SubGroup]],Структура_ассортимента[Subgroup],0)),"")</f>
        <v>WATERING SET</v>
      </c>
      <c r="L1731" s="36">
        <v>901016501</v>
      </c>
      <c r="M1731" s="35" t="s">
        <v>3407</v>
      </c>
      <c r="O1731" s="35" t="s">
        <v>7800</v>
      </c>
      <c r="P1731" s="37" t="s">
        <v>7801</v>
      </c>
      <c r="Q1731" s="34" t="s">
        <v>3652</v>
      </c>
      <c r="R1731" s="34" t="s">
        <v>3540</v>
      </c>
      <c r="S1731" s="47">
        <v>38626</v>
      </c>
      <c r="T1731" s="47">
        <v>0</v>
      </c>
      <c r="U1731" s="47">
        <v>0</v>
      </c>
      <c r="V1731" s="34">
        <v>4078500276801</v>
      </c>
      <c r="W1731" s="34" t="s">
        <v>3543</v>
      </c>
      <c r="X1731" s="34" t="s">
        <v>3579</v>
      </c>
      <c r="Y1731" s="34" t="s">
        <v>3542</v>
      </c>
      <c r="Z1731" s="34">
        <v>10</v>
      </c>
      <c r="AA1731" s="34" t="s">
        <v>3727</v>
      </c>
      <c r="AB1731" s="34" t="s">
        <v>3727</v>
      </c>
      <c r="AC1731" s="34" t="s">
        <v>6072</v>
      </c>
      <c r="AD1731" s="34" t="s">
        <v>6072</v>
      </c>
      <c r="AE1731" s="34" t="s">
        <v>4549</v>
      </c>
      <c r="AF1731" s="34" t="s">
        <v>3711</v>
      </c>
      <c r="AG1731" s="34" t="s">
        <v>3711</v>
      </c>
      <c r="AH1731" s="34" t="s">
        <v>7802</v>
      </c>
      <c r="AI1731" s="34" t="s">
        <v>4632</v>
      </c>
      <c r="AJ1731" s="34" t="s">
        <v>4161</v>
      </c>
      <c r="AK1731" s="34" t="s">
        <v>4402</v>
      </c>
      <c r="AL1731" s="34">
        <v>1840</v>
      </c>
      <c r="AM1731" s="40" t="s">
        <v>9</v>
      </c>
      <c r="AP1731" s="34">
        <v>0</v>
      </c>
      <c r="AQ1731" s="34">
        <v>649</v>
      </c>
      <c r="AR1731" s="34">
        <v>379</v>
      </c>
      <c r="AT1731" s="44">
        <v>50300</v>
      </c>
      <c r="AU1731" s="44"/>
      <c r="AV1731" s="46">
        <f>ROUND(Товары[[#This Row],[РРЦ финальная, руб.]]/$AU$1,2)</f>
        <v>0</v>
      </c>
      <c r="AW1731" s="45" t="str">
        <f>IFERROR(Товары[[#This Row],[РРЦ, евро]]/Товары[[#This Row],[IRP, Eur]],"-")</f>
        <v>-</v>
      </c>
      <c r="AX1731" s="42">
        <f>IFERROR(VLOOKUP(Товары[[#This Row],[SubGroup]],'Структура цен DIY'!$B:$C,2,FALSE),0)</f>
        <v>0.29999999999999993</v>
      </c>
      <c r="AY1731" s="44">
        <v>0</v>
      </c>
    </row>
    <row r="1732" spans="1:51" x14ac:dyDescent="0.25">
      <c r="A1732" s="34">
        <v>1730</v>
      </c>
      <c r="B1732" s="34" t="s">
        <v>49</v>
      </c>
      <c r="C1732" s="110" t="str">
        <f>IFERROR(INDEX(Структура_ассортимента[SuperCategory],MATCH(Товары[[#This Row],[SubGroup]],Структура_ассортимента[Subgroup],0)),"")</f>
        <v>W</v>
      </c>
      <c r="D173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3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32" s="110" t="str">
        <f>IFERROR(INDEX(Структура_ассортимента[Product group],MATCH(Товары[[#This Row],[SubGroup]],Структура_ассортимента[Subgroup],0)),"")</f>
        <v>WSS_C</v>
      </c>
      <c r="G1732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32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32" s="36">
        <v>9032</v>
      </c>
      <c r="J1732" s="36" t="str">
        <f>IFERROR(INDEX(Структура_ассортимента[Generic Name (long)],MATCH(Товары[[#This Row],[SubGroup]],Структура_ассортимента[Subgroup],0)),"")</f>
        <v>WATERING SET</v>
      </c>
      <c r="L1732" s="36">
        <v>901016601</v>
      </c>
      <c r="M1732" s="35" t="s">
        <v>3408</v>
      </c>
      <c r="O1732" s="35" t="s">
        <v>7803</v>
      </c>
      <c r="P1732" s="37" t="s">
        <v>7804</v>
      </c>
      <c r="Q1732" s="34" t="s">
        <v>3652</v>
      </c>
      <c r="R1732" s="34" t="s">
        <v>3540</v>
      </c>
      <c r="S1732" s="47">
        <v>38626</v>
      </c>
      <c r="T1732" s="47">
        <v>0</v>
      </c>
      <c r="U1732" s="47">
        <v>0</v>
      </c>
      <c r="V1732" s="34">
        <v>4078500276900</v>
      </c>
      <c r="W1732" s="34" t="s">
        <v>3543</v>
      </c>
      <c r="X1732" s="34" t="s">
        <v>3579</v>
      </c>
      <c r="Y1732" s="34" t="s">
        <v>3542</v>
      </c>
      <c r="Z1732" s="34">
        <v>10</v>
      </c>
      <c r="AA1732" s="34" t="s">
        <v>6495</v>
      </c>
      <c r="AB1732" s="34" t="s">
        <v>6495</v>
      </c>
      <c r="AC1732" s="34" t="s">
        <v>5640</v>
      </c>
      <c r="AD1732" s="34" t="s">
        <v>5640</v>
      </c>
      <c r="AE1732" s="34" t="s">
        <v>3800</v>
      </c>
      <c r="AF1732" s="34" t="s">
        <v>3711</v>
      </c>
      <c r="AG1732" s="34" t="s">
        <v>3711</v>
      </c>
      <c r="AH1732" s="34" t="s">
        <v>7799</v>
      </c>
      <c r="AI1732" s="34" t="s">
        <v>5006</v>
      </c>
      <c r="AJ1732" s="34" t="s">
        <v>4161</v>
      </c>
      <c r="AK1732" s="34" t="s">
        <v>4402</v>
      </c>
      <c r="AL1732" s="34">
        <v>1840</v>
      </c>
      <c r="AM1732" s="40" t="s">
        <v>9</v>
      </c>
      <c r="AP1732" s="34">
        <v>0</v>
      </c>
      <c r="AQ1732" s="34">
        <v>649</v>
      </c>
      <c r="AR1732" s="34">
        <v>379</v>
      </c>
      <c r="AT1732" s="44">
        <v>50300</v>
      </c>
      <c r="AU1732" s="44"/>
      <c r="AV1732" s="46">
        <f>ROUND(Товары[[#This Row],[РРЦ финальная, руб.]]/$AU$1,2)</f>
        <v>0</v>
      </c>
      <c r="AW1732" s="45" t="str">
        <f>IFERROR(Товары[[#This Row],[РРЦ, евро]]/Товары[[#This Row],[IRP, Eur]],"-")</f>
        <v>-</v>
      </c>
      <c r="AX1732" s="42">
        <f>IFERROR(VLOOKUP(Товары[[#This Row],[SubGroup]],'Структура цен DIY'!$B:$C,2,FALSE),0)</f>
        <v>0.29999999999999993</v>
      </c>
      <c r="AY1732" s="44">
        <v>0</v>
      </c>
    </row>
    <row r="1733" spans="1:51" x14ac:dyDescent="0.25">
      <c r="A1733" s="34">
        <v>1731</v>
      </c>
      <c r="B1733" s="34" t="s">
        <v>49</v>
      </c>
      <c r="C1733" s="110" t="str">
        <f>IFERROR(INDEX(Структура_ассортимента[SuperCategory],MATCH(Товары[[#This Row],[SubGroup]],Структура_ассортимента[Subgroup],0)),"")</f>
        <v>W</v>
      </c>
      <c r="D173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3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33" s="110" t="str">
        <f>IFERROR(INDEX(Структура_ассортимента[Product group],MATCH(Товары[[#This Row],[SubGroup]],Структура_ассортимента[Subgroup],0)),"")</f>
        <v>WSS_C</v>
      </c>
      <c r="G1733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33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33" s="36">
        <v>9032</v>
      </c>
      <c r="J1733" s="36" t="str">
        <f>IFERROR(INDEX(Структура_ассортимента[Generic Name (long)],MATCH(Товары[[#This Row],[SubGroup]],Структура_ассортимента[Subgroup],0)),"")</f>
        <v>WATERING SET</v>
      </c>
      <c r="L1733" s="36">
        <v>966688401</v>
      </c>
      <c r="M1733" s="35" t="s">
        <v>3409</v>
      </c>
      <c r="O1733" s="35" t="s">
        <v>7805</v>
      </c>
      <c r="P1733" s="37" t="s">
        <v>7806</v>
      </c>
      <c r="Q1733" s="34" t="s">
        <v>3549</v>
      </c>
      <c r="R1733" s="34" t="s">
        <v>3540</v>
      </c>
      <c r="S1733" s="47">
        <v>40452</v>
      </c>
      <c r="T1733" s="47">
        <v>0</v>
      </c>
      <c r="U1733" s="47">
        <v>0</v>
      </c>
      <c r="V1733" s="34">
        <v>4078500276078</v>
      </c>
      <c r="W1733" s="34" t="s">
        <v>3543</v>
      </c>
      <c r="X1733" s="34" t="s">
        <v>3579</v>
      </c>
      <c r="Y1733" s="34" t="s">
        <v>3542</v>
      </c>
      <c r="Z1733" s="34">
        <v>10</v>
      </c>
      <c r="AA1733" s="34" t="s">
        <v>3667</v>
      </c>
      <c r="AB1733" s="34" t="s">
        <v>3667</v>
      </c>
      <c r="AC1733" s="34" t="s">
        <v>3717</v>
      </c>
      <c r="AD1733" s="34" t="s">
        <v>3717</v>
      </c>
      <c r="AE1733" s="34" t="s">
        <v>3693</v>
      </c>
      <c r="AF1733" s="34" t="s">
        <v>3576</v>
      </c>
      <c r="AG1733" s="34" t="s">
        <v>3672</v>
      </c>
      <c r="AH1733" s="34" t="s">
        <v>6652</v>
      </c>
      <c r="AI1733" s="34" t="s">
        <v>4221</v>
      </c>
      <c r="AJ1733" s="34" t="s">
        <v>4432</v>
      </c>
      <c r="AK1733" s="34" t="s">
        <v>4221</v>
      </c>
      <c r="AL1733" s="34">
        <v>1560</v>
      </c>
      <c r="AM1733" s="40" t="s">
        <v>9</v>
      </c>
      <c r="AP1733" s="34">
        <v>0</v>
      </c>
      <c r="AQ1733" s="34">
        <v>1419</v>
      </c>
      <c r="AR1733" s="34">
        <v>828</v>
      </c>
      <c r="AT1733" s="44">
        <v>109900</v>
      </c>
      <c r="AU1733" s="44"/>
      <c r="AV1733" s="46">
        <f>ROUND(Товары[[#This Row],[РРЦ финальная, руб.]]/$AU$1,2)</f>
        <v>0</v>
      </c>
      <c r="AW1733" s="45" t="str">
        <f>IFERROR(Товары[[#This Row],[РРЦ, евро]]/Товары[[#This Row],[IRP, Eur]],"-")</f>
        <v>-</v>
      </c>
      <c r="AX1733" s="42">
        <f>IFERROR(VLOOKUP(Товары[[#This Row],[SubGroup]],'Структура цен DIY'!$B:$C,2,FALSE),0)</f>
        <v>0.29999999999999993</v>
      </c>
      <c r="AY1733" s="44">
        <v>0</v>
      </c>
    </row>
    <row r="1734" spans="1:51" x14ac:dyDescent="0.25">
      <c r="A1734" s="34">
        <v>1732</v>
      </c>
      <c r="B1734" s="34" t="s">
        <v>49</v>
      </c>
      <c r="C1734" s="110" t="str">
        <f>IFERROR(INDEX(Структура_ассортимента[SuperCategory],MATCH(Товары[[#This Row],[SubGroup]],Структура_ассортимента[Subgroup],0)),"")</f>
        <v>W</v>
      </c>
      <c r="D173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3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34" s="110" t="str">
        <f>IFERROR(INDEX(Структура_ассортимента[Product group],MATCH(Товары[[#This Row],[SubGroup]],Структура_ассортимента[Subgroup],0)),"")</f>
        <v>WSS_C</v>
      </c>
      <c r="G1734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34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34" s="36">
        <v>9032</v>
      </c>
      <c r="J1734" s="36" t="str">
        <f>IFERROR(INDEX(Структура_ассортимента[Generic Name (long)],MATCH(Товары[[#This Row],[SubGroup]],Структура_ассортимента[Subgroup],0)),"")</f>
        <v>WATERING SET</v>
      </c>
      <c r="L1734" s="36">
        <v>901015901</v>
      </c>
      <c r="M1734" s="35" t="s">
        <v>3410</v>
      </c>
      <c r="Q1734" s="34" t="s">
        <v>3549</v>
      </c>
      <c r="R1734" s="34" t="s">
        <v>3540</v>
      </c>
      <c r="S1734" s="47">
        <v>38261</v>
      </c>
      <c r="T1734" s="47">
        <v>0</v>
      </c>
      <c r="U1734" s="47">
        <v>0</v>
      </c>
      <c r="V1734" s="34">
        <v>4078500276009</v>
      </c>
      <c r="W1734" s="34" t="s">
        <v>3543</v>
      </c>
      <c r="X1734" s="34" t="s">
        <v>3579</v>
      </c>
      <c r="Y1734" s="34" t="s">
        <v>3542</v>
      </c>
      <c r="Z1734" s="34">
        <v>10</v>
      </c>
      <c r="AA1734" s="34" t="s">
        <v>3729</v>
      </c>
      <c r="AB1734" s="34" t="s">
        <v>3729</v>
      </c>
      <c r="AC1734" s="34" t="s">
        <v>3654</v>
      </c>
      <c r="AD1734" s="34" t="s">
        <v>3654</v>
      </c>
      <c r="AE1734" s="34" t="s">
        <v>3693</v>
      </c>
      <c r="AF1734" s="34" t="s">
        <v>3576</v>
      </c>
      <c r="AG1734" s="34" t="s">
        <v>3672</v>
      </c>
      <c r="AH1734" s="34" t="s">
        <v>6652</v>
      </c>
      <c r="AI1734" s="34" t="s">
        <v>4221</v>
      </c>
      <c r="AJ1734" s="34" t="s">
        <v>4432</v>
      </c>
      <c r="AK1734" s="34" t="s">
        <v>4221</v>
      </c>
      <c r="AL1734" s="34">
        <v>1560</v>
      </c>
      <c r="AM1734" s="40" t="s">
        <v>8095</v>
      </c>
      <c r="AT1734" s="44">
        <v>0</v>
      </c>
      <c r="AU1734" s="44"/>
      <c r="AV1734" s="46">
        <f>ROUND(Товары[[#This Row],[РРЦ финальная, руб.]]/$AU$1,2)</f>
        <v>0</v>
      </c>
      <c r="AW1734" s="45" t="str">
        <f>IFERROR(Товары[[#This Row],[РРЦ, евро]]/Товары[[#This Row],[IRP, Eur]],"-")</f>
        <v>-</v>
      </c>
      <c r="AX1734" s="42">
        <f>IFERROR(VLOOKUP(Товары[[#This Row],[SubGroup]],'Структура цен DIY'!$B:$C,2,FALSE),0)</f>
        <v>0.29999999999999993</v>
      </c>
      <c r="AY1734" s="44">
        <v>0</v>
      </c>
    </row>
    <row r="1735" spans="1:51" x14ac:dyDescent="0.25">
      <c r="A1735" s="34">
        <v>1733</v>
      </c>
      <c r="B1735" s="34" t="s">
        <v>49</v>
      </c>
      <c r="C1735" s="110" t="str">
        <f>IFERROR(INDEX(Структура_ассортимента[SuperCategory],MATCH(Товары[[#This Row],[SubGroup]],Структура_ассортимента[Subgroup],0)),"")</f>
        <v>W</v>
      </c>
      <c r="D173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3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35" s="110" t="str">
        <f>IFERROR(INDEX(Структура_ассортимента[Product group],MATCH(Товары[[#This Row],[SubGroup]],Структура_ассортимента[Subgroup],0)),"")</f>
        <v>WSS_C</v>
      </c>
      <c r="G1735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35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35" s="36">
        <v>9032</v>
      </c>
      <c r="J1735" s="36" t="str">
        <f>IFERROR(INDEX(Структура_ассортимента[Generic Name (long)],MATCH(Товары[[#This Row],[SubGroup]],Структура_ассортимента[Subgroup],0)),"")</f>
        <v>WATERING SET</v>
      </c>
      <c r="L1735" s="36">
        <v>966408701</v>
      </c>
      <c r="M1735" s="35" t="s">
        <v>3411</v>
      </c>
      <c r="O1735" s="35" t="s">
        <v>7807</v>
      </c>
      <c r="P1735" s="37" t="s">
        <v>7808</v>
      </c>
      <c r="Q1735" s="34" t="s">
        <v>3549</v>
      </c>
      <c r="R1735" s="34" t="s">
        <v>3540</v>
      </c>
      <c r="S1735" s="47">
        <v>40087</v>
      </c>
      <c r="T1735" s="47">
        <v>0</v>
      </c>
      <c r="U1735" s="47">
        <v>0</v>
      </c>
      <c r="V1735" s="34">
        <v>4078500272209</v>
      </c>
      <c r="W1735" s="34" t="s">
        <v>3546</v>
      </c>
      <c r="X1735" s="34" t="s">
        <v>3704</v>
      </c>
      <c r="Y1735" s="34" t="s">
        <v>3542</v>
      </c>
      <c r="Z1735" s="34">
        <v>3</v>
      </c>
      <c r="AA1735" s="34" t="s">
        <v>4791</v>
      </c>
      <c r="AB1735" s="34" t="s">
        <v>4791</v>
      </c>
      <c r="AC1735" s="34" t="s">
        <v>4389</v>
      </c>
      <c r="AD1735" s="34" t="s">
        <v>4389</v>
      </c>
      <c r="AE1735" s="34" t="s">
        <v>4656</v>
      </c>
      <c r="AF1735" s="34" t="s">
        <v>4656</v>
      </c>
      <c r="AG1735" s="34" t="s">
        <v>4458</v>
      </c>
      <c r="AH1735" s="34" t="s">
        <v>7253</v>
      </c>
      <c r="AI1735" s="34" t="s">
        <v>3708</v>
      </c>
      <c r="AJ1735" s="34" t="s">
        <v>5546</v>
      </c>
      <c r="AK1735" s="34" t="s">
        <v>4689</v>
      </c>
      <c r="AL1735" s="34">
        <v>180</v>
      </c>
      <c r="AM1735" s="40" t="s">
        <v>9</v>
      </c>
      <c r="AP1735" s="34">
        <v>0</v>
      </c>
      <c r="AQ1735" s="34">
        <v>2959</v>
      </c>
      <c r="AR1735" s="34">
        <v>1726</v>
      </c>
      <c r="AT1735" s="44">
        <v>229200</v>
      </c>
      <c r="AU1735" s="44"/>
      <c r="AV1735" s="46">
        <f>ROUND(Товары[[#This Row],[РРЦ финальная, руб.]]/$AU$1,2)</f>
        <v>0</v>
      </c>
      <c r="AW1735" s="45" t="str">
        <f>IFERROR(Товары[[#This Row],[РРЦ, евро]]/Товары[[#This Row],[IRP, Eur]],"-")</f>
        <v>-</v>
      </c>
      <c r="AX1735" s="42">
        <f>IFERROR(VLOOKUP(Товары[[#This Row],[SubGroup]],'Структура цен DIY'!$B:$C,2,FALSE),0)</f>
        <v>0.29999999999999993</v>
      </c>
      <c r="AY1735" s="44">
        <v>0</v>
      </c>
    </row>
    <row r="1736" spans="1:51" x14ac:dyDescent="0.25">
      <c r="A1736" s="34">
        <v>1734</v>
      </c>
      <c r="B1736" s="34" t="s">
        <v>49</v>
      </c>
      <c r="C1736" s="110" t="str">
        <f>IFERROR(INDEX(Структура_ассортимента[SuperCategory],MATCH(Товары[[#This Row],[SubGroup]],Структура_ассортимента[Subgroup],0)),"")</f>
        <v>W</v>
      </c>
      <c r="D173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3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36" s="110" t="str">
        <f>IFERROR(INDEX(Структура_ассортимента[Product group],MATCH(Товары[[#This Row],[SubGroup]],Структура_ассортимента[Subgroup],0)),"")</f>
        <v>WSS_C</v>
      </c>
      <c r="G1736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36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36" s="36">
        <v>9032</v>
      </c>
      <c r="J1736" s="36" t="str">
        <f>IFERROR(INDEX(Структура_ассортимента[Generic Name (long)],MATCH(Товары[[#This Row],[SubGroup]],Структура_ассортимента[Subgroup],0)),"")</f>
        <v>WATERING SET</v>
      </c>
      <c r="L1736" s="36">
        <v>900928901</v>
      </c>
      <c r="M1736" s="35" t="s">
        <v>3412</v>
      </c>
      <c r="O1736" s="35" t="s">
        <v>7809</v>
      </c>
      <c r="P1736" s="37" t="s">
        <v>7810</v>
      </c>
      <c r="Q1736" s="34" t="s">
        <v>3549</v>
      </c>
      <c r="R1736" s="34" t="s">
        <v>3540</v>
      </c>
      <c r="S1736" s="47">
        <v>38626</v>
      </c>
      <c r="T1736" s="47">
        <v>0</v>
      </c>
      <c r="U1736" s="47">
        <v>0</v>
      </c>
      <c r="V1736" s="34">
        <v>4078500151009</v>
      </c>
      <c r="W1736" s="34" t="s">
        <v>3543</v>
      </c>
      <c r="X1736" s="34" t="s">
        <v>3579</v>
      </c>
      <c r="Y1736" s="34" t="s">
        <v>3542</v>
      </c>
      <c r="Z1736" s="34">
        <v>2</v>
      </c>
      <c r="AA1736" s="34" t="s">
        <v>4919</v>
      </c>
      <c r="AB1736" s="34" t="s">
        <v>4919</v>
      </c>
      <c r="AC1736" s="34" t="s">
        <v>6162</v>
      </c>
      <c r="AD1736" s="34" t="s">
        <v>6162</v>
      </c>
      <c r="AE1736" s="34" t="s">
        <v>4505</v>
      </c>
      <c r="AF1736" s="34" t="s">
        <v>4909</v>
      </c>
      <c r="AG1736" s="34" t="s">
        <v>4980</v>
      </c>
      <c r="AH1736" s="34" t="s">
        <v>7811</v>
      </c>
      <c r="AI1736" s="34" t="s">
        <v>4659</v>
      </c>
      <c r="AJ1736" s="34" t="s">
        <v>4486</v>
      </c>
      <c r="AK1736" s="34" t="s">
        <v>4381</v>
      </c>
      <c r="AL1736" s="34">
        <v>626</v>
      </c>
      <c r="AM1736" s="40" t="s">
        <v>9</v>
      </c>
      <c r="AP1736" s="34">
        <v>0</v>
      </c>
      <c r="AQ1736" s="34">
        <v>2189</v>
      </c>
      <c r="AR1736" s="34">
        <v>1277</v>
      </c>
      <c r="AT1736" s="44">
        <v>169500</v>
      </c>
      <c r="AU1736" s="44"/>
      <c r="AV1736" s="46">
        <f>ROUND(Товары[[#This Row],[РРЦ финальная, руб.]]/$AU$1,2)</f>
        <v>0</v>
      </c>
      <c r="AW1736" s="45" t="str">
        <f>IFERROR(Товары[[#This Row],[РРЦ, евро]]/Товары[[#This Row],[IRP, Eur]],"-")</f>
        <v>-</v>
      </c>
      <c r="AX1736" s="42">
        <f>IFERROR(VLOOKUP(Товары[[#This Row],[SubGroup]],'Структура цен DIY'!$B:$C,2,FALSE),0)</f>
        <v>0.29999999999999993</v>
      </c>
      <c r="AY1736" s="44">
        <v>0</v>
      </c>
    </row>
    <row r="1737" spans="1:51" x14ac:dyDescent="0.25">
      <c r="A1737" s="34">
        <v>1735</v>
      </c>
      <c r="B1737" s="34" t="s">
        <v>49</v>
      </c>
      <c r="C1737" s="110" t="str">
        <f>IFERROR(INDEX(Структура_ассортимента[SuperCategory],MATCH(Товары[[#This Row],[SubGroup]],Структура_ассортимента[Subgroup],0)),"")</f>
        <v>W</v>
      </c>
      <c r="D173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3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37" s="110" t="str">
        <f>IFERROR(INDEX(Структура_ассортимента[Product group],MATCH(Товары[[#This Row],[SubGroup]],Структура_ассортимента[Subgroup],0)),"")</f>
        <v>WSS_C</v>
      </c>
      <c r="G1737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37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37" s="36">
        <v>9032</v>
      </c>
      <c r="J1737" s="36" t="str">
        <f>IFERROR(INDEX(Структура_ассортимента[Generic Name (long)],MATCH(Товары[[#This Row],[SubGroup]],Структура_ассортимента[Subgroup],0)),"")</f>
        <v>WATERING SET</v>
      </c>
      <c r="L1737" s="36">
        <v>900929501</v>
      </c>
      <c r="M1737" s="35" t="s">
        <v>3413</v>
      </c>
      <c r="O1737" s="35" t="s">
        <v>7812</v>
      </c>
      <c r="P1737" s="37" t="s">
        <v>7813</v>
      </c>
      <c r="Q1737" s="34" t="s">
        <v>3549</v>
      </c>
      <c r="R1737" s="34" t="s">
        <v>3540</v>
      </c>
      <c r="S1737" s="47">
        <v>38626</v>
      </c>
      <c r="T1737" s="47">
        <v>0</v>
      </c>
      <c r="U1737" s="47">
        <v>0</v>
      </c>
      <c r="V1737" s="34">
        <v>4078500151375</v>
      </c>
      <c r="W1737" s="34" t="s">
        <v>3543</v>
      </c>
      <c r="X1737" s="34" t="s">
        <v>3579</v>
      </c>
      <c r="Y1737" s="34" t="s">
        <v>3542</v>
      </c>
      <c r="Z1737" s="34">
        <v>4</v>
      </c>
      <c r="AA1737" s="34" t="s">
        <v>5633</v>
      </c>
      <c r="AB1737" s="34" t="s">
        <v>5633</v>
      </c>
      <c r="AC1737" s="34" t="s">
        <v>5603</v>
      </c>
      <c r="AD1737" s="34" t="s">
        <v>5603</v>
      </c>
      <c r="AE1737" s="34" t="s">
        <v>3693</v>
      </c>
      <c r="AF1737" s="34" t="s">
        <v>3576</v>
      </c>
      <c r="AG1737" s="34" t="s">
        <v>4468</v>
      </c>
      <c r="AH1737" s="34" t="s">
        <v>5637</v>
      </c>
      <c r="AL1737" s="34">
        <v>1152</v>
      </c>
      <c r="AM1737" s="40" t="s">
        <v>9</v>
      </c>
      <c r="AP1737" s="34">
        <v>0</v>
      </c>
      <c r="AQ1737" s="34">
        <v>759</v>
      </c>
      <c r="AR1737" s="34">
        <v>443</v>
      </c>
      <c r="AT1737" s="44">
        <v>58800</v>
      </c>
      <c r="AU1737" s="44"/>
      <c r="AV1737" s="46">
        <f>ROUND(Товары[[#This Row],[РРЦ финальная, руб.]]/$AU$1,2)</f>
        <v>0</v>
      </c>
      <c r="AW1737" s="45" t="str">
        <f>IFERROR(Товары[[#This Row],[РРЦ, евро]]/Товары[[#This Row],[IRP, Eur]],"-")</f>
        <v>-</v>
      </c>
      <c r="AX1737" s="42">
        <f>IFERROR(VLOOKUP(Товары[[#This Row],[SubGroup]],'Структура цен DIY'!$B:$C,2,FALSE),0)</f>
        <v>0.29999999999999993</v>
      </c>
      <c r="AY1737" s="44">
        <v>0</v>
      </c>
    </row>
    <row r="1738" spans="1:51" x14ac:dyDescent="0.25">
      <c r="A1738" s="34">
        <v>1736</v>
      </c>
      <c r="B1738" s="34" t="s">
        <v>49</v>
      </c>
      <c r="C1738" s="110" t="str">
        <f>IFERROR(INDEX(Структура_ассортимента[SuperCategory],MATCH(Товары[[#This Row],[SubGroup]],Структура_ассортимента[Subgroup],0)),"")</f>
        <v>W</v>
      </c>
      <c r="D173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3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38" s="110" t="str">
        <f>IFERROR(INDEX(Структура_ассортимента[Product group],MATCH(Товары[[#This Row],[SubGroup]],Структура_ассортимента[Subgroup],0)),"")</f>
        <v>WSS_C</v>
      </c>
      <c r="G1738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38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38" s="36">
        <v>9032</v>
      </c>
      <c r="J1738" s="36" t="str">
        <f>IFERROR(INDEX(Структура_ассортимента[Generic Name (long)],MATCH(Товары[[#This Row],[SubGroup]],Структура_ассортимента[Subgroup],0)),"")</f>
        <v>WATERING SET</v>
      </c>
      <c r="L1738" s="36">
        <v>900929401</v>
      </c>
      <c r="M1738" s="35" t="s">
        <v>3414</v>
      </c>
      <c r="Q1738" s="34" t="s">
        <v>3549</v>
      </c>
      <c r="R1738" s="34" t="s">
        <v>3540</v>
      </c>
      <c r="S1738" s="47">
        <v>38626</v>
      </c>
      <c r="T1738" s="47">
        <v>0</v>
      </c>
      <c r="U1738" s="47">
        <v>0</v>
      </c>
      <c r="V1738" s="34">
        <v>4078500151306</v>
      </c>
      <c r="W1738" s="34" t="s">
        <v>3543</v>
      </c>
      <c r="X1738" s="34" t="s">
        <v>3579</v>
      </c>
      <c r="Y1738" s="34" t="s">
        <v>3542</v>
      </c>
      <c r="Z1738" s="34">
        <v>4</v>
      </c>
      <c r="AA1738" s="34" t="s">
        <v>6569</v>
      </c>
      <c r="AB1738" s="34" t="s">
        <v>6569</v>
      </c>
      <c r="AC1738" s="34" t="s">
        <v>5629</v>
      </c>
      <c r="AD1738" s="34" t="s">
        <v>5629</v>
      </c>
      <c r="AE1738" s="34" t="s">
        <v>3693</v>
      </c>
      <c r="AF1738" s="34" t="s">
        <v>3576</v>
      </c>
      <c r="AG1738" s="34" t="s">
        <v>4351</v>
      </c>
      <c r="AH1738" s="34" t="s">
        <v>7814</v>
      </c>
      <c r="AL1738" s="34">
        <v>1152</v>
      </c>
      <c r="AM1738" s="40" t="s">
        <v>8095</v>
      </c>
      <c r="AT1738" s="44">
        <v>0</v>
      </c>
      <c r="AU1738" s="44"/>
      <c r="AV1738" s="46">
        <f>ROUND(Товары[[#This Row],[РРЦ финальная, руб.]]/$AU$1,2)</f>
        <v>0</v>
      </c>
      <c r="AW1738" s="45" t="str">
        <f>IFERROR(Товары[[#This Row],[РРЦ, евро]]/Товары[[#This Row],[IRP, Eur]],"-")</f>
        <v>-</v>
      </c>
      <c r="AX1738" s="42">
        <f>IFERROR(VLOOKUP(Товары[[#This Row],[SubGroup]],'Структура цен DIY'!$B:$C,2,FALSE),0)</f>
        <v>0.29999999999999993</v>
      </c>
      <c r="AY1738" s="44">
        <v>0</v>
      </c>
    </row>
    <row r="1739" spans="1:51" x14ac:dyDescent="0.25">
      <c r="A1739" s="34">
        <v>1737</v>
      </c>
      <c r="B1739" s="34" t="s">
        <v>49</v>
      </c>
      <c r="C1739" s="110" t="str">
        <f>IFERROR(INDEX(Структура_ассортимента[SuperCategory],MATCH(Товары[[#This Row],[SubGroup]],Структура_ассортимента[Subgroup],0)),"")</f>
        <v>W</v>
      </c>
      <c r="D173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3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39" s="110" t="str">
        <f>IFERROR(INDEX(Структура_ассортимента[Product group],MATCH(Товары[[#This Row],[SubGroup]],Структура_ассортимента[Subgroup],0)),"")</f>
        <v>WSS_C</v>
      </c>
      <c r="G1739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39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39" s="36">
        <v>9032</v>
      </c>
      <c r="J1739" s="36" t="str">
        <f>IFERROR(INDEX(Структура_ассортимента[Generic Name (long)],MATCH(Товары[[#This Row],[SubGroup]],Структура_ассортимента[Subgroup],0)),"")</f>
        <v>WATERING SET</v>
      </c>
      <c r="L1739" s="36">
        <v>966408801</v>
      </c>
      <c r="M1739" s="35" t="s">
        <v>3415</v>
      </c>
      <c r="O1739" s="35" t="s">
        <v>7815</v>
      </c>
      <c r="P1739" s="37" t="s">
        <v>7816</v>
      </c>
      <c r="Q1739" s="34" t="s">
        <v>3549</v>
      </c>
      <c r="R1739" s="34" t="s">
        <v>3540</v>
      </c>
      <c r="S1739" s="47">
        <v>40087</v>
      </c>
      <c r="T1739" s="47">
        <v>0</v>
      </c>
      <c r="U1739" s="47">
        <v>0</v>
      </c>
      <c r="V1739" s="34">
        <v>4078500272407</v>
      </c>
      <c r="W1739" s="34" t="s">
        <v>3546</v>
      </c>
      <c r="X1739" s="34" t="s">
        <v>3704</v>
      </c>
      <c r="Y1739" s="34" t="s">
        <v>3542</v>
      </c>
      <c r="Z1739" s="34">
        <v>2</v>
      </c>
      <c r="AA1739" s="34" t="s">
        <v>3585</v>
      </c>
      <c r="AB1739" s="34" t="s">
        <v>3585</v>
      </c>
      <c r="AC1739" s="34" t="s">
        <v>5955</v>
      </c>
      <c r="AD1739" s="34" t="s">
        <v>5955</v>
      </c>
      <c r="AE1739" s="34" t="s">
        <v>4656</v>
      </c>
      <c r="AF1739" s="34" t="s">
        <v>4656</v>
      </c>
      <c r="AG1739" s="34" t="s">
        <v>4458</v>
      </c>
      <c r="AH1739" s="34" t="s">
        <v>7253</v>
      </c>
      <c r="AI1739" s="34" t="s">
        <v>5509</v>
      </c>
      <c r="AJ1739" s="34" t="s">
        <v>5546</v>
      </c>
      <c r="AK1739" s="34" t="s">
        <v>4689</v>
      </c>
      <c r="AL1739" s="34">
        <v>160</v>
      </c>
      <c r="AM1739" s="40" t="s">
        <v>9</v>
      </c>
      <c r="AP1739" s="34">
        <v>0</v>
      </c>
      <c r="AQ1739" s="34">
        <v>3729</v>
      </c>
      <c r="AR1739" s="34">
        <v>2175</v>
      </c>
      <c r="AT1739" s="44">
        <v>288800</v>
      </c>
      <c r="AU1739" s="44"/>
      <c r="AV1739" s="46">
        <f>ROUND(Товары[[#This Row],[РРЦ финальная, руб.]]/$AU$1,2)</f>
        <v>0</v>
      </c>
      <c r="AW1739" s="45" t="str">
        <f>IFERROR(Товары[[#This Row],[РРЦ, евро]]/Товары[[#This Row],[IRP, Eur]],"-")</f>
        <v>-</v>
      </c>
      <c r="AX1739" s="42">
        <f>IFERROR(VLOOKUP(Товары[[#This Row],[SubGroup]],'Структура цен DIY'!$B:$C,2,FALSE),0)</f>
        <v>0.29999999999999993</v>
      </c>
      <c r="AY1739" s="44">
        <v>0</v>
      </c>
    </row>
    <row r="1740" spans="1:51" x14ac:dyDescent="0.25">
      <c r="A1740" s="34">
        <v>1738</v>
      </c>
      <c r="B1740" s="34" t="s">
        <v>49</v>
      </c>
      <c r="C1740" s="110" t="str">
        <f>IFERROR(INDEX(Структура_ассортимента[SuperCategory],MATCH(Товары[[#This Row],[SubGroup]],Структура_ассортимента[Subgroup],0)),"")</f>
        <v>W</v>
      </c>
      <c r="D174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4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40" s="110" t="str">
        <f>IFERROR(INDEX(Структура_ассортимента[Product group],MATCH(Товары[[#This Row],[SubGroup]],Структура_ассортимента[Subgroup],0)),"")</f>
        <v>WSS_C</v>
      </c>
      <c r="G1740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40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40" s="36">
        <v>9032</v>
      </c>
      <c r="J1740" s="36" t="str">
        <f>IFERROR(INDEX(Структура_ассортимента[Generic Name (long)],MATCH(Товары[[#This Row],[SubGroup]],Структура_ассортимента[Subgroup],0)),"")</f>
        <v>WATERING SET</v>
      </c>
      <c r="L1740" s="36">
        <v>900927901</v>
      </c>
      <c r="M1740" s="35" t="s">
        <v>3416</v>
      </c>
      <c r="Q1740" s="34" t="s">
        <v>3549</v>
      </c>
      <c r="R1740" s="34" t="s">
        <v>3540</v>
      </c>
      <c r="S1740" s="47">
        <v>36434</v>
      </c>
      <c r="T1740" s="47">
        <v>0</v>
      </c>
      <c r="U1740" s="47">
        <v>0</v>
      </c>
      <c r="V1740" s="34">
        <v>4078500150545</v>
      </c>
      <c r="W1740" s="34" t="s">
        <v>3547</v>
      </c>
      <c r="X1740" s="34" t="s">
        <v>3704</v>
      </c>
      <c r="Y1740" s="34" t="s">
        <v>3542</v>
      </c>
      <c r="Z1740" s="34">
        <v>3</v>
      </c>
      <c r="AA1740" s="34" t="s">
        <v>3990</v>
      </c>
      <c r="AB1740" s="34" t="s">
        <v>3990</v>
      </c>
      <c r="AC1740" s="34" t="s">
        <v>3734</v>
      </c>
      <c r="AD1740" s="34" t="s">
        <v>3734</v>
      </c>
      <c r="AE1740" s="34" t="s">
        <v>3825</v>
      </c>
      <c r="AF1740" s="34" t="s">
        <v>4588</v>
      </c>
      <c r="AG1740" s="34" t="s">
        <v>3931</v>
      </c>
      <c r="AH1740" s="34" t="s">
        <v>7817</v>
      </c>
      <c r="AL1740" s="34">
        <v>342</v>
      </c>
      <c r="AM1740" s="40" t="s">
        <v>8095</v>
      </c>
      <c r="AT1740" s="44">
        <v>0</v>
      </c>
      <c r="AU1740" s="44"/>
      <c r="AV1740" s="46">
        <f>ROUND(Товары[[#This Row],[РРЦ финальная, руб.]]/$AU$1,2)</f>
        <v>0</v>
      </c>
      <c r="AW1740" s="45" t="str">
        <f>IFERROR(Товары[[#This Row],[РРЦ, евро]]/Товары[[#This Row],[IRP, Eur]],"-")</f>
        <v>-</v>
      </c>
      <c r="AX1740" s="42">
        <f>IFERROR(VLOOKUP(Товары[[#This Row],[SubGroup]],'Структура цен DIY'!$B:$C,2,FALSE),0)</f>
        <v>0.29999999999999993</v>
      </c>
      <c r="AY1740" s="44">
        <v>0</v>
      </c>
    </row>
    <row r="1741" spans="1:51" x14ac:dyDescent="0.25">
      <c r="A1741" s="34">
        <v>1739</v>
      </c>
      <c r="B1741" s="34" t="s">
        <v>49</v>
      </c>
      <c r="C1741" s="110" t="str">
        <f>IFERROR(INDEX(Структура_ассортимента[SuperCategory],MATCH(Товары[[#This Row],[SubGroup]],Структура_ассортимента[Subgroup],0)),"")</f>
        <v>W</v>
      </c>
      <c r="D174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4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41" s="110" t="str">
        <f>IFERROR(INDEX(Структура_ассортимента[Product group],MATCH(Товары[[#This Row],[SubGroup]],Структура_ассортимента[Subgroup],0)),"")</f>
        <v>WSS_C</v>
      </c>
      <c r="G1741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41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41" s="36">
        <v>9032</v>
      </c>
      <c r="J1741" s="36" t="str">
        <f>IFERROR(INDEX(Структура_ассортимента[Generic Name (long)],MATCH(Товары[[#This Row],[SubGroup]],Структура_ассортимента[Subgroup],0)),"")</f>
        <v>WATERING SET</v>
      </c>
      <c r="L1741" s="36">
        <v>900928001</v>
      </c>
      <c r="M1741" s="35" t="s">
        <v>3417</v>
      </c>
      <c r="P1741" s="37" t="s">
        <v>7818</v>
      </c>
      <c r="Q1741" s="34" t="s">
        <v>3713</v>
      </c>
      <c r="R1741" s="34" t="s">
        <v>3540</v>
      </c>
      <c r="S1741" s="47">
        <v>38626</v>
      </c>
      <c r="T1741" s="47">
        <v>43830</v>
      </c>
      <c r="U1741" s="47">
        <v>43830</v>
      </c>
      <c r="V1741" s="34">
        <v>4078500150576</v>
      </c>
      <c r="W1741" s="34" t="s">
        <v>3547</v>
      </c>
      <c r="Y1741" s="34" t="s">
        <v>3542</v>
      </c>
      <c r="Z1741" s="34">
        <v>3</v>
      </c>
      <c r="AA1741" s="34" t="s">
        <v>6166</v>
      </c>
      <c r="AB1741" s="34" t="s">
        <v>6166</v>
      </c>
      <c r="AC1741" s="34" t="s">
        <v>4100</v>
      </c>
      <c r="AD1741" s="34" t="s">
        <v>4100</v>
      </c>
      <c r="AE1741" s="34" t="s">
        <v>3743</v>
      </c>
      <c r="AF1741" s="34" t="s">
        <v>4588</v>
      </c>
      <c r="AG1741" s="34" t="s">
        <v>3931</v>
      </c>
      <c r="AH1741" s="34" t="s">
        <v>7819</v>
      </c>
      <c r="AL1741" s="34">
        <v>342</v>
      </c>
      <c r="AM1741" s="40" t="s">
        <v>233</v>
      </c>
      <c r="AP1741" s="34">
        <v>0</v>
      </c>
      <c r="AQ1741" s="34">
        <v>2131</v>
      </c>
      <c r="AR1741" s="34">
        <v>1243</v>
      </c>
      <c r="AT1741" s="44">
        <v>165100</v>
      </c>
      <c r="AU1741" s="44"/>
      <c r="AV1741" s="46">
        <f>ROUND(Товары[[#This Row],[РРЦ финальная, руб.]]/$AU$1,2)</f>
        <v>0</v>
      </c>
      <c r="AW1741" s="45" t="str">
        <f>IFERROR(Товары[[#This Row],[РРЦ, евро]]/Товары[[#This Row],[IRP, Eur]],"-")</f>
        <v>-</v>
      </c>
      <c r="AX1741" s="42">
        <f>IFERROR(VLOOKUP(Товары[[#This Row],[SubGroup]],'Структура цен DIY'!$B:$C,2,FALSE),0)</f>
        <v>0.29999999999999993</v>
      </c>
      <c r="AY1741" s="44">
        <v>0</v>
      </c>
    </row>
    <row r="1742" spans="1:51" x14ac:dyDescent="0.25">
      <c r="A1742" s="34">
        <v>1740</v>
      </c>
      <c r="B1742" s="34" t="s">
        <v>49</v>
      </c>
      <c r="C1742" s="110" t="str">
        <f>IFERROR(INDEX(Структура_ассортимента[SuperCategory],MATCH(Товары[[#This Row],[SubGroup]],Структура_ассортимента[Subgroup],0)),"")</f>
        <v>W</v>
      </c>
      <c r="D174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4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42" s="110" t="str">
        <f>IFERROR(INDEX(Структура_ассортимента[Product group],MATCH(Товары[[#This Row],[SubGroup]],Структура_ассортимента[Subgroup],0)),"")</f>
        <v>WSS_C</v>
      </c>
      <c r="G1742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42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42" s="36">
        <v>9032</v>
      </c>
      <c r="J1742" s="36" t="str">
        <f>IFERROR(INDEX(Структура_ассортимента[Generic Name (long)],MATCH(Товары[[#This Row],[SubGroup]],Структура_ассортимента[Subgroup],0)),"")</f>
        <v>WATERING SET</v>
      </c>
      <c r="L1742" s="36">
        <v>966408201</v>
      </c>
      <c r="M1742" s="35" t="s">
        <v>3418</v>
      </c>
      <c r="Q1742" s="34" t="s">
        <v>3549</v>
      </c>
      <c r="R1742" s="34" t="s">
        <v>3540</v>
      </c>
      <c r="S1742" s="47">
        <v>40087</v>
      </c>
      <c r="T1742" s="47">
        <v>0</v>
      </c>
      <c r="U1742" s="47">
        <v>0</v>
      </c>
      <c r="V1742" s="34">
        <v>4078500271301</v>
      </c>
      <c r="W1742" s="34" t="s">
        <v>3543</v>
      </c>
      <c r="X1742" s="34" t="s">
        <v>3579</v>
      </c>
      <c r="Y1742" s="34" t="s">
        <v>3542</v>
      </c>
      <c r="Z1742" s="34">
        <v>3</v>
      </c>
      <c r="AA1742" s="34" t="s">
        <v>5139</v>
      </c>
      <c r="AB1742" s="34" t="s">
        <v>5139</v>
      </c>
      <c r="AC1742" s="34" t="s">
        <v>5230</v>
      </c>
      <c r="AD1742" s="34" t="s">
        <v>5230</v>
      </c>
      <c r="AE1742" s="34" t="s">
        <v>5042</v>
      </c>
      <c r="AF1742" s="34" t="s">
        <v>5042</v>
      </c>
      <c r="AG1742" s="34" t="s">
        <v>3711</v>
      </c>
      <c r="AH1742" s="34" t="s">
        <v>7820</v>
      </c>
      <c r="AL1742" s="34">
        <v>120</v>
      </c>
      <c r="AM1742" s="40" t="s">
        <v>8095</v>
      </c>
      <c r="AT1742" s="44">
        <v>0</v>
      </c>
      <c r="AU1742" s="44"/>
      <c r="AV1742" s="46">
        <f>ROUND(Товары[[#This Row],[РРЦ финальная, руб.]]/$AU$1,2)</f>
        <v>0</v>
      </c>
      <c r="AW1742" s="45" t="str">
        <f>IFERROR(Товары[[#This Row],[РРЦ, евро]]/Товары[[#This Row],[IRP, Eur]],"-")</f>
        <v>-</v>
      </c>
      <c r="AX1742" s="42">
        <f>IFERROR(VLOOKUP(Товары[[#This Row],[SubGroup]],'Структура цен DIY'!$B:$C,2,FALSE),0)</f>
        <v>0.29999999999999993</v>
      </c>
      <c r="AY1742" s="44">
        <v>0</v>
      </c>
    </row>
    <row r="1743" spans="1:51" x14ac:dyDescent="0.25">
      <c r="A1743" s="34">
        <v>1741</v>
      </c>
      <c r="B1743" s="34" t="s">
        <v>49</v>
      </c>
      <c r="C1743" s="110" t="str">
        <f>IFERROR(INDEX(Структура_ассортимента[SuperCategory],MATCH(Товары[[#This Row],[SubGroup]],Структура_ассортимента[Subgroup],0)),"")</f>
        <v>W</v>
      </c>
      <c r="D174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4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43" s="110" t="str">
        <f>IFERROR(INDEX(Структура_ассортимента[Product group],MATCH(Товары[[#This Row],[SubGroup]],Структура_ассортимента[Subgroup],0)),"")</f>
        <v>WSS_C</v>
      </c>
      <c r="G1743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43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43" s="36">
        <v>9033</v>
      </c>
      <c r="J1743" s="36" t="str">
        <f>IFERROR(INDEX(Структура_ассортимента[Generic Name (long)],MATCH(Товары[[#This Row],[SubGroup]],Структура_ассортимента[Subgroup],0)),"")</f>
        <v>WATERING SET</v>
      </c>
      <c r="L1743" s="36">
        <v>901162201</v>
      </c>
      <c r="M1743" s="35" t="s">
        <v>3419</v>
      </c>
      <c r="O1743" s="35" t="s">
        <v>7821</v>
      </c>
      <c r="P1743" s="37" t="s">
        <v>7822</v>
      </c>
      <c r="Q1743" s="34" t="s">
        <v>3549</v>
      </c>
      <c r="R1743" s="34" t="s">
        <v>3540</v>
      </c>
      <c r="S1743" s="47">
        <v>39722</v>
      </c>
      <c r="T1743" s="47">
        <v>0</v>
      </c>
      <c r="U1743" s="47">
        <v>0</v>
      </c>
      <c r="V1743" s="34">
        <v>4078500832298</v>
      </c>
      <c r="W1743" s="34" t="s">
        <v>3543</v>
      </c>
      <c r="X1743" s="34" t="s">
        <v>3579</v>
      </c>
      <c r="Y1743" s="34" t="s">
        <v>3542</v>
      </c>
      <c r="Z1743" s="34">
        <v>6</v>
      </c>
      <c r="AA1743" s="34" t="s">
        <v>6446</v>
      </c>
      <c r="AB1743" s="34" t="s">
        <v>6446</v>
      </c>
      <c r="AC1743" s="34" t="s">
        <v>5603</v>
      </c>
      <c r="AD1743" s="34" t="s">
        <v>5603</v>
      </c>
      <c r="AE1743" s="34" t="s">
        <v>4196</v>
      </c>
      <c r="AF1743" s="34" t="s">
        <v>3576</v>
      </c>
      <c r="AG1743" s="34" t="s">
        <v>4231</v>
      </c>
      <c r="AH1743" s="34" t="s">
        <v>6617</v>
      </c>
      <c r="AI1743" s="34" t="s">
        <v>4780</v>
      </c>
      <c r="AJ1743" s="34" t="s">
        <v>3693</v>
      </c>
      <c r="AK1743" s="34" t="s">
        <v>4780</v>
      </c>
      <c r="AL1743" s="34">
        <v>924</v>
      </c>
      <c r="AM1743" s="40" t="s">
        <v>9</v>
      </c>
      <c r="AP1743" s="34">
        <v>0</v>
      </c>
      <c r="AQ1743" s="34">
        <v>869</v>
      </c>
      <c r="AR1743" s="34">
        <v>507</v>
      </c>
      <c r="AT1743" s="44">
        <v>67300</v>
      </c>
      <c r="AU1743" s="44"/>
      <c r="AV1743" s="46">
        <f>ROUND(Товары[[#This Row],[РРЦ финальная, руб.]]/$AU$1,2)</f>
        <v>0</v>
      </c>
      <c r="AW1743" s="45" t="str">
        <f>IFERROR(Товары[[#This Row],[РРЦ, евро]]/Товары[[#This Row],[IRP, Eur]],"-")</f>
        <v>-</v>
      </c>
      <c r="AX1743" s="42">
        <f>IFERROR(VLOOKUP(Товары[[#This Row],[SubGroup]],'Структура цен DIY'!$B:$C,2,FALSE),0)</f>
        <v>0.30000000000000016</v>
      </c>
      <c r="AY1743" s="44">
        <v>0</v>
      </c>
    </row>
    <row r="1744" spans="1:51" x14ac:dyDescent="0.25">
      <c r="A1744" s="34">
        <v>1742</v>
      </c>
      <c r="B1744" s="34" t="s">
        <v>49</v>
      </c>
      <c r="C1744" s="110" t="str">
        <f>IFERROR(INDEX(Структура_ассортимента[SuperCategory],MATCH(Товары[[#This Row],[SubGroup]],Структура_ассортимента[Subgroup],0)),"")</f>
        <v>W</v>
      </c>
      <c r="D174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4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44" s="110" t="str">
        <f>IFERROR(INDEX(Структура_ассортимента[Product group],MATCH(Товары[[#This Row],[SubGroup]],Структура_ассортимента[Subgroup],0)),"")</f>
        <v>WSS_C</v>
      </c>
      <c r="G1744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44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44" s="36">
        <v>9033</v>
      </c>
      <c r="J1744" s="36" t="str">
        <f>IFERROR(INDEX(Структура_ассортимента[Generic Name (long)],MATCH(Товары[[#This Row],[SubGroup]],Структура_ассортимента[Subgroup],0)),"")</f>
        <v>WATERING SET</v>
      </c>
      <c r="L1744" s="36">
        <v>901161501</v>
      </c>
      <c r="M1744" s="35" t="s">
        <v>3420</v>
      </c>
      <c r="O1744" s="35" t="s">
        <v>7823</v>
      </c>
      <c r="P1744" s="37" t="s">
        <v>7824</v>
      </c>
      <c r="Q1744" s="34" t="s">
        <v>3549</v>
      </c>
      <c r="R1744" s="34" t="s">
        <v>3540</v>
      </c>
      <c r="S1744" s="47">
        <v>39722</v>
      </c>
      <c r="T1744" s="47">
        <v>0</v>
      </c>
      <c r="U1744" s="47">
        <v>0</v>
      </c>
      <c r="V1744" s="34">
        <v>4078500831307</v>
      </c>
      <c r="W1744" s="34" t="s">
        <v>3543</v>
      </c>
      <c r="X1744" s="34" t="s">
        <v>3579</v>
      </c>
      <c r="Y1744" s="34" t="s">
        <v>3542</v>
      </c>
      <c r="Z1744" s="34">
        <v>3</v>
      </c>
      <c r="AA1744" s="34" t="s">
        <v>7825</v>
      </c>
      <c r="AB1744" s="34" t="s">
        <v>7825</v>
      </c>
      <c r="AC1744" s="34" t="s">
        <v>6031</v>
      </c>
      <c r="AD1744" s="34" t="s">
        <v>6031</v>
      </c>
      <c r="AE1744" s="34" t="s">
        <v>3587</v>
      </c>
      <c r="AF1744" s="34" t="s">
        <v>4633</v>
      </c>
      <c r="AG1744" s="34" t="s">
        <v>3683</v>
      </c>
      <c r="AH1744" s="34" t="s">
        <v>7790</v>
      </c>
      <c r="AI1744" s="34" t="s">
        <v>6781</v>
      </c>
      <c r="AJ1744" s="34" t="s">
        <v>4646</v>
      </c>
      <c r="AK1744" s="34" t="s">
        <v>3591</v>
      </c>
      <c r="AL1744" s="34">
        <v>240</v>
      </c>
      <c r="AM1744" s="40" t="s">
        <v>9</v>
      </c>
      <c r="AP1744" s="34">
        <v>0</v>
      </c>
      <c r="AQ1744" s="34">
        <v>1859</v>
      </c>
      <c r="AR1744" s="34">
        <v>1084</v>
      </c>
      <c r="AT1744" s="44">
        <v>144000</v>
      </c>
      <c r="AU1744" s="44"/>
      <c r="AV1744" s="46">
        <f>ROUND(Товары[[#This Row],[РРЦ финальная, руб.]]/$AU$1,2)</f>
        <v>0</v>
      </c>
      <c r="AW1744" s="45" t="str">
        <f>IFERROR(Товары[[#This Row],[РРЦ, евро]]/Товары[[#This Row],[IRP, Eur]],"-")</f>
        <v>-</v>
      </c>
      <c r="AX1744" s="42">
        <f>IFERROR(VLOOKUP(Товары[[#This Row],[SubGroup]],'Структура цен DIY'!$B:$C,2,FALSE),0)</f>
        <v>0.30000000000000016</v>
      </c>
      <c r="AY1744" s="44">
        <v>0</v>
      </c>
    </row>
    <row r="1745" spans="1:51" x14ac:dyDescent="0.25">
      <c r="A1745" s="34">
        <v>1743</v>
      </c>
      <c r="B1745" s="34" t="s">
        <v>49</v>
      </c>
      <c r="C1745" s="110" t="str">
        <f>IFERROR(INDEX(Структура_ассортимента[SuperCategory],MATCH(Товары[[#This Row],[SubGroup]],Структура_ассортимента[Subgroup],0)),"")</f>
        <v>W</v>
      </c>
      <c r="D174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4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45" s="110" t="str">
        <f>IFERROR(INDEX(Структура_ассортимента[Product group],MATCH(Товары[[#This Row],[SubGroup]],Структура_ассортимента[Subgroup],0)),"")</f>
        <v>WSS_C</v>
      </c>
      <c r="G1745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45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45" s="36">
        <v>9033</v>
      </c>
      <c r="J1745" s="36" t="str">
        <f>IFERROR(INDEX(Структура_ассортимента[Generic Name (long)],MATCH(Товары[[#This Row],[SubGroup]],Структура_ассортимента[Subgroup],0)),"")</f>
        <v>WATERING SET</v>
      </c>
      <c r="L1745" s="36">
        <v>900909701</v>
      </c>
      <c r="M1745" s="35" t="s">
        <v>3421</v>
      </c>
      <c r="O1745" s="35" t="s">
        <v>7826</v>
      </c>
      <c r="P1745" s="37" t="s">
        <v>7827</v>
      </c>
      <c r="Q1745" s="34" t="s">
        <v>3549</v>
      </c>
      <c r="R1745" s="34" t="s">
        <v>3540</v>
      </c>
      <c r="S1745" s="47">
        <v>32782</v>
      </c>
      <c r="T1745" s="47">
        <v>0</v>
      </c>
      <c r="U1745" s="47">
        <v>0</v>
      </c>
      <c r="V1745" s="34">
        <v>4078500135405</v>
      </c>
      <c r="W1745" s="34" t="s">
        <v>3543</v>
      </c>
      <c r="X1745" s="34" t="s">
        <v>3704</v>
      </c>
      <c r="Y1745" s="34" t="s">
        <v>3542</v>
      </c>
      <c r="Z1745" s="34">
        <v>5</v>
      </c>
      <c r="AA1745" s="34" t="s">
        <v>4853</v>
      </c>
      <c r="AB1745" s="34" t="s">
        <v>4853</v>
      </c>
      <c r="AC1745" s="34" t="s">
        <v>4576</v>
      </c>
      <c r="AD1745" s="34" t="s">
        <v>4576</v>
      </c>
      <c r="AE1745" s="34" t="s">
        <v>4505</v>
      </c>
      <c r="AF1745" s="34" t="s">
        <v>3587</v>
      </c>
      <c r="AG1745" s="34" t="s">
        <v>4659</v>
      </c>
      <c r="AH1745" s="34" t="s">
        <v>7828</v>
      </c>
      <c r="AI1745" s="34" t="s">
        <v>3587</v>
      </c>
      <c r="AJ1745" s="34" t="s">
        <v>5509</v>
      </c>
      <c r="AK1745" s="34" t="s">
        <v>4659</v>
      </c>
      <c r="AL1745" s="34">
        <v>420</v>
      </c>
      <c r="AM1745" s="40" t="s">
        <v>9</v>
      </c>
      <c r="AP1745" s="34">
        <v>0</v>
      </c>
      <c r="AQ1745" s="34">
        <v>2959</v>
      </c>
      <c r="AR1745" s="34">
        <v>1726</v>
      </c>
      <c r="AT1745" s="44">
        <v>229200</v>
      </c>
      <c r="AU1745" s="44"/>
      <c r="AV1745" s="46">
        <f>ROUND(Товары[[#This Row],[РРЦ финальная, руб.]]/$AU$1,2)</f>
        <v>0</v>
      </c>
      <c r="AW1745" s="45" t="str">
        <f>IFERROR(Товары[[#This Row],[РРЦ, евро]]/Товары[[#This Row],[IRP, Eur]],"-")</f>
        <v>-</v>
      </c>
      <c r="AX1745" s="42">
        <f>IFERROR(VLOOKUP(Товары[[#This Row],[SubGroup]],'Структура цен DIY'!$B:$C,2,FALSE),0)</f>
        <v>0.30000000000000016</v>
      </c>
      <c r="AY1745" s="44">
        <v>0</v>
      </c>
    </row>
    <row r="1746" spans="1:51" x14ac:dyDescent="0.25">
      <c r="A1746" s="34">
        <v>1744</v>
      </c>
      <c r="B1746" s="34" t="s">
        <v>49</v>
      </c>
      <c r="C1746" s="110" t="str">
        <f>IFERROR(INDEX(Структура_ассортимента[SuperCategory],MATCH(Товары[[#This Row],[SubGroup]],Структура_ассортимента[Subgroup],0)),"")</f>
        <v>W</v>
      </c>
      <c r="D174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4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46" s="110" t="str">
        <f>IFERROR(INDEX(Структура_ассортимента[Product group],MATCH(Товары[[#This Row],[SubGroup]],Структура_ассортимента[Subgroup],0)),"")</f>
        <v>WSS_C</v>
      </c>
      <c r="G1746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46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46" s="36">
        <v>9033</v>
      </c>
      <c r="J1746" s="36" t="str">
        <f>IFERROR(INDEX(Структура_ассортимента[Generic Name (long)],MATCH(Товары[[#This Row],[SubGroup]],Структура_ассортимента[Subgroup],0)),"")</f>
        <v>WATERING SET</v>
      </c>
      <c r="L1746" s="36">
        <v>900909901</v>
      </c>
      <c r="M1746" s="35" t="s">
        <v>3422</v>
      </c>
      <c r="O1746" s="35" t="s">
        <v>7829</v>
      </c>
      <c r="P1746" s="37" t="s">
        <v>7830</v>
      </c>
      <c r="Q1746" s="34" t="s">
        <v>3549</v>
      </c>
      <c r="R1746" s="34" t="s">
        <v>3540</v>
      </c>
      <c r="S1746" s="47">
        <v>34215</v>
      </c>
      <c r="T1746" s="47">
        <v>0</v>
      </c>
      <c r="U1746" s="47">
        <v>0</v>
      </c>
      <c r="V1746" s="34">
        <v>4078500135504</v>
      </c>
      <c r="W1746" s="34" t="s">
        <v>3543</v>
      </c>
      <c r="X1746" s="34" t="s">
        <v>3704</v>
      </c>
      <c r="Y1746" s="34" t="s">
        <v>3542</v>
      </c>
      <c r="Z1746" s="34">
        <v>5</v>
      </c>
      <c r="AA1746" s="34" t="s">
        <v>3720</v>
      </c>
      <c r="AB1746" s="34" t="s">
        <v>3720</v>
      </c>
      <c r="AC1746" s="34" t="s">
        <v>6669</v>
      </c>
      <c r="AD1746" s="34" t="s">
        <v>6669</v>
      </c>
      <c r="AE1746" s="34" t="s">
        <v>4440</v>
      </c>
      <c r="AF1746" s="34" t="s">
        <v>4560</v>
      </c>
      <c r="AG1746" s="34" t="s">
        <v>4218</v>
      </c>
      <c r="AH1746" s="34" t="s">
        <v>6550</v>
      </c>
      <c r="AI1746" s="34" t="s">
        <v>5509</v>
      </c>
      <c r="AJ1746" s="34" t="s">
        <v>4780</v>
      </c>
      <c r="AK1746" s="34" t="s">
        <v>4780</v>
      </c>
      <c r="AL1746" s="34">
        <v>1200</v>
      </c>
      <c r="AM1746" s="40" t="s">
        <v>9</v>
      </c>
      <c r="AP1746" s="34">
        <v>0</v>
      </c>
      <c r="AQ1746" s="34">
        <v>1859</v>
      </c>
      <c r="AR1746" s="34">
        <v>1084</v>
      </c>
      <c r="AT1746" s="44">
        <v>144000</v>
      </c>
      <c r="AU1746" s="44"/>
      <c r="AV1746" s="46">
        <f>ROUND(Товары[[#This Row],[РРЦ финальная, руб.]]/$AU$1,2)</f>
        <v>0</v>
      </c>
      <c r="AW1746" s="45" t="str">
        <f>IFERROR(Товары[[#This Row],[РРЦ, евро]]/Товары[[#This Row],[IRP, Eur]],"-")</f>
        <v>-</v>
      </c>
      <c r="AX1746" s="42">
        <f>IFERROR(VLOOKUP(Товары[[#This Row],[SubGroup]],'Структура цен DIY'!$B:$C,2,FALSE),0)</f>
        <v>0.30000000000000016</v>
      </c>
      <c r="AY1746" s="44">
        <v>0</v>
      </c>
    </row>
    <row r="1747" spans="1:51" x14ac:dyDescent="0.25">
      <c r="A1747" s="34">
        <v>1745</v>
      </c>
      <c r="B1747" s="34" t="s">
        <v>49</v>
      </c>
      <c r="C1747" s="110" t="str">
        <f>IFERROR(INDEX(Структура_ассортимента[SuperCategory],MATCH(Товары[[#This Row],[SubGroup]],Структура_ассортимента[Subgroup],0)),"")</f>
        <v>W</v>
      </c>
      <c r="D174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4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47" s="110" t="str">
        <f>IFERROR(INDEX(Структура_ассортимента[Product group],MATCH(Товары[[#This Row],[SubGroup]],Структура_ассортимента[Subgroup],0)),"")</f>
        <v>WSS_C</v>
      </c>
      <c r="G1747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47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47" s="36">
        <v>9033</v>
      </c>
      <c r="J1747" s="36" t="str">
        <f>IFERROR(INDEX(Структура_ассортимента[Generic Name (long)],MATCH(Товары[[#This Row],[SubGroup]],Структура_ассортимента[Subgroup],0)),"")</f>
        <v>WATERING SET</v>
      </c>
      <c r="L1747" s="36">
        <v>900912601</v>
      </c>
      <c r="M1747" s="35" t="s">
        <v>3423</v>
      </c>
      <c r="Q1747" s="34" t="s">
        <v>3549</v>
      </c>
      <c r="R1747" s="34" t="s">
        <v>3540</v>
      </c>
      <c r="S1747" s="47">
        <v>32782</v>
      </c>
      <c r="T1747" s="47">
        <v>0</v>
      </c>
      <c r="U1747" s="47">
        <v>0</v>
      </c>
      <c r="V1747" s="34">
        <v>4078500137409</v>
      </c>
      <c r="W1747" s="34" t="s">
        <v>3543</v>
      </c>
      <c r="X1747" s="34" t="s">
        <v>3579</v>
      </c>
      <c r="Y1747" s="34" t="s">
        <v>3542</v>
      </c>
      <c r="Z1747" s="34">
        <v>6</v>
      </c>
      <c r="AA1747" s="34" t="s">
        <v>5629</v>
      </c>
      <c r="AB1747" s="34" t="s">
        <v>5629</v>
      </c>
      <c r="AC1747" s="34" t="s">
        <v>3780</v>
      </c>
      <c r="AD1747" s="34" t="s">
        <v>3780</v>
      </c>
      <c r="AE1747" s="34" t="s">
        <v>3693</v>
      </c>
      <c r="AF1747" s="34" t="s">
        <v>3576</v>
      </c>
      <c r="AG1747" s="34" t="s">
        <v>3678</v>
      </c>
      <c r="AH1747" s="34" t="s">
        <v>3798</v>
      </c>
      <c r="AL1747" s="34">
        <v>792</v>
      </c>
      <c r="AM1747" s="40" t="s">
        <v>8095</v>
      </c>
      <c r="AT1747" s="44">
        <v>0</v>
      </c>
      <c r="AU1747" s="44"/>
      <c r="AV1747" s="46">
        <f>ROUND(Товары[[#This Row],[РРЦ финальная, руб.]]/$AU$1,2)</f>
        <v>0</v>
      </c>
      <c r="AW1747" s="45" t="str">
        <f>IFERROR(Товары[[#This Row],[РРЦ, евро]]/Товары[[#This Row],[IRP, Eur]],"-")</f>
        <v>-</v>
      </c>
      <c r="AX1747" s="42">
        <f>IFERROR(VLOOKUP(Товары[[#This Row],[SubGroup]],'Структура цен DIY'!$B:$C,2,FALSE),0)</f>
        <v>0.30000000000000016</v>
      </c>
      <c r="AY1747" s="44">
        <v>0</v>
      </c>
    </row>
    <row r="1748" spans="1:51" x14ac:dyDescent="0.25">
      <c r="A1748" s="34">
        <v>1746</v>
      </c>
      <c r="B1748" s="34" t="s">
        <v>49</v>
      </c>
      <c r="C1748" s="110" t="str">
        <f>IFERROR(INDEX(Структура_ассортимента[SuperCategory],MATCH(Товары[[#This Row],[SubGroup]],Структура_ассортимента[Subgroup],0)),"")</f>
        <v>W</v>
      </c>
      <c r="D174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4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48" s="110" t="str">
        <f>IFERROR(INDEX(Структура_ассортимента[Product group],MATCH(Товары[[#This Row],[SubGroup]],Структура_ассортимента[Subgroup],0)),"")</f>
        <v>WSS_C</v>
      </c>
      <c r="G1748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48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48" s="36">
        <v>9033</v>
      </c>
      <c r="J1748" s="36" t="str">
        <f>IFERROR(INDEX(Структура_ассортимента[Generic Name (long)],MATCH(Товары[[#This Row],[SubGroup]],Структура_ассортимента[Subgroup],0)),"")</f>
        <v>WATERING SET</v>
      </c>
      <c r="L1748" s="36">
        <v>900912701</v>
      </c>
      <c r="M1748" s="35" t="s">
        <v>3424</v>
      </c>
      <c r="O1748" s="35" t="s">
        <v>7831</v>
      </c>
      <c r="P1748" s="37" t="s">
        <v>7832</v>
      </c>
      <c r="Q1748" s="34" t="s">
        <v>3549</v>
      </c>
      <c r="R1748" s="34" t="s">
        <v>3540</v>
      </c>
      <c r="S1748" s="47">
        <v>32782</v>
      </c>
      <c r="T1748" s="47">
        <v>0</v>
      </c>
      <c r="U1748" s="47">
        <v>0</v>
      </c>
      <c r="V1748" s="34">
        <v>4078500137485</v>
      </c>
      <c r="W1748" s="34" t="s">
        <v>3543</v>
      </c>
      <c r="X1748" s="34" t="s">
        <v>3579</v>
      </c>
      <c r="Y1748" s="34" t="s">
        <v>3542</v>
      </c>
      <c r="Z1748" s="34">
        <v>10</v>
      </c>
      <c r="AA1748" s="34" t="s">
        <v>5888</v>
      </c>
      <c r="AB1748" s="34" t="s">
        <v>6518</v>
      </c>
      <c r="AC1748" s="34" t="s">
        <v>3812</v>
      </c>
      <c r="AD1748" s="34" t="s">
        <v>5647</v>
      </c>
      <c r="AE1748" s="34" t="s">
        <v>4793</v>
      </c>
      <c r="AF1748" s="34" t="s">
        <v>5613</v>
      </c>
      <c r="AG1748" s="34" t="s">
        <v>3678</v>
      </c>
      <c r="AH1748" s="34" t="s">
        <v>7833</v>
      </c>
      <c r="AL1748" s="34" t="s">
        <v>6636</v>
      </c>
      <c r="AM1748" s="40" t="s">
        <v>9</v>
      </c>
      <c r="AP1748" s="34">
        <v>0</v>
      </c>
      <c r="AQ1748" s="34">
        <v>1089</v>
      </c>
      <c r="AR1748" s="34">
        <v>635</v>
      </c>
      <c r="AT1748" s="44">
        <v>84300</v>
      </c>
      <c r="AU1748" s="44"/>
      <c r="AV1748" s="46">
        <f>ROUND(Товары[[#This Row],[РРЦ финальная, руб.]]/$AU$1,2)</f>
        <v>0</v>
      </c>
      <c r="AW1748" s="45" t="str">
        <f>IFERROR(Товары[[#This Row],[РРЦ, евро]]/Товары[[#This Row],[IRP, Eur]],"-")</f>
        <v>-</v>
      </c>
      <c r="AX1748" s="42">
        <f>IFERROR(VLOOKUP(Товары[[#This Row],[SubGroup]],'Структура цен DIY'!$B:$C,2,FALSE),0)</f>
        <v>0.30000000000000016</v>
      </c>
      <c r="AY1748" s="44">
        <v>0</v>
      </c>
    </row>
    <row r="1749" spans="1:51" x14ac:dyDescent="0.25">
      <c r="A1749" s="34">
        <v>1747</v>
      </c>
      <c r="B1749" s="34" t="s">
        <v>49</v>
      </c>
      <c r="C1749" s="110" t="str">
        <f>IFERROR(INDEX(Структура_ассортимента[SuperCategory],MATCH(Товары[[#This Row],[SubGroup]],Структура_ассортимента[Subgroup],0)),"")</f>
        <v>W</v>
      </c>
      <c r="D174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4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49" s="110" t="str">
        <f>IFERROR(INDEX(Структура_ассортимента[Product group],MATCH(Товары[[#This Row],[SubGroup]],Структура_ассортимента[Subgroup],0)),"")</f>
        <v>WSS_C</v>
      </c>
      <c r="G1749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49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49" s="36">
        <v>9033</v>
      </c>
      <c r="J1749" s="36" t="str">
        <f>IFERROR(INDEX(Структура_ассортимента[Generic Name (long)],MATCH(Товары[[#This Row],[SubGroup]],Структура_ассортимента[Subgroup],0)),"")</f>
        <v>WATERING SET</v>
      </c>
      <c r="L1749" s="36">
        <v>900913001</v>
      </c>
      <c r="M1749" s="35" t="s">
        <v>3425</v>
      </c>
      <c r="O1749" s="35" t="s">
        <v>7834</v>
      </c>
      <c r="P1749" s="37" t="s">
        <v>7835</v>
      </c>
      <c r="Q1749" s="34" t="s">
        <v>3549</v>
      </c>
      <c r="R1749" s="34" t="s">
        <v>3540</v>
      </c>
      <c r="S1749" s="47">
        <v>32782</v>
      </c>
      <c r="T1749" s="47">
        <v>0</v>
      </c>
      <c r="U1749" s="47">
        <v>0</v>
      </c>
      <c r="V1749" s="34">
        <v>4078500137706</v>
      </c>
      <c r="W1749" s="34" t="s">
        <v>3543</v>
      </c>
      <c r="X1749" s="34" t="s">
        <v>3579</v>
      </c>
      <c r="Y1749" s="34" t="s">
        <v>3542</v>
      </c>
      <c r="Z1749" s="34">
        <v>6</v>
      </c>
      <c r="AA1749" s="34" t="s">
        <v>7063</v>
      </c>
      <c r="AB1749" s="34" t="s">
        <v>6446</v>
      </c>
      <c r="AC1749" s="34" t="s">
        <v>7072</v>
      </c>
      <c r="AD1749" s="34" t="s">
        <v>6519</v>
      </c>
      <c r="AE1749" s="34" t="s">
        <v>3590</v>
      </c>
      <c r="AF1749" s="34" t="s">
        <v>3624</v>
      </c>
      <c r="AG1749" s="34" t="s">
        <v>6049</v>
      </c>
      <c r="AH1749" s="34" t="s">
        <v>7836</v>
      </c>
      <c r="AL1749" s="34">
        <v>864</v>
      </c>
      <c r="AM1749" s="40" t="s">
        <v>9</v>
      </c>
      <c r="AP1749" s="34">
        <v>0</v>
      </c>
      <c r="AQ1749" s="34">
        <v>539</v>
      </c>
      <c r="AR1749" s="34">
        <v>314</v>
      </c>
      <c r="AT1749" s="44">
        <v>41700</v>
      </c>
      <c r="AU1749" s="44"/>
      <c r="AV1749" s="46">
        <f>ROUND(Товары[[#This Row],[РРЦ финальная, руб.]]/$AU$1,2)</f>
        <v>0</v>
      </c>
      <c r="AW1749" s="45" t="str">
        <f>IFERROR(Товары[[#This Row],[РРЦ, евро]]/Товары[[#This Row],[IRP, Eur]],"-")</f>
        <v>-</v>
      </c>
      <c r="AX1749" s="42">
        <f>IFERROR(VLOOKUP(Товары[[#This Row],[SubGroup]],'Структура цен DIY'!$B:$C,2,FALSE),0)</f>
        <v>0.30000000000000016</v>
      </c>
      <c r="AY1749" s="44">
        <v>0</v>
      </c>
    </row>
    <row r="1750" spans="1:51" x14ac:dyDescent="0.25">
      <c r="A1750" s="34">
        <v>1748</v>
      </c>
      <c r="B1750" s="34" t="s">
        <v>49</v>
      </c>
      <c r="C1750" s="110" t="str">
        <f>IFERROR(INDEX(Структура_ассортимента[SuperCategory],MATCH(Товары[[#This Row],[SubGroup]],Структура_ассортимента[Subgroup],0)),"")</f>
        <v>W</v>
      </c>
      <c r="D175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5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50" s="110" t="str">
        <f>IFERROR(INDEX(Структура_ассортимента[Product group],MATCH(Товары[[#This Row],[SubGroup]],Структура_ассортимента[Subgroup],0)),"")</f>
        <v>WSS_C</v>
      </c>
      <c r="G1750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50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50" s="36">
        <v>9033</v>
      </c>
      <c r="J1750" s="36" t="str">
        <f>IFERROR(INDEX(Структура_ассортимента[Generic Name (long)],MATCH(Товары[[#This Row],[SubGroup]],Структура_ассортимента[Subgroup],0)),"")</f>
        <v>WATERING SET</v>
      </c>
      <c r="L1750" s="36">
        <v>901163401</v>
      </c>
      <c r="M1750" s="35" t="s">
        <v>3426</v>
      </c>
      <c r="O1750" s="35" t="s">
        <v>7837</v>
      </c>
      <c r="P1750" s="37" t="s">
        <v>7838</v>
      </c>
      <c r="Q1750" s="34" t="s">
        <v>3549</v>
      </c>
      <c r="R1750" s="34" t="s">
        <v>3540</v>
      </c>
      <c r="S1750" s="47">
        <v>37530</v>
      </c>
      <c r="T1750" s="47">
        <v>0</v>
      </c>
      <c r="U1750" s="47">
        <v>0</v>
      </c>
      <c r="V1750" s="34">
        <v>4078500833196</v>
      </c>
      <c r="W1750" s="34" t="s">
        <v>3543</v>
      </c>
      <c r="X1750" s="34" t="s">
        <v>3579</v>
      </c>
      <c r="Y1750" s="34" t="s">
        <v>3542</v>
      </c>
      <c r="Z1750" s="34">
        <v>10</v>
      </c>
      <c r="AA1750" s="34" t="s">
        <v>5649</v>
      </c>
      <c r="AB1750" s="34" t="s">
        <v>5649</v>
      </c>
      <c r="AC1750" s="34" t="s">
        <v>3727</v>
      </c>
      <c r="AD1750" s="34" t="s">
        <v>3727</v>
      </c>
      <c r="AE1750" s="34" t="s">
        <v>3825</v>
      </c>
      <c r="AF1750" s="34" t="s">
        <v>3576</v>
      </c>
      <c r="AG1750" s="34" t="s">
        <v>4221</v>
      </c>
      <c r="AH1750" s="34" t="s">
        <v>7839</v>
      </c>
      <c r="AL1750" s="34">
        <v>800</v>
      </c>
      <c r="AM1750" s="40" t="s">
        <v>9</v>
      </c>
      <c r="AP1750" s="34">
        <v>0</v>
      </c>
      <c r="AQ1750" s="34">
        <v>869</v>
      </c>
      <c r="AR1750" s="34">
        <v>507</v>
      </c>
      <c r="AT1750" s="44">
        <v>67300</v>
      </c>
      <c r="AU1750" s="44"/>
      <c r="AV1750" s="46">
        <f>ROUND(Товары[[#This Row],[РРЦ финальная, руб.]]/$AU$1,2)</f>
        <v>0</v>
      </c>
      <c r="AW1750" s="45" t="str">
        <f>IFERROR(Товары[[#This Row],[РРЦ, евро]]/Товары[[#This Row],[IRP, Eur]],"-")</f>
        <v>-</v>
      </c>
      <c r="AX1750" s="42">
        <f>IFERROR(VLOOKUP(Товары[[#This Row],[SubGroup]],'Структура цен DIY'!$B:$C,2,FALSE),0)</f>
        <v>0.30000000000000016</v>
      </c>
      <c r="AY1750" s="44">
        <v>0</v>
      </c>
    </row>
    <row r="1751" spans="1:51" x14ac:dyDescent="0.25">
      <c r="A1751" s="34">
        <v>1749</v>
      </c>
      <c r="B1751" s="34" t="s">
        <v>49</v>
      </c>
      <c r="C1751" s="110" t="str">
        <f>IFERROR(INDEX(Структура_ассортимента[SuperCategory],MATCH(Товары[[#This Row],[SubGroup]],Структура_ассортимента[Subgroup],0)),"")</f>
        <v>W</v>
      </c>
      <c r="D175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5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51" s="110" t="str">
        <f>IFERROR(INDEX(Структура_ассортимента[Product group],MATCH(Товары[[#This Row],[SubGroup]],Структура_ассортимента[Subgroup],0)),"")</f>
        <v>WSS_C</v>
      </c>
      <c r="G1751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51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51" s="36">
        <v>9033</v>
      </c>
      <c r="J1751" s="36" t="str">
        <f>IFERROR(INDEX(Структура_ассортимента[Generic Name (long)],MATCH(Товары[[#This Row],[SubGroup]],Структура_ассортимента[Subgroup],0)),"")</f>
        <v>WATERING SET</v>
      </c>
      <c r="L1751" s="36">
        <v>901163301</v>
      </c>
      <c r="M1751" s="35" t="s">
        <v>3427</v>
      </c>
      <c r="Q1751" s="34" t="s">
        <v>3549</v>
      </c>
      <c r="R1751" s="34" t="s">
        <v>3540</v>
      </c>
      <c r="S1751" s="47">
        <v>37530</v>
      </c>
      <c r="T1751" s="47">
        <v>0</v>
      </c>
      <c r="U1751" s="47">
        <v>0</v>
      </c>
      <c r="V1751" s="34">
        <v>4078500833103</v>
      </c>
      <c r="W1751" s="34" t="s">
        <v>3543</v>
      </c>
      <c r="X1751" s="34" t="s">
        <v>3579</v>
      </c>
      <c r="Y1751" s="34" t="s">
        <v>3542</v>
      </c>
      <c r="Z1751" s="34">
        <v>10</v>
      </c>
      <c r="AA1751" s="34" t="s">
        <v>5649</v>
      </c>
      <c r="AB1751" s="34" t="s">
        <v>5649</v>
      </c>
      <c r="AC1751" s="34" t="s">
        <v>3727</v>
      </c>
      <c r="AD1751" s="34" t="s">
        <v>3727</v>
      </c>
      <c r="AE1751" s="34" t="s">
        <v>3825</v>
      </c>
      <c r="AF1751" s="34" t="s">
        <v>3576</v>
      </c>
      <c r="AG1751" s="34" t="s">
        <v>4221</v>
      </c>
      <c r="AH1751" s="34" t="s">
        <v>7839</v>
      </c>
      <c r="AL1751" s="34">
        <v>800</v>
      </c>
      <c r="AM1751" s="40" t="s">
        <v>8095</v>
      </c>
      <c r="AT1751" s="44">
        <v>0</v>
      </c>
      <c r="AU1751" s="44"/>
      <c r="AV1751" s="46">
        <f>ROUND(Товары[[#This Row],[РРЦ финальная, руб.]]/$AU$1,2)</f>
        <v>0</v>
      </c>
      <c r="AW1751" s="45" t="str">
        <f>IFERROR(Товары[[#This Row],[РРЦ, евро]]/Товары[[#This Row],[IRP, Eur]],"-")</f>
        <v>-</v>
      </c>
      <c r="AX1751" s="42">
        <f>IFERROR(VLOOKUP(Товары[[#This Row],[SubGroup]],'Структура цен DIY'!$B:$C,2,FALSE),0)</f>
        <v>0.30000000000000016</v>
      </c>
      <c r="AY1751" s="44">
        <v>0</v>
      </c>
    </row>
    <row r="1752" spans="1:51" x14ac:dyDescent="0.25">
      <c r="A1752" s="34">
        <v>1750</v>
      </c>
      <c r="B1752" s="34" t="s">
        <v>49</v>
      </c>
      <c r="C1752" s="110" t="str">
        <f>IFERROR(INDEX(Структура_ассортимента[SuperCategory],MATCH(Товары[[#This Row],[SubGroup]],Структура_ассортимента[Subgroup],0)),"")</f>
        <v>W</v>
      </c>
      <c r="D175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5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52" s="110" t="str">
        <f>IFERROR(INDEX(Структура_ассортимента[Product group],MATCH(Товары[[#This Row],[SubGroup]],Структура_ассортимента[Subgroup],0)),"")</f>
        <v>WSS_C</v>
      </c>
      <c r="G1752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52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52" s="36">
        <v>9033</v>
      </c>
      <c r="J1752" s="36" t="str">
        <f>IFERROR(INDEX(Структура_ассортимента[Generic Name (long)],MATCH(Товары[[#This Row],[SubGroup]],Структура_ассортимента[Subgroup],0)),"")</f>
        <v>WATERING SET</v>
      </c>
      <c r="L1752" s="36">
        <v>901163701</v>
      </c>
      <c r="M1752" s="35" t="s">
        <v>3428</v>
      </c>
      <c r="O1752" s="35" t="s">
        <v>7840</v>
      </c>
      <c r="P1752" s="37" t="s">
        <v>7841</v>
      </c>
      <c r="Q1752" s="34" t="s">
        <v>3549</v>
      </c>
      <c r="R1752" s="34" t="s">
        <v>3540</v>
      </c>
      <c r="S1752" s="47">
        <v>37530</v>
      </c>
      <c r="T1752" s="47">
        <v>0</v>
      </c>
      <c r="U1752" s="47">
        <v>0</v>
      </c>
      <c r="V1752" s="34">
        <v>4078500833301</v>
      </c>
      <c r="W1752" s="34" t="s">
        <v>3543</v>
      </c>
      <c r="X1752" s="34" t="s">
        <v>3579</v>
      </c>
      <c r="Y1752" s="34" t="s">
        <v>3542</v>
      </c>
      <c r="Z1752" s="34">
        <v>10</v>
      </c>
      <c r="AA1752" s="34" t="s">
        <v>7063</v>
      </c>
      <c r="AB1752" s="34" t="s">
        <v>4091</v>
      </c>
      <c r="AC1752" s="34" t="s">
        <v>7063</v>
      </c>
      <c r="AD1752" s="34" t="s">
        <v>7063</v>
      </c>
      <c r="AE1752" s="34" t="s">
        <v>3825</v>
      </c>
      <c r="AF1752" s="34" t="s">
        <v>3576</v>
      </c>
      <c r="AG1752" s="34" t="s">
        <v>4231</v>
      </c>
      <c r="AH1752" s="34" t="s">
        <v>7842</v>
      </c>
      <c r="AI1752" s="34" t="s">
        <v>4248</v>
      </c>
      <c r="AJ1752" s="34" t="s">
        <v>6551</v>
      </c>
      <c r="AK1752" s="34" t="s">
        <v>4775</v>
      </c>
      <c r="AL1752" s="34">
        <v>800</v>
      </c>
      <c r="AM1752" s="40" t="s">
        <v>9</v>
      </c>
      <c r="AP1752" s="34">
        <v>0</v>
      </c>
      <c r="AQ1752" s="34">
        <v>979</v>
      </c>
      <c r="AR1752" s="34">
        <v>571</v>
      </c>
      <c r="AT1752" s="44">
        <v>75800</v>
      </c>
      <c r="AU1752" s="44"/>
      <c r="AV1752" s="46">
        <f>ROUND(Товары[[#This Row],[РРЦ финальная, руб.]]/$AU$1,2)</f>
        <v>0</v>
      </c>
      <c r="AW1752" s="45" t="str">
        <f>IFERROR(Товары[[#This Row],[РРЦ, евро]]/Товары[[#This Row],[IRP, Eur]],"-")</f>
        <v>-</v>
      </c>
      <c r="AX1752" s="42">
        <f>IFERROR(VLOOKUP(Товары[[#This Row],[SubGroup]],'Структура цен DIY'!$B:$C,2,FALSE),0)</f>
        <v>0.30000000000000016</v>
      </c>
      <c r="AY1752" s="44">
        <v>0</v>
      </c>
    </row>
    <row r="1753" spans="1:51" x14ac:dyDescent="0.25">
      <c r="A1753" s="34">
        <v>1751</v>
      </c>
      <c r="B1753" s="34" t="s">
        <v>49</v>
      </c>
      <c r="C1753" s="110" t="str">
        <f>IFERROR(INDEX(Структура_ассортимента[SuperCategory],MATCH(Товары[[#This Row],[SubGroup]],Структура_ассортимента[Subgroup],0)),"")</f>
        <v>W</v>
      </c>
      <c r="D175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5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53" s="110" t="str">
        <f>IFERROR(INDEX(Структура_ассортимента[Product group],MATCH(Товары[[#This Row],[SubGroup]],Структура_ассортимента[Subgroup],0)),"")</f>
        <v>WSS_C</v>
      </c>
      <c r="G1753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53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53" s="36">
        <v>9033</v>
      </c>
      <c r="J1753" s="36" t="str">
        <f>IFERROR(INDEX(Структура_ассортимента[Generic Name (long)],MATCH(Товары[[#This Row],[SubGroup]],Структура_ассортимента[Subgroup],0)),"")</f>
        <v>WATERING SET</v>
      </c>
      <c r="L1753" s="36">
        <v>901164001</v>
      </c>
      <c r="M1753" s="35" t="s">
        <v>3429</v>
      </c>
      <c r="O1753" s="35" t="s">
        <v>7843</v>
      </c>
      <c r="P1753" s="37" t="s">
        <v>7844</v>
      </c>
      <c r="Q1753" s="34" t="s">
        <v>3549</v>
      </c>
      <c r="R1753" s="34" t="s">
        <v>3540</v>
      </c>
      <c r="S1753" s="47">
        <v>37530</v>
      </c>
      <c r="T1753" s="47">
        <v>0</v>
      </c>
      <c r="U1753" s="47">
        <v>0</v>
      </c>
      <c r="V1753" s="34">
        <v>4078500833493</v>
      </c>
      <c r="W1753" s="34" t="s">
        <v>3543</v>
      </c>
      <c r="X1753" s="34" t="s">
        <v>3579</v>
      </c>
      <c r="Y1753" s="34" t="s">
        <v>3542</v>
      </c>
      <c r="Z1753" s="34">
        <v>10</v>
      </c>
      <c r="AA1753" s="34" t="s">
        <v>6526</v>
      </c>
      <c r="AB1753" s="34" t="s">
        <v>6526</v>
      </c>
      <c r="AC1753" s="34" t="s">
        <v>5603</v>
      </c>
      <c r="AD1753" s="34" t="s">
        <v>5603</v>
      </c>
      <c r="AE1753" s="34" t="s">
        <v>3693</v>
      </c>
      <c r="AF1753" s="34" t="s">
        <v>3576</v>
      </c>
      <c r="AG1753" s="34" t="s">
        <v>4775</v>
      </c>
      <c r="AH1753" s="34" t="s">
        <v>7845</v>
      </c>
      <c r="AL1753" s="34">
        <v>1080</v>
      </c>
      <c r="AM1753" s="40" t="s">
        <v>9</v>
      </c>
      <c r="AP1753" s="34">
        <v>0</v>
      </c>
      <c r="AQ1753" s="34">
        <v>869</v>
      </c>
      <c r="AR1753" s="34">
        <v>507</v>
      </c>
      <c r="AT1753" s="44">
        <v>67300</v>
      </c>
      <c r="AU1753" s="44"/>
      <c r="AV1753" s="46">
        <f>ROUND(Товары[[#This Row],[РРЦ финальная, руб.]]/$AU$1,2)</f>
        <v>0</v>
      </c>
      <c r="AW1753" s="45" t="str">
        <f>IFERROR(Товары[[#This Row],[РРЦ, евро]]/Товары[[#This Row],[IRP, Eur]],"-")</f>
        <v>-</v>
      </c>
      <c r="AX1753" s="42">
        <f>IFERROR(VLOOKUP(Товары[[#This Row],[SubGroup]],'Структура цен DIY'!$B:$C,2,FALSE),0)</f>
        <v>0.30000000000000016</v>
      </c>
      <c r="AY1753" s="44">
        <v>0</v>
      </c>
    </row>
    <row r="1754" spans="1:51" x14ac:dyDescent="0.25">
      <c r="A1754" s="34">
        <v>1752</v>
      </c>
      <c r="B1754" s="34" t="s">
        <v>49</v>
      </c>
      <c r="C1754" s="110" t="str">
        <f>IFERROR(INDEX(Структура_ассортимента[SuperCategory],MATCH(Товары[[#This Row],[SubGroup]],Структура_ассортимента[Subgroup],0)),"")</f>
        <v>W</v>
      </c>
      <c r="D175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5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54" s="110" t="str">
        <f>IFERROR(INDEX(Структура_ассортимента[Product group],MATCH(Товары[[#This Row],[SubGroup]],Структура_ассортимента[Subgroup],0)),"")</f>
        <v>WSS_C</v>
      </c>
      <c r="G1754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54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54" s="36">
        <v>9033</v>
      </c>
      <c r="J1754" s="36" t="str">
        <f>IFERROR(INDEX(Структура_ассортимента[Generic Name (long)],MATCH(Товары[[#This Row],[SubGroup]],Структура_ассортимента[Subgroup],0)),"")</f>
        <v>WATERING SET</v>
      </c>
      <c r="L1754" s="36">
        <v>901164201</v>
      </c>
      <c r="M1754" s="35" t="s">
        <v>3430</v>
      </c>
      <c r="O1754" s="35" t="s">
        <v>7846</v>
      </c>
      <c r="P1754" s="37" t="s">
        <v>7847</v>
      </c>
      <c r="Q1754" s="34" t="s">
        <v>3549</v>
      </c>
      <c r="R1754" s="34" t="s">
        <v>3540</v>
      </c>
      <c r="S1754" s="47">
        <v>37530</v>
      </c>
      <c r="T1754" s="47">
        <v>0</v>
      </c>
      <c r="U1754" s="47">
        <v>0</v>
      </c>
      <c r="V1754" s="34">
        <v>4078500833790</v>
      </c>
      <c r="W1754" s="34" t="s">
        <v>3543</v>
      </c>
      <c r="X1754" s="34" t="s">
        <v>3579</v>
      </c>
      <c r="Y1754" s="34" t="s">
        <v>3542</v>
      </c>
      <c r="Z1754" s="34">
        <v>10</v>
      </c>
      <c r="AA1754" s="34" t="s">
        <v>6655</v>
      </c>
      <c r="AB1754" s="34" t="s">
        <v>6655</v>
      </c>
      <c r="AC1754" s="34" t="s">
        <v>6470</v>
      </c>
      <c r="AD1754" s="34" t="s">
        <v>6470</v>
      </c>
      <c r="AE1754" s="34" t="s">
        <v>3693</v>
      </c>
      <c r="AF1754" s="34" t="s">
        <v>3576</v>
      </c>
      <c r="AG1754" s="34" t="s">
        <v>3672</v>
      </c>
      <c r="AH1754" s="34" t="s">
        <v>6652</v>
      </c>
      <c r="AL1754" s="34">
        <v>1320</v>
      </c>
      <c r="AM1754" s="40" t="s">
        <v>9</v>
      </c>
      <c r="AP1754" s="34">
        <v>0</v>
      </c>
      <c r="AQ1754" s="34">
        <v>539</v>
      </c>
      <c r="AR1754" s="34">
        <v>314</v>
      </c>
      <c r="AT1754" s="44">
        <v>41700</v>
      </c>
      <c r="AU1754" s="44"/>
      <c r="AV1754" s="46">
        <f>ROUND(Товары[[#This Row],[РРЦ финальная, руб.]]/$AU$1,2)</f>
        <v>0</v>
      </c>
      <c r="AW1754" s="45" t="str">
        <f>IFERROR(Товары[[#This Row],[РРЦ, евро]]/Товары[[#This Row],[IRP, Eur]],"-")</f>
        <v>-</v>
      </c>
      <c r="AX1754" s="42">
        <f>IFERROR(VLOOKUP(Товары[[#This Row],[SubGroup]],'Структура цен DIY'!$B:$C,2,FALSE),0)</f>
        <v>0.30000000000000016</v>
      </c>
      <c r="AY1754" s="44">
        <v>0</v>
      </c>
    </row>
    <row r="1755" spans="1:51" x14ac:dyDescent="0.25">
      <c r="A1755" s="34">
        <v>1753</v>
      </c>
      <c r="B1755" s="34" t="s">
        <v>49</v>
      </c>
      <c r="C1755" s="110" t="str">
        <f>IFERROR(INDEX(Структура_ассортимента[SuperCategory],MATCH(Товары[[#This Row],[SubGroup]],Структура_ассортимента[Subgroup],0)),"")</f>
        <v>W</v>
      </c>
      <c r="D175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5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55" s="110" t="str">
        <f>IFERROR(INDEX(Структура_ассортимента[Product group],MATCH(Товары[[#This Row],[SubGroup]],Структура_ассортимента[Subgroup],0)),"")</f>
        <v>WSS_C</v>
      </c>
      <c r="G1755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55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55" s="36">
        <v>9033</v>
      </c>
      <c r="J1755" s="36" t="str">
        <f>IFERROR(INDEX(Структура_ассортимента[Generic Name (long)],MATCH(Товары[[#This Row],[SubGroup]],Структура_ассортимента[Subgroup],0)),"")</f>
        <v>WATERING SET</v>
      </c>
      <c r="L1755" s="36">
        <v>901164101</v>
      </c>
      <c r="M1755" s="35" t="s">
        <v>3431</v>
      </c>
      <c r="Q1755" s="34" t="s">
        <v>3549</v>
      </c>
      <c r="R1755" s="34" t="s">
        <v>3540</v>
      </c>
      <c r="S1755" s="47">
        <v>37530</v>
      </c>
      <c r="T1755" s="47">
        <v>0</v>
      </c>
      <c r="U1755" s="47">
        <v>0</v>
      </c>
      <c r="V1755" s="34">
        <v>4078500833707</v>
      </c>
      <c r="W1755" s="34" t="s">
        <v>3543</v>
      </c>
      <c r="X1755" s="34" t="s">
        <v>3579</v>
      </c>
      <c r="Y1755" s="34" t="s">
        <v>3542</v>
      </c>
      <c r="Z1755" s="34">
        <v>10</v>
      </c>
      <c r="AA1755" s="34" t="s">
        <v>6655</v>
      </c>
      <c r="AB1755" s="34" t="s">
        <v>3779</v>
      </c>
      <c r="AC1755" s="34" t="s">
        <v>6470</v>
      </c>
      <c r="AD1755" s="34" t="s">
        <v>6470</v>
      </c>
      <c r="AE1755" s="34" t="s">
        <v>3693</v>
      </c>
      <c r="AF1755" s="34" t="s">
        <v>3576</v>
      </c>
      <c r="AG1755" s="34" t="s">
        <v>3672</v>
      </c>
      <c r="AH1755" s="34" t="s">
        <v>6652</v>
      </c>
      <c r="AL1755" s="34">
        <v>1320</v>
      </c>
      <c r="AM1755" s="40" t="s">
        <v>8095</v>
      </c>
      <c r="AT1755" s="44">
        <v>0</v>
      </c>
      <c r="AU1755" s="44"/>
      <c r="AV1755" s="46">
        <f>ROUND(Товары[[#This Row],[РРЦ финальная, руб.]]/$AU$1,2)</f>
        <v>0</v>
      </c>
      <c r="AW1755" s="45" t="str">
        <f>IFERROR(Товары[[#This Row],[РРЦ, евро]]/Товары[[#This Row],[IRP, Eur]],"-")</f>
        <v>-</v>
      </c>
      <c r="AX1755" s="42">
        <f>IFERROR(VLOOKUP(Товары[[#This Row],[SubGroup]],'Структура цен DIY'!$B:$C,2,FALSE),0)</f>
        <v>0.30000000000000016</v>
      </c>
      <c r="AY1755" s="44">
        <v>0</v>
      </c>
    </row>
    <row r="1756" spans="1:51" x14ac:dyDescent="0.25">
      <c r="A1756" s="34">
        <v>1754</v>
      </c>
      <c r="B1756" s="34" t="s">
        <v>49</v>
      </c>
      <c r="C1756" s="110" t="str">
        <f>IFERROR(INDEX(Структура_ассортимента[SuperCategory],MATCH(Товары[[#This Row],[SubGroup]],Структура_ассортимента[Subgroup],0)),"")</f>
        <v>W</v>
      </c>
      <c r="D175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5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56" s="110" t="str">
        <f>IFERROR(INDEX(Структура_ассортимента[Product group],MATCH(Товары[[#This Row],[SubGroup]],Структура_ассортимента[Subgroup],0)),"")</f>
        <v>WSS_C</v>
      </c>
      <c r="G1756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56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56" s="36">
        <v>9033</v>
      </c>
      <c r="J1756" s="36" t="str">
        <f>IFERROR(INDEX(Структура_ассортимента[Generic Name (long)],MATCH(Товары[[#This Row],[SubGroup]],Структура_ассортимента[Subgroup],0)),"")</f>
        <v>WATERING SET</v>
      </c>
      <c r="L1756" s="36">
        <v>901164501</v>
      </c>
      <c r="M1756" s="35" t="s">
        <v>3432</v>
      </c>
      <c r="O1756" s="35" t="s">
        <v>7848</v>
      </c>
      <c r="P1756" s="37" t="s">
        <v>7849</v>
      </c>
      <c r="Q1756" s="34" t="s">
        <v>3549</v>
      </c>
      <c r="R1756" s="34" t="s">
        <v>3540</v>
      </c>
      <c r="S1756" s="47">
        <v>37530</v>
      </c>
      <c r="T1756" s="47">
        <v>0</v>
      </c>
      <c r="U1756" s="47">
        <v>0</v>
      </c>
      <c r="V1756" s="34">
        <v>4078500833998</v>
      </c>
      <c r="W1756" s="34" t="s">
        <v>3543</v>
      </c>
      <c r="X1756" s="34" t="s">
        <v>3579</v>
      </c>
      <c r="Y1756" s="34" t="s">
        <v>3542</v>
      </c>
      <c r="Z1756" s="34">
        <v>10</v>
      </c>
      <c r="AA1756" s="34" t="s">
        <v>3789</v>
      </c>
      <c r="AB1756" s="34" t="s">
        <v>3789</v>
      </c>
      <c r="AC1756" s="34" t="s">
        <v>6526</v>
      </c>
      <c r="AD1756" s="34" t="s">
        <v>6526</v>
      </c>
      <c r="AE1756" s="34" t="s">
        <v>3693</v>
      </c>
      <c r="AF1756" s="34" t="s">
        <v>3576</v>
      </c>
      <c r="AG1756" s="34" t="s">
        <v>3754</v>
      </c>
      <c r="AH1756" s="34" t="s">
        <v>7850</v>
      </c>
      <c r="AI1756" s="34" t="s">
        <v>4248</v>
      </c>
      <c r="AJ1756" s="34" t="s">
        <v>6551</v>
      </c>
      <c r="AK1756" s="34" t="s">
        <v>4248</v>
      </c>
      <c r="AL1756" s="34">
        <v>1080</v>
      </c>
      <c r="AM1756" s="40" t="s">
        <v>9</v>
      </c>
      <c r="AP1756" s="34">
        <v>0</v>
      </c>
      <c r="AQ1756" s="34">
        <v>649</v>
      </c>
      <c r="AR1756" s="34">
        <v>379</v>
      </c>
      <c r="AT1756" s="44">
        <v>50300</v>
      </c>
      <c r="AU1756" s="44"/>
      <c r="AV1756" s="46">
        <f>ROUND(Товары[[#This Row],[РРЦ финальная, руб.]]/$AU$1,2)</f>
        <v>0</v>
      </c>
      <c r="AW1756" s="45" t="str">
        <f>IFERROR(Товары[[#This Row],[РРЦ, евро]]/Товары[[#This Row],[IRP, Eur]],"-")</f>
        <v>-</v>
      </c>
      <c r="AX1756" s="42">
        <f>IFERROR(VLOOKUP(Товары[[#This Row],[SubGroup]],'Структура цен DIY'!$B:$C,2,FALSE),0)</f>
        <v>0.30000000000000016</v>
      </c>
      <c r="AY1756" s="44">
        <v>0</v>
      </c>
    </row>
    <row r="1757" spans="1:51" x14ac:dyDescent="0.25">
      <c r="A1757" s="34">
        <v>1755</v>
      </c>
      <c r="B1757" s="34" t="s">
        <v>49</v>
      </c>
      <c r="C1757" s="110" t="str">
        <f>IFERROR(INDEX(Структура_ассортимента[SuperCategory],MATCH(Товары[[#This Row],[SubGroup]],Структура_ассортимента[Subgroup],0)),"")</f>
        <v>W</v>
      </c>
      <c r="D175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5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57" s="110" t="str">
        <f>IFERROR(INDEX(Структура_ассортимента[Product group],MATCH(Товары[[#This Row],[SubGroup]],Структура_ассортимента[Subgroup],0)),"")</f>
        <v>WSS_C</v>
      </c>
      <c r="G1757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57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57" s="36">
        <v>9033</v>
      </c>
      <c r="J1757" s="36" t="str">
        <f>IFERROR(INDEX(Структура_ассортимента[Generic Name (long)],MATCH(Товары[[#This Row],[SubGroup]],Структура_ассортимента[Subgroup],0)),"")</f>
        <v>WATERING SET</v>
      </c>
      <c r="L1757" s="36">
        <v>901163001</v>
      </c>
      <c r="M1757" s="35" t="s">
        <v>3433</v>
      </c>
      <c r="O1757" s="35" t="s">
        <v>7851</v>
      </c>
      <c r="P1757" s="37" t="s">
        <v>7852</v>
      </c>
      <c r="Q1757" s="34" t="s">
        <v>3549</v>
      </c>
      <c r="R1757" s="34" t="s">
        <v>3540</v>
      </c>
      <c r="S1757" s="47">
        <v>37530</v>
      </c>
      <c r="T1757" s="47">
        <v>0</v>
      </c>
      <c r="U1757" s="47">
        <v>0</v>
      </c>
      <c r="V1757" s="34">
        <v>4078500832991</v>
      </c>
      <c r="W1757" s="34" t="s">
        <v>3543</v>
      </c>
      <c r="X1757" s="34" t="s">
        <v>3579</v>
      </c>
      <c r="Y1757" s="34" t="s">
        <v>3542</v>
      </c>
      <c r="Z1757" s="34">
        <v>10</v>
      </c>
      <c r="AA1757" s="34" t="s">
        <v>5629</v>
      </c>
      <c r="AB1757" s="34" t="s">
        <v>5629</v>
      </c>
      <c r="AC1757" s="34" t="s">
        <v>5647</v>
      </c>
      <c r="AD1757" s="34" t="s">
        <v>5647</v>
      </c>
      <c r="AE1757" s="34" t="s">
        <v>3693</v>
      </c>
      <c r="AF1757" s="34" t="s">
        <v>3576</v>
      </c>
      <c r="AG1757" s="34" t="s">
        <v>4775</v>
      </c>
      <c r="AH1757" s="34" t="s">
        <v>7845</v>
      </c>
      <c r="AI1757" s="34" t="s">
        <v>4248</v>
      </c>
      <c r="AJ1757" s="34" t="s">
        <v>6551</v>
      </c>
      <c r="AK1757" s="34" t="s">
        <v>4351</v>
      </c>
      <c r="AL1757" s="34">
        <v>1080</v>
      </c>
      <c r="AM1757" s="40" t="s">
        <v>9</v>
      </c>
      <c r="AP1757" s="34">
        <v>0</v>
      </c>
      <c r="AQ1757" s="34">
        <v>539</v>
      </c>
      <c r="AR1757" s="34">
        <v>314</v>
      </c>
      <c r="AT1757" s="44">
        <v>41700</v>
      </c>
      <c r="AU1757" s="44"/>
      <c r="AV1757" s="46">
        <f>ROUND(Товары[[#This Row],[РРЦ финальная, руб.]]/$AU$1,2)</f>
        <v>0</v>
      </c>
      <c r="AW1757" s="45" t="str">
        <f>IFERROR(Товары[[#This Row],[РРЦ, евро]]/Товары[[#This Row],[IRP, Eur]],"-")</f>
        <v>-</v>
      </c>
      <c r="AX1757" s="42">
        <f>IFERROR(VLOOKUP(Товары[[#This Row],[SubGroup]],'Структура цен DIY'!$B:$C,2,FALSE),0)</f>
        <v>0.30000000000000016</v>
      </c>
      <c r="AY1757" s="44">
        <v>0</v>
      </c>
    </row>
    <row r="1758" spans="1:51" x14ac:dyDescent="0.25">
      <c r="A1758" s="34">
        <v>1756</v>
      </c>
      <c r="B1758" s="34" t="s">
        <v>49</v>
      </c>
      <c r="C1758" s="110" t="str">
        <f>IFERROR(INDEX(Структура_ассортимента[SuperCategory],MATCH(Товары[[#This Row],[SubGroup]],Структура_ассортимента[Subgroup],0)),"")</f>
        <v>W</v>
      </c>
      <c r="D175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5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58" s="110" t="str">
        <f>IFERROR(INDEX(Структура_ассортимента[Product group],MATCH(Товары[[#This Row],[SubGroup]],Структура_ассортимента[Subgroup],0)),"")</f>
        <v>WSS_C</v>
      </c>
      <c r="G1758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58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58" s="36">
        <v>9033</v>
      </c>
      <c r="J1758" s="36" t="str">
        <f>IFERROR(INDEX(Структура_ассортимента[Generic Name (long)],MATCH(Товары[[#This Row],[SubGroup]],Структура_ассортимента[Subgroup],0)),"")</f>
        <v>WATERING SET</v>
      </c>
      <c r="L1758" s="36">
        <v>901163201</v>
      </c>
      <c r="M1758" s="35" t="s">
        <v>3434</v>
      </c>
      <c r="O1758" s="35" t="s">
        <v>7853</v>
      </c>
      <c r="P1758" s="37" t="s">
        <v>7854</v>
      </c>
      <c r="Q1758" s="34" t="s">
        <v>3549</v>
      </c>
      <c r="R1758" s="34" t="s">
        <v>3540</v>
      </c>
      <c r="S1758" s="47">
        <v>37530</v>
      </c>
      <c r="T1758" s="47">
        <v>0</v>
      </c>
      <c r="U1758" s="47">
        <v>0</v>
      </c>
      <c r="V1758" s="34">
        <v>4078500833097</v>
      </c>
      <c r="W1758" s="34" t="s">
        <v>3543</v>
      </c>
      <c r="X1758" s="34" t="s">
        <v>3579</v>
      </c>
      <c r="Y1758" s="34" t="s">
        <v>3542</v>
      </c>
      <c r="Z1758" s="34">
        <v>10</v>
      </c>
      <c r="AA1758" s="34" t="s">
        <v>5629</v>
      </c>
      <c r="AB1758" s="34" t="s">
        <v>5629</v>
      </c>
      <c r="AC1758" s="34" t="s">
        <v>3803</v>
      </c>
      <c r="AD1758" s="34" t="s">
        <v>3803</v>
      </c>
      <c r="AE1758" s="34" t="s">
        <v>3825</v>
      </c>
      <c r="AF1758" s="34" t="s">
        <v>3576</v>
      </c>
      <c r="AG1758" s="34" t="s">
        <v>4231</v>
      </c>
      <c r="AH1758" s="34" t="s">
        <v>7842</v>
      </c>
      <c r="AL1758" s="34">
        <v>1320</v>
      </c>
      <c r="AM1758" s="40" t="s">
        <v>9</v>
      </c>
      <c r="AP1758" s="34">
        <v>0</v>
      </c>
      <c r="AQ1758" s="34">
        <v>869</v>
      </c>
      <c r="AR1758" s="34">
        <v>507</v>
      </c>
      <c r="AT1758" s="44">
        <v>67300</v>
      </c>
      <c r="AU1758" s="44"/>
      <c r="AV1758" s="46">
        <f>ROUND(Товары[[#This Row],[РРЦ финальная, руб.]]/$AU$1,2)</f>
        <v>0</v>
      </c>
      <c r="AW1758" s="45" t="str">
        <f>IFERROR(Товары[[#This Row],[РРЦ, евро]]/Товары[[#This Row],[IRP, Eur]],"-")</f>
        <v>-</v>
      </c>
      <c r="AX1758" s="42">
        <f>IFERROR(VLOOKUP(Товары[[#This Row],[SubGroup]],'Структура цен DIY'!$B:$C,2,FALSE),0)</f>
        <v>0.30000000000000016</v>
      </c>
      <c r="AY1758" s="44">
        <v>0</v>
      </c>
    </row>
    <row r="1759" spans="1:51" x14ac:dyDescent="0.25">
      <c r="A1759" s="34">
        <v>1757</v>
      </c>
      <c r="B1759" s="34" t="s">
        <v>49</v>
      </c>
      <c r="C1759" s="110" t="str">
        <f>IFERROR(INDEX(Структура_ассортимента[SuperCategory],MATCH(Товары[[#This Row],[SubGroup]],Структура_ассортимента[Subgroup],0)),"")</f>
        <v>W</v>
      </c>
      <c r="D175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5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59" s="110" t="str">
        <f>IFERROR(INDEX(Структура_ассортимента[Product group],MATCH(Товары[[#This Row],[SubGroup]],Структура_ассортимента[Subgroup],0)),"")</f>
        <v>WSS_C</v>
      </c>
      <c r="G1759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59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59" s="36">
        <v>9033</v>
      </c>
      <c r="J1759" s="36" t="str">
        <f>IFERROR(INDEX(Структура_ассортимента[Generic Name (long)],MATCH(Товары[[#This Row],[SubGroup]],Структура_ассортимента[Subgroup],0)),"")</f>
        <v>WATERING SET</v>
      </c>
      <c r="L1759" s="36">
        <v>901167001</v>
      </c>
      <c r="M1759" s="35" t="s">
        <v>3435</v>
      </c>
      <c r="O1759" s="35" t="s">
        <v>7855</v>
      </c>
      <c r="P1759" s="37" t="s">
        <v>7856</v>
      </c>
      <c r="Q1759" s="34" t="s">
        <v>3549</v>
      </c>
      <c r="R1759" s="34" t="s">
        <v>3540</v>
      </c>
      <c r="S1759" s="47">
        <v>37530</v>
      </c>
      <c r="T1759" s="47">
        <v>0</v>
      </c>
      <c r="U1759" s="47">
        <v>0</v>
      </c>
      <c r="V1759" s="34">
        <v>4078500838290</v>
      </c>
      <c r="W1759" s="34" t="s">
        <v>3543</v>
      </c>
      <c r="X1759" s="34" t="s">
        <v>3579</v>
      </c>
      <c r="Y1759" s="34" t="s">
        <v>3542</v>
      </c>
      <c r="Z1759" s="34">
        <v>10</v>
      </c>
      <c r="AA1759" s="34" t="s">
        <v>5629</v>
      </c>
      <c r="AB1759" s="34" t="s">
        <v>5647</v>
      </c>
      <c r="AC1759" s="34" t="s">
        <v>5888</v>
      </c>
      <c r="AD1759" s="34" t="s">
        <v>3780</v>
      </c>
      <c r="AE1759" s="34" t="s">
        <v>3693</v>
      </c>
      <c r="AF1759" s="34" t="s">
        <v>3576</v>
      </c>
      <c r="AG1759" s="34" t="s">
        <v>3932</v>
      </c>
      <c r="AH1759" s="34" t="s">
        <v>7716</v>
      </c>
      <c r="AI1759" s="34" t="s">
        <v>4463</v>
      </c>
      <c r="AJ1759" s="34" t="s">
        <v>6551</v>
      </c>
      <c r="AK1759" s="34" t="s">
        <v>4463</v>
      </c>
      <c r="AL1759" s="34">
        <v>1320</v>
      </c>
      <c r="AM1759" s="40" t="s">
        <v>9</v>
      </c>
      <c r="AP1759" s="34">
        <v>0</v>
      </c>
      <c r="AQ1759" s="34">
        <v>539</v>
      </c>
      <c r="AR1759" s="34">
        <v>314</v>
      </c>
      <c r="AT1759" s="44">
        <v>41700</v>
      </c>
      <c r="AU1759" s="44"/>
      <c r="AV1759" s="46">
        <f>ROUND(Товары[[#This Row],[РРЦ финальная, руб.]]/$AU$1,2)</f>
        <v>0</v>
      </c>
      <c r="AW1759" s="45" t="str">
        <f>IFERROR(Товары[[#This Row],[РРЦ, евро]]/Товары[[#This Row],[IRP, Eur]],"-")</f>
        <v>-</v>
      </c>
      <c r="AX1759" s="42">
        <f>IFERROR(VLOOKUP(Товары[[#This Row],[SubGroup]],'Структура цен DIY'!$B:$C,2,FALSE),0)</f>
        <v>0.30000000000000016</v>
      </c>
      <c r="AY1759" s="44">
        <v>0</v>
      </c>
    </row>
    <row r="1760" spans="1:51" x14ac:dyDescent="0.25">
      <c r="A1760" s="34">
        <v>1758</v>
      </c>
      <c r="B1760" s="34" t="s">
        <v>49</v>
      </c>
      <c r="C1760" s="110" t="str">
        <f>IFERROR(INDEX(Структура_ассортимента[SuperCategory],MATCH(Товары[[#This Row],[SubGroup]],Структура_ассортимента[Subgroup],0)),"")</f>
        <v>W</v>
      </c>
      <c r="D176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6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60" s="110" t="str">
        <f>IFERROR(INDEX(Структура_ассортимента[Product group],MATCH(Товары[[#This Row],[SubGroup]],Структура_ассортимента[Subgroup],0)),"")</f>
        <v>WSS_C</v>
      </c>
      <c r="G1760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60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60" s="36">
        <v>9033</v>
      </c>
      <c r="J1760" s="36" t="str">
        <f>IFERROR(INDEX(Структура_ассортимента[Generic Name (long)],MATCH(Товары[[#This Row],[SubGroup]],Структура_ассортимента[Subgroup],0)),"")</f>
        <v>WATERING SET</v>
      </c>
      <c r="L1760" s="36">
        <v>901166801</v>
      </c>
      <c r="M1760" s="35" t="s">
        <v>3436</v>
      </c>
      <c r="O1760" s="35" t="s">
        <v>7857</v>
      </c>
      <c r="P1760" s="37" t="s">
        <v>7858</v>
      </c>
      <c r="Q1760" s="34" t="s">
        <v>3549</v>
      </c>
      <c r="R1760" s="34" t="s">
        <v>3540</v>
      </c>
      <c r="S1760" s="47">
        <v>37530</v>
      </c>
      <c r="T1760" s="47">
        <v>0</v>
      </c>
      <c r="U1760" s="47">
        <v>0</v>
      </c>
      <c r="V1760" s="34">
        <v>4078500838191</v>
      </c>
      <c r="W1760" s="34" t="s">
        <v>3543</v>
      </c>
      <c r="X1760" s="34" t="s">
        <v>3579</v>
      </c>
      <c r="Y1760" s="34" t="s">
        <v>3542</v>
      </c>
      <c r="Z1760" s="34">
        <v>10</v>
      </c>
      <c r="AA1760" s="34" t="s">
        <v>5602</v>
      </c>
      <c r="AB1760" s="34" t="s">
        <v>5602</v>
      </c>
      <c r="AC1760" s="34" t="s">
        <v>5647</v>
      </c>
      <c r="AD1760" s="34" t="s">
        <v>5647</v>
      </c>
      <c r="AE1760" s="34" t="s">
        <v>3693</v>
      </c>
      <c r="AF1760" s="34" t="s">
        <v>3576</v>
      </c>
      <c r="AG1760" s="34" t="s">
        <v>3672</v>
      </c>
      <c r="AH1760" s="34" t="s">
        <v>6652</v>
      </c>
      <c r="AI1760" s="34" t="s">
        <v>5126</v>
      </c>
      <c r="AJ1760" s="34" t="s">
        <v>3808</v>
      </c>
      <c r="AK1760" s="34" t="s">
        <v>5126</v>
      </c>
      <c r="AL1760" s="34">
        <v>1320</v>
      </c>
      <c r="AM1760" s="40" t="s">
        <v>9</v>
      </c>
      <c r="AP1760" s="34">
        <v>0</v>
      </c>
      <c r="AQ1760" s="34">
        <v>649</v>
      </c>
      <c r="AR1760" s="34">
        <v>379</v>
      </c>
      <c r="AT1760" s="44">
        <v>50300</v>
      </c>
      <c r="AU1760" s="44"/>
      <c r="AV1760" s="46">
        <f>ROUND(Товары[[#This Row],[РРЦ финальная, руб.]]/$AU$1,2)</f>
        <v>0</v>
      </c>
      <c r="AW1760" s="45" t="str">
        <f>IFERROR(Товары[[#This Row],[РРЦ, евро]]/Товары[[#This Row],[IRP, Eur]],"-")</f>
        <v>-</v>
      </c>
      <c r="AX1760" s="42">
        <f>IFERROR(VLOOKUP(Товары[[#This Row],[SubGroup]],'Структура цен DIY'!$B:$C,2,FALSE),0)</f>
        <v>0.30000000000000016</v>
      </c>
      <c r="AY1760" s="44">
        <v>0</v>
      </c>
    </row>
    <row r="1761" spans="1:51" x14ac:dyDescent="0.25">
      <c r="A1761" s="34">
        <v>1759</v>
      </c>
      <c r="B1761" s="34" t="s">
        <v>49</v>
      </c>
      <c r="C1761" s="110" t="str">
        <f>IFERROR(INDEX(Структура_ассортимента[SuperCategory],MATCH(Товары[[#This Row],[SubGroup]],Структура_ассортимента[Subgroup],0)),"")</f>
        <v>W</v>
      </c>
      <c r="D176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6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61" s="110" t="str">
        <f>IFERROR(INDEX(Структура_ассортимента[Product group],MATCH(Товары[[#This Row],[SubGroup]],Структура_ассортимента[Subgroup],0)),"")</f>
        <v>WSS_C</v>
      </c>
      <c r="G1761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61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61" s="36">
        <v>9033</v>
      </c>
      <c r="J1761" s="36" t="str">
        <f>IFERROR(INDEX(Структура_ассортимента[Generic Name (long)],MATCH(Товары[[#This Row],[SubGroup]],Структура_ассортимента[Subgroup],0)),"")</f>
        <v>WATERING SET</v>
      </c>
      <c r="L1761" s="36">
        <v>901166701</v>
      </c>
      <c r="M1761" s="35" t="s">
        <v>3437</v>
      </c>
      <c r="Q1761" s="34" t="s">
        <v>3549</v>
      </c>
      <c r="R1761" s="34" t="s">
        <v>3540</v>
      </c>
      <c r="S1761" s="47">
        <v>37530</v>
      </c>
      <c r="T1761" s="47">
        <v>0</v>
      </c>
      <c r="U1761" s="47">
        <v>0</v>
      </c>
      <c r="V1761" s="34">
        <v>4078500838108</v>
      </c>
      <c r="W1761" s="34" t="s">
        <v>3543</v>
      </c>
      <c r="X1761" s="34" t="s">
        <v>3579</v>
      </c>
      <c r="Y1761" s="34" t="s">
        <v>3542</v>
      </c>
      <c r="Z1761" s="34">
        <v>10</v>
      </c>
      <c r="AA1761" s="34" t="s">
        <v>6471</v>
      </c>
      <c r="AB1761" s="34" t="s">
        <v>6471</v>
      </c>
      <c r="AC1761" s="34" t="s">
        <v>5647</v>
      </c>
      <c r="AD1761" s="34" t="s">
        <v>5647</v>
      </c>
      <c r="AE1761" s="34" t="s">
        <v>3693</v>
      </c>
      <c r="AF1761" s="34" t="s">
        <v>3576</v>
      </c>
      <c r="AG1761" s="34" t="s">
        <v>3672</v>
      </c>
      <c r="AH1761" s="34" t="s">
        <v>6652</v>
      </c>
      <c r="AI1761" s="34" t="s">
        <v>5126</v>
      </c>
      <c r="AJ1761" s="34" t="s">
        <v>3808</v>
      </c>
      <c r="AK1761" s="34" t="s">
        <v>5126</v>
      </c>
      <c r="AL1761" s="34">
        <v>1320</v>
      </c>
      <c r="AM1761" s="40" t="s">
        <v>8095</v>
      </c>
      <c r="AT1761" s="44">
        <v>0</v>
      </c>
      <c r="AU1761" s="44"/>
      <c r="AV1761" s="46">
        <f>ROUND(Товары[[#This Row],[РРЦ финальная, руб.]]/$AU$1,2)</f>
        <v>0</v>
      </c>
      <c r="AW1761" s="45" t="str">
        <f>IFERROR(Товары[[#This Row],[РРЦ, евро]]/Товары[[#This Row],[IRP, Eur]],"-")</f>
        <v>-</v>
      </c>
      <c r="AX1761" s="42">
        <f>IFERROR(VLOOKUP(Товары[[#This Row],[SubGroup]],'Структура цен DIY'!$B:$C,2,FALSE),0)</f>
        <v>0.30000000000000016</v>
      </c>
      <c r="AY1761" s="44">
        <v>0</v>
      </c>
    </row>
    <row r="1762" spans="1:51" x14ac:dyDescent="0.25">
      <c r="A1762" s="34">
        <v>1760</v>
      </c>
      <c r="B1762" s="34" t="s">
        <v>49</v>
      </c>
      <c r="C1762" s="110" t="str">
        <f>IFERROR(INDEX(Структура_ассортимента[SuperCategory],MATCH(Товары[[#This Row],[SubGroup]],Структура_ассортимента[Subgroup],0)),"")</f>
        <v>W</v>
      </c>
      <c r="D176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6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62" s="110" t="str">
        <f>IFERROR(INDEX(Структура_ассортимента[Product group],MATCH(Товары[[#This Row],[SubGroup]],Структура_ассортимента[Subgroup],0)),"")</f>
        <v>WSS_C</v>
      </c>
      <c r="G1762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62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62" s="36">
        <v>9033</v>
      </c>
      <c r="J1762" s="36" t="str">
        <f>IFERROR(INDEX(Структура_ассортимента[Generic Name (long)],MATCH(Товары[[#This Row],[SubGroup]],Структура_ассортимента[Subgroup],0)),"")</f>
        <v>WATERING SET</v>
      </c>
      <c r="L1762" s="36">
        <v>901165401</v>
      </c>
      <c r="M1762" s="35" t="s">
        <v>3438</v>
      </c>
      <c r="O1762" s="35" t="s">
        <v>7859</v>
      </c>
      <c r="P1762" s="37" t="s">
        <v>7860</v>
      </c>
      <c r="Q1762" s="34" t="s">
        <v>3549</v>
      </c>
      <c r="R1762" s="34" t="s">
        <v>3540</v>
      </c>
      <c r="S1762" s="47">
        <v>37530</v>
      </c>
      <c r="T1762" s="47">
        <v>0</v>
      </c>
      <c r="U1762" s="47">
        <v>0</v>
      </c>
      <c r="V1762" s="34">
        <v>4078500835695</v>
      </c>
      <c r="W1762" s="34" t="s">
        <v>3543</v>
      </c>
      <c r="X1762" s="34" t="s">
        <v>3579</v>
      </c>
      <c r="Y1762" s="34" t="s">
        <v>3542</v>
      </c>
      <c r="Z1762" s="34">
        <v>10</v>
      </c>
      <c r="AA1762" s="34" t="s">
        <v>6526</v>
      </c>
      <c r="AB1762" s="34" t="s">
        <v>6526</v>
      </c>
      <c r="AC1762" s="34" t="s">
        <v>3779</v>
      </c>
      <c r="AD1762" s="34" t="s">
        <v>3779</v>
      </c>
      <c r="AE1762" s="34" t="s">
        <v>3693</v>
      </c>
      <c r="AF1762" s="34" t="s">
        <v>3576</v>
      </c>
      <c r="AG1762" s="34" t="s">
        <v>4231</v>
      </c>
      <c r="AH1762" s="34" t="s">
        <v>3718</v>
      </c>
      <c r="AI1762" s="34" t="s">
        <v>4248</v>
      </c>
      <c r="AJ1762" s="34" t="s">
        <v>6551</v>
      </c>
      <c r="AK1762" s="34" t="s">
        <v>6551</v>
      </c>
      <c r="AL1762" s="34">
        <v>1080</v>
      </c>
      <c r="AM1762" s="40" t="s">
        <v>9</v>
      </c>
      <c r="AP1762" s="34">
        <v>0</v>
      </c>
      <c r="AQ1762" s="34">
        <v>539</v>
      </c>
      <c r="AR1762" s="34">
        <v>314</v>
      </c>
      <c r="AT1762" s="44">
        <v>41700</v>
      </c>
      <c r="AU1762" s="44"/>
      <c r="AV1762" s="46">
        <f>ROUND(Товары[[#This Row],[РРЦ финальная, руб.]]/$AU$1,2)</f>
        <v>0</v>
      </c>
      <c r="AW1762" s="45" t="str">
        <f>IFERROR(Товары[[#This Row],[РРЦ, евро]]/Товары[[#This Row],[IRP, Eur]],"-")</f>
        <v>-</v>
      </c>
      <c r="AX1762" s="42">
        <f>IFERROR(VLOOKUP(Товары[[#This Row],[SubGroup]],'Структура цен DIY'!$B:$C,2,FALSE),0)</f>
        <v>0.30000000000000016</v>
      </c>
      <c r="AY1762" s="44">
        <v>0</v>
      </c>
    </row>
    <row r="1763" spans="1:51" x14ac:dyDescent="0.25">
      <c r="A1763" s="34">
        <v>1761</v>
      </c>
      <c r="B1763" s="34" t="s">
        <v>49</v>
      </c>
      <c r="C1763" s="110" t="str">
        <f>IFERROR(INDEX(Структура_ассортимента[SuperCategory],MATCH(Товары[[#This Row],[SubGroup]],Структура_ассортимента[Subgroup],0)),"")</f>
        <v>W</v>
      </c>
      <c r="D176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6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63" s="110" t="str">
        <f>IFERROR(INDEX(Структура_ассортимента[Product group],MATCH(Товары[[#This Row],[SubGroup]],Структура_ассортимента[Subgroup],0)),"")</f>
        <v>WSS_C</v>
      </c>
      <c r="G1763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63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63" s="36">
        <v>9033</v>
      </c>
      <c r="J1763" s="36" t="str">
        <f>IFERROR(INDEX(Структура_ассортимента[Generic Name (long)],MATCH(Товары[[#This Row],[SubGroup]],Структура_ассортимента[Subgroup],0)),"")</f>
        <v>WATERING SET</v>
      </c>
      <c r="L1763" s="36">
        <v>901165301</v>
      </c>
      <c r="M1763" s="35" t="s">
        <v>3439</v>
      </c>
      <c r="Q1763" s="34" t="s">
        <v>3549</v>
      </c>
      <c r="R1763" s="34" t="s">
        <v>3540</v>
      </c>
      <c r="S1763" s="47">
        <v>37530</v>
      </c>
      <c r="T1763" s="47">
        <v>0</v>
      </c>
      <c r="U1763" s="47">
        <v>0</v>
      </c>
      <c r="V1763" s="34">
        <v>4078500835602</v>
      </c>
      <c r="W1763" s="34" t="s">
        <v>3543</v>
      </c>
      <c r="X1763" s="34" t="s">
        <v>3579</v>
      </c>
      <c r="Y1763" s="34" t="s">
        <v>3542</v>
      </c>
      <c r="Z1763" s="34">
        <v>10</v>
      </c>
      <c r="AA1763" s="34" t="s">
        <v>6526</v>
      </c>
      <c r="AB1763" s="34" t="s">
        <v>6526</v>
      </c>
      <c r="AC1763" s="34" t="s">
        <v>3779</v>
      </c>
      <c r="AD1763" s="34" t="s">
        <v>3779</v>
      </c>
      <c r="AE1763" s="34" t="s">
        <v>3693</v>
      </c>
      <c r="AF1763" s="34" t="s">
        <v>3576</v>
      </c>
      <c r="AG1763" s="34" t="s">
        <v>4231</v>
      </c>
      <c r="AH1763" s="34" t="s">
        <v>3718</v>
      </c>
      <c r="AI1763" s="34" t="s">
        <v>4248</v>
      </c>
      <c r="AJ1763" s="34" t="s">
        <v>6551</v>
      </c>
      <c r="AK1763" s="34" t="s">
        <v>6551</v>
      </c>
      <c r="AL1763" s="34">
        <v>1080</v>
      </c>
      <c r="AM1763" s="40" t="s">
        <v>8095</v>
      </c>
      <c r="AT1763" s="44">
        <v>0</v>
      </c>
      <c r="AU1763" s="44"/>
      <c r="AV1763" s="46">
        <f>ROUND(Товары[[#This Row],[РРЦ финальная, руб.]]/$AU$1,2)</f>
        <v>0</v>
      </c>
      <c r="AW1763" s="45" t="str">
        <f>IFERROR(Товары[[#This Row],[РРЦ, евро]]/Товары[[#This Row],[IRP, Eur]],"-")</f>
        <v>-</v>
      </c>
      <c r="AX1763" s="42">
        <f>IFERROR(VLOOKUP(Товары[[#This Row],[SubGroup]],'Структура цен DIY'!$B:$C,2,FALSE),0)</f>
        <v>0.30000000000000016</v>
      </c>
      <c r="AY1763" s="44">
        <v>0</v>
      </c>
    </row>
    <row r="1764" spans="1:51" x14ac:dyDescent="0.25">
      <c r="A1764" s="34">
        <v>1762</v>
      </c>
      <c r="B1764" s="34" t="s">
        <v>49</v>
      </c>
      <c r="C1764" s="110" t="str">
        <f>IFERROR(INDEX(Структура_ассортимента[SuperCategory],MATCH(Товары[[#This Row],[SubGroup]],Структура_ассортимента[Subgroup],0)),"")</f>
        <v>W</v>
      </c>
      <c r="D176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6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64" s="110" t="str">
        <f>IFERROR(INDEX(Структура_ассортимента[Product group],MATCH(Товары[[#This Row],[SubGroup]],Структура_ассортимента[Subgroup],0)),"")</f>
        <v>WSS_C</v>
      </c>
      <c r="G1764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64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64" s="36">
        <v>9033</v>
      </c>
      <c r="J1764" s="36" t="str">
        <f>IFERROR(INDEX(Структура_ассортимента[Generic Name (long)],MATCH(Товары[[#This Row],[SubGroup]],Структура_ассортимента[Subgroup],0)),"")</f>
        <v>WATERING SET</v>
      </c>
      <c r="L1764" s="36">
        <v>901162401</v>
      </c>
      <c r="M1764" s="35" t="s">
        <v>3440</v>
      </c>
      <c r="O1764" s="35" t="s">
        <v>7861</v>
      </c>
      <c r="P1764" s="37" t="s">
        <v>7862</v>
      </c>
      <c r="Q1764" s="34" t="s">
        <v>3549</v>
      </c>
      <c r="R1764" s="34" t="s">
        <v>3540</v>
      </c>
      <c r="S1764" s="47">
        <v>37530</v>
      </c>
      <c r="T1764" s="47">
        <v>0</v>
      </c>
      <c r="U1764" s="47">
        <v>0</v>
      </c>
      <c r="V1764" s="34">
        <v>4078500832496</v>
      </c>
      <c r="W1764" s="34" t="s">
        <v>3543</v>
      </c>
      <c r="X1764" s="34" t="s">
        <v>3579</v>
      </c>
      <c r="Y1764" s="34" t="s">
        <v>3542</v>
      </c>
      <c r="Z1764" s="34">
        <v>10</v>
      </c>
      <c r="AA1764" s="34" t="s">
        <v>3653</v>
      </c>
      <c r="AB1764" s="34" t="s">
        <v>3653</v>
      </c>
      <c r="AC1764" s="34" t="s">
        <v>5633</v>
      </c>
      <c r="AD1764" s="34" t="s">
        <v>5633</v>
      </c>
      <c r="AE1764" s="34" t="s">
        <v>3693</v>
      </c>
      <c r="AF1764" s="34" t="s">
        <v>3576</v>
      </c>
      <c r="AG1764" s="34" t="s">
        <v>4780</v>
      </c>
      <c r="AH1764" s="34" t="s">
        <v>7863</v>
      </c>
      <c r="AI1764" s="34" t="s">
        <v>4184</v>
      </c>
      <c r="AJ1764" s="34" t="s">
        <v>6551</v>
      </c>
      <c r="AK1764" s="34" t="s">
        <v>4111</v>
      </c>
      <c r="AL1764" s="34">
        <v>1080</v>
      </c>
      <c r="AM1764" s="40" t="s">
        <v>9</v>
      </c>
      <c r="AP1764" s="34">
        <v>0</v>
      </c>
      <c r="AQ1764" s="34">
        <v>979</v>
      </c>
      <c r="AR1764" s="34">
        <v>571</v>
      </c>
      <c r="AT1764" s="44">
        <v>75800</v>
      </c>
      <c r="AU1764" s="44"/>
      <c r="AV1764" s="46">
        <f>ROUND(Товары[[#This Row],[РРЦ финальная, руб.]]/$AU$1,2)</f>
        <v>0</v>
      </c>
      <c r="AW1764" s="45" t="str">
        <f>IFERROR(Товары[[#This Row],[РРЦ, евро]]/Товары[[#This Row],[IRP, Eur]],"-")</f>
        <v>-</v>
      </c>
      <c r="AX1764" s="42">
        <f>IFERROR(VLOOKUP(Товары[[#This Row],[SubGroup]],'Структура цен DIY'!$B:$C,2,FALSE),0)</f>
        <v>0.30000000000000016</v>
      </c>
      <c r="AY1764" s="44">
        <v>0</v>
      </c>
    </row>
    <row r="1765" spans="1:51" x14ac:dyDescent="0.25">
      <c r="A1765" s="34">
        <v>1763</v>
      </c>
      <c r="B1765" s="34" t="s">
        <v>49</v>
      </c>
      <c r="C1765" s="110" t="str">
        <f>IFERROR(INDEX(Структура_ассортимента[SuperCategory],MATCH(Товары[[#This Row],[SubGroup]],Структура_ассортимента[Subgroup],0)),"")</f>
        <v>W</v>
      </c>
      <c r="D176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6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65" s="110" t="str">
        <f>IFERROR(INDEX(Структура_ассортимента[Product group],MATCH(Товары[[#This Row],[SubGroup]],Структура_ассортимента[Subgroup],0)),"")</f>
        <v>WSS_C</v>
      </c>
      <c r="G1765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65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65" s="36">
        <v>9033</v>
      </c>
      <c r="J1765" s="36" t="str">
        <f>IFERROR(INDEX(Структура_ассортимента[Generic Name (long)],MATCH(Товары[[#This Row],[SubGroup]],Структура_ассортимента[Subgroup],0)),"")</f>
        <v>WATERING SET</v>
      </c>
      <c r="L1765" s="36">
        <v>900905801</v>
      </c>
      <c r="M1765" s="35" t="s">
        <v>3441</v>
      </c>
      <c r="O1765" s="35" t="s">
        <v>7864</v>
      </c>
      <c r="P1765" s="37" t="s">
        <v>7865</v>
      </c>
      <c r="Q1765" s="34" t="s">
        <v>3549</v>
      </c>
      <c r="R1765" s="34" t="s">
        <v>3540</v>
      </c>
      <c r="S1765" s="47">
        <v>32782</v>
      </c>
      <c r="T1765" s="47">
        <v>0</v>
      </c>
      <c r="U1765" s="47">
        <v>0</v>
      </c>
      <c r="V1765" s="34">
        <v>4078500132381</v>
      </c>
      <c r="W1765" s="34" t="s">
        <v>3543</v>
      </c>
      <c r="X1765" s="34" t="s">
        <v>3579</v>
      </c>
      <c r="Y1765" s="34" t="s">
        <v>3542</v>
      </c>
      <c r="Z1765" s="34">
        <v>10</v>
      </c>
      <c r="AA1765" s="34" t="s">
        <v>3784</v>
      </c>
      <c r="AB1765" s="34" t="s">
        <v>3784</v>
      </c>
      <c r="AC1765" s="34" t="s">
        <v>7866</v>
      </c>
      <c r="AD1765" s="34" t="s">
        <v>7866</v>
      </c>
      <c r="AE1765" s="34" t="s">
        <v>4793</v>
      </c>
      <c r="AF1765" s="34" t="s">
        <v>5613</v>
      </c>
      <c r="AG1765" s="34" t="s">
        <v>6045</v>
      </c>
      <c r="AH1765" s="34" t="s">
        <v>7867</v>
      </c>
      <c r="AL1765" s="34">
        <v>2160</v>
      </c>
      <c r="AM1765" s="40" t="s">
        <v>9</v>
      </c>
      <c r="AP1765" s="34">
        <v>0</v>
      </c>
      <c r="AQ1765" s="34">
        <v>539</v>
      </c>
      <c r="AR1765" s="34">
        <v>314</v>
      </c>
      <c r="AT1765" s="44">
        <v>41700</v>
      </c>
      <c r="AU1765" s="44"/>
      <c r="AV1765" s="46">
        <f>ROUND(Товары[[#This Row],[РРЦ финальная, руб.]]/$AU$1,2)</f>
        <v>0</v>
      </c>
      <c r="AW1765" s="45" t="str">
        <f>IFERROR(Товары[[#This Row],[РРЦ, евро]]/Товары[[#This Row],[IRP, Eur]],"-")</f>
        <v>-</v>
      </c>
      <c r="AX1765" s="42">
        <f>IFERROR(VLOOKUP(Товары[[#This Row],[SubGroup]],'Структура цен DIY'!$B:$C,2,FALSE),0)</f>
        <v>0.30000000000000016</v>
      </c>
      <c r="AY1765" s="44">
        <v>0</v>
      </c>
    </row>
    <row r="1766" spans="1:51" x14ac:dyDescent="0.25">
      <c r="A1766" s="34">
        <v>1764</v>
      </c>
      <c r="B1766" s="34" t="s">
        <v>49</v>
      </c>
      <c r="C1766" s="110" t="str">
        <f>IFERROR(INDEX(Структура_ассортимента[SuperCategory],MATCH(Товары[[#This Row],[SubGroup]],Структура_ассортимента[Subgroup],0)),"")</f>
        <v>W</v>
      </c>
      <c r="D176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6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66" s="110" t="str">
        <f>IFERROR(INDEX(Структура_ассортимента[Product group],MATCH(Товары[[#This Row],[SubGroup]],Структура_ассортимента[Subgroup],0)),"")</f>
        <v>WSS_C</v>
      </c>
      <c r="G1766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66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66" s="36">
        <v>9033</v>
      </c>
      <c r="J1766" s="36" t="str">
        <f>IFERROR(INDEX(Структура_ассортимента[Generic Name (long)],MATCH(Товары[[#This Row],[SubGroup]],Структура_ассортимента[Subgroup],0)),"")</f>
        <v>WATERING SET</v>
      </c>
      <c r="L1766" s="36">
        <v>900905701</v>
      </c>
      <c r="M1766" s="35" t="s">
        <v>3442</v>
      </c>
      <c r="Q1766" s="34" t="s">
        <v>3549</v>
      </c>
      <c r="R1766" s="34" t="s">
        <v>3540</v>
      </c>
      <c r="S1766" s="47">
        <v>32782</v>
      </c>
      <c r="T1766" s="47">
        <v>0</v>
      </c>
      <c r="U1766" s="47">
        <v>0</v>
      </c>
      <c r="V1766" s="34">
        <v>4078500132305</v>
      </c>
      <c r="W1766" s="34" t="s">
        <v>3543</v>
      </c>
      <c r="X1766" s="34" t="s">
        <v>3579</v>
      </c>
      <c r="Y1766" s="34" t="s">
        <v>3542</v>
      </c>
      <c r="Z1766" s="34">
        <v>6</v>
      </c>
      <c r="AA1766" s="34" t="s">
        <v>3794</v>
      </c>
      <c r="AB1766" s="34" t="s">
        <v>3803</v>
      </c>
      <c r="AC1766" s="34" t="s">
        <v>3807</v>
      </c>
      <c r="AD1766" s="34" t="s">
        <v>3807</v>
      </c>
      <c r="AE1766" s="34" t="s">
        <v>3693</v>
      </c>
      <c r="AF1766" s="34" t="s">
        <v>3576</v>
      </c>
      <c r="AG1766" s="34" t="s">
        <v>3663</v>
      </c>
      <c r="AH1766" s="34" t="s">
        <v>7868</v>
      </c>
      <c r="AL1766" s="34" t="s">
        <v>6448</v>
      </c>
      <c r="AM1766" s="40" t="s">
        <v>8095</v>
      </c>
      <c r="AT1766" s="44">
        <v>0</v>
      </c>
      <c r="AU1766" s="44"/>
      <c r="AV1766" s="46">
        <f>ROUND(Товары[[#This Row],[РРЦ финальная, руб.]]/$AU$1,2)</f>
        <v>0</v>
      </c>
      <c r="AW1766" s="45" t="str">
        <f>IFERROR(Товары[[#This Row],[РРЦ, евро]]/Товары[[#This Row],[IRP, Eur]],"-")</f>
        <v>-</v>
      </c>
      <c r="AX1766" s="42">
        <f>IFERROR(VLOOKUP(Товары[[#This Row],[SubGroup]],'Структура цен DIY'!$B:$C,2,FALSE),0)</f>
        <v>0.30000000000000016</v>
      </c>
      <c r="AY1766" s="44">
        <v>0</v>
      </c>
    </row>
    <row r="1767" spans="1:51" x14ac:dyDescent="0.25">
      <c r="A1767" s="34">
        <v>1765</v>
      </c>
      <c r="B1767" s="34" t="s">
        <v>49</v>
      </c>
      <c r="C1767" s="110" t="str">
        <f>IFERROR(INDEX(Структура_ассортимента[SuperCategory],MATCH(Товары[[#This Row],[SubGroup]],Структура_ассортимента[Subgroup],0)),"")</f>
        <v>W</v>
      </c>
      <c r="D176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6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67" s="110" t="str">
        <f>IFERROR(INDEX(Структура_ассортимента[Product group],MATCH(Товары[[#This Row],[SubGroup]],Структура_ассортимента[Subgroup],0)),"")</f>
        <v>WSS_C</v>
      </c>
      <c r="G1767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67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67" s="36">
        <v>9033</v>
      </c>
      <c r="J1767" s="36" t="str">
        <f>IFERROR(INDEX(Структура_ассортимента[Generic Name (long)],MATCH(Товары[[#This Row],[SubGroup]],Структура_ассортимента[Subgroup],0)),"")</f>
        <v>WATERING SET</v>
      </c>
      <c r="L1767" s="36">
        <v>901165601</v>
      </c>
      <c r="M1767" s="35" t="s">
        <v>3443</v>
      </c>
      <c r="O1767" s="35" t="s">
        <v>7869</v>
      </c>
      <c r="P1767" s="37" t="s">
        <v>7870</v>
      </c>
      <c r="Q1767" s="34" t="s">
        <v>3549</v>
      </c>
      <c r="R1767" s="34" t="s">
        <v>3540</v>
      </c>
      <c r="S1767" s="47">
        <v>37530</v>
      </c>
      <c r="T1767" s="47">
        <v>0</v>
      </c>
      <c r="U1767" s="47">
        <v>0</v>
      </c>
      <c r="V1767" s="34">
        <v>4078500835794</v>
      </c>
      <c r="W1767" s="34" t="s">
        <v>3543</v>
      </c>
      <c r="X1767" s="34" t="s">
        <v>3579</v>
      </c>
      <c r="Y1767" s="34" t="s">
        <v>3542</v>
      </c>
      <c r="Z1767" s="34">
        <v>10</v>
      </c>
      <c r="AA1767" s="34" t="s">
        <v>6439</v>
      </c>
      <c r="AB1767" s="34" t="s">
        <v>6439</v>
      </c>
      <c r="AC1767" s="34" t="s">
        <v>3784</v>
      </c>
      <c r="AD1767" s="34" t="s">
        <v>3784</v>
      </c>
      <c r="AE1767" s="34" t="s">
        <v>3693</v>
      </c>
      <c r="AF1767" s="34" t="s">
        <v>3576</v>
      </c>
      <c r="AG1767" s="34" t="s">
        <v>3804</v>
      </c>
      <c r="AH1767" s="34" t="s">
        <v>3805</v>
      </c>
      <c r="AL1767" s="34">
        <v>2160</v>
      </c>
      <c r="AM1767" s="40" t="s">
        <v>9</v>
      </c>
      <c r="AP1767" s="34">
        <v>0</v>
      </c>
      <c r="AQ1767" s="34">
        <v>649</v>
      </c>
      <c r="AR1767" s="34">
        <v>379</v>
      </c>
      <c r="AT1767" s="44">
        <v>50300</v>
      </c>
      <c r="AU1767" s="44"/>
      <c r="AV1767" s="46">
        <f>ROUND(Товары[[#This Row],[РРЦ финальная, руб.]]/$AU$1,2)</f>
        <v>0</v>
      </c>
      <c r="AW1767" s="45" t="str">
        <f>IFERROR(Товары[[#This Row],[РРЦ, евро]]/Товары[[#This Row],[IRP, Eur]],"-")</f>
        <v>-</v>
      </c>
      <c r="AX1767" s="42">
        <f>IFERROR(VLOOKUP(Товары[[#This Row],[SubGroup]],'Структура цен DIY'!$B:$C,2,FALSE),0)</f>
        <v>0.30000000000000016</v>
      </c>
      <c r="AY1767" s="44">
        <v>0</v>
      </c>
    </row>
    <row r="1768" spans="1:51" x14ac:dyDescent="0.25">
      <c r="A1768" s="34">
        <v>1766</v>
      </c>
      <c r="B1768" s="34" t="s">
        <v>49</v>
      </c>
      <c r="C1768" s="110" t="str">
        <f>IFERROR(INDEX(Структура_ассортимента[SuperCategory],MATCH(Товары[[#This Row],[SubGroup]],Структура_ассортимента[Subgroup],0)),"")</f>
        <v>W</v>
      </c>
      <c r="D176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6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68" s="110" t="str">
        <f>IFERROR(INDEX(Структура_ассортимента[Product group],MATCH(Товары[[#This Row],[SubGroup]],Структура_ассортимента[Subgroup],0)),"")</f>
        <v>WSS_C</v>
      </c>
      <c r="G1768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68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68" s="36">
        <v>9033</v>
      </c>
      <c r="J1768" s="36" t="str">
        <f>IFERROR(INDEX(Структура_ассортимента[Generic Name (long)],MATCH(Товары[[#This Row],[SubGroup]],Структура_ассортимента[Subgroup],0)),"")</f>
        <v>WATERING SET</v>
      </c>
      <c r="L1768" s="36">
        <v>901165801</v>
      </c>
      <c r="M1768" s="35" t="s">
        <v>3444</v>
      </c>
      <c r="O1768" s="35" t="s">
        <v>7871</v>
      </c>
      <c r="P1768" s="37" t="s">
        <v>7872</v>
      </c>
      <c r="Q1768" s="34" t="s">
        <v>3549</v>
      </c>
      <c r="R1768" s="34" t="s">
        <v>3540</v>
      </c>
      <c r="S1768" s="47">
        <v>37530</v>
      </c>
      <c r="T1768" s="47">
        <v>0</v>
      </c>
      <c r="U1768" s="47">
        <v>0</v>
      </c>
      <c r="V1768" s="34">
        <v>4078500835893</v>
      </c>
      <c r="W1768" s="34" t="s">
        <v>3543</v>
      </c>
      <c r="X1768" s="34" t="s">
        <v>3579</v>
      </c>
      <c r="Y1768" s="34" t="s">
        <v>3542</v>
      </c>
      <c r="Z1768" s="34">
        <v>6</v>
      </c>
      <c r="AA1768" s="34" t="s">
        <v>7873</v>
      </c>
      <c r="AB1768" s="34" t="s">
        <v>7873</v>
      </c>
      <c r="AC1768" s="34" t="s">
        <v>5633</v>
      </c>
      <c r="AD1768" s="34" t="s">
        <v>5633</v>
      </c>
      <c r="AE1768" s="34" t="s">
        <v>3693</v>
      </c>
      <c r="AF1768" s="34" t="s">
        <v>3576</v>
      </c>
      <c r="AG1768" s="34" t="s">
        <v>4775</v>
      </c>
      <c r="AH1768" s="34" t="s">
        <v>7845</v>
      </c>
      <c r="AL1768" s="34">
        <v>576</v>
      </c>
      <c r="AM1768" s="40" t="s">
        <v>9</v>
      </c>
      <c r="AP1768" s="34">
        <v>0</v>
      </c>
      <c r="AQ1768" s="34">
        <v>1529</v>
      </c>
      <c r="AR1768" s="34">
        <v>892</v>
      </c>
      <c r="AT1768" s="44">
        <v>118400</v>
      </c>
      <c r="AU1768" s="44"/>
      <c r="AV1768" s="46">
        <f>ROUND(Товары[[#This Row],[РРЦ финальная, руб.]]/$AU$1,2)</f>
        <v>0</v>
      </c>
      <c r="AW1768" s="45" t="str">
        <f>IFERROR(Товары[[#This Row],[РРЦ, евро]]/Товары[[#This Row],[IRP, Eur]],"-")</f>
        <v>-</v>
      </c>
      <c r="AX1768" s="42">
        <f>IFERROR(VLOOKUP(Товары[[#This Row],[SubGroup]],'Структура цен DIY'!$B:$C,2,FALSE),0)</f>
        <v>0.30000000000000016</v>
      </c>
      <c r="AY1768" s="44">
        <v>0</v>
      </c>
    </row>
    <row r="1769" spans="1:51" x14ac:dyDescent="0.25">
      <c r="A1769" s="34">
        <v>1767</v>
      </c>
      <c r="B1769" s="34" t="s">
        <v>49</v>
      </c>
      <c r="C1769" s="110" t="str">
        <f>IFERROR(INDEX(Структура_ассортимента[SuperCategory],MATCH(Товары[[#This Row],[SubGroup]],Структура_ассортимента[Subgroup],0)),"")</f>
        <v>W</v>
      </c>
      <c r="D176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6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69" s="110" t="str">
        <f>IFERROR(INDEX(Структура_ассортимента[Product group],MATCH(Товары[[#This Row],[SubGroup]],Структура_ассортимента[Subgroup],0)),"")</f>
        <v>WSS_C</v>
      </c>
      <c r="G1769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69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69" s="36">
        <v>9033</v>
      </c>
      <c r="J1769" s="36" t="str">
        <f>IFERROR(INDEX(Структура_ассортимента[Generic Name (long)],MATCH(Товары[[#This Row],[SubGroup]],Структура_ассортимента[Subgroup],0)),"")</f>
        <v>WATERING SET</v>
      </c>
      <c r="L1769" s="36">
        <v>901163601</v>
      </c>
      <c r="M1769" s="35" t="s">
        <v>3445</v>
      </c>
      <c r="O1769" s="35" t="s">
        <v>7874</v>
      </c>
      <c r="P1769" s="37" t="s">
        <v>7875</v>
      </c>
      <c r="Q1769" s="34" t="s">
        <v>3549</v>
      </c>
      <c r="R1769" s="34" t="s">
        <v>3540</v>
      </c>
      <c r="S1769" s="47">
        <v>37530</v>
      </c>
      <c r="T1769" s="47">
        <v>0</v>
      </c>
      <c r="U1769" s="47">
        <v>0</v>
      </c>
      <c r="V1769" s="34">
        <v>4078500833295</v>
      </c>
      <c r="W1769" s="34" t="s">
        <v>3543</v>
      </c>
      <c r="X1769" s="34" t="s">
        <v>3579</v>
      </c>
      <c r="Y1769" s="34" t="s">
        <v>3542</v>
      </c>
      <c r="Z1769" s="34">
        <v>10</v>
      </c>
      <c r="AA1769" s="34" t="s">
        <v>6471</v>
      </c>
      <c r="AB1769" s="34" t="s">
        <v>6471</v>
      </c>
      <c r="AC1769" s="34" t="s">
        <v>3780</v>
      </c>
      <c r="AD1769" s="34" t="s">
        <v>3780</v>
      </c>
      <c r="AE1769" s="34" t="s">
        <v>3693</v>
      </c>
      <c r="AF1769" s="34" t="s">
        <v>3576</v>
      </c>
      <c r="AG1769" s="34" t="s">
        <v>4234</v>
      </c>
      <c r="AH1769" s="34" t="s">
        <v>5634</v>
      </c>
      <c r="AL1769" s="34">
        <v>1320</v>
      </c>
      <c r="AM1769" s="40" t="s">
        <v>9</v>
      </c>
      <c r="AP1769" s="34">
        <v>0</v>
      </c>
      <c r="AQ1769" s="34">
        <v>539</v>
      </c>
      <c r="AR1769" s="34">
        <v>314</v>
      </c>
      <c r="AT1769" s="44">
        <v>41700</v>
      </c>
      <c r="AU1769" s="44"/>
      <c r="AV1769" s="46">
        <f>ROUND(Товары[[#This Row],[РРЦ финальная, руб.]]/$AU$1,2)</f>
        <v>0</v>
      </c>
      <c r="AW1769" s="45" t="str">
        <f>IFERROR(Товары[[#This Row],[РРЦ, евро]]/Товары[[#This Row],[IRP, Eur]],"-")</f>
        <v>-</v>
      </c>
      <c r="AX1769" s="42">
        <f>IFERROR(VLOOKUP(Товары[[#This Row],[SubGroup]],'Структура цен DIY'!$B:$C,2,FALSE),0)</f>
        <v>0.30000000000000016</v>
      </c>
      <c r="AY1769" s="44">
        <v>0</v>
      </c>
    </row>
    <row r="1770" spans="1:51" x14ac:dyDescent="0.25">
      <c r="A1770" s="34">
        <v>1768</v>
      </c>
      <c r="B1770" s="34" t="s">
        <v>49</v>
      </c>
      <c r="C1770" s="110" t="str">
        <f>IFERROR(INDEX(Структура_ассортимента[SuperCategory],MATCH(Товары[[#This Row],[SubGroup]],Структура_ассортимента[Subgroup],0)),"")</f>
        <v>W</v>
      </c>
      <c r="D177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7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70" s="110" t="str">
        <f>IFERROR(INDEX(Структура_ассортимента[Product group],MATCH(Товары[[#This Row],[SubGroup]],Структура_ассортимента[Subgroup],0)),"")</f>
        <v>WSS_C</v>
      </c>
      <c r="G1770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70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70" s="36">
        <v>9033</v>
      </c>
      <c r="J1770" s="36" t="str">
        <f>IFERROR(INDEX(Структура_ассортимента[Generic Name (long)],MATCH(Товары[[#This Row],[SubGroup]],Структура_ассортимента[Subgroup],0)),"")</f>
        <v>WATERING SET</v>
      </c>
      <c r="L1770" s="36">
        <v>967172001</v>
      </c>
      <c r="M1770" s="35" t="s">
        <v>3446</v>
      </c>
      <c r="O1770" s="35" t="s">
        <v>7876</v>
      </c>
      <c r="P1770" s="37" t="s">
        <v>7877</v>
      </c>
      <c r="Q1770" s="34" t="s">
        <v>3549</v>
      </c>
      <c r="R1770" s="34" t="s">
        <v>3540</v>
      </c>
      <c r="S1770" s="47">
        <v>41183</v>
      </c>
      <c r="T1770" s="47">
        <v>0</v>
      </c>
      <c r="U1770" s="47">
        <v>0</v>
      </c>
      <c r="V1770" s="34">
        <v>4078500836302</v>
      </c>
      <c r="W1770" s="34" t="s">
        <v>3543</v>
      </c>
      <c r="X1770" s="34" t="s">
        <v>3579</v>
      </c>
      <c r="Y1770" s="34" t="s">
        <v>3542</v>
      </c>
      <c r="Z1770" s="34">
        <v>6</v>
      </c>
      <c r="AA1770" s="34" t="s">
        <v>3676</v>
      </c>
      <c r="AB1770" s="34" t="s">
        <v>3676</v>
      </c>
      <c r="AC1770" s="34" t="s">
        <v>3653</v>
      </c>
      <c r="AD1770" s="34" t="s">
        <v>3653</v>
      </c>
      <c r="AE1770" s="34" t="s">
        <v>3590</v>
      </c>
      <c r="AF1770" s="34" t="s">
        <v>4391</v>
      </c>
      <c r="AG1770" s="34" t="s">
        <v>3672</v>
      </c>
      <c r="AH1770" s="34" t="s">
        <v>7878</v>
      </c>
      <c r="AI1770" s="34" t="s">
        <v>3801</v>
      </c>
      <c r="AJ1770" s="34" t="s">
        <v>3955</v>
      </c>
      <c r="AK1770" s="34" t="s">
        <v>3801</v>
      </c>
      <c r="AL1770" s="34" t="s">
        <v>5952</v>
      </c>
      <c r="AM1770" s="40" t="s">
        <v>9</v>
      </c>
      <c r="AP1770" s="34">
        <v>0</v>
      </c>
      <c r="AQ1770" s="34">
        <v>869</v>
      </c>
      <c r="AR1770" s="34">
        <v>507</v>
      </c>
      <c r="AT1770" s="44">
        <v>67300</v>
      </c>
      <c r="AU1770" s="44"/>
      <c r="AV1770" s="46">
        <f>ROUND(Товары[[#This Row],[РРЦ финальная, руб.]]/$AU$1,2)</f>
        <v>0</v>
      </c>
      <c r="AW1770" s="45" t="str">
        <f>IFERROR(Товары[[#This Row],[РРЦ, евро]]/Товары[[#This Row],[IRP, Eur]],"-")</f>
        <v>-</v>
      </c>
      <c r="AX1770" s="42">
        <f>IFERROR(VLOOKUP(Товары[[#This Row],[SubGroup]],'Структура цен DIY'!$B:$C,2,FALSE),0)</f>
        <v>0.30000000000000016</v>
      </c>
      <c r="AY1770" s="44">
        <v>0</v>
      </c>
    </row>
    <row r="1771" spans="1:51" x14ac:dyDescent="0.25">
      <c r="A1771" s="34">
        <v>1769</v>
      </c>
      <c r="B1771" s="34" t="s">
        <v>49</v>
      </c>
      <c r="C1771" s="110" t="str">
        <f>IFERROR(INDEX(Структура_ассортимента[SuperCategory],MATCH(Товары[[#This Row],[SubGroup]],Структура_ассортимента[Subgroup],0)),"")</f>
        <v>W</v>
      </c>
      <c r="D177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7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71" s="110" t="str">
        <f>IFERROR(INDEX(Структура_ассортимента[Product group],MATCH(Товары[[#This Row],[SubGroup]],Структура_ассортимента[Subgroup],0)),"")</f>
        <v>WSS_C</v>
      </c>
      <c r="G1771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71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71" s="36">
        <v>9033</v>
      </c>
      <c r="J1771" s="36" t="str">
        <f>IFERROR(INDEX(Структура_ассортимента[Generic Name (long)],MATCH(Товары[[#This Row],[SubGroup]],Структура_ассортимента[Subgroup],0)),"")</f>
        <v>WATERING SET</v>
      </c>
      <c r="L1771" s="36">
        <v>967043001</v>
      </c>
      <c r="M1771" s="35" t="s">
        <v>3447</v>
      </c>
      <c r="Q1771" s="34" t="s">
        <v>3549</v>
      </c>
      <c r="R1771" s="34" t="s">
        <v>3540</v>
      </c>
      <c r="S1771" s="47">
        <v>42370</v>
      </c>
      <c r="T1771" s="47">
        <v>0</v>
      </c>
      <c r="U1771" s="47">
        <v>0</v>
      </c>
      <c r="V1771" s="34">
        <v>4078500018142</v>
      </c>
      <c r="W1771" s="34" t="s">
        <v>3543</v>
      </c>
      <c r="X1771" s="34" t="s">
        <v>3579</v>
      </c>
      <c r="Y1771" s="34" t="s">
        <v>3542</v>
      </c>
      <c r="Z1771" s="34">
        <v>10</v>
      </c>
      <c r="AA1771" s="34" t="s">
        <v>6516</v>
      </c>
      <c r="AB1771" s="34" t="s">
        <v>6516</v>
      </c>
      <c r="AC1771" s="34" t="s">
        <v>3784</v>
      </c>
      <c r="AD1771" s="34" t="s">
        <v>3784</v>
      </c>
      <c r="AE1771" s="34" t="s">
        <v>3693</v>
      </c>
      <c r="AF1771" s="34" t="s">
        <v>3576</v>
      </c>
      <c r="AG1771" s="34" t="s">
        <v>6052</v>
      </c>
      <c r="AH1771" s="34" t="s">
        <v>7879</v>
      </c>
      <c r="AL1771" s="34" t="s">
        <v>6636</v>
      </c>
      <c r="AM1771" s="40" t="s">
        <v>8095</v>
      </c>
      <c r="AT1771" s="44">
        <v>0</v>
      </c>
      <c r="AU1771" s="44"/>
      <c r="AV1771" s="46">
        <f>ROUND(Товары[[#This Row],[РРЦ финальная, руб.]]/$AU$1,2)</f>
        <v>0</v>
      </c>
      <c r="AW1771" s="45" t="str">
        <f>IFERROR(Товары[[#This Row],[РРЦ, евро]]/Товары[[#This Row],[IRP, Eur]],"-")</f>
        <v>-</v>
      </c>
      <c r="AX1771" s="42">
        <f>IFERROR(VLOOKUP(Товары[[#This Row],[SubGroup]],'Структура цен DIY'!$B:$C,2,FALSE),0)</f>
        <v>0.30000000000000016</v>
      </c>
      <c r="AY1771" s="44">
        <v>0</v>
      </c>
    </row>
    <row r="1772" spans="1:51" x14ac:dyDescent="0.25">
      <c r="A1772" s="34">
        <v>1770</v>
      </c>
      <c r="B1772" s="34" t="s">
        <v>49</v>
      </c>
      <c r="C1772" s="110" t="str">
        <f>IFERROR(INDEX(Структура_ассортимента[SuperCategory],MATCH(Товары[[#This Row],[SubGroup]],Структура_ассортимента[Subgroup],0)),"")</f>
        <v>W</v>
      </c>
      <c r="D177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7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72" s="110" t="str">
        <f>IFERROR(INDEX(Структура_ассортимента[Product group],MATCH(Товары[[#This Row],[SubGroup]],Структура_ассортимента[Subgroup],0)),"")</f>
        <v>WSS_C</v>
      </c>
      <c r="G1772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72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72" s="36">
        <v>9033</v>
      </c>
      <c r="J1772" s="36" t="str">
        <f>IFERROR(INDEX(Структура_ассортимента[Generic Name (long)],MATCH(Товары[[#This Row],[SubGroup]],Структура_ассортимента[Subgroup],0)),"")</f>
        <v>WATERING SET</v>
      </c>
      <c r="L1772" s="36">
        <v>967043301</v>
      </c>
      <c r="M1772" s="35" t="s">
        <v>3448</v>
      </c>
      <c r="Q1772" s="34" t="s">
        <v>3549</v>
      </c>
      <c r="R1772" s="34" t="s">
        <v>3540</v>
      </c>
      <c r="S1772" s="47">
        <v>42370</v>
      </c>
      <c r="T1772" s="47">
        <v>0</v>
      </c>
      <c r="U1772" s="47">
        <v>0</v>
      </c>
      <c r="V1772" s="34">
        <v>4078500018203</v>
      </c>
      <c r="W1772" s="34" t="s">
        <v>3543</v>
      </c>
      <c r="X1772" s="34" t="s">
        <v>3579</v>
      </c>
      <c r="Y1772" s="34" t="s">
        <v>3542</v>
      </c>
      <c r="Z1772" s="34">
        <v>10</v>
      </c>
      <c r="AA1772" s="34" t="s">
        <v>5629</v>
      </c>
      <c r="AB1772" s="34" t="s">
        <v>3780</v>
      </c>
      <c r="AC1772" s="34" t="s">
        <v>3797</v>
      </c>
      <c r="AD1772" s="34" t="s">
        <v>3797</v>
      </c>
      <c r="AE1772" s="34" t="s">
        <v>3693</v>
      </c>
      <c r="AF1772" s="34" t="s">
        <v>3576</v>
      </c>
      <c r="AG1772" s="34" t="s">
        <v>4218</v>
      </c>
      <c r="AH1772" s="34" t="s">
        <v>7880</v>
      </c>
      <c r="AL1772" s="34" t="s">
        <v>5656</v>
      </c>
      <c r="AM1772" s="40" t="s">
        <v>8095</v>
      </c>
      <c r="AT1772" s="44">
        <v>0</v>
      </c>
      <c r="AU1772" s="44"/>
      <c r="AV1772" s="46">
        <f>ROUND(Товары[[#This Row],[РРЦ финальная, руб.]]/$AU$1,2)</f>
        <v>0</v>
      </c>
      <c r="AW1772" s="45" t="str">
        <f>IFERROR(Товары[[#This Row],[РРЦ, евро]]/Товары[[#This Row],[IRP, Eur]],"-")</f>
        <v>-</v>
      </c>
      <c r="AX1772" s="42">
        <f>IFERROR(VLOOKUP(Товары[[#This Row],[SubGroup]],'Структура цен DIY'!$B:$C,2,FALSE),0)</f>
        <v>0.30000000000000016</v>
      </c>
      <c r="AY1772" s="44">
        <v>0</v>
      </c>
    </row>
    <row r="1773" spans="1:51" x14ac:dyDescent="0.25">
      <c r="A1773" s="34">
        <v>1771</v>
      </c>
      <c r="B1773" s="34" t="s">
        <v>49</v>
      </c>
      <c r="C1773" s="110" t="str">
        <f>IFERROR(INDEX(Структура_ассортимента[SuperCategory],MATCH(Товары[[#This Row],[SubGroup]],Структура_ассортимента[Subgroup],0)),"")</f>
        <v>W</v>
      </c>
      <c r="D177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7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73" s="110" t="str">
        <f>IFERROR(INDEX(Структура_ассортимента[Product group],MATCH(Товары[[#This Row],[SubGroup]],Структура_ассортимента[Subgroup],0)),"")</f>
        <v>WSS_C</v>
      </c>
      <c r="G1773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73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73" s="36">
        <v>9033</v>
      </c>
      <c r="J1773" s="36" t="str">
        <f>IFERROR(INDEX(Структура_ассортимента[Generic Name (long)],MATCH(Товары[[#This Row],[SubGroup]],Структура_ассортимента[Subgroup],0)),"")</f>
        <v>WATERING SET</v>
      </c>
      <c r="L1773" s="36">
        <v>901161001</v>
      </c>
      <c r="M1773" s="35" t="s">
        <v>3449</v>
      </c>
      <c r="Q1773" s="34" t="s">
        <v>3549</v>
      </c>
      <c r="R1773" s="34" t="s">
        <v>3540</v>
      </c>
      <c r="S1773" s="47">
        <v>37530</v>
      </c>
      <c r="T1773" s="47">
        <v>0</v>
      </c>
      <c r="U1773" s="47">
        <v>0</v>
      </c>
      <c r="V1773" s="34">
        <v>4078500831000</v>
      </c>
      <c r="W1773" s="34" t="s">
        <v>3543</v>
      </c>
      <c r="X1773" s="34" t="s">
        <v>3579</v>
      </c>
      <c r="Y1773" s="34" t="s">
        <v>3542</v>
      </c>
      <c r="Z1773" s="34">
        <v>10</v>
      </c>
      <c r="AA1773" s="34" t="s">
        <v>5629</v>
      </c>
      <c r="AB1773" s="34" t="s">
        <v>6655</v>
      </c>
      <c r="AC1773" s="34" t="s">
        <v>5888</v>
      </c>
      <c r="AD1773" s="34" t="s">
        <v>5888</v>
      </c>
      <c r="AE1773" s="34" t="s">
        <v>3693</v>
      </c>
      <c r="AF1773" s="34" t="s">
        <v>3576</v>
      </c>
      <c r="AG1773" s="34" t="s">
        <v>3678</v>
      </c>
      <c r="AH1773" s="34" t="s">
        <v>3798</v>
      </c>
      <c r="AI1773" s="34" t="s">
        <v>3924</v>
      </c>
      <c r="AJ1773" s="34" t="s">
        <v>4406</v>
      </c>
      <c r="AK1773" s="34" t="s">
        <v>6572</v>
      </c>
      <c r="AL1773" s="34">
        <v>1320</v>
      </c>
      <c r="AM1773" s="40" t="s">
        <v>8095</v>
      </c>
      <c r="AT1773" s="44">
        <v>0</v>
      </c>
      <c r="AU1773" s="44"/>
      <c r="AV1773" s="46">
        <f>ROUND(Товары[[#This Row],[РРЦ финальная, руб.]]/$AU$1,2)</f>
        <v>0</v>
      </c>
      <c r="AW1773" s="45" t="str">
        <f>IFERROR(Товары[[#This Row],[РРЦ, евро]]/Товары[[#This Row],[IRP, Eur]],"-")</f>
        <v>-</v>
      </c>
      <c r="AX1773" s="42">
        <f>IFERROR(VLOOKUP(Товары[[#This Row],[SubGroup]],'Структура цен DIY'!$B:$C,2,FALSE),0)</f>
        <v>0.30000000000000016</v>
      </c>
      <c r="AY1773" s="44">
        <v>0</v>
      </c>
    </row>
    <row r="1774" spans="1:51" x14ac:dyDescent="0.25">
      <c r="A1774" s="34">
        <v>1772</v>
      </c>
      <c r="B1774" s="34" t="s">
        <v>49</v>
      </c>
      <c r="C1774" s="110" t="str">
        <f>IFERROR(INDEX(Структура_ассортимента[SuperCategory],MATCH(Товары[[#This Row],[SubGroup]],Структура_ассортимента[Subgroup],0)),"")</f>
        <v>W</v>
      </c>
      <c r="D177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7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74" s="110" t="str">
        <f>IFERROR(INDEX(Структура_ассортимента[Product group],MATCH(Товары[[#This Row],[SubGroup]],Структура_ассортимента[Subgroup],0)),"")</f>
        <v>WSS_C</v>
      </c>
      <c r="G1774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74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74" s="36">
        <v>9033</v>
      </c>
      <c r="J1774" s="36" t="str">
        <f>IFERROR(INDEX(Структура_ассортимента[Generic Name (long)],MATCH(Товары[[#This Row],[SubGroup]],Структура_ассортимента[Subgroup],0)),"")</f>
        <v>WATERING SET</v>
      </c>
      <c r="L1774" s="36">
        <v>901161101</v>
      </c>
      <c r="M1774" s="35" t="s">
        <v>3450</v>
      </c>
      <c r="O1774" s="35" t="s">
        <v>7881</v>
      </c>
      <c r="P1774" s="37" t="s">
        <v>7882</v>
      </c>
      <c r="Q1774" s="34" t="s">
        <v>3549</v>
      </c>
      <c r="R1774" s="34" t="s">
        <v>3540</v>
      </c>
      <c r="S1774" s="47">
        <v>37530</v>
      </c>
      <c r="T1774" s="47">
        <v>0</v>
      </c>
      <c r="U1774" s="47">
        <v>0</v>
      </c>
      <c r="V1774" s="34">
        <v>4078500831093</v>
      </c>
      <c r="W1774" s="34" t="s">
        <v>3543</v>
      </c>
      <c r="X1774" s="34" t="s">
        <v>3579</v>
      </c>
      <c r="Y1774" s="34" t="s">
        <v>3542</v>
      </c>
      <c r="Z1774" s="34">
        <v>10</v>
      </c>
      <c r="AA1774" s="34" t="s">
        <v>5629</v>
      </c>
      <c r="AB1774" s="34" t="s">
        <v>5629</v>
      </c>
      <c r="AC1774" s="34" t="s">
        <v>5629</v>
      </c>
      <c r="AD1774" s="34" t="s">
        <v>5629</v>
      </c>
      <c r="AE1774" s="34" t="s">
        <v>3693</v>
      </c>
      <c r="AF1774" s="34" t="s">
        <v>3576</v>
      </c>
      <c r="AG1774" s="34" t="s">
        <v>3678</v>
      </c>
      <c r="AH1774" s="34" t="s">
        <v>3798</v>
      </c>
      <c r="AI1774" s="34" t="s">
        <v>3924</v>
      </c>
      <c r="AJ1774" s="34" t="s">
        <v>4406</v>
      </c>
      <c r="AK1774" s="34" t="s">
        <v>6572</v>
      </c>
      <c r="AL1774" s="34">
        <v>1320</v>
      </c>
      <c r="AM1774" s="40" t="s">
        <v>9</v>
      </c>
      <c r="AP1774" s="34">
        <v>0</v>
      </c>
      <c r="AQ1774" s="34">
        <v>759</v>
      </c>
      <c r="AR1774" s="34">
        <v>443</v>
      </c>
      <c r="AT1774" s="44">
        <v>58800</v>
      </c>
      <c r="AU1774" s="44"/>
      <c r="AV1774" s="46">
        <f>ROUND(Товары[[#This Row],[РРЦ финальная, руб.]]/$AU$1,2)</f>
        <v>0</v>
      </c>
      <c r="AW1774" s="45" t="str">
        <f>IFERROR(Товары[[#This Row],[РРЦ, евро]]/Товары[[#This Row],[IRP, Eur]],"-")</f>
        <v>-</v>
      </c>
      <c r="AX1774" s="42">
        <f>IFERROR(VLOOKUP(Товары[[#This Row],[SubGroup]],'Структура цен DIY'!$B:$C,2,FALSE),0)</f>
        <v>0.30000000000000016</v>
      </c>
      <c r="AY1774" s="44">
        <v>0</v>
      </c>
    </row>
    <row r="1775" spans="1:51" x14ac:dyDescent="0.25">
      <c r="A1775" s="34">
        <v>1773</v>
      </c>
      <c r="B1775" s="34" t="s">
        <v>49</v>
      </c>
      <c r="C1775" s="110" t="str">
        <f>IFERROR(INDEX(Структура_ассортимента[SuperCategory],MATCH(Товары[[#This Row],[SubGroup]],Структура_ассортимента[Subgroup],0)),"")</f>
        <v>W</v>
      </c>
      <c r="D177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7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75" s="110" t="str">
        <f>IFERROR(INDEX(Структура_ассортимента[Product group],MATCH(Товары[[#This Row],[SubGroup]],Структура_ассортимента[Subgroup],0)),"")</f>
        <v>WSS_C</v>
      </c>
      <c r="G1775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75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75" s="36">
        <v>9033</v>
      </c>
      <c r="J1775" s="36" t="str">
        <f>IFERROR(INDEX(Структура_ассортимента[Generic Name (long)],MATCH(Товары[[#This Row],[SubGroup]],Структура_ассортимента[Subgroup],0)),"")</f>
        <v>WATERING SET</v>
      </c>
      <c r="L1775" s="36">
        <v>966960801</v>
      </c>
      <c r="M1775" s="35" t="s">
        <v>3451</v>
      </c>
      <c r="O1775" s="35" t="s">
        <v>7883</v>
      </c>
      <c r="P1775" s="37" t="s">
        <v>7884</v>
      </c>
      <c r="Q1775" s="34" t="s">
        <v>3549</v>
      </c>
      <c r="R1775" s="34" t="s">
        <v>3540</v>
      </c>
      <c r="S1775" s="47">
        <v>39722</v>
      </c>
      <c r="T1775" s="47">
        <v>0</v>
      </c>
      <c r="U1775" s="47">
        <v>0</v>
      </c>
      <c r="V1775" s="34">
        <v>4078500831697</v>
      </c>
      <c r="W1775" s="34" t="s">
        <v>3543</v>
      </c>
      <c r="X1775" s="34" t="s">
        <v>3579</v>
      </c>
      <c r="Y1775" s="34" t="s">
        <v>3542</v>
      </c>
      <c r="Z1775" s="34">
        <v>10</v>
      </c>
      <c r="AA1775" s="34" t="s">
        <v>6530</v>
      </c>
      <c r="AB1775" s="34" t="s">
        <v>3717</v>
      </c>
      <c r="AC1775" s="34" t="s">
        <v>5628</v>
      </c>
      <c r="AD1775" s="34" t="s">
        <v>5628</v>
      </c>
      <c r="AE1775" s="34" t="s">
        <v>3693</v>
      </c>
      <c r="AF1775" s="34" t="s">
        <v>3576</v>
      </c>
      <c r="AG1775" s="34" t="s">
        <v>3672</v>
      </c>
      <c r="AH1775" s="34" t="s">
        <v>6652</v>
      </c>
      <c r="AL1775" s="34" t="s">
        <v>6636</v>
      </c>
      <c r="AM1775" s="40" t="s">
        <v>9</v>
      </c>
      <c r="AP1775" s="34">
        <v>0</v>
      </c>
      <c r="AQ1775" s="34">
        <v>649</v>
      </c>
      <c r="AR1775" s="34">
        <v>389</v>
      </c>
      <c r="AT1775" s="44">
        <v>50300</v>
      </c>
      <c r="AU1775" s="44"/>
      <c r="AV1775" s="46">
        <f>ROUND(Товары[[#This Row],[РРЦ финальная, руб.]]/$AU$1,2)</f>
        <v>0</v>
      </c>
      <c r="AW1775" s="45" t="str">
        <f>IFERROR(Товары[[#This Row],[РРЦ, евро]]/Товары[[#This Row],[IRP, Eur]],"-")</f>
        <v>-</v>
      </c>
      <c r="AX1775" s="42">
        <f>IFERROR(VLOOKUP(Товары[[#This Row],[SubGroup]],'Структура цен DIY'!$B:$C,2,FALSE),0)</f>
        <v>0.30000000000000016</v>
      </c>
      <c r="AY1775" s="44">
        <v>0</v>
      </c>
    </row>
    <row r="1776" spans="1:51" x14ac:dyDescent="0.25">
      <c r="A1776" s="34">
        <v>1774</v>
      </c>
      <c r="B1776" s="34" t="s">
        <v>49</v>
      </c>
      <c r="C1776" s="110" t="str">
        <f>IFERROR(INDEX(Структура_ассортимента[SuperCategory],MATCH(Товары[[#This Row],[SubGroup]],Структура_ассортимента[Subgroup],0)),"")</f>
        <v>W</v>
      </c>
      <c r="D177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7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76" s="110" t="str">
        <f>IFERROR(INDEX(Структура_ассортимента[Product group],MATCH(Товары[[#This Row],[SubGroup]],Структура_ассортимента[Subgroup],0)),"")</f>
        <v>WSS_C</v>
      </c>
      <c r="G1776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76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76" s="36">
        <v>9033</v>
      </c>
      <c r="J1776" s="36" t="str">
        <f>IFERROR(INDEX(Структура_ассортимента[Generic Name (long)],MATCH(Товары[[#This Row],[SubGroup]],Структура_ассортимента[Subgroup],0)),"")</f>
        <v>WATERING SET</v>
      </c>
      <c r="L1776" s="36">
        <v>900914901</v>
      </c>
      <c r="M1776" s="35" t="s">
        <v>3452</v>
      </c>
      <c r="O1776" s="35" t="s">
        <v>7885</v>
      </c>
      <c r="P1776" s="37" t="s">
        <v>7886</v>
      </c>
      <c r="Q1776" s="34" t="s">
        <v>3549</v>
      </c>
      <c r="R1776" s="34" t="s">
        <v>3540</v>
      </c>
      <c r="S1776" s="47">
        <v>35339</v>
      </c>
      <c r="T1776" s="47">
        <v>0</v>
      </c>
      <c r="U1776" s="47">
        <v>0</v>
      </c>
      <c r="V1776" s="34">
        <v>4078500139182</v>
      </c>
      <c r="W1776" s="34" t="s">
        <v>3543</v>
      </c>
      <c r="X1776" s="34" t="s">
        <v>3579</v>
      </c>
      <c r="Y1776" s="34" t="s">
        <v>3542</v>
      </c>
      <c r="Z1776" s="34">
        <v>10</v>
      </c>
      <c r="AA1776" s="34" t="s">
        <v>6569</v>
      </c>
      <c r="AB1776" s="34" t="s">
        <v>6569</v>
      </c>
      <c r="AC1776" s="34" t="s">
        <v>3776</v>
      </c>
      <c r="AD1776" s="34" t="s">
        <v>3776</v>
      </c>
      <c r="AE1776" s="34" t="s">
        <v>4793</v>
      </c>
      <c r="AF1776" s="34" t="s">
        <v>5613</v>
      </c>
      <c r="AG1776" s="34" t="s">
        <v>4351</v>
      </c>
      <c r="AH1776" s="34" t="s">
        <v>7887</v>
      </c>
      <c r="AI1776" s="34" t="s">
        <v>5148</v>
      </c>
      <c r="AJ1776" s="34" t="s">
        <v>3808</v>
      </c>
      <c r="AK1776" s="34" t="s">
        <v>3808</v>
      </c>
      <c r="AL1776" s="34">
        <v>1320</v>
      </c>
      <c r="AM1776" s="40" t="s">
        <v>9</v>
      </c>
      <c r="AP1776" s="34">
        <v>0</v>
      </c>
      <c r="AQ1776" s="34">
        <v>979</v>
      </c>
      <c r="AR1776" s="34">
        <v>571</v>
      </c>
      <c r="AT1776" s="44">
        <v>75800</v>
      </c>
      <c r="AU1776" s="44"/>
      <c r="AV1776" s="46">
        <f>ROUND(Товары[[#This Row],[РРЦ финальная, руб.]]/$AU$1,2)</f>
        <v>0</v>
      </c>
      <c r="AW1776" s="45" t="str">
        <f>IFERROR(Товары[[#This Row],[РРЦ, евро]]/Товары[[#This Row],[IRP, Eur]],"-")</f>
        <v>-</v>
      </c>
      <c r="AX1776" s="42">
        <f>IFERROR(VLOOKUP(Товары[[#This Row],[SubGroup]],'Структура цен DIY'!$B:$C,2,FALSE),0)</f>
        <v>0.30000000000000016</v>
      </c>
      <c r="AY1776" s="44">
        <v>0</v>
      </c>
    </row>
    <row r="1777" spans="1:51" x14ac:dyDescent="0.25">
      <c r="A1777" s="34">
        <v>1775</v>
      </c>
      <c r="B1777" s="34" t="s">
        <v>49</v>
      </c>
      <c r="C1777" s="110" t="str">
        <f>IFERROR(INDEX(Структура_ассортимента[SuperCategory],MATCH(Товары[[#This Row],[SubGroup]],Структура_ассортимента[Subgroup],0)),"")</f>
        <v>W</v>
      </c>
      <c r="D177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7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77" s="110" t="str">
        <f>IFERROR(INDEX(Структура_ассортимента[Product group],MATCH(Товары[[#This Row],[SubGroup]],Структура_ассортимента[Subgroup],0)),"")</f>
        <v>WSS_C</v>
      </c>
      <c r="G1777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77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77" s="36">
        <v>9033</v>
      </c>
      <c r="J1777" s="36" t="str">
        <f>IFERROR(INDEX(Структура_ассортимента[Generic Name (long)],MATCH(Товары[[#This Row],[SubGroup]],Структура_ассортимента[Subgroup],0)),"")</f>
        <v>WATERING SET</v>
      </c>
      <c r="L1777" s="36">
        <v>900908001</v>
      </c>
      <c r="M1777" s="35" t="s">
        <v>3453</v>
      </c>
      <c r="O1777" s="35" t="s">
        <v>7881</v>
      </c>
      <c r="P1777" s="37" t="s">
        <v>7888</v>
      </c>
      <c r="Q1777" s="34" t="s">
        <v>3549</v>
      </c>
      <c r="R1777" s="34" t="s">
        <v>3540</v>
      </c>
      <c r="S1777" s="47">
        <v>32782</v>
      </c>
      <c r="T1777" s="47">
        <v>0</v>
      </c>
      <c r="U1777" s="47">
        <v>0</v>
      </c>
      <c r="V1777" s="34">
        <v>4078500134088</v>
      </c>
      <c r="W1777" s="34" t="s">
        <v>3543</v>
      </c>
      <c r="X1777" s="34" t="s">
        <v>3579</v>
      </c>
      <c r="Y1777" s="34" t="s">
        <v>3542</v>
      </c>
      <c r="Z1777" s="34">
        <v>10</v>
      </c>
      <c r="AA1777" s="34" t="s">
        <v>6556</v>
      </c>
      <c r="AB1777" s="34" t="s">
        <v>6516</v>
      </c>
      <c r="AC1777" s="34" t="s">
        <v>6571</v>
      </c>
      <c r="AD1777" s="34" t="s">
        <v>6571</v>
      </c>
      <c r="AE1777" s="34" t="s">
        <v>4793</v>
      </c>
      <c r="AF1777" s="34" t="s">
        <v>5613</v>
      </c>
      <c r="AG1777" s="34" t="s">
        <v>3678</v>
      </c>
      <c r="AH1777" s="34" t="s">
        <v>7833</v>
      </c>
      <c r="AL1777" s="34">
        <v>2160</v>
      </c>
      <c r="AM1777" s="40" t="s">
        <v>9</v>
      </c>
      <c r="AP1777" s="34">
        <v>0</v>
      </c>
      <c r="AQ1777" s="34">
        <v>1199</v>
      </c>
      <c r="AR1777" s="34">
        <v>699</v>
      </c>
      <c r="AT1777" s="44">
        <v>92900</v>
      </c>
      <c r="AU1777" s="44"/>
      <c r="AV1777" s="46">
        <f>ROUND(Товары[[#This Row],[РРЦ финальная, руб.]]/$AU$1,2)</f>
        <v>0</v>
      </c>
      <c r="AW1777" s="45" t="str">
        <f>IFERROR(Товары[[#This Row],[РРЦ, евро]]/Товары[[#This Row],[IRP, Eur]],"-")</f>
        <v>-</v>
      </c>
      <c r="AX1777" s="42">
        <f>IFERROR(VLOOKUP(Товары[[#This Row],[SubGroup]],'Структура цен DIY'!$B:$C,2,FALSE),0)</f>
        <v>0.30000000000000016</v>
      </c>
      <c r="AY1777" s="44">
        <v>0</v>
      </c>
    </row>
    <row r="1778" spans="1:51" x14ac:dyDescent="0.25">
      <c r="A1778" s="34">
        <v>1776</v>
      </c>
      <c r="B1778" s="34" t="s">
        <v>49</v>
      </c>
      <c r="C1778" s="110" t="str">
        <f>IFERROR(INDEX(Структура_ассортимента[SuperCategory],MATCH(Товары[[#This Row],[SubGroup]],Структура_ассортимента[Subgroup],0)),"")</f>
        <v>W</v>
      </c>
      <c r="D177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7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78" s="110" t="str">
        <f>IFERROR(INDEX(Структура_ассортимента[Product group],MATCH(Товары[[#This Row],[SubGroup]],Структура_ассортимента[Subgroup],0)),"")</f>
        <v>WSS_C</v>
      </c>
      <c r="G1778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78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78" s="36">
        <v>9033</v>
      </c>
      <c r="J1778" s="36" t="str">
        <f>IFERROR(INDEX(Структура_ассортимента[Generic Name (long)],MATCH(Товары[[#This Row],[SubGroup]],Структура_ассортимента[Subgroup],0)),"")</f>
        <v>WATERING SET</v>
      </c>
      <c r="L1778" s="36">
        <v>900907801</v>
      </c>
      <c r="M1778" s="35" t="s">
        <v>3454</v>
      </c>
      <c r="Q1778" s="34" t="s">
        <v>3549</v>
      </c>
      <c r="R1778" s="34" t="s">
        <v>3540</v>
      </c>
      <c r="S1778" s="47">
        <v>32782</v>
      </c>
      <c r="T1778" s="47">
        <v>0</v>
      </c>
      <c r="U1778" s="47">
        <v>0</v>
      </c>
      <c r="V1778" s="34">
        <v>4078500134002</v>
      </c>
      <c r="W1778" s="34" t="s">
        <v>3543</v>
      </c>
      <c r="X1778" s="34" t="s">
        <v>3579</v>
      </c>
      <c r="Y1778" s="34" t="s">
        <v>3542</v>
      </c>
      <c r="Z1778" s="34">
        <v>10</v>
      </c>
      <c r="AA1778" s="34" t="s">
        <v>6556</v>
      </c>
      <c r="AB1778" s="34" t="s">
        <v>6556</v>
      </c>
      <c r="AC1778" s="34" t="s">
        <v>6571</v>
      </c>
      <c r="AD1778" s="34" t="s">
        <v>6571</v>
      </c>
      <c r="AE1778" s="34" t="s">
        <v>3693</v>
      </c>
      <c r="AF1778" s="34" t="s">
        <v>3576</v>
      </c>
      <c r="AG1778" s="34" t="s">
        <v>3785</v>
      </c>
      <c r="AH1778" s="34" t="s">
        <v>3786</v>
      </c>
      <c r="AL1778" s="34">
        <v>2160</v>
      </c>
      <c r="AM1778" s="40" t="s">
        <v>8095</v>
      </c>
      <c r="AT1778" s="44">
        <v>0</v>
      </c>
      <c r="AU1778" s="44"/>
      <c r="AV1778" s="46">
        <f>ROUND(Товары[[#This Row],[РРЦ финальная, руб.]]/$AU$1,2)</f>
        <v>0</v>
      </c>
      <c r="AW1778" s="45" t="str">
        <f>IFERROR(Товары[[#This Row],[РРЦ, евро]]/Товары[[#This Row],[IRP, Eur]],"-")</f>
        <v>-</v>
      </c>
      <c r="AX1778" s="42">
        <f>IFERROR(VLOOKUP(Товары[[#This Row],[SubGroup]],'Структура цен DIY'!$B:$C,2,FALSE),0)</f>
        <v>0.30000000000000016</v>
      </c>
      <c r="AY1778" s="44">
        <v>0</v>
      </c>
    </row>
    <row r="1779" spans="1:51" x14ac:dyDescent="0.25">
      <c r="A1779" s="34">
        <v>1777</v>
      </c>
      <c r="B1779" s="34" t="s">
        <v>49</v>
      </c>
      <c r="C1779" s="110" t="str">
        <f>IFERROR(INDEX(Структура_ассортимента[SuperCategory],MATCH(Товары[[#This Row],[SubGroup]],Структура_ассортимента[Subgroup],0)),"")</f>
        <v>W</v>
      </c>
      <c r="D177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7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79" s="110" t="str">
        <f>IFERROR(INDEX(Структура_ассортимента[Product group],MATCH(Товары[[#This Row],[SubGroup]],Структура_ассортимента[Subgroup],0)),"")</f>
        <v>WSS_C</v>
      </c>
      <c r="G1779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79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79" s="36">
        <v>9033</v>
      </c>
      <c r="J1779" s="36" t="str">
        <f>IFERROR(INDEX(Структура_ассортимента[Generic Name (long)],MATCH(Товары[[#This Row],[SubGroup]],Структура_ассортимента[Subgroup],0)),"")</f>
        <v>WATERING SET</v>
      </c>
      <c r="L1779" s="36">
        <v>900908401</v>
      </c>
      <c r="M1779" s="35" t="s">
        <v>3455</v>
      </c>
      <c r="O1779" s="35" t="s">
        <v>7889</v>
      </c>
      <c r="P1779" s="37" t="s">
        <v>7890</v>
      </c>
      <c r="Q1779" s="34" t="s">
        <v>3549</v>
      </c>
      <c r="R1779" s="34" t="s">
        <v>3540</v>
      </c>
      <c r="S1779" s="47">
        <v>32782</v>
      </c>
      <c r="T1779" s="47">
        <v>0</v>
      </c>
      <c r="U1779" s="47">
        <v>0</v>
      </c>
      <c r="V1779" s="34">
        <v>4078500134187</v>
      </c>
      <c r="W1779" s="34" t="s">
        <v>3543</v>
      </c>
      <c r="X1779" s="34" t="s">
        <v>3579</v>
      </c>
      <c r="Y1779" s="34" t="s">
        <v>3542</v>
      </c>
      <c r="Z1779" s="34">
        <v>10</v>
      </c>
      <c r="AA1779" s="34" t="s">
        <v>3780</v>
      </c>
      <c r="AB1779" s="34" t="s">
        <v>6455</v>
      </c>
      <c r="AC1779" s="34" t="s">
        <v>6556</v>
      </c>
      <c r="AD1779" s="34" t="s">
        <v>3811</v>
      </c>
      <c r="AE1779" s="34" t="s">
        <v>4793</v>
      </c>
      <c r="AF1779" s="34" t="s">
        <v>5613</v>
      </c>
      <c r="AG1779" s="34" t="s">
        <v>3678</v>
      </c>
      <c r="AH1779" s="34" t="s">
        <v>7833</v>
      </c>
      <c r="AL1779" s="34">
        <v>2160</v>
      </c>
      <c r="AM1779" s="40" t="s">
        <v>9</v>
      </c>
      <c r="AP1779" s="34">
        <v>0</v>
      </c>
      <c r="AQ1779" s="34">
        <v>1199</v>
      </c>
      <c r="AR1779" s="34">
        <v>699</v>
      </c>
      <c r="AT1779" s="44">
        <v>92900</v>
      </c>
      <c r="AU1779" s="44"/>
      <c r="AV1779" s="46">
        <f>ROUND(Товары[[#This Row],[РРЦ финальная, руб.]]/$AU$1,2)</f>
        <v>0</v>
      </c>
      <c r="AW1779" s="45" t="str">
        <f>IFERROR(Товары[[#This Row],[РРЦ, евро]]/Товары[[#This Row],[IRP, Eur]],"-")</f>
        <v>-</v>
      </c>
      <c r="AX1779" s="42">
        <f>IFERROR(VLOOKUP(Товары[[#This Row],[SubGroup]],'Структура цен DIY'!$B:$C,2,FALSE),0)</f>
        <v>0.30000000000000016</v>
      </c>
      <c r="AY1779" s="44">
        <v>0</v>
      </c>
    </row>
    <row r="1780" spans="1:51" x14ac:dyDescent="0.25">
      <c r="A1780" s="34">
        <v>1778</v>
      </c>
      <c r="B1780" s="34" t="s">
        <v>49</v>
      </c>
      <c r="C1780" s="110" t="str">
        <f>IFERROR(INDEX(Структура_ассортимента[SuperCategory],MATCH(Товары[[#This Row],[SubGroup]],Структура_ассортимента[Subgroup],0)),"")</f>
        <v>W</v>
      </c>
      <c r="D178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8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80" s="110" t="str">
        <f>IFERROR(INDEX(Структура_ассортимента[Product group],MATCH(Товары[[#This Row],[SubGroup]],Структура_ассортимента[Subgroup],0)),"")</f>
        <v>WSS_C</v>
      </c>
      <c r="G1780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80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80" s="36">
        <v>9033</v>
      </c>
      <c r="J1780" s="36" t="str">
        <f>IFERROR(INDEX(Структура_ассортимента[Generic Name (long)],MATCH(Товары[[#This Row],[SubGroup]],Структура_ассортимента[Subgroup],0)),"")</f>
        <v>WATERING SET</v>
      </c>
      <c r="L1780" s="36">
        <v>900908201</v>
      </c>
      <c r="M1780" s="35" t="s">
        <v>3456</v>
      </c>
      <c r="Q1780" s="34" t="s">
        <v>3549</v>
      </c>
      <c r="R1780" s="34" t="s">
        <v>3540</v>
      </c>
      <c r="S1780" s="47">
        <v>32782</v>
      </c>
      <c r="T1780" s="47">
        <v>0</v>
      </c>
      <c r="U1780" s="47">
        <v>0</v>
      </c>
      <c r="V1780" s="34">
        <v>4078500134101</v>
      </c>
      <c r="W1780" s="34" t="s">
        <v>3543</v>
      </c>
      <c r="X1780" s="34" t="s">
        <v>3579</v>
      </c>
      <c r="Y1780" s="34" t="s">
        <v>3542</v>
      </c>
      <c r="Z1780" s="34">
        <v>10</v>
      </c>
      <c r="AA1780" s="34" t="s">
        <v>6455</v>
      </c>
      <c r="AB1780" s="34" t="s">
        <v>6455</v>
      </c>
      <c r="AC1780" s="34" t="s">
        <v>6439</v>
      </c>
      <c r="AD1780" s="34" t="s">
        <v>3784</v>
      </c>
      <c r="AE1780" s="34" t="s">
        <v>3693</v>
      </c>
      <c r="AF1780" s="34" t="s">
        <v>3576</v>
      </c>
      <c r="AG1780" s="34" t="s">
        <v>3804</v>
      </c>
      <c r="AH1780" s="34" t="s">
        <v>3805</v>
      </c>
      <c r="AL1780" s="34">
        <v>2160</v>
      </c>
      <c r="AM1780" s="40" t="s">
        <v>8095</v>
      </c>
      <c r="AT1780" s="44">
        <v>0</v>
      </c>
      <c r="AU1780" s="44"/>
      <c r="AV1780" s="46">
        <f>ROUND(Товары[[#This Row],[РРЦ финальная, руб.]]/$AU$1,2)</f>
        <v>0</v>
      </c>
      <c r="AW1780" s="45" t="str">
        <f>IFERROR(Товары[[#This Row],[РРЦ, евро]]/Товары[[#This Row],[IRP, Eur]],"-")</f>
        <v>-</v>
      </c>
      <c r="AX1780" s="42">
        <f>IFERROR(VLOOKUP(Товары[[#This Row],[SubGroup]],'Структура цен DIY'!$B:$C,2,FALSE),0)</f>
        <v>0.30000000000000016</v>
      </c>
      <c r="AY1780" s="44">
        <v>0</v>
      </c>
    </row>
    <row r="1781" spans="1:51" x14ac:dyDescent="0.25">
      <c r="A1781" s="34">
        <v>1779</v>
      </c>
      <c r="B1781" s="34" t="s">
        <v>49</v>
      </c>
      <c r="C1781" s="110" t="str">
        <f>IFERROR(INDEX(Структура_ассортимента[SuperCategory],MATCH(Товары[[#This Row],[SubGroup]],Структура_ассортимента[Subgroup],0)),"")</f>
        <v>W</v>
      </c>
      <c r="D178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8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81" s="110" t="str">
        <f>IFERROR(INDEX(Структура_ассортимента[Product group],MATCH(Товары[[#This Row],[SubGroup]],Структура_ассортимента[Subgroup],0)),"")</f>
        <v>WSS_C</v>
      </c>
      <c r="G1781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81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81" s="36">
        <v>9033</v>
      </c>
      <c r="J1781" s="36" t="str">
        <f>IFERROR(INDEX(Структура_ассортимента[Generic Name (long)],MATCH(Товары[[#This Row],[SubGroup]],Структура_ассортимента[Subgroup],0)),"")</f>
        <v>WATERING SET</v>
      </c>
      <c r="L1781" s="36">
        <v>901161201</v>
      </c>
      <c r="M1781" s="35" t="s">
        <v>3457</v>
      </c>
      <c r="Q1781" s="34" t="s">
        <v>3549</v>
      </c>
      <c r="R1781" s="34" t="s">
        <v>3540</v>
      </c>
      <c r="S1781" s="47">
        <v>37530</v>
      </c>
      <c r="T1781" s="47">
        <v>0</v>
      </c>
      <c r="U1781" s="47">
        <v>0</v>
      </c>
      <c r="V1781" s="34">
        <v>4078500831109</v>
      </c>
      <c r="W1781" s="34" t="s">
        <v>3543</v>
      </c>
      <c r="X1781" s="34" t="s">
        <v>3579</v>
      </c>
      <c r="Y1781" s="34" t="s">
        <v>3542</v>
      </c>
      <c r="Z1781" s="34">
        <v>10</v>
      </c>
      <c r="AA1781" s="34" t="s">
        <v>3719</v>
      </c>
      <c r="AB1781" s="34" t="s">
        <v>3717</v>
      </c>
      <c r="AC1781" s="34" t="s">
        <v>3654</v>
      </c>
      <c r="AD1781" s="34" t="s">
        <v>3776</v>
      </c>
      <c r="AE1781" s="34" t="s">
        <v>3693</v>
      </c>
      <c r="AF1781" s="34" t="s">
        <v>3576</v>
      </c>
      <c r="AG1781" s="34" t="s">
        <v>4463</v>
      </c>
      <c r="AH1781" s="34" t="s">
        <v>7891</v>
      </c>
      <c r="AL1781" s="34">
        <v>1080</v>
      </c>
      <c r="AM1781" s="40" t="s">
        <v>8095</v>
      </c>
      <c r="AT1781" s="44">
        <v>0</v>
      </c>
      <c r="AU1781" s="44"/>
      <c r="AV1781" s="46">
        <f>ROUND(Товары[[#This Row],[РРЦ финальная, руб.]]/$AU$1,2)</f>
        <v>0</v>
      </c>
      <c r="AW1781" s="45" t="str">
        <f>IFERROR(Товары[[#This Row],[РРЦ, евро]]/Товары[[#This Row],[IRP, Eur]],"-")</f>
        <v>-</v>
      </c>
      <c r="AX1781" s="42">
        <f>IFERROR(VLOOKUP(Товары[[#This Row],[SubGroup]],'Структура цен DIY'!$B:$C,2,FALSE),0)</f>
        <v>0.30000000000000016</v>
      </c>
      <c r="AY1781" s="44">
        <v>0</v>
      </c>
    </row>
    <row r="1782" spans="1:51" x14ac:dyDescent="0.25">
      <c r="A1782" s="34">
        <v>1780</v>
      </c>
      <c r="B1782" s="34" t="s">
        <v>49</v>
      </c>
      <c r="C1782" s="110" t="str">
        <f>IFERROR(INDEX(Структура_ассортимента[SuperCategory],MATCH(Товары[[#This Row],[SubGroup]],Структура_ассортимента[Subgroup],0)),"")</f>
        <v>W</v>
      </c>
      <c r="D178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8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82" s="110" t="str">
        <f>IFERROR(INDEX(Структура_ассортимента[Product group],MATCH(Товары[[#This Row],[SubGroup]],Структура_ассортимента[Subgroup],0)),"")</f>
        <v>WSS_C</v>
      </c>
      <c r="G1782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82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82" s="36">
        <v>9033</v>
      </c>
      <c r="J1782" s="36" t="str">
        <f>IFERROR(INDEX(Структура_ассортимента[Generic Name (long)],MATCH(Товары[[#This Row],[SubGroup]],Структура_ассортимента[Subgroup],0)),"")</f>
        <v>WATERING SET</v>
      </c>
      <c r="L1782" s="36">
        <v>901161301</v>
      </c>
      <c r="M1782" s="35" t="s">
        <v>3458</v>
      </c>
      <c r="O1782" s="35" t="s">
        <v>7881</v>
      </c>
      <c r="P1782" s="37" t="s">
        <v>7892</v>
      </c>
      <c r="Q1782" s="34" t="s">
        <v>3549</v>
      </c>
      <c r="R1782" s="34" t="s">
        <v>3540</v>
      </c>
      <c r="S1782" s="47">
        <v>37530</v>
      </c>
      <c r="T1782" s="47">
        <v>0</v>
      </c>
      <c r="U1782" s="47">
        <v>0</v>
      </c>
      <c r="V1782" s="34">
        <v>4078500831192</v>
      </c>
      <c r="W1782" s="34" t="s">
        <v>3543</v>
      </c>
      <c r="X1782" s="34" t="s">
        <v>3579</v>
      </c>
      <c r="Y1782" s="34" t="s">
        <v>3542</v>
      </c>
      <c r="Z1782" s="34">
        <v>10</v>
      </c>
      <c r="AA1782" s="34" t="s">
        <v>3719</v>
      </c>
      <c r="AB1782" s="34" t="s">
        <v>3661</v>
      </c>
      <c r="AC1782" s="34" t="s">
        <v>3654</v>
      </c>
      <c r="AD1782" s="34" t="s">
        <v>3653</v>
      </c>
      <c r="AE1782" s="34" t="s">
        <v>3693</v>
      </c>
      <c r="AF1782" s="34" t="s">
        <v>3576</v>
      </c>
      <c r="AG1782" s="34" t="s">
        <v>4463</v>
      </c>
      <c r="AH1782" s="34" t="s">
        <v>7891</v>
      </c>
      <c r="AL1782" s="34">
        <v>1080</v>
      </c>
      <c r="AM1782" s="40" t="s">
        <v>9</v>
      </c>
      <c r="AP1782" s="34">
        <v>0</v>
      </c>
      <c r="AQ1782" s="34">
        <v>1089</v>
      </c>
      <c r="AR1782" s="34">
        <v>635</v>
      </c>
      <c r="AT1782" s="44">
        <v>84300</v>
      </c>
      <c r="AU1782" s="44"/>
      <c r="AV1782" s="46">
        <f>ROUND(Товары[[#This Row],[РРЦ финальная, руб.]]/$AU$1,2)</f>
        <v>0</v>
      </c>
      <c r="AW1782" s="45" t="str">
        <f>IFERROR(Товары[[#This Row],[РРЦ, евро]]/Товары[[#This Row],[IRP, Eur]],"-")</f>
        <v>-</v>
      </c>
      <c r="AX1782" s="42">
        <f>IFERROR(VLOOKUP(Товары[[#This Row],[SubGroup]],'Структура цен DIY'!$B:$C,2,FALSE),0)</f>
        <v>0.30000000000000016</v>
      </c>
      <c r="AY1782" s="44">
        <v>0</v>
      </c>
    </row>
    <row r="1783" spans="1:51" x14ac:dyDescent="0.25">
      <c r="A1783" s="34">
        <v>1781</v>
      </c>
      <c r="B1783" s="34" t="s">
        <v>49</v>
      </c>
      <c r="C1783" s="110" t="str">
        <f>IFERROR(INDEX(Структура_ассортимента[SuperCategory],MATCH(Товары[[#This Row],[SubGroup]],Структура_ассортимента[Subgroup],0)),"")</f>
        <v>W</v>
      </c>
      <c r="D178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8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83" s="110" t="str">
        <f>IFERROR(INDEX(Структура_ассортимента[Product group],MATCH(Товары[[#This Row],[SubGroup]],Структура_ассортимента[Subgroup],0)),"")</f>
        <v>WSS_C</v>
      </c>
      <c r="G1783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83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83" s="36">
        <v>9033</v>
      </c>
      <c r="J1783" s="36" t="str">
        <f>IFERROR(INDEX(Структура_ассортимента[Generic Name (long)],MATCH(Товары[[#This Row],[SubGroup]],Структура_ассортимента[Subgroup],0)),"")</f>
        <v>WATERING SET</v>
      </c>
      <c r="L1783" s="36">
        <v>966961001</v>
      </c>
      <c r="M1783" s="35" t="s">
        <v>3459</v>
      </c>
      <c r="O1783" s="35" t="s">
        <v>7893</v>
      </c>
      <c r="P1783" s="37" t="s">
        <v>7894</v>
      </c>
      <c r="Q1783" s="34" t="s">
        <v>3549</v>
      </c>
      <c r="R1783" s="34" t="s">
        <v>3540</v>
      </c>
      <c r="S1783" s="47">
        <v>39722</v>
      </c>
      <c r="T1783" s="47">
        <v>0</v>
      </c>
      <c r="U1783" s="47">
        <v>0</v>
      </c>
      <c r="V1783" s="34">
        <v>4078500831796</v>
      </c>
      <c r="W1783" s="34" t="s">
        <v>3543</v>
      </c>
      <c r="X1783" s="34" t="s">
        <v>3579</v>
      </c>
      <c r="Y1783" s="34" t="s">
        <v>3542</v>
      </c>
      <c r="Z1783" s="34">
        <v>10</v>
      </c>
      <c r="AA1783" s="34" t="s">
        <v>6599</v>
      </c>
      <c r="AB1783" s="34" t="s">
        <v>6599</v>
      </c>
      <c r="AC1783" s="34" t="s">
        <v>6530</v>
      </c>
      <c r="AD1783" s="34" t="s">
        <v>6530</v>
      </c>
      <c r="AE1783" s="34" t="s">
        <v>5338</v>
      </c>
      <c r="AF1783" s="34" t="s">
        <v>3576</v>
      </c>
      <c r="AG1783" s="34" t="s">
        <v>4468</v>
      </c>
      <c r="AH1783" s="34" t="s">
        <v>7895</v>
      </c>
      <c r="AL1783" s="34">
        <v>900</v>
      </c>
      <c r="AM1783" s="40" t="s">
        <v>9</v>
      </c>
      <c r="AP1783" s="34">
        <v>0</v>
      </c>
      <c r="AQ1783" s="34">
        <v>979</v>
      </c>
      <c r="AR1783" s="34">
        <v>587</v>
      </c>
      <c r="AT1783" s="44">
        <v>75800</v>
      </c>
      <c r="AU1783" s="44"/>
      <c r="AV1783" s="46">
        <f>ROUND(Товары[[#This Row],[РРЦ финальная, руб.]]/$AU$1,2)</f>
        <v>0</v>
      </c>
      <c r="AW1783" s="45" t="str">
        <f>IFERROR(Товары[[#This Row],[РРЦ, евро]]/Товары[[#This Row],[IRP, Eur]],"-")</f>
        <v>-</v>
      </c>
      <c r="AX1783" s="42">
        <f>IFERROR(VLOOKUP(Товары[[#This Row],[SubGroup]],'Структура цен DIY'!$B:$C,2,FALSE),0)</f>
        <v>0.30000000000000016</v>
      </c>
      <c r="AY1783" s="44">
        <v>0</v>
      </c>
    </row>
    <row r="1784" spans="1:51" x14ac:dyDescent="0.25">
      <c r="A1784" s="34">
        <v>1782</v>
      </c>
      <c r="B1784" s="34" t="s">
        <v>49</v>
      </c>
      <c r="C1784" s="110" t="str">
        <f>IFERROR(INDEX(Структура_ассортимента[SuperCategory],MATCH(Товары[[#This Row],[SubGroup]],Структура_ассортимента[Subgroup],0)),"")</f>
        <v>W</v>
      </c>
      <c r="D178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8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84" s="110" t="str">
        <f>IFERROR(INDEX(Структура_ассортимента[Product group],MATCH(Товары[[#This Row],[SubGroup]],Структура_ассортимента[Subgroup],0)),"")</f>
        <v>WSS_C</v>
      </c>
      <c r="G1784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84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84" s="36">
        <v>9033</v>
      </c>
      <c r="J1784" s="36" t="str">
        <f>IFERROR(INDEX(Структура_ассортимента[Generic Name (long)],MATCH(Товары[[#This Row],[SubGroup]],Структура_ассортимента[Subgroup],0)),"")</f>
        <v>WATERING SET</v>
      </c>
      <c r="L1784" s="36">
        <v>901167201</v>
      </c>
      <c r="M1784" s="35" t="s">
        <v>3460</v>
      </c>
      <c r="O1784" s="35" t="s">
        <v>7896</v>
      </c>
      <c r="P1784" s="37" t="s">
        <v>7897</v>
      </c>
      <c r="Q1784" s="34" t="s">
        <v>3549</v>
      </c>
      <c r="R1784" s="34" t="s">
        <v>3540</v>
      </c>
      <c r="S1784" s="47">
        <v>37530</v>
      </c>
      <c r="T1784" s="47">
        <v>0</v>
      </c>
      <c r="U1784" s="47">
        <v>0</v>
      </c>
      <c r="V1784" s="34">
        <v>4078500839297</v>
      </c>
      <c r="W1784" s="34" t="s">
        <v>3543</v>
      </c>
      <c r="X1784" s="34" t="s">
        <v>3579</v>
      </c>
      <c r="Y1784" s="34" t="s">
        <v>3542</v>
      </c>
      <c r="Z1784" s="34">
        <v>10</v>
      </c>
      <c r="AA1784" s="34" t="s">
        <v>6452</v>
      </c>
      <c r="AB1784" s="34" t="s">
        <v>6452</v>
      </c>
      <c r="AC1784" s="34" t="s">
        <v>3653</v>
      </c>
      <c r="AD1784" s="34" t="s">
        <v>3653</v>
      </c>
      <c r="AE1784" s="34" t="s">
        <v>3693</v>
      </c>
      <c r="AF1784" s="34" t="s">
        <v>3576</v>
      </c>
      <c r="AG1784" s="34" t="s">
        <v>4775</v>
      </c>
      <c r="AH1784" s="34" t="s">
        <v>7845</v>
      </c>
      <c r="AI1784" s="34" t="s">
        <v>5125</v>
      </c>
      <c r="AJ1784" s="34" t="s">
        <v>4260</v>
      </c>
      <c r="AK1784" s="34" t="s">
        <v>6049</v>
      </c>
      <c r="AL1784" s="34">
        <v>1080</v>
      </c>
      <c r="AM1784" s="40" t="s">
        <v>9</v>
      </c>
      <c r="AP1784" s="34">
        <v>0</v>
      </c>
      <c r="AQ1784" s="34">
        <v>1309</v>
      </c>
      <c r="AR1784" s="34">
        <v>764</v>
      </c>
      <c r="AT1784" s="44">
        <v>101400</v>
      </c>
      <c r="AU1784" s="44"/>
      <c r="AV1784" s="46">
        <f>ROUND(Товары[[#This Row],[РРЦ финальная, руб.]]/$AU$1,2)</f>
        <v>0</v>
      </c>
      <c r="AW1784" s="45" t="str">
        <f>IFERROR(Товары[[#This Row],[РРЦ, евро]]/Товары[[#This Row],[IRP, Eur]],"-")</f>
        <v>-</v>
      </c>
      <c r="AX1784" s="42">
        <f>IFERROR(VLOOKUP(Товары[[#This Row],[SubGroup]],'Структура цен DIY'!$B:$C,2,FALSE),0)</f>
        <v>0.30000000000000016</v>
      </c>
      <c r="AY1784" s="44">
        <v>0</v>
      </c>
    </row>
    <row r="1785" spans="1:51" x14ac:dyDescent="0.25">
      <c r="A1785" s="34">
        <v>1783</v>
      </c>
      <c r="B1785" s="34" t="s">
        <v>49</v>
      </c>
      <c r="C1785" s="110" t="str">
        <f>IFERROR(INDEX(Структура_ассортимента[SuperCategory],MATCH(Товары[[#This Row],[SubGroup]],Структура_ассортимента[Subgroup],0)),"")</f>
        <v>W</v>
      </c>
      <c r="D178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8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85" s="110" t="str">
        <f>IFERROR(INDEX(Структура_ассортимента[Product group],MATCH(Товары[[#This Row],[SubGroup]],Структура_ассортимента[Subgroup],0)),"")</f>
        <v>WSS_C</v>
      </c>
      <c r="G1785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85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85" s="36">
        <v>9033</v>
      </c>
      <c r="J1785" s="36" t="str">
        <f>IFERROR(INDEX(Структура_ассортимента[Generic Name (long)],MATCH(Товары[[#This Row],[SubGroup]],Структура_ассортимента[Subgroup],0)),"")</f>
        <v>WATERING SET</v>
      </c>
      <c r="L1785" s="36">
        <v>901164701</v>
      </c>
      <c r="M1785" s="35" t="s">
        <v>3461</v>
      </c>
      <c r="O1785" s="35" t="s">
        <v>7898</v>
      </c>
      <c r="P1785" s="37" t="s">
        <v>7899</v>
      </c>
      <c r="Q1785" s="34" t="s">
        <v>3549</v>
      </c>
      <c r="R1785" s="34" t="s">
        <v>3540</v>
      </c>
      <c r="S1785" s="47">
        <v>37530</v>
      </c>
      <c r="T1785" s="47">
        <v>0</v>
      </c>
      <c r="U1785" s="47">
        <v>0</v>
      </c>
      <c r="V1785" s="34">
        <v>4078500834391</v>
      </c>
      <c r="W1785" s="34" t="s">
        <v>3543</v>
      </c>
      <c r="X1785" s="34" t="s">
        <v>3579</v>
      </c>
      <c r="Y1785" s="34" t="s">
        <v>3542</v>
      </c>
      <c r="Z1785" s="34">
        <v>10</v>
      </c>
      <c r="AA1785" s="34" t="s">
        <v>6530</v>
      </c>
      <c r="AB1785" s="34" t="s">
        <v>3776</v>
      </c>
      <c r="AC1785" s="34" t="s">
        <v>5651</v>
      </c>
      <c r="AD1785" s="34" t="s">
        <v>5629</v>
      </c>
      <c r="AE1785" s="34" t="s">
        <v>3693</v>
      </c>
      <c r="AF1785" s="34" t="s">
        <v>3576</v>
      </c>
      <c r="AG1785" s="34" t="s">
        <v>4463</v>
      </c>
      <c r="AH1785" s="34" t="s">
        <v>7891</v>
      </c>
      <c r="AL1785" s="34">
        <v>1080</v>
      </c>
      <c r="AM1785" s="40" t="s">
        <v>9</v>
      </c>
      <c r="AP1785" s="34">
        <v>0</v>
      </c>
      <c r="AQ1785" s="34">
        <v>979</v>
      </c>
      <c r="AR1785" s="34">
        <v>571</v>
      </c>
      <c r="AT1785" s="44">
        <v>75800</v>
      </c>
      <c r="AU1785" s="44"/>
      <c r="AV1785" s="46">
        <f>ROUND(Товары[[#This Row],[РРЦ финальная, руб.]]/$AU$1,2)</f>
        <v>0</v>
      </c>
      <c r="AW1785" s="45" t="str">
        <f>IFERROR(Товары[[#This Row],[РРЦ, евро]]/Товары[[#This Row],[IRP, Eur]],"-")</f>
        <v>-</v>
      </c>
      <c r="AX1785" s="42">
        <f>IFERROR(VLOOKUP(Товары[[#This Row],[SubGroup]],'Структура цен DIY'!$B:$C,2,FALSE),0)</f>
        <v>0.30000000000000016</v>
      </c>
      <c r="AY1785" s="44">
        <v>0</v>
      </c>
    </row>
    <row r="1786" spans="1:51" x14ac:dyDescent="0.25">
      <c r="A1786" s="34">
        <v>1784</v>
      </c>
      <c r="B1786" s="34" t="s">
        <v>49</v>
      </c>
      <c r="C1786" s="110" t="str">
        <f>IFERROR(INDEX(Структура_ассортимента[SuperCategory],MATCH(Товары[[#This Row],[SubGroup]],Структура_ассортимента[Subgroup],0)),"")</f>
        <v>W</v>
      </c>
      <c r="D178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8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86" s="110" t="str">
        <f>IFERROR(INDEX(Структура_ассортимента[Product group],MATCH(Товары[[#This Row],[SubGroup]],Структура_ассортимента[Subgroup],0)),"")</f>
        <v>WSS_C</v>
      </c>
      <c r="G1786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86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86" s="36">
        <v>9033</v>
      </c>
      <c r="J1786" s="36" t="str">
        <f>IFERROR(INDEX(Структура_ассортимента[Generic Name (long)],MATCH(Товары[[#This Row],[SubGroup]],Структура_ассортимента[Subgroup],0)),"")</f>
        <v>WATERING SET</v>
      </c>
      <c r="L1786" s="36">
        <v>901164901</v>
      </c>
      <c r="M1786" s="35" t="s">
        <v>3462</v>
      </c>
      <c r="O1786" s="35" t="s">
        <v>7900</v>
      </c>
      <c r="P1786" s="37" t="s">
        <v>7901</v>
      </c>
      <c r="Q1786" s="34" t="s">
        <v>3549</v>
      </c>
      <c r="R1786" s="34" t="s">
        <v>3540</v>
      </c>
      <c r="S1786" s="47">
        <v>37530</v>
      </c>
      <c r="T1786" s="47">
        <v>0</v>
      </c>
      <c r="U1786" s="47">
        <v>0</v>
      </c>
      <c r="V1786" s="34">
        <v>4078500834490</v>
      </c>
      <c r="W1786" s="34" t="s">
        <v>3543</v>
      </c>
      <c r="X1786" s="34" t="s">
        <v>3579</v>
      </c>
      <c r="Y1786" s="34" t="s">
        <v>3542</v>
      </c>
      <c r="Z1786" s="34">
        <v>10</v>
      </c>
      <c r="AA1786" s="34" t="s">
        <v>6530</v>
      </c>
      <c r="AB1786" s="34" t="s">
        <v>5628</v>
      </c>
      <c r="AC1786" s="34" t="s">
        <v>5651</v>
      </c>
      <c r="AD1786" s="34" t="s">
        <v>5603</v>
      </c>
      <c r="AE1786" s="34" t="s">
        <v>3693</v>
      </c>
      <c r="AF1786" s="34" t="s">
        <v>3576</v>
      </c>
      <c r="AG1786" s="34" t="s">
        <v>4463</v>
      </c>
      <c r="AH1786" s="34" t="s">
        <v>7891</v>
      </c>
      <c r="AL1786" s="34">
        <v>1080</v>
      </c>
      <c r="AM1786" s="40" t="s">
        <v>9</v>
      </c>
      <c r="AP1786" s="34">
        <v>0</v>
      </c>
      <c r="AQ1786" s="34">
        <v>979</v>
      </c>
      <c r="AR1786" s="34">
        <v>571</v>
      </c>
      <c r="AT1786" s="44">
        <v>75800</v>
      </c>
      <c r="AU1786" s="44"/>
      <c r="AV1786" s="46">
        <f>ROUND(Товары[[#This Row],[РРЦ финальная, руб.]]/$AU$1,2)</f>
        <v>0</v>
      </c>
      <c r="AW1786" s="45" t="str">
        <f>IFERROR(Товары[[#This Row],[РРЦ, евро]]/Товары[[#This Row],[IRP, Eur]],"-")</f>
        <v>-</v>
      </c>
      <c r="AX1786" s="42">
        <f>IFERROR(VLOOKUP(Товары[[#This Row],[SubGroup]],'Структура цен DIY'!$B:$C,2,FALSE),0)</f>
        <v>0.30000000000000016</v>
      </c>
      <c r="AY1786" s="44">
        <v>0</v>
      </c>
    </row>
    <row r="1787" spans="1:51" x14ac:dyDescent="0.25">
      <c r="A1787" s="34">
        <v>1785</v>
      </c>
      <c r="B1787" s="34" t="s">
        <v>49</v>
      </c>
      <c r="C1787" s="110" t="str">
        <f>IFERROR(INDEX(Структура_ассортимента[SuperCategory],MATCH(Товары[[#This Row],[SubGroup]],Структура_ассортимента[Subgroup],0)),"")</f>
        <v>W</v>
      </c>
      <c r="D178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8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87" s="110" t="str">
        <f>IFERROR(INDEX(Структура_ассортимента[Product group],MATCH(Товары[[#This Row],[SubGroup]],Структура_ассортимента[Subgroup],0)),"")</f>
        <v>WSS_C</v>
      </c>
      <c r="G1787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87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87" s="36">
        <v>9033</v>
      </c>
      <c r="J1787" s="36" t="str">
        <f>IFERROR(INDEX(Структура_ассортимента[Generic Name (long)],MATCH(Товары[[#This Row],[SubGroup]],Структура_ассортимента[Subgroup],0)),"")</f>
        <v>WATERING SET</v>
      </c>
      <c r="L1787" s="36">
        <v>901164801</v>
      </c>
      <c r="M1787" s="35" t="s">
        <v>3463</v>
      </c>
      <c r="Q1787" s="34" t="s">
        <v>3549</v>
      </c>
      <c r="R1787" s="34" t="s">
        <v>3540</v>
      </c>
      <c r="S1787" s="47">
        <v>37530</v>
      </c>
      <c r="T1787" s="47">
        <v>0</v>
      </c>
      <c r="U1787" s="47">
        <v>0</v>
      </c>
      <c r="V1787" s="34">
        <v>4078500834407</v>
      </c>
      <c r="W1787" s="34" t="s">
        <v>3543</v>
      </c>
      <c r="X1787" s="34" t="s">
        <v>3579</v>
      </c>
      <c r="Y1787" s="34" t="s">
        <v>3542</v>
      </c>
      <c r="Z1787" s="34">
        <v>10</v>
      </c>
      <c r="AA1787" s="34" t="s">
        <v>6530</v>
      </c>
      <c r="AB1787" s="34" t="s">
        <v>3789</v>
      </c>
      <c r="AC1787" s="34" t="s">
        <v>5651</v>
      </c>
      <c r="AD1787" s="34" t="s">
        <v>6569</v>
      </c>
      <c r="AE1787" s="34" t="s">
        <v>3693</v>
      </c>
      <c r="AF1787" s="34" t="s">
        <v>3576</v>
      </c>
      <c r="AG1787" s="34" t="s">
        <v>4463</v>
      </c>
      <c r="AH1787" s="34" t="s">
        <v>7891</v>
      </c>
      <c r="AL1787" s="34">
        <v>1080</v>
      </c>
      <c r="AM1787" s="40" t="s">
        <v>8095</v>
      </c>
      <c r="AT1787" s="44">
        <v>0</v>
      </c>
      <c r="AU1787" s="44"/>
      <c r="AV1787" s="46">
        <f>ROUND(Товары[[#This Row],[РРЦ финальная, руб.]]/$AU$1,2)</f>
        <v>0</v>
      </c>
      <c r="AW1787" s="45" t="str">
        <f>IFERROR(Товары[[#This Row],[РРЦ, евро]]/Товары[[#This Row],[IRP, Eur]],"-")</f>
        <v>-</v>
      </c>
      <c r="AX1787" s="42">
        <f>IFERROR(VLOOKUP(Товары[[#This Row],[SubGroup]],'Структура цен DIY'!$B:$C,2,FALSE),0)</f>
        <v>0.30000000000000016</v>
      </c>
      <c r="AY1787" s="44">
        <v>0</v>
      </c>
    </row>
    <row r="1788" spans="1:51" x14ac:dyDescent="0.25">
      <c r="A1788" s="34">
        <v>1786</v>
      </c>
      <c r="B1788" s="34" t="s">
        <v>49</v>
      </c>
      <c r="C1788" s="110" t="str">
        <f>IFERROR(INDEX(Структура_ассортимента[SuperCategory],MATCH(Товары[[#This Row],[SubGroup]],Структура_ассортимента[Subgroup],0)),"")</f>
        <v>W</v>
      </c>
      <c r="D178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8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88" s="110" t="str">
        <f>IFERROR(INDEX(Структура_ассортимента[Product group],MATCH(Товары[[#This Row],[SubGroup]],Структура_ассортимента[Subgroup],0)),"")</f>
        <v>WSS_C</v>
      </c>
      <c r="G1788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88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88" s="36">
        <v>9033</v>
      </c>
      <c r="J1788" s="36" t="str">
        <f>IFERROR(INDEX(Структура_ассортимента[Generic Name (long)],MATCH(Товары[[#This Row],[SubGroup]],Структура_ассортимента[Subgroup],0)),"")</f>
        <v>WATERING SET</v>
      </c>
      <c r="L1788" s="36">
        <v>900909201</v>
      </c>
      <c r="M1788" s="35" t="s">
        <v>3464</v>
      </c>
      <c r="Q1788" s="34" t="s">
        <v>3549</v>
      </c>
      <c r="R1788" s="34" t="s">
        <v>3540</v>
      </c>
      <c r="S1788" s="47">
        <v>36434</v>
      </c>
      <c r="T1788" s="47">
        <v>0</v>
      </c>
      <c r="U1788" s="47">
        <v>0</v>
      </c>
      <c r="V1788" s="34">
        <v>4078500134705</v>
      </c>
      <c r="W1788" s="34" t="s">
        <v>3936</v>
      </c>
      <c r="X1788" s="34" t="s">
        <v>3907</v>
      </c>
      <c r="Y1788" s="34" t="s">
        <v>3542</v>
      </c>
      <c r="Z1788" s="34">
        <v>1</v>
      </c>
      <c r="AA1788" s="34" t="s">
        <v>4443</v>
      </c>
      <c r="AB1788" s="34" t="s">
        <v>4443</v>
      </c>
      <c r="AC1788" s="34" t="s">
        <v>5058</v>
      </c>
      <c r="AD1788" s="34" t="s">
        <v>5058</v>
      </c>
      <c r="AE1788" s="34" t="s">
        <v>4323</v>
      </c>
      <c r="AF1788" s="34" t="s">
        <v>4323</v>
      </c>
      <c r="AG1788" s="34" t="s">
        <v>3800</v>
      </c>
      <c r="AH1788" s="34" t="s">
        <v>7902</v>
      </c>
      <c r="AL1788" s="34">
        <v>80</v>
      </c>
      <c r="AM1788" s="40" t="s">
        <v>8095</v>
      </c>
      <c r="AT1788" s="44">
        <v>0</v>
      </c>
      <c r="AU1788" s="44"/>
      <c r="AV1788" s="46">
        <f>ROUND(Товары[[#This Row],[РРЦ финальная, руб.]]/$AU$1,2)</f>
        <v>0</v>
      </c>
      <c r="AW1788" s="45" t="str">
        <f>IFERROR(Товары[[#This Row],[РРЦ, евро]]/Товары[[#This Row],[IRP, Eur]],"-")</f>
        <v>-</v>
      </c>
      <c r="AX1788" s="42">
        <f>IFERROR(VLOOKUP(Товары[[#This Row],[SubGroup]],'Структура цен DIY'!$B:$C,2,FALSE),0)</f>
        <v>0.30000000000000016</v>
      </c>
      <c r="AY1788" s="44">
        <v>0</v>
      </c>
    </row>
    <row r="1789" spans="1:51" x14ac:dyDescent="0.25">
      <c r="A1789" s="34">
        <v>1787</v>
      </c>
      <c r="B1789" s="34" t="s">
        <v>49</v>
      </c>
      <c r="C1789" s="110" t="str">
        <f>IFERROR(INDEX(Структура_ассортимента[SuperCategory],MATCH(Товары[[#This Row],[SubGroup]],Структура_ассортимента[Subgroup],0)),"")</f>
        <v>W</v>
      </c>
      <c r="D178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8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89" s="110" t="str">
        <f>IFERROR(INDEX(Структура_ассортимента[Product group],MATCH(Товары[[#This Row],[SubGroup]],Структура_ассортимента[Subgroup],0)),"")</f>
        <v>WSS_C</v>
      </c>
      <c r="G1789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89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89" s="36">
        <v>9033</v>
      </c>
      <c r="J1789" s="36" t="str">
        <f>IFERROR(INDEX(Структура_ассортимента[Generic Name (long)],MATCH(Товары[[#This Row],[SubGroup]],Структура_ассортимента[Subgroup],0)),"")</f>
        <v>WATERING SET</v>
      </c>
      <c r="L1789" s="36">
        <v>900909301</v>
      </c>
      <c r="M1789" s="35" t="s">
        <v>3465</v>
      </c>
      <c r="O1789" s="35" t="s">
        <v>7903</v>
      </c>
      <c r="P1789" s="37" t="s">
        <v>7904</v>
      </c>
      <c r="Q1789" s="34" t="s">
        <v>3549</v>
      </c>
      <c r="R1789" s="34" t="s">
        <v>3540</v>
      </c>
      <c r="S1789" s="47">
        <v>36434</v>
      </c>
      <c r="T1789" s="47">
        <v>0</v>
      </c>
      <c r="U1789" s="47">
        <v>0</v>
      </c>
      <c r="V1789" s="34">
        <v>4078500134804</v>
      </c>
      <c r="W1789" s="34" t="s">
        <v>3550</v>
      </c>
      <c r="X1789" s="34" t="s">
        <v>7905</v>
      </c>
      <c r="Y1789" s="34" t="s">
        <v>3542</v>
      </c>
      <c r="Z1789" s="34">
        <v>3</v>
      </c>
      <c r="AA1789" s="34" t="s">
        <v>7906</v>
      </c>
      <c r="AB1789" s="34" t="s">
        <v>7906</v>
      </c>
      <c r="AC1789" s="34" t="s">
        <v>7907</v>
      </c>
      <c r="AD1789" s="34" t="s">
        <v>7907</v>
      </c>
      <c r="AE1789" s="34" t="s">
        <v>3580</v>
      </c>
      <c r="AF1789" s="34" t="s">
        <v>3580</v>
      </c>
      <c r="AG1789" s="34" t="s">
        <v>4463</v>
      </c>
      <c r="AH1789" s="34" t="s">
        <v>7908</v>
      </c>
      <c r="AL1789" s="34">
        <v>102</v>
      </c>
      <c r="AM1789" s="40" t="s">
        <v>9</v>
      </c>
      <c r="AP1789" s="34">
        <v>0</v>
      </c>
      <c r="AQ1789" s="34">
        <v>2959</v>
      </c>
      <c r="AR1789" s="34">
        <v>1775</v>
      </c>
      <c r="AT1789" s="44">
        <v>229200</v>
      </c>
      <c r="AU1789" s="44"/>
      <c r="AV1789" s="46">
        <f>ROUND(Товары[[#This Row],[РРЦ финальная, руб.]]/$AU$1,2)</f>
        <v>0</v>
      </c>
      <c r="AW1789" s="45" t="str">
        <f>IFERROR(Товары[[#This Row],[РРЦ, евро]]/Товары[[#This Row],[IRP, Eur]],"-")</f>
        <v>-</v>
      </c>
      <c r="AX1789" s="42">
        <f>IFERROR(VLOOKUP(Товары[[#This Row],[SubGroup]],'Структура цен DIY'!$B:$C,2,FALSE),0)</f>
        <v>0.30000000000000016</v>
      </c>
      <c r="AY1789" s="44">
        <v>0</v>
      </c>
    </row>
    <row r="1790" spans="1:51" x14ac:dyDescent="0.25">
      <c r="A1790" s="34">
        <v>1788</v>
      </c>
      <c r="B1790" s="34" t="s">
        <v>49</v>
      </c>
      <c r="C1790" s="110" t="str">
        <f>IFERROR(INDEX(Структура_ассортимента[SuperCategory],MATCH(Товары[[#This Row],[SubGroup]],Структура_ассортимента[Subgroup],0)),"")</f>
        <v>W</v>
      </c>
      <c r="D179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9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90" s="110" t="str">
        <f>IFERROR(INDEX(Структура_ассортимента[Product group],MATCH(Товары[[#This Row],[SubGroup]],Структура_ассортимента[Subgroup],0)),"")</f>
        <v>WSS_C</v>
      </c>
      <c r="G1790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90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90" s="36">
        <v>9033</v>
      </c>
      <c r="J1790" s="36" t="str">
        <f>IFERROR(INDEX(Структура_ассортимента[Generic Name (long)],MATCH(Товары[[#This Row],[SubGroup]],Структура_ассортимента[Subgroup],0)),"")</f>
        <v>WATERING SET</v>
      </c>
      <c r="L1790" s="36">
        <v>900909101</v>
      </c>
      <c r="M1790" s="35" t="s">
        <v>3466</v>
      </c>
      <c r="O1790" s="35" t="s">
        <v>7909</v>
      </c>
      <c r="P1790" s="37" t="s">
        <v>7910</v>
      </c>
      <c r="Q1790" s="34" t="s">
        <v>3549</v>
      </c>
      <c r="R1790" s="34" t="s">
        <v>3540</v>
      </c>
      <c r="S1790" s="47">
        <v>36434</v>
      </c>
      <c r="T1790" s="47">
        <v>0</v>
      </c>
      <c r="U1790" s="47">
        <v>0</v>
      </c>
      <c r="V1790" s="34">
        <v>4078500134606</v>
      </c>
      <c r="W1790" s="34" t="s">
        <v>3936</v>
      </c>
      <c r="X1790" s="34" t="s">
        <v>3907</v>
      </c>
      <c r="Y1790" s="34" t="s">
        <v>3542</v>
      </c>
      <c r="Z1790" s="34">
        <v>3</v>
      </c>
      <c r="AA1790" s="34" t="s">
        <v>7911</v>
      </c>
      <c r="AB1790" s="34" t="s">
        <v>7911</v>
      </c>
      <c r="AC1790" s="34" t="s">
        <v>4708</v>
      </c>
      <c r="AD1790" s="34" t="s">
        <v>4708</v>
      </c>
      <c r="AE1790" s="34" t="s">
        <v>4703</v>
      </c>
      <c r="AF1790" s="34" t="s">
        <v>4703</v>
      </c>
      <c r="AG1790" s="34" t="s">
        <v>3754</v>
      </c>
      <c r="AH1790" s="34" t="s">
        <v>7912</v>
      </c>
      <c r="AL1790" s="34">
        <v>54</v>
      </c>
      <c r="AM1790" s="40" t="s">
        <v>9</v>
      </c>
      <c r="AP1790" s="34">
        <v>0</v>
      </c>
      <c r="AQ1790" s="34">
        <v>1749</v>
      </c>
      <c r="AR1790" s="34">
        <v>1020</v>
      </c>
      <c r="AT1790" s="44">
        <v>135500</v>
      </c>
      <c r="AU1790" s="44"/>
      <c r="AV1790" s="46">
        <f>ROUND(Товары[[#This Row],[РРЦ финальная, руб.]]/$AU$1,2)</f>
        <v>0</v>
      </c>
      <c r="AW1790" s="45" t="str">
        <f>IFERROR(Товары[[#This Row],[РРЦ, евро]]/Товары[[#This Row],[IRP, Eur]],"-")</f>
        <v>-</v>
      </c>
      <c r="AX1790" s="42">
        <f>IFERROR(VLOOKUP(Товары[[#This Row],[SubGroup]],'Структура цен DIY'!$B:$C,2,FALSE),0)</f>
        <v>0.30000000000000016</v>
      </c>
      <c r="AY1790" s="44">
        <v>0</v>
      </c>
    </row>
    <row r="1791" spans="1:51" x14ac:dyDescent="0.25">
      <c r="A1791" s="34">
        <v>1789</v>
      </c>
      <c r="B1791" s="34" t="s">
        <v>49</v>
      </c>
      <c r="C1791" s="110" t="str">
        <f>IFERROR(INDEX(Структура_ассортимента[SuperCategory],MATCH(Товары[[#This Row],[SubGroup]],Структура_ассортимента[Subgroup],0)),"")</f>
        <v>W</v>
      </c>
      <c r="D179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9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91" s="110" t="str">
        <f>IFERROR(INDEX(Структура_ассортимента[Product group],MATCH(Товары[[#This Row],[SubGroup]],Структура_ассортимента[Subgroup],0)),"")</f>
        <v>WSS_C</v>
      </c>
      <c r="G1791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91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91" s="36">
        <v>9033</v>
      </c>
      <c r="J1791" s="36" t="str">
        <f>IFERROR(INDEX(Структура_ассортимента[Generic Name (long)],MATCH(Товары[[#This Row],[SubGroup]],Структура_ассортимента[Subgroup],0)),"")</f>
        <v>WATERING SET</v>
      </c>
      <c r="L1791" s="36">
        <v>966687001</v>
      </c>
      <c r="M1791" s="35" t="s">
        <v>3467</v>
      </c>
      <c r="O1791" s="35" t="s">
        <v>7913</v>
      </c>
      <c r="P1791" s="37" t="s">
        <v>7914</v>
      </c>
      <c r="Q1791" s="34" t="s">
        <v>3549</v>
      </c>
      <c r="R1791" s="34" t="s">
        <v>3540</v>
      </c>
      <c r="S1791" s="47">
        <v>40452</v>
      </c>
      <c r="T1791" s="47">
        <v>0</v>
      </c>
      <c r="U1791" s="47">
        <v>0</v>
      </c>
      <c r="V1791" s="34">
        <v>4078500135092</v>
      </c>
      <c r="W1791" s="34" t="s">
        <v>3550</v>
      </c>
      <c r="X1791" s="34" t="s">
        <v>7905</v>
      </c>
      <c r="Y1791" s="34" t="s">
        <v>3542</v>
      </c>
      <c r="Z1791" s="34">
        <v>5</v>
      </c>
      <c r="AA1791" s="34" t="s">
        <v>5657</v>
      </c>
      <c r="AB1791" s="34" t="s">
        <v>5657</v>
      </c>
      <c r="AC1791" s="34" t="s">
        <v>3928</v>
      </c>
      <c r="AD1791" s="34" t="s">
        <v>3928</v>
      </c>
      <c r="AE1791" s="34" t="s">
        <v>4160</v>
      </c>
      <c r="AF1791" s="34" t="s">
        <v>4160</v>
      </c>
      <c r="AG1791" s="34" t="s">
        <v>4231</v>
      </c>
      <c r="AH1791" s="34" t="s">
        <v>6616</v>
      </c>
      <c r="AL1791" s="34">
        <v>400</v>
      </c>
      <c r="AM1791" s="40" t="s">
        <v>9</v>
      </c>
      <c r="AP1791" s="34">
        <v>0</v>
      </c>
      <c r="AQ1791" s="34">
        <v>869</v>
      </c>
      <c r="AR1791" s="34">
        <v>507</v>
      </c>
      <c r="AT1791" s="44">
        <v>67300</v>
      </c>
      <c r="AU1791" s="44"/>
      <c r="AV1791" s="46">
        <f>ROUND(Товары[[#This Row],[РРЦ финальная, руб.]]/$AU$1,2)</f>
        <v>0</v>
      </c>
      <c r="AW1791" s="45" t="str">
        <f>IFERROR(Товары[[#This Row],[РРЦ, евро]]/Товары[[#This Row],[IRP, Eur]],"-")</f>
        <v>-</v>
      </c>
      <c r="AX1791" s="42">
        <f>IFERROR(VLOOKUP(Товары[[#This Row],[SubGroup]],'Структура цен DIY'!$B:$C,2,FALSE),0)</f>
        <v>0.30000000000000016</v>
      </c>
      <c r="AY1791" s="44">
        <v>0</v>
      </c>
    </row>
    <row r="1792" spans="1:51" x14ac:dyDescent="0.25">
      <c r="A1792" s="34">
        <v>1790</v>
      </c>
      <c r="B1792" s="34" t="s">
        <v>49</v>
      </c>
      <c r="C1792" s="110" t="str">
        <f>IFERROR(INDEX(Структура_ассортимента[SuperCategory],MATCH(Товары[[#This Row],[SubGroup]],Структура_ассортимента[Subgroup],0)),"")</f>
        <v>W</v>
      </c>
      <c r="D179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9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92" s="110" t="str">
        <f>IFERROR(INDEX(Структура_ассортимента[Product group],MATCH(Товары[[#This Row],[SubGroup]],Структура_ассортимента[Subgroup],0)),"")</f>
        <v>WSS_C</v>
      </c>
      <c r="G1792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92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92" s="36">
        <v>9033</v>
      </c>
      <c r="J1792" s="36" t="str">
        <f>IFERROR(INDEX(Структура_ассортимента[Generic Name (long)],MATCH(Товары[[#This Row],[SubGroup]],Структура_ассортимента[Subgroup],0)),"")</f>
        <v>WATERING SET</v>
      </c>
      <c r="L1792" s="36">
        <v>900909501</v>
      </c>
      <c r="M1792" s="35" t="s">
        <v>3468</v>
      </c>
      <c r="Q1792" s="34" t="s">
        <v>3549</v>
      </c>
      <c r="R1792" s="34" t="s">
        <v>3540</v>
      </c>
      <c r="S1792" s="47">
        <v>32783</v>
      </c>
      <c r="T1792" s="47">
        <v>0</v>
      </c>
      <c r="U1792" s="47">
        <v>0</v>
      </c>
      <c r="V1792" s="34">
        <v>4078500135009</v>
      </c>
      <c r="W1792" s="34" t="s">
        <v>3550</v>
      </c>
      <c r="X1792" s="34" t="s">
        <v>7905</v>
      </c>
      <c r="Y1792" s="34" t="s">
        <v>3542</v>
      </c>
      <c r="Z1792" s="34">
        <v>5</v>
      </c>
      <c r="AA1792" s="34" t="s">
        <v>5657</v>
      </c>
      <c r="AB1792" s="34" t="s">
        <v>5657</v>
      </c>
      <c r="AC1792" s="34" t="s">
        <v>3928</v>
      </c>
      <c r="AD1792" s="34" t="s">
        <v>3928</v>
      </c>
      <c r="AE1792" s="34" t="s">
        <v>4160</v>
      </c>
      <c r="AF1792" s="34" t="s">
        <v>4160</v>
      </c>
      <c r="AG1792" s="34" t="s">
        <v>4231</v>
      </c>
      <c r="AH1792" s="34" t="s">
        <v>6616</v>
      </c>
      <c r="AL1792" s="34">
        <v>400</v>
      </c>
      <c r="AM1792" s="40" t="s">
        <v>8095</v>
      </c>
      <c r="AT1792" s="44">
        <v>0</v>
      </c>
      <c r="AU1792" s="44"/>
      <c r="AV1792" s="46">
        <f>ROUND(Товары[[#This Row],[РРЦ финальная, руб.]]/$AU$1,2)</f>
        <v>0</v>
      </c>
      <c r="AW1792" s="45" t="str">
        <f>IFERROR(Товары[[#This Row],[РРЦ, евро]]/Товары[[#This Row],[IRP, Eur]],"-")</f>
        <v>-</v>
      </c>
      <c r="AX1792" s="42">
        <f>IFERROR(VLOOKUP(Товары[[#This Row],[SubGroup]],'Структура цен DIY'!$B:$C,2,FALSE),0)</f>
        <v>0.30000000000000016</v>
      </c>
      <c r="AY1792" s="44">
        <v>0</v>
      </c>
    </row>
    <row r="1793" spans="1:51" x14ac:dyDescent="0.25">
      <c r="A1793" s="34">
        <v>1791</v>
      </c>
      <c r="B1793" s="34" t="s">
        <v>49</v>
      </c>
      <c r="C1793" s="110" t="str">
        <f>IFERROR(INDEX(Структура_ассортимента[SuperCategory],MATCH(Товары[[#This Row],[SubGroup]],Структура_ассортимента[Subgroup],0)),"")</f>
        <v>W</v>
      </c>
      <c r="D179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9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93" s="110" t="str">
        <f>IFERROR(INDEX(Структура_ассортимента[Product group],MATCH(Товары[[#This Row],[SubGroup]],Структура_ассортимента[Subgroup],0)),"")</f>
        <v>WSS_C</v>
      </c>
      <c r="G1793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93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93" s="36">
        <v>9033</v>
      </c>
      <c r="J1793" s="36" t="str">
        <f>IFERROR(INDEX(Структура_ассортимента[Generic Name (long)],MATCH(Товары[[#This Row],[SubGroup]],Структура_ассортимента[Subgroup],0)),"")</f>
        <v>WATERING SET</v>
      </c>
      <c r="L1793" s="36">
        <v>901166501</v>
      </c>
      <c r="M1793" s="35" t="s">
        <v>3469</v>
      </c>
      <c r="Q1793" s="34" t="s">
        <v>3549</v>
      </c>
      <c r="R1793" s="34" t="s">
        <v>3540</v>
      </c>
      <c r="S1793" s="47">
        <v>37530</v>
      </c>
      <c r="T1793" s="47">
        <v>0</v>
      </c>
      <c r="U1793" s="47">
        <v>0</v>
      </c>
      <c r="V1793" s="34">
        <v>4078500838009</v>
      </c>
      <c r="W1793" s="34" t="s">
        <v>3543</v>
      </c>
      <c r="X1793" s="34" t="s">
        <v>3579</v>
      </c>
      <c r="Y1793" s="34" t="s">
        <v>3542</v>
      </c>
      <c r="Z1793" s="34">
        <v>10</v>
      </c>
      <c r="AA1793" s="34" t="s">
        <v>6594</v>
      </c>
      <c r="AB1793" s="34" t="s">
        <v>6594</v>
      </c>
      <c r="AC1793" s="34" t="s">
        <v>6655</v>
      </c>
      <c r="AD1793" s="34" t="s">
        <v>6655</v>
      </c>
      <c r="AE1793" s="34" t="s">
        <v>3693</v>
      </c>
      <c r="AF1793" s="34" t="s">
        <v>3576</v>
      </c>
      <c r="AG1793" s="34" t="s">
        <v>3931</v>
      </c>
      <c r="AH1793" s="34" t="s">
        <v>6605</v>
      </c>
      <c r="AL1793" s="34">
        <v>1080</v>
      </c>
      <c r="AM1793" s="40" t="s">
        <v>8095</v>
      </c>
      <c r="AT1793" s="44">
        <v>0</v>
      </c>
      <c r="AU1793" s="44"/>
      <c r="AV1793" s="46">
        <f>ROUND(Товары[[#This Row],[РРЦ финальная, руб.]]/$AU$1,2)</f>
        <v>0</v>
      </c>
      <c r="AW1793" s="45" t="str">
        <f>IFERROR(Товары[[#This Row],[РРЦ, евро]]/Товары[[#This Row],[IRP, Eur]],"-")</f>
        <v>-</v>
      </c>
      <c r="AX1793" s="42">
        <f>IFERROR(VLOOKUP(Товары[[#This Row],[SubGroup]],'Структура цен DIY'!$B:$C,2,FALSE),0)</f>
        <v>0.30000000000000016</v>
      </c>
      <c r="AY1793" s="44">
        <v>0</v>
      </c>
    </row>
    <row r="1794" spans="1:51" x14ac:dyDescent="0.25">
      <c r="A1794" s="34">
        <v>1792</v>
      </c>
      <c r="B1794" s="34" t="s">
        <v>49</v>
      </c>
      <c r="C1794" s="110" t="str">
        <f>IFERROR(INDEX(Структура_ассортимента[SuperCategory],MATCH(Товары[[#This Row],[SubGroup]],Структура_ассортимента[Subgroup],0)),"")</f>
        <v>W</v>
      </c>
      <c r="D179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9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94" s="110" t="str">
        <f>IFERROR(INDEX(Структура_ассортимента[Product group],MATCH(Товары[[#This Row],[SubGroup]],Структура_ассортимента[Subgroup],0)),"")</f>
        <v>WSS_C</v>
      </c>
      <c r="G1794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94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94" s="36">
        <v>9033</v>
      </c>
      <c r="J1794" s="36" t="str">
        <f>IFERROR(INDEX(Структура_ассортимента[Generic Name (long)],MATCH(Товары[[#This Row],[SubGroup]],Структура_ассортимента[Subgroup],0)),"")</f>
        <v>WATERING SET</v>
      </c>
      <c r="L1794" s="36">
        <v>901166601</v>
      </c>
      <c r="M1794" s="35" t="s">
        <v>3470</v>
      </c>
      <c r="O1794" s="35" t="s">
        <v>7915</v>
      </c>
      <c r="P1794" s="37" t="s">
        <v>7916</v>
      </c>
      <c r="Q1794" s="34" t="s">
        <v>3549</v>
      </c>
      <c r="R1794" s="34" t="s">
        <v>3540</v>
      </c>
      <c r="S1794" s="47">
        <v>37530</v>
      </c>
      <c r="T1794" s="47">
        <v>0</v>
      </c>
      <c r="U1794" s="47">
        <v>0</v>
      </c>
      <c r="V1794" s="34">
        <v>4078500838092</v>
      </c>
      <c r="W1794" s="34" t="s">
        <v>3543</v>
      </c>
      <c r="X1794" s="34" t="s">
        <v>3579</v>
      </c>
      <c r="Y1794" s="34" t="s">
        <v>3542</v>
      </c>
      <c r="Z1794" s="34">
        <v>10</v>
      </c>
      <c r="AA1794" s="34" t="s">
        <v>6655</v>
      </c>
      <c r="AB1794" s="34" t="s">
        <v>6655</v>
      </c>
      <c r="AC1794" s="34" t="s">
        <v>6518</v>
      </c>
      <c r="AD1794" s="34" t="s">
        <v>6518</v>
      </c>
      <c r="AE1794" s="34" t="s">
        <v>3693</v>
      </c>
      <c r="AF1794" s="34" t="s">
        <v>3576</v>
      </c>
      <c r="AG1794" s="34" t="s">
        <v>3931</v>
      </c>
      <c r="AH1794" s="34" t="s">
        <v>6605</v>
      </c>
      <c r="AL1794" s="34">
        <v>1080</v>
      </c>
      <c r="AM1794" s="40" t="s">
        <v>9</v>
      </c>
      <c r="AP1794" s="34">
        <v>0</v>
      </c>
      <c r="AQ1794" s="34">
        <v>209</v>
      </c>
      <c r="AR1794" s="34">
        <v>122</v>
      </c>
      <c r="AT1794" s="44">
        <v>16200</v>
      </c>
      <c r="AU1794" s="44"/>
      <c r="AV1794" s="46">
        <f>ROUND(Товары[[#This Row],[РРЦ финальная, руб.]]/$AU$1,2)</f>
        <v>0</v>
      </c>
      <c r="AW1794" s="45" t="str">
        <f>IFERROR(Товары[[#This Row],[РРЦ, евро]]/Товары[[#This Row],[IRP, Eur]],"-")</f>
        <v>-</v>
      </c>
      <c r="AX1794" s="42">
        <f>IFERROR(VLOOKUP(Товары[[#This Row],[SubGroup]],'Структура цен DIY'!$B:$C,2,FALSE),0)</f>
        <v>0.30000000000000016</v>
      </c>
      <c r="AY1794" s="44">
        <v>0</v>
      </c>
    </row>
    <row r="1795" spans="1:51" x14ac:dyDescent="0.25">
      <c r="A1795" s="34">
        <v>1793</v>
      </c>
      <c r="B1795" s="34" t="s">
        <v>49</v>
      </c>
      <c r="C1795" s="110" t="str">
        <f>IFERROR(INDEX(Структура_ассортимента[SuperCategory],MATCH(Товары[[#This Row],[SubGroup]],Структура_ассортимента[Subgroup],0)),"")</f>
        <v>W</v>
      </c>
      <c r="D179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9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95" s="110" t="str">
        <f>IFERROR(INDEX(Структура_ассортимента[Product group],MATCH(Товары[[#This Row],[SubGroup]],Структура_ассортимента[Subgroup],0)),"")</f>
        <v>WSS_C</v>
      </c>
      <c r="G1795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95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95" s="36">
        <v>9033</v>
      </c>
      <c r="J1795" s="36" t="str">
        <f>IFERROR(INDEX(Структура_ассортимента[Generic Name (long)],MATCH(Товары[[#This Row],[SubGroup]],Структура_ассортимента[Subgroup],0)),"")</f>
        <v>WATERING SET</v>
      </c>
      <c r="L1795" s="36">
        <v>900906201</v>
      </c>
      <c r="M1795" s="35" t="s">
        <v>3471</v>
      </c>
      <c r="O1795" s="35" t="s">
        <v>7917</v>
      </c>
      <c r="P1795" s="37" t="s">
        <v>7918</v>
      </c>
      <c r="Q1795" s="34" t="s">
        <v>3549</v>
      </c>
      <c r="R1795" s="34" t="s">
        <v>3540</v>
      </c>
      <c r="S1795" s="47">
        <v>32782</v>
      </c>
      <c r="T1795" s="47">
        <v>0</v>
      </c>
      <c r="U1795" s="47">
        <v>0</v>
      </c>
      <c r="V1795" s="34">
        <v>4078500132701</v>
      </c>
      <c r="W1795" s="34" t="s">
        <v>3543</v>
      </c>
      <c r="X1795" s="34" t="s">
        <v>3579</v>
      </c>
      <c r="Y1795" s="34" t="s">
        <v>3542</v>
      </c>
      <c r="Z1795" s="34">
        <v>10</v>
      </c>
      <c r="AA1795" s="34" t="s">
        <v>3779</v>
      </c>
      <c r="AB1795" s="34" t="s">
        <v>3779</v>
      </c>
      <c r="AC1795" s="34" t="s">
        <v>3776</v>
      </c>
      <c r="AD1795" s="34" t="s">
        <v>3776</v>
      </c>
      <c r="AE1795" s="34" t="s">
        <v>3825</v>
      </c>
      <c r="AF1795" s="34" t="s">
        <v>3576</v>
      </c>
      <c r="AG1795" s="34" t="s">
        <v>5126</v>
      </c>
      <c r="AH1795" s="34" t="s">
        <v>7919</v>
      </c>
      <c r="AL1795" s="34">
        <v>960</v>
      </c>
      <c r="AM1795" s="40" t="s">
        <v>9</v>
      </c>
      <c r="AP1795" s="34">
        <v>0</v>
      </c>
      <c r="AQ1795" s="34">
        <v>539</v>
      </c>
      <c r="AR1795" s="34">
        <v>328</v>
      </c>
      <c r="AT1795" s="44">
        <v>41700</v>
      </c>
      <c r="AU1795" s="44"/>
      <c r="AV1795" s="46">
        <f>ROUND(Товары[[#This Row],[РРЦ финальная, руб.]]/$AU$1,2)</f>
        <v>0</v>
      </c>
      <c r="AW1795" s="45" t="str">
        <f>IFERROR(Товары[[#This Row],[РРЦ, евро]]/Товары[[#This Row],[IRP, Eur]],"-")</f>
        <v>-</v>
      </c>
      <c r="AX1795" s="42">
        <f>IFERROR(VLOOKUP(Товары[[#This Row],[SubGroup]],'Структура цен DIY'!$B:$C,2,FALSE),0)</f>
        <v>0.30000000000000016</v>
      </c>
      <c r="AY1795" s="44">
        <v>0</v>
      </c>
    </row>
    <row r="1796" spans="1:51" x14ac:dyDescent="0.25">
      <c r="A1796" s="34">
        <v>1794</v>
      </c>
      <c r="B1796" s="34" t="s">
        <v>49</v>
      </c>
      <c r="C1796" s="110" t="str">
        <f>IFERROR(INDEX(Структура_ассортимента[SuperCategory],MATCH(Товары[[#This Row],[SubGroup]],Структура_ассортимента[Subgroup],0)),"")</f>
        <v>W</v>
      </c>
      <c r="D179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9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96" s="110" t="str">
        <f>IFERROR(INDEX(Структура_ассортимента[Product group],MATCH(Товары[[#This Row],[SubGroup]],Структура_ассортимента[Subgroup],0)),"")</f>
        <v>WSS_C</v>
      </c>
      <c r="G1796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96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96" s="36">
        <v>9033</v>
      </c>
      <c r="J1796" s="36" t="str">
        <f>IFERROR(INDEX(Структура_ассортимента[Generic Name (long)],MATCH(Товары[[#This Row],[SubGroup]],Структура_ассортимента[Subgroup],0)),"")</f>
        <v>WATERING SET</v>
      </c>
      <c r="L1796" s="36">
        <v>901162701</v>
      </c>
      <c r="M1796" s="35" t="s">
        <v>3472</v>
      </c>
      <c r="O1796" s="35" t="s">
        <v>7920</v>
      </c>
      <c r="P1796" s="37" t="s">
        <v>7921</v>
      </c>
      <c r="Q1796" s="34" t="s">
        <v>3549</v>
      </c>
      <c r="R1796" s="34" t="s">
        <v>3540</v>
      </c>
      <c r="S1796" s="47">
        <v>37530</v>
      </c>
      <c r="T1796" s="47">
        <v>0</v>
      </c>
      <c r="U1796" s="47">
        <v>0</v>
      </c>
      <c r="V1796" s="34">
        <v>4078500832809</v>
      </c>
      <c r="W1796" s="34" t="s">
        <v>3543</v>
      </c>
      <c r="X1796" s="34" t="s">
        <v>3579</v>
      </c>
      <c r="Y1796" s="34" t="s">
        <v>3542</v>
      </c>
      <c r="Z1796" s="34">
        <v>10</v>
      </c>
      <c r="AA1796" s="34" t="s">
        <v>7095</v>
      </c>
      <c r="AB1796" s="34" t="s">
        <v>7095</v>
      </c>
      <c r="AC1796" s="34" t="s">
        <v>3720</v>
      </c>
      <c r="AD1796" s="34" t="s">
        <v>3720</v>
      </c>
      <c r="AE1796" s="34" t="s">
        <v>3693</v>
      </c>
      <c r="AF1796" s="34" t="s">
        <v>4391</v>
      </c>
      <c r="AG1796" s="34" t="s">
        <v>4181</v>
      </c>
      <c r="AH1796" s="34" t="s">
        <v>7922</v>
      </c>
      <c r="AL1796" s="34">
        <v>450</v>
      </c>
      <c r="AM1796" s="40" t="s">
        <v>9</v>
      </c>
      <c r="AP1796" s="34">
        <v>0</v>
      </c>
      <c r="AQ1796" s="34">
        <v>429</v>
      </c>
      <c r="AR1796" s="34">
        <v>250</v>
      </c>
      <c r="AT1796" s="44">
        <v>33200</v>
      </c>
      <c r="AU1796" s="44"/>
      <c r="AV1796" s="46">
        <f>ROUND(Товары[[#This Row],[РРЦ финальная, руб.]]/$AU$1,2)</f>
        <v>0</v>
      </c>
      <c r="AW1796" s="45" t="str">
        <f>IFERROR(Товары[[#This Row],[РРЦ, евро]]/Товары[[#This Row],[IRP, Eur]],"-")</f>
        <v>-</v>
      </c>
      <c r="AX1796" s="42">
        <f>IFERROR(VLOOKUP(Товары[[#This Row],[SubGroup]],'Структура цен DIY'!$B:$C,2,FALSE),0)</f>
        <v>0.30000000000000016</v>
      </c>
      <c r="AY1796" s="44">
        <v>0</v>
      </c>
    </row>
    <row r="1797" spans="1:51" x14ac:dyDescent="0.25">
      <c r="A1797" s="34">
        <v>1795</v>
      </c>
      <c r="B1797" s="34" t="s">
        <v>49</v>
      </c>
      <c r="C1797" s="110" t="str">
        <f>IFERROR(INDEX(Структура_ассортимента[SuperCategory],MATCH(Товары[[#This Row],[SubGroup]],Структура_ассортимента[Subgroup],0)),"")</f>
        <v>W</v>
      </c>
      <c r="D179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9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97" s="110" t="str">
        <f>IFERROR(INDEX(Структура_ассортимента[Product group],MATCH(Товары[[#This Row],[SubGroup]],Структура_ассортимента[Subgroup],0)),"")</f>
        <v>WSS_C</v>
      </c>
      <c r="G1797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97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97" s="36">
        <v>9033</v>
      </c>
      <c r="J1797" s="36" t="str">
        <f>IFERROR(INDEX(Структура_ассортимента[Generic Name (long)],MATCH(Товары[[#This Row],[SubGroup]],Структура_ассортимента[Subgroup],0)),"")</f>
        <v>WATERING SET</v>
      </c>
      <c r="L1797" s="36">
        <v>901162501</v>
      </c>
      <c r="M1797" s="35" t="s">
        <v>3473</v>
      </c>
      <c r="O1797" s="35" t="s">
        <v>7923</v>
      </c>
      <c r="P1797" s="37" t="s">
        <v>7924</v>
      </c>
      <c r="Q1797" s="34" t="s">
        <v>3549</v>
      </c>
      <c r="R1797" s="34" t="s">
        <v>3540</v>
      </c>
      <c r="S1797" s="47">
        <v>37530</v>
      </c>
      <c r="T1797" s="47">
        <v>0</v>
      </c>
      <c r="U1797" s="47">
        <v>0</v>
      </c>
      <c r="V1797" s="34">
        <v>4078500832700</v>
      </c>
      <c r="W1797" s="34" t="s">
        <v>3543</v>
      </c>
      <c r="X1797" s="34" t="s">
        <v>3579</v>
      </c>
      <c r="Y1797" s="34" t="s">
        <v>3542</v>
      </c>
      <c r="Z1797" s="34">
        <v>10</v>
      </c>
      <c r="AA1797" s="34" t="s">
        <v>3715</v>
      </c>
      <c r="AB1797" s="34" t="s">
        <v>3715</v>
      </c>
      <c r="AC1797" s="34" t="s">
        <v>5628</v>
      </c>
      <c r="AD1797" s="34" t="s">
        <v>5628</v>
      </c>
      <c r="AE1797" s="34" t="s">
        <v>3825</v>
      </c>
      <c r="AF1797" s="34" t="s">
        <v>3576</v>
      </c>
      <c r="AG1797" s="34" t="s">
        <v>4231</v>
      </c>
      <c r="AH1797" s="34" t="s">
        <v>7842</v>
      </c>
      <c r="AL1797" s="34">
        <v>800</v>
      </c>
      <c r="AM1797" s="40" t="s">
        <v>9</v>
      </c>
      <c r="AP1797" s="34">
        <v>0</v>
      </c>
      <c r="AQ1797" s="34">
        <v>319</v>
      </c>
      <c r="AR1797" s="34">
        <v>186</v>
      </c>
      <c r="AT1797" s="44">
        <v>24700</v>
      </c>
      <c r="AU1797" s="44"/>
      <c r="AV1797" s="46">
        <f>ROUND(Товары[[#This Row],[РРЦ финальная, руб.]]/$AU$1,2)</f>
        <v>0</v>
      </c>
      <c r="AW1797" s="45" t="str">
        <f>IFERROR(Товары[[#This Row],[РРЦ, евро]]/Товары[[#This Row],[IRP, Eur]],"-")</f>
        <v>-</v>
      </c>
      <c r="AX1797" s="42">
        <f>IFERROR(VLOOKUP(Товары[[#This Row],[SubGroup]],'Структура цен DIY'!$B:$C,2,FALSE),0)</f>
        <v>0.30000000000000016</v>
      </c>
      <c r="AY1797" s="44">
        <v>0</v>
      </c>
    </row>
    <row r="1798" spans="1:51" x14ac:dyDescent="0.25">
      <c r="A1798" s="34">
        <v>1796</v>
      </c>
      <c r="B1798" s="34" t="s">
        <v>49</v>
      </c>
      <c r="C1798" s="110" t="str">
        <f>IFERROR(INDEX(Структура_ассортимента[SuperCategory],MATCH(Товары[[#This Row],[SubGroup]],Структура_ассортимента[Subgroup],0)),"")</f>
        <v>W</v>
      </c>
      <c r="D179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9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98" s="110" t="str">
        <f>IFERROR(INDEX(Структура_ассортимента[Product group],MATCH(Товары[[#This Row],[SubGroup]],Структура_ассортимента[Subgroup],0)),"")</f>
        <v>WSS_C</v>
      </c>
      <c r="G1798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98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98" s="36">
        <v>9033</v>
      </c>
      <c r="J1798" s="36" t="str">
        <f>IFERROR(INDEX(Структура_ассортимента[Generic Name (long)],MATCH(Товары[[#This Row],[SubGroup]],Структура_ассортимента[Subgroup],0)),"")</f>
        <v>WATERING SET</v>
      </c>
      <c r="L1798" s="36">
        <v>900906501</v>
      </c>
      <c r="M1798" s="35" t="s">
        <v>3474</v>
      </c>
      <c r="Q1798" s="34" t="s">
        <v>3549</v>
      </c>
      <c r="R1798" s="34" t="s">
        <v>3540</v>
      </c>
      <c r="S1798" s="47">
        <v>32782</v>
      </c>
      <c r="T1798" s="47">
        <v>0</v>
      </c>
      <c r="U1798" s="47">
        <v>0</v>
      </c>
      <c r="V1798" s="34">
        <v>4078500132800</v>
      </c>
      <c r="W1798" s="34" t="s">
        <v>3543</v>
      </c>
      <c r="X1798" s="34" t="s">
        <v>3579</v>
      </c>
      <c r="Y1798" s="34" t="s">
        <v>3542</v>
      </c>
      <c r="Z1798" s="34">
        <v>10</v>
      </c>
      <c r="AA1798" s="34" t="s">
        <v>3727</v>
      </c>
      <c r="AB1798" s="34" t="s">
        <v>3727</v>
      </c>
      <c r="AC1798" s="34" t="s">
        <v>3661</v>
      </c>
      <c r="AD1798" s="34" t="s">
        <v>3661</v>
      </c>
      <c r="AE1798" s="34" t="s">
        <v>3590</v>
      </c>
      <c r="AF1798" s="34" t="s">
        <v>4391</v>
      </c>
      <c r="AG1798" s="34" t="s">
        <v>3932</v>
      </c>
      <c r="AH1798" s="34" t="s">
        <v>7925</v>
      </c>
      <c r="AL1798" s="34">
        <v>720</v>
      </c>
      <c r="AM1798" s="40" t="s">
        <v>8095</v>
      </c>
      <c r="AT1798" s="44">
        <v>0</v>
      </c>
      <c r="AU1798" s="44"/>
      <c r="AV1798" s="46">
        <f>ROUND(Товары[[#This Row],[РРЦ финальная, руб.]]/$AU$1,2)</f>
        <v>0</v>
      </c>
      <c r="AW1798" s="45" t="str">
        <f>IFERROR(Товары[[#This Row],[РРЦ, евро]]/Товары[[#This Row],[IRP, Eur]],"-")</f>
        <v>-</v>
      </c>
      <c r="AX1798" s="42">
        <f>IFERROR(VLOOKUP(Товары[[#This Row],[SubGroup]],'Структура цен DIY'!$B:$C,2,FALSE),0)</f>
        <v>0.30000000000000016</v>
      </c>
      <c r="AY1798" s="44">
        <v>0</v>
      </c>
    </row>
    <row r="1799" spans="1:51" x14ac:dyDescent="0.25">
      <c r="A1799" s="34">
        <v>1797</v>
      </c>
      <c r="B1799" s="34" t="s">
        <v>49</v>
      </c>
      <c r="C1799" s="110" t="str">
        <f>IFERROR(INDEX(Структура_ассортимента[SuperCategory],MATCH(Товары[[#This Row],[SubGroup]],Структура_ассортимента[Subgroup],0)),"")</f>
        <v>W</v>
      </c>
      <c r="D179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9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99" s="110" t="str">
        <f>IFERROR(INDEX(Структура_ассортимента[Product group],MATCH(Товары[[#This Row],[SubGroup]],Структура_ассортимента[Subgroup],0)),"")</f>
        <v>WSS_C</v>
      </c>
      <c r="G1799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99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99" s="36">
        <v>9033</v>
      </c>
      <c r="J1799" s="36" t="str">
        <f>IFERROR(INDEX(Структура_ассортимента[Generic Name (long)],MATCH(Товары[[#This Row],[SubGroup]],Структура_ассортимента[Subgroup],0)),"")</f>
        <v>WATERING SET</v>
      </c>
      <c r="L1799" s="36">
        <v>901161801</v>
      </c>
      <c r="M1799" s="35" t="s">
        <v>3475</v>
      </c>
      <c r="O1799" s="35" t="s">
        <v>7926</v>
      </c>
      <c r="P1799" s="37" t="s">
        <v>7927</v>
      </c>
      <c r="Q1799" s="34" t="s">
        <v>3549</v>
      </c>
      <c r="R1799" s="34" t="s">
        <v>3540</v>
      </c>
      <c r="S1799" s="47">
        <v>37530</v>
      </c>
      <c r="T1799" s="47">
        <v>0</v>
      </c>
      <c r="U1799" s="47">
        <v>0</v>
      </c>
      <c r="V1799" s="34">
        <v>4078500832090</v>
      </c>
      <c r="W1799" s="34" t="s">
        <v>3543</v>
      </c>
      <c r="X1799" s="34" t="s">
        <v>3579</v>
      </c>
      <c r="Y1799" s="34" t="s">
        <v>3542</v>
      </c>
      <c r="Z1799" s="34">
        <v>10</v>
      </c>
      <c r="AA1799" s="34" t="s">
        <v>5603</v>
      </c>
      <c r="AB1799" s="34" t="s">
        <v>5603</v>
      </c>
      <c r="AC1799" s="34" t="s">
        <v>7090</v>
      </c>
      <c r="AD1799" s="34" t="s">
        <v>7090</v>
      </c>
      <c r="AE1799" s="34" t="s">
        <v>3693</v>
      </c>
      <c r="AF1799" s="34" t="s">
        <v>3576</v>
      </c>
      <c r="AG1799" s="34" t="s">
        <v>3932</v>
      </c>
      <c r="AH1799" s="34" t="s">
        <v>7716</v>
      </c>
      <c r="AL1799" s="34">
        <v>1320</v>
      </c>
      <c r="AM1799" s="40" t="s">
        <v>9</v>
      </c>
      <c r="AP1799" s="34">
        <v>0</v>
      </c>
      <c r="AQ1799" s="34">
        <v>759</v>
      </c>
      <c r="AR1799" s="34">
        <v>443</v>
      </c>
      <c r="AT1799" s="44">
        <v>58800</v>
      </c>
      <c r="AU1799" s="44"/>
      <c r="AV1799" s="46">
        <f>ROUND(Товары[[#This Row],[РРЦ финальная, руб.]]/$AU$1,2)</f>
        <v>0</v>
      </c>
      <c r="AW1799" s="45" t="str">
        <f>IFERROR(Товары[[#This Row],[РРЦ, евро]]/Товары[[#This Row],[IRP, Eur]],"-")</f>
        <v>-</v>
      </c>
      <c r="AX1799" s="42">
        <f>IFERROR(VLOOKUP(Товары[[#This Row],[SubGroup]],'Структура цен DIY'!$B:$C,2,FALSE),0)</f>
        <v>0.30000000000000016</v>
      </c>
      <c r="AY1799" s="44">
        <v>0</v>
      </c>
    </row>
    <row r="1800" spans="1:51" x14ac:dyDescent="0.25">
      <c r="A1800" s="34">
        <v>1798</v>
      </c>
      <c r="B1800" s="34" t="s">
        <v>49</v>
      </c>
      <c r="C1800" s="110" t="str">
        <f>IFERROR(INDEX(Структура_ассортимента[SuperCategory],MATCH(Товары[[#This Row],[SubGroup]],Структура_ассортимента[Subgroup],0)),"")</f>
        <v>W</v>
      </c>
      <c r="D180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0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00" s="110" t="str">
        <f>IFERROR(INDEX(Структура_ассортимента[Product group],MATCH(Товары[[#This Row],[SubGroup]],Структура_ассортимента[Subgroup],0)),"")</f>
        <v>WSS_C</v>
      </c>
      <c r="G1800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00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00" s="36">
        <v>9033</v>
      </c>
      <c r="J1800" s="36" t="str">
        <f>IFERROR(INDEX(Структура_ассортимента[Generic Name (long)],MATCH(Товары[[#This Row],[SubGroup]],Структура_ассортимента[Subgroup],0)),"")</f>
        <v>WATERING SET</v>
      </c>
      <c r="L1800" s="36">
        <v>900911001</v>
      </c>
      <c r="M1800" s="35" t="s">
        <v>3476</v>
      </c>
      <c r="O1800" s="35" t="s">
        <v>7928</v>
      </c>
      <c r="P1800" s="37" t="s">
        <v>7929</v>
      </c>
      <c r="Q1800" s="34" t="s">
        <v>3549</v>
      </c>
      <c r="R1800" s="34" t="s">
        <v>3540</v>
      </c>
      <c r="S1800" s="47">
        <v>32782</v>
      </c>
      <c r="T1800" s="47">
        <v>0</v>
      </c>
      <c r="U1800" s="47">
        <v>0</v>
      </c>
      <c r="V1800" s="34">
        <v>4078500136587</v>
      </c>
      <c r="W1800" s="34" t="s">
        <v>3543</v>
      </c>
      <c r="X1800" s="34" t="s">
        <v>3579</v>
      </c>
      <c r="Y1800" s="34" t="s">
        <v>3542</v>
      </c>
      <c r="Z1800" s="34">
        <v>10</v>
      </c>
      <c r="AA1800" s="34" t="s">
        <v>3799</v>
      </c>
      <c r="AB1800" s="34" t="s">
        <v>3794</v>
      </c>
      <c r="AC1800" s="34" t="s">
        <v>3807</v>
      </c>
      <c r="AD1800" s="34" t="s">
        <v>3799</v>
      </c>
      <c r="AE1800" s="34" t="s">
        <v>3693</v>
      </c>
      <c r="AF1800" s="34" t="s">
        <v>3576</v>
      </c>
      <c r="AG1800" s="34" t="s">
        <v>3656</v>
      </c>
      <c r="AH1800" s="34" t="s">
        <v>3796</v>
      </c>
      <c r="AL1800" s="34">
        <v>2160</v>
      </c>
      <c r="AM1800" s="40" t="s">
        <v>9</v>
      </c>
      <c r="AP1800" s="34">
        <v>0</v>
      </c>
      <c r="AQ1800" s="34">
        <v>539</v>
      </c>
      <c r="AR1800" s="34">
        <v>314</v>
      </c>
      <c r="AT1800" s="44">
        <v>41700</v>
      </c>
      <c r="AU1800" s="44"/>
      <c r="AV1800" s="46">
        <f>ROUND(Товары[[#This Row],[РРЦ финальная, руб.]]/$AU$1,2)</f>
        <v>0</v>
      </c>
      <c r="AW1800" s="45" t="str">
        <f>IFERROR(Товары[[#This Row],[РРЦ, евро]]/Товары[[#This Row],[IRP, Eur]],"-")</f>
        <v>-</v>
      </c>
      <c r="AX1800" s="42">
        <f>IFERROR(VLOOKUP(Товары[[#This Row],[SubGroup]],'Структура цен DIY'!$B:$C,2,FALSE),0)</f>
        <v>0.30000000000000016</v>
      </c>
      <c r="AY1800" s="44">
        <v>0</v>
      </c>
    </row>
    <row r="1801" spans="1:51" x14ac:dyDescent="0.25">
      <c r="A1801" s="34">
        <v>1799</v>
      </c>
      <c r="B1801" s="34" t="s">
        <v>49</v>
      </c>
      <c r="C1801" s="110" t="str">
        <f>IFERROR(INDEX(Структура_ассортимента[SuperCategory],MATCH(Товары[[#This Row],[SubGroup]],Структура_ассортимента[Subgroup],0)),"")</f>
        <v>W</v>
      </c>
      <c r="D180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0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01" s="110" t="str">
        <f>IFERROR(INDEX(Структура_ассортимента[Product group],MATCH(Товары[[#This Row],[SubGroup]],Структура_ассортимента[Subgroup],0)),"")</f>
        <v>WSS_C</v>
      </c>
      <c r="G1801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01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01" s="36">
        <v>9033</v>
      </c>
      <c r="J1801" s="36" t="str">
        <f>IFERROR(INDEX(Структура_ассортимента[Generic Name (long)],MATCH(Товары[[#This Row],[SubGroup]],Структура_ассортимента[Subgroup],0)),"")</f>
        <v>WATERING SET</v>
      </c>
      <c r="L1801" s="36">
        <v>900911801</v>
      </c>
      <c r="M1801" s="35" t="s">
        <v>3477</v>
      </c>
      <c r="O1801" s="35" t="s">
        <v>7930</v>
      </c>
      <c r="P1801" s="37" t="s">
        <v>7931</v>
      </c>
      <c r="Q1801" s="34" t="s">
        <v>3549</v>
      </c>
      <c r="R1801" s="34" t="s">
        <v>3540</v>
      </c>
      <c r="S1801" s="47">
        <v>32782</v>
      </c>
      <c r="T1801" s="47">
        <v>0</v>
      </c>
      <c r="U1801" s="47">
        <v>0</v>
      </c>
      <c r="V1801" s="34">
        <v>4078500136983</v>
      </c>
      <c r="W1801" s="34" t="s">
        <v>3543</v>
      </c>
      <c r="X1801" s="34" t="s">
        <v>3579</v>
      </c>
      <c r="Y1801" s="34" t="s">
        <v>3542</v>
      </c>
      <c r="Z1801" s="34">
        <v>10</v>
      </c>
      <c r="AA1801" s="34" t="s">
        <v>6439</v>
      </c>
      <c r="AB1801" s="34" t="s">
        <v>6439</v>
      </c>
      <c r="AC1801" s="34" t="s">
        <v>3803</v>
      </c>
      <c r="AD1801" s="34" t="s">
        <v>3803</v>
      </c>
      <c r="AE1801" s="34" t="s">
        <v>4793</v>
      </c>
      <c r="AF1801" s="34" t="s">
        <v>5613</v>
      </c>
      <c r="AG1801" s="34" t="s">
        <v>6045</v>
      </c>
      <c r="AH1801" s="34" t="s">
        <v>7867</v>
      </c>
      <c r="AL1801" s="34">
        <v>2160</v>
      </c>
      <c r="AM1801" s="40" t="s">
        <v>9</v>
      </c>
      <c r="AP1801" s="34">
        <v>0</v>
      </c>
      <c r="AQ1801" s="34">
        <v>539</v>
      </c>
      <c r="AR1801" s="34">
        <v>314</v>
      </c>
      <c r="AT1801" s="44">
        <v>41700</v>
      </c>
      <c r="AU1801" s="44"/>
      <c r="AV1801" s="46">
        <f>ROUND(Товары[[#This Row],[РРЦ финальная, руб.]]/$AU$1,2)</f>
        <v>0</v>
      </c>
      <c r="AW1801" s="45" t="str">
        <f>IFERROR(Товары[[#This Row],[РРЦ, евро]]/Товары[[#This Row],[IRP, Eur]],"-")</f>
        <v>-</v>
      </c>
      <c r="AX1801" s="42">
        <f>IFERROR(VLOOKUP(Товары[[#This Row],[SubGroup]],'Структура цен DIY'!$B:$C,2,FALSE),0)</f>
        <v>0.30000000000000016</v>
      </c>
      <c r="AY1801" s="44">
        <v>0</v>
      </c>
    </row>
    <row r="1802" spans="1:51" x14ac:dyDescent="0.25">
      <c r="A1802" s="34">
        <v>1800</v>
      </c>
      <c r="B1802" s="34" t="s">
        <v>49</v>
      </c>
      <c r="C1802" s="110" t="str">
        <f>IFERROR(INDEX(Структура_ассортимента[SuperCategory],MATCH(Товары[[#This Row],[SubGroup]],Структура_ассортимента[Subgroup],0)),"")</f>
        <v>W</v>
      </c>
      <c r="D180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0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02" s="110" t="str">
        <f>IFERROR(INDEX(Структура_ассортимента[Product group],MATCH(Товары[[#This Row],[SubGroup]],Структура_ассортимента[Subgroup],0)),"")</f>
        <v>WSS_C</v>
      </c>
      <c r="G1802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02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02" s="36">
        <v>9033</v>
      </c>
      <c r="J1802" s="36" t="str">
        <f>IFERROR(INDEX(Структура_ассортимента[Generic Name (long)],MATCH(Товары[[#This Row],[SubGroup]],Структура_ассортимента[Subgroup],0)),"")</f>
        <v>WATERING SET</v>
      </c>
      <c r="L1802" s="36">
        <v>900911901</v>
      </c>
      <c r="M1802" s="35" t="s">
        <v>3478</v>
      </c>
      <c r="Q1802" s="34" t="s">
        <v>3549</v>
      </c>
      <c r="R1802" s="34" t="s">
        <v>3540</v>
      </c>
      <c r="S1802" s="47">
        <v>32782</v>
      </c>
      <c r="T1802" s="47">
        <v>0</v>
      </c>
      <c r="U1802" s="47">
        <v>0</v>
      </c>
      <c r="V1802" s="34">
        <v>4078500137003</v>
      </c>
      <c r="W1802" s="34" t="s">
        <v>3543</v>
      </c>
      <c r="X1802" s="34" t="s">
        <v>3579</v>
      </c>
      <c r="Y1802" s="34" t="s">
        <v>3542</v>
      </c>
      <c r="Z1802" s="34">
        <v>6</v>
      </c>
      <c r="AA1802" s="34" t="s">
        <v>3797</v>
      </c>
      <c r="AB1802" s="34" t="s">
        <v>6571</v>
      </c>
      <c r="AC1802" s="34" t="s">
        <v>3784</v>
      </c>
      <c r="AD1802" s="34" t="s">
        <v>3784</v>
      </c>
      <c r="AE1802" s="34" t="s">
        <v>3693</v>
      </c>
      <c r="AF1802" s="34" t="s">
        <v>3576</v>
      </c>
      <c r="AG1802" s="34" t="s">
        <v>6049</v>
      </c>
      <c r="AH1802" s="34" t="s">
        <v>7932</v>
      </c>
      <c r="AL1802" s="34">
        <v>1728</v>
      </c>
      <c r="AM1802" s="40" t="s">
        <v>8095</v>
      </c>
      <c r="AT1802" s="44">
        <v>0</v>
      </c>
      <c r="AU1802" s="44"/>
      <c r="AV1802" s="46">
        <f>ROUND(Товары[[#This Row],[РРЦ финальная, руб.]]/$AU$1,2)</f>
        <v>0</v>
      </c>
      <c r="AW1802" s="45" t="str">
        <f>IFERROR(Товары[[#This Row],[РРЦ, евро]]/Товары[[#This Row],[IRP, Eur]],"-")</f>
        <v>-</v>
      </c>
      <c r="AX1802" s="42">
        <f>IFERROR(VLOOKUP(Товары[[#This Row],[SubGroup]],'Структура цен DIY'!$B:$C,2,FALSE),0)</f>
        <v>0.30000000000000016</v>
      </c>
      <c r="AY1802" s="44">
        <v>0</v>
      </c>
    </row>
    <row r="1803" spans="1:51" x14ac:dyDescent="0.25">
      <c r="A1803" s="34">
        <v>1801</v>
      </c>
      <c r="B1803" s="34" t="s">
        <v>49</v>
      </c>
      <c r="C1803" s="110" t="str">
        <f>IFERROR(INDEX(Структура_ассортимента[SuperCategory],MATCH(Товары[[#This Row],[SubGroup]],Структура_ассортимента[Subgroup],0)),"")</f>
        <v>W</v>
      </c>
      <c r="D180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0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03" s="110" t="str">
        <f>IFERROR(INDEX(Структура_ассортимента[Product group],MATCH(Товары[[#This Row],[SubGroup]],Структура_ассортимента[Subgroup],0)),"")</f>
        <v>WSS_C</v>
      </c>
      <c r="G1803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03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03" s="36">
        <v>9033</v>
      </c>
      <c r="J1803" s="36" t="str">
        <f>IFERROR(INDEX(Структура_ассортимента[Generic Name (long)],MATCH(Товары[[#This Row],[SubGroup]],Структура_ассортимента[Subgroup],0)),"")</f>
        <v>WATERING SET</v>
      </c>
      <c r="L1803" s="36">
        <v>900912001</v>
      </c>
      <c r="M1803" s="35" t="s">
        <v>3479</v>
      </c>
      <c r="O1803" s="35" t="s">
        <v>7933</v>
      </c>
      <c r="P1803" s="37" t="s">
        <v>7934</v>
      </c>
      <c r="Q1803" s="34" t="s">
        <v>3549</v>
      </c>
      <c r="R1803" s="34" t="s">
        <v>3540</v>
      </c>
      <c r="S1803" s="47">
        <v>32782</v>
      </c>
      <c r="T1803" s="47">
        <v>0</v>
      </c>
      <c r="U1803" s="47">
        <v>0</v>
      </c>
      <c r="V1803" s="34">
        <v>4078500137089</v>
      </c>
      <c r="W1803" s="34" t="s">
        <v>3543</v>
      </c>
      <c r="X1803" s="34" t="s">
        <v>3579</v>
      </c>
      <c r="Y1803" s="34" t="s">
        <v>3542</v>
      </c>
      <c r="Z1803" s="34">
        <v>10</v>
      </c>
      <c r="AA1803" s="34" t="s">
        <v>3784</v>
      </c>
      <c r="AB1803" s="34" t="s">
        <v>3803</v>
      </c>
      <c r="AC1803" s="34" t="s">
        <v>3795</v>
      </c>
      <c r="AD1803" s="34" t="s">
        <v>3803</v>
      </c>
      <c r="AE1803" s="34" t="s">
        <v>4793</v>
      </c>
      <c r="AF1803" s="34" t="s">
        <v>5613</v>
      </c>
      <c r="AG1803" s="34" t="s">
        <v>3663</v>
      </c>
      <c r="AH1803" s="34" t="s">
        <v>6579</v>
      </c>
      <c r="AL1803" s="34">
        <v>2160</v>
      </c>
      <c r="AM1803" s="40" t="s">
        <v>9</v>
      </c>
      <c r="AP1803" s="34">
        <v>0</v>
      </c>
      <c r="AQ1803" s="34">
        <v>539</v>
      </c>
      <c r="AR1803" s="34">
        <v>314</v>
      </c>
      <c r="AT1803" s="44">
        <v>41700</v>
      </c>
      <c r="AU1803" s="44"/>
      <c r="AV1803" s="46">
        <f>ROUND(Товары[[#This Row],[РРЦ финальная, руб.]]/$AU$1,2)</f>
        <v>0</v>
      </c>
      <c r="AW1803" s="45" t="str">
        <f>IFERROR(Товары[[#This Row],[РРЦ, евро]]/Товары[[#This Row],[IRP, Eur]],"-")</f>
        <v>-</v>
      </c>
      <c r="AX1803" s="42">
        <f>IFERROR(VLOOKUP(Товары[[#This Row],[SubGroup]],'Структура цен DIY'!$B:$C,2,FALSE),0)</f>
        <v>0.30000000000000016</v>
      </c>
      <c r="AY1803" s="44">
        <v>0</v>
      </c>
    </row>
    <row r="1804" spans="1:51" x14ac:dyDescent="0.25">
      <c r="A1804" s="34">
        <v>1802</v>
      </c>
      <c r="B1804" s="34" t="s">
        <v>49</v>
      </c>
      <c r="C1804" s="110" t="str">
        <f>IFERROR(INDEX(Структура_ассортимента[SuperCategory],MATCH(Товары[[#This Row],[SubGroup]],Структура_ассортимента[Subgroup],0)),"")</f>
        <v>W</v>
      </c>
      <c r="D180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0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04" s="110" t="str">
        <f>IFERROR(INDEX(Структура_ассортимента[Product group],MATCH(Товары[[#This Row],[SubGroup]],Структура_ассортимента[Subgroup],0)),"")</f>
        <v>WSS_C</v>
      </c>
      <c r="G1804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04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04" s="36">
        <v>9033</v>
      </c>
      <c r="J1804" s="36" t="str">
        <f>IFERROR(INDEX(Структура_ассортимента[Generic Name (long)],MATCH(Товары[[#This Row],[SubGroup]],Структура_ассортимента[Subgroup],0)),"")</f>
        <v>WATERING SET</v>
      </c>
      <c r="L1804" s="36">
        <v>900912201</v>
      </c>
      <c r="M1804" s="35" t="s">
        <v>3480</v>
      </c>
      <c r="O1804" s="35" t="s">
        <v>7935</v>
      </c>
      <c r="P1804" s="37" t="s">
        <v>7936</v>
      </c>
      <c r="Q1804" s="34" t="s">
        <v>3549</v>
      </c>
      <c r="R1804" s="34" t="s">
        <v>3540</v>
      </c>
      <c r="S1804" s="47">
        <v>32782</v>
      </c>
      <c r="T1804" s="47">
        <v>0</v>
      </c>
      <c r="U1804" s="47">
        <v>0</v>
      </c>
      <c r="V1804" s="34">
        <v>4078500137188</v>
      </c>
      <c r="W1804" s="34" t="s">
        <v>3543</v>
      </c>
      <c r="X1804" s="34" t="s">
        <v>3579</v>
      </c>
      <c r="Y1804" s="34" t="s">
        <v>3542</v>
      </c>
      <c r="Z1804" s="34">
        <v>10</v>
      </c>
      <c r="AA1804" s="34" t="s">
        <v>3797</v>
      </c>
      <c r="AB1804" s="34" t="s">
        <v>3797</v>
      </c>
      <c r="AC1804" s="34" t="s">
        <v>3795</v>
      </c>
      <c r="AD1804" s="34" t="s">
        <v>3795</v>
      </c>
      <c r="AE1804" s="34" t="s">
        <v>4793</v>
      </c>
      <c r="AF1804" s="34" t="s">
        <v>5613</v>
      </c>
      <c r="AG1804" s="34" t="s">
        <v>6045</v>
      </c>
      <c r="AH1804" s="34" t="s">
        <v>7867</v>
      </c>
      <c r="AL1804" s="34">
        <v>2160</v>
      </c>
      <c r="AM1804" s="40" t="s">
        <v>9</v>
      </c>
      <c r="AP1804" s="34">
        <v>0</v>
      </c>
      <c r="AQ1804" s="34">
        <v>539</v>
      </c>
      <c r="AR1804" s="34">
        <v>314</v>
      </c>
      <c r="AT1804" s="44">
        <v>41700</v>
      </c>
      <c r="AU1804" s="44"/>
      <c r="AV1804" s="46">
        <f>ROUND(Товары[[#This Row],[РРЦ финальная, руб.]]/$AU$1,2)</f>
        <v>0</v>
      </c>
      <c r="AW1804" s="45" t="str">
        <f>IFERROR(Товары[[#This Row],[РРЦ, евро]]/Товары[[#This Row],[IRP, Eur]],"-")</f>
        <v>-</v>
      </c>
      <c r="AX1804" s="42">
        <f>IFERROR(VLOOKUP(Товары[[#This Row],[SubGroup]],'Структура цен DIY'!$B:$C,2,FALSE),0)</f>
        <v>0.30000000000000016</v>
      </c>
      <c r="AY1804" s="44">
        <v>0</v>
      </c>
    </row>
    <row r="1805" spans="1:51" x14ac:dyDescent="0.25">
      <c r="A1805" s="34">
        <v>1803</v>
      </c>
      <c r="B1805" s="34" t="s">
        <v>49</v>
      </c>
      <c r="C1805" s="110" t="str">
        <f>IFERROR(INDEX(Структура_ассортимента[SuperCategory],MATCH(Товары[[#This Row],[SubGroup]],Структура_ассортимента[Subgroup],0)),"")</f>
        <v>W</v>
      </c>
      <c r="D180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0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05" s="110" t="str">
        <f>IFERROR(INDEX(Структура_ассортимента[Product group],MATCH(Товары[[#This Row],[SubGroup]],Структура_ассортимента[Subgroup],0)),"")</f>
        <v>WSS_C</v>
      </c>
      <c r="G1805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05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05" s="36">
        <v>9033</v>
      </c>
      <c r="J1805" s="36" t="str">
        <f>IFERROR(INDEX(Структура_ассортимента[Generic Name (long)],MATCH(Товары[[#This Row],[SubGroup]],Структура_ассортимента[Subgroup],0)),"")</f>
        <v>WATERING SET</v>
      </c>
      <c r="L1805" s="36">
        <v>900912301</v>
      </c>
      <c r="M1805" s="35" t="s">
        <v>3481</v>
      </c>
      <c r="Q1805" s="34" t="s">
        <v>3549</v>
      </c>
      <c r="R1805" s="34" t="s">
        <v>3540</v>
      </c>
      <c r="S1805" s="47">
        <v>34215</v>
      </c>
      <c r="T1805" s="47">
        <v>0</v>
      </c>
      <c r="U1805" s="47">
        <v>0</v>
      </c>
      <c r="V1805" s="34">
        <v>4078500137201</v>
      </c>
      <c r="W1805" s="34" t="s">
        <v>3543</v>
      </c>
      <c r="X1805" s="34" t="s">
        <v>3579</v>
      </c>
      <c r="Y1805" s="34" t="s">
        <v>3542</v>
      </c>
      <c r="Z1805" s="34">
        <v>6</v>
      </c>
      <c r="AA1805" s="34" t="s">
        <v>3797</v>
      </c>
      <c r="AB1805" s="34" t="s">
        <v>6439</v>
      </c>
      <c r="AC1805" s="34" t="s">
        <v>3807</v>
      </c>
      <c r="AD1805" s="34" t="s">
        <v>3784</v>
      </c>
      <c r="AE1805" s="34" t="s">
        <v>3693</v>
      </c>
      <c r="AF1805" s="34" t="s">
        <v>3576</v>
      </c>
      <c r="AG1805" s="34" t="s">
        <v>3808</v>
      </c>
      <c r="AH1805" s="34" t="s">
        <v>3809</v>
      </c>
      <c r="AL1805" s="34">
        <v>1728</v>
      </c>
      <c r="AM1805" s="40" t="s">
        <v>8095</v>
      </c>
      <c r="AT1805" s="44">
        <v>0</v>
      </c>
      <c r="AU1805" s="44"/>
      <c r="AV1805" s="46">
        <f>ROUND(Товары[[#This Row],[РРЦ финальная, руб.]]/$AU$1,2)</f>
        <v>0</v>
      </c>
      <c r="AW1805" s="45" t="str">
        <f>IFERROR(Товары[[#This Row],[РРЦ, евро]]/Товары[[#This Row],[IRP, Eur]],"-")</f>
        <v>-</v>
      </c>
      <c r="AX1805" s="42">
        <f>IFERROR(VLOOKUP(Товары[[#This Row],[SubGroup]],'Структура цен DIY'!$B:$C,2,FALSE),0)</f>
        <v>0.30000000000000016</v>
      </c>
      <c r="AY1805" s="44">
        <v>0</v>
      </c>
    </row>
    <row r="1806" spans="1:51" x14ac:dyDescent="0.25">
      <c r="A1806" s="34">
        <v>1804</v>
      </c>
      <c r="B1806" s="34" t="s">
        <v>49</v>
      </c>
      <c r="C1806" s="110" t="str">
        <f>IFERROR(INDEX(Структура_ассортимента[SuperCategory],MATCH(Товары[[#This Row],[SubGroup]],Структура_ассортимента[Subgroup],0)),"")</f>
        <v>W</v>
      </c>
      <c r="D180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0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06" s="110" t="str">
        <f>IFERROR(INDEX(Структура_ассортимента[Product group],MATCH(Товары[[#This Row],[SubGroup]],Структура_ассортимента[Subgroup],0)),"")</f>
        <v>WSS_C</v>
      </c>
      <c r="G1806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06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06" s="36">
        <v>9033</v>
      </c>
      <c r="J1806" s="36" t="str">
        <f>IFERROR(INDEX(Структура_ассортимента[Generic Name (long)],MATCH(Товары[[#This Row],[SubGroup]],Структура_ассортимента[Subgroup],0)),"")</f>
        <v>WATERING SET</v>
      </c>
      <c r="L1806" s="36">
        <v>900912401</v>
      </c>
      <c r="M1806" s="35" t="s">
        <v>3482</v>
      </c>
      <c r="O1806" s="35" t="s">
        <v>7937</v>
      </c>
      <c r="P1806" s="37" t="s">
        <v>7938</v>
      </c>
      <c r="Q1806" s="34" t="s">
        <v>3549</v>
      </c>
      <c r="R1806" s="34" t="s">
        <v>3540</v>
      </c>
      <c r="S1806" s="47">
        <v>34243</v>
      </c>
      <c r="T1806" s="47">
        <v>0</v>
      </c>
      <c r="U1806" s="47">
        <v>0</v>
      </c>
      <c r="V1806" s="34">
        <v>4078500137287</v>
      </c>
      <c r="W1806" s="34" t="s">
        <v>3543</v>
      </c>
      <c r="X1806" s="34" t="s">
        <v>3579</v>
      </c>
      <c r="Y1806" s="34" t="s">
        <v>3542</v>
      </c>
      <c r="Z1806" s="34">
        <v>10</v>
      </c>
      <c r="AA1806" s="34" t="s">
        <v>3799</v>
      </c>
      <c r="AB1806" s="34" t="s">
        <v>6490</v>
      </c>
      <c r="AC1806" s="34" t="s">
        <v>3807</v>
      </c>
      <c r="AD1806" s="34" t="s">
        <v>3794</v>
      </c>
      <c r="AE1806" s="34" t="s">
        <v>3693</v>
      </c>
      <c r="AF1806" s="34" t="s">
        <v>3576</v>
      </c>
      <c r="AG1806" s="34" t="s">
        <v>3808</v>
      </c>
      <c r="AH1806" s="34" t="s">
        <v>3809</v>
      </c>
      <c r="AL1806" s="34">
        <v>2160</v>
      </c>
      <c r="AM1806" s="40" t="s">
        <v>9</v>
      </c>
      <c r="AP1806" s="34">
        <v>0</v>
      </c>
      <c r="AQ1806" s="34">
        <v>539</v>
      </c>
      <c r="AR1806" s="34">
        <v>314</v>
      </c>
      <c r="AT1806" s="44">
        <v>41700</v>
      </c>
      <c r="AU1806" s="44"/>
      <c r="AV1806" s="46">
        <f>ROUND(Товары[[#This Row],[РРЦ финальная, руб.]]/$AU$1,2)</f>
        <v>0</v>
      </c>
      <c r="AW1806" s="45" t="str">
        <f>IFERROR(Товары[[#This Row],[РРЦ, евро]]/Товары[[#This Row],[IRP, Eur]],"-")</f>
        <v>-</v>
      </c>
      <c r="AX1806" s="42">
        <f>IFERROR(VLOOKUP(Товары[[#This Row],[SubGroup]],'Структура цен DIY'!$B:$C,2,FALSE),0)</f>
        <v>0.30000000000000016</v>
      </c>
      <c r="AY1806" s="44">
        <v>0</v>
      </c>
    </row>
    <row r="1807" spans="1:51" x14ac:dyDescent="0.25">
      <c r="A1807" s="34">
        <v>1805</v>
      </c>
      <c r="B1807" s="34" t="s">
        <v>49</v>
      </c>
      <c r="C1807" s="110" t="str">
        <f>IFERROR(INDEX(Структура_ассортимента[SuperCategory],MATCH(Товары[[#This Row],[SubGroup]],Структура_ассортимента[Subgroup],0)),"")</f>
        <v>W</v>
      </c>
      <c r="D180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0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07" s="110" t="str">
        <f>IFERROR(INDEX(Структура_ассортимента[Product group],MATCH(Товары[[#This Row],[SubGroup]],Структура_ассортимента[Subgroup],0)),"")</f>
        <v>WSS_C</v>
      </c>
      <c r="G1807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07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07" s="36">
        <v>9033</v>
      </c>
      <c r="J1807" s="36" t="str">
        <f>IFERROR(INDEX(Структура_ассортимента[Generic Name (long)],MATCH(Товары[[#This Row],[SubGroup]],Структура_ассортимента[Subgroup],0)),"")</f>
        <v>WATERING SET</v>
      </c>
      <c r="L1807" s="36">
        <v>900915701</v>
      </c>
      <c r="M1807" s="35" t="s">
        <v>3483</v>
      </c>
      <c r="O1807" s="35" t="s">
        <v>7939</v>
      </c>
      <c r="P1807" s="37" t="s">
        <v>7940</v>
      </c>
      <c r="Q1807" s="34" t="s">
        <v>3549</v>
      </c>
      <c r="R1807" s="34" t="s">
        <v>3540</v>
      </c>
      <c r="S1807" s="47">
        <v>35339</v>
      </c>
      <c r="T1807" s="47">
        <v>0</v>
      </c>
      <c r="U1807" s="47">
        <v>0</v>
      </c>
      <c r="V1807" s="34">
        <v>4078500139687</v>
      </c>
      <c r="W1807" s="34" t="s">
        <v>3543</v>
      </c>
      <c r="X1807" s="34" t="s">
        <v>3579</v>
      </c>
      <c r="Y1807" s="34" t="s">
        <v>3542</v>
      </c>
      <c r="Z1807" s="34">
        <v>10</v>
      </c>
      <c r="AA1807" s="34" t="s">
        <v>6455</v>
      </c>
      <c r="AB1807" s="34" t="s">
        <v>6516</v>
      </c>
      <c r="AC1807" s="34" t="s">
        <v>3803</v>
      </c>
      <c r="AD1807" s="34" t="s">
        <v>7097</v>
      </c>
      <c r="AE1807" s="34" t="s">
        <v>3693</v>
      </c>
      <c r="AF1807" s="34" t="s">
        <v>3576</v>
      </c>
      <c r="AG1807" s="34" t="s">
        <v>4234</v>
      </c>
      <c r="AH1807" s="34" t="s">
        <v>5634</v>
      </c>
      <c r="AL1807" s="34">
        <v>1320</v>
      </c>
      <c r="AM1807" s="40" t="s">
        <v>9</v>
      </c>
      <c r="AP1807" s="34">
        <v>0</v>
      </c>
      <c r="AQ1807" s="34">
        <v>649</v>
      </c>
      <c r="AR1807" s="34">
        <v>379</v>
      </c>
      <c r="AT1807" s="44">
        <v>50300</v>
      </c>
      <c r="AU1807" s="44"/>
      <c r="AV1807" s="46">
        <f>ROUND(Товары[[#This Row],[РРЦ финальная, руб.]]/$AU$1,2)</f>
        <v>0</v>
      </c>
      <c r="AW1807" s="45" t="str">
        <f>IFERROR(Товары[[#This Row],[РРЦ, евро]]/Товары[[#This Row],[IRP, Eur]],"-")</f>
        <v>-</v>
      </c>
      <c r="AX1807" s="42">
        <f>IFERROR(VLOOKUP(Товары[[#This Row],[SubGroup]],'Структура цен DIY'!$B:$C,2,FALSE),0)</f>
        <v>0.30000000000000016</v>
      </c>
      <c r="AY1807" s="44">
        <v>0</v>
      </c>
    </row>
    <row r="1808" spans="1:51" x14ac:dyDescent="0.25">
      <c r="A1808" s="34">
        <v>1806</v>
      </c>
      <c r="B1808" s="34" t="s">
        <v>49</v>
      </c>
      <c r="C1808" s="110" t="str">
        <f>IFERROR(INDEX(Структура_ассортимента[SuperCategory],MATCH(Товары[[#This Row],[SubGroup]],Структура_ассортимента[Subgroup],0)),"")</f>
        <v>W</v>
      </c>
      <c r="D180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0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08" s="110" t="str">
        <f>IFERROR(INDEX(Структура_ассортимента[Product group],MATCH(Товары[[#This Row],[SubGroup]],Структура_ассортимента[Subgroup],0)),"")</f>
        <v>WSS_C</v>
      </c>
      <c r="G1808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08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08" s="36">
        <v>9033</v>
      </c>
      <c r="J1808" s="36" t="str">
        <f>IFERROR(INDEX(Структура_ассортимента[Generic Name (long)],MATCH(Товары[[#This Row],[SubGroup]],Структура_ассортимента[Subgroup],0)),"")</f>
        <v>WATERING SET</v>
      </c>
      <c r="L1808" s="36">
        <v>901162001</v>
      </c>
      <c r="M1808" s="35" t="s">
        <v>3484</v>
      </c>
      <c r="O1808" s="35" t="s">
        <v>7941</v>
      </c>
      <c r="P1808" s="37" t="s">
        <v>7942</v>
      </c>
      <c r="Q1808" s="34" t="s">
        <v>3549</v>
      </c>
      <c r="R1808" s="34" t="s">
        <v>3540</v>
      </c>
      <c r="S1808" s="47">
        <v>37530</v>
      </c>
      <c r="T1808" s="47">
        <v>0</v>
      </c>
      <c r="U1808" s="47">
        <v>0</v>
      </c>
      <c r="V1808" s="34">
        <v>4078500832199</v>
      </c>
      <c r="W1808" s="34" t="s">
        <v>3543</v>
      </c>
      <c r="X1808" s="34" t="s">
        <v>3579</v>
      </c>
      <c r="Y1808" s="34" t="s">
        <v>3542</v>
      </c>
      <c r="Z1808" s="34">
        <v>10</v>
      </c>
      <c r="AA1808" s="34" t="s">
        <v>5644</v>
      </c>
      <c r="AB1808" s="34" t="s">
        <v>5644</v>
      </c>
      <c r="AC1808" s="34" t="s">
        <v>3653</v>
      </c>
      <c r="AD1808" s="34" t="s">
        <v>3653</v>
      </c>
      <c r="AE1808" s="34" t="s">
        <v>3693</v>
      </c>
      <c r="AF1808" s="34" t="s">
        <v>3576</v>
      </c>
      <c r="AG1808" s="34" t="s">
        <v>3932</v>
      </c>
      <c r="AH1808" s="34" t="s">
        <v>7716</v>
      </c>
      <c r="AL1808" s="34">
        <v>1080</v>
      </c>
      <c r="AM1808" s="40" t="s">
        <v>9</v>
      </c>
      <c r="AP1808" s="34">
        <v>0</v>
      </c>
      <c r="AQ1808" s="34">
        <v>1089</v>
      </c>
      <c r="AR1808" s="34">
        <v>635</v>
      </c>
      <c r="AT1808" s="44">
        <v>84300</v>
      </c>
      <c r="AU1808" s="44"/>
      <c r="AV1808" s="46">
        <f>ROUND(Товары[[#This Row],[РРЦ финальная, руб.]]/$AU$1,2)</f>
        <v>0</v>
      </c>
      <c r="AW1808" s="45" t="str">
        <f>IFERROR(Товары[[#This Row],[РРЦ, евро]]/Товары[[#This Row],[IRP, Eur]],"-")</f>
        <v>-</v>
      </c>
      <c r="AX1808" s="42">
        <f>IFERROR(VLOOKUP(Товары[[#This Row],[SubGroup]],'Структура цен DIY'!$B:$C,2,FALSE),0)</f>
        <v>0.30000000000000016</v>
      </c>
      <c r="AY1808" s="44">
        <v>0</v>
      </c>
    </row>
    <row r="1809" spans="1:51" x14ac:dyDescent="0.25">
      <c r="A1809" s="34">
        <v>1807</v>
      </c>
      <c r="B1809" s="34" t="s">
        <v>49</v>
      </c>
      <c r="C1809" s="110" t="str">
        <f>IFERROR(INDEX(Структура_ассортимента[SuperCategory],MATCH(Товары[[#This Row],[SubGroup]],Структура_ассортимента[Subgroup],0)),"")</f>
        <v>W</v>
      </c>
      <c r="D180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0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09" s="110" t="str">
        <f>IFERROR(INDEX(Структура_ассортимента[Product group],MATCH(Товары[[#This Row],[SubGroup]],Структура_ассортимента[Subgroup],0)),"")</f>
        <v>WSS_C</v>
      </c>
      <c r="G1809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09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09" s="36">
        <v>9033</v>
      </c>
      <c r="J1809" s="36" t="str">
        <f>IFERROR(INDEX(Структура_ассортимента[Generic Name (long)],MATCH(Товары[[#This Row],[SubGroup]],Структура_ассортимента[Subgroup],0)),"")</f>
        <v>WATERING SET</v>
      </c>
      <c r="L1809" s="36">
        <v>900911301</v>
      </c>
      <c r="M1809" s="35" t="s">
        <v>3485</v>
      </c>
      <c r="O1809" s="35" t="s">
        <v>7943</v>
      </c>
      <c r="P1809" s="37" t="s">
        <v>7944</v>
      </c>
      <c r="Q1809" s="34" t="s">
        <v>3549</v>
      </c>
      <c r="R1809" s="34" t="s">
        <v>3540</v>
      </c>
      <c r="S1809" s="47">
        <v>32782</v>
      </c>
      <c r="T1809" s="47">
        <v>0</v>
      </c>
      <c r="U1809" s="47">
        <v>0</v>
      </c>
      <c r="V1809" s="34">
        <v>4078500136785</v>
      </c>
      <c r="W1809" s="34" t="s">
        <v>3543</v>
      </c>
      <c r="X1809" s="34" t="s">
        <v>3579</v>
      </c>
      <c r="Y1809" s="34" t="s">
        <v>3542</v>
      </c>
      <c r="Z1809" s="34">
        <v>10</v>
      </c>
      <c r="AA1809" s="34" t="s">
        <v>3784</v>
      </c>
      <c r="AB1809" s="34" t="s">
        <v>3803</v>
      </c>
      <c r="AC1809" s="34" t="s">
        <v>3795</v>
      </c>
      <c r="AD1809" s="34" t="s">
        <v>3795</v>
      </c>
      <c r="AE1809" s="34" t="s">
        <v>4793</v>
      </c>
      <c r="AF1809" s="34" t="s">
        <v>5613</v>
      </c>
      <c r="AG1809" s="34" t="s">
        <v>3663</v>
      </c>
      <c r="AH1809" s="34" t="s">
        <v>6579</v>
      </c>
      <c r="AL1809" s="34">
        <v>2160</v>
      </c>
      <c r="AM1809" s="40" t="s">
        <v>9</v>
      </c>
      <c r="AP1809" s="34">
        <v>0</v>
      </c>
      <c r="AQ1809" s="34">
        <v>539</v>
      </c>
      <c r="AR1809" s="34">
        <v>314</v>
      </c>
      <c r="AT1809" s="44">
        <v>41700</v>
      </c>
      <c r="AU1809" s="44"/>
      <c r="AV1809" s="46">
        <f>ROUND(Товары[[#This Row],[РРЦ финальная, руб.]]/$AU$1,2)</f>
        <v>0</v>
      </c>
      <c r="AW1809" s="45" t="str">
        <f>IFERROR(Товары[[#This Row],[РРЦ, евро]]/Товары[[#This Row],[IRP, Eur]],"-")</f>
        <v>-</v>
      </c>
      <c r="AX1809" s="42">
        <f>IFERROR(VLOOKUP(Товары[[#This Row],[SubGroup]],'Структура цен DIY'!$B:$C,2,FALSE),0)</f>
        <v>0.30000000000000016</v>
      </c>
      <c r="AY1809" s="44">
        <v>0</v>
      </c>
    </row>
    <row r="1810" spans="1:51" x14ac:dyDescent="0.25">
      <c r="A1810" s="34">
        <v>1808</v>
      </c>
      <c r="B1810" s="34" t="s">
        <v>49</v>
      </c>
      <c r="C1810" s="110" t="str">
        <f>IFERROR(INDEX(Структура_ассортимента[SuperCategory],MATCH(Товары[[#This Row],[SubGroup]],Структура_ассортимента[Subgroup],0)),"")</f>
        <v>W</v>
      </c>
      <c r="D181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1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10" s="110" t="str">
        <f>IFERROR(INDEX(Структура_ассортимента[Product group],MATCH(Товары[[#This Row],[SubGroup]],Структура_ассортимента[Subgroup],0)),"")</f>
        <v>WSS_C</v>
      </c>
      <c r="G1810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10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10" s="36">
        <v>9033</v>
      </c>
      <c r="J1810" s="36" t="str">
        <f>IFERROR(INDEX(Структура_ассортимента[Generic Name (long)],MATCH(Товары[[#This Row],[SubGroup]],Структура_ассортимента[Subgroup],0)),"")</f>
        <v>WATERING SET</v>
      </c>
      <c r="L1810" s="36">
        <v>900911501</v>
      </c>
      <c r="M1810" s="35" t="s">
        <v>3486</v>
      </c>
      <c r="O1810" s="35" t="s">
        <v>7945</v>
      </c>
      <c r="P1810" s="37" t="s">
        <v>7946</v>
      </c>
      <c r="Q1810" s="34" t="s">
        <v>3549</v>
      </c>
      <c r="R1810" s="34" t="s">
        <v>3540</v>
      </c>
      <c r="S1810" s="47">
        <v>32782</v>
      </c>
      <c r="T1810" s="47">
        <v>0</v>
      </c>
      <c r="U1810" s="47">
        <v>0</v>
      </c>
      <c r="V1810" s="34">
        <v>4078500136884</v>
      </c>
      <c r="W1810" s="34" t="s">
        <v>3543</v>
      </c>
      <c r="X1810" s="34" t="s">
        <v>3579</v>
      </c>
      <c r="Y1810" s="34" t="s">
        <v>3542</v>
      </c>
      <c r="Z1810" s="34">
        <v>10</v>
      </c>
      <c r="AA1810" s="34" t="s">
        <v>3794</v>
      </c>
      <c r="AB1810" s="34" t="s">
        <v>3803</v>
      </c>
      <c r="AC1810" s="34" t="s">
        <v>3795</v>
      </c>
      <c r="AD1810" s="34" t="s">
        <v>3795</v>
      </c>
      <c r="AE1810" s="34" t="s">
        <v>3693</v>
      </c>
      <c r="AF1810" s="34" t="s">
        <v>3576</v>
      </c>
      <c r="AG1810" s="34" t="s">
        <v>3808</v>
      </c>
      <c r="AH1810" s="34" t="s">
        <v>3809</v>
      </c>
      <c r="AL1810" s="34">
        <v>2160</v>
      </c>
      <c r="AM1810" s="40" t="s">
        <v>9</v>
      </c>
      <c r="AP1810" s="34">
        <v>0</v>
      </c>
      <c r="AQ1810" s="34">
        <v>539</v>
      </c>
      <c r="AR1810" s="34">
        <v>314</v>
      </c>
      <c r="AT1810" s="44">
        <v>41700</v>
      </c>
      <c r="AU1810" s="44"/>
      <c r="AV1810" s="46">
        <f>ROUND(Товары[[#This Row],[РРЦ финальная, руб.]]/$AU$1,2)</f>
        <v>0</v>
      </c>
      <c r="AW1810" s="45" t="str">
        <f>IFERROR(Товары[[#This Row],[РРЦ, евро]]/Товары[[#This Row],[IRP, Eur]],"-")</f>
        <v>-</v>
      </c>
      <c r="AX1810" s="42">
        <f>IFERROR(VLOOKUP(Товары[[#This Row],[SubGroup]],'Структура цен DIY'!$B:$C,2,FALSE),0)</f>
        <v>0.30000000000000016</v>
      </c>
      <c r="AY1810" s="44">
        <v>0</v>
      </c>
    </row>
    <row r="1811" spans="1:51" x14ac:dyDescent="0.25">
      <c r="A1811" s="34">
        <v>1809</v>
      </c>
      <c r="B1811" s="34" t="s">
        <v>49</v>
      </c>
      <c r="C1811" s="110" t="str">
        <f>IFERROR(INDEX(Структура_ассортимента[SuperCategory],MATCH(Товары[[#This Row],[SubGroup]],Структура_ассортимента[Subgroup],0)),"")</f>
        <v>W</v>
      </c>
      <c r="D181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1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11" s="110" t="str">
        <f>IFERROR(INDEX(Структура_ассортимента[Product group],MATCH(Товары[[#This Row],[SubGroup]],Структура_ассортимента[Subgroup],0)),"")</f>
        <v>WSS_C</v>
      </c>
      <c r="G1811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11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11" s="36">
        <v>9033</v>
      </c>
      <c r="J1811" s="36" t="str">
        <f>IFERROR(INDEX(Структура_ассортимента[Generic Name (long)],MATCH(Товары[[#This Row],[SubGroup]],Структура_ассортимента[Subgroup],0)),"")</f>
        <v>WATERING SET</v>
      </c>
      <c r="L1811" s="36">
        <v>967171901</v>
      </c>
      <c r="M1811" s="35" t="s">
        <v>3487</v>
      </c>
      <c r="P1811" s="37" t="s">
        <v>7947</v>
      </c>
      <c r="Q1811" s="34" t="s">
        <v>3713</v>
      </c>
      <c r="R1811" s="34" t="s">
        <v>3540</v>
      </c>
      <c r="S1811" s="47">
        <v>41183</v>
      </c>
      <c r="T1811" s="47">
        <v>43830</v>
      </c>
      <c r="U1811" s="47">
        <v>43830</v>
      </c>
      <c r="V1811" s="34">
        <v>4078500836104</v>
      </c>
      <c r="W1811" s="34" t="s">
        <v>3543</v>
      </c>
      <c r="Y1811" s="34" t="s">
        <v>3542</v>
      </c>
      <c r="Z1811" s="34">
        <v>3</v>
      </c>
      <c r="AA1811" s="34" t="s">
        <v>4180</v>
      </c>
      <c r="AB1811" s="34" t="s">
        <v>4180</v>
      </c>
      <c r="AC1811" s="34" t="s">
        <v>4147</v>
      </c>
      <c r="AD1811" s="34" t="s">
        <v>4147</v>
      </c>
      <c r="AE1811" s="34" t="s">
        <v>3662</v>
      </c>
      <c r="AF1811" s="34" t="s">
        <v>3920</v>
      </c>
      <c r="AG1811" s="34" t="s">
        <v>3576</v>
      </c>
      <c r="AH1811" s="34" t="s">
        <v>7948</v>
      </c>
      <c r="AL1811" s="34" t="s">
        <v>3593</v>
      </c>
      <c r="AM1811" s="40" t="s">
        <v>233</v>
      </c>
      <c r="AP1811" s="34">
        <v>0</v>
      </c>
      <c r="AQ1811" s="34">
        <v>2369</v>
      </c>
      <c r="AR1811" s="34">
        <v>1382</v>
      </c>
      <c r="AT1811" s="44">
        <v>183500</v>
      </c>
      <c r="AU1811" s="44"/>
      <c r="AV1811" s="46">
        <f>ROUND(Товары[[#This Row],[РРЦ финальная, руб.]]/$AU$1,2)</f>
        <v>0</v>
      </c>
      <c r="AW1811" s="45" t="str">
        <f>IFERROR(Товары[[#This Row],[РРЦ, евро]]/Товары[[#This Row],[IRP, Eur]],"-")</f>
        <v>-</v>
      </c>
      <c r="AX1811" s="42">
        <f>IFERROR(VLOOKUP(Товары[[#This Row],[SubGroup]],'Структура цен DIY'!$B:$C,2,FALSE),0)</f>
        <v>0.30000000000000016</v>
      </c>
      <c r="AY1811" s="44">
        <v>0</v>
      </c>
    </row>
    <row r="1812" spans="1:51" x14ac:dyDescent="0.25">
      <c r="A1812" s="34">
        <v>1810</v>
      </c>
      <c r="B1812" s="34" t="s">
        <v>49</v>
      </c>
      <c r="C1812" s="110" t="str">
        <f>IFERROR(INDEX(Структура_ассортимента[SuperCategory],MATCH(Товары[[#This Row],[SubGroup]],Структура_ассортимента[Subgroup],0)),"")</f>
        <v>W</v>
      </c>
      <c r="D181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1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12" s="110" t="str">
        <f>IFERROR(INDEX(Структура_ассортимента[Product group],MATCH(Товары[[#This Row],[SubGroup]],Структура_ассортимента[Subgroup],0)),"")</f>
        <v>WSS_C</v>
      </c>
      <c r="G1812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12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12" s="36">
        <v>9033</v>
      </c>
      <c r="J1812" s="36" t="str">
        <f>IFERROR(INDEX(Структура_ассортимента[Generic Name (long)],MATCH(Товары[[#This Row],[SubGroup]],Структура_ассортимента[Subgroup],0)),"")</f>
        <v>WATERING SET</v>
      </c>
      <c r="L1812" s="36">
        <v>967693001</v>
      </c>
      <c r="M1812" s="35" t="s">
        <v>3488</v>
      </c>
      <c r="O1812" s="35" t="s">
        <v>7949</v>
      </c>
      <c r="P1812" s="37" t="s">
        <v>7950</v>
      </c>
      <c r="Q1812" s="34" t="s">
        <v>3549</v>
      </c>
      <c r="R1812" s="34" t="s">
        <v>3540</v>
      </c>
      <c r="S1812" s="47">
        <v>43101</v>
      </c>
      <c r="T1812" s="47">
        <v>0</v>
      </c>
      <c r="U1812" s="47">
        <v>0</v>
      </c>
      <c r="V1812" s="34">
        <v>4078500034876</v>
      </c>
      <c r="W1812" s="34" t="s">
        <v>3546</v>
      </c>
      <c r="X1812" s="34" t="s">
        <v>3787</v>
      </c>
      <c r="Y1812" s="34" t="s">
        <v>3542</v>
      </c>
      <c r="Z1812" s="34">
        <v>6</v>
      </c>
      <c r="AA1812" s="34">
        <v>50</v>
      </c>
      <c r="AB1812" s="34" t="s">
        <v>4101</v>
      </c>
      <c r="AC1812" s="34">
        <v>40</v>
      </c>
      <c r="AD1812" s="34" t="s">
        <v>3671</v>
      </c>
      <c r="AE1812" s="34" t="s">
        <v>3955</v>
      </c>
      <c r="AF1812" s="34" t="s">
        <v>4652</v>
      </c>
      <c r="AG1812" s="34" t="s">
        <v>5125</v>
      </c>
      <c r="AH1812" s="34" t="s">
        <v>7951</v>
      </c>
      <c r="AL1812" s="34" t="s">
        <v>6071</v>
      </c>
      <c r="AM1812" s="40" t="s">
        <v>9</v>
      </c>
      <c r="AP1812" s="34">
        <v>0</v>
      </c>
      <c r="AQ1812" s="34">
        <v>1089</v>
      </c>
      <c r="AR1812" s="34">
        <v>635</v>
      </c>
      <c r="AT1812" s="44">
        <v>84300</v>
      </c>
      <c r="AU1812" s="44"/>
      <c r="AV1812" s="46">
        <f>ROUND(Товары[[#This Row],[РРЦ финальная, руб.]]/$AU$1,2)</f>
        <v>0</v>
      </c>
      <c r="AW1812" s="45" t="str">
        <f>IFERROR(Товары[[#This Row],[РРЦ, евро]]/Товары[[#This Row],[IRP, Eur]],"-")</f>
        <v>-</v>
      </c>
      <c r="AX1812" s="42">
        <f>IFERROR(VLOOKUP(Товары[[#This Row],[SubGroup]],'Структура цен DIY'!$B:$C,2,FALSE),0)</f>
        <v>0.30000000000000016</v>
      </c>
      <c r="AY1812" s="44">
        <v>0</v>
      </c>
    </row>
    <row r="1813" spans="1:51" x14ac:dyDescent="0.25">
      <c r="A1813" s="34">
        <v>1811</v>
      </c>
      <c r="B1813" s="34" t="s">
        <v>49</v>
      </c>
      <c r="C1813" s="110" t="str">
        <f>IFERROR(INDEX(Структура_ассортимента[SuperCategory],MATCH(Товары[[#This Row],[SubGroup]],Структура_ассортимента[Subgroup],0)),"")</f>
        <v>W</v>
      </c>
      <c r="D181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1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13" s="110" t="str">
        <f>IFERROR(INDEX(Структура_ассортимента[Product group],MATCH(Товары[[#This Row],[SubGroup]],Структура_ассортимента[Subgroup],0)),"")</f>
        <v>WSS_C</v>
      </c>
      <c r="G1813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13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13" s="36">
        <v>9033</v>
      </c>
      <c r="J1813" s="36" t="str">
        <f>IFERROR(INDEX(Структура_ассортимента[Generic Name (long)],MATCH(Товары[[#This Row],[SubGroup]],Структура_ассортимента[Subgroup],0)),"")</f>
        <v>WATERING SET</v>
      </c>
      <c r="L1813" s="36">
        <v>900910701</v>
      </c>
      <c r="M1813" s="35" t="s">
        <v>3489</v>
      </c>
      <c r="O1813" s="35" t="s">
        <v>7952</v>
      </c>
      <c r="P1813" s="37" t="s">
        <v>7953</v>
      </c>
      <c r="Q1813" s="34" t="s">
        <v>3549</v>
      </c>
      <c r="R1813" s="34" t="s">
        <v>3540</v>
      </c>
      <c r="S1813" s="47">
        <v>39722</v>
      </c>
      <c r="T1813" s="47">
        <v>0</v>
      </c>
      <c r="U1813" s="47">
        <v>0</v>
      </c>
      <c r="V1813" s="34">
        <v>4078500136204</v>
      </c>
      <c r="W1813" s="34" t="s">
        <v>3550</v>
      </c>
      <c r="X1813" s="34" t="s">
        <v>3907</v>
      </c>
      <c r="Y1813" s="34" t="s">
        <v>3542</v>
      </c>
      <c r="Z1813" s="34">
        <v>4</v>
      </c>
      <c r="AA1813" s="34" t="s">
        <v>4180</v>
      </c>
      <c r="AB1813" s="34" t="s">
        <v>4180</v>
      </c>
      <c r="AC1813" s="34" t="s">
        <v>4159</v>
      </c>
      <c r="AD1813" s="34" t="s">
        <v>4159</v>
      </c>
      <c r="AE1813" s="34" t="s">
        <v>3753</v>
      </c>
      <c r="AF1813" s="34" t="s">
        <v>3753</v>
      </c>
      <c r="AG1813" s="34" t="s">
        <v>3754</v>
      </c>
      <c r="AH1813" s="34" t="s">
        <v>7954</v>
      </c>
      <c r="AI1813" s="34" t="s">
        <v>7955</v>
      </c>
      <c r="AJ1813" s="34" t="s">
        <v>4361</v>
      </c>
      <c r="AK1813" s="34" t="s">
        <v>4361</v>
      </c>
      <c r="AL1813" s="34">
        <v>240</v>
      </c>
      <c r="AM1813" s="40" t="s">
        <v>9</v>
      </c>
      <c r="AP1813" s="34">
        <v>0</v>
      </c>
      <c r="AQ1813" s="34">
        <v>1749</v>
      </c>
      <c r="AR1813" s="34">
        <v>1049</v>
      </c>
      <c r="AT1813" s="44">
        <v>135500</v>
      </c>
      <c r="AU1813" s="44"/>
      <c r="AV1813" s="46">
        <f>ROUND(Товары[[#This Row],[РРЦ финальная, руб.]]/$AU$1,2)</f>
        <v>0</v>
      </c>
      <c r="AW1813" s="45" t="str">
        <f>IFERROR(Товары[[#This Row],[РРЦ, евро]]/Товары[[#This Row],[IRP, Eur]],"-")</f>
        <v>-</v>
      </c>
      <c r="AX1813" s="42">
        <f>IFERROR(VLOOKUP(Товары[[#This Row],[SubGroup]],'Структура цен DIY'!$B:$C,2,FALSE),0)</f>
        <v>0.30000000000000016</v>
      </c>
      <c r="AY1813" s="44">
        <v>0</v>
      </c>
    </row>
    <row r="1814" spans="1:51" x14ac:dyDescent="0.25">
      <c r="A1814" s="34">
        <v>1812</v>
      </c>
      <c r="B1814" s="34" t="s">
        <v>49</v>
      </c>
      <c r="C1814" s="110" t="str">
        <f>IFERROR(INDEX(Структура_ассортимента[SuperCategory],MATCH(Товары[[#This Row],[SubGroup]],Структура_ассортимента[Subgroup],0)),"")</f>
        <v>W</v>
      </c>
      <c r="D181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1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14" s="110" t="str">
        <f>IFERROR(INDEX(Структура_ассортимента[Product group],MATCH(Товары[[#This Row],[SubGroup]],Структура_ассортимента[Subgroup],0)),"")</f>
        <v>WSS_C</v>
      </c>
      <c r="G1814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14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14" s="36">
        <v>9033</v>
      </c>
      <c r="J1814" s="36" t="str">
        <f>IFERROR(INDEX(Структура_ассортимента[Generic Name (long)],MATCH(Товары[[#This Row],[SubGroup]],Структура_ассортимента[Subgroup],0)),"")</f>
        <v>WATERING SET</v>
      </c>
      <c r="L1814" s="36">
        <v>900914601</v>
      </c>
      <c r="M1814" s="35" t="s">
        <v>3490</v>
      </c>
      <c r="Q1814" s="34" t="s">
        <v>3549</v>
      </c>
      <c r="R1814" s="34" t="s">
        <v>3540</v>
      </c>
      <c r="S1814" s="47">
        <v>38626</v>
      </c>
      <c r="T1814" s="47">
        <v>0</v>
      </c>
      <c r="U1814" s="47">
        <v>0</v>
      </c>
      <c r="V1814" s="34">
        <v>4078500138901</v>
      </c>
      <c r="W1814" s="34" t="s">
        <v>3550</v>
      </c>
      <c r="X1814" s="34" t="s">
        <v>7956</v>
      </c>
      <c r="Y1814" s="34" t="s">
        <v>3542</v>
      </c>
      <c r="Z1814" s="34">
        <v>1</v>
      </c>
      <c r="AA1814" s="34" t="s">
        <v>7957</v>
      </c>
      <c r="AB1814" s="34" t="s">
        <v>7957</v>
      </c>
      <c r="AC1814" s="34" t="s">
        <v>7958</v>
      </c>
      <c r="AD1814" s="34" t="s">
        <v>7958</v>
      </c>
      <c r="AE1814" s="34" t="s">
        <v>4323</v>
      </c>
      <c r="AF1814" s="34" t="s">
        <v>4323</v>
      </c>
      <c r="AG1814" s="34" t="s">
        <v>4391</v>
      </c>
      <c r="AH1814" s="34" t="s">
        <v>7959</v>
      </c>
      <c r="AL1814" s="34">
        <v>36</v>
      </c>
      <c r="AM1814" s="40" t="s">
        <v>8095</v>
      </c>
      <c r="AT1814" s="44">
        <v>0</v>
      </c>
      <c r="AU1814" s="44"/>
      <c r="AV1814" s="46">
        <f>ROUND(Товары[[#This Row],[РРЦ финальная, руб.]]/$AU$1,2)</f>
        <v>0</v>
      </c>
      <c r="AW1814" s="45" t="str">
        <f>IFERROR(Товары[[#This Row],[РРЦ, евро]]/Товары[[#This Row],[IRP, Eur]],"-")</f>
        <v>-</v>
      </c>
      <c r="AX1814" s="42">
        <f>IFERROR(VLOOKUP(Товары[[#This Row],[SubGroup]],'Структура цен DIY'!$B:$C,2,FALSE),0)</f>
        <v>0.30000000000000016</v>
      </c>
      <c r="AY1814" s="44">
        <v>0</v>
      </c>
    </row>
    <row r="1815" spans="1:51" x14ac:dyDescent="0.25">
      <c r="A1815" s="34">
        <v>1813</v>
      </c>
      <c r="B1815" s="34" t="s">
        <v>49</v>
      </c>
      <c r="C1815" s="110" t="str">
        <f>IFERROR(INDEX(Структура_ассортимента[SuperCategory],MATCH(Товары[[#This Row],[SubGroup]],Структура_ассортимента[Subgroup],0)),"")</f>
        <v>W</v>
      </c>
      <c r="D181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1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15" s="110" t="str">
        <f>IFERROR(INDEX(Структура_ассортимента[Product group],MATCH(Товары[[#This Row],[SubGroup]],Структура_ассортимента[Subgroup],0)),"")</f>
        <v>WSS_C</v>
      </c>
      <c r="G1815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15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15" s="36">
        <v>9033</v>
      </c>
      <c r="J1815" s="36" t="str">
        <f>IFERROR(INDEX(Структура_ассортимента[Generic Name (long)],MATCH(Товары[[#This Row],[SubGroup]],Структура_ассортимента[Subgroup],0)),"")</f>
        <v>WATERING SET</v>
      </c>
      <c r="L1815" s="36">
        <v>900915301</v>
      </c>
      <c r="M1815" s="35" t="s">
        <v>3491</v>
      </c>
      <c r="O1815" s="35" t="s">
        <v>7960</v>
      </c>
      <c r="P1815" s="37" t="s">
        <v>7961</v>
      </c>
      <c r="Q1815" s="34" t="s">
        <v>3549</v>
      </c>
      <c r="R1815" s="34" t="s">
        <v>3540</v>
      </c>
      <c r="S1815" s="47">
        <v>38626</v>
      </c>
      <c r="T1815" s="47">
        <v>0</v>
      </c>
      <c r="U1815" s="47">
        <v>0</v>
      </c>
      <c r="V1815" s="34">
        <v>4078500139502</v>
      </c>
      <c r="W1815" s="34" t="s">
        <v>3550</v>
      </c>
      <c r="X1815" s="34" t="s">
        <v>7956</v>
      </c>
      <c r="Y1815" s="34" t="s">
        <v>3542</v>
      </c>
      <c r="Z1815" s="34">
        <v>1</v>
      </c>
      <c r="AA1815" s="34" t="s">
        <v>7962</v>
      </c>
      <c r="AB1815" s="34" t="s">
        <v>7962</v>
      </c>
      <c r="AC1815" s="34" t="s">
        <v>4449</v>
      </c>
      <c r="AD1815" s="34" t="s">
        <v>4449</v>
      </c>
      <c r="AE1815" s="34" t="s">
        <v>4323</v>
      </c>
      <c r="AF1815" s="34" t="s">
        <v>4323</v>
      </c>
      <c r="AG1815" s="34" t="s">
        <v>4391</v>
      </c>
      <c r="AH1815" s="34" t="s">
        <v>7959</v>
      </c>
      <c r="AL1815" s="34">
        <v>36</v>
      </c>
      <c r="AM1815" s="40" t="s">
        <v>9</v>
      </c>
      <c r="AP1815" s="34">
        <v>0</v>
      </c>
      <c r="AQ1815" s="34">
        <v>9119</v>
      </c>
      <c r="AR1815" s="34">
        <v>5319</v>
      </c>
      <c r="AT1815" s="44">
        <v>706300</v>
      </c>
      <c r="AU1815" s="44"/>
      <c r="AV1815" s="46">
        <f>ROUND(Товары[[#This Row],[РРЦ финальная, руб.]]/$AU$1,2)</f>
        <v>0</v>
      </c>
      <c r="AW1815" s="45" t="str">
        <f>IFERROR(Товары[[#This Row],[РРЦ, евро]]/Товары[[#This Row],[IRP, Eur]],"-")</f>
        <v>-</v>
      </c>
      <c r="AX1815" s="42">
        <f>IFERROR(VLOOKUP(Товары[[#This Row],[SubGroup]],'Структура цен DIY'!$B:$C,2,FALSE),0)</f>
        <v>0.30000000000000016</v>
      </c>
      <c r="AY1815" s="44">
        <v>0</v>
      </c>
    </row>
    <row r="1816" spans="1:51" x14ac:dyDescent="0.25">
      <c r="A1816" s="34">
        <v>1814</v>
      </c>
      <c r="B1816" s="34" t="s">
        <v>49</v>
      </c>
      <c r="C1816" s="110" t="str">
        <f>IFERROR(INDEX(Структура_ассортимента[SuperCategory],MATCH(Товары[[#This Row],[SubGroup]],Структура_ассортимента[Subgroup],0)),"")</f>
        <v>W</v>
      </c>
      <c r="D181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1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16" s="110" t="str">
        <f>IFERROR(INDEX(Структура_ассортимента[Product group],MATCH(Товары[[#This Row],[SubGroup]],Структура_ассортимента[Subgroup],0)),"")</f>
        <v>WSS_C</v>
      </c>
      <c r="G1816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16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16" s="36">
        <v>9033</v>
      </c>
      <c r="J1816" s="36" t="str">
        <f>IFERROR(INDEX(Структура_ассортимента[Generic Name (long)],MATCH(Товары[[#This Row],[SubGroup]],Структура_ассортимента[Subgroup],0)),"")</f>
        <v>WATERING SET</v>
      </c>
      <c r="L1816" s="36">
        <v>900902901</v>
      </c>
      <c r="M1816" s="35" t="s">
        <v>3492</v>
      </c>
      <c r="O1816" s="35" t="s">
        <v>7963</v>
      </c>
      <c r="P1816" s="37" t="s">
        <v>7964</v>
      </c>
      <c r="Q1816" s="34" t="s">
        <v>3549</v>
      </c>
      <c r="R1816" s="34" t="s">
        <v>3540</v>
      </c>
      <c r="S1816" s="47">
        <v>34090</v>
      </c>
      <c r="T1816" s="47">
        <v>0</v>
      </c>
      <c r="U1816" s="47">
        <v>0</v>
      </c>
      <c r="V1816" s="34">
        <v>4078500126502</v>
      </c>
      <c r="W1816" s="34" t="s">
        <v>3543</v>
      </c>
      <c r="X1816" s="34" t="s">
        <v>3579</v>
      </c>
      <c r="Y1816" s="34" t="s">
        <v>3542</v>
      </c>
      <c r="Z1816" s="34">
        <v>4</v>
      </c>
      <c r="AA1816" s="34" t="s">
        <v>5097</v>
      </c>
      <c r="AB1816" s="34" t="s">
        <v>3573</v>
      </c>
      <c r="AC1816" s="34" t="s">
        <v>7965</v>
      </c>
      <c r="AD1816" s="34" t="s">
        <v>3598</v>
      </c>
      <c r="AE1816" s="34" t="s">
        <v>5566</v>
      </c>
      <c r="AF1816" s="34" t="s">
        <v>4794</v>
      </c>
      <c r="AG1816" s="34" t="s">
        <v>6811</v>
      </c>
      <c r="AH1816" s="34" t="s">
        <v>7966</v>
      </c>
      <c r="AL1816" s="34" t="s">
        <v>3578</v>
      </c>
      <c r="AM1816" s="40" t="s">
        <v>9</v>
      </c>
      <c r="AP1816" s="34">
        <v>0</v>
      </c>
      <c r="AQ1816" s="34">
        <v>10989</v>
      </c>
      <c r="AR1816" s="34">
        <v>6593</v>
      </c>
      <c r="AT1816" s="44">
        <v>851100</v>
      </c>
      <c r="AU1816" s="44"/>
      <c r="AV1816" s="46">
        <f>ROUND(Товары[[#This Row],[РРЦ финальная, руб.]]/$AU$1,2)</f>
        <v>0</v>
      </c>
      <c r="AW1816" s="45" t="str">
        <f>IFERROR(Товары[[#This Row],[РРЦ, евро]]/Товары[[#This Row],[IRP, Eur]],"-")</f>
        <v>-</v>
      </c>
      <c r="AX1816" s="42">
        <f>IFERROR(VLOOKUP(Товары[[#This Row],[SubGroup]],'Структура цен DIY'!$B:$C,2,FALSE),0)</f>
        <v>0.30000000000000016</v>
      </c>
      <c r="AY1816" s="44">
        <v>0</v>
      </c>
    </row>
    <row r="1817" spans="1:51" x14ac:dyDescent="0.25">
      <c r="A1817" s="34">
        <v>1815</v>
      </c>
      <c r="B1817" s="34" t="s">
        <v>49</v>
      </c>
      <c r="C1817" s="110" t="str">
        <f>IFERROR(INDEX(Структура_ассортимента[SuperCategory],MATCH(Товары[[#This Row],[SubGroup]],Структура_ассортимента[Subgroup],0)),"")</f>
        <v>W</v>
      </c>
      <c r="D181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1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17" s="110" t="str">
        <f>IFERROR(INDEX(Структура_ассортимента[Product group],MATCH(Товары[[#This Row],[SubGroup]],Структура_ассортимента[Subgroup],0)),"")</f>
        <v>WSS_C</v>
      </c>
      <c r="G1817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17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17" s="36">
        <v>9033</v>
      </c>
      <c r="J1817" s="36" t="str">
        <f>IFERROR(INDEX(Структура_ассортимента[Generic Name (long)],MATCH(Товары[[#This Row],[SubGroup]],Структура_ассортимента[Subgroup],0)),"")</f>
        <v>WATERING SET</v>
      </c>
      <c r="L1817" s="36">
        <v>900903201</v>
      </c>
      <c r="M1817" s="35" t="s">
        <v>3493</v>
      </c>
      <c r="O1817" s="35" t="s">
        <v>7967</v>
      </c>
      <c r="P1817" s="37" t="s">
        <v>7968</v>
      </c>
      <c r="Q1817" s="34" t="s">
        <v>3549</v>
      </c>
      <c r="R1817" s="34" t="s">
        <v>3540</v>
      </c>
      <c r="S1817" s="47">
        <v>34215</v>
      </c>
      <c r="T1817" s="47">
        <v>0</v>
      </c>
      <c r="U1817" s="47">
        <v>0</v>
      </c>
      <c r="V1817" s="34">
        <v>4078500126601</v>
      </c>
      <c r="W1817" s="34" t="s">
        <v>3543</v>
      </c>
      <c r="X1817" s="34" t="s">
        <v>3579</v>
      </c>
      <c r="Y1817" s="34" t="s">
        <v>3542</v>
      </c>
      <c r="Z1817" s="34">
        <v>4</v>
      </c>
      <c r="AA1817" s="34" t="s">
        <v>7969</v>
      </c>
      <c r="AB1817" s="34" t="s">
        <v>7970</v>
      </c>
      <c r="AC1817" s="34" t="s">
        <v>7971</v>
      </c>
      <c r="AD1817" s="34" t="s">
        <v>7972</v>
      </c>
      <c r="AE1817" s="34" t="s">
        <v>4615</v>
      </c>
      <c r="AF1817" s="34" t="s">
        <v>5906</v>
      </c>
      <c r="AG1817" s="34" t="s">
        <v>3939</v>
      </c>
      <c r="AH1817" s="34" t="s">
        <v>7973</v>
      </c>
      <c r="AL1817" s="34" t="s">
        <v>7459</v>
      </c>
      <c r="AM1817" s="40" t="s">
        <v>9</v>
      </c>
      <c r="AP1817" s="34">
        <v>0</v>
      </c>
      <c r="AQ1817" s="34">
        <v>12199</v>
      </c>
      <c r="AR1817" s="34">
        <v>7319</v>
      </c>
      <c r="AT1817" s="44">
        <v>944900</v>
      </c>
      <c r="AU1817" s="44"/>
      <c r="AV1817" s="46">
        <f>ROUND(Товары[[#This Row],[РРЦ финальная, руб.]]/$AU$1,2)</f>
        <v>0</v>
      </c>
      <c r="AW1817" s="45" t="str">
        <f>IFERROR(Товары[[#This Row],[РРЦ, евро]]/Товары[[#This Row],[IRP, Eur]],"-")</f>
        <v>-</v>
      </c>
      <c r="AX1817" s="42">
        <f>IFERROR(VLOOKUP(Товары[[#This Row],[SubGroup]],'Структура цен DIY'!$B:$C,2,FALSE),0)</f>
        <v>0.30000000000000016</v>
      </c>
      <c r="AY1817" s="44">
        <v>0</v>
      </c>
    </row>
    <row r="1818" spans="1:51" x14ac:dyDescent="0.25">
      <c r="A1818" s="34">
        <v>1816</v>
      </c>
      <c r="B1818" s="34" t="s">
        <v>49</v>
      </c>
      <c r="C1818" s="110" t="str">
        <f>IFERROR(INDEX(Структура_ассортимента[SuperCategory],MATCH(Товары[[#This Row],[SubGroup]],Структура_ассортимента[Subgroup],0)),"")</f>
        <v>W</v>
      </c>
      <c r="D181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1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18" s="110" t="str">
        <f>IFERROR(INDEX(Структура_ассортимента[Product group],MATCH(Товары[[#This Row],[SubGroup]],Структура_ассортимента[Subgroup],0)),"")</f>
        <v>WSS_C</v>
      </c>
      <c r="G1818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18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18" s="36">
        <v>9033</v>
      </c>
      <c r="J1818" s="36" t="str">
        <f>IFERROR(INDEX(Структура_ассортимента[Generic Name (long)],MATCH(Товары[[#This Row],[SubGroup]],Структура_ассортимента[Subgroup],0)),"")</f>
        <v>WATERING SET</v>
      </c>
      <c r="L1818" s="36">
        <v>900916701</v>
      </c>
      <c r="M1818" s="35" t="s">
        <v>3494</v>
      </c>
      <c r="O1818" s="35" t="s">
        <v>7974</v>
      </c>
      <c r="P1818" s="37" t="s">
        <v>7975</v>
      </c>
      <c r="Q1818" s="34" t="s">
        <v>3549</v>
      </c>
      <c r="R1818" s="34" t="s">
        <v>3540</v>
      </c>
      <c r="S1818" s="47">
        <v>35704</v>
      </c>
      <c r="T1818" s="47">
        <v>0</v>
      </c>
      <c r="U1818" s="47">
        <v>0</v>
      </c>
      <c r="V1818" s="34">
        <v>4078500140706</v>
      </c>
      <c r="W1818" s="34" t="s">
        <v>3543</v>
      </c>
      <c r="X1818" s="34" t="s">
        <v>3579</v>
      </c>
      <c r="Y1818" s="34" t="s">
        <v>3542</v>
      </c>
      <c r="Z1818" s="34">
        <v>3</v>
      </c>
      <c r="AA1818" s="34" t="s">
        <v>7976</v>
      </c>
      <c r="AB1818" s="34" t="s">
        <v>4586</v>
      </c>
      <c r="AC1818" s="34" t="s">
        <v>4212</v>
      </c>
      <c r="AD1818" s="34" t="s">
        <v>7977</v>
      </c>
      <c r="AE1818" s="34" t="s">
        <v>3975</v>
      </c>
      <c r="AF1818" s="34" t="s">
        <v>4451</v>
      </c>
      <c r="AG1818" s="34" t="s">
        <v>4549</v>
      </c>
      <c r="AH1818" s="34" t="s">
        <v>7978</v>
      </c>
      <c r="AL1818" s="34" t="s">
        <v>3604</v>
      </c>
      <c r="AM1818" s="40" t="s">
        <v>9</v>
      </c>
      <c r="AP1818" s="34">
        <v>0</v>
      </c>
      <c r="AQ1818" s="34">
        <v>14179</v>
      </c>
      <c r="AR1818" s="34">
        <v>8271</v>
      </c>
      <c r="AT1818" s="44">
        <v>1098200</v>
      </c>
      <c r="AU1818" s="44"/>
      <c r="AV1818" s="46">
        <f>ROUND(Товары[[#This Row],[РРЦ финальная, руб.]]/$AU$1,2)</f>
        <v>0</v>
      </c>
      <c r="AW1818" s="45" t="str">
        <f>IFERROR(Товары[[#This Row],[РРЦ, евро]]/Товары[[#This Row],[IRP, Eur]],"-")</f>
        <v>-</v>
      </c>
      <c r="AX1818" s="42">
        <f>IFERROR(VLOOKUP(Товары[[#This Row],[SubGroup]],'Структура цен DIY'!$B:$C,2,FALSE),0)</f>
        <v>0.30000000000000016</v>
      </c>
      <c r="AY1818" s="44">
        <v>0</v>
      </c>
    </row>
    <row r="1819" spans="1:51" x14ac:dyDescent="0.25">
      <c r="A1819" s="34">
        <v>1817</v>
      </c>
      <c r="B1819" s="34" t="s">
        <v>49</v>
      </c>
      <c r="C1819" s="110" t="str">
        <f>IFERROR(INDEX(Структура_ассортимента[SuperCategory],MATCH(Товары[[#This Row],[SubGroup]],Структура_ассортимента[Subgroup],0)),"")</f>
        <v>W</v>
      </c>
      <c r="D181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1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19" s="110" t="str">
        <f>IFERROR(INDEX(Структура_ассортимента[Product group],MATCH(Товары[[#This Row],[SubGroup]],Структура_ассортимента[Subgroup],0)),"")</f>
        <v>WSS_C</v>
      </c>
      <c r="G1819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19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19" s="36">
        <v>9033</v>
      </c>
      <c r="J1819" s="36" t="str">
        <f>IFERROR(INDEX(Структура_ассортимента[Generic Name (long)],MATCH(Товары[[#This Row],[SubGroup]],Структура_ассортимента[Subgroup],0)),"")</f>
        <v>WATERING SET</v>
      </c>
      <c r="L1819" s="36">
        <v>967039301</v>
      </c>
      <c r="M1819" s="35" t="s">
        <v>3495</v>
      </c>
      <c r="O1819" s="35" t="s">
        <v>7979</v>
      </c>
      <c r="P1819" s="37" t="s">
        <v>7980</v>
      </c>
      <c r="Q1819" s="34" t="s">
        <v>3549</v>
      </c>
      <c r="R1819" s="34" t="s">
        <v>3540</v>
      </c>
      <c r="S1819" s="47">
        <v>42370</v>
      </c>
      <c r="T1819" s="47">
        <v>0</v>
      </c>
      <c r="U1819" s="47">
        <v>0</v>
      </c>
      <c r="V1819" s="34">
        <v>4078500018364</v>
      </c>
      <c r="W1819" s="34" t="s">
        <v>3543</v>
      </c>
      <c r="X1819" s="34" t="s">
        <v>3579</v>
      </c>
      <c r="Y1819" s="34" t="s">
        <v>3542</v>
      </c>
      <c r="Z1819" s="34">
        <v>36</v>
      </c>
      <c r="AA1819" s="34" t="s">
        <v>4165</v>
      </c>
      <c r="AB1819" s="34" t="s">
        <v>4165</v>
      </c>
      <c r="AC1819" s="34" t="s">
        <v>4147</v>
      </c>
      <c r="AD1819" s="34" t="s">
        <v>4147</v>
      </c>
      <c r="AE1819" s="34" t="s">
        <v>3825</v>
      </c>
      <c r="AF1819" s="34" t="s">
        <v>4102</v>
      </c>
      <c r="AG1819" s="34" t="s">
        <v>3931</v>
      </c>
      <c r="AH1819" s="34" t="s">
        <v>7981</v>
      </c>
      <c r="AL1819" s="34" t="s">
        <v>3562</v>
      </c>
      <c r="AM1819" s="40" t="s">
        <v>233</v>
      </c>
      <c r="AT1819" s="44">
        <v>0</v>
      </c>
      <c r="AU1819" s="44"/>
      <c r="AV1819" s="46">
        <f>ROUND(Товары[[#This Row],[РРЦ финальная, руб.]]/$AU$1,2)</f>
        <v>0</v>
      </c>
      <c r="AW1819" s="45" t="str">
        <f>IFERROR(Товары[[#This Row],[РРЦ, евро]]/Товары[[#This Row],[IRP, Eur]],"-")</f>
        <v>-</v>
      </c>
      <c r="AX1819" s="42">
        <f>IFERROR(VLOOKUP(Товары[[#This Row],[SubGroup]],'Структура цен DIY'!$B:$C,2,FALSE),0)</f>
        <v>0.30000000000000016</v>
      </c>
      <c r="AY1819" s="44">
        <v>0</v>
      </c>
    </row>
    <row r="1820" spans="1:51" x14ac:dyDescent="0.25">
      <c r="A1820" s="34">
        <v>1818</v>
      </c>
      <c r="B1820" s="34" t="s">
        <v>49</v>
      </c>
      <c r="C1820" s="110" t="str">
        <f>IFERROR(INDEX(Структура_ассортимента[SuperCategory],MATCH(Товары[[#This Row],[SubGroup]],Структура_ассортимента[Subgroup],0)),"")</f>
        <v>W</v>
      </c>
      <c r="D182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2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20" s="110" t="str">
        <f>IFERROR(INDEX(Структура_ассортимента[Product group],MATCH(Товары[[#This Row],[SubGroup]],Структура_ассортимента[Subgroup],0)),"")</f>
        <v>WSS_C</v>
      </c>
      <c r="G1820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20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20" s="36">
        <v>9033</v>
      </c>
      <c r="J1820" s="36" t="str">
        <f>IFERROR(INDEX(Структура_ассортимента[Generic Name (long)],MATCH(Товары[[#This Row],[SubGroup]],Структура_ассортимента[Subgroup],0)),"")</f>
        <v>WATERING SET</v>
      </c>
      <c r="L1820" s="36">
        <v>967662001</v>
      </c>
      <c r="M1820" s="35" t="s">
        <v>3496</v>
      </c>
      <c r="Q1820" s="34" t="s">
        <v>3549</v>
      </c>
      <c r="R1820" s="34" t="s">
        <v>3540</v>
      </c>
      <c r="S1820" s="47">
        <v>42736</v>
      </c>
      <c r="T1820" s="47">
        <v>0</v>
      </c>
      <c r="U1820" s="47">
        <v>0</v>
      </c>
      <c r="V1820" s="34">
        <v>4078500031257</v>
      </c>
      <c r="W1820" s="34" t="s">
        <v>3543</v>
      </c>
      <c r="X1820" s="34" t="s">
        <v>3579</v>
      </c>
      <c r="Y1820" s="34" t="s">
        <v>3542</v>
      </c>
      <c r="Z1820" s="34">
        <v>4</v>
      </c>
      <c r="AA1820" s="34">
        <v>0</v>
      </c>
      <c r="AB1820" s="34" t="s">
        <v>3691</v>
      </c>
      <c r="AC1820" s="34">
        <v>0</v>
      </c>
      <c r="AD1820" s="34" t="s">
        <v>4987</v>
      </c>
      <c r="AE1820" s="34" t="s">
        <v>6610</v>
      </c>
      <c r="AF1820" s="34" t="s">
        <v>3931</v>
      </c>
      <c r="AG1820" s="34" t="s">
        <v>3753</v>
      </c>
      <c r="AH1820" s="34" t="s">
        <v>7982</v>
      </c>
      <c r="AL1820" s="34" t="s">
        <v>3747</v>
      </c>
      <c r="AM1820" s="40" t="s">
        <v>8095</v>
      </c>
      <c r="AT1820" s="44">
        <v>0</v>
      </c>
      <c r="AU1820" s="44"/>
      <c r="AV1820" s="46">
        <f>ROUND(Товары[[#This Row],[РРЦ финальная, руб.]]/$AU$1,2)</f>
        <v>0</v>
      </c>
      <c r="AW1820" s="45" t="str">
        <f>IFERROR(Товары[[#This Row],[РРЦ, евро]]/Товары[[#This Row],[IRP, Eur]],"-")</f>
        <v>-</v>
      </c>
      <c r="AX1820" s="42">
        <f>IFERROR(VLOOKUP(Товары[[#This Row],[SubGroup]],'Структура цен DIY'!$B:$C,2,FALSE),0)</f>
        <v>0.30000000000000016</v>
      </c>
      <c r="AY1820" s="44">
        <v>0</v>
      </c>
    </row>
    <row r="1821" spans="1:51" x14ac:dyDescent="0.25">
      <c r="A1821" s="34">
        <v>1819</v>
      </c>
      <c r="B1821" s="34" t="s">
        <v>49</v>
      </c>
      <c r="C1821" s="110" t="str">
        <f>IFERROR(INDEX(Структура_ассортимента[SuperCategory],MATCH(Товары[[#This Row],[SubGroup]],Структура_ассортимента[Subgroup],0)),"")</f>
        <v>W</v>
      </c>
      <c r="D182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2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21" s="110" t="str">
        <f>IFERROR(INDEX(Структура_ассортимента[Product group],MATCH(Товары[[#This Row],[SubGroup]],Структура_ассортимента[Subgroup],0)),"")</f>
        <v>WSS_C</v>
      </c>
      <c r="G1821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21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21" s="36">
        <v>9033</v>
      </c>
      <c r="J1821" s="36" t="str">
        <f>IFERROR(INDEX(Структура_ассортимента[Generic Name (long)],MATCH(Товары[[#This Row],[SubGroup]],Структура_ассортимента[Subgroup],0)),"")</f>
        <v>WATERING SET</v>
      </c>
      <c r="L1821" s="36">
        <v>967797101</v>
      </c>
      <c r="M1821" s="35" t="s">
        <v>3497</v>
      </c>
      <c r="O1821" s="35" t="s">
        <v>7983</v>
      </c>
      <c r="P1821" s="37" t="s">
        <v>7980</v>
      </c>
      <c r="Q1821" s="34" t="s">
        <v>3549</v>
      </c>
      <c r="R1821" s="34" t="s">
        <v>3540</v>
      </c>
      <c r="S1821" s="47">
        <v>43101</v>
      </c>
      <c r="T1821" s="47">
        <v>0</v>
      </c>
      <c r="U1821" s="47">
        <v>0</v>
      </c>
      <c r="V1821" s="34">
        <v>4078500036351</v>
      </c>
      <c r="W1821" s="34" t="s">
        <v>3543</v>
      </c>
      <c r="X1821" s="34" t="s">
        <v>3579</v>
      </c>
      <c r="Y1821" s="34" t="s">
        <v>3542</v>
      </c>
      <c r="Z1821" s="34">
        <v>36</v>
      </c>
      <c r="AA1821" s="34">
        <v>0</v>
      </c>
      <c r="AB1821" s="34" t="s">
        <v>4165</v>
      </c>
      <c r="AC1821" s="34">
        <v>0</v>
      </c>
      <c r="AD1821" s="34" t="s">
        <v>4147</v>
      </c>
      <c r="AE1821" s="34" t="s">
        <v>3825</v>
      </c>
      <c r="AF1821" s="34" t="s">
        <v>7984</v>
      </c>
      <c r="AG1821" s="34" t="s">
        <v>3931</v>
      </c>
      <c r="AH1821" s="34" t="s">
        <v>7985</v>
      </c>
      <c r="AL1821" s="34" t="s">
        <v>3562</v>
      </c>
      <c r="AM1821" s="40" t="s">
        <v>9</v>
      </c>
      <c r="AP1821" s="34">
        <v>0</v>
      </c>
      <c r="AQ1821" s="34">
        <v>2189</v>
      </c>
      <c r="AR1821" s="34">
        <v>1277</v>
      </c>
      <c r="AT1821" s="44">
        <v>169500</v>
      </c>
      <c r="AU1821" s="44"/>
      <c r="AV1821" s="46">
        <f>ROUND(Товары[[#This Row],[РРЦ финальная, руб.]]/$AU$1,2)</f>
        <v>0</v>
      </c>
      <c r="AW1821" s="45" t="str">
        <f>IFERROR(Товары[[#This Row],[РРЦ, евро]]/Товары[[#This Row],[IRP, Eur]],"-")</f>
        <v>-</v>
      </c>
      <c r="AX1821" s="42">
        <f>IFERROR(VLOOKUP(Товары[[#This Row],[SubGroup]],'Структура цен DIY'!$B:$C,2,FALSE),0)</f>
        <v>0.30000000000000016</v>
      </c>
      <c r="AY1821" s="44">
        <v>0</v>
      </c>
    </row>
    <row r="1822" spans="1:51" x14ac:dyDescent="0.25">
      <c r="A1822" s="34">
        <v>1820</v>
      </c>
      <c r="B1822" s="34" t="s">
        <v>49</v>
      </c>
      <c r="C1822" s="110" t="str">
        <f>IFERROR(INDEX(Структура_ассортимента[SuperCategory],MATCH(Товары[[#This Row],[SubGroup]],Структура_ассортимента[Subgroup],0)),"")</f>
        <v>W</v>
      </c>
      <c r="D182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2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22" s="110" t="str">
        <f>IFERROR(INDEX(Структура_ассортимента[Product group],MATCH(Товары[[#This Row],[SubGroup]],Структура_ассортимента[Subgroup],0)),"")</f>
        <v>WSS_C</v>
      </c>
      <c r="G1822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22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22" s="36">
        <v>9033</v>
      </c>
      <c r="J1822" s="36" t="str">
        <f>IFERROR(INDEX(Структура_ассортимента[Generic Name (long)],MATCH(Товары[[#This Row],[SubGroup]],Структура_ассортимента[Subgroup],0)),"")</f>
        <v>WATERING SET</v>
      </c>
      <c r="L1822" s="36">
        <v>967039401</v>
      </c>
      <c r="M1822" s="35" t="s">
        <v>3498</v>
      </c>
      <c r="O1822" s="35" t="s">
        <v>7986</v>
      </c>
      <c r="P1822" s="37" t="s">
        <v>7987</v>
      </c>
      <c r="Q1822" s="34" t="s">
        <v>3549</v>
      </c>
      <c r="R1822" s="34" t="s">
        <v>3540</v>
      </c>
      <c r="S1822" s="47">
        <v>42370</v>
      </c>
      <c r="T1822" s="47">
        <v>0</v>
      </c>
      <c r="U1822" s="47">
        <v>0</v>
      </c>
      <c r="V1822" s="34">
        <v>4078500018388</v>
      </c>
      <c r="W1822" s="34" t="s">
        <v>3543</v>
      </c>
      <c r="X1822" s="34" t="s">
        <v>3579</v>
      </c>
      <c r="Y1822" s="34" t="s">
        <v>3542</v>
      </c>
      <c r="Z1822" s="34">
        <v>3</v>
      </c>
      <c r="AA1822" s="34">
        <v>1620</v>
      </c>
      <c r="AB1822" s="34" t="s">
        <v>5883</v>
      </c>
      <c r="AC1822" s="34">
        <v>1500</v>
      </c>
      <c r="AD1822" s="34" t="s">
        <v>7988</v>
      </c>
      <c r="AE1822" s="34" t="s">
        <v>3852</v>
      </c>
      <c r="AF1822" s="34" t="s">
        <v>4582</v>
      </c>
      <c r="AG1822" s="34" t="s">
        <v>3566</v>
      </c>
      <c r="AH1822" s="34" t="s">
        <v>7989</v>
      </c>
      <c r="AL1822" s="34" t="s">
        <v>4513</v>
      </c>
      <c r="AM1822" s="40" t="s">
        <v>9</v>
      </c>
      <c r="AP1822" s="34">
        <v>0</v>
      </c>
      <c r="AQ1822" s="34">
        <v>6919</v>
      </c>
      <c r="AR1822" s="34">
        <v>4036</v>
      </c>
      <c r="AT1822" s="44">
        <v>535900</v>
      </c>
      <c r="AU1822" s="44"/>
      <c r="AV1822" s="46">
        <f>ROUND(Товары[[#This Row],[РРЦ финальная, руб.]]/$AU$1,2)</f>
        <v>0</v>
      </c>
      <c r="AW1822" s="45" t="str">
        <f>IFERROR(Товары[[#This Row],[РРЦ, евро]]/Товары[[#This Row],[IRP, Eur]],"-")</f>
        <v>-</v>
      </c>
      <c r="AX1822" s="42">
        <f>IFERROR(VLOOKUP(Товары[[#This Row],[SubGroup]],'Структура цен DIY'!$B:$C,2,FALSE),0)</f>
        <v>0.30000000000000016</v>
      </c>
      <c r="AY1822" s="44">
        <v>0</v>
      </c>
    </row>
    <row r="1823" spans="1:51" x14ac:dyDescent="0.25">
      <c r="A1823" s="34">
        <v>1821</v>
      </c>
      <c r="B1823" s="34" t="s">
        <v>49</v>
      </c>
      <c r="C1823" s="110" t="str">
        <f>IFERROR(INDEX(Структура_ассортимента[SuperCategory],MATCH(Товары[[#This Row],[SubGroup]],Структура_ассортимента[Subgroup],0)),"")</f>
        <v>W</v>
      </c>
      <c r="D182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2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23" s="110" t="str">
        <f>IFERROR(INDEX(Структура_ассортимента[Product group],MATCH(Товары[[#This Row],[SubGroup]],Структура_ассортимента[Subgroup],0)),"")</f>
        <v>WSS_C</v>
      </c>
      <c r="G1823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23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23" s="36">
        <v>9033</v>
      </c>
      <c r="J1823" s="36" t="str">
        <f>IFERROR(INDEX(Структура_ассортимента[Generic Name (long)],MATCH(Товары[[#This Row],[SubGroup]],Структура_ассортимента[Subgroup],0)),"")</f>
        <v>WATERING SET</v>
      </c>
      <c r="L1823" s="36">
        <v>967039501</v>
      </c>
      <c r="M1823" s="35" t="s">
        <v>3499</v>
      </c>
      <c r="O1823" s="35" t="s">
        <v>7990</v>
      </c>
      <c r="P1823" s="37" t="s">
        <v>7991</v>
      </c>
      <c r="Q1823" s="34" t="s">
        <v>3549</v>
      </c>
      <c r="R1823" s="34" t="s">
        <v>3540</v>
      </c>
      <c r="S1823" s="47">
        <v>42370</v>
      </c>
      <c r="T1823" s="47">
        <v>0</v>
      </c>
      <c r="U1823" s="47">
        <v>0</v>
      </c>
      <c r="V1823" s="34">
        <v>4078500018401</v>
      </c>
      <c r="W1823" s="34" t="s">
        <v>3543</v>
      </c>
      <c r="X1823" s="34" t="s">
        <v>3579</v>
      </c>
      <c r="Y1823" s="34" t="s">
        <v>3542</v>
      </c>
      <c r="Z1823" s="34">
        <v>2</v>
      </c>
      <c r="AA1823" s="34" t="s">
        <v>7992</v>
      </c>
      <c r="AB1823" s="34" t="s">
        <v>7993</v>
      </c>
      <c r="AC1823" s="34" t="s">
        <v>7994</v>
      </c>
      <c r="AD1823" s="34" t="s">
        <v>7995</v>
      </c>
      <c r="AE1823" s="34" t="s">
        <v>3852</v>
      </c>
      <c r="AF1823" s="34" t="s">
        <v>3566</v>
      </c>
      <c r="AG1823" s="34" t="s">
        <v>4582</v>
      </c>
      <c r="AH1823" s="34" t="s">
        <v>7989</v>
      </c>
      <c r="AL1823" s="34" t="s">
        <v>3842</v>
      </c>
      <c r="AM1823" s="40" t="s">
        <v>9</v>
      </c>
      <c r="AP1823" s="34">
        <v>0</v>
      </c>
      <c r="AQ1823" s="34">
        <v>10989</v>
      </c>
      <c r="AR1823" s="34">
        <v>6410</v>
      </c>
      <c r="AT1823" s="44">
        <v>851100</v>
      </c>
      <c r="AU1823" s="44"/>
      <c r="AV1823" s="46">
        <f>ROUND(Товары[[#This Row],[РРЦ финальная, руб.]]/$AU$1,2)</f>
        <v>0</v>
      </c>
      <c r="AW1823" s="45" t="str">
        <f>IFERROR(Товары[[#This Row],[РРЦ, евро]]/Товары[[#This Row],[IRP, Eur]],"-")</f>
        <v>-</v>
      </c>
      <c r="AX1823" s="42">
        <f>IFERROR(VLOOKUP(Товары[[#This Row],[SubGroup]],'Структура цен DIY'!$B:$C,2,FALSE),0)</f>
        <v>0.30000000000000016</v>
      </c>
      <c r="AY1823" s="44">
        <v>0</v>
      </c>
    </row>
    <row r="1824" spans="1:51" x14ac:dyDescent="0.25">
      <c r="A1824" s="34">
        <v>1822</v>
      </c>
      <c r="B1824" s="34" t="s">
        <v>49</v>
      </c>
      <c r="C1824" s="110" t="str">
        <f>IFERROR(INDEX(Структура_ассортимента[SuperCategory],MATCH(Товары[[#This Row],[SubGroup]],Структура_ассортимента[Subgroup],0)),"")</f>
        <v>W</v>
      </c>
      <c r="D182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2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24" s="110" t="str">
        <f>IFERROR(INDEX(Структура_ассортимента[Product group],MATCH(Товары[[#This Row],[SubGroup]],Структура_ассортимента[Subgroup],0)),"")</f>
        <v>WSS_C</v>
      </c>
      <c r="G1824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24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24" s="36">
        <v>9033</v>
      </c>
      <c r="J1824" s="36" t="str">
        <f>IFERROR(INDEX(Структура_ассортимента[Generic Name (long)],MATCH(Товары[[#This Row],[SubGroup]],Структура_ассортимента[Subgroup],0)),"")</f>
        <v>WATERING SET</v>
      </c>
      <c r="L1824" s="36">
        <v>967039801</v>
      </c>
      <c r="M1824" s="35" t="s">
        <v>3500</v>
      </c>
      <c r="Q1824" s="34" t="s">
        <v>3549</v>
      </c>
      <c r="R1824" s="34" t="s">
        <v>3540</v>
      </c>
      <c r="S1824" s="47">
        <v>42370</v>
      </c>
      <c r="T1824" s="47">
        <v>0</v>
      </c>
      <c r="U1824" s="47">
        <v>0</v>
      </c>
      <c r="V1824" s="34">
        <v>4078500018326</v>
      </c>
      <c r="W1824" s="34" t="s">
        <v>3543</v>
      </c>
      <c r="X1824" s="34" t="s">
        <v>3579</v>
      </c>
      <c r="Y1824" s="34" t="s">
        <v>3542</v>
      </c>
      <c r="Z1824" s="34">
        <v>4</v>
      </c>
      <c r="AA1824" s="34" t="s">
        <v>6463</v>
      </c>
      <c r="AB1824" s="34" t="s">
        <v>4400</v>
      </c>
      <c r="AC1824" s="34" t="s">
        <v>4115</v>
      </c>
      <c r="AD1824" s="34" t="s">
        <v>3730</v>
      </c>
      <c r="AE1824" s="34" t="s">
        <v>6610</v>
      </c>
      <c r="AF1824" s="34" t="s">
        <v>4181</v>
      </c>
      <c r="AG1824" s="34" t="s">
        <v>3743</v>
      </c>
      <c r="AH1824" s="34" t="s">
        <v>7996</v>
      </c>
      <c r="AL1824" s="34" t="s">
        <v>3747</v>
      </c>
      <c r="AM1824" s="40" t="s">
        <v>8095</v>
      </c>
      <c r="AT1824" s="44">
        <v>0</v>
      </c>
      <c r="AU1824" s="44"/>
      <c r="AV1824" s="46">
        <f>ROUND(Товары[[#This Row],[РРЦ финальная, руб.]]/$AU$1,2)</f>
        <v>0</v>
      </c>
      <c r="AW1824" s="45" t="str">
        <f>IFERROR(Товары[[#This Row],[РРЦ, евро]]/Товары[[#This Row],[IRP, Eur]],"-")</f>
        <v>-</v>
      </c>
      <c r="AX1824" s="42">
        <f>IFERROR(VLOOKUP(Товары[[#This Row],[SubGroup]],'Структура цен DIY'!$B:$C,2,FALSE),0)</f>
        <v>0.30000000000000016</v>
      </c>
      <c r="AY1824" s="44">
        <v>0</v>
      </c>
    </row>
    <row r="1825" spans="1:51" x14ac:dyDescent="0.25">
      <c r="A1825" s="34">
        <v>1823</v>
      </c>
      <c r="B1825" s="34" t="s">
        <v>49</v>
      </c>
      <c r="C1825" s="110" t="str">
        <f>IFERROR(INDEX(Структура_ассортимента[SuperCategory],MATCH(Товары[[#This Row],[SubGroup]],Структура_ассортимента[Subgroup],0)),"")</f>
        <v>W</v>
      </c>
      <c r="D182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2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25" s="110" t="str">
        <f>IFERROR(INDEX(Структура_ассортимента[Product group],MATCH(Товары[[#This Row],[SubGroup]],Структура_ассортимента[Subgroup],0)),"")</f>
        <v>WSS_C</v>
      </c>
      <c r="G1825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25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25" s="36">
        <v>9033</v>
      </c>
      <c r="J1825" s="36" t="str">
        <f>IFERROR(INDEX(Структура_ассортимента[Generic Name (long)],MATCH(Товары[[#This Row],[SubGroup]],Структура_ассортимента[Subgroup],0)),"")</f>
        <v>WATERING SET</v>
      </c>
      <c r="L1825" s="36">
        <v>967039901</v>
      </c>
      <c r="M1825" s="35" t="s">
        <v>3501</v>
      </c>
      <c r="Q1825" s="34" t="s">
        <v>3549</v>
      </c>
      <c r="R1825" s="34" t="s">
        <v>3540</v>
      </c>
      <c r="S1825" s="47">
        <v>42370</v>
      </c>
      <c r="T1825" s="47">
        <v>0</v>
      </c>
      <c r="U1825" s="47">
        <v>0</v>
      </c>
      <c r="V1825" s="34">
        <v>4078500018340</v>
      </c>
      <c r="W1825" s="34" t="s">
        <v>3543</v>
      </c>
      <c r="X1825" s="34" t="s">
        <v>3579</v>
      </c>
      <c r="Y1825" s="34" t="s">
        <v>3542</v>
      </c>
      <c r="Z1825" s="34">
        <v>4</v>
      </c>
      <c r="AA1825" s="34" t="s">
        <v>6824</v>
      </c>
      <c r="AB1825" s="34" t="s">
        <v>3690</v>
      </c>
      <c r="AC1825" s="34" t="s">
        <v>7997</v>
      </c>
      <c r="AD1825" s="34" t="s">
        <v>4141</v>
      </c>
      <c r="AE1825" s="34" t="s">
        <v>3977</v>
      </c>
      <c r="AF1825" s="34" t="s">
        <v>3931</v>
      </c>
      <c r="AG1825" s="34" t="s">
        <v>3942</v>
      </c>
      <c r="AH1825" s="34" t="s">
        <v>7998</v>
      </c>
      <c r="AL1825" s="34" t="s">
        <v>3747</v>
      </c>
      <c r="AM1825" s="40" t="s">
        <v>8095</v>
      </c>
      <c r="AT1825" s="44">
        <v>0</v>
      </c>
      <c r="AU1825" s="44"/>
      <c r="AV1825" s="46">
        <f>ROUND(Товары[[#This Row],[РРЦ финальная, руб.]]/$AU$1,2)</f>
        <v>0</v>
      </c>
      <c r="AW1825" s="45" t="str">
        <f>IFERROR(Товары[[#This Row],[РРЦ, евро]]/Товары[[#This Row],[IRP, Eur]],"-")</f>
        <v>-</v>
      </c>
      <c r="AX1825" s="42">
        <f>IFERROR(VLOOKUP(Товары[[#This Row],[SubGroup]],'Структура цен DIY'!$B:$C,2,FALSE),0)</f>
        <v>0.30000000000000016</v>
      </c>
      <c r="AY1825" s="44">
        <v>0</v>
      </c>
    </row>
    <row r="1826" spans="1:51" x14ac:dyDescent="0.25">
      <c r="A1826" s="34">
        <v>1824</v>
      </c>
      <c r="B1826" s="34" t="s">
        <v>49</v>
      </c>
      <c r="C1826" s="110" t="str">
        <f>IFERROR(INDEX(Структура_ассортимента[SuperCategory],MATCH(Товары[[#This Row],[SubGroup]],Структура_ассортимента[Subgroup],0)),"")</f>
        <v>W</v>
      </c>
      <c r="D182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2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26" s="110" t="str">
        <f>IFERROR(INDEX(Структура_ассортимента[Product group],MATCH(Товары[[#This Row],[SubGroup]],Структура_ассортимента[Subgroup],0)),"")</f>
        <v>WSS_C</v>
      </c>
      <c r="G1826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26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26" s="36">
        <v>9033</v>
      </c>
      <c r="J1826" s="36" t="str">
        <f>IFERROR(INDEX(Структура_ассортимента[Generic Name (long)],MATCH(Товары[[#This Row],[SubGroup]],Структура_ассортимента[Subgroup],0)),"")</f>
        <v>WATERING SET</v>
      </c>
      <c r="L1826" s="36">
        <v>967039101</v>
      </c>
      <c r="M1826" s="35" t="s">
        <v>3502</v>
      </c>
      <c r="O1826" s="35" t="s">
        <v>7999</v>
      </c>
      <c r="P1826" s="37" t="s">
        <v>8000</v>
      </c>
      <c r="Q1826" s="34" t="s">
        <v>3549</v>
      </c>
      <c r="R1826" s="34" t="s">
        <v>3540</v>
      </c>
      <c r="S1826" s="47">
        <v>42370</v>
      </c>
      <c r="T1826" s="47">
        <v>0</v>
      </c>
      <c r="U1826" s="47">
        <v>0</v>
      </c>
      <c r="V1826" s="34">
        <v>4078500018241</v>
      </c>
      <c r="W1826" s="34" t="s">
        <v>3543</v>
      </c>
      <c r="X1826" s="34" t="s">
        <v>3579</v>
      </c>
      <c r="Y1826" s="34" t="s">
        <v>3542</v>
      </c>
      <c r="Z1826" s="34">
        <v>4</v>
      </c>
      <c r="AA1826" s="34" t="s">
        <v>8001</v>
      </c>
      <c r="AB1826" s="34" t="s">
        <v>5131</v>
      </c>
      <c r="AC1826" s="34" t="s">
        <v>8002</v>
      </c>
      <c r="AD1826" s="34" t="s">
        <v>4136</v>
      </c>
      <c r="AE1826" s="34" t="s">
        <v>3987</v>
      </c>
      <c r="AF1826" s="34" t="s">
        <v>3711</v>
      </c>
      <c r="AG1826" s="34" t="s">
        <v>3997</v>
      </c>
      <c r="AH1826" s="34" t="s">
        <v>8003</v>
      </c>
      <c r="AL1826" s="34" t="s">
        <v>3562</v>
      </c>
      <c r="AM1826" s="40" t="s">
        <v>9</v>
      </c>
      <c r="AP1826" s="34">
        <v>0</v>
      </c>
      <c r="AQ1826" s="34">
        <v>2959</v>
      </c>
      <c r="AR1826" s="34">
        <v>1726</v>
      </c>
      <c r="AT1826" s="44">
        <v>229200</v>
      </c>
      <c r="AU1826" s="44"/>
      <c r="AV1826" s="46">
        <f>ROUND(Товары[[#This Row],[РРЦ финальная, руб.]]/$AU$1,2)</f>
        <v>0</v>
      </c>
      <c r="AW1826" s="45" t="str">
        <f>IFERROR(Товары[[#This Row],[РРЦ, евро]]/Товары[[#This Row],[IRP, Eur]],"-")</f>
        <v>-</v>
      </c>
      <c r="AX1826" s="42">
        <f>IFERROR(VLOOKUP(Товары[[#This Row],[SubGroup]],'Структура цен DIY'!$B:$C,2,FALSE),0)</f>
        <v>0.30000000000000016</v>
      </c>
      <c r="AY1826" s="44">
        <v>0</v>
      </c>
    </row>
    <row r="1827" spans="1:51" x14ac:dyDescent="0.25">
      <c r="A1827" s="34">
        <v>1825</v>
      </c>
      <c r="B1827" s="34" t="s">
        <v>49</v>
      </c>
      <c r="C1827" s="110" t="str">
        <f>IFERROR(INDEX(Структура_ассортимента[SuperCategory],MATCH(Товары[[#This Row],[SubGroup]],Структура_ассортимента[Subgroup],0)),"")</f>
        <v>W</v>
      </c>
      <c r="D182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2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27" s="110" t="str">
        <f>IFERROR(INDEX(Структура_ассортимента[Product group],MATCH(Товары[[#This Row],[SubGroup]],Структура_ассортимента[Subgroup],0)),"")</f>
        <v>WSS_C</v>
      </c>
      <c r="G1827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27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27" s="36">
        <v>9033</v>
      </c>
      <c r="J1827" s="36" t="str">
        <f>IFERROR(INDEX(Структура_ассортимента[Generic Name (long)],MATCH(Товары[[#This Row],[SubGroup]],Структура_ассортимента[Subgroup],0)),"")</f>
        <v>WATERING SET</v>
      </c>
      <c r="L1827" s="36">
        <v>967043701</v>
      </c>
      <c r="M1827" s="35" t="s">
        <v>3503</v>
      </c>
      <c r="Q1827" s="34" t="s">
        <v>3549</v>
      </c>
      <c r="R1827" s="34" t="s">
        <v>3540</v>
      </c>
      <c r="S1827" s="47">
        <v>42370</v>
      </c>
      <c r="T1827" s="47">
        <v>0</v>
      </c>
      <c r="U1827" s="47">
        <v>0</v>
      </c>
      <c r="V1827" s="34">
        <v>4078500018289</v>
      </c>
      <c r="W1827" s="34" t="s">
        <v>3543</v>
      </c>
      <c r="X1827" s="34" t="s">
        <v>3579</v>
      </c>
      <c r="Y1827" s="34" t="s">
        <v>3542</v>
      </c>
      <c r="Z1827" s="34">
        <v>38</v>
      </c>
      <c r="AA1827" s="34" t="s">
        <v>4853</v>
      </c>
      <c r="AB1827" s="34" t="s">
        <v>4853</v>
      </c>
      <c r="AC1827" s="34" t="s">
        <v>4502</v>
      </c>
      <c r="AD1827" s="34" t="s">
        <v>4502</v>
      </c>
      <c r="AE1827" s="34" t="s">
        <v>3825</v>
      </c>
      <c r="AF1827" s="34" t="s">
        <v>4102</v>
      </c>
      <c r="AG1827" s="34" t="s">
        <v>3931</v>
      </c>
      <c r="AH1827" s="34" t="s">
        <v>7981</v>
      </c>
      <c r="AL1827" s="34" t="s">
        <v>8004</v>
      </c>
      <c r="AM1827" s="40" t="s">
        <v>8095</v>
      </c>
      <c r="AT1827" s="44">
        <v>0</v>
      </c>
      <c r="AU1827" s="44"/>
      <c r="AV1827" s="46">
        <f>ROUND(Товары[[#This Row],[РРЦ финальная, руб.]]/$AU$1,2)</f>
        <v>0</v>
      </c>
      <c r="AW1827" s="45" t="str">
        <f>IFERROR(Товары[[#This Row],[РРЦ, евро]]/Товары[[#This Row],[IRP, Eur]],"-")</f>
        <v>-</v>
      </c>
      <c r="AX1827" s="42">
        <f>IFERROR(VLOOKUP(Товары[[#This Row],[SubGroup]],'Структура цен DIY'!$B:$C,2,FALSE),0)</f>
        <v>0.30000000000000016</v>
      </c>
      <c r="AY1827" s="44">
        <v>0</v>
      </c>
    </row>
    <row r="1828" spans="1:51" x14ac:dyDescent="0.25">
      <c r="A1828" s="34">
        <v>1826</v>
      </c>
      <c r="B1828" s="34" t="s">
        <v>49</v>
      </c>
      <c r="C1828" s="110" t="str">
        <f>IFERROR(INDEX(Структура_ассортимента[SuperCategory],MATCH(Товары[[#This Row],[SubGroup]],Структура_ассортимента[Subgroup],0)),"")</f>
        <v>W</v>
      </c>
      <c r="D182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2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28" s="110" t="str">
        <f>IFERROR(INDEX(Структура_ассортимента[Product group],MATCH(Товары[[#This Row],[SubGroup]],Структура_ассортимента[Subgroup],0)),"")</f>
        <v>WSS_C</v>
      </c>
      <c r="G1828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28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28" s="36">
        <v>9033</v>
      </c>
      <c r="J1828" s="36" t="str">
        <f>IFERROR(INDEX(Структура_ассортимента[Generic Name (long)],MATCH(Товары[[#This Row],[SubGroup]],Структура_ассортимента[Subgroup],0)),"")</f>
        <v>WATERING SET</v>
      </c>
      <c r="L1828" s="36">
        <v>967043801</v>
      </c>
      <c r="M1828" s="35" t="s">
        <v>3504</v>
      </c>
      <c r="Q1828" s="34" t="s">
        <v>3549</v>
      </c>
      <c r="R1828" s="34" t="s">
        <v>3540</v>
      </c>
      <c r="S1828" s="47">
        <v>42370</v>
      </c>
      <c r="T1828" s="47">
        <v>0</v>
      </c>
      <c r="U1828" s="47">
        <v>0</v>
      </c>
      <c r="V1828" s="34">
        <v>4078500018463</v>
      </c>
      <c r="W1828" s="34" t="s">
        <v>3543</v>
      </c>
      <c r="X1828" s="34" t="s">
        <v>3579</v>
      </c>
      <c r="Y1828" s="34" t="s">
        <v>3542</v>
      </c>
      <c r="Z1828" s="34">
        <v>3</v>
      </c>
      <c r="AA1828" s="34" t="s">
        <v>8005</v>
      </c>
      <c r="AB1828" s="34" t="s">
        <v>6193</v>
      </c>
      <c r="AC1828" s="34" t="s">
        <v>8006</v>
      </c>
      <c r="AD1828" s="34" t="s">
        <v>8006</v>
      </c>
      <c r="AE1828" s="34" t="s">
        <v>4223</v>
      </c>
      <c r="AF1828" s="34" t="s">
        <v>3566</v>
      </c>
      <c r="AG1828" s="34" t="s">
        <v>4223</v>
      </c>
      <c r="AH1828" s="34" t="s">
        <v>8007</v>
      </c>
      <c r="AL1828" s="34" t="s">
        <v>5433</v>
      </c>
      <c r="AM1828" s="40" t="s">
        <v>8095</v>
      </c>
      <c r="AT1828" s="44">
        <v>0</v>
      </c>
      <c r="AU1828" s="44"/>
      <c r="AV1828" s="46">
        <f>ROUND(Товары[[#This Row],[РРЦ финальная, руб.]]/$AU$1,2)</f>
        <v>0</v>
      </c>
      <c r="AW1828" s="45" t="str">
        <f>IFERROR(Товары[[#This Row],[РРЦ, евро]]/Товары[[#This Row],[IRP, Eur]],"-")</f>
        <v>-</v>
      </c>
      <c r="AX1828" s="42">
        <f>IFERROR(VLOOKUP(Товары[[#This Row],[SubGroup]],'Структура цен DIY'!$B:$C,2,FALSE),0)</f>
        <v>0.30000000000000016</v>
      </c>
      <c r="AY1828" s="44">
        <v>0</v>
      </c>
    </row>
    <row r="1829" spans="1:51" x14ac:dyDescent="0.25">
      <c r="A1829" s="34">
        <v>1827</v>
      </c>
      <c r="B1829" s="34" t="s">
        <v>49</v>
      </c>
      <c r="C1829" s="110" t="str">
        <f>IFERROR(INDEX(Структура_ассортимента[SuperCategory],MATCH(Товары[[#This Row],[SubGroup]],Структура_ассортимента[Subgroup],0)),"")</f>
        <v>W</v>
      </c>
      <c r="D182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2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29" s="110" t="str">
        <f>IFERROR(INDEX(Структура_ассортимента[Product group],MATCH(Товары[[#This Row],[SubGroup]],Структура_ассортимента[Subgroup],0)),"")</f>
        <v>WSS_C</v>
      </c>
      <c r="G1829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29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29" s="36">
        <v>9033</v>
      </c>
      <c r="J1829" s="36" t="str">
        <f>IFERROR(INDEX(Структура_ассортимента[Generic Name (long)],MATCH(Товары[[#This Row],[SubGroup]],Структура_ассортимента[Subgroup],0)),"")</f>
        <v>WATERING SET</v>
      </c>
      <c r="L1829" s="36">
        <v>967043901</v>
      </c>
      <c r="M1829" s="35" t="s">
        <v>3505</v>
      </c>
      <c r="Q1829" s="34" t="s">
        <v>3549</v>
      </c>
      <c r="R1829" s="34" t="s">
        <v>3540</v>
      </c>
      <c r="S1829" s="47">
        <v>42370</v>
      </c>
      <c r="T1829" s="47">
        <v>0</v>
      </c>
      <c r="U1829" s="47">
        <v>0</v>
      </c>
      <c r="V1829" s="34">
        <v>4078500018487</v>
      </c>
      <c r="W1829" s="34" t="s">
        <v>3543</v>
      </c>
      <c r="X1829" s="34" t="s">
        <v>3579</v>
      </c>
      <c r="Y1829" s="34" t="s">
        <v>3542</v>
      </c>
      <c r="Z1829" s="34">
        <v>2</v>
      </c>
      <c r="AA1829" s="34" t="s">
        <v>8008</v>
      </c>
      <c r="AB1829" s="34" t="s">
        <v>8009</v>
      </c>
      <c r="AC1829" s="34" t="s">
        <v>8010</v>
      </c>
      <c r="AD1829" s="34" t="s">
        <v>8010</v>
      </c>
      <c r="AE1829" s="34" t="s">
        <v>4223</v>
      </c>
      <c r="AF1829" s="34" t="s">
        <v>4420</v>
      </c>
      <c r="AG1829" s="34" t="s">
        <v>3566</v>
      </c>
      <c r="AH1829" s="34" t="s">
        <v>8011</v>
      </c>
      <c r="AL1829" s="34" t="s">
        <v>3847</v>
      </c>
      <c r="AM1829" s="40" t="s">
        <v>8095</v>
      </c>
      <c r="AT1829" s="44">
        <v>0</v>
      </c>
      <c r="AU1829" s="44"/>
      <c r="AV1829" s="46">
        <f>ROUND(Товары[[#This Row],[РРЦ финальная, руб.]]/$AU$1,2)</f>
        <v>0</v>
      </c>
      <c r="AW1829" s="45" t="str">
        <f>IFERROR(Товары[[#This Row],[РРЦ, евро]]/Товары[[#This Row],[IRP, Eur]],"-")</f>
        <v>-</v>
      </c>
      <c r="AX1829" s="42">
        <f>IFERROR(VLOOKUP(Товары[[#This Row],[SubGroup]],'Структура цен DIY'!$B:$C,2,FALSE),0)</f>
        <v>0.30000000000000016</v>
      </c>
      <c r="AY1829" s="44">
        <v>0</v>
      </c>
    </row>
    <row r="1830" spans="1:51" x14ac:dyDescent="0.25">
      <c r="A1830" s="34">
        <v>1828</v>
      </c>
      <c r="B1830" s="34" t="s">
        <v>49</v>
      </c>
      <c r="C1830" s="110" t="str">
        <f>IFERROR(INDEX(Структура_ассортимента[SuperCategory],MATCH(Товары[[#This Row],[SubGroup]],Структура_ассортимента[Subgroup],0)),"")</f>
        <v>W</v>
      </c>
      <c r="D183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3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30" s="110" t="str">
        <f>IFERROR(INDEX(Структура_ассортимента[Product group],MATCH(Товары[[#This Row],[SubGroup]],Структура_ассортимента[Subgroup],0)),"")</f>
        <v>WSS_C</v>
      </c>
      <c r="G1830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30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30" s="36">
        <v>9033</v>
      </c>
      <c r="J1830" s="36" t="str">
        <f>IFERROR(INDEX(Структура_ассортимента[Generic Name (long)],MATCH(Товары[[#This Row],[SubGroup]],Структура_ассортимента[Subgroup],0)),"")</f>
        <v>WATERING SET</v>
      </c>
      <c r="L1830" s="36">
        <v>967043401</v>
      </c>
      <c r="M1830" s="35" t="s">
        <v>3506</v>
      </c>
      <c r="O1830" s="35" t="s">
        <v>8012</v>
      </c>
      <c r="P1830" s="37" t="s">
        <v>8013</v>
      </c>
      <c r="Q1830" s="34" t="s">
        <v>3549</v>
      </c>
      <c r="R1830" s="34" t="s">
        <v>3540</v>
      </c>
      <c r="S1830" s="47">
        <v>42370</v>
      </c>
      <c r="T1830" s="47">
        <v>0</v>
      </c>
      <c r="U1830" s="47">
        <v>0</v>
      </c>
      <c r="V1830" s="34">
        <v>4078500018500</v>
      </c>
      <c r="W1830" s="34" t="s">
        <v>3546</v>
      </c>
      <c r="X1830" s="34" t="s">
        <v>3907</v>
      </c>
      <c r="Y1830" s="34" t="s">
        <v>3542</v>
      </c>
      <c r="Z1830" s="34">
        <v>1</v>
      </c>
      <c r="AA1830" s="34" t="s">
        <v>5390</v>
      </c>
      <c r="AB1830" s="34" t="s">
        <v>5390</v>
      </c>
      <c r="AC1830" s="34" t="s">
        <v>5447</v>
      </c>
      <c r="AD1830" s="34" t="s">
        <v>7962</v>
      </c>
      <c r="AE1830" s="34" t="s">
        <v>3854</v>
      </c>
      <c r="AF1830" s="34" t="s">
        <v>3854</v>
      </c>
      <c r="AG1830" s="34" t="s">
        <v>3557</v>
      </c>
      <c r="AH1830" s="34" t="s">
        <v>8014</v>
      </c>
      <c r="AL1830" s="34" t="s">
        <v>6736</v>
      </c>
      <c r="AM1830" s="40" t="s">
        <v>9</v>
      </c>
      <c r="AP1830" s="34">
        <v>0</v>
      </c>
      <c r="AQ1830" s="34">
        <v>9119</v>
      </c>
      <c r="AR1830" s="34">
        <v>5319</v>
      </c>
      <c r="AT1830" s="44">
        <v>706300</v>
      </c>
      <c r="AU1830" s="44"/>
      <c r="AV1830" s="46">
        <f>ROUND(Товары[[#This Row],[РРЦ финальная, руб.]]/$AU$1,2)</f>
        <v>0</v>
      </c>
      <c r="AW1830" s="45" t="str">
        <f>IFERROR(Товары[[#This Row],[РРЦ, евро]]/Товары[[#This Row],[IRP, Eur]],"-")</f>
        <v>-</v>
      </c>
      <c r="AX1830" s="42">
        <f>IFERROR(VLOOKUP(Товары[[#This Row],[SubGroup]],'Структура цен DIY'!$B:$C,2,FALSE),0)</f>
        <v>0.30000000000000016</v>
      </c>
      <c r="AY1830" s="44">
        <v>0</v>
      </c>
    </row>
    <row r="1831" spans="1:51" x14ac:dyDescent="0.25">
      <c r="A1831" s="34">
        <v>1829</v>
      </c>
      <c r="B1831" s="34" t="s">
        <v>49</v>
      </c>
      <c r="C1831" s="110" t="str">
        <f>IFERROR(INDEX(Структура_ассортимента[SuperCategory],MATCH(Товары[[#This Row],[SubGroup]],Структура_ассортимента[Subgroup],0)),"")</f>
        <v>W</v>
      </c>
      <c r="D183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3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31" s="110" t="str">
        <f>IFERROR(INDEX(Структура_ассортимента[Product group],MATCH(Товары[[#This Row],[SubGroup]],Структура_ассортимента[Subgroup],0)),"")</f>
        <v>WSS_C</v>
      </c>
      <c r="G1831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31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31" s="36">
        <v>9033</v>
      </c>
      <c r="J1831" s="36" t="str">
        <f>IFERROR(INDEX(Структура_ассортимента[Generic Name (long)],MATCH(Товары[[#This Row],[SubGroup]],Структура_ассортимента[Subgroup],0)),"")</f>
        <v>WATERING SET</v>
      </c>
      <c r="L1831" s="36">
        <v>967040701</v>
      </c>
      <c r="M1831" s="35" t="s">
        <v>3507</v>
      </c>
      <c r="O1831" s="35" t="s">
        <v>8015</v>
      </c>
      <c r="P1831" s="37" t="s">
        <v>8016</v>
      </c>
      <c r="Q1831" s="34" t="s">
        <v>3549</v>
      </c>
      <c r="R1831" s="34" t="s">
        <v>3540</v>
      </c>
      <c r="S1831" s="47">
        <v>42370</v>
      </c>
      <c r="T1831" s="47">
        <v>0</v>
      </c>
      <c r="U1831" s="47">
        <v>0</v>
      </c>
      <c r="V1831" s="34">
        <v>4078500018524</v>
      </c>
      <c r="W1831" s="34" t="s">
        <v>3543</v>
      </c>
      <c r="X1831" s="34" t="s">
        <v>3579</v>
      </c>
      <c r="Y1831" s="34" t="s">
        <v>3542</v>
      </c>
      <c r="Z1831" s="34">
        <v>3</v>
      </c>
      <c r="AA1831" s="34" t="s">
        <v>8017</v>
      </c>
      <c r="AB1831" s="34" t="s">
        <v>8018</v>
      </c>
      <c r="AC1831" s="34" t="s">
        <v>8019</v>
      </c>
      <c r="AD1831" s="34" t="s">
        <v>8019</v>
      </c>
      <c r="AE1831" s="34" t="s">
        <v>6903</v>
      </c>
      <c r="AF1831" s="34" t="s">
        <v>3566</v>
      </c>
      <c r="AG1831" s="34" t="s">
        <v>4582</v>
      </c>
      <c r="AH1831" s="34" t="s">
        <v>8020</v>
      </c>
      <c r="AL1831" s="34" t="s">
        <v>4513</v>
      </c>
      <c r="AM1831" s="40" t="s">
        <v>9</v>
      </c>
      <c r="AP1831" s="34">
        <v>0</v>
      </c>
      <c r="AQ1831" s="34">
        <v>8129</v>
      </c>
      <c r="AR1831" s="34">
        <v>4742</v>
      </c>
      <c r="AT1831" s="44">
        <v>629600</v>
      </c>
      <c r="AU1831" s="44"/>
      <c r="AV1831" s="46">
        <f>ROUND(Товары[[#This Row],[РРЦ финальная, руб.]]/$AU$1,2)</f>
        <v>0</v>
      </c>
      <c r="AW1831" s="45" t="str">
        <f>IFERROR(Товары[[#This Row],[РРЦ, евро]]/Товары[[#This Row],[IRP, Eur]],"-")</f>
        <v>-</v>
      </c>
      <c r="AX1831" s="42">
        <f>IFERROR(VLOOKUP(Товары[[#This Row],[SubGroup]],'Структура цен DIY'!$B:$C,2,FALSE),0)</f>
        <v>0.30000000000000016</v>
      </c>
      <c r="AY1831" s="44">
        <v>0</v>
      </c>
    </row>
    <row r="1832" spans="1:51" x14ac:dyDescent="0.25">
      <c r="A1832" s="34">
        <v>1830</v>
      </c>
      <c r="B1832" s="34" t="s">
        <v>49</v>
      </c>
      <c r="C1832" s="110" t="str">
        <f>IFERROR(INDEX(Структура_ассортимента[SuperCategory],MATCH(Товары[[#This Row],[SubGroup]],Структура_ассортимента[Subgroup],0)),"")</f>
        <v>W</v>
      </c>
      <c r="D183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3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32" s="110" t="str">
        <f>IFERROR(INDEX(Структура_ассортимента[Product group],MATCH(Товары[[#This Row],[SubGroup]],Структура_ассортимента[Subgroup],0)),"")</f>
        <v>WSS_C</v>
      </c>
      <c r="G1832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32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32" s="36">
        <v>9033</v>
      </c>
      <c r="J1832" s="36" t="str">
        <f>IFERROR(INDEX(Структура_ассортимента[Generic Name (long)],MATCH(Товары[[#This Row],[SubGroup]],Структура_ассортимента[Subgroup],0)),"")</f>
        <v>WATERING SET</v>
      </c>
      <c r="L1832" s="36">
        <v>967039001</v>
      </c>
      <c r="M1832" s="35" t="s">
        <v>3508</v>
      </c>
      <c r="Q1832" s="34" t="s">
        <v>3549</v>
      </c>
      <c r="R1832" s="34" t="s">
        <v>3540</v>
      </c>
      <c r="S1832" s="47">
        <v>42370</v>
      </c>
      <c r="T1832" s="47">
        <v>0</v>
      </c>
      <c r="U1832" s="47">
        <v>0</v>
      </c>
      <c r="V1832" s="34">
        <v>4078500018227</v>
      </c>
      <c r="W1832" s="34" t="s">
        <v>3543</v>
      </c>
      <c r="X1832" s="34" t="s">
        <v>3907</v>
      </c>
      <c r="Y1832" s="34" t="s">
        <v>3542</v>
      </c>
      <c r="Z1832" s="34">
        <v>1</v>
      </c>
      <c r="AA1832" s="34">
        <v>17</v>
      </c>
      <c r="AB1832" s="34" t="s">
        <v>8021</v>
      </c>
      <c r="AC1832" s="34">
        <v>14</v>
      </c>
      <c r="AD1832" s="34" t="s">
        <v>6039</v>
      </c>
      <c r="AE1832" s="34" t="s">
        <v>6854</v>
      </c>
      <c r="AF1832" s="34" t="s">
        <v>6854</v>
      </c>
      <c r="AG1832" s="34" t="s">
        <v>3557</v>
      </c>
      <c r="AH1832" s="34" t="s">
        <v>8022</v>
      </c>
      <c r="AL1832" s="34" t="s">
        <v>8023</v>
      </c>
      <c r="AM1832" s="40" t="s">
        <v>8095</v>
      </c>
      <c r="AT1832" s="44">
        <v>0</v>
      </c>
      <c r="AU1832" s="44"/>
      <c r="AV1832" s="46">
        <f>ROUND(Товары[[#This Row],[РРЦ финальная, руб.]]/$AU$1,2)</f>
        <v>0</v>
      </c>
      <c r="AW1832" s="45" t="str">
        <f>IFERROR(Товары[[#This Row],[РРЦ, евро]]/Товары[[#This Row],[IRP, Eur]],"-")</f>
        <v>-</v>
      </c>
      <c r="AX1832" s="42">
        <f>IFERROR(VLOOKUP(Товары[[#This Row],[SubGroup]],'Структура цен DIY'!$B:$C,2,FALSE),0)</f>
        <v>0.30000000000000016</v>
      </c>
      <c r="AY1832" s="44">
        <v>0</v>
      </c>
    </row>
    <row r="1833" spans="1:51" x14ac:dyDescent="0.25">
      <c r="A1833" s="34">
        <v>1831</v>
      </c>
      <c r="B1833" s="34" t="s">
        <v>49</v>
      </c>
      <c r="C1833" s="110" t="str">
        <f>IFERROR(INDEX(Структура_ассортимента[SuperCategory],MATCH(Товары[[#This Row],[SubGroup]],Структура_ассортимента[Subgroup],0)),"")</f>
        <v>W</v>
      </c>
      <c r="D183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3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33" s="110" t="str">
        <f>IFERROR(INDEX(Структура_ассортимента[Product group],MATCH(Товары[[#This Row],[SubGroup]],Структура_ассортимента[Subgroup],0)),"")</f>
        <v>WSS_C</v>
      </c>
      <c r="G1833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33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33" s="36">
        <v>9033</v>
      </c>
      <c r="J1833" s="36" t="str">
        <f>IFERROR(INDEX(Структура_ассортимента[Generic Name (long)],MATCH(Товары[[#This Row],[SubGroup]],Структура_ассортимента[Subgroup],0)),"")</f>
        <v>WATERING SET</v>
      </c>
      <c r="L1833" s="36">
        <v>967692901</v>
      </c>
      <c r="M1833" s="35" t="s">
        <v>3509</v>
      </c>
      <c r="O1833" s="35" t="s">
        <v>8024</v>
      </c>
      <c r="P1833" s="37" t="s">
        <v>8025</v>
      </c>
      <c r="Q1833" s="34" t="s">
        <v>3549</v>
      </c>
      <c r="R1833" s="34" t="s">
        <v>3540</v>
      </c>
      <c r="S1833" s="47">
        <v>43101</v>
      </c>
      <c r="T1833" s="47">
        <v>0</v>
      </c>
      <c r="U1833" s="47">
        <v>0</v>
      </c>
      <c r="V1833" s="34">
        <v>4078500034852</v>
      </c>
      <c r="W1833" s="34" t="s">
        <v>3546</v>
      </c>
      <c r="X1833" s="34" t="s">
        <v>3787</v>
      </c>
      <c r="Y1833" s="34" t="s">
        <v>3542</v>
      </c>
      <c r="Z1833" s="34">
        <v>3</v>
      </c>
      <c r="AA1833" s="34">
        <v>1120</v>
      </c>
      <c r="AB1833" s="34" t="s">
        <v>3609</v>
      </c>
      <c r="AC1833" s="34">
        <v>947</v>
      </c>
      <c r="AD1833" s="34" t="s">
        <v>8026</v>
      </c>
      <c r="AE1833" s="34" t="s">
        <v>3655</v>
      </c>
      <c r="AF1833" s="34" t="s">
        <v>4174</v>
      </c>
      <c r="AG1833" s="34" t="s">
        <v>3754</v>
      </c>
      <c r="AH1833" s="34" t="s">
        <v>8027</v>
      </c>
      <c r="AL1833" s="34" t="s">
        <v>3562</v>
      </c>
      <c r="AM1833" s="40" t="s">
        <v>9</v>
      </c>
      <c r="AP1833" s="34">
        <v>0</v>
      </c>
      <c r="AQ1833" s="34">
        <v>4609</v>
      </c>
      <c r="AR1833" s="34">
        <v>2689</v>
      </c>
      <c r="AT1833" s="44">
        <v>357000</v>
      </c>
      <c r="AU1833" s="44"/>
      <c r="AV1833" s="46">
        <f>ROUND(Товары[[#This Row],[РРЦ финальная, руб.]]/$AU$1,2)</f>
        <v>0</v>
      </c>
      <c r="AW1833" s="45" t="str">
        <f>IFERROR(Товары[[#This Row],[РРЦ, евро]]/Товары[[#This Row],[IRP, Eur]],"-")</f>
        <v>-</v>
      </c>
      <c r="AX1833" s="42">
        <f>IFERROR(VLOOKUP(Товары[[#This Row],[SubGroup]],'Структура цен DIY'!$B:$C,2,FALSE),0)</f>
        <v>0.30000000000000016</v>
      </c>
      <c r="AY1833" s="44">
        <v>0</v>
      </c>
    </row>
    <row r="1834" spans="1:51" x14ac:dyDescent="0.25">
      <c r="A1834" s="34">
        <v>1832</v>
      </c>
      <c r="B1834" s="34" t="s">
        <v>49</v>
      </c>
      <c r="C1834" s="110" t="str">
        <f>IFERROR(INDEX(Структура_ассортимента[SuperCategory],MATCH(Товары[[#This Row],[SubGroup]],Структура_ассортимента[Subgroup],0)),"")</f>
        <v>W</v>
      </c>
      <c r="D183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3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34" s="110" t="str">
        <f>IFERROR(INDEX(Структура_ассортимента[Product group],MATCH(Товары[[#This Row],[SubGroup]],Структура_ассортимента[Subgroup],0)),"")</f>
        <v>WSS_C</v>
      </c>
      <c r="G1834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34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34" s="36">
        <v>9033</v>
      </c>
      <c r="J1834" s="36" t="str">
        <f>IFERROR(INDEX(Структура_ассортимента[Generic Name (long)],MATCH(Товары[[#This Row],[SubGroup]],Структура_ассортимента[Subgroup],0)),"")</f>
        <v>WATERING SET</v>
      </c>
      <c r="L1834" s="36">
        <v>967937801</v>
      </c>
      <c r="M1834" s="35" t="s">
        <v>3510</v>
      </c>
      <c r="Q1834" s="34" t="s">
        <v>3549</v>
      </c>
      <c r="R1834" s="34" t="s">
        <v>3540</v>
      </c>
      <c r="S1834" s="47">
        <v>43466</v>
      </c>
      <c r="T1834" s="47">
        <v>0</v>
      </c>
      <c r="U1834" s="47">
        <v>0</v>
      </c>
      <c r="V1834" s="34">
        <v>4078500046015</v>
      </c>
      <c r="W1834" s="34" t="s">
        <v>3543</v>
      </c>
      <c r="X1834" s="34" t="s">
        <v>3787</v>
      </c>
      <c r="Y1834" s="34" t="s">
        <v>3542</v>
      </c>
      <c r="Z1834" s="34">
        <v>10</v>
      </c>
      <c r="AB1834" s="34" t="s">
        <v>3609</v>
      </c>
      <c r="AD1834" s="34" t="s">
        <v>8026</v>
      </c>
      <c r="AE1834" s="34" t="s">
        <v>3655</v>
      </c>
      <c r="AF1834" s="34" t="s">
        <v>4174</v>
      </c>
      <c r="AG1834" s="34" t="s">
        <v>3754</v>
      </c>
      <c r="AH1834" s="34" t="s">
        <v>8027</v>
      </c>
      <c r="AL1834" s="34" t="s">
        <v>4616</v>
      </c>
      <c r="AM1834" s="40" t="s">
        <v>8095</v>
      </c>
      <c r="AT1834" s="44">
        <v>0</v>
      </c>
      <c r="AU1834" s="44"/>
      <c r="AV1834" s="46">
        <f>ROUND(Товары[[#This Row],[РРЦ финальная, руб.]]/$AU$1,2)</f>
        <v>0</v>
      </c>
      <c r="AW1834" s="45" t="str">
        <f>IFERROR(Товары[[#This Row],[РРЦ, евро]]/Товары[[#This Row],[IRP, Eur]],"-")</f>
        <v>-</v>
      </c>
      <c r="AX1834" s="42">
        <f>IFERROR(VLOOKUP(Товары[[#This Row],[SubGroup]],'Структура цен DIY'!$B:$C,2,FALSE),0)</f>
        <v>0.30000000000000016</v>
      </c>
      <c r="AY1834" s="44">
        <v>0</v>
      </c>
    </row>
    <row r="1835" spans="1:51" x14ac:dyDescent="0.25">
      <c r="A1835" s="34">
        <v>1833</v>
      </c>
      <c r="B1835" s="34" t="s">
        <v>49</v>
      </c>
      <c r="C1835" s="110" t="str">
        <f>IFERROR(INDEX(Структура_ассортимента[SuperCategory],MATCH(Товары[[#This Row],[SubGroup]],Структура_ассортимента[Subgroup],0)),"")</f>
        <v>W</v>
      </c>
      <c r="D183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3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35" s="110" t="str">
        <f>IFERROR(INDEX(Структура_ассортимента[Product group],MATCH(Товары[[#This Row],[SubGroup]],Структура_ассортимента[Subgroup],0)),"")</f>
        <v>WSS_C</v>
      </c>
      <c r="G1835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35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35" s="36">
        <v>9033</v>
      </c>
      <c r="J1835" s="36" t="str">
        <f>IFERROR(INDEX(Структура_ассортимента[Generic Name (long)],MATCH(Товары[[#This Row],[SubGroup]],Структура_ассортимента[Subgroup],0)),"")</f>
        <v>WATERING SET</v>
      </c>
      <c r="L1835" s="36">
        <v>967940501</v>
      </c>
      <c r="M1835" s="35" t="s">
        <v>3511</v>
      </c>
      <c r="Q1835" s="34" t="s">
        <v>3549</v>
      </c>
      <c r="R1835" s="34" t="s">
        <v>3540</v>
      </c>
      <c r="S1835" s="47">
        <v>43466</v>
      </c>
      <c r="T1835" s="47">
        <v>0</v>
      </c>
      <c r="U1835" s="47">
        <v>0</v>
      </c>
      <c r="V1835" s="34">
        <v>4078500077934</v>
      </c>
      <c r="W1835" s="34" t="s">
        <v>3543</v>
      </c>
      <c r="X1835" s="34" t="s">
        <v>3579</v>
      </c>
      <c r="Y1835" s="34" t="s">
        <v>3542</v>
      </c>
      <c r="Z1835" s="34">
        <v>2</v>
      </c>
      <c r="AB1835" s="34" t="s">
        <v>8028</v>
      </c>
      <c r="AD1835" s="34" t="s">
        <v>8029</v>
      </c>
      <c r="AE1835" s="34" t="s">
        <v>4992</v>
      </c>
      <c r="AF1835" s="34" t="s">
        <v>5285</v>
      </c>
      <c r="AG1835" s="34" t="s">
        <v>3556</v>
      </c>
      <c r="AH1835" s="34" t="s">
        <v>8027</v>
      </c>
      <c r="AL1835" s="34" t="s">
        <v>5442</v>
      </c>
      <c r="AM1835" s="40" t="s">
        <v>8095</v>
      </c>
      <c r="AT1835" s="44">
        <v>0</v>
      </c>
      <c r="AU1835" s="44"/>
      <c r="AV1835" s="46">
        <f>ROUND(Товары[[#This Row],[РРЦ финальная, руб.]]/$AU$1,2)</f>
        <v>0</v>
      </c>
      <c r="AW1835" s="45" t="str">
        <f>IFERROR(Товары[[#This Row],[РРЦ, евро]]/Товары[[#This Row],[IRP, Eur]],"-")</f>
        <v>-</v>
      </c>
      <c r="AX1835" s="42">
        <f>IFERROR(VLOOKUP(Товары[[#This Row],[SubGroup]],'Структура цен DIY'!$B:$C,2,FALSE),0)</f>
        <v>0.30000000000000016</v>
      </c>
      <c r="AY1835" s="44">
        <v>0</v>
      </c>
    </row>
    <row r="1836" spans="1:51" x14ac:dyDescent="0.25">
      <c r="A1836" s="34">
        <v>1834</v>
      </c>
      <c r="B1836" s="34" t="s">
        <v>49</v>
      </c>
      <c r="C1836" s="110" t="str">
        <f>IFERROR(INDEX(Структура_ассортимента[SuperCategory],MATCH(Товары[[#This Row],[SubGroup]],Структура_ассортимента[Subgroup],0)),"")</f>
        <v>W</v>
      </c>
      <c r="D183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3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36" s="110" t="str">
        <f>IFERROR(INDEX(Структура_ассортимента[Product group],MATCH(Товары[[#This Row],[SubGroup]],Структура_ассортимента[Subgroup],0)),"")</f>
        <v>WSS_C</v>
      </c>
      <c r="G1836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36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36" s="36">
        <v>9033</v>
      </c>
      <c r="J1836" s="36" t="str">
        <f>IFERROR(INDEX(Структура_ассортимента[Generic Name (long)],MATCH(Товары[[#This Row],[SubGroup]],Структура_ассортимента[Subgroup],0)),"")</f>
        <v>WATERING SET</v>
      </c>
      <c r="L1836" s="36">
        <v>967940701</v>
      </c>
      <c r="M1836" s="35" t="s">
        <v>3512</v>
      </c>
      <c r="Q1836" s="34" t="s">
        <v>3549</v>
      </c>
      <c r="R1836" s="34" t="s">
        <v>3540</v>
      </c>
      <c r="S1836" s="47">
        <v>43466</v>
      </c>
      <c r="T1836" s="47">
        <v>0</v>
      </c>
      <c r="U1836" s="47">
        <v>0</v>
      </c>
      <c r="V1836" s="34">
        <v>4078500077965</v>
      </c>
      <c r="W1836" s="34" t="s">
        <v>3543</v>
      </c>
      <c r="X1836" s="34" t="s">
        <v>3579</v>
      </c>
      <c r="Y1836" s="34" t="s">
        <v>3542</v>
      </c>
      <c r="Z1836" s="34">
        <v>8</v>
      </c>
      <c r="AB1836" s="34" t="s">
        <v>8028</v>
      </c>
      <c r="AD1836" s="34" t="s">
        <v>8029</v>
      </c>
      <c r="AE1836" s="34" t="s">
        <v>4992</v>
      </c>
      <c r="AF1836" s="34" t="s">
        <v>5285</v>
      </c>
      <c r="AG1836" s="34" t="s">
        <v>3556</v>
      </c>
      <c r="AH1836" s="34" t="s">
        <v>8030</v>
      </c>
      <c r="AL1836" s="34" t="s">
        <v>4321</v>
      </c>
      <c r="AM1836" s="40" t="s">
        <v>8095</v>
      </c>
      <c r="AT1836" s="44">
        <v>0</v>
      </c>
      <c r="AU1836" s="44"/>
      <c r="AV1836" s="46">
        <f>ROUND(Товары[[#This Row],[РРЦ финальная, руб.]]/$AU$1,2)</f>
        <v>0</v>
      </c>
      <c r="AW1836" s="45" t="str">
        <f>IFERROR(Товары[[#This Row],[РРЦ, евро]]/Товары[[#This Row],[IRP, Eur]],"-")</f>
        <v>-</v>
      </c>
      <c r="AX1836" s="42">
        <f>IFERROR(VLOOKUP(Товары[[#This Row],[SubGroup]],'Структура цен DIY'!$B:$C,2,FALSE),0)</f>
        <v>0.30000000000000016</v>
      </c>
      <c r="AY1836" s="44">
        <v>0</v>
      </c>
    </row>
    <row r="1837" spans="1:51" x14ac:dyDescent="0.25">
      <c r="A1837" s="34">
        <v>1835</v>
      </c>
      <c r="B1837" s="34" t="s">
        <v>49</v>
      </c>
      <c r="C1837" s="110" t="str">
        <f>IFERROR(INDEX(Структура_ассортимента[SuperCategory],MATCH(Товары[[#This Row],[SubGroup]],Структура_ассортимента[Subgroup],0)),"")</f>
        <v>W</v>
      </c>
      <c r="D183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3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37" s="110" t="str">
        <f>IFERROR(INDEX(Структура_ассортимента[Product group],MATCH(Товары[[#This Row],[SubGroup]],Структура_ассортимента[Subgroup],0)),"")</f>
        <v>WSS_C</v>
      </c>
      <c r="G1837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37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37" s="36">
        <v>9033</v>
      </c>
      <c r="J1837" s="36" t="str">
        <f>IFERROR(INDEX(Структура_ассортимента[Generic Name (long)],MATCH(Товары[[#This Row],[SubGroup]],Структура_ассортимента[Subgroup],0)),"")</f>
        <v>WATERING SET</v>
      </c>
      <c r="L1837" s="36">
        <v>967693101</v>
      </c>
      <c r="M1837" s="35" t="s">
        <v>3513</v>
      </c>
      <c r="O1837" s="35" t="s">
        <v>8031</v>
      </c>
      <c r="P1837" s="37" t="s">
        <v>8032</v>
      </c>
      <c r="Q1837" s="34" t="s">
        <v>3549</v>
      </c>
      <c r="R1837" s="34" t="s">
        <v>3540</v>
      </c>
      <c r="S1837" s="47">
        <v>43101</v>
      </c>
      <c r="T1837" s="47">
        <v>0</v>
      </c>
      <c r="U1837" s="47">
        <v>0</v>
      </c>
      <c r="V1837" s="34">
        <v>4078500034890</v>
      </c>
      <c r="W1837" s="34" t="s">
        <v>3543</v>
      </c>
      <c r="X1837" s="34" t="s">
        <v>3579</v>
      </c>
      <c r="Y1837" s="34" t="s">
        <v>3542</v>
      </c>
      <c r="Z1837" s="34">
        <v>1</v>
      </c>
      <c r="AA1837" s="34">
        <v>3702</v>
      </c>
      <c r="AB1837" s="34" t="s">
        <v>8033</v>
      </c>
      <c r="AC1837" s="34">
        <v>3169</v>
      </c>
      <c r="AD1837" s="34" t="s">
        <v>8034</v>
      </c>
      <c r="AE1837" s="34" t="s">
        <v>8035</v>
      </c>
      <c r="AF1837" s="34" t="s">
        <v>4603</v>
      </c>
      <c r="AG1837" s="34" t="s">
        <v>5002</v>
      </c>
      <c r="AH1837" s="34" t="s">
        <v>8036</v>
      </c>
      <c r="AI1837" s="34" t="s">
        <v>4364</v>
      </c>
      <c r="AJ1837" s="34" t="s">
        <v>4326</v>
      </c>
      <c r="AK1837" s="34" t="s">
        <v>3708</v>
      </c>
      <c r="AL1837" s="34" t="s">
        <v>8037</v>
      </c>
      <c r="AM1837" s="40" t="s">
        <v>9</v>
      </c>
      <c r="AP1837" s="34">
        <v>0</v>
      </c>
      <c r="AQ1837" s="34">
        <v>5049</v>
      </c>
      <c r="AR1837" s="34">
        <v>2945</v>
      </c>
      <c r="AT1837" s="44">
        <v>391100</v>
      </c>
      <c r="AU1837" s="44"/>
      <c r="AV1837" s="46">
        <f>ROUND(Товары[[#This Row],[РРЦ финальная, руб.]]/$AU$1,2)</f>
        <v>0</v>
      </c>
      <c r="AW1837" s="45" t="str">
        <f>IFERROR(Товары[[#This Row],[РРЦ, евро]]/Товары[[#This Row],[IRP, Eur]],"-")</f>
        <v>-</v>
      </c>
      <c r="AX1837" s="42">
        <f>IFERROR(VLOOKUP(Товары[[#This Row],[SubGroup]],'Структура цен DIY'!$B:$C,2,FALSE),0)</f>
        <v>0.30000000000000016</v>
      </c>
      <c r="AY1837" s="44">
        <v>0</v>
      </c>
    </row>
    <row r="1838" spans="1:51" x14ac:dyDescent="0.25">
      <c r="A1838" s="34">
        <v>1836</v>
      </c>
      <c r="B1838" s="34" t="s">
        <v>49</v>
      </c>
      <c r="C1838" s="110" t="str">
        <f>IFERROR(INDEX(Структура_ассортимента[SuperCategory],MATCH(Товары[[#This Row],[SubGroup]],Структура_ассортимента[Subgroup],0)),"")</f>
        <v>W</v>
      </c>
      <c r="D183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3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38" s="110" t="str">
        <f>IFERROR(INDEX(Структура_ассортимента[Product group],MATCH(Товары[[#This Row],[SubGroup]],Структура_ассортимента[Subgroup],0)),"")</f>
        <v>WSS_C</v>
      </c>
      <c r="G1838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38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38" s="36">
        <v>9033</v>
      </c>
      <c r="J1838" s="36" t="str">
        <f>IFERROR(INDEX(Структура_ассортимента[Generic Name (long)],MATCH(Товары[[#This Row],[SubGroup]],Структура_ассортимента[Subgroup],0)),"")</f>
        <v>WATERING SET</v>
      </c>
      <c r="L1838" s="36">
        <v>967693201</v>
      </c>
      <c r="M1838" s="35" t="s">
        <v>3514</v>
      </c>
      <c r="O1838" s="35" t="s">
        <v>8038</v>
      </c>
      <c r="P1838" s="37" t="s">
        <v>8039</v>
      </c>
      <c r="Q1838" s="34" t="s">
        <v>3549</v>
      </c>
      <c r="R1838" s="34" t="s">
        <v>3540</v>
      </c>
      <c r="S1838" s="47">
        <v>43101</v>
      </c>
      <c r="T1838" s="47">
        <v>0</v>
      </c>
      <c r="U1838" s="47">
        <v>0</v>
      </c>
      <c r="V1838" s="34">
        <v>4078500034906</v>
      </c>
      <c r="W1838" s="34" t="s">
        <v>3543</v>
      </c>
      <c r="X1838" s="34" t="s">
        <v>3579</v>
      </c>
      <c r="Y1838" s="34" t="s">
        <v>3542</v>
      </c>
      <c r="Z1838" s="34">
        <v>1</v>
      </c>
      <c r="AA1838" s="34">
        <v>800</v>
      </c>
      <c r="AB1838" s="34" t="s">
        <v>4708</v>
      </c>
      <c r="AC1838" s="34">
        <v>650</v>
      </c>
      <c r="AD1838" s="34" t="s">
        <v>4715</v>
      </c>
      <c r="AE1838" s="34" t="s">
        <v>4440</v>
      </c>
      <c r="AF1838" s="34" t="s">
        <v>4440</v>
      </c>
      <c r="AG1838" s="34" t="s">
        <v>3975</v>
      </c>
      <c r="AH1838" s="34" t="s">
        <v>8040</v>
      </c>
      <c r="AI1838" s="34" t="s">
        <v>3865</v>
      </c>
      <c r="AJ1838" s="34" t="s">
        <v>4326</v>
      </c>
      <c r="AK1838" s="34" t="s">
        <v>3865</v>
      </c>
      <c r="AL1838" s="34" t="s">
        <v>3830</v>
      </c>
      <c r="AM1838" s="40" t="s">
        <v>9</v>
      </c>
      <c r="AP1838" s="34">
        <v>0</v>
      </c>
      <c r="AQ1838" s="34">
        <v>3179</v>
      </c>
      <c r="AR1838" s="34">
        <v>1854</v>
      </c>
      <c r="AT1838" s="44">
        <v>246200</v>
      </c>
      <c r="AU1838" s="44"/>
      <c r="AV1838" s="46">
        <f>ROUND(Товары[[#This Row],[РРЦ финальная, руб.]]/$AU$1,2)</f>
        <v>0</v>
      </c>
      <c r="AW1838" s="45" t="str">
        <f>IFERROR(Товары[[#This Row],[РРЦ, евро]]/Товары[[#This Row],[IRP, Eur]],"-")</f>
        <v>-</v>
      </c>
      <c r="AX1838" s="42">
        <f>IFERROR(VLOOKUP(Товары[[#This Row],[SubGroup]],'Структура цен DIY'!$B:$C,2,FALSE),0)</f>
        <v>0.30000000000000016</v>
      </c>
      <c r="AY1838" s="44">
        <v>0</v>
      </c>
    </row>
    <row r="1839" spans="1:51" x14ac:dyDescent="0.25">
      <c r="A1839" s="34">
        <v>1837</v>
      </c>
      <c r="B1839" s="34" t="s">
        <v>49</v>
      </c>
      <c r="C1839" s="110" t="str">
        <f>IFERROR(INDEX(Структура_ассортимента[SuperCategory],MATCH(Товары[[#This Row],[SubGroup]],Структура_ассортимента[Subgroup],0)),"")</f>
        <v>W</v>
      </c>
      <c r="D183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3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39" s="110" t="str">
        <f>IFERROR(INDEX(Структура_ассортимента[Product group],MATCH(Товары[[#This Row],[SubGroup]],Структура_ассортимента[Subgroup],0)),"")</f>
        <v>WSS_C</v>
      </c>
      <c r="G1839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39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39" s="36">
        <v>9033</v>
      </c>
      <c r="J1839" s="36" t="str">
        <f>IFERROR(INDEX(Структура_ассортимента[Generic Name (long)],MATCH(Товары[[#This Row],[SubGroup]],Структура_ассортимента[Subgroup],0)),"")</f>
        <v>WATERING SET</v>
      </c>
      <c r="L1839" s="36">
        <v>967693301</v>
      </c>
      <c r="M1839" s="35" t="s">
        <v>3515</v>
      </c>
      <c r="O1839" s="35" t="s">
        <v>8041</v>
      </c>
      <c r="P1839" s="37" t="s">
        <v>8042</v>
      </c>
      <c r="Q1839" s="34" t="s">
        <v>3549</v>
      </c>
      <c r="R1839" s="34" t="s">
        <v>3540</v>
      </c>
      <c r="S1839" s="47">
        <v>43101</v>
      </c>
      <c r="T1839" s="47">
        <v>0</v>
      </c>
      <c r="U1839" s="47">
        <v>0</v>
      </c>
      <c r="V1839" s="34">
        <v>4078500034913</v>
      </c>
      <c r="W1839" s="34" t="s">
        <v>3543</v>
      </c>
      <c r="X1839" s="34" t="s">
        <v>3579</v>
      </c>
      <c r="Y1839" s="34" t="s">
        <v>3542</v>
      </c>
      <c r="Z1839" s="34">
        <v>3</v>
      </c>
      <c r="AA1839" s="34">
        <v>300</v>
      </c>
      <c r="AB1839" s="34" t="s">
        <v>3691</v>
      </c>
      <c r="AC1839" s="34">
        <v>276</v>
      </c>
      <c r="AD1839" s="34" t="s">
        <v>8043</v>
      </c>
      <c r="AE1839" s="34" t="s">
        <v>3754</v>
      </c>
      <c r="AF1839" s="34" t="s">
        <v>3825</v>
      </c>
      <c r="AG1839" s="34" t="s">
        <v>3574</v>
      </c>
      <c r="AH1839" s="34" t="s">
        <v>4647</v>
      </c>
      <c r="AL1839" s="34" t="s">
        <v>4302</v>
      </c>
      <c r="AM1839" s="40" t="s">
        <v>9</v>
      </c>
      <c r="AP1839" s="34">
        <v>0</v>
      </c>
      <c r="AQ1839" s="34">
        <v>3069</v>
      </c>
      <c r="AR1839" s="34">
        <v>1790</v>
      </c>
      <c r="AT1839" s="44">
        <v>237700</v>
      </c>
      <c r="AU1839" s="44"/>
      <c r="AV1839" s="46">
        <f>ROUND(Товары[[#This Row],[РРЦ финальная, руб.]]/$AU$1,2)</f>
        <v>0</v>
      </c>
      <c r="AW1839" s="45" t="str">
        <f>IFERROR(Товары[[#This Row],[РРЦ, евро]]/Товары[[#This Row],[IRP, Eur]],"-")</f>
        <v>-</v>
      </c>
      <c r="AX1839" s="42">
        <f>IFERROR(VLOOKUP(Товары[[#This Row],[SubGroup]],'Структура цен DIY'!$B:$C,2,FALSE),0)</f>
        <v>0.30000000000000016</v>
      </c>
      <c r="AY1839" s="44">
        <v>0</v>
      </c>
    </row>
    <row r="1840" spans="1:51" x14ac:dyDescent="0.25">
      <c r="A1840" s="34">
        <v>1838</v>
      </c>
      <c r="B1840" s="34" t="s">
        <v>49</v>
      </c>
      <c r="C1840" s="110" t="str">
        <f>IFERROR(INDEX(Структура_ассортимента[SuperCategory],MATCH(Товары[[#This Row],[SubGroup]],Структура_ассортимента[Subgroup],0)),"")</f>
        <v>W</v>
      </c>
      <c r="D184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4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40" s="110" t="str">
        <f>IFERROR(INDEX(Структура_ассортимента[Product group],MATCH(Товары[[#This Row],[SubGroup]],Структура_ассортимента[Subgroup],0)),"")</f>
        <v>WSS_C</v>
      </c>
      <c r="G1840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40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40" s="36">
        <v>9033</v>
      </c>
      <c r="J1840" s="36" t="str">
        <f>IFERROR(INDEX(Структура_ассортимента[Generic Name (long)],MATCH(Товары[[#This Row],[SubGroup]],Структура_ассортимента[Subgroup],0)),"")</f>
        <v>WATERING SET</v>
      </c>
      <c r="L1840" s="36">
        <v>967693401</v>
      </c>
      <c r="M1840" s="35" t="s">
        <v>3516</v>
      </c>
      <c r="O1840" s="35" t="s">
        <v>8044</v>
      </c>
      <c r="P1840" s="37" t="s">
        <v>8045</v>
      </c>
      <c r="Q1840" s="34" t="s">
        <v>3549</v>
      </c>
      <c r="R1840" s="34" t="s">
        <v>3540</v>
      </c>
      <c r="S1840" s="47">
        <v>43101</v>
      </c>
      <c r="T1840" s="47">
        <v>0</v>
      </c>
      <c r="U1840" s="47">
        <v>0</v>
      </c>
      <c r="V1840" s="34">
        <v>4078500034937</v>
      </c>
      <c r="W1840" s="34" t="s">
        <v>3543</v>
      </c>
      <c r="X1840" s="34" t="s">
        <v>3579</v>
      </c>
      <c r="Y1840" s="34" t="s">
        <v>3542</v>
      </c>
      <c r="Z1840" s="34">
        <v>3</v>
      </c>
      <c r="AA1840" s="34">
        <v>300</v>
      </c>
      <c r="AB1840" s="34" t="s">
        <v>4853</v>
      </c>
      <c r="AC1840" s="34">
        <v>231</v>
      </c>
      <c r="AD1840" s="34" t="s">
        <v>4919</v>
      </c>
      <c r="AE1840" s="34" t="s">
        <v>3754</v>
      </c>
      <c r="AF1840" s="34" t="s">
        <v>3825</v>
      </c>
      <c r="AG1840" s="34" t="s">
        <v>3574</v>
      </c>
      <c r="AH1840" s="34" t="s">
        <v>4647</v>
      </c>
      <c r="AL1840" s="34" t="s">
        <v>4302</v>
      </c>
      <c r="AM1840" s="40" t="s">
        <v>9</v>
      </c>
      <c r="AP1840" s="34">
        <v>0</v>
      </c>
      <c r="AQ1840" s="34">
        <v>3069</v>
      </c>
      <c r="AR1840" s="34">
        <v>1790</v>
      </c>
      <c r="AT1840" s="44">
        <v>237700</v>
      </c>
      <c r="AU1840" s="44"/>
      <c r="AV1840" s="46">
        <f>ROUND(Товары[[#This Row],[РРЦ финальная, руб.]]/$AU$1,2)</f>
        <v>0</v>
      </c>
      <c r="AW1840" s="45" t="str">
        <f>IFERROR(Товары[[#This Row],[РРЦ, евро]]/Товары[[#This Row],[IRP, Eur]],"-")</f>
        <v>-</v>
      </c>
      <c r="AX1840" s="42">
        <f>IFERROR(VLOOKUP(Товары[[#This Row],[SubGroup]],'Структура цен DIY'!$B:$C,2,FALSE),0)</f>
        <v>0.30000000000000016</v>
      </c>
      <c r="AY1840" s="44">
        <v>0</v>
      </c>
    </row>
    <row r="1841" spans="1:51" x14ac:dyDescent="0.25">
      <c r="A1841" s="34">
        <v>1839</v>
      </c>
      <c r="B1841" s="34" t="s">
        <v>49</v>
      </c>
      <c r="C1841" s="110" t="str">
        <f>IFERROR(INDEX(Структура_ассортимента[SuperCategory],MATCH(Товары[[#This Row],[SubGroup]],Структура_ассортимента[Subgroup],0)),"")</f>
        <v>W</v>
      </c>
      <c r="D184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4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41" s="110" t="str">
        <f>IFERROR(INDEX(Структура_ассортимента[Product group],MATCH(Товары[[#This Row],[SubGroup]],Структура_ассортимента[Subgroup],0)),"")</f>
        <v>WSS_C</v>
      </c>
      <c r="G1841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41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41" s="36">
        <v>9033</v>
      </c>
      <c r="J1841" s="36" t="str">
        <f>IFERROR(INDEX(Структура_ассортимента[Generic Name (long)],MATCH(Товары[[#This Row],[SubGroup]],Структура_ассортимента[Subgroup],0)),"")</f>
        <v>WATERING SET</v>
      </c>
      <c r="L1841" s="36">
        <v>967693601</v>
      </c>
      <c r="M1841" s="35" t="s">
        <v>3517</v>
      </c>
      <c r="Q1841" s="34" t="s">
        <v>3549</v>
      </c>
      <c r="R1841" s="34" t="s">
        <v>3540</v>
      </c>
      <c r="S1841" s="47">
        <v>43101</v>
      </c>
      <c r="T1841" s="47">
        <v>0</v>
      </c>
      <c r="U1841" s="47">
        <v>0</v>
      </c>
      <c r="V1841" s="34">
        <v>4078500034951</v>
      </c>
      <c r="W1841" s="34" t="s">
        <v>3543</v>
      </c>
      <c r="X1841" s="34" t="s">
        <v>3579</v>
      </c>
      <c r="Y1841" s="34" t="s">
        <v>3542</v>
      </c>
      <c r="Z1841" s="34">
        <v>3</v>
      </c>
      <c r="AB1841" s="34" t="s">
        <v>5608</v>
      </c>
      <c r="AD1841" s="34" t="s">
        <v>4753</v>
      </c>
      <c r="AE1841" s="34" t="s">
        <v>5328</v>
      </c>
      <c r="AF1841" s="34" t="s">
        <v>4381</v>
      </c>
      <c r="AG1841" s="34" t="s">
        <v>8046</v>
      </c>
      <c r="AH1841" s="34" t="s">
        <v>8047</v>
      </c>
      <c r="AL1841" s="34" t="s">
        <v>8048</v>
      </c>
      <c r="AM1841" s="40" t="s">
        <v>8095</v>
      </c>
      <c r="AT1841" s="44">
        <v>0</v>
      </c>
      <c r="AU1841" s="44"/>
      <c r="AV1841" s="46">
        <f>ROUND(Товары[[#This Row],[РРЦ финальная, руб.]]/$AU$1,2)</f>
        <v>0</v>
      </c>
      <c r="AW1841" s="45" t="str">
        <f>IFERROR(Товары[[#This Row],[РРЦ, евро]]/Товары[[#This Row],[IRP, Eur]],"-")</f>
        <v>-</v>
      </c>
      <c r="AX1841" s="42">
        <f>IFERROR(VLOOKUP(Товары[[#This Row],[SubGroup]],'Структура цен DIY'!$B:$C,2,FALSE),0)</f>
        <v>0.30000000000000016</v>
      </c>
      <c r="AY1841" s="44">
        <v>0</v>
      </c>
    </row>
    <row r="1842" spans="1:51" x14ac:dyDescent="0.25">
      <c r="A1842" s="34">
        <v>1840</v>
      </c>
      <c r="B1842" s="34" t="s">
        <v>49</v>
      </c>
      <c r="C1842" s="110" t="str">
        <f>IFERROR(INDEX(Структура_ассортимента[SuperCategory],MATCH(Товары[[#This Row],[SubGroup]],Структура_ассортимента[Subgroup],0)),"")</f>
        <v>W</v>
      </c>
      <c r="D184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4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42" s="110" t="str">
        <f>IFERROR(INDEX(Структура_ассортимента[Product group],MATCH(Товары[[#This Row],[SubGroup]],Структура_ассортимента[Subgroup],0)),"")</f>
        <v>WSS_C</v>
      </c>
      <c r="G1842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42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42" s="36">
        <v>9033</v>
      </c>
      <c r="J1842" s="36" t="str">
        <f>IFERROR(INDEX(Структура_ассортимента[Generic Name (long)],MATCH(Товары[[#This Row],[SubGroup]],Структура_ассортимента[Subgroup],0)),"")</f>
        <v>WATERING SET</v>
      </c>
      <c r="L1842" s="36">
        <v>967693801</v>
      </c>
      <c r="M1842" s="35" t="s">
        <v>3518</v>
      </c>
      <c r="O1842" s="35" t="s">
        <v>8049</v>
      </c>
      <c r="P1842" s="37" t="s">
        <v>8050</v>
      </c>
      <c r="Q1842" s="34" t="s">
        <v>3549</v>
      </c>
      <c r="R1842" s="34" t="s">
        <v>3540</v>
      </c>
      <c r="S1842" s="47">
        <v>43101</v>
      </c>
      <c r="T1842" s="47">
        <v>0</v>
      </c>
      <c r="U1842" s="47">
        <v>0</v>
      </c>
      <c r="V1842" s="34">
        <v>4078500034975</v>
      </c>
      <c r="W1842" s="34" t="s">
        <v>3543</v>
      </c>
      <c r="X1842" s="34" t="s">
        <v>3579</v>
      </c>
      <c r="Y1842" s="34" t="s">
        <v>3542</v>
      </c>
      <c r="Z1842" s="34">
        <v>3</v>
      </c>
      <c r="AA1842" s="34">
        <v>180</v>
      </c>
      <c r="AB1842" s="34" t="s">
        <v>4002</v>
      </c>
      <c r="AC1842" s="34">
        <v>158</v>
      </c>
      <c r="AD1842" s="34" t="s">
        <v>7132</v>
      </c>
      <c r="AE1842" s="34" t="s">
        <v>3592</v>
      </c>
      <c r="AF1842" s="34" t="s">
        <v>3611</v>
      </c>
      <c r="AG1842" s="34" t="s">
        <v>3825</v>
      </c>
      <c r="AH1842" s="34" t="s">
        <v>8051</v>
      </c>
      <c r="AI1842" s="34" t="s">
        <v>4354</v>
      </c>
      <c r="AJ1842" s="34" t="s">
        <v>6500</v>
      </c>
      <c r="AK1842" s="34" t="s">
        <v>4192</v>
      </c>
      <c r="AL1842" s="34" t="s">
        <v>5200</v>
      </c>
      <c r="AM1842" s="40" t="s">
        <v>9</v>
      </c>
      <c r="AP1842" s="34">
        <v>0</v>
      </c>
      <c r="AQ1842" s="34">
        <v>1309</v>
      </c>
      <c r="AR1842" s="34">
        <v>764</v>
      </c>
      <c r="AT1842" s="44">
        <v>101400</v>
      </c>
      <c r="AU1842" s="44"/>
      <c r="AV1842" s="46">
        <f>ROUND(Товары[[#This Row],[РРЦ финальная, руб.]]/$AU$1,2)</f>
        <v>0</v>
      </c>
      <c r="AW1842" s="45" t="str">
        <f>IFERROR(Товары[[#This Row],[РРЦ, евро]]/Товары[[#This Row],[IRP, Eur]],"-")</f>
        <v>-</v>
      </c>
      <c r="AX1842" s="42">
        <f>IFERROR(VLOOKUP(Товары[[#This Row],[SubGroup]],'Структура цен DIY'!$B:$C,2,FALSE),0)</f>
        <v>0.30000000000000016</v>
      </c>
      <c r="AY1842" s="44">
        <v>0</v>
      </c>
    </row>
    <row r="1843" spans="1:51" x14ac:dyDescent="0.25">
      <c r="A1843" s="34">
        <v>1841</v>
      </c>
      <c r="B1843" s="34" t="s">
        <v>49</v>
      </c>
      <c r="C1843" s="110" t="str">
        <f>IFERROR(INDEX(Структура_ассортимента[SuperCategory],MATCH(Товары[[#This Row],[SubGroup]],Структура_ассортимента[Subgroup],0)),"")</f>
        <v>W</v>
      </c>
      <c r="D184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4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43" s="110" t="str">
        <f>IFERROR(INDEX(Структура_ассортимента[Product group],MATCH(Товары[[#This Row],[SubGroup]],Структура_ассортимента[Subgroup],0)),"")</f>
        <v>WSS_C</v>
      </c>
      <c r="G1843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43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43" s="36">
        <v>9033</v>
      </c>
      <c r="J1843" s="36" t="str">
        <f>IFERROR(INDEX(Структура_ассортимента[Generic Name (long)],MATCH(Товары[[#This Row],[SubGroup]],Структура_ассортимента[Subgroup],0)),"")</f>
        <v>WATERING SET</v>
      </c>
      <c r="L1843" s="36">
        <v>967693901</v>
      </c>
      <c r="M1843" s="35" t="s">
        <v>3519</v>
      </c>
      <c r="O1843" s="35" t="s">
        <v>8052</v>
      </c>
      <c r="P1843" s="37" t="s">
        <v>8053</v>
      </c>
      <c r="Q1843" s="34" t="s">
        <v>3549</v>
      </c>
      <c r="R1843" s="34" t="s">
        <v>3540</v>
      </c>
      <c r="S1843" s="47">
        <v>43101</v>
      </c>
      <c r="T1843" s="47">
        <v>0</v>
      </c>
      <c r="U1843" s="47">
        <v>0</v>
      </c>
      <c r="V1843" s="34">
        <v>4078500034999</v>
      </c>
      <c r="W1843" s="34" t="s">
        <v>3543</v>
      </c>
      <c r="X1843" s="34" t="s">
        <v>3579</v>
      </c>
      <c r="Y1843" s="34" t="s">
        <v>3542</v>
      </c>
      <c r="Z1843" s="34">
        <v>3</v>
      </c>
      <c r="AA1843" s="34">
        <v>250</v>
      </c>
      <c r="AB1843" s="34" t="s">
        <v>4389</v>
      </c>
      <c r="AC1843" s="34">
        <v>243</v>
      </c>
      <c r="AD1843" s="34" t="s">
        <v>6342</v>
      </c>
      <c r="AE1843" s="34" t="s">
        <v>3592</v>
      </c>
      <c r="AF1843" s="34" t="s">
        <v>3611</v>
      </c>
      <c r="AG1843" s="34" t="s">
        <v>3825</v>
      </c>
      <c r="AH1843" s="34" t="s">
        <v>8051</v>
      </c>
      <c r="AL1843" s="34" t="s">
        <v>5200</v>
      </c>
      <c r="AM1843" s="40" t="s">
        <v>9</v>
      </c>
      <c r="AP1843" s="34">
        <v>0</v>
      </c>
      <c r="AQ1843" s="34">
        <v>2079</v>
      </c>
      <c r="AR1843" s="34">
        <v>1213</v>
      </c>
      <c r="AT1843" s="44">
        <v>161000</v>
      </c>
      <c r="AU1843" s="44"/>
      <c r="AV1843" s="46">
        <f>ROUND(Товары[[#This Row],[РРЦ финальная, руб.]]/$AU$1,2)</f>
        <v>0</v>
      </c>
      <c r="AW1843" s="45" t="str">
        <f>IFERROR(Товары[[#This Row],[РРЦ, евро]]/Товары[[#This Row],[IRP, Eur]],"-")</f>
        <v>-</v>
      </c>
      <c r="AX1843" s="42">
        <f>IFERROR(VLOOKUP(Товары[[#This Row],[SubGroup]],'Структура цен DIY'!$B:$C,2,FALSE),0)</f>
        <v>0.30000000000000016</v>
      </c>
      <c r="AY1843" s="44">
        <v>0</v>
      </c>
    </row>
    <row r="1844" spans="1:51" x14ac:dyDescent="0.25">
      <c r="A1844" s="34">
        <v>1842</v>
      </c>
      <c r="B1844" s="34" t="s">
        <v>49</v>
      </c>
      <c r="C1844" s="110" t="str">
        <f>IFERROR(INDEX(Структура_ассортимента[SuperCategory],MATCH(Товары[[#This Row],[SubGroup]],Структура_ассортимента[Subgroup],0)),"")</f>
        <v>W</v>
      </c>
      <c r="D184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4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44" s="110" t="str">
        <f>IFERROR(INDEX(Структура_ассортимента[Product group],MATCH(Товары[[#This Row],[SubGroup]],Структура_ассортимента[Subgroup],0)),"")</f>
        <v>WSS_C</v>
      </c>
      <c r="G1844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44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44" s="36">
        <v>9033</v>
      </c>
      <c r="J1844" s="36" t="str">
        <f>IFERROR(INDEX(Структура_ассортимента[Generic Name (long)],MATCH(Товары[[#This Row],[SubGroup]],Структура_ассортимента[Subgroup],0)),"")</f>
        <v>WATERING SET</v>
      </c>
      <c r="L1844" s="36">
        <v>967694001</v>
      </c>
      <c r="M1844" s="35" t="s">
        <v>3520</v>
      </c>
      <c r="O1844" s="35" t="s">
        <v>8054</v>
      </c>
      <c r="P1844" s="37" t="s">
        <v>8055</v>
      </c>
      <c r="Q1844" s="34" t="s">
        <v>3549</v>
      </c>
      <c r="R1844" s="34" t="s">
        <v>3540</v>
      </c>
      <c r="S1844" s="47">
        <v>43101</v>
      </c>
      <c r="T1844" s="47">
        <v>0</v>
      </c>
      <c r="U1844" s="47">
        <v>0</v>
      </c>
      <c r="V1844" s="34">
        <v>4078500035026</v>
      </c>
      <c r="W1844" s="34" t="s">
        <v>3543</v>
      </c>
      <c r="X1844" s="34" t="s">
        <v>3579</v>
      </c>
      <c r="Y1844" s="34" t="s">
        <v>3542</v>
      </c>
      <c r="Z1844" s="34">
        <v>10</v>
      </c>
      <c r="AA1844" s="34">
        <v>50</v>
      </c>
      <c r="AB1844" s="34" t="s">
        <v>5633</v>
      </c>
      <c r="AC1844" s="34">
        <v>44</v>
      </c>
      <c r="AD1844" s="34" t="s">
        <v>7090</v>
      </c>
      <c r="AE1844" s="34" t="s">
        <v>3693</v>
      </c>
      <c r="AF1844" s="34" t="s">
        <v>3576</v>
      </c>
      <c r="AG1844" s="34" t="s">
        <v>5125</v>
      </c>
      <c r="AH1844" s="34" t="s">
        <v>8056</v>
      </c>
      <c r="AL1844" s="34" t="s">
        <v>6636</v>
      </c>
      <c r="AM1844" s="40" t="s">
        <v>9</v>
      </c>
      <c r="AP1844" s="34">
        <v>0</v>
      </c>
      <c r="AQ1844" s="34">
        <v>429</v>
      </c>
      <c r="AR1844" s="34">
        <v>250</v>
      </c>
      <c r="AT1844" s="44">
        <v>33200</v>
      </c>
      <c r="AU1844" s="44"/>
      <c r="AV1844" s="46">
        <f>ROUND(Товары[[#This Row],[РРЦ финальная, руб.]]/$AU$1,2)</f>
        <v>0</v>
      </c>
      <c r="AW1844" s="45" t="str">
        <f>IFERROR(Товары[[#This Row],[РРЦ, евро]]/Товары[[#This Row],[IRP, Eur]],"-")</f>
        <v>-</v>
      </c>
      <c r="AX1844" s="42">
        <f>IFERROR(VLOOKUP(Товары[[#This Row],[SubGroup]],'Структура цен DIY'!$B:$C,2,FALSE),0)</f>
        <v>0.30000000000000016</v>
      </c>
      <c r="AY1844" s="44">
        <v>0</v>
      </c>
    </row>
    <row r="1845" spans="1:51" x14ac:dyDescent="0.25">
      <c r="A1845" s="34">
        <v>1843</v>
      </c>
      <c r="B1845" s="34" t="s">
        <v>49</v>
      </c>
      <c r="C1845" s="110" t="str">
        <f>IFERROR(INDEX(Структура_ассортимента[SuperCategory],MATCH(Товары[[#This Row],[SubGroup]],Структура_ассортимента[Subgroup],0)),"")</f>
        <v>W</v>
      </c>
      <c r="D184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4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45" s="110" t="str">
        <f>IFERROR(INDEX(Структура_ассортимента[Product group],MATCH(Товары[[#This Row],[SubGroup]],Структура_ассортимента[Subgroup],0)),"")</f>
        <v>WSS_C</v>
      </c>
      <c r="G1845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45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45" s="36">
        <v>9033</v>
      </c>
      <c r="J1845" s="36" t="str">
        <f>IFERROR(INDEX(Структура_ассортимента[Generic Name (long)],MATCH(Товары[[#This Row],[SubGroup]],Структура_ассортимента[Subgroup],0)),"")</f>
        <v>WATERING SET</v>
      </c>
      <c r="L1845" s="36">
        <v>967694301</v>
      </c>
      <c r="M1845" s="35" t="s">
        <v>3521</v>
      </c>
      <c r="O1845" s="35" t="s">
        <v>8057</v>
      </c>
      <c r="P1845" s="37" t="s">
        <v>8058</v>
      </c>
      <c r="Q1845" s="34" t="s">
        <v>3549</v>
      </c>
      <c r="R1845" s="34" t="s">
        <v>3540</v>
      </c>
      <c r="S1845" s="47">
        <v>43101</v>
      </c>
      <c r="T1845" s="47">
        <v>0</v>
      </c>
      <c r="U1845" s="47">
        <v>0</v>
      </c>
      <c r="V1845" s="34">
        <v>4078500035040</v>
      </c>
      <c r="W1845" s="34" t="s">
        <v>3543</v>
      </c>
      <c r="X1845" s="34" t="s">
        <v>3579</v>
      </c>
      <c r="Y1845" s="34" t="s">
        <v>3542</v>
      </c>
      <c r="Z1845" s="34">
        <v>10</v>
      </c>
      <c r="AA1845" s="34">
        <v>75</v>
      </c>
      <c r="AB1845" s="34" t="s">
        <v>3729</v>
      </c>
      <c r="AC1845" s="34">
        <v>69</v>
      </c>
      <c r="AD1845" s="34" t="s">
        <v>6776</v>
      </c>
      <c r="AE1845" s="34" t="s">
        <v>3693</v>
      </c>
      <c r="AF1845" s="34" t="s">
        <v>3576</v>
      </c>
      <c r="AG1845" s="34" t="s">
        <v>5125</v>
      </c>
      <c r="AH1845" s="34" t="s">
        <v>8056</v>
      </c>
      <c r="AI1845" s="34" t="s">
        <v>4181</v>
      </c>
      <c r="AJ1845" s="34" t="s">
        <v>4181</v>
      </c>
      <c r="AK1845" s="34" t="s">
        <v>4189</v>
      </c>
      <c r="AL1845" s="34" t="s">
        <v>5656</v>
      </c>
      <c r="AM1845" s="40" t="s">
        <v>9</v>
      </c>
      <c r="AP1845" s="34">
        <v>0</v>
      </c>
      <c r="AQ1845" s="34">
        <v>979</v>
      </c>
      <c r="AR1845" s="34">
        <v>571</v>
      </c>
      <c r="AT1845" s="44">
        <v>75800</v>
      </c>
      <c r="AU1845" s="44"/>
      <c r="AV1845" s="46">
        <f>ROUND(Товары[[#This Row],[РРЦ финальная, руб.]]/$AU$1,2)</f>
        <v>0</v>
      </c>
      <c r="AW1845" s="45" t="str">
        <f>IFERROR(Товары[[#This Row],[РРЦ, евро]]/Товары[[#This Row],[IRP, Eur]],"-")</f>
        <v>-</v>
      </c>
      <c r="AX1845" s="42">
        <f>IFERROR(VLOOKUP(Товары[[#This Row],[SubGroup]],'Структура цен DIY'!$B:$C,2,FALSE),0)</f>
        <v>0.30000000000000016</v>
      </c>
      <c r="AY1845" s="44">
        <v>0</v>
      </c>
    </row>
    <row r="1846" spans="1:51" x14ac:dyDescent="0.25">
      <c r="A1846" s="34">
        <v>1844</v>
      </c>
      <c r="B1846" s="34" t="s">
        <v>49</v>
      </c>
      <c r="C1846" s="110" t="str">
        <f>IFERROR(INDEX(Структура_ассортимента[SuperCategory],MATCH(Товары[[#This Row],[SubGroup]],Структура_ассортимента[Subgroup],0)),"")</f>
        <v>W</v>
      </c>
      <c r="D184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4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46" s="110" t="str">
        <f>IFERROR(INDEX(Структура_ассортимента[Product group],MATCH(Товары[[#This Row],[SubGroup]],Структура_ассортимента[Subgroup],0)),"")</f>
        <v>WSS_C</v>
      </c>
      <c r="G1846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46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46" s="36">
        <v>9033</v>
      </c>
      <c r="J1846" s="36" t="str">
        <f>IFERROR(INDEX(Структура_ассортимента[Generic Name (long)],MATCH(Товары[[#This Row],[SubGroup]],Структура_ассортимента[Subgroup],0)),"")</f>
        <v>WATERING SET</v>
      </c>
      <c r="L1846" s="36">
        <v>967799001</v>
      </c>
      <c r="M1846" s="35" t="s">
        <v>3522</v>
      </c>
      <c r="Q1846" s="34" t="s">
        <v>3549</v>
      </c>
      <c r="R1846" s="34" t="s">
        <v>3540</v>
      </c>
      <c r="S1846" s="47">
        <v>43101</v>
      </c>
      <c r="T1846" s="47">
        <v>0</v>
      </c>
      <c r="U1846" s="47">
        <v>0</v>
      </c>
      <c r="V1846" s="34">
        <v>4078500038577</v>
      </c>
      <c r="W1846" s="34" t="s">
        <v>3543</v>
      </c>
      <c r="X1846" s="34" t="s">
        <v>3579</v>
      </c>
      <c r="Y1846" s="34" t="s">
        <v>3542</v>
      </c>
      <c r="Z1846" s="34">
        <v>1</v>
      </c>
      <c r="AA1846" s="34">
        <v>0</v>
      </c>
      <c r="AB1846" s="34" t="s">
        <v>8059</v>
      </c>
      <c r="AC1846" s="34">
        <v>0</v>
      </c>
      <c r="AD1846" s="34" t="s">
        <v>7455</v>
      </c>
      <c r="AE1846" s="34" t="s">
        <v>5525</v>
      </c>
      <c r="AF1846" s="34" t="s">
        <v>4102</v>
      </c>
      <c r="AG1846" s="34" t="s">
        <v>8060</v>
      </c>
      <c r="AH1846" s="34" t="s">
        <v>8061</v>
      </c>
      <c r="AI1846" s="34" t="s">
        <v>4364</v>
      </c>
      <c r="AJ1846" s="34" t="s">
        <v>3687</v>
      </c>
      <c r="AK1846" s="34" t="s">
        <v>3708</v>
      </c>
      <c r="AL1846" s="34" t="s">
        <v>7745</v>
      </c>
      <c r="AM1846" s="40" t="s">
        <v>8095</v>
      </c>
      <c r="AT1846" s="44">
        <v>0</v>
      </c>
      <c r="AU1846" s="44"/>
      <c r="AV1846" s="46">
        <f>ROUND(Товары[[#This Row],[РРЦ финальная, руб.]]/$AU$1,2)</f>
        <v>0</v>
      </c>
      <c r="AW1846" s="45" t="str">
        <f>IFERROR(Товары[[#This Row],[РРЦ, евро]]/Товары[[#This Row],[IRP, Eur]],"-")</f>
        <v>-</v>
      </c>
      <c r="AX1846" s="42">
        <f>IFERROR(VLOOKUP(Товары[[#This Row],[SubGroup]],'Структура цен DIY'!$B:$C,2,FALSE),0)</f>
        <v>0.30000000000000016</v>
      </c>
      <c r="AY1846" s="44">
        <v>0</v>
      </c>
    </row>
    <row r="1847" spans="1:51" x14ac:dyDescent="0.25">
      <c r="A1847" s="34">
        <v>1845</v>
      </c>
      <c r="B1847" s="34" t="s">
        <v>49</v>
      </c>
      <c r="C1847" s="110" t="str">
        <f>IFERROR(INDEX(Структура_ассортимента[SuperCategory],MATCH(Товары[[#This Row],[SubGroup]],Структура_ассортимента[Subgroup],0)),"")</f>
        <v>W</v>
      </c>
      <c r="D184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4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47" s="110" t="str">
        <f>IFERROR(INDEX(Структура_ассортимента[Product group],MATCH(Товары[[#This Row],[SubGroup]],Структура_ассортимента[Subgroup],0)),"")</f>
        <v>WSS_C</v>
      </c>
      <c r="G1847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47" s="110" t="str">
        <f>IFERROR(INDEX(Структура_ассортимента[Generic Name (long)3],MATCH(Товары[[#This Row],[SubGroup]],Структура_ассортимента[Subgroup],0)),"")</f>
        <v>Комплекты аксессуаров для подземного и микрокапельного полива</v>
      </c>
      <c r="I1847" s="36">
        <v>9091</v>
      </c>
      <c r="J1847" s="36" t="str">
        <f>IFERROR(INDEX(Структура_ассортимента[Generic Name (long)],MATCH(Товары[[#This Row],[SubGroup]],Структура_ассортимента[Subgroup],0)),"")</f>
        <v>O-RING</v>
      </c>
      <c r="L1847" s="36">
        <v>901082501</v>
      </c>
      <c r="M1847" s="35" t="s">
        <v>3523</v>
      </c>
      <c r="Q1847" s="34" t="s">
        <v>3549</v>
      </c>
      <c r="R1847" s="34" t="s">
        <v>3540</v>
      </c>
      <c r="S1847" s="47">
        <v>39356</v>
      </c>
      <c r="T1847" s="47">
        <v>0</v>
      </c>
      <c r="U1847" s="47">
        <v>0</v>
      </c>
      <c r="V1847" s="34">
        <v>4078500530408</v>
      </c>
      <c r="W1847" s="34" t="s">
        <v>3543</v>
      </c>
      <c r="X1847" s="34" t="s">
        <v>3579</v>
      </c>
      <c r="Y1847" s="34" t="s">
        <v>3542</v>
      </c>
      <c r="Z1847" s="34">
        <v>10</v>
      </c>
      <c r="AA1847" s="34" t="s">
        <v>6455</v>
      </c>
      <c r="AB1847" s="34" t="s">
        <v>6455</v>
      </c>
      <c r="AC1847" s="34" t="s">
        <v>3803</v>
      </c>
      <c r="AD1847" s="34" t="s">
        <v>3803</v>
      </c>
      <c r="AE1847" s="34" t="s">
        <v>3693</v>
      </c>
      <c r="AF1847" s="34" t="s">
        <v>3800</v>
      </c>
      <c r="AG1847" s="34" t="s">
        <v>4351</v>
      </c>
      <c r="AH1847" s="34" t="s">
        <v>6550</v>
      </c>
      <c r="AI1847" s="34" t="s">
        <v>4780</v>
      </c>
      <c r="AJ1847" s="34" t="s">
        <v>5148</v>
      </c>
      <c r="AK1847" s="34" t="s">
        <v>4780</v>
      </c>
      <c r="AL1847" s="34">
        <v>1320</v>
      </c>
      <c r="AM1847" s="40" t="s">
        <v>8095</v>
      </c>
      <c r="AT1847" s="44">
        <v>0</v>
      </c>
      <c r="AU1847" s="44"/>
      <c r="AV1847" s="46">
        <f>ROUND(Товары[[#This Row],[РРЦ финальная, руб.]]/$AU$1,2)</f>
        <v>0</v>
      </c>
      <c r="AW1847" s="45" t="str">
        <f>IFERROR(Товары[[#This Row],[РРЦ, евро]]/Товары[[#This Row],[IRP, Eur]],"-")</f>
        <v>-</v>
      </c>
      <c r="AX1847" s="42">
        <f>IFERROR(VLOOKUP(Товары[[#This Row],[SubGroup]],'Структура цен DIY'!$B:$C,2,FALSE),0)</f>
        <v>0.30006125543816031</v>
      </c>
      <c r="AY1847" s="44">
        <v>0</v>
      </c>
    </row>
    <row r="1848" spans="1:51" x14ac:dyDescent="0.25">
      <c r="A1848" s="34">
        <v>1846</v>
      </c>
      <c r="B1848" s="34" t="s">
        <v>49</v>
      </c>
      <c r="C1848" s="110" t="str">
        <f>IFERROR(INDEX(Структура_ассортимента[SuperCategory],MATCH(Товары[[#This Row],[SubGroup]],Структура_ассортимента[Subgroup],0)),"")</f>
        <v>W</v>
      </c>
      <c r="D184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4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48" s="110" t="str">
        <f>IFERROR(INDEX(Структура_ассортимента[Product group],MATCH(Товары[[#This Row],[SubGroup]],Структура_ассортимента[Subgroup],0)),"")</f>
        <v>WSS_C</v>
      </c>
      <c r="G1848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48" s="110" t="str">
        <f>IFERROR(INDEX(Структура_ассортимента[Generic Name (long)3],MATCH(Товары[[#This Row],[SubGroup]],Структура_ассортимента[Subgroup],0)),"")</f>
        <v>Комплекты аксессуаров для подземного и микрокапельного полива</v>
      </c>
      <c r="I1848" s="36">
        <v>9091</v>
      </c>
      <c r="J1848" s="36" t="str">
        <f>IFERROR(INDEX(Структура_ассортимента[Generic Name (long)],MATCH(Товары[[#This Row],[SubGroup]],Структура_ассортимента[Subgroup],0)),"")</f>
        <v>O-RING</v>
      </c>
      <c r="L1848" s="36">
        <v>900895201</v>
      </c>
      <c r="M1848" s="35" t="s">
        <v>3524</v>
      </c>
      <c r="O1848" s="35" t="s">
        <v>8062</v>
      </c>
      <c r="P1848" s="37" t="s">
        <v>8063</v>
      </c>
      <c r="Q1848" s="34" t="s">
        <v>3549</v>
      </c>
      <c r="R1848" s="34" t="s">
        <v>3540</v>
      </c>
      <c r="S1848" s="47">
        <v>36434</v>
      </c>
      <c r="T1848" s="47">
        <v>0</v>
      </c>
      <c r="U1848" s="47">
        <v>0</v>
      </c>
      <c r="V1848" s="34">
        <v>4078500112406</v>
      </c>
      <c r="W1848" s="34" t="s">
        <v>3543</v>
      </c>
      <c r="X1848" s="34" t="s">
        <v>3579</v>
      </c>
      <c r="Y1848" s="34" t="s">
        <v>3542</v>
      </c>
      <c r="Z1848" s="34">
        <v>10</v>
      </c>
      <c r="AA1848" s="34" t="s">
        <v>3807</v>
      </c>
      <c r="AB1848" s="34" t="s">
        <v>3807</v>
      </c>
      <c r="AC1848" s="34" t="s">
        <v>3811</v>
      </c>
      <c r="AD1848" s="34" t="s">
        <v>3811</v>
      </c>
      <c r="AE1848" s="34" t="s">
        <v>3693</v>
      </c>
      <c r="AF1848" s="34" t="s">
        <v>3800</v>
      </c>
      <c r="AG1848" s="34" t="s">
        <v>7144</v>
      </c>
      <c r="AH1848" s="34" t="s">
        <v>5648</v>
      </c>
      <c r="AL1848" s="34">
        <v>4080</v>
      </c>
      <c r="AM1848" s="40" t="s">
        <v>9</v>
      </c>
      <c r="AP1848" s="34">
        <v>0</v>
      </c>
      <c r="AQ1848" s="34">
        <v>209</v>
      </c>
      <c r="AR1848" s="34">
        <v>122</v>
      </c>
      <c r="AT1848" s="44">
        <v>16200</v>
      </c>
      <c r="AU1848" s="44"/>
      <c r="AV1848" s="46">
        <f>ROUND(Товары[[#This Row],[РРЦ финальная, руб.]]/$AU$1,2)</f>
        <v>0</v>
      </c>
      <c r="AW1848" s="45" t="str">
        <f>IFERROR(Товары[[#This Row],[РРЦ, евро]]/Товары[[#This Row],[IRP, Eur]],"-")</f>
        <v>-</v>
      </c>
      <c r="AX1848" s="42">
        <f>IFERROR(VLOOKUP(Товары[[#This Row],[SubGroup]],'Структура цен DIY'!$B:$C,2,FALSE),0)</f>
        <v>0.30006125543816031</v>
      </c>
      <c r="AY1848" s="44">
        <v>0</v>
      </c>
    </row>
    <row r="1849" spans="1:51" x14ac:dyDescent="0.25">
      <c r="A1849" s="34">
        <v>1847</v>
      </c>
      <c r="B1849" s="34" t="s">
        <v>49</v>
      </c>
      <c r="C1849" s="110" t="str">
        <f>IFERROR(INDEX(Структура_ассортимента[SuperCategory],MATCH(Товары[[#This Row],[SubGroup]],Структура_ассортимента[Subgroup],0)),"")</f>
        <v>W</v>
      </c>
      <c r="D184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4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49" s="110" t="str">
        <f>IFERROR(INDEX(Структура_ассортимента[Product group],MATCH(Товары[[#This Row],[SubGroup]],Структура_ассортимента[Subgroup],0)),"")</f>
        <v>WSS_C</v>
      </c>
      <c r="G1849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49" s="110" t="str">
        <f>IFERROR(INDEX(Структура_ассортимента[Generic Name (long)3],MATCH(Товары[[#This Row],[SubGroup]],Структура_ассортимента[Subgroup],0)),"")</f>
        <v>Комплекты аксессуаров для подземного и микрокапельного полива</v>
      </c>
      <c r="I1849" s="36">
        <v>9091</v>
      </c>
      <c r="J1849" s="36" t="str">
        <f>IFERROR(INDEX(Структура_ассортимента[Generic Name (long)],MATCH(Товары[[#This Row],[SubGroup]],Структура_ассортимента[Subgroup],0)),"")</f>
        <v>O-RING</v>
      </c>
      <c r="L1849" s="36">
        <v>900895301</v>
      </c>
      <c r="M1849" s="35" t="s">
        <v>3525</v>
      </c>
      <c r="O1849" s="35" t="s">
        <v>8062</v>
      </c>
      <c r="P1849" s="37" t="s">
        <v>8064</v>
      </c>
      <c r="Q1849" s="34" t="s">
        <v>3549</v>
      </c>
      <c r="R1849" s="34" t="s">
        <v>3540</v>
      </c>
      <c r="S1849" s="47">
        <v>36434</v>
      </c>
      <c r="T1849" s="47">
        <v>0</v>
      </c>
      <c r="U1849" s="47">
        <v>0</v>
      </c>
      <c r="V1849" s="34">
        <v>4078500112505</v>
      </c>
      <c r="W1849" s="34" t="s">
        <v>3543</v>
      </c>
      <c r="X1849" s="34" t="s">
        <v>3579</v>
      </c>
      <c r="Y1849" s="34" t="s">
        <v>3542</v>
      </c>
      <c r="Z1849" s="34">
        <v>10</v>
      </c>
      <c r="AA1849" s="34" t="s">
        <v>3795</v>
      </c>
      <c r="AB1849" s="34" t="s">
        <v>3795</v>
      </c>
      <c r="AC1849" s="34" t="s">
        <v>3811</v>
      </c>
      <c r="AD1849" s="34" t="s">
        <v>3811</v>
      </c>
      <c r="AE1849" s="34" t="s">
        <v>3693</v>
      </c>
      <c r="AF1849" s="34" t="s">
        <v>3800</v>
      </c>
      <c r="AG1849" s="34" t="s">
        <v>4191</v>
      </c>
      <c r="AH1849" s="34" t="s">
        <v>8065</v>
      </c>
      <c r="AL1849" s="34">
        <v>4080</v>
      </c>
      <c r="AM1849" s="40" t="s">
        <v>9</v>
      </c>
      <c r="AP1849" s="34">
        <v>0</v>
      </c>
      <c r="AQ1849" s="34">
        <v>209</v>
      </c>
      <c r="AR1849" s="34">
        <v>122</v>
      </c>
      <c r="AT1849" s="44">
        <v>16200</v>
      </c>
      <c r="AU1849" s="44"/>
      <c r="AV1849" s="46">
        <f>ROUND(Товары[[#This Row],[РРЦ финальная, руб.]]/$AU$1,2)</f>
        <v>0</v>
      </c>
      <c r="AW1849" s="45" t="str">
        <f>IFERROR(Товары[[#This Row],[РРЦ, евро]]/Товары[[#This Row],[IRP, Eur]],"-")</f>
        <v>-</v>
      </c>
      <c r="AX1849" s="42">
        <f>IFERROR(VLOOKUP(Товары[[#This Row],[SubGroup]],'Структура цен DIY'!$B:$C,2,FALSE),0)</f>
        <v>0.30006125543816031</v>
      </c>
      <c r="AY1849" s="44">
        <v>0</v>
      </c>
    </row>
    <row r="1850" spans="1:51" x14ac:dyDescent="0.25">
      <c r="A1850" s="34">
        <v>1848</v>
      </c>
      <c r="B1850" s="34" t="s">
        <v>49</v>
      </c>
      <c r="C1850" s="110" t="str">
        <f>IFERROR(INDEX(Структура_ассортимента[SuperCategory],MATCH(Товары[[#This Row],[SubGroup]],Структура_ассортимента[Subgroup],0)),"")</f>
        <v>W</v>
      </c>
      <c r="D185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5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50" s="110" t="str">
        <f>IFERROR(INDEX(Структура_ассортимента[Product group],MATCH(Товары[[#This Row],[SubGroup]],Структура_ассортимента[Subgroup],0)),"")</f>
        <v>WSS_C</v>
      </c>
      <c r="G1850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50" s="110" t="str">
        <f>IFERROR(INDEX(Структура_ассортимента[Generic Name (long)3],MATCH(Товары[[#This Row],[SubGroup]],Структура_ассортимента[Subgroup],0)),"")</f>
        <v>Комплекты аксессуаров для подземного и микрокапельного полива</v>
      </c>
      <c r="I1850" s="36">
        <v>9091</v>
      </c>
      <c r="J1850" s="36" t="str">
        <f>IFERROR(INDEX(Структура_ассортимента[Generic Name (long)],MATCH(Товары[[#This Row],[SubGroup]],Структура_ассортимента[Subgroup],0)),"")</f>
        <v>O-RING</v>
      </c>
      <c r="L1850" s="36">
        <v>901082101</v>
      </c>
      <c r="M1850" s="35" t="s">
        <v>3526</v>
      </c>
      <c r="Q1850" s="34" t="s">
        <v>3549</v>
      </c>
      <c r="R1850" s="34" t="s">
        <v>3540</v>
      </c>
      <c r="S1850" s="47">
        <v>33147</v>
      </c>
      <c r="T1850" s="47">
        <v>0</v>
      </c>
      <c r="U1850" s="47">
        <v>0</v>
      </c>
      <c r="V1850" s="34">
        <v>4078500530002</v>
      </c>
      <c r="W1850" s="34" t="s">
        <v>3543</v>
      </c>
      <c r="X1850" s="34" t="s">
        <v>3579</v>
      </c>
      <c r="Y1850" s="34" t="s">
        <v>3542</v>
      </c>
      <c r="Z1850" s="34">
        <v>10</v>
      </c>
      <c r="AA1850" s="34" t="s">
        <v>3797</v>
      </c>
      <c r="AB1850" s="34" t="s">
        <v>3797</v>
      </c>
      <c r="AC1850" s="34" t="s">
        <v>3784</v>
      </c>
      <c r="AD1850" s="34" t="s">
        <v>3784</v>
      </c>
      <c r="AE1850" s="34" t="s">
        <v>3693</v>
      </c>
      <c r="AF1850" s="34" t="s">
        <v>3576</v>
      </c>
      <c r="AG1850" s="34" t="s">
        <v>3663</v>
      </c>
      <c r="AH1850" s="34" t="s">
        <v>7868</v>
      </c>
      <c r="AL1850" s="34">
        <v>3220</v>
      </c>
      <c r="AM1850" s="40" t="s">
        <v>8095</v>
      </c>
      <c r="AT1850" s="44">
        <v>0</v>
      </c>
      <c r="AU1850" s="44"/>
      <c r="AV1850" s="46">
        <f>ROUND(Товары[[#This Row],[РРЦ финальная, руб.]]/$AU$1,2)</f>
        <v>0</v>
      </c>
      <c r="AW1850" s="45" t="str">
        <f>IFERROR(Товары[[#This Row],[РРЦ, евро]]/Товары[[#This Row],[IRP, Eur]],"-")</f>
        <v>-</v>
      </c>
      <c r="AX1850" s="42">
        <f>IFERROR(VLOOKUP(Товары[[#This Row],[SubGroup]],'Структура цен DIY'!$B:$C,2,FALSE),0)</f>
        <v>0.30006125543816031</v>
      </c>
      <c r="AY1850" s="44">
        <v>0</v>
      </c>
    </row>
    <row r="1851" spans="1:51" x14ac:dyDescent="0.25">
      <c r="A1851" s="34">
        <v>1849</v>
      </c>
      <c r="B1851" s="34" t="s">
        <v>49</v>
      </c>
      <c r="C1851" s="110" t="str">
        <f>IFERROR(INDEX(Структура_ассортимента[SuperCategory],MATCH(Товары[[#This Row],[SubGroup]],Структура_ассортимента[Subgroup],0)),"")</f>
        <v>W</v>
      </c>
      <c r="D185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5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51" s="110" t="str">
        <f>IFERROR(INDEX(Структура_ассортимента[Product group],MATCH(Товары[[#This Row],[SubGroup]],Структура_ассортимента[Subgroup],0)),"")</f>
        <v>WSS_C</v>
      </c>
      <c r="G1851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51" s="110" t="str">
        <f>IFERROR(INDEX(Структура_ассортимента[Generic Name (long)3],MATCH(Товары[[#This Row],[SubGroup]],Структура_ассортимента[Subgroup],0)),"")</f>
        <v>Комплекты аксессуаров для подземного и микрокапельного полива</v>
      </c>
      <c r="I1851" s="36">
        <v>9091</v>
      </c>
      <c r="J1851" s="36" t="str">
        <f>IFERROR(INDEX(Структура_ассортимента[Generic Name (long)],MATCH(Товары[[#This Row],[SubGroup]],Структура_ассортимента[Subgroup],0)),"")</f>
        <v>O-RING</v>
      </c>
      <c r="L1851" s="36">
        <v>901084701</v>
      </c>
      <c r="M1851" s="35" t="s">
        <v>3527</v>
      </c>
      <c r="O1851" s="35" t="s">
        <v>8066</v>
      </c>
      <c r="P1851" s="37" t="s">
        <v>8067</v>
      </c>
      <c r="Q1851" s="34" t="s">
        <v>3549</v>
      </c>
      <c r="R1851" s="34" t="s">
        <v>3540</v>
      </c>
      <c r="S1851" s="47">
        <v>37530</v>
      </c>
      <c r="T1851" s="47">
        <v>0</v>
      </c>
      <c r="U1851" s="47">
        <v>0</v>
      </c>
      <c r="V1851" s="34">
        <v>4078500533706</v>
      </c>
      <c r="W1851" s="34" t="s">
        <v>3543</v>
      </c>
      <c r="X1851" s="34" t="s">
        <v>3579</v>
      </c>
      <c r="Y1851" s="34" t="s">
        <v>3542</v>
      </c>
      <c r="Z1851" s="34">
        <v>10</v>
      </c>
      <c r="AA1851" s="34" t="s">
        <v>3780</v>
      </c>
      <c r="AB1851" s="34" t="s">
        <v>3780</v>
      </c>
      <c r="AC1851" s="34" t="s">
        <v>6556</v>
      </c>
      <c r="AD1851" s="34" t="s">
        <v>6556</v>
      </c>
      <c r="AE1851" s="34" t="s">
        <v>3693</v>
      </c>
      <c r="AF1851" s="34" t="s">
        <v>3800</v>
      </c>
      <c r="AG1851" s="34" t="s">
        <v>4231</v>
      </c>
      <c r="AH1851" s="34" t="s">
        <v>6443</v>
      </c>
      <c r="AL1851" s="34" t="s">
        <v>8068</v>
      </c>
      <c r="AM1851" s="40" t="s">
        <v>9</v>
      </c>
      <c r="AP1851" s="34">
        <v>0</v>
      </c>
      <c r="AQ1851" s="34">
        <v>649</v>
      </c>
      <c r="AR1851" s="34">
        <v>406</v>
      </c>
      <c r="AT1851" s="44">
        <v>50300</v>
      </c>
      <c r="AU1851" s="44"/>
      <c r="AV1851" s="46">
        <f>ROUND(Товары[[#This Row],[РРЦ финальная, руб.]]/$AU$1,2)</f>
        <v>0</v>
      </c>
      <c r="AW1851" s="45" t="str">
        <f>IFERROR(Товары[[#This Row],[РРЦ, евро]]/Товары[[#This Row],[IRP, Eur]],"-")</f>
        <v>-</v>
      </c>
      <c r="AX1851" s="42">
        <f>IFERROR(VLOOKUP(Товары[[#This Row],[SubGroup]],'Структура цен DIY'!$B:$C,2,FALSE),0)</f>
        <v>0.30006125543816031</v>
      </c>
      <c r="AY1851" s="44">
        <v>0</v>
      </c>
    </row>
    <row r="1852" spans="1:51" x14ac:dyDescent="0.25">
      <c r="A1852" s="34">
        <v>1850</v>
      </c>
      <c r="B1852" s="34" t="s">
        <v>49</v>
      </c>
      <c r="C1852" s="110" t="str">
        <f>IFERROR(INDEX(Структура_ассортимента[SuperCategory],MATCH(Товары[[#This Row],[SubGroup]],Структура_ассортимента[Subgroup],0)),"")</f>
        <v>W</v>
      </c>
      <c r="D185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5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52" s="110" t="str">
        <f>IFERROR(INDEX(Структура_ассортимента[Product group],MATCH(Товары[[#This Row],[SubGroup]],Структура_ассортимента[Subgroup],0)),"")</f>
        <v>WSS_C</v>
      </c>
      <c r="G1852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52" s="110" t="str">
        <f>IFERROR(INDEX(Структура_ассортимента[Generic Name (long)3],MATCH(Товары[[#This Row],[SubGroup]],Структура_ассортимента[Subgroup],0)),"")</f>
        <v>Комплекты аксессуаров для подземного и микрокапельного полива</v>
      </c>
      <c r="I1852" s="36">
        <v>9091</v>
      </c>
      <c r="J1852" s="36" t="str">
        <f>IFERROR(INDEX(Структура_ассортимента[Generic Name (long)],MATCH(Товары[[#This Row],[SubGroup]],Структура_ассортимента[Subgroup],0)),"")</f>
        <v>O-RING</v>
      </c>
      <c r="L1852" s="36">
        <v>901082201</v>
      </c>
      <c r="M1852" s="35" t="s">
        <v>3528</v>
      </c>
      <c r="Q1852" s="34" t="s">
        <v>3549</v>
      </c>
      <c r="R1852" s="34" t="s">
        <v>3540</v>
      </c>
      <c r="S1852" s="47">
        <v>33147</v>
      </c>
      <c r="T1852" s="47">
        <v>0</v>
      </c>
      <c r="U1852" s="47">
        <v>0</v>
      </c>
      <c r="V1852" s="34">
        <v>4078500530101</v>
      </c>
      <c r="W1852" s="34" t="s">
        <v>3543</v>
      </c>
      <c r="X1852" s="34" t="s">
        <v>3579</v>
      </c>
      <c r="Y1852" s="34" t="s">
        <v>3542</v>
      </c>
      <c r="Z1852" s="34">
        <v>10</v>
      </c>
      <c r="AA1852" s="34" t="s">
        <v>6490</v>
      </c>
      <c r="AB1852" s="34" t="s">
        <v>6490</v>
      </c>
      <c r="AC1852" s="34" t="s">
        <v>3783</v>
      </c>
      <c r="AD1852" s="34" t="s">
        <v>3783</v>
      </c>
      <c r="AE1852" s="34" t="s">
        <v>3693</v>
      </c>
      <c r="AF1852" s="34" t="s">
        <v>3576</v>
      </c>
      <c r="AG1852" s="34" t="s">
        <v>6052</v>
      </c>
      <c r="AH1852" s="34" t="s">
        <v>7879</v>
      </c>
      <c r="AL1852" s="34">
        <v>2880</v>
      </c>
      <c r="AM1852" s="40" t="s">
        <v>8095</v>
      </c>
      <c r="AT1852" s="44">
        <v>0</v>
      </c>
      <c r="AU1852" s="44"/>
      <c r="AV1852" s="46">
        <f>ROUND(Товары[[#This Row],[РРЦ финальная, руб.]]/$AU$1,2)</f>
        <v>0</v>
      </c>
      <c r="AW1852" s="45" t="str">
        <f>IFERROR(Товары[[#This Row],[РРЦ, евро]]/Товары[[#This Row],[IRP, Eur]],"-")</f>
        <v>-</v>
      </c>
      <c r="AX1852" s="42">
        <f>IFERROR(VLOOKUP(Товары[[#This Row],[SubGroup]],'Структура цен DIY'!$B:$C,2,FALSE),0)</f>
        <v>0.30006125543816031</v>
      </c>
      <c r="AY1852" s="44">
        <v>0</v>
      </c>
    </row>
    <row r="1853" spans="1:51" x14ac:dyDescent="0.25">
      <c r="A1853" s="34">
        <v>1851</v>
      </c>
      <c r="B1853" s="34" t="s">
        <v>49</v>
      </c>
      <c r="C1853" s="110" t="str">
        <f>IFERROR(INDEX(Структура_ассортимента[SuperCategory],MATCH(Товары[[#This Row],[SubGroup]],Структура_ассортимента[Subgroup],0)),"")</f>
        <v>W</v>
      </c>
      <c r="D1853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53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53" s="110" t="str">
        <f>IFERROR(INDEX(Структура_ассортимента[Product group],MATCH(Товары[[#This Row],[SubGroup]],Структура_ассортимента[Subgroup],0)),"")</f>
        <v>WSS_C</v>
      </c>
      <c r="G1853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53" s="110" t="str">
        <f>IFERROR(INDEX(Структура_ассортимента[Generic Name (long)3],MATCH(Товары[[#This Row],[SubGroup]],Структура_ассортимента[Subgroup],0)),"")</f>
        <v>Комплекты аксессуаров для подземного и микрокапельного полива</v>
      </c>
      <c r="I1853" s="36">
        <v>9091</v>
      </c>
      <c r="J1853" s="36" t="str">
        <f>IFERROR(INDEX(Структура_ассортимента[Generic Name (long)],MATCH(Товары[[#This Row],[SubGroup]],Структура_ассортимента[Subgroup],0)),"")</f>
        <v>O-RING</v>
      </c>
      <c r="L1853" s="36">
        <v>901082301</v>
      </c>
      <c r="M1853" s="35" t="s">
        <v>3529</v>
      </c>
      <c r="Q1853" s="34" t="s">
        <v>3549</v>
      </c>
      <c r="R1853" s="34" t="s">
        <v>3540</v>
      </c>
      <c r="S1853" s="47">
        <v>33147</v>
      </c>
      <c r="T1853" s="47">
        <v>0</v>
      </c>
      <c r="U1853" s="47">
        <v>0</v>
      </c>
      <c r="V1853" s="34">
        <v>4078500530200</v>
      </c>
      <c r="W1853" s="34" t="s">
        <v>3543</v>
      </c>
      <c r="X1853" s="34" t="s">
        <v>3579</v>
      </c>
      <c r="Y1853" s="34" t="s">
        <v>3542</v>
      </c>
      <c r="Z1853" s="34">
        <v>10</v>
      </c>
      <c r="AA1853" s="34" t="s">
        <v>3799</v>
      </c>
      <c r="AB1853" s="34" t="s">
        <v>3799</v>
      </c>
      <c r="AC1853" s="34" t="s">
        <v>3807</v>
      </c>
      <c r="AD1853" s="34" t="s">
        <v>3807</v>
      </c>
      <c r="AE1853" s="34" t="s">
        <v>3693</v>
      </c>
      <c r="AF1853" s="34" t="s">
        <v>3800</v>
      </c>
      <c r="AG1853" s="34" t="s">
        <v>4189</v>
      </c>
      <c r="AH1853" s="34" t="s">
        <v>6503</v>
      </c>
      <c r="AL1853" s="34">
        <v>4080</v>
      </c>
      <c r="AM1853" s="40" t="s">
        <v>8095</v>
      </c>
      <c r="AT1853" s="44">
        <v>0</v>
      </c>
      <c r="AU1853" s="44"/>
      <c r="AV1853" s="46">
        <f>ROUND(Товары[[#This Row],[РРЦ финальная, руб.]]/$AU$1,2)</f>
        <v>0</v>
      </c>
      <c r="AW1853" s="45" t="str">
        <f>IFERROR(Товары[[#This Row],[РРЦ, евро]]/Товары[[#This Row],[IRP, Eur]],"-")</f>
        <v>-</v>
      </c>
      <c r="AX1853" s="42">
        <f>IFERROR(VLOOKUP(Товары[[#This Row],[SubGroup]],'Структура цен DIY'!$B:$C,2,FALSE),0)</f>
        <v>0.30006125543816031</v>
      </c>
      <c r="AY1853" s="44">
        <v>0</v>
      </c>
    </row>
    <row r="1854" spans="1:51" x14ac:dyDescent="0.25">
      <c r="A1854" s="34">
        <v>1852</v>
      </c>
      <c r="B1854" s="34" t="s">
        <v>49</v>
      </c>
      <c r="C1854" s="110" t="str">
        <f>IFERROR(INDEX(Структура_ассортимента[SuperCategory],MATCH(Товары[[#This Row],[SubGroup]],Структура_ассортимента[Subgroup],0)),"")</f>
        <v>W</v>
      </c>
      <c r="D1854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54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54" s="110" t="str">
        <f>IFERROR(INDEX(Структура_ассортимента[Product group],MATCH(Товары[[#This Row],[SubGroup]],Структура_ассортимента[Subgroup],0)),"")</f>
        <v>WSS_C</v>
      </c>
      <c r="G1854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54" s="110" t="str">
        <f>IFERROR(INDEX(Структура_ассортимента[Generic Name (long)3],MATCH(Товары[[#This Row],[SubGroup]],Структура_ассортимента[Subgroup],0)),"")</f>
        <v>Комплекты аксессуаров для подземного и микрокапельного полива</v>
      </c>
      <c r="I1854" s="36">
        <v>9091</v>
      </c>
      <c r="J1854" s="36" t="str">
        <f>IFERROR(INDEX(Структура_ассортимента[Generic Name (long)],MATCH(Товары[[#This Row],[SubGroup]],Структура_ассортимента[Subgroup],0)),"")</f>
        <v>O-RING</v>
      </c>
      <c r="L1854" s="36">
        <v>901082601</v>
      </c>
      <c r="M1854" s="35" t="s">
        <v>3530</v>
      </c>
      <c r="Q1854" s="34" t="s">
        <v>3549</v>
      </c>
      <c r="R1854" s="34" t="s">
        <v>3540</v>
      </c>
      <c r="S1854" s="47">
        <v>33147</v>
      </c>
      <c r="T1854" s="47">
        <v>0</v>
      </c>
      <c r="U1854" s="47">
        <v>0</v>
      </c>
      <c r="V1854" s="34">
        <v>4078500530507</v>
      </c>
      <c r="W1854" s="34" t="s">
        <v>3543</v>
      </c>
      <c r="X1854" s="34" t="s">
        <v>3579</v>
      </c>
      <c r="Y1854" s="34" t="s">
        <v>3542</v>
      </c>
      <c r="Z1854" s="34">
        <v>6</v>
      </c>
      <c r="AA1854" s="34" t="s">
        <v>6455</v>
      </c>
      <c r="AB1854" s="34" t="s">
        <v>6455</v>
      </c>
      <c r="AC1854" s="34" t="s">
        <v>3803</v>
      </c>
      <c r="AD1854" s="34" t="s">
        <v>3803</v>
      </c>
      <c r="AE1854" s="34" t="s">
        <v>3693</v>
      </c>
      <c r="AF1854" s="34" t="s">
        <v>3576</v>
      </c>
      <c r="AG1854" s="34" t="s">
        <v>3804</v>
      </c>
      <c r="AH1854" s="34" t="s">
        <v>3805</v>
      </c>
      <c r="AI1854" s="34" t="s">
        <v>4956</v>
      </c>
      <c r="AJ1854" s="34" t="s">
        <v>6045</v>
      </c>
      <c r="AK1854" s="34" t="s">
        <v>4956</v>
      </c>
      <c r="AL1854" s="34">
        <v>2448</v>
      </c>
      <c r="AM1854" s="40" t="s">
        <v>8095</v>
      </c>
      <c r="AT1854" s="44">
        <v>0</v>
      </c>
      <c r="AU1854" s="44"/>
      <c r="AV1854" s="46">
        <f>ROUND(Товары[[#This Row],[РРЦ финальная, руб.]]/$AU$1,2)</f>
        <v>0</v>
      </c>
      <c r="AW1854" s="45" t="str">
        <f>IFERROR(Товары[[#This Row],[РРЦ, евро]]/Товары[[#This Row],[IRP, Eur]],"-")</f>
        <v>-</v>
      </c>
      <c r="AX1854" s="42">
        <f>IFERROR(VLOOKUP(Товары[[#This Row],[SubGroup]],'Структура цен DIY'!$B:$C,2,FALSE),0)</f>
        <v>0.30006125543816031</v>
      </c>
      <c r="AY1854" s="44">
        <v>0</v>
      </c>
    </row>
    <row r="1855" spans="1:51" x14ac:dyDescent="0.25">
      <c r="A1855" s="34">
        <v>1853</v>
      </c>
      <c r="B1855" s="34" t="s">
        <v>49</v>
      </c>
      <c r="C1855" s="110" t="str">
        <f>IFERROR(INDEX(Структура_ассортимента[SuperCategory],MATCH(Товары[[#This Row],[SubGroup]],Структура_ассортимента[Subgroup],0)),"")</f>
        <v>W</v>
      </c>
      <c r="D1855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55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55" s="110" t="str">
        <f>IFERROR(INDEX(Структура_ассортимента[Product group],MATCH(Товары[[#This Row],[SubGroup]],Структура_ассортимента[Subgroup],0)),"")</f>
        <v>WSS_C</v>
      </c>
      <c r="G1855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55" s="110" t="str">
        <f>IFERROR(INDEX(Структура_ассортимента[Generic Name (long)3],MATCH(Товары[[#This Row],[SubGroup]],Структура_ассортимента[Subgroup],0)),"")</f>
        <v>Комплекты аксессуаров для подземного и микрокапельного полива</v>
      </c>
      <c r="I1855" s="36">
        <v>9091</v>
      </c>
      <c r="J1855" s="36" t="str">
        <f>IFERROR(INDEX(Структура_ассортимента[Generic Name (long)],MATCH(Товары[[#This Row],[SubGroup]],Структура_ассортимента[Subgroup],0)),"")</f>
        <v>O-RING</v>
      </c>
      <c r="L1855" s="36">
        <v>901094201</v>
      </c>
      <c r="M1855" s="35" t="s">
        <v>3531</v>
      </c>
      <c r="O1855" s="35" t="s">
        <v>8069</v>
      </c>
      <c r="P1855" s="37" t="s">
        <v>8070</v>
      </c>
      <c r="Q1855" s="34" t="s">
        <v>3549</v>
      </c>
      <c r="R1855" s="34" t="s">
        <v>3540</v>
      </c>
      <c r="S1855" s="47">
        <v>38991</v>
      </c>
      <c r="T1855" s="47">
        <v>0</v>
      </c>
      <c r="U1855" s="47">
        <v>0</v>
      </c>
      <c r="V1855" s="34">
        <v>4078500579704</v>
      </c>
      <c r="W1855" s="34" t="s">
        <v>3543</v>
      </c>
      <c r="X1855" s="34" t="s">
        <v>3579</v>
      </c>
      <c r="Y1855" s="34" t="s">
        <v>3542</v>
      </c>
      <c r="Z1855" s="34">
        <v>4</v>
      </c>
      <c r="AA1855" s="34" t="s">
        <v>6530</v>
      </c>
      <c r="AB1855" s="34" t="s">
        <v>6530</v>
      </c>
      <c r="AC1855" s="34" t="s">
        <v>6051</v>
      </c>
      <c r="AD1855" s="34" t="s">
        <v>6051</v>
      </c>
      <c r="AE1855" s="34" t="s">
        <v>3693</v>
      </c>
      <c r="AF1855" s="34" t="s">
        <v>3576</v>
      </c>
      <c r="AG1855" s="34" t="s">
        <v>4775</v>
      </c>
      <c r="AH1855" s="34" t="s">
        <v>7845</v>
      </c>
      <c r="AL1855" s="34">
        <v>1152</v>
      </c>
      <c r="AM1855" s="40" t="s">
        <v>9</v>
      </c>
      <c r="AP1855" s="34">
        <v>0</v>
      </c>
      <c r="AQ1855" s="34">
        <v>1419</v>
      </c>
      <c r="AR1855" s="34">
        <v>828</v>
      </c>
      <c r="AT1855" s="44">
        <v>109900</v>
      </c>
      <c r="AU1855" s="44"/>
      <c r="AV1855" s="46">
        <f>ROUND(Товары[[#This Row],[РРЦ финальная, руб.]]/$AU$1,2)</f>
        <v>0</v>
      </c>
      <c r="AW1855" s="45" t="str">
        <f>IFERROR(Товары[[#This Row],[РРЦ, евро]]/Товары[[#This Row],[IRP, Eur]],"-")</f>
        <v>-</v>
      </c>
      <c r="AX1855" s="42">
        <f>IFERROR(VLOOKUP(Товары[[#This Row],[SubGroup]],'Структура цен DIY'!$B:$C,2,FALSE),0)</f>
        <v>0.30006125543816031</v>
      </c>
      <c r="AY1855" s="44">
        <v>0</v>
      </c>
    </row>
    <row r="1856" spans="1:51" x14ac:dyDescent="0.25">
      <c r="A1856" s="34">
        <v>1854</v>
      </c>
      <c r="B1856" s="34" t="s">
        <v>49</v>
      </c>
      <c r="C1856" s="110" t="str">
        <f>IFERROR(INDEX(Структура_ассортимента[SuperCategory],MATCH(Товары[[#This Row],[SubGroup]],Структура_ассортимента[Subgroup],0)),"")</f>
        <v>W</v>
      </c>
      <c r="D1856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56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56" s="110" t="str">
        <f>IFERROR(INDEX(Структура_ассортимента[Product group],MATCH(Товары[[#This Row],[SubGroup]],Структура_ассортимента[Subgroup],0)),"")</f>
        <v>WSS_C</v>
      </c>
      <c r="G1856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56" s="110" t="str">
        <f>IFERROR(INDEX(Структура_ассортимента[Generic Name (long)3],MATCH(Товары[[#This Row],[SubGroup]],Структура_ассортимента[Subgroup],0)),"")</f>
        <v>Комплекты аксессуаров для подземного и микрокапельного полива</v>
      </c>
      <c r="I1856" s="36">
        <v>9091</v>
      </c>
      <c r="J1856" s="36" t="str">
        <f>IFERROR(INDEX(Структура_ассортимента[Generic Name (long)],MATCH(Товары[[#This Row],[SubGroup]],Структура_ассортимента[Subgroup],0)),"")</f>
        <v>O-RING</v>
      </c>
      <c r="L1856" s="36">
        <v>967608501</v>
      </c>
      <c r="M1856" s="35" t="s">
        <v>3532</v>
      </c>
      <c r="Q1856" s="34" t="s">
        <v>3549</v>
      </c>
      <c r="R1856" s="34" t="s">
        <v>3540</v>
      </c>
      <c r="S1856" s="47">
        <v>42370</v>
      </c>
      <c r="T1856" s="47">
        <v>0</v>
      </c>
      <c r="U1856" s="47">
        <v>0</v>
      </c>
      <c r="V1856" s="34">
        <v>4078500016612</v>
      </c>
      <c r="W1856" s="34" t="s">
        <v>3543</v>
      </c>
      <c r="X1856" s="34" t="s">
        <v>3579</v>
      </c>
      <c r="Y1856" s="34" t="s">
        <v>3542</v>
      </c>
      <c r="Z1856" s="34">
        <v>5</v>
      </c>
      <c r="AA1856" s="34" t="s">
        <v>3552</v>
      </c>
      <c r="AB1856" s="34" t="s">
        <v>5602</v>
      </c>
      <c r="AC1856" s="34" t="s">
        <v>3552</v>
      </c>
      <c r="AD1856" s="34" t="s">
        <v>5602</v>
      </c>
      <c r="AE1856" s="34" t="s">
        <v>3693</v>
      </c>
      <c r="AF1856" s="34" t="s">
        <v>3576</v>
      </c>
      <c r="AG1856" s="34" t="s">
        <v>4111</v>
      </c>
      <c r="AH1856" s="34" t="s">
        <v>6050</v>
      </c>
      <c r="AL1856" s="34" t="s">
        <v>7130</v>
      </c>
      <c r="AM1856" s="40" t="s">
        <v>8095</v>
      </c>
      <c r="AT1856" s="44">
        <v>0</v>
      </c>
      <c r="AU1856" s="44"/>
      <c r="AV1856" s="46">
        <f>ROUND(Товары[[#This Row],[РРЦ финальная, руб.]]/$AU$1,2)</f>
        <v>0</v>
      </c>
      <c r="AW1856" s="45" t="str">
        <f>IFERROR(Товары[[#This Row],[РРЦ, евро]]/Товары[[#This Row],[IRP, Eur]],"-")</f>
        <v>-</v>
      </c>
      <c r="AX1856" s="42">
        <f>IFERROR(VLOOKUP(Товары[[#This Row],[SubGroup]],'Структура цен DIY'!$B:$C,2,FALSE),0)</f>
        <v>0.30006125543816031</v>
      </c>
      <c r="AY1856" s="44">
        <v>0</v>
      </c>
    </row>
    <row r="1857" spans="1:51" x14ac:dyDescent="0.25">
      <c r="A1857" s="34">
        <v>1855</v>
      </c>
      <c r="B1857" s="34" t="s">
        <v>49</v>
      </c>
      <c r="C1857" s="110" t="str">
        <f>IFERROR(INDEX(Структура_ассортимента[SuperCategory],MATCH(Товары[[#This Row],[SubGroup]],Структура_ассортимента[Subgroup],0)),"")</f>
        <v>W</v>
      </c>
      <c r="D1857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57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57" s="110" t="str">
        <f>IFERROR(INDEX(Структура_ассортимента[Product group],MATCH(Товары[[#This Row],[SubGroup]],Структура_ассортимента[Subgroup],0)),"")</f>
        <v>WSS_C</v>
      </c>
      <c r="G1857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57" s="110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857" s="36">
        <v>9032</v>
      </c>
      <c r="J1857" s="36" t="str">
        <f>IFERROR(INDEX(Структура_ассортимента[Generic Name (long)],MATCH(Товары[[#This Row],[SubGroup]],Структура_ассортимента[Subgroup],0)),"")</f>
        <v>WATERING SET</v>
      </c>
      <c r="L1857" s="36">
        <v>967998701</v>
      </c>
      <c r="M1857" s="35" t="s">
        <v>3533</v>
      </c>
      <c r="O1857" s="35" t="s">
        <v>8071</v>
      </c>
      <c r="P1857" s="37" t="s">
        <v>7727</v>
      </c>
      <c r="Q1857" s="34" t="s">
        <v>3549</v>
      </c>
      <c r="R1857" s="34" t="s">
        <v>3540</v>
      </c>
      <c r="S1857" s="47">
        <v>43831</v>
      </c>
      <c r="T1857" s="47">
        <v>0</v>
      </c>
      <c r="U1857" s="47">
        <v>0</v>
      </c>
      <c r="V1857" s="34">
        <v>4078500049528</v>
      </c>
      <c r="W1857" s="34" t="s">
        <v>3541</v>
      </c>
      <c r="X1857" s="34" t="s">
        <v>3704</v>
      </c>
      <c r="Y1857" s="34" t="s">
        <v>3542</v>
      </c>
      <c r="Z1857" s="34">
        <v>2</v>
      </c>
      <c r="AA1857" s="34" t="s">
        <v>4545</v>
      </c>
      <c r="AB1857" s="34" t="s">
        <v>4545</v>
      </c>
      <c r="AC1857" s="34" t="s">
        <v>4374</v>
      </c>
      <c r="AD1857" s="34" t="s">
        <v>4374</v>
      </c>
      <c r="AE1857" s="34" t="s">
        <v>3743</v>
      </c>
      <c r="AF1857" s="34" t="s">
        <v>3557</v>
      </c>
      <c r="AG1857" s="34" t="s">
        <v>3557</v>
      </c>
      <c r="AH1857" s="34" t="s">
        <v>8072</v>
      </c>
      <c r="AI1857" s="34" t="s">
        <v>4640</v>
      </c>
      <c r="AJ1857" s="34" t="s">
        <v>8046</v>
      </c>
      <c r="AK1857" s="34" t="s">
        <v>4640</v>
      </c>
      <c r="AL1857" s="34" t="s">
        <v>4616</v>
      </c>
      <c r="AM1857" s="40" t="s">
        <v>10</v>
      </c>
      <c r="AP1857" s="34">
        <v>0</v>
      </c>
      <c r="AQ1857" s="34">
        <v>5968</v>
      </c>
      <c r="AR1857" s="34">
        <v>3481</v>
      </c>
      <c r="AT1857" s="44">
        <v>462200</v>
      </c>
      <c r="AU1857" s="44"/>
      <c r="AV1857" s="46">
        <f>ROUND(Товары[[#This Row],[РРЦ финальная, руб.]]/$AU$1,2)</f>
        <v>0</v>
      </c>
      <c r="AW1857" s="45" t="str">
        <f>IFERROR(Товары[[#This Row],[РРЦ, евро]]/Товары[[#This Row],[IRP, Eur]],"-")</f>
        <v>-</v>
      </c>
      <c r="AX1857" s="42">
        <f>IFERROR(VLOOKUP(Товары[[#This Row],[SubGroup]],'Структура цен DIY'!$B:$C,2,FALSE),0)</f>
        <v>0.29999999999999993</v>
      </c>
      <c r="AY1857" s="44">
        <v>0</v>
      </c>
    </row>
    <row r="1858" spans="1:51" x14ac:dyDescent="0.25">
      <c r="A1858" s="34">
        <v>1856</v>
      </c>
      <c r="B1858" s="34" t="s">
        <v>49</v>
      </c>
      <c r="C1858" s="110" t="str">
        <f>IFERROR(INDEX(Структура_ассортимента[SuperCategory],MATCH(Товары[[#This Row],[SubGroup]],Структура_ассортимента[Subgroup],0)),"")</f>
        <v>W</v>
      </c>
      <c r="D1858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58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58" s="110" t="str">
        <f>IFERROR(INDEX(Структура_ассортимента[Product group],MATCH(Товары[[#This Row],[SubGroup]],Структура_ассортимента[Subgroup],0)),"")</f>
        <v>WSS_C</v>
      </c>
      <c r="G1858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58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58" s="36">
        <v>9033</v>
      </c>
      <c r="J1858" s="36" t="str">
        <f>IFERROR(INDEX(Структура_ассортимента[Generic Name (long)],MATCH(Товары[[#This Row],[SubGroup]],Структура_ассортимента[Subgroup],0)),"")</f>
        <v>WATERING SET</v>
      </c>
      <c r="L1858" s="36">
        <v>967998901</v>
      </c>
      <c r="M1858" s="35" t="s">
        <v>3534</v>
      </c>
      <c r="O1858" s="35" t="s">
        <v>8073</v>
      </c>
      <c r="P1858" s="37" t="s">
        <v>7947</v>
      </c>
      <c r="Q1858" s="34" t="s">
        <v>3549</v>
      </c>
      <c r="R1858" s="34" t="s">
        <v>3540</v>
      </c>
      <c r="S1858" s="47">
        <v>43831</v>
      </c>
      <c r="T1858" s="47">
        <v>0</v>
      </c>
      <c r="U1858" s="47">
        <v>0</v>
      </c>
      <c r="V1858" s="34">
        <v>4078500049504</v>
      </c>
      <c r="W1858" s="34" t="s">
        <v>3541</v>
      </c>
      <c r="X1858" s="34" t="s">
        <v>3579</v>
      </c>
      <c r="Y1858" s="34" t="s">
        <v>3542</v>
      </c>
      <c r="Z1858" s="34">
        <v>3</v>
      </c>
      <c r="AA1858" s="34" t="s">
        <v>4180</v>
      </c>
      <c r="AB1858" s="34" t="s">
        <v>4180</v>
      </c>
      <c r="AC1858" s="34" t="s">
        <v>4147</v>
      </c>
      <c r="AD1858" s="34" t="s">
        <v>4147</v>
      </c>
      <c r="AE1858" s="34" t="s">
        <v>3662</v>
      </c>
      <c r="AF1858" s="34" t="s">
        <v>3920</v>
      </c>
      <c r="AG1858" s="34" t="s">
        <v>3576</v>
      </c>
      <c r="AH1858" s="34" t="s">
        <v>7948</v>
      </c>
      <c r="AI1858" s="34" t="s">
        <v>4458</v>
      </c>
      <c r="AJ1858" s="34" t="s">
        <v>4505</v>
      </c>
      <c r="AK1858" s="34" t="s">
        <v>4793</v>
      </c>
      <c r="AL1858" s="34" t="s">
        <v>3593</v>
      </c>
      <c r="AM1858" s="40" t="s">
        <v>10</v>
      </c>
      <c r="AP1858" s="34">
        <v>0</v>
      </c>
      <c r="AQ1858" s="34">
        <v>2369</v>
      </c>
      <c r="AR1858" s="34">
        <v>1382</v>
      </c>
      <c r="AT1858" s="44">
        <v>183500</v>
      </c>
      <c r="AU1858" s="44"/>
      <c r="AV1858" s="46">
        <f>ROUND(Товары[[#This Row],[РРЦ финальная, руб.]]/$AU$1,2)</f>
        <v>0</v>
      </c>
      <c r="AW1858" s="45" t="str">
        <f>IFERROR(Товары[[#This Row],[РРЦ, евро]]/Товары[[#This Row],[IRP, Eur]],"-")</f>
        <v>-</v>
      </c>
      <c r="AX1858" s="42">
        <f>IFERROR(VLOOKUP(Товары[[#This Row],[SubGroup]],'Структура цен DIY'!$B:$C,2,FALSE),0)</f>
        <v>0.30000000000000016</v>
      </c>
      <c r="AY1858" s="44">
        <v>0</v>
      </c>
    </row>
    <row r="1859" spans="1:51" x14ac:dyDescent="0.25">
      <c r="A1859" s="34">
        <v>1857</v>
      </c>
      <c r="B1859" s="34" t="s">
        <v>49</v>
      </c>
      <c r="C1859" s="110" t="str">
        <f>IFERROR(INDEX(Структура_ассортимента[SuperCategory],MATCH(Товары[[#This Row],[SubGroup]],Структура_ассортимента[Subgroup],0)),"")</f>
        <v>W</v>
      </c>
      <c r="D1859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59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59" s="110" t="str">
        <f>IFERROR(INDEX(Структура_ассортимента[Product group],MATCH(Товары[[#This Row],[SubGroup]],Структура_ассортимента[Subgroup],0)),"")</f>
        <v>WSS_C</v>
      </c>
      <c r="G1859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59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59" s="36">
        <v>9033</v>
      </c>
      <c r="J1859" s="36" t="str">
        <f>IFERROR(INDEX(Структура_ассортимента[Generic Name (long)],MATCH(Товары[[#This Row],[SubGroup]],Структура_ассортимента[Subgroup],0)),"")</f>
        <v>WATERING SET</v>
      </c>
      <c r="L1859" s="36">
        <v>967999001</v>
      </c>
      <c r="M1859" s="35" t="s">
        <v>3535</v>
      </c>
      <c r="O1859" s="35" t="s">
        <v>8074</v>
      </c>
      <c r="P1859" s="37" t="s">
        <v>8075</v>
      </c>
      <c r="Q1859" s="34" t="s">
        <v>3549</v>
      </c>
      <c r="R1859" s="34" t="s">
        <v>3540</v>
      </c>
      <c r="S1859" s="47">
        <v>43831</v>
      </c>
      <c r="T1859" s="47">
        <v>0</v>
      </c>
      <c r="U1859" s="47">
        <v>0</v>
      </c>
      <c r="V1859" s="34">
        <v>4078500049481</v>
      </c>
      <c r="W1859" s="34" t="s">
        <v>3543</v>
      </c>
      <c r="X1859" s="34" t="s">
        <v>3579</v>
      </c>
      <c r="Y1859" s="34" t="s">
        <v>3542</v>
      </c>
      <c r="Z1859" s="34">
        <v>3</v>
      </c>
      <c r="AA1859" s="34" t="s">
        <v>8076</v>
      </c>
      <c r="AB1859" s="34" t="s">
        <v>8077</v>
      </c>
      <c r="AC1859" s="34" t="s">
        <v>5608</v>
      </c>
      <c r="AD1859" s="34" t="s">
        <v>8026</v>
      </c>
      <c r="AE1859" s="34" t="s">
        <v>5624</v>
      </c>
      <c r="AF1859" s="34" t="s">
        <v>4679</v>
      </c>
      <c r="AG1859" s="34" t="s">
        <v>4652</v>
      </c>
      <c r="AH1859" s="34" t="s">
        <v>8078</v>
      </c>
      <c r="AL1859" s="34" t="s">
        <v>3830</v>
      </c>
      <c r="AM1859" s="40" t="s">
        <v>10</v>
      </c>
      <c r="AP1859" s="34">
        <v>0</v>
      </c>
      <c r="AQ1859" s="34">
        <v>9090</v>
      </c>
      <c r="AR1859" s="34">
        <v>5303</v>
      </c>
      <c r="AT1859" s="44">
        <v>704100</v>
      </c>
      <c r="AU1859" s="44"/>
      <c r="AV1859" s="46">
        <f>ROUND(Товары[[#This Row],[РРЦ финальная, руб.]]/$AU$1,2)</f>
        <v>0</v>
      </c>
      <c r="AW1859" s="45" t="str">
        <f>IFERROR(Товары[[#This Row],[РРЦ, евро]]/Товары[[#This Row],[IRP, Eur]],"-")</f>
        <v>-</v>
      </c>
      <c r="AX1859" s="42">
        <f>IFERROR(VLOOKUP(Товары[[#This Row],[SubGroup]],'Структура цен DIY'!$B:$C,2,FALSE),0)</f>
        <v>0.30000000000000016</v>
      </c>
      <c r="AY1859" s="44">
        <v>0</v>
      </c>
    </row>
    <row r="1860" spans="1:51" x14ac:dyDescent="0.25">
      <c r="A1860" s="34">
        <v>1858</v>
      </c>
      <c r="B1860" s="34" t="s">
        <v>49</v>
      </c>
      <c r="C1860" s="110" t="str">
        <f>IFERROR(INDEX(Структура_ассортимента[SuperCategory],MATCH(Товары[[#This Row],[SubGroup]],Структура_ассортимента[Subgroup],0)),"")</f>
        <v>W</v>
      </c>
      <c r="D1860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60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60" s="110" t="str">
        <f>IFERROR(INDEX(Структура_ассортимента[Product group],MATCH(Товары[[#This Row],[SubGroup]],Структура_ассортимента[Subgroup],0)),"")</f>
        <v>WSS_C</v>
      </c>
      <c r="G1860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60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60" s="36">
        <v>9033</v>
      </c>
      <c r="J1860" s="36" t="str">
        <f>IFERROR(INDEX(Структура_ассортимента[Generic Name (long)],MATCH(Товары[[#This Row],[SubGroup]],Структура_ассортимента[Subgroup],0)),"")</f>
        <v>WATERING SET</v>
      </c>
      <c r="L1860" s="36">
        <v>970443301</v>
      </c>
      <c r="M1860" s="35" t="s">
        <v>3536</v>
      </c>
      <c r="O1860" s="35" t="s">
        <v>8079</v>
      </c>
      <c r="P1860" s="37" t="s">
        <v>8080</v>
      </c>
      <c r="Q1860" s="34" t="s">
        <v>3549</v>
      </c>
      <c r="R1860" s="34" t="s">
        <v>3540</v>
      </c>
      <c r="S1860" s="47">
        <v>43831</v>
      </c>
      <c r="T1860" s="47">
        <v>0</v>
      </c>
      <c r="U1860" s="47">
        <v>0</v>
      </c>
      <c r="V1860" s="34">
        <v>4078500049849</v>
      </c>
      <c r="W1860" s="34" t="s">
        <v>3543</v>
      </c>
      <c r="X1860" s="34" t="s">
        <v>3579</v>
      </c>
      <c r="Y1860" s="34" t="s">
        <v>3542</v>
      </c>
      <c r="Z1860" s="34">
        <v>12</v>
      </c>
      <c r="AB1860" s="34" t="s">
        <v>8077</v>
      </c>
      <c r="AD1860" s="34" t="s">
        <v>8026</v>
      </c>
      <c r="AE1860" s="34" t="s">
        <v>5624</v>
      </c>
      <c r="AF1860" s="34" t="s">
        <v>4679</v>
      </c>
      <c r="AG1860" s="34" t="s">
        <v>4652</v>
      </c>
      <c r="AH1860" s="34" t="s">
        <v>8078</v>
      </c>
      <c r="AL1860" s="34" t="s">
        <v>4214</v>
      </c>
      <c r="AM1860" s="40" t="s">
        <v>10</v>
      </c>
      <c r="AP1860" s="34">
        <v>0</v>
      </c>
      <c r="AQ1860" s="34">
        <v>9090</v>
      </c>
      <c r="AR1860" s="34">
        <v>5303</v>
      </c>
      <c r="AT1860" s="44">
        <v>704100</v>
      </c>
      <c r="AU1860" s="44"/>
      <c r="AV1860" s="46">
        <f>ROUND(Товары[[#This Row],[РРЦ финальная, руб.]]/$AU$1,2)</f>
        <v>0</v>
      </c>
      <c r="AW1860" s="45" t="str">
        <f>IFERROR(Товары[[#This Row],[РРЦ, евро]]/Товары[[#This Row],[IRP, Eur]],"-")</f>
        <v>-</v>
      </c>
      <c r="AX1860" s="42">
        <f>IFERROR(VLOOKUP(Товары[[#This Row],[SubGroup]],'Структура цен DIY'!$B:$C,2,FALSE),0)</f>
        <v>0.30000000000000016</v>
      </c>
      <c r="AY1860" s="44">
        <v>0</v>
      </c>
    </row>
    <row r="1861" spans="1:51" x14ac:dyDescent="0.25">
      <c r="A1861" s="34">
        <v>1859</v>
      </c>
      <c r="B1861" s="34" t="s">
        <v>49</v>
      </c>
      <c r="C1861" s="110" t="str">
        <f>IFERROR(INDEX(Структура_ассортимента[SuperCategory],MATCH(Товары[[#This Row],[SubGroup]],Структура_ассортимента[Subgroup],0)),"")</f>
        <v>W</v>
      </c>
      <c r="D1861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61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61" s="110" t="str">
        <f>IFERROR(INDEX(Структура_ассортимента[Product group],MATCH(Товары[[#This Row],[SubGroup]],Структура_ассортимента[Subgroup],0)),"")</f>
        <v>WSS_C</v>
      </c>
      <c r="G1861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61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61" s="36">
        <v>9033</v>
      </c>
      <c r="J1861" s="36" t="str">
        <f>IFERROR(INDEX(Структура_ассортимента[Generic Name (long)],MATCH(Товары[[#This Row],[SubGroup]],Структура_ассортимента[Subgroup],0)),"")</f>
        <v>WATERING SET</v>
      </c>
      <c r="L1861" s="36">
        <v>901166301</v>
      </c>
      <c r="M1861" s="35" t="s">
        <v>3537</v>
      </c>
      <c r="O1861" s="35" t="s">
        <v>8081</v>
      </c>
      <c r="P1861" s="37" t="s">
        <v>8082</v>
      </c>
      <c r="Q1861" s="34" t="s">
        <v>3549</v>
      </c>
      <c r="R1861" s="34" t="s">
        <v>3540</v>
      </c>
      <c r="S1861" s="47">
        <v>37530</v>
      </c>
      <c r="T1861" s="47">
        <v>0</v>
      </c>
      <c r="U1861" s="47">
        <v>0</v>
      </c>
      <c r="V1861" s="34">
        <v>4078500837903</v>
      </c>
      <c r="W1861" s="34" t="s">
        <v>3543</v>
      </c>
      <c r="X1861" s="34" t="s">
        <v>3579</v>
      </c>
      <c r="Y1861" s="34" t="s">
        <v>3542</v>
      </c>
      <c r="Z1861" s="34">
        <v>10</v>
      </c>
      <c r="AA1861" s="34" t="s">
        <v>6655</v>
      </c>
      <c r="AB1861" s="34" t="s">
        <v>6655</v>
      </c>
      <c r="AC1861" s="34" t="s">
        <v>6470</v>
      </c>
      <c r="AD1861" s="34" t="s">
        <v>6470</v>
      </c>
      <c r="AE1861" s="34" t="s">
        <v>3693</v>
      </c>
      <c r="AF1861" s="34" t="s">
        <v>3576</v>
      </c>
      <c r="AG1861" s="34" t="s">
        <v>3931</v>
      </c>
      <c r="AH1861" s="34" t="s">
        <v>6605</v>
      </c>
      <c r="AL1861" s="34">
        <v>1080</v>
      </c>
      <c r="AM1861" s="40" t="s">
        <v>9</v>
      </c>
      <c r="AP1861" s="34">
        <v>0</v>
      </c>
      <c r="AQ1861" s="34">
        <v>209</v>
      </c>
      <c r="AR1861" s="34">
        <v>122</v>
      </c>
      <c r="AT1861" s="44">
        <v>16200</v>
      </c>
      <c r="AU1861" s="44"/>
      <c r="AV1861" s="46">
        <f>ROUND(Товары[[#This Row],[РРЦ финальная, руб.]]/$AU$1,2)</f>
        <v>0</v>
      </c>
      <c r="AW1861" s="45" t="str">
        <f>IFERROR(Товары[[#This Row],[РРЦ, евро]]/Товары[[#This Row],[IRP, Eur]],"-")</f>
        <v>-</v>
      </c>
      <c r="AX1861" s="42">
        <f>IFERROR(VLOOKUP(Товары[[#This Row],[SubGroup]],'Структура цен DIY'!$B:$C,2,FALSE),0)</f>
        <v>0.30000000000000016</v>
      </c>
      <c r="AY1861" s="44">
        <v>0</v>
      </c>
    </row>
    <row r="1862" spans="1:51" x14ac:dyDescent="0.25">
      <c r="A1862" s="34">
        <v>1860</v>
      </c>
      <c r="B1862" s="34" t="s">
        <v>49</v>
      </c>
      <c r="C1862" s="110" t="str">
        <f>IFERROR(INDEX(Структура_ассортимента[SuperCategory],MATCH(Товары[[#This Row],[SubGroup]],Структура_ассортимента[Subgroup],0)),"")</f>
        <v>W</v>
      </c>
      <c r="D1862" s="110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62" s="110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62" s="110" t="str">
        <f>IFERROR(INDEX(Структура_ассортимента[Product group],MATCH(Товары[[#This Row],[SubGroup]],Структура_ассортимента[Subgroup],0)),"")</f>
        <v>WSS_C</v>
      </c>
      <c r="G1862" s="110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62" s="110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62" s="36">
        <v>9033</v>
      </c>
      <c r="J1862" s="36" t="str">
        <f>IFERROR(INDEX(Структура_ассортимента[Generic Name (long)],MATCH(Товары[[#This Row],[SubGroup]],Структура_ассортимента[Subgroup],0)),"")</f>
        <v>WATERING SET</v>
      </c>
      <c r="L1862" s="36">
        <v>966486101</v>
      </c>
      <c r="M1862" s="35" t="s">
        <v>3538</v>
      </c>
      <c r="O1862" s="35" t="s">
        <v>8083</v>
      </c>
      <c r="P1862" s="37" t="s">
        <v>8084</v>
      </c>
      <c r="Q1862" s="34" t="s">
        <v>3549</v>
      </c>
      <c r="R1862" s="34" t="s">
        <v>3540</v>
      </c>
      <c r="S1862" s="47">
        <v>40087</v>
      </c>
      <c r="T1862" s="47">
        <v>0</v>
      </c>
      <c r="U1862" s="47">
        <v>0</v>
      </c>
      <c r="V1862" s="34">
        <v>4078500134323</v>
      </c>
      <c r="W1862" s="34" t="s">
        <v>3543</v>
      </c>
      <c r="X1862" s="34" t="s">
        <v>3579</v>
      </c>
      <c r="Y1862" s="34" t="s">
        <v>3542</v>
      </c>
      <c r="Z1862" s="34">
        <v>10</v>
      </c>
      <c r="AA1862" s="34" t="s">
        <v>5629</v>
      </c>
      <c r="AB1862" s="34" t="s">
        <v>5629</v>
      </c>
      <c r="AC1862" s="34" t="s">
        <v>5647</v>
      </c>
      <c r="AD1862" s="34" t="s">
        <v>5647</v>
      </c>
      <c r="AE1862" s="34" t="s">
        <v>3693</v>
      </c>
      <c r="AF1862" s="34" t="s">
        <v>3576</v>
      </c>
      <c r="AG1862" s="34" t="s">
        <v>3672</v>
      </c>
      <c r="AH1862" s="34" t="s">
        <v>6652</v>
      </c>
      <c r="AL1862" s="34">
        <v>1320</v>
      </c>
      <c r="AM1862" s="40" t="s">
        <v>233</v>
      </c>
      <c r="AT1862" s="44">
        <v>0</v>
      </c>
      <c r="AU1862" s="44"/>
      <c r="AV1862" s="46">
        <f>ROUND(Товары[[#This Row],[РРЦ финальная, руб.]]/$AU$1,2)</f>
        <v>0</v>
      </c>
      <c r="AW1862" s="45" t="str">
        <f>IFERROR(Товары[[#This Row],[РРЦ, евро]]/Товары[[#This Row],[IRP, Eur]],"-")</f>
        <v>-</v>
      </c>
      <c r="AX1862" s="42">
        <f>IFERROR(VLOOKUP(Товары[[#This Row],[SubGroup]],'Структура цен DIY'!$B:$C,2,FALSE),0)</f>
        <v>0.30000000000000016</v>
      </c>
      <c r="AY1862" s="44">
        <v>0</v>
      </c>
    </row>
  </sheetData>
  <phoneticPr fontId="3" type="noConversion"/>
  <conditionalFormatting sqref="AW3:AW1862">
    <cfRule type="cellIs" dxfId="502" priority="9" operator="lessThanOrEqual">
      <formula>0.98</formula>
    </cfRule>
  </conditionalFormatting>
  <conditionalFormatting sqref="A3:AL1862">
    <cfRule type="expression" dxfId="501" priority="10">
      <formula>$AM3="Новинка следующего года"</formula>
    </cfRule>
    <cfRule type="expression" dxfId="500" priority="21">
      <formula>$AM3="Новинка текущего года"</formula>
    </cfRule>
    <cfRule type="expression" dxfId="499" priority="22">
      <formula>$AM3="Выведено из ассортимента текущего года"</formula>
    </cfRule>
    <cfRule type="expression" dxfId="498" priority="23">
      <formula>$AM3="Выведено из глобального ассортимента"</formula>
    </cfRule>
  </conditionalFormatting>
  <conditionalFormatting sqref="AN3:AN1862">
    <cfRule type="expression" dxfId="497" priority="1">
      <formula>OR(AN3="Dealer",AN3="Regional",AN3="Online")</formula>
    </cfRule>
    <cfRule type="cellIs" dxfId="496" priority="2" operator="equal">
      <formula>"DIY канал"</formula>
    </cfRule>
    <cfRule type="cellIs" dxfId="495" priority="3" operator="equal">
      <formula>"ОБИ"</formula>
    </cfRule>
    <cfRule type="cellIs" dxfId="494" priority="4" operator="equal">
      <formula>"ЛЕРУА МЕРЛЕН"</formula>
    </cfRule>
  </conditionalFormatting>
  <conditionalFormatting sqref="AM3:AO1862">
    <cfRule type="expression" dxfId="493" priority="5">
      <formula>$AM3="Новинка текущего года"</formula>
    </cfRule>
    <cfRule type="expression" dxfId="492" priority="6">
      <formula>$AM3="Новинка следующего года"</formula>
    </cfRule>
    <cfRule type="expression" dxfId="491" priority="7">
      <formula>$AM3="Выведено из ассортимента текущего года"</formula>
    </cfRule>
    <cfRule type="expression" dxfId="490" priority="8">
      <formula>$AM3="Выведено из глобального ассортимента"</formula>
    </cfRule>
  </conditionalFormatting>
  <dataValidations count="6">
    <dataValidation type="list" allowBlank="1" showInputMessage="1" showErrorMessage="1" sqref="AM3:AM1862" xr:uid="{344EB2AF-6BEE-470E-860C-3FB1B813B1FB}">
      <formula1>INDIRECT("Статусы_товаров[Статус]")</formula1>
    </dataValidation>
    <dataValidation type="list" allowBlank="1" showInputMessage="1" showErrorMessage="1" sqref="AO4:AO1829 AO1831:AO1862" xr:uid="{723B5C01-2E9F-4BEC-8F99-1C2E5B91FA1F}">
      <formula1>"Да, Нет"</formula1>
    </dataValidation>
    <dataValidation type="list" allowBlank="1" showInputMessage="1" showErrorMessage="1" sqref="Q3:Q1862" xr:uid="{FB153253-C82B-410C-9A75-00FD4C53D29B}">
      <formula1>INDIRECT("Продуктовые_календари[Название]")</formula1>
    </dataValidation>
    <dataValidation type="list" allowBlank="1" showInputMessage="1" showErrorMessage="1" sqref="AN3:AN1862" xr:uid="{E7A3345D-AD61-4141-AA85-0F0A0BCF0D33}">
      <formula1>INDIRECT("Эксклюзивность[Эксклюзивность]")</formula1>
    </dataValidation>
    <dataValidation type="list" allowBlank="1" showInputMessage="1" showErrorMessage="1" sqref="AO3" xr:uid="{2D05974B-9DFD-4387-9F96-C8C58B0C2FB5}">
      <formula1>"ДВССЫЛ(Сертификация!$B$2:$B$6)"</formula1>
    </dataValidation>
    <dataValidation type="list" allowBlank="1" showInputMessage="1" showErrorMessage="1" sqref="AO1830" xr:uid="{A59B01DA-1C2B-41C9-8200-42EA8BD92F75}">
      <formula1>INDIRECT("Сертификация[Статус]")</formula1>
    </dataValidation>
  </dataValidations>
  <pageMargins left="0.7" right="0.7" top="0.75" bottom="0.75" header="0.3" footer="0.3"/>
  <pageSetup paperSize="9" orientation="portrait" horizontalDpi="360" verticalDpi="36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4B6FED0-9CB8-421C-B9F8-477B531A9205}">
          <x14:formula1>
            <xm:f>Скидки!$E$1:$J$1</xm:f>
          </x14:formula1>
          <xm:sqref>B3:B1862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Лист11">
    <tabColor theme="9" tint="-0.249977111117893"/>
  </sheetPr>
  <dimension ref="A1:H440"/>
  <sheetViews>
    <sheetView zoomScale="85" zoomScaleNormal="85" workbookViewId="0">
      <pane ySplit="1" topLeftCell="A2" activePane="bottomLeft" state="frozen"/>
      <selection pane="bottomLeft" activeCell="H1" sqref="H1"/>
    </sheetView>
  </sheetViews>
  <sheetFormatPr defaultColWidth="15.28515625" defaultRowHeight="15" x14ac:dyDescent="0.25"/>
  <cols>
    <col min="1" max="1" width="7.7109375" style="29" customWidth="1"/>
    <col min="2" max="2" width="11.28515625" style="25" customWidth="1"/>
    <col min="3" max="3" width="44.5703125" style="50" customWidth="1"/>
    <col min="4" max="4" width="24.85546875" style="25" bestFit="1" customWidth="1"/>
    <col min="5" max="5" width="21.42578125" style="25" bestFit="1" customWidth="1"/>
    <col min="6" max="6" width="29.5703125" style="25" customWidth="1"/>
    <col min="7" max="7" width="9.140625" style="25" bestFit="1" customWidth="1"/>
    <col min="8" max="8" width="22.5703125" style="25" customWidth="1"/>
    <col min="9" max="16384" width="15.28515625" style="23"/>
  </cols>
  <sheetData>
    <row r="1" spans="1:8" ht="24" customHeight="1" x14ac:dyDescent="0.25">
      <c r="A1" s="24" t="s">
        <v>0</v>
      </c>
      <c r="B1" s="24" t="s">
        <v>37</v>
      </c>
      <c r="C1" s="24" t="s">
        <v>38</v>
      </c>
      <c r="D1" s="24" t="s">
        <v>39</v>
      </c>
      <c r="E1" s="24" t="s">
        <v>40</v>
      </c>
      <c r="F1" s="24" t="s">
        <v>41</v>
      </c>
      <c r="G1" s="24" t="s">
        <v>42</v>
      </c>
      <c r="H1" s="24" t="s">
        <v>43</v>
      </c>
    </row>
    <row r="2" spans="1:8" x14ac:dyDescent="0.25">
      <c r="A2" s="30" t="s">
        <v>740</v>
      </c>
      <c r="B2" s="25" t="s">
        <v>244</v>
      </c>
      <c r="C2" s="50" t="s">
        <v>245</v>
      </c>
      <c r="D2" s="25" t="s">
        <v>246</v>
      </c>
      <c r="E2" s="25" t="s">
        <v>33</v>
      </c>
      <c r="F2" s="51" t="str">
        <f>VLOOKUP(Клиенты[[#This Row],[GardenaChannel]],GardenChannel[[GardenChannel]:[Sales manager]],2,0)</f>
        <v>ТАРХОВА ТАТЬЯНА</v>
      </c>
      <c r="G2" s="25" t="s">
        <v>248</v>
      </c>
      <c r="H2" s="25">
        <v>2555</v>
      </c>
    </row>
    <row r="3" spans="1:8" x14ac:dyDescent="0.25">
      <c r="A3" s="30" t="s">
        <v>741</v>
      </c>
      <c r="B3" s="25" t="s">
        <v>244</v>
      </c>
      <c r="C3" s="50" t="s">
        <v>249</v>
      </c>
      <c r="D3" s="25" t="s">
        <v>246</v>
      </c>
      <c r="E3" s="25" t="s">
        <v>250</v>
      </c>
      <c r="F3" s="51" t="str">
        <f>VLOOKUP(Клиенты[[#This Row],[GardenaChannel]],GardenChannel[[GardenChannel]:[Sales manager]],2,0)</f>
        <v>ТАРХОВА ТАТЬЯНА</v>
      </c>
      <c r="G3" s="25" t="s">
        <v>251</v>
      </c>
    </row>
    <row r="4" spans="1:8" x14ac:dyDescent="0.25">
      <c r="A4" s="30" t="s">
        <v>742</v>
      </c>
      <c r="B4" s="25" t="s">
        <v>244</v>
      </c>
      <c r="C4" s="50" t="s">
        <v>252</v>
      </c>
      <c r="D4" s="25" t="s">
        <v>246</v>
      </c>
      <c r="E4" s="25" t="s">
        <v>253</v>
      </c>
      <c r="F4" s="51" t="str">
        <f>VLOOKUP(Клиенты[[#This Row],[GardenaChannel]],GardenChannel[[GardenChannel]:[Sales manager]],2,0)</f>
        <v>ТАРХОВА ТАТЬЯНА</v>
      </c>
      <c r="G4" s="25" t="s">
        <v>254</v>
      </c>
    </row>
    <row r="5" spans="1:8" x14ac:dyDescent="0.25">
      <c r="A5" s="30" t="s">
        <v>743</v>
      </c>
      <c r="B5" s="25" t="s">
        <v>255</v>
      </c>
      <c r="C5" s="50" t="s">
        <v>256</v>
      </c>
      <c r="D5" s="25" t="s">
        <v>426</v>
      </c>
      <c r="E5" s="25" t="s">
        <v>258</v>
      </c>
      <c r="F5" s="51" t="str">
        <f>VLOOKUP(Клиенты[[#This Row],[GardenaChannel]],GardenChannel[[GardenChannel]:[Sales manager]],2,0)</f>
        <v>АЛЕКСАНДРОВ ИГОРЬ</v>
      </c>
      <c r="H5" s="25" t="s">
        <v>255</v>
      </c>
    </row>
    <row r="6" spans="1:8" x14ac:dyDescent="0.25">
      <c r="A6" s="30" t="s">
        <v>744</v>
      </c>
      <c r="B6" s="25" t="s">
        <v>255</v>
      </c>
      <c r="C6" s="50" t="s">
        <v>260</v>
      </c>
      <c r="D6" s="25" t="s">
        <v>257</v>
      </c>
      <c r="E6" s="25" t="s">
        <v>258</v>
      </c>
      <c r="F6" s="51" t="str">
        <f>VLOOKUP(Клиенты[[#This Row],[GardenaChannel]],GardenChannel[[GardenChannel]:[Sales manager]],2,0)</f>
        <v>АЛЕКСАНДРОВ ИГОРЬ</v>
      </c>
      <c r="H6" s="25" t="s">
        <v>255</v>
      </c>
    </row>
    <row r="7" spans="1:8" x14ac:dyDescent="0.25">
      <c r="A7" s="30" t="s">
        <v>745</v>
      </c>
      <c r="B7" s="25" t="s">
        <v>255</v>
      </c>
      <c r="C7" s="50" t="s">
        <v>261</v>
      </c>
      <c r="D7" s="25" t="s">
        <v>257</v>
      </c>
      <c r="E7" s="25" t="s">
        <v>258</v>
      </c>
      <c r="F7" s="51" t="str">
        <f>VLOOKUP(Клиенты[[#This Row],[GardenaChannel]],GardenChannel[[GardenChannel]:[Sales manager]],2,0)</f>
        <v>АЛЕКСАНДРОВ ИГОРЬ</v>
      </c>
      <c r="H7" s="25" t="s">
        <v>255</v>
      </c>
    </row>
    <row r="8" spans="1:8" x14ac:dyDescent="0.25">
      <c r="A8" s="30" t="s">
        <v>746</v>
      </c>
      <c r="B8" s="24" t="s">
        <v>255</v>
      </c>
      <c r="C8" s="50" t="s">
        <v>262</v>
      </c>
      <c r="D8" s="25" t="s">
        <v>257</v>
      </c>
      <c r="E8" s="25" t="s">
        <v>258</v>
      </c>
      <c r="F8" s="51" t="str">
        <f>VLOOKUP(Клиенты[[#This Row],[GardenaChannel]],GardenChannel[[GardenChannel]:[Sales manager]],2,0)</f>
        <v>АЛЕКСАНДРОВ ИГОРЬ</v>
      </c>
      <c r="H8" s="25" t="s">
        <v>255</v>
      </c>
    </row>
    <row r="9" spans="1:8" x14ac:dyDescent="0.25">
      <c r="A9" s="30" t="s">
        <v>747</v>
      </c>
      <c r="B9" s="25" t="s">
        <v>255</v>
      </c>
      <c r="C9" s="50" t="s">
        <v>263</v>
      </c>
      <c r="D9" s="25" t="s">
        <v>257</v>
      </c>
      <c r="E9" s="25" t="s">
        <v>34</v>
      </c>
      <c r="F9" s="51" t="str">
        <f>VLOOKUP(Клиенты[[#This Row],[GardenaChannel]],GardenChannel[[GardenChannel]:[Sales manager]],2,0)</f>
        <v>АЛЕКСАНДРОВ ИГОРЬ</v>
      </c>
      <c r="H9" s="25" t="s">
        <v>255</v>
      </c>
    </row>
    <row r="10" spans="1:8" x14ac:dyDescent="0.25">
      <c r="A10" s="30" t="s">
        <v>748</v>
      </c>
      <c r="B10" s="25" t="s">
        <v>255</v>
      </c>
      <c r="C10" s="50" t="s">
        <v>264</v>
      </c>
      <c r="D10" s="25" t="s">
        <v>257</v>
      </c>
      <c r="E10" s="25" t="s">
        <v>258</v>
      </c>
      <c r="F10" s="51" t="str">
        <f>VLOOKUP(Клиенты[[#This Row],[GardenaChannel]],GardenChannel[[GardenChannel]:[Sales manager]],2,0)</f>
        <v>АЛЕКСАНДРОВ ИГОРЬ</v>
      </c>
      <c r="H10" s="25" t="s">
        <v>255</v>
      </c>
    </row>
    <row r="11" spans="1:8" x14ac:dyDescent="0.25">
      <c r="A11" s="30" t="s">
        <v>749</v>
      </c>
      <c r="B11" s="25" t="s">
        <v>255</v>
      </c>
      <c r="C11" s="50" t="s">
        <v>265</v>
      </c>
      <c r="D11" s="25" t="s">
        <v>257</v>
      </c>
      <c r="E11" s="25" t="s">
        <v>258</v>
      </c>
      <c r="F11" s="51" t="str">
        <f>VLOOKUP(Клиенты[[#This Row],[GardenaChannel]],GardenChannel[[GardenChannel]:[Sales manager]],2,0)</f>
        <v>АЛЕКСАНДРОВ ИГОРЬ</v>
      </c>
      <c r="H11" s="25" t="s">
        <v>255</v>
      </c>
    </row>
    <row r="12" spans="1:8" x14ac:dyDescent="0.25">
      <c r="A12" s="30" t="s">
        <v>750</v>
      </c>
      <c r="B12" s="25" t="s">
        <v>255</v>
      </c>
      <c r="C12" s="50" t="s">
        <v>266</v>
      </c>
      <c r="D12" s="25" t="s">
        <v>257</v>
      </c>
      <c r="E12" s="25" t="s">
        <v>258</v>
      </c>
      <c r="F12" s="51" t="str">
        <f>VLOOKUP(Клиенты[[#This Row],[GardenaChannel]],GardenChannel[[GardenChannel]:[Sales manager]],2,0)</f>
        <v>АЛЕКСАНДРОВ ИГОРЬ</v>
      </c>
      <c r="H12" s="25" t="s">
        <v>255</v>
      </c>
    </row>
    <row r="13" spans="1:8" x14ac:dyDescent="0.25">
      <c r="A13" s="30" t="s">
        <v>751</v>
      </c>
      <c r="B13" s="25" t="s">
        <v>255</v>
      </c>
      <c r="C13" s="50" t="s">
        <v>267</v>
      </c>
      <c r="D13" s="25" t="s">
        <v>257</v>
      </c>
      <c r="E13" s="25" t="s">
        <v>258</v>
      </c>
      <c r="F13" s="51" t="str">
        <f>VLOOKUP(Клиенты[[#This Row],[GardenaChannel]],GardenChannel[[GardenChannel]:[Sales manager]],2,0)</f>
        <v>АЛЕКСАНДРОВ ИГОРЬ</v>
      </c>
      <c r="H13" s="25" t="s">
        <v>255</v>
      </c>
    </row>
    <row r="14" spans="1:8" x14ac:dyDescent="0.25">
      <c r="A14" s="30" t="s">
        <v>752</v>
      </c>
      <c r="B14" s="25" t="s">
        <v>255</v>
      </c>
      <c r="C14" s="50" t="s">
        <v>268</v>
      </c>
      <c r="D14" s="25" t="s">
        <v>257</v>
      </c>
      <c r="E14" s="25" t="s">
        <v>258</v>
      </c>
      <c r="F14" s="51" t="str">
        <f>VLOOKUP(Клиенты[[#This Row],[GardenaChannel]],GardenChannel[[GardenChannel]:[Sales manager]],2,0)</f>
        <v>АЛЕКСАНДРОВ ИГОРЬ</v>
      </c>
      <c r="H14" s="25" t="s">
        <v>255</v>
      </c>
    </row>
    <row r="15" spans="1:8" x14ac:dyDescent="0.25">
      <c r="A15" s="30" t="s">
        <v>753</v>
      </c>
      <c r="B15" s="25" t="s">
        <v>255</v>
      </c>
      <c r="C15" s="50" t="s">
        <v>269</v>
      </c>
      <c r="D15" s="25" t="s">
        <v>257</v>
      </c>
      <c r="E15" s="25" t="s">
        <v>258</v>
      </c>
      <c r="F15" s="51" t="str">
        <f>VLOOKUP(Клиенты[[#This Row],[GardenaChannel]],GardenChannel[[GardenChannel]:[Sales manager]],2,0)</f>
        <v>АЛЕКСАНДРОВ ИГОРЬ</v>
      </c>
      <c r="H15" s="25" t="s">
        <v>255</v>
      </c>
    </row>
    <row r="16" spans="1:8" x14ac:dyDescent="0.25">
      <c r="A16" s="30" t="s">
        <v>754</v>
      </c>
      <c r="B16" s="25" t="s">
        <v>255</v>
      </c>
      <c r="C16" s="50" t="s">
        <v>270</v>
      </c>
      <c r="D16" s="25" t="s">
        <v>257</v>
      </c>
      <c r="E16" s="25" t="s">
        <v>271</v>
      </c>
      <c r="F16" s="51" t="str">
        <f>VLOOKUP(Клиенты[[#This Row],[GardenaChannel]],GardenChannel[[GardenChannel]:[Sales manager]],2,0)</f>
        <v>АЛЕКСАНДРОВ ИГОРЬ</v>
      </c>
      <c r="H16" s="25" t="s">
        <v>255</v>
      </c>
    </row>
    <row r="17" spans="1:8" x14ac:dyDescent="0.25">
      <c r="A17" s="30" t="s">
        <v>755</v>
      </c>
      <c r="B17" s="25" t="s">
        <v>255</v>
      </c>
      <c r="C17" s="50" t="s">
        <v>272</v>
      </c>
      <c r="D17" s="25" t="s">
        <v>257</v>
      </c>
      <c r="E17" s="25" t="s">
        <v>258</v>
      </c>
      <c r="F17" s="51" t="str">
        <f>VLOOKUP(Клиенты[[#This Row],[GardenaChannel]],GardenChannel[[GardenChannel]:[Sales manager]],2,0)</f>
        <v>АЛЕКСАНДРОВ ИГОРЬ</v>
      </c>
      <c r="H17" s="25" t="s">
        <v>255</v>
      </c>
    </row>
    <row r="18" spans="1:8" x14ac:dyDescent="0.25">
      <c r="A18" s="30" t="s">
        <v>756</v>
      </c>
      <c r="B18" s="25" t="s">
        <v>255</v>
      </c>
      <c r="C18" s="50" t="s">
        <v>273</v>
      </c>
      <c r="D18" s="25" t="s">
        <v>257</v>
      </c>
      <c r="E18" s="25" t="s">
        <v>258</v>
      </c>
      <c r="F18" s="51" t="str">
        <f>VLOOKUP(Клиенты[[#This Row],[GardenaChannel]],GardenChannel[[GardenChannel]:[Sales manager]],2,0)</f>
        <v>АЛЕКСАНДРОВ ИГОРЬ</v>
      </c>
      <c r="H18" s="25" t="s">
        <v>255</v>
      </c>
    </row>
    <row r="19" spans="1:8" x14ac:dyDescent="0.25">
      <c r="A19" s="30" t="s">
        <v>757</v>
      </c>
      <c r="B19" s="25" t="s">
        <v>255</v>
      </c>
      <c r="C19" s="50" t="s">
        <v>274</v>
      </c>
      <c r="D19" s="25" t="s">
        <v>257</v>
      </c>
      <c r="E19" s="25" t="s">
        <v>258</v>
      </c>
      <c r="F19" s="51" t="str">
        <f>VLOOKUP(Клиенты[[#This Row],[GardenaChannel]],GardenChannel[[GardenChannel]:[Sales manager]],2,0)</f>
        <v>АЛЕКСАНДРОВ ИГОРЬ</v>
      </c>
      <c r="H19" s="25" t="s">
        <v>255</v>
      </c>
    </row>
    <row r="20" spans="1:8" x14ac:dyDescent="0.25">
      <c r="A20" s="30" t="s">
        <v>758</v>
      </c>
      <c r="B20" s="25" t="s">
        <v>255</v>
      </c>
      <c r="C20" s="50" t="s">
        <v>275</v>
      </c>
      <c r="D20" s="25" t="s">
        <v>257</v>
      </c>
      <c r="E20" s="25" t="s">
        <v>258</v>
      </c>
      <c r="F20" s="51" t="str">
        <f>VLOOKUP(Клиенты[[#This Row],[GardenaChannel]],GardenChannel[[GardenChannel]:[Sales manager]],2,0)</f>
        <v>АЛЕКСАНДРОВ ИГОРЬ</v>
      </c>
      <c r="H20" s="25" t="s">
        <v>255</v>
      </c>
    </row>
    <row r="21" spans="1:8" x14ac:dyDescent="0.25">
      <c r="A21" s="30" t="s">
        <v>759</v>
      </c>
      <c r="B21" s="25" t="s">
        <v>255</v>
      </c>
      <c r="C21" s="50" t="s">
        <v>276</v>
      </c>
      <c r="D21" s="25" t="s">
        <v>257</v>
      </c>
      <c r="E21" s="25" t="s">
        <v>258</v>
      </c>
      <c r="F21" s="51" t="str">
        <f>VLOOKUP(Клиенты[[#This Row],[GardenaChannel]],GardenChannel[[GardenChannel]:[Sales manager]],2,0)</f>
        <v>АЛЕКСАНДРОВ ИГОРЬ</v>
      </c>
      <c r="H21" s="25" t="s">
        <v>255</v>
      </c>
    </row>
    <row r="22" spans="1:8" x14ac:dyDescent="0.25">
      <c r="A22" s="30" t="s">
        <v>760</v>
      </c>
      <c r="B22" s="25" t="s">
        <v>255</v>
      </c>
      <c r="C22" s="50" t="s">
        <v>277</v>
      </c>
      <c r="D22" s="25" t="s">
        <v>257</v>
      </c>
      <c r="E22" s="25" t="s">
        <v>258</v>
      </c>
      <c r="F22" s="51" t="str">
        <f>VLOOKUP(Клиенты[[#This Row],[GardenaChannel]],GardenChannel[[GardenChannel]:[Sales manager]],2,0)</f>
        <v>АЛЕКСАНДРОВ ИГОРЬ</v>
      </c>
      <c r="H22" s="25" t="s">
        <v>255</v>
      </c>
    </row>
    <row r="23" spans="1:8" x14ac:dyDescent="0.25">
      <c r="A23" s="30" t="s">
        <v>761</v>
      </c>
      <c r="B23" s="25" t="s">
        <v>255</v>
      </c>
      <c r="C23" s="50" t="s">
        <v>278</v>
      </c>
      <c r="D23" s="25" t="s">
        <v>257</v>
      </c>
      <c r="E23" s="25" t="s">
        <v>258</v>
      </c>
      <c r="F23" s="51" t="str">
        <f>VLOOKUP(Клиенты[[#This Row],[GardenaChannel]],GardenChannel[[GardenChannel]:[Sales manager]],2,0)</f>
        <v>АЛЕКСАНДРОВ ИГОРЬ</v>
      </c>
      <c r="H23" s="25" t="s">
        <v>255</v>
      </c>
    </row>
    <row r="24" spans="1:8" x14ac:dyDescent="0.25">
      <c r="A24" s="30" t="s">
        <v>762</v>
      </c>
      <c r="B24" s="25" t="s">
        <v>255</v>
      </c>
      <c r="C24" s="50" t="s">
        <v>279</v>
      </c>
      <c r="D24" s="25" t="s">
        <v>257</v>
      </c>
      <c r="E24" s="25" t="s">
        <v>258</v>
      </c>
      <c r="F24" s="51" t="str">
        <f>VLOOKUP(Клиенты[[#This Row],[GardenaChannel]],GardenChannel[[GardenChannel]:[Sales manager]],2,0)</f>
        <v>АЛЕКСАНДРОВ ИГОРЬ</v>
      </c>
      <c r="H24" s="25" t="s">
        <v>255</v>
      </c>
    </row>
    <row r="25" spans="1:8" x14ac:dyDescent="0.25">
      <c r="A25" s="30" t="s">
        <v>763</v>
      </c>
      <c r="B25" s="25" t="s">
        <v>255</v>
      </c>
      <c r="C25" s="50" t="s">
        <v>280</v>
      </c>
      <c r="D25" s="25" t="s">
        <v>257</v>
      </c>
      <c r="E25" s="25" t="s">
        <v>258</v>
      </c>
      <c r="F25" s="51" t="str">
        <f>VLOOKUP(Клиенты[[#This Row],[GardenaChannel]],GardenChannel[[GardenChannel]:[Sales manager]],2,0)</f>
        <v>АЛЕКСАНДРОВ ИГОРЬ</v>
      </c>
      <c r="H25" s="25" t="s">
        <v>255</v>
      </c>
    </row>
    <row r="26" spans="1:8" x14ac:dyDescent="0.25">
      <c r="A26" s="30" t="s">
        <v>764</v>
      </c>
      <c r="B26" s="25" t="s">
        <v>255</v>
      </c>
      <c r="C26" s="50" t="s">
        <v>281</v>
      </c>
      <c r="D26" s="25" t="s">
        <v>257</v>
      </c>
      <c r="E26" s="25" t="s">
        <v>258</v>
      </c>
      <c r="F26" s="51" t="str">
        <f>VLOOKUP(Клиенты[[#This Row],[GardenaChannel]],GardenChannel[[GardenChannel]:[Sales manager]],2,0)</f>
        <v>АЛЕКСАНДРОВ ИГОРЬ</v>
      </c>
      <c r="H26" s="25" t="s">
        <v>255</v>
      </c>
    </row>
    <row r="27" spans="1:8" x14ac:dyDescent="0.25">
      <c r="A27" s="30" t="s">
        <v>765</v>
      </c>
      <c r="B27" s="25" t="s">
        <v>255</v>
      </c>
      <c r="C27" s="50" t="s">
        <v>282</v>
      </c>
      <c r="D27" s="25" t="s">
        <v>257</v>
      </c>
      <c r="E27" s="25" t="s">
        <v>258</v>
      </c>
      <c r="F27" s="51" t="str">
        <f>VLOOKUP(Клиенты[[#This Row],[GardenaChannel]],GardenChannel[[GardenChannel]:[Sales manager]],2,0)</f>
        <v>АЛЕКСАНДРОВ ИГОРЬ</v>
      </c>
      <c r="H27" s="25" t="s">
        <v>255</v>
      </c>
    </row>
    <row r="28" spans="1:8" x14ac:dyDescent="0.25">
      <c r="A28" s="30" t="s">
        <v>766</v>
      </c>
      <c r="B28" s="25" t="s">
        <v>255</v>
      </c>
      <c r="C28" s="50" t="s">
        <v>283</v>
      </c>
      <c r="D28" s="25" t="s">
        <v>257</v>
      </c>
      <c r="E28" s="25" t="s">
        <v>258</v>
      </c>
      <c r="F28" s="51" t="str">
        <f>VLOOKUP(Клиенты[[#This Row],[GardenaChannel]],GardenChannel[[GardenChannel]:[Sales manager]],2,0)</f>
        <v>АЛЕКСАНДРОВ ИГОРЬ</v>
      </c>
      <c r="H28" s="25" t="s">
        <v>255</v>
      </c>
    </row>
    <row r="29" spans="1:8" x14ac:dyDescent="0.25">
      <c r="A29" s="30" t="s">
        <v>767</v>
      </c>
      <c r="B29" s="25" t="s">
        <v>255</v>
      </c>
      <c r="C29" s="50" t="s">
        <v>284</v>
      </c>
      <c r="D29" s="25" t="s">
        <v>257</v>
      </c>
      <c r="E29" s="25" t="s">
        <v>258</v>
      </c>
      <c r="F29" s="51" t="str">
        <f>VLOOKUP(Клиенты[[#This Row],[GardenaChannel]],GardenChannel[[GardenChannel]:[Sales manager]],2,0)</f>
        <v>АЛЕКСАНДРОВ ИГОРЬ</v>
      </c>
      <c r="H29" s="25" t="s">
        <v>255</v>
      </c>
    </row>
    <row r="30" spans="1:8" x14ac:dyDescent="0.25">
      <c r="A30" s="30" t="s">
        <v>768</v>
      </c>
      <c r="B30" s="25" t="s">
        <v>255</v>
      </c>
      <c r="C30" s="50" t="s">
        <v>285</v>
      </c>
      <c r="D30" s="25" t="s">
        <v>257</v>
      </c>
      <c r="E30" s="25" t="s">
        <v>258</v>
      </c>
      <c r="F30" s="51" t="str">
        <f>VLOOKUP(Клиенты[[#This Row],[GardenaChannel]],GardenChannel[[GardenChannel]:[Sales manager]],2,0)</f>
        <v>АЛЕКСАНДРОВ ИГОРЬ</v>
      </c>
      <c r="H30" s="25" t="s">
        <v>255</v>
      </c>
    </row>
    <row r="31" spans="1:8" x14ac:dyDescent="0.25">
      <c r="A31" s="30" t="s">
        <v>769</v>
      </c>
      <c r="B31" s="25" t="s">
        <v>255</v>
      </c>
      <c r="C31" s="50" t="s">
        <v>286</v>
      </c>
      <c r="D31" s="25" t="s">
        <v>257</v>
      </c>
      <c r="E31" s="25" t="s">
        <v>258</v>
      </c>
      <c r="F31" s="51" t="str">
        <f>VLOOKUP(Клиенты[[#This Row],[GardenaChannel]],GardenChannel[[GardenChannel]:[Sales manager]],2,0)</f>
        <v>АЛЕКСАНДРОВ ИГОРЬ</v>
      </c>
      <c r="H31" s="25" t="s">
        <v>255</v>
      </c>
    </row>
    <row r="32" spans="1:8" x14ac:dyDescent="0.25">
      <c r="A32" s="30" t="s">
        <v>770</v>
      </c>
      <c r="B32" s="25" t="s">
        <v>255</v>
      </c>
      <c r="C32" s="50" t="s">
        <v>287</v>
      </c>
      <c r="D32" s="25" t="s">
        <v>257</v>
      </c>
      <c r="E32" s="25" t="s">
        <v>258</v>
      </c>
      <c r="F32" s="51" t="str">
        <f>VLOOKUP(Клиенты[[#This Row],[GardenaChannel]],GardenChannel[[GardenChannel]:[Sales manager]],2,0)</f>
        <v>АЛЕКСАНДРОВ ИГОРЬ</v>
      </c>
      <c r="H32" s="25" t="s">
        <v>255</v>
      </c>
    </row>
    <row r="33" spans="1:8" x14ac:dyDescent="0.25">
      <c r="A33" s="30" t="s">
        <v>771</v>
      </c>
      <c r="B33" s="25" t="s">
        <v>255</v>
      </c>
      <c r="C33" s="50" t="s">
        <v>288</v>
      </c>
      <c r="D33" s="25" t="s">
        <v>257</v>
      </c>
      <c r="E33" s="25" t="s">
        <v>258</v>
      </c>
      <c r="F33" s="51" t="str">
        <f>VLOOKUP(Клиенты[[#This Row],[GardenaChannel]],GardenChannel[[GardenChannel]:[Sales manager]],2,0)</f>
        <v>АЛЕКСАНДРОВ ИГОРЬ</v>
      </c>
      <c r="H33" s="25" t="s">
        <v>255</v>
      </c>
    </row>
    <row r="34" spans="1:8" x14ac:dyDescent="0.25">
      <c r="A34" s="30" t="s">
        <v>772</v>
      </c>
      <c r="B34" s="25" t="s">
        <v>255</v>
      </c>
      <c r="C34" s="50" t="s">
        <v>289</v>
      </c>
      <c r="D34" s="25" t="s">
        <v>257</v>
      </c>
      <c r="E34" s="25" t="s">
        <v>258</v>
      </c>
      <c r="F34" s="51" t="str">
        <f>VLOOKUP(Клиенты[[#This Row],[GardenaChannel]],GardenChannel[[GardenChannel]:[Sales manager]],2,0)</f>
        <v>АЛЕКСАНДРОВ ИГОРЬ</v>
      </c>
      <c r="H34" s="25" t="s">
        <v>255</v>
      </c>
    </row>
    <row r="35" spans="1:8" x14ac:dyDescent="0.25">
      <c r="A35" s="30" t="s">
        <v>773</v>
      </c>
      <c r="B35" s="25" t="s">
        <v>255</v>
      </c>
      <c r="C35" s="50" t="s">
        <v>290</v>
      </c>
      <c r="D35" s="25" t="s">
        <v>257</v>
      </c>
      <c r="E35" s="25" t="s">
        <v>258</v>
      </c>
      <c r="F35" s="51" t="str">
        <f>VLOOKUP(Клиенты[[#This Row],[GardenaChannel]],GardenChannel[[GardenChannel]:[Sales manager]],2,0)</f>
        <v>АЛЕКСАНДРОВ ИГОРЬ</v>
      </c>
      <c r="H35" s="25" t="s">
        <v>255</v>
      </c>
    </row>
    <row r="36" spans="1:8" x14ac:dyDescent="0.25">
      <c r="A36" s="30" t="s">
        <v>774</v>
      </c>
      <c r="B36" s="25" t="s">
        <v>255</v>
      </c>
      <c r="C36" s="50" t="s">
        <v>291</v>
      </c>
      <c r="D36" s="25" t="s">
        <v>257</v>
      </c>
      <c r="E36" s="25" t="s">
        <v>258</v>
      </c>
      <c r="F36" s="51" t="str">
        <f>VLOOKUP(Клиенты[[#This Row],[GardenaChannel]],GardenChannel[[GardenChannel]:[Sales manager]],2,0)</f>
        <v>АЛЕКСАНДРОВ ИГОРЬ</v>
      </c>
      <c r="H36" s="25" t="s">
        <v>255</v>
      </c>
    </row>
    <row r="37" spans="1:8" x14ac:dyDescent="0.25">
      <c r="A37" s="30" t="s">
        <v>775</v>
      </c>
      <c r="B37" s="25" t="s">
        <v>255</v>
      </c>
      <c r="C37" s="50" t="s">
        <v>292</v>
      </c>
      <c r="D37" s="25" t="s">
        <v>257</v>
      </c>
      <c r="E37" s="25" t="s">
        <v>258</v>
      </c>
      <c r="F37" s="51" t="str">
        <f>VLOOKUP(Клиенты[[#This Row],[GardenaChannel]],GardenChannel[[GardenChannel]:[Sales manager]],2,0)</f>
        <v>АЛЕКСАНДРОВ ИГОРЬ</v>
      </c>
      <c r="H37" s="25" t="s">
        <v>255</v>
      </c>
    </row>
    <row r="38" spans="1:8" x14ac:dyDescent="0.25">
      <c r="A38" s="30" t="s">
        <v>776</v>
      </c>
      <c r="B38" s="25" t="s">
        <v>255</v>
      </c>
      <c r="C38" s="50" t="s">
        <v>293</v>
      </c>
      <c r="D38" s="25" t="s">
        <v>257</v>
      </c>
      <c r="E38" s="25" t="s">
        <v>258</v>
      </c>
      <c r="F38" s="51" t="str">
        <f>VLOOKUP(Клиенты[[#This Row],[GardenaChannel]],GardenChannel[[GardenChannel]:[Sales manager]],2,0)</f>
        <v>АЛЕКСАНДРОВ ИГОРЬ</v>
      </c>
      <c r="H38" s="25" t="s">
        <v>255</v>
      </c>
    </row>
    <row r="39" spans="1:8" x14ac:dyDescent="0.25">
      <c r="A39" s="30" t="s">
        <v>777</v>
      </c>
      <c r="B39" s="25" t="s">
        <v>255</v>
      </c>
      <c r="C39" s="50" t="s">
        <v>294</v>
      </c>
      <c r="D39" s="25" t="s">
        <v>257</v>
      </c>
      <c r="E39" s="25" t="s">
        <v>295</v>
      </c>
      <c r="F39" s="51" t="str">
        <f>VLOOKUP(Клиенты[[#This Row],[GardenaChannel]],GardenChannel[[GardenChannel]:[Sales manager]],2,0)</f>
        <v>АЛЕКСАНДРОВ ИГОРЬ</v>
      </c>
      <c r="H39" s="25" t="s">
        <v>255</v>
      </c>
    </row>
    <row r="40" spans="1:8" x14ac:dyDescent="0.25">
      <c r="A40" s="30" t="s">
        <v>778</v>
      </c>
      <c r="B40" s="25" t="s">
        <v>255</v>
      </c>
      <c r="C40" s="50" t="s">
        <v>296</v>
      </c>
      <c r="D40" s="25" t="s">
        <v>257</v>
      </c>
      <c r="E40" s="25" t="s">
        <v>258</v>
      </c>
      <c r="F40" s="51" t="str">
        <f>VLOOKUP(Клиенты[[#This Row],[GardenaChannel]],GardenChannel[[GardenChannel]:[Sales manager]],2,0)</f>
        <v>АЛЕКСАНДРОВ ИГОРЬ</v>
      </c>
      <c r="H40" s="25" t="s">
        <v>255</v>
      </c>
    </row>
    <row r="41" spans="1:8" x14ac:dyDescent="0.25">
      <c r="A41" s="30" t="s">
        <v>779</v>
      </c>
      <c r="B41" s="25" t="s">
        <v>255</v>
      </c>
      <c r="C41" s="50" t="s">
        <v>297</v>
      </c>
      <c r="D41" s="25" t="s">
        <v>257</v>
      </c>
      <c r="E41" s="25" t="s">
        <v>271</v>
      </c>
      <c r="F41" s="51" t="str">
        <f>VLOOKUP(Клиенты[[#This Row],[GardenaChannel]],GardenChannel[[GardenChannel]:[Sales manager]],2,0)</f>
        <v>АЛЕКСАНДРОВ ИГОРЬ</v>
      </c>
      <c r="H41" s="25" t="s">
        <v>255</v>
      </c>
    </row>
    <row r="42" spans="1:8" x14ac:dyDescent="0.25">
      <c r="A42" s="30" t="s">
        <v>780</v>
      </c>
      <c r="B42" s="25" t="s">
        <v>255</v>
      </c>
      <c r="C42" s="50" t="s">
        <v>298</v>
      </c>
      <c r="D42" s="25" t="s">
        <v>257</v>
      </c>
      <c r="E42" s="25" t="s">
        <v>258</v>
      </c>
      <c r="F42" s="51" t="str">
        <f>VLOOKUP(Клиенты[[#This Row],[GardenaChannel]],GardenChannel[[GardenChannel]:[Sales manager]],2,0)</f>
        <v>АЛЕКСАНДРОВ ИГОРЬ</v>
      </c>
      <c r="H42" s="25" t="s">
        <v>255</v>
      </c>
    </row>
    <row r="43" spans="1:8" x14ac:dyDescent="0.25">
      <c r="A43" s="30" t="s">
        <v>781</v>
      </c>
      <c r="B43" s="25" t="s">
        <v>255</v>
      </c>
      <c r="C43" s="50" t="s">
        <v>299</v>
      </c>
      <c r="D43" s="25" t="s">
        <v>257</v>
      </c>
      <c r="E43" s="25" t="s">
        <v>258</v>
      </c>
      <c r="F43" s="51" t="str">
        <f>VLOOKUP(Клиенты[[#This Row],[GardenaChannel]],GardenChannel[[GardenChannel]:[Sales manager]],2,0)</f>
        <v>АЛЕКСАНДРОВ ИГОРЬ</v>
      </c>
      <c r="H43" s="25" t="s">
        <v>255</v>
      </c>
    </row>
    <row r="44" spans="1:8" x14ac:dyDescent="0.25">
      <c r="A44" s="30" t="s">
        <v>782</v>
      </c>
      <c r="B44" s="25" t="s">
        <v>255</v>
      </c>
      <c r="C44" s="50" t="s">
        <v>300</v>
      </c>
      <c r="D44" s="25" t="s">
        <v>257</v>
      </c>
      <c r="E44" s="25" t="s">
        <v>295</v>
      </c>
      <c r="F44" s="51" t="str">
        <f>VLOOKUP(Клиенты[[#This Row],[GardenaChannel]],GardenChannel[[GardenChannel]:[Sales manager]],2,0)</f>
        <v>АЛЕКСАНДРОВ ИГОРЬ</v>
      </c>
      <c r="H44" s="25" t="s">
        <v>255</v>
      </c>
    </row>
    <row r="45" spans="1:8" x14ac:dyDescent="0.25">
      <c r="A45" s="30" t="s">
        <v>783</v>
      </c>
      <c r="B45" s="25" t="s">
        <v>255</v>
      </c>
      <c r="C45" s="50" t="s">
        <v>301</v>
      </c>
      <c r="D45" s="25" t="s">
        <v>257</v>
      </c>
      <c r="E45" s="25" t="s">
        <v>258</v>
      </c>
      <c r="F45" s="51" t="str">
        <f>VLOOKUP(Клиенты[[#This Row],[GardenaChannel]],GardenChannel[[GardenChannel]:[Sales manager]],2,0)</f>
        <v>АЛЕКСАНДРОВ ИГОРЬ</v>
      </c>
      <c r="H45" s="25" t="s">
        <v>255</v>
      </c>
    </row>
    <row r="46" spans="1:8" x14ac:dyDescent="0.25">
      <c r="A46" s="30" t="s">
        <v>784</v>
      </c>
      <c r="B46" s="25" t="s">
        <v>255</v>
      </c>
      <c r="C46" s="50" t="s">
        <v>302</v>
      </c>
      <c r="D46" s="25" t="s">
        <v>257</v>
      </c>
      <c r="E46" s="25" t="s">
        <v>258</v>
      </c>
      <c r="F46" s="51" t="str">
        <f>VLOOKUP(Клиенты[[#This Row],[GardenaChannel]],GardenChannel[[GardenChannel]:[Sales manager]],2,0)</f>
        <v>АЛЕКСАНДРОВ ИГОРЬ</v>
      </c>
      <c r="H46" s="25" t="s">
        <v>255</v>
      </c>
    </row>
    <row r="47" spans="1:8" x14ac:dyDescent="0.25">
      <c r="A47" s="30" t="s">
        <v>785</v>
      </c>
      <c r="B47" s="25" t="s">
        <v>255</v>
      </c>
      <c r="C47" s="50" t="s">
        <v>303</v>
      </c>
      <c r="D47" s="25" t="s">
        <v>257</v>
      </c>
      <c r="E47" s="25" t="s">
        <v>258</v>
      </c>
      <c r="F47" s="51" t="str">
        <f>VLOOKUP(Клиенты[[#This Row],[GardenaChannel]],GardenChannel[[GardenChannel]:[Sales manager]],2,0)</f>
        <v>АЛЕКСАНДРОВ ИГОРЬ</v>
      </c>
      <c r="H47" s="25" t="s">
        <v>255</v>
      </c>
    </row>
    <row r="48" spans="1:8" x14ac:dyDescent="0.25">
      <c r="A48" s="30" t="s">
        <v>786</v>
      </c>
      <c r="B48" s="25" t="s">
        <v>255</v>
      </c>
      <c r="C48" s="50" t="s">
        <v>304</v>
      </c>
      <c r="D48" s="25" t="s">
        <v>257</v>
      </c>
      <c r="E48" s="25" t="s">
        <v>258</v>
      </c>
      <c r="F48" s="51" t="str">
        <f>VLOOKUP(Клиенты[[#This Row],[GardenaChannel]],GardenChannel[[GardenChannel]:[Sales manager]],2,0)</f>
        <v>АЛЕКСАНДРОВ ИГОРЬ</v>
      </c>
      <c r="H48" s="25" t="s">
        <v>255</v>
      </c>
    </row>
    <row r="49" spans="1:8" x14ac:dyDescent="0.25">
      <c r="A49" s="30" t="s">
        <v>787</v>
      </c>
      <c r="B49" s="25" t="s">
        <v>255</v>
      </c>
      <c r="C49" s="50" t="s">
        <v>305</v>
      </c>
      <c r="D49" s="25" t="s">
        <v>257</v>
      </c>
      <c r="E49" s="25" t="s">
        <v>258</v>
      </c>
      <c r="F49" s="51" t="str">
        <f>VLOOKUP(Клиенты[[#This Row],[GardenaChannel]],GardenChannel[[GardenChannel]:[Sales manager]],2,0)</f>
        <v>АЛЕКСАНДРОВ ИГОРЬ</v>
      </c>
      <c r="H49" s="25" t="s">
        <v>255</v>
      </c>
    </row>
    <row r="50" spans="1:8" x14ac:dyDescent="0.25">
      <c r="A50" s="30" t="s">
        <v>788</v>
      </c>
      <c r="B50" s="25" t="s">
        <v>255</v>
      </c>
      <c r="C50" s="50" t="s">
        <v>306</v>
      </c>
      <c r="D50" s="25" t="s">
        <v>257</v>
      </c>
      <c r="E50" s="25" t="s">
        <v>258</v>
      </c>
      <c r="F50" s="51" t="str">
        <f>VLOOKUP(Клиенты[[#This Row],[GardenaChannel]],GardenChannel[[GardenChannel]:[Sales manager]],2,0)</f>
        <v>АЛЕКСАНДРОВ ИГОРЬ</v>
      </c>
      <c r="H50" s="25" t="s">
        <v>255</v>
      </c>
    </row>
    <row r="51" spans="1:8" x14ac:dyDescent="0.25">
      <c r="A51" s="30" t="s">
        <v>789</v>
      </c>
      <c r="B51" s="25" t="s">
        <v>255</v>
      </c>
      <c r="C51" s="50" t="s">
        <v>307</v>
      </c>
      <c r="D51" s="25" t="s">
        <v>257</v>
      </c>
      <c r="E51" s="25" t="s">
        <v>258</v>
      </c>
      <c r="F51" s="51" t="str">
        <f>VLOOKUP(Клиенты[[#This Row],[GardenaChannel]],GardenChannel[[GardenChannel]:[Sales manager]],2,0)</f>
        <v>АЛЕКСАНДРОВ ИГОРЬ</v>
      </c>
      <c r="H51" s="25" t="s">
        <v>255</v>
      </c>
    </row>
    <row r="52" spans="1:8" x14ac:dyDescent="0.25">
      <c r="A52" s="30" t="s">
        <v>790</v>
      </c>
      <c r="B52" s="25" t="s">
        <v>255</v>
      </c>
      <c r="C52" s="50" t="s">
        <v>308</v>
      </c>
      <c r="D52" s="25" t="s">
        <v>257</v>
      </c>
      <c r="E52" s="25" t="s">
        <v>271</v>
      </c>
      <c r="F52" s="51" t="str">
        <f>VLOOKUP(Клиенты[[#This Row],[GardenaChannel]],GardenChannel[[GardenChannel]:[Sales manager]],2,0)</f>
        <v>АЛЕКСАНДРОВ ИГОРЬ</v>
      </c>
      <c r="H52" s="25" t="s">
        <v>255</v>
      </c>
    </row>
    <row r="53" spans="1:8" x14ac:dyDescent="0.25">
      <c r="A53" s="30" t="s">
        <v>791</v>
      </c>
      <c r="B53" s="25" t="s">
        <v>255</v>
      </c>
      <c r="C53" s="50" t="s">
        <v>309</v>
      </c>
      <c r="D53" s="25" t="s">
        <v>257</v>
      </c>
      <c r="E53" s="25" t="s">
        <v>258</v>
      </c>
      <c r="F53" s="51" t="str">
        <f>VLOOKUP(Клиенты[[#This Row],[GardenaChannel]],GardenChannel[[GardenChannel]:[Sales manager]],2,0)</f>
        <v>АЛЕКСАНДРОВ ИГОРЬ</v>
      </c>
      <c r="H53" s="25" t="s">
        <v>255</v>
      </c>
    </row>
    <row r="54" spans="1:8" x14ac:dyDescent="0.25">
      <c r="A54" s="30" t="s">
        <v>792</v>
      </c>
      <c r="B54" s="25" t="s">
        <v>255</v>
      </c>
      <c r="C54" s="50" t="s">
        <v>310</v>
      </c>
      <c r="D54" s="25" t="s">
        <v>257</v>
      </c>
      <c r="E54" s="25" t="s">
        <v>258</v>
      </c>
      <c r="F54" s="51" t="str">
        <f>VLOOKUP(Клиенты[[#This Row],[GardenaChannel]],GardenChannel[[GardenChannel]:[Sales manager]],2,0)</f>
        <v>АЛЕКСАНДРОВ ИГОРЬ</v>
      </c>
      <c r="H54" s="25" t="s">
        <v>255</v>
      </c>
    </row>
    <row r="55" spans="1:8" x14ac:dyDescent="0.25">
      <c r="A55" s="30" t="s">
        <v>793</v>
      </c>
      <c r="B55" s="25" t="s">
        <v>255</v>
      </c>
      <c r="C55" s="50" t="s">
        <v>311</v>
      </c>
      <c r="D55" s="25" t="s">
        <v>257</v>
      </c>
      <c r="E55" s="25" t="s">
        <v>258</v>
      </c>
      <c r="F55" s="51" t="str">
        <f>VLOOKUP(Клиенты[[#This Row],[GardenaChannel]],GardenChannel[[GardenChannel]:[Sales manager]],2,0)</f>
        <v>АЛЕКСАНДРОВ ИГОРЬ</v>
      </c>
      <c r="H55" s="25" t="s">
        <v>255</v>
      </c>
    </row>
    <row r="56" spans="1:8" x14ac:dyDescent="0.25">
      <c r="A56" s="30" t="s">
        <v>794</v>
      </c>
      <c r="B56" s="25" t="s">
        <v>312</v>
      </c>
      <c r="C56" s="50" t="s">
        <v>313</v>
      </c>
      <c r="D56" s="25" t="s">
        <v>246</v>
      </c>
      <c r="E56" s="25" t="s">
        <v>314</v>
      </c>
      <c r="F56" s="51" t="str">
        <f>VLOOKUP(Клиенты[[#This Row],[GardenaChannel]],GardenChannel[[GardenChannel]:[Sales manager]],2,0)</f>
        <v>ЧУДИН АЛЕКСЕЙ</v>
      </c>
      <c r="H56" s="25">
        <v>5070</v>
      </c>
    </row>
    <row r="57" spans="1:8" x14ac:dyDescent="0.25">
      <c r="A57" s="30" t="s">
        <v>795</v>
      </c>
      <c r="B57" s="25" t="s">
        <v>312</v>
      </c>
      <c r="C57" s="50" t="s">
        <v>316</v>
      </c>
      <c r="D57" s="25" t="s">
        <v>246</v>
      </c>
      <c r="E57" s="25" t="s">
        <v>317</v>
      </c>
      <c r="F57" s="51" t="str">
        <f>VLOOKUP(Клиенты[[#This Row],[GardenaChannel]],GardenChannel[[GardenChannel]:[Sales manager]],2,0)</f>
        <v>ЧУДИН АЛЕКСЕЙ</v>
      </c>
      <c r="G57" s="25" t="s">
        <v>318</v>
      </c>
      <c r="H57" s="25">
        <v>5307</v>
      </c>
    </row>
    <row r="58" spans="1:8" x14ac:dyDescent="0.25">
      <c r="A58" s="30" t="s">
        <v>796</v>
      </c>
      <c r="B58" s="25" t="s">
        <v>312</v>
      </c>
      <c r="C58" s="50" t="s">
        <v>319</v>
      </c>
      <c r="D58" s="25" t="s">
        <v>246</v>
      </c>
      <c r="E58" s="25" t="s">
        <v>317</v>
      </c>
      <c r="F58" s="51" t="str">
        <f>VLOOKUP(Клиенты[[#This Row],[GardenaChannel]],GardenChannel[[GardenChannel]:[Sales manager]],2,0)</f>
        <v>ЧУДИН АЛЕКСЕЙ</v>
      </c>
      <c r="G58" s="25" t="s">
        <v>318</v>
      </c>
      <c r="H58" s="25">
        <v>5307</v>
      </c>
    </row>
    <row r="59" spans="1:8" x14ac:dyDescent="0.25">
      <c r="A59" s="30" t="s">
        <v>797</v>
      </c>
      <c r="B59" s="25" t="s">
        <v>312</v>
      </c>
      <c r="C59" s="50" t="s">
        <v>320</v>
      </c>
      <c r="D59" s="25" t="s">
        <v>246</v>
      </c>
      <c r="E59" s="25" t="s">
        <v>321</v>
      </c>
      <c r="F59" s="51" t="str">
        <f>VLOOKUP(Клиенты[[#This Row],[GardenaChannel]],GardenChannel[[GardenChannel]:[Sales manager]],2,0)</f>
        <v>ЧУДИН АЛЕКСЕЙ</v>
      </c>
      <c r="G59" s="25" t="s">
        <v>322</v>
      </c>
      <c r="H59" s="25">
        <v>5412</v>
      </c>
    </row>
    <row r="60" spans="1:8" x14ac:dyDescent="0.25">
      <c r="A60" s="30" t="s">
        <v>798</v>
      </c>
      <c r="B60" s="25" t="s">
        <v>312</v>
      </c>
      <c r="C60" s="50" t="s">
        <v>323</v>
      </c>
      <c r="D60" s="25" t="s">
        <v>246</v>
      </c>
      <c r="E60" s="25" t="s">
        <v>317</v>
      </c>
      <c r="F60" s="51" t="str">
        <f>VLOOKUP(Клиенты[[#This Row],[GardenaChannel]],GardenChannel[[GardenChannel]:[Sales manager]],2,0)</f>
        <v>ЧУДИН АЛЕКСЕЙ</v>
      </c>
      <c r="G60" s="25" t="s">
        <v>318</v>
      </c>
      <c r="H60" s="25">
        <v>5307</v>
      </c>
    </row>
    <row r="61" spans="1:8" x14ac:dyDescent="0.25">
      <c r="A61" s="30" t="s">
        <v>799</v>
      </c>
      <c r="B61" s="25" t="s">
        <v>312</v>
      </c>
      <c r="C61" s="50" t="s">
        <v>324</v>
      </c>
      <c r="D61" s="25" t="s">
        <v>246</v>
      </c>
      <c r="E61" s="25" t="s">
        <v>317</v>
      </c>
      <c r="F61" s="51" t="str">
        <f>VLOOKUP(Клиенты[[#This Row],[GardenaChannel]],GardenChannel[[GardenChannel]:[Sales manager]],2,0)</f>
        <v>ЧУДИН АЛЕКСЕЙ</v>
      </c>
      <c r="G61" s="25" t="s">
        <v>318</v>
      </c>
      <c r="H61" s="25">
        <v>5307</v>
      </c>
    </row>
    <row r="62" spans="1:8" x14ac:dyDescent="0.25">
      <c r="A62" s="30" t="s">
        <v>800</v>
      </c>
      <c r="B62" s="25" t="s">
        <v>312</v>
      </c>
      <c r="C62" s="50" t="s">
        <v>325</v>
      </c>
      <c r="D62" s="25" t="s">
        <v>246</v>
      </c>
      <c r="E62" s="25" t="s">
        <v>317</v>
      </c>
      <c r="F62" s="51" t="str">
        <f>VLOOKUP(Клиенты[[#This Row],[GardenaChannel]],GardenChannel[[GardenChannel]:[Sales manager]],2,0)</f>
        <v>ЧУДИН АЛЕКСЕЙ</v>
      </c>
      <c r="G62" s="25" t="s">
        <v>318</v>
      </c>
      <c r="H62" s="25">
        <v>5307</v>
      </c>
    </row>
    <row r="63" spans="1:8" x14ac:dyDescent="0.25">
      <c r="A63" s="30" t="s">
        <v>801</v>
      </c>
      <c r="B63" s="25" t="s">
        <v>312</v>
      </c>
      <c r="C63" s="50" t="s">
        <v>326</v>
      </c>
      <c r="D63" s="25" t="s">
        <v>246</v>
      </c>
      <c r="E63" s="25" t="s">
        <v>317</v>
      </c>
      <c r="F63" s="51" t="str">
        <f>VLOOKUP(Клиенты[[#This Row],[GardenaChannel]],GardenChannel[[GardenChannel]:[Sales manager]],2,0)</f>
        <v>ЧУДИН АЛЕКСЕЙ</v>
      </c>
      <c r="G63" s="25" t="s">
        <v>318</v>
      </c>
      <c r="H63" s="25">
        <v>5307</v>
      </c>
    </row>
    <row r="64" spans="1:8" x14ac:dyDescent="0.25">
      <c r="A64" s="30" t="s">
        <v>802</v>
      </c>
      <c r="B64" s="25" t="s">
        <v>312</v>
      </c>
      <c r="C64" s="50" t="s">
        <v>327</v>
      </c>
      <c r="D64" s="25" t="s">
        <v>246</v>
      </c>
      <c r="E64" s="25" t="s">
        <v>328</v>
      </c>
      <c r="F64" s="51" t="str">
        <f>VLOOKUP(Клиенты[[#This Row],[GardenaChannel]],GardenChannel[[GardenChannel]:[Sales manager]],2,0)</f>
        <v>ЧУДИН АЛЕКСЕЙ</v>
      </c>
      <c r="G64" s="25" t="s">
        <v>329</v>
      </c>
      <c r="H64" s="25">
        <v>5824</v>
      </c>
    </row>
    <row r="65" spans="1:8" x14ac:dyDescent="0.25">
      <c r="A65" s="30" t="s">
        <v>803</v>
      </c>
      <c r="B65" s="25" t="s">
        <v>330</v>
      </c>
      <c r="C65" s="50" t="s">
        <v>331</v>
      </c>
      <c r="D65" s="25" t="s">
        <v>246</v>
      </c>
      <c r="E65" s="25" t="s">
        <v>34</v>
      </c>
      <c r="F65" s="51" t="str">
        <f>VLOOKUP(Клиенты[[#This Row],[GardenaChannel]],GardenChannel[[GardenChannel]:[Sales manager]],2,0)</f>
        <v>НЕБОВ АЛЕКСАНДР</v>
      </c>
      <c r="G65" s="25" t="s">
        <v>333</v>
      </c>
      <c r="H65" s="25">
        <v>5303</v>
      </c>
    </row>
    <row r="66" spans="1:8" x14ac:dyDescent="0.25">
      <c r="A66" s="30" t="s">
        <v>804</v>
      </c>
      <c r="B66" s="25" t="s">
        <v>330</v>
      </c>
      <c r="C66" s="50" t="s">
        <v>334</v>
      </c>
      <c r="D66" s="25" t="s">
        <v>246</v>
      </c>
      <c r="E66" s="25" t="s">
        <v>34</v>
      </c>
      <c r="F66" s="51" t="str">
        <f>VLOOKUP(Клиенты[[#This Row],[GardenaChannel]],GardenChannel[[GardenChannel]:[Sales manager]],2,0)</f>
        <v>НЕБОВ АЛЕКСАНДР</v>
      </c>
      <c r="G66" s="25" t="s">
        <v>333</v>
      </c>
      <c r="H66" s="25">
        <v>5303</v>
      </c>
    </row>
    <row r="67" spans="1:8" x14ac:dyDescent="0.25">
      <c r="A67" s="30" t="s">
        <v>805</v>
      </c>
      <c r="B67" s="25" t="s">
        <v>330</v>
      </c>
      <c r="C67" s="50" t="s">
        <v>335</v>
      </c>
      <c r="D67" s="25" t="s">
        <v>246</v>
      </c>
      <c r="E67" s="25" t="s">
        <v>34</v>
      </c>
      <c r="F67" s="51" t="str">
        <f>VLOOKUP(Клиенты[[#This Row],[GardenaChannel]],GardenChannel[[GardenChannel]:[Sales manager]],2,0)</f>
        <v>НЕБОВ АЛЕКСАНДР</v>
      </c>
      <c r="G67" s="25" t="s">
        <v>333</v>
      </c>
      <c r="H67" s="25">
        <v>5303</v>
      </c>
    </row>
    <row r="68" spans="1:8" x14ac:dyDescent="0.25">
      <c r="A68" s="30" t="s">
        <v>806</v>
      </c>
      <c r="B68" s="25" t="s">
        <v>330</v>
      </c>
      <c r="C68" s="50" t="s">
        <v>336</v>
      </c>
      <c r="D68" s="25" t="s">
        <v>246</v>
      </c>
      <c r="E68" s="25" t="s">
        <v>34</v>
      </c>
      <c r="F68" s="51" t="str">
        <f>VLOOKUP(Клиенты[[#This Row],[GardenaChannel]],GardenChannel[[GardenChannel]:[Sales manager]],2,0)</f>
        <v>НЕБОВ АЛЕКСАНДР</v>
      </c>
      <c r="G68" s="25" t="s">
        <v>333</v>
      </c>
      <c r="H68" s="25">
        <v>5303</v>
      </c>
    </row>
    <row r="69" spans="1:8" x14ac:dyDescent="0.25">
      <c r="A69" s="30" t="s">
        <v>807</v>
      </c>
      <c r="B69" s="25" t="s">
        <v>330</v>
      </c>
      <c r="C69" s="50" t="s">
        <v>337</v>
      </c>
      <c r="D69" s="25" t="s">
        <v>246</v>
      </c>
      <c r="E69" s="25" t="s">
        <v>338</v>
      </c>
      <c r="F69" s="51" t="str">
        <f>VLOOKUP(Клиенты[[#This Row],[GardenaChannel]],GardenChannel[[GardenChannel]:[Sales manager]],2,0)</f>
        <v>НЕБОВ АЛЕКСАНДР</v>
      </c>
      <c r="G69" s="25" t="s">
        <v>339</v>
      </c>
      <c r="H69" s="25">
        <v>5408</v>
      </c>
    </row>
    <row r="70" spans="1:8" x14ac:dyDescent="0.25">
      <c r="A70" s="30" t="s">
        <v>808</v>
      </c>
      <c r="B70" s="25" t="s">
        <v>340</v>
      </c>
      <c r="C70" s="50" t="s">
        <v>341</v>
      </c>
      <c r="D70" s="25" t="s">
        <v>257</v>
      </c>
      <c r="E70" s="25" t="s">
        <v>258</v>
      </c>
      <c r="F70" s="51" t="str">
        <f>VLOOKUP(Клиенты[[#This Row],[GardenaChannel]],GardenChannel[[GardenChannel]:[Sales manager]],2,0)</f>
        <v>ШКИДИН РОМАН</v>
      </c>
      <c r="H70" s="25" t="s">
        <v>340</v>
      </c>
    </row>
    <row r="71" spans="1:8" x14ac:dyDescent="0.25">
      <c r="A71" s="30" t="s">
        <v>809</v>
      </c>
      <c r="B71" s="25" t="s">
        <v>340</v>
      </c>
      <c r="C71" s="50" t="s">
        <v>343</v>
      </c>
      <c r="D71" s="25" t="s">
        <v>257</v>
      </c>
      <c r="E71" s="25" t="s">
        <v>258</v>
      </c>
      <c r="F71" s="51" t="str">
        <f>VLOOKUP(Клиенты[[#This Row],[GardenaChannel]],GardenChannel[[GardenChannel]:[Sales manager]],2,0)</f>
        <v>ШКИДИН РОМАН</v>
      </c>
      <c r="H71" s="25" t="s">
        <v>340</v>
      </c>
    </row>
    <row r="72" spans="1:8" x14ac:dyDescent="0.25">
      <c r="A72" s="30" t="s">
        <v>810</v>
      </c>
      <c r="B72" s="25" t="s">
        <v>340</v>
      </c>
      <c r="C72" s="50" t="s">
        <v>344</v>
      </c>
      <c r="D72" s="25" t="s">
        <v>257</v>
      </c>
      <c r="E72" s="25" t="s">
        <v>258</v>
      </c>
      <c r="F72" s="51" t="str">
        <f>VLOOKUP(Клиенты[[#This Row],[GardenaChannel]],GardenChannel[[GardenChannel]:[Sales manager]],2,0)</f>
        <v>ШКИДИН РОМАН</v>
      </c>
      <c r="H72" s="25" t="s">
        <v>340</v>
      </c>
    </row>
    <row r="73" spans="1:8" x14ac:dyDescent="0.25">
      <c r="A73" s="30" t="s">
        <v>811</v>
      </c>
      <c r="B73" s="25" t="s">
        <v>340</v>
      </c>
      <c r="C73" s="50" t="s">
        <v>345</v>
      </c>
      <c r="D73" s="25" t="s">
        <v>257</v>
      </c>
      <c r="E73" s="25" t="s">
        <v>295</v>
      </c>
      <c r="F73" s="51" t="str">
        <f>VLOOKUP(Клиенты[[#This Row],[GardenaChannel]],GardenChannel[[GardenChannel]:[Sales manager]],2,0)</f>
        <v>ШКИДИН РОМАН</v>
      </c>
      <c r="H73" s="25" t="s">
        <v>340</v>
      </c>
    </row>
    <row r="74" spans="1:8" x14ac:dyDescent="0.25">
      <c r="A74" s="30" t="s">
        <v>812</v>
      </c>
      <c r="B74" s="25" t="s">
        <v>340</v>
      </c>
      <c r="C74" s="50" t="s">
        <v>346</v>
      </c>
      <c r="D74" s="25" t="s">
        <v>257</v>
      </c>
      <c r="E74" s="25" t="s">
        <v>258</v>
      </c>
      <c r="F74" s="51" t="str">
        <f>VLOOKUP(Клиенты[[#This Row],[GardenaChannel]],GardenChannel[[GardenChannel]:[Sales manager]],2,0)</f>
        <v>ШКИДИН РОМАН</v>
      </c>
      <c r="H74" s="25" t="s">
        <v>340</v>
      </c>
    </row>
    <row r="75" spans="1:8" x14ac:dyDescent="0.25">
      <c r="A75" s="30" t="s">
        <v>813</v>
      </c>
      <c r="B75" s="25" t="s">
        <v>340</v>
      </c>
      <c r="C75" s="50" t="s">
        <v>347</v>
      </c>
      <c r="D75" s="25" t="s">
        <v>257</v>
      </c>
      <c r="E75" s="25" t="s">
        <v>258</v>
      </c>
      <c r="F75" s="51" t="str">
        <f>VLOOKUP(Клиенты[[#This Row],[GardenaChannel]],GardenChannel[[GardenChannel]:[Sales manager]],2,0)</f>
        <v>ШКИДИН РОМАН</v>
      </c>
      <c r="H75" s="25" t="s">
        <v>340</v>
      </c>
    </row>
    <row r="76" spans="1:8" x14ac:dyDescent="0.25">
      <c r="A76" s="30" t="s">
        <v>814</v>
      </c>
      <c r="B76" s="25" t="s">
        <v>340</v>
      </c>
      <c r="C76" s="50" t="s">
        <v>348</v>
      </c>
      <c r="D76" s="25" t="s">
        <v>257</v>
      </c>
      <c r="E76" s="25" t="s">
        <v>295</v>
      </c>
      <c r="F76" s="51" t="str">
        <f>VLOOKUP(Клиенты[[#This Row],[GardenaChannel]],GardenChannel[[GardenChannel]:[Sales manager]],2,0)</f>
        <v>ШКИДИН РОМАН</v>
      </c>
      <c r="H76" s="25" t="s">
        <v>340</v>
      </c>
    </row>
    <row r="77" spans="1:8" x14ac:dyDescent="0.25">
      <c r="A77" s="30" t="s">
        <v>815</v>
      </c>
      <c r="B77" s="25" t="s">
        <v>340</v>
      </c>
      <c r="C77" s="50" t="s">
        <v>349</v>
      </c>
      <c r="D77" s="25" t="s">
        <v>257</v>
      </c>
      <c r="E77" s="25" t="s">
        <v>258</v>
      </c>
      <c r="F77" s="51" t="str">
        <f>VLOOKUP(Клиенты[[#This Row],[GardenaChannel]],GardenChannel[[GardenChannel]:[Sales manager]],2,0)</f>
        <v>ШКИДИН РОМАН</v>
      </c>
      <c r="H77" s="25" t="s">
        <v>340</v>
      </c>
    </row>
    <row r="78" spans="1:8" x14ac:dyDescent="0.25">
      <c r="A78" s="30" t="s">
        <v>816</v>
      </c>
      <c r="B78" s="25" t="s">
        <v>340</v>
      </c>
      <c r="C78" s="50" t="s">
        <v>350</v>
      </c>
      <c r="D78" s="25" t="s">
        <v>257</v>
      </c>
      <c r="E78" s="25" t="s">
        <v>258</v>
      </c>
      <c r="F78" s="51" t="str">
        <f>VLOOKUP(Клиенты[[#This Row],[GardenaChannel]],GardenChannel[[GardenChannel]:[Sales manager]],2,0)</f>
        <v>ШКИДИН РОМАН</v>
      </c>
      <c r="H78" s="25" t="s">
        <v>340</v>
      </c>
    </row>
    <row r="79" spans="1:8" x14ac:dyDescent="0.25">
      <c r="A79" s="30" t="s">
        <v>817</v>
      </c>
      <c r="B79" s="25" t="s">
        <v>340</v>
      </c>
      <c r="C79" s="50" t="s">
        <v>351</v>
      </c>
      <c r="D79" s="25" t="s">
        <v>257</v>
      </c>
      <c r="E79" s="25" t="s">
        <v>258</v>
      </c>
      <c r="F79" s="51" t="str">
        <f>VLOOKUP(Клиенты[[#This Row],[GardenaChannel]],GardenChannel[[GardenChannel]:[Sales manager]],2,0)</f>
        <v>ШКИДИН РОМАН</v>
      </c>
      <c r="H79" s="25" t="s">
        <v>340</v>
      </c>
    </row>
    <row r="80" spans="1:8" x14ac:dyDescent="0.25">
      <c r="A80" s="30" t="s">
        <v>818</v>
      </c>
      <c r="B80" s="25" t="s">
        <v>340</v>
      </c>
      <c r="C80" s="50" t="s">
        <v>352</v>
      </c>
      <c r="D80" s="25" t="s">
        <v>257</v>
      </c>
      <c r="E80" s="25" t="s">
        <v>271</v>
      </c>
      <c r="F80" s="51" t="str">
        <f>VLOOKUP(Клиенты[[#This Row],[GardenaChannel]],GardenChannel[[GardenChannel]:[Sales manager]],2,0)</f>
        <v>ШКИДИН РОМАН</v>
      </c>
      <c r="H80" s="25" t="s">
        <v>340</v>
      </c>
    </row>
    <row r="81" spans="1:8" x14ac:dyDescent="0.25">
      <c r="A81" s="30" t="s">
        <v>819</v>
      </c>
      <c r="B81" s="25" t="s">
        <v>340</v>
      </c>
      <c r="C81" s="50" t="s">
        <v>353</v>
      </c>
      <c r="D81" s="25" t="s">
        <v>257</v>
      </c>
      <c r="E81" s="25" t="s">
        <v>258</v>
      </c>
      <c r="F81" s="51" t="str">
        <f>VLOOKUP(Клиенты[[#This Row],[GardenaChannel]],GardenChannel[[GardenChannel]:[Sales manager]],2,0)</f>
        <v>ШКИДИН РОМАН</v>
      </c>
      <c r="H81" s="25" t="s">
        <v>340</v>
      </c>
    </row>
    <row r="82" spans="1:8" x14ac:dyDescent="0.25">
      <c r="A82" s="30" t="s">
        <v>820</v>
      </c>
      <c r="B82" s="25" t="s">
        <v>340</v>
      </c>
      <c r="C82" s="50" t="s">
        <v>354</v>
      </c>
      <c r="D82" s="25" t="s">
        <v>257</v>
      </c>
      <c r="E82" s="25" t="s">
        <v>258</v>
      </c>
      <c r="F82" s="51" t="str">
        <f>VLOOKUP(Клиенты[[#This Row],[GardenaChannel]],GardenChannel[[GardenChannel]:[Sales manager]],2,0)</f>
        <v>ШКИДИН РОМАН</v>
      </c>
      <c r="H82" s="25" t="s">
        <v>340</v>
      </c>
    </row>
    <row r="83" spans="1:8" x14ac:dyDescent="0.25">
      <c r="A83" s="30" t="s">
        <v>821</v>
      </c>
      <c r="B83" s="25" t="s">
        <v>340</v>
      </c>
      <c r="C83" s="50" t="s">
        <v>355</v>
      </c>
      <c r="D83" s="25" t="s">
        <v>257</v>
      </c>
      <c r="E83" s="25" t="s">
        <v>258</v>
      </c>
      <c r="F83" s="51" t="str">
        <f>VLOOKUP(Клиенты[[#This Row],[GardenaChannel]],GardenChannel[[GardenChannel]:[Sales manager]],2,0)</f>
        <v>ШКИДИН РОМАН</v>
      </c>
      <c r="H83" s="25" t="s">
        <v>340</v>
      </c>
    </row>
    <row r="84" spans="1:8" x14ac:dyDescent="0.25">
      <c r="A84" s="30" t="s">
        <v>822</v>
      </c>
      <c r="B84" s="25" t="s">
        <v>340</v>
      </c>
      <c r="C84" s="50" t="s">
        <v>356</v>
      </c>
      <c r="D84" s="25" t="s">
        <v>257</v>
      </c>
      <c r="E84" s="25" t="s">
        <v>258</v>
      </c>
      <c r="F84" s="51" t="str">
        <f>VLOOKUP(Клиенты[[#This Row],[GardenaChannel]],GardenChannel[[GardenChannel]:[Sales manager]],2,0)</f>
        <v>ШКИДИН РОМАН</v>
      </c>
      <c r="H84" s="25" t="s">
        <v>340</v>
      </c>
    </row>
    <row r="85" spans="1:8" x14ac:dyDescent="0.25">
      <c r="A85" s="30" t="s">
        <v>823</v>
      </c>
      <c r="B85" s="25" t="s">
        <v>340</v>
      </c>
      <c r="C85" s="50" t="s">
        <v>357</v>
      </c>
      <c r="D85" s="25" t="s">
        <v>257</v>
      </c>
      <c r="E85" s="25" t="s">
        <v>258</v>
      </c>
      <c r="F85" s="51" t="str">
        <f>VLOOKUP(Клиенты[[#This Row],[GardenaChannel]],GardenChannel[[GardenChannel]:[Sales manager]],2,0)</f>
        <v>ШКИДИН РОМАН</v>
      </c>
      <c r="H85" s="25" t="s">
        <v>340</v>
      </c>
    </row>
    <row r="86" spans="1:8" x14ac:dyDescent="0.25">
      <c r="A86" s="30" t="s">
        <v>824</v>
      </c>
      <c r="B86" s="25" t="s">
        <v>340</v>
      </c>
      <c r="C86" s="50" t="s">
        <v>358</v>
      </c>
      <c r="D86" s="25" t="s">
        <v>257</v>
      </c>
      <c r="E86" s="25" t="s">
        <v>258</v>
      </c>
      <c r="F86" s="51" t="str">
        <f>VLOOKUP(Клиенты[[#This Row],[GardenaChannel]],GardenChannel[[GardenChannel]:[Sales manager]],2,0)</f>
        <v>ШКИДИН РОМАН</v>
      </c>
      <c r="H86" s="25" t="s">
        <v>340</v>
      </c>
    </row>
    <row r="87" spans="1:8" x14ac:dyDescent="0.25">
      <c r="A87" s="30" t="s">
        <v>825</v>
      </c>
      <c r="B87" s="25" t="s">
        <v>340</v>
      </c>
      <c r="C87" s="50" t="s">
        <v>359</v>
      </c>
      <c r="D87" s="25" t="s">
        <v>257</v>
      </c>
      <c r="E87" s="25" t="s">
        <v>258</v>
      </c>
      <c r="F87" s="51" t="str">
        <f>VLOOKUP(Клиенты[[#This Row],[GardenaChannel]],GardenChannel[[GardenChannel]:[Sales manager]],2,0)</f>
        <v>ШКИДИН РОМАН</v>
      </c>
      <c r="H87" s="25" t="s">
        <v>340</v>
      </c>
    </row>
    <row r="88" spans="1:8" x14ac:dyDescent="0.25">
      <c r="A88" s="30" t="s">
        <v>826</v>
      </c>
      <c r="B88" s="25" t="s">
        <v>340</v>
      </c>
      <c r="C88" s="50" t="s">
        <v>360</v>
      </c>
      <c r="D88" s="25" t="s">
        <v>257</v>
      </c>
      <c r="E88" s="25" t="s">
        <v>258</v>
      </c>
      <c r="F88" s="51" t="str">
        <f>VLOOKUP(Клиенты[[#This Row],[GardenaChannel]],GardenChannel[[GardenChannel]:[Sales manager]],2,0)</f>
        <v>ШКИДИН РОМАН</v>
      </c>
      <c r="H88" s="25" t="s">
        <v>340</v>
      </c>
    </row>
    <row r="89" spans="1:8" x14ac:dyDescent="0.25">
      <c r="A89" s="30" t="s">
        <v>827</v>
      </c>
      <c r="B89" s="25" t="s">
        <v>340</v>
      </c>
      <c r="C89" s="50" t="s">
        <v>361</v>
      </c>
      <c r="D89" s="25" t="s">
        <v>257</v>
      </c>
      <c r="E89" s="25" t="s">
        <v>258</v>
      </c>
      <c r="F89" s="51" t="str">
        <f>VLOOKUP(Клиенты[[#This Row],[GardenaChannel]],GardenChannel[[GardenChannel]:[Sales manager]],2,0)</f>
        <v>ШКИДИН РОМАН</v>
      </c>
      <c r="H89" s="25" t="s">
        <v>340</v>
      </c>
    </row>
    <row r="90" spans="1:8" x14ac:dyDescent="0.25">
      <c r="A90" s="30" t="s">
        <v>828</v>
      </c>
      <c r="B90" s="25" t="s">
        <v>340</v>
      </c>
      <c r="C90" s="50" t="s">
        <v>362</v>
      </c>
      <c r="D90" s="25" t="s">
        <v>257</v>
      </c>
      <c r="E90" s="25" t="s">
        <v>258</v>
      </c>
      <c r="F90" s="51" t="str">
        <f>VLOOKUP(Клиенты[[#This Row],[GardenaChannel]],GardenChannel[[GardenChannel]:[Sales manager]],2,0)</f>
        <v>ШКИДИН РОМАН</v>
      </c>
      <c r="H90" s="25" t="s">
        <v>340</v>
      </c>
    </row>
    <row r="91" spans="1:8" x14ac:dyDescent="0.25">
      <c r="A91" s="30" t="s">
        <v>829</v>
      </c>
      <c r="B91" s="25" t="s">
        <v>340</v>
      </c>
      <c r="C91" s="50" t="s">
        <v>363</v>
      </c>
      <c r="D91" s="25" t="s">
        <v>257</v>
      </c>
      <c r="E91" s="25" t="s">
        <v>258</v>
      </c>
      <c r="F91" s="51" t="str">
        <f>VLOOKUP(Клиенты[[#This Row],[GardenaChannel]],GardenChannel[[GardenChannel]:[Sales manager]],2,0)</f>
        <v>ШКИДИН РОМАН</v>
      </c>
      <c r="H91" s="25" t="s">
        <v>340</v>
      </c>
    </row>
    <row r="92" spans="1:8" x14ac:dyDescent="0.25">
      <c r="A92" s="30" t="s">
        <v>830</v>
      </c>
      <c r="B92" s="25" t="s">
        <v>340</v>
      </c>
      <c r="C92" s="50" t="s">
        <v>364</v>
      </c>
      <c r="D92" s="25" t="s">
        <v>257</v>
      </c>
      <c r="E92" s="25" t="s">
        <v>271</v>
      </c>
      <c r="F92" s="51" t="str">
        <f>VLOOKUP(Клиенты[[#This Row],[GardenaChannel]],GardenChannel[[GardenChannel]:[Sales manager]],2,0)</f>
        <v>ШКИДИН РОМАН</v>
      </c>
      <c r="H92" s="25" t="s">
        <v>340</v>
      </c>
    </row>
    <row r="93" spans="1:8" x14ac:dyDescent="0.25">
      <c r="A93" s="30" t="s">
        <v>831</v>
      </c>
      <c r="B93" s="25" t="s">
        <v>340</v>
      </c>
      <c r="C93" s="50" t="s">
        <v>365</v>
      </c>
      <c r="D93" s="25" t="s">
        <v>257</v>
      </c>
      <c r="E93" s="25" t="s">
        <v>258</v>
      </c>
      <c r="F93" s="51" t="str">
        <f>VLOOKUP(Клиенты[[#This Row],[GardenaChannel]],GardenChannel[[GardenChannel]:[Sales manager]],2,0)</f>
        <v>ШКИДИН РОМАН</v>
      </c>
      <c r="H93" s="25" t="s">
        <v>340</v>
      </c>
    </row>
    <row r="94" spans="1:8" x14ac:dyDescent="0.25">
      <c r="A94" s="30" t="s">
        <v>832</v>
      </c>
      <c r="B94" s="25" t="s">
        <v>340</v>
      </c>
      <c r="C94" s="50" t="s">
        <v>366</v>
      </c>
      <c r="D94" s="25" t="s">
        <v>257</v>
      </c>
      <c r="E94" s="25" t="s">
        <v>258</v>
      </c>
      <c r="F94" s="51" t="str">
        <f>VLOOKUP(Клиенты[[#This Row],[GardenaChannel]],GardenChannel[[GardenChannel]:[Sales manager]],2,0)</f>
        <v>ШКИДИН РОМАН</v>
      </c>
      <c r="H94" s="25" t="s">
        <v>340</v>
      </c>
    </row>
    <row r="95" spans="1:8" x14ac:dyDescent="0.25">
      <c r="A95" s="30" t="s">
        <v>833</v>
      </c>
      <c r="B95" s="25" t="s">
        <v>340</v>
      </c>
      <c r="C95" s="50" t="s">
        <v>367</v>
      </c>
      <c r="D95" s="25" t="s">
        <v>257</v>
      </c>
      <c r="E95" s="25" t="s">
        <v>258</v>
      </c>
      <c r="F95" s="51" t="str">
        <f>VLOOKUP(Клиенты[[#This Row],[GardenaChannel]],GardenChannel[[GardenChannel]:[Sales manager]],2,0)</f>
        <v>ШКИДИН РОМАН</v>
      </c>
      <c r="H95" s="25" t="s">
        <v>340</v>
      </c>
    </row>
    <row r="96" spans="1:8" x14ac:dyDescent="0.25">
      <c r="A96" s="30" t="s">
        <v>834</v>
      </c>
      <c r="B96" s="25" t="s">
        <v>340</v>
      </c>
      <c r="C96" s="50" t="s">
        <v>368</v>
      </c>
      <c r="D96" s="25" t="s">
        <v>257</v>
      </c>
      <c r="E96" s="25" t="s">
        <v>258</v>
      </c>
      <c r="F96" s="51" t="str">
        <f>VLOOKUP(Клиенты[[#This Row],[GardenaChannel]],GardenChannel[[GardenChannel]:[Sales manager]],2,0)</f>
        <v>ШКИДИН РОМАН</v>
      </c>
      <c r="H96" s="25" t="s">
        <v>340</v>
      </c>
    </row>
    <row r="97" spans="1:8" x14ac:dyDescent="0.25">
      <c r="A97" s="30" t="s">
        <v>835</v>
      </c>
      <c r="B97" s="25" t="s">
        <v>340</v>
      </c>
      <c r="C97" s="50" t="s">
        <v>369</v>
      </c>
      <c r="D97" s="25" t="s">
        <v>257</v>
      </c>
      <c r="E97" s="25" t="s">
        <v>258</v>
      </c>
      <c r="F97" s="51" t="str">
        <f>VLOOKUP(Клиенты[[#This Row],[GardenaChannel]],GardenChannel[[GardenChannel]:[Sales manager]],2,0)</f>
        <v>ШКИДИН РОМАН</v>
      </c>
      <c r="H97" s="25" t="s">
        <v>340</v>
      </c>
    </row>
    <row r="98" spans="1:8" x14ac:dyDescent="0.25">
      <c r="A98" s="30" t="s">
        <v>836</v>
      </c>
      <c r="B98" s="25" t="s">
        <v>340</v>
      </c>
      <c r="C98" s="50" t="s">
        <v>370</v>
      </c>
      <c r="D98" s="25" t="s">
        <v>257</v>
      </c>
      <c r="E98" s="25" t="s">
        <v>271</v>
      </c>
      <c r="F98" s="51" t="str">
        <f>VLOOKUP(Клиенты[[#This Row],[GardenaChannel]],GardenChannel[[GardenChannel]:[Sales manager]],2,0)</f>
        <v>ШКИДИН РОМАН</v>
      </c>
      <c r="H98" s="25" t="s">
        <v>340</v>
      </c>
    </row>
    <row r="99" spans="1:8" x14ac:dyDescent="0.25">
      <c r="A99" s="30" t="s">
        <v>837</v>
      </c>
      <c r="B99" s="25" t="s">
        <v>340</v>
      </c>
      <c r="C99" s="50" t="s">
        <v>371</v>
      </c>
      <c r="D99" s="25" t="s">
        <v>257</v>
      </c>
      <c r="E99" s="25" t="s">
        <v>258</v>
      </c>
      <c r="F99" s="51" t="str">
        <f>VLOOKUP(Клиенты[[#This Row],[GardenaChannel]],GardenChannel[[GardenChannel]:[Sales manager]],2,0)</f>
        <v>ШКИДИН РОМАН</v>
      </c>
      <c r="H99" s="25" t="s">
        <v>340</v>
      </c>
    </row>
    <row r="100" spans="1:8" x14ac:dyDescent="0.25">
      <c r="A100" s="30" t="s">
        <v>838</v>
      </c>
      <c r="B100" s="25" t="s">
        <v>340</v>
      </c>
      <c r="C100" s="50" t="s">
        <v>372</v>
      </c>
      <c r="D100" s="25" t="s">
        <v>257</v>
      </c>
      <c r="E100" s="25" t="s">
        <v>258</v>
      </c>
      <c r="F100" s="51" t="str">
        <f>VLOOKUP(Клиенты[[#This Row],[GardenaChannel]],GardenChannel[[GardenChannel]:[Sales manager]],2,0)</f>
        <v>ШКИДИН РОМАН</v>
      </c>
      <c r="H100" s="25" t="s">
        <v>340</v>
      </c>
    </row>
    <row r="101" spans="1:8" x14ac:dyDescent="0.25">
      <c r="A101" s="30" t="s">
        <v>839</v>
      </c>
      <c r="B101" s="25" t="s">
        <v>340</v>
      </c>
      <c r="C101" s="50" t="s">
        <v>373</v>
      </c>
      <c r="D101" s="25" t="s">
        <v>257</v>
      </c>
      <c r="E101" s="25" t="s">
        <v>271</v>
      </c>
      <c r="F101" s="51" t="str">
        <f>VLOOKUP(Клиенты[[#This Row],[GardenaChannel]],GardenChannel[[GardenChannel]:[Sales manager]],2,0)</f>
        <v>ШКИДИН РОМАН</v>
      </c>
      <c r="H101" s="25" t="s">
        <v>340</v>
      </c>
    </row>
    <row r="102" spans="1:8" x14ac:dyDescent="0.25">
      <c r="A102" s="30" t="s">
        <v>840</v>
      </c>
      <c r="B102" s="25" t="s">
        <v>340</v>
      </c>
      <c r="C102" s="50" t="s">
        <v>374</v>
      </c>
      <c r="D102" s="25" t="s">
        <v>257</v>
      </c>
      <c r="E102" s="25" t="s">
        <v>271</v>
      </c>
      <c r="F102" s="51" t="str">
        <f>VLOOKUP(Клиенты[[#This Row],[GardenaChannel]],GardenChannel[[GardenChannel]:[Sales manager]],2,0)</f>
        <v>ШКИДИН РОМАН</v>
      </c>
      <c r="H102" s="25" t="s">
        <v>340</v>
      </c>
    </row>
    <row r="103" spans="1:8" x14ac:dyDescent="0.25">
      <c r="A103" s="30" t="s">
        <v>841</v>
      </c>
      <c r="B103" s="25" t="s">
        <v>340</v>
      </c>
      <c r="C103" s="50" t="s">
        <v>375</v>
      </c>
      <c r="D103" s="25" t="s">
        <v>257</v>
      </c>
      <c r="E103" s="25" t="s">
        <v>271</v>
      </c>
      <c r="F103" s="51" t="str">
        <f>VLOOKUP(Клиенты[[#This Row],[GardenaChannel]],GardenChannel[[GardenChannel]:[Sales manager]],2,0)</f>
        <v>ШКИДИН РОМАН</v>
      </c>
      <c r="H103" s="25" t="s">
        <v>340</v>
      </c>
    </row>
    <row r="104" spans="1:8" x14ac:dyDescent="0.25">
      <c r="A104" s="30" t="s">
        <v>842</v>
      </c>
      <c r="B104" s="25" t="s">
        <v>340</v>
      </c>
      <c r="C104" s="50" t="s">
        <v>376</v>
      </c>
      <c r="D104" s="25" t="s">
        <v>257</v>
      </c>
      <c r="E104" s="25" t="s">
        <v>258</v>
      </c>
      <c r="F104" s="51" t="str">
        <f>VLOOKUP(Клиенты[[#This Row],[GardenaChannel]],GardenChannel[[GardenChannel]:[Sales manager]],2,0)</f>
        <v>ШКИДИН РОМАН</v>
      </c>
      <c r="H104" s="25" t="s">
        <v>340</v>
      </c>
    </row>
    <row r="105" spans="1:8" x14ac:dyDescent="0.25">
      <c r="A105" s="30" t="s">
        <v>843</v>
      </c>
      <c r="B105" s="25" t="s">
        <v>340</v>
      </c>
      <c r="C105" s="50" t="s">
        <v>377</v>
      </c>
      <c r="D105" s="25" t="s">
        <v>257</v>
      </c>
      <c r="E105" s="25" t="s">
        <v>258</v>
      </c>
      <c r="F105" s="51" t="str">
        <f>VLOOKUP(Клиенты[[#This Row],[GardenaChannel]],GardenChannel[[GardenChannel]:[Sales manager]],2,0)</f>
        <v>ШКИДИН РОМАН</v>
      </c>
      <c r="H105" s="25" t="s">
        <v>340</v>
      </c>
    </row>
    <row r="106" spans="1:8" x14ac:dyDescent="0.25">
      <c r="A106" s="30" t="s">
        <v>844</v>
      </c>
      <c r="B106" s="25" t="s">
        <v>340</v>
      </c>
      <c r="C106" s="50" t="s">
        <v>378</v>
      </c>
      <c r="D106" s="25" t="s">
        <v>257</v>
      </c>
      <c r="E106" s="25" t="s">
        <v>258</v>
      </c>
      <c r="F106" s="51" t="str">
        <f>VLOOKUP(Клиенты[[#This Row],[GardenaChannel]],GardenChannel[[GardenChannel]:[Sales manager]],2,0)</f>
        <v>ШКИДИН РОМАН</v>
      </c>
      <c r="H106" s="25" t="s">
        <v>340</v>
      </c>
    </row>
    <row r="107" spans="1:8" x14ac:dyDescent="0.25">
      <c r="A107" s="30" t="s">
        <v>845</v>
      </c>
      <c r="B107" s="25" t="s">
        <v>340</v>
      </c>
      <c r="C107" s="50" t="s">
        <v>379</v>
      </c>
      <c r="D107" s="25" t="s">
        <v>257</v>
      </c>
      <c r="E107" s="25" t="s">
        <v>258</v>
      </c>
      <c r="F107" s="51" t="str">
        <f>VLOOKUP(Клиенты[[#This Row],[GardenaChannel]],GardenChannel[[GardenChannel]:[Sales manager]],2,0)</f>
        <v>ШКИДИН РОМАН</v>
      </c>
      <c r="H107" s="25" t="s">
        <v>340</v>
      </c>
    </row>
    <row r="108" spans="1:8" x14ac:dyDescent="0.25">
      <c r="A108" s="30" t="s">
        <v>846</v>
      </c>
      <c r="B108" s="25" t="s">
        <v>340</v>
      </c>
      <c r="C108" s="50" t="s">
        <v>380</v>
      </c>
      <c r="D108" s="25" t="s">
        <v>257</v>
      </c>
      <c r="E108" s="25" t="s">
        <v>258</v>
      </c>
      <c r="F108" s="51" t="str">
        <f>VLOOKUP(Клиенты[[#This Row],[GardenaChannel]],GardenChannel[[GardenChannel]:[Sales manager]],2,0)</f>
        <v>ШКИДИН РОМАН</v>
      </c>
      <c r="H108" s="25" t="s">
        <v>340</v>
      </c>
    </row>
    <row r="109" spans="1:8" x14ac:dyDescent="0.25">
      <c r="A109" s="30" t="s">
        <v>847</v>
      </c>
      <c r="B109" s="25" t="s">
        <v>340</v>
      </c>
      <c r="C109" s="50" t="s">
        <v>381</v>
      </c>
      <c r="D109" s="25" t="s">
        <v>257</v>
      </c>
      <c r="E109" s="25" t="s">
        <v>258</v>
      </c>
      <c r="F109" s="51" t="str">
        <f>VLOOKUP(Клиенты[[#This Row],[GardenaChannel]],GardenChannel[[GardenChannel]:[Sales manager]],2,0)</f>
        <v>ШКИДИН РОМАН</v>
      </c>
      <c r="H109" s="25" t="s">
        <v>340</v>
      </c>
    </row>
    <row r="110" spans="1:8" x14ac:dyDescent="0.25">
      <c r="A110" s="30" t="s">
        <v>848</v>
      </c>
      <c r="B110" s="25" t="s">
        <v>340</v>
      </c>
      <c r="C110" s="50" t="s">
        <v>382</v>
      </c>
      <c r="D110" s="25" t="s">
        <v>257</v>
      </c>
      <c r="E110" s="25" t="s">
        <v>258</v>
      </c>
      <c r="F110" s="51" t="str">
        <f>VLOOKUP(Клиенты[[#This Row],[GardenaChannel]],GardenChannel[[GardenChannel]:[Sales manager]],2,0)</f>
        <v>ШКИДИН РОМАН</v>
      </c>
      <c r="H110" s="25" t="s">
        <v>340</v>
      </c>
    </row>
    <row r="111" spans="1:8" x14ac:dyDescent="0.25">
      <c r="A111" s="30" t="s">
        <v>849</v>
      </c>
      <c r="B111" s="25" t="s">
        <v>340</v>
      </c>
      <c r="C111" s="50" t="s">
        <v>383</v>
      </c>
      <c r="D111" s="25" t="s">
        <v>257</v>
      </c>
      <c r="E111" s="25" t="s">
        <v>258</v>
      </c>
      <c r="F111" s="51" t="str">
        <f>VLOOKUP(Клиенты[[#This Row],[GardenaChannel]],GardenChannel[[GardenChannel]:[Sales manager]],2,0)</f>
        <v>ШКИДИН РОМАН</v>
      </c>
      <c r="H111" s="25" t="s">
        <v>340</v>
      </c>
    </row>
    <row r="112" spans="1:8" x14ac:dyDescent="0.25">
      <c r="A112" s="30" t="s">
        <v>850</v>
      </c>
      <c r="B112" s="25" t="s">
        <v>340</v>
      </c>
      <c r="C112" s="50" t="s">
        <v>384</v>
      </c>
      <c r="D112" s="25" t="s">
        <v>257</v>
      </c>
      <c r="E112" s="25" t="s">
        <v>258</v>
      </c>
      <c r="F112" s="51" t="str">
        <f>VLOOKUP(Клиенты[[#This Row],[GardenaChannel]],GardenChannel[[GardenChannel]:[Sales manager]],2,0)</f>
        <v>ШКИДИН РОМАН</v>
      </c>
      <c r="H112" s="25" t="s">
        <v>340</v>
      </c>
    </row>
    <row r="113" spans="1:8" x14ac:dyDescent="0.25">
      <c r="A113" s="30" t="s">
        <v>851</v>
      </c>
      <c r="B113" s="25" t="s">
        <v>340</v>
      </c>
      <c r="C113" s="50" t="s">
        <v>385</v>
      </c>
      <c r="D113" s="25" t="s">
        <v>257</v>
      </c>
      <c r="E113" s="25" t="s">
        <v>258</v>
      </c>
      <c r="F113" s="51" t="str">
        <f>VLOOKUP(Клиенты[[#This Row],[GardenaChannel]],GardenChannel[[GardenChannel]:[Sales manager]],2,0)</f>
        <v>ШКИДИН РОМАН</v>
      </c>
      <c r="H113" s="25" t="s">
        <v>340</v>
      </c>
    </row>
    <row r="114" spans="1:8" x14ac:dyDescent="0.25">
      <c r="A114" s="30" t="s">
        <v>852</v>
      </c>
      <c r="B114" s="25" t="s">
        <v>340</v>
      </c>
      <c r="C114" s="50" t="s">
        <v>386</v>
      </c>
      <c r="D114" s="25" t="s">
        <v>257</v>
      </c>
      <c r="E114" s="25" t="s">
        <v>258</v>
      </c>
      <c r="F114" s="51" t="str">
        <f>VLOOKUP(Клиенты[[#This Row],[GardenaChannel]],GardenChannel[[GardenChannel]:[Sales manager]],2,0)</f>
        <v>ШКИДИН РОМАН</v>
      </c>
      <c r="H114" s="25" t="s">
        <v>340</v>
      </c>
    </row>
    <row r="115" spans="1:8" x14ac:dyDescent="0.25">
      <c r="A115" s="30" t="s">
        <v>853</v>
      </c>
      <c r="B115" s="25" t="s">
        <v>340</v>
      </c>
      <c r="C115" s="50" t="s">
        <v>387</v>
      </c>
      <c r="D115" s="25" t="s">
        <v>257</v>
      </c>
      <c r="E115" s="25" t="s">
        <v>258</v>
      </c>
      <c r="F115" s="51" t="str">
        <f>VLOOKUP(Клиенты[[#This Row],[GardenaChannel]],GardenChannel[[GardenChannel]:[Sales manager]],2,0)</f>
        <v>ШКИДИН РОМАН</v>
      </c>
      <c r="H115" s="25" t="s">
        <v>340</v>
      </c>
    </row>
    <row r="116" spans="1:8" x14ac:dyDescent="0.25">
      <c r="A116" s="30" t="s">
        <v>854</v>
      </c>
      <c r="B116" s="25" t="s">
        <v>340</v>
      </c>
      <c r="C116" s="50" t="s">
        <v>388</v>
      </c>
      <c r="D116" s="25" t="s">
        <v>257</v>
      </c>
      <c r="E116" s="25" t="s">
        <v>258</v>
      </c>
      <c r="F116" s="51" t="str">
        <f>VLOOKUP(Клиенты[[#This Row],[GardenaChannel]],GardenChannel[[GardenChannel]:[Sales manager]],2,0)</f>
        <v>ШКИДИН РОМАН</v>
      </c>
      <c r="H116" s="25" t="s">
        <v>340</v>
      </c>
    </row>
    <row r="117" spans="1:8" x14ac:dyDescent="0.25">
      <c r="A117" s="30" t="s">
        <v>855</v>
      </c>
      <c r="B117" s="25" t="s">
        <v>340</v>
      </c>
      <c r="C117" s="50" t="s">
        <v>389</v>
      </c>
      <c r="D117" s="25" t="s">
        <v>257</v>
      </c>
      <c r="E117" s="25" t="s">
        <v>258</v>
      </c>
      <c r="F117" s="51" t="str">
        <f>VLOOKUP(Клиенты[[#This Row],[GardenaChannel]],GardenChannel[[GardenChannel]:[Sales manager]],2,0)</f>
        <v>ШКИДИН РОМАН</v>
      </c>
      <c r="H117" s="25" t="s">
        <v>340</v>
      </c>
    </row>
    <row r="118" spans="1:8" x14ac:dyDescent="0.25">
      <c r="A118" s="30" t="s">
        <v>856</v>
      </c>
      <c r="B118" s="25" t="s">
        <v>340</v>
      </c>
      <c r="C118" s="50" t="s">
        <v>390</v>
      </c>
      <c r="D118" s="25" t="s">
        <v>257</v>
      </c>
      <c r="E118" s="25" t="s">
        <v>258</v>
      </c>
      <c r="F118" s="51" t="str">
        <f>VLOOKUP(Клиенты[[#This Row],[GardenaChannel]],GardenChannel[[GardenChannel]:[Sales manager]],2,0)</f>
        <v>ШКИДИН РОМАН</v>
      </c>
      <c r="H118" s="25" t="s">
        <v>340</v>
      </c>
    </row>
    <row r="119" spans="1:8" x14ac:dyDescent="0.25">
      <c r="A119" s="30" t="s">
        <v>857</v>
      </c>
      <c r="B119" s="25" t="s">
        <v>340</v>
      </c>
      <c r="C119" s="50" t="s">
        <v>391</v>
      </c>
      <c r="D119" s="25" t="s">
        <v>257</v>
      </c>
      <c r="E119" s="25" t="s">
        <v>258</v>
      </c>
      <c r="F119" s="51" t="str">
        <f>VLOOKUP(Клиенты[[#This Row],[GardenaChannel]],GardenChannel[[GardenChannel]:[Sales manager]],2,0)</f>
        <v>ШКИДИН РОМАН</v>
      </c>
      <c r="H119" s="25" t="s">
        <v>340</v>
      </c>
    </row>
    <row r="120" spans="1:8" x14ac:dyDescent="0.25">
      <c r="A120" s="30" t="s">
        <v>858</v>
      </c>
      <c r="B120" s="25" t="s">
        <v>340</v>
      </c>
      <c r="C120" s="50" t="s">
        <v>392</v>
      </c>
      <c r="D120" s="25" t="s">
        <v>257</v>
      </c>
      <c r="E120" s="25" t="s">
        <v>258</v>
      </c>
      <c r="F120" s="51" t="str">
        <f>VLOOKUP(Клиенты[[#This Row],[GardenaChannel]],GardenChannel[[GardenChannel]:[Sales manager]],2,0)</f>
        <v>ШКИДИН РОМАН</v>
      </c>
      <c r="H120" s="25" t="s">
        <v>340</v>
      </c>
    </row>
    <row r="121" spans="1:8" x14ac:dyDescent="0.25">
      <c r="A121" s="30" t="s">
        <v>859</v>
      </c>
      <c r="B121" s="25" t="s">
        <v>340</v>
      </c>
      <c r="C121" s="50" t="s">
        <v>393</v>
      </c>
      <c r="D121" s="25" t="s">
        <v>257</v>
      </c>
      <c r="E121" s="25" t="s">
        <v>258</v>
      </c>
      <c r="F121" s="51" t="str">
        <f>VLOOKUP(Клиенты[[#This Row],[GardenaChannel]],GardenChannel[[GardenChannel]:[Sales manager]],2,0)</f>
        <v>ШКИДИН РОМАН</v>
      </c>
      <c r="H121" s="25" t="s">
        <v>340</v>
      </c>
    </row>
    <row r="122" spans="1:8" x14ac:dyDescent="0.25">
      <c r="A122" s="30" t="s">
        <v>860</v>
      </c>
      <c r="B122" s="25" t="s">
        <v>340</v>
      </c>
      <c r="C122" s="50" t="s">
        <v>394</v>
      </c>
      <c r="D122" s="25" t="s">
        <v>257</v>
      </c>
      <c r="E122" s="25" t="s">
        <v>258</v>
      </c>
      <c r="F122" s="51" t="str">
        <f>VLOOKUP(Клиенты[[#This Row],[GardenaChannel]],GardenChannel[[GardenChannel]:[Sales manager]],2,0)</f>
        <v>ШКИДИН РОМАН</v>
      </c>
      <c r="H122" s="25" t="s">
        <v>340</v>
      </c>
    </row>
    <row r="123" spans="1:8" x14ac:dyDescent="0.25">
      <c r="A123" s="30" t="s">
        <v>861</v>
      </c>
      <c r="B123" s="25" t="s">
        <v>340</v>
      </c>
      <c r="C123" s="50" t="s">
        <v>395</v>
      </c>
      <c r="D123" s="25" t="s">
        <v>257</v>
      </c>
      <c r="E123" s="25" t="s">
        <v>258</v>
      </c>
      <c r="F123" s="51" t="str">
        <f>VLOOKUP(Клиенты[[#This Row],[GardenaChannel]],GardenChannel[[GardenChannel]:[Sales manager]],2,0)</f>
        <v>ШКИДИН РОМАН</v>
      </c>
      <c r="H123" s="25" t="s">
        <v>340</v>
      </c>
    </row>
    <row r="124" spans="1:8" x14ac:dyDescent="0.25">
      <c r="A124" s="30" t="s">
        <v>862</v>
      </c>
      <c r="B124" s="25" t="s">
        <v>340</v>
      </c>
      <c r="C124" s="50" t="s">
        <v>396</v>
      </c>
      <c r="D124" s="25" t="s">
        <v>257</v>
      </c>
      <c r="E124" s="25" t="s">
        <v>258</v>
      </c>
      <c r="F124" s="51" t="str">
        <f>VLOOKUP(Клиенты[[#This Row],[GardenaChannel]],GardenChannel[[GardenChannel]:[Sales manager]],2,0)</f>
        <v>ШКИДИН РОМАН</v>
      </c>
      <c r="H124" s="25" t="s">
        <v>340</v>
      </c>
    </row>
    <row r="125" spans="1:8" x14ac:dyDescent="0.25">
      <c r="A125" s="30" t="s">
        <v>863</v>
      </c>
      <c r="B125" s="25" t="s">
        <v>340</v>
      </c>
      <c r="C125" s="50" t="s">
        <v>397</v>
      </c>
      <c r="D125" s="25" t="s">
        <v>257</v>
      </c>
      <c r="E125" s="25" t="s">
        <v>258</v>
      </c>
      <c r="F125" s="51" t="str">
        <f>VLOOKUP(Клиенты[[#This Row],[GardenaChannel]],GardenChannel[[GardenChannel]:[Sales manager]],2,0)</f>
        <v>ШКИДИН РОМАН</v>
      </c>
      <c r="H125" s="25" t="s">
        <v>340</v>
      </c>
    </row>
    <row r="126" spans="1:8" x14ac:dyDescent="0.25">
      <c r="A126" s="30" t="s">
        <v>864</v>
      </c>
      <c r="B126" s="25" t="s">
        <v>340</v>
      </c>
      <c r="C126" s="50" t="s">
        <v>398</v>
      </c>
      <c r="D126" s="25" t="s">
        <v>257</v>
      </c>
      <c r="E126" s="25" t="s">
        <v>258</v>
      </c>
      <c r="F126" s="51" t="str">
        <f>VLOOKUP(Клиенты[[#This Row],[GardenaChannel]],GardenChannel[[GardenChannel]:[Sales manager]],2,0)</f>
        <v>ШКИДИН РОМАН</v>
      </c>
      <c r="H126" s="25" t="s">
        <v>340</v>
      </c>
    </row>
    <row r="127" spans="1:8" x14ac:dyDescent="0.25">
      <c r="A127" s="30" t="s">
        <v>865</v>
      </c>
      <c r="B127" s="25" t="s">
        <v>340</v>
      </c>
      <c r="C127" s="50" t="s">
        <v>399</v>
      </c>
      <c r="D127" s="25" t="s">
        <v>257</v>
      </c>
      <c r="E127" s="25" t="s">
        <v>258</v>
      </c>
      <c r="F127" s="51" t="str">
        <f>VLOOKUP(Клиенты[[#This Row],[GardenaChannel]],GardenChannel[[GardenChannel]:[Sales manager]],2,0)</f>
        <v>ШКИДИН РОМАН</v>
      </c>
      <c r="H127" s="25" t="s">
        <v>340</v>
      </c>
    </row>
    <row r="128" spans="1:8" x14ac:dyDescent="0.25">
      <c r="A128" s="30" t="s">
        <v>866</v>
      </c>
      <c r="B128" s="25" t="s">
        <v>340</v>
      </c>
      <c r="C128" s="50" t="s">
        <v>400</v>
      </c>
      <c r="D128" s="25" t="s">
        <v>257</v>
      </c>
      <c r="E128" s="25" t="s">
        <v>258</v>
      </c>
      <c r="F128" s="51" t="str">
        <f>VLOOKUP(Клиенты[[#This Row],[GardenaChannel]],GardenChannel[[GardenChannel]:[Sales manager]],2,0)</f>
        <v>ШКИДИН РОМАН</v>
      </c>
      <c r="H128" s="25" t="s">
        <v>340</v>
      </c>
    </row>
    <row r="129" spans="1:8" x14ac:dyDescent="0.25">
      <c r="A129" s="30" t="s">
        <v>867</v>
      </c>
      <c r="B129" s="25" t="s">
        <v>340</v>
      </c>
      <c r="C129" s="50" t="s">
        <v>401</v>
      </c>
      <c r="D129" s="25" t="s">
        <v>257</v>
      </c>
      <c r="E129" s="25" t="s">
        <v>258</v>
      </c>
      <c r="F129" s="51" t="str">
        <f>VLOOKUP(Клиенты[[#This Row],[GardenaChannel]],GardenChannel[[GardenChannel]:[Sales manager]],2,0)</f>
        <v>ШКИДИН РОМАН</v>
      </c>
      <c r="H129" s="25" t="s">
        <v>340</v>
      </c>
    </row>
    <row r="130" spans="1:8" x14ac:dyDescent="0.25">
      <c r="A130" s="30" t="s">
        <v>868</v>
      </c>
      <c r="B130" s="25" t="s">
        <v>340</v>
      </c>
      <c r="C130" s="50" t="s">
        <v>402</v>
      </c>
      <c r="D130" s="25" t="s">
        <v>257</v>
      </c>
      <c r="E130" s="25" t="s">
        <v>258</v>
      </c>
      <c r="F130" s="51" t="str">
        <f>VLOOKUP(Клиенты[[#This Row],[GardenaChannel]],GardenChannel[[GardenChannel]:[Sales manager]],2,0)</f>
        <v>ШКИДИН РОМАН</v>
      </c>
      <c r="H130" s="25" t="s">
        <v>340</v>
      </c>
    </row>
    <row r="131" spans="1:8" x14ac:dyDescent="0.25">
      <c r="A131" s="30" t="s">
        <v>869</v>
      </c>
      <c r="B131" s="25" t="s">
        <v>340</v>
      </c>
      <c r="C131" s="50" t="s">
        <v>403</v>
      </c>
      <c r="D131" s="25" t="s">
        <v>257</v>
      </c>
      <c r="E131" s="25" t="s">
        <v>258</v>
      </c>
      <c r="F131" s="51" t="str">
        <f>VLOOKUP(Клиенты[[#This Row],[GardenaChannel]],GardenChannel[[GardenChannel]:[Sales manager]],2,0)</f>
        <v>ШКИДИН РОМАН</v>
      </c>
      <c r="H131" s="25" t="s">
        <v>340</v>
      </c>
    </row>
    <row r="132" spans="1:8" x14ac:dyDescent="0.25">
      <c r="A132" s="30" t="s">
        <v>870</v>
      </c>
      <c r="B132" s="25" t="s">
        <v>340</v>
      </c>
      <c r="C132" s="50" t="s">
        <v>404</v>
      </c>
      <c r="D132" s="25" t="s">
        <v>257</v>
      </c>
      <c r="E132" s="25" t="s">
        <v>271</v>
      </c>
      <c r="F132" s="51" t="str">
        <f>VLOOKUP(Клиенты[[#This Row],[GardenaChannel]],GardenChannel[[GardenChannel]:[Sales manager]],2,0)</f>
        <v>ШКИДИН РОМАН</v>
      </c>
      <c r="H132" s="25" t="s">
        <v>340</v>
      </c>
    </row>
    <row r="133" spans="1:8" x14ac:dyDescent="0.25">
      <c r="A133" s="30" t="s">
        <v>871</v>
      </c>
      <c r="B133" s="25" t="s">
        <v>340</v>
      </c>
      <c r="C133" s="50" t="s">
        <v>405</v>
      </c>
      <c r="D133" s="25" t="s">
        <v>257</v>
      </c>
      <c r="E133" s="25" t="s">
        <v>258</v>
      </c>
      <c r="F133" s="51" t="str">
        <f>VLOOKUP(Клиенты[[#This Row],[GardenaChannel]],GardenChannel[[GardenChannel]:[Sales manager]],2,0)</f>
        <v>ШКИДИН РОМАН</v>
      </c>
      <c r="H133" s="25" t="s">
        <v>340</v>
      </c>
    </row>
    <row r="134" spans="1:8" x14ac:dyDescent="0.25">
      <c r="A134" s="30" t="s">
        <v>872</v>
      </c>
      <c r="B134" s="25" t="s">
        <v>340</v>
      </c>
      <c r="C134" s="50" t="s">
        <v>406</v>
      </c>
      <c r="D134" s="25" t="s">
        <v>257</v>
      </c>
      <c r="E134" s="25" t="s">
        <v>258</v>
      </c>
      <c r="F134" s="51" t="str">
        <f>VLOOKUP(Клиенты[[#This Row],[GardenaChannel]],GardenChannel[[GardenChannel]:[Sales manager]],2,0)</f>
        <v>ШКИДИН РОМАН</v>
      </c>
      <c r="H134" s="25" t="s">
        <v>340</v>
      </c>
    </row>
    <row r="135" spans="1:8" x14ac:dyDescent="0.25">
      <c r="A135" s="30" t="s">
        <v>873</v>
      </c>
      <c r="B135" s="25" t="s">
        <v>340</v>
      </c>
      <c r="C135" s="50" t="s">
        <v>407</v>
      </c>
      <c r="D135" s="25" t="s">
        <v>257</v>
      </c>
      <c r="E135" s="25" t="s">
        <v>271</v>
      </c>
      <c r="F135" s="51" t="str">
        <f>VLOOKUP(Клиенты[[#This Row],[GardenaChannel]],GardenChannel[[GardenChannel]:[Sales manager]],2,0)</f>
        <v>ШКИДИН РОМАН</v>
      </c>
      <c r="H135" s="25" t="s">
        <v>340</v>
      </c>
    </row>
    <row r="136" spans="1:8" x14ac:dyDescent="0.25">
      <c r="A136" s="30" t="s">
        <v>874</v>
      </c>
      <c r="B136" s="25" t="s">
        <v>340</v>
      </c>
      <c r="C136" s="50" t="s">
        <v>408</v>
      </c>
      <c r="D136" s="25" t="s">
        <v>257</v>
      </c>
      <c r="E136" s="25" t="s">
        <v>258</v>
      </c>
      <c r="F136" s="51" t="str">
        <f>VLOOKUP(Клиенты[[#This Row],[GardenaChannel]],GardenChannel[[GardenChannel]:[Sales manager]],2,0)</f>
        <v>ШКИДИН РОМАН</v>
      </c>
      <c r="H136" s="25" t="s">
        <v>340</v>
      </c>
    </row>
    <row r="137" spans="1:8" x14ac:dyDescent="0.25">
      <c r="A137" s="30" t="s">
        <v>875</v>
      </c>
      <c r="B137" s="25" t="s">
        <v>340</v>
      </c>
      <c r="C137" s="50" t="s">
        <v>409</v>
      </c>
      <c r="D137" s="25" t="s">
        <v>257</v>
      </c>
      <c r="E137" s="25" t="s">
        <v>271</v>
      </c>
      <c r="F137" s="51" t="str">
        <f>VLOOKUP(Клиенты[[#This Row],[GardenaChannel]],GardenChannel[[GardenChannel]:[Sales manager]],2,0)</f>
        <v>ШКИДИН РОМАН</v>
      </c>
      <c r="H137" s="25" t="s">
        <v>340</v>
      </c>
    </row>
    <row r="138" spans="1:8" x14ac:dyDescent="0.25">
      <c r="A138" s="30" t="s">
        <v>876</v>
      </c>
      <c r="B138" s="25" t="s">
        <v>340</v>
      </c>
      <c r="C138" s="50" t="s">
        <v>410</v>
      </c>
      <c r="D138" s="25" t="s">
        <v>257</v>
      </c>
      <c r="E138" s="25" t="s">
        <v>258</v>
      </c>
      <c r="F138" s="51" t="str">
        <f>VLOOKUP(Клиенты[[#This Row],[GardenaChannel]],GardenChannel[[GardenChannel]:[Sales manager]],2,0)</f>
        <v>ШКИДИН РОМАН</v>
      </c>
      <c r="H138" s="25" t="s">
        <v>340</v>
      </c>
    </row>
    <row r="139" spans="1:8" x14ac:dyDescent="0.25">
      <c r="A139" s="30" t="s">
        <v>877</v>
      </c>
      <c r="B139" s="25" t="s">
        <v>340</v>
      </c>
      <c r="C139" s="50" t="s">
        <v>411</v>
      </c>
      <c r="D139" s="25" t="s">
        <v>257</v>
      </c>
      <c r="E139" s="25" t="s">
        <v>258</v>
      </c>
      <c r="F139" s="51" t="str">
        <f>VLOOKUP(Клиенты[[#This Row],[GardenaChannel]],GardenChannel[[GardenChannel]:[Sales manager]],2,0)</f>
        <v>ШКИДИН РОМАН</v>
      </c>
      <c r="H139" s="25" t="s">
        <v>340</v>
      </c>
    </row>
    <row r="140" spans="1:8" x14ac:dyDescent="0.25">
      <c r="A140" s="30" t="s">
        <v>878</v>
      </c>
      <c r="B140" s="25" t="s">
        <v>412</v>
      </c>
      <c r="C140" s="50" t="s">
        <v>413</v>
      </c>
      <c r="D140" s="25" t="s">
        <v>246</v>
      </c>
      <c r="E140" s="25" t="s">
        <v>414</v>
      </c>
      <c r="F140" s="51" t="str">
        <f>VLOOKUP(Клиенты[[#This Row],[GardenaChannel]],GardenChannel[[GardenChannel]:[Sales manager]],2,0)</f>
        <v>МОНАСТЫРСКИЙ МИХАИЛ</v>
      </c>
      <c r="G140" s="25" t="s">
        <v>416</v>
      </c>
    </row>
    <row r="141" spans="1:8" x14ac:dyDescent="0.25">
      <c r="A141" s="30" t="s">
        <v>879</v>
      </c>
      <c r="B141" s="25" t="s">
        <v>412</v>
      </c>
      <c r="C141" s="50" t="s">
        <v>417</v>
      </c>
      <c r="D141" s="25" t="s">
        <v>246</v>
      </c>
      <c r="E141" s="25" t="s">
        <v>414</v>
      </c>
      <c r="F141" s="51" t="str">
        <f>VLOOKUP(Клиенты[[#This Row],[GardenaChannel]],GardenChannel[[GardenChannel]:[Sales manager]],2,0)</f>
        <v>МОНАСТЫРСКИЙ МИХАИЛ</v>
      </c>
      <c r="G141" s="25" t="s">
        <v>416</v>
      </c>
    </row>
    <row r="142" spans="1:8" x14ac:dyDescent="0.25">
      <c r="A142" s="30" t="s">
        <v>880</v>
      </c>
      <c r="B142" s="25" t="s">
        <v>418</v>
      </c>
      <c r="C142" s="50" t="s">
        <v>419</v>
      </c>
      <c r="D142" s="25" t="s">
        <v>257</v>
      </c>
      <c r="E142" s="25" t="s">
        <v>295</v>
      </c>
      <c r="F142" s="51" t="str">
        <f>VLOOKUP(Клиенты[[#This Row],[GardenaChannel]],GardenChannel[[GardenChannel]:[Sales manager]],2,0)</f>
        <v>ПОЛУНОВ ДМИТРИЙ</v>
      </c>
      <c r="H142" s="25" t="s">
        <v>418</v>
      </c>
    </row>
    <row r="143" spans="1:8" x14ac:dyDescent="0.25">
      <c r="A143" s="30" t="s">
        <v>881</v>
      </c>
      <c r="B143" s="25" t="s">
        <v>418</v>
      </c>
      <c r="C143" s="50" t="s">
        <v>421</v>
      </c>
      <c r="D143" s="25" t="s">
        <v>257</v>
      </c>
      <c r="E143" s="25" t="s">
        <v>422</v>
      </c>
      <c r="F143" s="51" t="str">
        <f>VLOOKUP(Клиенты[[#This Row],[GardenaChannel]],GardenChannel[[GardenChannel]:[Sales manager]],2,0)</f>
        <v>ПОЛУНОВ ДМИТРИЙ</v>
      </c>
      <c r="G143" s="25" t="s">
        <v>423</v>
      </c>
      <c r="H143" s="25" t="s">
        <v>418</v>
      </c>
    </row>
    <row r="144" spans="1:8" x14ac:dyDescent="0.25">
      <c r="A144" s="30" t="s">
        <v>882</v>
      </c>
      <c r="B144" s="25" t="s">
        <v>424</v>
      </c>
      <c r="C144" s="50" t="s">
        <v>425</v>
      </c>
      <c r="D144" s="25" t="s">
        <v>426</v>
      </c>
      <c r="E144" s="25" t="s">
        <v>426</v>
      </c>
      <c r="F144" s="51" t="str">
        <f>VLOOKUP(Клиенты[[#This Row],[GardenaChannel]],GardenChannel[[GardenChannel]:[Sales manager]],2,0)</f>
        <v>ВЕЛИКОПОЛЬСКИЙ ВЛАДИСЛАВ</v>
      </c>
      <c r="H144" s="25" t="s">
        <v>424</v>
      </c>
    </row>
    <row r="145" spans="1:8" x14ac:dyDescent="0.25">
      <c r="A145" s="30" t="s">
        <v>883</v>
      </c>
      <c r="B145" s="25" t="s">
        <v>424</v>
      </c>
      <c r="C145" s="50" t="s">
        <v>428</v>
      </c>
      <c r="D145" s="25" t="s">
        <v>426</v>
      </c>
      <c r="E145" s="25" t="s">
        <v>426</v>
      </c>
      <c r="F145" s="51" t="str">
        <f>VLOOKUP(Клиенты[[#This Row],[GardenaChannel]],GardenChannel[[GardenChannel]:[Sales manager]],2,0)</f>
        <v>ВЕЛИКОПОЛЬСКИЙ ВЛАДИСЛАВ</v>
      </c>
      <c r="H145" s="25" t="s">
        <v>424</v>
      </c>
    </row>
    <row r="146" spans="1:8" x14ac:dyDescent="0.25">
      <c r="A146" s="30" t="s">
        <v>884</v>
      </c>
      <c r="B146" s="25" t="s">
        <v>424</v>
      </c>
      <c r="C146" s="50" t="s">
        <v>429</v>
      </c>
      <c r="D146" s="25" t="s">
        <v>426</v>
      </c>
      <c r="E146" s="25" t="s">
        <v>426</v>
      </c>
      <c r="F146" s="51" t="str">
        <f>VLOOKUP(Клиенты[[#This Row],[GardenaChannel]],GardenChannel[[GardenChannel]:[Sales manager]],2,0)</f>
        <v>ВЕЛИКОПОЛЬСКИЙ ВЛАДИСЛАВ</v>
      </c>
      <c r="H146" s="25" t="s">
        <v>424</v>
      </c>
    </row>
    <row r="147" spans="1:8" x14ac:dyDescent="0.25">
      <c r="A147" s="30" t="s">
        <v>885</v>
      </c>
      <c r="B147" s="25" t="s">
        <v>424</v>
      </c>
      <c r="C147" s="50" t="s">
        <v>430</v>
      </c>
      <c r="D147" s="25" t="s">
        <v>426</v>
      </c>
      <c r="E147" s="25" t="s">
        <v>426</v>
      </c>
      <c r="F147" s="51" t="str">
        <f>VLOOKUP(Клиенты[[#This Row],[GardenaChannel]],GardenChannel[[GardenChannel]:[Sales manager]],2,0)</f>
        <v>ВЕЛИКОПОЛЬСКИЙ ВЛАДИСЛАВ</v>
      </c>
      <c r="H147" s="25" t="s">
        <v>424</v>
      </c>
    </row>
    <row r="148" spans="1:8" x14ac:dyDescent="0.25">
      <c r="A148" s="30" t="s">
        <v>886</v>
      </c>
      <c r="B148" s="25" t="s">
        <v>424</v>
      </c>
      <c r="C148" s="50" t="s">
        <v>431</v>
      </c>
      <c r="D148" s="25" t="s">
        <v>426</v>
      </c>
      <c r="E148" s="25" t="s">
        <v>432</v>
      </c>
      <c r="F148" s="51" t="str">
        <f>VLOOKUP(Клиенты[[#This Row],[GardenaChannel]],GardenChannel[[GardenChannel]:[Sales manager]],2,0)</f>
        <v>ВЕЛИКОПОЛЬСКИЙ ВЛАДИСЛАВ</v>
      </c>
      <c r="H148" s="25" t="s">
        <v>424</v>
      </c>
    </row>
    <row r="149" spans="1:8" x14ac:dyDescent="0.25">
      <c r="A149" s="30" t="s">
        <v>887</v>
      </c>
      <c r="B149" s="25" t="s">
        <v>424</v>
      </c>
      <c r="C149" s="50" t="s">
        <v>433</v>
      </c>
      <c r="D149" s="25" t="s">
        <v>426</v>
      </c>
      <c r="E149" s="25" t="s">
        <v>426</v>
      </c>
      <c r="F149" s="51" t="str">
        <f>VLOOKUP(Клиенты[[#This Row],[GardenaChannel]],GardenChannel[[GardenChannel]:[Sales manager]],2,0)</f>
        <v>ВЕЛИКОПОЛЬСКИЙ ВЛАДИСЛАВ</v>
      </c>
      <c r="H149" s="25" t="s">
        <v>424</v>
      </c>
    </row>
    <row r="150" spans="1:8" x14ac:dyDescent="0.25">
      <c r="A150" s="30" t="s">
        <v>888</v>
      </c>
      <c r="B150" s="25" t="s">
        <v>434</v>
      </c>
      <c r="C150" s="50" t="s">
        <v>435</v>
      </c>
      <c r="D150" s="25" t="s">
        <v>257</v>
      </c>
      <c r="E150" s="25" t="s">
        <v>436</v>
      </c>
      <c r="F150" s="51" t="str">
        <f>VLOOKUP(Клиенты[[#This Row],[GardenaChannel]],GardenChannel[[GardenChannel]:[Sales manager]],2,0)</f>
        <v>АЛЕКСАНДРОВ ИГОРЬ</v>
      </c>
      <c r="H150" s="25" t="s">
        <v>434</v>
      </c>
    </row>
    <row r="151" spans="1:8" x14ac:dyDescent="0.25">
      <c r="A151" s="30" t="s">
        <v>889</v>
      </c>
      <c r="B151" s="25" t="s">
        <v>437</v>
      </c>
      <c r="C151" s="50" t="s">
        <v>438</v>
      </c>
      <c r="D151" s="25" t="s">
        <v>257</v>
      </c>
      <c r="E151" s="25" t="s">
        <v>422</v>
      </c>
      <c r="F151" s="51" t="str">
        <f>VLOOKUP(Клиенты[[#This Row],[GardenaChannel]],GardenChannel[[GardenChannel]:[Sales manager]],2,0)</f>
        <v>ШКИДИН РОМАН</v>
      </c>
      <c r="H151" s="25" t="s">
        <v>437</v>
      </c>
    </row>
    <row r="152" spans="1:8" x14ac:dyDescent="0.25">
      <c r="A152" s="30" t="s">
        <v>890</v>
      </c>
      <c r="B152" s="25" t="s">
        <v>439</v>
      </c>
      <c r="C152" s="50" t="s">
        <v>440</v>
      </c>
      <c r="D152" s="25" t="s">
        <v>257</v>
      </c>
      <c r="E152" s="25" t="s">
        <v>422</v>
      </c>
      <c r="F152" s="51" t="str">
        <f>VLOOKUP(Клиенты[[#This Row],[GardenaChannel]],GardenChannel[[GardenChannel]:[Sales manager]],2,0)</f>
        <v>ЖУРАВЛЕВ ПАВЕЛ</v>
      </c>
      <c r="H152" s="25" t="s">
        <v>439</v>
      </c>
    </row>
    <row r="153" spans="1:8" x14ac:dyDescent="0.25">
      <c r="A153" s="30" t="s">
        <v>891</v>
      </c>
      <c r="B153" s="25" t="s">
        <v>439</v>
      </c>
      <c r="C153" s="50" t="s">
        <v>442</v>
      </c>
      <c r="D153" s="25" t="s">
        <v>257</v>
      </c>
      <c r="E153" s="25" t="s">
        <v>258</v>
      </c>
      <c r="F153" s="51" t="str">
        <f>VLOOKUP(Клиенты[[#This Row],[GardenaChannel]],GardenChannel[[GardenChannel]:[Sales manager]],2,0)</f>
        <v>ЖУРАВЛЕВ ПАВЕЛ</v>
      </c>
      <c r="H153" s="25" t="s">
        <v>439</v>
      </c>
    </row>
    <row r="154" spans="1:8" x14ac:dyDescent="0.25">
      <c r="A154" s="30" t="s">
        <v>892</v>
      </c>
      <c r="B154" s="25" t="s">
        <v>443</v>
      </c>
      <c r="C154" s="50" t="s">
        <v>444</v>
      </c>
      <c r="D154" s="25" t="s">
        <v>246</v>
      </c>
      <c r="E154" s="25" t="s">
        <v>445</v>
      </c>
      <c r="F154" s="51" t="str">
        <f>VLOOKUP(Клиенты[[#This Row],[GardenaChannel]],GardenChannel[[GardenChannel]:[Sales manager]],2,0)</f>
        <v>БИЛОУС ЕКАТЕРИНА</v>
      </c>
      <c r="H154" s="25">
        <v>1950</v>
      </c>
    </row>
    <row r="155" spans="1:8" x14ac:dyDescent="0.25">
      <c r="A155" s="30" t="s">
        <v>893</v>
      </c>
      <c r="B155" s="25" t="s">
        <v>447</v>
      </c>
      <c r="C155" s="50" t="s">
        <v>448</v>
      </c>
      <c r="D155" s="25" t="s">
        <v>257</v>
      </c>
      <c r="E155" s="25" t="s">
        <v>258</v>
      </c>
      <c r="F155" s="51" t="str">
        <f>VLOOKUP(Клиенты[[#This Row],[GardenaChannel]],GardenChannel[[GardenChannel]:[Sales manager]],2,0)</f>
        <v>ЖУРАВЛЕВ ПАВЕЛ</v>
      </c>
      <c r="H155" s="25" t="s">
        <v>447</v>
      </c>
    </row>
    <row r="156" spans="1:8" x14ac:dyDescent="0.25">
      <c r="A156" s="30" t="s">
        <v>894</v>
      </c>
      <c r="B156" s="25" t="s">
        <v>447</v>
      </c>
      <c r="C156" s="50" t="s">
        <v>449</v>
      </c>
      <c r="D156" s="25" t="s">
        <v>257</v>
      </c>
      <c r="E156" s="25" t="s">
        <v>271</v>
      </c>
      <c r="F156" s="51" t="str">
        <f>VLOOKUP(Клиенты[[#This Row],[GardenaChannel]],GardenChannel[[GardenChannel]:[Sales manager]],2,0)</f>
        <v>ЖУРАВЛЕВ ПАВЕЛ</v>
      </c>
      <c r="H156" s="25" t="s">
        <v>447</v>
      </c>
    </row>
    <row r="157" spans="1:8" x14ac:dyDescent="0.25">
      <c r="A157" s="30" t="s">
        <v>895</v>
      </c>
      <c r="B157" s="25" t="s">
        <v>447</v>
      </c>
      <c r="C157" s="50" t="s">
        <v>450</v>
      </c>
      <c r="D157" s="25" t="s">
        <v>257</v>
      </c>
      <c r="E157" s="25" t="s">
        <v>258</v>
      </c>
      <c r="F157" s="51" t="str">
        <f>VLOOKUP(Клиенты[[#This Row],[GardenaChannel]],GardenChannel[[GardenChannel]:[Sales manager]],2,0)</f>
        <v>ЖУРАВЛЕВ ПАВЕЛ</v>
      </c>
      <c r="H157" s="25" t="s">
        <v>447</v>
      </c>
    </row>
    <row r="158" spans="1:8" x14ac:dyDescent="0.25">
      <c r="A158" s="30" t="s">
        <v>896</v>
      </c>
      <c r="B158" s="25" t="s">
        <v>447</v>
      </c>
      <c r="C158" s="50" t="s">
        <v>451</v>
      </c>
      <c r="D158" s="25" t="s">
        <v>257</v>
      </c>
      <c r="E158" s="25" t="s">
        <v>258</v>
      </c>
      <c r="F158" s="51" t="str">
        <f>VLOOKUP(Клиенты[[#This Row],[GardenaChannel]],GardenChannel[[GardenChannel]:[Sales manager]],2,0)</f>
        <v>ЖУРАВЛЕВ ПАВЕЛ</v>
      </c>
      <c r="H158" s="25" t="s">
        <v>447</v>
      </c>
    </row>
    <row r="159" spans="1:8" x14ac:dyDescent="0.25">
      <c r="A159" s="30" t="s">
        <v>897</v>
      </c>
      <c r="B159" s="25" t="s">
        <v>447</v>
      </c>
      <c r="C159" s="50" t="s">
        <v>452</v>
      </c>
      <c r="D159" s="25" t="s">
        <v>257</v>
      </c>
      <c r="E159" s="25" t="s">
        <v>271</v>
      </c>
      <c r="F159" s="51" t="str">
        <f>VLOOKUP(Клиенты[[#This Row],[GardenaChannel]],GardenChannel[[GardenChannel]:[Sales manager]],2,0)</f>
        <v>ЖУРАВЛЕВ ПАВЕЛ</v>
      </c>
      <c r="H159" s="25" t="s">
        <v>447</v>
      </c>
    </row>
    <row r="160" spans="1:8" x14ac:dyDescent="0.25">
      <c r="A160" s="30" t="s">
        <v>898</v>
      </c>
      <c r="B160" s="25" t="s">
        <v>447</v>
      </c>
      <c r="C160" s="50" t="s">
        <v>453</v>
      </c>
      <c r="D160" s="25" t="s">
        <v>257</v>
      </c>
      <c r="E160" s="25" t="s">
        <v>271</v>
      </c>
      <c r="F160" s="51" t="str">
        <f>VLOOKUP(Клиенты[[#This Row],[GardenaChannel]],GardenChannel[[GardenChannel]:[Sales manager]],2,0)</f>
        <v>ЖУРАВЛЕВ ПАВЕЛ</v>
      </c>
      <c r="H160" s="25" t="s">
        <v>447</v>
      </c>
    </row>
    <row r="161" spans="1:8" x14ac:dyDescent="0.25">
      <c r="A161" s="30" t="s">
        <v>899</v>
      </c>
      <c r="B161" s="25" t="s">
        <v>447</v>
      </c>
      <c r="C161" s="50" t="s">
        <v>454</v>
      </c>
      <c r="D161" s="25" t="s">
        <v>257</v>
      </c>
      <c r="E161" s="25" t="s">
        <v>295</v>
      </c>
      <c r="F161" s="51" t="str">
        <f>VLOOKUP(Клиенты[[#This Row],[GardenaChannel]],GardenChannel[[GardenChannel]:[Sales manager]],2,0)</f>
        <v>ЖУРАВЛЕВ ПАВЕЛ</v>
      </c>
      <c r="H161" s="25" t="s">
        <v>447</v>
      </c>
    </row>
    <row r="162" spans="1:8" x14ac:dyDescent="0.25">
      <c r="A162" s="30" t="s">
        <v>900</v>
      </c>
      <c r="B162" s="25" t="s">
        <v>447</v>
      </c>
      <c r="C162" s="50" t="s">
        <v>455</v>
      </c>
      <c r="D162" s="25" t="s">
        <v>257</v>
      </c>
      <c r="E162" s="25" t="s">
        <v>258</v>
      </c>
      <c r="F162" s="51" t="str">
        <f>VLOOKUP(Клиенты[[#This Row],[GardenaChannel]],GardenChannel[[GardenChannel]:[Sales manager]],2,0)</f>
        <v>ЖУРАВЛЕВ ПАВЕЛ</v>
      </c>
      <c r="H162" s="25" t="s">
        <v>447</v>
      </c>
    </row>
    <row r="163" spans="1:8" x14ac:dyDescent="0.25">
      <c r="A163" s="30" t="s">
        <v>901</v>
      </c>
      <c r="B163" s="25" t="s">
        <v>447</v>
      </c>
      <c r="C163" s="50" t="s">
        <v>456</v>
      </c>
      <c r="D163" s="25" t="s">
        <v>257</v>
      </c>
      <c r="E163" s="25" t="s">
        <v>258</v>
      </c>
      <c r="F163" s="51" t="str">
        <f>VLOOKUP(Клиенты[[#This Row],[GardenaChannel]],GardenChannel[[GardenChannel]:[Sales manager]],2,0)</f>
        <v>ЖУРАВЛЕВ ПАВЕЛ</v>
      </c>
      <c r="H163" s="25" t="s">
        <v>447</v>
      </c>
    </row>
    <row r="164" spans="1:8" x14ac:dyDescent="0.25">
      <c r="A164" s="30" t="s">
        <v>902</v>
      </c>
      <c r="B164" s="25" t="s">
        <v>447</v>
      </c>
      <c r="C164" s="50" t="s">
        <v>457</v>
      </c>
      <c r="D164" s="25" t="s">
        <v>257</v>
      </c>
      <c r="E164" s="25" t="s">
        <v>271</v>
      </c>
      <c r="F164" s="51" t="str">
        <f>VLOOKUP(Клиенты[[#This Row],[GardenaChannel]],GardenChannel[[GardenChannel]:[Sales manager]],2,0)</f>
        <v>ЖУРАВЛЕВ ПАВЕЛ</v>
      </c>
      <c r="H164" s="25" t="s">
        <v>447</v>
      </c>
    </row>
    <row r="165" spans="1:8" x14ac:dyDescent="0.25">
      <c r="A165" s="30" t="s">
        <v>903</v>
      </c>
      <c r="B165" s="25" t="s">
        <v>447</v>
      </c>
      <c r="C165" s="50" t="s">
        <v>458</v>
      </c>
      <c r="D165" s="25" t="s">
        <v>257</v>
      </c>
      <c r="E165" s="25" t="s">
        <v>258</v>
      </c>
      <c r="F165" s="51" t="str">
        <f>VLOOKUP(Клиенты[[#This Row],[GardenaChannel]],GardenChannel[[GardenChannel]:[Sales manager]],2,0)</f>
        <v>ЖУРАВЛЕВ ПАВЕЛ</v>
      </c>
      <c r="H165" s="25" t="s">
        <v>447</v>
      </c>
    </row>
    <row r="166" spans="1:8" x14ac:dyDescent="0.25">
      <c r="A166" s="30" t="s">
        <v>904</v>
      </c>
      <c r="B166" s="25" t="s">
        <v>447</v>
      </c>
      <c r="C166" s="50" t="s">
        <v>459</v>
      </c>
      <c r="D166" s="25" t="s">
        <v>257</v>
      </c>
      <c r="E166" s="25" t="s">
        <v>258</v>
      </c>
      <c r="F166" s="51" t="str">
        <f>VLOOKUP(Клиенты[[#This Row],[GardenaChannel]],GardenChannel[[GardenChannel]:[Sales manager]],2,0)</f>
        <v>ЖУРАВЛЕВ ПАВЕЛ</v>
      </c>
      <c r="H166" s="25" t="s">
        <v>447</v>
      </c>
    </row>
    <row r="167" spans="1:8" x14ac:dyDescent="0.25">
      <c r="A167" s="30" t="s">
        <v>905</v>
      </c>
      <c r="B167" s="25" t="s">
        <v>447</v>
      </c>
      <c r="C167" s="50" t="s">
        <v>460</v>
      </c>
      <c r="D167" s="25" t="s">
        <v>257</v>
      </c>
      <c r="E167" s="25" t="s">
        <v>271</v>
      </c>
      <c r="F167" s="51" t="str">
        <f>VLOOKUP(Клиенты[[#This Row],[GardenaChannel]],GardenChannel[[GardenChannel]:[Sales manager]],2,0)</f>
        <v>ЖУРАВЛЕВ ПАВЕЛ</v>
      </c>
      <c r="H167" s="25" t="s">
        <v>447</v>
      </c>
    </row>
    <row r="168" spans="1:8" x14ac:dyDescent="0.25">
      <c r="A168" s="30" t="s">
        <v>906</v>
      </c>
      <c r="B168" s="25" t="s">
        <v>447</v>
      </c>
      <c r="C168" s="50" t="s">
        <v>461</v>
      </c>
      <c r="D168" s="25" t="s">
        <v>257</v>
      </c>
      <c r="E168" s="25" t="s">
        <v>258</v>
      </c>
      <c r="F168" s="51" t="str">
        <f>VLOOKUP(Клиенты[[#This Row],[GardenaChannel]],GardenChannel[[GardenChannel]:[Sales manager]],2,0)</f>
        <v>ЖУРАВЛЕВ ПАВЕЛ</v>
      </c>
      <c r="H168" s="25" t="s">
        <v>447</v>
      </c>
    </row>
    <row r="169" spans="1:8" x14ac:dyDescent="0.25">
      <c r="A169" s="30" t="s">
        <v>907</v>
      </c>
      <c r="B169" s="25" t="s">
        <v>447</v>
      </c>
      <c r="C169" s="50" t="s">
        <v>462</v>
      </c>
      <c r="D169" s="25" t="s">
        <v>257</v>
      </c>
      <c r="E169" s="25" t="s">
        <v>258</v>
      </c>
      <c r="F169" s="51" t="str">
        <f>VLOOKUP(Клиенты[[#This Row],[GardenaChannel]],GardenChannel[[GardenChannel]:[Sales manager]],2,0)</f>
        <v>ЖУРАВЛЕВ ПАВЕЛ</v>
      </c>
      <c r="H169" s="25" t="s">
        <v>447</v>
      </c>
    </row>
    <row r="170" spans="1:8" x14ac:dyDescent="0.25">
      <c r="A170" s="30" t="s">
        <v>908</v>
      </c>
      <c r="B170" s="25" t="s">
        <v>447</v>
      </c>
      <c r="C170" s="50" t="s">
        <v>463</v>
      </c>
      <c r="D170" s="25" t="s">
        <v>257</v>
      </c>
      <c r="E170" s="25" t="s">
        <v>258</v>
      </c>
      <c r="F170" s="51" t="str">
        <f>VLOOKUP(Клиенты[[#This Row],[GardenaChannel]],GardenChannel[[GardenChannel]:[Sales manager]],2,0)</f>
        <v>ЖУРАВЛЕВ ПАВЕЛ</v>
      </c>
      <c r="H170" s="25" t="s">
        <v>447</v>
      </c>
    </row>
    <row r="171" spans="1:8" x14ac:dyDescent="0.25">
      <c r="A171" s="30" t="s">
        <v>909</v>
      </c>
      <c r="B171" s="25" t="s">
        <v>447</v>
      </c>
      <c r="C171" s="50" t="s">
        <v>464</v>
      </c>
      <c r="D171" s="25" t="s">
        <v>257</v>
      </c>
      <c r="E171" s="25" t="s">
        <v>258</v>
      </c>
      <c r="F171" s="51" t="str">
        <f>VLOOKUP(Клиенты[[#This Row],[GardenaChannel]],GardenChannel[[GardenChannel]:[Sales manager]],2,0)</f>
        <v>ЖУРАВЛЕВ ПАВЕЛ</v>
      </c>
      <c r="H171" s="25" t="s">
        <v>447</v>
      </c>
    </row>
    <row r="172" spans="1:8" x14ac:dyDescent="0.25">
      <c r="A172" s="30" t="s">
        <v>910</v>
      </c>
      <c r="B172" s="25" t="s">
        <v>447</v>
      </c>
      <c r="C172" s="50" t="s">
        <v>465</v>
      </c>
      <c r="D172" s="25" t="s">
        <v>257</v>
      </c>
      <c r="E172" s="25" t="s">
        <v>258</v>
      </c>
      <c r="F172" s="51" t="str">
        <f>VLOOKUP(Клиенты[[#This Row],[GardenaChannel]],GardenChannel[[GardenChannel]:[Sales manager]],2,0)</f>
        <v>ЖУРАВЛЕВ ПАВЕЛ</v>
      </c>
      <c r="H172" s="25" t="s">
        <v>447</v>
      </c>
    </row>
    <row r="173" spans="1:8" x14ac:dyDescent="0.25">
      <c r="A173" s="30" t="s">
        <v>911</v>
      </c>
      <c r="B173" s="25" t="s">
        <v>447</v>
      </c>
      <c r="C173" s="50" t="s">
        <v>466</v>
      </c>
      <c r="D173" s="25" t="s">
        <v>257</v>
      </c>
      <c r="E173" s="25" t="s">
        <v>258</v>
      </c>
      <c r="F173" s="51" t="str">
        <f>VLOOKUP(Клиенты[[#This Row],[GardenaChannel]],GardenChannel[[GardenChannel]:[Sales manager]],2,0)</f>
        <v>ЖУРАВЛЕВ ПАВЕЛ</v>
      </c>
      <c r="H173" s="25" t="s">
        <v>447</v>
      </c>
    </row>
    <row r="174" spans="1:8" x14ac:dyDescent="0.25">
      <c r="A174" s="30" t="s">
        <v>912</v>
      </c>
      <c r="B174" s="25" t="s">
        <v>447</v>
      </c>
      <c r="C174" s="50" t="s">
        <v>467</v>
      </c>
      <c r="D174" s="25" t="s">
        <v>257</v>
      </c>
      <c r="E174" s="25" t="s">
        <v>258</v>
      </c>
      <c r="F174" s="51" t="str">
        <f>VLOOKUP(Клиенты[[#This Row],[GardenaChannel]],GardenChannel[[GardenChannel]:[Sales manager]],2,0)</f>
        <v>ЖУРАВЛЕВ ПАВЕЛ</v>
      </c>
      <c r="H174" s="25" t="s">
        <v>447</v>
      </c>
    </row>
    <row r="175" spans="1:8" x14ac:dyDescent="0.25">
      <c r="A175" s="30" t="s">
        <v>913</v>
      </c>
      <c r="B175" s="25" t="s">
        <v>447</v>
      </c>
      <c r="C175" s="50" t="s">
        <v>468</v>
      </c>
      <c r="D175" s="25" t="s">
        <v>257</v>
      </c>
      <c r="E175" s="25" t="s">
        <v>258</v>
      </c>
      <c r="F175" s="51" t="str">
        <f>VLOOKUP(Клиенты[[#This Row],[GardenaChannel]],GardenChannel[[GardenChannel]:[Sales manager]],2,0)</f>
        <v>ЖУРАВЛЕВ ПАВЕЛ</v>
      </c>
      <c r="H175" s="25" t="s">
        <v>447</v>
      </c>
    </row>
    <row r="176" spans="1:8" x14ac:dyDescent="0.25">
      <c r="A176" s="30" t="s">
        <v>914</v>
      </c>
      <c r="B176" s="25" t="s">
        <v>447</v>
      </c>
      <c r="C176" s="50" t="s">
        <v>469</v>
      </c>
      <c r="D176" s="25" t="s">
        <v>257</v>
      </c>
      <c r="E176" s="25" t="s">
        <v>258</v>
      </c>
      <c r="F176" s="51" t="str">
        <f>VLOOKUP(Клиенты[[#This Row],[GardenaChannel]],GardenChannel[[GardenChannel]:[Sales manager]],2,0)</f>
        <v>ЖУРАВЛЕВ ПАВЕЛ</v>
      </c>
      <c r="H176" s="25" t="s">
        <v>447</v>
      </c>
    </row>
    <row r="177" spans="1:8" x14ac:dyDescent="0.25">
      <c r="A177" s="30" t="s">
        <v>915</v>
      </c>
      <c r="B177" s="25" t="s">
        <v>447</v>
      </c>
      <c r="C177" s="50" t="s">
        <v>470</v>
      </c>
      <c r="D177" s="25" t="s">
        <v>257</v>
      </c>
      <c r="E177" s="25" t="s">
        <v>258</v>
      </c>
      <c r="F177" s="51" t="str">
        <f>VLOOKUP(Клиенты[[#This Row],[GardenaChannel]],GardenChannel[[GardenChannel]:[Sales manager]],2,0)</f>
        <v>ЖУРАВЛЕВ ПАВЕЛ</v>
      </c>
      <c r="H177" s="25" t="s">
        <v>447</v>
      </c>
    </row>
    <row r="178" spans="1:8" x14ac:dyDescent="0.25">
      <c r="A178" s="30" t="s">
        <v>916</v>
      </c>
      <c r="B178" s="25" t="s">
        <v>447</v>
      </c>
      <c r="C178" s="50" t="s">
        <v>471</v>
      </c>
      <c r="D178" s="25" t="s">
        <v>257</v>
      </c>
      <c r="E178" s="25" t="s">
        <v>258</v>
      </c>
      <c r="F178" s="51" t="str">
        <f>VLOOKUP(Клиенты[[#This Row],[GardenaChannel]],GardenChannel[[GardenChannel]:[Sales manager]],2,0)</f>
        <v>ЖУРАВЛЕВ ПАВЕЛ</v>
      </c>
      <c r="H178" s="25" t="s">
        <v>447</v>
      </c>
    </row>
    <row r="179" spans="1:8" x14ac:dyDescent="0.25">
      <c r="A179" s="30" t="s">
        <v>917</v>
      </c>
      <c r="B179" s="25" t="s">
        <v>447</v>
      </c>
      <c r="C179" s="50" t="s">
        <v>472</v>
      </c>
      <c r="D179" s="25" t="s">
        <v>257</v>
      </c>
      <c r="E179" s="25" t="s">
        <v>258</v>
      </c>
      <c r="F179" s="51" t="str">
        <f>VLOOKUP(Клиенты[[#This Row],[GardenaChannel]],GardenChannel[[GardenChannel]:[Sales manager]],2,0)</f>
        <v>ЖУРАВЛЕВ ПАВЕЛ</v>
      </c>
      <c r="H179" s="25" t="s">
        <v>447</v>
      </c>
    </row>
    <row r="180" spans="1:8" x14ac:dyDescent="0.25">
      <c r="A180" s="30" t="s">
        <v>918</v>
      </c>
      <c r="B180" s="25" t="s">
        <v>447</v>
      </c>
      <c r="C180" s="50" t="s">
        <v>473</v>
      </c>
      <c r="D180" s="25" t="s">
        <v>257</v>
      </c>
      <c r="E180" s="25" t="s">
        <v>258</v>
      </c>
      <c r="F180" s="51" t="str">
        <f>VLOOKUP(Клиенты[[#This Row],[GardenaChannel]],GardenChannel[[GardenChannel]:[Sales manager]],2,0)</f>
        <v>ЖУРАВЛЕВ ПАВЕЛ</v>
      </c>
      <c r="H180" s="25" t="s">
        <v>447</v>
      </c>
    </row>
    <row r="181" spans="1:8" x14ac:dyDescent="0.25">
      <c r="A181" s="30" t="s">
        <v>919</v>
      </c>
      <c r="B181" s="25" t="s">
        <v>447</v>
      </c>
      <c r="C181" s="50" t="s">
        <v>474</v>
      </c>
      <c r="D181" s="25" t="s">
        <v>257</v>
      </c>
      <c r="E181" s="25" t="s">
        <v>258</v>
      </c>
      <c r="F181" s="51" t="str">
        <f>VLOOKUP(Клиенты[[#This Row],[GardenaChannel]],GardenChannel[[GardenChannel]:[Sales manager]],2,0)</f>
        <v>ЖУРАВЛЕВ ПАВЕЛ</v>
      </c>
      <c r="H181" s="25" t="s">
        <v>447</v>
      </c>
    </row>
    <row r="182" spans="1:8" x14ac:dyDescent="0.25">
      <c r="A182" s="30" t="s">
        <v>920</v>
      </c>
      <c r="B182" s="25" t="s">
        <v>447</v>
      </c>
      <c r="C182" s="50" t="s">
        <v>475</v>
      </c>
      <c r="D182" s="25" t="s">
        <v>257</v>
      </c>
      <c r="E182" s="25" t="s">
        <v>258</v>
      </c>
      <c r="F182" s="51" t="str">
        <f>VLOOKUP(Клиенты[[#This Row],[GardenaChannel]],GardenChannel[[GardenChannel]:[Sales manager]],2,0)</f>
        <v>ЖУРАВЛЕВ ПАВЕЛ</v>
      </c>
      <c r="H182" s="25" t="s">
        <v>447</v>
      </c>
    </row>
    <row r="183" spans="1:8" x14ac:dyDescent="0.25">
      <c r="A183" s="30" t="s">
        <v>921</v>
      </c>
      <c r="B183" s="25" t="s">
        <v>447</v>
      </c>
      <c r="C183" s="50" t="s">
        <v>476</v>
      </c>
      <c r="D183" s="25" t="s">
        <v>257</v>
      </c>
      <c r="E183" s="25" t="s">
        <v>258</v>
      </c>
      <c r="F183" s="51" t="str">
        <f>VLOOKUP(Клиенты[[#This Row],[GardenaChannel]],GardenChannel[[GardenChannel]:[Sales manager]],2,0)</f>
        <v>ЖУРАВЛЕВ ПАВЕЛ</v>
      </c>
      <c r="H183" s="25" t="s">
        <v>447</v>
      </c>
    </row>
    <row r="184" spans="1:8" x14ac:dyDescent="0.25">
      <c r="A184" s="30" t="s">
        <v>922</v>
      </c>
      <c r="B184" s="25" t="s">
        <v>447</v>
      </c>
      <c r="C184" s="50" t="s">
        <v>477</v>
      </c>
      <c r="D184" s="25" t="s">
        <v>257</v>
      </c>
      <c r="E184" s="25" t="s">
        <v>258</v>
      </c>
      <c r="F184" s="51" t="str">
        <f>VLOOKUP(Клиенты[[#This Row],[GardenaChannel]],GardenChannel[[GardenChannel]:[Sales manager]],2,0)</f>
        <v>ЖУРАВЛЕВ ПАВЕЛ</v>
      </c>
      <c r="H184" s="25" t="s">
        <v>447</v>
      </c>
    </row>
    <row r="185" spans="1:8" x14ac:dyDescent="0.25">
      <c r="A185" s="30" t="s">
        <v>923</v>
      </c>
      <c r="B185" s="25" t="s">
        <v>447</v>
      </c>
      <c r="C185" s="50" t="s">
        <v>478</v>
      </c>
      <c r="D185" s="25" t="s">
        <v>257</v>
      </c>
      <c r="E185" s="25" t="s">
        <v>271</v>
      </c>
      <c r="F185" s="51" t="str">
        <f>VLOOKUP(Клиенты[[#This Row],[GardenaChannel]],GardenChannel[[GardenChannel]:[Sales manager]],2,0)</f>
        <v>ЖУРАВЛЕВ ПАВЕЛ</v>
      </c>
      <c r="H185" s="25" t="s">
        <v>447</v>
      </c>
    </row>
    <row r="186" spans="1:8" x14ac:dyDescent="0.25">
      <c r="A186" s="30" t="s">
        <v>924</v>
      </c>
      <c r="B186" s="25" t="s">
        <v>479</v>
      </c>
      <c r="C186" s="50" t="s">
        <v>480</v>
      </c>
      <c r="D186" s="25" t="s">
        <v>257</v>
      </c>
      <c r="E186" s="25" t="s">
        <v>258</v>
      </c>
      <c r="F186" s="51" t="str">
        <f>VLOOKUP(Клиенты[[#This Row],[GardenaChannel]],GardenChannel[[GardenChannel]:[Sales manager]],2,0)</f>
        <v>ОРЛОВ КИРИЛЛ</v>
      </c>
      <c r="H186" s="25" t="s">
        <v>479</v>
      </c>
    </row>
    <row r="187" spans="1:8" x14ac:dyDescent="0.25">
      <c r="A187" s="30" t="s">
        <v>925</v>
      </c>
      <c r="B187" s="25" t="s">
        <v>479</v>
      </c>
      <c r="C187" s="50" t="s">
        <v>482</v>
      </c>
      <c r="D187" s="25" t="s">
        <v>257</v>
      </c>
      <c r="E187" s="25" t="s">
        <v>258</v>
      </c>
      <c r="F187" s="51" t="str">
        <f>VLOOKUP(Клиенты[[#This Row],[GardenaChannel]],GardenChannel[[GardenChannel]:[Sales manager]],2,0)</f>
        <v>ОРЛОВ КИРИЛЛ</v>
      </c>
      <c r="H187" s="25" t="s">
        <v>479</v>
      </c>
    </row>
    <row r="188" spans="1:8" x14ac:dyDescent="0.25">
      <c r="A188" s="30" t="s">
        <v>926</v>
      </c>
      <c r="B188" s="25" t="s">
        <v>479</v>
      </c>
      <c r="C188" s="50" t="s">
        <v>483</v>
      </c>
      <c r="D188" s="25" t="s">
        <v>257</v>
      </c>
      <c r="E188" s="25" t="s">
        <v>295</v>
      </c>
      <c r="F188" s="51" t="str">
        <f>VLOOKUP(Клиенты[[#This Row],[GardenaChannel]],GardenChannel[[GardenChannel]:[Sales manager]],2,0)</f>
        <v>ОРЛОВ КИРИЛЛ</v>
      </c>
      <c r="H188" s="25" t="s">
        <v>479</v>
      </c>
    </row>
    <row r="189" spans="1:8" x14ac:dyDescent="0.25">
      <c r="A189" s="30" t="s">
        <v>927</v>
      </c>
      <c r="B189" s="25" t="s">
        <v>479</v>
      </c>
      <c r="C189" s="50" t="s">
        <v>484</v>
      </c>
      <c r="D189" s="25" t="s">
        <v>257</v>
      </c>
      <c r="E189" s="25" t="s">
        <v>295</v>
      </c>
      <c r="F189" s="51" t="str">
        <f>VLOOKUP(Клиенты[[#This Row],[GardenaChannel]],GardenChannel[[GardenChannel]:[Sales manager]],2,0)</f>
        <v>ОРЛОВ КИРИЛЛ</v>
      </c>
      <c r="H189" s="25" t="s">
        <v>479</v>
      </c>
    </row>
    <row r="190" spans="1:8" x14ac:dyDescent="0.25">
      <c r="A190" s="30" t="s">
        <v>928</v>
      </c>
      <c r="B190" s="25" t="s">
        <v>479</v>
      </c>
      <c r="C190" s="50" t="s">
        <v>485</v>
      </c>
      <c r="D190" s="25" t="s">
        <v>257</v>
      </c>
      <c r="E190" s="25" t="s">
        <v>258</v>
      </c>
      <c r="F190" s="51" t="str">
        <f>VLOOKUP(Клиенты[[#This Row],[GardenaChannel]],GardenChannel[[GardenChannel]:[Sales manager]],2,0)</f>
        <v>ОРЛОВ КИРИЛЛ</v>
      </c>
      <c r="H190" s="25" t="s">
        <v>479</v>
      </c>
    </row>
    <row r="191" spans="1:8" x14ac:dyDescent="0.25">
      <c r="A191" s="30" t="s">
        <v>929</v>
      </c>
      <c r="B191" s="25" t="s">
        <v>479</v>
      </c>
      <c r="C191" s="50" t="s">
        <v>486</v>
      </c>
      <c r="D191" s="25" t="s">
        <v>257</v>
      </c>
      <c r="E191" s="25" t="s">
        <v>258</v>
      </c>
      <c r="F191" s="51" t="str">
        <f>VLOOKUP(Клиенты[[#This Row],[GardenaChannel]],GardenChannel[[GardenChannel]:[Sales manager]],2,0)</f>
        <v>ОРЛОВ КИРИЛЛ</v>
      </c>
      <c r="H191" s="25" t="s">
        <v>479</v>
      </c>
    </row>
    <row r="192" spans="1:8" x14ac:dyDescent="0.25">
      <c r="A192" s="30" t="s">
        <v>930</v>
      </c>
      <c r="B192" s="25" t="s">
        <v>479</v>
      </c>
      <c r="C192" s="50" t="s">
        <v>487</v>
      </c>
      <c r="D192" s="25" t="s">
        <v>257</v>
      </c>
      <c r="E192" s="25" t="s">
        <v>258</v>
      </c>
      <c r="F192" s="51" t="str">
        <f>VLOOKUP(Клиенты[[#This Row],[GardenaChannel]],GardenChannel[[GardenChannel]:[Sales manager]],2,0)</f>
        <v>ОРЛОВ КИРИЛЛ</v>
      </c>
      <c r="H192" s="25" t="s">
        <v>479</v>
      </c>
    </row>
    <row r="193" spans="1:8" x14ac:dyDescent="0.25">
      <c r="A193" s="30" t="s">
        <v>931</v>
      </c>
      <c r="B193" s="25" t="s">
        <v>479</v>
      </c>
      <c r="C193" s="50" t="s">
        <v>488</v>
      </c>
      <c r="D193" s="25" t="s">
        <v>257</v>
      </c>
      <c r="E193" s="25" t="s">
        <v>258</v>
      </c>
      <c r="F193" s="51" t="str">
        <f>VLOOKUP(Клиенты[[#This Row],[GardenaChannel]],GardenChannel[[GardenChannel]:[Sales manager]],2,0)</f>
        <v>ОРЛОВ КИРИЛЛ</v>
      </c>
      <c r="H193" s="25" t="s">
        <v>479</v>
      </c>
    </row>
    <row r="194" spans="1:8" x14ac:dyDescent="0.25">
      <c r="A194" s="30" t="s">
        <v>932</v>
      </c>
      <c r="B194" s="25" t="s">
        <v>479</v>
      </c>
      <c r="C194" s="50" t="s">
        <v>489</v>
      </c>
      <c r="D194" s="25" t="s">
        <v>257</v>
      </c>
      <c r="E194" s="25" t="s">
        <v>258</v>
      </c>
      <c r="F194" s="51" t="str">
        <f>VLOOKUP(Клиенты[[#This Row],[GardenaChannel]],GardenChannel[[GardenChannel]:[Sales manager]],2,0)</f>
        <v>ОРЛОВ КИРИЛЛ</v>
      </c>
      <c r="H194" s="25" t="s">
        <v>479</v>
      </c>
    </row>
    <row r="195" spans="1:8" x14ac:dyDescent="0.25">
      <c r="A195" s="30" t="s">
        <v>933</v>
      </c>
      <c r="B195" s="25" t="s">
        <v>479</v>
      </c>
      <c r="C195" s="50" t="s">
        <v>490</v>
      </c>
      <c r="D195" s="25" t="s">
        <v>257</v>
      </c>
      <c r="E195" s="25" t="s">
        <v>258</v>
      </c>
      <c r="F195" s="51" t="str">
        <f>VLOOKUP(Клиенты[[#This Row],[GardenaChannel]],GardenChannel[[GardenChannel]:[Sales manager]],2,0)</f>
        <v>ОРЛОВ КИРИЛЛ</v>
      </c>
      <c r="H195" s="25" t="s">
        <v>479</v>
      </c>
    </row>
    <row r="196" spans="1:8" x14ac:dyDescent="0.25">
      <c r="A196" s="30" t="s">
        <v>934</v>
      </c>
      <c r="B196" s="25" t="s">
        <v>479</v>
      </c>
      <c r="C196" s="50" t="s">
        <v>491</v>
      </c>
      <c r="D196" s="25" t="s">
        <v>257</v>
      </c>
      <c r="E196" s="25" t="s">
        <v>258</v>
      </c>
      <c r="F196" s="51" t="str">
        <f>VLOOKUP(Клиенты[[#This Row],[GardenaChannel]],GardenChannel[[GardenChannel]:[Sales manager]],2,0)</f>
        <v>ОРЛОВ КИРИЛЛ</v>
      </c>
      <c r="H196" s="25" t="s">
        <v>479</v>
      </c>
    </row>
    <row r="197" spans="1:8" x14ac:dyDescent="0.25">
      <c r="A197" s="30" t="s">
        <v>935</v>
      </c>
      <c r="B197" s="25" t="s">
        <v>479</v>
      </c>
      <c r="C197" s="50" t="s">
        <v>492</v>
      </c>
      <c r="D197" s="25" t="s">
        <v>257</v>
      </c>
      <c r="E197" s="25" t="s">
        <v>258</v>
      </c>
      <c r="F197" s="51" t="str">
        <f>VLOOKUP(Клиенты[[#This Row],[GardenaChannel]],GardenChannel[[GardenChannel]:[Sales manager]],2,0)</f>
        <v>ОРЛОВ КИРИЛЛ</v>
      </c>
      <c r="H197" s="25" t="s">
        <v>479</v>
      </c>
    </row>
    <row r="198" spans="1:8" x14ac:dyDescent="0.25">
      <c r="A198" s="30" t="s">
        <v>936</v>
      </c>
      <c r="B198" s="25" t="s">
        <v>479</v>
      </c>
      <c r="C198" s="50" t="s">
        <v>493</v>
      </c>
      <c r="D198" s="25" t="s">
        <v>257</v>
      </c>
      <c r="E198" s="25" t="s">
        <v>271</v>
      </c>
      <c r="F198" s="51" t="str">
        <f>VLOOKUP(Клиенты[[#This Row],[GardenaChannel]],GardenChannel[[GardenChannel]:[Sales manager]],2,0)</f>
        <v>ОРЛОВ КИРИЛЛ</v>
      </c>
      <c r="H198" s="25" t="s">
        <v>479</v>
      </c>
    </row>
    <row r="199" spans="1:8" x14ac:dyDescent="0.25">
      <c r="A199" s="30" t="s">
        <v>937</v>
      </c>
      <c r="B199" s="25" t="s">
        <v>479</v>
      </c>
      <c r="C199" s="50" t="s">
        <v>494</v>
      </c>
      <c r="D199" s="25" t="s">
        <v>257</v>
      </c>
      <c r="E199" s="25" t="s">
        <v>258</v>
      </c>
      <c r="F199" s="51" t="str">
        <f>VLOOKUP(Клиенты[[#This Row],[GardenaChannel]],GardenChannel[[GardenChannel]:[Sales manager]],2,0)</f>
        <v>ОРЛОВ КИРИЛЛ</v>
      </c>
      <c r="H199" s="25" t="s">
        <v>479</v>
      </c>
    </row>
    <row r="200" spans="1:8" x14ac:dyDescent="0.25">
      <c r="A200" s="30" t="s">
        <v>938</v>
      </c>
      <c r="B200" s="25" t="s">
        <v>479</v>
      </c>
      <c r="C200" s="50" t="s">
        <v>495</v>
      </c>
      <c r="D200" s="25" t="s">
        <v>257</v>
      </c>
      <c r="E200" s="25" t="s">
        <v>258</v>
      </c>
      <c r="F200" s="51" t="str">
        <f>VLOOKUP(Клиенты[[#This Row],[GardenaChannel]],GardenChannel[[GardenChannel]:[Sales manager]],2,0)</f>
        <v>ОРЛОВ КИРИЛЛ</v>
      </c>
      <c r="H200" s="25" t="s">
        <v>479</v>
      </c>
    </row>
    <row r="201" spans="1:8" x14ac:dyDescent="0.25">
      <c r="A201" s="30" t="s">
        <v>939</v>
      </c>
      <c r="B201" s="25" t="s">
        <v>479</v>
      </c>
      <c r="C201" s="50" t="s">
        <v>496</v>
      </c>
      <c r="D201" s="25" t="s">
        <v>257</v>
      </c>
      <c r="E201" s="25" t="s">
        <v>258</v>
      </c>
      <c r="F201" s="51" t="str">
        <f>VLOOKUP(Клиенты[[#This Row],[GardenaChannel]],GardenChannel[[GardenChannel]:[Sales manager]],2,0)</f>
        <v>ОРЛОВ КИРИЛЛ</v>
      </c>
      <c r="H201" s="25" t="s">
        <v>479</v>
      </c>
    </row>
    <row r="202" spans="1:8" x14ac:dyDescent="0.25">
      <c r="A202" s="30" t="s">
        <v>940</v>
      </c>
      <c r="B202" s="25" t="s">
        <v>479</v>
      </c>
      <c r="C202" s="50" t="s">
        <v>497</v>
      </c>
      <c r="D202" s="25" t="s">
        <v>257</v>
      </c>
      <c r="E202" s="25" t="s">
        <v>258</v>
      </c>
      <c r="F202" s="51" t="str">
        <f>VLOOKUP(Клиенты[[#This Row],[GardenaChannel]],GardenChannel[[GardenChannel]:[Sales manager]],2,0)</f>
        <v>ОРЛОВ КИРИЛЛ</v>
      </c>
      <c r="H202" s="25" t="s">
        <v>479</v>
      </c>
    </row>
    <row r="203" spans="1:8" x14ac:dyDescent="0.25">
      <c r="A203" s="30" t="s">
        <v>941</v>
      </c>
      <c r="B203" s="25" t="s">
        <v>479</v>
      </c>
      <c r="C203" s="50" t="s">
        <v>498</v>
      </c>
      <c r="D203" s="25" t="s">
        <v>257</v>
      </c>
      <c r="E203" s="25" t="s">
        <v>271</v>
      </c>
      <c r="F203" s="51" t="str">
        <f>VLOOKUP(Клиенты[[#This Row],[GardenaChannel]],GardenChannel[[GardenChannel]:[Sales manager]],2,0)</f>
        <v>ОРЛОВ КИРИЛЛ</v>
      </c>
      <c r="H203" s="25" t="s">
        <v>479</v>
      </c>
    </row>
    <row r="204" spans="1:8" x14ac:dyDescent="0.25">
      <c r="A204" s="30" t="s">
        <v>942</v>
      </c>
      <c r="B204" s="25" t="s">
        <v>479</v>
      </c>
      <c r="C204" s="50" t="s">
        <v>499</v>
      </c>
      <c r="D204" s="25" t="s">
        <v>257</v>
      </c>
      <c r="E204" s="25" t="s">
        <v>271</v>
      </c>
      <c r="F204" s="51" t="str">
        <f>VLOOKUP(Клиенты[[#This Row],[GardenaChannel]],GardenChannel[[GardenChannel]:[Sales manager]],2,0)</f>
        <v>ОРЛОВ КИРИЛЛ</v>
      </c>
      <c r="H204" s="25" t="s">
        <v>479</v>
      </c>
    </row>
    <row r="205" spans="1:8" x14ac:dyDescent="0.25">
      <c r="A205" s="30" t="s">
        <v>943</v>
      </c>
      <c r="B205" s="25" t="s">
        <v>479</v>
      </c>
      <c r="C205" s="50" t="s">
        <v>500</v>
      </c>
      <c r="D205" s="25" t="s">
        <v>257</v>
      </c>
      <c r="E205" s="25" t="s">
        <v>258</v>
      </c>
      <c r="F205" s="51" t="str">
        <f>VLOOKUP(Клиенты[[#This Row],[GardenaChannel]],GardenChannel[[GardenChannel]:[Sales manager]],2,0)</f>
        <v>ОРЛОВ КИРИЛЛ</v>
      </c>
      <c r="H205" s="25" t="s">
        <v>479</v>
      </c>
    </row>
    <row r="206" spans="1:8" x14ac:dyDescent="0.25">
      <c r="A206" s="30" t="s">
        <v>944</v>
      </c>
      <c r="B206" s="25" t="s">
        <v>479</v>
      </c>
      <c r="C206" s="50" t="s">
        <v>501</v>
      </c>
      <c r="D206" s="25" t="s">
        <v>257</v>
      </c>
      <c r="E206" s="25" t="s">
        <v>258</v>
      </c>
      <c r="F206" s="51" t="str">
        <f>VLOOKUP(Клиенты[[#This Row],[GardenaChannel]],GardenChannel[[GardenChannel]:[Sales manager]],2,0)</f>
        <v>ОРЛОВ КИРИЛЛ</v>
      </c>
      <c r="H206" s="25" t="s">
        <v>479</v>
      </c>
    </row>
    <row r="207" spans="1:8" x14ac:dyDescent="0.25">
      <c r="A207" s="30" t="s">
        <v>945</v>
      </c>
      <c r="B207" s="25" t="s">
        <v>479</v>
      </c>
      <c r="C207" s="50" t="s">
        <v>502</v>
      </c>
      <c r="D207" s="25" t="s">
        <v>257</v>
      </c>
      <c r="E207" s="25" t="s">
        <v>258</v>
      </c>
      <c r="F207" s="51" t="str">
        <f>VLOOKUP(Клиенты[[#This Row],[GardenaChannel]],GardenChannel[[GardenChannel]:[Sales manager]],2,0)</f>
        <v>ОРЛОВ КИРИЛЛ</v>
      </c>
      <c r="H207" s="25" t="s">
        <v>479</v>
      </c>
    </row>
    <row r="208" spans="1:8" x14ac:dyDescent="0.25">
      <c r="A208" s="30" t="s">
        <v>946</v>
      </c>
      <c r="B208" s="25" t="s">
        <v>479</v>
      </c>
      <c r="C208" s="50" t="s">
        <v>503</v>
      </c>
      <c r="D208" s="25" t="s">
        <v>257</v>
      </c>
      <c r="E208" s="25" t="s">
        <v>258</v>
      </c>
      <c r="F208" s="51" t="str">
        <f>VLOOKUP(Клиенты[[#This Row],[GardenaChannel]],GardenChannel[[GardenChannel]:[Sales manager]],2,0)</f>
        <v>ОРЛОВ КИРИЛЛ</v>
      </c>
      <c r="H208" s="25" t="s">
        <v>479</v>
      </c>
    </row>
    <row r="209" spans="1:8" x14ac:dyDescent="0.25">
      <c r="A209" s="30" t="s">
        <v>947</v>
      </c>
      <c r="B209" s="25" t="s">
        <v>479</v>
      </c>
      <c r="C209" s="50" t="s">
        <v>504</v>
      </c>
      <c r="D209" s="25" t="s">
        <v>257</v>
      </c>
      <c r="E209" s="25" t="s">
        <v>258</v>
      </c>
      <c r="F209" s="51" t="str">
        <f>VLOOKUP(Клиенты[[#This Row],[GardenaChannel]],GardenChannel[[GardenChannel]:[Sales manager]],2,0)</f>
        <v>ОРЛОВ КИРИЛЛ</v>
      </c>
      <c r="H209" s="25" t="s">
        <v>479</v>
      </c>
    </row>
    <row r="210" spans="1:8" x14ac:dyDescent="0.25">
      <c r="A210" s="30" t="s">
        <v>948</v>
      </c>
      <c r="B210" s="25" t="s">
        <v>479</v>
      </c>
      <c r="C210" s="50" t="s">
        <v>505</v>
      </c>
      <c r="D210" s="25" t="s">
        <v>257</v>
      </c>
      <c r="E210" s="25" t="s">
        <v>258</v>
      </c>
      <c r="F210" s="51" t="str">
        <f>VLOOKUP(Клиенты[[#This Row],[GardenaChannel]],GardenChannel[[GardenChannel]:[Sales manager]],2,0)</f>
        <v>ОРЛОВ КИРИЛЛ</v>
      </c>
      <c r="H210" s="25" t="s">
        <v>479</v>
      </c>
    </row>
    <row r="211" spans="1:8" x14ac:dyDescent="0.25">
      <c r="A211" s="30" t="s">
        <v>949</v>
      </c>
      <c r="B211" s="25" t="s">
        <v>479</v>
      </c>
      <c r="C211" s="50" t="s">
        <v>506</v>
      </c>
      <c r="D211" s="25" t="s">
        <v>257</v>
      </c>
      <c r="E211" s="25" t="s">
        <v>258</v>
      </c>
      <c r="F211" s="51" t="str">
        <f>VLOOKUP(Клиенты[[#This Row],[GardenaChannel]],GardenChannel[[GardenChannel]:[Sales manager]],2,0)</f>
        <v>ОРЛОВ КИРИЛЛ</v>
      </c>
      <c r="H211" s="25" t="s">
        <v>479</v>
      </c>
    </row>
    <row r="212" spans="1:8" x14ac:dyDescent="0.25">
      <c r="A212" s="30" t="s">
        <v>950</v>
      </c>
      <c r="B212" s="25" t="s">
        <v>479</v>
      </c>
      <c r="C212" s="50" t="s">
        <v>507</v>
      </c>
      <c r="D212" s="25" t="s">
        <v>257</v>
      </c>
      <c r="E212" s="25" t="s">
        <v>295</v>
      </c>
      <c r="F212" s="51" t="str">
        <f>VLOOKUP(Клиенты[[#This Row],[GardenaChannel]],GardenChannel[[GardenChannel]:[Sales manager]],2,0)</f>
        <v>ОРЛОВ КИРИЛЛ</v>
      </c>
      <c r="H212" s="25" t="s">
        <v>479</v>
      </c>
    </row>
    <row r="213" spans="1:8" x14ac:dyDescent="0.25">
      <c r="A213" s="30" t="s">
        <v>951</v>
      </c>
      <c r="B213" s="25" t="s">
        <v>479</v>
      </c>
      <c r="C213" s="50" t="s">
        <v>508</v>
      </c>
      <c r="D213" s="25" t="s">
        <v>257</v>
      </c>
      <c r="E213" s="25" t="s">
        <v>258</v>
      </c>
      <c r="F213" s="51" t="str">
        <f>VLOOKUP(Клиенты[[#This Row],[GardenaChannel]],GardenChannel[[GardenChannel]:[Sales manager]],2,0)</f>
        <v>ОРЛОВ КИРИЛЛ</v>
      </c>
      <c r="H213" s="25" t="s">
        <v>479</v>
      </c>
    </row>
    <row r="214" spans="1:8" x14ac:dyDescent="0.25">
      <c r="A214" s="30" t="s">
        <v>952</v>
      </c>
      <c r="B214" s="25" t="s">
        <v>479</v>
      </c>
      <c r="C214" s="50" t="s">
        <v>509</v>
      </c>
      <c r="D214" s="25" t="s">
        <v>257</v>
      </c>
      <c r="E214" s="25" t="s">
        <v>258</v>
      </c>
      <c r="F214" s="51" t="str">
        <f>VLOOKUP(Клиенты[[#This Row],[GardenaChannel]],GardenChannel[[GardenChannel]:[Sales manager]],2,0)</f>
        <v>ОРЛОВ КИРИЛЛ</v>
      </c>
      <c r="H214" s="25" t="s">
        <v>479</v>
      </c>
    </row>
    <row r="215" spans="1:8" x14ac:dyDescent="0.25">
      <c r="A215" s="30" t="s">
        <v>953</v>
      </c>
      <c r="B215" s="25" t="s">
        <v>479</v>
      </c>
      <c r="C215" s="50" t="s">
        <v>510</v>
      </c>
      <c r="D215" s="25" t="s">
        <v>257</v>
      </c>
      <c r="E215" s="25" t="s">
        <v>258</v>
      </c>
      <c r="F215" s="51" t="str">
        <f>VLOOKUP(Клиенты[[#This Row],[GardenaChannel]],GardenChannel[[GardenChannel]:[Sales manager]],2,0)</f>
        <v>ОРЛОВ КИРИЛЛ</v>
      </c>
      <c r="H215" s="25" t="s">
        <v>479</v>
      </c>
    </row>
    <row r="216" spans="1:8" x14ac:dyDescent="0.25">
      <c r="A216" s="30" t="s">
        <v>954</v>
      </c>
      <c r="B216" s="25" t="s">
        <v>479</v>
      </c>
      <c r="C216" s="50" t="s">
        <v>511</v>
      </c>
      <c r="D216" s="25" t="s">
        <v>257</v>
      </c>
      <c r="E216" s="25" t="s">
        <v>258</v>
      </c>
      <c r="F216" s="51" t="str">
        <f>VLOOKUP(Клиенты[[#This Row],[GardenaChannel]],GardenChannel[[GardenChannel]:[Sales manager]],2,0)</f>
        <v>ОРЛОВ КИРИЛЛ</v>
      </c>
      <c r="H216" s="25" t="s">
        <v>479</v>
      </c>
    </row>
    <row r="217" spans="1:8" x14ac:dyDescent="0.25">
      <c r="A217" s="30" t="s">
        <v>955</v>
      </c>
      <c r="B217" s="25" t="s">
        <v>479</v>
      </c>
      <c r="C217" s="50" t="s">
        <v>512</v>
      </c>
      <c r="D217" s="25" t="s">
        <v>257</v>
      </c>
      <c r="E217" s="25" t="s">
        <v>258</v>
      </c>
      <c r="F217" s="51" t="str">
        <f>VLOOKUP(Клиенты[[#This Row],[GardenaChannel]],GardenChannel[[GardenChannel]:[Sales manager]],2,0)</f>
        <v>ОРЛОВ КИРИЛЛ</v>
      </c>
      <c r="H217" s="25" t="s">
        <v>479</v>
      </c>
    </row>
    <row r="218" spans="1:8" x14ac:dyDescent="0.25">
      <c r="A218" s="30" t="s">
        <v>956</v>
      </c>
      <c r="B218" s="25" t="s">
        <v>479</v>
      </c>
      <c r="C218" s="50" t="s">
        <v>513</v>
      </c>
      <c r="D218" s="25" t="s">
        <v>257</v>
      </c>
      <c r="E218" s="25" t="s">
        <v>271</v>
      </c>
      <c r="F218" s="51" t="str">
        <f>VLOOKUP(Клиенты[[#This Row],[GardenaChannel]],GardenChannel[[GardenChannel]:[Sales manager]],2,0)</f>
        <v>ОРЛОВ КИРИЛЛ</v>
      </c>
      <c r="H218" s="25" t="s">
        <v>479</v>
      </c>
    </row>
    <row r="219" spans="1:8" x14ac:dyDescent="0.25">
      <c r="A219" s="30" t="s">
        <v>957</v>
      </c>
      <c r="B219" s="25" t="s">
        <v>479</v>
      </c>
      <c r="C219" s="50" t="s">
        <v>514</v>
      </c>
      <c r="D219" s="25" t="s">
        <v>257</v>
      </c>
      <c r="E219" s="25" t="s">
        <v>258</v>
      </c>
      <c r="F219" s="51" t="str">
        <f>VLOOKUP(Клиенты[[#This Row],[GardenaChannel]],GardenChannel[[GardenChannel]:[Sales manager]],2,0)</f>
        <v>ОРЛОВ КИРИЛЛ</v>
      </c>
      <c r="H219" s="25" t="s">
        <v>479</v>
      </c>
    </row>
    <row r="220" spans="1:8" x14ac:dyDescent="0.25">
      <c r="A220" s="30" t="s">
        <v>958</v>
      </c>
      <c r="B220" s="25" t="s">
        <v>479</v>
      </c>
      <c r="C220" s="50" t="s">
        <v>515</v>
      </c>
      <c r="D220" s="25" t="s">
        <v>257</v>
      </c>
      <c r="E220" s="25" t="s">
        <v>258</v>
      </c>
      <c r="F220" s="51" t="str">
        <f>VLOOKUP(Клиенты[[#This Row],[GardenaChannel]],GardenChannel[[GardenChannel]:[Sales manager]],2,0)</f>
        <v>ОРЛОВ КИРИЛЛ</v>
      </c>
      <c r="H220" s="25" t="s">
        <v>479</v>
      </c>
    </row>
    <row r="221" spans="1:8" x14ac:dyDescent="0.25">
      <c r="A221" s="30" t="s">
        <v>959</v>
      </c>
      <c r="B221" s="25" t="s">
        <v>479</v>
      </c>
      <c r="C221" s="50" t="s">
        <v>516</v>
      </c>
      <c r="D221" s="25" t="s">
        <v>257</v>
      </c>
      <c r="E221" s="25" t="s">
        <v>258</v>
      </c>
      <c r="F221" s="51" t="str">
        <f>VLOOKUP(Клиенты[[#This Row],[GardenaChannel]],GardenChannel[[GardenChannel]:[Sales manager]],2,0)</f>
        <v>ОРЛОВ КИРИЛЛ</v>
      </c>
      <c r="H221" s="25" t="s">
        <v>479</v>
      </c>
    </row>
    <row r="222" spans="1:8" x14ac:dyDescent="0.25">
      <c r="A222" s="30" t="s">
        <v>960</v>
      </c>
      <c r="B222" s="25" t="s">
        <v>479</v>
      </c>
      <c r="C222" s="50" t="s">
        <v>517</v>
      </c>
      <c r="D222" s="25" t="s">
        <v>257</v>
      </c>
      <c r="E222" s="25" t="s">
        <v>258</v>
      </c>
      <c r="F222" s="51" t="str">
        <f>VLOOKUP(Клиенты[[#This Row],[GardenaChannel]],GardenChannel[[GardenChannel]:[Sales manager]],2,0)</f>
        <v>ОРЛОВ КИРИЛЛ</v>
      </c>
      <c r="H222" s="25" t="s">
        <v>479</v>
      </c>
    </row>
    <row r="223" spans="1:8" x14ac:dyDescent="0.25">
      <c r="A223" s="30" t="s">
        <v>961</v>
      </c>
      <c r="B223" s="25" t="s">
        <v>479</v>
      </c>
      <c r="C223" s="50" t="s">
        <v>518</v>
      </c>
      <c r="D223" s="25" t="s">
        <v>257</v>
      </c>
      <c r="E223" s="25" t="s">
        <v>258</v>
      </c>
      <c r="F223" s="51" t="str">
        <f>VLOOKUP(Клиенты[[#This Row],[GardenaChannel]],GardenChannel[[GardenChannel]:[Sales manager]],2,0)</f>
        <v>ОРЛОВ КИРИЛЛ</v>
      </c>
      <c r="H223" s="25" t="s">
        <v>479</v>
      </c>
    </row>
    <row r="224" spans="1:8" x14ac:dyDescent="0.25">
      <c r="A224" s="30" t="s">
        <v>962</v>
      </c>
      <c r="B224" s="25" t="s">
        <v>479</v>
      </c>
      <c r="C224" s="50" t="s">
        <v>519</v>
      </c>
      <c r="D224" s="25" t="s">
        <v>257</v>
      </c>
      <c r="E224" s="25" t="s">
        <v>271</v>
      </c>
      <c r="F224" s="51" t="str">
        <f>VLOOKUP(Клиенты[[#This Row],[GardenaChannel]],GardenChannel[[GardenChannel]:[Sales manager]],2,0)</f>
        <v>ОРЛОВ КИРИЛЛ</v>
      </c>
      <c r="H224" s="25" t="s">
        <v>479</v>
      </c>
    </row>
    <row r="225" spans="1:8" x14ac:dyDescent="0.25">
      <c r="A225" s="30" t="s">
        <v>963</v>
      </c>
      <c r="B225" s="25" t="s">
        <v>479</v>
      </c>
      <c r="C225" s="50" t="s">
        <v>520</v>
      </c>
      <c r="D225" s="25" t="s">
        <v>257</v>
      </c>
      <c r="E225" s="25" t="s">
        <v>258</v>
      </c>
      <c r="F225" s="51" t="str">
        <f>VLOOKUP(Клиенты[[#This Row],[GardenaChannel]],GardenChannel[[GardenChannel]:[Sales manager]],2,0)</f>
        <v>ОРЛОВ КИРИЛЛ</v>
      </c>
      <c r="H225" s="25" t="s">
        <v>479</v>
      </c>
    </row>
    <row r="226" spans="1:8" x14ac:dyDescent="0.25">
      <c r="A226" s="30" t="s">
        <v>964</v>
      </c>
      <c r="B226" s="25" t="s">
        <v>479</v>
      </c>
      <c r="C226" s="50" t="s">
        <v>521</v>
      </c>
      <c r="D226" s="25" t="s">
        <v>257</v>
      </c>
      <c r="E226" s="25" t="s">
        <v>258</v>
      </c>
      <c r="F226" s="51" t="str">
        <f>VLOOKUP(Клиенты[[#This Row],[GardenaChannel]],GardenChannel[[GardenChannel]:[Sales manager]],2,0)</f>
        <v>ОРЛОВ КИРИЛЛ</v>
      </c>
      <c r="H226" s="25" t="s">
        <v>479</v>
      </c>
    </row>
    <row r="227" spans="1:8" x14ac:dyDescent="0.25">
      <c r="A227" s="30" t="s">
        <v>965</v>
      </c>
      <c r="B227" s="25" t="s">
        <v>479</v>
      </c>
      <c r="C227" s="50" t="s">
        <v>522</v>
      </c>
      <c r="D227" s="25" t="s">
        <v>257</v>
      </c>
      <c r="E227" s="25" t="s">
        <v>258</v>
      </c>
      <c r="F227" s="51" t="str">
        <f>VLOOKUP(Клиенты[[#This Row],[GardenaChannel]],GardenChannel[[GardenChannel]:[Sales manager]],2,0)</f>
        <v>ОРЛОВ КИРИЛЛ</v>
      </c>
      <c r="H227" s="25" t="s">
        <v>479</v>
      </c>
    </row>
    <row r="228" spans="1:8" x14ac:dyDescent="0.25">
      <c r="A228" s="30" t="s">
        <v>966</v>
      </c>
      <c r="B228" s="25" t="s">
        <v>479</v>
      </c>
      <c r="C228" s="50" t="s">
        <v>523</v>
      </c>
      <c r="D228" s="25" t="s">
        <v>257</v>
      </c>
      <c r="E228" s="25" t="s">
        <v>258</v>
      </c>
      <c r="F228" s="51" t="str">
        <f>VLOOKUP(Клиенты[[#This Row],[GardenaChannel]],GardenChannel[[GardenChannel]:[Sales manager]],2,0)</f>
        <v>ОРЛОВ КИРИЛЛ</v>
      </c>
      <c r="H228" s="25" t="s">
        <v>479</v>
      </c>
    </row>
    <row r="229" spans="1:8" x14ac:dyDescent="0.25">
      <c r="A229" s="30" t="s">
        <v>967</v>
      </c>
      <c r="B229" s="25" t="s">
        <v>479</v>
      </c>
      <c r="C229" s="50" t="s">
        <v>524</v>
      </c>
      <c r="D229" s="25" t="s">
        <v>257</v>
      </c>
      <c r="E229" s="25" t="s">
        <v>258</v>
      </c>
      <c r="F229" s="51" t="str">
        <f>VLOOKUP(Клиенты[[#This Row],[GardenaChannel]],GardenChannel[[GardenChannel]:[Sales manager]],2,0)</f>
        <v>ОРЛОВ КИРИЛЛ</v>
      </c>
      <c r="H229" s="25" t="s">
        <v>479</v>
      </c>
    </row>
    <row r="230" spans="1:8" x14ac:dyDescent="0.25">
      <c r="A230" s="30" t="s">
        <v>968</v>
      </c>
      <c r="B230" s="25" t="s">
        <v>479</v>
      </c>
      <c r="C230" s="50" t="s">
        <v>525</v>
      </c>
      <c r="D230" s="25" t="s">
        <v>257</v>
      </c>
      <c r="E230" s="25" t="s">
        <v>295</v>
      </c>
      <c r="F230" s="51" t="str">
        <f>VLOOKUP(Клиенты[[#This Row],[GardenaChannel]],GardenChannel[[GardenChannel]:[Sales manager]],2,0)</f>
        <v>ОРЛОВ КИРИЛЛ</v>
      </c>
      <c r="H230" s="25" t="s">
        <v>479</v>
      </c>
    </row>
    <row r="231" spans="1:8" x14ac:dyDescent="0.25">
      <c r="A231" s="30" t="s">
        <v>969</v>
      </c>
      <c r="B231" s="25" t="s">
        <v>479</v>
      </c>
      <c r="C231" s="50" t="s">
        <v>526</v>
      </c>
      <c r="D231" s="25" t="s">
        <v>257</v>
      </c>
      <c r="E231" s="25" t="s">
        <v>258</v>
      </c>
      <c r="F231" s="51" t="str">
        <f>VLOOKUP(Клиенты[[#This Row],[GardenaChannel]],GardenChannel[[GardenChannel]:[Sales manager]],2,0)</f>
        <v>ОРЛОВ КИРИЛЛ</v>
      </c>
      <c r="H231" s="25" t="s">
        <v>479</v>
      </c>
    </row>
    <row r="232" spans="1:8" x14ac:dyDescent="0.25">
      <c r="A232" s="30" t="s">
        <v>970</v>
      </c>
      <c r="B232" s="25" t="s">
        <v>479</v>
      </c>
      <c r="C232" s="50" t="s">
        <v>527</v>
      </c>
      <c r="D232" s="25" t="s">
        <v>257</v>
      </c>
      <c r="E232" s="25" t="s">
        <v>271</v>
      </c>
      <c r="F232" s="51" t="str">
        <f>VLOOKUP(Клиенты[[#This Row],[GardenaChannel]],GardenChannel[[GardenChannel]:[Sales manager]],2,0)</f>
        <v>ОРЛОВ КИРИЛЛ</v>
      </c>
      <c r="H232" s="25" t="s">
        <v>479</v>
      </c>
    </row>
    <row r="233" spans="1:8" x14ac:dyDescent="0.25">
      <c r="A233" s="30" t="s">
        <v>971</v>
      </c>
      <c r="B233" s="25" t="s">
        <v>479</v>
      </c>
      <c r="C233" s="50" t="s">
        <v>528</v>
      </c>
      <c r="D233" s="25" t="s">
        <v>257</v>
      </c>
      <c r="E233" s="25" t="s">
        <v>258</v>
      </c>
      <c r="F233" s="51" t="str">
        <f>VLOOKUP(Клиенты[[#This Row],[GardenaChannel]],GardenChannel[[GardenChannel]:[Sales manager]],2,0)</f>
        <v>ОРЛОВ КИРИЛЛ</v>
      </c>
      <c r="H233" s="25" t="s">
        <v>479</v>
      </c>
    </row>
    <row r="234" spans="1:8" x14ac:dyDescent="0.25">
      <c r="A234" s="30" t="s">
        <v>972</v>
      </c>
      <c r="B234" s="25" t="s">
        <v>479</v>
      </c>
      <c r="C234" s="50" t="s">
        <v>529</v>
      </c>
      <c r="D234" s="25" t="s">
        <v>257</v>
      </c>
      <c r="E234" s="25" t="s">
        <v>258</v>
      </c>
      <c r="F234" s="51" t="str">
        <f>VLOOKUP(Клиенты[[#This Row],[GardenaChannel]],GardenChannel[[GardenChannel]:[Sales manager]],2,0)</f>
        <v>ОРЛОВ КИРИЛЛ</v>
      </c>
      <c r="H234" s="25" t="s">
        <v>479</v>
      </c>
    </row>
    <row r="235" spans="1:8" x14ac:dyDescent="0.25">
      <c r="A235" s="30" t="s">
        <v>973</v>
      </c>
      <c r="B235" s="25" t="s">
        <v>479</v>
      </c>
      <c r="C235" s="50" t="s">
        <v>530</v>
      </c>
      <c r="D235" s="25" t="s">
        <v>257</v>
      </c>
      <c r="E235" s="25" t="s">
        <v>271</v>
      </c>
      <c r="F235" s="51" t="str">
        <f>VLOOKUP(Клиенты[[#This Row],[GardenaChannel]],GardenChannel[[GardenChannel]:[Sales manager]],2,0)</f>
        <v>ОРЛОВ КИРИЛЛ</v>
      </c>
      <c r="H235" s="25" t="s">
        <v>479</v>
      </c>
    </row>
    <row r="236" spans="1:8" x14ac:dyDescent="0.25">
      <c r="A236" s="30" t="s">
        <v>974</v>
      </c>
      <c r="B236" s="25" t="s">
        <v>479</v>
      </c>
      <c r="C236" s="50" t="s">
        <v>531</v>
      </c>
      <c r="D236" s="25" t="s">
        <v>257</v>
      </c>
      <c r="E236" s="25" t="s">
        <v>258</v>
      </c>
      <c r="F236" s="51" t="str">
        <f>VLOOKUP(Клиенты[[#This Row],[GardenaChannel]],GardenChannel[[GardenChannel]:[Sales manager]],2,0)</f>
        <v>ОРЛОВ КИРИЛЛ</v>
      </c>
      <c r="H236" s="25" t="s">
        <v>479</v>
      </c>
    </row>
    <row r="237" spans="1:8" x14ac:dyDescent="0.25">
      <c r="A237" s="30" t="s">
        <v>975</v>
      </c>
      <c r="B237" s="25" t="s">
        <v>479</v>
      </c>
      <c r="C237" s="50" t="s">
        <v>532</v>
      </c>
      <c r="D237" s="25" t="s">
        <v>257</v>
      </c>
      <c r="E237" s="25" t="s">
        <v>258</v>
      </c>
      <c r="F237" s="51" t="str">
        <f>VLOOKUP(Клиенты[[#This Row],[GardenaChannel]],GardenChannel[[GardenChannel]:[Sales manager]],2,0)</f>
        <v>ОРЛОВ КИРИЛЛ</v>
      </c>
      <c r="H237" s="25" t="s">
        <v>479</v>
      </c>
    </row>
    <row r="238" spans="1:8" x14ac:dyDescent="0.25">
      <c r="A238" s="30" t="s">
        <v>976</v>
      </c>
      <c r="B238" s="25" t="s">
        <v>479</v>
      </c>
      <c r="C238" s="50" t="s">
        <v>533</v>
      </c>
      <c r="D238" s="25" t="s">
        <v>257</v>
      </c>
      <c r="E238" s="25" t="s">
        <v>295</v>
      </c>
      <c r="F238" s="51" t="str">
        <f>VLOOKUP(Клиенты[[#This Row],[GardenaChannel]],GardenChannel[[GardenChannel]:[Sales manager]],2,0)</f>
        <v>ОРЛОВ КИРИЛЛ</v>
      </c>
      <c r="H238" s="25" t="s">
        <v>479</v>
      </c>
    </row>
    <row r="239" spans="1:8" x14ac:dyDescent="0.25">
      <c r="A239" s="30" t="s">
        <v>977</v>
      </c>
      <c r="B239" s="25" t="s">
        <v>479</v>
      </c>
      <c r="C239" s="50" t="s">
        <v>534</v>
      </c>
      <c r="D239" s="25" t="s">
        <v>257</v>
      </c>
      <c r="E239" s="25" t="s">
        <v>258</v>
      </c>
      <c r="F239" s="51" t="str">
        <f>VLOOKUP(Клиенты[[#This Row],[GardenaChannel]],GardenChannel[[GardenChannel]:[Sales manager]],2,0)</f>
        <v>ОРЛОВ КИРИЛЛ</v>
      </c>
      <c r="H239" s="25" t="s">
        <v>479</v>
      </c>
    </row>
    <row r="240" spans="1:8" x14ac:dyDescent="0.25">
      <c r="A240" s="30" t="s">
        <v>978</v>
      </c>
      <c r="B240" s="25" t="s">
        <v>479</v>
      </c>
      <c r="C240" s="50" t="s">
        <v>535</v>
      </c>
      <c r="D240" s="25" t="s">
        <v>257</v>
      </c>
      <c r="E240" s="25" t="s">
        <v>258</v>
      </c>
      <c r="F240" s="51" t="str">
        <f>VLOOKUP(Клиенты[[#This Row],[GardenaChannel]],GardenChannel[[GardenChannel]:[Sales manager]],2,0)</f>
        <v>ОРЛОВ КИРИЛЛ</v>
      </c>
      <c r="H240" s="25" t="s">
        <v>479</v>
      </c>
    </row>
    <row r="241" spans="1:8" x14ac:dyDescent="0.25">
      <c r="A241" s="30" t="s">
        <v>979</v>
      </c>
      <c r="B241" s="25" t="s">
        <v>479</v>
      </c>
      <c r="C241" s="50" t="s">
        <v>536</v>
      </c>
      <c r="D241" s="25" t="s">
        <v>257</v>
      </c>
      <c r="E241" s="25" t="s">
        <v>258</v>
      </c>
      <c r="F241" s="51" t="str">
        <f>VLOOKUP(Клиенты[[#This Row],[GardenaChannel]],GardenChannel[[GardenChannel]:[Sales manager]],2,0)</f>
        <v>ОРЛОВ КИРИЛЛ</v>
      </c>
      <c r="H241" s="25" t="s">
        <v>479</v>
      </c>
    </row>
    <row r="242" spans="1:8" x14ac:dyDescent="0.25">
      <c r="A242" s="30" t="s">
        <v>980</v>
      </c>
      <c r="B242" s="25" t="s">
        <v>479</v>
      </c>
      <c r="C242" s="50" t="s">
        <v>537</v>
      </c>
      <c r="D242" s="25" t="s">
        <v>257</v>
      </c>
      <c r="E242" s="25" t="s">
        <v>258</v>
      </c>
      <c r="F242" s="51" t="str">
        <f>VLOOKUP(Клиенты[[#This Row],[GardenaChannel]],GardenChannel[[GardenChannel]:[Sales manager]],2,0)</f>
        <v>ОРЛОВ КИРИЛЛ</v>
      </c>
      <c r="H242" s="25" t="s">
        <v>479</v>
      </c>
    </row>
    <row r="243" spans="1:8" x14ac:dyDescent="0.25">
      <c r="A243" s="30" t="s">
        <v>981</v>
      </c>
      <c r="B243" s="25" t="s">
        <v>479</v>
      </c>
      <c r="C243" s="50" t="s">
        <v>538</v>
      </c>
      <c r="D243" s="25" t="s">
        <v>257</v>
      </c>
      <c r="E243" s="25" t="s">
        <v>295</v>
      </c>
      <c r="F243" s="51" t="str">
        <f>VLOOKUP(Клиенты[[#This Row],[GardenaChannel]],GardenChannel[[GardenChannel]:[Sales manager]],2,0)</f>
        <v>ОРЛОВ КИРИЛЛ</v>
      </c>
      <c r="H243" s="25" t="s">
        <v>479</v>
      </c>
    </row>
    <row r="244" spans="1:8" x14ac:dyDescent="0.25">
      <c r="A244" s="30" t="s">
        <v>982</v>
      </c>
      <c r="B244" s="25" t="s">
        <v>479</v>
      </c>
      <c r="C244" s="50" t="s">
        <v>539</v>
      </c>
      <c r="D244" s="25" t="s">
        <v>257</v>
      </c>
      <c r="E244" s="25" t="s">
        <v>258</v>
      </c>
      <c r="F244" s="51" t="str">
        <f>VLOOKUP(Клиенты[[#This Row],[GardenaChannel]],GardenChannel[[GardenChannel]:[Sales manager]],2,0)</f>
        <v>ОРЛОВ КИРИЛЛ</v>
      </c>
      <c r="H244" s="25" t="s">
        <v>479</v>
      </c>
    </row>
    <row r="245" spans="1:8" x14ac:dyDescent="0.25">
      <c r="A245" s="30" t="s">
        <v>983</v>
      </c>
      <c r="B245" s="25" t="s">
        <v>479</v>
      </c>
      <c r="C245" s="50" t="s">
        <v>540</v>
      </c>
      <c r="D245" s="25" t="s">
        <v>257</v>
      </c>
      <c r="E245" s="25" t="s">
        <v>258</v>
      </c>
      <c r="F245" s="51" t="str">
        <f>VLOOKUP(Клиенты[[#This Row],[GardenaChannel]],GardenChannel[[GardenChannel]:[Sales manager]],2,0)</f>
        <v>ОРЛОВ КИРИЛЛ</v>
      </c>
      <c r="H245" s="25" t="s">
        <v>479</v>
      </c>
    </row>
    <row r="246" spans="1:8" x14ac:dyDescent="0.25">
      <c r="A246" s="30" t="s">
        <v>984</v>
      </c>
      <c r="B246" s="25" t="s">
        <v>479</v>
      </c>
      <c r="C246" s="50" t="s">
        <v>541</v>
      </c>
      <c r="D246" s="25" t="s">
        <v>257</v>
      </c>
      <c r="E246" s="25" t="s">
        <v>258</v>
      </c>
      <c r="F246" s="51" t="str">
        <f>VLOOKUP(Клиенты[[#This Row],[GardenaChannel]],GardenChannel[[GardenChannel]:[Sales manager]],2,0)</f>
        <v>ОРЛОВ КИРИЛЛ</v>
      </c>
      <c r="H246" s="25" t="s">
        <v>479</v>
      </c>
    </row>
    <row r="247" spans="1:8" x14ac:dyDescent="0.25">
      <c r="A247" s="30" t="s">
        <v>985</v>
      </c>
      <c r="B247" s="25" t="s">
        <v>479</v>
      </c>
      <c r="C247" s="50" t="s">
        <v>542</v>
      </c>
      <c r="D247" s="25" t="s">
        <v>257</v>
      </c>
      <c r="E247" s="25" t="s">
        <v>258</v>
      </c>
      <c r="F247" s="51" t="str">
        <f>VLOOKUP(Клиенты[[#This Row],[GardenaChannel]],GardenChannel[[GardenChannel]:[Sales manager]],2,0)</f>
        <v>ОРЛОВ КИРИЛЛ</v>
      </c>
      <c r="H247" s="25" t="s">
        <v>479</v>
      </c>
    </row>
    <row r="248" spans="1:8" x14ac:dyDescent="0.25">
      <c r="A248" s="30" t="s">
        <v>986</v>
      </c>
      <c r="B248" s="25" t="s">
        <v>479</v>
      </c>
      <c r="C248" s="50" t="s">
        <v>543</v>
      </c>
      <c r="D248" s="25" t="s">
        <v>257</v>
      </c>
      <c r="E248" s="25" t="s">
        <v>258</v>
      </c>
      <c r="F248" s="51" t="str">
        <f>VLOOKUP(Клиенты[[#This Row],[GardenaChannel]],GardenChannel[[GardenChannel]:[Sales manager]],2,0)</f>
        <v>ОРЛОВ КИРИЛЛ</v>
      </c>
      <c r="H248" s="25" t="s">
        <v>479</v>
      </c>
    </row>
    <row r="249" spans="1:8" x14ac:dyDescent="0.25">
      <c r="A249" s="30" t="s">
        <v>987</v>
      </c>
      <c r="B249" s="25" t="s">
        <v>479</v>
      </c>
      <c r="C249" s="50" t="s">
        <v>544</v>
      </c>
      <c r="D249" s="25" t="s">
        <v>257</v>
      </c>
      <c r="E249" s="25" t="s">
        <v>258</v>
      </c>
      <c r="F249" s="51" t="str">
        <f>VLOOKUP(Клиенты[[#This Row],[GardenaChannel]],GardenChannel[[GardenChannel]:[Sales manager]],2,0)</f>
        <v>ОРЛОВ КИРИЛЛ</v>
      </c>
      <c r="H249" s="25" t="s">
        <v>479</v>
      </c>
    </row>
    <row r="250" spans="1:8" x14ac:dyDescent="0.25">
      <c r="A250" s="30" t="s">
        <v>988</v>
      </c>
      <c r="B250" s="25" t="s">
        <v>479</v>
      </c>
      <c r="C250" s="50" t="s">
        <v>545</v>
      </c>
      <c r="D250" s="25" t="s">
        <v>257</v>
      </c>
      <c r="E250" s="25" t="s">
        <v>258</v>
      </c>
      <c r="F250" s="51" t="str">
        <f>VLOOKUP(Клиенты[[#This Row],[GardenaChannel]],GardenChannel[[GardenChannel]:[Sales manager]],2,0)</f>
        <v>ОРЛОВ КИРИЛЛ</v>
      </c>
      <c r="H250" s="25" t="s">
        <v>479</v>
      </c>
    </row>
    <row r="251" spans="1:8" x14ac:dyDescent="0.25">
      <c r="A251" s="30" t="s">
        <v>989</v>
      </c>
      <c r="B251" s="25" t="s">
        <v>479</v>
      </c>
      <c r="C251" s="50" t="s">
        <v>546</v>
      </c>
      <c r="D251" s="25" t="s">
        <v>257</v>
      </c>
      <c r="E251" s="25" t="s">
        <v>258</v>
      </c>
      <c r="F251" s="51" t="str">
        <f>VLOOKUP(Клиенты[[#This Row],[GardenaChannel]],GardenChannel[[GardenChannel]:[Sales manager]],2,0)</f>
        <v>ОРЛОВ КИРИЛЛ</v>
      </c>
      <c r="H251" s="25" t="s">
        <v>479</v>
      </c>
    </row>
    <row r="252" spans="1:8" x14ac:dyDescent="0.25">
      <c r="A252" s="30" t="s">
        <v>990</v>
      </c>
      <c r="B252" s="25" t="s">
        <v>479</v>
      </c>
      <c r="C252" s="50" t="s">
        <v>547</v>
      </c>
      <c r="D252" s="25" t="s">
        <v>257</v>
      </c>
      <c r="E252" s="25" t="s">
        <v>258</v>
      </c>
      <c r="F252" s="51" t="str">
        <f>VLOOKUP(Клиенты[[#This Row],[GardenaChannel]],GardenChannel[[GardenChannel]:[Sales manager]],2,0)</f>
        <v>ОРЛОВ КИРИЛЛ</v>
      </c>
      <c r="H252" s="25" t="s">
        <v>479</v>
      </c>
    </row>
    <row r="253" spans="1:8" x14ac:dyDescent="0.25">
      <c r="A253" s="30" t="s">
        <v>991</v>
      </c>
      <c r="B253" s="25" t="s">
        <v>479</v>
      </c>
      <c r="C253" s="50" t="s">
        <v>548</v>
      </c>
      <c r="D253" s="25" t="s">
        <v>257</v>
      </c>
      <c r="E253" s="25" t="s">
        <v>258</v>
      </c>
      <c r="F253" s="51" t="str">
        <f>VLOOKUP(Клиенты[[#This Row],[GardenaChannel]],GardenChannel[[GardenChannel]:[Sales manager]],2,0)</f>
        <v>ОРЛОВ КИРИЛЛ</v>
      </c>
      <c r="H253" s="25" t="s">
        <v>479</v>
      </c>
    </row>
    <row r="254" spans="1:8" x14ac:dyDescent="0.25">
      <c r="A254" s="30" t="s">
        <v>992</v>
      </c>
      <c r="B254" s="25" t="s">
        <v>479</v>
      </c>
      <c r="C254" s="50" t="s">
        <v>549</v>
      </c>
      <c r="D254" s="25" t="s">
        <v>257</v>
      </c>
      <c r="E254" s="25" t="s">
        <v>258</v>
      </c>
      <c r="F254" s="51" t="str">
        <f>VLOOKUP(Клиенты[[#This Row],[GardenaChannel]],GardenChannel[[GardenChannel]:[Sales manager]],2,0)</f>
        <v>ОРЛОВ КИРИЛЛ</v>
      </c>
      <c r="H254" s="25" t="s">
        <v>479</v>
      </c>
    </row>
    <row r="255" spans="1:8" x14ac:dyDescent="0.25">
      <c r="A255" s="30" t="s">
        <v>993</v>
      </c>
      <c r="B255" s="25" t="s">
        <v>479</v>
      </c>
      <c r="C255" s="50" t="s">
        <v>550</v>
      </c>
      <c r="D255" s="25" t="s">
        <v>257</v>
      </c>
      <c r="E255" s="25" t="s">
        <v>258</v>
      </c>
      <c r="F255" s="51" t="str">
        <f>VLOOKUP(Клиенты[[#This Row],[GardenaChannel]],GardenChannel[[GardenChannel]:[Sales manager]],2,0)</f>
        <v>ОРЛОВ КИРИЛЛ</v>
      </c>
      <c r="H255" s="25" t="s">
        <v>479</v>
      </c>
    </row>
    <row r="256" spans="1:8" x14ac:dyDescent="0.25">
      <c r="A256" s="30" t="s">
        <v>994</v>
      </c>
      <c r="B256" s="25" t="s">
        <v>479</v>
      </c>
      <c r="C256" s="50" t="s">
        <v>551</v>
      </c>
      <c r="D256" s="25" t="s">
        <v>257</v>
      </c>
      <c r="E256" s="25" t="s">
        <v>258</v>
      </c>
      <c r="F256" s="51" t="str">
        <f>VLOOKUP(Клиенты[[#This Row],[GardenaChannel]],GardenChannel[[GardenChannel]:[Sales manager]],2,0)</f>
        <v>ОРЛОВ КИРИЛЛ</v>
      </c>
      <c r="H256" s="25" t="s">
        <v>479</v>
      </c>
    </row>
    <row r="257" spans="1:8" x14ac:dyDescent="0.25">
      <c r="A257" s="30" t="s">
        <v>995</v>
      </c>
      <c r="B257" s="25" t="s">
        <v>479</v>
      </c>
      <c r="C257" s="50" t="s">
        <v>552</v>
      </c>
      <c r="D257" s="25" t="s">
        <v>257</v>
      </c>
      <c r="E257" s="25" t="s">
        <v>258</v>
      </c>
      <c r="F257" s="51" t="str">
        <f>VLOOKUP(Клиенты[[#This Row],[GardenaChannel]],GardenChannel[[GardenChannel]:[Sales manager]],2,0)</f>
        <v>ОРЛОВ КИРИЛЛ</v>
      </c>
      <c r="H257" s="25" t="s">
        <v>479</v>
      </c>
    </row>
    <row r="258" spans="1:8" x14ac:dyDescent="0.25">
      <c r="A258" s="30" t="s">
        <v>996</v>
      </c>
      <c r="B258" s="25" t="s">
        <v>553</v>
      </c>
      <c r="C258" s="50" t="s">
        <v>554</v>
      </c>
      <c r="D258" s="25" t="s">
        <v>257</v>
      </c>
      <c r="E258" s="25" t="s">
        <v>258</v>
      </c>
      <c r="F258" s="51" t="str">
        <f>VLOOKUP(Клиенты[[#This Row],[GardenaChannel]],GardenChannel[[GardenChannel]:[Sales manager]],2,0)</f>
        <v>КАШКИН ВЛАДИМИР</v>
      </c>
      <c r="H258" s="25" t="s">
        <v>553</v>
      </c>
    </row>
    <row r="259" spans="1:8" x14ac:dyDescent="0.25">
      <c r="A259" s="30" t="s">
        <v>997</v>
      </c>
      <c r="B259" s="25" t="s">
        <v>553</v>
      </c>
      <c r="C259" s="50" t="s">
        <v>556</v>
      </c>
      <c r="D259" s="25" t="s">
        <v>257</v>
      </c>
      <c r="E259" s="25" t="s">
        <v>258</v>
      </c>
      <c r="F259" s="51" t="str">
        <f>VLOOKUP(Клиенты[[#This Row],[GardenaChannel]],GardenChannel[[GardenChannel]:[Sales manager]],2,0)</f>
        <v>КАШКИН ВЛАДИМИР</v>
      </c>
      <c r="H259" s="25" t="s">
        <v>553</v>
      </c>
    </row>
    <row r="260" spans="1:8" x14ac:dyDescent="0.25">
      <c r="A260" s="30" t="s">
        <v>998</v>
      </c>
      <c r="B260" s="25" t="s">
        <v>553</v>
      </c>
      <c r="C260" s="50" t="s">
        <v>557</v>
      </c>
      <c r="D260" s="25" t="s">
        <v>257</v>
      </c>
      <c r="E260" s="25" t="s">
        <v>258</v>
      </c>
      <c r="F260" s="51" t="str">
        <f>VLOOKUP(Клиенты[[#This Row],[GardenaChannel]],GardenChannel[[GardenChannel]:[Sales manager]],2,0)</f>
        <v>КАШКИН ВЛАДИМИР</v>
      </c>
      <c r="H260" s="25" t="s">
        <v>553</v>
      </c>
    </row>
    <row r="261" spans="1:8" x14ac:dyDescent="0.25">
      <c r="A261" s="30" t="s">
        <v>999</v>
      </c>
      <c r="B261" s="25" t="s">
        <v>553</v>
      </c>
      <c r="C261" s="50" t="s">
        <v>558</v>
      </c>
      <c r="D261" s="25" t="s">
        <v>257</v>
      </c>
      <c r="E261" s="25" t="s">
        <v>258</v>
      </c>
      <c r="F261" s="51" t="str">
        <f>VLOOKUP(Клиенты[[#This Row],[GardenaChannel]],GardenChannel[[GardenChannel]:[Sales manager]],2,0)</f>
        <v>КАШКИН ВЛАДИМИР</v>
      </c>
      <c r="H261" s="25" t="s">
        <v>553</v>
      </c>
    </row>
    <row r="262" spans="1:8" x14ac:dyDescent="0.25">
      <c r="A262" s="30" t="s">
        <v>1000</v>
      </c>
      <c r="B262" s="25" t="s">
        <v>553</v>
      </c>
      <c r="C262" s="50" t="s">
        <v>559</v>
      </c>
      <c r="D262" s="25" t="s">
        <v>257</v>
      </c>
      <c r="E262" s="25" t="s">
        <v>258</v>
      </c>
      <c r="F262" s="51" t="str">
        <f>VLOOKUP(Клиенты[[#This Row],[GardenaChannel]],GardenChannel[[GardenChannel]:[Sales manager]],2,0)</f>
        <v>КАШКИН ВЛАДИМИР</v>
      </c>
      <c r="H262" s="25" t="s">
        <v>553</v>
      </c>
    </row>
    <row r="263" spans="1:8" x14ac:dyDescent="0.25">
      <c r="A263" s="30" t="s">
        <v>1001</v>
      </c>
      <c r="B263" s="25" t="s">
        <v>553</v>
      </c>
      <c r="C263" s="50" t="s">
        <v>560</v>
      </c>
      <c r="D263" s="25" t="s">
        <v>257</v>
      </c>
      <c r="E263" s="25" t="s">
        <v>258</v>
      </c>
      <c r="F263" s="51" t="str">
        <f>VLOOKUP(Клиенты[[#This Row],[GardenaChannel]],GardenChannel[[GardenChannel]:[Sales manager]],2,0)</f>
        <v>КАШКИН ВЛАДИМИР</v>
      </c>
      <c r="H263" s="25" t="s">
        <v>553</v>
      </c>
    </row>
    <row r="264" spans="1:8" x14ac:dyDescent="0.25">
      <c r="A264" s="30" t="s">
        <v>1002</v>
      </c>
      <c r="B264" s="25" t="s">
        <v>553</v>
      </c>
      <c r="C264" s="50" t="s">
        <v>561</v>
      </c>
      <c r="D264" s="25" t="s">
        <v>257</v>
      </c>
      <c r="E264" s="25" t="s">
        <v>258</v>
      </c>
      <c r="F264" s="51" t="str">
        <f>VLOOKUP(Клиенты[[#This Row],[GardenaChannel]],GardenChannel[[GardenChannel]:[Sales manager]],2,0)</f>
        <v>КАШКИН ВЛАДИМИР</v>
      </c>
      <c r="H264" s="25" t="s">
        <v>553</v>
      </c>
    </row>
    <row r="265" spans="1:8" x14ac:dyDescent="0.25">
      <c r="A265" s="30" t="s">
        <v>1003</v>
      </c>
      <c r="B265" s="25" t="s">
        <v>553</v>
      </c>
      <c r="C265" s="50" t="s">
        <v>562</v>
      </c>
      <c r="D265" s="25" t="s">
        <v>257</v>
      </c>
      <c r="E265" s="25" t="s">
        <v>258</v>
      </c>
      <c r="F265" s="51" t="str">
        <f>VLOOKUP(Клиенты[[#This Row],[GardenaChannel]],GardenChannel[[GardenChannel]:[Sales manager]],2,0)</f>
        <v>КАШКИН ВЛАДИМИР</v>
      </c>
      <c r="H265" s="25" t="s">
        <v>553</v>
      </c>
    </row>
    <row r="266" spans="1:8" x14ac:dyDescent="0.25">
      <c r="A266" s="30" t="s">
        <v>1004</v>
      </c>
      <c r="B266" s="25" t="s">
        <v>553</v>
      </c>
      <c r="C266" s="50" t="s">
        <v>563</v>
      </c>
      <c r="D266" s="25" t="s">
        <v>257</v>
      </c>
      <c r="E266" s="25" t="s">
        <v>258</v>
      </c>
      <c r="F266" s="51" t="str">
        <f>VLOOKUP(Клиенты[[#This Row],[GardenaChannel]],GardenChannel[[GardenChannel]:[Sales manager]],2,0)</f>
        <v>КАШКИН ВЛАДИМИР</v>
      </c>
      <c r="H266" s="25" t="s">
        <v>553</v>
      </c>
    </row>
    <row r="267" spans="1:8" x14ac:dyDescent="0.25">
      <c r="A267" s="30" t="s">
        <v>1005</v>
      </c>
      <c r="B267" s="25" t="s">
        <v>553</v>
      </c>
      <c r="C267" s="50" t="s">
        <v>564</v>
      </c>
      <c r="D267" s="25" t="s">
        <v>257</v>
      </c>
      <c r="E267" s="25" t="s">
        <v>258</v>
      </c>
      <c r="F267" s="51" t="str">
        <f>VLOOKUP(Клиенты[[#This Row],[GardenaChannel]],GardenChannel[[GardenChannel]:[Sales manager]],2,0)</f>
        <v>КАШКИН ВЛАДИМИР</v>
      </c>
      <c r="H267" s="25" t="s">
        <v>553</v>
      </c>
    </row>
    <row r="268" spans="1:8" x14ac:dyDescent="0.25">
      <c r="A268" s="30" t="s">
        <v>1006</v>
      </c>
      <c r="B268" s="25" t="s">
        <v>553</v>
      </c>
      <c r="C268" s="50" t="s">
        <v>565</v>
      </c>
      <c r="D268" s="25" t="s">
        <v>257</v>
      </c>
      <c r="E268" s="25" t="s">
        <v>258</v>
      </c>
      <c r="F268" s="51" t="str">
        <f>VLOOKUP(Клиенты[[#This Row],[GardenaChannel]],GardenChannel[[GardenChannel]:[Sales manager]],2,0)</f>
        <v>КАШКИН ВЛАДИМИР</v>
      </c>
      <c r="H268" s="25" t="s">
        <v>553</v>
      </c>
    </row>
    <row r="269" spans="1:8" x14ac:dyDescent="0.25">
      <c r="A269" s="30" t="s">
        <v>1007</v>
      </c>
      <c r="B269" s="25" t="s">
        <v>553</v>
      </c>
      <c r="C269" s="50" t="s">
        <v>566</v>
      </c>
      <c r="D269" s="25" t="s">
        <v>257</v>
      </c>
      <c r="E269" s="25" t="s">
        <v>258</v>
      </c>
      <c r="F269" s="51" t="str">
        <f>VLOOKUP(Клиенты[[#This Row],[GardenaChannel]],GardenChannel[[GardenChannel]:[Sales manager]],2,0)</f>
        <v>КАШКИН ВЛАДИМИР</v>
      </c>
      <c r="H269" s="25" t="s">
        <v>553</v>
      </c>
    </row>
    <row r="270" spans="1:8" x14ac:dyDescent="0.25">
      <c r="A270" s="30" t="s">
        <v>1008</v>
      </c>
      <c r="B270" s="25" t="s">
        <v>553</v>
      </c>
      <c r="C270" s="50" t="s">
        <v>567</v>
      </c>
      <c r="D270" s="25" t="s">
        <v>257</v>
      </c>
      <c r="E270" s="25" t="s">
        <v>258</v>
      </c>
      <c r="F270" s="51" t="str">
        <f>VLOOKUP(Клиенты[[#This Row],[GardenaChannel]],GardenChannel[[GardenChannel]:[Sales manager]],2,0)</f>
        <v>КАШКИН ВЛАДИМИР</v>
      </c>
      <c r="H270" s="25" t="s">
        <v>553</v>
      </c>
    </row>
    <row r="271" spans="1:8" x14ac:dyDescent="0.25">
      <c r="A271" s="30" t="s">
        <v>1009</v>
      </c>
      <c r="B271" s="25" t="s">
        <v>553</v>
      </c>
      <c r="C271" s="50" t="s">
        <v>568</v>
      </c>
      <c r="D271" s="25" t="s">
        <v>257</v>
      </c>
      <c r="E271" s="25" t="s">
        <v>271</v>
      </c>
      <c r="F271" s="51" t="str">
        <f>VLOOKUP(Клиенты[[#This Row],[GardenaChannel]],GardenChannel[[GardenChannel]:[Sales manager]],2,0)</f>
        <v>КАШКИН ВЛАДИМИР</v>
      </c>
      <c r="H271" s="25" t="s">
        <v>553</v>
      </c>
    </row>
    <row r="272" spans="1:8" x14ac:dyDescent="0.25">
      <c r="A272" s="30" t="s">
        <v>1010</v>
      </c>
      <c r="B272" s="25" t="s">
        <v>553</v>
      </c>
      <c r="C272" s="50" t="s">
        <v>569</v>
      </c>
      <c r="D272" s="25" t="s">
        <v>257</v>
      </c>
      <c r="E272" s="25" t="s">
        <v>258</v>
      </c>
      <c r="F272" s="51" t="str">
        <f>VLOOKUP(Клиенты[[#This Row],[GardenaChannel]],GardenChannel[[GardenChannel]:[Sales manager]],2,0)</f>
        <v>КАШКИН ВЛАДИМИР</v>
      </c>
      <c r="H272" s="25" t="s">
        <v>553</v>
      </c>
    </row>
    <row r="273" spans="1:8" x14ac:dyDescent="0.25">
      <c r="A273" s="30" t="s">
        <v>1011</v>
      </c>
      <c r="B273" s="25" t="s">
        <v>553</v>
      </c>
      <c r="C273" s="50" t="s">
        <v>570</v>
      </c>
      <c r="D273" s="25" t="s">
        <v>257</v>
      </c>
      <c r="E273" s="25" t="s">
        <v>295</v>
      </c>
      <c r="F273" s="51" t="str">
        <f>VLOOKUP(Клиенты[[#This Row],[GardenaChannel]],GardenChannel[[GardenChannel]:[Sales manager]],2,0)</f>
        <v>КАШКИН ВЛАДИМИР</v>
      </c>
      <c r="H273" s="25" t="s">
        <v>553</v>
      </c>
    </row>
    <row r="274" spans="1:8" x14ac:dyDescent="0.25">
      <c r="A274" s="30" t="s">
        <v>1012</v>
      </c>
      <c r="B274" s="25" t="s">
        <v>553</v>
      </c>
      <c r="C274" s="50" t="s">
        <v>571</v>
      </c>
      <c r="D274" s="25" t="s">
        <v>257</v>
      </c>
      <c r="E274" s="25" t="s">
        <v>258</v>
      </c>
      <c r="F274" s="51" t="str">
        <f>VLOOKUP(Клиенты[[#This Row],[GardenaChannel]],GardenChannel[[GardenChannel]:[Sales manager]],2,0)</f>
        <v>КАШКИН ВЛАДИМИР</v>
      </c>
      <c r="H274" s="25" t="s">
        <v>553</v>
      </c>
    </row>
    <row r="275" spans="1:8" x14ac:dyDescent="0.25">
      <c r="A275" s="30" t="s">
        <v>1013</v>
      </c>
      <c r="B275" s="25" t="s">
        <v>553</v>
      </c>
      <c r="C275" s="50" t="s">
        <v>572</v>
      </c>
      <c r="D275" s="25" t="s">
        <v>257</v>
      </c>
      <c r="E275" s="25" t="s">
        <v>271</v>
      </c>
      <c r="F275" s="51" t="str">
        <f>VLOOKUP(Клиенты[[#This Row],[GardenaChannel]],GardenChannel[[GardenChannel]:[Sales manager]],2,0)</f>
        <v>КАШКИН ВЛАДИМИР</v>
      </c>
      <c r="H275" s="25" t="s">
        <v>553</v>
      </c>
    </row>
    <row r="276" spans="1:8" x14ac:dyDescent="0.25">
      <c r="A276" s="30" t="s">
        <v>1014</v>
      </c>
      <c r="B276" s="25" t="s">
        <v>553</v>
      </c>
      <c r="C276" s="50" t="s">
        <v>573</v>
      </c>
      <c r="D276" s="25" t="s">
        <v>257</v>
      </c>
      <c r="E276" s="25" t="s">
        <v>258</v>
      </c>
      <c r="F276" s="51" t="str">
        <f>VLOOKUP(Клиенты[[#This Row],[GardenaChannel]],GardenChannel[[GardenChannel]:[Sales manager]],2,0)</f>
        <v>КАШКИН ВЛАДИМИР</v>
      </c>
      <c r="H276" s="25" t="s">
        <v>553</v>
      </c>
    </row>
    <row r="277" spans="1:8" x14ac:dyDescent="0.25">
      <c r="A277" s="30" t="s">
        <v>1015</v>
      </c>
      <c r="B277" s="25" t="s">
        <v>553</v>
      </c>
      <c r="C277" s="50" t="s">
        <v>574</v>
      </c>
      <c r="D277" s="25" t="s">
        <v>257</v>
      </c>
      <c r="E277" s="25" t="s">
        <v>271</v>
      </c>
      <c r="F277" s="51" t="str">
        <f>VLOOKUP(Клиенты[[#This Row],[GardenaChannel]],GardenChannel[[GardenChannel]:[Sales manager]],2,0)</f>
        <v>КАШКИН ВЛАДИМИР</v>
      </c>
      <c r="H277" s="25" t="s">
        <v>553</v>
      </c>
    </row>
    <row r="278" spans="1:8" x14ac:dyDescent="0.25">
      <c r="A278" s="30" t="s">
        <v>1016</v>
      </c>
      <c r="B278" s="25" t="s">
        <v>553</v>
      </c>
      <c r="C278" s="50" t="s">
        <v>575</v>
      </c>
      <c r="D278" s="25" t="s">
        <v>257</v>
      </c>
      <c r="E278" s="25" t="s">
        <v>258</v>
      </c>
      <c r="F278" s="51" t="str">
        <f>VLOOKUP(Клиенты[[#This Row],[GardenaChannel]],GardenChannel[[GardenChannel]:[Sales manager]],2,0)</f>
        <v>КАШКИН ВЛАДИМИР</v>
      </c>
      <c r="H278" s="25" t="s">
        <v>553</v>
      </c>
    </row>
    <row r="279" spans="1:8" x14ac:dyDescent="0.25">
      <c r="A279" s="30" t="s">
        <v>1017</v>
      </c>
      <c r="B279" s="25" t="s">
        <v>553</v>
      </c>
      <c r="C279" s="50" t="s">
        <v>576</v>
      </c>
      <c r="D279" s="25" t="s">
        <v>257</v>
      </c>
      <c r="E279" s="25" t="s">
        <v>271</v>
      </c>
      <c r="F279" s="51" t="str">
        <f>VLOOKUP(Клиенты[[#This Row],[GardenaChannel]],GardenChannel[[GardenChannel]:[Sales manager]],2,0)</f>
        <v>КАШКИН ВЛАДИМИР</v>
      </c>
      <c r="H279" s="25" t="s">
        <v>553</v>
      </c>
    </row>
    <row r="280" spans="1:8" x14ac:dyDescent="0.25">
      <c r="A280" s="30" t="s">
        <v>1018</v>
      </c>
      <c r="B280" s="25" t="s">
        <v>553</v>
      </c>
      <c r="C280" s="50" t="s">
        <v>577</v>
      </c>
      <c r="D280" s="25" t="s">
        <v>257</v>
      </c>
      <c r="E280" s="25" t="s">
        <v>258</v>
      </c>
      <c r="F280" s="51" t="str">
        <f>VLOOKUP(Клиенты[[#This Row],[GardenaChannel]],GardenChannel[[GardenChannel]:[Sales manager]],2,0)</f>
        <v>КАШКИН ВЛАДИМИР</v>
      </c>
      <c r="H280" s="25" t="s">
        <v>553</v>
      </c>
    </row>
    <row r="281" spans="1:8" x14ac:dyDescent="0.25">
      <c r="A281" s="30" t="s">
        <v>1019</v>
      </c>
      <c r="B281" s="25" t="s">
        <v>553</v>
      </c>
      <c r="C281" s="50" t="s">
        <v>578</v>
      </c>
      <c r="D281" s="25" t="s">
        <v>257</v>
      </c>
      <c r="E281" s="25" t="s">
        <v>271</v>
      </c>
      <c r="F281" s="51" t="str">
        <f>VLOOKUP(Клиенты[[#This Row],[GardenaChannel]],GardenChannel[[GardenChannel]:[Sales manager]],2,0)</f>
        <v>КАШКИН ВЛАДИМИР</v>
      </c>
      <c r="H281" s="25" t="s">
        <v>553</v>
      </c>
    </row>
    <row r="282" spans="1:8" x14ac:dyDescent="0.25">
      <c r="A282" s="30" t="s">
        <v>1020</v>
      </c>
      <c r="B282" s="25" t="s">
        <v>553</v>
      </c>
      <c r="C282" s="50" t="s">
        <v>579</v>
      </c>
      <c r="D282" s="25" t="s">
        <v>257</v>
      </c>
      <c r="E282" s="25" t="s">
        <v>271</v>
      </c>
      <c r="F282" s="51" t="str">
        <f>VLOOKUP(Клиенты[[#This Row],[GardenaChannel]],GardenChannel[[GardenChannel]:[Sales manager]],2,0)</f>
        <v>КАШКИН ВЛАДИМИР</v>
      </c>
      <c r="H282" s="25" t="s">
        <v>553</v>
      </c>
    </row>
    <row r="283" spans="1:8" x14ac:dyDescent="0.25">
      <c r="A283" s="30" t="s">
        <v>1021</v>
      </c>
      <c r="B283" s="25" t="s">
        <v>553</v>
      </c>
      <c r="C283" s="50" t="s">
        <v>580</v>
      </c>
      <c r="D283" s="25" t="s">
        <v>257</v>
      </c>
      <c r="E283" s="25" t="s">
        <v>258</v>
      </c>
      <c r="F283" s="51" t="str">
        <f>VLOOKUP(Клиенты[[#This Row],[GardenaChannel]],GardenChannel[[GardenChannel]:[Sales manager]],2,0)</f>
        <v>КАШКИН ВЛАДИМИР</v>
      </c>
      <c r="H283" s="25" t="s">
        <v>553</v>
      </c>
    </row>
    <row r="284" spans="1:8" x14ac:dyDescent="0.25">
      <c r="A284" s="30" t="s">
        <v>1022</v>
      </c>
      <c r="B284" s="25" t="s">
        <v>553</v>
      </c>
      <c r="C284" s="50" t="s">
        <v>581</v>
      </c>
      <c r="D284" s="25" t="s">
        <v>257</v>
      </c>
      <c r="E284" s="25" t="s">
        <v>295</v>
      </c>
      <c r="F284" s="51" t="str">
        <f>VLOOKUP(Клиенты[[#This Row],[GardenaChannel]],GardenChannel[[GardenChannel]:[Sales manager]],2,0)</f>
        <v>КАШКИН ВЛАДИМИР</v>
      </c>
      <c r="H284" s="25" t="s">
        <v>553</v>
      </c>
    </row>
    <row r="285" spans="1:8" x14ac:dyDescent="0.25">
      <c r="A285" s="30" t="s">
        <v>1023</v>
      </c>
      <c r="B285" s="25" t="s">
        <v>553</v>
      </c>
      <c r="C285" s="50" t="s">
        <v>582</v>
      </c>
      <c r="D285" s="25" t="s">
        <v>257</v>
      </c>
      <c r="E285" s="25" t="s">
        <v>258</v>
      </c>
      <c r="F285" s="51" t="str">
        <f>VLOOKUP(Клиенты[[#This Row],[GardenaChannel]],GardenChannel[[GardenChannel]:[Sales manager]],2,0)</f>
        <v>КАШКИН ВЛАДИМИР</v>
      </c>
      <c r="H285" s="25" t="s">
        <v>553</v>
      </c>
    </row>
    <row r="286" spans="1:8" x14ac:dyDescent="0.25">
      <c r="A286" s="30" t="s">
        <v>1024</v>
      </c>
      <c r="B286" s="25" t="s">
        <v>553</v>
      </c>
      <c r="C286" s="50" t="s">
        <v>583</v>
      </c>
      <c r="D286" s="25" t="s">
        <v>257</v>
      </c>
      <c r="E286" s="25" t="s">
        <v>258</v>
      </c>
      <c r="F286" s="51" t="str">
        <f>VLOOKUP(Клиенты[[#This Row],[GardenaChannel]],GardenChannel[[GardenChannel]:[Sales manager]],2,0)</f>
        <v>КАШКИН ВЛАДИМИР</v>
      </c>
      <c r="H286" s="25" t="s">
        <v>553</v>
      </c>
    </row>
    <row r="287" spans="1:8" x14ac:dyDescent="0.25">
      <c r="A287" s="30" t="s">
        <v>1025</v>
      </c>
      <c r="B287" s="25" t="s">
        <v>553</v>
      </c>
      <c r="C287" s="50" t="s">
        <v>584</v>
      </c>
      <c r="D287" s="25" t="s">
        <v>257</v>
      </c>
      <c r="E287" s="25" t="s">
        <v>295</v>
      </c>
      <c r="F287" s="51" t="str">
        <f>VLOOKUP(Клиенты[[#This Row],[GardenaChannel]],GardenChannel[[GardenChannel]:[Sales manager]],2,0)</f>
        <v>КАШКИН ВЛАДИМИР</v>
      </c>
      <c r="H287" s="25" t="s">
        <v>553</v>
      </c>
    </row>
    <row r="288" spans="1:8" x14ac:dyDescent="0.25">
      <c r="A288" s="30" t="s">
        <v>1026</v>
      </c>
      <c r="B288" s="25" t="s">
        <v>553</v>
      </c>
      <c r="C288" s="50" t="s">
        <v>585</v>
      </c>
      <c r="D288" s="25" t="s">
        <v>257</v>
      </c>
      <c r="E288" s="25" t="s">
        <v>295</v>
      </c>
      <c r="F288" s="51" t="str">
        <f>VLOOKUP(Клиенты[[#This Row],[GardenaChannel]],GardenChannel[[GardenChannel]:[Sales manager]],2,0)</f>
        <v>КАШКИН ВЛАДИМИР</v>
      </c>
      <c r="H288" s="25" t="s">
        <v>553</v>
      </c>
    </row>
    <row r="289" spans="1:8" x14ac:dyDescent="0.25">
      <c r="A289" s="30" t="s">
        <v>1027</v>
      </c>
      <c r="B289" s="25" t="s">
        <v>553</v>
      </c>
      <c r="C289" s="50" t="s">
        <v>586</v>
      </c>
      <c r="D289" s="25" t="s">
        <v>257</v>
      </c>
      <c r="E289" s="25" t="s">
        <v>258</v>
      </c>
      <c r="F289" s="51" t="str">
        <f>VLOOKUP(Клиенты[[#This Row],[GardenaChannel]],GardenChannel[[GardenChannel]:[Sales manager]],2,0)</f>
        <v>КАШКИН ВЛАДИМИР</v>
      </c>
      <c r="H289" s="25" t="s">
        <v>553</v>
      </c>
    </row>
    <row r="290" spans="1:8" x14ac:dyDescent="0.25">
      <c r="A290" s="30" t="s">
        <v>1028</v>
      </c>
      <c r="B290" s="25" t="s">
        <v>553</v>
      </c>
      <c r="C290" s="50" t="s">
        <v>587</v>
      </c>
      <c r="D290" s="25" t="s">
        <v>257</v>
      </c>
      <c r="E290" s="25" t="s">
        <v>258</v>
      </c>
      <c r="F290" s="51" t="str">
        <f>VLOOKUP(Клиенты[[#This Row],[GardenaChannel]],GardenChannel[[GardenChannel]:[Sales manager]],2,0)</f>
        <v>КАШКИН ВЛАДИМИР</v>
      </c>
      <c r="H290" s="25" t="s">
        <v>553</v>
      </c>
    </row>
    <row r="291" spans="1:8" x14ac:dyDescent="0.25">
      <c r="A291" s="30" t="s">
        <v>1029</v>
      </c>
      <c r="B291" s="25" t="s">
        <v>553</v>
      </c>
      <c r="C291" s="50" t="s">
        <v>588</v>
      </c>
      <c r="D291" s="25" t="s">
        <v>257</v>
      </c>
      <c r="E291" s="25" t="s">
        <v>271</v>
      </c>
      <c r="F291" s="51" t="str">
        <f>VLOOKUP(Клиенты[[#This Row],[GardenaChannel]],GardenChannel[[GardenChannel]:[Sales manager]],2,0)</f>
        <v>КАШКИН ВЛАДИМИР</v>
      </c>
      <c r="H291" s="25" t="s">
        <v>553</v>
      </c>
    </row>
    <row r="292" spans="1:8" x14ac:dyDescent="0.25">
      <c r="A292" s="30" t="s">
        <v>1030</v>
      </c>
      <c r="B292" s="25" t="s">
        <v>553</v>
      </c>
      <c r="C292" s="50" t="s">
        <v>589</v>
      </c>
      <c r="D292" s="25" t="s">
        <v>257</v>
      </c>
      <c r="E292" s="25" t="s">
        <v>258</v>
      </c>
      <c r="F292" s="51" t="str">
        <f>VLOOKUP(Клиенты[[#This Row],[GardenaChannel]],GardenChannel[[GardenChannel]:[Sales manager]],2,0)</f>
        <v>КАШКИН ВЛАДИМИР</v>
      </c>
      <c r="H292" s="25" t="s">
        <v>553</v>
      </c>
    </row>
    <row r="293" spans="1:8" x14ac:dyDescent="0.25">
      <c r="A293" s="30" t="s">
        <v>1031</v>
      </c>
      <c r="B293" s="25" t="s">
        <v>553</v>
      </c>
      <c r="C293" s="50" t="s">
        <v>590</v>
      </c>
      <c r="D293" s="25" t="s">
        <v>257</v>
      </c>
      <c r="E293" s="25" t="s">
        <v>258</v>
      </c>
      <c r="F293" s="51" t="str">
        <f>VLOOKUP(Клиенты[[#This Row],[GardenaChannel]],GardenChannel[[GardenChannel]:[Sales manager]],2,0)</f>
        <v>КАШКИН ВЛАДИМИР</v>
      </c>
      <c r="H293" s="25" t="s">
        <v>553</v>
      </c>
    </row>
    <row r="294" spans="1:8" x14ac:dyDescent="0.25">
      <c r="A294" s="30" t="s">
        <v>1032</v>
      </c>
      <c r="B294" s="25" t="s">
        <v>553</v>
      </c>
      <c r="C294" s="50" t="s">
        <v>591</v>
      </c>
      <c r="D294" s="25" t="s">
        <v>257</v>
      </c>
      <c r="E294" s="25" t="s">
        <v>258</v>
      </c>
      <c r="F294" s="51" t="str">
        <f>VLOOKUP(Клиенты[[#This Row],[GardenaChannel]],GardenChannel[[GardenChannel]:[Sales manager]],2,0)</f>
        <v>КАШКИН ВЛАДИМИР</v>
      </c>
      <c r="H294" s="25" t="s">
        <v>553</v>
      </c>
    </row>
    <row r="295" spans="1:8" x14ac:dyDescent="0.25">
      <c r="A295" s="30" t="s">
        <v>1033</v>
      </c>
      <c r="B295" s="25" t="s">
        <v>553</v>
      </c>
      <c r="C295" s="50" t="s">
        <v>592</v>
      </c>
      <c r="D295" s="25" t="s">
        <v>257</v>
      </c>
      <c r="E295" s="25" t="s">
        <v>258</v>
      </c>
      <c r="F295" s="51" t="str">
        <f>VLOOKUP(Клиенты[[#This Row],[GardenaChannel]],GardenChannel[[GardenChannel]:[Sales manager]],2,0)</f>
        <v>КАШКИН ВЛАДИМИР</v>
      </c>
      <c r="H295" s="25" t="s">
        <v>553</v>
      </c>
    </row>
    <row r="296" spans="1:8" x14ac:dyDescent="0.25">
      <c r="A296" s="30" t="s">
        <v>1034</v>
      </c>
      <c r="B296" s="25" t="s">
        <v>553</v>
      </c>
      <c r="C296" s="50" t="s">
        <v>593</v>
      </c>
      <c r="D296" s="25" t="s">
        <v>257</v>
      </c>
      <c r="E296" s="25" t="s">
        <v>258</v>
      </c>
      <c r="F296" s="51" t="str">
        <f>VLOOKUP(Клиенты[[#This Row],[GardenaChannel]],GardenChannel[[GardenChannel]:[Sales manager]],2,0)</f>
        <v>КАШКИН ВЛАДИМИР</v>
      </c>
      <c r="H296" s="25" t="s">
        <v>553</v>
      </c>
    </row>
    <row r="297" spans="1:8" x14ac:dyDescent="0.25">
      <c r="A297" s="30" t="s">
        <v>1035</v>
      </c>
      <c r="B297" s="25" t="s">
        <v>553</v>
      </c>
      <c r="C297" s="50" t="s">
        <v>594</v>
      </c>
      <c r="D297" s="25" t="s">
        <v>257</v>
      </c>
      <c r="E297" s="25" t="s">
        <v>258</v>
      </c>
      <c r="F297" s="51" t="str">
        <f>VLOOKUP(Клиенты[[#This Row],[GardenaChannel]],GardenChannel[[GardenChannel]:[Sales manager]],2,0)</f>
        <v>КАШКИН ВЛАДИМИР</v>
      </c>
      <c r="H297" s="25" t="s">
        <v>553</v>
      </c>
    </row>
    <row r="298" spans="1:8" x14ac:dyDescent="0.25">
      <c r="A298" s="30" t="s">
        <v>1036</v>
      </c>
      <c r="B298" s="25" t="s">
        <v>553</v>
      </c>
      <c r="C298" s="50" t="s">
        <v>595</v>
      </c>
      <c r="D298" s="25" t="s">
        <v>257</v>
      </c>
      <c r="E298" s="25" t="s">
        <v>258</v>
      </c>
      <c r="F298" s="51" t="str">
        <f>VLOOKUP(Клиенты[[#This Row],[GardenaChannel]],GardenChannel[[GardenChannel]:[Sales manager]],2,0)</f>
        <v>КАШКИН ВЛАДИМИР</v>
      </c>
      <c r="H298" s="25" t="s">
        <v>553</v>
      </c>
    </row>
    <row r="299" spans="1:8" x14ac:dyDescent="0.25">
      <c r="A299" s="30" t="s">
        <v>1037</v>
      </c>
      <c r="B299" s="25" t="s">
        <v>553</v>
      </c>
      <c r="C299" s="50" t="s">
        <v>596</v>
      </c>
      <c r="D299" s="25" t="s">
        <v>257</v>
      </c>
      <c r="E299" s="25" t="s">
        <v>258</v>
      </c>
      <c r="F299" s="51" t="str">
        <f>VLOOKUP(Клиенты[[#This Row],[GardenaChannel]],GardenChannel[[GardenChannel]:[Sales manager]],2,0)</f>
        <v>КАШКИН ВЛАДИМИР</v>
      </c>
      <c r="H299" s="25" t="s">
        <v>553</v>
      </c>
    </row>
    <row r="300" spans="1:8" x14ac:dyDescent="0.25">
      <c r="A300" s="30" t="s">
        <v>1038</v>
      </c>
      <c r="B300" s="25" t="s">
        <v>553</v>
      </c>
      <c r="C300" s="50" t="s">
        <v>597</v>
      </c>
      <c r="D300" s="25" t="s">
        <v>257</v>
      </c>
      <c r="E300" s="25" t="s">
        <v>258</v>
      </c>
      <c r="F300" s="51" t="str">
        <f>VLOOKUP(Клиенты[[#This Row],[GardenaChannel]],GardenChannel[[GardenChannel]:[Sales manager]],2,0)</f>
        <v>КАШКИН ВЛАДИМИР</v>
      </c>
      <c r="H300" s="25" t="s">
        <v>553</v>
      </c>
    </row>
    <row r="301" spans="1:8" x14ac:dyDescent="0.25">
      <c r="A301" s="30" t="s">
        <v>1039</v>
      </c>
      <c r="B301" s="25" t="s">
        <v>553</v>
      </c>
      <c r="C301" s="50" t="s">
        <v>598</v>
      </c>
      <c r="D301" s="25" t="s">
        <v>257</v>
      </c>
      <c r="E301" s="25" t="s">
        <v>258</v>
      </c>
      <c r="F301" s="51" t="str">
        <f>VLOOKUP(Клиенты[[#This Row],[GardenaChannel]],GardenChannel[[GardenChannel]:[Sales manager]],2,0)</f>
        <v>КАШКИН ВЛАДИМИР</v>
      </c>
      <c r="H301" s="25" t="s">
        <v>553</v>
      </c>
    </row>
    <row r="302" spans="1:8" x14ac:dyDescent="0.25">
      <c r="A302" s="30" t="s">
        <v>1040</v>
      </c>
      <c r="B302" s="25" t="s">
        <v>553</v>
      </c>
      <c r="C302" s="50" t="s">
        <v>599</v>
      </c>
      <c r="D302" s="25" t="s">
        <v>257</v>
      </c>
      <c r="E302" s="25" t="s">
        <v>295</v>
      </c>
      <c r="F302" s="51" t="str">
        <f>VLOOKUP(Клиенты[[#This Row],[GardenaChannel]],GardenChannel[[GardenChannel]:[Sales manager]],2,0)</f>
        <v>КАШКИН ВЛАДИМИР</v>
      </c>
      <c r="H302" s="25" t="s">
        <v>553</v>
      </c>
    </row>
    <row r="303" spans="1:8" x14ac:dyDescent="0.25">
      <c r="A303" s="30" t="s">
        <v>1041</v>
      </c>
      <c r="B303" s="25" t="s">
        <v>553</v>
      </c>
      <c r="C303" s="50" t="s">
        <v>600</v>
      </c>
      <c r="D303" s="25" t="s">
        <v>257</v>
      </c>
      <c r="E303" s="25" t="s">
        <v>258</v>
      </c>
      <c r="F303" s="51" t="str">
        <f>VLOOKUP(Клиенты[[#This Row],[GardenaChannel]],GardenChannel[[GardenChannel]:[Sales manager]],2,0)</f>
        <v>КАШКИН ВЛАДИМИР</v>
      </c>
      <c r="H303" s="25" t="s">
        <v>553</v>
      </c>
    </row>
    <row r="304" spans="1:8" x14ac:dyDescent="0.25">
      <c r="A304" s="30" t="s">
        <v>1042</v>
      </c>
      <c r="B304" s="25" t="s">
        <v>553</v>
      </c>
      <c r="C304" s="50" t="s">
        <v>601</v>
      </c>
      <c r="D304" s="25" t="s">
        <v>257</v>
      </c>
      <c r="E304" s="25" t="s">
        <v>258</v>
      </c>
      <c r="F304" s="51" t="str">
        <f>VLOOKUP(Клиенты[[#This Row],[GardenaChannel]],GardenChannel[[GardenChannel]:[Sales manager]],2,0)</f>
        <v>КАШКИН ВЛАДИМИР</v>
      </c>
      <c r="H304" s="25" t="s">
        <v>553</v>
      </c>
    </row>
    <row r="305" spans="1:8" x14ac:dyDescent="0.25">
      <c r="A305" s="30" t="s">
        <v>1043</v>
      </c>
      <c r="B305" s="25" t="s">
        <v>602</v>
      </c>
      <c r="C305" s="50" t="s">
        <v>603</v>
      </c>
      <c r="D305" s="25" t="s">
        <v>257</v>
      </c>
      <c r="E305" s="25" t="s">
        <v>258</v>
      </c>
      <c r="F305" s="51" t="str">
        <f>VLOOKUP(Клиенты[[#This Row],[GardenaChannel]],GardenChannel[[GardenChannel]:[Sales manager]],2,0)</f>
        <v>КОРНИЛИН ИЛЬЯ</v>
      </c>
      <c r="H305" s="25" t="s">
        <v>602</v>
      </c>
    </row>
    <row r="306" spans="1:8" x14ac:dyDescent="0.25">
      <c r="A306" s="30" t="s">
        <v>1044</v>
      </c>
      <c r="B306" s="25" t="s">
        <v>602</v>
      </c>
      <c r="C306" s="50" t="s">
        <v>605</v>
      </c>
      <c r="D306" s="25" t="s">
        <v>257</v>
      </c>
      <c r="E306" s="25" t="s">
        <v>258</v>
      </c>
      <c r="F306" s="51" t="str">
        <f>VLOOKUP(Клиенты[[#This Row],[GardenaChannel]],GardenChannel[[GardenChannel]:[Sales manager]],2,0)</f>
        <v>КОРНИЛИН ИЛЬЯ</v>
      </c>
      <c r="H306" s="25" t="s">
        <v>602</v>
      </c>
    </row>
    <row r="307" spans="1:8" x14ac:dyDescent="0.25">
      <c r="A307" s="30" t="s">
        <v>1045</v>
      </c>
      <c r="B307" s="25" t="s">
        <v>602</v>
      </c>
      <c r="C307" s="50" t="s">
        <v>606</v>
      </c>
      <c r="D307" s="25" t="s">
        <v>257</v>
      </c>
      <c r="E307" s="25" t="s">
        <v>258</v>
      </c>
      <c r="F307" s="51" t="str">
        <f>VLOOKUP(Клиенты[[#This Row],[GardenaChannel]],GardenChannel[[GardenChannel]:[Sales manager]],2,0)</f>
        <v>КОРНИЛИН ИЛЬЯ</v>
      </c>
      <c r="H307" s="25" t="s">
        <v>602</v>
      </c>
    </row>
    <row r="308" spans="1:8" x14ac:dyDescent="0.25">
      <c r="A308" s="30" t="s">
        <v>1046</v>
      </c>
      <c r="B308" s="25" t="s">
        <v>602</v>
      </c>
      <c r="C308" s="50" t="s">
        <v>607</v>
      </c>
      <c r="D308" s="25" t="s">
        <v>257</v>
      </c>
      <c r="E308" s="25" t="s">
        <v>258</v>
      </c>
      <c r="F308" s="51" t="str">
        <f>VLOOKUP(Клиенты[[#This Row],[GardenaChannel]],GardenChannel[[GardenChannel]:[Sales manager]],2,0)</f>
        <v>КОРНИЛИН ИЛЬЯ</v>
      </c>
      <c r="H308" s="25" t="s">
        <v>602</v>
      </c>
    </row>
    <row r="309" spans="1:8" x14ac:dyDescent="0.25">
      <c r="A309" s="30" t="s">
        <v>1047</v>
      </c>
      <c r="B309" s="25" t="s">
        <v>602</v>
      </c>
      <c r="C309" s="50" t="s">
        <v>608</v>
      </c>
      <c r="D309" s="25" t="s">
        <v>257</v>
      </c>
      <c r="E309" s="25" t="s">
        <v>258</v>
      </c>
      <c r="F309" s="51" t="str">
        <f>VLOOKUP(Клиенты[[#This Row],[GardenaChannel]],GardenChannel[[GardenChannel]:[Sales manager]],2,0)</f>
        <v>КОРНИЛИН ИЛЬЯ</v>
      </c>
      <c r="H309" s="25" t="s">
        <v>602</v>
      </c>
    </row>
    <row r="310" spans="1:8" x14ac:dyDescent="0.25">
      <c r="A310" s="30" t="s">
        <v>1048</v>
      </c>
      <c r="B310" s="25" t="s">
        <v>602</v>
      </c>
      <c r="C310" s="50" t="s">
        <v>609</v>
      </c>
      <c r="D310" s="25" t="s">
        <v>257</v>
      </c>
      <c r="E310" s="25" t="s">
        <v>271</v>
      </c>
      <c r="F310" s="51" t="str">
        <f>VLOOKUP(Клиенты[[#This Row],[GardenaChannel]],GardenChannel[[GardenChannel]:[Sales manager]],2,0)</f>
        <v>КОРНИЛИН ИЛЬЯ</v>
      </c>
      <c r="H310" s="25" t="s">
        <v>602</v>
      </c>
    </row>
    <row r="311" spans="1:8" x14ac:dyDescent="0.25">
      <c r="A311" s="30" t="s">
        <v>1049</v>
      </c>
      <c r="B311" s="25" t="s">
        <v>602</v>
      </c>
      <c r="C311" s="50" t="s">
        <v>610</v>
      </c>
      <c r="D311" s="25" t="s">
        <v>257</v>
      </c>
      <c r="E311" s="25" t="s">
        <v>271</v>
      </c>
      <c r="F311" s="51" t="str">
        <f>VLOOKUP(Клиенты[[#This Row],[GardenaChannel]],GardenChannel[[GardenChannel]:[Sales manager]],2,0)</f>
        <v>КОРНИЛИН ИЛЬЯ</v>
      </c>
      <c r="H311" s="25" t="s">
        <v>602</v>
      </c>
    </row>
    <row r="312" spans="1:8" x14ac:dyDescent="0.25">
      <c r="A312" s="30" t="s">
        <v>1050</v>
      </c>
      <c r="B312" s="25" t="s">
        <v>602</v>
      </c>
      <c r="C312" s="50" t="s">
        <v>611</v>
      </c>
      <c r="D312" s="25" t="s">
        <v>257</v>
      </c>
      <c r="E312" s="25" t="s">
        <v>258</v>
      </c>
      <c r="F312" s="51" t="str">
        <f>VLOOKUP(Клиенты[[#This Row],[GardenaChannel]],GardenChannel[[GardenChannel]:[Sales manager]],2,0)</f>
        <v>КОРНИЛИН ИЛЬЯ</v>
      </c>
      <c r="H312" s="25" t="s">
        <v>602</v>
      </c>
    </row>
    <row r="313" spans="1:8" x14ac:dyDescent="0.25">
      <c r="A313" s="30" t="s">
        <v>1051</v>
      </c>
      <c r="B313" s="25" t="s">
        <v>602</v>
      </c>
      <c r="C313" s="50" t="s">
        <v>612</v>
      </c>
      <c r="D313" s="25" t="s">
        <v>257</v>
      </c>
      <c r="E313" s="25" t="s">
        <v>258</v>
      </c>
      <c r="F313" s="51" t="str">
        <f>VLOOKUP(Клиенты[[#This Row],[GardenaChannel]],GardenChannel[[GardenChannel]:[Sales manager]],2,0)</f>
        <v>КОРНИЛИН ИЛЬЯ</v>
      </c>
      <c r="H313" s="25" t="s">
        <v>602</v>
      </c>
    </row>
    <row r="314" spans="1:8" x14ac:dyDescent="0.25">
      <c r="A314" s="30" t="s">
        <v>1052</v>
      </c>
      <c r="B314" s="25" t="s">
        <v>602</v>
      </c>
      <c r="C314" s="50" t="s">
        <v>613</v>
      </c>
      <c r="D314" s="25" t="s">
        <v>257</v>
      </c>
      <c r="E314" s="25" t="s">
        <v>271</v>
      </c>
      <c r="F314" s="51" t="str">
        <f>VLOOKUP(Клиенты[[#This Row],[GardenaChannel]],GardenChannel[[GardenChannel]:[Sales manager]],2,0)</f>
        <v>КОРНИЛИН ИЛЬЯ</v>
      </c>
      <c r="H314" s="25" t="s">
        <v>602</v>
      </c>
    </row>
    <row r="315" spans="1:8" x14ac:dyDescent="0.25">
      <c r="A315" s="30" t="s">
        <v>1053</v>
      </c>
      <c r="B315" s="25" t="s">
        <v>602</v>
      </c>
      <c r="C315" s="50" t="s">
        <v>614</v>
      </c>
      <c r="D315" s="25" t="s">
        <v>257</v>
      </c>
      <c r="E315" s="25" t="s">
        <v>295</v>
      </c>
      <c r="F315" s="51" t="str">
        <f>VLOOKUP(Клиенты[[#This Row],[GardenaChannel]],GardenChannel[[GardenChannel]:[Sales manager]],2,0)</f>
        <v>КОРНИЛИН ИЛЬЯ</v>
      </c>
      <c r="H315" s="25" t="s">
        <v>602</v>
      </c>
    </row>
    <row r="316" spans="1:8" x14ac:dyDescent="0.25">
      <c r="A316" s="30" t="s">
        <v>1054</v>
      </c>
      <c r="B316" s="25" t="s">
        <v>602</v>
      </c>
      <c r="C316" s="50" t="s">
        <v>615</v>
      </c>
      <c r="D316" s="25" t="s">
        <v>257</v>
      </c>
      <c r="E316" s="25" t="s">
        <v>271</v>
      </c>
      <c r="F316" s="51" t="str">
        <f>VLOOKUP(Клиенты[[#This Row],[GardenaChannel]],GardenChannel[[GardenChannel]:[Sales manager]],2,0)</f>
        <v>КОРНИЛИН ИЛЬЯ</v>
      </c>
      <c r="H316" s="25" t="s">
        <v>602</v>
      </c>
    </row>
    <row r="317" spans="1:8" x14ac:dyDescent="0.25">
      <c r="A317" s="30" t="s">
        <v>1055</v>
      </c>
      <c r="B317" s="25" t="s">
        <v>602</v>
      </c>
      <c r="C317" s="50" t="s">
        <v>616</v>
      </c>
      <c r="D317" s="25" t="s">
        <v>257</v>
      </c>
      <c r="E317" s="25" t="s">
        <v>258</v>
      </c>
      <c r="F317" s="51" t="str">
        <f>VLOOKUP(Клиенты[[#This Row],[GardenaChannel]],GardenChannel[[GardenChannel]:[Sales manager]],2,0)</f>
        <v>КОРНИЛИН ИЛЬЯ</v>
      </c>
      <c r="H317" s="25" t="s">
        <v>602</v>
      </c>
    </row>
    <row r="318" spans="1:8" x14ac:dyDescent="0.25">
      <c r="A318" s="30" t="s">
        <v>1056</v>
      </c>
      <c r="B318" s="25" t="s">
        <v>602</v>
      </c>
      <c r="C318" s="50" t="s">
        <v>617</v>
      </c>
      <c r="D318" s="25" t="s">
        <v>257</v>
      </c>
      <c r="E318" s="25" t="s">
        <v>258</v>
      </c>
      <c r="F318" s="51" t="str">
        <f>VLOOKUP(Клиенты[[#This Row],[GardenaChannel]],GardenChannel[[GardenChannel]:[Sales manager]],2,0)</f>
        <v>КОРНИЛИН ИЛЬЯ</v>
      </c>
      <c r="H318" s="25" t="s">
        <v>602</v>
      </c>
    </row>
    <row r="319" spans="1:8" x14ac:dyDescent="0.25">
      <c r="A319" s="30" t="s">
        <v>1057</v>
      </c>
      <c r="B319" s="25" t="s">
        <v>602</v>
      </c>
      <c r="C319" s="50" t="s">
        <v>618</v>
      </c>
      <c r="D319" s="25" t="s">
        <v>257</v>
      </c>
      <c r="E319" s="25" t="s">
        <v>295</v>
      </c>
      <c r="F319" s="51" t="str">
        <f>VLOOKUP(Клиенты[[#This Row],[GardenaChannel]],GardenChannel[[GardenChannel]:[Sales manager]],2,0)</f>
        <v>КОРНИЛИН ИЛЬЯ</v>
      </c>
      <c r="H319" s="25" t="s">
        <v>602</v>
      </c>
    </row>
    <row r="320" spans="1:8" x14ac:dyDescent="0.25">
      <c r="A320" s="30" t="s">
        <v>1058</v>
      </c>
      <c r="B320" s="25" t="s">
        <v>602</v>
      </c>
      <c r="C320" s="50" t="s">
        <v>619</v>
      </c>
      <c r="D320" s="25" t="s">
        <v>257</v>
      </c>
      <c r="E320" s="25" t="s">
        <v>271</v>
      </c>
      <c r="F320" s="51" t="str">
        <f>VLOOKUP(Клиенты[[#This Row],[GardenaChannel]],GardenChannel[[GardenChannel]:[Sales manager]],2,0)</f>
        <v>КОРНИЛИН ИЛЬЯ</v>
      </c>
      <c r="H320" s="25" t="s">
        <v>602</v>
      </c>
    </row>
    <row r="321" spans="1:8" x14ac:dyDescent="0.25">
      <c r="A321" s="30" t="s">
        <v>1059</v>
      </c>
      <c r="B321" s="25" t="s">
        <v>602</v>
      </c>
      <c r="C321" s="50" t="s">
        <v>620</v>
      </c>
      <c r="D321" s="25" t="s">
        <v>257</v>
      </c>
      <c r="E321" s="25" t="s">
        <v>295</v>
      </c>
      <c r="F321" s="51" t="str">
        <f>VLOOKUP(Клиенты[[#This Row],[GardenaChannel]],GardenChannel[[GardenChannel]:[Sales manager]],2,0)</f>
        <v>КОРНИЛИН ИЛЬЯ</v>
      </c>
      <c r="H321" s="25" t="s">
        <v>602</v>
      </c>
    </row>
    <row r="322" spans="1:8" x14ac:dyDescent="0.25">
      <c r="A322" s="30" t="s">
        <v>1060</v>
      </c>
      <c r="B322" s="25" t="s">
        <v>602</v>
      </c>
      <c r="C322" s="50" t="s">
        <v>621</v>
      </c>
      <c r="D322" s="25" t="s">
        <v>257</v>
      </c>
      <c r="E322" s="25" t="s">
        <v>258</v>
      </c>
      <c r="F322" s="51" t="str">
        <f>VLOOKUP(Клиенты[[#This Row],[GardenaChannel]],GardenChannel[[GardenChannel]:[Sales manager]],2,0)</f>
        <v>КОРНИЛИН ИЛЬЯ</v>
      </c>
      <c r="H322" s="25" t="s">
        <v>602</v>
      </c>
    </row>
    <row r="323" spans="1:8" x14ac:dyDescent="0.25">
      <c r="A323" s="30" t="s">
        <v>1061</v>
      </c>
      <c r="B323" s="25" t="s">
        <v>602</v>
      </c>
      <c r="C323" s="50" t="s">
        <v>622</v>
      </c>
      <c r="D323" s="25" t="s">
        <v>257</v>
      </c>
      <c r="E323" s="25" t="s">
        <v>258</v>
      </c>
      <c r="F323" s="51" t="str">
        <f>VLOOKUP(Клиенты[[#This Row],[GardenaChannel]],GardenChannel[[GardenChannel]:[Sales manager]],2,0)</f>
        <v>КОРНИЛИН ИЛЬЯ</v>
      </c>
      <c r="H323" s="25" t="s">
        <v>602</v>
      </c>
    </row>
    <row r="324" spans="1:8" x14ac:dyDescent="0.25">
      <c r="A324" s="30" t="s">
        <v>1062</v>
      </c>
      <c r="B324" s="25" t="s">
        <v>602</v>
      </c>
      <c r="C324" s="50" t="s">
        <v>623</v>
      </c>
      <c r="D324" s="25" t="s">
        <v>257</v>
      </c>
      <c r="E324" s="25" t="s">
        <v>258</v>
      </c>
      <c r="F324" s="51" t="str">
        <f>VLOOKUP(Клиенты[[#This Row],[GardenaChannel]],GardenChannel[[GardenChannel]:[Sales manager]],2,0)</f>
        <v>КОРНИЛИН ИЛЬЯ</v>
      </c>
      <c r="H324" s="25" t="s">
        <v>602</v>
      </c>
    </row>
    <row r="325" spans="1:8" x14ac:dyDescent="0.25">
      <c r="A325" s="30" t="s">
        <v>1063</v>
      </c>
      <c r="B325" s="25" t="s">
        <v>602</v>
      </c>
      <c r="C325" s="50" t="s">
        <v>624</v>
      </c>
      <c r="D325" s="25" t="s">
        <v>257</v>
      </c>
      <c r="E325" s="25" t="s">
        <v>258</v>
      </c>
      <c r="F325" s="51" t="str">
        <f>VLOOKUP(Клиенты[[#This Row],[GardenaChannel]],GardenChannel[[GardenChannel]:[Sales manager]],2,0)</f>
        <v>КОРНИЛИН ИЛЬЯ</v>
      </c>
      <c r="H325" s="25" t="s">
        <v>602</v>
      </c>
    </row>
    <row r="326" spans="1:8" x14ac:dyDescent="0.25">
      <c r="A326" s="30" t="s">
        <v>1064</v>
      </c>
      <c r="B326" s="25" t="s">
        <v>602</v>
      </c>
      <c r="C326" s="50" t="s">
        <v>625</v>
      </c>
      <c r="D326" s="25" t="s">
        <v>257</v>
      </c>
      <c r="E326" s="25" t="s">
        <v>258</v>
      </c>
      <c r="F326" s="51" t="str">
        <f>VLOOKUP(Клиенты[[#This Row],[GardenaChannel]],GardenChannel[[GardenChannel]:[Sales manager]],2,0)</f>
        <v>КОРНИЛИН ИЛЬЯ</v>
      </c>
      <c r="H326" s="25" t="s">
        <v>602</v>
      </c>
    </row>
    <row r="327" spans="1:8" x14ac:dyDescent="0.25">
      <c r="A327" s="30" t="s">
        <v>1065</v>
      </c>
      <c r="B327" s="25" t="s">
        <v>602</v>
      </c>
      <c r="C327" s="50" t="s">
        <v>626</v>
      </c>
      <c r="D327" s="25" t="s">
        <v>257</v>
      </c>
      <c r="E327" s="25" t="s">
        <v>258</v>
      </c>
      <c r="F327" s="51" t="str">
        <f>VLOOKUP(Клиенты[[#This Row],[GardenaChannel]],GardenChannel[[GardenChannel]:[Sales manager]],2,0)</f>
        <v>КОРНИЛИН ИЛЬЯ</v>
      </c>
      <c r="H327" s="25" t="s">
        <v>602</v>
      </c>
    </row>
    <row r="328" spans="1:8" x14ac:dyDescent="0.25">
      <c r="A328" s="30" t="s">
        <v>1066</v>
      </c>
      <c r="B328" s="25" t="s">
        <v>602</v>
      </c>
      <c r="C328" s="50" t="s">
        <v>627</v>
      </c>
      <c r="D328" s="25" t="s">
        <v>257</v>
      </c>
      <c r="E328" s="25" t="s">
        <v>295</v>
      </c>
      <c r="F328" s="51" t="str">
        <f>VLOOKUP(Клиенты[[#This Row],[GardenaChannel]],GardenChannel[[GardenChannel]:[Sales manager]],2,0)</f>
        <v>КОРНИЛИН ИЛЬЯ</v>
      </c>
      <c r="H328" s="25" t="s">
        <v>602</v>
      </c>
    </row>
    <row r="329" spans="1:8" x14ac:dyDescent="0.25">
      <c r="A329" s="30" t="s">
        <v>1067</v>
      </c>
      <c r="B329" s="25" t="s">
        <v>602</v>
      </c>
      <c r="C329" s="50" t="s">
        <v>628</v>
      </c>
      <c r="D329" s="25" t="s">
        <v>257</v>
      </c>
      <c r="E329" s="25" t="s">
        <v>258</v>
      </c>
      <c r="F329" s="51" t="str">
        <f>VLOOKUP(Клиенты[[#This Row],[GardenaChannel]],GardenChannel[[GardenChannel]:[Sales manager]],2,0)</f>
        <v>КОРНИЛИН ИЛЬЯ</v>
      </c>
      <c r="H329" s="25" t="s">
        <v>602</v>
      </c>
    </row>
    <row r="330" spans="1:8" x14ac:dyDescent="0.25">
      <c r="A330" s="30" t="s">
        <v>1068</v>
      </c>
      <c r="B330" s="25" t="s">
        <v>602</v>
      </c>
      <c r="C330" s="50" t="s">
        <v>629</v>
      </c>
      <c r="D330" s="25" t="s">
        <v>257</v>
      </c>
      <c r="E330" s="25" t="s">
        <v>258</v>
      </c>
      <c r="F330" s="51" t="str">
        <f>VLOOKUP(Клиенты[[#This Row],[GardenaChannel]],GardenChannel[[GardenChannel]:[Sales manager]],2,0)</f>
        <v>КОРНИЛИН ИЛЬЯ</v>
      </c>
      <c r="H330" s="25" t="s">
        <v>602</v>
      </c>
    </row>
    <row r="331" spans="1:8" x14ac:dyDescent="0.25">
      <c r="A331" s="30" t="s">
        <v>1069</v>
      </c>
      <c r="B331" s="25" t="s">
        <v>602</v>
      </c>
      <c r="C331" s="50" t="s">
        <v>630</v>
      </c>
      <c r="D331" s="25" t="s">
        <v>257</v>
      </c>
      <c r="E331" s="25" t="s">
        <v>258</v>
      </c>
      <c r="F331" s="51" t="str">
        <f>VLOOKUP(Клиенты[[#This Row],[GardenaChannel]],GardenChannel[[GardenChannel]:[Sales manager]],2,0)</f>
        <v>КОРНИЛИН ИЛЬЯ</v>
      </c>
      <c r="H331" s="25" t="s">
        <v>602</v>
      </c>
    </row>
    <row r="332" spans="1:8" x14ac:dyDescent="0.25">
      <c r="A332" s="30" t="s">
        <v>1070</v>
      </c>
      <c r="B332" s="25" t="s">
        <v>602</v>
      </c>
      <c r="C332" s="50" t="s">
        <v>631</v>
      </c>
      <c r="D332" s="25" t="s">
        <v>257</v>
      </c>
      <c r="E332" s="25" t="s">
        <v>258</v>
      </c>
      <c r="F332" s="51" t="str">
        <f>VLOOKUP(Клиенты[[#This Row],[GardenaChannel]],GardenChannel[[GardenChannel]:[Sales manager]],2,0)</f>
        <v>КОРНИЛИН ИЛЬЯ</v>
      </c>
      <c r="H332" s="25" t="s">
        <v>602</v>
      </c>
    </row>
    <row r="333" spans="1:8" x14ac:dyDescent="0.25">
      <c r="A333" s="30" t="s">
        <v>1071</v>
      </c>
      <c r="B333" s="25" t="s">
        <v>602</v>
      </c>
      <c r="C333" s="50" t="s">
        <v>632</v>
      </c>
      <c r="D333" s="25" t="s">
        <v>257</v>
      </c>
      <c r="E333" s="25" t="s">
        <v>258</v>
      </c>
      <c r="F333" s="51" t="str">
        <f>VLOOKUP(Клиенты[[#This Row],[GardenaChannel]],GardenChannel[[GardenChannel]:[Sales manager]],2,0)</f>
        <v>КОРНИЛИН ИЛЬЯ</v>
      </c>
      <c r="H333" s="25" t="s">
        <v>602</v>
      </c>
    </row>
    <row r="334" spans="1:8" x14ac:dyDescent="0.25">
      <c r="A334" s="30" t="s">
        <v>1072</v>
      </c>
      <c r="B334" s="25" t="s">
        <v>602</v>
      </c>
      <c r="C334" s="50" t="s">
        <v>633</v>
      </c>
      <c r="D334" s="25" t="s">
        <v>257</v>
      </c>
      <c r="E334" s="25" t="s">
        <v>258</v>
      </c>
      <c r="F334" s="51" t="str">
        <f>VLOOKUP(Клиенты[[#This Row],[GardenaChannel]],GardenChannel[[GardenChannel]:[Sales manager]],2,0)</f>
        <v>КОРНИЛИН ИЛЬЯ</v>
      </c>
      <c r="H334" s="25" t="s">
        <v>602</v>
      </c>
    </row>
    <row r="335" spans="1:8" x14ac:dyDescent="0.25">
      <c r="A335" s="30" t="s">
        <v>1073</v>
      </c>
      <c r="B335" s="25" t="s">
        <v>602</v>
      </c>
      <c r="C335" s="50" t="s">
        <v>634</v>
      </c>
      <c r="D335" s="25" t="s">
        <v>257</v>
      </c>
      <c r="E335" s="25" t="s">
        <v>258</v>
      </c>
      <c r="F335" s="51" t="str">
        <f>VLOOKUP(Клиенты[[#This Row],[GardenaChannel]],GardenChannel[[GardenChannel]:[Sales manager]],2,0)</f>
        <v>КОРНИЛИН ИЛЬЯ</v>
      </c>
      <c r="H335" s="25" t="s">
        <v>602</v>
      </c>
    </row>
    <row r="336" spans="1:8" x14ac:dyDescent="0.25">
      <c r="A336" s="30" t="s">
        <v>1074</v>
      </c>
      <c r="B336" s="25" t="s">
        <v>602</v>
      </c>
      <c r="C336" s="50" t="s">
        <v>635</v>
      </c>
      <c r="D336" s="25" t="s">
        <v>257</v>
      </c>
      <c r="E336" s="25" t="s">
        <v>258</v>
      </c>
      <c r="F336" s="51" t="str">
        <f>VLOOKUP(Клиенты[[#This Row],[GardenaChannel]],GardenChannel[[GardenChannel]:[Sales manager]],2,0)</f>
        <v>КОРНИЛИН ИЛЬЯ</v>
      </c>
      <c r="H336" s="25" t="s">
        <v>602</v>
      </c>
    </row>
    <row r="337" spans="1:8" x14ac:dyDescent="0.25">
      <c r="A337" s="30" t="s">
        <v>1075</v>
      </c>
      <c r="B337" s="25" t="s">
        <v>602</v>
      </c>
      <c r="C337" s="50" t="s">
        <v>636</v>
      </c>
      <c r="D337" s="25" t="s">
        <v>257</v>
      </c>
      <c r="E337" s="25" t="s">
        <v>258</v>
      </c>
      <c r="F337" s="51" t="str">
        <f>VLOOKUP(Клиенты[[#This Row],[GardenaChannel]],GardenChannel[[GardenChannel]:[Sales manager]],2,0)</f>
        <v>КОРНИЛИН ИЛЬЯ</v>
      </c>
      <c r="H337" s="25" t="s">
        <v>602</v>
      </c>
    </row>
    <row r="338" spans="1:8" x14ac:dyDescent="0.25">
      <c r="A338" s="30" t="s">
        <v>1076</v>
      </c>
      <c r="B338" s="25" t="s">
        <v>602</v>
      </c>
      <c r="C338" s="50" t="s">
        <v>637</v>
      </c>
      <c r="D338" s="25" t="s">
        <v>257</v>
      </c>
      <c r="E338" s="25" t="s">
        <v>258</v>
      </c>
      <c r="F338" s="51" t="str">
        <f>VLOOKUP(Клиенты[[#This Row],[GardenaChannel]],GardenChannel[[GardenChannel]:[Sales manager]],2,0)</f>
        <v>КОРНИЛИН ИЛЬЯ</v>
      </c>
      <c r="H338" s="25" t="s">
        <v>602</v>
      </c>
    </row>
    <row r="339" spans="1:8" x14ac:dyDescent="0.25">
      <c r="A339" s="30" t="s">
        <v>1077</v>
      </c>
      <c r="B339" s="25" t="s">
        <v>602</v>
      </c>
      <c r="C339" s="50" t="s">
        <v>638</v>
      </c>
      <c r="D339" s="25" t="s">
        <v>257</v>
      </c>
      <c r="E339" s="25" t="s">
        <v>271</v>
      </c>
      <c r="F339" s="51" t="str">
        <f>VLOOKUP(Клиенты[[#This Row],[GardenaChannel]],GardenChannel[[GardenChannel]:[Sales manager]],2,0)</f>
        <v>КОРНИЛИН ИЛЬЯ</v>
      </c>
      <c r="H339" s="25" t="s">
        <v>602</v>
      </c>
    </row>
    <row r="340" spans="1:8" x14ac:dyDescent="0.25">
      <c r="A340" s="30" t="s">
        <v>1078</v>
      </c>
      <c r="B340" s="25" t="s">
        <v>602</v>
      </c>
      <c r="C340" s="50" t="s">
        <v>639</v>
      </c>
      <c r="D340" s="25" t="s">
        <v>257</v>
      </c>
      <c r="E340" s="25" t="s">
        <v>258</v>
      </c>
      <c r="F340" s="51" t="str">
        <f>VLOOKUP(Клиенты[[#This Row],[GardenaChannel]],GardenChannel[[GardenChannel]:[Sales manager]],2,0)</f>
        <v>КОРНИЛИН ИЛЬЯ</v>
      </c>
      <c r="H340" s="25" t="s">
        <v>602</v>
      </c>
    </row>
    <row r="341" spans="1:8" x14ac:dyDescent="0.25">
      <c r="A341" s="30" t="s">
        <v>1079</v>
      </c>
      <c r="B341" s="25" t="s">
        <v>602</v>
      </c>
      <c r="C341" s="50" t="s">
        <v>640</v>
      </c>
      <c r="D341" s="25" t="s">
        <v>257</v>
      </c>
      <c r="E341" s="25" t="s">
        <v>258</v>
      </c>
      <c r="F341" s="51" t="str">
        <f>VLOOKUP(Клиенты[[#This Row],[GardenaChannel]],GardenChannel[[GardenChannel]:[Sales manager]],2,0)</f>
        <v>КОРНИЛИН ИЛЬЯ</v>
      </c>
      <c r="H341" s="25" t="s">
        <v>602</v>
      </c>
    </row>
    <row r="342" spans="1:8" x14ac:dyDescent="0.25">
      <c r="A342" s="30" t="s">
        <v>1080</v>
      </c>
      <c r="B342" s="25" t="s">
        <v>602</v>
      </c>
      <c r="C342" s="50" t="s">
        <v>641</v>
      </c>
      <c r="D342" s="25" t="s">
        <v>257</v>
      </c>
      <c r="E342" s="25" t="s">
        <v>271</v>
      </c>
      <c r="F342" s="51" t="str">
        <f>VLOOKUP(Клиенты[[#This Row],[GardenaChannel]],GardenChannel[[GardenChannel]:[Sales manager]],2,0)</f>
        <v>КОРНИЛИН ИЛЬЯ</v>
      </c>
      <c r="H342" s="25" t="s">
        <v>602</v>
      </c>
    </row>
    <row r="343" spans="1:8" x14ac:dyDescent="0.25">
      <c r="A343" s="30" t="s">
        <v>1081</v>
      </c>
      <c r="B343" s="25" t="s">
        <v>602</v>
      </c>
      <c r="C343" s="50" t="s">
        <v>642</v>
      </c>
      <c r="D343" s="25" t="s">
        <v>257</v>
      </c>
      <c r="E343" s="25" t="s">
        <v>258</v>
      </c>
      <c r="F343" s="51" t="str">
        <f>VLOOKUP(Клиенты[[#This Row],[GardenaChannel]],GardenChannel[[GardenChannel]:[Sales manager]],2,0)</f>
        <v>КОРНИЛИН ИЛЬЯ</v>
      </c>
      <c r="H343" s="25" t="s">
        <v>602</v>
      </c>
    </row>
    <row r="344" spans="1:8" x14ac:dyDescent="0.25">
      <c r="A344" s="30" t="s">
        <v>1082</v>
      </c>
      <c r="B344" s="25" t="s">
        <v>602</v>
      </c>
      <c r="C344" s="50" t="s">
        <v>643</v>
      </c>
      <c r="D344" s="25" t="s">
        <v>257</v>
      </c>
      <c r="E344" s="25" t="s">
        <v>258</v>
      </c>
      <c r="F344" s="51" t="str">
        <f>VLOOKUP(Клиенты[[#This Row],[GardenaChannel]],GardenChannel[[GardenChannel]:[Sales manager]],2,0)</f>
        <v>КОРНИЛИН ИЛЬЯ</v>
      </c>
      <c r="H344" s="25" t="s">
        <v>602</v>
      </c>
    </row>
    <row r="345" spans="1:8" x14ac:dyDescent="0.25">
      <c r="A345" s="30" t="s">
        <v>1083</v>
      </c>
      <c r="B345" s="25" t="s">
        <v>602</v>
      </c>
      <c r="C345" s="50" t="s">
        <v>644</v>
      </c>
      <c r="D345" s="25" t="s">
        <v>257</v>
      </c>
      <c r="E345" s="25" t="s">
        <v>258</v>
      </c>
      <c r="F345" s="51" t="str">
        <f>VLOOKUP(Клиенты[[#This Row],[GardenaChannel]],GardenChannel[[GardenChannel]:[Sales manager]],2,0)</f>
        <v>КОРНИЛИН ИЛЬЯ</v>
      </c>
      <c r="H345" s="25" t="s">
        <v>602</v>
      </c>
    </row>
    <row r="346" spans="1:8" x14ac:dyDescent="0.25">
      <c r="A346" s="30" t="s">
        <v>1084</v>
      </c>
      <c r="B346" s="25" t="s">
        <v>602</v>
      </c>
      <c r="C346" s="50" t="s">
        <v>645</v>
      </c>
      <c r="D346" s="25" t="s">
        <v>257</v>
      </c>
      <c r="E346" s="25" t="s">
        <v>258</v>
      </c>
      <c r="F346" s="51" t="str">
        <f>VLOOKUP(Клиенты[[#This Row],[GardenaChannel]],GardenChannel[[GardenChannel]:[Sales manager]],2,0)</f>
        <v>КОРНИЛИН ИЛЬЯ</v>
      </c>
      <c r="H346" s="25" t="s">
        <v>602</v>
      </c>
    </row>
    <row r="347" spans="1:8" x14ac:dyDescent="0.25">
      <c r="A347" s="30" t="s">
        <v>1085</v>
      </c>
      <c r="B347" s="25" t="s">
        <v>602</v>
      </c>
      <c r="C347" s="50" t="s">
        <v>646</v>
      </c>
      <c r="D347" s="25" t="s">
        <v>257</v>
      </c>
      <c r="E347" s="25" t="s">
        <v>258</v>
      </c>
      <c r="F347" s="51" t="str">
        <f>VLOOKUP(Клиенты[[#This Row],[GardenaChannel]],GardenChannel[[GardenChannel]:[Sales manager]],2,0)</f>
        <v>КОРНИЛИН ИЛЬЯ</v>
      </c>
      <c r="H347" s="25" t="s">
        <v>602</v>
      </c>
    </row>
    <row r="348" spans="1:8" x14ac:dyDescent="0.25">
      <c r="A348" s="30" t="s">
        <v>1086</v>
      </c>
      <c r="B348" s="25" t="s">
        <v>602</v>
      </c>
      <c r="C348" s="50" t="s">
        <v>647</v>
      </c>
      <c r="D348" s="25" t="s">
        <v>257</v>
      </c>
      <c r="E348" s="25" t="s">
        <v>258</v>
      </c>
      <c r="F348" s="51" t="str">
        <f>VLOOKUP(Клиенты[[#This Row],[GardenaChannel]],GardenChannel[[GardenChannel]:[Sales manager]],2,0)</f>
        <v>КОРНИЛИН ИЛЬЯ</v>
      </c>
      <c r="H348" s="25" t="s">
        <v>602</v>
      </c>
    </row>
    <row r="349" spans="1:8" x14ac:dyDescent="0.25">
      <c r="A349" s="30" t="s">
        <v>1087</v>
      </c>
      <c r="B349" s="25" t="s">
        <v>602</v>
      </c>
      <c r="C349" s="50" t="s">
        <v>648</v>
      </c>
      <c r="D349" s="25" t="s">
        <v>257</v>
      </c>
      <c r="E349" s="25" t="s">
        <v>258</v>
      </c>
      <c r="F349" s="51" t="str">
        <f>VLOOKUP(Клиенты[[#This Row],[GardenaChannel]],GardenChannel[[GardenChannel]:[Sales manager]],2,0)</f>
        <v>КОРНИЛИН ИЛЬЯ</v>
      </c>
      <c r="H349" s="25" t="s">
        <v>602</v>
      </c>
    </row>
    <row r="350" spans="1:8" x14ac:dyDescent="0.25">
      <c r="A350" s="30" t="s">
        <v>1088</v>
      </c>
      <c r="B350" s="25" t="s">
        <v>602</v>
      </c>
      <c r="C350" s="50" t="s">
        <v>649</v>
      </c>
      <c r="D350" s="25" t="s">
        <v>257</v>
      </c>
      <c r="E350" s="25" t="s">
        <v>271</v>
      </c>
      <c r="F350" s="51" t="str">
        <f>VLOOKUP(Клиенты[[#This Row],[GardenaChannel]],GardenChannel[[GardenChannel]:[Sales manager]],2,0)</f>
        <v>КОРНИЛИН ИЛЬЯ</v>
      </c>
      <c r="H350" s="25" t="s">
        <v>602</v>
      </c>
    </row>
    <row r="351" spans="1:8" x14ac:dyDescent="0.25">
      <c r="A351" s="30" t="s">
        <v>1089</v>
      </c>
      <c r="B351" s="25" t="s">
        <v>602</v>
      </c>
      <c r="C351" s="50" t="s">
        <v>650</v>
      </c>
      <c r="D351" s="25" t="s">
        <v>257</v>
      </c>
      <c r="E351" s="25" t="s">
        <v>258</v>
      </c>
      <c r="F351" s="51" t="str">
        <f>VLOOKUP(Клиенты[[#This Row],[GardenaChannel]],GardenChannel[[GardenChannel]:[Sales manager]],2,0)</f>
        <v>КОРНИЛИН ИЛЬЯ</v>
      </c>
      <c r="H351" s="25" t="s">
        <v>602</v>
      </c>
    </row>
    <row r="352" spans="1:8" x14ac:dyDescent="0.25">
      <c r="A352" s="30" t="s">
        <v>1090</v>
      </c>
      <c r="B352" s="25" t="s">
        <v>602</v>
      </c>
      <c r="C352" s="50" t="s">
        <v>651</v>
      </c>
      <c r="D352" s="25" t="s">
        <v>257</v>
      </c>
      <c r="E352" s="25" t="s">
        <v>271</v>
      </c>
      <c r="F352" s="51" t="str">
        <f>VLOOKUP(Клиенты[[#This Row],[GardenaChannel]],GardenChannel[[GardenChannel]:[Sales manager]],2,0)</f>
        <v>КОРНИЛИН ИЛЬЯ</v>
      </c>
      <c r="H352" s="25" t="s">
        <v>602</v>
      </c>
    </row>
    <row r="353" spans="1:8" x14ac:dyDescent="0.25">
      <c r="A353" s="30" t="s">
        <v>1091</v>
      </c>
      <c r="B353" s="25" t="s">
        <v>602</v>
      </c>
      <c r="C353" s="50" t="s">
        <v>652</v>
      </c>
      <c r="D353" s="25" t="s">
        <v>257</v>
      </c>
      <c r="E353" s="25" t="s">
        <v>258</v>
      </c>
      <c r="F353" s="51" t="str">
        <f>VLOOKUP(Клиенты[[#This Row],[GardenaChannel]],GardenChannel[[GardenChannel]:[Sales manager]],2,0)</f>
        <v>КОРНИЛИН ИЛЬЯ</v>
      </c>
      <c r="H353" s="25" t="s">
        <v>602</v>
      </c>
    </row>
    <row r="354" spans="1:8" x14ac:dyDescent="0.25">
      <c r="A354" s="30" t="s">
        <v>1092</v>
      </c>
      <c r="B354" s="25" t="s">
        <v>602</v>
      </c>
      <c r="C354" s="50" t="s">
        <v>653</v>
      </c>
      <c r="D354" s="25" t="s">
        <v>257</v>
      </c>
      <c r="E354" s="25" t="s">
        <v>258</v>
      </c>
      <c r="F354" s="51" t="str">
        <f>VLOOKUP(Клиенты[[#This Row],[GardenaChannel]],GardenChannel[[GardenChannel]:[Sales manager]],2,0)</f>
        <v>КОРНИЛИН ИЛЬЯ</v>
      </c>
      <c r="H354" s="25" t="s">
        <v>602</v>
      </c>
    </row>
    <row r="355" spans="1:8" x14ac:dyDescent="0.25">
      <c r="A355" s="30" t="s">
        <v>1093</v>
      </c>
      <c r="B355" s="25" t="s">
        <v>602</v>
      </c>
      <c r="C355" s="50" t="s">
        <v>654</v>
      </c>
      <c r="D355" s="25" t="s">
        <v>257</v>
      </c>
      <c r="E355" s="25" t="s">
        <v>271</v>
      </c>
      <c r="F355" s="51" t="str">
        <f>VLOOKUP(Клиенты[[#This Row],[GardenaChannel]],GardenChannel[[GardenChannel]:[Sales manager]],2,0)</f>
        <v>КОРНИЛИН ИЛЬЯ</v>
      </c>
      <c r="H355" s="25" t="s">
        <v>602</v>
      </c>
    </row>
    <row r="356" spans="1:8" x14ac:dyDescent="0.25">
      <c r="A356" s="30" t="s">
        <v>1094</v>
      </c>
      <c r="B356" s="25" t="s">
        <v>602</v>
      </c>
      <c r="C356" s="50" t="s">
        <v>655</v>
      </c>
      <c r="D356" s="25" t="s">
        <v>257</v>
      </c>
      <c r="E356" s="25" t="s">
        <v>258</v>
      </c>
      <c r="F356" s="51" t="str">
        <f>VLOOKUP(Клиенты[[#This Row],[GardenaChannel]],GardenChannel[[GardenChannel]:[Sales manager]],2,0)</f>
        <v>КОРНИЛИН ИЛЬЯ</v>
      </c>
      <c r="H356" s="25" t="s">
        <v>602</v>
      </c>
    </row>
    <row r="357" spans="1:8" x14ac:dyDescent="0.25">
      <c r="A357" s="30" t="s">
        <v>1095</v>
      </c>
      <c r="B357" s="25" t="s">
        <v>602</v>
      </c>
      <c r="C357" s="50" t="s">
        <v>656</v>
      </c>
      <c r="D357" s="25" t="s">
        <v>257</v>
      </c>
      <c r="E357" s="25" t="s">
        <v>295</v>
      </c>
      <c r="F357" s="51" t="str">
        <f>VLOOKUP(Клиенты[[#This Row],[GardenaChannel]],GardenChannel[[GardenChannel]:[Sales manager]],2,0)</f>
        <v>КОРНИЛИН ИЛЬЯ</v>
      </c>
      <c r="H357" s="25" t="s">
        <v>602</v>
      </c>
    </row>
    <row r="358" spans="1:8" x14ac:dyDescent="0.25">
      <c r="A358" s="30" t="s">
        <v>1096</v>
      </c>
      <c r="B358" s="25" t="s">
        <v>602</v>
      </c>
      <c r="C358" s="50" t="s">
        <v>657</v>
      </c>
      <c r="D358" s="25" t="s">
        <v>257</v>
      </c>
      <c r="E358" s="25" t="s">
        <v>258</v>
      </c>
      <c r="F358" s="51" t="str">
        <f>VLOOKUP(Клиенты[[#This Row],[GardenaChannel]],GardenChannel[[GardenChannel]:[Sales manager]],2,0)</f>
        <v>КОРНИЛИН ИЛЬЯ</v>
      </c>
      <c r="H358" s="25" t="s">
        <v>602</v>
      </c>
    </row>
    <row r="359" spans="1:8" x14ac:dyDescent="0.25">
      <c r="A359" s="30" t="s">
        <v>1097</v>
      </c>
      <c r="B359" s="25" t="s">
        <v>602</v>
      </c>
      <c r="C359" s="50" t="s">
        <v>658</v>
      </c>
      <c r="D359" s="25" t="s">
        <v>257</v>
      </c>
      <c r="E359" s="25" t="s">
        <v>258</v>
      </c>
      <c r="F359" s="51" t="str">
        <f>VLOOKUP(Клиенты[[#This Row],[GardenaChannel]],GardenChannel[[GardenChannel]:[Sales manager]],2,0)</f>
        <v>КОРНИЛИН ИЛЬЯ</v>
      </c>
      <c r="H359" s="25" t="s">
        <v>602</v>
      </c>
    </row>
    <row r="360" spans="1:8" x14ac:dyDescent="0.25">
      <c r="A360" s="30" t="s">
        <v>1098</v>
      </c>
      <c r="B360" s="25" t="s">
        <v>602</v>
      </c>
      <c r="C360" s="50" t="s">
        <v>659</v>
      </c>
      <c r="D360" s="25" t="s">
        <v>257</v>
      </c>
      <c r="E360" s="25" t="s">
        <v>258</v>
      </c>
      <c r="F360" s="51" t="str">
        <f>VLOOKUP(Клиенты[[#This Row],[GardenaChannel]],GardenChannel[[GardenChannel]:[Sales manager]],2,0)</f>
        <v>КОРНИЛИН ИЛЬЯ</v>
      </c>
      <c r="H360" s="25" t="s">
        <v>602</v>
      </c>
    </row>
    <row r="361" spans="1:8" x14ac:dyDescent="0.25">
      <c r="A361" s="30" t="s">
        <v>1099</v>
      </c>
      <c r="B361" s="25" t="s">
        <v>602</v>
      </c>
      <c r="C361" s="50" t="s">
        <v>660</v>
      </c>
      <c r="D361" s="25" t="s">
        <v>257</v>
      </c>
      <c r="E361" s="25" t="s">
        <v>258</v>
      </c>
      <c r="F361" s="51" t="str">
        <f>VLOOKUP(Клиенты[[#This Row],[GardenaChannel]],GardenChannel[[GardenChannel]:[Sales manager]],2,0)</f>
        <v>КОРНИЛИН ИЛЬЯ</v>
      </c>
      <c r="H361" s="25" t="s">
        <v>602</v>
      </c>
    </row>
    <row r="362" spans="1:8" x14ac:dyDescent="0.25">
      <c r="A362" s="30" t="s">
        <v>1100</v>
      </c>
      <c r="B362" s="25" t="s">
        <v>602</v>
      </c>
      <c r="C362" s="50" t="s">
        <v>661</v>
      </c>
      <c r="D362" s="25" t="s">
        <v>257</v>
      </c>
      <c r="E362" s="25" t="s">
        <v>258</v>
      </c>
      <c r="F362" s="51" t="str">
        <f>VLOOKUP(Клиенты[[#This Row],[GardenaChannel]],GardenChannel[[GardenChannel]:[Sales manager]],2,0)</f>
        <v>КОРНИЛИН ИЛЬЯ</v>
      </c>
      <c r="H362" s="25" t="s">
        <v>602</v>
      </c>
    </row>
    <row r="363" spans="1:8" x14ac:dyDescent="0.25">
      <c r="A363" s="30" t="s">
        <v>1101</v>
      </c>
      <c r="B363" s="25" t="s">
        <v>602</v>
      </c>
      <c r="C363" s="50" t="s">
        <v>662</v>
      </c>
      <c r="D363" s="25" t="s">
        <v>257</v>
      </c>
      <c r="E363" s="25" t="s">
        <v>258</v>
      </c>
      <c r="F363" s="51" t="str">
        <f>VLOOKUP(Клиенты[[#This Row],[GardenaChannel]],GardenChannel[[GardenChannel]:[Sales manager]],2,0)</f>
        <v>КОРНИЛИН ИЛЬЯ</v>
      </c>
      <c r="H363" s="25" t="s">
        <v>602</v>
      </c>
    </row>
    <row r="364" spans="1:8" x14ac:dyDescent="0.25">
      <c r="A364" s="30" t="s">
        <v>1102</v>
      </c>
      <c r="B364" s="25" t="s">
        <v>602</v>
      </c>
      <c r="C364" s="50" t="s">
        <v>663</v>
      </c>
      <c r="D364" s="25" t="s">
        <v>257</v>
      </c>
      <c r="E364" s="25" t="s">
        <v>258</v>
      </c>
      <c r="F364" s="51" t="str">
        <f>VLOOKUP(Клиенты[[#This Row],[GardenaChannel]],GardenChannel[[GardenChannel]:[Sales manager]],2,0)</f>
        <v>КОРНИЛИН ИЛЬЯ</v>
      </c>
      <c r="H364" s="25" t="s">
        <v>602</v>
      </c>
    </row>
    <row r="365" spans="1:8" x14ac:dyDescent="0.25">
      <c r="A365" s="30" t="s">
        <v>1103</v>
      </c>
      <c r="B365" s="25" t="s">
        <v>602</v>
      </c>
      <c r="C365" s="50" t="s">
        <v>664</v>
      </c>
      <c r="D365" s="25" t="s">
        <v>257</v>
      </c>
      <c r="E365" s="25" t="s">
        <v>258</v>
      </c>
      <c r="F365" s="51" t="str">
        <f>VLOOKUP(Клиенты[[#This Row],[GardenaChannel]],GardenChannel[[GardenChannel]:[Sales manager]],2,0)</f>
        <v>КОРНИЛИН ИЛЬЯ</v>
      </c>
      <c r="H365" s="25" t="s">
        <v>602</v>
      </c>
    </row>
    <row r="366" spans="1:8" x14ac:dyDescent="0.25">
      <c r="A366" s="30" t="s">
        <v>1104</v>
      </c>
      <c r="B366" s="25" t="s">
        <v>602</v>
      </c>
      <c r="C366" s="50" t="s">
        <v>665</v>
      </c>
      <c r="D366" s="25" t="s">
        <v>257</v>
      </c>
      <c r="E366" s="25" t="s">
        <v>258</v>
      </c>
      <c r="F366" s="51" t="str">
        <f>VLOOKUP(Клиенты[[#This Row],[GardenaChannel]],GardenChannel[[GardenChannel]:[Sales manager]],2,0)</f>
        <v>КОРНИЛИН ИЛЬЯ</v>
      </c>
      <c r="H366" s="25" t="s">
        <v>602</v>
      </c>
    </row>
    <row r="367" spans="1:8" x14ac:dyDescent="0.25">
      <c r="A367" s="30" t="s">
        <v>1105</v>
      </c>
      <c r="B367" s="25" t="s">
        <v>602</v>
      </c>
      <c r="C367" s="50" t="s">
        <v>666</v>
      </c>
      <c r="D367" s="25" t="s">
        <v>257</v>
      </c>
      <c r="E367" s="25" t="s">
        <v>258</v>
      </c>
      <c r="F367" s="51" t="str">
        <f>VLOOKUP(Клиенты[[#This Row],[GardenaChannel]],GardenChannel[[GardenChannel]:[Sales manager]],2,0)</f>
        <v>КОРНИЛИН ИЛЬЯ</v>
      </c>
      <c r="H367" s="25" t="s">
        <v>602</v>
      </c>
    </row>
    <row r="368" spans="1:8" x14ac:dyDescent="0.25">
      <c r="A368" s="30" t="s">
        <v>1106</v>
      </c>
      <c r="B368" s="25" t="s">
        <v>602</v>
      </c>
      <c r="C368" s="50" t="s">
        <v>667</v>
      </c>
      <c r="D368" s="25" t="s">
        <v>257</v>
      </c>
      <c r="E368" s="25" t="s">
        <v>258</v>
      </c>
      <c r="F368" s="51" t="str">
        <f>VLOOKUP(Клиенты[[#This Row],[GardenaChannel]],GardenChannel[[GardenChannel]:[Sales manager]],2,0)</f>
        <v>КОРНИЛИН ИЛЬЯ</v>
      </c>
      <c r="H368" s="25" t="s">
        <v>602</v>
      </c>
    </row>
    <row r="369" spans="1:8" x14ac:dyDescent="0.25">
      <c r="A369" s="30" t="s">
        <v>1107</v>
      </c>
      <c r="B369" s="25" t="s">
        <v>602</v>
      </c>
      <c r="C369" s="50" t="s">
        <v>668</v>
      </c>
      <c r="D369" s="25" t="s">
        <v>257</v>
      </c>
      <c r="E369" s="25" t="s">
        <v>258</v>
      </c>
      <c r="F369" s="51" t="str">
        <f>VLOOKUP(Клиенты[[#This Row],[GardenaChannel]],GardenChannel[[GardenChannel]:[Sales manager]],2,0)</f>
        <v>КОРНИЛИН ИЛЬЯ</v>
      </c>
      <c r="H369" s="25" t="s">
        <v>602</v>
      </c>
    </row>
    <row r="370" spans="1:8" x14ac:dyDescent="0.25">
      <c r="A370" s="30" t="s">
        <v>1108</v>
      </c>
      <c r="B370" s="25" t="s">
        <v>602</v>
      </c>
      <c r="C370" s="50" t="s">
        <v>669</v>
      </c>
      <c r="D370" s="25" t="s">
        <v>257</v>
      </c>
      <c r="E370" s="25" t="s">
        <v>258</v>
      </c>
      <c r="F370" s="51" t="str">
        <f>VLOOKUP(Клиенты[[#This Row],[GardenaChannel]],GardenChannel[[GardenChannel]:[Sales manager]],2,0)</f>
        <v>КОРНИЛИН ИЛЬЯ</v>
      </c>
      <c r="H370" s="25" t="s">
        <v>602</v>
      </c>
    </row>
    <row r="371" spans="1:8" x14ac:dyDescent="0.25">
      <c r="A371" s="30" t="s">
        <v>1109</v>
      </c>
      <c r="B371" s="25" t="s">
        <v>602</v>
      </c>
      <c r="C371" s="50" t="s">
        <v>670</v>
      </c>
      <c r="D371" s="25" t="s">
        <v>257</v>
      </c>
      <c r="E371" s="25" t="s">
        <v>258</v>
      </c>
      <c r="F371" s="51" t="str">
        <f>VLOOKUP(Клиенты[[#This Row],[GardenaChannel]],GardenChannel[[GardenChannel]:[Sales manager]],2,0)</f>
        <v>КОРНИЛИН ИЛЬЯ</v>
      </c>
      <c r="H371" s="25" t="s">
        <v>602</v>
      </c>
    </row>
    <row r="372" spans="1:8" x14ac:dyDescent="0.25">
      <c r="A372" s="30" t="s">
        <v>1110</v>
      </c>
      <c r="B372" s="25" t="s">
        <v>602</v>
      </c>
      <c r="C372" s="50" t="s">
        <v>671</v>
      </c>
      <c r="D372" s="25" t="s">
        <v>257</v>
      </c>
      <c r="E372" s="25" t="s">
        <v>258</v>
      </c>
      <c r="F372" s="51" t="str">
        <f>VLOOKUP(Клиенты[[#This Row],[GardenaChannel]],GardenChannel[[GardenChannel]:[Sales manager]],2,0)</f>
        <v>КОРНИЛИН ИЛЬЯ</v>
      </c>
      <c r="H372" s="25" t="s">
        <v>602</v>
      </c>
    </row>
    <row r="373" spans="1:8" x14ac:dyDescent="0.25">
      <c r="A373" s="30" t="s">
        <v>1111</v>
      </c>
      <c r="B373" s="25" t="s">
        <v>46</v>
      </c>
      <c r="C373" s="50" t="s">
        <v>672</v>
      </c>
      <c r="D373" s="25" t="s">
        <v>257</v>
      </c>
      <c r="E373" s="25" t="s">
        <v>258</v>
      </c>
      <c r="F373" s="51" t="str">
        <f>VLOOKUP(Клиенты[[#This Row],[GardenaChannel]],GardenChannel[[GardenChannel]:[Sales manager]],2,0)</f>
        <v>ПОЛУНОВ ДМИТРИЙ</v>
      </c>
      <c r="H373" s="25" t="s">
        <v>46</v>
      </c>
    </row>
    <row r="374" spans="1:8" x14ac:dyDescent="0.25">
      <c r="A374" s="30" t="s">
        <v>1112</v>
      </c>
      <c r="B374" s="25" t="s">
        <v>46</v>
      </c>
      <c r="C374" s="50" t="s">
        <v>673</v>
      </c>
      <c r="D374" s="25" t="s">
        <v>257</v>
      </c>
      <c r="E374" s="25" t="s">
        <v>258</v>
      </c>
      <c r="F374" s="51" t="str">
        <f>VLOOKUP(Клиенты[[#This Row],[GardenaChannel]],GardenChannel[[GardenChannel]:[Sales manager]],2,0)</f>
        <v>ПОЛУНОВ ДМИТРИЙ</v>
      </c>
      <c r="H374" s="25" t="s">
        <v>46</v>
      </c>
    </row>
    <row r="375" spans="1:8" x14ac:dyDescent="0.25">
      <c r="A375" s="30" t="s">
        <v>1113</v>
      </c>
      <c r="B375" s="25" t="s">
        <v>46</v>
      </c>
      <c r="C375" s="50" t="s">
        <v>674</v>
      </c>
      <c r="D375" s="25" t="s">
        <v>257</v>
      </c>
      <c r="E375" s="25" t="s">
        <v>258</v>
      </c>
      <c r="F375" s="51" t="str">
        <f>VLOOKUP(Клиенты[[#This Row],[GardenaChannel]],GardenChannel[[GardenChannel]:[Sales manager]],2,0)</f>
        <v>ПОЛУНОВ ДМИТРИЙ</v>
      </c>
      <c r="H375" s="25" t="s">
        <v>46</v>
      </c>
    </row>
    <row r="376" spans="1:8" x14ac:dyDescent="0.25">
      <c r="A376" s="30" t="s">
        <v>1114</v>
      </c>
      <c r="B376" s="25" t="s">
        <v>46</v>
      </c>
      <c r="C376" s="50" t="s">
        <v>675</v>
      </c>
      <c r="D376" s="25" t="s">
        <v>257</v>
      </c>
      <c r="E376" s="25" t="s">
        <v>258</v>
      </c>
      <c r="F376" s="51" t="str">
        <f>VLOOKUP(Клиенты[[#This Row],[GardenaChannel]],GardenChannel[[GardenChannel]:[Sales manager]],2,0)</f>
        <v>ПОЛУНОВ ДМИТРИЙ</v>
      </c>
      <c r="H376" s="25" t="s">
        <v>46</v>
      </c>
    </row>
    <row r="377" spans="1:8" x14ac:dyDescent="0.25">
      <c r="A377" s="30" t="s">
        <v>1115</v>
      </c>
      <c r="B377" s="25" t="s">
        <v>46</v>
      </c>
      <c r="C377" s="50" t="s">
        <v>676</v>
      </c>
      <c r="D377" s="25" t="s">
        <v>257</v>
      </c>
      <c r="E377" s="25" t="s">
        <v>258</v>
      </c>
      <c r="F377" s="51" t="str">
        <f>VLOOKUP(Клиенты[[#This Row],[GardenaChannel]],GardenChannel[[GardenChannel]:[Sales manager]],2,0)</f>
        <v>ПОЛУНОВ ДМИТРИЙ</v>
      </c>
      <c r="H377" s="25" t="s">
        <v>46</v>
      </c>
    </row>
    <row r="378" spans="1:8" x14ac:dyDescent="0.25">
      <c r="A378" s="30" t="s">
        <v>1116</v>
      </c>
      <c r="B378" s="25" t="s">
        <v>46</v>
      </c>
      <c r="C378" s="50" t="s">
        <v>677</v>
      </c>
      <c r="D378" s="25" t="s">
        <v>257</v>
      </c>
      <c r="E378" s="25" t="s">
        <v>258</v>
      </c>
      <c r="F378" s="51" t="str">
        <f>VLOOKUP(Клиенты[[#This Row],[GardenaChannel]],GardenChannel[[GardenChannel]:[Sales manager]],2,0)</f>
        <v>ПОЛУНОВ ДМИТРИЙ</v>
      </c>
      <c r="H378" s="25" t="s">
        <v>46</v>
      </c>
    </row>
    <row r="379" spans="1:8" x14ac:dyDescent="0.25">
      <c r="A379" s="30" t="s">
        <v>1117</v>
      </c>
      <c r="B379" s="25" t="s">
        <v>46</v>
      </c>
      <c r="C379" s="50" t="s">
        <v>678</v>
      </c>
      <c r="D379" s="25" t="s">
        <v>257</v>
      </c>
      <c r="E379" s="25" t="s">
        <v>258</v>
      </c>
      <c r="F379" s="51" t="str">
        <f>VLOOKUP(Клиенты[[#This Row],[GardenaChannel]],GardenChannel[[GardenChannel]:[Sales manager]],2,0)</f>
        <v>ПОЛУНОВ ДМИТРИЙ</v>
      </c>
      <c r="H379" s="25" t="s">
        <v>46</v>
      </c>
    </row>
    <row r="380" spans="1:8" x14ac:dyDescent="0.25">
      <c r="A380" s="30" t="s">
        <v>1118</v>
      </c>
      <c r="B380" s="25" t="s">
        <v>46</v>
      </c>
      <c r="C380" s="50" t="s">
        <v>679</v>
      </c>
      <c r="D380" s="25" t="s">
        <v>257</v>
      </c>
      <c r="E380" s="25" t="s">
        <v>258</v>
      </c>
      <c r="F380" s="51" t="str">
        <f>VLOOKUP(Клиенты[[#This Row],[GardenaChannel]],GardenChannel[[GardenChannel]:[Sales manager]],2,0)</f>
        <v>ПОЛУНОВ ДМИТРИЙ</v>
      </c>
      <c r="H380" s="25" t="s">
        <v>46</v>
      </c>
    </row>
    <row r="381" spans="1:8" x14ac:dyDescent="0.25">
      <c r="A381" s="30" t="s">
        <v>1119</v>
      </c>
      <c r="B381" s="25" t="s">
        <v>46</v>
      </c>
      <c r="C381" s="50" t="s">
        <v>680</v>
      </c>
      <c r="D381" s="25" t="s">
        <v>257</v>
      </c>
      <c r="E381" s="25" t="s">
        <v>258</v>
      </c>
      <c r="F381" s="51" t="str">
        <f>VLOOKUP(Клиенты[[#This Row],[GardenaChannel]],GardenChannel[[GardenChannel]:[Sales manager]],2,0)</f>
        <v>ПОЛУНОВ ДМИТРИЙ</v>
      </c>
      <c r="H381" s="25" t="s">
        <v>46</v>
      </c>
    </row>
    <row r="382" spans="1:8" x14ac:dyDescent="0.25">
      <c r="A382" s="30" t="s">
        <v>1120</v>
      </c>
      <c r="B382" s="25" t="s">
        <v>46</v>
      </c>
      <c r="C382" s="50" t="s">
        <v>681</v>
      </c>
      <c r="D382" s="25" t="s">
        <v>257</v>
      </c>
      <c r="E382" s="25" t="s">
        <v>258</v>
      </c>
      <c r="F382" s="51" t="str">
        <f>VLOOKUP(Клиенты[[#This Row],[GardenaChannel]],GardenChannel[[GardenChannel]:[Sales manager]],2,0)</f>
        <v>ПОЛУНОВ ДМИТРИЙ</v>
      </c>
      <c r="H382" s="25" t="s">
        <v>46</v>
      </c>
    </row>
    <row r="383" spans="1:8" x14ac:dyDescent="0.25">
      <c r="A383" s="30" t="s">
        <v>1121</v>
      </c>
      <c r="B383" s="25" t="s">
        <v>46</v>
      </c>
      <c r="C383" s="50" t="s">
        <v>682</v>
      </c>
      <c r="D383" s="25" t="s">
        <v>257</v>
      </c>
      <c r="E383" s="25" t="s">
        <v>271</v>
      </c>
      <c r="F383" s="51" t="str">
        <f>VLOOKUP(Клиенты[[#This Row],[GardenaChannel]],GardenChannel[[GardenChannel]:[Sales manager]],2,0)</f>
        <v>ПОЛУНОВ ДМИТРИЙ</v>
      </c>
      <c r="H383" s="25" t="s">
        <v>46</v>
      </c>
    </row>
    <row r="384" spans="1:8" x14ac:dyDescent="0.25">
      <c r="A384" s="30" t="s">
        <v>1122</v>
      </c>
      <c r="B384" s="25" t="s">
        <v>46</v>
      </c>
      <c r="C384" s="50" t="s">
        <v>683</v>
      </c>
      <c r="D384" s="25" t="s">
        <v>257</v>
      </c>
      <c r="E384" s="25" t="s">
        <v>258</v>
      </c>
      <c r="F384" s="51" t="str">
        <f>VLOOKUP(Клиенты[[#This Row],[GardenaChannel]],GardenChannel[[GardenChannel]:[Sales manager]],2,0)</f>
        <v>ПОЛУНОВ ДМИТРИЙ</v>
      </c>
      <c r="H384" s="25" t="s">
        <v>46</v>
      </c>
    </row>
    <row r="385" spans="1:8" x14ac:dyDescent="0.25">
      <c r="A385" s="30" t="s">
        <v>1123</v>
      </c>
      <c r="B385" s="25" t="s">
        <v>46</v>
      </c>
      <c r="C385" s="50" t="s">
        <v>684</v>
      </c>
      <c r="D385" s="25" t="s">
        <v>257</v>
      </c>
      <c r="E385" s="25" t="s">
        <v>258</v>
      </c>
      <c r="F385" s="51" t="str">
        <f>VLOOKUP(Клиенты[[#This Row],[GardenaChannel]],GardenChannel[[GardenChannel]:[Sales manager]],2,0)</f>
        <v>ПОЛУНОВ ДМИТРИЙ</v>
      </c>
      <c r="H385" s="25" t="s">
        <v>46</v>
      </c>
    </row>
    <row r="386" spans="1:8" x14ac:dyDescent="0.25">
      <c r="A386" s="30" t="s">
        <v>1124</v>
      </c>
      <c r="B386" s="25" t="s">
        <v>46</v>
      </c>
      <c r="C386" s="50" t="s">
        <v>685</v>
      </c>
      <c r="D386" s="25" t="s">
        <v>257</v>
      </c>
      <c r="E386" s="25" t="s">
        <v>258</v>
      </c>
      <c r="F386" s="51" t="str">
        <f>VLOOKUP(Клиенты[[#This Row],[GardenaChannel]],GardenChannel[[GardenChannel]:[Sales manager]],2,0)</f>
        <v>ПОЛУНОВ ДМИТРИЙ</v>
      </c>
      <c r="H386" s="25" t="s">
        <v>46</v>
      </c>
    </row>
    <row r="387" spans="1:8" x14ac:dyDescent="0.25">
      <c r="A387" s="30" t="s">
        <v>1125</v>
      </c>
      <c r="B387" s="25" t="s">
        <v>46</v>
      </c>
      <c r="C387" s="50" t="s">
        <v>686</v>
      </c>
      <c r="D387" s="25" t="s">
        <v>257</v>
      </c>
      <c r="E387" s="25" t="s">
        <v>258</v>
      </c>
      <c r="F387" s="51" t="str">
        <f>VLOOKUP(Клиенты[[#This Row],[GardenaChannel]],GardenChannel[[GardenChannel]:[Sales manager]],2,0)</f>
        <v>ПОЛУНОВ ДМИТРИЙ</v>
      </c>
      <c r="H387" s="25" t="s">
        <v>46</v>
      </c>
    </row>
    <row r="388" spans="1:8" x14ac:dyDescent="0.25">
      <c r="A388" s="30" t="s">
        <v>1126</v>
      </c>
      <c r="B388" s="25" t="s">
        <v>46</v>
      </c>
      <c r="C388" s="50" t="s">
        <v>687</v>
      </c>
      <c r="D388" s="25" t="s">
        <v>257</v>
      </c>
      <c r="E388" s="25" t="s">
        <v>258</v>
      </c>
      <c r="F388" s="51" t="str">
        <f>VLOOKUP(Клиенты[[#This Row],[GardenaChannel]],GardenChannel[[GardenChannel]:[Sales manager]],2,0)</f>
        <v>ПОЛУНОВ ДМИТРИЙ</v>
      </c>
      <c r="H388" s="25" t="s">
        <v>46</v>
      </c>
    </row>
    <row r="389" spans="1:8" x14ac:dyDescent="0.25">
      <c r="A389" s="30" t="s">
        <v>1127</v>
      </c>
      <c r="B389" s="25" t="s">
        <v>46</v>
      </c>
      <c r="C389" s="50" t="s">
        <v>688</v>
      </c>
      <c r="D389" s="25" t="s">
        <v>257</v>
      </c>
      <c r="E389" s="25" t="s">
        <v>295</v>
      </c>
      <c r="F389" s="51" t="str">
        <f>VLOOKUP(Клиенты[[#This Row],[GardenaChannel]],GardenChannel[[GardenChannel]:[Sales manager]],2,0)</f>
        <v>ПОЛУНОВ ДМИТРИЙ</v>
      </c>
      <c r="H389" s="25" t="s">
        <v>46</v>
      </c>
    </row>
    <row r="390" spans="1:8" x14ac:dyDescent="0.25">
      <c r="A390" s="30" t="s">
        <v>1128</v>
      </c>
      <c r="B390" s="25" t="s">
        <v>46</v>
      </c>
      <c r="C390" s="50" t="s">
        <v>689</v>
      </c>
      <c r="D390" s="25" t="s">
        <v>257</v>
      </c>
      <c r="E390" s="25" t="s">
        <v>258</v>
      </c>
      <c r="F390" s="51" t="str">
        <f>VLOOKUP(Клиенты[[#This Row],[GardenaChannel]],GardenChannel[[GardenChannel]:[Sales manager]],2,0)</f>
        <v>ПОЛУНОВ ДМИТРИЙ</v>
      </c>
      <c r="H390" s="25" t="s">
        <v>46</v>
      </c>
    </row>
    <row r="391" spans="1:8" x14ac:dyDescent="0.25">
      <c r="A391" s="30" t="s">
        <v>1129</v>
      </c>
      <c r="B391" s="25" t="s">
        <v>46</v>
      </c>
      <c r="C391" s="50" t="s">
        <v>690</v>
      </c>
      <c r="D391" s="25" t="s">
        <v>257</v>
      </c>
      <c r="E391" s="25" t="s">
        <v>258</v>
      </c>
      <c r="F391" s="51" t="str">
        <f>VLOOKUP(Клиенты[[#This Row],[GardenaChannel]],GardenChannel[[GardenChannel]:[Sales manager]],2,0)</f>
        <v>ПОЛУНОВ ДМИТРИЙ</v>
      </c>
      <c r="H391" s="25" t="s">
        <v>46</v>
      </c>
    </row>
    <row r="392" spans="1:8" x14ac:dyDescent="0.25">
      <c r="A392" s="30" t="s">
        <v>1130</v>
      </c>
      <c r="B392" s="25" t="s">
        <v>46</v>
      </c>
      <c r="C392" s="50" t="s">
        <v>691</v>
      </c>
      <c r="D392" s="25" t="s">
        <v>257</v>
      </c>
      <c r="E392" s="25" t="s">
        <v>271</v>
      </c>
      <c r="F392" s="51" t="str">
        <f>VLOOKUP(Клиенты[[#This Row],[GardenaChannel]],GardenChannel[[GardenChannel]:[Sales manager]],2,0)</f>
        <v>ПОЛУНОВ ДМИТРИЙ</v>
      </c>
      <c r="H392" s="25" t="s">
        <v>46</v>
      </c>
    </row>
    <row r="393" spans="1:8" x14ac:dyDescent="0.25">
      <c r="A393" s="30" t="s">
        <v>1131</v>
      </c>
      <c r="B393" s="25" t="s">
        <v>46</v>
      </c>
      <c r="C393" s="50" t="s">
        <v>692</v>
      </c>
      <c r="D393" s="25" t="s">
        <v>257</v>
      </c>
      <c r="E393" s="25" t="s">
        <v>258</v>
      </c>
      <c r="F393" s="51" t="str">
        <f>VLOOKUP(Клиенты[[#This Row],[GardenaChannel]],GardenChannel[[GardenChannel]:[Sales manager]],2,0)</f>
        <v>ПОЛУНОВ ДМИТРИЙ</v>
      </c>
      <c r="H393" s="25" t="s">
        <v>46</v>
      </c>
    </row>
    <row r="394" spans="1:8" x14ac:dyDescent="0.25">
      <c r="A394" s="30" t="s">
        <v>1132</v>
      </c>
      <c r="B394" s="25" t="s">
        <v>46</v>
      </c>
      <c r="C394" s="50" t="s">
        <v>693</v>
      </c>
      <c r="D394" s="25" t="s">
        <v>257</v>
      </c>
      <c r="E394" s="25" t="s">
        <v>258</v>
      </c>
      <c r="F394" s="51" t="str">
        <f>VLOOKUP(Клиенты[[#This Row],[GardenaChannel]],GardenChannel[[GardenChannel]:[Sales manager]],2,0)</f>
        <v>ПОЛУНОВ ДМИТРИЙ</v>
      </c>
      <c r="H394" s="25" t="s">
        <v>46</v>
      </c>
    </row>
    <row r="395" spans="1:8" x14ac:dyDescent="0.25">
      <c r="A395" s="30" t="s">
        <v>1133</v>
      </c>
      <c r="B395" s="25" t="s">
        <v>46</v>
      </c>
      <c r="C395" s="50" t="s">
        <v>694</v>
      </c>
      <c r="D395" s="25" t="s">
        <v>257</v>
      </c>
      <c r="E395" s="25" t="s">
        <v>258</v>
      </c>
      <c r="F395" s="51" t="str">
        <f>VLOOKUP(Клиенты[[#This Row],[GardenaChannel]],GardenChannel[[GardenChannel]:[Sales manager]],2,0)</f>
        <v>ПОЛУНОВ ДМИТРИЙ</v>
      </c>
      <c r="H395" s="25" t="s">
        <v>46</v>
      </c>
    </row>
    <row r="396" spans="1:8" x14ac:dyDescent="0.25">
      <c r="A396" s="30" t="s">
        <v>1134</v>
      </c>
      <c r="B396" s="25" t="s">
        <v>46</v>
      </c>
      <c r="C396" s="50" t="s">
        <v>695</v>
      </c>
      <c r="D396" s="25" t="s">
        <v>257</v>
      </c>
      <c r="E396" s="25" t="s">
        <v>258</v>
      </c>
      <c r="F396" s="51" t="str">
        <f>VLOOKUP(Клиенты[[#This Row],[GardenaChannel]],GardenChannel[[GardenChannel]:[Sales manager]],2,0)</f>
        <v>ПОЛУНОВ ДМИТРИЙ</v>
      </c>
      <c r="H396" s="25" t="s">
        <v>46</v>
      </c>
    </row>
    <row r="397" spans="1:8" x14ac:dyDescent="0.25">
      <c r="A397" s="30" t="s">
        <v>1135</v>
      </c>
      <c r="B397" s="25" t="s">
        <v>46</v>
      </c>
      <c r="C397" s="50" t="s">
        <v>696</v>
      </c>
      <c r="D397" s="25" t="s">
        <v>257</v>
      </c>
      <c r="E397" s="25" t="s">
        <v>258</v>
      </c>
      <c r="F397" s="51" t="str">
        <f>VLOOKUP(Клиенты[[#This Row],[GardenaChannel]],GardenChannel[[GardenChannel]:[Sales manager]],2,0)</f>
        <v>ПОЛУНОВ ДМИТРИЙ</v>
      </c>
      <c r="H397" s="25" t="s">
        <v>46</v>
      </c>
    </row>
    <row r="398" spans="1:8" x14ac:dyDescent="0.25">
      <c r="A398" s="30" t="s">
        <v>1136</v>
      </c>
      <c r="B398" s="25" t="s">
        <v>46</v>
      </c>
      <c r="C398" s="50" t="s">
        <v>697</v>
      </c>
      <c r="D398" s="25" t="s">
        <v>257</v>
      </c>
      <c r="E398" s="25" t="s">
        <v>258</v>
      </c>
      <c r="F398" s="51" t="str">
        <f>VLOOKUP(Клиенты[[#This Row],[GardenaChannel]],GardenChannel[[GardenChannel]:[Sales manager]],2,0)</f>
        <v>ПОЛУНОВ ДМИТРИЙ</v>
      </c>
      <c r="H398" s="25" t="s">
        <v>46</v>
      </c>
    </row>
    <row r="399" spans="1:8" x14ac:dyDescent="0.25">
      <c r="A399" s="30" t="s">
        <v>1137</v>
      </c>
      <c r="B399" s="25" t="s">
        <v>46</v>
      </c>
      <c r="C399" s="50" t="s">
        <v>698</v>
      </c>
      <c r="D399" s="25" t="s">
        <v>257</v>
      </c>
      <c r="E399" s="25" t="s">
        <v>258</v>
      </c>
      <c r="F399" s="51" t="str">
        <f>VLOOKUP(Клиенты[[#This Row],[GardenaChannel]],GardenChannel[[GardenChannel]:[Sales manager]],2,0)</f>
        <v>ПОЛУНОВ ДМИТРИЙ</v>
      </c>
      <c r="H399" s="25" t="s">
        <v>46</v>
      </c>
    </row>
    <row r="400" spans="1:8" x14ac:dyDescent="0.25">
      <c r="A400" s="30" t="s">
        <v>1138</v>
      </c>
      <c r="B400" s="25" t="s">
        <v>46</v>
      </c>
      <c r="C400" s="50" t="s">
        <v>699</v>
      </c>
      <c r="D400" s="25" t="s">
        <v>257</v>
      </c>
      <c r="E400" s="25" t="s">
        <v>258</v>
      </c>
      <c r="F400" s="51" t="str">
        <f>VLOOKUP(Клиенты[[#This Row],[GardenaChannel]],GardenChannel[[GardenChannel]:[Sales manager]],2,0)</f>
        <v>ПОЛУНОВ ДМИТРИЙ</v>
      </c>
      <c r="H400" s="25" t="s">
        <v>46</v>
      </c>
    </row>
    <row r="401" spans="1:8" x14ac:dyDescent="0.25">
      <c r="A401" s="30" t="s">
        <v>1139</v>
      </c>
      <c r="B401" s="25" t="s">
        <v>46</v>
      </c>
      <c r="C401" s="50" t="s">
        <v>700</v>
      </c>
      <c r="D401" s="25" t="s">
        <v>257</v>
      </c>
      <c r="E401" s="25" t="s">
        <v>258</v>
      </c>
      <c r="F401" s="51" t="str">
        <f>VLOOKUP(Клиенты[[#This Row],[GardenaChannel]],GardenChannel[[GardenChannel]:[Sales manager]],2,0)</f>
        <v>ПОЛУНОВ ДМИТРИЙ</v>
      </c>
      <c r="H401" s="25" t="s">
        <v>46</v>
      </c>
    </row>
    <row r="402" spans="1:8" x14ac:dyDescent="0.25">
      <c r="A402" s="30" t="s">
        <v>1140</v>
      </c>
      <c r="B402" s="25" t="s">
        <v>46</v>
      </c>
      <c r="C402" s="50" t="s">
        <v>701</v>
      </c>
      <c r="D402" s="25" t="s">
        <v>257</v>
      </c>
      <c r="E402" s="25" t="s">
        <v>258</v>
      </c>
      <c r="F402" s="51" t="str">
        <f>VLOOKUP(Клиенты[[#This Row],[GardenaChannel]],GardenChannel[[GardenChannel]:[Sales manager]],2,0)</f>
        <v>ПОЛУНОВ ДМИТРИЙ</v>
      </c>
      <c r="H402" s="25" t="s">
        <v>46</v>
      </c>
    </row>
    <row r="403" spans="1:8" x14ac:dyDescent="0.25">
      <c r="A403" s="30" t="s">
        <v>1141</v>
      </c>
      <c r="B403" s="25" t="s">
        <v>46</v>
      </c>
      <c r="C403" s="50" t="s">
        <v>702</v>
      </c>
      <c r="D403" s="25" t="s">
        <v>257</v>
      </c>
      <c r="E403" s="25" t="s">
        <v>258</v>
      </c>
      <c r="F403" s="51" t="str">
        <f>VLOOKUP(Клиенты[[#This Row],[GardenaChannel]],GardenChannel[[GardenChannel]:[Sales manager]],2,0)</f>
        <v>ПОЛУНОВ ДМИТРИЙ</v>
      </c>
      <c r="H403" s="25" t="s">
        <v>46</v>
      </c>
    </row>
    <row r="404" spans="1:8" x14ac:dyDescent="0.25">
      <c r="A404" s="30" t="s">
        <v>1142</v>
      </c>
      <c r="B404" s="25" t="s">
        <v>46</v>
      </c>
      <c r="C404" s="50" t="s">
        <v>703</v>
      </c>
      <c r="D404" s="25" t="s">
        <v>257</v>
      </c>
      <c r="E404" s="25" t="s">
        <v>258</v>
      </c>
      <c r="F404" s="51" t="str">
        <f>VLOOKUP(Клиенты[[#This Row],[GardenaChannel]],GardenChannel[[GardenChannel]:[Sales manager]],2,0)</f>
        <v>ПОЛУНОВ ДМИТРИЙ</v>
      </c>
      <c r="H404" s="25" t="s">
        <v>46</v>
      </c>
    </row>
    <row r="405" spans="1:8" x14ac:dyDescent="0.25">
      <c r="A405" s="30" t="s">
        <v>1143</v>
      </c>
      <c r="B405" s="25" t="s">
        <v>46</v>
      </c>
      <c r="C405" s="50" t="s">
        <v>704</v>
      </c>
      <c r="D405" s="25" t="s">
        <v>257</v>
      </c>
      <c r="E405" s="25" t="s">
        <v>258</v>
      </c>
      <c r="F405" s="51" t="str">
        <f>VLOOKUP(Клиенты[[#This Row],[GardenaChannel]],GardenChannel[[GardenChannel]:[Sales manager]],2,0)</f>
        <v>ПОЛУНОВ ДМИТРИЙ</v>
      </c>
      <c r="H405" s="25" t="s">
        <v>46</v>
      </c>
    </row>
    <row r="406" spans="1:8" x14ac:dyDescent="0.25">
      <c r="A406" s="30" t="s">
        <v>1144</v>
      </c>
      <c r="B406" s="25" t="s">
        <v>46</v>
      </c>
      <c r="C406" s="50" t="s">
        <v>705</v>
      </c>
      <c r="D406" s="25" t="s">
        <v>257</v>
      </c>
      <c r="E406" s="25" t="s">
        <v>258</v>
      </c>
      <c r="F406" s="51" t="str">
        <f>VLOOKUP(Клиенты[[#This Row],[GardenaChannel]],GardenChannel[[GardenChannel]:[Sales manager]],2,0)</f>
        <v>ПОЛУНОВ ДМИТРИЙ</v>
      </c>
      <c r="H406" s="25" t="s">
        <v>46</v>
      </c>
    </row>
    <row r="407" spans="1:8" x14ac:dyDescent="0.25">
      <c r="A407" s="30" t="s">
        <v>1145</v>
      </c>
      <c r="B407" s="25" t="s">
        <v>46</v>
      </c>
      <c r="C407" s="50" t="s">
        <v>706</v>
      </c>
      <c r="D407" s="25" t="s">
        <v>257</v>
      </c>
      <c r="E407" s="25" t="s">
        <v>258</v>
      </c>
      <c r="F407" s="51" t="str">
        <f>VLOOKUP(Клиенты[[#This Row],[GardenaChannel]],GardenChannel[[GardenChannel]:[Sales manager]],2,0)</f>
        <v>ПОЛУНОВ ДМИТРИЙ</v>
      </c>
      <c r="H407" s="25" t="s">
        <v>46</v>
      </c>
    </row>
    <row r="408" spans="1:8" x14ac:dyDescent="0.25">
      <c r="A408" s="30" t="s">
        <v>1146</v>
      </c>
      <c r="B408" s="25" t="s">
        <v>46</v>
      </c>
      <c r="C408" s="50" t="s">
        <v>707</v>
      </c>
      <c r="D408" s="25" t="s">
        <v>257</v>
      </c>
      <c r="E408" s="25" t="s">
        <v>258</v>
      </c>
      <c r="F408" s="51" t="str">
        <f>VLOOKUP(Клиенты[[#This Row],[GardenaChannel]],GardenChannel[[GardenChannel]:[Sales manager]],2,0)</f>
        <v>ПОЛУНОВ ДМИТРИЙ</v>
      </c>
      <c r="H408" s="25" t="s">
        <v>46</v>
      </c>
    </row>
    <row r="409" spans="1:8" x14ac:dyDescent="0.25">
      <c r="A409" s="30" t="s">
        <v>1147</v>
      </c>
      <c r="B409" s="25" t="s">
        <v>46</v>
      </c>
      <c r="C409" s="50" t="s">
        <v>708</v>
      </c>
      <c r="D409" s="25" t="s">
        <v>257</v>
      </c>
      <c r="E409" s="25" t="s">
        <v>258</v>
      </c>
      <c r="F409" s="51" t="str">
        <f>VLOOKUP(Клиенты[[#This Row],[GardenaChannel]],GardenChannel[[GardenChannel]:[Sales manager]],2,0)</f>
        <v>ПОЛУНОВ ДМИТРИЙ</v>
      </c>
      <c r="H409" s="25" t="s">
        <v>46</v>
      </c>
    </row>
    <row r="410" spans="1:8" x14ac:dyDescent="0.25">
      <c r="A410" s="30" t="s">
        <v>1148</v>
      </c>
      <c r="B410" s="25" t="s">
        <v>46</v>
      </c>
      <c r="C410" s="50" t="s">
        <v>709</v>
      </c>
      <c r="D410" s="25" t="s">
        <v>257</v>
      </c>
      <c r="E410" s="25" t="s">
        <v>258</v>
      </c>
      <c r="F410" s="51" t="str">
        <f>VLOOKUP(Клиенты[[#This Row],[GardenaChannel]],GardenChannel[[GardenChannel]:[Sales manager]],2,0)</f>
        <v>ПОЛУНОВ ДМИТРИЙ</v>
      </c>
      <c r="H410" s="25" t="s">
        <v>46</v>
      </c>
    </row>
    <row r="411" spans="1:8" x14ac:dyDescent="0.25">
      <c r="A411" s="30" t="s">
        <v>1149</v>
      </c>
      <c r="B411" s="25" t="s">
        <v>46</v>
      </c>
      <c r="C411" s="50" t="s">
        <v>710</v>
      </c>
      <c r="D411" s="25" t="s">
        <v>257</v>
      </c>
      <c r="E411" s="25" t="s">
        <v>258</v>
      </c>
      <c r="F411" s="51" t="str">
        <f>VLOOKUP(Клиенты[[#This Row],[GardenaChannel]],GardenChannel[[GardenChannel]:[Sales manager]],2,0)</f>
        <v>ПОЛУНОВ ДМИТРИЙ</v>
      </c>
      <c r="H411" s="25" t="s">
        <v>46</v>
      </c>
    </row>
    <row r="412" spans="1:8" x14ac:dyDescent="0.25">
      <c r="A412" s="30" t="s">
        <v>1150</v>
      </c>
      <c r="B412" s="25" t="s">
        <v>46</v>
      </c>
      <c r="C412" s="50" t="s">
        <v>711</v>
      </c>
      <c r="D412" s="25" t="s">
        <v>257</v>
      </c>
      <c r="E412" s="25" t="s">
        <v>258</v>
      </c>
      <c r="F412" s="51" t="str">
        <f>VLOOKUP(Клиенты[[#This Row],[GardenaChannel]],GardenChannel[[GardenChannel]:[Sales manager]],2,0)</f>
        <v>ПОЛУНОВ ДМИТРИЙ</v>
      </c>
      <c r="H412" s="25" t="s">
        <v>46</v>
      </c>
    </row>
    <row r="413" spans="1:8" x14ac:dyDescent="0.25">
      <c r="A413" s="30" t="s">
        <v>1151</v>
      </c>
      <c r="B413" s="25" t="s">
        <v>46</v>
      </c>
      <c r="C413" s="50" t="s">
        <v>712</v>
      </c>
      <c r="D413" s="25" t="s">
        <v>257</v>
      </c>
      <c r="E413" s="25" t="s">
        <v>258</v>
      </c>
      <c r="F413" s="51" t="str">
        <f>VLOOKUP(Клиенты[[#This Row],[GardenaChannel]],GardenChannel[[GardenChannel]:[Sales manager]],2,0)</f>
        <v>ПОЛУНОВ ДМИТРИЙ</v>
      </c>
      <c r="H413" s="25" t="s">
        <v>46</v>
      </c>
    </row>
    <row r="414" spans="1:8" x14ac:dyDescent="0.25">
      <c r="A414" s="30" t="s">
        <v>1152</v>
      </c>
      <c r="B414" s="25" t="s">
        <v>46</v>
      </c>
      <c r="C414" s="50" t="s">
        <v>713</v>
      </c>
      <c r="D414" s="25" t="s">
        <v>257</v>
      </c>
      <c r="E414" s="25" t="s">
        <v>258</v>
      </c>
      <c r="F414" s="51" t="str">
        <f>VLOOKUP(Клиенты[[#This Row],[GardenaChannel]],GardenChannel[[GardenChannel]:[Sales manager]],2,0)</f>
        <v>ПОЛУНОВ ДМИТРИЙ</v>
      </c>
      <c r="H414" s="25" t="s">
        <v>46</v>
      </c>
    </row>
    <row r="415" spans="1:8" x14ac:dyDescent="0.25">
      <c r="A415" s="30" t="s">
        <v>1153</v>
      </c>
      <c r="B415" s="25" t="s">
        <v>46</v>
      </c>
      <c r="C415" s="50" t="s">
        <v>714</v>
      </c>
      <c r="D415" s="25" t="s">
        <v>257</v>
      </c>
      <c r="E415" s="25" t="s">
        <v>271</v>
      </c>
      <c r="F415" s="51" t="str">
        <f>VLOOKUP(Клиенты[[#This Row],[GardenaChannel]],GardenChannel[[GardenChannel]:[Sales manager]],2,0)</f>
        <v>ПОЛУНОВ ДМИТРИЙ</v>
      </c>
      <c r="H415" s="25" t="s">
        <v>46</v>
      </c>
    </row>
    <row r="416" spans="1:8" x14ac:dyDescent="0.25">
      <c r="A416" s="30" t="s">
        <v>1154</v>
      </c>
      <c r="B416" s="25" t="s">
        <v>46</v>
      </c>
      <c r="C416" s="50" t="s">
        <v>715</v>
      </c>
      <c r="D416" s="25" t="s">
        <v>257</v>
      </c>
      <c r="E416" s="25" t="s">
        <v>258</v>
      </c>
      <c r="F416" s="51" t="str">
        <f>VLOOKUP(Клиенты[[#This Row],[GardenaChannel]],GardenChannel[[GardenChannel]:[Sales manager]],2,0)</f>
        <v>ПОЛУНОВ ДМИТРИЙ</v>
      </c>
      <c r="H416" s="25" t="s">
        <v>46</v>
      </c>
    </row>
    <row r="417" spans="1:8" x14ac:dyDescent="0.25">
      <c r="A417" s="30" t="s">
        <v>1155</v>
      </c>
      <c r="B417" s="25" t="s">
        <v>46</v>
      </c>
      <c r="C417" s="50" t="s">
        <v>716</v>
      </c>
      <c r="D417" s="25" t="s">
        <v>257</v>
      </c>
      <c r="E417" s="25" t="s">
        <v>258</v>
      </c>
      <c r="F417" s="51" t="str">
        <f>VLOOKUP(Клиенты[[#This Row],[GardenaChannel]],GardenChannel[[GardenChannel]:[Sales manager]],2,0)</f>
        <v>ПОЛУНОВ ДМИТРИЙ</v>
      </c>
      <c r="H417" s="25" t="s">
        <v>46</v>
      </c>
    </row>
    <row r="418" spans="1:8" x14ac:dyDescent="0.25">
      <c r="A418" s="30" t="s">
        <v>1156</v>
      </c>
      <c r="B418" s="25" t="s">
        <v>46</v>
      </c>
      <c r="C418" s="50" t="s">
        <v>717</v>
      </c>
      <c r="D418" s="25" t="s">
        <v>257</v>
      </c>
      <c r="E418" s="25" t="s">
        <v>258</v>
      </c>
      <c r="F418" s="51" t="str">
        <f>VLOOKUP(Клиенты[[#This Row],[GardenaChannel]],GardenChannel[[GardenChannel]:[Sales manager]],2,0)</f>
        <v>ПОЛУНОВ ДМИТРИЙ</v>
      </c>
      <c r="H418" s="25" t="s">
        <v>46</v>
      </c>
    </row>
    <row r="419" spans="1:8" x14ac:dyDescent="0.25">
      <c r="A419" s="30" t="s">
        <v>1157</v>
      </c>
      <c r="B419" s="25" t="s">
        <v>46</v>
      </c>
      <c r="C419" s="50" t="s">
        <v>718</v>
      </c>
      <c r="D419" s="25" t="s">
        <v>257</v>
      </c>
      <c r="E419" s="25" t="s">
        <v>258</v>
      </c>
      <c r="F419" s="51" t="str">
        <f>VLOOKUP(Клиенты[[#This Row],[GardenaChannel]],GardenChannel[[GardenChannel]:[Sales manager]],2,0)</f>
        <v>ПОЛУНОВ ДМИТРИЙ</v>
      </c>
      <c r="H419" s="25" t="s">
        <v>46</v>
      </c>
    </row>
    <row r="420" spans="1:8" x14ac:dyDescent="0.25">
      <c r="A420" s="30" t="s">
        <v>1158</v>
      </c>
      <c r="B420" s="25" t="s">
        <v>46</v>
      </c>
      <c r="C420" s="50" t="s">
        <v>719</v>
      </c>
      <c r="D420" s="25" t="s">
        <v>257</v>
      </c>
      <c r="E420" s="25" t="s">
        <v>258</v>
      </c>
      <c r="F420" s="51" t="str">
        <f>VLOOKUP(Клиенты[[#This Row],[GardenaChannel]],GardenChannel[[GardenChannel]:[Sales manager]],2,0)</f>
        <v>ПОЛУНОВ ДМИТРИЙ</v>
      </c>
      <c r="H420" s="25" t="s">
        <v>46</v>
      </c>
    </row>
    <row r="421" spans="1:8" x14ac:dyDescent="0.25">
      <c r="A421" s="30" t="s">
        <v>1159</v>
      </c>
      <c r="B421" s="25" t="s">
        <v>46</v>
      </c>
      <c r="C421" s="50" t="s">
        <v>720</v>
      </c>
      <c r="D421" s="25" t="s">
        <v>257</v>
      </c>
      <c r="E421" s="25" t="s">
        <v>258</v>
      </c>
      <c r="F421" s="51" t="str">
        <f>VLOOKUP(Клиенты[[#This Row],[GardenaChannel]],GardenChannel[[GardenChannel]:[Sales manager]],2,0)</f>
        <v>ПОЛУНОВ ДМИТРИЙ</v>
      </c>
      <c r="H421" s="25" t="s">
        <v>46</v>
      </c>
    </row>
    <row r="422" spans="1:8" x14ac:dyDescent="0.25">
      <c r="A422" s="30" t="s">
        <v>1160</v>
      </c>
      <c r="B422" s="25" t="s">
        <v>46</v>
      </c>
      <c r="C422" s="50" t="s">
        <v>721</v>
      </c>
      <c r="D422" s="25" t="s">
        <v>257</v>
      </c>
      <c r="E422" s="25" t="s">
        <v>258</v>
      </c>
      <c r="F422" s="51" t="str">
        <f>VLOOKUP(Клиенты[[#This Row],[GardenaChannel]],GardenChannel[[GardenChannel]:[Sales manager]],2,0)</f>
        <v>ПОЛУНОВ ДМИТРИЙ</v>
      </c>
      <c r="H422" s="25" t="s">
        <v>46</v>
      </c>
    </row>
    <row r="423" spans="1:8" x14ac:dyDescent="0.25">
      <c r="A423" s="30" t="s">
        <v>1161</v>
      </c>
      <c r="B423" s="25" t="s">
        <v>46</v>
      </c>
      <c r="C423" s="50" t="s">
        <v>722</v>
      </c>
      <c r="D423" s="25" t="s">
        <v>257</v>
      </c>
      <c r="E423" s="25" t="s">
        <v>258</v>
      </c>
      <c r="F423" s="51" t="str">
        <f>VLOOKUP(Клиенты[[#This Row],[GardenaChannel]],GardenChannel[[GardenChannel]:[Sales manager]],2,0)</f>
        <v>ПОЛУНОВ ДМИТРИЙ</v>
      </c>
      <c r="H423" s="25" t="s">
        <v>46</v>
      </c>
    </row>
    <row r="424" spans="1:8" x14ac:dyDescent="0.25">
      <c r="A424" s="30" t="s">
        <v>1162</v>
      </c>
      <c r="B424" s="25" t="s">
        <v>46</v>
      </c>
      <c r="C424" s="50" t="s">
        <v>723</v>
      </c>
      <c r="D424" s="25" t="s">
        <v>257</v>
      </c>
      <c r="E424" s="25" t="s">
        <v>258</v>
      </c>
      <c r="F424" s="51" t="str">
        <f>VLOOKUP(Клиенты[[#This Row],[GardenaChannel]],GardenChannel[[GardenChannel]:[Sales manager]],2,0)</f>
        <v>ПОЛУНОВ ДМИТРИЙ</v>
      </c>
      <c r="H424" s="25" t="s">
        <v>46</v>
      </c>
    </row>
    <row r="425" spans="1:8" x14ac:dyDescent="0.25">
      <c r="A425" s="30" t="s">
        <v>1163</v>
      </c>
      <c r="B425" s="25" t="s">
        <v>46</v>
      </c>
      <c r="C425" s="50" t="s">
        <v>724</v>
      </c>
      <c r="D425" s="25" t="s">
        <v>257</v>
      </c>
      <c r="E425" s="25" t="s">
        <v>271</v>
      </c>
      <c r="F425" s="51" t="str">
        <f>VLOOKUP(Клиенты[[#This Row],[GardenaChannel]],GardenChannel[[GardenChannel]:[Sales manager]],2,0)</f>
        <v>ПОЛУНОВ ДМИТРИЙ</v>
      </c>
      <c r="H425" s="25" t="s">
        <v>46</v>
      </c>
    </row>
    <row r="426" spans="1:8" x14ac:dyDescent="0.25">
      <c r="A426" s="30" t="s">
        <v>1164</v>
      </c>
      <c r="B426" s="25" t="s">
        <v>46</v>
      </c>
      <c r="C426" s="50" t="s">
        <v>725</v>
      </c>
      <c r="D426" s="25" t="s">
        <v>257</v>
      </c>
      <c r="E426" s="25" t="s">
        <v>271</v>
      </c>
      <c r="F426" s="51" t="str">
        <f>VLOOKUP(Клиенты[[#This Row],[GardenaChannel]],GardenChannel[[GardenChannel]:[Sales manager]],2,0)</f>
        <v>ПОЛУНОВ ДМИТРИЙ</v>
      </c>
      <c r="H426" s="25" t="s">
        <v>46</v>
      </c>
    </row>
    <row r="427" spans="1:8" x14ac:dyDescent="0.25">
      <c r="A427" s="30" t="s">
        <v>1165</v>
      </c>
      <c r="B427" s="25" t="s">
        <v>46</v>
      </c>
      <c r="C427" s="50" t="s">
        <v>726</v>
      </c>
      <c r="D427" s="25" t="s">
        <v>257</v>
      </c>
      <c r="E427" s="25" t="s">
        <v>271</v>
      </c>
      <c r="F427" s="51" t="str">
        <f>VLOOKUP(Клиенты[[#This Row],[GardenaChannel]],GardenChannel[[GardenChannel]:[Sales manager]],2,0)</f>
        <v>ПОЛУНОВ ДМИТРИЙ</v>
      </c>
      <c r="H427" s="25" t="s">
        <v>46</v>
      </c>
    </row>
    <row r="428" spans="1:8" x14ac:dyDescent="0.25">
      <c r="A428" s="30" t="s">
        <v>1166</v>
      </c>
      <c r="B428" s="25" t="s">
        <v>46</v>
      </c>
      <c r="C428" s="50" t="s">
        <v>727</v>
      </c>
      <c r="D428" s="25" t="s">
        <v>257</v>
      </c>
      <c r="E428" s="25" t="s">
        <v>258</v>
      </c>
      <c r="F428" s="51" t="str">
        <f>VLOOKUP(Клиенты[[#This Row],[GardenaChannel]],GardenChannel[[GardenChannel]:[Sales manager]],2,0)</f>
        <v>ПОЛУНОВ ДМИТРИЙ</v>
      </c>
      <c r="H428" s="25" t="s">
        <v>46</v>
      </c>
    </row>
    <row r="429" spans="1:8" x14ac:dyDescent="0.25">
      <c r="A429" s="30" t="s">
        <v>1167</v>
      </c>
      <c r="B429" s="25" t="s">
        <v>46</v>
      </c>
      <c r="C429" s="50" t="s">
        <v>728</v>
      </c>
      <c r="D429" s="25" t="s">
        <v>257</v>
      </c>
      <c r="E429" s="25" t="s">
        <v>258</v>
      </c>
      <c r="F429" s="51" t="str">
        <f>VLOOKUP(Клиенты[[#This Row],[GardenaChannel]],GardenChannel[[GardenChannel]:[Sales manager]],2,0)</f>
        <v>ПОЛУНОВ ДМИТРИЙ</v>
      </c>
      <c r="H429" s="25" t="s">
        <v>46</v>
      </c>
    </row>
    <row r="430" spans="1:8" x14ac:dyDescent="0.25">
      <c r="A430" s="30" t="s">
        <v>1168</v>
      </c>
      <c r="B430" s="25" t="s">
        <v>46</v>
      </c>
      <c r="C430" s="50" t="s">
        <v>729</v>
      </c>
      <c r="D430" s="25" t="s">
        <v>257</v>
      </c>
      <c r="E430" s="25" t="s">
        <v>258</v>
      </c>
      <c r="F430" s="51" t="str">
        <f>VLOOKUP(Клиенты[[#This Row],[GardenaChannel]],GardenChannel[[GardenChannel]:[Sales manager]],2,0)</f>
        <v>ПОЛУНОВ ДМИТРИЙ</v>
      </c>
      <c r="H430" s="25" t="s">
        <v>46</v>
      </c>
    </row>
    <row r="431" spans="1:8" x14ac:dyDescent="0.25">
      <c r="A431" s="30" t="s">
        <v>1169</v>
      </c>
      <c r="B431" s="25" t="s">
        <v>46</v>
      </c>
      <c r="C431" s="50" t="s">
        <v>730</v>
      </c>
      <c r="D431" s="25" t="s">
        <v>257</v>
      </c>
      <c r="E431" s="25" t="s">
        <v>258</v>
      </c>
      <c r="F431" s="51" t="str">
        <f>VLOOKUP(Клиенты[[#This Row],[GardenaChannel]],GardenChannel[[GardenChannel]:[Sales manager]],2,0)</f>
        <v>ПОЛУНОВ ДМИТРИЙ</v>
      </c>
      <c r="H431" s="25" t="s">
        <v>46</v>
      </c>
    </row>
    <row r="432" spans="1:8" x14ac:dyDescent="0.25">
      <c r="A432" s="30" t="s">
        <v>1170</v>
      </c>
      <c r="B432" s="25" t="s">
        <v>46</v>
      </c>
      <c r="C432" s="50" t="s">
        <v>731</v>
      </c>
      <c r="D432" s="25" t="s">
        <v>257</v>
      </c>
      <c r="E432" s="25" t="s">
        <v>258</v>
      </c>
      <c r="F432" s="51" t="str">
        <f>VLOOKUP(Клиенты[[#This Row],[GardenaChannel]],GardenChannel[[GardenChannel]:[Sales manager]],2,0)</f>
        <v>ПОЛУНОВ ДМИТРИЙ</v>
      </c>
      <c r="H432" s="25" t="s">
        <v>46</v>
      </c>
    </row>
    <row r="433" spans="1:8" x14ac:dyDescent="0.25">
      <c r="A433" s="30" t="s">
        <v>1171</v>
      </c>
      <c r="B433" s="25" t="s">
        <v>46</v>
      </c>
      <c r="C433" s="50" t="s">
        <v>732</v>
      </c>
      <c r="D433" s="25" t="s">
        <v>257</v>
      </c>
      <c r="E433" s="25" t="s">
        <v>271</v>
      </c>
      <c r="F433" s="51" t="str">
        <f>VLOOKUP(Клиенты[[#This Row],[GardenaChannel]],GardenChannel[[GardenChannel]:[Sales manager]],2,0)</f>
        <v>ПОЛУНОВ ДМИТРИЙ</v>
      </c>
      <c r="H433" s="25" t="s">
        <v>46</v>
      </c>
    </row>
    <row r="434" spans="1:8" x14ac:dyDescent="0.25">
      <c r="A434" s="30" t="s">
        <v>1172</v>
      </c>
      <c r="B434" s="25" t="s">
        <v>46</v>
      </c>
      <c r="C434" s="50" t="s">
        <v>733</v>
      </c>
      <c r="D434" s="25" t="s">
        <v>257</v>
      </c>
      <c r="E434" s="25" t="s">
        <v>258</v>
      </c>
      <c r="F434" s="51" t="str">
        <f>VLOOKUP(Клиенты[[#This Row],[GardenaChannel]],GardenChannel[[GardenChannel]:[Sales manager]],2,0)</f>
        <v>ПОЛУНОВ ДМИТРИЙ</v>
      </c>
      <c r="H434" s="25" t="s">
        <v>46</v>
      </c>
    </row>
    <row r="435" spans="1:8" x14ac:dyDescent="0.25">
      <c r="A435" s="30" t="s">
        <v>1173</v>
      </c>
      <c r="B435" s="25" t="s">
        <v>46</v>
      </c>
      <c r="C435" s="50" t="s">
        <v>734</v>
      </c>
      <c r="D435" s="25" t="s">
        <v>257</v>
      </c>
      <c r="E435" s="25" t="s">
        <v>258</v>
      </c>
      <c r="F435" s="51" t="str">
        <f>VLOOKUP(Клиенты[[#This Row],[GardenaChannel]],GardenChannel[[GardenChannel]:[Sales manager]],2,0)</f>
        <v>ПОЛУНОВ ДМИТРИЙ</v>
      </c>
      <c r="H435" s="25" t="s">
        <v>46</v>
      </c>
    </row>
    <row r="436" spans="1:8" x14ac:dyDescent="0.25">
      <c r="A436" s="30" t="s">
        <v>1174</v>
      </c>
      <c r="B436" s="25" t="s">
        <v>46</v>
      </c>
      <c r="C436" s="50" t="s">
        <v>735</v>
      </c>
      <c r="D436" s="25" t="s">
        <v>257</v>
      </c>
      <c r="E436" s="25" t="s">
        <v>258</v>
      </c>
      <c r="F436" s="51" t="str">
        <f>VLOOKUP(Клиенты[[#This Row],[GardenaChannel]],GardenChannel[[GardenChannel]:[Sales manager]],2,0)</f>
        <v>ПОЛУНОВ ДМИТРИЙ</v>
      </c>
      <c r="H436" s="25" t="s">
        <v>46</v>
      </c>
    </row>
    <row r="437" spans="1:8" x14ac:dyDescent="0.25">
      <c r="A437" s="30" t="s">
        <v>1175</v>
      </c>
      <c r="B437" s="25" t="s">
        <v>46</v>
      </c>
      <c r="C437" s="50" t="s">
        <v>736</v>
      </c>
      <c r="D437" s="25" t="s">
        <v>257</v>
      </c>
      <c r="E437" s="25" t="s">
        <v>258</v>
      </c>
      <c r="F437" s="51" t="str">
        <f>VLOOKUP(Клиенты[[#This Row],[GardenaChannel]],GardenChannel[[GardenChannel]:[Sales manager]],2,0)</f>
        <v>ПОЛУНОВ ДМИТРИЙ</v>
      </c>
      <c r="H437" s="25" t="s">
        <v>46</v>
      </c>
    </row>
    <row r="438" spans="1:8" x14ac:dyDescent="0.25">
      <c r="A438" s="30" t="s">
        <v>1176</v>
      </c>
      <c r="B438" s="25" t="s">
        <v>46</v>
      </c>
      <c r="C438" s="50" t="s">
        <v>737</v>
      </c>
      <c r="D438" s="25" t="s">
        <v>257</v>
      </c>
      <c r="E438" s="25" t="s">
        <v>258</v>
      </c>
      <c r="F438" s="51" t="str">
        <f>VLOOKUP(Клиенты[[#This Row],[GardenaChannel]],GardenChannel[[GardenChannel]:[Sales manager]],2,0)</f>
        <v>ПОЛУНОВ ДМИТРИЙ</v>
      </c>
      <c r="H438" s="25" t="s">
        <v>46</v>
      </c>
    </row>
    <row r="439" spans="1:8" x14ac:dyDescent="0.25">
      <c r="A439" s="30" t="s">
        <v>1177</v>
      </c>
      <c r="B439" s="25" t="s">
        <v>46</v>
      </c>
      <c r="C439" s="50" t="s">
        <v>738</v>
      </c>
      <c r="D439" s="25" t="s">
        <v>257</v>
      </c>
      <c r="E439" s="25" t="s">
        <v>258</v>
      </c>
      <c r="F439" s="51" t="str">
        <f>VLOOKUP(Клиенты[[#This Row],[GardenaChannel]],GardenChannel[[GardenChannel]:[Sales manager]],2,0)</f>
        <v>ПОЛУНОВ ДМИТРИЙ</v>
      </c>
      <c r="H439" s="25" t="s">
        <v>46</v>
      </c>
    </row>
    <row r="440" spans="1:8" x14ac:dyDescent="0.25">
      <c r="A440" s="30" t="s">
        <v>1178</v>
      </c>
      <c r="B440" s="25" t="s">
        <v>46</v>
      </c>
      <c r="C440" s="50" t="s">
        <v>739</v>
      </c>
      <c r="D440" s="25" t="s">
        <v>257</v>
      </c>
      <c r="E440" s="25" t="s">
        <v>258</v>
      </c>
      <c r="F440" s="51" t="str">
        <f>VLOOKUP(Клиенты[[#This Row],[GardenaChannel]],GardenChannel[[GardenChannel]:[Sales manager]],2,0)</f>
        <v>ПОЛУНОВ ДМИТРИЙ</v>
      </c>
      <c r="H440" s="25" t="s">
        <v>46</v>
      </c>
    </row>
  </sheetData>
  <phoneticPr fontId="3" type="noConversion"/>
  <dataValidations count="3">
    <dataValidation type="list" allowBlank="1" showInputMessage="1" showErrorMessage="1" sqref="B2:B440" xr:uid="{53683577-8C6C-4FFF-8D45-E658831B4343}">
      <formula1>INDIRECT("GardenChannel[GardenChannel]")</formula1>
    </dataValidation>
    <dataValidation type="list" allowBlank="1" showInputMessage="1" showErrorMessage="1" sqref="D2:D440" xr:uid="{934A21CF-608B-418A-8FA5-C4D11C5306F0}">
      <formula1>INDIRECT("ChannelTypes[Channel type]")</formula1>
    </dataValidation>
    <dataValidation type="list" allowBlank="1" showInputMessage="1" showErrorMessage="1" sqref="E2:E440" xr:uid="{29565F0E-6649-48EF-B687-C2795281DC43}">
      <formula1>INDIRECT("CustomerStatuses[Customer status]")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5A17E-B11F-478B-BD4C-6A072980E77E}">
  <sheetPr>
    <tabColor rgb="FF7030A0"/>
  </sheetPr>
  <dimension ref="A1:K75"/>
  <sheetViews>
    <sheetView workbookViewId="0">
      <selection activeCell="E1" sqref="E1"/>
    </sheetView>
  </sheetViews>
  <sheetFormatPr defaultRowHeight="15" x14ac:dyDescent="0.25"/>
  <cols>
    <col min="1" max="1" width="11.7109375" style="26" bestFit="1" customWidth="1"/>
    <col min="2" max="2" width="6.140625" bestFit="1" customWidth="1"/>
    <col min="3" max="3" width="8.5703125" bestFit="1" customWidth="1"/>
    <col min="4" max="4" width="16.42578125" bestFit="1" customWidth="1"/>
    <col min="5" max="5" width="45.85546875" bestFit="1" customWidth="1"/>
    <col min="6" max="6" width="80.5703125" bestFit="1" customWidth="1"/>
    <col min="7" max="7" width="15.85546875" bestFit="1" customWidth="1"/>
    <col min="8" max="8" width="40.7109375" bestFit="1" customWidth="1"/>
    <col min="9" max="9" width="78.5703125" bestFit="1" customWidth="1"/>
    <col min="10" max="10" width="33" bestFit="1" customWidth="1"/>
    <col min="11" max="11" width="74.140625" bestFit="1" customWidth="1"/>
  </cols>
  <sheetData>
    <row r="1" spans="1:11" x14ac:dyDescent="0.25">
      <c r="A1" s="26" t="s">
        <v>1481</v>
      </c>
      <c r="B1" t="s">
        <v>1474</v>
      </c>
      <c r="C1" t="s">
        <v>1680</v>
      </c>
      <c r="D1" t="s">
        <v>1475</v>
      </c>
      <c r="E1" t="s">
        <v>1476</v>
      </c>
      <c r="F1" t="s">
        <v>1477</v>
      </c>
      <c r="G1" t="s">
        <v>1478</v>
      </c>
      <c r="H1" t="s">
        <v>1479</v>
      </c>
      <c r="I1" t="s">
        <v>1480</v>
      </c>
      <c r="J1" t="s">
        <v>13</v>
      </c>
      <c r="K1" t="s">
        <v>1681</v>
      </c>
    </row>
    <row r="2" spans="1:11" x14ac:dyDescent="0.25">
      <c r="B2" t="s">
        <v>1482</v>
      </c>
      <c r="C2" t="e">
        <v>#N/A</v>
      </c>
      <c r="D2" t="s">
        <v>1483</v>
      </c>
      <c r="E2" t="s">
        <v>1484</v>
      </c>
      <c r="F2" t="s">
        <v>1485</v>
      </c>
      <c r="G2" t="s">
        <v>1486</v>
      </c>
      <c r="H2" t="s">
        <v>1487</v>
      </c>
      <c r="I2" t="s">
        <v>1488</v>
      </c>
    </row>
    <row r="3" spans="1:11" x14ac:dyDescent="0.25">
      <c r="A3" s="26">
        <v>9242</v>
      </c>
      <c r="B3" t="s">
        <v>1482</v>
      </c>
      <c r="C3" t="s">
        <v>186</v>
      </c>
      <c r="D3" t="s">
        <v>1483</v>
      </c>
      <c r="E3" t="s">
        <v>1484</v>
      </c>
      <c r="F3" t="s">
        <v>1485</v>
      </c>
      <c r="G3" t="s">
        <v>186</v>
      </c>
      <c r="H3" t="s">
        <v>1489</v>
      </c>
      <c r="I3" t="s">
        <v>1490</v>
      </c>
      <c r="J3" t="s">
        <v>1491</v>
      </c>
      <c r="K3" t="s">
        <v>1492</v>
      </c>
    </row>
    <row r="4" spans="1:11" x14ac:dyDescent="0.25">
      <c r="A4" s="26">
        <v>9232</v>
      </c>
      <c r="B4" t="s">
        <v>1482</v>
      </c>
      <c r="C4" t="s">
        <v>186</v>
      </c>
      <c r="D4" t="s">
        <v>1483</v>
      </c>
      <c r="E4" t="s">
        <v>1484</v>
      </c>
      <c r="F4" t="s">
        <v>1485</v>
      </c>
      <c r="G4" t="s">
        <v>186</v>
      </c>
      <c r="H4" t="s">
        <v>1489</v>
      </c>
      <c r="I4" t="s">
        <v>1490</v>
      </c>
      <c r="J4" t="s">
        <v>1493</v>
      </c>
      <c r="K4" t="s">
        <v>1494</v>
      </c>
    </row>
    <row r="5" spans="1:11" x14ac:dyDescent="0.25">
      <c r="A5" s="26">
        <v>9233</v>
      </c>
      <c r="B5" t="s">
        <v>1482</v>
      </c>
      <c r="C5" t="s">
        <v>186</v>
      </c>
      <c r="D5" t="s">
        <v>1483</v>
      </c>
      <c r="E5" t="s">
        <v>1484</v>
      </c>
      <c r="F5" t="s">
        <v>1485</v>
      </c>
      <c r="G5" t="s">
        <v>186</v>
      </c>
      <c r="H5" t="s">
        <v>1489</v>
      </c>
      <c r="I5" t="s">
        <v>1490</v>
      </c>
      <c r="J5" t="s">
        <v>1495</v>
      </c>
      <c r="K5" t="s">
        <v>1496</v>
      </c>
    </row>
    <row r="6" spans="1:11" x14ac:dyDescent="0.25">
      <c r="A6" s="26">
        <v>9241</v>
      </c>
      <c r="B6" t="s">
        <v>1482</v>
      </c>
      <c r="C6" t="s">
        <v>186</v>
      </c>
      <c r="D6" t="s">
        <v>1483</v>
      </c>
      <c r="E6" t="s">
        <v>1484</v>
      </c>
      <c r="F6" t="s">
        <v>1485</v>
      </c>
      <c r="G6" t="s">
        <v>186</v>
      </c>
      <c r="H6" t="s">
        <v>1489</v>
      </c>
      <c r="I6" t="s">
        <v>1490</v>
      </c>
      <c r="J6" t="s">
        <v>1497</v>
      </c>
      <c r="K6" t="s">
        <v>1498</v>
      </c>
    </row>
    <row r="7" spans="1:11" x14ac:dyDescent="0.25">
      <c r="A7" s="26">
        <v>9291</v>
      </c>
      <c r="B7" t="s">
        <v>1482</v>
      </c>
      <c r="C7" t="s">
        <v>186</v>
      </c>
      <c r="D7" t="s">
        <v>1483</v>
      </c>
      <c r="E7" t="s">
        <v>1484</v>
      </c>
      <c r="F7" t="s">
        <v>1485</v>
      </c>
      <c r="G7" t="s">
        <v>186</v>
      </c>
      <c r="H7" t="s">
        <v>1489</v>
      </c>
      <c r="I7" t="s">
        <v>1490</v>
      </c>
      <c r="J7" t="s">
        <v>1499</v>
      </c>
      <c r="K7" t="s">
        <v>1500</v>
      </c>
    </row>
    <row r="8" spans="1:11" x14ac:dyDescent="0.25">
      <c r="A8" s="26">
        <v>8422</v>
      </c>
      <c r="B8" t="s">
        <v>1482</v>
      </c>
      <c r="C8" t="s">
        <v>186</v>
      </c>
      <c r="D8" t="s">
        <v>1483</v>
      </c>
      <c r="E8" t="s">
        <v>1484</v>
      </c>
      <c r="F8" t="s">
        <v>1485</v>
      </c>
      <c r="G8" t="s">
        <v>186</v>
      </c>
      <c r="H8" t="s">
        <v>1489</v>
      </c>
      <c r="I8" t="s">
        <v>1490</v>
      </c>
      <c r="J8" t="s">
        <v>1501</v>
      </c>
      <c r="K8" t="s">
        <v>1502</v>
      </c>
    </row>
    <row r="9" spans="1:11" x14ac:dyDescent="0.25">
      <c r="A9" s="26">
        <v>9212</v>
      </c>
      <c r="B9" t="s">
        <v>1482</v>
      </c>
      <c r="C9" t="s">
        <v>190</v>
      </c>
      <c r="D9" t="s">
        <v>1483</v>
      </c>
      <c r="E9" t="s">
        <v>1484</v>
      </c>
      <c r="F9" t="s">
        <v>1485</v>
      </c>
      <c r="G9" t="s">
        <v>190</v>
      </c>
      <c r="H9" t="s">
        <v>1503</v>
      </c>
      <c r="I9" t="s">
        <v>1504</v>
      </c>
      <c r="J9" t="s">
        <v>1505</v>
      </c>
      <c r="K9" t="s">
        <v>1506</v>
      </c>
    </row>
    <row r="10" spans="1:11" x14ac:dyDescent="0.25">
      <c r="A10" s="26">
        <v>9211</v>
      </c>
      <c r="B10" t="s">
        <v>1482</v>
      </c>
      <c r="C10" t="s">
        <v>190</v>
      </c>
      <c r="D10" t="s">
        <v>1483</v>
      </c>
      <c r="E10" t="s">
        <v>1484</v>
      </c>
      <c r="F10" t="s">
        <v>1485</v>
      </c>
      <c r="G10" t="s">
        <v>190</v>
      </c>
      <c r="H10" t="s">
        <v>1503</v>
      </c>
      <c r="I10" t="s">
        <v>1504</v>
      </c>
      <c r="J10" t="s">
        <v>1507</v>
      </c>
      <c r="K10" t="s">
        <v>1508</v>
      </c>
    </row>
    <row r="11" spans="1:11" x14ac:dyDescent="0.25">
      <c r="A11" s="26">
        <v>9214</v>
      </c>
      <c r="B11" t="s">
        <v>1482</v>
      </c>
      <c r="C11" t="s">
        <v>190</v>
      </c>
      <c r="D11" t="s">
        <v>1483</v>
      </c>
      <c r="E11" t="s">
        <v>1484</v>
      </c>
      <c r="F11" t="s">
        <v>1485</v>
      </c>
      <c r="G11" t="s">
        <v>190</v>
      </c>
      <c r="H11" t="s">
        <v>1503</v>
      </c>
      <c r="I11" t="s">
        <v>1504</v>
      </c>
      <c r="J11" t="s">
        <v>1509</v>
      </c>
      <c r="K11" t="s">
        <v>1510</v>
      </c>
    </row>
    <row r="12" spans="1:11" x14ac:dyDescent="0.25">
      <c r="A12" s="26">
        <v>9215</v>
      </c>
      <c r="B12" t="s">
        <v>1482</v>
      </c>
      <c r="C12" t="s">
        <v>190</v>
      </c>
      <c r="D12" t="s">
        <v>1483</v>
      </c>
      <c r="E12" t="s">
        <v>1484</v>
      </c>
      <c r="F12" t="s">
        <v>1485</v>
      </c>
      <c r="G12" t="s">
        <v>190</v>
      </c>
      <c r="H12" t="s">
        <v>1503</v>
      </c>
      <c r="I12" t="s">
        <v>1504</v>
      </c>
      <c r="J12" t="s">
        <v>1511</v>
      </c>
      <c r="K12" t="s">
        <v>1512</v>
      </c>
    </row>
    <row r="13" spans="1:11" x14ac:dyDescent="0.25">
      <c r="A13" s="26">
        <v>9231</v>
      </c>
      <c r="B13" t="s">
        <v>1482</v>
      </c>
      <c r="C13" t="s">
        <v>190</v>
      </c>
      <c r="D13" t="s">
        <v>1483</v>
      </c>
      <c r="E13" t="s">
        <v>1484</v>
      </c>
      <c r="F13" t="s">
        <v>1485</v>
      </c>
      <c r="G13" t="s">
        <v>190</v>
      </c>
      <c r="H13" t="s">
        <v>1503</v>
      </c>
      <c r="I13" t="s">
        <v>1504</v>
      </c>
      <c r="J13" t="s">
        <v>1513</v>
      </c>
      <c r="K13" t="s">
        <v>1514</v>
      </c>
    </row>
    <row r="14" spans="1:11" x14ac:dyDescent="0.25">
      <c r="A14" s="26">
        <v>9213</v>
      </c>
      <c r="B14" t="s">
        <v>1482</v>
      </c>
      <c r="C14" t="s">
        <v>190</v>
      </c>
      <c r="D14" t="s">
        <v>1483</v>
      </c>
      <c r="E14" t="s">
        <v>1484</v>
      </c>
      <c r="F14" t="s">
        <v>1485</v>
      </c>
      <c r="G14" t="s">
        <v>190</v>
      </c>
      <c r="H14" t="s">
        <v>1503</v>
      </c>
      <c r="I14" t="s">
        <v>1504</v>
      </c>
      <c r="J14" t="s">
        <v>1515</v>
      </c>
      <c r="K14" t="s">
        <v>1516</v>
      </c>
    </row>
    <row r="15" spans="1:11" x14ac:dyDescent="0.25">
      <c r="A15" s="26">
        <v>9226</v>
      </c>
      <c r="B15" t="s">
        <v>1482</v>
      </c>
      <c r="C15" t="s">
        <v>191</v>
      </c>
      <c r="D15" t="s">
        <v>1483</v>
      </c>
      <c r="E15" t="s">
        <v>1484</v>
      </c>
      <c r="F15" t="s">
        <v>1485</v>
      </c>
      <c r="G15" t="s">
        <v>191</v>
      </c>
      <c r="H15" t="s">
        <v>1517</v>
      </c>
      <c r="I15" t="s">
        <v>1518</v>
      </c>
      <c r="J15" t="s">
        <v>1519</v>
      </c>
      <c r="K15" t="s">
        <v>1520</v>
      </c>
    </row>
    <row r="16" spans="1:11" x14ac:dyDescent="0.25">
      <c r="A16" s="26">
        <v>9221</v>
      </c>
      <c r="B16" t="s">
        <v>1482</v>
      </c>
      <c r="C16" t="s">
        <v>191</v>
      </c>
      <c r="D16" t="s">
        <v>1483</v>
      </c>
      <c r="E16" t="s">
        <v>1484</v>
      </c>
      <c r="F16" t="s">
        <v>1485</v>
      </c>
      <c r="G16" t="s">
        <v>191</v>
      </c>
      <c r="H16" t="s">
        <v>1517</v>
      </c>
      <c r="I16" t="s">
        <v>1518</v>
      </c>
      <c r="J16" t="s">
        <v>1519</v>
      </c>
      <c r="K16" t="s">
        <v>1521</v>
      </c>
    </row>
    <row r="17" spans="1:11" x14ac:dyDescent="0.25">
      <c r="A17" s="26">
        <v>9222</v>
      </c>
      <c r="B17" t="s">
        <v>1482</v>
      </c>
      <c r="C17" t="s">
        <v>191</v>
      </c>
      <c r="D17" t="s">
        <v>1483</v>
      </c>
      <c r="E17" t="s">
        <v>1484</v>
      </c>
      <c r="F17" t="s">
        <v>1485</v>
      </c>
      <c r="G17" t="s">
        <v>191</v>
      </c>
      <c r="H17" t="s">
        <v>1517</v>
      </c>
      <c r="I17" t="s">
        <v>1518</v>
      </c>
      <c r="J17" t="s">
        <v>1519</v>
      </c>
      <c r="K17" t="s">
        <v>1522</v>
      </c>
    </row>
    <row r="18" spans="1:11" x14ac:dyDescent="0.25">
      <c r="A18" s="26">
        <v>9227</v>
      </c>
      <c r="B18" t="s">
        <v>1482</v>
      </c>
      <c r="C18" t="s">
        <v>191</v>
      </c>
      <c r="D18" t="s">
        <v>1483</v>
      </c>
      <c r="E18" t="s">
        <v>1484</v>
      </c>
      <c r="F18" t="s">
        <v>1485</v>
      </c>
      <c r="G18" t="s">
        <v>191</v>
      </c>
      <c r="H18" t="s">
        <v>1517</v>
      </c>
      <c r="I18" t="s">
        <v>1518</v>
      </c>
      <c r="J18" t="s">
        <v>1523</v>
      </c>
      <c r="K18" t="s">
        <v>1524</v>
      </c>
    </row>
    <row r="19" spans="1:11" x14ac:dyDescent="0.25">
      <c r="A19" s="26">
        <v>9223</v>
      </c>
      <c r="B19" t="s">
        <v>1482</v>
      </c>
      <c r="C19" t="s">
        <v>191</v>
      </c>
      <c r="D19" t="s">
        <v>1483</v>
      </c>
      <c r="E19" t="s">
        <v>1484</v>
      </c>
      <c r="F19" t="s">
        <v>1485</v>
      </c>
      <c r="G19" t="s">
        <v>191</v>
      </c>
      <c r="H19" t="s">
        <v>1517</v>
      </c>
      <c r="I19" t="s">
        <v>1518</v>
      </c>
      <c r="J19" t="s">
        <v>1519</v>
      </c>
      <c r="K19" t="s">
        <v>1525</v>
      </c>
    </row>
    <row r="20" spans="1:11" x14ac:dyDescent="0.25">
      <c r="A20" s="26">
        <v>9224</v>
      </c>
      <c r="B20" t="s">
        <v>1482</v>
      </c>
      <c r="C20" t="s">
        <v>191</v>
      </c>
      <c r="D20" t="s">
        <v>1483</v>
      </c>
      <c r="E20" t="s">
        <v>1484</v>
      </c>
      <c r="F20" t="s">
        <v>1485</v>
      </c>
      <c r="G20" t="s">
        <v>191</v>
      </c>
      <c r="H20" t="s">
        <v>1517</v>
      </c>
      <c r="I20" t="s">
        <v>1518</v>
      </c>
      <c r="J20" t="s">
        <v>1526</v>
      </c>
      <c r="K20" t="s">
        <v>1527</v>
      </c>
    </row>
    <row r="21" spans="1:11" x14ac:dyDescent="0.25">
      <c r="A21" s="26">
        <v>9225</v>
      </c>
      <c r="B21" t="s">
        <v>1482</v>
      </c>
      <c r="C21" t="s">
        <v>191</v>
      </c>
      <c r="D21" t="s">
        <v>1483</v>
      </c>
      <c r="E21" t="s">
        <v>1484</v>
      </c>
      <c r="F21" t="s">
        <v>1485</v>
      </c>
      <c r="G21" t="s">
        <v>191</v>
      </c>
      <c r="H21" t="s">
        <v>1517</v>
      </c>
      <c r="I21" t="s">
        <v>1518</v>
      </c>
      <c r="J21" t="s">
        <v>1493</v>
      </c>
      <c r="K21" t="s">
        <v>1528</v>
      </c>
    </row>
    <row r="22" spans="1:11" x14ac:dyDescent="0.25">
      <c r="A22" s="26">
        <v>9229</v>
      </c>
      <c r="B22" t="s">
        <v>1482</v>
      </c>
      <c r="C22" t="s">
        <v>191</v>
      </c>
      <c r="D22" t="s">
        <v>1483</v>
      </c>
      <c r="E22" t="s">
        <v>1484</v>
      </c>
      <c r="F22" t="s">
        <v>1485</v>
      </c>
      <c r="G22" t="s">
        <v>191</v>
      </c>
      <c r="H22" t="s">
        <v>1517</v>
      </c>
      <c r="I22" t="s">
        <v>1518</v>
      </c>
      <c r="J22" t="s">
        <v>1529</v>
      </c>
      <c r="K22" t="s">
        <v>1530</v>
      </c>
    </row>
    <row r="23" spans="1:11" x14ac:dyDescent="0.25">
      <c r="A23" s="26">
        <v>9228</v>
      </c>
      <c r="B23" t="s">
        <v>1482</v>
      </c>
      <c r="C23" t="s">
        <v>191</v>
      </c>
      <c r="D23" t="s">
        <v>1483</v>
      </c>
      <c r="E23" t="s">
        <v>1484</v>
      </c>
      <c r="F23" t="s">
        <v>1485</v>
      </c>
      <c r="G23" t="s">
        <v>191</v>
      </c>
      <c r="H23" t="s">
        <v>1517</v>
      </c>
      <c r="I23" t="s">
        <v>1518</v>
      </c>
      <c r="J23" t="s">
        <v>1531</v>
      </c>
      <c r="K23" t="s">
        <v>1532</v>
      </c>
    </row>
    <row r="24" spans="1:11" x14ac:dyDescent="0.25">
      <c r="B24" t="s">
        <v>1482</v>
      </c>
      <c r="C24" t="e">
        <v>#N/A</v>
      </c>
      <c r="D24" t="s">
        <v>1483</v>
      </c>
      <c r="E24" t="s">
        <v>1484</v>
      </c>
      <c r="F24" t="s">
        <v>1485</v>
      </c>
      <c r="G24" t="s">
        <v>1533</v>
      </c>
      <c r="H24" t="s">
        <v>1534</v>
      </c>
      <c r="I24" t="s">
        <v>1535</v>
      </c>
    </row>
    <row r="25" spans="1:11" x14ac:dyDescent="0.25">
      <c r="A25" s="26">
        <v>9311</v>
      </c>
      <c r="B25" t="s">
        <v>1482</v>
      </c>
      <c r="C25" t="s">
        <v>205</v>
      </c>
      <c r="D25" t="s">
        <v>1483</v>
      </c>
      <c r="E25" t="s">
        <v>1484</v>
      </c>
      <c r="F25" t="s">
        <v>1485</v>
      </c>
      <c r="G25" t="s">
        <v>205</v>
      </c>
      <c r="H25" t="s">
        <v>1536</v>
      </c>
      <c r="I25" t="s">
        <v>1537</v>
      </c>
      <c r="J25" t="s">
        <v>1538</v>
      </c>
      <c r="K25" t="s">
        <v>1537</v>
      </c>
    </row>
    <row r="26" spans="1:11" x14ac:dyDescent="0.25">
      <c r="A26" s="26">
        <v>9323</v>
      </c>
      <c r="B26" t="s">
        <v>1539</v>
      </c>
      <c r="C26" t="s">
        <v>189</v>
      </c>
      <c r="D26" t="s">
        <v>1540</v>
      </c>
      <c r="E26" t="s">
        <v>1541</v>
      </c>
      <c r="F26" t="s">
        <v>1542</v>
      </c>
      <c r="G26" t="s">
        <v>189</v>
      </c>
      <c r="H26" t="s">
        <v>1543</v>
      </c>
      <c r="I26" t="s">
        <v>1544</v>
      </c>
      <c r="J26" t="s">
        <v>1545</v>
      </c>
      <c r="K26" t="s">
        <v>1544</v>
      </c>
    </row>
    <row r="27" spans="1:11" x14ac:dyDescent="0.25">
      <c r="A27" s="26">
        <v>9352</v>
      </c>
      <c r="B27" t="s">
        <v>1539</v>
      </c>
      <c r="C27" t="s">
        <v>192</v>
      </c>
      <c r="D27" t="s">
        <v>1540</v>
      </c>
      <c r="E27" t="s">
        <v>1541</v>
      </c>
      <c r="F27" t="s">
        <v>1542</v>
      </c>
      <c r="G27" t="s">
        <v>192</v>
      </c>
      <c r="H27" t="s">
        <v>1546</v>
      </c>
      <c r="I27" t="s">
        <v>1547</v>
      </c>
      <c r="J27" t="s">
        <v>1548</v>
      </c>
      <c r="K27" t="s">
        <v>1547</v>
      </c>
    </row>
    <row r="28" spans="1:11" x14ac:dyDescent="0.25">
      <c r="B28" t="s">
        <v>1539</v>
      </c>
      <c r="C28" t="e">
        <v>#N/A</v>
      </c>
      <c r="D28" t="s">
        <v>1540</v>
      </c>
      <c r="E28" t="s">
        <v>1541</v>
      </c>
      <c r="F28" t="s">
        <v>1542</v>
      </c>
      <c r="G28" t="s">
        <v>1549</v>
      </c>
      <c r="H28" t="s">
        <v>1546</v>
      </c>
      <c r="I28" t="s">
        <v>1547</v>
      </c>
      <c r="K28" t="s">
        <v>1547</v>
      </c>
    </row>
    <row r="29" spans="1:11" x14ac:dyDescent="0.25">
      <c r="A29" s="26">
        <v>9332</v>
      </c>
      <c r="B29" t="s">
        <v>1539</v>
      </c>
      <c r="C29" t="s">
        <v>193</v>
      </c>
      <c r="D29" t="s">
        <v>1540</v>
      </c>
      <c r="E29" t="s">
        <v>1541</v>
      </c>
      <c r="F29" t="s">
        <v>1542</v>
      </c>
      <c r="G29" t="s">
        <v>193</v>
      </c>
      <c r="H29" t="s">
        <v>1550</v>
      </c>
      <c r="I29" t="s">
        <v>1551</v>
      </c>
      <c r="J29" t="s">
        <v>1552</v>
      </c>
      <c r="K29" t="s">
        <v>1551</v>
      </c>
    </row>
    <row r="30" spans="1:11" x14ac:dyDescent="0.25">
      <c r="A30" s="26">
        <v>8208</v>
      </c>
      <c r="B30" t="s">
        <v>1539</v>
      </c>
      <c r="C30" t="s">
        <v>194</v>
      </c>
      <c r="D30" t="s">
        <v>1540</v>
      </c>
      <c r="E30" t="s">
        <v>1541</v>
      </c>
      <c r="F30" t="s">
        <v>1542</v>
      </c>
      <c r="G30" t="s">
        <v>194</v>
      </c>
      <c r="H30" t="s">
        <v>1553</v>
      </c>
      <c r="I30" t="s">
        <v>1554</v>
      </c>
      <c r="J30" t="s">
        <v>1555</v>
      </c>
      <c r="K30" t="s">
        <v>1554</v>
      </c>
    </row>
    <row r="31" spans="1:11" x14ac:dyDescent="0.25">
      <c r="A31" s="26">
        <v>9344</v>
      </c>
      <c r="B31" t="s">
        <v>1539</v>
      </c>
      <c r="C31" t="e">
        <v>#N/A</v>
      </c>
      <c r="D31" t="s">
        <v>1540</v>
      </c>
      <c r="E31" t="s">
        <v>1541</v>
      </c>
      <c r="F31" t="s">
        <v>1542</v>
      </c>
      <c r="G31" t="s">
        <v>195</v>
      </c>
      <c r="H31" t="s">
        <v>1556</v>
      </c>
      <c r="I31" t="s">
        <v>1557</v>
      </c>
      <c r="J31" t="s">
        <v>1558</v>
      </c>
      <c r="K31" t="s">
        <v>1557</v>
      </c>
    </row>
    <row r="32" spans="1:11" x14ac:dyDescent="0.25">
      <c r="A32" s="26">
        <v>9345</v>
      </c>
      <c r="B32" t="s">
        <v>1539</v>
      </c>
      <c r="C32" t="e">
        <v>#N/A</v>
      </c>
      <c r="D32" t="s">
        <v>1540</v>
      </c>
      <c r="E32" t="s">
        <v>1541</v>
      </c>
      <c r="F32" t="s">
        <v>1542</v>
      </c>
      <c r="G32" t="s">
        <v>196</v>
      </c>
      <c r="H32" t="s">
        <v>1559</v>
      </c>
      <c r="I32" t="s">
        <v>1560</v>
      </c>
      <c r="J32" t="s">
        <v>1561</v>
      </c>
      <c r="K32" t="s">
        <v>1560</v>
      </c>
    </row>
    <row r="33" spans="1:11" x14ac:dyDescent="0.25">
      <c r="A33" s="26">
        <v>9341</v>
      </c>
      <c r="B33" t="s">
        <v>1539</v>
      </c>
      <c r="C33" t="s">
        <v>197</v>
      </c>
      <c r="D33" t="s">
        <v>1540</v>
      </c>
      <c r="E33" t="s">
        <v>1541</v>
      </c>
      <c r="F33" t="s">
        <v>1542</v>
      </c>
      <c r="G33" t="s">
        <v>197</v>
      </c>
      <c r="H33" t="s">
        <v>1562</v>
      </c>
      <c r="I33" t="s">
        <v>1563</v>
      </c>
      <c r="J33" t="s">
        <v>1564</v>
      </c>
      <c r="K33" t="s">
        <v>1563</v>
      </c>
    </row>
    <row r="34" spans="1:11" x14ac:dyDescent="0.25">
      <c r="A34" s="26">
        <v>9346</v>
      </c>
      <c r="B34" t="s">
        <v>1539</v>
      </c>
      <c r="C34" t="s">
        <v>198</v>
      </c>
      <c r="D34" t="s">
        <v>1540</v>
      </c>
      <c r="E34" t="s">
        <v>1541</v>
      </c>
      <c r="F34" t="s">
        <v>1542</v>
      </c>
      <c r="G34" t="s">
        <v>198</v>
      </c>
      <c r="H34" t="s">
        <v>1565</v>
      </c>
      <c r="I34" t="s">
        <v>1566</v>
      </c>
      <c r="J34" t="s">
        <v>1567</v>
      </c>
      <c r="K34" t="s">
        <v>1566</v>
      </c>
    </row>
    <row r="35" spans="1:11" x14ac:dyDescent="0.25">
      <c r="A35" s="26">
        <v>9321</v>
      </c>
      <c r="B35" t="s">
        <v>1539</v>
      </c>
      <c r="C35" t="s">
        <v>199</v>
      </c>
      <c r="D35" t="s">
        <v>1540</v>
      </c>
      <c r="E35" t="s">
        <v>1541</v>
      </c>
      <c r="F35" t="s">
        <v>1542</v>
      </c>
      <c r="G35" t="s">
        <v>199</v>
      </c>
      <c r="H35" t="s">
        <v>1568</v>
      </c>
      <c r="I35" t="s">
        <v>1569</v>
      </c>
      <c r="J35" t="s">
        <v>1570</v>
      </c>
      <c r="K35" t="s">
        <v>1569</v>
      </c>
    </row>
    <row r="36" spans="1:11" x14ac:dyDescent="0.25">
      <c r="A36" s="26">
        <v>9322</v>
      </c>
      <c r="B36" t="s">
        <v>1539</v>
      </c>
      <c r="C36" t="s">
        <v>200</v>
      </c>
      <c r="D36" t="s">
        <v>1540</v>
      </c>
      <c r="E36" t="s">
        <v>1541</v>
      </c>
      <c r="F36" t="s">
        <v>1542</v>
      </c>
      <c r="G36" t="s">
        <v>200</v>
      </c>
      <c r="H36" t="s">
        <v>1571</v>
      </c>
      <c r="I36" t="s">
        <v>1572</v>
      </c>
      <c r="J36" t="s">
        <v>1573</v>
      </c>
      <c r="K36" t="s">
        <v>1572</v>
      </c>
    </row>
    <row r="37" spans="1:11" x14ac:dyDescent="0.25">
      <c r="A37" s="26">
        <v>2604</v>
      </c>
      <c r="B37" t="s">
        <v>1539</v>
      </c>
      <c r="C37" t="s">
        <v>1574</v>
      </c>
      <c r="D37" t="s">
        <v>1540</v>
      </c>
      <c r="E37" t="s">
        <v>1541</v>
      </c>
      <c r="F37" t="s">
        <v>1575</v>
      </c>
      <c r="G37" t="s">
        <v>201</v>
      </c>
      <c r="H37" t="s">
        <v>1576</v>
      </c>
      <c r="I37" t="s">
        <v>1577</v>
      </c>
      <c r="J37" t="s">
        <v>1578</v>
      </c>
      <c r="K37" t="s">
        <v>1579</v>
      </c>
    </row>
    <row r="38" spans="1:11" x14ac:dyDescent="0.25">
      <c r="A38" s="26">
        <v>2601</v>
      </c>
      <c r="B38" t="s">
        <v>1539</v>
      </c>
      <c r="C38" t="s">
        <v>1574</v>
      </c>
      <c r="D38" t="s">
        <v>1540</v>
      </c>
      <c r="E38" t="s">
        <v>1541</v>
      </c>
      <c r="F38" t="s">
        <v>1575</v>
      </c>
      <c r="G38" t="s">
        <v>201</v>
      </c>
      <c r="H38" t="s">
        <v>1576</v>
      </c>
      <c r="I38" t="s">
        <v>1577</v>
      </c>
      <c r="J38" t="s">
        <v>1580</v>
      </c>
      <c r="K38" t="s">
        <v>1581</v>
      </c>
    </row>
    <row r="39" spans="1:11" x14ac:dyDescent="0.25">
      <c r="A39" s="26">
        <v>2600</v>
      </c>
      <c r="B39" t="s">
        <v>1539</v>
      </c>
      <c r="C39" t="s">
        <v>1574</v>
      </c>
      <c r="D39" t="s">
        <v>1540</v>
      </c>
      <c r="E39" t="s">
        <v>1541</v>
      </c>
      <c r="F39" t="s">
        <v>1575</v>
      </c>
      <c r="G39" t="s">
        <v>201</v>
      </c>
      <c r="H39" t="s">
        <v>1576</v>
      </c>
      <c r="I39" t="s">
        <v>1577</v>
      </c>
      <c r="J39" t="s">
        <v>1582</v>
      </c>
      <c r="K39" t="s">
        <v>1583</v>
      </c>
    </row>
    <row r="40" spans="1:11" x14ac:dyDescent="0.25">
      <c r="A40" s="26">
        <v>2602</v>
      </c>
      <c r="B40" t="s">
        <v>1539</v>
      </c>
      <c r="C40" t="s">
        <v>1574</v>
      </c>
      <c r="D40" t="s">
        <v>1540</v>
      </c>
      <c r="E40" t="s">
        <v>1541</v>
      </c>
      <c r="F40" t="s">
        <v>1575</v>
      </c>
      <c r="G40" t="s">
        <v>201</v>
      </c>
      <c r="H40" t="s">
        <v>1576</v>
      </c>
      <c r="I40" t="s">
        <v>1577</v>
      </c>
      <c r="J40" t="s">
        <v>1584</v>
      </c>
      <c r="K40" t="s">
        <v>1585</v>
      </c>
    </row>
    <row r="41" spans="1:11" x14ac:dyDescent="0.25">
      <c r="A41" s="26">
        <v>2603</v>
      </c>
      <c r="B41" t="s">
        <v>1539</v>
      </c>
      <c r="C41" t="s">
        <v>1574</v>
      </c>
      <c r="D41" t="s">
        <v>1540</v>
      </c>
      <c r="E41" t="s">
        <v>1541</v>
      </c>
      <c r="F41" t="s">
        <v>1575</v>
      </c>
      <c r="G41" t="s">
        <v>201</v>
      </c>
      <c r="H41" t="s">
        <v>1576</v>
      </c>
      <c r="I41" t="s">
        <v>1577</v>
      </c>
      <c r="J41" t="s">
        <v>1586</v>
      </c>
      <c r="K41" t="s">
        <v>1587</v>
      </c>
    </row>
    <row r="42" spans="1:11" x14ac:dyDescent="0.25">
      <c r="A42" s="26">
        <v>8207</v>
      </c>
      <c r="B42" t="s">
        <v>1539</v>
      </c>
      <c r="C42" t="s">
        <v>1574</v>
      </c>
      <c r="D42" t="s">
        <v>1540</v>
      </c>
      <c r="E42" t="s">
        <v>1541</v>
      </c>
      <c r="F42" t="s">
        <v>1575</v>
      </c>
      <c r="G42" t="s">
        <v>201</v>
      </c>
      <c r="H42" t="s">
        <v>1576</v>
      </c>
      <c r="I42" t="s">
        <v>1577</v>
      </c>
      <c r="J42" t="s">
        <v>1588</v>
      </c>
      <c r="K42" t="s">
        <v>1589</v>
      </c>
    </row>
    <row r="43" spans="1:11" x14ac:dyDescent="0.25">
      <c r="A43" s="26">
        <v>9314</v>
      </c>
      <c r="B43" t="s">
        <v>1539</v>
      </c>
      <c r="C43" t="s">
        <v>202</v>
      </c>
      <c r="D43" t="s">
        <v>1590</v>
      </c>
      <c r="E43" t="s">
        <v>1591</v>
      </c>
      <c r="F43" t="s">
        <v>1592</v>
      </c>
      <c r="G43" t="s">
        <v>202</v>
      </c>
      <c r="H43" t="s">
        <v>1593</v>
      </c>
      <c r="I43" t="s">
        <v>1594</v>
      </c>
      <c r="J43" t="s">
        <v>1595</v>
      </c>
      <c r="K43" t="s">
        <v>1594</v>
      </c>
    </row>
    <row r="44" spans="1:11" x14ac:dyDescent="0.25">
      <c r="A44" s="26">
        <v>9313</v>
      </c>
      <c r="B44" t="s">
        <v>1539</v>
      </c>
      <c r="C44" t="s">
        <v>203</v>
      </c>
      <c r="D44" t="s">
        <v>1590</v>
      </c>
      <c r="E44" t="s">
        <v>1591</v>
      </c>
      <c r="F44" t="s">
        <v>1592</v>
      </c>
      <c r="G44" t="s">
        <v>203</v>
      </c>
      <c r="H44" t="s">
        <v>1596</v>
      </c>
      <c r="I44" t="s">
        <v>1597</v>
      </c>
      <c r="J44" t="s">
        <v>1598</v>
      </c>
      <c r="K44" t="s">
        <v>1597</v>
      </c>
    </row>
    <row r="45" spans="1:11" x14ac:dyDescent="0.25">
      <c r="A45" s="26">
        <v>9315</v>
      </c>
      <c r="B45" t="s">
        <v>1539</v>
      </c>
      <c r="C45" t="s">
        <v>204</v>
      </c>
      <c r="D45" t="s">
        <v>1590</v>
      </c>
      <c r="E45" t="s">
        <v>1591</v>
      </c>
      <c r="F45" t="s">
        <v>1592</v>
      </c>
      <c r="G45" t="s">
        <v>204</v>
      </c>
      <c r="H45" t="s">
        <v>1599</v>
      </c>
      <c r="I45" t="s">
        <v>1600</v>
      </c>
      <c r="J45" t="s">
        <v>1601</v>
      </c>
      <c r="K45" t="s">
        <v>1600</v>
      </c>
    </row>
    <row r="46" spans="1:11" x14ac:dyDescent="0.25">
      <c r="B46" t="s">
        <v>1539</v>
      </c>
      <c r="C46" t="e">
        <v>#N/A</v>
      </c>
      <c r="D46" t="s">
        <v>1590</v>
      </c>
      <c r="E46" t="s">
        <v>1591</v>
      </c>
      <c r="F46" t="s">
        <v>1592</v>
      </c>
      <c r="G46" t="s">
        <v>1602</v>
      </c>
      <c r="H46" t="s">
        <v>1603</v>
      </c>
      <c r="I46" t="s">
        <v>1604</v>
      </c>
    </row>
    <row r="47" spans="1:11" x14ac:dyDescent="0.25">
      <c r="B47" t="s">
        <v>1539</v>
      </c>
      <c r="C47" t="s">
        <v>1602</v>
      </c>
      <c r="D47" t="s">
        <v>1590</v>
      </c>
      <c r="E47" t="s">
        <v>1591</v>
      </c>
      <c r="F47" t="s">
        <v>1592</v>
      </c>
      <c r="G47" t="s">
        <v>208</v>
      </c>
      <c r="H47" t="s">
        <v>1605</v>
      </c>
      <c r="I47" t="s">
        <v>1606</v>
      </c>
    </row>
    <row r="48" spans="1:11" x14ac:dyDescent="0.25">
      <c r="A48" s="26">
        <v>9551</v>
      </c>
      <c r="B48" t="s">
        <v>1482</v>
      </c>
      <c r="C48" t="s">
        <v>1607</v>
      </c>
      <c r="D48" t="s">
        <v>1608</v>
      </c>
      <c r="E48" t="s">
        <v>1609</v>
      </c>
      <c r="F48" t="s">
        <v>1610</v>
      </c>
      <c r="G48" t="s">
        <v>209</v>
      </c>
      <c r="H48" t="s">
        <v>1611</v>
      </c>
      <c r="I48" t="s">
        <v>1612</v>
      </c>
      <c r="J48" t="s">
        <v>1613</v>
      </c>
      <c r="K48" t="s">
        <v>1614</v>
      </c>
    </row>
    <row r="49" spans="1:11" x14ac:dyDescent="0.25">
      <c r="B49" t="s">
        <v>1482</v>
      </c>
      <c r="C49" t="e">
        <v>#N/A</v>
      </c>
      <c r="D49" t="s">
        <v>1608</v>
      </c>
      <c r="E49" t="s">
        <v>1609</v>
      </c>
      <c r="F49" t="s">
        <v>1610</v>
      </c>
      <c r="G49" t="s">
        <v>1615</v>
      </c>
      <c r="H49" t="s">
        <v>1616</v>
      </c>
    </row>
    <row r="50" spans="1:11" x14ac:dyDescent="0.25">
      <c r="B50" t="s">
        <v>1482</v>
      </c>
      <c r="C50" t="e">
        <v>#N/A</v>
      </c>
      <c r="D50" t="s">
        <v>1608</v>
      </c>
      <c r="E50" t="s">
        <v>1609</v>
      </c>
      <c r="F50" t="s">
        <v>1610</v>
      </c>
      <c r="G50" t="s">
        <v>1617</v>
      </c>
      <c r="H50" t="s">
        <v>1618</v>
      </c>
    </row>
    <row r="51" spans="1:11" x14ac:dyDescent="0.25">
      <c r="A51" s="26">
        <v>8346</v>
      </c>
      <c r="B51" t="s">
        <v>1482</v>
      </c>
      <c r="C51" t="s">
        <v>215</v>
      </c>
      <c r="D51" t="s">
        <v>1608</v>
      </c>
      <c r="E51" t="s">
        <v>1609</v>
      </c>
      <c r="F51" t="s">
        <v>1610</v>
      </c>
      <c r="G51" t="s">
        <v>215</v>
      </c>
      <c r="H51" t="s">
        <v>1619</v>
      </c>
      <c r="I51" t="s">
        <v>1620</v>
      </c>
      <c r="J51" t="s">
        <v>1621</v>
      </c>
      <c r="K51" t="s">
        <v>1622</v>
      </c>
    </row>
    <row r="52" spans="1:11" x14ac:dyDescent="0.25">
      <c r="A52" s="26">
        <v>9114</v>
      </c>
      <c r="B52" t="s">
        <v>1482</v>
      </c>
      <c r="C52" t="s">
        <v>214</v>
      </c>
      <c r="D52" t="s">
        <v>1608</v>
      </c>
      <c r="E52" t="s">
        <v>1609</v>
      </c>
      <c r="F52" t="s">
        <v>1610</v>
      </c>
      <c r="G52" t="s">
        <v>214</v>
      </c>
      <c r="H52" t="s">
        <v>1623</v>
      </c>
      <c r="I52" t="s">
        <v>54</v>
      </c>
      <c r="J52" t="s">
        <v>1624</v>
      </c>
      <c r="K52" t="s">
        <v>1625</v>
      </c>
    </row>
    <row r="53" spans="1:11" x14ac:dyDescent="0.25">
      <c r="A53" s="26">
        <v>9111</v>
      </c>
      <c r="B53" t="s">
        <v>1482</v>
      </c>
      <c r="C53" t="s">
        <v>214</v>
      </c>
      <c r="D53" t="s">
        <v>1608</v>
      </c>
      <c r="E53" t="s">
        <v>1609</v>
      </c>
      <c r="F53" t="s">
        <v>1610</v>
      </c>
      <c r="G53" t="s">
        <v>214</v>
      </c>
      <c r="H53" t="s">
        <v>1623</v>
      </c>
      <c r="I53" t="s">
        <v>54</v>
      </c>
      <c r="J53" t="s">
        <v>1624</v>
      </c>
      <c r="K53" t="s">
        <v>1626</v>
      </c>
    </row>
    <row r="54" spans="1:11" x14ac:dyDescent="0.25">
      <c r="A54" s="26">
        <v>9113</v>
      </c>
      <c r="B54" t="s">
        <v>1482</v>
      </c>
      <c r="C54" t="s">
        <v>214</v>
      </c>
      <c r="D54" t="s">
        <v>1608</v>
      </c>
      <c r="E54" t="s">
        <v>1609</v>
      </c>
      <c r="F54" t="s">
        <v>1610</v>
      </c>
      <c r="G54" t="s">
        <v>214</v>
      </c>
      <c r="H54" t="s">
        <v>1623</v>
      </c>
      <c r="I54" t="s">
        <v>54</v>
      </c>
      <c r="J54" t="s">
        <v>1624</v>
      </c>
      <c r="K54" t="s">
        <v>1627</v>
      </c>
    </row>
    <row r="55" spans="1:11" x14ac:dyDescent="0.25">
      <c r="A55" s="26">
        <v>9112</v>
      </c>
      <c r="B55" t="s">
        <v>1482</v>
      </c>
      <c r="C55" t="s">
        <v>214</v>
      </c>
      <c r="D55" t="s">
        <v>1608</v>
      </c>
      <c r="E55" t="s">
        <v>1609</v>
      </c>
      <c r="F55" t="s">
        <v>1610</v>
      </c>
      <c r="G55" t="s">
        <v>214</v>
      </c>
      <c r="H55" t="s">
        <v>1623</v>
      </c>
      <c r="I55" t="s">
        <v>54</v>
      </c>
      <c r="J55" t="s">
        <v>1624</v>
      </c>
      <c r="K55" t="s">
        <v>1628</v>
      </c>
    </row>
    <row r="56" spans="1:11" x14ac:dyDescent="0.25">
      <c r="A56" s="26">
        <v>9115</v>
      </c>
      <c r="B56" t="s">
        <v>1482</v>
      </c>
      <c r="C56" t="s">
        <v>214</v>
      </c>
      <c r="D56" t="s">
        <v>1608</v>
      </c>
      <c r="E56" t="s">
        <v>1609</v>
      </c>
      <c r="F56" t="s">
        <v>1610</v>
      </c>
      <c r="G56" t="s">
        <v>214</v>
      </c>
      <c r="H56" t="s">
        <v>1623</v>
      </c>
      <c r="I56" t="s">
        <v>54</v>
      </c>
      <c r="J56" t="s">
        <v>1624</v>
      </c>
      <c r="K56" t="s">
        <v>1629</v>
      </c>
    </row>
    <row r="57" spans="1:11" x14ac:dyDescent="0.25">
      <c r="A57" s="26">
        <v>9116</v>
      </c>
      <c r="B57" t="s">
        <v>1482</v>
      </c>
      <c r="C57" t="s">
        <v>214</v>
      </c>
      <c r="D57" t="s">
        <v>1608</v>
      </c>
      <c r="E57" t="s">
        <v>1609</v>
      </c>
      <c r="F57" t="s">
        <v>1610</v>
      </c>
      <c r="G57" t="s">
        <v>214</v>
      </c>
      <c r="H57" t="s">
        <v>1623</v>
      </c>
      <c r="I57" t="s">
        <v>54</v>
      </c>
      <c r="J57" t="s">
        <v>1630</v>
      </c>
      <c r="K57" t="s">
        <v>1631</v>
      </c>
    </row>
    <row r="58" spans="1:11" x14ac:dyDescent="0.25">
      <c r="A58" s="26">
        <v>9117</v>
      </c>
      <c r="B58" t="s">
        <v>1482</v>
      </c>
      <c r="C58" t="s">
        <v>214</v>
      </c>
      <c r="D58" t="s">
        <v>1608</v>
      </c>
      <c r="E58" t="s">
        <v>1609</v>
      </c>
      <c r="F58" t="s">
        <v>1610</v>
      </c>
      <c r="G58" t="s">
        <v>214</v>
      </c>
      <c r="H58" t="s">
        <v>1623</v>
      </c>
      <c r="I58" t="s">
        <v>54</v>
      </c>
      <c r="J58" t="s">
        <v>1632</v>
      </c>
      <c r="K58" t="s">
        <v>1633</v>
      </c>
    </row>
    <row r="59" spans="1:11" x14ac:dyDescent="0.25">
      <c r="A59" s="26">
        <v>1230</v>
      </c>
      <c r="B59" t="s">
        <v>1539</v>
      </c>
      <c r="C59" t="s">
        <v>206</v>
      </c>
      <c r="D59" t="s">
        <v>1634</v>
      </c>
      <c r="E59" t="s">
        <v>1635</v>
      </c>
      <c r="F59" t="s">
        <v>1636</v>
      </c>
      <c r="G59" t="s">
        <v>206</v>
      </c>
      <c r="H59" t="s">
        <v>1637</v>
      </c>
      <c r="I59" t="s">
        <v>52</v>
      </c>
      <c r="J59" t="s">
        <v>1638</v>
      </c>
      <c r="K59" t="s">
        <v>52</v>
      </c>
    </row>
    <row r="60" spans="1:11" x14ac:dyDescent="0.25">
      <c r="A60" s="26">
        <v>1238</v>
      </c>
      <c r="B60" t="s">
        <v>1539</v>
      </c>
      <c r="C60" t="s">
        <v>207</v>
      </c>
      <c r="D60" t="s">
        <v>1634</v>
      </c>
      <c r="E60" t="s">
        <v>1635</v>
      </c>
      <c r="F60" t="s">
        <v>1636</v>
      </c>
      <c r="G60" t="s">
        <v>207</v>
      </c>
      <c r="H60" t="s">
        <v>1639</v>
      </c>
      <c r="I60" t="s">
        <v>1640</v>
      </c>
      <c r="J60" t="s">
        <v>1641</v>
      </c>
      <c r="K60" t="s">
        <v>1640</v>
      </c>
    </row>
    <row r="61" spans="1:11" x14ac:dyDescent="0.25">
      <c r="A61" s="26">
        <v>7898</v>
      </c>
      <c r="B61" t="s">
        <v>1539</v>
      </c>
      <c r="C61" t="s">
        <v>207</v>
      </c>
      <c r="D61" t="s">
        <v>1634</v>
      </c>
      <c r="E61" t="s">
        <v>1635</v>
      </c>
      <c r="F61" t="s">
        <v>1636</v>
      </c>
      <c r="G61" t="s">
        <v>208</v>
      </c>
      <c r="I61" t="s">
        <v>1642</v>
      </c>
      <c r="J61" t="s">
        <v>1643</v>
      </c>
      <c r="K61" t="s">
        <v>1642</v>
      </c>
    </row>
    <row r="62" spans="1:11" x14ac:dyDescent="0.25">
      <c r="A62" s="26">
        <v>9022</v>
      </c>
      <c r="B62" t="s">
        <v>1482</v>
      </c>
      <c r="C62" t="s">
        <v>1607</v>
      </c>
      <c r="D62" t="s">
        <v>1482</v>
      </c>
      <c r="E62" t="s">
        <v>1644</v>
      </c>
      <c r="F62" t="s">
        <v>1645</v>
      </c>
      <c r="G62" t="s">
        <v>210</v>
      </c>
      <c r="H62" t="s">
        <v>1646</v>
      </c>
      <c r="I62" t="s">
        <v>1647</v>
      </c>
      <c r="J62" t="s">
        <v>1648</v>
      </c>
      <c r="K62" t="s">
        <v>1647</v>
      </c>
    </row>
    <row r="63" spans="1:11" x14ac:dyDescent="0.25">
      <c r="A63" s="26">
        <v>9161</v>
      </c>
      <c r="B63" t="s">
        <v>1482</v>
      </c>
      <c r="C63" t="s">
        <v>1607</v>
      </c>
      <c r="D63" t="s">
        <v>1482</v>
      </c>
      <c r="E63" t="s">
        <v>1644</v>
      </c>
      <c r="F63" t="s">
        <v>1645</v>
      </c>
      <c r="G63" t="s">
        <v>210</v>
      </c>
      <c r="H63" t="s">
        <v>1646</v>
      </c>
      <c r="I63" t="s">
        <v>1647</v>
      </c>
      <c r="J63" t="s">
        <v>1649</v>
      </c>
      <c r="K63" t="s">
        <v>1647</v>
      </c>
    </row>
    <row r="64" spans="1:11" x14ac:dyDescent="0.25">
      <c r="A64" s="26">
        <v>9014</v>
      </c>
      <c r="B64" t="s">
        <v>1482</v>
      </c>
      <c r="C64" t="s">
        <v>1607</v>
      </c>
      <c r="D64" t="s">
        <v>1482</v>
      </c>
      <c r="E64" t="s">
        <v>1644</v>
      </c>
      <c r="F64" t="s">
        <v>1645</v>
      </c>
      <c r="G64" t="s">
        <v>211</v>
      </c>
      <c r="H64" t="s">
        <v>1650</v>
      </c>
      <c r="I64" t="s">
        <v>1651</v>
      </c>
      <c r="J64" t="s">
        <v>1652</v>
      </c>
      <c r="K64" t="s">
        <v>1651</v>
      </c>
    </row>
    <row r="65" spans="1:11" x14ac:dyDescent="0.25">
      <c r="A65" s="26">
        <v>9011</v>
      </c>
      <c r="B65" t="s">
        <v>1482</v>
      </c>
      <c r="C65" t="s">
        <v>1607</v>
      </c>
      <c r="D65" t="s">
        <v>1482</v>
      </c>
      <c r="E65" t="s">
        <v>1644</v>
      </c>
      <c r="F65" t="s">
        <v>1645</v>
      </c>
      <c r="G65" t="s">
        <v>6</v>
      </c>
      <c r="H65" t="s">
        <v>7</v>
      </c>
      <c r="I65" t="s">
        <v>1653</v>
      </c>
      <c r="J65" t="s">
        <v>218</v>
      </c>
      <c r="K65" t="s">
        <v>1654</v>
      </c>
    </row>
    <row r="66" spans="1:11" x14ac:dyDescent="0.25">
      <c r="A66" s="26">
        <v>9012</v>
      </c>
      <c r="B66" t="s">
        <v>1482</v>
      </c>
      <c r="C66" t="s">
        <v>1607</v>
      </c>
      <c r="D66" t="s">
        <v>1482</v>
      </c>
      <c r="E66" t="s">
        <v>1644</v>
      </c>
      <c r="F66" t="s">
        <v>1645</v>
      </c>
      <c r="G66" t="s">
        <v>6</v>
      </c>
      <c r="H66" t="s">
        <v>7</v>
      </c>
      <c r="I66" t="s">
        <v>1653</v>
      </c>
      <c r="J66" t="s">
        <v>1655</v>
      </c>
      <c r="K66" t="s">
        <v>1656</v>
      </c>
    </row>
    <row r="67" spans="1:11" x14ac:dyDescent="0.25">
      <c r="A67" s="26">
        <v>9013</v>
      </c>
      <c r="B67" t="s">
        <v>1482</v>
      </c>
      <c r="C67" t="s">
        <v>1607</v>
      </c>
      <c r="D67" t="s">
        <v>1482</v>
      </c>
      <c r="E67" t="s">
        <v>1644</v>
      </c>
      <c r="F67" t="s">
        <v>1645</v>
      </c>
      <c r="G67" t="s">
        <v>6</v>
      </c>
      <c r="H67" t="s">
        <v>7</v>
      </c>
      <c r="I67" t="s">
        <v>1653</v>
      </c>
      <c r="J67" t="s">
        <v>218</v>
      </c>
      <c r="K67" t="s">
        <v>1657</v>
      </c>
    </row>
    <row r="68" spans="1:11" x14ac:dyDescent="0.25">
      <c r="A68" s="26">
        <v>9021</v>
      </c>
      <c r="B68" t="s">
        <v>1482</v>
      </c>
      <c r="C68" t="s">
        <v>1607</v>
      </c>
      <c r="D68" t="s">
        <v>1482</v>
      </c>
      <c r="E68" t="s">
        <v>1644</v>
      </c>
      <c r="F68" t="s">
        <v>1645</v>
      </c>
      <c r="G68" t="s">
        <v>212</v>
      </c>
      <c r="H68" t="s">
        <v>1658</v>
      </c>
      <c r="I68" t="s">
        <v>1659</v>
      </c>
      <c r="J68" t="s">
        <v>1660</v>
      </c>
      <c r="K68" t="s">
        <v>1659</v>
      </c>
    </row>
    <row r="69" spans="1:11" x14ac:dyDescent="0.25">
      <c r="A69" s="26">
        <v>9015</v>
      </c>
      <c r="B69" t="s">
        <v>1482</v>
      </c>
      <c r="C69" t="s">
        <v>1607</v>
      </c>
      <c r="D69" t="s">
        <v>1482</v>
      </c>
      <c r="E69" t="s">
        <v>1644</v>
      </c>
      <c r="F69" t="s">
        <v>1645</v>
      </c>
      <c r="G69" t="s">
        <v>187</v>
      </c>
      <c r="H69" t="s">
        <v>1661</v>
      </c>
      <c r="I69" t="s">
        <v>1662</v>
      </c>
      <c r="J69" t="s">
        <v>1663</v>
      </c>
      <c r="K69" t="s">
        <v>1662</v>
      </c>
    </row>
    <row r="70" spans="1:11" x14ac:dyDescent="0.25">
      <c r="A70" s="26">
        <v>9143</v>
      </c>
      <c r="B70" t="s">
        <v>1482</v>
      </c>
      <c r="C70" t="e">
        <v>#N/A</v>
      </c>
      <c r="D70" t="s">
        <v>1482</v>
      </c>
      <c r="E70" t="s">
        <v>1644</v>
      </c>
      <c r="F70" t="s">
        <v>1645</v>
      </c>
      <c r="G70" t="s">
        <v>213</v>
      </c>
      <c r="H70" t="s">
        <v>1664</v>
      </c>
      <c r="I70" t="s">
        <v>1665</v>
      </c>
      <c r="J70" t="s">
        <v>1666</v>
      </c>
      <c r="K70" t="s">
        <v>1665</v>
      </c>
    </row>
    <row r="71" spans="1:11" x14ac:dyDescent="0.25">
      <c r="A71" s="26">
        <v>9031</v>
      </c>
      <c r="B71" t="s">
        <v>1482</v>
      </c>
      <c r="C71" t="s">
        <v>1667</v>
      </c>
      <c r="D71" t="s">
        <v>1482</v>
      </c>
      <c r="E71" t="s">
        <v>1644</v>
      </c>
      <c r="F71" t="s">
        <v>1645</v>
      </c>
      <c r="G71" t="s">
        <v>216</v>
      </c>
      <c r="H71" t="s">
        <v>1668</v>
      </c>
      <c r="I71" t="s">
        <v>1669</v>
      </c>
      <c r="J71" t="s">
        <v>1670</v>
      </c>
      <c r="K71" t="s">
        <v>1669</v>
      </c>
    </row>
    <row r="72" spans="1:11" x14ac:dyDescent="0.25">
      <c r="B72" t="s">
        <v>1482</v>
      </c>
      <c r="C72" t="e">
        <v>#N/A</v>
      </c>
      <c r="D72" t="s">
        <v>1482</v>
      </c>
      <c r="E72" t="s">
        <v>1644</v>
      </c>
      <c r="F72" t="s">
        <v>1645</v>
      </c>
      <c r="G72" t="s">
        <v>1671</v>
      </c>
      <c r="H72" t="s">
        <v>1672</v>
      </c>
      <c r="I72" t="s">
        <v>1673</v>
      </c>
      <c r="K72" t="s">
        <v>1673</v>
      </c>
    </row>
    <row r="73" spans="1:11" x14ac:dyDescent="0.25">
      <c r="A73" s="26">
        <v>9091</v>
      </c>
      <c r="B73" t="s">
        <v>1482</v>
      </c>
      <c r="C73" t="s">
        <v>1667</v>
      </c>
      <c r="D73" t="s">
        <v>1482</v>
      </c>
      <c r="E73" t="s">
        <v>1644</v>
      </c>
      <c r="F73" t="s">
        <v>1645</v>
      </c>
      <c r="G73" t="s">
        <v>217</v>
      </c>
      <c r="H73" t="s">
        <v>1674</v>
      </c>
      <c r="I73" t="s">
        <v>1675</v>
      </c>
      <c r="J73" t="s">
        <v>1676</v>
      </c>
      <c r="K73" t="s">
        <v>1677</v>
      </c>
    </row>
    <row r="74" spans="1:11" x14ac:dyDescent="0.25">
      <c r="A74" s="26">
        <v>9033</v>
      </c>
      <c r="B74" t="s">
        <v>1482</v>
      </c>
      <c r="C74" t="s">
        <v>1667</v>
      </c>
      <c r="D74" t="s">
        <v>1482</v>
      </c>
      <c r="E74" t="s">
        <v>1644</v>
      </c>
      <c r="F74" t="s">
        <v>1645</v>
      </c>
      <c r="G74" t="s">
        <v>217</v>
      </c>
      <c r="H74" t="s">
        <v>1674</v>
      </c>
      <c r="I74" t="s">
        <v>1675</v>
      </c>
      <c r="J74" t="s">
        <v>1660</v>
      </c>
      <c r="K74" t="s">
        <v>1678</v>
      </c>
    </row>
    <row r="75" spans="1:11" x14ac:dyDescent="0.25">
      <c r="A75" s="26">
        <v>9032</v>
      </c>
      <c r="B75" t="s">
        <v>1482</v>
      </c>
      <c r="C75" t="s">
        <v>1667</v>
      </c>
      <c r="D75" t="s">
        <v>1482</v>
      </c>
      <c r="E75" t="s">
        <v>1644</v>
      </c>
      <c r="F75" t="s">
        <v>1645</v>
      </c>
      <c r="G75" t="s">
        <v>217</v>
      </c>
      <c r="H75" t="s">
        <v>1674</v>
      </c>
      <c r="I75" t="s">
        <v>1675</v>
      </c>
      <c r="J75" t="s">
        <v>1660</v>
      </c>
      <c r="K75" t="s">
        <v>1679</v>
      </c>
    </row>
  </sheetData>
  <pageMargins left="0.7" right="0.7" top="0.75" bottom="0.75" header="0.3" footer="0.3"/>
  <pageSetup paperSize="9" orientation="portrait" horizontalDpi="360" verticalDpi="36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Лист13"/>
  <dimension ref="A1:K4"/>
  <sheetViews>
    <sheetView topLeftCell="B1" zoomScale="85" zoomScaleNormal="85" workbookViewId="0">
      <selection activeCell="H23" sqref="H23"/>
    </sheetView>
  </sheetViews>
  <sheetFormatPr defaultRowHeight="15" x14ac:dyDescent="0.25"/>
  <cols>
    <col min="1" max="1" width="6.5703125" style="9" customWidth="1"/>
    <col min="2" max="3" width="24.7109375" style="4" bestFit="1" customWidth="1"/>
    <col min="4" max="4" width="13.85546875" style="11" customWidth="1"/>
    <col min="5" max="5" width="27.7109375" style="4" customWidth="1"/>
    <col min="6" max="6" width="32" style="4" customWidth="1"/>
    <col min="7" max="7" width="24.42578125" style="4" customWidth="1"/>
    <col min="8" max="8" width="25.5703125" style="4" customWidth="1"/>
    <col min="9" max="9" width="33.85546875" style="4" customWidth="1"/>
    <col min="10" max="10" width="33.140625" style="4" customWidth="1"/>
    <col min="11" max="11" width="31.28515625" style="27" customWidth="1"/>
  </cols>
  <sheetData>
    <row r="1" spans="1:11" x14ac:dyDescent="0.25">
      <c r="A1" s="8" t="s">
        <v>0</v>
      </c>
      <c r="B1" s="4" t="s">
        <v>39</v>
      </c>
      <c r="C1" s="4" t="s">
        <v>40</v>
      </c>
      <c r="D1" s="11" t="s">
        <v>48</v>
      </c>
      <c r="E1" s="4" t="s">
        <v>49</v>
      </c>
      <c r="F1" s="4" t="s">
        <v>50</v>
      </c>
      <c r="G1" s="4" t="s">
        <v>52</v>
      </c>
      <c r="H1" s="4" t="s">
        <v>54</v>
      </c>
      <c r="I1" s="4" t="s">
        <v>56</v>
      </c>
      <c r="J1" s="4" t="s">
        <v>57</v>
      </c>
      <c r="K1" s="27" t="s">
        <v>58</v>
      </c>
    </row>
    <row r="2" spans="1:11" x14ac:dyDescent="0.25">
      <c r="A2" s="8" t="s">
        <v>740</v>
      </c>
      <c r="B2" s="4" t="s">
        <v>246</v>
      </c>
      <c r="C2" s="4" t="s">
        <v>33</v>
      </c>
      <c r="D2" s="11">
        <v>43831</v>
      </c>
      <c r="E2" s="28" t="s">
        <v>1214</v>
      </c>
      <c r="F2" s="4" t="s">
        <v>51</v>
      </c>
      <c r="G2" s="4" t="s">
        <v>53</v>
      </c>
      <c r="H2" s="4" t="s">
        <v>55</v>
      </c>
      <c r="I2" s="4" t="s">
        <v>53</v>
      </c>
      <c r="J2" s="4" t="s">
        <v>53</v>
      </c>
      <c r="K2" s="27">
        <v>0.05</v>
      </c>
    </row>
    <row r="3" spans="1:11" x14ac:dyDescent="0.25">
      <c r="A3" s="8" t="s">
        <v>741</v>
      </c>
      <c r="B3" s="4" t="s">
        <v>246</v>
      </c>
      <c r="C3" s="4" t="s">
        <v>33</v>
      </c>
      <c r="D3" s="11">
        <v>44197</v>
      </c>
      <c r="E3" s="28" t="s">
        <v>1214</v>
      </c>
      <c r="F3" s="4" t="s">
        <v>51</v>
      </c>
      <c r="G3" s="4" t="s">
        <v>53</v>
      </c>
      <c r="H3" s="4" t="s">
        <v>55</v>
      </c>
      <c r="I3" s="4" t="s">
        <v>53</v>
      </c>
      <c r="J3" s="4" t="s">
        <v>53</v>
      </c>
      <c r="K3" s="27">
        <v>0.05</v>
      </c>
    </row>
    <row r="4" spans="1:11" x14ac:dyDescent="0.25">
      <c r="A4" s="8">
        <v>3</v>
      </c>
      <c r="B4" s="4" t="s">
        <v>246</v>
      </c>
      <c r="C4" s="4" t="s">
        <v>33</v>
      </c>
      <c r="D4" s="11">
        <v>43466</v>
      </c>
      <c r="E4" s="28" t="s">
        <v>1214</v>
      </c>
      <c r="F4" s="4" t="s">
        <v>51</v>
      </c>
      <c r="G4" s="4" t="s">
        <v>53</v>
      </c>
      <c r="H4" s="4" t="s">
        <v>55</v>
      </c>
      <c r="I4" s="4" t="s">
        <v>53</v>
      </c>
      <c r="J4" s="4" t="s">
        <v>53</v>
      </c>
      <c r="K4" s="27">
        <v>0.05</v>
      </c>
    </row>
  </sheetData>
  <dataValidations count="2">
    <dataValidation type="list" allowBlank="1" showInputMessage="1" showErrorMessage="1" sqref="B2:B4" xr:uid="{42A401D3-C7EA-4642-B7FC-1391A0CD22B2}">
      <formula1>INDIRECT("ChannelTypes[Channel type]")</formula1>
    </dataValidation>
    <dataValidation type="list" allowBlank="1" showInputMessage="1" showErrorMessage="1" sqref="C2:C4" xr:uid="{A3566935-6C6F-4645-9609-56F5D1111FD1}">
      <formula1>INDIRECT("CustomerStatuses[Customer status]")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H746"/>
  <sheetViews>
    <sheetView tabSelected="1" workbookViewId="0">
      <selection activeCell="H3" sqref="H3"/>
    </sheetView>
  </sheetViews>
  <sheetFormatPr defaultRowHeight="15" x14ac:dyDescent="0.25"/>
  <cols>
    <col min="1" max="1" width="5.7109375" customWidth="1"/>
    <col min="2" max="2" width="13.28515625" customWidth="1"/>
    <col min="3" max="5" width="15" style="26" customWidth="1"/>
    <col min="6" max="6" width="17.28515625" style="26" customWidth="1"/>
    <col min="7" max="7" width="16.85546875" style="26" customWidth="1"/>
    <col min="8" max="8" width="20.42578125" style="11" customWidth="1"/>
  </cols>
  <sheetData>
    <row r="1" spans="1:8" ht="30" x14ac:dyDescent="0.25">
      <c r="A1" s="16" t="s">
        <v>0</v>
      </c>
      <c r="B1" s="15" t="s">
        <v>16</v>
      </c>
      <c r="C1" s="117" t="s">
        <v>28</v>
      </c>
      <c r="D1" s="117" t="s">
        <v>8102</v>
      </c>
      <c r="E1" s="117" t="s">
        <v>8103</v>
      </c>
      <c r="F1" s="117" t="s">
        <v>29</v>
      </c>
      <c r="G1" s="117" t="s">
        <v>30</v>
      </c>
      <c r="H1" s="17" t="s">
        <v>27</v>
      </c>
    </row>
    <row r="2" spans="1:8" x14ac:dyDescent="0.25">
      <c r="A2">
        <v>1</v>
      </c>
      <c r="B2" s="35" t="s">
        <v>3021</v>
      </c>
      <c r="F2" s="26">
        <v>659</v>
      </c>
      <c r="G2" s="26">
        <v>412</v>
      </c>
      <c r="H2" s="11">
        <v>43952</v>
      </c>
    </row>
    <row r="3" spans="1:8" x14ac:dyDescent="0.25">
      <c r="A3">
        <v>2</v>
      </c>
      <c r="B3" s="35" t="s">
        <v>1870</v>
      </c>
      <c r="F3" s="26">
        <v>6390</v>
      </c>
      <c r="G3" s="26">
        <v>3887</v>
      </c>
      <c r="H3" s="11">
        <v>43952</v>
      </c>
    </row>
    <row r="4" spans="1:8" x14ac:dyDescent="0.25">
      <c r="A4">
        <v>3</v>
      </c>
      <c r="B4" s="35" t="s">
        <v>1844</v>
      </c>
      <c r="F4" s="26">
        <v>990</v>
      </c>
      <c r="G4" s="26">
        <v>578</v>
      </c>
      <c r="H4" s="11">
        <v>43952</v>
      </c>
    </row>
    <row r="5" spans="1:8" x14ac:dyDescent="0.25">
      <c r="A5">
        <v>4</v>
      </c>
      <c r="B5" s="35" t="s">
        <v>1892</v>
      </c>
      <c r="F5" s="26">
        <v>2790</v>
      </c>
      <c r="G5" s="26">
        <v>1744</v>
      </c>
      <c r="H5" s="11">
        <v>43952</v>
      </c>
    </row>
    <row r="6" spans="1:8" x14ac:dyDescent="0.25">
      <c r="A6">
        <v>5</v>
      </c>
      <c r="B6" s="35" t="s">
        <v>1899</v>
      </c>
      <c r="F6" s="26">
        <v>5290</v>
      </c>
      <c r="G6" s="26">
        <v>3086</v>
      </c>
      <c r="H6" s="11">
        <v>43952</v>
      </c>
    </row>
    <row r="7" spans="1:8" x14ac:dyDescent="0.25">
      <c r="A7">
        <v>6</v>
      </c>
      <c r="B7" s="35" t="s">
        <v>1900</v>
      </c>
      <c r="F7" s="26">
        <v>4990</v>
      </c>
      <c r="G7" s="26">
        <v>2911</v>
      </c>
      <c r="H7" s="11">
        <v>43952</v>
      </c>
    </row>
    <row r="8" spans="1:8" x14ac:dyDescent="0.25">
      <c r="A8">
        <v>7</v>
      </c>
      <c r="B8" s="35" t="s">
        <v>1903</v>
      </c>
      <c r="F8" s="26">
        <v>5490</v>
      </c>
      <c r="G8" s="26">
        <v>3203</v>
      </c>
      <c r="H8" s="11">
        <v>43952</v>
      </c>
    </row>
    <row r="9" spans="1:8" x14ac:dyDescent="0.25">
      <c r="A9">
        <v>8</v>
      </c>
      <c r="B9" s="35" t="s">
        <v>1896</v>
      </c>
      <c r="F9" s="26">
        <v>3790</v>
      </c>
      <c r="G9" s="26">
        <v>2211</v>
      </c>
      <c r="H9" s="11">
        <v>43952</v>
      </c>
    </row>
    <row r="10" spans="1:8" x14ac:dyDescent="0.25">
      <c r="A10">
        <v>9</v>
      </c>
      <c r="B10" s="35" t="s">
        <v>1897</v>
      </c>
      <c r="F10" s="26">
        <v>3190</v>
      </c>
      <c r="G10" s="26">
        <v>1861</v>
      </c>
      <c r="H10" s="11">
        <v>43952</v>
      </c>
    </row>
    <row r="11" spans="1:8" x14ac:dyDescent="0.25">
      <c r="A11">
        <v>10</v>
      </c>
      <c r="B11" s="35" t="s">
        <v>1762</v>
      </c>
      <c r="F11" s="26">
        <v>3890</v>
      </c>
      <c r="G11" s="26">
        <v>2496</v>
      </c>
      <c r="H11" s="11">
        <v>43952</v>
      </c>
    </row>
    <row r="12" spans="1:8" x14ac:dyDescent="0.25">
      <c r="A12">
        <v>11</v>
      </c>
      <c r="B12" s="35" t="s">
        <v>1769</v>
      </c>
      <c r="F12" s="26">
        <v>1190</v>
      </c>
      <c r="G12" s="26">
        <v>694</v>
      </c>
      <c r="H12" s="11">
        <v>43952</v>
      </c>
    </row>
    <row r="13" spans="1:8" x14ac:dyDescent="0.25">
      <c r="A13">
        <v>12</v>
      </c>
      <c r="B13" s="35" t="s">
        <v>1770</v>
      </c>
      <c r="F13" s="26">
        <v>2290</v>
      </c>
      <c r="G13" s="26">
        <v>1336</v>
      </c>
      <c r="H13" s="11">
        <v>43952</v>
      </c>
    </row>
    <row r="14" spans="1:8" x14ac:dyDescent="0.25">
      <c r="A14">
        <v>13</v>
      </c>
      <c r="B14" s="35" t="s">
        <v>1771</v>
      </c>
      <c r="F14" s="26">
        <v>3099</v>
      </c>
      <c r="G14" s="26">
        <v>1808</v>
      </c>
      <c r="H14" s="11">
        <v>43952</v>
      </c>
    </row>
    <row r="15" spans="1:8" x14ac:dyDescent="0.25">
      <c r="A15">
        <v>14</v>
      </c>
      <c r="B15" s="35" t="s">
        <v>1772</v>
      </c>
      <c r="F15" s="26">
        <v>1190</v>
      </c>
      <c r="G15" s="26">
        <v>694</v>
      </c>
      <c r="H15" s="11">
        <v>43952</v>
      </c>
    </row>
    <row r="16" spans="1:8" x14ac:dyDescent="0.25">
      <c r="A16">
        <v>15</v>
      </c>
      <c r="B16" s="35" t="s">
        <v>1773</v>
      </c>
      <c r="F16" s="26">
        <v>2290</v>
      </c>
      <c r="G16" s="26">
        <v>1336</v>
      </c>
      <c r="H16" s="11">
        <v>43952</v>
      </c>
    </row>
    <row r="17" spans="1:8" x14ac:dyDescent="0.25">
      <c r="A17">
        <v>16</v>
      </c>
      <c r="B17" s="35" t="s">
        <v>1774</v>
      </c>
      <c r="F17" s="26">
        <v>3099</v>
      </c>
      <c r="G17" s="26">
        <v>1808</v>
      </c>
      <c r="H17" s="11">
        <v>43952</v>
      </c>
    </row>
    <row r="18" spans="1:8" x14ac:dyDescent="0.25">
      <c r="A18">
        <v>17</v>
      </c>
      <c r="B18" s="35" t="s">
        <v>1791</v>
      </c>
      <c r="F18" s="26">
        <v>959</v>
      </c>
      <c r="G18" s="26">
        <v>519</v>
      </c>
      <c r="H18" s="11">
        <v>43952</v>
      </c>
    </row>
    <row r="19" spans="1:8" x14ac:dyDescent="0.25">
      <c r="A19">
        <v>18</v>
      </c>
      <c r="B19" s="35" t="s">
        <v>1792</v>
      </c>
      <c r="F19" s="26">
        <v>959</v>
      </c>
      <c r="G19" s="26">
        <v>519</v>
      </c>
      <c r="H19" s="11">
        <v>43952</v>
      </c>
    </row>
    <row r="20" spans="1:8" x14ac:dyDescent="0.25">
      <c r="A20">
        <v>19</v>
      </c>
      <c r="B20" s="35" t="s">
        <v>1793</v>
      </c>
      <c r="F20" s="26">
        <v>1599</v>
      </c>
      <c r="G20" s="26">
        <v>866</v>
      </c>
      <c r="H20" s="11">
        <v>43952</v>
      </c>
    </row>
    <row r="21" spans="1:8" x14ac:dyDescent="0.25">
      <c r="A21">
        <v>20</v>
      </c>
      <c r="B21" s="35" t="s">
        <v>1787</v>
      </c>
      <c r="F21" s="26">
        <v>1599</v>
      </c>
      <c r="G21" s="26">
        <v>866</v>
      </c>
      <c r="H21" s="11">
        <v>43952</v>
      </c>
    </row>
    <row r="22" spans="1:8" x14ac:dyDescent="0.25">
      <c r="A22">
        <v>21</v>
      </c>
      <c r="B22" s="35" t="s">
        <v>1782</v>
      </c>
      <c r="F22" s="26">
        <v>2469</v>
      </c>
      <c r="G22" s="26">
        <v>1543</v>
      </c>
      <c r="H22" s="11">
        <v>43952</v>
      </c>
    </row>
    <row r="23" spans="1:8" x14ac:dyDescent="0.25">
      <c r="A23">
        <v>22</v>
      </c>
      <c r="B23" s="35" t="s">
        <v>1783</v>
      </c>
      <c r="F23" s="26">
        <v>2469</v>
      </c>
      <c r="G23" s="26">
        <v>1543</v>
      </c>
      <c r="H23" s="11">
        <v>43952</v>
      </c>
    </row>
    <row r="24" spans="1:8" x14ac:dyDescent="0.25">
      <c r="A24">
        <v>23</v>
      </c>
      <c r="B24" s="35" t="s">
        <v>1780</v>
      </c>
      <c r="F24" s="26">
        <v>6249</v>
      </c>
      <c r="G24" s="26">
        <v>3645</v>
      </c>
      <c r="H24" s="11">
        <v>43952</v>
      </c>
    </row>
    <row r="25" spans="1:8" x14ac:dyDescent="0.25">
      <c r="A25">
        <v>24</v>
      </c>
      <c r="B25" s="35" t="s">
        <v>1781</v>
      </c>
      <c r="F25" s="26">
        <v>7489</v>
      </c>
      <c r="G25" s="26">
        <v>4369</v>
      </c>
      <c r="H25" s="11">
        <v>43952</v>
      </c>
    </row>
    <row r="26" spans="1:8" x14ac:dyDescent="0.25">
      <c r="A26">
        <v>25</v>
      </c>
      <c r="B26" s="35" t="s">
        <v>1775</v>
      </c>
      <c r="F26" s="26">
        <v>11359</v>
      </c>
      <c r="G26" s="26">
        <v>6626</v>
      </c>
      <c r="H26" s="11">
        <v>43952</v>
      </c>
    </row>
    <row r="27" spans="1:8" x14ac:dyDescent="0.25">
      <c r="A27">
        <v>26</v>
      </c>
      <c r="B27" s="35" t="s">
        <v>1777</v>
      </c>
      <c r="F27" s="26">
        <v>1734</v>
      </c>
      <c r="G27" s="26">
        <v>982</v>
      </c>
      <c r="H27" s="11">
        <v>43952</v>
      </c>
    </row>
    <row r="28" spans="1:8" x14ac:dyDescent="0.25">
      <c r="A28">
        <v>27</v>
      </c>
      <c r="B28" s="35" t="s">
        <v>1778</v>
      </c>
      <c r="F28" s="26">
        <v>1061</v>
      </c>
      <c r="G28" s="26">
        <v>601</v>
      </c>
      <c r="H28" s="11">
        <v>43952</v>
      </c>
    </row>
    <row r="29" spans="1:8" x14ac:dyDescent="0.25">
      <c r="A29">
        <v>28</v>
      </c>
      <c r="B29" s="35" t="s">
        <v>1779</v>
      </c>
      <c r="F29" s="26">
        <v>3080</v>
      </c>
      <c r="G29" s="26">
        <v>1745</v>
      </c>
      <c r="H29" s="11">
        <v>43952</v>
      </c>
    </row>
    <row r="30" spans="1:8" x14ac:dyDescent="0.25">
      <c r="A30">
        <v>29</v>
      </c>
      <c r="B30" s="35" t="s">
        <v>2751</v>
      </c>
      <c r="F30" s="26">
        <v>1199</v>
      </c>
      <c r="G30" s="26">
        <v>729</v>
      </c>
      <c r="H30" s="11">
        <v>43952</v>
      </c>
    </row>
    <row r="31" spans="1:8" x14ac:dyDescent="0.25">
      <c r="A31">
        <v>30</v>
      </c>
      <c r="B31" s="35" t="s">
        <v>2740</v>
      </c>
      <c r="F31" s="26">
        <v>1309</v>
      </c>
      <c r="G31" s="26">
        <v>796</v>
      </c>
      <c r="H31" s="11">
        <v>43952</v>
      </c>
    </row>
    <row r="32" spans="1:8" x14ac:dyDescent="0.25">
      <c r="A32">
        <v>31</v>
      </c>
      <c r="B32" s="35" t="s">
        <v>3287</v>
      </c>
      <c r="F32" s="26">
        <v>2590</v>
      </c>
      <c r="G32" s="26">
        <v>1511</v>
      </c>
      <c r="H32" s="11">
        <v>43952</v>
      </c>
    </row>
    <row r="33" spans="1:8" x14ac:dyDescent="0.25">
      <c r="A33">
        <v>32</v>
      </c>
      <c r="B33" s="35" t="s">
        <v>3275</v>
      </c>
      <c r="F33" s="26">
        <v>1290</v>
      </c>
      <c r="G33" s="26">
        <v>753</v>
      </c>
      <c r="H33" s="11">
        <v>43952</v>
      </c>
    </row>
    <row r="34" spans="1:8" x14ac:dyDescent="0.25">
      <c r="A34">
        <v>33</v>
      </c>
      <c r="B34" s="35" t="s">
        <v>3276</v>
      </c>
      <c r="F34" s="26">
        <v>7590</v>
      </c>
      <c r="G34" s="26">
        <v>4428</v>
      </c>
      <c r="H34" s="11">
        <v>43952</v>
      </c>
    </row>
    <row r="35" spans="1:8" x14ac:dyDescent="0.25">
      <c r="A35">
        <v>34</v>
      </c>
      <c r="B35" s="35" t="s">
        <v>3277</v>
      </c>
      <c r="F35" s="26">
        <v>9590</v>
      </c>
      <c r="G35" s="26">
        <v>5594</v>
      </c>
      <c r="H35" s="11">
        <v>43952</v>
      </c>
    </row>
    <row r="36" spans="1:8" x14ac:dyDescent="0.25">
      <c r="A36">
        <v>35</v>
      </c>
      <c r="B36" s="35" t="s">
        <v>3304</v>
      </c>
      <c r="F36" s="26">
        <v>9390</v>
      </c>
      <c r="G36" s="26">
        <v>5478</v>
      </c>
      <c r="H36" s="11">
        <v>43952</v>
      </c>
    </row>
    <row r="37" spans="1:8" x14ac:dyDescent="0.25">
      <c r="A37">
        <v>36</v>
      </c>
      <c r="B37" s="35" t="s">
        <v>3278</v>
      </c>
      <c r="F37" s="26">
        <v>5490</v>
      </c>
      <c r="G37" s="26">
        <v>3203</v>
      </c>
      <c r="H37" s="11">
        <v>43952</v>
      </c>
    </row>
    <row r="38" spans="1:8" x14ac:dyDescent="0.25">
      <c r="A38">
        <v>37</v>
      </c>
      <c r="B38" s="35" t="s">
        <v>3279</v>
      </c>
      <c r="F38" s="26">
        <v>8190</v>
      </c>
      <c r="G38" s="26">
        <v>4778</v>
      </c>
      <c r="H38" s="11">
        <v>43952</v>
      </c>
    </row>
    <row r="39" spans="1:8" x14ac:dyDescent="0.25">
      <c r="A39">
        <v>38</v>
      </c>
      <c r="B39" s="35" t="s">
        <v>3280</v>
      </c>
      <c r="F39" s="26">
        <v>5490</v>
      </c>
      <c r="G39" s="26">
        <v>3203</v>
      </c>
      <c r="H39" s="11">
        <v>43952</v>
      </c>
    </row>
    <row r="40" spans="1:8" x14ac:dyDescent="0.25">
      <c r="A40">
        <v>39</v>
      </c>
      <c r="B40" s="35" t="s">
        <v>3281</v>
      </c>
      <c r="F40" s="26">
        <v>10490</v>
      </c>
      <c r="G40" s="26">
        <v>6119</v>
      </c>
      <c r="H40" s="11">
        <v>43952</v>
      </c>
    </row>
    <row r="41" spans="1:8" x14ac:dyDescent="0.25">
      <c r="A41">
        <v>40</v>
      </c>
      <c r="B41" s="35" t="s">
        <v>3305</v>
      </c>
      <c r="F41" s="26">
        <v>6990</v>
      </c>
      <c r="G41" s="26">
        <v>4078</v>
      </c>
      <c r="H41" s="11">
        <v>43952</v>
      </c>
    </row>
    <row r="42" spans="1:8" x14ac:dyDescent="0.25">
      <c r="A42">
        <v>41</v>
      </c>
      <c r="B42" s="35" t="s">
        <v>3283</v>
      </c>
      <c r="F42" s="26">
        <v>5290</v>
      </c>
      <c r="G42" s="26">
        <v>3086</v>
      </c>
      <c r="H42" s="11">
        <v>43952</v>
      </c>
    </row>
    <row r="43" spans="1:8" x14ac:dyDescent="0.25">
      <c r="A43">
        <v>42</v>
      </c>
      <c r="B43" s="35" t="s">
        <v>3284</v>
      </c>
      <c r="F43" s="26">
        <v>6290</v>
      </c>
      <c r="G43" s="26">
        <v>3669</v>
      </c>
      <c r="H43" s="11">
        <v>43952</v>
      </c>
    </row>
    <row r="44" spans="1:8" x14ac:dyDescent="0.25">
      <c r="A44">
        <v>43</v>
      </c>
      <c r="B44" s="35" t="s">
        <v>3285</v>
      </c>
      <c r="F44" s="26">
        <v>1990</v>
      </c>
      <c r="G44" s="26">
        <v>1161</v>
      </c>
      <c r="H44" s="11">
        <v>43952</v>
      </c>
    </row>
    <row r="45" spans="1:8" x14ac:dyDescent="0.25">
      <c r="A45">
        <v>44</v>
      </c>
      <c r="B45" s="35" t="s">
        <v>3286</v>
      </c>
      <c r="F45" s="26">
        <v>9890</v>
      </c>
      <c r="G45" s="26">
        <v>5769</v>
      </c>
      <c r="H45" s="11">
        <v>43952</v>
      </c>
    </row>
    <row r="46" spans="1:8" x14ac:dyDescent="0.25">
      <c r="A46">
        <v>45</v>
      </c>
      <c r="B46" s="35" t="s">
        <v>3441</v>
      </c>
      <c r="F46" s="26">
        <v>539</v>
      </c>
      <c r="G46" s="26">
        <v>314</v>
      </c>
      <c r="H46" s="11">
        <v>43952</v>
      </c>
    </row>
    <row r="47" spans="1:8" x14ac:dyDescent="0.25">
      <c r="A47">
        <v>46</v>
      </c>
      <c r="B47" s="35" t="s">
        <v>3453</v>
      </c>
      <c r="F47" s="26">
        <v>1199</v>
      </c>
      <c r="G47" s="26">
        <v>699</v>
      </c>
      <c r="H47" s="11">
        <v>43952</v>
      </c>
    </row>
    <row r="48" spans="1:8" x14ac:dyDescent="0.25">
      <c r="A48">
        <v>47</v>
      </c>
      <c r="B48" s="35" t="s">
        <v>3455</v>
      </c>
      <c r="F48" s="26">
        <v>1199</v>
      </c>
      <c r="G48" s="26">
        <v>699</v>
      </c>
      <c r="H48" s="11">
        <v>43952</v>
      </c>
    </row>
    <row r="49" spans="1:8" x14ac:dyDescent="0.25">
      <c r="A49">
        <v>48</v>
      </c>
      <c r="B49" s="35" t="s">
        <v>3467</v>
      </c>
      <c r="F49" s="26">
        <v>869</v>
      </c>
      <c r="G49" s="26">
        <v>507</v>
      </c>
      <c r="H49" s="11">
        <v>43952</v>
      </c>
    </row>
    <row r="50" spans="1:8" x14ac:dyDescent="0.25">
      <c r="A50">
        <v>49</v>
      </c>
      <c r="B50" s="35" t="s">
        <v>3421</v>
      </c>
      <c r="F50" s="26">
        <v>2959</v>
      </c>
      <c r="G50" s="26">
        <v>1726</v>
      </c>
      <c r="H50" s="11">
        <v>43952</v>
      </c>
    </row>
    <row r="51" spans="1:8" x14ac:dyDescent="0.25">
      <c r="A51">
        <v>50</v>
      </c>
      <c r="B51" s="35" t="s">
        <v>3422</v>
      </c>
      <c r="F51" s="26">
        <v>1859</v>
      </c>
      <c r="G51" s="26">
        <v>1084</v>
      </c>
      <c r="H51" s="11">
        <v>43952</v>
      </c>
    </row>
    <row r="52" spans="1:8" x14ac:dyDescent="0.25">
      <c r="A52">
        <v>51</v>
      </c>
      <c r="B52" s="35" t="s">
        <v>3476</v>
      </c>
      <c r="F52" s="26">
        <v>539</v>
      </c>
      <c r="G52" s="26">
        <v>314</v>
      </c>
      <c r="H52" s="11">
        <v>43952</v>
      </c>
    </row>
    <row r="53" spans="1:8" x14ac:dyDescent="0.25">
      <c r="A53">
        <v>52</v>
      </c>
      <c r="B53" s="35" t="s">
        <v>3485</v>
      </c>
      <c r="F53" s="26">
        <v>539</v>
      </c>
      <c r="G53" s="26">
        <v>314</v>
      </c>
      <c r="H53" s="11">
        <v>43952</v>
      </c>
    </row>
    <row r="54" spans="1:8" x14ac:dyDescent="0.25">
      <c r="A54">
        <v>53</v>
      </c>
      <c r="B54" s="35" t="s">
        <v>3486</v>
      </c>
      <c r="F54" s="26">
        <v>539</v>
      </c>
      <c r="G54" s="26">
        <v>314</v>
      </c>
      <c r="H54" s="11">
        <v>43952</v>
      </c>
    </row>
    <row r="55" spans="1:8" x14ac:dyDescent="0.25">
      <c r="A55">
        <v>54</v>
      </c>
      <c r="B55" s="35" t="s">
        <v>3477</v>
      </c>
      <c r="F55" s="26">
        <v>539</v>
      </c>
      <c r="G55" s="26">
        <v>314</v>
      </c>
      <c r="H55" s="11">
        <v>43952</v>
      </c>
    </row>
    <row r="56" spans="1:8" x14ac:dyDescent="0.25">
      <c r="A56">
        <v>55</v>
      </c>
      <c r="B56" s="35" t="s">
        <v>3479</v>
      </c>
      <c r="F56" s="26">
        <v>539</v>
      </c>
      <c r="G56" s="26">
        <v>314</v>
      </c>
      <c r="H56" s="11">
        <v>43952</v>
      </c>
    </row>
    <row r="57" spans="1:8" x14ac:dyDescent="0.25">
      <c r="A57">
        <v>56</v>
      </c>
      <c r="B57" s="35" t="s">
        <v>3480</v>
      </c>
      <c r="F57" s="26">
        <v>539</v>
      </c>
      <c r="G57" s="26">
        <v>314</v>
      </c>
      <c r="H57" s="11">
        <v>43952</v>
      </c>
    </row>
    <row r="58" spans="1:8" x14ac:dyDescent="0.25">
      <c r="A58">
        <v>57</v>
      </c>
      <c r="B58" s="35" t="s">
        <v>3482</v>
      </c>
      <c r="F58" s="26">
        <v>539</v>
      </c>
      <c r="G58" s="26">
        <v>314</v>
      </c>
      <c r="H58" s="11">
        <v>43952</v>
      </c>
    </row>
    <row r="59" spans="1:8" x14ac:dyDescent="0.25">
      <c r="A59">
        <v>58</v>
      </c>
      <c r="B59" s="35" t="s">
        <v>3346</v>
      </c>
      <c r="F59" s="26">
        <v>5159</v>
      </c>
      <c r="G59" s="26">
        <v>3224</v>
      </c>
      <c r="H59" s="11">
        <v>43952</v>
      </c>
    </row>
    <row r="60" spans="1:8" x14ac:dyDescent="0.25">
      <c r="A60">
        <v>59</v>
      </c>
      <c r="B60" s="35" t="s">
        <v>3424</v>
      </c>
      <c r="F60" s="26">
        <v>1089</v>
      </c>
      <c r="G60" s="26">
        <v>635</v>
      </c>
      <c r="H60" s="11">
        <v>43952</v>
      </c>
    </row>
    <row r="61" spans="1:8" x14ac:dyDescent="0.25">
      <c r="A61">
        <v>60</v>
      </c>
      <c r="B61" s="35" t="s">
        <v>3452</v>
      </c>
      <c r="F61" s="26">
        <v>979</v>
      </c>
      <c r="G61" s="26">
        <v>571</v>
      </c>
      <c r="H61" s="11">
        <v>43952</v>
      </c>
    </row>
    <row r="62" spans="1:8" x14ac:dyDescent="0.25">
      <c r="A62">
        <v>61</v>
      </c>
      <c r="B62" s="35" t="s">
        <v>3483</v>
      </c>
      <c r="F62" s="26">
        <v>649</v>
      </c>
      <c r="G62" s="26">
        <v>379</v>
      </c>
      <c r="H62" s="11">
        <v>43952</v>
      </c>
    </row>
    <row r="63" spans="1:8" x14ac:dyDescent="0.25">
      <c r="A63">
        <v>62</v>
      </c>
      <c r="B63" s="35" t="s">
        <v>3252</v>
      </c>
      <c r="F63" s="26">
        <v>19390</v>
      </c>
      <c r="G63" s="26">
        <v>11964</v>
      </c>
      <c r="H63" s="11">
        <v>43952</v>
      </c>
    </row>
    <row r="64" spans="1:8" x14ac:dyDescent="0.25">
      <c r="A64">
        <v>63</v>
      </c>
      <c r="B64" s="35" t="s">
        <v>3168</v>
      </c>
      <c r="F64" s="26">
        <v>36890</v>
      </c>
      <c r="G64" s="26">
        <v>22169</v>
      </c>
      <c r="H64" s="11">
        <v>43952</v>
      </c>
    </row>
    <row r="65" spans="1:8" x14ac:dyDescent="0.25">
      <c r="A65">
        <v>64</v>
      </c>
      <c r="B65" s="35" t="s">
        <v>3169</v>
      </c>
      <c r="F65" s="26">
        <v>30790</v>
      </c>
      <c r="G65" s="26">
        <v>19736</v>
      </c>
      <c r="H65" s="11">
        <v>43952</v>
      </c>
    </row>
    <row r="66" spans="1:8" x14ac:dyDescent="0.25">
      <c r="A66">
        <v>65</v>
      </c>
      <c r="B66" s="35" t="s">
        <v>3171</v>
      </c>
      <c r="F66" s="26">
        <v>34890</v>
      </c>
      <c r="G66" s="26">
        <v>22388</v>
      </c>
      <c r="H66" s="11">
        <v>43952</v>
      </c>
    </row>
    <row r="67" spans="1:8" x14ac:dyDescent="0.25">
      <c r="A67">
        <v>66</v>
      </c>
      <c r="B67" s="35" t="s">
        <v>3417</v>
      </c>
      <c r="F67" s="26">
        <v>2131</v>
      </c>
      <c r="G67" s="26">
        <v>1243</v>
      </c>
      <c r="H67" s="11">
        <v>43952</v>
      </c>
    </row>
    <row r="68" spans="1:8" x14ac:dyDescent="0.25">
      <c r="A68">
        <v>67</v>
      </c>
      <c r="B68" s="35" t="s">
        <v>3379</v>
      </c>
      <c r="F68" s="26">
        <v>979</v>
      </c>
      <c r="G68" s="26">
        <v>571</v>
      </c>
      <c r="H68" s="11">
        <v>43952</v>
      </c>
    </row>
    <row r="69" spans="1:8" x14ac:dyDescent="0.25">
      <c r="A69">
        <v>68</v>
      </c>
      <c r="B69" s="35" t="s">
        <v>3380</v>
      </c>
      <c r="F69" s="26">
        <v>979</v>
      </c>
      <c r="G69" s="26">
        <v>571</v>
      </c>
      <c r="H69" s="11">
        <v>43952</v>
      </c>
    </row>
    <row r="70" spans="1:8" x14ac:dyDescent="0.25">
      <c r="A70">
        <v>69</v>
      </c>
      <c r="B70" s="35" t="s">
        <v>3381</v>
      </c>
      <c r="F70" s="26">
        <v>979</v>
      </c>
      <c r="G70" s="26">
        <v>571</v>
      </c>
      <c r="H70" s="11">
        <v>43952</v>
      </c>
    </row>
    <row r="71" spans="1:8" x14ac:dyDescent="0.25">
      <c r="A71">
        <v>70</v>
      </c>
      <c r="B71" s="35" t="s">
        <v>3382</v>
      </c>
      <c r="F71" s="26">
        <v>979</v>
      </c>
      <c r="G71" s="26">
        <v>571</v>
      </c>
      <c r="H71" s="11">
        <v>43952</v>
      </c>
    </row>
    <row r="72" spans="1:8" x14ac:dyDescent="0.25">
      <c r="A72">
        <v>71</v>
      </c>
      <c r="B72" s="35" t="s">
        <v>3375</v>
      </c>
      <c r="F72" s="26">
        <v>2629</v>
      </c>
      <c r="G72" s="26">
        <v>1534</v>
      </c>
      <c r="H72" s="11">
        <v>43952</v>
      </c>
    </row>
    <row r="73" spans="1:8" x14ac:dyDescent="0.25">
      <c r="A73">
        <v>72</v>
      </c>
      <c r="B73" s="35" t="s">
        <v>3378</v>
      </c>
      <c r="F73" s="26">
        <v>979</v>
      </c>
      <c r="G73" s="26">
        <v>571</v>
      </c>
      <c r="H73" s="11">
        <v>43952</v>
      </c>
    </row>
    <row r="74" spans="1:8" x14ac:dyDescent="0.25">
      <c r="A74">
        <v>73</v>
      </c>
      <c r="B74" s="35" t="s">
        <v>3176</v>
      </c>
      <c r="F74" s="26">
        <v>8990</v>
      </c>
      <c r="G74" s="26">
        <v>5835</v>
      </c>
      <c r="H74" s="11">
        <v>43952</v>
      </c>
    </row>
    <row r="75" spans="1:8" x14ac:dyDescent="0.25">
      <c r="A75">
        <v>74</v>
      </c>
      <c r="B75" s="35" t="s">
        <v>3177</v>
      </c>
      <c r="F75" s="26">
        <v>9790</v>
      </c>
      <c r="G75" s="26">
        <v>6276</v>
      </c>
      <c r="H75" s="11">
        <v>43952</v>
      </c>
    </row>
    <row r="76" spans="1:8" x14ac:dyDescent="0.25">
      <c r="A76">
        <v>75</v>
      </c>
      <c r="B76" s="35" t="s">
        <v>3179</v>
      </c>
      <c r="F76" s="26">
        <v>10790</v>
      </c>
      <c r="G76" s="26">
        <v>6917</v>
      </c>
      <c r="H76" s="11">
        <v>43952</v>
      </c>
    </row>
    <row r="77" spans="1:8" x14ac:dyDescent="0.25">
      <c r="A77">
        <v>76</v>
      </c>
      <c r="B77" s="35" t="s">
        <v>3053</v>
      </c>
      <c r="F77" s="26">
        <v>539</v>
      </c>
      <c r="G77" s="26">
        <v>294</v>
      </c>
      <c r="H77" s="11">
        <v>43952</v>
      </c>
    </row>
    <row r="78" spans="1:8" x14ac:dyDescent="0.25">
      <c r="A78">
        <v>77</v>
      </c>
      <c r="B78" s="35" t="s">
        <v>3054</v>
      </c>
      <c r="F78" s="26">
        <v>539</v>
      </c>
      <c r="G78" s="26">
        <v>294</v>
      </c>
      <c r="H78" s="11">
        <v>43952</v>
      </c>
    </row>
    <row r="79" spans="1:8" x14ac:dyDescent="0.25">
      <c r="A79">
        <v>78</v>
      </c>
      <c r="B79" s="35" t="s">
        <v>3190</v>
      </c>
      <c r="F79" s="26">
        <v>14790</v>
      </c>
      <c r="G79" s="26">
        <v>9481</v>
      </c>
      <c r="H79" s="11">
        <v>43952</v>
      </c>
    </row>
    <row r="80" spans="1:8" x14ac:dyDescent="0.25">
      <c r="A80">
        <v>79</v>
      </c>
      <c r="B80" s="35" t="s">
        <v>3191</v>
      </c>
      <c r="F80" s="26">
        <v>18090</v>
      </c>
      <c r="G80" s="26">
        <v>11596</v>
      </c>
      <c r="H80" s="11">
        <v>43952</v>
      </c>
    </row>
    <row r="81" spans="1:8" x14ac:dyDescent="0.25">
      <c r="A81">
        <v>80</v>
      </c>
      <c r="B81" s="35" t="s">
        <v>3192</v>
      </c>
      <c r="F81" s="26">
        <v>23190</v>
      </c>
      <c r="G81" s="26">
        <v>14865</v>
      </c>
      <c r="H81" s="11">
        <v>43952</v>
      </c>
    </row>
    <row r="82" spans="1:8" x14ac:dyDescent="0.25">
      <c r="A82">
        <v>81</v>
      </c>
      <c r="B82" s="35" t="s">
        <v>3255</v>
      </c>
      <c r="F82" s="26">
        <v>9190</v>
      </c>
      <c r="G82" s="26">
        <v>5670</v>
      </c>
      <c r="H82" s="11">
        <v>43952</v>
      </c>
    </row>
    <row r="83" spans="1:8" x14ac:dyDescent="0.25">
      <c r="A83">
        <v>82</v>
      </c>
      <c r="B83" s="35" t="s">
        <v>3256</v>
      </c>
      <c r="F83" s="26">
        <v>7919</v>
      </c>
      <c r="G83" s="26">
        <v>4953</v>
      </c>
      <c r="H83" s="11">
        <v>43952</v>
      </c>
    </row>
    <row r="84" spans="1:8" x14ac:dyDescent="0.25">
      <c r="A84">
        <v>83</v>
      </c>
      <c r="B84" s="35" t="s">
        <v>3257</v>
      </c>
      <c r="F84" s="26">
        <v>12890</v>
      </c>
      <c r="G84" s="26">
        <v>7953</v>
      </c>
      <c r="H84" s="11">
        <v>43952</v>
      </c>
    </row>
    <row r="85" spans="1:8" x14ac:dyDescent="0.25">
      <c r="A85">
        <v>84</v>
      </c>
      <c r="B85" s="35" t="s">
        <v>3051</v>
      </c>
      <c r="F85" s="26">
        <v>11590</v>
      </c>
      <c r="G85" s="26">
        <v>6886</v>
      </c>
      <c r="H85" s="11">
        <v>43952</v>
      </c>
    </row>
    <row r="86" spans="1:8" x14ac:dyDescent="0.25">
      <c r="A86">
        <v>85</v>
      </c>
      <c r="B86" s="35" t="s">
        <v>3199</v>
      </c>
      <c r="F86" s="26">
        <v>15390</v>
      </c>
      <c r="G86" s="26">
        <v>9143</v>
      </c>
      <c r="H86" s="11">
        <v>43952</v>
      </c>
    </row>
    <row r="87" spans="1:8" x14ac:dyDescent="0.25">
      <c r="A87">
        <v>86</v>
      </c>
      <c r="B87" s="35" t="s">
        <v>3200</v>
      </c>
      <c r="F87" s="26">
        <v>22090</v>
      </c>
      <c r="G87" s="26">
        <v>13124</v>
      </c>
      <c r="H87" s="11">
        <v>43952</v>
      </c>
    </row>
    <row r="88" spans="1:8" x14ac:dyDescent="0.25">
      <c r="A88">
        <v>87</v>
      </c>
      <c r="B88" s="35" t="s">
        <v>3201</v>
      </c>
      <c r="F88" s="26">
        <v>26490</v>
      </c>
      <c r="G88" s="26">
        <v>15531</v>
      </c>
      <c r="H88" s="11">
        <v>43952</v>
      </c>
    </row>
    <row r="89" spans="1:8" x14ac:dyDescent="0.25">
      <c r="A89">
        <v>88</v>
      </c>
      <c r="B89" s="35" t="s">
        <v>3202</v>
      </c>
      <c r="F89" s="26">
        <v>30190</v>
      </c>
      <c r="G89" s="26">
        <v>17701</v>
      </c>
      <c r="H89" s="11">
        <v>43952</v>
      </c>
    </row>
    <row r="90" spans="1:8" x14ac:dyDescent="0.25">
      <c r="A90">
        <v>89</v>
      </c>
      <c r="B90" s="35" t="s">
        <v>3258</v>
      </c>
      <c r="F90" s="26">
        <v>17090</v>
      </c>
      <c r="G90" s="26">
        <v>10421</v>
      </c>
      <c r="H90" s="11">
        <v>43952</v>
      </c>
    </row>
    <row r="91" spans="1:8" x14ac:dyDescent="0.25">
      <c r="A91">
        <v>90</v>
      </c>
      <c r="B91" s="35" t="s">
        <v>3203</v>
      </c>
      <c r="F91" s="26">
        <v>21490</v>
      </c>
      <c r="G91" s="26">
        <v>13104</v>
      </c>
      <c r="H91" s="11">
        <v>43952</v>
      </c>
    </row>
    <row r="92" spans="1:8" x14ac:dyDescent="0.25">
      <c r="A92">
        <v>91</v>
      </c>
      <c r="B92" s="35" t="s">
        <v>3205</v>
      </c>
      <c r="F92" s="26">
        <v>26390</v>
      </c>
      <c r="G92" s="26">
        <v>15473</v>
      </c>
      <c r="H92" s="11">
        <v>43952</v>
      </c>
    </row>
    <row r="93" spans="1:8" x14ac:dyDescent="0.25">
      <c r="A93">
        <v>92</v>
      </c>
      <c r="B93" s="35" t="s">
        <v>3206</v>
      </c>
      <c r="F93" s="26">
        <v>32190</v>
      </c>
      <c r="G93" s="26">
        <v>18873</v>
      </c>
      <c r="H93" s="11">
        <v>43952</v>
      </c>
    </row>
    <row r="94" spans="1:8" x14ac:dyDescent="0.25">
      <c r="A94">
        <v>93</v>
      </c>
      <c r="B94" s="35" t="s">
        <v>3213</v>
      </c>
      <c r="F94" s="26">
        <v>9090</v>
      </c>
      <c r="G94" s="26">
        <v>5542</v>
      </c>
      <c r="H94" s="11">
        <v>43952</v>
      </c>
    </row>
    <row r="95" spans="1:8" x14ac:dyDescent="0.25">
      <c r="A95">
        <v>94</v>
      </c>
      <c r="B95" s="35" t="s">
        <v>3216</v>
      </c>
      <c r="F95" s="26">
        <v>15990</v>
      </c>
      <c r="G95" s="26">
        <v>9375</v>
      </c>
      <c r="H95" s="11">
        <v>43952</v>
      </c>
    </row>
    <row r="96" spans="1:8" x14ac:dyDescent="0.25">
      <c r="A96">
        <v>95</v>
      </c>
      <c r="B96" s="35" t="s">
        <v>3217</v>
      </c>
      <c r="F96" s="26">
        <v>19790</v>
      </c>
      <c r="G96" s="26">
        <v>11602</v>
      </c>
      <c r="H96" s="11">
        <v>43952</v>
      </c>
    </row>
    <row r="97" spans="1:8" x14ac:dyDescent="0.25">
      <c r="A97">
        <v>96</v>
      </c>
      <c r="B97" s="35" t="s">
        <v>3218</v>
      </c>
      <c r="F97" s="26">
        <v>9990</v>
      </c>
      <c r="G97" s="26">
        <v>6091</v>
      </c>
      <c r="H97" s="11">
        <v>43952</v>
      </c>
    </row>
    <row r="98" spans="1:8" x14ac:dyDescent="0.25">
      <c r="A98">
        <v>97</v>
      </c>
      <c r="B98" s="35" t="s">
        <v>3219</v>
      </c>
      <c r="F98" s="26">
        <v>14090</v>
      </c>
      <c r="G98" s="26">
        <v>8261</v>
      </c>
      <c r="H98" s="11">
        <v>43952</v>
      </c>
    </row>
    <row r="99" spans="1:8" x14ac:dyDescent="0.25">
      <c r="A99">
        <v>98</v>
      </c>
      <c r="B99" s="35" t="s">
        <v>3220</v>
      </c>
      <c r="F99" s="26">
        <v>16590</v>
      </c>
      <c r="G99" s="26">
        <v>9726</v>
      </c>
      <c r="H99" s="11">
        <v>43952</v>
      </c>
    </row>
    <row r="100" spans="1:8" x14ac:dyDescent="0.25">
      <c r="A100">
        <v>99</v>
      </c>
      <c r="B100" s="35" t="s">
        <v>3221</v>
      </c>
      <c r="F100" s="26">
        <v>20690</v>
      </c>
      <c r="G100" s="26">
        <v>12130</v>
      </c>
      <c r="H100" s="11">
        <v>43952</v>
      </c>
    </row>
    <row r="101" spans="1:8" x14ac:dyDescent="0.25">
      <c r="A101">
        <v>100</v>
      </c>
      <c r="B101" s="35" t="s">
        <v>3288</v>
      </c>
      <c r="F101" s="26">
        <v>13790</v>
      </c>
      <c r="G101" s="26">
        <v>8044</v>
      </c>
      <c r="H101" s="11">
        <v>43952</v>
      </c>
    </row>
    <row r="102" spans="1:8" x14ac:dyDescent="0.25">
      <c r="A102">
        <v>101</v>
      </c>
      <c r="B102" s="35" t="s">
        <v>2913</v>
      </c>
      <c r="F102" s="26">
        <v>2290</v>
      </c>
      <c r="G102" s="26">
        <v>1336</v>
      </c>
      <c r="H102" s="11">
        <v>43952</v>
      </c>
    </row>
    <row r="103" spans="1:8" x14ac:dyDescent="0.25">
      <c r="A103">
        <v>102</v>
      </c>
      <c r="B103" s="35" t="s">
        <v>2916</v>
      </c>
      <c r="F103" s="26">
        <v>1290</v>
      </c>
      <c r="G103" s="26">
        <v>753</v>
      </c>
      <c r="H103" s="11">
        <v>43952</v>
      </c>
    </row>
    <row r="104" spans="1:8" x14ac:dyDescent="0.25">
      <c r="A104">
        <v>103</v>
      </c>
      <c r="B104" s="35" t="s">
        <v>2942</v>
      </c>
      <c r="F104" s="26">
        <v>2490</v>
      </c>
      <c r="G104" s="26">
        <v>1536</v>
      </c>
      <c r="H104" s="11">
        <v>43952</v>
      </c>
    </row>
    <row r="105" spans="1:8" x14ac:dyDescent="0.25">
      <c r="A105">
        <v>104</v>
      </c>
      <c r="B105" s="35" t="s">
        <v>2945</v>
      </c>
      <c r="F105" s="26">
        <v>3890</v>
      </c>
      <c r="G105" s="26">
        <v>2399</v>
      </c>
      <c r="H105" s="11">
        <v>43952</v>
      </c>
    </row>
    <row r="106" spans="1:8" x14ac:dyDescent="0.25">
      <c r="A106">
        <v>105</v>
      </c>
      <c r="B106" s="35" t="s">
        <v>2925</v>
      </c>
      <c r="F106" s="26">
        <v>3290</v>
      </c>
      <c r="G106" s="26">
        <v>1919</v>
      </c>
      <c r="H106" s="11">
        <v>43952</v>
      </c>
    </row>
    <row r="107" spans="1:8" x14ac:dyDescent="0.25">
      <c r="A107">
        <v>106</v>
      </c>
      <c r="B107" s="35" t="s">
        <v>2926</v>
      </c>
      <c r="F107" s="26">
        <v>3790</v>
      </c>
      <c r="G107" s="26">
        <v>2212</v>
      </c>
      <c r="H107" s="11">
        <v>43952</v>
      </c>
    </row>
    <row r="108" spans="1:8" x14ac:dyDescent="0.25">
      <c r="A108">
        <v>107</v>
      </c>
      <c r="B108" s="35" t="s">
        <v>2927</v>
      </c>
      <c r="F108" s="26">
        <v>4890</v>
      </c>
      <c r="G108" s="26">
        <v>2853</v>
      </c>
      <c r="H108" s="11">
        <v>43952</v>
      </c>
    </row>
    <row r="109" spans="1:8" x14ac:dyDescent="0.25">
      <c r="A109">
        <v>108</v>
      </c>
      <c r="B109" s="35" t="s">
        <v>2924</v>
      </c>
      <c r="F109" s="26">
        <v>6290</v>
      </c>
      <c r="G109" s="26">
        <v>3670</v>
      </c>
      <c r="H109" s="11">
        <v>43952</v>
      </c>
    </row>
    <row r="110" spans="1:8" x14ac:dyDescent="0.25">
      <c r="A110">
        <v>109</v>
      </c>
      <c r="B110" s="35" t="s">
        <v>2943</v>
      </c>
      <c r="F110" s="26">
        <v>199</v>
      </c>
      <c r="G110" s="26">
        <v>123</v>
      </c>
      <c r="H110" s="11">
        <v>43952</v>
      </c>
    </row>
    <row r="111" spans="1:8" x14ac:dyDescent="0.25">
      <c r="A111">
        <v>110</v>
      </c>
      <c r="B111" s="35" t="s">
        <v>2944</v>
      </c>
      <c r="F111" s="26">
        <v>1390</v>
      </c>
      <c r="G111" s="26">
        <v>857</v>
      </c>
      <c r="H111" s="11">
        <v>43952</v>
      </c>
    </row>
    <row r="112" spans="1:8" x14ac:dyDescent="0.25">
      <c r="A112">
        <v>111</v>
      </c>
      <c r="B112" s="35" t="s">
        <v>2952</v>
      </c>
      <c r="F112" s="26">
        <v>2790</v>
      </c>
      <c r="G112" s="26">
        <v>1721</v>
      </c>
      <c r="H112" s="11">
        <v>43952</v>
      </c>
    </row>
    <row r="113" spans="1:8" x14ac:dyDescent="0.25">
      <c r="A113">
        <v>112</v>
      </c>
      <c r="B113" s="35" t="s">
        <v>2949</v>
      </c>
      <c r="F113" s="26">
        <v>4290</v>
      </c>
      <c r="G113" s="26">
        <v>2646</v>
      </c>
      <c r="H113" s="11">
        <v>43952</v>
      </c>
    </row>
    <row r="114" spans="1:8" x14ac:dyDescent="0.25">
      <c r="A114">
        <v>113</v>
      </c>
      <c r="B114" s="35" t="s">
        <v>2906</v>
      </c>
      <c r="F114" s="26">
        <v>2690</v>
      </c>
      <c r="G114" s="26">
        <v>1569</v>
      </c>
      <c r="H114" s="11">
        <v>43952</v>
      </c>
    </row>
    <row r="115" spans="1:8" x14ac:dyDescent="0.25">
      <c r="A115">
        <v>114</v>
      </c>
      <c r="B115" s="35" t="s">
        <v>2907</v>
      </c>
      <c r="F115" s="26">
        <v>3690</v>
      </c>
      <c r="G115" s="26">
        <v>2153</v>
      </c>
      <c r="H115" s="11">
        <v>43952</v>
      </c>
    </row>
    <row r="116" spans="1:8" x14ac:dyDescent="0.25">
      <c r="A116">
        <v>115</v>
      </c>
      <c r="B116" s="35" t="s">
        <v>2910</v>
      </c>
      <c r="F116" s="26">
        <v>2090</v>
      </c>
      <c r="G116" s="26">
        <v>1219</v>
      </c>
      <c r="H116" s="11">
        <v>43952</v>
      </c>
    </row>
    <row r="117" spans="1:8" x14ac:dyDescent="0.25">
      <c r="A117">
        <v>116</v>
      </c>
      <c r="B117" s="35" t="s">
        <v>2936</v>
      </c>
      <c r="F117" s="26">
        <v>2190</v>
      </c>
      <c r="G117" s="26">
        <v>1278</v>
      </c>
      <c r="H117" s="11">
        <v>43952</v>
      </c>
    </row>
    <row r="118" spans="1:8" x14ac:dyDescent="0.25">
      <c r="A118">
        <v>117</v>
      </c>
      <c r="B118" s="35" t="s">
        <v>2934</v>
      </c>
      <c r="F118" s="26">
        <v>3390</v>
      </c>
      <c r="G118" s="26">
        <v>1979</v>
      </c>
      <c r="H118" s="11">
        <v>43952</v>
      </c>
    </row>
    <row r="119" spans="1:8" x14ac:dyDescent="0.25">
      <c r="A119">
        <v>118</v>
      </c>
      <c r="B119" s="35" t="s">
        <v>2984</v>
      </c>
      <c r="F119" s="26">
        <v>24190</v>
      </c>
      <c r="G119" s="26">
        <v>15119</v>
      </c>
      <c r="H119" s="11">
        <v>43952</v>
      </c>
    </row>
    <row r="120" spans="1:8" x14ac:dyDescent="0.25">
      <c r="A120">
        <v>119</v>
      </c>
      <c r="B120" s="35" t="s">
        <v>2977</v>
      </c>
      <c r="F120" s="26">
        <v>4390</v>
      </c>
      <c r="G120" s="26">
        <v>2744</v>
      </c>
      <c r="H120" s="11">
        <v>43952</v>
      </c>
    </row>
    <row r="121" spans="1:8" x14ac:dyDescent="0.25">
      <c r="A121">
        <v>120</v>
      </c>
      <c r="B121" s="35" t="s">
        <v>3411</v>
      </c>
      <c r="F121" s="26">
        <v>2959</v>
      </c>
      <c r="G121" s="26">
        <v>1726</v>
      </c>
      <c r="H121" s="11">
        <v>43952</v>
      </c>
    </row>
    <row r="122" spans="1:8" x14ac:dyDescent="0.25">
      <c r="A122">
        <v>121</v>
      </c>
      <c r="B122" s="35" t="s">
        <v>3415</v>
      </c>
      <c r="F122" s="26">
        <v>3729</v>
      </c>
      <c r="G122" s="26">
        <v>2175</v>
      </c>
      <c r="H122" s="11">
        <v>43952</v>
      </c>
    </row>
    <row r="123" spans="1:8" x14ac:dyDescent="0.25">
      <c r="A123">
        <v>122</v>
      </c>
      <c r="B123" s="35" t="s">
        <v>3402</v>
      </c>
      <c r="F123" s="26">
        <v>1089</v>
      </c>
      <c r="G123" s="26">
        <v>635</v>
      </c>
      <c r="H123" s="11">
        <v>43952</v>
      </c>
    </row>
    <row r="124" spans="1:8" x14ac:dyDescent="0.25">
      <c r="A124">
        <v>123</v>
      </c>
      <c r="B124" s="35" t="s">
        <v>3403</v>
      </c>
      <c r="F124" s="26">
        <v>1089</v>
      </c>
      <c r="G124" s="26">
        <v>635</v>
      </c>
      <c r="H124" s="11">
        <v>43952</v>
      </c>
    </row>
    <row r="125" spans="1:8" x14ac:dyDescent="0.25">
      <c r="A125">
        <v>124</v>
      </c>
      <c r="B125" s="35" t="s">
        <v>3404</v>
      </c>
      <c r="F125" s="26">
        <v>209</v>
      </c>
      <c r="G125" s="26">
        <v>122</v>
      </c>
      <c r="H125" s="11">
        <v>43952</v>
      </c>
    </row>
    <row r="126" spans="1:8" x14ac:dyDescent="0.25">
      <c r="A126">
        <v>125</v>
      </c>
      <c r="B126" s="35" t="s">
        <v>3405</v>
      </c>
      <c r="F126" s="26">
        <v>209</v>
      </c>
      <c r="G126" s="26">
        <v>122</v>
      </c>
      <c r="H126" s="11">
        <v>43952</v>
      </c>
    </row>
    <row r="127" spans="1:8" x14ac:dyDescent="0.25">
      <c r="A127">
        <v>126</v>
      </c>
      <c r="B127" s="35" t="s">
        <v>3347</v>
      </c>
      <c r="F127" s="26">
        <v>1529</v>
      </c>
      <c r="G127" s="26">
        <v>892</v>
      </c>
      <c r="H127" s="11">
        <v>43952</v>
      </c>
    </row>
    <row r="128" spans="1:8" x14ac:dyDescent="0.25">
      <c r="A128">
        <v>127</v>
      </c>
      <c r="B128" s="35" t="s">
        <v>3348</v>
      </c>
      <c r="F128" s="26">
        <v>869</v>
      </c>
      <c r="G128" s="26">
        <v>507</v>
      </c>
      <c r="H128" s="11">
        <v>43952</v>
      </c>
    </row>
    <row r="129" spans="1:8" x14ac:dyDescent="0.25">
      <c r="A129">
        <v>128</v>
      </c>
      <c r="B129" s="35" t="s">
        <v>3350</v>
      </c>
      <c r="F129" s="26">
        <v>869</v>
      </c>
      <c r="G129" s="26">
        <v>507</v>
      </c>
      <c r="H129" s="11">
        <v>43952</v>
      </c>
    </row>
    <row r="130" spans="1:8" x14ac:dyDescent="0.25">
      <c r="A130">
        <v>129</v>
      </c>
      <c r="B130" s="35" t="s">
        <v>3351</v>
      </c>
      <c r="F130" s="26">
        <v>319</v>
      </c>
      <c r="G130" s="26">
        <v>186</v>
      </c>
      <c r="H130" s="11">
        <v>43952</v>
      </c>
    </row>
    <row r="131" spans="1:8" x14ac:dyDescent="0.25">
      <c r="A131">
        <v>130</v>
      </c>
      <c r="B131" s="35" t="s">
        <v>3352</v>
      </c>
      <c r="F131" s="26">
        <v>319</v>
      </c>
      <c r="G131" s="26">
        <v>186</v>
      </c>
      <c r="H131" s="11">
        <v>43952</v>
      </c>
    </row>
    <row r="132" spans="1:8" x14ac:dyDescent="0.25">
      <c r="A132">
        <v>131</v>
      </c>
      <c r="B132" s="35" t="s">
        <v>3349</v>
      </c>
      <c r="F132" s="26">
        <v>759</v>
      </c>
      <c r="G132" s="26">
        <v>443</v>
      </c>
      <c r="H132" s="11">
        <v>43952</v>
      </c>
    </row>
    <row r="133" spans="1:8" x14ac:dyDescent="0.25">
      <c r="A133">
        <v>132</v>
      </c>
      <c r="B133" s="35" t="s">
        <v>3353</v>
      </c>
      <c r="F133" s="26">
        <v>319</v>
      </c>
      <c r="G133" s="26">
        <v>186</v>
      </c>
      <c r="H133" s="11">
        <v>43952</v>
      </c>
    </row>
    <row r="134" spans="1:8" x14ac:dyDescent="0.25">
      <c r="A134">
        <v>133</v>
      </c>
      <c r="B134" s="35" t="s">
        <v>3409</v>
      </c>
      <c r="F134" s="26">
        <v>1419</v>
      </c>
      <c r="G134" s="26">
        <v>828</v>
      </c>
      <c r="H134" s="11">
        <v>43952</v>
      </c>
    </row>
    <row r="135" spans="1:8" x14ac:dyDescent="0.25">
      <c r="A135">
        <v>134</v>
      </c>
      <c r="B135" s="35" t="s">
        <v>3395</v>
      </c>
      <c r="F135" s="26">
        <v>429</v>
      </c>
      <c r="G135" s="26">
        <v>250</v>
      </c>
      <c r="H135" s="11">
        <v>43952</v>
      </c>
    </row>
    <row r="136" spans="1:8" x14ac:dyDescent="0.25">
      <c r="A136">
        <v>135</v>
      </c>
      <c r="B136" s="35" t="s">
        <v>3396</v>
      </c>
      <c r="F136" s="26">
        <v>429</v>
      </c>
      <c r="G136" s="26">
        <v>250</v>
      </c>
      <c r="H136" s="11">
        <v>43952</v>
      </c>
    </row>
    <row r="137" spans="1:8" x14ac:dyDescent="0.25">
      <c r="A137">
        <v>136</v>
      </c>
      <c r="B137" s="35" t="s">
        <v>3397</v>
      </c>
      <c r="F137" s="26">
        <v>429</v>
      </c>
      <c r="G137" s="26">
        <v>250</v>
      </c>
      <c r="H137" s="11">
        <v>43952</v>
      </c>
    </row>
    <row r="138" spans="1:8" x14ac:dyDescent="0.25">
      <c r="A138">
        <v>137</v>
      </c>
      <c r="B138" s="35" t="s">
        <v>3401</v>
      </c>
      <c r="F138" s="26">
        <v>869</v>
      </c>
      <c r="G138" s="26">
        <v>507</v>
      </c>
      <c r="H138" s="11">
        <v>43952</v>
      </c>
    </row>
    <row r="139" spans="1:8" x14ac:dyDescent="0.25">
      <c r="A139">
        <v>138</v>
      </c>
      <c r="B139" s="35" t="s">
        <v>3406</v>
      </c>
      <c r="F139" s="26">
        <v>649</v>
      </c>
      <c r="G139" s="26">
        <v>379</v>
      </c>
      <c r="H139" s="11">
        <v>43952</v>
      </c>
    </row>
    <row r="140" spans="1:8" x14ac:dyDescent="0.25">
      <c r="A140">
        <v>139</v>
      </c>
      <c r="B140" s="35" t="s">
        <v>3407</v>
      </c>
      <c r="F140" s="26">
        <v>649</v>
      </c>
      <c r="G140" s="26">
        <v>379</v>
      </c>
      <c r="H140" s="11">
        <v>43952</v>
      </c>
    </row>
    <row r="141" spans="1:8" x14ac:dyDescent="0.25">
      <c r="A141">
        <v>140</v>
      </c>
      <c r="B141" s="35" t="s">
        <v>3408</v>
      </c>
      <c r="F141" s="26">
        <v>649</v>
      </c>
      <c r="G141" s="26">
        <v>379</v>
      </c>
      <c r="H141" s="11">
        <v>43952</v>
      </c>
    </row>
    <row r="142" spans="1:8" x14ac:dyDescent="0.25">
      <c r="A142">
        <v>141</v>
      </c>
      <c r="B142" s="35" t="s">
        <v>3359</v>
      </c>
      <c r="F142" s="26">
        <v>759</v>
      </c>
      <c r="G142" s="26">
        <v>443</v>
      </c>
      <c r="H142" s="11">
        <v>43952</v>
      </c>
    </row>
    <row r="143" spans="1:8" x14ac:dyDescent="0.25">
      <c r="A143">
        <v>142</v>
      </c>
      <c r="B143" s="35" t="s">
        <v>3363</v>
      </c>
      <c r="F143" s="26">
        <v>1199</v>
      </c>
      <c r="G143" s="26">
        <v>699</v>
      </c>
      <c r="H143" s="11">
        <v>43952</v>
      </c>
    </row>
    <row r="144" spans="1:8" x14ac:dyDescent="0.25">
      <c r="A144">
        <v>143</v>
      </c>
      <c r="B144" s="35" t="s">
        <v>3360</v>
      </c>
      <c r="F144" s="26">
        <v>649</v>
      </c>
      <c r="G144" s="26">
        <v>379</v>
      </c>
      <c r="H144" s="11">
        <v>43952</v>
      </c>
    </row>
    <row r="145" spans="1:8" x14ac:dyDescent="0.25">
      <c r="A145">
        <v>144</v>
      </c>
      <c r="B145" s="35" t="s">
        <v>3364</v>
      </c>
      <c r="F145" s="26">
        <v>869</v>
      </c>
      <c r="G145" s="26">
        <v>507</v>
      </c>
      <c r="H145" s="11">
        <v>43952</v>
      </c>
    </row>
    <row r="146" spans="1:8" x14ac:dyDescent="0.25">
      <c r="A146">
        <v>145</v>
      </c>
      <c r="B146" s="35" t="s">
        <v>3361</v>
      </c>
      <c r="F146" s="26">
        <v>539</v>
      </c>
      <c r="G146" s="26">
        <v>314</v>
      </c>
      <c r="H146" s="11">
        <v>43952</v>
      </c>
    </row>
    <row r="147" spans="1:8" x14ac:dyDescent="0.25">
      <c r="A147">
        <v>146</v>
      </c>
      <c r="B147" s="35" t="s">
        <v>3365</v>
      </c>
      <c r="F147" s="26">
        <v>869</v>
      </c>
      <c r="G147" s="26">
        <v>507</v>
      </c>
      <c r="H147" s="11">
        <v>43952</v>
      </c>
    </row>
    <row r="148" spans="1:8" x14ac:dyDescent="0.25">
      <c r="A148">
        <v>147</v>
      </c>
      <c r="B148" s="35" t="s">
        <v>3366</v>
      </c>
      <c r="F148" s="26">
        <v>869</v>
      </c>
      <c r="G148" s="26">
        <v>507</v>
      </c>
      <c r="H148" s="11">
        <v>43952</v>
      </c>
    </row>
    <row r="149" spans="1:8" x14ac:dyDescent="0.25">
      <c r="A149">
        <v>148</v>
      </c>
      <c r="B149" s="35" t="s">
        <v>3362</v>
      </c>
      <c r="F149" s="26">
        <v>429</v>
      </c>
      <c r="G149" s="26">
        <v>250</v>
      </c>
      <c r="H149" s="11">
        <v>43952</v>
      </c>
    </row>
    <row r="150" spans="1:8" x14ac:dyDescent="0.25">
      <c r="A150">
        <v>149</v>
      </c>
      <c r="B150" s="35" t="s">
        <v>3367</v>
      </c>
      <c r="F150" s="26">
        <v>759</v>
      </c>
      <c r="G150" s="26">
        <v>443</v>
      </c>
      <c r="H150" s="11">
        <v>43952</v>
      </c>
    </row>
    <row r="151" spans="1:8" x14ac:dyDescent="0.25">
      <c r="A151">
        <v>150</v>
      </c>
      <c r="B151" s="35" t="s">
        <v>3388</v>
      </c>
      <c r="F151" s="26">
        <v>539</v>
      </c>
      <c r="G151" s="26">
        <v>314</v>
      </c>
      <c r="H151" s="11">
        <v>43952</v>
      </c>
    </row>
    <row r="152" spans="1:8" x14ac:dyDescent="0.25">
      <c r="A152">
        <v>151</v>
      </c>
      <c r="B152" s="35" t="s">
        <v>3389</v>
      </c>
      <c r="F152" s="26">
        <v>539</v>
      </c>
      <c r="G152" s="26">
        <v>314</v>
      </c>
      <c r="H152" s="11">
        <v>43952</v>
      </c>
    </row>
    <row r="153" spans="1:8" x14ac:dyDescent="0.25">
      <c r="A153">
        <v>152</v>
      </c>
      <c r="B153" s="35" t="s">
        <v>3390</v>
      </c>
      <c r="F153" s="26">
        <v>759</v>
      </c>
      <c r="G153" s="26">
        <v>443</v>
      </c>
      <c r="H153" s="11">
        <v>43952</v>
      </c>
    </row>
    <row r="154" spans="1:8" x14ac:dyDescent="0.25">
      <c r="A154">
        <v>153</v>
      </c>
      <c r="B154" s="35" t="s">
        <v>3391</v>
      </c>
      <c r="F154" s="26">
        <v>759</v>
      </c>
      <c r="G154" s="26">
        <v>443</v>
      </c>
      <c r="H154" s="11">
        <v>43952</v>
      </c>
    </row>
    <row r="155" spans="1:8" x14ac:dyDescent="0.25">
      <c r="A155">
        <v>154</v>
      </c>
      <c r="B155" s="35" t="s">
        <v>3399</v>
      </c>
      <c r="F155" s="26">
        <v>539</v>
      </c>
      <c r="G155" s="26">
        <v>314</v>
      </c>
      <c r="H155" s="11">
        <v>43952</v>
      </c>
    </row>
    <row r="156" spans="1:8" x14ac:dyDescent="0.25">
      <c r="A156">
        <v>155</v>
      </c>
      <c r="B156" s="35" t="s">
        <v>3400</v>
      </c>
      <c r="F156" s="26">
        <v>759</v>
      </c>
      <c r="G156" s="26">
        <v>443</v>
      </c>
      <c r="H156" s="11">
        <v>43952</v>
      </c>
    </row>
    <row r="157" spans="1:8" x14ac:dyDescent="0.25">
      <c r="A157">
        <v>156</v>
      </c>
      <c r="B157" s="35" t="s">
        <v>3392</v>
      </c>
      <c r="F157" s="26">
        <v>759</v>
      </c>
      <c r="G157" s="26">
        <v>443</v>
      </c>
      <c r="H157" s="11">
        <v>43952</v>
      </c>
    </row>
    <row r="158" spans="1:8" x14ac:dyDescent="0.25">
      <c r="A158">
        <v>157</v>
      </c>
      <c r="B158" s="35" t="s">
        <v>3393</v>
      </c>
      <c r="F158" s="26">
        <v>759</v>
      </c>
      <c r="G158" s="26">
        <v>443</v>
      </c>
      <c r="H158" s="11">
        <v>43952</v>
      </c>
    </row>
    <row r="159" spans="1:8" x14ac:dyDescent="0.25">
      <c r="A159">
        <v>158</v>
      </c>
      <c r="B159" s="35" t="s">
        <v>3394</v>
      </c>
      <c r="F159" s="26">
        <v>759</v>
      </c>
      <c r="G159" s="26">
        <v>443</v>
      </c>
      <c r="H159" s="11">
        <v>43952</v>
      </c>
    </row>
    <row r="160" spans="1:8" x14ac:dyDescent="0.25">
      <c r="A160">
        <v>159</v>
      </c>
      <c r="B160" s="35" t="s">
        <v>3398</v>
      </c>
      <c r="F160" s="26">
        <v>869</v>
      </c>
      <c r="G160" s="26">
        <v>507</v>
      </c>
      <c r="H160" s="11">
        <v>43952</v>
      </c>
    </row>
    <row r="161" spans="1:8" x14ac:dyDescent="0.25">
      <c r="A161">
        <v>160</v>
      </c>
      <c r="B161" s="35" t="s">
        <v>3356</v>
      </c>
      <c r="F161" s="26">
        <v>4939</v>
      </c>
      <c r="G161" s="26">
        <v>2881</v>
      </c>
      <c r="H161" s="11">
        <v>43952</v>
      </c>
    </row>
    <row r="162" spans="1:8" x14ac:dyDescent="0.25">
      <c r="A162">
        <v>161</v>
      </c>
      <c r="B162" s="35" t="s">
        <v>3357</v>
      </c>
      <c r="F162" s="26">
        <v>9559</v>
      </c>
      <c r="G162" s="26">
        <v>5576</v>
      </c>
      <c r="H162" s="11">
        <v>43952</v>
      </c>
    </row>
    <row r="163" spans="1:8" x14ac:dyDescent="0.25">
      <c r="A163">
        <v>162</v>
      </c>
      <c r="B163" s="35" t="s">
        <v>3358</v>
      </c>
      <c r="F163" s="26">
        <v>12969</v>
      </c>
      <c r="G163" s="26">
        <v>7565</v>
      </c>
      <c r="H163" s="11">
        <v>43952</v>
      </c>
    </row>
    <row r="164" spans="1:8" x14ac:dyDescent="0.25">
      <c r="A164">
        <v>163</v>
      </c>
      <c r="B164" s="35" t="s">
        <v>2838</v>
      </c>
      <c r="F164" s="26">
        <v>429</v>
      </c>
      <c r="G164" s="26">
        <v>250</v>
      </c>
      <c r="H164" s="11">
        <v>43952</v>
      </c>
    </row>
    <row r="165" spans="1:8" x14ac:dyDescent="0.25">
      <c r="A165">
        <v>164</v>
      </c>
      <c r="B165" s="35" t="s">
        <v>2841</v>
      </c>
      <c r="F165" s="26">
        <v>429</v>
      </c>
      <c r="G165" s="26">
        <v>250</v>
      </c>
      <c r="H165" s="11">
        <v>43952</v>
      </c>
    </row>
    <row r="166" spans="1:8" x14ac:dyDescent="0.25">
      <c r="A166">
        <v>165</v>
      </c>
      <c r="B166" s="35" t="s">
        <v>2852</v>
      </c>
      <c r="F166" s="26">
        <v>979</v>
      </c>
      <c r="G166" s="26">
        <v>571</v>
      </c>
      <c r="H166" s="11">
        <v>43952</v>
      </c>
    </row>
    <row r="167" spans="1:8" x14ac:dyDescent="0.25">
      <c r="A167">
        <v>166</v>
      </c>
      <c r="B167" s="35" t="s">
        <v>2840</v>
      </c>
      <c r="F167" s="26">
        <v>979</v>
      </c>
      <c r="G167" s="26">
        <v>571</v>
      </c>
      <c r="H167" s="11">
        <v>43952</v>
      </c>
    </row>
    <row r="168" spans="1:8" x14ac:dyDescent="0.25">
      <c r="A168">
        <v>167</v>
      </c>
      <c r="B168" s="35" t="s">
        <v>2854</v>
      </c>
      <c r="F168" s="26">
        <v>1089</v>
      </c>
      <c r="G168" s="26">
        <v>635</v>
      </c>
      <c r="H168" s="11">
        <v>43952</v>
      </c>
    </row>
    <row r="169" spans="1:8" x14ac:dyDescent="0.25">
      <c r="A169">
        <v>168</v>
      </c>
      <c r="B169" s="35" t="s">
        <v>2853</v>
      </c>
      <c r="F169" s="26">
        <v>1639</v>
      </c>
      <c r="G169" s="26">
        <v>956</v>
      </c>
      <c r="H169" s="11">
        <v>43952</v>
      </c>
    </row>
    <row r="170" spans="1:8" x14ac:dyDescent="0.25">
      <c r="A170">
        <v>169</v>
      </c>
      <c r="B170" s="35" t="s">
        <v>2843</v>
      </c>
      <c r="F170" s="26">
        <v>429</v>
      </c>
      <c r="G170" s="26">
        <v>250</v>
      </c>
      <c r="H170" s="11">
        <v>43952</v>
      </c>
    </row>
    <row r="171" spans="1:8" x14ac:dyDescent="0.25">
      <c r="A171">
        <v>170</v>
      </c>
      <c r="B171" s="35" t="s">
        <v>2846</v>
      </c>
      <c r="F171" s="26">
        <v>539</v>
      </c>
      <c r="G171" s="26">
        <v>314</v>
      </c>
      <c r="H171" s="11">
        <v>43952</v>
      </c>
    </row>
    <row r="172" spans="1:8" x14ac:dyDescent="0.25">
      <c r="A172">
        <v>171</v>
      </c>
      <c r="B172" s="35" t="s">
        <v>2848</v>
      </c>
      <c r="F172" s="26">
        <v>539</v>
      </c>
      <c r="G172" s="26">
        <v>314</v>
      </c>
      <c r="H172" s="11">
        <v>43952</v>
      </c>
    </row>
    <row r="173" spans="1:8" x14ac:dyDescent="0.25">
      <c r="A173">
        <v>172</v>
      </c>
      <c r="B173" s="35" t="s">
        <v>2851</v>
      </c>
      <c r="F173" s="26">
        <v>759</v>
      </c>
      <c r="G173" s="26">
        <v>443</v>
      </c>
      <c r="H173" s="11">
        <v>43952</v>
      </c>
    </row>
    <row r="174" spans="1:8" x14ac:dyDescent="0.25">
      <c r="A174">
        <v>173</v>
      </c>
      <c r="B174" s="35" t="s">
        <v>2849</v>
      </c>
      <c r="F174" s="26">
        <v>759</v>
      </c>
      <c r="G174" s="26">
        <v>443</v>
      </c>
      <c r="H174" s="11">
        <v>43952</v>
      </c>
    </row>
    <row r="175" spans="1:8" x14ac:dyDescent="0.25">
      <c r="A175">
        <v>174</v>
      </c>
      <c r="B175" s="35" t="s">
        <v>2850</v>
      </c>
      <c r="F175" s="26">
        <v>759</v>
      </c>
      <c r="G175" s="26">
        <v>443</v>
      </c>
      <c r="H175" s="11">
        <v>43952</v>
      </c>
    </row>
    <row r="176" spans="1:8" x14ac:dyDescent="0.25">
      <c r="A176">
        <v>175</v>
      </c>
      <c r="B176" s="35" t="s">
        <v>2750</v>
      </c>
      <c r="F176" s="26">
        <v>826</v>
      </c>
      <c r="G176" s="26">
        <v>502</v>
      </c>
      <c r="H176" s="11">
        <v>43952</v>
      </c>
    </row>
    <row r="177" spans="1:8" x14ac:dyDescent="0.25">
      <c r="A177">
        <v>176</v>
      </c>
      <c r="B177" s="35" t="s">
        <v>2801</v>
      </c>
      <c r="F177" s="26">
        <v>319</v>
      </c>
      <c r="G177" s="26">
        <v>197</v>
      </c>
      <c r="H177" s="11">
        <v>43952</v>
      </c>
    </row>
    <row r="178" spans="1:8" x14ac:dyDescent="0.25">
      <c r="A178">
        <v>177</v>
      </c>
      <c r="B178" s="35" t="s">
        <v>2788</v>
      </c>
      <c r="F178" s="26">
        <v>429</v>
      </c>
      <c r="G178" s="26">
        <v>265</v>
      </c>
      <c r="H178" s="11">
        <v>43952</v>
      </c>
    </row>
    <row r="179" spans="1:8" x14ac:dyDescent="0.25">
      <c r="A179">
        <v>178</v>
      </c>
      <c r="B179" s="35" t="s">
        <v>2800</v>
      </c>
      <c r="F179" s="26">
        <v>979</v>
      </c>
      <c r="G179" s="26">
        <v>596</v>
      </c>
      <c r="H179" s="11">
        <v>43952</v>
      </c>
    </row>
    <row r="180" spans="1:8" x14ac:dyDescent="0.25">
      <c r="A180">
        <v>179</v>
      </c>
      <c r="B180" s="35" t="s">
        <v>2806</v>
      </c>
      <c r="F180" s="26">
        <v>1089</v>
      </c>
      <c r="G180" s="26">
        <v>662</v>
      </c>
      <c r="H180" s="11">
        <v>43952</v>
      </c>
    </row>
    <row r="181" spans="1:8" x14ac:dyDescent="0.25">
      <c r="A181">
        <v>180</v>
      </c>
      <c r="B181" s="35" t="s">
        <v>2789</v>
      </c>
      <c r="F181" s="26">
        <v>1309</v>
      </c>
      <c r="G181" s="26">
        <v>807</v>
      </c>
      <c r="H181" s="11">
        <v>43952</v>
      </c>
    </row>
    <row r="182" spans="1:8" x14ac:dyDescent="0.25">
      <c r="A182">
        <v>181</v>
      </c>
      <c r="B182" s="35" t="s">
        <v>2790</v>
      </c>
      <c r="F182" s="26">
        <v>1309</v>
      </c>
      <c r="G182" s="26">
        <v>807</v>
      </c>
      <c r="H182" s="11">
        <v>43952</v>
      </c>
    </row>
    <row r="183" spans="1:8" x14ac:dyDescent="0.25">
      <c r="A183">
        <v>182</v>
      </c>
      <c r="B183" s="35" t="s">
        <v>2749</v>
      </c>
      <c r="F183" s="26">
        <v>779</v>
      </c>
      <c r="G183" s="26">
        <v>474</v>
      </c>
      <c r="H183" s="11">
        <v>43952</v>
      </c>
    </row>
    <row r="184" spans="1:8" x14ac:dyDescent="0.25">
      <c r="A184">
        <v>183</v>
      </c>
      <c r="B184" s="35" t="s">
        <v>2756</v>
      </c>
      <c r="F184" s="26">
        <v>779</v>
      </c>
      <c r="G184" s="26">
        <v>474</v>
      </c>
      <c r="H184" s="11">
        <v>43952</v>
      </c>
    </row>
    <row r="185" spans="1:8" x14ac:dyDescent="0.25">
      <c r="A185">
        <v>184</v>
      </c>
      <c r="B185" s="35" t="s">
        <v>2047</v>
      </c>
      <c r="F185" s="26">
        <v>2390</v>
      </c>
      <c r="G185" s="26">
        <v>1434</v>
      </c>
      <c r="H185" s="11">
        <v>43952</v>
      </c>
    </row>
    <row r="186" spans="1:8" x14ac:dyDescent="0.25">
      <c r="A186">
        <v>185</v>
      </c>
      <c r="B186" s="35" t="s">
        <v>2048</v>
      </c>
      <c r="F186" s="26">
        <v>2190</v>
      </c>
      <c r="G186" s="26">
        <v>1460</v>
      </c>
      <c r="H186" s="11">
        <v>43952</v>
      </c>
    </row>
    <row r="187" spans="1:8" x14ac:dyDescent="0.25">
      <c r="A187">
        <v>186</v>
      </c>
      <c r="B187" s="35" t="s">
        <v>2046</v>
      </c>
      <c r="F187" s="26">
        <v>1790</v>
      </c>
      <c r="G187" s="26">
        <v>1193</v>
      </c>
      <c r="H187" s="11">
        <v>43952</v>
      </c>
    </row>
    <row r="188" spans="1:8" x14ac:dyDescent="0.25">
      <c r="A188">
        <v>187</v>
      </c>
      <c r="B188" s="35" t="s">
        <v>2104</v>
      </c>
      <c r="F188" s="26">
        <v>919</v>
      </c>
      <c r="G188" s="26">
        <v>596</v>
      </c>
      <c r="H188" s="11">
        <v>43952</v>
      </c>
    </row>
    <row r="189" spans="1:8" x14ac:dyDescent="0.25">
      <c r="A189">
        <v>188</v>
      </c>
      <c r="B189" s="35" t="s">
        <v>2049</v>
      </c>
      <c r="F189" s="26">
        <v>1790</v>
      </c>
      <c r="G189" s="26">
        <v>1074</v>
      </c>
      <c r="H189" s="11">
        <v>43952</v>
      </c>
    </row>
    <row r="190" spans="1:8" x14ac:dyDescent="0.25">
      <c r="A190">
        <v>189</v>
      </c>
      <c r="B190" s="35" t="s">
        <v>2052</v>
      </c>
      <c r="F190" s="26">
        <v>1190</v>
      </c>
      <c r="G190" s="26">
        <v>714</v>
      </c>
      <c r="H190" s="11">
        <v>43952</v>
      </c>
    </row>
    <row r="191" spans="1:8" x14ac:dyDescent="0.25">
      <c r="A191">
        <v>190</v>
      </c>
      <c r="B191" s="35" t="s">
        <v>2051</v>
      </c>
      <c r="F191" s="26">
        <v>2390</v>
      </c>
      <c r="G191" s="26">
        <v>1434</v>
      </c>
      <c r="H191" s="11">
        <v>43952</v>
      </c>
    </row>
    <row r="192" spans="1:8" x14ac:dyDescent="0.25">
      <c r="A192">
        <v>191</v>
      </c>
      <c r="B192" s="35" t="s">
        <v>2060</v>
      </c>
      <c r="F192" s="26">
        <v>2790</v>
      </c>
      <c r="G192" s="26">
        <v>1674</v>
      </c>
      <c r="H192" s="11">
        <v>43952</v>
      </c>
    </row>
    <row r="193" spans="1:8" x14ac:dyDescent="0.25">
      <c r="A193">
        <v>192</v>
      </c>
      <c r="B193" s="35" t="s">
        <v>2029</v>
      </c>
      <c r="F193" s="26">
        <v>1290</v>
      </c>
      <c r="G193" s="26">
        <v>774</v>
      </c>
      <c r="H193" s="11">
        <v>43952</v>
      </c>
    </row>
    <row r="194" spans="1:8" x14ac:dyDescent="0.25">
      <c r="A194">
        <v>193</v>
      </c>
      <c r="B194" s="35" t="s">
        <v>2016</v>
      </c>
      <c r="F194" s="26">
        <v>990</v>
      </c>
      <c r="G194" s="26">
        <v>594</v>
      </c>
      <c r="H194" s="11">
        <v>43952</v>
      </c>
    </row>
    <row r="195" spans="1:8" x14ac:dyDescent="0.25">
      <c r="A195">
        <v>194</v>
      </c>
      <c r="B195" s="35" t="s">
        <v>2018</v>
      </c>
      <c r="F195" s="26">
        <v>990</v>
      </c>
      <c r="G195" s="26">
        <v>594</v>
      </c>
      <c r="H195" s="11">
        <v>43952</v>
      </c>
    </row>
    <row r="196" spans="1:8" x14ac:dyDescent="0.25">
      <c r="A196">
        <v>195</v>
      </c>
      <c r="B196" s="35" t="s">
        <v>2039</v>
      </c>
      <c r="F196" s="26">
        <v>1690</v>
      </c>
      <c r="G196" s="26">
        <v>1014</v>
      </c>
      <c r="H196" s="11">
        <v>43952</v>
      </c>
    </row>
    <row r="197" spans="1:8" x14ac:dyDescent="0.25">
      <c r="A197">
        <v>196</v>
      </c>
      <c r="B197" s="35" t="s">
        <v>2041</v>
      </c>
      <c r="F197" s="26">
        <v>1190</v>
      </c>
      <c r="G197" s="26">
        <v>714</v>
      </c>
      <c r="H197" s="11">
        <v>43952</v>
      </c>
    </row>
    <row r="198" spans="1:8" x14ac:dyDescent="0.25">
      <c r="A198">
        <v>197</v>
      </c>
      <c r="B198" s="35" t="s">
        <v>2043</v>
      </c>
      <c r="F198" s="26">
        <v>1590</v>
      </c>
      <c r="G198" s="26">
        <v>954</v>
      </c>
      <c r="H198" s="11">
        <v>43952</v>
      </c>
    </row>
    <row r="199" spans="1:8" x14ac:dyDescent="0.25">
      <c r="A199">
        <v>198</v>
      </c>
      <c r="B199" s="35" t="s">
        <v>2031</v>
      </c>
      <c r="F199" s="26">
        <v>1190</v>
      </c>
      <c r="G199" s="26">
        <v>714</v>
      </c>
      <c r="H199" s="11">
        <v>43952</v>
      </c>
    </row>
    <row r="200" spans="1:8" x14ac:dyDescent="0.25">
      <c r="A200">
        <v>199</v>
      </c>
      <c r="B200" s="35" t="s">
        <v>2032</v>
      </c>
      <c r="F200" s="26">
        <v>1290</v>
      </c>
      <c r="G200" s="26">
        <v>774</v>
      </c>
      <c r="H200" s="11">
        <v>43952</v>
      </c>
    </row>
    <row r="201" spans="1:8" x14ac:dyDescent="0.25">
      <c r="A201">
        <v>200</v>
      </c>
      <c r="B201" s="35" t="s">
        <v>2035</v>
      </c>
      <c r="F201" s="26">
        <v>1390</v>
      </c>
      <c r="G201" s="26">
        <v>834</v>
      </c>
      <c r="H201" s="11">
        <v>43952</v>
      </c>
    </row>
    <row r="202" spans="1:8" x14ac:dyDescent="0.25">
      <c r="A202">
        <v>201</v>
      </c>
      <c r="B202" s="35" t="s">
        <v>2020</v>
      </c>
      <c r="F202" s="26">
        <v>3390</v>
      </c>
      <c r="G202" s="26">
        <v>2034</v>
      </c>
      <c r="H202" s="11">
        <v>43952</v>
      </c>
    </row>
    <row r="203" spans="1:8" x14ac:dyDescent="0.25">
      <c r="A203">
        <v>202</v>
      </c>
      <c r="B203" s="35" t="s">
        <v>2036</v>
      </c>
      <c r="F203" s="26">
        <v>1290</v>
      </c>
      <c r="G203" s="26">
        <v>774</v>
      </c>
      <c r="H203" s="11">
        <v>43952</v>
      </c>
    </row>
    <row r="204" spans="1:8" x14ac:dyDescent="0.25">
      <c r="A204">
        <v>203</v>
      </c>
      <c r="B204" s="35" t="s">
        <v>2038</v>
      </c>
      <c r="F204" s="26">
        <v>1590</v>
      </c>
      <c r="G204" s="26">
        <v>954</v>
      </c>
      <c r="H204" s="11">
        <v>43952</v>
      </c>
    </row>
    <row r="205" spans="1:8" x14ac:dyDescent="0.25">
      <c r="A205">
        <v>204</v>
      </c>
      <c r="B205" s="35" t="s">
        <v>2079</v>
      </c>
      <c r="F205" s="26">
        <v>1490</v>
      </c>
      <c r="G205" s="26">
        <v>870</v>
      </c>
      <c r="H205" s="11">
        <v>43952</v>
      </c>
    </row>
    <row r="206" spans="1:8" x14ac:dyDescent="0.25">
      <c r="A206">
        <v>205</v>
      </c>
      <c r="B206" s="35" t="s">
        <v>2080</v>
      </c>
      <c r="F206" s="26">
        <v>1890</v>
      </c>
      <c r="G206" s="26">
        <v>1103</v>
      </c>
      <c r="H206" s="11">
        <v>43952</v>
      </c>
    </row>
    <row r="207" spans="1:8" x14ac:dyDescent="0.25">
      <c r="A207">
        <v>206</v>
      </c>
      <c r="B207" s="35" t="s">
        <v>2081</v>
      </c>
      <c r="F207" s="26">
        <v>1490</v>
      </c>
      <c r="G207" s="26">
        <v>870</v>
      </c>
      <c r="H207" s="11">
        <v>43952</v>
      </c>
    </row>
    <row r="208" spans="1:8" x14ac:dyDescent="0.25">
      <c r="A208">
        <v>207</v>
      </c>
      <c r="B208" s="35" t="s">
        <v>2082</v>
      </c>
      <c r="F208" s="26">
        <v>1790</v>
      </c>
      <c r="G208" s="26">
        <v>1045</v>
      </c>
      <c r="H208" s="11">
        <v>43952</v>
      </c>
    </row>
    <row r="209" spans="1:8" x14ac:dyDescent="0.25">
      <c r="A209">
        <v>208</v>
      </c>
      <c r="B209" s="35" t="s">
        <v>2083</v>
      </c>
      <c r="F209" s="26">
        <v>1019</v>
      </c>
      <c r="G209" s="26">
        <v>595</v>
      </c>
      <c r="H209" s="11">
        <v>43952</v>
      </c>
    </row>
    <row r="210" spans="1:8" x14ac:dyDescent="0.25">
      <c r="A210">
        <v>209</v>
      </c>
      <c r="B210" s="35" t="s">
        <v>2087</v>
      </c>
      <c r="F210" s="26">
        <v>6990</v>
      </c>
      <c r="G210" s="26">
        <v>4079</v>
      </c>
      <c r="H210" s="11">
        <v>43952</v>
      </c>
    </row>
    <row r="211" spans="1:8" x14ac:dyDescent="0.25">
      <c r="A211">
        <v>210</v>
      </c>
      <c r="B211" s="35" t="s">
        <v>2054</v>
      </c>
      <c r="F211" s="26">
        <v>2490</v>
      </c>
      <c r="G211" s="26">
        <v>1494</v>
      </c>
      <c r="H211" s="11">
        <v>43952</v>
      </c>
    </row>
    <row r="212" spans="1:8" x14ac:dyDescent="0.25">
      <c r="A212">
        <v>211</v>
      </c>
      <c r="B212" s="35" t="s">
        <v>2058</v>
      </c>
      <c r="F212" s="26">
        <v>2490</v>
      </c>
      <c r="G212" s="26">
        <v>1494</v>
      </c>
      <c r="H212" s="11">
        <v>43952</v>
      </c>
    </row>
    <row r="213" spans="1:8" x14ac:dyDescent="0.25">
      <c r="A213">
        <v>212</v>
      </c>
      <c r="B213" s="35" t="s">
        <v>2057</v>
      </c>
      <c r="F213" s="26">
        <v>6290</v>
      </c>
      <c r="G213" s="26">
        <v>3774</v>
      </c>
      <c r="H213" s="11">
        <v>43952</v>
      </c>
    </row>
    <row r="214" spans="1:8" x14ac:dyDescent="0.25">
      <c r="A214">
        <v>213</v>
      </c>
      <c r="B214" s="35" t="s">
        <v>2103</v>
      </c>
      <c r="F214" s="26">
        <v>919</v>
      </c>
      <c r="G214" s="26">
        <v>537</v>
      </c>
      <c r="H214" s="11">
        <v>43952</v>
      </c>
    </row>
    <row r="215" spans="1:8" x14ac:dyDescent="0.25">
      <c r="A215">
        <v>214</v>
      </c>
      <c r="B215" s="35" t="s">
        <v>2105</v>
      </c>
      <c r="F215" s="26">
        <v>919</v>
      </c>
      <c r="G215" s="26">
        <v>535</v>
      </c>
      <c r="H215" s="11">
        <v>43952</v>
      </c>
    </row>
    <row r="216" spans="1:8" x14ac:dyDescent="0.25">
      <c r="A216">
        <v>215</v>
      </c>
      <c r="B216" s="35" t="s">
        <v>2154</v>
      </c>
      <c r="F216" s="26">
        <v>2490</v>
      </c>
      <c r="G216" s="26">
        <v>1453</v>
      </c>
      <c r="H216" s="11">
        <v>43952</v>
      </c>
    </row>
    <row r="217" spans="1:8" x14ac:dyDescent="0.25">
      <c r="A217">
        <v>216</v>
      </c>
      <c r="B217" s="35" t="s">
        <v>2155</v>
      </c>
      <c r="F217" s="26">
        <v>490</v>
      </c>
      <c r="G217" s="26">
        <v>286</v>
      </c>
      <c r="H217" s="11">
        <v>43952</v>
      </c>
    </row>
    <row r="218" spans="1:8" x14ac:dyDescent="0.25">
      <c r="A218">
        <v>217</v>
      </c>
      <c r="B218" s="35" t="s">
        <v>1733</v>
      </c>
      <c r="F218" s="26">
        <v>4390</v>
      </c>
      <c r="G218" s="26">
        <v>2634</v>
      </c>
      <c r="H218" s="11">
        <v>43952</v>
      </c>
    </row>
    <row r="219" spans="1:8" x14ac:dyDescent="0.25">
      <c r="A219">
        <v>218</v>
      </c>
      <c r="B219" s="35" t="s">
        <v>2068</v>
      </c>
      <c r="F219" s="26">
        <v>1190</v>
      </c>
      <c r="G219" s="26">
        <v>704</v>
      </c>
      <c r="H219" s="11">
        <v>43952</v>
      </c>
    </row>
    <row r="220" spans="1:8" x14ac:dyDescent="0.25">
      <c r="A220">
        <v>219</v>
      </c>
      <c r="B220" s="35" t="s">
        <v>2145</v>
      </c>
      <c r="F220" s="26">
        <v>1590</v>
      </c>
      <c r="G220" s="26">
        <v>981</v>
      </c>
      <c r="H220" s="11">
        <v>43952</v>
      </c>
    </row>
    <row r="221" spans="1:8" x14ac:dyDescent="0.25">
      <c r="A221">
        <v>220</v>
      </c>
      <c r="B221" s="35" t="s">
        <v>2146</v>
      </c>
      <c r="F221" s="26">
        <v>1790</v>
      </c>
      <c r="G221" s="26">
        <v>1104</v>
      </c>
      <c r="H221" s="11">
        <v>43952</v>
      </c>
    </row>
    <row r="222" spans="1:8" x14ac:dyDescent="0.25">
      <c r="A222">
        <v>221</v>
      </c>
      <c r="B222" s="35" t="s">
        <v>2150</v>
      </c>
      <c r="F222" s="26">
        <v>3490</v>
      </c>
      <c r="G222" s="26">
        <v>2152</v>
      </c>
      <c r="H222" s="11">
        <v>43952</v>
      </c>
    </row>
    <row r="223" spans="1:8" x14ac:dyDescent="0.25">
      <c r="A223">
        <v>222</v>
      </c>
      <c r="B223" s="35" t="s">
        <v>2151</v>
      </c>
      <c r="F223" s="26">
        <v>4290</v>
      </c>
      <c r="G223" s="26">
        <v>2646</v>
      </c>
      <c r="H223" s="11">
        <v>43952</v>
      </c>
    </row>
    <row r="224" spans="1:8" x14ac:dyDescent="0.25">
      <c r="A224">
        <v>223</v>
      </c>
      <c r="B224" s="35" t="s">
        <v>2147</v>
      </c>
      <c r="F224" s="26">
        <v>990</v>
      </c>
      <c r="G224" s="26">
        <v>611</v>
      </c>
      <c r="H224" s="11">
        <v>43952</v>
      </c>
    </row>
    <row r="225" spans="1:8" x14ac:dyDescent="0.25">
      <c r="A225">
        <v>224</v>
      </c>
      <c r="B225" s="35" t="s">
        <v>2148</v>
      </c>
      <c r="F225" s="26">
        <v>1390</v>
      </c>
      <c r="G225" s="26">
        <v>857</v>
      </c>
      <c r="H225" s="11">
        <v>43952</v>
      </c>
    </row>
    <row r="226" spans="1:8" x14ac:dyDescent="0.25">
      <c r="A226">
        <v>225</v>
      </c>
      <c r="B226" s="35" t="s">
        <v>2149</v>
      </c>
      <c r="F226" s="26">
        <v>1690</v>
      </c>
      <c r="G226" s="26">
        <v>1042</v>
      </c>
      <c r="H226" s="11">
        <v>43952</v>
      </c>
    </row>
    <row r="227" spans="1:8" x14ac:dyDescent="0.25">
      <c r="A227">
        <v>226</v>
      </c>
      <c r="B227" s="35" t="s">
        <v>2144</v>
      </c>
      <c r="F227" s="26">
        <v>1590</v>
      </c>
      <c r="G227" s="26">
        <v>994</v>
      </c>
      <c r="H227" s="11">
        <v>43952</v>
      </c>
    </row>
    <row r="228" spans="1:8" x14ac:dyDescent="0.25">
      <c r="A228">
        <v>227</v>
      </c>
      <c r="B228" s="35" t="s">
        <v>2403</v>
      </c>
      <c r="F228" s="26">
        <v>8890</v>
      </c>
      <c r="G228" s="26">
        <v>6075</v>
      </c>
      <c r="H228" s="11">
        <v>43952</v>
      </c>
    </row>
    <row r="229" spans="1:8" x14ac:dyDescent="0.25">
      <c r="A229">
        <v>228</v>
      </c>
      <c r="B229" s="35" t="s">
        <v>2405</v>
      </c>
      <c r="F229" s="26">
        <v>12090</v>
      </c>
      <c r="G229" s="26">
        <v>8262</v>
      </c>
      <c r="H229" s="11">
        <v>43952</v>
      </c>
    </row>
    <row r="230" spans="1:8" x14ac:dyDescent="0.25">
      <c r="A230">
        <v>229</v>
      </c>
      <c r="B230" s="35" t="s">
        <v>2400</v>
      </c>
      <c r="F230" s="26">
        <v>3490</v>
      </c>
      <c r="G230" s="26">
        <v>2385</v>
      </c>
      <c r="H230" s="11">
        <v>43952</v>
      </c>
    </row>
    <row r="231" spans="1:8" x14ac:dyDescent="0.25">
      <c r="A231">
        <v>230</v>
      </c>
      <c r="B231" s="35" t="s">
        <v>2706</v>
      </c>
      <c r="F231" s="26">
        <v>529</v>
      </c>
      <c r="G231" s="26">
        <v>309</v>
      </c>
      <c r="H231" s="11">
        <v>43952</v>
      </c>
    </row>
    <row r="232" spans="1:8" x14ac:dyDescent="0.25">
      <c r="A232">
        <v>231</v>
      </c>
      <c r="B232" s="35" t="s">
        <v>2707</v>
      </c>
      <c r="F232" s="26">
        <v>745</v>
      </c>
      <c r="G232" s="26">
        <v>435</v>
      </c>
      <c r="H232" s="11">
        <v>43952</v>
      </c>
    </row>
    <row r="233" spans="1:8" x14ac:dyDescent="0.25">
      <c r="A233">
        <v>232</v>
      </c>
      <c r="B233" s="35" t="s">
        <v>3156</v>
      </c>
      <c r="F233" s="26">
        <v>209</v>
      </c>
      <c r="G233" s="26">
        <v>122</v>
      </c>
      <c r="H233" s="11">
        <v>43952</v>
      </c>
    </row>
    <row r="234" spans="1:8" x14ac:dyDescent="0.25">
      <c r="A234">
        <v>233</v>
      </c>
      <c r="B234" s="35" t="s">
        <v>3157</v>
      </c>
      <c r="F234" s="26">
        <v>209</v>
      </c>
      <c r="G234" s="26">
        <v>122</v>
      </c>
      <c r="H234" s="11">
        <v>43952</v>
      </c>
    </row>
    <row r="235" spans="1:8" x14ac:dyDescent="0.25">
      <c r="A235">
        <v>234</v>
      </c>
      <c r="B235" s="35" t="s">
        <v>3158</v>
      </c>
      <c r="F235" s="26">
        <v>319</v>
      </c>
      <c r="G235" s="26">
        <v>186</v>
      </c>
      <c r="H235" s="11">
        <v>43952</v>
      </c>
    </row>
    <row r="236" spans="1:8" x14ac:dyDescent="0.25">
      <c r="A236">
        <v>235</v>
      </c>
      <c r="B236" s="35" t="s">
        <v>3159</v>
      </c>
      <c r="F236" s="26">
        <v>319</v>
      </c>
      <c r="G236" s="26">
        <v>186</v>
      </c>
      <c r="H236" s="11">
        <v>43952</v>
      </c>
    </row>
    <row r="237" spans="1:8" x14ac:dyDescent="0.25">
      <c r="A237">
        <v>236</v>
      </c>
      <c r="B237" s="35" t="s">
        <v>3160</v>
      </c>
      <c r="F237" s="26">
        <v>319</v>
      </c>
      <c r="G237" s="26">
        <v>186</v>
      </c>
      <c r="H237" s="11">
        <v>43952</v>
      </c>
    </row>
    <row r="238" spans="1:8" x14ac:dyDescent="0.25">
      <c r="A238">
        <v>237</v>
      </c>
      <c r="B238" s="35" t="s">
        <v>3161</v>
      </c>
      <c r="F238" s="26">
        <v>72</v>
      </c>
      <c r="G238" s="26">
        <v>42</v>
      </c>
      <c r="H238" s="11">
        <v>43952</v>
      </c>
    </row>
    <row r="239" spans="1:8" x14ac:dyDescent="0.25">
      <c r="A239">
        <v>238</v>
      </c>
      <c r="B239" s="35" t="s">
        <v>3162</v>
      </c>
      <c r="F239" s="26">
        <v>140</v>
      </c>
      <c r="G239" s="26">
        <v>82</v>
      </c>
      <c r="H239" s="11">
        <v>43952</v>
      </c>
    </row>
    <row r="240" spans="1:8" x14ac:dyDescent="0.25">
      <c r="A240">
        <v>239</v>
      </c>
      <c r="B240" s="35" t="s">
        <v>3163</v>
      </c>
      <c r="F240" s="26">
        <v>209</v>
      </c>
      <c r="G240" s="26">
        <v>122</v>
      </c>
      <c r="H240" s="11">
        <v>43952</v>
      </c>
    </row>
    <row r="241" spans="1:8" x14ac:dyDescent="0.25">
      <c r="A241">
        <v>240</v>
      </c>
      <c r="B241" s="35" t="s">
        <v>3164</v>
      </c>
      <c r="F241" s="26">
        <v>209</v>
      </c>
      <c r="G241" s="26">
        <v>122</v>
      </c>
      <c r="H241" s="11">
        <v>43952</v>
      </c>
    </row>
    <row r="242" spans="1:8" x14ac:dyDescent="0.25">
      <c r="A242">
        <v>241</v>
      </c>
      <c r="B242" s="35" t="s">
        <v>2948</v>
      </c>
      <c r="F242" s="26">
        <v>1390</v>
      </c>
      <c r="G242" s="26">
        <v>857</v>
      </c>
      <c r="H242" s="11">
        <v>43952</v>
      </c>
    </row>
    <row r="243" spans="1:8" x14ac:dyDescent="0.25">
      <c r="A243">
        <v>242</v>
      </c>
      <c r="B243" s="35" t="s">
        <v>2978</v>
      </c>
      <c r="F243" s="26">
        <v>4390</v>
      </c>
      <c r="G243" s="26">
        <v>2707</v>
      </c>
      <c r="H243" s="11">
        <v>43952</v>
      </c>
    </row>
    <row r="244" spans="1:8" x14ac:dyDescent="0.25">
      <c r="A244">
        <v>243</v>
      </c>
      <c r="B244" s="35" t="s">
        <v>2979</v>
      </c>
      <c r="F244" s="26">
        <v>4390</v>
      </c>
      <c r="G244" s="26">
        <v>2744</v>
      </c>
      <c r="H244" s="11">
        <v>43952</v>
      </c>
    </row>
    <row r="245" spans="1:8" x14ac:dyDescent="0.25">
      <c r="A245">
        <v>244</v>
      </c>
      <c r="B245" s="35" t="s">
        <v>3017</v>
      </c>
      <c r="F245" s="26">
        <v>16590</v>
      </c>
      <c r="G245" s="26">
        <v>10369</v>
      </c>
      <c r="H245" s="11">
        <v>43952</v>
      </c>
    </row>
    <row r="246" spans="1:8" x14ac:dyDescent="0.25">
      <c r="A246">
        <v>245</v>
      </c>
      <c r="B246" s="35" t="s">
        <v>2940</v>
      </c>
      <c r="F246" s="26">
        <v>3490</v>
      </c>
      <c r="G246" s="26">
        <v>2037</v>
      </c>
      <c r="H246" s="11">
        <v>43952</v>
      </c>
    </row>
    <row r="247" spans="1:8" x14ac:dyDescent="0.25">
      <c r="A247">
        <v>246</v>
      </c>
      <c r="B247" s="35" t="s">
        <v>2953</v>
      </c>
      <c r="F247" s="26">
        <v>4590</v>
      </c>
      <c r="G247" s="26">
        <v>2678</v>
      </c>
      <c r="H247" s="11">
        <v>43952</v>
      </c>
    </row>
    <row r="248" spans="1:8" x14ac:dyDescent="0.25">
      <c r="A248">
        <v>247</v>
      </c>
      <c r="B248" s="35" t="s">
        <v>2954</v>
      </c>
      <c r="F248" s="26">
        <v>4190</v>
      </c>
      <c r="G248" s="26">
        <v>2444</v>
      </c>
      <c r="H248" s="11">
        <v>43952</v>
      </c>
    </row>
    <row r="249" spans="1:8" x14ac:dyDescent="0.25">
      <c r="A249">
        <v>248</v>
      </c>
      <c r="B249" s="35" t="s">
        <v>2958</v>
      </c>
      <c r="F249" s="26">
        <v>3190</v>
      </c>
      <c r="G249" s="26">
        <v>1861</v>
      </c>
      <c r="H249" s="11">
        <v>43952</v>
      </c>
    </row>
    <row r="250" spans="1:8" x14ac:dyDescent="0.25">
      <c r="A250">
        <v>249</v>
      </c>
      <c r="B250" s="35" t="s">
        <v>2960</v>
      </c>
      <c r="F250" s="26">
        <v>3690</v>
      </c>
      <c r="G250" s="26">
        <v>2153</v>
      </c>
      <c r="H250" s="11">
        <v>43952</v>
      </c>
    </row>
    <row r="251" spans="1:8" x14ac:dyDescent="0.25">
      <c r="A251">
        <v>250</v>
      </c>
      <c r="B251" s="35" t="s">
        <v>2757</v>
      </c>
      <c r="F251" s="26">
        <v>1445</v>
      </c>
      <c r="G251" s="26">
        <v>879</v>
      </c>
      <c r="H251" s="11">
        <v>43952</v>
      </c>
    </row>
    <row r="252" spans="1:8" x14ac:dyDescent="0.25">
      <c r="A252">
        <v>251</v>
      </c>
      <c r="B252" s="35" t="s">
        <v>2758</v>
      </c>
      <c r="F252" s="26">
        <v>2629</v>
      </c>
      <c r="G252" s="26">
        <v>1577</v>
      </c>
      <c r="H252" s="11">
        <v>43952</v>
      </c>
    </row>
    <row r="253" spans="1:8" x14ac:dyDescent="0.25">
      <c r="A253">
        <v>252</v>
      </c>
      <c r="B253" s="35" t="s">
        <v>2742</v>
      </c>
      <c r="F253" s="26">
        <v>2629</v>
      </c>
      <c r="G253" s="26">
        <v>1599</v>
      </c>
      <c r="H253" s="11">
        <v>43952</v>
      </c>
    </row>
    <row r="254" spans="1:8" x14ac:dyDescent="0.25">
      <c r="A254">
        <v>253</v>
      </c>
      <c r="B254" s="35" t="s">
        <v>2744</v>
      </c>
      <c r="F254" s="26">
        <v>4279</v>
      </c>
      <c r="G254" s="26">
        <v>2603</v>
      </c>
      <c r="H254" s="11">
        <v>43952</v>
      </c>
    </row>
    <row r="255" spans="1:8" x14ac:dyDescent="0.25">
      <c r="A255">
        <v>254</v>
      </c>
      <c r="B255" s="35" t="s">
        <v>3372</v>
      </c>
      <c r="F255" s="26">
        <v>1859</v>
      </c>
      <c r="G255" s="26">
        <v>1084</v>
      </c>
      <c r="H255" s="11">
        <v>43952</v>
      </c>
    </row>
    <row r="256" spans="1:8" x14ac:dyDescent="0.25">
      <c r="A256">
        <v>255</v>
      </c>
      <c r="B256" s="35" t="s">
        <v>3373</v>
      </c>
      <c r="F256" s="26">
        <v>3179</v>
      </c>
      <c r="G256" s="26">
        <v>1854</v>
      </c>
      <c r="H256" s="11">
        <v>43952</v>
      </c>
    </row>
    <row r="257" spans="1:8" x14ac:dyDescent="0.25">
      <c r="A257">
        <v>256</v>
      </c>
      <c r="B257" s="35" t="s">
        <v>3374</v>
      </c>
      <c r="F257" s="26">
        <v>3729</v>
      </c>
      <c r="G257" s="26">
        <v>2175</v>
      </c>
      <c r="H257" s="11">
        <v>43952</v>
      </c>
    </row>
    <row r="258" spans="1:8" x14ac:dyDescent="0.25">
      <c r="A258">
        <v>257</v>
      </c>
      <c r="B258" s="35" t="s">
        <v>3383</v>
      </c>
      <c r="F258" s="26">
        <v>5968</v>
      </c>
      <c r="G258" s="26">
        <v>3481</v>
      </c>
      <c r="H258" s="11">
        <v>43952</v>
      </c>
    </row>
    <row r="259" spans="1:8" x14ac:dyDescent="0.25">
      <c r="A259">
        <v>258</v>
      </c>
      <c r="B259" s="35" t="s">
        <v>3368</v>
      </c>
      <c r="F259" s="26">
        <v>4059</v>
      </c>
      <c r="G259" s="26">
        <v>2368</v>
      </c>
      <c r="H259" s="11">
        <v>43952</v>
      </c>
    </row>
    <row r="260" spans="1:8" x14ac:dyDescent="0.25">
      <c r="A260">
        <v>259</v>
      </c>
      <c r="B260" s="35" t="s">
        <v>3370</v>
      </c>
      <c r="F260" s="26">
        <v>8019</v>
      </c>
      <c r="G260" s="26">
        <v>4811</v>
      </c>
      <c r="H260" s="11">
        <v>43952</v>
      </c>
    </row>
    <row r="261" spans="1:8" x14ac:dyDescent="0.25">
      <c r="A261">
        <v>260</v>
      </c>
      <c r="B261" s="35" t="s">
        <v>3385</v>
      </c>
      <c r="F261" s="26">
        <v>13079</v>
      </c>
      <c r="G261" s="26">
        <v>7629</v>
      </c>
      <c r="H261" s="11">
        <v>43952</v>
      </c>
    </row>
    <row r="262" spans="1:8" x14ac:dyDescent="0.25">
      <c r="A262">
        <v>261</v>
      </c>
      <c r="B262" s="35" t="s">
        <v>3450</v>
      </c>
      <c r="F262" s="26">
        <v>759</v>
      </c>
      <c r="G262" s="26">
        <v>443</v>
      </c>
      <c r="H262" s="11">
        <v>43952</v>
      </c>
    </row>
    <row r="263" spans="1:8" x14ac:dyDescent="0.25">
      <c r="A263">
        <v>262</v>
      </c>
      <c r="B263" s="35" t="s">
        <v>3458</v>
      </c>
      <c r="F263" s="26">
        <v>1089</v>
      </c>
      <c r="G263" s="26">
        <v>635</v>
      </c>
      <c r="H263" s="11">
        <v>43952</v>
      </c>
    </row>
    <row r="264" spans="1:8" x14ac:dyDescent="0.25">
      <c r="A264">
        <v>263</v>
      </c>
      <c r="B264" s="35" t="s">
        <v>3451</v>
      </c>
      <c r="F264" s="26">
        <v>649</v>
      </c>
      <c r="G264" s="26">
        <v>389</v>
      </c>
      <c r="H264" s="11">
        <v>43952</v>
      </c>
    </row>
    <row r="265" spans="1:8" x14ac:dyDescent="0.25">
      <c r="A265">
        <v>264</v>
      </c>
      <c r="B265" s="35" t="s">
        <v>3459</v>
      </c>
      <c r="F265" s="26">
        <v>979</v>
      </c>
      <c r="G265" s="26">
        <v>587</v>
      </c>
      <c r="H265" s="11">
        <v>43952</v>
      </c>
    </row>
    <row r="266" spans="1:8" x14ac:dyDescent="0.25">
      <c r="A266">
        <v>265</v>
      </c>
      <c r="B266" s="35" t="s">
        <v>3475</v>
      </c>
      <c r="F266" s="26">
        <v>759</v>
      </c>
      <c r="G266" s="26">
        <v>443</v>
      </c>
      <c r="H266" s="11">
        <v>43952</v>
      </c>
    </row>
    <row r="267" spans="1:8" x14ac:dyDescent="0.25">
      <c r="A267">
        <v>266</v>
      </c>
      <c r="B267" s="35" t="s">
        <v>3484</v>
      </c>
      <c r="F267" s="26">
        <v>1089</v>
      </c>
      <c r="G267" s="26">
        <v>635</v>
      </c>
      <c r="H267" s="11">
        <v>43952</v>
      </c>
    </row>
    <row r="268" spans="1:8" x14ac:dyDescent="0.25">
      <c r="A268">
        <v>267</v>
      </c>
      <c r="B268" s="35" t="s">
        <v>3419</v>
      </c>
      <c r="F268" s="26">
        <v>869</v>
      </c>
      <c r="G268" s="26">
        <v>507</v>
      </c>
      <c r="H268" s="11">
        <v>43952</v>
      </c>
    </row>
    <row r="269" spans="1:8" x14ac:dyDescent="0.25">
      <c r="A269">
        <v>268</v>
      </c>
      <c r="B269" s="35" t="s">
        <v>3440</v>
      </c>
      <c r="F269" s="26">
        <v>979</v>
      </c>
      <c r="G269" s="26">
        <v>571</v>
      </c>
      <c r="H269" s="11">
        <v>43952</v>
      </c>
    </row>
    <row r="270" spans="1:8" x14ac:dyDescent="0.25">
      <c r="A270">
        <v>269</v>
      </c>
      <c r="B270" s="35" t="s">
        <v>3433</v>
      </c>
      <c r="F270" s="26">
        <v>539</v>
      </c>
      <c r="G270" s="26">
        <v>314</v>
      </c>
      <c r="H270" s="11">
        <v>43952</v>
      </c>
    </row>
    <row r="271" spans="1:8" x14ac:dyDescent="0.25">
      <c r="A271">
        <v>270</v>
      </c>
      <c r="B271" s="35" t="s">
        <v>3434</v>
      </c>
      <c r="F271" s="26">
        <v>869</v>
      </c>
      <c r="G271" s="26">
        <v>507</v>
      </c>
      <c r="H271" s="11">
        <v>43952</v>
      </c>
    </row>
    <row r="272" spans="1:8" x14ac:dyDescent="0.25">
      <c r="A272">
        <v>271</v>
      </c>
      <c r="B272" s="35" t="s">
        <v>3426</v>
      </c>
      <c r="F272" s="26">
        <v>869</v>
      </c>
      <c r="G272" s="26">
        <v>507</v>
      </c>
      <c r="H272" s="11">
        <v>43952</v>
      </c>
    </row>
    <row r="273" spans="1:8" x14ac:dyDescent="0.25">
      <c r="A273">
        <v>272</v>
      </c>
      <c r="B273" s="35" t="s">
        <v>3445</v>
      </c>
      <c r="F273" s="26">
        <v>539</v>
      </c>
      <c r="G273" s="26">
        <v>314</v>
      </c>
      <c r="H273" s="11">
        <v>43952</v>
      </c>
    </row>
    <row r="274" spans="1:8" x14ac:dyDescent="0.25">
      <c r="A274">
        <v>273</v>
      </c>
      <c r="B274" s="35" t="s">
        <v>3429</v>
      </c>
      <c r="F274" s="26">
        <v>869</v>
      </c>
      <c r="G274" s="26">
        <v>507</v>
      </c>
      <c r="H274" s="11">
        <v>43952</v>
      </c>
    </row>
    <row r="275" spans="1:8" x14ac:dyDescent="0.25">
      <c r="A275">
        <v>274</v>
      </c>
      <c r="B275" s="35" t="s">
        <v>3430</v>
      </c>
      <c r="F275" s="26">
        <v>539</v>
      </c>
      <c r="G275" s="26">
        <v>314</v>
      </c>
      <c r="H275" s="11">
        <v>43952</v>
      </c>
    </row>
    <row r="276" spans="1:8" x14ac:dyDescent="0.25">
      <c r="A276">
        <v>275</v>
      </c>
      <c r="B276" s="35" t="s">
        <v>3432</v>
      </c>
      <c r="F276" s="26">
        <v>649</v>
      </c>
      <c r="G276" s="26">
        <v>379</v>
      </c>
      <c r="H276" s="11">
        <v>43952</v>
      </c>
    </row>
    <row r="277" spans="1:8" x14ac:dyDescent="0.25">
      <c r="A277">
        <v>276</v>
      </c>
      <c r="B277" s="35" t="s">
        <v>3461</v>
      </c>
      <c r="F277" s="26">
        <v>979</v>
      </c>
      <c r="G277" s="26">
        <v>571</v>
      </c>
      <c r="H277" s="11">
        <v>43952</v>
      </c>
    </row>
    <row r="278" spans="1:8" x14ac:dyDescent="0.25">
      <c r="A278">
        <v>277</v>
      </c>
      <c r="B278" s="35" t="s">
        <v>3462</v>
      </c>
      <c r="F278" s="26">
        <v>979</v>
      </c>
      <c r="G278" s="26">
        <v>571</v>
      </c>
      <c r="H278" s="11">
        <v>43952</v>
      </c>
    </row>
    <row r="279" spans="1:8" x14ac:dyDescent="0.25">
      <c r="A279">
        <v>278</v>
      </c>
      <c r="B279" s="35" t="s">
        <v>3438</v>
      </c>
      <c r="F279" s="26">
        <v>539</v>
      </c>
      <c r="G279" s="26">
        <v>314</v>
      </c>
      <c r="H279" s="11">
        <v>43952</v>
      </c>
    </row>
    <row r="280" spans="1:8" x14ac:dyDescent="0.25">
      <c r="A280">
        <v>279</v>
      </c>
      <c r="B280" s="35" t="s">
        <v>3443</v>
      </c>
      <c r="F280" s="26">
        <v>649</v>
      </c>
      <c r="G280" s="26">
        <v>379</v>
      </c>
      <c r="H280" s="11">
        <v>43952</v>
      </c>
    </row>
    <row r="281" spans="1:8" x14ac:dyDescent="0.25">
      <c r="A281">
        <v>280</v>
      </c>
      <c r="B281" s="35" t="s">
        <v>3444</v>
      </c>
      <c r="F281" s="26">
        <v>1529</v>
      </c>
      <c r="G281" s="26">
        <v>892</v>
      </c>
      <c r="H281" s="11">
        <v>43952</v>
      </c>
    </row>
    <row r="282" spans="1:8" x14ac:dyDescent="0.25">
      <c r="A282">
        <v>281</v>
      </c>
      <c r="B282" s="35" t="s">
        <v>3487</v>
      </c>
      <c r="F282" s="26">
        <v>2369</v>
      </c>
      <c r="G282" s="26">
        <v>1382</v>
      </c>
      <c r="H282" s="11">
        <v>43952</v>
      </c>
    </row>
    <row r="283" spans="1:8" x14ac:dyDescent="0.25">
      <c r="A283">
        <v>282</v>
      </c>
      <c r="B283" s="35" t="s">
        <v>3446</v>
      </c>
      <c r="F283" s="26">
        <v>869</v>
      </c>
      <c r="G283" s="26">
        <v>507</v>
      </c>
      <c r="H283" s="11">
        <v>43952</v>
      </c>
    </row>
    <row r="284" spans="1:8" x14ac:dyDescent="0.25">
      <c r="A284">
        <v>283</v>
      </c>
      <c r="B284" s="35" t="s">
        <v>3470</v>
      </c>
      <c r="F284" s="26">
        <v>209</v>
      </c>
      <c r="G284" s="26">
        <v>122</v>
      </c>
      <c r="H284" s="11">
        <v>43952</v>
      </c>
    </row>
    <row r="285" spans="1:8" x14ac:dyDescent="0.25">
      <c r="A285">
        <v>284</v>
      </c>
      <c r="B285" s="35" t="s">
        <v>3436</v>
      </c>
      <c r="F285" s="26">
        <v>649</v>
      </c>
      <c r="G285" s="26">
        <v>379</v>
      </c>
      <c r="H285" s="11">
        <v>43952</v>
      </c>
    </row>
    <row r="286" spans="1:8" x14ac:dyDescent="0.25">
      <c r="A286">
        <v>285</v>
      </c>
      <c r="B286" s="35" t="s">
        <v>3435</v>
      </c>
      <c r="F286" s="26">
        <v>539</v>
      </c>
      <c r="G286" s="26">
        <v>314</v>
      </c>
      <c r="H286" s="11">
        <v>43952</v>
      </c>
    </row>
    <row r="287" spans="1:8" x14ac:dyDescent="0.25">
      <c r="A287">
        <v>286</v>
      </c>
      <c r="B287" s="35" t="s">
        <v>3460</v>
      </c>
      <c r="F287" s="26">
        <v>1309</v>
      </c>
      <c r="G287" s="26">
        <v>764</v>
      </c>
      <c r="H287" s="11">
        <v>43952</v>
      </c>
    </row>
    <row r="288" spans="1:8" x14ac:dyDescent="0.25">
      <c r="A288">
        <v>287</v>
      </c>
      <c r="B288" s="35" t="s">
        <v>1865</v>
      </c>
      <c r="F288" s="26">
        <v>5093</v>
      </c>
      <c r="G288" s="26">
        <v>2971</v>
      </c>
      <c r="H288" s="11">
        <v>43952</v>
      </c>
    </row>
    <row r="289" spans="1:8" x14ac:dyDescent="0.25">
      <c r="A289">
        <v>288</v>
      </c>
      <c r="B289" s="35" t="s">
        <v>1866</v>
      </c>
      <c r="F289" s="26">
        <v>1490</v>
      </c>
      <c r="G289" s="26">
        <v>869</v>
      </c>
      <c r="H289" s="11">
        <v>43952</v>
      </c>
    </row>
    <row r="290" spans="1:8" x14ac:dyDescent="0.25">
      <c r="A290">
        <v>289</v>
      </c>
      <c r="B290" s="35" t="s">
        <v>1877</v>
      </c>
      <c r="F290" s="26">
        <v>6990</v>
      </c>
      <c r="G290" s="26">
        <v>4252</v>
      </c>
      <c r="H290" s="11">
        <v>43952</v>
      </c>
    </row>
    <row r="291" spans="1:8" x14ac:dyDescent="0.25">
      <c r="A291">
        <v>290</v>
      </c>
      <c r="B291" s="35" t="s">
        <v>1920</v>
      </c>
      <c r="F291" s="26">
        <v>1290</v>
      </c>
      <c r="G291" s="26">
        <v>806</v>
      </c>
      <c r="H291" s="11">
        <v>43952</v>
      </c>
    </row>
    <row r="292" spans="1:8" x14ac:dyDescent="0.25">
      <c r="A292">
        <v>291</v>
      </c>
      <c r="B292" s="35" t="s">
        <v>1928</v>
      </c>
      <c r="F292" s="26">
        <v>2090</v>
      </c>
      <c r="G292" s="26">
        <v>1219</v>
      </c>
      <c r="H292" s="11">
        <v>43952</v>
      </c>
    </row>
    <row r="293" spans="1:8" x14ac:dyDescent="0.25">
      <c r="A293">
        <v>292</v>
      </c>
      <c r="B293" s="35" t="s">
        <v>1929</v>
      </c>
      <c r="F293" s="26">
        <v>2090</v>
      </c>
      <c r="G293" s="26">
        <v>1219</v>
      </c>
      <c r="H293" s="11">
        <v>43952</v>
      </c>
    </row>
    <row r="294" spans="1:8" x14ac:dyDescent="0.25">
      <c r="A294">
        <v>293</v>
      </c>
      <c r="B294" s="35" t="s">
        <v>1931</v>
      </c>
      <c r="F294" s="26">
        <v>2290</v>
      </c>
      <c r="G294" s="26">
        <v>1336</v>
      </c>
      <c r="H294" s="11">
        <v>43952</v>
      </c>
    </row>
    <row r="295" spans="1:8" x14ac:dyDescent="0.25">
      <c r="A295">
        <v>294</v>
      </c>
      <c r="B295" s="35" t="s">
        <v>1933</v>
      </c>
      <c r="F295" s="26">
        <v>3290</v>
      </c>
      <c r="G295" s="26">
        <v>1919</v>
      </c>
      <c r="H295" s="11">
        <v>43952</v>
      </c>
    </row>
    <row r="296" spans="1:8" x14ac:dyDescent="0.25">
      <c r="A296">
        <v>295</v>
      </c>
      <c r="B296" s="35" t="s">
        <v>1934</v>
      </c>
      <c r="F296" s="26">
        <v>3190</v>
      </c>
      <c r="G296" s="26">
        <v>1861</v>
      </c>
      <c r="H296" s="11">
        <v>43952</v>
      </c>
    </row>
    <row r="297" spans="1:8" x14ac:dyDescent="0.25">
      <c r="A297">
        <v>296</v>
      </c>
      <c r="B297" s="35" t="s">
        <v>1907</v>
      </c>
      <c r="F297" s="26">
        <v>2190</v>
      </c>
      <c r="G297" s="26">
        <v>1278</v>
      </c>
      <c r="H297" s="11">
        <v>43952</v>
      </c>
    </row>
    <row r="298" spans="1:8" x14ac:dyDescent="0.25">
      <c r="A298">
        <v>297</v>
      </c>
      <c r="B298" s="35" t="s">
        <v>1908</v>
      </c>
      <c r="F298" s="26">
        <v>2490</v>
      </c>
      <c r="G298" s="26">
        <v>1453</v>
      </c>
      <c r="H298" s="11">
        <v>43952</v>
      </c>
    </row>
    <row r="299" spans="1:8" x14ac:dyDescent="0.25">
      <c r="A299">
        <v>298</v>
      </c>
      <c r="B299" s="35" t="s">
        <v>1911</v>
      </c>
      <c r="F299" s="26">
        <v>2390</v>
      </c>
      <c r="G299" s="26">
        <v>1394</v>
      </c>
      <c r="H299" s="11">
        <v>43952</v>
      </c>
    </row>
    <row r="300" spans="1:8" x14ac:dyDescent="0.25">
      <c r="A300">
        <v>299</v>
      </c>
      <c r="B300" s="35" t="s">
        <v>1912</v>
      </c>
      <c r="F300" s="26">
        <v>3190</v>
      </c>
      <c r="G300" s="26">
        <v>1861</v>
      </c>
      <c r="H300" s="11">
        <v>43952</v>
      </c>
    </row>
    <row r="301" spans="1:8" x14ac:dyDescent="0.25">
      <c r="A301">
        <v>300</v>
      </c>
      <c r="B301" s="35" t="s">
        <v>1913</v>
      </c>
      <c r="F301" s="26">
        <v>3290</v>
      </c>
      <c r="G301" s="26">
        <v>1919</v>
      </c>
      <c r="H301" s="11">
        <v>43952</v>
      </c>
    </row>
    <row r="302" spans="1:8" x14ac:dyDescent="0.25">
      <c r="A302">
        <v>301</v>
      </c>
      <c r="B302" s="35" t="s">
        <v>1846</v>
      </c>
      <c r="F302" s="26">
        <v>803</v>
      </c>
      <c r="G302" s="26">
        <v>468</v>
      </c>
      <c r="H302" s="11">
        <v>43952</v>
      </c>
    </row>
    <row r="303" spans="1:8" x14ac:dyDescent="0.25">
      <c r="A303">
        <v>302</v>
      </c>
      <c r="B303" s="35" t="s">
        <v>1845</v>
      </c>
      <c r="F303" s="26">
        <v>899</v>
      </c>
      <c r="G303" s="26">
        <v>524</v>
      </c>
      <c r="H303" s="11">
        <v>43952</v>
      </c>
    </row>
    <row r="304" spans="1:8" x14ac:dyDescent="0.25">
      <c r="A304">
        <v>303</v>
      </c>
      <c r="B304" s="35" t="s">
        <v>1874</v>
      </c>
      <c r="F304" s="26">
        <v>6990</v>
      </c>
      <c r="G304" s="26">
        <v>3903</v>
      </c>
      <c r="H304" s="11">
        <v>43952</v>
      </c>
    </row>
    <row r="305" spans="1:8" x14ac:dyDescent="0.25">
      <c r="A305">
        <v>304</v>
      </c>
      <c r="B305" s="35" t="s">
        <v>1856</v>
      </c>
      <c r="F305" s="26">
        <v>4149</v>
      </c>
      <c r="G305" s="26">
        <v>2524</v>
      </c>
      <c r="H305" s="11">
        <v>43952</v>
      </c>
    </row>
    <row r="306" spans="1:8" x14ac:dyDescent="0.25">
      <c r="A306">
        <v>305</v>
      </c>
      <c r="B306" s="35" t="s">
        <v>2660</v>
      </c>
      <c r="F306" s="26">
        <v>1393</v>
      </c>
      <c r="G306" s="26">
        <v>847</v>
      </c>
      <c r="H306" s="11">
        <v>43952</v>
      </c>
    </row>
    <row r="307" spans="1:8" x14ac:dyDescent="0.25">
      <c r="A307">
        <v>306</v>
      </c>
      <c r="B307" s="35" t="s">
        <v>2662</v>
      </c>
      <c r="F307" s="26">
        <v>1717</v>
      </c>
      <c r="G307" s="26">
        <v>1045</v>
      </c>
      <c r="H307" s="11">
        <v>43952</v>
      </c>
    </row>
    <row r="308" spans="1:8" x14ac:dyDescent="0.25">
      <c r="A308">
        <v>307</v>
      </c>
      <c r="B308" s="35" t="s">
        <v>2663</v>
      </c>
      <c r="F308" s="26">
        <v>2905</v>
      </c>
      <c r="G308" s="26">
        <v>1767</v>
      </c>
      <c r="H308" s="11">
        <v>43952</v>
      </c>
    </row>
    <row r="309" spans="1:8" x14ac:dyDescent="0.25">
      <c r="A309">
        <v>308</v>
      </c>
      <c r="B309" s="35" t="s">
        <v>2725</v>
      </c>
      <c r="F309" s="26">
        <v>3289</v>
      </c>
      <c r="G309" s="26">
        <v>2001</v>
      </c>
      <c r="H309" s="11">
        <v>43952</v>
      </c>
    </row>
    <row r="310" spans="1:8" x14ac:dyDescent="0.25">
      <c r="A310">
        <v>309</v>
      </c>
      <c r="B310" s="35" t="s">
        <v>2665</v>
      </c>
      <c r="F310" s="26">
        <v>3877</v>
      </c>
      <c r="G310" s="26">
        <v>2359</v>
      </c>
      <c r="H310" s="11">
        <v>43952</v>
      </c>
    </row>
    <row r="311" spans="1:8" x14ac:dyDescent="0.25">
      <c r="A311">
        <v>310</v>
      </c>
      <c r="B311" s="35" t="s">
        <v>2668</v>
      </c>
      <c r="F311" s="26">
        <v>2927</v>
      </c>
      <c r="G311" s="26">
        <v>1781</v>
      </c>
      <c r="H311" s="11">
        <v>43952</v>
      </c>
    </row>
    <row r="312" spans="1:8" x14ac:dyDescent="0.25">
      <c r="A312">
        <v>311</v>
      </c>
      <c r="B312" s="35" t="s">
        <v>2670</v>
      </c>
      <c r="F312" s="26">
        <v>7333</v>
      </c>
      <c r="G312" s="26">
        <v>4461</v>
      </c>
      <c r="H312" s="11">
        <v>43952</v>
      </c>
    </row>
    <row r="313" spans="1:8" x14ac:dyDescent="0.25">
      <c r="A313">
        <v>312</v>
      </c>
      <c r="B313" s="35" t="s">
        <v>2674</v>
      </c>
      <c r="F313" s="26">
        <v>2041</v>
      </c>
      <c r="G313" s="26">
        <v>1242</v>
      </c>
      <c r="H313" s="11">
        <v>43952</v>
      </c>
    </row>
    <row r="314" spans="1:8" x14ac:dyDescent="0.25">
      <c r="A314">
        <v>313</v>
      </c>
      <c r="B314" s="35" t="s">
        <v>2675</v>
      </c>
      <c r="F314" s="26">
        <v>3337</v>
      </c>
      <c r="G314" s="26">
        <v>2030</v>
      </c>
      <c r="H314" s="11">
        <v>43952</v>
      </c>
    </row>
    <row r="315" spans="1:8" x14ac:dyDescent="0.25">
      <c r="A315">
        <v>314</v>
      </c>
      <c r="B315" s="35" t="s">
        <v>2677</v>
      </c>
      <c r="F315" s="26">
        <v>4957</v>
      </c>
      <c r="G315" s="26">
        <v>3016</v>
      </c>
      <c r="H315" s="11">
        <v>43952</v>
      </c>
    </row>
    <row r="316" spans="1:8" x14ac:dyDescent="0.25">
      <c r="A316">
        <v>315</v>
      </c>
      <c r="B316" s="35" t="s">
        <v>2678</v>
      </c>
      <c r="F316" s="26">
        <v>102</v>
      </c>
      <c r="G316" s="26">
        <v>62</v>
      </c>
      <c r="H316" s="11">
        <v>43952</v>
      </c>
    </row>
    <row r="317" spans="1:8" x14ac:dyDescent="0.25">
      <c r="A317">
        <v>316</v>
      </c>
      <c r="B317" s="35" t="s">
        <v>2726</v>
      </c>
      <c r="F317" s="26">
        <v>1419</v>
      </c>
      <c r="G317" s="26">
        <v>863</v>
      </c>
      <c r="H317" s="11">
        <v>43952</v>
      </c>
    </row>
    <row r="318" spans="1:8" x14ac:dyDescent="0.25">
      <c r="A318">
        <v>317</v>
      </c>
      <c r="B318" s="35" t="s">
        <v>2689</v>
      </c>
      <c r="F318" s="26">
        <v>4201</v>
      </c>
      <c r="G318" s="26">
        <v>2556</v>
      </c>
      <c r="H318" s="11">
        <v>43952</v>
      </c>
    </row>
    <row r="319" spans="1:8" x14ac:dyDescent="0.25">
      <c r="A319">
        <v>318</v>
      </c>
      <c r="B319" s="35" t="s">
        <v>2690</v>
      </c>
      <c r="F319" s="26">
        <v>8521</v>
      </c>
      <c r="G319" s="26">
        <v>5184</v>
      </c>
      <c r="H319" s="11">
        <v>43952</v>
      </c>
    </row>
    <row r="320" spans="1:8" x14ac:dyDescent="0.25">
      <c r="A320">
        <v>319</v>
      </c>
      <c r="B320" s="35" t="s">
        <v>2691</v>
      </c>
      <c r="F320" s="26">
        <v>205</v>
      </c>
      <c r="G320" s="26">
        <v>125</v>
      </c>
      <c r="H320" s="11">
        <v>43952</v>
      </c>
    </row>
    <row r="321" spans="1:8" x14ac:dyDescent="0.25">
      <c r="A321">
        <v>320</v>
      </c>
      <c r="B321" s="35" t="s">
        <v>2692</v>
      </c>
      <c r="F321" s="26">
        <v>313</v>
      </c>
      <c r="G321" s="26">
        <v>190</v>
      </c>
      <c r="H321" s="11">
        <v>43952</v>
      </c>
    </row>
    <row r="322" spans="1:8" x14ac:dyDescent="0.25">
      <c r="A322">
        <v>321</v>
      </c>
      <c r="B322" s="35" t="s">
        <v>2693</v>
      </c>
      <c r="F322" s="26">
        <v>529</v>
      </c>
      <c r="G322" s="26">
        <v>322</v>
      </c>
      <c r="H322" s="11">
        <v>43952</v>
      </c>
    </row>
    <row r="323" spans="1:8" x14ac:dyDescent="0.25">
      <c r="A323">
        <v>322</v>
      </c>
      <c r="B323" s="35" t="s">
        <v>2695</v>
      </c>
      <c r="F323" s="26">
        <v>2905</v>
      </c>
      <c r="G323" s="26">
        <v>1767</v>
      </c>
      <c r="H323" s="11">
        <v>43952</v>
      </c>
    </row>
    <row r="324" spans="1:8" x14ac:dyDescent="0.25">
      <c r="A324">
        <v>323</v>
      </c>
      <c r="B324" s="35" t="s">
        <v>2698</v>
      </c>
      <c r="F324" s="26">
        <v>7441</v>
      </c>
      <c r="G324" s="26">
        <v>4527</v>
      </c>
      <c r="H324" s="11">
        <v>43952</v>
      </c>
    </row>
    <row r="325" spans="1:8" x14ac:dyDescent="0.25">
      <c r="A325">
        <v>324</v>
      </c>
      <c r="B325" s="35" t="s">
        <v>2699</v>
      </c>
      <c r="F325" s="26">
        <v>146</v>
      </c>
      <c r="G325" s="26">
        <v>89</v>
      </c>
      <c r="H325" s="11">
        <v>43952</v>
      </c>
    </row>
    <row r="326" spans="1:8" x14ac:dyDescent="0.25">
      <c r="A326">
        <v>325</v>
      </c>
      <c r="B326" s="35" t="s">
        <v>2703</v>
      </c>
      <c r="F326" s="26">
        <v>6037</v>
      </c>
      <c r="G326" s="26">
        <v>3673</v>
      </c>
      <c r="H326" s="11">
        <v>43952</v>
      </c>
    </row>
    <row r="327" spans="1:8" x14ac:dyDescent="0.25">
      <c r="A327">
        <v>326</v>
      </c>
      <c r="B327" s="35" t="s">
        <v>2704</v>
      </c>
      <c r="F327" s="26">
        <v>12301</v>
      </c>
      <c r="G327" s="26">
        <v>7483</v>
      </c>
      <c r="H327" s="11">
        <v>43952</v>
      </c>
    </row>
    <row r="328" spans="1:8" x14ac:dyDescent="0.25">
      <c r="A328">
        <v>327</v>
      </c>
      <c r="B328" s="35" t="s">
        <v>2705</v>
      </c>
      <c r="F328" s="26">
        <v>205</v>
      </c>
      <c r="G328" s="26">
        <v>125</v>
      </c>
      <c r="H328" s="11">
        <v>43952</v>
      </c>
    </row>
    <row r="329" spans="1:8" x14ac:dyDescent="0.25">
      <c r="A329">
        <v>328</v>
      </c>
      <c r="B329" s="35" t="s">
        <v>2708</v>
      </c>
      <c r="F329" s="26">
        <v>4417</v>
      </c>
      <c r="G329" s="26">
        <v>2687</v>
      </c>
      <c r="H329" s="11">
        <v>43952</v>
      </c>
    </row>
    <row r="330" spans="1:8" x14ac:dyDescent="0.25">
      <c r="A330">
        <v>329</v>
      </c>
      <c r="B330" s="35" t="s">
        <v>2710</v>
      </c>
      <c r="F330" s="26">
        <v>11221</v>
      </c>
      <c r="G330" s="26">
        <v>6826</v>
      </c>
      <c r="H330" s="11">
        <v>43952</v>
      </c>
    </row>
    <row r="331" spans="1:8" x14ac:dyDescent="0.25">
      <c r="A331">
        <v>330</v>
      </c>
      <c r="B331" s="35" t="s">
        <v>2712</v>
      </c>
      <c r="F331" s="26">
        <v>9061</v>
      </c>
      <c r="G331" s="26">
        <v>5512</v>
      </c>
      <c r="H331" s="11">
        <v>43952</v>
      </c>
    </row>
    <row r="332" spans="1:8" x14ac:dyDescent="0.25">
      <c r="A332">
        <v>331</v>
      </c>
      <c r="B332" s="35" t="s">
        <v>2653</v>
      </c>
      <c r="F332" s="26">
        <v>2739</v>
      </c>
      <c r="G332" s="26">
        <v>1894</v>
      </c>
      <c r="H332" s="11">
        <v>43952</v>
      </c>
    </row>
    <row r="333" spans="1:8" x14ac:dyDescent="0.25">
      <c r="A333">
        <v>332</v>
      </c>
      <c r="B333" s="35" t="s">
        <v>2824</v>
      </c>
      <c r="F333" s="26">
        <v>1309</v>
      </c>
      <c r="G333" s="26">
        <v>798</v>
      </c>
      <c r="H333" s="11">
        <v>43952</v>
      </c>
    </row>
    <row r="334" spans="1:8" x14ac:dyDescent="0.25">
      <c r="A334">
        <v>333</v>
      </c>
      <c r="B334" s="35" t="s">
        <v>2831</v>
      </c>
      <c r="F334" s="26">
        <v>1859</v>
      </c>
      <c r="G334" s="26">
        <v>1131</v>
      </c>
      <c r="H334" s="11">
        <v>43952</v>
      </c>
    </row>
    <row r="335" spans="1:8" x14ac:dyDescent="0.25">
      <c r="A335">
        <v>334</v>
      </c>
      <c r="B335" s="35" t="s">
        <v>2256</v>
      </c>
      <c r="F335" s="26">
        <v>13790</v>
      </c>
      <c r="G335" s="26">
        <v>9423</v>
      </c>
      <c r="H335" s="11">
        <v>43952</v>
      </c>
    </row>
    <row r="336" spans="1:8" x14ac:dyDescent="0.25">
      <c r="A336">
        <v>335</v>
      </c>
      <c r="B336" s="35" t="s">
        <v>2252</v>
      </c>
      <c r="F336" s="26">
        <v>11390</v>
      </c>
      <c r="G336" s="26">
        <v>7783</v>
      </c>
      <c r="H336" s="11">
        <v>43952</v>
      </c>
    </row>
    <row r="337" spans="1:8" x14ac:dyDescent="0.25">
      <c r="A337">
        <v>336</v>
      </c>
      <c r="B337" s="35" t="s">
        <v>2271</v>
      </c>
      <c r="F337" s="26">
        <v>26190</v>
      </c>
      <c r="G337" s="26">
        <v>17897</v>
      </c>
      <c r="H337" s="11">
        <v>43952</v>
      </c>
    </row>
    <row r="338" spans="1:8" x14ac:dyDescent="0.25">
      <c r="A338">
        <v>337</v>
      </c>
      <c r="B338" s="35" t="s">
        <v>2397</v>
      </c>
      <c r="F338" s="26">
        <v>18390</v>
      </c>
      <c r="G338" s="26">
        <v>12567</v>
      </c>
      <c r="H338" s="11">
        <v>43952</v>
      </c>
    </row>
    <row r="339" spans="1:8" x14ac:dyDescent="0.25">
      <c r="A339">
        <v>338</v>
      </c>
      <c r="B339" s="35" t="s">
        <v>2292</v>
      </c>
      <c r="F339" s="26">
        <v>15690</v>
      </c>
      <c r="G339" s="26">
        <v>10722</v>
      </c>
      <c r="H339" s="11">
        <v>43952</v>
      </c>
    </row>
    <row r="340" spans="1:8" x14ac:dyDescent="0.25">
      <c r="A340">
        <v>339</v>
      </c>
      <c r="B340" s="35" t="s">
        <v>2324</v>
      </c>
      <c r="F340" s="26">
        <v>13990</v>
      </c>
      <c r="G340" s="26">
        <v>9560</v>
      </c>
      <c r="H340" s="11">
        <v>43952</v>
      </c>
    </row>
    <row r="341" spans="1:8" x14ac:dyDescent="0.25">
      <c r="A341">
        <v>340</v>
      </c>
      <c r="B341" s="35" t="s">
        <v>2306</v>
      </c>
      <c r="F341" s="26">
        <v>5990</v>
      </c>
      <c r="G341" s="26">
        <v>4093</v>
      </c>
      <c r="H341" s="11">
        <v>43952</v>
      </c>
    </row>
    <row r="342" spans="1:8" x14ac:dyDescent="0.25">
      <c r="A342">
        <v>341</v>
      </c>
      <c r="B342" s="35" t="s">
        <v>2307</v>
      </c>
      <c r="F342" s="26">
        <v>7690</v>
      </c>
      <c r="G342" s="26">
        <v>5255</v>
      </c>
      <c r="H342" s="11">
        <v>43952</v>
      </c>
    </row>
    <row r="343" spans="1:8" x14ac:dyDescent="0.25">
      <c r="A343">
        <v>342</v>
      </c>
      <c r="B343" s="35" t="s">
        <v>2479</v>
      </c>
      <c r="F343" s="26">
        <v>4890</v>
      </c>
      <c r="G343" s="26">
        <v>3342</v>
      </c>
      <c r="H343" s="11">
        <v>43952</v>
      </c>
    </row>
    <row r="344" spans="1:8" x14ac:dyDescent="0.25">
      <c r="A344">
        <v>343</v>
      </c>
      <c r="B344" s="35" t="s">
        <v>2919</v>
      </c>
      <c r="F344" s="26">
        <v>529</v>
      </c>
      <c r="G344" s="26">
        <v>309</v>
      </c>
      <c r="H344" s="11">
        <v>43952</v>
      </c>
    </row>
    <row r="345" spans="1:8" x14ac:dyDescent="0.25">
      <c r="A345">
        <v>344</v>
      </c>
      <c r="B345" s="35" t="s">
        <v>3471</v>
      </c>
      <c r="F345" s="26">
        <v>539</v>
      </c>
      <c r="G345" s="26">
        <v>328</v>
      </c>
      <c r="H345" s="11">
        <v>43952</v>
      </c>
    </row>
    <row r="346" spans="1:8" x14ac:dyDescent="0.25">
      <c r="A346">
        <v>345</v>
      </c>
      <c r="B346" s="35" t="s">
        <v>3466</v>
      </c>
      <c r="F346" s="26">
        <v>1749</v>
      </c>
      <c r="G346" s="26">
        <v>1020</v>
      </c>
      <c r="H346" s="11">
        <v>43952</v>
      </c>
    </row>
    <row r="347" spans="1:8" x14ac:dyDescent="0.25">
      <c r="A347">
        <v>346</v>
      </c>
      <c r="B347" s="35" t="s">
        <v>3465</v>
      </c>
      <c r="F347" s="26">
        <v>2959</v>
      </c>
      <c r="G347" s="26">
        <v>1775</v>
      </c>
      <c r="H347" s="11">
        <v>43952</v>
      </c>
    </row>
    <row r="348" spans="1:8" x14ac:dyDescent="0.25">
      <c r="A348">
        <v>347</v>
      </c>
      <c r="B348" s="35" t="s">
        <v>3489</v>
      </c>
      <c r="F348" s="26">
        <v>1749</v>
      </c>
      <c r="G348" s="26">
        <v>1049</v>
      </c>
      <c r="H348" s="11">
        <v>43952</v>
      </c>
    </row>
    <row r="349" spans="1:8" x14ac:dyDescent="0.25">
      <c r="A349">
        <v>348</v>
      </c>
      <c r="B349" s="35" t="s">
        <v>3425</v>
      </c>
      <c r="F349" s="26">
        <v>539</v>
      </c>
      <c r="G349" s="26">
        <v>314</v>
      </c>
      <c r="H349" s="11">
        <v>43952</v>
      </c>
    </row>
    <row r="350" spans="1:8" x14ac:dyDescent="0.25">
      <c r="A350">
        <v>349</v>
      </c>
      <c r="B350" s="35" t="s">
        <v>3491</v>
      </c>
      <c r="F350" s="26">
        <v>9119</v>
      </c>
      <c r="G350" s="26">
        <v>5319</v>
      </c>
      <c r="H350" s="11">
        <v>43952</v>
      </c>
    </row>
    <row r="351" spans="1:8" x14ac:dyDescent="0.25">
      <c r="A351">
        <v>350</v>
      </c>
      <c r="B351" s="35" t="s">
        <v>3052</v>
      </c>
      <c r="F351" s="26">
        <v>3839</v>
      </c>
      <c r="G351" s="26">
        <v>2150</v>
      </c>
      <c r="H351" s="11">
        <v>43952</v>
      </c>
    </row>
    <row r="352" spans="1:8" x14ac:dyDescent="0.25">
      <c r="A352">
        <v>351</v>
      </c>
      <c r="B352" s="35" t="s">
        <v>3167</v>
      </c>
      <c r="F352" s="26">
        <v>5379</v>
      </c>
      <c r="G352" s="26">
        <v>3013</v>
      </c>
      <c r="H352" s="11">
        <v>43952</v>
      </c>
    </row>
    <row r="353" spans="1:8" x14ac:dyDescent="0.25">
      <c r="A353">
        <v>352</v>
      </c>
      <c r="B353" s="35" t="s">
        <v>2941</v>
      </c>
      <c r="F353" s="26">
        <v>1290</v>
      </c>
      <c r="G353" s="26">
        <v>753</v>
      </c>
      <c r="H353" s="11">
        <v>43952</v>
      </c>
    </row>
    <row r="354" spans="1:8" x14ac:dyDescent="0.25">
      <c r="A354">
        <v>353</v>
      </c>
      <c r="B354" s="35" t="s">
        <v>2355</v>
      </c>
      <c r="F354" s="26">
        <v>2629</v>
      </c>
      <c r="G354" s="26">
        <v>1643</v>
      </c>
      <c r="H354" s="11">
        <v>43952</v>
      </c>
    </row>
    <row r="355" spans="1:8" x14ac:dyDescent="0.25">
      <c r="A355">
        <v>354</v>
      </c>
      <c r="B355" s="35" t="s">
        <v>2356</v>
      </c>
      <c r="F355" s="26">
        <v>3179</v>
      </c>
      <c r="G355" s="26">
        <v>1987</v>
      </c>
      <c r="H355" s="11">
        <v>43952</v>
      </c>
    </row>
    <row r="356" spans="1:8" x14ac:dyDescent="0.25">
      <c r="A356">
        <v>355</v>
      </c>
      <c r="B356" s="35" t="s">
        <v>2357</v>
      </c>
      <c r="F356" s="26">
        <v>3839</v>
      </c>
      <c r="G356" s="26">
        <v>2399</v>
      </c>
      <c r="H356" s="11">
        <v>43952</v>
      </c>
    </row>
    <row r="357" spans="1:8" x14ac:dyDescent="0.25">
      <c r="A357">
        <v>356</v>
      </c>
      <c r="B357" s="35" t="s">
        <v>2353</v>
      </c>
      <c r="F357" s="26">
        <v>2629</v>
      </c>
      <c r="G357" s="26">
        <v>1643</v>
      </c>
      <c r="H357" s="11">
        <v>43952</v>
      </c>
    </row>
    <row r="358" spans="1:8" x14ac:dyDescent="0.25">
      <c r="A358">
        <v>357</v>
      </c>
      <c r="B358" s="35" t="s">
        <v>2354</v>
      </c>
      <c r="F358" s="26">
        <v>2959</v>
      </c>
      <c r="G358" s="26">
        <v>1849</v>
      </c>
      <c r="H358" s="11">
        <v>43952</v>
      </c>
    </row>
    <row r="359" spans="1:8" x14ac:dyDescent="0.25">
      <c r="A359">
        <v>358</v>
      </c>
      <c r="B359" s="35" t="s">
        <v>2792</v>
      </c>
      <c r="F359" s="26">
        <v>319</v>
      </c>
      <c r="G359" s="26">
        <v>197</v>
      </c>
      <c r="H359" s="11">
        <v>43952</v>
      </c>
    </row>
    <row r="360" spans="1:8" x14ac:dyDescent="0.25">
      <c r="A360">
        <v>359</v>
      </c>
      <c r="B360" s="35" t="s">
        <v>2064</v>
      </c>
      <c r="F360" s="26">
        <v>1790</v>
      </c>
      <c r="G360" s="26">
        <v>1074</v>
      </c>
      <c r="H360" s="11">
        <v>43952</v>
      </c>
    </row>
    <row r="361" spans="1:8" x14ac:dyDescent="0.25">
      <c r="A361">
        <v>360</v>
      </c>
      <c r="B361" s="35" t="s">
        <v>2066</v>
      </c>
      <c r="F361" s="26">
        <v>1990</v>
      </c>
      <c r="G361" s="26">
        <v>1194</v>
      </c>
      <c r="H361" s="11">
        <v>43952</v>
      </c>
    </row>
    <row r="362" spans="1:8" x14ac:dyDescent="0.25">
      <c r="A362">
        <v>361</v>
      </c>
      <c r="B362" s="35" t="s">
        <v>2024</v>
      </c>
      <c r="F362" s="26">
        <v>3690</v>
      </c>
      <c r="G362" s="26">
        <v>2199</v>
      </c>
      <c r="H362" s="11">
        <v>43952</v>
      </c>
    </row>
    <row r="363" spans="1:8" x14ac:dyDescent="0.25">
      <c r="A363">
        <v>362</v>
      </c>
      <c r="B363" s="35" t="s">
        <v>2086</v>
      </c>
      <c r="F363" s="26">
        <v>890</v>
      </c>
      <c r="G363" s="26">
        <v>519</v>
      </c>
      <c r="H363" s="11">
        <v>43952</v>
      </c>
    </row>
    <row r="364" spans="1:8" x14ac:dyDescent="0.25">
      <c r="A364">
        <v>363</v>
      </c>
      <c r="B364" s="35" t="s">
        <v>2073</v>
      </c>
      <c r="F364" s="26">
        <v>1790</v>
      </c>
      <c r="G364" s="26">
        <v>1059</v>
      </c>
      <c r="H364" s="11">
        <v>43952</v>
      </c>
    </row>
    <row r="365" spans="1:8" x14ac:dyDescent="0.25">
      <c r="A365">
        <v>364</v>
      </c>
      <c r="B365" s="35" t="s">
        <v>2074</v>
      </c>
      <c r="F365" s="26">
        <v>1790</v>
      </c>
      <c r="G365" s="26">
        <v>1193</v>
      </c>
      <c r="H365" s="11">
        <v>43952</v>
      </c>
    </row>
    <row r="366" spans="1:8" x14ac:dyDescent="0.25">
      <c r="A366">
        <v>365</v>
      </c>
      <c r="B366" s="35" t="s">
        <v>2483</v>
      </c>
      <c r="F366" s="26">
        <v>2409</v>
      </c>
      <c r="G366" s="26">
        <v>1425</v>
      </c>
      <c r="H366" s="11">
        <v>43952</v>
      </c>
    </row>
    <row r="367" spans="1:8" x14ac:dyDescent="0.25">
      <c r="A367">
        <v>366</v>
      </c>
      <c r="B367" s="35" t="s">
        <v>2484</v>
      </c>
      <c r="F367" s="26">
        <v>2739</v>
      </c>
      <c r="G367" s="26">
        <v>1621</v>
      </c>
      <c r="H367" s="11">
        <v>43952</v>
      </c>
    </row>
    <row r="368" spans="1:8" x14ac:dyDescent="0.25">
      <c r="A368">
        <v>367</v>
      </c>
      <c r="B368" s="35" t="s">
        <v>2480</v>
      </c>
      <c r="F368" s="26">
        <v>2079</v>
      </c>
      <c r="G368" s="26">
        <v>1230</v>
      </c>
      <c r="H368" s="11">
        <v>43952</v>
      </c>
    </row>
    <row r="369" spans="1:8" x14ac:dyDescent="0.25">
      <c r="A369">
        <v>368</v>
      </c>
      <c r="B369" s="35" t="s">
        <v>2481</v>
      </c>
      <c r="F369" s="26">
        <v>2519</v>
      </c>
      <c r="G369" s="26">
        <v>1490</v>
      </c>
      <c r="H369" s="11">
        <v>43952</v>
      </c>
    </row>
    <row r="370" spans="1:8" x14ac:dyDescent="0.25">
      <c r="A370">
        <v>369</v>
      </c>
      <c r="B370" s="35" t="s">
        <v>2482</v>
      </c>
      <c r="F370" s="26">
        <v>2739</v>
      </c>
      <c r="G370" s="26">
        <v>1621</v>
      </c>
      <c r="H370" s="11">
        <v>43952</v>
      </c>
    </row>
    <row r="371" spans="1:8" x14ac:dyDescent="0.25">
      <c r="A371">
        <v>370</v>
      </c>
      <c r="B371" s="35" t="s">
        <v>2459</v>
      </c>
      <c r="F371" s="26">
        <v>1639</v>
      </c>
      <c r="G371" s="26">
        <v>888</v>
      </c>
      <c r="H371" s="11">
        <v>43952</v>
      </c>
    </row>
    <row r="372" spans="1:8" x14ac:dyDescent="0.25">
      <c r="A372">
        <v>371</v>
      </c>
      <c r="B372" s="35" t="s">
        <v>2460</v>
      </c>
      <c r="F372" s="26">
        <v>7192</v>
      </c>
      <c r="G372" s="26">
        <v>3896</v>
      </c>
      <c r="H372" s="11">
        <v>43952</v>
      </c>
    </row>
    <row r="373" spans="1:8" x14ac:dyDescent="0.25">
      <c r="A373">
        <v>372</v>
      </c>
      <c r="B373" s="35" t="s">
        <v>2461</v>
      </c>
      <c r="F373" s="26">
        <v>1199</v>
      </c>
      <c r="G373" s="26">
        <v>649</v>
      </c>
      <c r="H373" s="11">
        <v>43952</v>
      </c>
    </row>
    <row r="374" spans="1:8" x14ac:dyDescent="0.25">
      <c r="A374">
        <v>373</v>
      </c>
      <c r="B374" s="35" t="s">
        <v>2462</v>
      </c>
      <c r="F374" s="26">
        <v>1419</v>
      </c>
      <c r="G374" s="26">
        <v>769</v>
      </c>
      <c r="H374" s="11">
        <v>43952</v>
      </c>
    </row>
    <row r="375" spans="1:8" x14ac:dyDescent="0.25">
      <c r="A375">
        <v>374</v>
      </c>
      <c r="B375" s="35" t="s">
        <v>2339</v>
      </c>
      <c r="F375" s="26">
        <v>979</v>
      </c>
      <c r="G375" s="26">
        <v>571</v>
      </c>
      <c r="H375" s="11">
        <v>43952</v>
      </c>
    </row>
    <row r="376" spans="1:8" x14ac:dyDescent="0.25">
      <c r="A376">
        <v>375</v>
      </c>
      <c r="B376" s="35" t="s">
        <v>2340</v>
      </c>
      <c r="F376" s="26">
        <v>1089</v>
      </c>
      <c r="G376" s="26">
        <v>635</v>
      </c>
      <c r="H376" s="11">
        <v>43952</v>
      </c>
    </row>
    <row r="377" spans="1:8" x14ac:dyDescent="0.25">
      <c r="A377">
        <v>376</v>
      </c>
      <c r="B377" s="35" t="s">
        <v>2341</v>
      </c>
      <c r="F377" s="26">
        <v>1309</v>
      </c>
      <c r="G377" s="26">
        <v>764</v>
      </c>
      <c r="H377" s="11">
        <v>43952</v>
      </c>
    </row>
    <row r="378" spans="1:8" x14ac:dyDescent="0.25">
      <c r="A378">
        <v>377</v>
      </c>
      <c r="B378" s="35" t="s">
        <v>2338</v>
      </c>
      <c r="F378" s="26">
        <v>1089</v>
      </c>
      <c r="G378" s="26">
        <v>635</v>
      </c>
      <c r="H378" s="11">
        <v>43952</v>
      </c>
    </row>
    <row r="379" spans="1:8" x14ac:dyDescent="0.25">
      <c r="A379">
        <v>378</v>
      </c>
      <c r="B379" s="35" t="s">
        <v>3018</v>
      </c>
      <c r="F379" s="26">
        <v>18990</v>
      </c>
      <c r="G379" s="26">
        <v>11869</v>
      </c>
      <c r="H379" s="11">
        <v>43952</v>
      </c>
    </row>
    <row r="380" spans="1:8" x14ac:dyDescent="0.25">
      <c r="A380">
        <v>379</v>
      </c>
      <c r="B380" s="35" t="s">
        <v>3473</v>
      </c>
      <c r="F380" s="26">
        <v>319</v>
      </c>
      <c r="G380" s="26">
        <v>186</v>
      </c>
      <c r="H380" s="11">
        <v>43952</v>
      </c>
    </row>
    <row r="381" spans="1:8" x14ac:dyDescent="0.25">
      <c r="A381">
        <v>380</v>
      </c>
      <c r="B381" s="35" t="s">
        <v>3472</v>
      </c>
      <c r="F381" s="26">
        <v>429</v>
      </c>
      <c r="G381" s="26">
        <v>250</v>
      </c>
      <c r="H381" s="11">
        <v>43952</v>
      </c>
    </row>
    <row r="382" spans="1:8" x14ac:dyDescent="0.25">
      <c r="A382">
        <v>381</v>
      </c>
      <c r="B382" s="35" t="s">
        <v>3428</v>
      </c>
      <c r="F382" s="26">
        <v>979</v>
      </c>
      <c r="G382" s="26">
        <v>571</v>
      </c>
      <c r="H382" s="11">
        <v>43952</v>
      </c>
    </row>
    <row r="383" spans="1:8" x14ac:dyDescent="0.25">
      <c r="A383">
        <v>382</v>
      </c>
      <c r="B383" s="35" t="s">
        <v>1914</v>
      </c>
      <c r="F383" s="26">
        <v>3290</v>
      </c>
      <c r="G383" s="26">
        <v>1782</v>
      </c>
      <c r="H383" s="11">
        <v>43952</v>
      </c>
    </row>
    <row r="384" spans="1:8" x14ac:dyDescent="0.25">
      <c r="A384">
        <v>383</v>
      </c>
      <c r="B384" s="35" t="s">
        <v>1918</v>
      </c>
      <c r="F384" s="26">
        <v>3990</v>
      </c>
      <c r="G384" s="26">
        <v>2161</v>
      </c>
      <c r="H384" s="11">
        <v>43952</v>
      </c>
    </row>
    <row r="385" spans="1:8" x14ac:dyDescent="0.25">
      <c r="A385">
        <v>384</v>
      </c>
      <c r="B385" s="35" t="s">
        <v>1919</v>
      </c>
      <c r="F385" s="26">
        <v>5090</v>
      </c>
      <c r="G385" s="26">
        <v>2757</v>
      </c>
      <c r="H385" s="11">
        <v>43952</v>
      </c>
    </row>
    <row r="386" spans="1:8" x14ac:dyDescent="0.25">
      <c r="A386">
        <v>385</v>
      </c>
      <c r="B386" s="35" t="s">
        <v>1916</v>
      </c>
      <c r="F386" s="26">
        <v>4990</v>
      </c>
      <c r="G386" s="26">
        <v>2828</v>
      </c>
      <c r="H386" s="11">
        <v>43952</v>
      </c>
    </row>
    <row r="387" spans="1:8" x14ac:dyDescent="0.25">
      <c r="A387">
        <v>386</v>
      </c>
      <c r="B387" s="35" t="s">
        <v>1915</v>
      </c>
      <c r="F387" s="26">
        <v>4990</v>
      </c>
      <c r="G387" s="26">
        <v>2828</v>
      </c>
      <c r="H387" s="11">
        <v>43952</v>
      </c>
    </row>
    <row r="388" spans="1:8" x14ac:dyDescent="0.25">
      <c r="A388">
        <v>387</v>
      </c>
      <c r="B388" s="35" t="s">
        <v>1917</v>
      </c>
      <c r="F388" s="26">
        <v>6290</v>
      </c>
      <c r="G388" s="26">
        <v>3407</v>
      </c>
      <c r="H388" s="11">
        <v>43952</v>
      </c>
    </row>
    <row r="389" spans="1:8" x14ac:dyDescent="0.25">
      <c r="A389">
        <v>388</v>
      </c>
      <c r="B389" s="35" t="s">
        <v>1853</v>
      </c>
      <c r="F389" s="26">
        <v>1059</v>
      </c>
      <c r="G389" s="26">
        <v>615</v>
      </c>
      <c r="H389" s="11">
        <v>43952</v>
      </c>
    </row>
    <row r="390" spans="1:8" x14ac:dyDescent="0.25">
      <c r="A390">
        <v>389</v>
      </c>
      <c r="B390" s="35" t="s">
        <v>1848</v>
      </c>
      <c r="F390" s="26">
        <v>929</v>
      </c>
      <c r="G390" s="26">
        <v>542</v>
      </c>
      <c r="H390" s="11">
        <v>43952</v>
      </c>
    </row>
    <row r="391" spans="1:8" x14ac:dyDescent="0.25">
      <c r="A391">
        <v>390</v>
      </c>
      <c r="B391" s="35" t="s">
        <v>1849</v>
      </c>
      <c r="F391" s="26">
        <v>929</v>
      </c>
      <c r="G391" s="26">
        <v>542</v>
      </c>
      <c r="H391" s="11">
        <v>43952</v>
      </c>
    </row>
    <row r="392" spans="1:8" x14ac:dyDescent="0.25">
      <c r="A392">
        <v>391</v>
      </c>
      <c r="B392" s="35" t="s">
        <v>1850</v>
      </c>
      <c r="F392" s="26">
        <v>1269</v>
      </c>
      <c r="G392" s="26">
        <v>740</v>
      </c>
      <c r="H392" s="11">
        <v>43952</v>
      </c>
    </row>
    <row r="393" spans="1:8" x14ac:dyDescent="0.25">
      <c r="A393">
        <v>392</v>
      </c>
      <c r="B393" s="35" t="s">
        <v>1860</v>
      </c>
      <c r="F393" s="26">
        <v>1869</v>
      </c>
      <c r="G393" s="26">
        <v>1090</v>
      </c>
      <c r="H393" s="11">
        <v>43952</v>
      </c>
    </row>
    <row r="394" spans="1:8" x14ac:dyDescent="0.25">
      <c r="A394">
        <v>393</v>
      </c>
      <c r="B394" s="35" t="s">
        <v>1861</v>
      </c>
      <c r="F394" s="26">
        <v>1729</v>
      </c>
      <c r="G394" s="26">
        <v>1009</v>
      </c>
      <c r="H394" s="11">
        <v>43952</v>
      </c>
    </row>
    <row r="395" spans="1:8" x14ac:dyDescent="0.25">
      <c r="A395">
        <v>394</v>
      </c>
      <c r="B395" s="35" t="s">
        <v>1862</v>
      </c>
      <c r="F395" s="26">
        <v>2799</v>
      </c>
      <c r="G395" s="26">
        <v>1633</v>
      </c>
      <c r="H395" s="11">
        <v>43952</v>
      </c>
    </row>
    <row r="396" spans="1:8" x14ac:dyDescent="0.25">
      <c r="A396">
        <v>395</v>
      </c>
      <c r="B396" s="35" t="s">
        <v>1863</v>
      </c>
      <c r="F396" s="26">
        <v>3999</v>
      </c>
      <c r="G396" s="26">
        <v>2333</v>
      </c>
      <c r="H396" s="11">
        <v>43952</v>
      </c>
    </row>
    <row r="397" spans="1:8" x14ac:dyDescent="0.25">
      <c r="A397">
        <v>396</v>
      </c>
      <c r="B397" s="35" t="s">
        <v>2298</v>
      </c>
      <c r="F397" s="26">
        <v>4190</v>
      </c>
      <c r="G397" s="26">
        <v>2863</v>
      </c>
      <c r="H397" s="11">
        <v>43952</v>
      </c>
    </row>
    <row r="398" spans="1:8" x14ac:dyDescent="0.25">
      <c r="A398">
        <v>397</v>
      </c>
      <c r="B398" s="35" t="s">
        <v>2299</v>
      </c>
      <c r="F398" s="26">
        <v>4490</v>
      </c>
      <c r="G398" s="26">
        <v>3068</v>
      </c>
      <c r="H398" s="11">
        <v>43952</v>
      </c>
    </row>
    <row r="399" spans="1:8" x14ac:dyDescent="0.25">
      <c r="A399">
        <v>398</v>
      </c>
      <c r="B399" s="35" t="s">
        <v>2272</v>
      </c>
      <c r="F399" s="26">
        <v>7890</v>
      </c>
      <c r="G399" s="26">
        <v>5392</v>
      </c>
      <c r="H399" s="11">
        <v>43952</v>
      </c>
    </row>
    <row r="400" spans="1:8" x14ac:dyDescent="0.25">
      <c r="A400">
        <v>399</v>
      </c>
      <c r="B400" s="35" t="s">
        <v>2273</v>
      </c>
      <c r="F400" s="26">
        <v>9090</v>
      </c>
      <c r="G400" s="26">
        <v>6212</v>
      </c>
      <c r="H400" s="11">
        <v>43952</v>
      </c>
    </row>
    <row r="401" spans="1:8" x14ac:dyDescent="0.25">
      <c r="A401">
        <v>400</v>
      </c>
      <c r="B401" s="35" t="s">
        <v>2276</v>
      </c>
      <c r="F401" s="26">
        <v>14190</v>
      </c>
      <c r="G401" s="26">
        <v>9697</v>
      </c>
      <c r="H401" s="11">
        <v>43952</v>
      </c>
    </row>
    <row r="402" spans="1:8" x14ac:dyDescent="0.25">
      <c r="A402">
        <v>401</v>
      </c>
      <c r="B402" s="35" t="s">
        <v>3498</v>
      </c>
      <c r="F402" s="26">
        <v>6919</v>
      </c>
      <c r="G402" s="26">
        <v>4036</v>
      </c>
      <c r="H402" s="11">
        <v>43952</v>
      </c>
    </row>
    <row r="403" spans="1:8" x14ac:dyDescent="0.25">
      <c r="A403">
        <v>402</v>
      </c>
      <c r="B403" s="35" t="s">
        <v>3499</v>
      </c>
      <c r="F403" s="26">
        <v>10989</v>
      </c>
      <c r="G403" s="26">
        <v>6410</v>
      </c>
      <c r="H403" s="11">
        <v>43952</v>
      </c>
    </row>
    <row r="404" spans="1:8" x14ac:dyDescent="0.25">
      <c r="A404">
        <v>403</v>
      </c>
      <c r="B404" s="35" t="s">
        <v>3502</v>
      </c>
      <c r="F404" s="26">
        <v>2959</v>
      </c>
      <c r="G404" s="26">
        <v>1726</v>
      </c>
      <c r="H404" s="11">
        <v>43952</v>
      </c>
    </row>
    <row r="405" spans="1:8" x14ac:dyDescent="0.25">
      <c r="A405">
        <v>404</v>
      </c>
      <c r="B405" s="35" t="s">
        <v>3506</v>
      </c>
      <c r="F405" s="26">
        <v>9119</v>
      </c>
      <c r="G405" s="26">
        <v>5319</v>
      </c>
      <c r="H405" s="11">
        <v>43952</v>
      </c>
    </row>
    <row r="406" spans="1:8" x14ac:dyDescent="0.25">
      <c r="A406">
        <v>405</v>
      </c>
      <c r="B406" s="35" t="s">
        <v>3507</v>
      </c>
      <c r="F406" s="26">
        <v>8129</v>
      </c>
      <c r="G406" s="26">
        <v>4742</v>
      </c>
      <c r="H406" s="11">
        <v>43952</v>
      </c>
    </row>
    <row r="407" spans="1:8" x14ac:dyDescent="0.25">
      <c r="A407">
        <v>406</v>
      </c>
      <c r="B407" s="35" t="s">
        <v>2655</v>
      </c>
      <c r="F407" s="26">
        <v>1264</v>
      </c>
      <c r="G407" s="26">
        <v>822</v>
      </c>
      <c r="H407" s="11">
        <v>43952</v>
      </c>
    </row>
    <row r="408" spans="1:8" x14ac:dyDescent="0.25">
      <c r="A408">
        <v>407</v>
      </c>
      <c r="B408" s="35" t="s">
        <v>2654</v>
      </c>
      <c r="F408" s="26">
        <v>2419</v>
      </c>
      <c r="G408" s="26">
        <v>1653</v>
      </c>
      <c r="H408" s="11">
        <v>43952</v>
      </c>
    </row>
    <row r="409" spans="1:8" x14ac:dyDescent="0.25">
      <c r="A409">
        <v>408</v>
      </c>
      <c r="B409" s="35" t="s">
        <v>220</v>
      </c>
      <c r="F409" s="26">
        <v>285</v>
      </c>
      <c r="G409" s="26">
        <v>176</v>
      </c>
      <c r="H409" s="11">
        <v>43952</v>
      </c>
    </row>
    <row r="410" spans="1:8" x14ac:dyDescent="0.25">
      <c r="A410">
        <v>409</v>
      </c>
      <c r="B410" s="35" t="s">
        <v>223</v>
      </c>
      <c r="F410" s="26">
        <v>285</v>
      </c>
      <c r="G410" s="26">
        <v>176</v>
      </c>
      <c r="H410" s="11">
        <v>43952</v>
      </c>
    </row>
    <row r="411" spans="1:8" x14ac:dyDescent="0.25">
      <c r="A411">
        <v>410</v>
      </c>
      <c r="B411" s="35" t="s">
        <v>226</v>
      </c>
      <c r="F411" s="26">
        <v>299</v>
      </c>
      <c r="G411" s="26">
        <v>184</v>
      </c>
      <c r="H411" s="11">
        <v>43952</v>
      </c>
    </row>
    <row r="412" spans="1:8" x14ac:dyDescent="0.25">
      <c r="A412">
        <v>411</v>
      </c>
      <c r="B412" s="35" t="s">
        <v>2811</v>
      </c>
      <c r="F412" s="26">
        <v>649</v>
      </c>
      <c r="G412" s="26">
        <v>400</v>
      </c>
      <c r="H412" s="11">
        <v>43952</v>
      </c>
    </row>
    <row r="413" spans="1:8" x14ac:dyDescent="0.25">
      <c r="A413">
        <v>412</v>
      </c>
      <c r="B413" s="35" t="s">
        <v>2814</v>
      </c>
      <c r="F413" s="26">
        <v>759</v>
      </c>
      <c r="G413" s="26">
        <v>468</v>
      </c>
      <c r="H413" s="11">
        <v>43952</v>
      </c>
    </row>
    <row r="414" spans="1:8" x14ac:dyDescent="0.25">
      <c r="A414">
        <v>413</v>
      </c>
      <c r="B414" s="35" t="s">
        <v>2766</v>
      </c>
      <c r="F414" s="26">
        <v>539</v>
      </c>
      <c r="G414" s="26">
        <v>332</v>
      </c>
      <c r="H414" s="11">
        <v>43952</v>
      </c>
    </row>
    <row r="415" spans="1:8" x14ac:dyDescent="0.25">
      <c r="A415">
        <v>414</v>
      </c>
      <c r="B415" s="35" t="s">
        <v>2769</v>
      </c>
      <c r="F415" s="26">
        <v>539</v>
      </c>
      <c r="G415" s="26">
        <v>332</v>
      </c>
      <c r="H415" s="11">
        <v>43952</v>
      </c>
    </row>
    <row r="416" spans="1:8" x14ac:dyDescent="0.25">
      <c r="A416">
        <v>415</v>
      </c>
      <c r="B416" s="35" t="s">
        <v>2781</v>
      </c>
      <c r="F416" s="26">
        <v>429</v>
      </c>
      <c r="G416" s="26">
        <v>265</v>
      </c>
      <c r="H416" s="11">
        <v>43952</v>
      </c>
    </row>
    <row r="417" spans="1:8" x14ac:dyDescent="0.25">
      <c r="A417">
        <v>416</v>
      </c>
      <c r="B417" s="35" t="s">
        <v>2784</v>
      </c>
      <c r="F417" s="26">
        <v>539</v>
      </c>
      <c r="G417" s="26">
        <v>332</v>
      </c>
      <c r="H417" s="11">
        <v>43952</v>
      </c>
    </row>
    <row r="418" spans="1:8" x14ac:dyDescent="0.25">
      <c r="A418">
        <v>417</v>
      </c>
      <c r="B418" s="35" t="s">
        <v>2601</v>
      </c>
      <c r="F418" s="26">
        <v>759</v>
      </c>
      <c r="G418" s="26">
        <v>455</v>
      </c>
      <c r="H418" s="11">
        <v>43952</v>
      </c>
    </row>
    <row r="419" spans="1:8" x14ac:dyDescent="0.25">
      <c r="A419">
        <v>418</v>
      </c>
      <c r="B419" s="35" t="s">
        <v>2604</v>
      </c>
      <c r="F419" s="26">
        <v>1199</v>
      </c>
      <c r="G419" s="26">
        <v>719</v>
      </c>
      <c r="H419" s="11">
        <v>43952</v>
      </c>
    </row>
    <row r="420" spans="1:8" x14ac:dyDescent="0.25">
      <c r="A420">
        <v>419</v>
      </c>
      <c r="B420" s="35" t="s">
        <v>2609</v>
      </c>
      <c r="F420" s="26">
        <v>1089</v>
      </c>
      <c r="G420" s="26">
        <v>653</v>
      </c>
      <c r="H420" s="11">
        <v>43952</v>
      </c>
    </row>
    <row r="421" spans="1:8" x14ac:dyDescent="0.25">
      <c r="A421">
        <v>420</v>
      </c>
      <c r="B421" s="35" t="s">
        <v>2612</v>
      </c>
      <c r="F421" s="26">
        <v>1309</v>
      </c>
      <c r="G421" s="26">
        <v>785</v>
      </c>
      <c r="H421" s="11">
        <v>43952</v>
      </c>
    </row>
    <row r="422" spans="1:8" x14ac:dyDescent="0.25">
      <c r="A422">
        <v>421</v>
      </c>
      <c r="B422" s="35" t="s">
        <v>2630</v>
      </c>
      <c r="F422" s="26">
        <v>1969</v>
      </c>
      <c r="G422" s="26">
        <v>1181</v>
      </c>
      <c r="H422" s="11">
        <v>43952</v>
      </c>
    </row>
    <row r="423" spans="1:8" x14ac:dyDescent="0.25">
      <c r="A423">
        <v>422</v>
      </c>
      <c r="B423" s="35" t="s">
        <v>2623</v>
      </c>
      <c r="F423" s="26">
        <v>1859</v>
      </c>
      <c r="G423" s="26">
        <v>1115</v>
      </c>
      <c r="H423" s="11">
        <v>43952</v>
      </c>
    </row>
    <row r="424" spans="1:8" x14ac:dyDescent="0.25">
      <c r="A424">
        <v>423</v>
      </c>
      <c r="B424" s="35" t="s">
        <v>2633</v>
      </c>
      <c r="F424" s="26">
        <v>2849</v>
      </c>
      <c r="G424" s="26">
        <v>1709</v>
      </c>
      <c r="H424" s="11">
        <v>43952</v>
      </c>
    </row>
    <row r="425" spans="1:8" x14ac:dyDescent="0.25">
      <c r="A425">
        <v>424</v>
      </c>
      <c r="B425" s="35" t="s">
        <v>1855</v>
      </c>
      <c r="F425" s="26">
        <v>1379</v>
      </c>
      <c r="G425" s="26">
        <v>804</v>
      </c>
      <c r="H425" s="11">
        <v>43952</v>
      </c>
    </row>
    <row r="426" spans="1:8" x14ac:dyDescent="0.25">
      <c r="A426">
        <v>425</v>
      </c>
      <c r="B426" s="35" t="s">
        <v>1893</v>
      </c>
      <c r="F426" s="26">
        <v>2990</v>
      </c>
      <c r="G426" s="26">
        <v>1744</v>
      </c>
      <c r="H426" s="11">
        <v>43952</v>
      </c>
    </row>
    <row r="427" spans="1:8" x14ac:dyDescent="0.25">
      <c r="A427">
        <v>426</v>
      </c>
      <c r="B427" s="35" t="s">
        <v>1901</v>
      </c>
      <c r="F427" s="26">
        <v>4590</v>
      </c>
      <c r="G427" s="26">
        <v>2678</v>
      </c>
      <c r="H427" s="11">
        <v>43952</v>
      </c>
    </row>
    <row r="428" spans="1:8" x14ac:dyDescent="0.25">
      <c r="A428">
        <v>427</v>
      </c>
      <c r="B428" s="35" t="s">
        <v>1788</v>
      </c>
      <c r="F428" s="26">
        <v>1599</v>
      </c>
      <c r="G428" s="26">
        <v>866</v>
      </c>
      <c r="H428" s="11">
        <v>43952</v>
      </c>
    </row>
    <row r="429" spans="1:8" x14ac:dyDescent="0.25">
      <c r="A429">
        <v>428</v>
      </c>
      <c r="B429" s="35" t="s">
        <v>3412</v>
      </c>
      <c r="F429" s="26">
        <v>2189</v>
      </c>
      <c r="G429" s="26">
        <v>1277</v>
      </c>
      <c r="H429" s="11">
        <v>43952</v>
      </c>
    </row>
    <row r="430" spans="1:8" x14ac:dyDescent="0.25">
      <c r="A430">
        <v>429</v>
      </c>
      <c r="B430" s="35" t="s">
        <v>3269</v>
      </c>
      <c r="F430" s="26">
        <v>6390</v>
      </c>
      <c r="G430" s="26">
        <v>4045</v>
      </c>
      <c r="H430" s="11">
        <v>43952</v>
      </c>
    </row>
    <row r="431" spans="1:8" x14ac:dyDescent="0.25">
      <c r="A431">
        <v>430</v>
      </c>
      <c r="B431" s="35" t="s">
        <v>3174</v>
      </c>
      <c r="F431" s="26">
        <v>6690</v>
      </c>
      <c r="G431" s="26">
        <v>4235</v>
      </c>
      <c r="H431" s="11">
        <v>43952</v>
      </c>
    </row>
    <row r="432" spans="1:8" x14ac:dyDescent="0.25">
      <c r="A432">
        <v>431</v>
      </c>
      <c r="B432" s="35" t="s">
        <v>2406</v>
      </c>
      <c r="F432" s="26">
        <v>6990</v>
      </c>
      <c r="G432" s="26">
        <v>4776</v>
      </c>
      <c r="H432" s="11">
        <v>43952</v>
      </c>
    </row>
    <row r="433" spans="1:8" x14ac:dyDescent="0.25">
      <c r="A433">
        <v>432</v>
      </c>
      <c r="B433" s="35" t="s">
        <v>2468</v>
      </c>
      <c r="F433" s="26">
        <v>4609</v>
      </c>
      <c r="G433" s="26">
        <v>2497</v>
      </c>
      <c r="H433" s="11">
        <v>43952</v>
      </c>
    </row>
    <row r="434" spans="1:8" x14ac:dyDescent="0.25">
      <c r="A434">
        <v>433</v>
      </c>
      <c r="B434" s="35" t="s">
        <v>2467</v>
      </c>
      <c r="F434" s="26">
        <v>1408</v>
      </c>
      <c r="G434" s="26">
        <v>763</v>
      </c>
      <c r="H434" s="11">
        <v>43952</v>
      </c>
    </row>
    <row r="435" spans="1:8" x14ac:dyDescent="0.25">
      <c r="A435">
        <v>434</v>
      </c>
      <c r="B435" s="35" t="s">
        <v>2486</v>
      </c>
      <c r="F435" s="26">
        <v>1749</v>
      </c>
      <c r="G435" s="26">
        <v>1035</v>
      </c>
      <c r="H435" s="11">
        <v>43952</v>
      </c>
    </row>
    <row r="436" spans="1:8" x14ac:dyDescent="0.25">
      <c r="A436">
        <v>435</v>
      </c>
      <c r="B436" s="35" t="s">
        <v>2487</v>
      </c>
      <c r="F436" s="26">
        <v>2079</v>
      </c>
      <c r="G436" s="26">
        <v>1230</v>
      </c>
      <c r="H436" s="11">
        <v>43952</v>
      </c>
    </row>
    <row r="437" spans="1:8" x14ac:dyDescent="0.25">
      <c r="A437">
        <v>436</v>
      </c>
      <c r="B437" s="35" t="s">
        <v>2485</v>
      </c>
      <c r="F437" s="26">
        <v>1969</v>
      </c>
      <c r="G437" s="26">
        <v>1165</v>
      </c>
      <c r="H437" s="11">
        <v>43952</v>
      </c>
    </row>
    <row r="438" spans="1:8" x14ac:dyDescent="0.25">
      <c r="A438">
        <v>437</v>
      </c>
      <c r="B438" s="35" t="s">
        <v>2488</v>
      </c>
      <c r="F438" s="26">
        <v>2189</v>
      </c>
      <c r="G438" s="26">
        <v>1295</v>
      </c>
      <c r="H438" s="11">
        <v>43952</v>
      </c>
    </row>
    <row r="439" spans="1:8" x14ac:dyDescent="0.25">
      <c r="A439">
        <v>438</v>
      </c>
      <c r="B439" s="35" t="s">
        <v>2383</v>
      </c>
      <c r="F439" s="26">
        <v>7890</v>
      </c>
      <c r="G439" s="26">
        <v>5655</v>
      </c>
      <c r="H439" s="11">
        <v>43952</v>
      </c>
    </row>
    <row r="440" spans="1:8" x14ac:dyDescent="0.25">
      <c r="A440">
        <v>439</v>
      </c>
      <c r="B440" s="35" t="s">
        <v>2380</v>
      </c>
      <c r="F440" s="26">
        <v>11590</v>
      </c>
      <c r="G440" s="26">
        <v>7920</v>
      </c>
      <c r="H440" s="11">
        <v>43952</v>
      </c>
    </row>
    <row r="441" spans="1:8" x14ac:dyDescent="0.25">
      <c r="A441">
        <v>440</v>
      </c>
      <c r="B441" s="35" t="s">
        <v>2378</v>
      </c>
      <c r="F441" s="26">
        <v>30190</v>
      </c>
      <c r="G441" s="26">
        <v>20630</v>
      </c>
      <c r="H441" s="11">
        <v>43952</v>
      </c>
    </row>
    <row r="442" spans="1:8" x14ac:dyDescent="0.25">
      <c r="A442">
        <v>441</v>
      </c>
      <c r="B442" s="35" t="s">
        <v>2382</v>
      </c>
      <c r="F442" s="26">
        <v>16890</v>
      </c>
      <c r="G442" s="26">
        <v>11541</v>
      </c>
      <c r="H442" s="11">
        <v>43952</v>
      </c>
    </row>
    <row r="443" spans="1:8" x14ac:dyDescent="0.25">
      <c r="A443">
        <v>442</v>
      </c>
      <c r="B443" s="35" t="s">
        <v>2379</v>
      </c>
      <c r="F443" s="26">
        <v>50690</v>
      </c>
      <c r="G443" s="26">
        <v>34639</v>
      </c>
      <c r="H443" s="11">
        <v>43952</v>
      </c>
    </row>
    <row r="444" spans="1:8" x14ac:dyDescent="0.25">
      <c r="A444">
        <v>443</v>
      </c>
      <c r="B444" s="35" t="s">
        <v>2243</v>
      </c>
      <c r="F444" s="26">
        <v>2090</v>
      </c>
      <c r="G444" s="26">
        <v>1428</v>
      </c>
      <c r="H444" s="11">
        <v>43952</v>
      </c>
    </row>
    <row r="445" spans="1:8" x14ac:dyDescent="0.25">
      <c r="A445">
        <v>444</v>
      </c>
      <c r="B445" s="35" t="s">
        <v>2093</v>
      </c>
      <c r="F445" s="26">
        <v>1039</v>
      </c>
      <c r="G445" s="26">
        <v>624</v>
      </c>
      <c r="H445" s="11">
        <v>43952</v>
      </c>
    </row>
    <row r="446" spans="1:8" x14ac:dyDescent="0.25">
      <c r="A446">
        <v>445</v>
      </c>
      <c r="B446" s="35" t="s">
        <v>2095</v>
      </c>
      <c r="F446" s="26">
        <v>1190</v>
      </c>
      <c r="G446" s="26">
        <v>714</v>
      </c>
      <c r="H446" s="11">
        <v>43952</v>
      </c>
    </row>
    <row r="447" spans="1:8" x14ac:dyDescent="0.25">
      <c r="A447">
        <v>446</v>
      </c>
      <c r="B447" s="35" t="s">
        <v>2097</v>
      </c>
      <c r="F447" s="26">
        <v>1039</v>
      </c>
      <c r="G447" s="26">
        <v>624</v>
      </c>
      <c r="H447" s="11">
        <v>43952</v>
      </c>
    </row>
    <row r="448" spans="1:8" x14ac:dyDescent="0.25">
      <c r="A448">
        <v>447</v>
      </c>
      <c r="B448" s="35" t="s">
        <v>2098</v>
      </c>
      <c r="F448" s="26">
        <v>1039</v>
      </c>
      <c r="G448" s="26">
        <v>624</v>
      </c>
      <c r="H448" s="11">
        <v>43952</v>
      </c>
    </row>
    <row r="449" spans="1:8" x14ac:dyDescent="0.25">
      <c r="A449">
        <v>448</v>
      </c>
      <c r="B449" s="35" t="s">
        <v>2099</v>
      </c>
      <c r="F449" s="26">
        <v>1039</v>
      </c>
      <c r="G449" s="26">
        <v>624</v>
      </c>
      <c r="H449" s="11">
        <v>43952</v>
      </c>
    </row>
    <row r="450" spans="1:8" x14ac:dyDescent="0.25">
      <c r="A450">
        <v>449</v>
      </c>
      <c r="B450" s="35" t="s">
        <v>2101</v>
      </c>
      <c r="F450" s="26">
        <v>1190</v>
      </c>
      <c r="G450" s="26">
        <v>714</v>
      </c>
      <c r="H450" s="11">
        <v>43952</v>
      </c>
    </row>
    <row r="451" spans="1:8" x14ac:dyDescent="0.25">
      <c r="A451">
        <v>450</v>
      </c>
      <c r="B451" s="35" t="s">
        <v>2102</v>
      </c>
      <c r="F451" s="26">
        <v>629</v>
      </c>
      <c r="G451" s="26">
        <v>378</v>
      </c>
      <c r="H451" s="11">
        <v>43952</v>
      </c>
    </row>
    <row r="452" spans="1:8" x14ac:dyDescent="0.25">
      <c r="A452">
        <v>451</v>
      </c>
      <c r="B452" s="35" t="s">
        <v>2106</v>
      </c>
      <c r="F452" s="26">
        <v>919</v>
      </c>
      <c r="G452" s="26">
        <v>552</v>
      </c>
      <c r="H452" s="11">
        <v>43952</v>
      </c>
    </row>
    <row r="453" spans="1:8" x14ac:dyDescent="0.25">
      <c r="A453">
        <v>452</v>
      </c>
      <c r="B453" s="35" t="s">
        <v>2107</v>
      </c>
      <c r="F453" s="26">
        <v>519</v>
      </c>
      <c r="G453" s="26">
        <v>312</v>
      </c>
      <c r="H453" s="11">
        <v>43952</v>
      </c>
    </row>
    <row r="454" spans="1:8" x14ac:dyDescent="0.25">
      <c r="A454">
        <v>453</v>
      </c>
      <c r="B454" s="35" t="s">
        <v>2109</v>
      </c>
      <c r="F454" s="26">
        <v>519</v>
      </c>
      <c r="G454" s="26">
        <v>311</v>
      </c>
      <c r="H454" s="11">
        <v>43952</v>
      </c>
    </row>
    <row r="455" spans="1:8" x14ac:dyDescent="0.25">
      <c r="A455">
        <v>454</v>
      </c>
      <c r="B455" s="35" t="s">
        <v>2110</v>
      </c>
      <c r="F455" s="26">
        <v>529</v>
      </c>
      <c r="G455" s="26">
        <v>318</v>
      </c>
      <c r="H455" s="11">
        <v>43952</v>
      </c>
    </row>
    <row r="456" spans="1:8" x14ac:dyDescent="0.25">
      <c r="A456">
        <v>455</v>
      </c>
      <c r="B456" s="35" t="s">
        <v>2111</v>
      </c>
      <c r="F456" s="26">
        <v>1190</v>
      </c>
      <c r="G456" s="26">
        <v>714</v>
      </c>
      <c r="H456" s="11">
        <v>43952</v>
      </c>
    </row>
    <row r="457" spans="1:8" x14ac:dyDescent="0.25">
      <c r="A457">
        <v>456</v>
      </c>
      <c r="B457" s="35" t="s">
        <v>2112</v>
      </c>
      <c r="F457" s="26">
        <v>790</v>
      </c>
      <c r="G457" s="26">
        <v>474</v>
      </c>
      <c r="H457" s="11">
        <v>43952</v>
      </c>
    </row>
    <row r="458" spans="1:8" x14ac:dyDescent="0.25">
      <c r="A458">
        <v>457</v>
      </c>
      <c r="B458" s="35" t="s">
        <v>2113</v>
      </c>
      <c r="F458" s="26">
        <v>790</v>
      </c>
      <c r="G458" s="26">
        <v>474</v>
      </c>
      <c r="H458" s="11">
        <v>43952</v>
      </c>
    </row>
    <row r="459" spans="1:8" x14ac:dyDescent="0.25">
      <c r="A459">
        <v>458</v>
      </c>
      <c r="B459" s="35" t="s">
        <v>2114</v>
      </c>
      <c r="F459" s="26">
        <v>790</v>
      </c>
      <c r="G459" s="26">
        <v>474</v>
      </c>
      <c r="H459" s="11">
        <v>43952</v>
      </c>
    </row>
    <row r="460" spans="1:8" x14ac:dyDescent="0.25">
      <c r="A460">
        <v>459</v>
      </c>
      <c r="B460" s="35" t="s">
        <v>2115</v>
      </c>
      <c r="F460" s="26">
        <v>790</v>
      </c>
      <c r="G460" s="26">
        <v>474</v>
      </c>
      <c r="H460" s="11">
        <v>43952</v>
      </c>
    </row>
    <row r="461" spans="1:8" x14ac:dyDescent="0.25">
      <c r="A461">
        <v>460</v>
      </c>
      <c r="B461" s="35" t="s">
        <v>2119</v>
      </c>
      <c r="F461" s="26">
        <v>3190</v>
      </c>
      <c r="G461" s="26">
        <v>1914</v>
      </c>
      <c r="H461" s="11">
        <v>43952</v>
      </c>
    </row>
    <row r="462" spans="1:8" x14ac:dyDescent="0.25">
      <c r="A462">
        <v>461</v>
      </c>
      <c r="B462" s="35" t="s">
        <v>2120</v>
      </c>
      <c r="F462" s="26">
        <v>2190</v>
      </c>
      <c r="G462" s="26">
        <v>1314</v>
      </c>
      <c r="H462" s="11">
        <v>43952</v>
      </c>
    </row>
    <row r="463" spans="1:8" x14ac:dyDescent="0.25">
      <c r="A463">
        <v>462</v>
      </c>
      <c r="B463" s="35" t="s">
        <v>2123</v>
      </c>
      <c r="F463" s="26">
        <v>2990</v>
      </c>
      <c r="G463" s="26">
        <v>1794</v>
      </c>
      <c r="H463" s="11">
        <v>43952</v>
      </c>
    </row>
    <row r="464" spans="1:8" x14ac:dyDescent="0.25">
      <c r="A464">
        <v>463</v>
      </c>
      <c r="B464" s="35" t="s">
        <v>2124</v>
      </c>
      <c r="F464" s="26">
        <v>2990</v>
      </c>
      <c r="G464" s="26">
        <v>1794</v>
      </c>
      <c r="H464" s="11">
        <v>43952</v>
      </c>
    </row>
    <row r="465" spans="1:8" x14ac:dyDescent="0.25">
      <c r="A465">
        <v>464</v>
      </c>
      <c r="B465" s="35" t="s">
        <v>2257</v>
      </c>
      <c r="F465" s="26">
        <v>5590</v>
      </c>
      <c r="G465" s="26">
        <v>3820</v>
      </c>
      <c r="H465" s="11">
        <v>43952</v>
      </c>
    </row>
    <row r="466" spans="1:8" x14ac:dyDescent="0.25">
      <c r="A466">
        <v>465</v>
      </c>
      <c r="B466" s="35" t="s">
        <v>2314</v>
      </c>
      <c r="F466" s="26">
        <v>6790</v>
      </c>
      <c r="G466" s="26">
        <v>4640</v>
      </c>
      <c r="H466" s="11">
        <v>43952</v>
      </c>
    </row>
    <row r="467" spans="1:8" x14ac:dyDescent="0.25">
      <c r="A467">
        <v>466</v>
      </c>
      <c r="B467" s="35" t="s">
        <v>2279</v>
      </c>
      <c r="F467" s="26">
        <v>14090</v>
      </c>
      <c r="G467" s="26">
        <v>9628</v>
      </c>
      <c r="H467" s="11">
        <v>43952</v>
      </c>
    </row>
    <row r="468" spans="1:8" x14ac:dyDescent="0.25">
      <c r="A468">
        <v>467</v>
      </c>
      <c r="B468" s="35" t="s">
        <v>2280</v>
      </c>
      <c r="F468" s="26">
        <v>15390</v>
      </c>
      <c r="G468" s="26">
        <v>10517</v>
      </c>
      <c r="H468" s="11">
        <v>43952</v>
      </c>
    </row>
    <row r="469" spans="1:8" x14ac:dyDescent="0.25">
      <c r="A469">
        <v>468</v>
      </c>
      <c r="B469" s="35" t="s">
        <v>2241</v>
      </c>
      <c r="F469" s="26">
        <v>6590</v>
      </c>
      <c r="G469" s="26">
        <v>4503</v>
      </c>
      <c r="H469" s="11">
        <v>43952</v>
      </c>
    </row>
    <row r="470" spans="1:8" x14ac:dyDescent="0.25">
      <c r="A470">
        <v>469</v>
      </c>
      <c r="B470" s="35" t="s">
        <v>2250</v>
      </c>
      <c r="F470" s="26">
        <v>14390</v>
      </c>
      <c r="G470" s="26">
        <v>9833</v>
      </c>
      <c r="H470" s="11">
        <v>43952</v>
      </c>
    </row>
    <row r="471" spans="1:8" x14ac:dyDescent="0.25">
      <c r="A471">
        <v>470</v>
      </c>
      <c r="B471" s="35" t="s">
        <v>2251</v>
      </c>
      <c r="F471" s="26">
        <v>17390</v>
      </c>
      <c r="G471" s="26">
        <v>11884</v>
      </c>
      <c r="H471" s="11">
        <v>43952</v>
      </c>
    </row>
    <row r="472" spans="1:8" x14ac:dyDescent="0.25">
      <c r="A472">
        <v>471</v>
      </c>
      <c r="B472" s="35" t="s">
        <v>2244</v>
      </c>
      <c r="F472" s="26">
        <v>5790</v>
      </c>
      <c r="G472" s="26">
        <v>3957</v>
      </c>
      <c r="H472" s="11">
        <v>43952</v>
      </c>
    </row>
    <row r="473" spans="1:8" x14ac:dyDescent="0.25">
      <c r="A473">
        <v>472</v>
      </c>
      <c r="B473" s="35" t="s">
        <v>2635</v>
      </c>
      <c r="F473" s="26">
        <v>1529</v>
      </c>
      <c r="G473" s="26">
        <v>917</v>
      </c>
      <c r="H473" s="11">
        <v>43952</v>
      </c>
    </row>
    <row r="474" spans="1:8" x14ac:dyDescent="0.25">
      <c r="A474">
        <v>473</v>
      </c>
      <c r="B474" s="35" t="s">
        <v>2637</v>
      </c>
      <c r="F474" s="26">
        <v>2299</v>
      </c>
      <c r="G474" s="26">
        <v>1381</v>
      </c>
      <c r="H474" s="11">
        <v>43952</v>
      </c>
    </row>
    <row r="475" spans="1:8" x14ac:dyDescent="0.25">
      <c r="A475">
        <v>474</v>
      </c>
      <c r="B475" s="35" t="s">
        <v>2620</v>
      </c>
      <c r="F475" s="26">
        <v>1089</v>
      </c>
      <c r="G475" s="26">
        <v>654</v>
      </c>
      <c r="H475" s="11">
        <v>43952</v>
      </c>
    </row>
    <row r="476" spans="1:8" x14ac:dyDescent="0.25">
      <c r="A476">
        <v>475</v>
      </c>
      <c r="B476" s="35" t="s">
        <v>2638</v>
      </c>
      <c r="F476" s="26">
        <v>2519</v>
      </c>
      <c r="G476" s="26">
        <v>1512</v>
      </c>
      <c r="H476" s="11">
        <v>43952</v>
      </c>
    </row>
    <row r="477" spans="1:8" x14ac:dyDescent="0.25">
      <c r="A477">
        <v>476</v>
      </c>
      <c r="B477" s="35" t="s">
        <v>2641</v>
      </c>
      <c r="F477" s="26">
        <v>3729</v>
      </c>
      <c r="G477" s="26">
        <v>2239</v>
      </c>
      <c r="H477" s="11">
        <v>43952</v>
      </c>
    </row>
    <row r="478" spans="1:8" x14ac:dyDescent="0.25">
      <c r="A478">
        <v>477</v>
      </c>
      <c r="B478" s="35" t="s">
        <v>2643</v>
      </c>
      <c r="F478" s="26">
        <v>1969</v>
      </c>
      <c r="G478" s="26">
        <v>1181</v>
      </c>
      <c r="H478" s="11">
        <v>43952</v>
      </c>
    </row>
    <row r="479" spans="1:8" x14ac:dyDescent="0.25">
      <c r="A479">
        <v>478</v>
      </c>
      <c r="B479" s="35" t="s">
        <v>2642</v>
      </c>
      <c r="F479" s="26">
        <v>3399</v>
      </c>
      <c r="G479" s="26">
        <v>2039</v>
      </c>
      <c r="H479" s="11">
        <v>43952</v>
      </c>
    </row>
    <row r="480" spans="1:8" x14ac:dyDescent="0.25">
      <c r="A480">
        <v>479</v>
      </c>
      <c r="B480" s="35" t="s">
        <v>2715</v>
      </c>
      <c r="F480" s="26">
        <v>3190</v>
      </c>
      <c r="G480" s="26">
        <v>1914</v>
      </c>
      <c r="H480" s="11">
        <v>43952</v>
      </c>
    </row>
    <row r="481" spans="1:8" x14ac:dyDescent="0.25">
      <c r="A481">
        <v>480</v>
      </c>
      <c r="B481" s="35" t="s">
        <v>2420</v>
      </c>
      <c r="F481" s="26">
        <v>69290</v>
      </c>
      <c r="G481" s="26">
        <v>43306</v>
      </c>
      <c r="H481" s="11">
        <v>43952</v>
      </c>
    </row>
    <row r="482" spans="1:8" x14ac:dyDescent="0.25">
      <c r="A482">
        <v>481</v>
      </c>
      <c r="B482" s="35" t="s">
        <v>2422</v>
      </c>
      <c r="F482" s="26">
        <v>78290</v>
      </c>
      <c r="G482" s="26">
        <v>48931</v>
      </c>
      <c r="H482" s="11">
        <v>43952</v>
      </c>
    </row>
    <row r="483" spans="1:8" x14ac:dyDescent="0.25">
      <c r="A483">
        <v>482</v>
      </c>
      <c r="B483" s="35" t="s">
        <v>2489</v>
      </c>
      <c r="F483" s="26">
        <v>1969</v>
      </c>
      <c r="G483" s="26">
        <v>1165</v>
      </c>
      <c r="H483" s="11">
        <v>43952</v>
      </c>
    </row>
    <row r="484" spans="1:8" x14ac:dyDescent="0.25">
      <c r="A484">
        <v>483</v>
      </c>
      <c r="B484" s="35" t="s">
        <v>221</v>
      </c>
      <c r="F484" s="26">
        <v>662</v>
      </c>
      <c r="G484" s="26">
        <v>408</v>
      </c>
      <c r="H484" s="11">
        <v>43952</v>
      </c>
    </row>
    <row r="485" spans="1:8" x14ac:dyDescent="0.25">
      <c r="A485">
        <v>484</v>
      </c>
      <c r="B485" s="35" t="s">
        <v>224</v>
      </c>
      <c r="F485" s="26">
        <v>662</v>
      </c>
      <c r="G485" s="26">
        <v>408</v>
      </c>
      <c r="H485" s="11">
        <v>43952</v>
      </c>
    </row>
    <row r="486" spans="1:8" x14ac:dyDescent="0.25">
      <c r="A486">
        <v>485</v>
      </c>
      <c r="B486" s="35" t="s">
        <v>2774</v>
      </c>
      <c r="F486" s="26">
        <v>662</v>
      </c>
      <c r="G486" s="26">
        <v>408</v>
      </c>
      <c r="H486" s="11">
        <v>43952</v>
      </c>
    </row>
    <row r="487" spans="1:8" x14ac:dyDescent="0.25">
      <c r="A487">
        <v>486</v>
      </c>
      <c r="B487" s="35" t="s">
        <v>2816</v>
      </c>
      <c r="F487" s="26">
        <v>1089</v>
      </c>
      <c r="G487" s="26">
        <v>662</v>
      </c>
      <c r="H487" s="11">
        <v>43952</v>
      </c>
    </row>
    <row r="488" spans="1:8" x14ac:dyDescent="0.25">
      <c r="A488">
        <v>487</v>
      </c>
      <c r="B488" s="35" t="s">
        <v>2818</v>
      </c>
      <c r="F488" s="26">
        <v>1089</v>
      </c>
      <c r="G488" s="26">
        <v>662</v>
      </c>
      <c r="H488" s="11">
        <v>43952</v>
      </c>
    </row>
    <row r="489" spans="1:8" x14ac:dyDescent="0.25">
      <c r="A489">
        <v>488</v>
      </c>
      <c r="B489" s="35" t="s">
        <v>2776</v>
      </c>
      <c r="F489" s="26">
        <v>759</v>
      </c>
      <c r="G489" s="26">
        <v>468</v>
      </c>
      <c r="H489" s="11">
        <v>43952</v>
      </c>
    </row>
    <row r="490" spans="1:8" x14ac:dyDescent="0.25">
      <c r="A490">
        <v>489</v>
      </c>
      <c r="B490" s="35" t="s">
        <v>2778</v>
      </c>
      <c r="F490" s="26">
        <v>869</v>
      </c>
      <c r="G490" s="26">
        <v>536</v>
      </c>
      <c r="H490" s="11">
        <v>43952</v>
      </c>
    </row>
    <row r="491" spans="1:8" x14ac:dyDescent="0.25">
      <c r="A491">
        <v>490</v>
      </c>
      <c r="B491" s="35" t="s">
        <v>2836</v>
      </c>
      <c r="F491" s="26">
        <v>3729</v>
      </c>
      <c r="G491" s="26">
        <v>2268</v>
      </c>
      <c r="H491" s="11">
        <v>43952</v>
      </c>
    </row>
    <row r="492" spans="1:8" x14ac:dyDescent="0.25">
      <c r="A492">
        <v>491</v>
      </c>
      <c r="B492" s="35" t="s">
        <v>2835</v>
      </c>
      <c r="F492" s="26">
        <v>1309</v>
      </c>
      <c r="G492" s="26">
        <v>796</v>
      </c>
      <c r="H492" s="11">
        <v>43952</v>
      </c>
    </row>
    <row r="493" spans="1:8" x14ac:dyDescent="0.25">
      <c r="A493">
        <v>492</v>
      </c>
      <c r="B493" s="35" t="s">
        <v>2727</v>
      </c>
      <c r="F493" s="26">
        <v>1199</v>
      </c>
      <c r="G493" s="26">
        <v>729</v>
      </c>
      <c r="H493" s="11">
        <v>43952</v>
      </c>
    </row>
    <row r="494" spans="1:8" x14ac:dyDescent="0.25">
      <c r="A494">
        <v>493</v>
      </c>
      <c r="B494" s="35" t="s">
        <v>3022</v>
      </c>
      <c r="F494" s="26">
        <v>10690</v>
      </c>
      <c r="G494" s="26">
        <v>6681</v>
      </c>
      <c r="H494" s="11">
        <v>43952</v>
      </c>
    </row>
    <row r="495" spans="1:8" x14ac:dyDescent="0.25">
      <c r="A495">
        <v>494</v>
      </c>
      <c r="B495" s="35" t="s">
        <v>2985</v>
      </c>
      <c r="F495" s="26">
        <v>4129</v>
      </c>
      <c r="G495" s="26">
        <v>2581</v>
      </c>
      <c r="H495" s="11">
        <v>43952</v>
      </c>
    </row>
    <row r="496" spans="1:8" x14ac:dyDescent="0.25">
      <c r="A496">
        <v>495</v>
      </c>
      <c r="B496" s="35" t="s">
        <v>2986</v>
      </c>
      <c r="F496" s="26">
        <v>5590</v>
      </c>
      <c r="G496" s="26">
        <v>3494</v>
      </c>
      <c r="H496" s="11">
        <v>43952</v>
      </c>
    </row>
    <row r="497" spans="1:8" x14ac:dyDescent="0.25">
      <c r="A497">
        <v>496</v>
      </c>
      <c r="B497" s="35" t="s">
        <v>2987</v>
      </c>
      <c r="F497" s="26">
        <v>5590</v>
      </c>
      <c r="G497" s="26">
        <v>3494</v>
      </c>
      <c r="H497" s="11">
        <v>43952</v>
      </c>
    </row>
    <row r="498" spans="1:8" x14ac:dyDescent="0.25">
      <c r="A498">
        <v>497</v>
      </c>
      <c r="B498" s="35" t="s">
        <v>2990</v>
      </c>
      <c r="F498" s="26">
        <v>6090</v>
      </c>
      <c r="G498" s="26">
        <v>3806</v>
      </c>
      <c r="H498" s="11">
        <v>43952</v>
      </c>
    </row>
    <row r="499" spans="1:8" x14ac:dyDescent="0.25">
      <c r="A499">
        <v>498</v>
      </c>
      <c r="B499" s="35" t="s">
        <v>2992</v>
      </c>
      <c r="F499" s="26">
        <v>8490</v>
      </c>
      <c r="G499" s="26">
        <v>5306</v>
      </c>
      <c r="H499" s="11">
        <v>43952</v>
      </c>
    </row>
    <row r="500" spans="1:8" x14ac:dyDescent="0.25">
      <c r="A500">
        <v>499</v>
      </c>
      <c r="B500" s="35" t="s">
        <v>2996</v>
      </c>
      <c r="F500" s="26">
        <v>7690</v>
      </c>
      <c r="G500" s="26">
        <v>4806</v>
      </c>
      <c r="H500" s="11">
        <v>43952</v>
      </c>
    </row>
    <row r="501" spans="1:8" x14ac:dyDescent="0.25">
      <c r="A501">
        <v>500</v>
      </c>
      <c r="B501" s="35" t="s">
        <v>2997</v>
      </c>
      <c r="F501" s="26">
        <v>8790</v>
      </c>
      <c r="G501" s="26">
        <v>5494</v>
      </c>
      <c r="H501" s="11">
        <v>43952</v>
      </c>
    </row>
    <row r="502" spans="1:8" x14ac:dyDescent="0.25">
      <c r="A502">
        <v>501</v>
      </c>
      <c r="B502" s="35" t="s">
        <v>2636</v>
      </c>
      <c r="F502" s="26">
        <v>1529</v>
      </c>
      <c r="G502" s="26">
        <v>917</v>
      </c>
      <c r="H502" s="11">
        <v>43952</v>
      </c>
    </row>
    <row r="503" spans="1:8" x14ac:dyDescent="0.25">
      <c r="A503">
        <v>502</v>
      </c>
      <c r="B503" s="35" t="s">
        <v>2644</v>
      </c>
      <c r="F503" s="26">
        <v>2739</v>
      </c>
      <c r="G503" s="26">
        <v>1643</v>
      </c>
      <c r="H503" s="11">
        <v>43952</v>
      </c>
    </row>
    <row r="504" spans="1:8" x14ac:dyDescent="0.25">
      <c r="A504">
        <v>503</v>
      </c>
      <c r="B504" s="35" t="s">
        <v>2621</v>
      </c>
      <c r="F504" s="26">
        <v>1089</v>
      </c>
      <c r="G504" s="26">
        <v>653</v>
      </c>
      <c r="H504" s="11">
        <v>43952</v>
      </c>
    </row>
    <row r="505" spans="1:8" x14ac:dyDescent="0.25">
      <c r="A505">
        <v>504</v>
      </c>
      <c r="B505" s="35" t="s">
        <v>2640</v>
      </c>
      <c r="F505" s="26">
        <v>2519</v>
      </c>
      <c r="G505" s="26">
        <v>1512</v>
      </c>
      <c r="H505" s="11">
        <v>43952</v>
      </c>
    </row>
    <row r="506" spans="1:8" x14ac:dyDescent="0.25">
      <c r="A506">
        <v>505</v>
      </c>
      <c r="B506" s="35" t="s">
        <v>2625</v>
      </c>
      <c r="F506" s="26">
        <v>1859</v>
      </c>
      <c r="G506" s="26">
        <v>1115</v>
      </c>
      <c r="H506" s="11">
        <v>43952</v>
      </c>
    </row>
    <row r="507" spans="1:8" x14ac:dyDescent="0.25">
      <c r="A507">
        <v>506</v>
      </c>
      <c r="B507" s="35" t="s">
        <v>2575</v>
      </c>
      <c r="F507" s="26">
        <v>1089</v>
      </c>
      <c r="G507" s="26">
        <v>653</v>
      </c>
      <c r="H507" s="11">
        <v>43952</v>
      </c>
    </row>
    <row r="508" spans="1:8" x14ac:dyDescent="0.25">
      <c r="A508">
        <v>507</v>
      </c>
      <c r="B508" s="35" t="s">
        <v>2646</v>
      </c>
      <c r="F508" s="26">
        <v>1199</v>
      </c>
      <c r="G508" s="26">
        <v>719</v>
      </c>
      <c r="H508" s="11">
        <v>43952</v>
      </c>
    </row>
    <row r="509" spans="1:8" x14ac:dyDescent="0.25">
      <c r="A509">
        <v>508</v>
      </c>
      <c r="B509" s="35" t="s">
        <v>2576</v>
      </c>
      <c r="F509" s="26">
        <v>1199</v>
      </c>
      <c r="G509" s="26">
        <v>719</v>
      </c>
      <c r="H509" s="11">
        <v>43952</v>
      </c>
    </row>
    <row r="510" spans="1:8" x14ac:dyDescent="0.25">
      <c r="A510">
        <v>509</v>
      </c>
      <c r="B510" s="35" t="s">
        <v>2649</v>
      </c>
      <c r="F510" s="26">
        <v>1309</v>
      </c>
      <c r="G510" s="26">
        <v>785</v>
      </c>
      <c r="H510" s="11">
        <v>43952</v>
      </c>
    </row>
    <row r="511" spans="1:8" x14ac:dyDescent="0.25">
      <c r="A511">
        <v>510</v>
      </c>
      <c r="B511" s="35" t="s">
        <v>2577</v>
      </c>
      <c r="F511" s="26">
        <v>1089</v>
      </c>
      <c r="G511" s="26">
        <v>653</v>
      </c>
      <c r="H511" s="11">
        <v>43952</v>
      </c>
    </row>
    <row r="512" spans="1:8" x14ac:dyDescent="0.25">
      <c r="A512">
        <v>511</v>
      </c>
      <c r="B512" s="35" t="s">
        <v>2647</v>
      </c>
      <c r="F512" s="26">
        <v>1199</v>
      </c>
      <c r="G512" s="26">
        <v>719</v>
      </c>
      <c r="H512" s="11">
        <v>43952</v>
      </c>
    </row>
    <row r="513" spans="1:8" x14ac:dyDescent="0.25">
      <c r="A513">
        <v>512</v>
      </c>
      <c r="B513" s="35" t="s">
        <v>3497</v>
      </c>
      <c r="F513" s="26">
        <v>2189</v>
      </c>
      <c r="G513" s="26">
        <v>1277</v>
      </c>
      <c r="H513" s="11">
        <v>43952</v>
      </c>
    </row>
    <row r="514" spans="1:8" x14ac:dyDescent="0.25">
      <c r="A514">
        <v>513</v>
      </c>
      <c r="B514" s="35" t="s">
        <v>3509</v>
      </c>
      <c r="F514" s="26">
        <v>4609</v>
      </c>
      <c r="G514" s="26">
        <v>2689</v>
      </c>
      <c r="H514" s="11">
        <v>43952</v>
      </c>
    </row>
    <row r="515" spans="1:8" x14ac:dyDescent="0.25">
      <c r="A515">
        <v>514</v>
      </c>
      <c r="B515" s="35" t="s">
        <v>3488</v>
      </c>
      <c r="F515" s="26">
        <v>1089</v>
      </c>
      <c r="G515" s="26">
        <v>635</v>
      </c>
      <c r="H515" s="11">
        <v>43952</v>
      </c>
    </row>
    <row r="516" spans="1:8" x14ac:dyDescent="0.25">
      <c r="A516">
        <v>515</v>
      </c>
      <c r="B516" s="35" t="s">
        <v>3513</v>
      </c>
      <c r="F516" s="26">
        <v>5049</v>
      </c>
      <c r="G516" s="26">
        <v>2945</v>
      </c>
      <c r="H516" s="11">
        <v>43952</v>
      </c>
    </row>
    <row r="517" spans="1:8" x14ac:dyDescent="0.25">
      <c r="A517">
        <v>516</v>
      </c>
      <c r="B517" s="35" t="s">
        <v>3514</v>
      </c>
      <c r="F517" s="26">
        <v>3179</v>
      </c>
      <c r="G517" s="26">
        <v>1854</v>
      </c>
      <c r="H517" s="11">
        <v>43952</v>
      </c>
    </row>
    <row r="518" spans="1:8" x14ac:dyDescent="0.25">
      <c r="A518">
        <v>517</v>
      </c>
      <c r="B518" s="35" t="s">
        <v>3515</v>
      </c>
      <c r="F518" s="26">
        <v>3069</v>
      </c>
      <c r="G518" s="26">
        <v>1790</v>
      </c>
      <c r="H518" s="11">
        <v>43952</v>
      </c>
    </row>
    <row r="519" spans="1:8" x14ac:dyDescent="0.25">
      <c r="A519">
        <v>518</v>
      </c>
      <c r="B519" s="35" t="s">
        <v>3516</v>
      </c>
      <c r="F519" s="26">
        <v>3069</v>
      </c>
      <c r="G519" s="26">
        <v>1790</v>
      </c>
      <c r="H519" s="11">
        <v>43952</v>
      </c>
    </row>
    <row r="520" spans="1:8" x14ac:dyDescent="0.25">
      <c r="A520">
        <v>519</v>
      </c>
      <c r="B520" s="35" t="s">
        <v>3518</v>
      </c>
      <c r="F520" s="26">
        <v>1309</v>
      </c>
      <c r="G520" s="26">
        <v>764</v>
      </c>
      <c r="H520" s="11">
        <v>43952</v>
      </c>
    </row>
    <row r="521" spans="1:8" x14ac:dyDescent="0.25">
      <c r="A521">
        <v>520</v>
      </c>
      <c r="B521" s="35" t="s">
        <v>3519</v>
      </c>
      <c r="F521" s="26">
        <v>2079</v>
      </c>
      <c r="G521" s="26">
        <v>1213</v>
      </c>
      <c r="H521" s="11">
        <v>43952</v>
      </c>
    </row>
    <row r="522" spans="1:8" x14ac:dyDescent="0.25">
      <c r="A522">
        <v>521</v>
      </c>
      <c r="B522" s="35" t="s">
        <v>3520</v>
      </c>
      <c r="F522" s="26">
        <v>429</v>
      </c>
      <c r="G522" s="26">
        <v>250</v>
      </c>
      <c r="H522" s="11">
        <v>43952</v>
      </c>
    </row>
    <row r="523" spans="1:8" x14ac:dyDescent="0.25">
      <c r="A523">
        <v>522</v>
      </c>
      <c r="B523" s="35" t="s">
        <v>3521</v>
      </c>
      <c r="F523" s="26">
        <v>979</v>
      </c>
      <c r="G523" s="26">
        <v>571</v>
      </c>
      <c r="H523" s="11">
        <v>43952</v>
      </c>
    </row>
    <row r="524" spans="1:8" x14ac:dyDescent="0.25">
      <c r="A524">
        <v>523</v>
      </c>
      <c r="B524" s="35" t="s">
        <v>1875</v>
      </c>
      <c r="F524" s="26">
        <v>6990</v>
      </c>
      <c r="G524" s="26">
        <v>4427</v>
      </c>
      <c r="H524" s="11">
        <v>43952</v>
      </c>
    </row>
    <row r="525" spans="1:8" x14ac:dyDescent="0.25">
      <c r="A525">
        <v>524</v>
      </c>
      <c r="B525" s="35" t="s">
        <v>1876</v>
      </c>
      <c r="F525" s="26">
        <v>9790</v>
      </c>
      <c r="G525" s="26">
        <v>6200</v>
      </c>
      <c r="H525" s="11">
        <v>43952</v>
      </c>
    </row>
    <row r="526" spans="1:8" x14ac:dyDescent="0.25">
      <c r="A526">
        <v>525</v>
      </c>
      <c r="B526" s="35" t="s">
        <v>2026</v>
      </c>
      <c r="F526" s="26">
        <v>1790</v>
      </c>
      <c r="G526" s="26">
        <v>1074</v>
      </c>
      <c r="H526" s="11">
        <v>43952</v>
      </c>
    </row>
    <row r="527" spans="1:8" x14ac:dyDescent="0.25">
      <c r="A527">
        <v>526</v>
      </c>
      <c r="B527" s="35" t="s">
        <v>2027</v>
      </c>
      <c r="F527" s="26">
        <v>5390</v>
      </c>
      <c r="G527" s="26">
        <v>3234</v>
      </c>
      <c r="H527" s="11">
        <v>43952</v>
      </c>
    </row>
    <row r="528" spans="1:8" x14ac:dyDescent="0.25">
      <c r="A528">
        <v>527</v>
      </c>
      <c r="B528" s="35" t="s">
        <v>2078</v>
      </c>
      <c r="F528" s="26">
        <v>1590</v>
      </c>
      <c r="G528" s="26">
        <v>941</v>
      </c>
      <c r="H528" s="11">
        <v>43952</v>
      </c>
    </row>
    <row r="529" spans="1:8" x14ac:dyDescent="0.25">
      <c r="A529">
        <v>528</v>
      </c>
      <c r="B529" s="35" t="s">
        <v>2075</v>
      </c>
      <c r="F529" s="26">
        <v>2090</v>
      </c>
      <c r="G529" s="26">
        <v>1237</v>
      </c>
      <c r="H529" s="11">
        <v>43952</v>
      </c>
    </row>
    <row r="530" spans="1:8" x14ac:dyDescent="0.25">
      <c r="A530">
        <v>529</v>
      </c>
      <c r="B530" s="35" t="s">
        <v>2076</v>
      </c>
      <c r="F530" s="26">
        <v>2190</v>
      </c>
      <c r="G530" s="26">
        <v>1296</v>
      </c>
      <c r="H530" s="11">
        <v>43952</v>
      </c>
    </row>
    <row r="531" spans="1:8" x14ac:dyDescent="0.25">
      <c r="A531">
        <v>530</v>
      </c>
      <c r="B531" s="35" t="s">
        <v>2077</v>
      </c>
      <c r="F531" s="26">
        <v>5890</v>
      </c>
      <c r="G531" s="26">
        <v>3485</v>
      </c>
      <c r="H531" s="11">
        <v>43952</v>
      </c>
    </row>
    <row r="532" spans="1:8" x14ac:dyDescent="0.25">
      <c r="A532">
        <v>531</v>
      </c>
      <c r="B532" s="35" t="s">
        <v>2122</v>
      </c>
      <c r="F532" s="26">
        <v>2190</v>
      </c>
      <c r="G532" s="26">
        <v>1314</v>
      </c>
      <c r="H532" s="11">
        <v>43952</v>
      </c>
    </row>
    <row r="533" spans="1:8" x14ac:dyDescent="0.25">
      <c r="A533">
        <v>532</v>
      </c>
      <c r="B533" s="35" t="s">
        <v>2126</v>
      </c>
      <c r="F533" s="26">
        <v>1190</v>
      </c>
      <c r="G533" s="26">
        <v>714</v>
      </c>
      <c r="H533" s="11">
        <v>43952</v>
      </c>
    </row>
    <row r="534" spans="1:8" x14ac:dyDescent="0.25">
      <c r="A534">
        <v>533</v>
      </c>
      <c r="B534" s="35" t="s">
        <v>1763</v>
      </c>
      <c r="F534" s="26">
        <v>1990</v>
      </c>
      <c r="G534" s="26">
        <v>1277</v>
      </c>
      <c r="H534" s="11">
        <v>43952</v>
      </c>
    </row>
    <row r="535" spans="1:8" x14ac:dyDescent="0.25">
      <c r="A535">
        <v>534</v>
      </c>
      <c r="B535" s="35" t="s">
        <v>1766</v>
      </c>
      <c r="F535" s="26">
        <v>4190</v>
      </c>
      <c r="G535" s="26">
        <v>2689</v>
      </c>
      <c r="H535" s="11">
        <v>43952</v>
      </c>
    </row>
    <row r="536" spans="1:8" x14ac:dyDescent="0.25">
      <c r="A536">
        <v>535</v>
      </c>
      <c r="B536" s="35" t="s">
        <v>1767</v>
      </c>
      <c r="F536" s="26">
        <v>4190</v>
      </c>
      <c r="G536" s="26">
        <v>2689</v>
      </c>
      <c r="H536" s="11">
        <v>43952</v>
      </c>
    </row>
    <row r="537" spans="1:8" x14ac:dyDescent="0.25">
      <c r="A537">
        <v>536</v>
      </c>
      <c r="B537" s="35" t="s">
        <v>1768</v>
      </c>
      <c r="F537" s="26">
        <v>8190</v>
      </c>
      <c r="G537" s="26">
        <v>5119</v>
      </c>
      <c r="H537" s="11">
        <v>43952</v>
      </c>
    </row>
    <row r="538" spans="1:8" x14ac:dyDescent="0.25">
      <c r="A538">
        <v>537</v>
      </c>
      <c r="B538" s="35" t="s">
        <v>1840</v>
      </c>
      <c r="F538" s="26">
        <v>2698</v>
      </c>
      <c r="G538" s="26">
        <v>1687</v>
      </c>
      <c r="H538" s="11">
        <v>43952</v>
      </c>
    </row>
    <row r="539" spans="1:8" x14ac:dyDescent="0.25">
      <c r="A539">
        <v>538</v>
      </c>
      <c r="B539" s="35" t="s">
        <v>1725</v>
      </c>
      <c r="F539" s="26">
        <v>653</v>
      </c>
      <c r="G539" s="26">
        <v>381</v>
      </c>
      <c r="H539" s="11">
        <v>43952</v>
      </c>
    </row>
    <row r="540" spans="1:8" x14ac:dyDescent="0.25">
      <c r="A540">
        <v>539</v>
      </c>
      <c r="B540" s="35" t="s">
        <v>1726</v>
      </c>
      <c r="F540" s="26">
        <v>867</v>
      </c>
      <c r="G540" s="26">
        <v>506</v>
      </c>
      <c r="H540" s="11">
        <v>43952</v>
      </c>
    </row>
    <row r="541" spans="1:8" x14ac:dyDescent="0.25">
      <c r="A541">
        <v>540</v>
      </c>
      <c r="B541" s="35" t="s">
        <v>1727</v>
      </c>
      <c r="F541" s="26">
        <v>867</v>
      </c>
      <c r="G541" s="26">
        <v>506</v>
      </c>
      <c r="H541" s="11">
        <v>43952</v>
      </c>
    </row>
    <row r="542" spans="1:8" x14ac:dyDescent="0.25">
      <c r="A542">
        <v>541</v>
      </c>
      <c r="B542" s="35" t="s">
        <v>1728</v>
      </c>
      <c r="F542" s="26">
        <v>1850</v>
      </c>
      <c r="G542" s="26">
        <v>1079</v>
      </c>
      <c r="H542" s="11">
        <v>43952</v>
      </c>
    </row>
    <row r="543" spans="1:8" x14ac:dyDescent="0.25">
      <c r="A543">
        <v>542</v>
      </c>
      <c r="B543" s="35" t="s">
        <v>1729</v>
      </c>
      <c r="F543" s="26">
        <v>2118</v>
      </c>
      <c r="G543" s="26">
        <v>1236</v>
      </c>
      <c r="H543" s="11">
        <v>43952</v>
      </c>
    </row>
    <row r="544" spans="1:8" x14ac:dyDescent="0.25">
      <c r="A544">
        <v>543</v>
      </c>
      <c r="B544" s="35" t="s">
        <v>1702</v>
      </c>
      <c r="F544" s="26">
        <v>4490</v>
      </c>
      <c r="G544" s="26">
        <v>3413</v>
      </c>
      <c r="H544" s="11">
        <v>43952</v>
      </c>
    </row>
    <row r="545" spans="1:8" x14ac:dyDescent="0.25">
      <c r="A545">
        <v>544</v>
      </c>
      <c r="B545" s="35" t="s">
        <v>2275</v>
      </c>
      <c r="F545" s="26">
        <v>8390</v>
      </c>
      <c r="G545" s="26">
        <v>5733</v>
      </c>
      <c r="H545" s="11">
        <v>43952</v>
      </c>
    </row>
    <row r="546" spans="1:8" x14ac:dyDescent="0.25">
      <c r="A546">
        <v>545</v>
      </c>
      <c r="B546" s="35" t="s">
        <v>2266</v>
      </c>
      <c r="F546" s="26">
        <v>33390</v>
      </c>
      <c r="G546" s="26">
        <v>22817</v>
      </c>
      <c r="H546" s="11">
        <v>43952</v>
      </c>
    </row>
    <row r="547" spans="1:8" x14ac:dyDescent="0.25">
      <c r="A547">
        <v>546</v>
      </c>
      <c r="B547" s="35" t="s">
        <v>2267</v>
      </c>
      <c r="F547" s="26">
        <v>18590</v>
      </c>
      <c r="G547" s="26">
        <v>12703</v>
      </c>
      <c r="H547" s="11">
        <v>43952</v>
      </c>
    </row>
    <row r="548" spans="1:8" x14ac:dyDescent="0.25">
      <c r="A548">
        <v>547</v>
      </c>
      <c r="B548" s="35" t="s">
        <v>2258</v>
      </c>
      <c r="F548" s="26">
        <v>8590</v>
      </c>
      <c r="G548" s="26">
        <v>5870</v>
      </c>
      <c r="H548" s="11">
        <v>43952</v>
      </c>
    </row>
    <row r="549" spans="1:8" x14ac:dyDescent="0.25">
      <c r="A549">
        <v>548</v>
      </c>
      <c r="B549" s="35" t="s">
        <v>2259</v>
      </c>
      <c r="F549" s="26">
        <v>9490</v>
      </c>
      <c r="G549" s="26">
        <v>6485</v>
      </c>
      <c r="H549" s="11">
        <v>43952</v>
      </c>
    </row>
    <row r="550" spans="1:8" x14ac:dyDescent="0.25">
      <c r="A550">
        <v>549</v>
      </c>
      <c r="B550" s="35" t="s">
        <v>3272</v>
      </c>
      <c r="F550" s="26">
        <v>12290</v>
      </c>
      <c r="G550" s="26">
        <v>7780</v>
      </c>
      <c r="H550" s="11">
        <v>43952</v>
      </c>
    </row>
    <row r="551" spans="1:8" x14ac:dyDescent="0.25">
      <c r="A551">
        <v>550</v>
      </c>
      <c r="B551" s="35" t="s">
        <v>3273</v>
      </c>
      <c r="F551" s="26">
        <v>12790</v>
      </c>
      <c r="G551" s="26">
        <v>8096</v>
      </c>
      <c r="H551" s="11">
        <v>43952</v>
      </c>
    </row>
    <row r="552" spans="1:8" x14ac:dyDescent="0.25">
      <c r="A552">
        <v>551</v>
      </c>
      <c r="B552" s="35" t="s">
        <v>2329</v>
      </c>
      <c r="F552" s="26">
        <v>1089</v>
      </c>
      <c r="G552" s="26">
        <v>744</v>
      </c>
      <c r="H552" s="11">
        <v>43952</v>
      </c>
    </row>
    <row r="553" spans="1:8" x14ac:dyDescent="0.25">
      <c r="A553">
        <v>552</v>
      </c>
      <c r="B553" s="35" t="s">
        <v>2330</v>
      </c>
      <c r="F553" s="26">
        <v>649</v>
      </c>
      <c r="G553" s="26">
        <v>443</v>
      </c>
      <c r="H553" s="11">
        <v>43952</v>
      </c>
    </row>
    <row r="554" spans="1:8" x14ac:dyDescent="0.25">
      <c r="A554">
        <v>553</v>
      </c>
      <c r="B554" s="35" t="s">
        <v>2331</v>
      </c>
      <c r="F554" s="26">
        <v>1639</v>
      </c>
      <c r="G554" s="26">
        <v>1120</v>
      </c>
      <c r="H554" s="11">
        <v>43952</v>
      </c>
    </row>
    <row r="555" spans="1:8" x14ac:dyDescent="0.25">
      <c r="A555">
        <v>554</v>
      </c>
      <c r="B555" s="35" t="s">
        <v>2332</v>
      </c>
      <c r="F555" s="26">
        <v>869</v>
      </c>
      <c r="G555" s="26">
        <v>594</v>
      </c>
      <c r="H555" s="11">
        <v>43952</v>
      </c>
    </row>
    <row r="556" spans="1:8" x14ac:dyDescent="0.25">
      <c r="A556">
        <v>555</v>
      </c>
      <c r="B556" s="35" t="s">
        <v>2465</v>
      </c>
      <c r="F556" s="26">
        <v>15609</v>
      </c>
      <c r="G556" s="26">
        <v>8455</v>
      </c>
      <c r="H556" s="11">
        <v>43952</v>
      </c>
    </row>
    <row r="557" spans="1:8" x14ac:dyDescent="0.25">
      <c r="A557">
        <v>556</v>
      </c>
      <c r="B557" s="35" t="s">
        <v>2358</v>
      </c>
      <c r="F557" s="26">
        <v>3619</v>
      </c>
      <c r="G557" s="26">
        <v>2111</v>
      </c>
      <c r="H557" s="11">
        <v>43952</v>
      </c>
    </row>
    <row r="558" spans="1:8" x14ac:dyDescent="0.25">
      <c r="A558">
        <v>557</v>
      </c>
      <c r="B558" s="35" t="s">
        <v>2359</v>
      </c>
      <c r="F558" s="26">
        <v>979</v>
      </c>
      <c r="G558" s="26">
        <v>571</v>
      </c>
      <c r="H558" s="11">
        <v>43952</v>
      </c>
    </row>
    <row r="559" spans="1:8" x14ac:dyDescent="0.25">
      <c r="A559">
        <v>558</v>
      </c>
      <c r="B559" s="35" t="s">
        <v>2360</v>
      </c>
      <c r="F559" s="26">
        <v>2519</v>
      </c>
      <c r="G559" s="26">
        <v>1469</v>
      </c>
      <c r="H559" s="11">
        <v>43952</v>
      </c>
    </row>
    <row r="560" spans="1:8" x14ac:dyDescent="0.25">
      <c r="A560">
        <v>559</v>
      </c>
      <c r="B560" s="35" t="s">
        <v>2361</v>
      </c>
      <c r="F560" s="26">
        <v>2959</v>
      </c>
      <c r="G560" s="26">
        <v>1726</v>
      </c>
      <c r="H560" s="11">
        <v>43952</v>
      </c>
    </row>
    <row r="561" spans="1:8" x14ac:dyDescent="0.25">
      <c r="A561">
        <v>560</v>
      </c>
      <c r="B561" s="35" t="s">
        <v>1748</v>
      </c>
      <c r="F561" s="26">
        <v>890</v>
      </c>
      <c r="G561" s="26">
        <v>519</v>
      </c>
      <c r="H561" s="11">
        <v>43952</v>
      </c>
    </row>
    <row r="562" spans="1:8" x14ac:dyDescent="0.25">
      <c r="A562">
        <v>561</v>
      </c>
      <c r="B562" s="35" t="s">
        <v>1749</v>
      </c>
      <c r="F562" s="26">
        <v>1719</v>
      </c>
      <c r="G562" s="26">
        <v>1003</v>
      </c>
      <c r="H562" s="11">
        <v>43952</v>
      </c>
    </row>
    <row r="563" spans="1:8" x14ac:dyDescent="0.25">
      <c r="A563">
        <v>562</v>
      </c>
      <c r="B563" s="35" t="s">
        <v>1750</v>
      </c>
      <c r="F563" s="26">
        <v>2039</v>
      </c>
      <c r="G563" s="26">
        <v>1189</v>
      </c>
      <c r="H563" s="11">
        <v>43952</v>
      </c>
    </row>
    <row r="564" spans="1:8" x14ac:dyDescent="0.25">
      <c r="A564">
        <v>563</v>
      </c>
      <c r="B564" s="35" t="s">
        <v>1751</v>
      </c>
      <c r="F564" s="26">
        <v>1719</v>
      </c>
      <c r="G564" s="26">
        <v>1003</v>
      </c>
      <c r="H564" s="11">
        <v>43952</v>
      </c>
    </row>
    <row r="565" spans="1:8" x14ac:dyDescent="0.25">
      <c r="A565">
        <v>564</v>
      </c>
      <c r="B565" s="35" t="s">
        <v>2327</v>
      </c>
      <c r="F565" s="26">
        <v>25390</v>
      </c>
      <c r="G565" s="26">
        <v>17350</v>
      </c>
      <c r="H565" s="11">
        <v>43952</v>
      </c>
    </row>
    <row r="566" spans="1:8" x14ac:dyDescent="0.25">
      <c r="A566">
        <v>565</v>
      </c>
      <c r="B566" s="35" t="s">
        <v>2328</v>
      </c>
      <c r="F566" s="26">
        <v>12690</v>
      </c>
      <c r="G566" s="26">
        <v>8672</v>
      </c>
      <c r="H566" s="11">
        <v>43952</v>
      </c>
    </row>
    <row r="567" spans="1:8" x14ac:dyDescent="0.25">
      <c r="A567">
        <v>566</v>
      </c>
      <c r="B567" s="35" t="s">
        <v>2317</v>
      </c>
      <c r="F567" s="26">
        <v>8290</v>
      </c>
      <c r="G567" s="26">
        <v>5665</v>
      </c>
      <c r="H567" s="11">
        <v>43952</v>
      </c>
    </row>
    <row r="568" spans="1:8" x14ac:dyDescent="0.25">
      <c r="A568">
        <v>567</v>
      </c>
      <c r="B568" s="35" t="s">
        <v>2316</v>
      </c>
      <c r="F568" s="26">
        <v>8290</v>
      </c>
      <c r="G568" s="26">
        <v>5665</v>
      </c>
      <c r="H568" s="11">
        <v>43952</v>
      </c>
    </row>
    <row r="569" spans="1:8" x14ac:dyDescent="0.25">
      <c r="A569">
        <v>568</v>
      </c>
      <c r="B569" s="35" t="s">
        <v>1704</v>
      </c>
      <c r="F569" s="26">
        <v>5090</v>
      </c>
      <c r="G569" s="26">
        <v>3393</v>
      </c>
      <c r="H569" s="11">
        <v>43952</v>
      </c>
    </row>
    <row r="570" spans="1:8" x14ac:dyDescent="0.25">
      <c r="A570">
        <v>569</v>
      </c>
      <c r="B570" s="35" t="s">
        <v>1705</v>
      </c>
      <c r="F570" s="26">
        <v>6690</v>
      </c>
      <c r="G570" s="26">
        <v>4460</v>
      </c>
      <c r="H570" s="11">
        <v>43952</v>
      </c>
    </row>
    <row r="571" spans="1:8" x14ac:dyDescent="0.25">
      <c r="A571">
        <v>570</v>
      </c>
      <c r="B571" s="35" t="s">
        <v>1706</v>
      </c>
      <c r="F571" s="26">
        <v>7390</v>
      </c>
      <c r="G571" s="26">
        <v>4927</v>
      </c>
      <c r="H571" s="11">
        <v>43952</v>
      </c>
    </row>
    <row r="572" spans="1:8" x14ac:dyDescent="0.25">
      <c r="A572">
        <v>571</v>
      </c>
      <c r="B572" s="35" t="s">
        <v>1707</v>
      </c>
      <c r="F572" s="26">
        <v>5790</v>
      </c>
      <c r="G572" s="26">
        <v>3860</v>
      </c>
      <c r="H572" s="11">
        <v>43952</v>
      </c>
    </row>
    <row r="573" spans="1:8" x14ac:dyDescent="0.25">
      <c r="A573">
        <v>572</v>
      </c>
      <c r="B573" s="35" t="s">
        <v>1708</v>
      </c>
      <c r="F573" s="26">
        <v>7390</v>
      </c>
      <c r="G573" s="26">
        <v>4927</v>
      </c>
      <c r="H573" s="11">
        <v>43952</v>
      </c>
    </row>
    <row r="574" spans="1:8" x14ac:dyDescent="0.25">
      <c r="A574">
        <v>573</v>
      </c>
      <c r="B574" s="35" t="s">
        <v>1709</v>
      </c>
      <c r="F574" s="26">
        <v>8290</v>
      </c>
      <c r="G574" s="26">
        <v>5527</v>
      </c>
      <c r="H574" s="11">
        <v>43952</v>
      </c>
    </row>
    <row r="575" spans="1:8" x14ac:dyDescent="0.25">
      <c r="A575">
        <v>574</v>
      </c>
      <c r="B575" s="35" t="s">
        <v>2384</v>
      </c>
      <c r="F575" s="26">
        <v>20090</v>
      </c>
      <c r="G575" s="26">
        <v>13728</v>
      </c>
      <c r="H575" s="11">
        <v>43952</v>
      </c>
    </row>
    <row r="576" spans="1:8" x14ac:dyDescent="0.25">
      <c r="A576">
        <v>575</v>
      </c>
      <c r="B576" s="35" t="s">
        <v>2387</v>
      </c>
      <c r="F576" s="26">
        <v>26490</v>
      </c>
      <c r="G576" s="26">
        <v>18102</v>
      </c>
      <c r="H576" s="11">
        <v>43952</v>
      </c>
    </row>
    <row r="577" spans="1:8" x14ac:dyDescent="0.25">
      <c r="A577">
        <v>576</v>
      </c>
      <c r="B577" s="35" t="s">
        <v>2372</v>
      </c>
      <c r="F577" s="26">
        <v>38990</v>
      </c>
      <c r="G577" s="26">
        <v>26643</v>
      </c>
      <c r="H577" s="11">
        <v>43952</v>
      </c>
    </row>
    <row r="578" spans="1:8" x14ac:dyDescent="0.25">
      <c r="A578">
        <v>577</v>
      </c>
      <c r="B578" s="35" t="s">
        <v>2373</v>
      </c>
      <c r="F578" s="26">
        <v>27190</v>
      </c>
      <c r="G578" s="26">
        <v>18580</v>
      </c>
      <c r="H578" s="11">
        <v>43952</v>
      </c>
    </row>
    <row r="579" spans="1:8" x14ac:dyDescent="0.25">
      <c r="A579">
        <v>578</v>
      </c>
      <c r="B579" s="35" t="s">
        <v>2374</v>
      </c>
      <c r="F579" s="26">
        <v>18190</v>
      </c>
      <c r="G579" s="26">
        <v>12430</v>
      </c>
      <c r="H579" s="11">
        <v>43952</v>
      </c>
    </row>
    <row r="580" spans="1:8" x14ac:dyDescent="0.25">
      <c r="A580">
        <v>579</v>
      </c>
      <c r="B580" s="35" t="s">
        <v>2293</v>
      </c>
      <c r="F580" s="26">
        <v>9390</v>
      </c>
      <c r="G580" s="26">
        <v>6417</v>
      </c>
      <c r="H580" s="11">
        <v>43952</v>
      </c>
    </row>
    <row r="581" spans="1:8" x14ac:dyDescent="0.25">
      <c r="A581">
        <v>580</v>
      </c>
      <c r="B581" s="35" t="s">
        <v>2285</v>
      </c>
      <c r="F581" s="26">
        <v>16290</v>
      </c>
      <c r="G581" s="26">
        <v>11132</v>
      </c>
      <c r="H581" s="11">
        <v>43952</v>
      </c>
    </row>
    <row r="582" spans="1:8" x14ac:dyDescent="0.25">
      <c r="A582">
        <v>581</v>
      </c>
      <c r="B582" s="35" t="s">
        <v>2286</v>
      </c>
      <c r="F582" s="26">
        <v>18090</v>
      </c>
      <c r="G582" s="26">
        <v>12362</v>
      </c>
      <c r="H582" s="11">
        <v>43952</v>
      </c>
    </row>
    <row r="583" spans="1:8" x14ac:dyDescent="0.25">
      <c r="A583">
        <v>582</v>
      </c>
      <c r="B583" s="35" t="s">
        <v>2287</v>
      </c>
      <c r="F583" s="26">
        <v>8390</v>
      </c>
      <c r="G583" s="26">
        <v>5733</v>
      </c>
      <c r="H583" s="11">
        <v>43952</v>
      </c>
    </row>
    <row r="584" spans="1:8" x14ac:dyDescent="0.25">
      <c r="A584">
        <v>583</v>
      </c>
      <c r="B584" s="35" t="s">
        <v>2288</v>
      </c>
      <c r="F584" s="26">
        <v>10190</v>
      </c>
      <c r="G584" s="26">
        <v>6963</v>
      </c>
      <c r="H584" s="11">
        <v>43952</v>
      </c>
    </row>
    <row r="585" spans="1:8" x14ac:dyDescent="0.25">
      <c r="A585">
        <v>584</v>
      </c>
      <c r="B585" s="35" t="s">
        <v>2289</v>
      </c>
      <c r="F585" s="26">
        <v>27790</v>
      </c>
      <c r="G585" s="26">
        <v>18990</v>
      </c>
      <c r="H585" s="11">
        <v>43952</v>
      </c>
    </row>
    <row r="586" spans="1:8" x14ac:dyDescent="0.25">
      <c r="A586">
        <v>585</v>
      </c>
      <c r="B586" s="35" t="s">
        <v>2290</v>
      </c>
      <c r="F586" s="26">
        <v>14890</v>
      </c>
      <c r="G586" s="26">
        <v>10175</v>
      </c>
      <c r="H586" s="11">
        <v>43952</v>
      </c>
    </row>
    <row r="587" spans="1:8" x14ac:dyDescent="0.25">
      <c r="A587">
        <v>586</v>
      </c>
      <c r="B587" s="35" t="s">
        <v>2291</v>
      </c>
      <c r="F587" s="26">
        <v>11690</v>
      </c>
      <c r="G587" s="26">
        <v>7988</v>
      </c>
      <c r="H587" s="11">
        <v>43952</v>
      </c>
    </row>
    <row r="588" spans="1:8" x14ac:dyDescent="0.25">
      <c r="A588">
        <v>587</v>
      </c>
      <c r="B588" s="35" t="s">
        <v>2435</v>
      </c>
      <c r="F588" s="26">
        <v>90990</v>
      </c>
      <c r="G588" s="26">
        <v>56869</v>
      </c>
      <c r="H588" s="11">
        <v>43952</v>
      </c>
    </row>
    <row r="589" spans="1:8" x14ac:dyDescent="0.25">
      <c r="A589">
        <v>588</v>
      </c>
      <c r="B589" s="35" t="s">
        <v>2436</v>
      </c>
      <c r="F589" s="26">
        <v>90990</v>
      </c>
      <c r="G589" s="26">
        <v>56869</v>
      </c>
      <c r="H589" s="11">
        <v>43952</v>
      </c>
    </row>
    <row r="590" spans="1:8" x14ac:dyDescent="0.25">
      <c r="A590">
        <v>589</v>
      </c>
      <c r="B590" s="35" t="s">
        <v>2437</v>
      </c>
      <c r="F590" s="26">
        <v>106890</v>
      </c>
      <c r="G590" s="26">
        <v>66806</v>
      </c>
      <c r="H590" s="11">
        <v>43952</v>
      </c>
    </row>
    <row r="591" spans="1:8" x14ac:dyDescent="0.25">
      <c r="A591">
        <v>590</v>
      </c>
      <c r="B591" s="35" t="s">
        <v>2438</v>
      </c>
      <c r="F591" s="26">
        <v>106890</v>
      </c>
      <c r="G591" s="26">
        <v>66806</v>
      </c>
      <c r="H591" s="11">
        <v>43952</v>
      </c>
    </row>
    <row r="592" spans="1:8" x14ac:dyDescent="0.25">
      <c r="A592">
        <v>591</v>
      </c>
      <c r="B592" s="35" t="s">
        <v>2439</v>
      </c>
      <c r="F592" s="26">
        <v>123390</v>
      </c>
      <c r="G592" s="26">
        <v>77119</v>
      </c>
      <c r="H592" s="11">
        <v>43952</v>
      </c>
    </row>
    <row r="593" spans="1:8" x14ac:dyDescent="0.25">
      <c r="A593">
        <v>592</v>
      </c>
      <c r="B593" s="35" t="s">
        <v>2440</v>
      </c>
      <c r="F593" s="26">
        <v>123390</v>
      </c>
      <c r="G593" s="26">
        <v>77119</v>
      </c>
      <c r="H593" s="11">
        <v>43952</v>
      </c>
    </row>
    <row r="594" spans="1:8" x14ac:dyDescent="0.25">
      <c r="A594">
        <v>593</v>
      </c>
      <c r="B594" s="35" t="s">
        <v>1878</v>
      </c>
      <c r="F594" s="26">
        <v>2390</v>
      </c>
      <c r="G594" s="26">
        <v>1633</v>
      </c>
      <c r="H594" s="11">
        <v>43952</v>
      </c>
    </row>
    <row r="595" spans="1:8" x14ac:dyDescent="0.25">
      <c r="A595">
        <v>594</v>
      </c>
      <c r="B595" s="35" t="s">
        <v>1879</v>
      </c>
      <c r="F595" s="26">
        <v>2990</v>
      </c>
      <c r="G595" s="26">
        <v>2043</v>
      </c>
      <c r="H595" s="11">
        <v>43952</v>
      </c>
    </row>
    <row r="596" spans="1:8" x14ac:dyDescent="0.25">
      <c r="A596">
        <v>595</v>
      </c>
      <c r="B596" s="35" t="s">
        <v>1880</v>
      </c>
      <c r="F596" s="26">
        <v>2990</v>
      </c>
      <c r="G596" s="26">
        <v>2043</v>
      </c>
      <c r="H596" s="11">
        <v>43952</v>
      </c>
    </row>
    <row r="597" spans="1:8" x14ac:dyDescent="0.25">
      <c r="A597">
        <v>596</v>
      </c>
      <c r="B597" s="35" t="s">
        <v>1881</v>
      </c>
      <c r="F597" s="26">
        <v>2990</v>
      </c>
      <c r="G597" s="26">
        <v>2043</v>
      </c>
      <c r="H597" s="11">
        <v>43952</v>
      </c>
    </row>
    <row r="598" spans="1:8" x14ac:dyDescent="0.25">
      <c r="A598">
        <v>597</v>
      </c>
      <c r="B598" s="35" t="s">
        <v>1882</v>
      </c>
      <c r="F598" s="26">
        <v>3890</v>
      </c>
      <c r="G598" s="26">
        <v>2658</v>
      </c>
      <c r="H598" s="11">
        <v>43952</v>
      </c>
    </row>
    <row r="599" spans="1:8" x14ac:dyDescent="0.25">
      <c r="A599">
        <v>598</v>
      </c>
      <c r="B599" s="35" t="s">
        <v>1883</v>
      </c>
      <c r="F599" s="26">
        <v>3890</v>
      </c>
      <c r="G599" s="26">
        <v>2658</v>
      </c>
      <c r="H599" s="11">
        <v>43952</v>
      </c>
    </row>
    <row r="600" spans="1:8" x14ac:dyDescent="0.25">
      <c r="A600">
        <v>599</v>
      </c>
      <c r="B600" s="35" t="s">
        <v>1884</v>
      </c>
      <c r="F600" s="26">
        <v>5190</v>
      </c>
      <c r="G600" s="26">
        <v>3547</v>
      </c>
      <c r="H600" s="11">
        <v>43952</v>
      </c>
    </row>
    <row r="601" spans="1:8" x14ac:dyDescent="0.25">
      <c r="A601">
        <v>600</v>
      </c>
      <c r="B601" s="35" t="s">
        <v>1885</v>
      </c>
      <c r="F601" s="26">
        <v>5190</v>
      </c>
      <c r="G601" s="26">
        <v>3547</v>
      </c>
      <c r="H601" s="11">
        <v>43952</v>
      </c>
    </row>
    <row r="602" spans="1:8" x14ac:dyDescent="0.25">
      <c r="A602">
        <v>601</v>
      </c>
      <c r="B602" s="35" t="s">
        <v>1886</v>
      </c>
      <c r="F602" s="26">
        <v>4590</v>
      </c>
      <c r="G602" s="26">
        <v>3137</v>
      </c>
      <c r="H602" s="11">
        <v>43952</v>
      </c>
    </row>
    <row r="603" spans="1:8" x14ac:dyDescent="0.25">
      <c r="A603">
        <v>602</v>
      </c>
      <c r="B603" s="35" t="s">
        <v>1887</v>
      </c>
      <c r="F603" s="26">
        <v>5690</v>
      </c>
      <c r="G603" s="26">
        <v>3888</v>
      </c>
      <c r="H603" s="11">
        <v>43952</v>
      </c>
    </row>
    <row r="604" spans="1:8" x14ac:dyDescent="0.25">
      <c r="A604">
        <v>603</v>
      </c>
      <c r="B604" s="35" t="s">
        <v>1888</v>
      </c>
      <c r="F604" s="26">
        <v>5690</v>
      </c>
      <c r="G604" s="26">
        <v>3888</v>
      </c>
      <c r="H604" s="11">
        <v>43952</v>
      </c>
    </row>
    <row r="605" spans="1:8" x14ac:dyDescent="0.25">
      <c r="A605">
        <v>604</v>
      </c>
      <c r="B605" s="35" t="s">
        <v>1889</v>
      </c>
      <c r="F605" s="26">
        <v>5690</v>
      </c>
      <c r="G605" s="26">
        <v>3888</v>
      </c>
      <c r="H605" s="11">
        <v>43952</v>
      </c>
    </row>
    <row r="606" spans="1:8" x14ac:dyDescent="0.25">
      <c r="A606">
        <v>605</v>
      </c>
      <c r="B606" s="35" t="s">
        <v>1890</v>
      </c>
      <c r="F606" s="26">
        <v>5690</v>
      </c>
      <c r="G606" s="26">
        <v>3888</v>
      </c>
      <c r="H606" s="11">
        <v>43952</v>
      </c>
    </row>
    <row r="607" spans="1:8" x14ac:dyDescent="0.25">
      <c r="A607">
        <v>606</v>
      </c>
      <c r="B607" s="35" t="s">
        <v>1936</v>
      </c>
      <c r="F607" s="26">
        <v>4190</v>
      </c>
      <c r="G607" s="26">
        <v>2514</v>
      </c>
      <c r="H607" s="11">
        <v>43952</v>
      </c>
    </row>
    <row r="608" spans="1:8" x14ac:dyDescent="0.25">
      <c r="A608">
        <v>607</v>
      </c>
      <c r="B608" s="35" t="s">
        <v>1938</v>
      </c>
      <c r="F608" s="26">
        <v>990</v>
      </c>
      <c r="G608" s="26">
        <v>536</v>
      </c>
      <c r="H608" s="11">
        <v>43952</v>
      </c>
    </row>
    <row r="609" spans="1:8" x14ac:dyDescent="0.25">
      <c r="A609">
        <v>608</v>
      </c>
      <c r="B609" s="35" t="s">
        <v>2089</v>
      </c>
      <c r="F609" s="26">
        <v>1579</v>
      </c>
      <c r="G609" s="26">
        <v>1013</v>
      </c>
      <c r="H609" s="11">
        <v>43952</v>
      </c>
    </row>
    <row r="610" spans="1:8" x14ac:dyDescent="0.25">
      <c r="A610">
        <v>609</v>
      </c>
      <c r="B610" s="35" t="s">
        <v>2090</v>
      </c>
      <c r="F610" s="26">
        <v>3979</v>
      </c>
      <c r="G610" s="26">
        <v>2553</v>
      </c>
      <c r="H610" s="11">
        <v>43952</v>
      </c>
    </row>
    <row r="611" spans="1:8" x14ac:dyDescent="0.25">
      <c r="A611">
        <v>610</v>
      </c>
      <c r="B611" s="35" t="s">
        <v>2130</v>
      </c>
      <c r="F611" s="26">
        <v>2829</v>
      </c>
      <c r="G611" s="26">
        <v>1697</v>
      </c>
      <c r="H611" s="11">
        <v>43952</v>
      </c>
    </row>
    <row r="612" spans="1:8" x14ac:dyDescent="0.25">
      <c r="A612">
        <v>611</v>
      </c>
      <c r="B612" s="35" t="s">
        <v>2132</v>
      </c>
      <c r="F612" s="26">
        <v>2829</v>
      </c>
      <c r="G612" s="26">
        <v>1697</v>
      </c>
      <c r="H612" s="11">
        <v>43952</v>
      </c>
    </row>
    <row r="613" spans="1:8" x14ac:dyDescent="0.25">
      <c r="A613">
        <v>612</v>
      </c>
      <c r="B613" s="35" t="s">
        <v>2133</v>
      </c>
      <c r="F613" s="26">
        <v>2829</v>
      </c>
      <c r="G613" s="26">
        <v>1697</v>
      </c>
      <c r="H613" s="11">
        <v>43952</v>
      </c>
    </row>
    <row r="614" spans="1:8" x14ac:dyDescent="0.25">
      <c r="A614">
        <v>613</v>
      </c>
      <c r="B614" s="35" t="s">
        <v>2134</v>
      </c>
      <c r="F614" s="26">
        <v>3639</v>
      </c>
      <c r="G614" s="26">
        <v>2183</v>
      </c>
      <c r="H614" s="11">
        <v>43952</v>
      </c>
    </row>
    <row r="615" spans="1:8" x14ac:dyDescent="0.25">
      <c r="A615">
        <v>614</v>
      </c>
      <c r="B615" s="35" t="s">
        <v>2136</v>
      </c>
      <c r="F615" s="26">
        <v>3419</v>
      </c>
      <c r="G615" s="26">
        <v>2051</v>
      </c>
      <c r="H615" s="11">
        <v>43952</v>
      </c>
    </row>
    <row r="616" spans="1:8" x14ac:dyDescent="0.25">
      <c r="A616">
        <v>615</v>
      </c>
      <c r="B616" s="35" t="s">
        <v>2137</v>
      </c>
      <c r="F616" s="26">
        <v>3629</v>
      </c>
      <c r="G616" s="26">
        <v>2177</v>
      </c>
      <c r="H616" s="11">
        <v>43952</v>
      </c>
    </row>
    <row r="617" spans="1:8" x14ac:dyDescent="0.25">
      <c r="A617">
        <v>616</v>
      </c>
      <c r="B617" s="35" t="s">
        <v>2138</v>
      </c>
      <c r="F617" s="26">
        <v>3629</v>
      </c>
      <c r="G617" s="26">
        <v>2177</v>
      </c>
      <c r="H617" s="11">
        <v>43952</v>
      </c>
    </row>
    <row r="618" spans="1:8" x14ac:dyDescent="0.25">
      <c r="A618">
        <v>617</v>
      </c>
      <c r="B618" s="35" t="s">
        <v>2139</v>
      </c>
      <c r="F618" s="26">
        <v>4229</v>
      </c>
      <c r="G618" s="26">
        <v>2537</v>
      </c>
      <c r="H618" s="11">
        <v>43952</v>
      </c>
    </row>
    <row r="619" spans="1:8" x14ac:dyDescent="0.25">
      <c r="A619">
        <v>618</v>
      </c>
      <c r="B619" s="35" t="s">
        <v>2141</v>
      </c>
      <c r="F619" s="26">
        <v>1389</v>
      </c>
      <c r="G619" s="26">
        <v>845</v>
      </c>
      <c r="H619" s="11">
        <v>43952</v>
      </c>
    </row>
    <row r="620" spans="1:8" x14ac:dyDescent="0.25">
      <c r="A620">
        <v>619</v>
      </c>
      <c r="B620" s="35" t="s">
        <v>2142</v>
      </c>
      <c r="F620" s="26">
        <v>1459</v>
      </c>
      <c r="G620" s="26">
        <v>888</v>
      </c>
      <c r="H620" s="11">
        <v>43952</v>
      </c>
    </row>
    <row r="621" spans="1:8" x14ac:dyDescent="0.25">
      <c r="A621">
        <v>620</v>
      </c>
      <c r="B621" s="35" t="s">
        <v>2152</v>
      </c>
      <c r="F621" s="26">
        <v>2190</v>
      </c>
      <c r="G621" s="26">
        <v>1351</v>
      </c>
      <c r="H621" s="11">
        <v>43952</v>
      </c>
    </row>
    <row r="622" spans="1:8" x14ac:dyDescent="0.25">
      <c r="A622">
        <v>621</v>
      </c>
      <c r="B622" s="35" t="s">
        <v>2156</v>
      </c>
      <c r="F622" s="26">
        <v>1429</v>
      </c>
      <c r="G622" s="26">
        <v>869</v>
      </c>
      <c r="H622" s="11">
        <v>43952</v>
      </c>
    </row>
    <row r="623" spans="1:8" x14ac:dyDescent="0.25">
      <c r="A623">
        <v>622</v>
      </c>
      <c r="B623" s="35" t="s">
        <v>2158</v>
      </c>
      <c r="F623" s="26">
        <v>1429</v>
      </c>
      <c r="G623" s="26">
        <v>869</v>
      </c>
      <c r="H623" s="11">
        <v>43952</v>
      </c>
    </row>
    <row r="624" spans="1:8" x14ac:dyDescent="0.25">
      <c r="A624">
        <v>623</v>
      </c>
      <c r="B624" s="35" t="s">
        <v>2160</v>
      </c>
      <c r="F624" s="26">
        <v>1929</v>
      </c>
      <c r="G624" s="26">
        <v>1173</v>
      </c>
      <c r="H624" s="11">
        <v>43952</v>
      </c>
    </row>
    <row r="625" spans="1:8" x14ac:dyDescent="0.25">
      <c r="A625">
        <v>624</v>
      </c>
      <c r="B625" s="35" t="s">
        <v>2161</v>
      </c>
      <c r="F625" s="26">
        <v>1249</v>
      </c>
      <c r="G625" s="26">
        <v>760</v>
      </c>
      <c r="H625" s="11">
        <v>43952</v>
      </c>
    </row>
    <row r="626" spans="1:8" x14ac:dyDescent="0.25">
      <c r="A626">
        <v>625</v>
      </c>
      <c r="B626" s="35" t="s">
        <v>2162</v>
      </c>
      <c r="F626" s="26">
        <v>1719</v>
      </c>
      <c r="G626" s="26">
        <v>1046</v>
      </c>
      <c r="H626" s="11">
        <v>43952</v>
      </c>
    </row>
    <row r="627" spans="1:8" x14ac:dyDescent="0.25">
      <c r="A627">
        <v>626</v>
      </c>
      <c r="B627" s="35" t="s">
        <v>2163</v>
      </c>
      <c r="F627" s="26">
        <v>1429</v>
      </c>
      <c r="G627" s="26">
        <v>869</v>
      </c>
      <c r="H627" s="11">
        <v>43952</v>
      </c>
    </row>
    <row r="628" spans="1:8" x14ac:dyDescent="0.25">
      <c r="A628">
        <v>627</v>
      </c>
      <c r="B628" s="35" t="s">
        <v>2164</v>
      </c>
      <c r="F628" s="26">
        <v>1790</v>
      </c>
      <c r="G628" s="26">
        <v>1089</v>
      </c>
      <c r="H628" s="11">
        <v>43952</v>
      </c>
    </row>
    <row r="629" spans="1:8" x14ac:dyDescent="0.25">
      <c r="A629">
        <v>628</v>
      </c>
      <c r="B629" s="35" t="s">
        <v>2166</v>
      </c>
      <c r="F629" s="26">
        <v>1429</v>
      </c>
      <c r="G629" s="26">
        <v>869</v>
      </c>
      <c r="H629" s="11">
        <v>43952</v>
      </c>
    </row>
    <row r="630" spans="1:8" x14ac:dyDescent="0.25">
      <c r="A630">
        <v>629</v>
      </c>
      <c r="B630" s="35" t="s">
        <v>2167</v>
      </c>
      <c r="F630" s="26">
        <v>1190</v>
      </c>
      <c r="G630" s="26">
        <v>734</v>
      </c>
      <c r="H630" s="11">
        <v>43952</v>
      </c>
    </row>
    <row r="631" spans="1:8" x14ac:dyDescent="0.25">
      <c r="A631">
        <v>630</v>
      </c>
      <c r="B631" s="35" t="s">
        <v>2174</v>
      </c>
      <c r="F631" s="26">
        <v>1129</v>
      </c>
      <c r="G631" s="26">
        <v>687</v>
      </c>
      <c r="H631" s="11">
        <v>43952</v>
      </c>
    </row>
    <row r="632" spans="1:8" x14ac:dyDescent="0.25">
      <c r="A632">
        <v>631</v>
      </c>
      <c r="B632" s="35" t="s">
        <v>2175</v>
      </c>
      <c r="F632" s="26">
        <v>1359</v>
      </c>
      <c r="G632" s="26">
        <v>827</v>
      </c>
      <c r="H632" s="11">
        <v>43952</v>
      </c>
    </row>
    <row r="633" spans="1:8" x14ac:dyDescent="0.25">
      <c r="A633">
        <v>632</v>
      </c>
      <c r="B633" s="35" t="s">
        <v>2176</v>
      </c>
      <c r="F633" s="26">
        <v>1059</v>
      </c>
      <c r="G633" s="26">
        <v>644</v>
      </c>
      <c r="H633" s="11">
        <v>43952</v>
      </c>
    </row>
    <row r="634" spans="1:8" x14ac:dyDescent="0.25">
      <c r="A634">
        <v>633</v>
      </c>
      <c r="B634" s="35" t="s">
        <v>2177</v>
      </c>
      <c r="F634" s="26">
        <v>1159</v>
      </c>
      <c r="G634" s="26">
        <v>705</v>
      </c>
      <c r="H634" s="11">
        <v>43952</v>
      </c>
    </row>
    <row r="635" spans="1:8" x14ac:dyDescent="0.25">
      <c r="A635">
        <v>634</v>
      </c>
      <c r="B635" s="35" t="s">
        <v>2178</v>
      </c>
      <c r="F635" s="26">
        <v>1059</v>
      </c>
      <c r="G635" s="26">
        <v>644</v>
      </c>
      <c r="H635" s="11">
        <v>43952</v>
      </c>
    </row>
    <row r="636" spans="1:8" x14ac:dyDescent="0.25">
      <c r="A636">
        <v>635</v>
      </c>
      <c r="B636" s="35" t="s">
        <v>219</v>
      </c>
      <c r="F636" s="26">
        <v>129</v>
      </c>
      <c r="G636" s="26">
        <v>80</v>
      </c>
      <c r="H636" s="11">
        <v>43952</v>
      </c>
    </row>
    <row r="637" spans="1:8" x14ac:dyDescent="0.25">
      <c r="A637">
        <v>636</v>
      </c>
      <c r="B637" s="35" t="s">
        <v>222</v>
      </c>
      <c r="F637" s="26">
        <v>129</v>
      </c>
      <c r="G637" s="26">
        <v>80</v>
      </c>
      <c r="H637" s="11">
        <v>43952</v>
      </c>
    </row>
    <row r="638" spans="1:8" x14ac:dyDescent="0.25">
      <c r="A638">
        <v>637</v>
      </c>
      <c r="B638" s="35" t="s">
        <v>225</v>
      </c>
      <c r="F638" s="26">
        <v>129</v>
      </c>
      <c r="G638" s="26">
        <v>80</v>
      </c>
      <c r="H638" s="11">
        <v>43952</v>
      </c>
    </row>
    <row r="639" spans="1:8" x14ac:dyDescent="0.25">
      <c r="A639">
        <v>638</v>
      </c>
      <c r="B639" s="35" t="s">
        <v>2753</v>
      </c>
      <c r="F639" s="26">
        <v>232</v>
      </c>
      <c r="G639" s="26">
        <v>143</v>
      </c>
      <c r="H639" s="11">
        <v>43952</v>
      </c>
    </row>
    <row r="640" spans="1:8" x14ac:dyDescent="0.25">
      <c r="A640">
        <v>639</v>
      </c>
      <c r="B640" s="35" t="s">
        <v>2754</v>
      </c>
      <c r="F640" s="26">
        <v>256</v>
      </c>
      <c r="G640" s="26">
        <v>158</v>
      </c>
      <c r="H640" s="11">
        <v>43952</v>
      </c>
    </row>
    <row r="641" spans="1:8" x14ac:dyDescent="0.25">
      <c r="A641">
        <v>640</v>
      </c>
      <c r="B641" s="35" t="s">
        <v>2793</v>
      </c>
      <c r="F641" s="26">
        <v>175</v>
      </c>
      <c r="G641" s="26">
        <v>108</v>
      </c>
      <c r="H641" s="11">
        <v>43952</v>
      </c>
    </row>
    <row r="642" spans="1:8" x14ac:dyDescent="0.25">
      <c r="A642">
        <v>641</v>
      </c>
      <c r="B642" s="35" t="s">
        <v>2794</v>
      </c>
      <c r="F642" s="26">
        <v>198</v>
      </c>
      <c r="G642" s="26">
        <v>122</v>
      </c>
      <c r="H642" s="11">
        <v>43952</v>
      </c>
    </row>
    <row r="643" spans="1:8" x14ac:dyDescent="0.25">
      <c r="A643">
        <v>642</v>
      </c>
      <c r="B643" s="35" t="s">
        <v>2803</v>
      </c>
      <c r="F643" s="26">
        <v>267</v>
      </c>
      <c r="G643" s="26">
        <v>165</v>
      </c>
      <c r="H643" s="11">
        <v>43952</v>
      </c>
    </row>
    <row r="644" spans="1:8" x14ac:dyDescent="0.25">
      <c r="A644">
        <v>643</v>
      </c>
      <c r="B644" s="35" t="s">
        <v>2804</v>
      </c>
      <c r="F644" s="26">
        <v>292</v>
      </c>
      <c r="G644" s="26">
        <v>180</v>
      </c>
      <c r="H644" s="11">
        <v>43952</v>
      </c>
    </row>
    <row r="645" spans="1:8" x14ac:dyDescent="0.25">
      <c r="A645">
        <v>644</v>
      </c>
      <c r="B645" s="35" t="s">
        <v>2657</v>
      </c>
      <c r="F645" s="26">
        <v>1825</v>
      </c>
      <c r="G645" s="26">
        <v>1293</v>
      </c>
      <c r="H645" s="11">
        <v>43952</v>
      </c>
    </row>
    <row r="646" spans="1:8" x14ac:dyDescent="0.25">
      <c r="A646">
        <v>645</v>
      </c>
      <c r="B646" s="35" t="s">
        <v>2716</v>
      </c>
      <c r="F646" s="26">
        <v>4490</v>
      </c>
      <c r="G646" s="26">
        <v>2694</v>
      </c>
      <c r="H646" s="11">
        <v>43952</v>
      </c>
    </row>
    <row r="647" spans="1:8" x14ac:dyDescent="0.25">
      <c r="A647">
        <v>646</v>
      </c>
      <c r="B647" s="35" t="s">
        <v>2717</v>
      </c>
      <c r="F647" s="26">
        <v>4390</v>
      </c>
      <c r="G647" s="26">
        <v>2634</v>
      </c>
      <c r="H647" s="11">
        <v>43952</v>
      </c>
    </row>
    <row r="648" spans="1:8" x14ac:dyDescent="0.25">
      <c r="A648">
        <v>647</v>
      </c>
      <c r="B648" s="35" t="s">
        <v>2718</v>
      </c>
      <c r="F648" s="26">
        <v>4690</v>
      </c>
      <c r="G648" s="26">
        <v>2814</v>
      </c>
      <c r="H648" s="11">
        <v>43952</v>
      </c>
    </row>
    <row r="649" spans="1:8" x14ac:dyDescent="0.25">
      <c r="A649">
        <v>648</v>
      </c>
      <c r="B649" s="35" t="s">
        <v>2719</v>
      </c>
      <c r="F649" s="26">
        <v>4690</v>
      </c>
      <c r="G649" s="26">
        <v>2814</v>
      </c>
      <c r="H649" s="11">
        <v>43952</v>
      </c>
    </row>
    <row r="650" spans="1:8" x14ac:dyDescent="0.25">
      <c r="A650">
        <v>649</v>
      </c>
      <c r="B650" s="35" t="s">
        <v>2720</v>
      </c>
      <c r="F650" s="26">
        <v>5890</v>
      </c>
      <c r="G650" s="26">
        <v>3534</v>
      </c>
      <c r="H650" s="11">
        <v>43952</v>
      </c>
    </row>
    <row r="651" spans="1:8" x14ac:dyDescent="0.25">
      <c r="A651">
        <v>650</v>
      </c>
      <c r="B651" s="35" t="s">
        <v>2722</v>
      </c>
      <c r="F651" s="26">
        <v>3890</v>
      </c>
      <c r="G651" s="26">
        <v>2269</v>
      </c>
      <c r="H651" s="11">
        <v>43952</v>
      </c>
    </row>
    <row r="652" spans="1:8" x14ac:dyDescent="0.25">
      <c r="A652">
        <v>651</v>
      </c>
      <c r="B652" s="35" t="s">
        <v>3003</v>
      </c>
      <c r="F652" s="26">
        <v>6790</v>
      </c>
      <c r="G652" s="26">
        <v>4244</v>
      </c>
      <c r="H652" s="11">
        <v>43952</v>
      </c>
    </row>
    <row r="653" spans="1:8" x14ac:dyDescent="0.25">
      <c r="A653">
        <v>652</v>
      </c>
      <c r="B653" s="35" t="s">
        <v>3004</v>
      </c>
      <c r="F653" s="26">
        <v>7790</v>
      </c>
      <c r="G653" s="26">
        <v>4869</v>
      </c>
      <c r="H653" s="11">
        <v>43952</v>
      </c>
    </row>
    <row r="654" spans="1:8" x14ac:dyDescent="0.25">
      <c r="A654">
        <v>653</v>
      </c>
      <c r="B654" s="35" t="s">
        <v>3005</v>
      </c>
      <c r="F654" s="26">
        <v>8490</v>
      </c>
      <c r="G654" s="26">
        <v>5306</v>
      </c>
      <c r="H654" s="11">
        <v>43952</v>
      </c>
    </row>
    <row r="655" spans="1:8" x14ac:dyDescent="0.25">
      <c r="A655">
        <v>654</v>
      </c>
      <c r="B655" s="35" t="s">
        <v>3007</v>
      </c>
      <c r="F655" s="26">
        <v>10890</v>
      </c>
      <c r="G655" s="26">
        <v>6806</v>
      </c>
      <c r="H655" s="11">
        <v>43952</v>
      </c>
    </row>
    <row r="656" spans="1:8" x14ac:dyDescent="0.25">
      <c r="A656">
        <v>655</v>
      </c>
      <c r="B656" s="35" t="s">
        <v>3008</v>
      </c>
      <c r="F656" s="26">
        <v>9990</v>
      </c>
      <c r="G656" s="26">
        <v>6244</v>
      </c>
      <c r="H656" s="11">
        <v>43952</v>
      </c>
    </row>
    <row r="657" spans="1:8" x14ac:dyDescent="0.25">
      <c r="A657">
        <v>656</v>
      </c>
      <c r="B657" s="35" t="s">
        <v>3024</v>
      </c>
      <c r="F657" s="26">
        <v>17490</v>
      </c>
      <c r="G657" s="26">
        <v>10931</v>
      </c>
      <c r="H657" s="11">
        <v>43952</v>
      </c>
    </row>
    <row r="658" spans="1:8" x14ac:dyDescent="0.25">
      <c r="A658">
        <v>657</v>
      </c>
      <c r="B658" s="35" t="s">
        <v>2920</v>
      </c>
      <c r="F658" s="26">
        <v>20790</v>
      </c>
      <c r="G658" s="26">
        <v>12128</v>
      </c>
      <c r="H658" s="11">
        <v>43952</v>
      </c>
    </row>
    <row r="659" spans="1:8" x14ac:dyDescent="0.25">
      <c r="A659">
        <v>658</v>
      </c>
      <c r="B659" s="35" t="s">
        <v>2650</v>
      </c>
      <c r="F659" s="26">
        <v>1969</v>
      </c>
      <c r="G659" s="26">
        <v>1181</v>
      </c>
      <c r="H659" s="11">
        <v>43952</v>
      </c>
    </row>
    <row r="660" spans="1:8" x14ac:dyDescent="0.25">
      <c r="A660">
        <v>659</v>
      </c>
      <c r="B660" s="35" t="s">
        <v>2651</v>
      </c>
      <c r="F660" s="26">
        <v>1969</v>
      </c>
      <c r="G660" s="26">
        <v>1116</v>
      </c>
      <c r="H660" s="11">
        <v>43952</v>
      </c>
    </row>
    <row r="661" spans="1:8" x14ac:dyDescent="0.25">
      <c r="A661">
        <v>660</v>
      </c>
      <c r="B661" s="35" t="s">
        <v>2652</v>
      </c>
      <c r="F661" s="26">
        <v>1309</v>
      </c>
      <c r="G661" s="26">
        <v>785</v>
      </c>
      <c r="H661" s="11">
        <v>43952</v>
      </c>
    </row>
    <row r="662" spans="1:8" x14ac:dyDescent="0.25">
      <c r="A662">
        <v>661</v>
      </c>
      <c r="B662" s="35" t="s">
        <v>3289</v>
      </c>
      <c r="F662" s="26">
        <v>3890</v>
      </c>
      <c r="G662" s="26">
        <v>2269</v>
      </c>
      <c r="H662" s="11">
        <v>43952</v>
      </c>
    </row>
    <row r="663" spans="1:8" x14ac:dyDescent="0.25">
      <c r="A663">
        <v>662</v>
      </c>
      <c r="B663" s="35" t="s">
        <v>3291</v>
      </c>
      <c r="F663" s="26">
        <v>4690</v>
      </c>
      <c r="G663" s="26">
        <v>2736</v>
      </c>
      <c r="H663" s="11">
        <v>43952</v>
      </c>
    </row>
    <row r="664" spans="1:8" x14ac:dyDescent="0.25">
      <c r="A664">
        <v>663</v>
      </c>
      <c r="B664" s="35" t="s">
        <v>3292</v>
      </c>
      <c r="F664" s="26">
        <v>9090</v>
      </c>
      <c r="G664" s="26">
        <v>5303</v>
      </c>
      <c r="H664" s="11">
        <v>43952</v>
      </c>
    </row>
    <row r="665" spans="1:8" x14ac:dyDescent="0.25">
      <c r="A665">
        <v>664</v>
      </c>
      <c r="B665" s="35" t="s">
        <v>3377</v>
      </c>
      <c r="F665" s="26">
        <v>979</v>
      </c>
      <c r="G665" s="26">
        <v>571</v>
      </c>
      <c r="H665" s="11">
        <v>43952</v>
      </c>
    </row>
    <row r="666" spans="1:8" x14ac:dyDescent="0.25">
      <c r="A666">
        <v>665</v>
      </c>
      <c r="B666" s="35" t="s">
        <v>3413</v>
      </c>
      <c r="F666" s="26">
        <v>759</v>
      </c>
      <c r="G666" s="26">
        <v>443</v>
      </c>
      <c r="H666" s="11">
        <v>43952</v>
      </c>
    </row>
    <row r="667" spans="1:8" x14ac:dyDescent="0.25">
      <c r="A667">
        <v>666</v>
      </c>
      <c r="B667" s="35" t="s">
        <v>3420</v>
      </c>
      <c r="F667" s="26">
        <v>1859</v>
      </c>
      <c r="G667" s="26">
        <v>1084</v>
      </c>
      <c r="H667" s="11">
        <v>43952</v>
      </c>
    </row>
    <row r="668" spans="1:8" x14ac:dyDescent="0.25">
      <c r="A668">
        <v>667</v>
      </c>
      <c r="B668" s="35" t="s">
        <v>3492</v>
      </c>
      <c r="F668" s="26">
        <v>10989</v>
      </c>
      <c r="G668" s="26">
        <v>6593</v>
      </c>
      <c r="H668" s="11">
        <v>43952</v>
      </c>
    </row>
    <row r="669" spans="1:8" x14ac:dyDescent="0.25">
      <c r="A669">
        <v>668</v>
      </c>
      <c r="B669" s="35" t="s">
        <v>3493</v>
      </c>
      <c r="F669" s="26">
        <v>12199</v>
      </c>
      <c r="G669" s="26">
        <v>7319</v>
      </c>
      <c r="H669" s="11">
        <v>43952</v>
      </c>
    </row>
    <row r="670" spans="1:8" x14ac:dyDescent="0.25">
      <c r="A670">
        <v>669</v>
      </c>
      <c r="B670" s="35" t="s">
        <v>3494</v>
      </c>
      <c r="F670" s="26">
        <v>14179</v>
      </c>
      <c r="G670" s="26">
        <v>8271</v>
      </c>
      <c r="H670" s="11">
        <v>43952</v>
      </c>
    </row>
    <row r="671" spans="1:8" x14ac:dyDescent="0.25">
      <c r="A671">
        <v>670</v>
      </c>
      <c r="B671" s="35" t="s">
        <v>3524</v>
      </c>
      <c r="F671" s="26">
        <v>209</v>
      </c>
      <c r="G671" s="26">
        <v>122</v>
      </c>
      <c r="H671" s="11">
        <v>43952</v>
      </c>
    </row>
    <row r="672" spans="1:8" x14ac:dyDescent="0.25">
      <c r="A672">
        <v>671</v>
      </c>
      <c r="B672" s="35" t="s">
        <v>3525</v>
      </c>
      <c r="F672" s="26">
        <v>209</v>
      </c>
      <c r="G672" s="26">
        <v>122</v>
      </c>
      <c r="H672" s="11">
        <v>43952</v>
      </c>
    </row>
    <row r="673" spans="1:8" x14ac:dyDescent="0.25">
      <c r="A673">
        <v>672</v>
      </c>
      <c r="B673" s="35" t="s">
        <v>3527</v>
      </c>
      <c r="F673" s="26">
        <v>649</v>
      </c>
      <c r="G673" s="26">
        <v>406</v>
      </c>
      <c r="H673" s="11">
        <v>43952</v>
      </c>
    </row>
    <row r="674" spans="1:8" x14ac:dyDescent="0.25">
      <c r="A674">
        <v>673</v>
      </c>
      <c r="B674" s="35" t="s">
        <v>3531</v>
      </c>
      <c r="F674" s="26">
        <v>1419</v>
      </c>
      <c r="G674" s="26">
        <v>828</v>
      </c>
      <c r="H674" s="11">
        <v>43952</v>
      </c>
    </row>
    <row r="675" spans="1:8" x14ac:dyDescent="0.25">
      <c r="A675">
        <v>674</v>
      </c>
      <c r="B675" s="35" t="s">
        <v>2254</v>
      </c>
      <c r="F675" s="26">
        <v>29990</v>
      </c>
      <c r="G675" s="26">
        <v>20493</v>
      </c>
      <c r="H675" s="11">
        <v>43952</v>
      </c>
    </row>
    <row r="676" spans="1:8" x14ac:dyDescent="0.25">
      <c r="A676">
        <v>675</v>
      </c>
      <c r="B676" s="35" t="s">
        <v>2255</v>
      </c>
      <c r="F676" s="26">
        <v>17090</v>
      </c>
      <c r="G676" s="26">
        <v>11678</v>
      </c>
      <c r="H676" s="11">
        <v>43952</v>
      </c>
    </row>
    <row r="677" spans="1:8" x14ac:dyDescent="0.25">
      <c r="A677">
        <v>676</v>
      </c>
      <c r="B677" s="35" t="s">
        <v>3166</v>
      </c>
      <c r="F677" s="26">
        <v>2739</v>
      </c>
      <c r="G677" s="26">
        <v>1506</v>
      </c>
      <c r="H677" s="11">
        <v>43952</v>
      </c>
    </row>
    <row r="678" spans="1:8" x14ac:dyDescent="0.25">
      <c r="A678">
        <v>677</v>
      </c>
      <c r="B678" s="35" t="s">
        <v>3182</v>
      </c>
      <c r="F678" s="26">
        <v>649</v>
      </c>
      <c r="G678" s="26">
        <v>355</v>
      </c>
      <c r="H678" s="11">
        <v>43952</v>
      </c>
    </row>
    <row r="679" spans="1:8" x14ac:dyDescent="0.25">
      <c r="A679">
        <v>678</v>
      </c>
      <c r="B679" s="35" t="s">
        <v>3183</v>
      </c>
      <c r="F679" s="26">
        <v>759</v>
      </c>
      <c r="G679" s="26">
        <v>416</v>
      </c>
      <c r="H679" s="11">
        <v>43952</v>
      </c>
    </row>
    <row r="680" spans="1:8" x14ac:dyDescent="0.25">
      <c r="A680">
        <v>679</v>
      </c>
      <c r="B680" s="35" t="s">
        <v>3184</v>
      </c>
      <c r="F680" s="26">
        <v>1529</v>
      </c>
      <c r="G680" s="26">
        <v>833</v>
      </c>
      <c r="H680" s="11">
        <v>43952</v>
      </c>
    </row>
    <row r="681" spans="1:8" x14ac:dyDescent="0.25">
      <c r="A681">
        <v>680</v>
      </c>
      <c r="B681" s="35" t="s">
        <v>3185</v>
      </c>
      <c r="F681" s="26">
        <v>1639</v>
      </c>
      <c r="G681" s="26">
        <v>893</v>
      </c>
      <c r="H681" s="11">
        <v>43952</v>
      </c>
    </row>
    <row r="682" spans="1:8" x14ac:dyDescent="0.25">
      <c r="A682">
        <v>681</v>
      </c>
      <c r="B682" s="35" t="s">
        <v>3187</v>
      </c>
      <c r="F682" s="26">
        <v>1859</v>
      </c>
      <c r="G682" s="26">
        <v>1018</v>
      </c>
      <c r="H682" s="11">
        <v>43952</v>
      </c>
    </row>
    <row r="683" spans="1:8" x14ac:dyDescent="0.25">
      <c r="A683">
        <v>682</v>
      </c>
      <c r="B683" s="35" t="s">
        <v>3188</v>
      </c>
      <c r="F683" s="26">
        <v>5379</v>
      </c>
      <c r="G683" s="26">
        <v>2944</v>
      </c>
      <c r="H683" s="11">
        <v>43952</v>
      </c>
    </row>
    <row r="684" spans="1:8" x14ac:dyDescent="0.25">
      <c r="A684">
        <v>683</v>
      </c>
      <c r="B684" s="35" t="s">
        <v>3189</v>
      </c>
      <c r="F684" s="26">
        <v>4829</v>
      </c>
      <c r="G684" s="26">
        <v>2643</v>
      </c>
      <c r="H684" s="11">
        <v>43952</v>
      </c>
    </row>
    <row r="685" spans="1:8" x14ac:dyDescent="0.25">
      <c r="A685">
        <v>684</v>
      </c>
      <c r="B685" s="35" t="s">
        <v>3193</v>
      </c>
      <c r="F685" s="26">
        <v>12749</v>
      </c>
      <c r="G685" s="26">
        <v>7974</v>
      </c>
      <c r="H685" s="11">
        <v>43952</v>
      </c>
    </row>
    <row r="686" spans="1:8" x14ac:dyDescent="0.25">
      <c r="A686">
        <v>685</v>
      </c>
      <c r="B686" s="35" t="s">
        <v>3194</v>
      </c>
      <c r="F686" s="26">
        <v>649</v>
      </c>
      <c r="G686" s="26">
        <v>355</v>
      </c>
      <c r="H686" s="11">
        <v>43952</v>
      </c>
    </row>
    <row r="687" spans="1:8" x14ac:dyDescent="0.25">
      <c r="A687">
        <v>686</v>
      </c>
      <c r="B687" s="35" t="s">
        <v>3195</v>
      </c>
      <c r="F687" s="26">
        <v>759</v>
      </c>
      <c r="G687" s="26">
        <v>416</v>
      </c>
      <c r="H687" s="11">
        <v>43952</v>
      </c>
    </row>
    <row r="688" spans="1:8" x14ac:dyDescent="0.25">
      <c r="A688">
        <v>687</v>
      </c>
      <c r="B688" s="35" t="s">
        <v>3196</v>
      </c>
      <c r="F688" s="26">
        <v>429</v>
      </c>
      <c r="G688" s="26">
        <v>234</v>
      </c>
      <c r="H688" s="11">
        <v>43952</v>
      </c>
    </row>
    <row r="689" spans="1:8" x14ac:dyDescent="0.25">
      <c r="A689">
        <v>688</v>
      </c>
      <c r="B689" s="35" t="s">
        <v>3198</v>
      </c>
      <c r="F689" s="26">
        <v>1419</v>
      </c>
      <c r="G689" s="26">
        <v>777</v>
      </c>
      <c r="H689" s="11">
        <v>43952</v>
      </c>
    </row>
    <row r="690" spans="1:8" x14ac:dyDescent="0.25">
      <c r="A690">
        <v>689</v>
      </c>
      <c r="B690" s="35" t="s">
        <v>3207</v>
      </c>
      <c r="F690" s="26">
        <v>4990</v>
      </c>
      <c r="G690" s="26">
        <v>3077</v>
      </c>
      <c r="H690" s="11">
        <v>43952</v>
      </c>
    </row>
    <row r="691" spans="1:8" x14ac:dyDescent="0.25">
      <c r="A691">
        <v>690</v>
      </c>
      <c r="B691" s="35" t="s">
        <v>3208</v>
      </c>
      <c r="F691" s="26">
        <v>7790</v>
      </c>
      <c r="G691" s="26">
        <v>4804</v>
      </c>
      <c r="H691" s="11">
        <v>43952</v>
      </c>
    </row>
    <row r="692" spans="1:8" x14ac:dyDescent="0.25">
      <c r="A692">
        <v>691</v>
      </c>
      <c r="B692" s="35" t="s">
        <v>3209</v>
      </c>
      <c r="F692" s="26">
        <v>10590</v>
      </c>
      <c r="G692" s="26">
        <v>6531</v>
      </c>
      <c r="H692" s="11">
        <v>43952</v>
      </c>
    </row>
    <row r="693" spans="1:8" x14ac:dyDescent="0.25">
      <c r="A693">
        <v>692</v>
      </c>
      <c r="B693" s="35" t="s">
        <v>3210</v>
      </c>
      <c r="F693" s="26">
        <v>14790</v>
      </c>
      <c r="G693" s="26">
        <v>9490</v>
      </c>
      <c r="H693" s="11">
        <v>43952</v>
      </c>
    </row>
    <row r="694" spans="1:8" x14ac:dyDescent="0.25">
      <c r="A694">
        <v>693</v>
      </c>
      <c r="B694" s="35" t="s">
        <v>3211</v>
      </c>
      <c r="F694" s="26">
        <v>20490</v>
      </c>
      <c r="G694" s="26">
        <v>13148</v>
      </c>
      <c r="H694" s="11">
        <v>43952</v>
      </c>
    </row>
    <row r="695" spans="1:8" x14ac:dyDescent="0.25">
      <c r="A695">
        <v>694</v>
      </c>
      <c r="B695" s="35" t="s">
        <v>3212</v>
      </c>
      <c r="F695" s="26">
        <v>24590</v>
      </c>
      <c r="G695" s="26">
        <v>15779</v>
      </c>
      <c r="H695" s="11">
        <v>43952</v>
      </c>
    </row>
    <row r="696" spans="1:8" x14ac:dyDescent="0.25">
      <c r="A696">
        <v>695</v>
      </c>
      <c r="B696" s="35" t="s">
        <v>2179</v>
      </c>
      <c r="F696" s="26">
        <v>1790</v>
      </c>
      <c r="G696" s="26">
        <v>1074</v>
      </c>
      <c r="H696" s="11">
        <v>43952</v>
      </c>
    </row>
    <row r="697" spans="1:8" x14ac:dyDescent="0.25">
      <c r="A697">
        <v>696</v>
      </c>
      <c r="B697" s="35" t="s">
        <v>1796</v>
      </c>
      <c r="F697" s="26">
        <v>12890</v>
      </c>
      <c r="G697" s="26">
        <v>8056</v>
      </c>
      <c r="H697" s="11">
        <v>43952</v>
      </c>
    </row>
    <row r="698" spans="1:8" x14ac:dyDescent="0.25">
      <c r="A698">
        <v>697</v>
      </c>
      <c r="B698" s="35" t="s">
        <v>2399</v>
      </c>
      <c r="F698" s="26">
        <v>13690</v>
      </c>
      <c r="G698" s="26">
        <v>9355</v>
      </c>
      <c r="H698" s="11">
        <v>43952</v>
      </c>
    </row>
    <row r="699" spans="1:8" x14ac:dyDescent="0.25">
      <c r="A699">
        <v>698</v>
      </c>
      <c r="B699" s="35" t="s">
        <v>2476</v>
      </c>
      <c r="F699" s="26">
        <v>6589</v>
      </c>
      <c r="G699" s="26">
        <v>3569</v>
      </c>
      <c r="H699" s="11">
        <v>43952</v>
      </c>
    </row>
    <row r="700" spans="1:8" x14ac:dyDescent="0.25">
      <c r="A700">
        <v>699</v>
      </c>
      <c r="B700" s="35" t="s">
        <v>2376</v>
      </c>
      <c r="F700" s="26">
        <v>21790</v>
      </c>
      <c r="G700" s="26">
        <v>14890</v>
      </c>
      <c r="H700" s="11">
        <v>43952</v>
      </c>
    </row>
    <row r="701" spans="1:8" x14ac:dyDescent="0.25">
      <c r="A701">
        <v>700</v>
      </c>
      <c r="B701" s="35" t="s">
        <v>2377</v>
      </c>
      <c r="F701" s="26">
        <v>13790</v>
      </c>
      <c r="G701" s="26">
        <v>9423</v>
      </c>
      <c r="H701" s="11">
        <v>43952</v>
      </c>
    </row>
    <row r="702" spans="1:8" x14ac:dyDescent="0.25">
      <c r="A702">
        <v>701</v>
      </c>
      <c r="B702" s="35" t="s">
        <v>3533</v>
      </c>
      <c r="F702" s="26">
        <v>5968</v>
      </c>
      <c r="G702" s="26">
        <v>3481</v>
      </c>
      <c r="H702" s="11">
        <v>43952</v>
      </c>
    </row>
    <row r="703" spans="1:8" x14ac:dyDescent="0.25">
      <c r="A703">
        <v>702</v>
      </c>
      <c r="B703" s="35" t="s">
        <v>3534</v>
      </c>
      <c r="F703" s="26">
        <v>2369</v>
      </c>
      <c r="G703" s="26">
        <v>1382</v>
      </c>
      <c r="H703" s="11">
        <v>43952</v>
      </c>
    </row>
    <row r="704" spans="1:8" x14ac:dyDescent="0.25">
      <c r="A704">
        <v>703</v>
      </c>
      <c r="B704" s="35" t="s">
        <v>3537</v>
      </c>
      <c r="F704" s="26">
        <v>209</v>
      </c>
      <c r="G704" s="26">
        <v>122</v>
      </c>
      <c r="H704" s="11">
        <v>43952</v>
      </c>
    </row>
    <row r="705" spans="1:8" x14ac:dyDescent="0.25">
      <c r="A705">
        <v>704</v>
      </c>
      <c r="B705" s="35" t="s">
        <v>3222</v>
      </c>
      <c r="F705" s="26">
        <v>3590</v>
      </c>
      <c r="G705" s="26">
        <v>2184</v>
      </c>
      <c r="H705" s="11">
        <v>43952</v>
      </c>
    </row>
    <row r="706" spans="1:8" x14ac:dyDescent="0.25">
      <c r="A706">
        <v>705</v>
      </c>
      <c r="B706" s="35" t="s">
        <v>3223</v>
      </c>
      <c r="F706" s="26">
        <v>4690</v>
      </c>
      <c r="G706" s="26">
        <v>2853</v>
      </c>
      <c r="H706" s="11">
        <v>43952</v>
      </c>
    </row>
    <row r="707" spans="1:8" x14ac:dyDescent="0.25">
      <c r="A707">
        <v>706</v>
      </c>
      <c r="B707" s="35" t="s">
        <v>3224</v>
      </c>
      <c r="F707" s="26">
        <v>3590</v>
      </c>
      <c r="G707" s="26">
        <v>2274</v>
      </c>
      <c r="H707" s="11">
        <v>43952</v>
      </c>
    </row>
    <row r="708" spans="1:8" x14ac:dyDescent="0.25">
      <c r="A708">
        <v>707</v>
      </c>
      <c r="B708" s="35" t="s">
        <v>3225</v>
      </c>
      <c r="F708" s="26">
        <v>4690</v>
      </c>
      <c r="G708" s="26">
        <v>2853</v>
      </c>
      <c r="H708" s="11">
        <v>43952</v>
      </c>
    </row>
    <row r="709" spans="1:8" x14ac:dyDescent="0.25">
      <c r="A709">
        <v>708</v>
      </c>
      <c r="B709" s="35" t="s">
        <v>3226</v>
      </c>
      <c r="F709" s="26">
        <v>5590</v>
      </c>
      <c r="G709" s="26">
        <v>3401</v>
      </c>
      <c r="H709" s="11">
        <v>43952</v>
      </c>
    </row>
    <row r="710" spans="1:8" x14ac:dyDescent="0.25">
      <c r="A710">
        <v>709</v>
      </c>
      <c r="B710" s="35" t="s">
        <v>3227</v>
      </c>
      <c r="F710" s="26">
        <v>9190</v>
      </c>
      <c r="G710" s="26">
        <v>5897</v>
      </c>
      <c r="H710" s="11">
        <v>43952</v>
      </c>
    </row>
    <row r="711" spans="1:8" x14ac:dyDescent="0.25">
      <c r="A711">
        <v>710</v>
      </c>
      <c r="B711" s="35" t="s">
        <v>3228</v>
      </c>
      <c r="F711" s="26">
        <v>7490</v>
      </c>
      <c r="G711" s="26">
        <v>4806</v>
      </c>
      <c r="H711" s="11">
        <v>43952</v>
      </c>
    </row>
    <row r="712" spans="1:8" x14ac:dyDescent="0.25">
      <c r="A712">
        <v>711</v>
      </c>
      <c r="B712" s="35" t="s">
        <v>3229</v>
      </c>
      <c r="F712" s="26">
        <v>8590</v>
      </c>
      <c r="G712" s="26">
        <v>5226</v>
      </c>
      <c r="H712" s="11">
        <v>43952</v>
      </c>
    </row>
    <row r="713" spans="1:8" x14ac:dyDescent="0.25">
      <c r="A713">
        <v>712</v>
      </c>
      <c r="B713" s="35" t="s">
        <v>3230</v>
      </c>
      <c r="F713" s="26">
        <v>11390</v>
      </c>
      <c r="G713" s="26">
        <v>6739</v>
      </c>
      <c r="H713" s="11">
        <v>43952</v>
      </c>
    </row>
    <row r="714" spans="1:8" x14ac:dyDescent="0.25">
      <c r="A714">
        <v>713</v>
      </c>
      <c r="B714" s="35" t="s">
        <v>3231</v>
      </c>
      <c r="F714" s="26">
        <v>7290</v>
      </c>
      <c r="G714" s="26">
        <v>4435</v>
      </c>
      <c r="H714" s="11">
        <v>43952</v>
      </c>
    </row>
    <row r="715" spans="1:8" x14ac:dyDescent="0.25">
      <c r="A715">
        <v>714</v>
      </c>
      <c r="B715" s="35" t="s">
        <v>2301</v>
      </c>
      <c r="F715" s="26">
        <v>4490</v>
      </c>
      <c r="G715" s="26">
        <v>3068</v>
      </c>
      <c r="H715" s="11">
        <v>43952</v>
      </c>
    </row>
    <row r="716" spans="1:8" x14ac:dyDescent="0.25">
      <c r="A716">
        <v>715</v>
      </c>
      <c r="B716" s="35" t="s">
        <v>2302</v>
      </c>
      <c r="F716" s="26">
        <v>6490</v>
      </c>
      <c r="G716" s="26">
        <v>4435</v>
      </c>
      <c r="H716" s="11">
        <v>43952</v>
      </c>
    </row>
    <row r="717" spans="1:8" x14ac:dyDescent="0.25">
      <c r="A717">
        <v>716</v>
      </c>
      <c r="B717" s="35" t="s">
        <v>2303</v>
      </c>
      <c r="F717" s="26">
        <v>7790</v>
      </c>
      <c r="G717" s="26">
        <v>5323</v>
      </c>
      <c r="H717" s="11">
        <v>43952</v>
      </c>
    </row>
    <row r="718" spans="1:8" x14ac:dyDescent="0.25">
      <c r="A718">
        <v>717</v>
      </c>
      <c r="B718" s="35" t="s">
        <v>2318</v>
      </c>
      <c r="F718" s="26">
        <v>10790</v>
      </c>
      <c r="G718" s="26">
        <v>7373</v>
      </c>
      <c r="H718" s="11">
        <v>43952</v>
      </c>
    </row>
    <row r="719" spans="1:8" x14ac:dyDescent="0.25">
      <c r="A719">
        <v>718</v>
      </c>
      <c r="B719" s="35" t="s">
        <v>2320</v>
      </c>
      <c r="F719" s="26">
        <v>5790</v>
      </c>
      <c r="G719" s="26">
        <v>3957</v>
      </c>
      <c r="H719" s="11">
        <v>43952</v>
      </c>
    </row>
    <row r="720" spans="1:8" x14ac:dyDescent="0.25">
      <c r="A720">
        <v>719</v>
      </c>
      <c r="B720" s="35" t="s">
        <v>2321</v>
      </c>
      <c r="F720" s="26">
        <v>13090</v>
      </c>
      <c r="G720" s="26">
        <v>8945</v>
      </c>
      <c r="H720" s="11">
        <v>43952</v>
      </c>
    </row>
    <row r="721" spans="1:8" x14ac:dyDescent="0.25">
      <c r="A721">
        <v>720</v>
      </c>
      <c r="B721" s="35" t="s">
        <v>2322</v>
      </c>
      <c r="F721" s="26">
        <v>7690</v>
      </c>
      <c r="G721" s="26">
        <v>5255</v>
      </c>
      <c r="H721" s="11">
        <v>43952</v>
      </c>
    </row>
    <row r="722" spans="1:8" x14ac:dyDescent="0.25">
      <c r="A722">
        <v>721</v>
      </c>
      <c r="B722" s="35" t="s">
        <v>1941</v>
      </c>
      <c r="F722" s="26">
        <v>2390</v>
      </c>
      <c r="G722" s="26">
        <v>1394</v>
      </c>
      <c r="H722" s="11">
        <v>43952</v>
      </c>
    </row>
    <row r="723" spans="1:8" x14ac:dyDescent="0.25">
      <c r="A723">
        <v>722</v>
      </c>
      <c r="B723" s="35" t="s">
        <v>1943</v>
      </c>
      <c r="F723" s="26">
        <v>3190</v>
      </c>
      <c r="G723" s="26">
        <v>1861</v>
      </c>
      <c r="H723" s="11">
        <v>43952</v>
      </c>
    </row>
    <row r="724" spans="1:8" x14ac:dyDescent="0.25">
      <c r="A724">
        <v>723</v>
      </c>
      <c r="B724" s="35" t="s">
        <v>1944</v>
      </c>
      <c r="F724" s="26">
        <v>2390</v>
      </c>
      <c r="G724" s="26">
        <v>1394</v>
      </c>
      <c r="H724" s="11">
        <v>43952</v>
      </c>
    </row>
    <row r="725" spans="1:8" x14ac:dyDescent="0.25">
      <c r="A725">
        <v>724</v>
      </c>
      <c r="B725" s="35" t="s">
        <v>1946</v>
      </c>
      <c r="F725" s="26">
        <v>3990</v>
      </c>
      <c r="G725" s="26">
        <v>2328</v>
      </c>
      <c r="H725" s="11">
        <v>43952</v>
      </c>
    </row>
    <row r="726" spans="1:8" x14ac:dyDescent="0.25">
      <c r="A726">
        <v>725</v>
      </c>
      <c r="B726" s="35" t="s">
        <v>1948</v>
      </c>
      <c r="F726" s="26">
        <v>4690</v>
      </c>
      <c r="G726" s="26">
        <v>2736</v>
      </c>
      <c r="H726" s="11">
        <v>43952</v>
      </c>
    </row>
    <row r="727" spans="1:8" x14ac:dyDescent="0.25">
      <c r="A727">
        <v>726</v>
      </c>
      <c r="B727" s="35" t="s">
        <v>3535</v>
      </c>
      <c r="F727" s="26">
        <v>9090</v>
      </c>
      <c r="G727" s="26">
        <v>5303</v>
      </c>
      <c r="H727" s="11">
        <v>43952</v>
      </c>
    </row>
    <row r="728" spans="1:8" x14ac:dyDescent="0.25">
      <c r="A728">
        <v>727</v>
      </c>
      <c r="B728" s="35" t="s">
        <v>3536</v>
      </c>
      <c r="F728" s="26">
        <v>9090</v>
      </c>
      <c r="G728" s="26">
        <v>5303</v>
      </c>
      <c r="H728" s="11">
        <v>43952</v>
      </c>
    </row>
    <row r="729" spans="1:8" x14ac:dyDescent="0.25">
      <c r="A729">
        <v>728</v>
      </c>
      <c r="B729" s="35" t="s">
        <v>2451</v>
      </c>
      <c r="F729" s="26">
        <v>69290</v>
      </c>
      <c r="G729" s="26">
        <v>43306</v>
      </c>
      <c r="H729" s="11">
        <v>43952</v>
      </c>
    </row>
    <row r="730" spans="1:8" x14ac:dyDescent="0.25">
      <c r="A730">
        <v>729</v>
      </c>
      <c r="B730" s="35" t="s">
        <v>2452</v>
      </c>
      <c r="F730" s="26">
        <v>78290</v>
      </c>
      <c r="G730" s="26">
        <v>48931</v>
      </c>
      <c r="H730" s="11">
        <v>43952</v>
      </c>
    </row>
    <row r="731" spans="1:8" x14ac:dyDescent="0.25">
      <c r="A731">
        <v>730</v>
      </c>
      <c r="B731" s="35" t="s">
        <v>2731</v>
      </c>
      <c r="F731" s="26">
        <v>3769</v>
      </c>
      <c r="G731" s="26">
        <v>2293</v>
      </c>
      <c r="H731" s="11">
        <v>43952</v>
      </c>
    </row>
    <row r="732" spans="1:8" x14ac:dyDescent="0.25">
      <c r="A732">
        <v>731</v>
      </c>
      <c r="B732" s="35" t="s">
        <v>2732</v>
      </c>
      <c r="F732" s="26">
        <v>4741</v>
      </c>
      <c r="G732" s="26">
        <v>3240</v>
      </c>
      <c r="H732" s="11">
        <v>43952</v>
      </c>
    </row>
    <row r="733" spans="1:8" x14ac:dyDescent="0.25">
      <c r="A733">
        <v>732</v>
      </c>
      <c r="B733" s="35" t="s">
        <v>2733</v>
      </c>
      <c r="F733" s="26">
        <v>2041</v>
      </c>
      <c r="G733" s="26">
        <v>1395</v>
      </c>
      <c r="H733" s="11">
        <v>43952</v>
      </c>
    </row>
    <row r="734" spans="1:8" x14ac:dyDescent="0.25">
      <c r="A734">
        <v>733</v>
      </c>
      <c r="B734" s="35" t="s">
        <v>2859</v>
      </c>
      <c r="F734" s="26">
        <v>1122</v>
      </c>
      <c r="G734" s="26">
        <v>683</v>
      </c>
      <c r="H734" s="11">
        <v>43952</v>
      </c>
    </row>
    <row r="735" spans="1:8" x14ac:dyDescent="0.25">
      <c r="A735">
        <v>734</v>
      </c>
      <c r="B735" s="35" t="s">
        <v>2963</v>
      </c>
      <c r="F735" s="26">
        <v>1690</v>
      </c>
      <c r="G735" s="26">
        <v>986</v>
      </c>
      <c r="H735" s="11">
        <v>43952</v>
      </c>
    </row>
    <row r="736" spans="1:8" x14ac:dyDescent="0.25">
      <c r="A736">
        <v>735</v>
      </c>
      <c r="B736" s="35" t="s">
        <v>2965</v>
      </c>
      <c r="F736" s="26">
        <v>1690</v>
      </c>
      <c r="G736" s="26">
        <v>986</v>
      </c>
      <c r="H736" s="11">
        <v>43952</v>
      </c>
    </row>
    <row r="737" spans="1:8" x14ac:dyDescent="0.25">
      <c r="A737">
        <v>736</v>
      </c>
      <c r="B737" s="35" t="s">
        <v>2966</v>
      </c>
      <c r="F737" s="26">
        <v>3590</v>
      </c>
      <c r="G737" s="26">
        <v>2094</v>
      </c>
      <c r="H737" s="11">
        <v>43952</v>
      </c>
    </row>
    <row r="738" spans="1:8" x14ac:dyDescent="0.25">
      <c r="A738">
        <v>737</v>
      </c>
      <c r="B738" s="35" t="s">
        <v>2967</v>
      </c>
      <c r="F738" s="26">
        <v>2590</v>
      </c>
      <c r="G738" s="26">
        <v>1511</v>
      </c>
      <c r="H738" s="11">
        <v>43952</v>
      </c>
    </row>
    <row r="739" spans="1:8" x14ac:dyDescent="0.25">
      <c r="A739">
        <v>738</v>
      </c>
      <c r="B739" s="35" t="s">
        <v>2968</v>
      </c>
      <c r="F739" s="26">
        <v>3490</v>
      </c>
      <c r="G739" s="26">
        <v>2036</v>
      </c>
      <c r="H739" s="11">
        <v>43952</v>
      </c>
    </row>
    <row r="740" spans="1:8" x14ac:dyDescent="0.25">
      <c r="A740">
        <v>739</v>
      </c>
      <c r="B740" s="35" t="s">
        <v>2969</v>
      </c>
      <c r="F740" s="26">
        <v>2990</v>
      </c>
      <c r="G740" s="26">
        <v>1744</v>
      </c>
      <c r="H740" s="11">
        <v>43952</v>
      </c>
    </row>
    <row r="741" spans="1:8" x14ac:dyDescent="0.25">
      <c r="A741">
        <v>740</v>
      </c>
      <c r="B741" s="35" t="s">
        <v>2970</v>
      </c>
      <c r="F741" s="26">
        <v>2990</v>
      </c>
      <c r="G741" s="26">
        <v>1744</v>
      </c>
      <c r="H741" s="11">
        <v>43952</v>
      </c>
    </row>
    <row r="742" spans="1:8" x14ac:dyDescent="0.25">
      <c r="A742">
        <v>741</v>
      </c>
      <c r="B742" s="35" t="s">
        <v>2971</v>
      </c>
      <c r="F742" s="26">
        <v>2990</v>
      </c>
      <c r="G742" s="26">
        <v>1744</v>
      </c>
      <c r="H742" s="11">
        <v>43952</v>
      </c>
    </row>
    <row r="743" spans="1:8" x14ac:dyDescent="0.25">
      <c r="A743">
        <v>742</v>
      </c>
      <c r="B743" s="35" t="s">
        <v>2972</v>
      </c>
      <c r="F743" s="26">
        <v>2990</v>
      </c>
      <c r="G743" s="26">
        <v>1744</v>
      </c>
      <c r="H743" s="11">
        <v>43952</v>
      </c>
    </row>
    <row r="744" spans="1:8" x14ac:dyDescent="0.25">
      <c r="A744">
        <v>743</v>
      </c>
      <c r="B744" s="35" t="s">
        <v>2973</v>
      </c>
      <c r="F744" s="26">
        <v>3490</v>
      </c>
      <c r="G744" s="26">
        <v>2036</v>
      </c>
      <c r="H744" s="11">
        <v>43952</v>
      </c>
    </row>
    <row r="745" spans="1:8" x14ac:dyDescent="0.25">
      <c r="A745">
        <v>744</v>
      </c>
      <c r="B745" s="35" t="s">
        <v>2974</v>
      </c>
      <c r="F745" s="26">
        <v>3490</v>
      </c>
      <c r="G745" s="26">
        <v>2036</v>
      </c>
      <c r="H745" s="11">
        <v>43952</v>
      </c>
    </row>
    <row r="746" spans="1:8" x14ac:dyDescent="0.25">
      <c r="A746">
        <v>745</v>
      </c>
      <c r="B746" s="35" t="s">
        <v>2975</v>
      </c>
      <c r="F746" s="26">
        <v>4790</v>
      </c>
      <c r="G746" s="26">
        <v>2794</v>
      </c>
      <c r="H746" s="11">
        <v>43952</v>
      </c>
    </row>
  </sheetData>
  <conditionalFormatting sqref="B2:B746">
    <cfRule type="expression" dxfId="413" priority="1">
      <formula>$AN2="Новинка следующего года"</formula>
    </cfRule>
    <cfRule type="expression" dxfId="412" priority="2">
      <formula>$AN2="Новинка текущего года"</formula>
    </cfRule>
    <cfRule type="expression" dxfId="411" priority="3">
      <formula>$AN2="Выведено из ассортимента текущего года"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C58"/>
  <sheetViews>
    <sheetView workbookViewId="0">
      <selection activeCell="I24" sqref="I24"/>
    </sheetView>
  </sheetViews>
  <sheetFormatPr defaultRowHeight="15" x14ac:dyDescent="0.25"/>
  <cols>
    <col min="1" max="1" width="6.7109375" style="6" customWidth="1"/>
    <col min="2" max="2" width="17.5703125" style="9" customWidth="1"/>
    <col min="3" max="3" width="18.7109375" style="18" customWidth="1"/>
  </cols>
  <sheetData>
    <row r="1" spans="1:3" ht="30" x14ac:dyDescent="0.25">
      <c r="A1" s="6" t="s">
        <v>0</v>
      </c>
      <c r="B1" s="9" t="s">
        <v>12</v>
      </c>
      <c r="C1" s="19" t="s">
        <v>31</v>
      </c>
    </row>
    <row r="2" spans="1:3" x14ac:dyDescent="0.25">
      <c r="A2" s="7">
        <v>1</v>
      </c>
      <c r="B2" s="9">
        <v>1230</v>
      </c>
      <c r="C2" s="18">
        <v>0.25000000000000011</v>
      </c>
    </row>
    <row r="3" spans="1:3" x14ac:dyDescent="0.25">
      <c r="A3" s="7">
        <v>2</v>
      </c>
      <c r="B3" s="9">
        <v>1238</v>
      </c>
      <c r="C3" s="18">
        <v>0.35</v>
      </c>
    </row>
    <row r="4" spans="1:3" x14ac:dyDescent="0.25">
      <c r="A4" s="7">
        <v>3</v>
      </c>
      <c r="B4" s="9">
        <v>2601</v>
      </c>
      <c r="C4" s="18">
        <v>0.29999999999999993</v>
      </c>
    </row>
    <row r="5" spans="1:3" x14ac:dyDescent="0.25">
      <c r="A5" s="7">
        <v>4</v>
      </c>
      <c r="B5" s="9">
        <v>2603</v>
      </c>
      <c r="C5" s="18">
        <v>0.18000000000000005</v>
      </c>
    </row>
    <row r="6" spans="1:3" x14ac:dyDescent="0.25">
      <c r="A6" s="7">
        <v>5</v>
      </c>
      <c r="B6" s="9">
        <v>2604</v>
      </c>
      <c r="C6" s="18">
        <v>0.25</v>
      </c>
    </row>
    <row r="7" spans="1:3" x14ac:dyDescent="0.25">
      <c r="A7" s="7">
        <v>6</v>
      </c>
      <c r="B7" s="9">
        <v>7898</v>
      </c>
      <c r="C7" s="18">
        <v>0.28999999999999998</v>
      </c>
    </row>
    <row r="8" spans="1:3" x14ac:dyDescent="0.25">
      <c r="A8" s="7">
        <v>7</v>
      </c>
      <c r="B8" s="9">
        <v>8208</v>
      </c>
      <c r="C8" s="18">
        <v>0.17999999999999994</v>
      </c>
    </row>
    <row r="9" spans="1:3" x14ac:dyDescent="0.25">
      <c r="A9" s="7">
        <v>8</v>
      </c>
      <c r="B9" s="9">
        <v>8346</v>
      </c>
      <c r="C9" s="18">
        <v>0.240370291551394</v>
      </c>
    </row>
    <row r="10" spans="1:3" x14ac:dyDescent="0.25">
      <c r="A10" s="7">
        <v>9</v>
      </c>
      <c r="B10" s="9">
        <v>9011</v>
      </c>
      <c r="C10" s="18">
        <v>0.26</v>
      </c>
    </row>
    <row r="11" spans="1:3" x14ac:dyDescent="0.25">
      <c r="A11" s="7">
        <v>10</v>
      </c>
      <c r="B11" s="9">
        <v>9012</v>
      </c>
      <c r="C11" s="18">
        <v>0.26861476238624882</v>
      </c>
    </row>
    <row r="12" spans="1:3" x14ac:dyDescent="0.25">
      <c r="A12" s="7">
        <v>11</v>
      </c>
      <c r="B12" s="9">
        <v>9013</v>
      </c>
      <c r="C12" s="18">
        <v>0.30000000000000004</v>
      </c>
    </row>
    <row r="13" spans="1:3" x14ac:dyDescent="0.25">
      <c r="A13" s="7">
        <v>12</v>
      </c>
      <c r="B13" s="9">
        <v>9014</v>
      </c>
      <c r="C13" s="18">
        <v>0.26</v>
      </c>
    </row>
    <row r="14" spans="1:3" x14ac:dyDescent="0.25">
      <c r="A14" s="7">
        <v>13</v>
      </c>
      <c r="B14" s="9">
        <v>9015</v>
      </c>
      <c r="C14" s="18">
        <v>0.25</v>
      </c>
    </row>
    <row r="15" spans="1:3" x14ac:dyDescent="0.25">
      <c r="A15" s="7">
        <v>14</v>
      </c>
      <c r="B15" s="9">
        <v>9021</v>
      </c>
      <c r="C15" s="18">
        <v>0.28999999999999998</v>
      </c>
    </row>
    <row r="16" spans="1:3" x14ac:dyDescent="0.25">
      <c r="A16" s="7">
        <v>15</v>
      </c>
      <c r="B16" s="9">
        <v>9022</v>
      </c>
      <c r="C16" s="18">
        <v>0.28000000000000003</v>
      </c>
    </row>
    <row r="17" spans="1:3" x14ac:dyDescent="0.25">
      <c r="A17" s="7">
        <v>16</v>
      </c>
      <c r="B17" s="9">
        <v>9031</v>
      </c>
      <c r="C17" s="18">
        <v>0.29999999999999993</v>
      </c>
    </row>
    <row r="18" spans="1:3" x14ac:dyDescent="0.25">
      <c r="A18" s="7">
        <v>17</v>
      </c>
      <c r="B18" s="9">
        <v>9032</v>
      </c>
      <c r="C18" s="18">
        <v>0.29999999999999993</v>
      </c>
    </row>
    <row r="19" spans="1:3" x14ac:dyDescent="0.25">
      <c r="A19" s="7">
        <v>18</v>
      </c>
      <c r="B19" s="9">
        <v>9033</v>
      </c>
      <c r="C19" s="18">
        <v>0.30000000000000016</v>
      </c>
    </row>
    <row r="20" spans="1:3" x14ac:dyDescent="0.25">
      <c r="A20" s="7">
        <v>19</v>
      </c>
      <c r="B20" s="9">
        <v>9091</v>
      </c>
      <c r="C20" s="18">
        <v>0.30006125543816031</v>
      </c>
    </row>
    <row r="21" spans="1:3" x14ac:dyDescent="0.25">
      <c r="A21" s="7">
        <v>20</v>
      </c>
      <c r="B21" s="9">
        <v>9111</v>
      </c>
      <c r="C21" s="18">
        <v>0.23</v>
      </c>
    </row>
    <row r="22" spans="1:3" x14ac:dyDescent="0.25">
      <c r="A22" s="7">
        <v>21</v>
      </c>
      <c r="B22" s="9">
        <v>9112</v>
      </c>
      <c r="C22" s="18">
        <v>0.28000000000000003</v>
      </c>
    </row>
    <row r="23" spans="1:3" x14ac:dyDescent="0.25">
      <c r="A23" s="7">
        <v>22</v>
      </c>
      <c r="B23" s="9">
        <v>9113</v>
      </c>
      <c r="C23" s="18">
        <v>0.28708823582733556</v>
      </c>
    </row>
    <row r="24" spans="1:3" x14ac:dyDescent="0.25">
      <c r="A24" s="7">
        <v>23</v>
      </c>
      <c r="B24" s="9">
        <v>9114</v>
      </c>
      <c r="C24" s="18">
        <v>0.25</v>
      </c>
    </row>
    <row r="25" spans="1:3" x14ac:dyDescent="0.25">
      <c r="A25" s="7">
        <v>24</v>
      </c>
      <c r="B25" s="9">
        <v>9115</v>
      </c>
      <c r="C25" s="18">
        <v>0.26834498834498843</v>
      </c>
    </row>
    <row r="26" spans="1:3" x14ac:dyDescent="0.25">
      <c r="A26" s="7">
        <v>25</v>
      </c>
      <c r="B26" s="9">
        <v>9116</v>
      </c>
      <c r="C26" s="18">
        <v>0.33</v>
      </c>
    </row>
    <row r="27" spans="1:3" x14ac:dyDescent="0.25">
      <c r="A27" s="7">
        <v>26</v>
      </c>
      <c r="B27" s="9">
        <v>9117</v>
      </c>
      <c r="C27" s="18">
        <v>0.30000000000000004</v>
      </c>
    </row>
    <row r="28" spans="1:3" x14ac:dyDescent="0.25">
      <c r="A28" s="7">
        <v>27</v>
      </c>
      <c r="B28" s="9">
        <v>9211</v>
      </c>
      <c r="C28" s="18">
        <v>0.29999999999999993</v>
      </c>
    </row>
    <row r="29" spans="1:3" x14ac:dyDescent="0.25">
      <c r="A29" s="7">
        <v>28</v>
      </c>
      <c r="B29" s="9">
        <v>9212</v>
      </c>
      <c r="C29" s="18">
        <v>0.21</v>
      </c>
    </row>
    <row r="30" spans="1:3" x14ac:dyDescent="0.25">
      <c r="A30" s="7">
        <v>29</v>
      </c>
      <c r="B30" s="9">
        <v>9213</v>
      </c>
      <c r="C30" s="18">
        <v>0.3</v>
      </c>
    </row>
    <row r="31" spans="1:3" x14ac:dyDescent="0.25">
      <c r="A31" s="7">
        <v>30</v>
      </c>
      <c r="B31" s="9">
        <v>9214</v>
      </c>
      <c r="C31" s="18">
        <v>0.30000000000000016</v>
      </c>
    </row>
    <row r="32" spans="1:3" x14ac:dyDescent="0.25">
      <c r="A32" s="7">
        <v>31</v>
      </c>
      <c r="B32" s="9">
        <v>9215</v>
      </c>
      <c r="C32" s="18">
        <v>0.34</v>
      </c>
    </row>
    <row r="33" spans="1:3" x14ac:dyDescent="0.25">
      <c r="A33" s="7">
        <v>32</v>
      </c>
      <c r="B33" s="9">
        <v>9221</v>
      </c>
      <c r="C33" s="18">
        <v>0.27</v>
      </c>
    </row>
    <row r="34" spans="1:3" x14ac:dyDescent="0.25">
      <c r="A34" s="7">
        <v>33</v>
      </c>
      <c r="B34" s="9">
        <v>9222</v>
      </c>
      <c r="C34" s="18">
        <v>0.27</v>
      </c>
    </row>
    <row r="35" spans="1:3" x14ac:dyDescent="0.25">
      <c r="A35" s="7">
        <v>34</v>
      </c>
      <c r="B35" s="9">
        <v>9223</v>
      </c>
      <c r="C35" s="18">
        <v>0.27</v>
      </c>
    </row>
    <row r="36" spans="1:3" x14ac:dyDescent="0.25">
      <c r="A36" s="7">
        <v>35</v>
      </c>
      <c r="B36" s="9">
        <v>9224</v>
      </c>
      <c r="C36" s="18">
        <v>0.29937500000000006</v>
      </c>
    </row>
    <row r="37" spans="1:3" x14ac:dyDescent="0.25">
      <c r="A37" s="7">
        <v>36</v>
      </c>
      <c r="B37" s="9">
        <v>9225</v>
      </c>
      <c r="C37" s="18">
        <v>0.27</v>
      </c>
    </row>
    <row r="38" spans="1:3" x14ac:dyDescent="0.25">
      <c r="A38" s="7">
        <v>37</v>
      </c>
      <c r="B38" s="9">
        <v>9226</v>
      </c>
      <c r="C38" s="18">
        <v>0.27976081460674185</v>
      </c>
    </row>
    <row r="39" spans="1:3" x14ac:dyDescent="0.25">
      <c r="A39" s="7">
        <v>38</v>
      </c>
      <c r="B39" s="9">
        <v>9227</v>
      </c>
      <c r="C39" s="18">
        <v>0.27976081460674185</v>
      </c>
    </row>
    <row r="40" spans="1:3" x14ac:dyDescent="0.25">
      <c r="A40" s="7">
        <v>39</v>
      </c>
      <c r="B40" s="9">
        <v>9228</v>
      </c>
      <c r="C40" s="18">
        <v>0.28000000000000003</v>
      </c>
    </row>
    <row r="41" spans="1:3" x14ac:dyDescent="0.25">
      <c r="A41" s="7">
        <v>40</v>
      </c>
      <c r="B41" s="9">
        <v>9229</v>
      </c>
      <c r="C41" s="18">
        <v>0.27</v>
      </c>
    </row>
    <row r="42" spans="1:3" x14ac:dyDescent="0.25">
      <c r="A42" s="7">
        <v>41</v>
      </c>
      <c r="B42" s="9">
        <v>9231</v>
      </c>
      <c r="C42" s="18">
        <v>0.28999999999999998</v>
      </c>
    </row>
    <row r="43" spans="1:3" x14ac:dyDescent="0.25">
      <c r="A43" s="7">
        <v>42</v>
      </c>
      <c r="B43" s="9">
        <v>9232</v>
      </c>
      <c r="C43" s="18">
        <v>0.22999999999999998</v>
      </c>
    </row>
    <row r="44" spans="1:3" x14ac:dyDescent="0.25">
      <c r="A44" s="7">
        <v>43</v>
      </c>
      <c r="B44" s="9">
        <v>9233</v>
      </c>
      <c r="C44" s="18">
        <v>0.29999999999999993</v>
      </c>
    </row>
    <row r="45" spans="1:3" x14ac:dyDescent="0.25">
      <c r="A45" s="7">
        <v>44</v>
      </c>
      <c r="B45" s="9">
        <v>9241</v>
      </c>
      <c r="C45" s="18">
        <v>0.32</v>
      </c>
    </row>
    <row r="46" spans="1:3" x14ac:dyDescent="0.25">
      <c r="A46" s="7">
        <v>45</v>
      </c>
      <c r="B46" s="9">
        <v>9242</v>
      </c>
      <c r="C46" s="18">
        <v>0.28999999999999998</v>
      </c>
    </row>
    <row r="47" spans="1:3" x14ac:dyDescent="0.25">
      <c r="A47" s="7">
        <v>46</v>
      </c>
      <c r="B47" s="9">
        <v>9311</v>
      </c>
      <c r="C47" s="18">
        <v>0.17999999999999994</v>
      </c>
    </row>
    <row r="48" spans="1:3" x14ac:dyDescent="0.25">
      <c r="A48" s="7">
        <v>47</v>
      </c>
      <c r="B48" s="9">
        <v>9313</v>
      </c>
      <c r="C48" s="18">
        <v>0.17999999999999994</v>
      </c>
    </row>
    <row r="49" spans="1:3" x14ac:dyDescent="0.25">
      <c r="A49" s="7">
        <v>48</v>
      </c>
      <c r="B49" s="9">
        <v>9314</v>
      </c>
      <c r="C49" s="18">
        <v>0.17999563108916949</v>
      </c>
    </row>
    <row r="50" spans="1:3" x14ac:dyDescent="0.25">
      <c r="A50" s="7">
        <v>49</v>
      </c>
      <c r="B50" s="9">
        <v>9315</v>
      </c>
      <c r="C50" s="18">
        <v>0.17999999999999994</v>
      </c>
    </row>
    <row r="51" spans="1:3" x14ac:dyDescent="0.25">
      <c r="A51" s="7">
        <v>50</v>
      </c>
      <c r="B51" s="9">
        <v>9321</v>
      </c>
      <c r="C51" s="18">
        <v>0.17999999999999994</v>
      </c>
    </row>
    <row r="52" spans="1:3" x14ac:dyDescent="0.25">
      <c r="A52" s="7">
        <v>51</v>
      </c>
      <c r="B52" s="9">
        <v>9322</v>
      </c>
      <c r="C52" s="18">
        <v>0.17999999999999994</v>
      </c>
    </row>
    <row r="53" spans="1:3" x14ac:dyDescent="0.25">
      <c r="A53" s="7">
        <v>52</v>
      </c>
      <c r="B53" s="9">
        <v>9323</v>
      </c>
      <c r="C53" s="18">
        <v>0.17999999999999994</v>
      </c>
    </row>
    <row r="54" spans="1:3" x14ac:dyDescent="0.25">
      <c r="A54" s="7">
        <v>53</v>
      </c>
      <c r="B54" s="9">
        <v>9332</v>
      </c>
      <c r="C54" s="18">
        <v>0.17999999999999994</v>
      </c>
    </row>
    <row r="55" spans="1:3" x14ac:dyDescent="0.25">
      <c r="A55" s="7">
        <v>54</v>
      </c>
      <c r="B55" s="9">
        <v>9341</v>
      </c>
      <c r="C55" s="18">
        <v>0.17999999999999994</v>
      </c>
    </row>
    <row r="56" spans="1:3" x14ac:dyDescent="0.25">
      <c r="A56" s="7">
        <v>55</v>
      </c>
      <c r="B56" s="9">
        <v>9345</v>
      </c>
      <c r="C56" s="18">
        <v>0.17999999999999994</v>
      </c>
    </row>
    <row r="57" spans="1:3" x14ac:dyDescent="0.25">
      <c r="A57" s="7">
        <v>56</v>
      </c>
      <c r="B57" s="9">
        <v>9346</v>
      </c>
      <c r="C57" s="18">
        <v>0.17999999999999994</v>
      </c>
    </row>
    <row r="58" spans="1:3" x14ac:dyDescent="0.25">
      <c r="A58" s="7">
        <v>57</v>
      </c>
      <c r="B58" s="9">
        <v>9352</v>
      </c>
      <c r="C58" s="18">
        <v>0.18000000000000005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Лист14">
    <tabColor rgb="FFFF0000"/>
  </sheetPr>
  <dimension ref="A1:DR2"/>
  <sheetViews>
    <sheetView zoomScale="98" zoomScaleNormal="98" workbookViewId="0">
      <selection activeCell="D9" sqref="D9"/>
    </sheetView>
  </sheetViews>
  <sheetFormatPr defaultRowHeight="15" x14ac:dyDescent="0.25"/>
  <cols>
    <col min="1" max="2" width="13.85546875" style="26" customWidth="1"/>
    <col min="3" max="4" width="24.7109375" style="4" bestFit="1" customWidth="1"/>
    <col min="5" max="5" width="15.7109375" style="11" customWidth="1"/>
    <col min="6" max="6" width="29.140625" customWidth="1"/>
    <col min="7" max="7" width="14.140625" style="5" customWidth="1"/>
    <col min="8" max="8" width="10" style="5" customWidth="1"/>
    <col min="9" max="9" width="16.28515625" style="5" customWidth="1"/>
    <col min="10" max="10" width="13" style="5" customWidth="1"/>
    <col min="11" max="11" width="25.28515625" style="5" customWidth="1"/>
    <col min="12" max="13" width="16.7109375" style="5" customWidth="1"/>
    <col min="14" max="14" width="19.85546875" style="5" customWidth="1"/>
    <col min="15" max="15" width="16.7109375" style="26" customWidth="1"/>
    <col min="16" max="16" width="18.140625" style="26" customWidth="1"/>
    <col min="17" max="17" width="14.85546875" style="26" customWidth="1"/>
    <col min="18" max="18" width="16.7109375" style="26" customWidth="1"/>
    <col min="19" max="19" width="14.28515625" style="26" customWidth="1"/>
    <col min="20" max="21" width="15.5703125" style="26" customWidth="1"/>
    <col min="22" max="22" width="16.140625" style="26" customWidth="1"/>
    <col min="23" max="23" width="18.42578125" style="26" customWidth="1"/>
    <col min="24" max="24" width="17.5703125" style="26" customWidth="1"/>
    <col min="25" max="25" width="16.7109375" style="26" customWidth="1"/>
    <col min="26" max="26" width="18" style="26" customWidth="1"/>
    <col min="27" max="27" width="23" style="26" customWidth="1"/>
    <col min="28" max="28" width="24.42578125" style="26" customWidth="1"/>
    <col min="29" max="29" width="21.28515625" style="26" customWidth="1"/>
    <col min="30" max="30" width="23" style="26" customWidth="1"/>
    <col min="31" max="31" width="20.5703125" style="26" customWidth="1"/>
    <col min="32" max="33" width="21.85546875" style="26" customWidth="1"/>
    <col min="34" max="34" width="22.42578125" style="26" customWidth="1"/>
    <col min="35" max="35" width="24.7109375" style="26" customWidth="1"/>
    <col min="36" max="36" width="23.85546875" style="26" customWidth="1"/>
    <col min="37" max="37" width="23" style="26" customWidth="1"/>
    <col min="38" max="38" width="24.28515625" style="26" customWidth="1"/>
    <col min="39" max="39" width="20" style="26" customWidth="1"/>
    <col min="40" max="40" width="13.42578125" style="26" customWidth="1"/>
    <col min="41" max="41" width="10.140625" style="26" customWidth="1"/>
    <col min="42" max="42" width="12" style="26" customWidth="1"/>
    <col min="43" max="43" width="9.5703125" style="26" customWidth="1"/>
    <col min="44" max="45" width="10.85546875" style="26" customWidth="1"/>
    <col min="46" max="46" width="11.42578125" style="26" customWidth="1"/>
    <col min="47" max="47" width="13.7109375" style="26" customWidth="1"/>
    <col min="48" max="48" width="12.85546875" style="26" customWidth="1"/>
    <col min="49" max="49" width="12" style="26" customWidth="1"/>
    <col min="50" max="50" width="13.28515625" style="26" customWidth="1"/>
    <col min="51" max="51" width="12.42578125" style="26" customWidth="1"/>
    <col min="52" max="52" width="13.7109375" style="26" customWidth="1"/>
    <col min="53" max="53" width="10.42578125" style="26" customWidth="1"/>
    <col min="54" max="54" width="12.28515625" style="26" customWidth="1"/>
    <col min="55" max="55" width="9.85546875" style="26" customWidth="1"/>
    <col min="56" max="57" width="11" style="26" customWidth="1"/>
    <col min="58" max="58" width="11.5703125" style="26" customWidth="1"/>
    <col min="59" max="59" width="13.85546875" style="26" customWidth="1"/>
    <col min="60" max="60" width="13" style="26" customWidth="1"/>
    <col min="61" max="61" width="12.28515625" style="26" customWidth="1"/>
    <col min="62" max="62" width="13.42578125" style="26" customWidth="1"/>
    <col min="63" max="63" width="30.85546875" style="26" bestFit="1" customWidth="1"/>
    <col min="64" max="64" width="24.140625" style="26" customWidth="1"/>
    <col min="65" max="65" width="20.85546875" style="26" customWidth="1"/>
    <col min="66" max="66" width="22.7109375" style="26" customWidth="1"/>
    <col min="67" max="67" width="20.140625" style="26" customWidth="1"/>
    <col min="68" max="69" width="21.42578125" style="26" customWidth="1"/>
    <col min="70" max="70" width="22" style="26" customWidth="1"/>
    <col min="71" max="71" width="24.28515625" style="26" bestFit="1" customWidth="1"/>
    <col min="72" max="72" width="23.42578125" style="26" customWidth="1"/>
    <col min="73" max="73" width="22.7109375" style="26" customWidth="1"/>
    <col min="74" max="74" width="23.85546875" style="26" customWidth="1"/>
    <col min="75" max="75" width="37" style="26" customWidth="1"/>
    <col min="76" max="76" width="23.28515625" style="26" customWidth="1"/>
    <col min="77" max="77" width="20" style="26" customWidth="1"/>
    <col min="78" max="78" width="21.85546875" style="26" customWidth="1"/>
    <col min="79" max="79" width="19.42578125" style="26" customWidth="1"/>
    <col min="80" max="81" width="20.5703125" style="26" customWidth="1"/>
    <col min="82" max="82" width="21.28515625" style="26" customWidth="1"/>
    <col min="83" max="83" width="23.42578125" style="26" customWidth="1"/>
    <col min="84" max="84" width="22.7109375" style="26" customWidth="1"/>
    <col min="85" max="85" width="21.85546875" style="26" customWidth="1"/>
    <col min="86" max="86" width="23" style="26" customWidth="1"/>
    <col min="87" max="87" width="25.85546875" style="26" customWidth="1"/>
    <col min="88" max="88" width="19.42578125" style="26" customWidth="1"/>
    <col min="89" max="89" width="16.140625" style="26" customWidth="1"/>
    <col min="90" max="90" width="18" style="26" customWidth="1"/>
    <col min="91" max="91" width="15.5703125" style="26" customWidth="1"/>
    <col min="92" max="93" width="16.7109375" style="26" customWidth="1"/>
    <col min="94" max="94" width="17.28515625" style="26" customWidth="1"/>
    <col min="95" max="95" width="19.5703125" style="26" customWidth="1"/>
    <col min="96" max="96" width="18.7109375" style="26" customWidth="1"/>
    <col min="97" max="97" width="18" style="26" customWidth="1"/>
    <col min="98" max="98" width="19.140625" style="26" customWidth="1"/>
    <col min="99" max="99" width="26.140625" style="26" customWidth="1"/>
    <col min="100" max="100" width="19.5703125" style="26" customWidth="1"/>
    <col min="101" max="101" width="16.28515625" style="26" customWidth="1"/>
    <col min="102" max="102" width="18.140625" style="26" customWidth="1"/>
    <col min="103" max="103" width="15.7109375" style="26" customWidth="1"/>
    <col min="104" max="105" width="17" style="26" customWidth="1"/>
    <col min="106" max="106" width="17.5703125" style="26" customWidth="1"/>
    <col min="107" max="107" width="19.85546875" style="26" customWidth="1"/>
    <col min="108" max="108" width="19" style="26" customWidth="1"/>
    <col min="109" max="109" width="18.140625" style="26" customWidth="1"/>
    <col min="110" max="110" width="19.42578125" style="26" customWidth="1"/>
    <col min="111" max="111" width="25.140625" style="26" customWidth="1"/>
    <col min="112" max="112" width="18.5703125" style="26" customWidth="1"/>
    <col min="113" max="113" width="15.28515625" style="26" customWidth="1"/>
    <col min="114" max="114" width="17.140625" style="26" customWidth="1"/>
    <col min="115" max="115" width="14.7109375" style="26" customWidth="1"/>
    <col min="116" max="117" width="15.85546875" style="26" customWidth="1"/>
    <col min="118" max="118" width="16.5703125" style="26" customWidth="1"/>
    <col min="119" max="119" width="18.7109375" style="26" customWidth="1"/>
    <col min="120" max="120" width="18" style="26" customWidth="1"/>
    <col min="121" max="121" width="17.140625" style="26" customWidth="1"/>
    <col min="122" max="122" width="18.42578125" style="26" customWidth="1"/>
  </cols>
  <sheetData>
    <row r="1" spans="1:122" x14ac:dyDescent="0.25">
      <c r="A1" s="26" t="s">
        <v>0</v>
      </c>
      <c r="B1" s="26" t="s">
        <v>16</v>
      </c>
      <c r="C1" s="4" t="s">
        <v>39</v>
      </c>
      <c r="D1" s="4" t="s">
        <v>40</v>
      </c>
      <c r="E1" s="11" t="s">
        <v>60</v>
      </c>
      <c r="F1" t="s">
        <v>61</v>
      </c>
      <c r="G1" s="5" t="s">
        <v>26</v>
      </c>
      <c r="H1" s="5" t="s">
        <v>28</v>
      </c>
      <c r="I1" s="5" t="s">
        <v>62</v>
      </c>
      <c r="J1" s="5" t="s">
        <v>63</v>
      </c>
      <c r="K1" s="5" t="s">
        <v>30</v>
      </c>
      <c r="L1" s="5" t="s">
        <v>64</v>
      </c>
      <c r="M1" s="5" t="s">
        <v>65</v>
      </c>
      <c r="N1" s="5" t="s">
        <v>66</v>
      </c>
      <c r="O1" s="26" t="s">
        <v>68</v>
      </c>
      <c r="P1" s="26" t="s">
        <v>69</v>
      </c>
      <c r="Q1" s="26" t="s">
        <v>70</v>
      </c>
      <c r="R1" s="26" t="s">
        <v>71</v>
      </c>
      <c r="S1" s="26" t="s">
        <v>72</v>
      </c>
      <c r="T1" s="26" t="s">
        <v>73</v>
      </c>
      <c r="U1" s="26" t="s">
        <v>74</v>
      </c>
      <c r="V1" s="26" t="s">
        <v>75</v>
      </c>
      <c r="W1" s="26" t="s">
        <v>76</v>
      </c>
      <c r="X1" s="26" t="s">
        <v>77</v>
      </c>
      <c r="Y1" s="26" t="s">
        <v>78</v>
      </c>
      <c r="Z1" s="26" t="s">
        <v>79</v>
      </c>
      <c r="AA1" s="26" t="s">
        <v>91</v>
      </c>
      <c r="AB1" s="26" t="s">
        <v>80</v>
      </c>
      <c r="AC1" s="26" t="s">
        <v>81</v>
      </c>
      <c r="AD1" s="26" t="s">
        <v>82</v>
      </c>
      <c r="AE1" s="26" t="s">
        <v>83</v>
      </c>
      <c r="AF1" s="26" t="s">
        <v>84</v>
      </c>
      <c r="AG1" s="26" t="s">
        <v>85</v>
      </c>
      <c r="AH1" s="26" t="s">
        <v>86</v>
      </c>
      <c r="AI1" s="26" t="s">
        <v>87</v>
      </c>
      <c r="AJ1" s="26" t="s">
        <v>88</v>
      </c>
      <c r="AK1" s="26" t="s">
        <v>89</v>
      </c>
      <c r="AL1" s="26" t="s">
        <v>90</v>
      </c>
      <c r="AM1" s="26" t="s">
        <v>160</v>
      </c>
      <c r="AN1" s="26" t="s">
        <v>149</v>
      </c>
      <c r="AO1" s="26" t="s">
        <v>150</v>
      </c>
      <c r="AP1" s="26" t="s">
        <v>151</v>
      </c>
      <c r="AQ1" s="26" t="s">
        <v>152</v>
      </c>
      <c r="AR1" s="26" t="s">
        <v>153</v>
      </c>
      <c r="AS1" s="26" t="s">
        <v>154</v>
      </c>
      <c r="AT1" s="26" t="s">
        <v>155</v>
      </c>
      <c r="AU1" s="26" t="s">
        <v>156</v>
      </c>
      <c r="AV1" s="26" t="s">
        <v>157</v>
      </c>
      <c r="AW1" s="26" t="s">
        <v>158</v>
      </c>
      <c r="AX1" s="26" t="s">
        <v>159</v>
      </c>
      <c r="AY1" s="26" t="s">
        <v>137</v>
      </c>
      <c r="AZ1" s="26" t="s">
        <v>138</v>
      </c>
      <c r="BA1" s="26" t="s">
        <v>139</v>
      </c>
      <c r="BB1" s="26" t="s">
        <v>140</v>
      </c>
      <c r="BC1" s="26" t="s">
        <v>141</v>
      </c>
      <c r="BD1" s="26" t="s">
        <v>142</v>
      </c>
      <c r="BE1" s="26" t="s">
        <v>143</v>
      </c>
      <c r="BF1" s="26" t="s">
        <v>144</v>
      </c>
      <c r="BG1" s="26" t="s">
        <v>145</v>
      </c>
      <c r="BH1" s="26" t="s">
        <v>146</v>
      </c>
      <c r="BI1" s="26" t="s">
        <v>147</v>
      </c>
      <c r="BJ1" s="26" t="s">
        <v>148</v>
      </c>
      <c r="BK1" s="26" t="s">
        <v>161</v>
      </c>
      <c r="BL1" s="26" t="s">
        <v>126</v>
      </c>
      <c r="BM1" s="26" t="s">
        <v>127</v>
      </c>
      <c r="BN1" s="26" t="s">
        <v>128</v>
      </c>
      <c r="BO1" s="26" t="s">
        <v>129</v>
      </c>
      <c r="BP1" s="26" t="s">
        <v>130</v>
      </c>
      <c r="BQ1" s="26" t="s">
        <v>131</v>
      </c>
      <c r="BR1" s="26" t="s">
        <v>132</v>
      </c>
      <c r="BS1" s="26" t="s">
        <v>133</v>
      </c>
      <c r="BT1" s="26" t="s">
        <v>134</v>
      </c>
      <c r="BU1" s="26" t="s">
        <v>135</v>
      </c>
      <c r="BV1" s="26" t="s">
        <v>136</v>
      </c>
      <c r="BW1" s="26" t="s">
        <v>162</v>
      </c>
      <c r="BX1" s="26" t="s">
        <v>1448</v>
      </c>
      <c r="BY1" s="26" t="s">
        <v>1449</v>
      </c>
      <c r="BZ1" s="26" t="s">
        <v>1450</v>
      </c>
      <c r="CA1" s="26" t="s">
        <v>125</v>
      </c>
      <c r="CB1" s="26" t="s">
        <v>1451</v>
      </c>
      <c r="CC1" s="26" t="s">
        <v>1452</v>
      </c>
      <c r="CD1" s="26" t="s">
        <v>1453</v>
      </c>
      <c r="CE1" s="26" t="s">
        <v>1454</v>
      </c>
      <c r="CF1" s="26" t="s">
        <v>1455</v>
      </c>
      <c r="CG1" s="26" t="s">
        <v>1456</v>
      </c>
      <c r="CH1" s="26" t="s">
        <v>1457</v>
      </c>
      <c r="CI1" s="26" t="s">
        <v>163</v>
      </c>
      <c r="CJ1" s="26" t="s">
        <v>114</v>
      </c>
      <c r="CK1" s="26" t="s">
        <v>115</v>
      </c>
      <c r="CL1" s="26" t="s">
        <v>116</v>
      </c>
      <c r="CM1" s="26" t="s">
        <v>117</v>
      </c>
      <c r="CN1" s="26" t="s">
        <v>118</v>
      </c>
      <c r="CO1" s="26" t="s">
        <v>119</v>
      </c>
      <c r="CP1" s="26" t="s">
        <v>120</v>
      </c>
      <c r="CQ1" s="26" t="s">
        <v>121</v>
      </c>
      <c r="CR1" s="26" t="s">
        <v>122</v>
      </c>
      <c r="CS1" s="26" t="s">
        <v>123</v>
      </c>
      <c r="CT1" s="26" t="s">
        <v>124</v>
      </c>
      <c r="CU1" s="26" t="s">
        <v>164</v>
      </c>
      <c r="CV1" s="26" t="s">
        <v>103</v>
      </c>
      <c r="CW1" s="26" t="s">
        <v>104</v>
      </c>
      <c r="CX1" s="26" t="s">
        <v>105</v>
      </c>
      <c r="CY1" s="26" t="s">
        <v>106</v>
      </c>
      <c r="CZ1" s="26" t="s">
        <v>107</v>
      </c>
      <c r="DA1" s="26" t="s">
        <v>108</v>
      </c>
      <c r="DB1" s="26" t="s">
        <v>109</v>
      </c>
      <c r="DC1" s="26" t="s">
        <v>110</v>
      </c>
      <c r="DD1" s="26" t="s">
        <v>111</v>
      </c>
      <c r="DE1" s="26" t="s">
        <v>112</v>
      </c>
      <c r="DF1" s="26" t="s">
        <v>113</v>
      </c>
      <c r="DG1" s="26" t="s">
        <v>165</v>
      </c>
      <c r="DH1" s="26" t="s">
        <v>92</v>
      </c>
      <c r="DI1" s="26" t="s">
        <v>93</v>
      </c>
      <c r="DJ1" s="26" t="s">
        <v>94</v>
      </c>
      <c r="DK1" s="26" t="s">
        <v>95</v>
      </c>
      <c r="DL1" s="26" t="s">
        <v>96</v>
      </c>
      <c r="DM1" s="26" t="s">
        <v>97</v>
      </c>
      <c r="DN1" s="26" t="s">
        <v>98</v>
      </c>
      <c r="DO1" s="26" t="s">
        <v>99</v>
      </c>
      <c r="DP1" s="26" t="s">
        <v>100</v>
      </c>
      <c r="DQ1" s="26" t="s">
        <v>101</v>
      </c>
      <c r="DR1" s="26" t="s">
        <v>102</v>
      </c>
    </row>
    <row r="2" spans="1:122" x14ac:dyDescent="0.25">
      <c r="A2" s="26" t="s">
        <v>59</v>
      </c>
      <c r="B2" s="26" t="s">
        <v>1458</v>
      </c>
      <c r="C2" s="4" t="s">
        <v>47</v>
      </c>
      <c r="D2" s="4" t="s">
        <v>47</v>
      </c>
      <c r="E2" s="11">
        <v>43831</v>
      </c>
      <c r="O2" s="26" t="s">
        <v>67</v>
      </c>
      <c r="AA2" s="26" t="s">
        <v>67</v>
      </c>
      <c r="AM2" s="26" t="s">
        <v>67</v>
      </c>
      <c r="AY2" s="26" t="s">
        <v>67</v>
      </c>
      <c r="BK2" s="26" t="s">
        <v>67</v>
      </c>
      <c r="BW2" s="26" t="s">
        <v>67</v>
      </c>
      <c r="CI2" s="26" t="s">
        <v>67</v>
      </c>
      <c r="CU2" s="26" t="s">
        <v>67</v>
      </c>
      <c r="DG2" s="26" t="s">
        <v>67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D8FE98-CDA6-4C44-A51C-62D667A70FEA}">
  <sheetPr codeName="Лист17">
    <tabColor rgb="FFFF0000"/>
  </sheetPr>
  <dimension ref="A2:V14"/>
  <sheetViews>
    <sheetView zoomScale="60" zoomScaleNormal="60" workbookViewId="0">
      <pane xSplit="4" ySplit="13" topLeftCell="E14" activePane="bottomRight" state="frozen"/>
      <selection pane="topRight" activeCell="F1" sqref="F1"/>
      <selection pane="bottomLeft" activeCell="A15" sqref="A15"/>
      <selection pane="bottomRight" activeCell="B14" sqref="B14"/>
    </sheetView>
  </sheetViews>
  <sheetFormatPr defaultRowHeight="15.75" x14ac:dyDescent="0.25"/>
  <cols>
    <col min="1" max="1" width="25.85546875" style="53" customWidth="1"/>
    <col min="2" max="2" width="20.85546875" style="54" customWidth="1"/>
    <col min="3" max="3" width="49.85546875" style="54" customWidth="1"/>
    <col min="4" max="4" width="22.42578125" style="55" customWidth="1"/>
    <col min="5" max="5" width="53.28515625" style="55" customWidth="1"/>
    <col min="6" max="6" width="53.140625" style="54" customWidth="1"/>
    <col min="7" max="7" width="66.7109375" style="56" customWidth="1"/>
    <col min="8" max="8" width="24.28515625" style="54" customWidth="1"/>
    <col min="9" max="9" width="24" style="55" customWidth="1"/>
    <col min="10" max="11" width="24.5703125" style="54" customWidth="1"/>
    <col min="12" max="12" width="25.7109375" style="57" customWidth="1"/>
    <col min="13" max="13" width="33.140625" style="54" customWidth="1"/>
    <col min="14" max="14" width="33.28515625" style="54" customWidth="1"/>
    <col min="15" max="15" width="20.28515625" style="54" customWidth="1"/>
    <col min="16" max="16" width="22.140625" style="54" customWidth="1"/>
    <col min="17" max="17" width="21" style="54" customWidth="1"/>
    <col min="18" max="18" width="20.7109375" style="54" customWidth="1"/>
    <col min="19" max="19" width="28.28515625" style="58" customWidth="1"/>
    <col min="20" max="20" width="57.7109375" style="59" customWidth="1"/>
    <col min="21" max="21" width="19.140625" style="54" customWidth="1"/>
    <col min="22" max="22" width="22.7109375" style="54" customWidth="1"/>
    <col min="23" max="16384" width="9.140625" style="54"/>
  </cols>
  <sheetData>
    <row r="2" spans="1:22" ht="63.75" customHeight="1" x14ac:dyDescent="0.25">
      <c r="B2" s="114"/>
      <c r="C2" s="114"/>
    </row>
    <row r="3" spans="1:22" x14ac:dyDescent="0.25">
      <c r="C3" s="59"/>
      <c r="F3" s="59"/>
    </row>
    <row r="4" spans="1:22" x14ac:dyDescent="0.25">
      <c r="B4" s="115" t="s">
        <v>1185</v>
      </c>
      <c r="C4" s="115"/>
      <c r="D4" s="60"/>
      <c r="E4" s="60"/>
      <c r="F4" s="61"/>
      <c r="G4" s="62"/>
      <c r="I4" s="60"/>
    </row>
    <row r="5" spans="1:22" x14ac:dyDescent="0.25">
      <c r="B5" s="115" t="s">
        <v>1186</v>
      </c>
      <c r="C5" s="115"/>
      <c r="D5" s="63">
        <v>43831</v>
      </c>
      <c r="F5" s="59"/>
    </row>
    <row r="6" spans="1:22" x14ac:dyDescent="0.25">
      <c r="B6" s="115" t="s">
        <v>1187</v>
      </c>
      <c r="C6" s="115"/>
      <c r="F6" s="55"/>
      <c r="U6" s="55"/>
    </row>
    <row r="7" spans="1:22" x14ac:dyDescent="0.25">
      <c r="B7" s="64"/>
      <c r="C7" s="65"/>
      <c r="F7" s="55"/>
      <c r="U7" s="55"/>
    </row>
    <row r="8" spans="1:22" x14ac:dyDescent="0.25">
      <c r="B8" s="64" t="s">
        <v>1188</v>
      </c>
      <c r="C8" s="65"/>
      <c r="F8" s="55"/>
      <c r="U8" s="55"/>
    </row>
    <row r="9" spans="1:22" x14ac:dyDescent="0.25">
      <c r="B9" s="64"/>
      <c r="C9" s="65"/>
      <c r="F9" s="55"/>
      <c r="U9" s="55"/>
    </row>
    <row r="10" spans="1:22" x14ac:dyDescent="0.25">
      <c r="B10" s="64" t="s">
        <v>1189</v>
      </c>
      <c r="C10" s="65"/>
      <c r="F10" s="55"/>
      <c r="U10" s="55"/>
    </row>
    <row r="11" spans="1:22" x14ac:dyDescent="0.25">
      <c r="B11" s="64" t="s">
        <v>1190</v>
      </c>
      <c r="C11" s="65"/>
    </row>
    <row r="12" spans="1:22" ht="62.25" customHeight="1" x14ac:dyDescent="0.25">
      <c r="B12" s="116" t="s">
        <v>1191</v>
      </c>
      <c r="C12" s="116"/>
      <c r="D12" s="116"/>
    </row>
    <row r="13" spans="1:22" ht="31.5" x14ac:dyDescent="0.25">
      <c r="A13" s="66" t="s">
        <v>1215</v>
      </c>
      <c r="B13" s="66" t="s">
        <v>1192</v>
      </c>
      <c r="C13" s="66" t="s">
        <v>1193</v>
      </c>
      <c r="D13" s="66" t="s">
        <v>1194</v>
      </c>
      <c r="E13" s="66" t="s">
        <v>1195</v>
      </c>
      <c r="F13" s="66" t="s">
        <v>1196</v>
      </c>
      <c r="G13" s="66" t="s">
        <v>23</v>
      </c>
      <c r="H13" s="66" t="s">
        <v>1197</v>
      </c>
      <c r="I13" s="66" t="s">
        <v>1198</v>
      </c>
      <c r="J13" s="66" t="s">
        <v>1199</v>
      </c>
      <c r="K13" s="66" t="s">
        <v>1200</v>
      </c>
      <c r="L13" s="66" t="s">
        <v>1201</v>
      </c>
      <c r="M13" s="67" t="s">
        <v>1202</v>
      </c>
      <c r="N13" s="66" t="s">
        <v>1203</v>
      </c>
      <c r="O13" s="66" t="s">
        <v>1204</v>
      </c>
      <c r="P13" s="66" t="s">
        <v>1205</v>
      </c>
      <c r="Q13" s="66" t="s">
        <v>1206</v>
      </c>
      <c r="R13" s="66" t="s">
        <v>1207</v>
      </c>
      <c r="S13" s="66" t="s">
        <v>1208</v>
      </c>
      <c r="T13" s="67" t="s">
        <v>1209</v>
      </c>
      <c r="U13" s="68" t="s">
        <v>1210</v>
      </c>
      <c r="V13" s="66" t="s">
        <v>1211</v>
      </c>
    </row>
    <row r="14" spans="1:22" x14ac:dyDescent="0.25">
      <c r="A14" s="69"/>
      <c r="B14" s="53"/>
      <c r="D14" s="54"/>
      <c r="F14" s="55"/>
      <c r="G14" s="54"/>
      <c r="H14" s="56"/>
      <c r="I14" s="54"/>
      <c r="J14" s="55"/>
      <c r="L14" s="54"/>
      <c r="M14" s="57"/>
      <c r="S14" s="54"/>
      <c r="T14" s="58"/>
      <c r="U14" s="59"/>
    </row>
  </sheetData>
  <mergeCells count="5">
    <mergeCell ref="B2:C2"/>
    <mergeCell ref="B4:C4"/>
    <mergeCell ref="B5:C5"/>
    <mergeCell ref="B6:C6"/>
    <mergeCell ref="B12:D12"/>
  </mergeCell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MSPhotoEd.3" shapeId="2049" r:id="rId4">
          <objectPr defaultSize="0" autoPict="0" r:id="rId5">
            <anchor moveWithCells="1" sizeWithCells="1">
              <from>
                <xdr:col>1</xdr:col>
                <xdr:colOff>228600</xdr:colOff>
                <xdr:row>1</xdr:row>
                <xdr:rowOff>161925</xdr:rowOff>
              </from>
              <to>
                <xdr:col>2</xdr:col>
                <xdr:colOff>1257300</xdr:colOff>
                <xdr:row>1</xdr:row>
                <xdr:rowOff>742950</xdr:rowOff>
              </to>
            </anchor>
          </objectPr>
        </oleObject>
      </mc:Choice>
      <mc:Fallback>
        <oleObject progId="MSPhotoEd.3" shapeId="2049" r:id="rId4"/>
      </mc:Fallback>
    </mc:AlternateContent>
  </oleObjects>
  <tableParts count="1">
    <tablePart r:id="rId6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5F5F75-176B-4719-9FF9-C39E9983100A}">
  <sheetPr codeName="Лист18"/>
  <dimension ref="A1:HO7"/>
  <sheetViews>
    <sheetView topLeftCell="G1" zoomScale="85" zoomScaleNormal="85" workbookViewId="0">
      <selection activeCell="DW7" sqref="DW7"/>
    </sheetView>
  </sheetViews>
  <sheetFormatPr defaultRowHeight="15" x14ac:dyDescent="0.25"/>
  <cols>
    <col min="1" max="1" width="15.42578125" style="83" customWidth="1"/>
    <col min="2" max="2" width="19" style="83" customWidth="1"/>
    <col min="3" max="3" width="19.140625" style="83" customWidth="1"/>
    <col min="4" max="4" width="21.28515625" style="83" customWidth="1"/>
    <col min="5" max="5" width="13.5703125" style="83" customWidth="1"/>
    <col min="6" max="6" width="14" style="83" customWidth="1"/>
    <col min="7" max="7" width="9.5703125" style="83" customWidth="1"/>
    <col min="8" max="8" width="17.140625" style="83" customWidth="1"/>
    <col min="9" max="9" width="13" style="83" customWidth="1"/>
    <col min="10" max="10" width="25.7109375" style="83" customWidth="1"/>
    <col min="11" max="11" width="7.85546875" style="83" hidden="1" customWidth="1"/>
    <col min="12" max="12" width="14.140625" style="83" hidden="1" customWidth="1"/>
    <col min="13" max="20" width="7.85546875" style="83" hidden="1" customWidth="1"/>
    <col min="21" max="21" width="7.5703125" style="83" hidden="1" customWidth="1"/>
    <col min="22" max="22" width="9.5703125" style="84" hidden="1" customWidth="1"/>
    <col min="23" max="23" width="9.140625" style="83" hidden="1" customWidth="1"/>
    <col min="24" max="24" width="45.42578125" style="83" hidden="1" customWidth="1"/>
    <col min="25" max="33" width="9.140625" style="83" hidden="1" customWidth="1"/>
    <col min="34" max="34" width="9.140625" style="85" hidden="1" customWidth="1"/>
    <col min="35" max="47" width="9.140625" style="83" hidden="1" customWidth="1"/>
    <col min="48" max="48" width="9.140625" style="84" hidden="1" customWidth="1"/>
    <col min="49" max="59" width="9.140625" style="83" hidden="1" customWidth="1"/>
    <col min="60" max="60" width="9.140625" style="85" hidden="1" customWidth="1"/>
    <col min="61" max="61" width="9.140625" style="84" hidden="1" customWidth="1"/>
    <col min="62" max="71" width="9.140625" style="83" hidden="1" customWidth="1"/>
    <col min="72" max="72" width="9.140625" style="85" hidden="1" customWidth="1"/>
    <col min="73" max="73" width="9.140625" style="83" hidden="1" customWidth="1"/>
    <col min="74" max="74" width="9.140625" style="84" hidden="1" customWidth="1"/>
    <col min="75" max="85" width="9.140625" style="83" hidden="1" customWidth="1"/>
    <col min="86" max="86" width="9.140625" style="85" hidden="1" customWidth="1"/>
    <col min="87" max="87" width="9.140625" style="84" hidden="1" customWidth="1"/>
    <col min="88" max="98" width="9.140625" style="83" hidden="1" customWidth="1"/>
    <col min="99" max="99" width="9.140625" style="85" hidden="1" customWidth="1"/>
    <col min="100" max="100" width="9.140625" style="84" hidden="1" customWidth="1"/>
    <col min="101" max="111" width="9.140625" style="83" hidden="1" customWidth="1"/>
    <col min="112" max="112" width="9.140625" style="85" hidden="1" customWidth="1"/>
    <col min="113" max="113" width="9.140625" style="84" hidden="1" customWidth="1"/>
    <col min="114" max="124" width="9.140625" style="83" hidden="1" customWidth="1"/>
    <col min="125" max="125" width="9.140625" style="85" hidden="1" customWidth="1"/>
    <col min="126" max="126" width="19.7109375" style="83" customWidth="1"/>
    <col min="127" max="127" width="18.28515625" style="83" customWidth="1"/>
    <col min="128" max="128" width="20.28515625" style="83" customWidth="1"/>
    <col min="129" max="129" width="20.85546875" style="83" customWidth="1"/>
    <col min="130" max="130" width="22" style="83" customWidth="1"/>
    <col min="131" max="131" width="19" style="83" customWidth="1"/>
    <col min="132" max="132" width="20.7109375" style="83" customWidth="1"/>
    <col min="133" max="133" width="18.28515625" style="83" customWidth="1"/>
    <col min="134" max="134" width="19.42578125" style="83" customWidth="1"/>
    <col min="135" max="135" width="19.28515625" style="83" customWidth="1"/>
    <col min="136" max="136" width="20" style="83" customWidth="1"/>
    <col min="137" max="137" width="23.5703125" style="83" customWidth="1"/>
    <col min="138" max="138" width="21.5703125" style="83" customWidth="1"/>
    <col min="139" max="139" width="20.85546875" style="83" customWidth="1"/>
    <col min="140" max="140" width="21.85546875" style="83" customWidth="1"/>
    <col min="141" max="141" width="20.7109375" style="84" customWidth="1"/>
    <col min="142" max="142" width="10.7109375" style="83" customWidth="1"/>
    <col min="143" max="143" width="19.28515625" style="83" customWidth="1"/>
    <col min="144" max="144" width="29.28515625" style="83" bestFit="1" customWidth="1"/>
    <col min="145" max="145" width="29.28515625" style="83" customWidth="1"/>
    <col min="146" max="146" width="23" style="83" customWidth="1"/>
    <col min="147" max="147" width="21" style="83" customWidth="1"/>
    <col min="148" max="148" width="22.7109375" style="83" customWidth="1"/>
    <col min="149" max="149" width="20.28515625" style="83" customWidth="1"/>
    <col min="150" max="150" width="21.5703125" style="83" customWidth="1"/>
    <col min="151" max="151" width="21.28515625" style="83" customWidth="1"/>
    <col min="152" max="152" width="22" style="83" customWidth="1"/>
    <col min="153" max="153" width="25.5703125" style="83" customWidth="1"/>
    <col min="154" max="154" width="23.5703125" style="83" customWidth="1"/>
    <col min="155" max="155" width="22.85546875" style="83" customWidth="1"/>
    <col min="156" max="156" width="23.85546875" style="85" customWidth="1"/>
    <col min="157" max="157" width="15.85546875" style="83" customWidth="1"/>
    <col min="158" max="158" width="16.85546875" style="83" customWidth="1"/>
    <col min="159" max="159" width="18" style="83" customWidth="1"/>
    <col min="160" max="160" width="15" style="83" customWidth="1"/>
    <col min="161" max="161" width="16.5703125" style="83" customWidth="1"/>
    <col min="162" max="162" width="14.28515625" style="83" customWidth="1"/>
    <col min="163" max="163" width="15.42578125" style="83" customWidth="1"/>
    <col min="164" max="164" width="15.28515625" style="83" customWidth="1"/>
    <col min="165" max="165" width="16" style="83" customWidth="1"/>
    <col min="166" max="166" width="19.42578125" style="83" customWidth="1"/>
    <col min="167" max="168" width="17.42578125" style="83" customWidth="1"/>
    <col min="169" max="169" width="16.85546875" style="83" customWidth="1"/>
    <col min="170" max="170" width="15.85546875" style="84" customWidth="1"/>
    <col min="171" max="171" width="16.85546875" style="83" customWidth="1"/>
    <col min="172" max="172" width="18" style="83" customWidth="1"/>
    <col min="173" max="173" width="15" style="83" customWidth="1"/>
    <col min="174" max="174" width="16.5703125" style="83" customWidth="1"/>
    <col min="175" max="175" width="14.28515625" style="83" customWidth="1"/>
    <col min="176" max="176" width="15.42578125" style="83" customWidth="1"/>
    <col min="177" max="177" width="15.28515625" style="83" customWidth="1"/>
    <col min="178" max="178" width="16" style="83" customWidth="1"/>
    <col min="179" max="179" width="19.42578125" style="83" customWidth="1"/>
    <col min="180" max="180" width="17.42578125" style="83" customWidth="1"/>
    <col min="181" max="181" width="16.85546875" style="83" customWidth="1"/>
    <col min="182" max="182" width="17.140625" style="83" customWidth="1"/>
    <col min="183" max="183" width="18.42578125" style="84" customWidth="1"/>
    <col min="184" max="184" width="27.28515625" style="85" customWidth="1"/>
    <col min="185" max="185" width="26.42578125" style="83" customWidth="1"/>
    <col min="186" max="186" width="26.85546875" style="83" customWidth="1"/>
    <col min="187" max="187" width="28" style="83" customWidth="1"/>
    <col min="188" max="188" width="25" style="83" customWidth="1"/>
    <col min="189" max="189" width="26.7109375" style="83" customWidth="1"/>
    <col min="190" max="190" width="24.42578125" style="83" customWidth="1"/>
    <col min="191" max="191" width="25.5703125" style="83" customWidth="1"/>
    <col min="192" max="192" width="25.42578125" style="83" customWidth="1"/>
    <col min="193" max="193" width="26" style="83" customWidth="1"/>
    <col min="194" max="194" width="29.5703125" style="83" customWidth="1"/>
    <col min="195" max="195" width="27.5703125" style="83" customWidth="1"/>
    <col min="196" max="196" width="26.85546875" style="83" customWidth="1"/>
    <col min="197" max="197" width="27.85546875" style="85" customWidth="1"/>
    <col min="198" max="198" width="22.140625" style="83" customWidth="1"/>
    <col min="199" max="199" width="23.140625" style="83" customWidth="1"/>
    <col min="200" max="200" width="24.42578125" style="83" customWidth="1"/>
    <col min="201" max="201" width="21.28515625" style="83" customWidth="1"/>
    <col min="202" max="202" width="23" style="83" customWidth="1"/>
    <col min="203" max="203" width="20.7109375" style="83" customWidth="1"/>
    <col min="204" max="204" width="21.85546875" style="83" customWidth="1"/>
    <col min="205" max="205" width="21.7109375" style="83" customWidth="1"/>
    <col min="206" max="206" width="22.28515625" style="83" customWidth="1"/>
    <col min="207" max="207" width="25.85546875" style="83" customWidth="1"/>
    <col min="208" max="209" width="23.85546875" style="83" customWidth="1"/>
    <col min="210" max="210" width="23.140625" style="83" customWidth="1"/>
    <col min="211" max="211" width="22.140625" style="84" customWidth="1"/>
    <col min="212" max="212" width="23.140625" style="83" customWidth="1"/>
    <col min="213" max="213" width="24.42578125" style="83" customWidth="1"/>
    <col min="214" max="214" width="21.28515625" style="83" customWidth="1"/>
    <col min="215" max="215" width="23" style="83" customWidth="1"/>
    <col min="216" max="216" width="20.7109375" style="83" customWidth="1"/>
    <col min="217" max="217" width="21.85546875" style="83" customWidth="1"/>
    <col min="218" max="218" width="21.7109375" style="83" customWidth="1"/>
    <col min="219" max="219" width="22.28515625" style="83" customWidth="1"/>
    <col min="220" max="220" width="25.85546875" style="83" customWidth="1"/>
    <col min="221" max="222" width="23.85546875" style="83" customWidth="1"/>
    <col min="223" max="223" width="23.140625" style="85" customWidth="1"/>
    <col min="224" max="16384" width="9.140625" style="83"/>
  </cols>
  <sheetData>
    <row r="1" spans="1:223" s="72" customFormat="1" ht="37.5" customHeight="1" x14ac:dyDescent="0.25">
      <c r="A1" s="96" t="s">
        <v>39</v>
      </c>
      <c r="B1" s="97" t="s">
        <v>246</v>
      </c>
      <c r="C1" s="72" t="s">
        <v>1223</v>
      </c>
      <c r="V1" s="71" t="s">
        <v>1217</v>
      </c>
      <c r="X1" s="73" t="s">
        <v>1218</v>
      </c>
      <c r="AH1" s="74"/>
      <c r="AV1" s="75"/>
      <c r="BH1" s="74"/>
      <c r="BI1" s="75"/>
      <c r="BT1" s="74"/>
      <c r="BV1" s="75"/>
      <c r="CH1" s="74"/>
      <c r="CI1" s="75"/>
      <c r="CU1" s="74"/>
      <c r="CV1" s="75"/>
      <c r="DH1" s="74"/>
      <c r="DI1" s="75"/>
      <c r="DU1" s="74"/>
      <c r="DV1" s="75"/>
      <c r="DX1" s="73" t="s">
        <v>1219</v>
      </c>
      <c r="DY1" s="72" t="s">
        <v>1220</v>
      </c>
      <c r="EJ1" s="74"/>
      <c r="EK1" s="76" t="s">
        <v>1221</v>
      </c>
      <c r="EL1" s="77"/>
      <c r="EM1" s="77"/>
      <c r="EN1" s="77"/>
      <c r="EO1" s="77"/>
      <c r="EP1" s="77"/>
      <c r="EQ1" s="77"/>
      <c r="ER1" s="77"/>
      <c r="ES1" s="77"/>
      <c r="ET1" s="77"/>
      <c r="EU1" s="77"/>
      <c r="EV1" s="77"/>
      <c r="EW1" s="77"/>
      <c r="EX1" s="77"/>
      <c r="EY1" s="77"/>
      <c r="EZ1" s="77"/>
      <c r="FB1" s="72" t="s">
        <v>1220</v>
      </c>
      <c r="FN1" s="75"/>
      <c r="FO1" s="72" t="s">
        <v>1220</v>
      </c>
      <c r="GA1" s="75"/>
      <c r="GB1" s="74"/>
      <c r="GD1" s="72" t="s">
        <v>1222</v>
      </c>
      <c r="GO1" s="74"/>
      <c r="GQ1" s="72" t="s">
        <v>1222</v>
      </c>
      <c r="HC1" s="75"/>
      <c r="HD1" s="72" t="s">
        <v>1222</v>
      </c>
      <c r="HO1" s="74"/>
    </row>
    <row r="2" spans="1:223" s="72" customFormat="1" ht="75" x14ac:dyDescent="0.25">
      <c r="A2" s="98" t="s">
        <v>48</v>
      </c>
      <c r="B2" s="97">
        <v>2021</v>
      </c>
      <c r="V2" s="108"/>
      <c r="X2" s="70" t="s">
        <v>1224</v>
      </c>
      <c r="AV2" s="75"/>
      <c r="BI2" s="75"/>
      <c r="BV2" s="75"/>
      <c r="CI2" s="75"/>
      <c r="CV2" s="75"/>
      <c r="DI2" s="75"/>
      <c r="DV2" s="78">
        <v>43831</v>
      </c>
      <c r="DY2" s="72" t="s">
        <v>1225</v>
      </c>
      <c r="DZ2" s="72" t="s">
        <v>1226</v>
      </c>
      <c r="EA2" s="72" t="s">
        <v>1227</v>
      </c>
      <c r="EJ2" s="74"/>
      <c r="EK2" s="76"/>
      <c r="EL2" s="77" t="s">
        <v>1228</v>
      </c>
      <c r="EM2" s="77" t="s">
        <v>1229</v>
      </c>
      <c r="EN2" s="77" t="s">
        <v>1230</v>
      </c>
      <c r="EO2" s="77"/>
      <c r="EP2" s="77"/>
      <c r="EQ2" s="77"/>
      <c r="ER2" s="77"/>
      <c r="ES2" s="77"/>
      <c r="ET2" s="77"/>
      <c r="EU2" s="77"/>
      <c r="EV2" s="77"/>
      <c r="EW2" s="77"/>
      <c r="EX2" s="77"/>
      <c r="EY2" s="77"/>
      <c r="EZ2" s="77"/>
      <c r="FB2" s="72" t="s">
        <v>1226</v>
      </c>
      <c r="FC2" s="72" t="s">
        <v>1227</v>
      </c>
      <c r="FN2" s="75"/>
      <c r="FO2" s="72" t="s">
        <v>1226</v>
      </c>
      <c r="FP2" s="72" t="s">
        <v>1227</v>
      </c>
      <c r="GA2" s="75"/>
      <c r="GB2" s="74"/>
      <c r="GD2" s="72" t="s">
        <v>1231</v>
      </c>
      <c r="GE2" s="72" t="s">
        <v>1226</v>
      </c>
      <c r="GF2" s="72" t="s">
        <v>1227</v>
      </c>
      <c r="GO2" s="74"/>
      <c r="GQ2" s="72" t="s">
        <v>1226</v>
      </c>
      <c r="GR2" s="72" t="s">
        <v>1227</v>
      </c>
      <c r="HC2" s="75"/>
      <c r="HD2" s="72" t="s">
        <v>1226</v>
      </c>
      <c r="HE2" s="72" t="s">
        <v>1227</v>
      </c>
      <c r="HO2" s="74"/>
    </row>
    <row r="3" spans="1:223" s="72" customFormat="1" x14ac:dyDescent="0.25">
      <c r="A3" s="96" t="s">
        <v>40</v>
      </c>
      <c r="B3" s="97" t="s">
        <v>33</v>
      </c>
      <c r="V3" s="71"/>
      <c r="X3" s="95"/>
      <c r="AV3" s="75"/>
      <c r="BI3" s="75"/>
      <c r="BV3" s="75"/>
      <c r="CI3" s="75"/>
      <c r="CV3" s="75"/>
      <c r="DI3" s="75"/>
      <c r="DV3" s="78"/>
      <c r="EJ3" s="95"/>
      <c r="EK3" s="76"/>
      <c r="EL3" s="77"/>
      <c r="EM3" s="77"/>
      <c r="EN3" s="77"/>
      <c r="EO3" s="77"/>
      <c r="EP3" s="77"/>
      <c r="EQ3" s="77"/>
      <c r="ER3" s="77"/>
      <c r="ES3" s="77"/>
      <c r="ET3" s="77"/>
      <c r="EU3" s="77"/>
      <c r="EV3" s="77"/>
      <c r="EW3" s="77"/>
      <c r="EX3" s="77"/>
      <c r="EY3" s="77"/>
      <c r="EZ3" s="77"/>
      <c r="FN3" s="95"/>
      <c r="GA3" s="75"/>
      <c r="GB3" s="74"/>
      <c r="GO3" s="74"/>
      <c r="HC3" s="75"/>
      <c r="HO3" s="74"/>
    </row>
    <row r="4" spans="1:223" s="72" customFormat="1" ht="75" x14ac:dyDescent="0.25">
      <c r="A4" s="72" t="s">
        <v>1232</v>
      </c>
      <c r="B4" s="72" t="s">
        <v>1232</v>
      </c>
      <c r="V4" s="75" t="s">
        <v>1233</v>
      </c>
      <c r="W4" s="75" t="s">
        <v>1233</v>
      </c>
      <c r="X4" s="75" t="s">
        <v>1233</v>
      </c>
      <c r="Y4" s="75" t="s">
        <v>1233</v>
      </c>
      <c r="Z4" s="75" t="s">
        <v>1233</v>
      </c>
      <c r="AA4" s="75" t="s">
        <v>1233</v>
      </c>
      <c r="AB4" s="75" t="s">
        <v>1233</v>
      </c>
      <c r="AC4" s="75" t="s">
        <v>1233</v>
      </c>
      <c r="AD4" s="75" t="s">
        <v>1233</v>
      </c>
      <c r="AE4" s="75" t="s">
        <v>1233</v>
      </c>
      <c r="AF4" s="75" t="s">
        <v>1233</v>
      </c>
      <c r="AG4" s="75" t="s">
        <v>1233</v>
      </c>
      <c r="AH4" s="75" t="s">
        <v>1233</v>
      </c>
      <c r="AI4" s="75" t="s">
        <v>1233</v>
      </c>
      <c r="AJ4" s="75" t="s">
        <v>1233</v>
      </c>
      <c r="AK4" s="75" t="s">
        <v>1233</v>
      </c>
      <c r="AL4" s="75" t="s">
        <v>1233</v>
      </c>
      <c r="AM4" s="75" t="s">
        <v>1233</v>
      </c>
      <c r="AN4" s="75" t="s">
        <v>1233</v>
      </c>
      <c r="AO4" s="75" t="s">
        <v>1233</v>
      </c>
      <c r="AP4" s="75" t="s">
        <v>1233</v>
      </c>
      <c r="AQ4" s="75" t="s">
        <v>1233</v>
      </c>
      <c r="AR4" s="75" t="s">
        <v>1233</v>
      </c>
      <c r="AS4" s="75" t="s">
        <v>1233</v>
      </c>
      <c r="AT4" s="75"/>
      <c r="AU4" s="75" t="s">
        <v>1233</v>
      </c>
      <c r="AV4" s="75" t="s">
        <v>1233</v>
      </c>
      <c r="AW4" s="75" t="s">
        <v>1233</v>
      </c>
      <c r="AX4" s="75" t="s">
        <v>1233</v>
      </c>
      <c r="AY4" s="75" t="s">
        <v>1233</v>
      </c>
      <c r="AZ4" s="75" t="s">
        <v>1233</v>
      </c>
      <c r="BA4" s="75" t="s">
        <v>1233</v>
      </c>
      <c r="BB4" s="75" t="s">
        <v>1233</v>
      </c>
      <c r="BC4" s="75" t="s">
        <v>1233</v>
      </c>
      <c r="BD4" s="75" t="s">
        <v>1233</v>
      </c>
      <c r="BE4" s="75" t="s">
        <v>1233</v>
      </c>
      <c r="BF4" s="75" t="s">
        <v>1233</v>
      </c>
      <c r="BG4" s="75"/>
      <c r="BH4" s="75" t="s">
        <v>1233</v>
      </c>
      <c r="BI4" s="75" t="s">
        <v>1234</v>
      </c>
      <c r="BJ4" s="75" t="s">
        <v>1233</v>
      </c>
      <c r="BK4" s="75" t="s">
        <v>1233</v>
      </c>
      <c r="BL4" s="75" t="s">
        <v>1233</v>
      </c>
      <c r="BM4" s="75" t="s">
        <v>1233</v>
      </c>
      <c r="BN4" s="75" t="s">
        <v>1233</v>
      </c>
      <c r="BO4" s="75" t="s">
        <v>1233</v>
      </c>
      <c r="BP4" s="75" t="s">
        <v>1233</v>
      </c>
      <c r="BQ4" s="75" t="s">
        <v>1233</v>
      </c>
      <c r="BR4" s="75" t="s">
        <v>1233</v>
      </c>
      <c r="BS4" s="75" t="s">
        <v>1233</v>
      </c>
      <c r="BT4" s="75" t="s">
        <v>1233</v>
      </c>
      <c r="BU4" s="75"/>
      <c r="BV4" s="75" t="s">
        <v>1235</v>
      </c>
      <c r="BW4" s="75" t="s">
        <v>1233</v>
      </c>
      <c r="BX4" s="75" t="s">
        <v>1233</v>
      </c>
      <c r="BY4" s="75" t="s">
        <v>1233</v>
      </c>
      <c r="BZ4" s="75" t="s">
        <v>1233</v>
      </c>
      <c r="CA4" s="75" t="s">
        <v>1233</v>
      </c>
      <c r="CB4" s="75" t="s">
        <v>1233</v>
      </c>
      <c r="CC4" s="75" t="s">
        <v>1233</v>
      </c>
      <c r="CD4" s="75" t="s">
        <v>1233</v>
      </c>
      <c r="CE4" s="75" t="s">
        <v>1233</v>
      </c>
      <c r="CF4" s="75" t="s">
        <v>1233</v>
      </c>
      <c r="CG4" s="75"/>
      <c r="CH4" s="75" t="s">
        <v>1233</v>
      </c>
      <c r="CI4" s="75" t="s">
        <v>1236</v>
      </c>
      <c r="CJ4" s="75" t="s">
        <v>1233</v>
      </c>
      <c r="CK4" s="75" t="s">
        <v>1233</v>
      </c>
      <c r="CL4" s="75" t="s">
        <v>1233</v>
      </c>
      <c r="CM4" s="75" t="s">
        <v>1233</v>
      </c>
      <c r="CN4" s="75" t="s">
        <v>1233</v>
      </c>
      <c r="CO4" s="75" t="s">
        <v>1233</v>
      </c>
      <c r="CP4" s="75" t="s">
        <v>1233</v>
      </c>
      <c r="CQ4" s="75" t="s">
        <v>1233</v>
      </c>
      <c r="CR4" s="75" t="s">
        <v>1233</v>
      </c>
      <c r="CS4" s="75" t="s">
        <v>1233</v>
      </c>
      <c r="CT4" s="75"/>
      <c r="CU4" s="75" t="s">
        <v>1233</v>
      </c>
      <c r="CV4" s="75" t="s">
        <v>1237</v>
      </c>
      <c r="CW4" s="75" t="s">
        <v>1233</v>
      </c>
      <c r="CX4" s="75" t="s">
        <v>1233</v>
      </c>
      <c r="CY4" s="75" t="s">
        <v>1233</v>
      </c>
      <c r="CZ4" s="75" t="s">
        <v>1233</v>
      </c>
      <c r="DA4" s="75" t="s">
        <v>1233</v>
      </c>
      <c r="DB4" s="75" t="s">
        <v>1233</v>
      </c>
      <c r="DC4" s="75" t="s">
        <v>1233</v>
      </c>
      <c r="DD4" s="75" t="s">
        <v>1233</v>
      </c>
      <c r="DE4" s="75" t="s">
        <v>1233</v>
      </c>
      <c r="DF4" s="75" t="s">
        <v>1233</v>
      </c>
      <c r="DG4" s="75"/>
      <c r="DH4" s="75" t="s">
        <v>1233</v>
      </c>
      <c r="DI4" s="75" t="s">
        <v>1238</v>
      </c>
      <c r="DJ4" s="75" t="s">
        <v>1233</v>
      </c>
      <c r="DK4" s="75" t="s">
        <v>1233</v>
      </c>
      <c r="DL4" s="75" t="s">
        <v>1233</v>
      </c>
      <c r="DM4" s="75" t="s">
        <v>1233</v>
      </c>
      <c r="DN4" s="75" t="s">
        <v>1233</v>
      </c>
      <c r="DO4" s="75" t="s">
        <v>1233</v>
      </c>
      <c r="DP4" s="75" t="s">
        <v>1233</v>
      </c>
      <c r="DQ4" s="75" t="s">
        <v>1233</v>
      </c>
      <c r="DR4" s="75" t="s">
        <v>1233</v>
      </c>
      <c r="DS4" s="75" t="s">
        <v>1233</v>
      </c>
      <c r="DT4" s="75"/>
      <c r="DU4" s="75" t="s">
        <v>1233</v>
      </c>
      <c r="DV4" s="75" t="s">
        <v>1239</v>
      </c>
      <c r="DW4" s="75" t="s">
        <v>1233</v>
      </c>
      <c r="DX4" s="72" t="s">
        <v>1240</v>
      </c>
      <c r="DY4" s="72" t="s">
        <v>1241</v>
      </c>
      <c r="DZ4" s="72" t="s">
        <v>1241</v>
      </c>
      <c r="EA4" s="72" t="s">
        <v>1242</v>
      </c>
      <c r="EB4" s="72" t="s">
        <v>1241</v>
      </c>
      <c r="EC4" s="72" t="s">
        <v>1241</v>
      </c>
      <c r="ED4" s="72" t="s">
        <v>1241</v>
      </c>
      <c r="EE4" s="72" t="s">
        <v>1241</v>
      </c>
      <c r="EF4" s="72" t="s">
        <v>1241</v>
      </c>
      <c r="EG4" s="72" t="s">
        <v>1241</v>
      </c>
      <c r="EH4" s="72" t="s">
        <v>1241</v>
      </c>
      <c r="EI4" s="72" t="s">
        <v>1241</v>
      </c>
      <c r="EJ4" s="72" t="s">
        <v>1241</v>
      </c>
      <c r="EK4" s="76"/>
      <c r="EL4" s="77"/>
      <c r="EM4" s="77"/>
      <c r="EN4" s="77"/>
      <c r="EO4" s="77"/>
      <c r="EP4" s="77"/>
      <c r="EQ4" s="77"/>
      <c r="ER4" s="77"/>
      <c r="ES4" s="77"/>
      <c r="ET4" s="77"/>
      <c r="EU4" s="77"/>
      <c r="EV4" s="77"/>
      <c r="EW4" s="77"/>
      <c r="EX4" s="77"/>
      <c r="EY4" s="77"/>
      <c r="EZ4" s="77"/>
      <c r="FA4" s="72" t="s">
        <v>1240</v>
      </c>
      <c r="FB4" s="100" t="s">
        <v>1437</v>
      </c>
      <c r="FC4" s="100" t="s">
        <v>1440</v>
      </c>
      <c r="FN4" s="72" t="s">
        <v>1240</v>
      </c>
      <c r="FO4" s="100" t="s">
        <v>1439</v>
      </c>
      <c r="FP4" s="100" t="s">
        <v>1436</v>
      </c>
      <c r="GA4" s="75" t="s">
        <v>1240</v>
      </c>
      <c r="GB4" s="74" t="s">
        <v>1243</v>
      </c>
      <c r="GC4" s="72" t="s">
        <v>1240</v>
      </c>
      <c r="GD4" s="72" t="s">
        <v>1241</v>
      </c>
      <c r="GE4" s="72" t="s">
        <v>1241</v>
      </c>
      <c r="GF4" s="72" t="s">
        <v>1242</v>
      </c>
      <c r="GO4" s="74"/>
      <c r="GQ4" s="100" t="s">
        <v>1437</v>
      </c>
      <c r="GR4" s="100" t="s">
        <v>1438</v>
      </c>
      <c r="HC4" s="75"/>
      <c r="HD4" s="100" t="s">
        <v>1435</v>
      </c>
      <c r="HE4" s="100" t="s">
        <v>1436</v>
      </c>
      <c r="HO4" s="74"/>
    </row>
    <row r="5" spans="1:223" s="72" customFormat="1" x14ac:dyDescent="0.25">
      <c r="V5" s="75"/>
      <c r="AV5" s="75"/>
      <c r="BI5" s="75"/>
      <c r="BV5" s="75"/>
      <c r="CI5" s="75"/>
      <c r="CV5" s="75"/>
      <c r="DI5" s="75"/>
      <c r="DV5" s="75"/>
      <c r="EK5" s="79">
        <v>0.1</v>
      </c>
      <c r="EL5" s="80"/>
      <c r="EM5" s="81"/>
      <c r="EN5" s="81"/>
      <c r="EO5" s="80">
        <v>0.1</v>
      </c>
      <c r="EP5" s="80">
        <v>0.1</v>
      </c>
      <c r="EQ5" s="80">
        <v>0.1</v>
      </c>
      <c r="ER5" s="80">
        <v>0.1</v>
      </c>
      <c r="ES5" s="80">
        <v>0.1</v>
      </c>
      <c r="ET5" s="80">
        <v>0.1</v>
      </c>
      <c r="EU5" s="81"/>
      <c r="EV5" s="81"/>
      <c r="EW5" s="81"/>
      <c r="EX5" s="81"/>
      <c r="EY5" s="81"/>
      <c r="EZ5" s="81"/>
      <c r="GA5" s="75"/>
      <c r="GB5" s="74"/>
      <c r="GO5" s="74"/>
      <c r="GR5" s="82"/>
      <c r="HC5" s="75"/>
      <c r="HO5" s="74"/>
    </row>
    <row r="6" spans="1:223" s="72" customFormat="1" ht="60" x14ac:dyDescent="0.25">
      <c r="A6" s="88" t="s">
        <v>0</v>
      </c>
      <c r="B6" s="86" t="s">
        <v>16</v>
      </c>
      <c r="C6" s="87" t="s">
        <v>62</v>
      </c>
      <c r="D6" s="88" t="s">
        <v>1244</v>
      </c>
      <c r="E6" s="89" t="s">
        <v>1245</v>
      </c>
      <c r="F6" s="89" t="s">
        <v>26</v>
      </c>
      <c r="G6" s="89" t="s">
        <v>28</v>
      </c>
      <c r="H6" s="89" t="s">
        <v>1416</v>
      </c>
      <c r="I6" s="89" t="s">
        <v>63</v>
      </c>
      <c r="J6" s="89" t="s">
        <v>30</v>
      </c>
      <c r="K6" s="89" t="s">
        <v>1246</v>
      </c>
      <c r="L6" s="89" t="s">
        <v>64</v>
      </c>
      <c r="M6" s="89" t="s">
        <v>1434</v>
      </c>
      <c r="N6" s="89" t="s">
        <v>65</v>
      </c>
      <c r="O6" s="89" t="s">
        <v>1247</v>
      </c>
      <c r="P6" s="89" t="s">
        <v>1248</v>
      </c>
      <c r="Q6" s="89" t="s">
        <v>1249</v>
      </c>
      <c r="R6" s="89" t="s">
        <v>1250</v>
      </c>
      <c r="S6" s="89" t="s">
        <v>1251</v>
      </c>
      <c r="T6" s="89" t="s">
        <v>1252</v>
      </c>
      <c r="U6" s="89" t="s">
        <v>66</v>
      </c>
      <c r="V6" s="86" t="s">
        <v>1253</v>
      </c>
      <c r="W6" s="87" t="s">
        <v>1254</v>
      </c>
      <c r="X6" s="87" t="s">
        <v>1255</v>
      </c>
      <c r="Y6" s="87" t="s">
        <v>1256</v>
      </c>
      <c r="Z6" s="87" t="s">
        <v>1257</v>
      </c>
      <c r="AA6" s="87" t="s">
        <v>1258</v>
      </c>
      <c r="AB6" s="87" t="s">
        <v>1259</v>
      </c>
      <c r="AC6" s="87" t="s">
        <v>1260</v>
      </c>
      <c r="AD6" s="87" t="s">
        <v>1261</v>
      </c>
      <c r="AE6" s="87" t="s">
        <v>1459</v>
      </c>
      <c r="AF6" s="87" t="s">
        <v>1262</v>
      </c>
      <c r="AG6" s="87" t="s">
        <v>1263</v>
      </c>
      <c r="AH6" s="90" t="s">
        <v>1264</v>
      </c>
      <c r="AI6" s="87" t="s">
        <v>1265</v>
      </c>
      <c r="AJ6" s="87" t="s">
        <v>1266</v>
      </c>
      <c r="AK6" s="87" t="s">
        <v>1267</v>
      </c>
      <c r="AL6" s="87" t="s">
        <v>1268</v>
      </c>
      <c r="AM6" s="87" t="s">
        <v>1269</v>
      </c>
      <c r="AN6" s="87" t="s">
        <v>1270</v>
      </c>
      <c r="AO6" s="87" t="s">
        <v>1271</v>
      </c>
      <c r="AP6" s="87" t="s">
        <v>1272</v>
      </c>
      <c r="AQ6" s="87" t="s">
        <v>1273</v>
      </c>
      <c r="AR6" s="87" t="s">
        <v>1460</v>
      </c>
      <c r="AS6" s="87" t="s">
        <v>1274</v>
      </c>
      <c r="AT6" s="87" t="s">
        <v>1275</v>
      </c>
      <c r="AU6" s="87" t="s">
        <v>1443</v>
      </c>
      <c r="AV6" s="101" t="s">
        <v>1276</v>
      </c>
      <c r="AW6" s="102" t="s">
        <v>1277</v>
      </c>
      <c r="AX6" s="102" t="s">
        <v>1278</v>
      </c>
      <c r="AY6" s="102" t="s">
        <v>1279</v>
      </c>
      <c r="AZ6" s="102" t="s">
        <v>1280</v>
      </c>
      <c r="BA6" s="102" t="s">
        <v>1281</v>
      </c>
      <c r="BB6" s="102" t="s">
        <v>1282</v>
      </c>
      <c r="BC6" s="102" t="s">
        <v>1283</v>
      </c>
      <c r="BD6" s="102" t="s">
        <v>1284</v>
      </c>
      <c r="BE6" s="102" t="s">
        <v>1461</v>
      </c>
      <c r="BF6" s="102" t="s">
        <v>1285</v>
      </c>
      <c r="BG6" s="103" t="s">
        <v>1286</v>
      </c>
      <c r="BH6" s="103" t="s">
        <v>1444</v>
      </c>
      <c r="BI6" s="86" t="s">
        <v>1287</v>
      </c>
      <c r="BJ6" s="87" t="s">
        <v>1288</v>
      </c>
      <c r="BK6" s="87" t="s">
        <v>1289</v>
      </c>
      <c r="BL6" s="87" t="s">
        <v>1290</v>
      </c>
      <c r="BM6" s="87" t="s">
        <v>1291</v>
      </c>
      <c r="BN6" s="87" t="s">
        <v>1292</v>
      </c>
      <c r="BO6" s="87" t="s">
        <v>1293</v>
      </c>
      <c r="BP6" s="87" t="s">
        <v>1294</v>
      </c>
      <c r="BQ6" s="87" t="s">
        <v>1295</v>
      </c>
      <c r="BR6" s="87" t="s">
        <v>1462</v>
      </c>
      <c r="BS6" s="87" t="s">
        <v>1296</v>
      </c>
      <c r="BT6" s="90" t="s">
        <v>1297</v>
      </c>
      <c r="BU6" s="90" t="s">
        <v>1445</v>
      </c>
      <c r="BV6" s="101" t="s">
        <v>1298</v>
      </c>
      <c r="BW6" s="102" t="s">
        <v>1299</v>
      </c>
      <c r="BX6" s="102" t="s">
        <v>1300</v>
      </c>
      <c r="BY6" s="102" t="s">
        <v>1301</v>
      </c>
      <c r="BZ6" s="102" t="s">
        <v>1302</v>
      </c>
      <c r="CA6" s="102" t="s">
        <v>1303</v>
      </c>
      <c r="CB6" s="102" t="s">
        <v>1304</v>
      </c>
      <c r="CC6" s="102" t="s">
        <v>1305</v>
      </c>
      <c r="CD6" s="102" t="s">
        <v>1306</v>
      </c>
      <c r="CE6" s="102" t="s">
        <v>1463</v>
      </c>
      <c r="CF6" s="102" t="s">
        <v>1307</v>
      </c>
      <c r="CG6" s="103" t="s">
        <v>1308</v>
      </c>
      <c r="CH6" s="103" t="s">
        <v>1446</v>
      </c>
      <c r="CI6" s="86" t="s">
        <v>1309</v>
      </c>
      <c r="CJ6" s="87" t="s">
        <v>1310</v>
      </c>
      <c r="CK6" s="87" t="s">
        <v>1311</v>
      </c>
      <c r="CL6" s="87" t="s">
        <v>1312</v>
      </c>
      <c r="CM6" s="87" t="s">
        <v>1313</v>
      </c>
      <c r="CN6" s="87" t="s">
        <v>1314</v>
      </c>
      <c r="CO6" s="87" t="s">
        <v>1315</v>
      </c>
      <c r="CP6" s="87" t="s">
        <v>1316</v>
      </c>
      <c r="CQ6" s="87" t="s">
        <v>1317</v>
      </c>
      <c r="CR6" s="87" t="s">
        <v>1464</v>
      </c>
      <c r="CS6" s="87" t="s">
        <v>1318</v>
      </c>
      <c r="CT6" s="90" t="s">
        <v>1319</v>
      </c>
      <c r="CU6" s="90" t="s">
        <v>1447</v>
      </c>
      <c r="CV6" s="86" t="s">
        <v>1320</v>
      </c>
      <c r="CW6" s="87" t="s">
        <v>1321</v>
      </c>
      <c r="CX6" s="87" t="s">
        <v>1322</v>
      </c>
      <c r="CY6" s="87" t="s">
        <v>1323</v>
      </c>
      <c r="CZ6" s="87" t="s">
        <v>1324</v>
      </c>
      <c r="DA6" s="87" t="s">
        <v>1325</v>
      </c>
      <c r="DB6" s="87" t="s">
        <v>1326</v>
      </c>
      <c r="DC6" s="87" t="s">
        <v>1327</v>
      </c>
      <c r="DD6" s="87" t="s">
        <v>1328</v>
      </c>
      <c r="DE6" s="87" t="s">
        <v>1465</v>
      </c>
      <c r="DF6" s="87" t="s">
        <v>1329</v>
      </c>
      <c r="DG6" s="90" t="s">
        <v>1330</v>
      </c>
      <c r="DH6" s="90" t="s">
        <v>1442</v>
      </c>
      <c r="DI6" s="101" t="s">
        <v>1331</v>
      </c>
      <c r="DJ6" s="102" t="s">
        <v>1332</v>
      </c>
      <c r="DK6" s="102" t="s">
        <v>1333</v>
      </c>
      <c r="DL6" s="102" t="s">
        <v>1334</v>
      </c>
      <c r="DM6" s="102" t="s">
        <v>1335</v>
      </c>
      <c r="DN6" s="102" t="s">
        <v>1336</v>
      </c>
      <c r="DO6" s="102" t="s">
        <v>1337</v>
      </c>
      <c r="DP6" s="102" t="s">
        <v>1338</v>
      </c>
      <c r="DQ6" s="102" t="s">
        <v>1339</v>
      </c>
      <c r="DR6" s="102" t="s">
        <v>1466</v>
      </c>
      <c r="DS6" s="102" t="s">
        <v>1340</v>
      </c>
      <c r="DT6" s="103" t="s">
        <v>1341</v>
      </c>
      <c r="DU6" s="103" t="s">
        <v>1441</v>
      </c>
      <c r="DV6" s="86" t="s">
        <v>1342</v>
      </c>
      <c r="DW6" s="87" t="s">
        <v>1343</v>
      </c>
      <c r="DX6" s="91" t="s">
        <v>1344</v>
      </c>
      <c r="DY6" s="91" t="s">
        <v>1345</v>
      </c>
      <c r="DZ6" s="91" t="s">
        <v>1346</v>
      </c>
      <c r="EA6" s="91" t="s">
        <v>1347</v>
      </c>
      <c r="EB6" s="91" t="s">
        <v>1348</v>
      </c>
      <c r="EC6" s="91" t="s">
        <v>1349</v>
      </c>
      <c r="ED6" s="91" t="s">
        <v>1350</v>
      </c>
      <c r="EE6" s="91" t="s">
        <v>1351</v>
      </c>
      <c r="EF6" s="91" t="s">
        <v>1352</v>
      </c>
      <c r="EG6" s="91" t="s">
        <v>1467</v>
      </c>
      <c r="EH6" s="91" t="s">
        <v>1353</v>
      </c>
      <c r="EI6" s="91" t="s">
        <v>1354</v>
      </c>
      <c r="EJ6" s="104" t="s">
        <v>1355</v>
      </c>
      <c r="EK6" s="86" t="s">
        <v>1433</v>
      </c>
      <c r="EL6" s="87" t="s">
        <v>1356</v>
      </c>
      <c r="EM6" s="87" t="s">
        <v>1417</v>
      </c>
      <c r="EN6" s="87" t="s">
        <v>1432</v>
      </c>
      <c r="EO6" s="87" t="s">
        <v>1431</v>
      </c>
      <c r="EP6" s="87" t="s">
        <v>1430</v>
      </c>
      <c r="EQ6" s="87" t="s">
        <v>1429</v>
      </c>
      <c r="ER6" s="87" t="s">
        <v>1428</v>
      </c>
      <c r="ES6" s="87" t="s">
        <v>1427</v>
      </c>
      <c r="ET6" s="87" t="s">
        <v>1426</v>
      </c>
      <c r="EU6" s="87" t="s">
        <v>1425</v>
      </c>
      <c r="EV6" s="87" t="s">
        <v>1424</v>
      </c>
      <c r="EW6" s="87" t="s">
        <v>1468</v>
      </c>
      <c r="EX6" s="87" t="s">
        <v>1423</v>
      </c>
      <c r="EY6" s="87" t="s">
        <v>1422</v>
      </c>
      <c r="EZ6" s="90" t="s">
        <v>1420</v>
      </c>
      <c r="FA6" s="87" t="s">
        <v>1357</v>
      </c>
      <c r="FB6" s="87" t="s">
        <v>1358</v>
      </c>
      <c r="FC6" s="87" t="s">
        <v>1359</v>
      </c>
      <c r="FD6" s="87" t="s">
        <v>1360</v>
      </c>
      <c r="FE6" s="87" t="s">
        <v>1361</v>
      </c>
      <c r="FF6" s="87" t="s">
        <v>1362</v>
      </c>
      <c r="FG6" s="87" t="s">
        <v>1363</v>
      </c>
      <c r="FH6" s="87" t="s">
        <v>1364</v>
      </c>
      <c r="FI6" s="87" t="s">
        <v>1365</v>
      </c>
      <c r="FJ6" s="87" t="s">
        <v>1469</v>
      </c>
      <c r="FK6" s="87" t="s">
        <v>1366</v>
      </c>
      <c r="FL6" s="87" t="s">
        <v>1367</v>
      </c>
      <c r="FM6" s="87" t="s">
        <v>1421</v>
      </c>
      <c r="FN6" s="86" t="s">
        <v>1368</v>
      </c>
      <c r="FO6" s="87" t="s">
        <v>1369</v>
      </c>
      <c r="FP6" s="87" t="s">
        <v>1370</v>
      </c>
      <c r="FQ6" s="87" t="s">
        <v>1371</v>
      </c>
      <c r="FR6" s="87" t="s">
        <v>1372</v>
      </c>
      <c r="FS6" s="87" t="s">
        <v>1373</v>
      </c>
      <c r="FT6" s="87" t="s">
        <v>1374</v>
      </c>
      <c r="FU6" s="87" t="s">
        <v>1375</v>
      </c>
      <c r="FV6" s="87" t="s">
        <v>1376</v>
      </c>
      <c r="FW6" s="87" t="s">
        <v>1470</v>
      </c>
      <c r="FX6" s="87" t="s">
        <v>1377</v>
      </c>
      <c r="FY6" s="87" t="s">
        <v>1378</v>
      </c>
      <c r="FZ6" s="87" t="s">
        <v>1379</v>
      </c>
      <c r="GA6" s="86" t="s">
        <v>1380</v>
      </c>
      <c r="GB6" s="90" t="s">
        <v>1381</v>
      </c>
      <c r="GC6" s="87" t="s">
        <v>1382</v>
      </c>
      <c r="GD6" s="91" t="s">
        <v>1383</v>
      </c>
      <c r="GE6" s="91" t="s">
        <v>1384</v>
      </c>
      <c r="GF6" s="91" t="s">
        <v>1385</v>
      </c>
      <c r="GG6" s="91" t="s">
        <v>1386</v>
      </c>
      <c r="GH6" s="91" t="s">
        <v>1387</v>
      </c>
      <c r="GI6" s="91" t="s">
        <v>1388</v>
      </c>
      <c r="GJ6" s="91" t="s">
        <v>1389</v>
      </c>
      <c r="GK6" s="91" t="s">
        <v>1390</v>
      </c>
      <c r="GL6" s="91" t="s">
        <v>1471</v>
      </c>
      <c r="GM6" s="91" t="s">
        <v>1391</v>
      </c>
      <c r="GN6" s="91" t="s">
        <v>1392</v>
      </c>
      <c r="GO6" s="104" t="s">
        <v>1393</v>
      </c>
      <c r="GP6" s="87" t="s">
        <v>1394</v>
      </c>
      <c r="GQ6" s="87" t="s">
        <v>1395</v>
      </c>
      <c r="GR6" s="87" t="s">
        <v>1396</v>
      </c>
      <c r="GS6" s="87" t="s">
        <v>1397</v>
      </c>
      <c r="GT6" s="87" t="s">
        <v>1398</v>
      </c>
      <c r="GU6" s="87" t="s">
        <v>1399</v>
      </c>
      <c r="GV6" s="87" t="s">
        <v>1400</v>
      </c>
      <c r="GW6" s="87" t="s">
        <v>1401</v>
      </c>
      <c r="GX6" s="87" t="s">
        <v>1402</v>
      </c>
      <c r="GY6" s="87" t="s">
        <v>1472</v>
      </c>
      <c r="GZ6" s="87" t="s">
        <v>1403</v>
      </c>
      <c r="HA6" s="87" t="s">
        <v>1404</v>
      </c>
      <c r="HB6" s="87" t="s">
        <v>1418</v>
      </c>
      <c r="HC6" s="86" t="s">
        <v>1405</v>
      </c>
      <c r="HD6" s="87" t="s">
        <v>1406</v>
      </c>
      <c r="HE6" s="87" t="s">
        <v>1407</v>
      </c>
      <c r="HF6" s="87" t="s">
        <v>1408</v>
      </c>
      <c r="HG6" s="87" t="s">
        <v>1409</v>
      </c>
      <c r="HH6" s="87" t="s">
        <v>1410</v>
      </c>
      <c r="HI6" s="87" t="s">
        <v>1411</v>
      </c>
      <c r="HJ6" s="87" t="s">
        <v>1412</v>
      </c>
      <c r="HK6" s="87" t="s">
        <v>1413</v>
      </c>
      <c r="HL6" s="87" t="s">
        <v>1473</v>
      </c>
      <c r="HM6" s="87" t="s">
        <v>1414</v>
      </c>
      <c r="HN6" s="87" t="s">
        <v>1415</v>
      </c>
      <c r="HO6" s="87" t="s">
        <v>1419</v>
      </c>
    </row>
    <row r="7" spans="1:223" x14ac:dyDescent="0.25">
      <c r="A7" s="92"/>
      <c r="B7" s="109"/>
      <c r="C7" s="92"/>
      <c r="D7" s="92"/>
      <c r="E7" s="92"/>
      <c r="F7" s="92"/>
      <c r="G7" s="92"/>
      <c r="H7" s="92"/>
      <c r="I7" s="92"/>
      <c r="J7" s="92"/>
      <c r="K7" s="92"/>
      <c r="L7" s="105" t="str">
        <f>IFERROR(Планирование_новый_год[[#This Row],[GS, руб.]]/Планирование_новый_год[[#This Row],[Прогноз за год, шт. ]],"")</f>
        <v/>
      </c>
      <c r="M7" s="92"/>
      <c r="N7" s="105" t="str">
        <f>IFERROR(Планирование_новый_год[[#This Row],[2 net цена, руб.]]-Планирование_новый_год[[#This Row],[2 net цена, руб.]]*$V$2,"")</f>
        <v/>
      </c>
      <c r="O7" s="92"/>
      <c r="P7" s="105">
        <f>IFERROR(Планирование_новый_год[[#This Row],[Промо GS за год, руб.]]+Планирование_новый_год[[#This Row],[GS за год, руб.]],"")</f>
        <v>0</v>
      </c>
      <c r="Q7" s="105">
        <f>IFERROR(Планирование_новый_год[[#This Row],[NS за год, руб.]]+Планирование_новый_год[[#This Row],[Промо NS за год, руб.]],"")</f>
        <v>0</v>
      </c>
      <c r="R7" s="92"/>
      <c r="S7" s="92"/>
      <c r="T7" s="92"/>
      <c r="U7" s="92"/>
      <c r="V7" s="93"/>
      <c r="W7" s="92"/>
      <c r="X7" s="92"/>
      <c r="Y7" s="92"/>
      <c r="Z7" s="92"/>
      <c r="AA7" s="92"/>
      <c r="AB7" s="92"/>
      <c r="AC7" s="92"/>
      <c r="AD7" s="92"/>
      <c r="AE7" s="92"/>
      <c r="AF7" s="92"/>
      <c r="AG7" s="92"/>
      <c r="AH7" s="94"/>
      <c r="AI7" s="105">
        <f>IFERROR(Планирование_новый_год[[#This Row],[GS за год, руб.]],"")</f>
        <v>0</v>
      </c>
      <c r="AJ7" s="105">
        <f>IFERROR(Планирование_новый_год[[#This Row],[GS январь, руб.]],"")</f>
        <v>0</v>
      </c>
      <c r="AK7" s="105">
        <f>IFERROR(Планирование_новый_год[[#This Row],[GS февраль, руб.]],"")</f>
        <v>0</v>
      </c>
      <c r="AL7" s="105">
        <f>IFERROR(Планирование_новый_год[[#This Row],[GS март, руб.]],"")</f>
        <v>0</v>
      </c>
      <c r="AM7" s="105">
        <f>IFERROR(Планирование_новый_год[[#This Row],[GS апрель, руб.]],"")</f>
        <v>0</v>
      </c>
      <c r="AN7" s="105">
        <f>IFERROR(Планирование_новый_год[[#This Row],[GS май, руб.]],"")</f>
        <v>0</v>
      </c>
      <c r="AO7" s="105">
        <f>IFERROR(Планирование_новый_год[[#This Row],[GS июнь, руб.]],"")</f>
        <v>0</v>
      </c>
      <c r="AP7" s="105">
        <f>IFERROR(Планирование_новый_год[[#This Row],[GS июль, руб.]],"")</f>
        <v>0</v>
      </c>
      <c r="AQ7" s="105">
        <f>IFERROR(Планирование_новый_год[[#This Row],[GS август, руб.]],"")</f>
        <v>0</v>
      </c>
      <c r="AR7" s="105">
        <f>IFERROR(Планирование_новый_год[[#This Row],[GS сентябрь, руб.]],"")</f>
        <v>0</v>
      </c>
      <c r="AS7" s="105">
        <f>IFERROR(Планирование_новый_год[[#This Row],[GS октябрь, руб.]],"")</f>
        <v>0</v>
      </c>
      <c r="AT7" s="105">
        <f>IFERROR(Планирование_новый_год[[#This Row],[GS ноябрь, руб.]],"")</f>
        <v>0</v>
      </c>
      <c r="AU7" s="105">
        <f>IFERROR(Планирование_новый_год[[#This Row],[GS декабрь, руб.]],"")</f>
        <v>0</v>
      </c>
      <c r="AV7" s="99">
        <f>IFERROR(Планирование_новый_год[[#This Row],[NS за год, руб.]],"")</f>
        <v>0</v>
      </c>
      <c r="AW7" s="106">
        <f>IFERROR(Планирование_новый_год[[#This Row],[NS январь, руб.]],"")</f>
        <v>0</v>
      </c>
      <c r="AX7" s="106">
        <f>IFERROR(Планирование_новый_год[[#This Row],[NS февраль, руб.]],"")</f>
        <v>0</v>
      </c>
      <c r="AY7" s="106">
        <f>IFERROR(Планирование_новый_год[[#This Row],[NS март, руб.]],"")</f>
        <v>0</v>
      </c>
      <c r="AZ7" s="106">
        <f>IFERROR(Планирование_новый_год[[#This Row],[NS апрель, руб.]],"")</f>
        <v>0</v>
      </c>
      <c r="BA7" s="106">
        <f>IFERROR(Планирование_новый_год[[#This Row],[NS май, руб.]],"")</f>
        <v>0</v>
      </c>
      <c r="BB7" s="106">
        <f>IFERROR(Планирование_новый_год[[#This Row],[NS июнь, руб.]],"")</f>
        <v>0</v>
      </c>
      <c r="BC7" s="106">
        <f>IFERROR(Планирование_новый_год[[#This Row],[NS июль, руб.]],"")</f>
        <v>0</v>
      </c>
      <c r="BD7" s="106">
        <f>IFERROR(Планирование_новый_год[[#This Row],[NS август, руб.]],"")</f>
        <v>0</v>
      </c>
      <c r="BE7" s="106">
        <f>IFERROR(Планирование_новый_год[[#This Row],[NS сентябрь, руб.]],"")</f>
        <v>0</v>
      </c>
      <c r="BF7" s="106">
        <f>IFERROR(Планирование_новый_год[[#This Row],[NS октябрь, руб.]],"")</f>
        <v>0</v>
      </c>
      <c r="BG7" s="106">
        <f>IFERROR(Планирование_новый_год[[#This Row],[NS ноябрь, руб.]],"")</f>
        <v>0</v>
      </c>
      <c r="BH7" s="107">
        <f>IFERROR(Планирование_новый_год[[#This Row],[NS декабрь, шт.]],"")</f>
        <v>0</v>
      </c>
      <c r="BI7" s="106">
        <f>IFERROR(Планирование_новый_год[[#This Row],[ИТОГО Прогноз за год, шт. ]]*Планирование_новый_год[[#This Row],[STK 2.5, руб.]],"")</f>
        <v>0</v>
      </c>
      <c r="BJ7" s="106">
        <f>IFERROR(Планирование_новый_год[[#This Row],[ИТОГО Прогноз январь, шт.]]*Планирование_новый_год[[#This Row],[STK 2.5, руб.]],"")</f>
        <v>0</v>
      </c>
      <c r="BK7" s="106">
        <f>IFERROR(Планирование_новый_год[[#This Row],[ИТОГО Прогноз февраль, шт.]]*Планирование_новый_год[[#This Row],[STK 2.5, руб.]],"")</f>
        <v>0</v>
      </c>
      <c r="BL7" s="106">
        <f>IFERROR(Планирование_новый_год[[#This Row],[ИТОГО Прогноз март, шт.]]*Планирование_новый_год[[#This Row],[STK 2.5, руб.]],"")</f>
        <v>0</v>
      </c>
      <c r="BM7" s="106">
        <f>IFERROR(Планирование_новый_год[[#This Row],[ИТОГО Прогноз апрель, шт.]]*Планирование_новый_год[[#This Row],[STK 2.5, руб.]],"")</f>
        <v>0</v>
      </c>
      <c r="BN7" s="106">
        <f>IFERROR(Планирование_новый_год[[#This Row],[ИТОГО Прогноз май, шт.]]*Планирование_новый_год[[#This Row],[STK 2.5, руб.]],"")</f>
        <v>0</v>
      </c>
      <c r="BO7" s="106">
        <f>IFERROR(Планирование_новый_год[[#This Row],[ИТОГО Прогноз июнь, шт.]]*Планирование_новый_год[[#This Row],[STK 2.5, руб.]],"")</f>
        <v>0</v>
      </c>
      <c r="BP7" s="106">
        <f>IFERROR(Планирование_новый_год[[#This Row],[ИТОГО Прогноз июль, шт.]]*Планирование_новый_год[[#This Row],[STK 2.5, руб.]],"")</f>
        <v>0</v>
      </c>
      <c r="BQ7" s="106">
        <f>IFERROR(Планирование_новый_год[[#This Row],[ИТОГО Прогноз август, шт.]]*Планирование_новый_год[[#This Row],[STK 2.5, руб.]],"")</f>
        <v>0</v>
      </c>
      <c r="BR7" s="106">
        <f>IFERROR(Планирование_новый_год[[#This Row],[ИТОГО Прогноз сентябрь, шт.]]*Планирование_новый_год[[#This Row],[STK 2.5, руб.]],"")</f>
        <v>0</v>
      </c>
      <c r="BS7" s="106">
        <f>IFERROR(Планирование_новый_год[[#This Row],[ИТОГО Прогноз октябрь, шт.]]*Планирование_новый_год[[#This Row],[STK 2.5, руб.]],"")</f>
        <v>0</v>
      </c>
      <c r="BT7" s="106">
        <f>IFERROR(Планирование_новый_год[[#This Row],[ИТОГО Прогноз ноябрь, шт.]]*Планирование_новый_год[[#This Row],[STK 2.5, руб.]],"")</f>
        <v>0</v>
      </c>
      <c r="BU7" s="106">
        <f>IFERROR(Планирование_новый_год[[#This Row],[ИТОГО Прогноз декабрь, шт.]]*Планирование_новый_год[[#This Row],[STK 2.5, руб.]],"")</f>
        <v>0</v>
      </c>
      <c r="BV7" s="99" t="str">
        <f>IFERROR(Планирование_новый_год[[#This Row],[GP, %]]/Планирование_новый_год[[#This Row],[ИТОГО NS за год, руб.]],"")</f>
        <v/>
      </c>
      <c r="BW7" s="106" t="str">
        <f>IFERROR(Планирование_новый_год[[#This Row],[GP, %]]/Планирование_новый_год[[#This Row],[ИТОГО NS январь, шт.]],"")</f>
        <v/>
      </c>
      <c r="BX7" s="106" t="str">
        <f>IFERROR(Планирование_новый_год[[#This Row],[GP, %]]/Планирование_новый_год[[#This Row],[ИТОГО NS февраль, шт.]],"")</f>
        <v/>
      </c>
      <c r="BY7" s="106" t="str">
        <f>IFERROR(Планирование_новый_год[[#This Row],[GP, %]]/Планирование_новый_год[[#This Row],[ИТОГО NS март, шт.]],"")</f>
        <v/>
      </c>
      <c r="BZ7" s="106" t="str">
        <f>IFERROR(Планирование_новый_год[[#This Row],[GP, %]]/Планирование_новый_год[[#This Row],[ИТОГО NS апрель, шт.]],"")</f>
        <v/>
      </c>
      <c r="CA7" s="106" t="str">
        <f>IFERROR(Планирование_новый_год[[#This Row],[GP, %]]/Планирование_новый_год[[#This Row],[ИТОГО NS май, шт.]],"")</f>
        <v/>
      </c>
      <c r="CB7" s="106" t="str">
        <f>IFERROR(Планирование_новый_год[[#This Row],[GP, %]]/Планирование_новый_год[[#This Row],[ИТОГО NS июнь, шт.]],"")</f>
        <v/>
      </c>
      <c r="CC7" s="106" t="str">
        <f>IFERROR(Планирование_новый_год[[#This Row],[GP, %]]/Планирование_новый_год[[#This Row],[ИТОГО NS июль, шт.]],"")</f>
        <v/>
      </c>
      <c r="CD7" s="106" t="str">
        <f>IFERROR(Планирование_новый_год[[#This Row],[GP, %]]/Планирование_новый_год[[#This Row],[ИТОГО NS август, шт.]],"")</f>
        <v/>
      </c>
      <c r="CE7" s="106" t="str">
        <f>IFERROR(Планирование_новый_год[[#This Row],[GP, %]]/Планирование_новый_год[[#This Row],[ИТОГО NS сентябрь, шт.]],"")</f>
        <v/>
      </c>
      <c r="CF7" s="106" t="str">
        <f>IFERROR(Планирование_новый_год[[#This Row],[GP, %]]/Планирование_новый_год[[#This Row],[ИТОГО NS октябрь, шт.]],"")</f>
        <v/>
      </c>
      <c r="CG7" s="106" t="str">
        <f>IFERROR(Планирование_новый_год[[#This Row],[GP, %]]/Планирование_новый_год[[#This Row],[ИТОГО NS ноябрь, шт.]],"")</f>
        <v/>
      </c>
      <c r="CH7" s="107" t="str">
        <f>IFERROR(Планирование_новый_год[[#This Row],[GP, %]]/Планирование_новый_год[[#This Row],[ИТОГО NS декабрь, шт.]],"")</f>
        <v/>
      </c>
      <c r="CI7" s="106" t="str">
        <f>IFERROR(1-Планирование_новый_год[[#This Row],[LC, руб.]]/Планирование_новый_год[[#This Row],[ИТОГО NS за год, руб.]],"")</f>
        <v/>
      </c>
      <c r="CJ7" s="106" t="str">
        <f>IFERROR(1-Планирование_новый_год[[#This Row],[LC, руб.]]/Планирование_новый_год[[#This Row],[ИТОГО NS январь, шт.]],"")</f>
        <v/>
      </c>
      <c r="CK7" s="106" t="str">
        <f>IFERROR(1-Планирование_новый_год[[#This Row],[LC, руб.]]/Планирование_новый_год[[#This Row],[ИТОГО NS февраль, шт.]],"")</f>
        <v/>
      </c>
      <c r="CL7" s="106" t="str">
        <f>IFERROR(1-Планирование_новый_год[[#This Row],[LC, руб.]]/Планирование_новый_год[[#This Row],[ИТОГО NS март, шт.]],"")</f>
        <v/>
      </c>
      <c r="CM7" s="106" t="str">
        <f>IFERROR(1-Планирование_новый_год[[#This Row],[LC, руб.]]/Планирование_новый_год[[#This Row],[ИТОГО NS апрель, шт.]],"")</f>
        <v/>
      </c>
      <c r="CN7" s="106" t="str">
        <f>IFERROR(1-Планирование_новый_год[[#This Row],[LC, руб.]]/Планирование_новый_год[[#This Row],[ИТОГО NS май, шт.]],"")</f>
        <v/>
      </c>
      <c r="CO7" s="106" t="str">
        <f>IFERROR(1-Планирование_новый_год[[#This Row],[LC, руб.]]/Планирование_новый_год[[#This Row],[ИТОГО NS июнь, шт.]],"")</f>
        <v/>
      </c>
      <c r="CP7" s="106" t="str">
        <f>IFERROR(1-Планирование_новый_год[[#This Row],[LC, руб.]]/Планирование_новый_год[[#This Row],[ИТОГО NS июль, шт.]],"")</f>
        <v/>
      </c>
      <c r="CQ7" s="106" t="str">
        <f>IFERROR(1-Планирование_новый_год[[#This Row],[LC, руб.]]/Планирование_новый_год[[#This Row],[ИТОГО NS август, шт.]],"")</f>
        <v/>
      </c>
      <c r="CR7" s="106" t="str">
        <f>IFERROR(1-Планирование_новый_год[[#This Row],[LC, руб.]]/Планирование_новый_год[[#This Row],[ИТОГО NS сентябрь, шт.]],"")</f>
        <v/>
      </c>
      <c r="CS7" s="106" t="str">
        <f>IFERROR(1-Планирование_новый_год[[#This Row],[LC, руб.]]/Планирование_новый_год[[#This Row],[ИТОГО NS октябрь, шт.]],"")</f>
        <v/>
      </c>
      <c r="CT7" s="106" t="str">
        <f>IFERROR(1-Планирование_новый_год[[#This Row],[LC, руб.]]/Планирование_новый_год[[#This Row],[ИТОГО NS ноябрь, шт.]],"")</f>
        <v/>
      </c>
      <c r="CU7" s="106" t="str">
        <f>IFERROR(1-Планирование_новый_год[[#This Row],[LC, руб.]]/Планирование_новый_год[[#This Row],[ИТОГО NS декабрь, шт.]],"")</f>
        <v/>
      </c>
      <c r="CV7" s="99" t="str">
        <f>IFERROR(Планирование_новый_год[[#This Row],[ИТОГО GS за год, руб.]]/Планирование_новый_год[[#This Row],[ИТОГО Прогноз за год, шт. ]],"")</f>
        <v/>
      </c>
      <c r="CW7" s="99" t="str">
        <f>IFERROR(Планирование_новый_год[[#This Row],[ИТОГО GS январь, шт.]]/Планирование_новый_год[[#This Row],[ИТОГО Прогноз январь, шт.]],"")</f>
        <v/>
      </c>
      <c r="CX7" s="99" t="str">
        <f>IFERROR(Планирование_новый_год[[#This Row],[ИТОГО GS февраль, шт.]]/Планирование_новый_год[[#This Row],[ИТОГО Прогноз февраль, шт.]],"")</f>
        <v/>
      </c>
      <c r="CY7" s="99" t="str">
        <f>IFERROR(Планирование_новый_год[[#This Row],[ИТОГО GS март, шт.]]/Планирование_новый_год[[#This Row],[ИТОГО Прогноз март, шт.]],"")</f>
        <v/>
      </c>
      <c r="CZ7" s="99" t="str">
        <f>IFERROR(Планирование_новый_год[[#This Row],[ИТОГО GS апрель, шт.]]/Планирование_новый_год[[#This Row],[ИТОГО Прогноз апрель, шт.]],"")</f>
        <v/>
      </c>
      <c r="DA7" s="99" t="str">
        <f>IFERROR(Планирование_новый_год[[#This Row],[ИТОГО GS май, шт.]]/Планирование_новый_год[[#This Row],[ИТОГО Прогноз май, шт.]],"")</f>
        <v/>
      </c>
      <c r="DB7" s="99" t="str">
        <f>IFERROR(Планирование_новый_год[[#This Row],[ИТОГО GS июнь, шт.]]/Планирование_новый_год[[#This Row],[ИТОГО Прогноз июнь, шт.]],"")</f>
        <v/>
      </c>
      <c r="DC7" s="99" t="str">
        <f>IFERROR(Планирование_новый_год[[#This Row],[ИТОГО GS июль, шт.]]/Планирование_новый_год[[#This Row],[ИТОГО Прогноз июль, шт.]],"")</f>
        <v/>
      </c>
      <c r="DD7" s="99" t="str">
        <f>IFERROR(Планирование_новый_год[[#This Row],[ИТОГО GS август, шт.]]/Планирование_новый_год[[#This Row],[ИТОГО Прогноз август, шт.]],"")</f>
        <v/>
      </c>
      <c r="DE7" s="99" t="str">
        <f>IFERROR(Планирование_новый_год[[#This Row],[ИТОГО GS сентябрь, шт.]]/Планирование_новый_год[[#This Row],[ИТОГО Прогноз сентябрь, шт.]],"")</f>
        <v/>
      </c>
      <c r="DF7" s="99" t="str">
        <f>IFERROR(Планирование_новый_год[[#This Row],[ИТОГО GS октябрь, шт.]]/Планирование_новый_год[[#This Row],[ИТОГО Прогноз октябрь, шт.]],"")</f>
        <v/>
      </c>
      <c r="DG7" s="99" t="str">
        <f>IFERROR(Планирование_новый_год[[#This Row],[ИТОГО GS ноябрь, шт.]]/Планирование_новый_год[[#This Row],[ИТОГО Прогноз ноябрь, шт.]],"")</f>
        <v/>
      </c>
      <c r="DH7" s="99" t="str">
        <f>IFERROR(Планирование_новый_год[[#This Row],[ИТОГО GS декабрь, шт.2]]/Планирование_новый_год[[#This Row],[ИТОГО Прогноз декабрь, шт.]],"")</f>
        <v/>
      </c>
      <c r="DI7" s="99" t="str">
        <f>IFERROR(Планирование_новый_год[[#This Row],[ИТОГО NS за год, руб.]]/Планирование_новый_год[[#This Row],[ИТОГО Прогноз за год, шт. ]],"")</f>
        <v/>
      </c>
      <c r="DJ7" s="106" t="str">
        <f>IFERROR(Планирование_новый_год[[#This Row],[ИТОГО NS январь, шт.]]/Планирование_новый_год[[#This Row],[ИТОГО Прогноз январь, шт.]],"")</f>
        <v/>
      </c>
      <c r="DK7" s="106" t="str">
        <f>IFERROR(Планирование_новый_год[[#This Row],[ИТОГО NS февраль, шт.]]/Планирование_новый_год[[#This Row],[ИТОГО Прогноз февраль, шт.]],"")</f>
        <v/>
      </c>
      <c r="DL7" s="106" t="str">
        <f>IFERROR(Планирование_новый_год[[#This Row],[ИТОГО NS март, шт.]]/Планирование_новый_год[[#This Row],[ИТОГО Прогноз март, шт.]],"")</f>
        <v/>
      </c>
      <c r="DM7" s="106" t="str">
        <f>IFERROR(Планирование_новый_год[[#This Row],[ИТОГО NS апрель, шт.]]/Планирование_новый_год[[#This Row],[ИТОГО Прогноз апрель, шт.]],"")</f>
        <v/>
      </c>
      <c r="DN7" s="106" t="str">
        <f>IFERROR(Планирование_новый_год[[#This Row],[ИТОГО NS май, шт.]]/Планирование_новый_год[[#This Row],[ИТОГО Прогноз май, шт.]],"")</f>
        <v/>
      </c>
      <c r="DO7" s="106" t="str">
        <f>IFERROR(Планирование_новый_год[[#This Row],[ИТОГО NS июнь, шт.]]/Планирование_новый_год[[#This Row],[ИТОГО Прогноз июнь, шт.]],"")</f>
        <v/>
      </c>
      <c r="DP7" s="106" t="str">
        <f>IFERROR(Планирование_новый_год[[#This Row],[ИТОГО NS июль, шт.]]/Планирование_новый_год[[#This Row],[ИТОГО Прогноз июль, шт.]],"")</f>
        <v/>
      </c>
      <c r="DQ7" s="106" t="str">
        <f>IFERROR(Планирование_новый_год[[#This Row],[ИТОГО NS август, шт.]]/Планирование_новый_год[[#This Row],[ИТОГО Прогноз август, шт.]],"")</f>
        <v/>
      </c>
      <c r="DR7" s="106" t="str">
        <f>IFERROR(Планирование_новый_год[[#This Row],[ИТОГО NS сентябрь, шт.]]/Планирование_новый_год[[#This Row],[ИТОГО Прогноз сентябрь, шт.]],"")</f>
        <v/>
      </c>
      <c r="DS7" s="106" t="str">
        <f>IFERROR(Планирование_новый_год[[#This Row],[ИТОГО NS октябрь, шт.]]/Планирование_новый_год[[#This Row],[ИТОГО Прогноз октябрь, шт.]],"")</f>
        <v/>
      </c>
      <c r="DT7" s="106" t="str">
        <f>IFERROR(Планирование_новый_год[[#This Row],[ИТОГО NS ноябрь, шт.]]/Планирование_новый_год[[#This Row],[ИТОГО Прогноз ноябрь, шт.]],"")</f>
        <v/>
      </c>
      <c r="DU7" s="107" t="str">
        <f>IFERROR(Планирование_новый_год[[#This Row],[ИТОГО NS декабрь, шт.]]/Планирование_новый_год[[#This Row],[ИТОГО Прогноз декабрь, шт.]],"")</f>
        <v/>
      </c>
      <c r="DV7" s="92" t="str">
        <f>IFERROR(INDEX(РРЦ[DIY price list, руб. без НДС],MATCH(Планирование_новый_год[[#This Row],[Артикул]],РРЦ[Артикул],0)),"")</f>
        <v/>
      </c>
      <c r="DW7" s="92"/>
      <c r="DX7" s="105">
        <f>IFERROR(SUM(Планирование_новый_год[[#This Row],[Прогноз январь, шт.]:[Прогноз декабрь, шт.]]),"")</f>
        <v>0</v>
      </c>
      <c r="DY7" s="92"/>
      <c r="DZ7" s="92"/>
      <c r="EA7" s="92"/>
      <c r="EB7" s="92"/>
      <c r="EC7" s="92"/>
      <c r="ED7" s="92"/>
      <c r="EE7" s="92"/>
      <c r="EF7" s="92"/>
      <c r="EG7" s="92"/>
      <c r="EH7" s="92"/>
      <c r="EI7" s="92"/>
      <c r="EJ7" s="92"/>
      <c r="EK7" s="92">
        <v>100</v>
      </c>
      <c r="EL7" s="92"/>
      <c r="EM7" s="92"/>
      <c r="EN7" s="105">
        <f>IFERROR(SUM(Планирование_новый_год[[#This Row],[Прогноз январь, шт.2]:[Прогноз декабрь, шт.2]]),"")</f>
        <v>0</v>
      </c>
      <c r="EO7" s="92"/>
      <c r="EP7" s="92"/>
      <c r="EQ7" s="92"/>
      <c r="ER7" s="92"/>
      <c r="ES7" s="92"/>
      <c r="ET7" s="92"/>
      <c r="EU7" s="92"/>
      <c r="EV7" s="92"/>
      <c r="EW7" s="92"/>
      <c r="EX7" s="92"/>
      <c r="EY7" s="92"/>
      <c r="EZ7" s="94"/>
      <c r="FA7" s="105">
        <f>IFERROR(SUM(Планирование_новый_год[[#This Row],[GS январь, руб.]:[GS декабрь, руб.]]),"")</f>
        <v>0</v>
      </c>
      <c r="FB7" s="105"/>
      <c r="FC7" s="105"/>
      <c r="FD7" s="105"/>
      <c r="FE7" s="105"/>
      <c r="FF7" s="105"/>
      <c r="FG7" s="105"/>
      <c r="FH7" s="105"/>
      <c r="FI7" s="105"/>
      <c r="FJ7" s="105"/>
      <c r="FK7" s="105"/>
      <c r="FL7" s="105"/>
      <c r="FM7" s="105"/>
      <c r="FN7" s="99">
        <f>IFERROR(SUM(Планирование_новый_год[[#This Row],[NS январь, руб.]:[NS декабрь, шт.]]),"")</f>
        <v>0</v>
      </c>
      <c r="FO7" s="105"/>
      <c r="FP7" s="105"/>
      <c r="FQ7" s="105"/>
      <c r="FR7" s="105"/>
      <c r="FS7" s="105"/>
      <c r="FT7" s="105"/>
      <c r="FU7" s="105"/>
      <c r="FV7" s="105"/>
      <c r="FW7" s="105"/>
      <c r="FX7" s="105"/>
      <c r="FY7" s="105"/>
      <c r="FZ7" s="105"/>
      <c r="GA7" s="99">
        <f>IFERROR(Планирование_новый_год[[#This Row],[DIY price list, руб. без НДС]]*Планирование_новый_год[[#This Row],[скидка от Price list цены, %]],"")</f>
        <v>0</v>
      </c>
      <c r="GB7" s="94"/>
      <c r="GC7" s="105">
        <f>IFERROR(SUM(Планирование_новый_год[[#This Row],[Промо прогноз январь, шт.]:[Промо прогноз декабрь, шт.]]),"")</f>
        <v>0</v>
      </c>
      <c r="GD7" s="92"/>
      <c r="GE7" s="92"/>
      <c r="GF7" s="92"/>
      <c r="GG7" s="92"/>
      <c r="GH7" s="92"/>
      <c r="GI7" s="92"/>
      <c r="GJ7" s="92"/>
      <c r="GK7" s="92"/>
      <c r="GL7" s="92"/>
      <c r="GM7" s="92"/>
      <c r="GN7" s="92"/>
      <c r="GO7" s="94"/>
      <c r="GP7" s="105">
        <f>IFERROR(SUM(Планирование_новый_год[[#This Row],[Промо GS январь, руб.]:[Промо GS декабрь, руб.]]),"")</f>
        <v>0</v>
      </c>
      <c r="GQ7" s="105"/>
      <c r="GR7" s="105"/>
      <c r="GS7" s="105"/>
      <c r="GT7" s="105"/>
      <c r="GU7" s="105"/>
      <c r="GV7" s="105"/>
      <c r="GW7" s="105"/>
      <c r="GX7" s="105"/>
      <c r="GY7" s="105"/>
      <c r="GZ7" s="105"/>
      <c r="HA7" s="105"/>
      <c r="HB7" s="105"/>
      <c r="HC7" s="99">
        <f>IFERROR(SUM(Планирование_новый_год[[#This Row],[Промо NS январь, руб.]:[Промо NS декабрь, руб.]]),"")</f>
        <v>0</v>
      </c>
      <c r="HD7" s="105"/>
      <c r="HE7" s="105"/>
      <c r="HF7" s="105"/>
      <c r="HG7" s="105"/>
      <c r="HH7" s="105"/>
      <c r="HI7" s="105"/>
      <c r="HJ7" s="105"/>
      <c r="HK7" s="105"/>
      <c r="HL7" s="105"/>
      <c r="HM7" s="105"/>
      <c r="HN7" s="105"/>
      <c r="HO7" s="105"/>
    </row>
  </sheetData>
  <dataValidations count="2">
    <dataValidation type="list" allowBlank="1" showInputMessage="1" showErrorMessage="1" sqref="B1" xr:uid="{C798E47C-C382-46C0-BF52-D84B275DF908}">
      <formula1>INDIRECT("ChannelTypes[Channel type]")</formula1>
    </dataValidation>
    <dataValidation type="list" allowBlank="1" showInputMessage="1" showErrorMessage="1" sqref="B3" xr:uid="{D9495272-F764-4C20-9670-ECF0401052F7}">
      <formula1>INDIRECT("CustomerStatuses[Customer status]")</formula1>
    </dataValidation>
  </dataValidations>
  <pageMargins left="0.7" right="0.7" top="0.75" bottom="0.75" header="0.3" footer="0.3"/>
  <pageSetup paperSize="9" orientation="portrait" horizontalDpi="360" verticalDpi="36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B73ED7-CE48-4D6E-872B-36918CFD2F99}">
  <sheetPr codeName="Лист19"/>
  <dimension ref="A1:B3"/>
  <sheetViews>
    <sheetView workbookViewId="0">
      <selection sqref="A1:B3"/>
    </sheetView>
  </sheetViews>
  <sheetFormatPr defaultRowHeight="15" x14ac:dyDescent="0.25"/>
  <cols>
    <col min="1" max="1" width="8.140625" customWidth="1"/>
    <col min="2" max="2" width="15.42578125" customWidth="1"/>
  </cols>
  <sheetData>
    <row r="1" spans="1:2" x14ac:dyDescent="0.25">
      <c r="A1" t="s">
        <v>0</v>
      </c>
      <c r="B1" t="s">
        <v>1216</v>
      </c>
    </row>
    <row r="2" spans="1:2" x14ac:dyDescent="0.25">
      <c r="A2">
        <v>1</v>
      </c>
      <c r="B2" t="s">
        <v>33</v>
      </c>
    </row>
    <row r="3" spans="1:2" x14ac:dyDescent="0.25">
      <c r="A3">
        <v>2</v>
      </c>
      <c r="B3" t="s">
        <v>34</v>
      </c>
    </row>
  </sheetData>
  <pageMargins left="0.7" right="0.7" top="0.75" bottom="0.75" header="0.3" footer="0.3"/>
  <pageSetup paperSize="9" orientation="portrait" horizontalDpi="360" verticalDpi="36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A8E7E6-1CBC-45F2-B64B-03ACBB202E28}">
  <sheetPr codeName="Лист15"/>
  <dimension ref="A1:B4"/>
  <sheetViews>
    <sheetView workbookViewId="0">
      <selection activeCell="B3" sqref="B3"/>
    </sheetView>
  </sheetViews>
  <sheetFormatPr defaultRowHeight="15" x14ac:dyDescent="0.25"/>
  <cols>
    <col min="1" max="1" width="11.85546875" customWidth="1"/>
    <col min="2" max="2" width="24.85546875" bestFit="1" customWidth="1"/>
  </cols>
  <sheetData>
    <row r="1" spans="1:2" x14ac:dyDescent="0.25">
      <c r="A1" t="s">
        <v>0</v>
      </c>
      <c r="B1" t="s">
        <v>39</v>
      </c>
    </row>
    <row r="2" spans="1:2" x14ac:dyDescent="0.25">
      <c r="A2">
        <v>1</v>
      </c>
      <c r="B2" t="s">
        <v>246</v>
      </c>
    </row>
    <row r="3" spans="1:2" x14ac:dyDescent="0.25">
      <c r="A3">
        <v>2</v>
      </c>
      <c r="B3" t="s">
        <v>257</v>
      </c>
    </row>
    <row r="4" spans="1:2" x14ac:dyDescent="0.25">
      <c r="A4">
        <v>3</v>
      </c>
      <c r="B4" t="s">
        <v>426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F88554-C5A4-47F2-B78D-DD439ED4F5AB}">
  <dimension ref="A1:B6"/>
  <sheetViews>
    <sheetView workbookViewId="0">
      <selection activeCell="B2" sqref="B2"/>
    </sheetView>
  </sheetViews>
  <sheetFormatPr defaultRowHeight="15" x14ac:dyDescent="0.25"/>
  <cols>
    <col min="2" max="2" width="28.7109375" bestFit="1" customWidth="1"/>
  </cols>
  <sheetData>
    <row r="1" spans="1:2" x14ac:dyDescent="0.25">
      <c r="A1" t="s">
        <v>0</v>
      </c>
      <c r="B1" t="s">
        <v>8</v>
      </c>
    </row>
    <row r="2" spans="1:2" x14ac:dyDescent="0.25">
      <c r="A2">
        <v>1</v>
      </c>
      <c r="B2" t="s">
        <v>8099</v>
      </c>
    </row>
    <row r="3" spans="1:2" x14ac:dyDescent="0.25">
      <c r="A3">
        <v>2</v>
      </c>
      <c r="B3" t="s">
        <v>8100</v>
      </c>
    </row>
    <row r="4" spans="1:2" x14ac:dyDescent="0.25">
      <c r="A4">
        <v>3</v>
      </c>
      <c r="B4" t="s">
        <v>8096</v>
      </c>
    </row>
    <row r="5" spans="1:2" x14ac:dyDescent="0.25">
      <c r="A5">
        <v>4</v>
      </c>
      <c r="B5" t="s">
        <v>8097</v>
      </c>
    </row>
    <row r="6" spans="1:2" x14ac:dyDescent="0.25">
      <c r="A6">
        <v>5</v>
      </c>
      <c r="B6" t="s">
        <v>8098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46CAD2-6960-42E7-B743-B82D029FABFE}">
  <sheetPr codeName="Лист16"/>
  <dimension ref="A1:B19"/>
  <sheetViews>
    <sheetView workbookViewId="0">
      <selection activeCell="M32" sqref="M32"/>
    </sheetView>
  </sheetViews>
  <sheetFormatPr defaultRowHeight="15" x14ac:dyDescent="0.25"/>
  <cols>
    <col min="1" max="1" width="5.5703125" bestFit="1" customWidth="1"/>
    <col min="2" max="2" width="21.42578125" bestFit="1" customWidth="1"/>
  </cols>
  <sheetData>
    <row r="1" spans="1:2" x14ac:dyDescent="0.25">
      <c r="A1" t="s">
        <v>0</v>
      </c>
      <c r="B1" t="s">
        <v>40</v>
      </c>
    </row>
    <row r="2" spans="1:2" x14ac:dyDescent="0.25">
      <c r="A2">
        <v>1</v>
      </c>
      <c r="B2" t="s">
        <v>33</v>
      </c>
    </row>
    <row r="3" spans="1:2" x14ac:dyDescent="0.25">
      <c r="A3">
        <v>2</v>
      </c>
      <c r="B3" t="s">
        <v>250</v>
      </c>
    </row>
    <row r="4" spans="1:2" x14ac:dyDescent="0.25">
      <c r="A4">
        <v>3</v>
      </c>
      <c r="B4" t="s">
        <v>253</v>
      </c>
    </row>
    <row r="5" spans="1:2" x14ac:dyDescent="0.25">
      <c r="A5">
        <v>4</v>
      </c>
      <c r="B5" t="s">
        <v>258</v>
      </c>
    </row>
    <row r="6" spans="1:2" x14ac:dyDescent="0.25">
      <c r="A6">
        <v>5</v>
      </c>
      <c r="B6" t="s">
        <v>271</v>
      </c>
    </row>
    <row r="7" spans="1:2" x14ac:dyDescent="0.25">
      <c r="A7">
        <v>6</v>
      </c>
      <c r="B7" t="s">
        <v>295</v>
      </c>
    </row>
    <row r="8" spans="1:2" x14ac:dyDescent="0.25">
      <c r="A8">
        <v>7</v>
      </c>
      <c r="B8" t="s">
        <v>314</v>
      </c>
    </row>
    <row r="9" spans="1:2" x14ac:dyDescent="0.25">
      <c r="A9">
        <v>8</v>
      </c>
      <c r="B9" t="s">
        <v>317</v>
      </c>
    </row>
    <row r="10" spans="1:2" x14ac:dyDescent="0.25">
      <c r="A10">
        <v>9</v>
      </c>
      <c r="B10" t="s">
        <v>321</v>
      </c>
    </row>
    <row r="11" spans="1:2" x14ac:dyDescent="0.25">
      <c r="A11">
        <v>10</v>
      </c>
      <c r="B11" t="s">
        <v>328</v>
      </c>
    </row>
    <row r="12" spans="1:2" x14ac:dyDescent="0.25">
      <c r="A12">
        <v>11</v>
      </c>
      <c r="B12" t="s">
        <v>34</v>
      </c>
    </row>
    <row r="13" spans="1:2" x14ac:dyDescent="0.25">
      <c r="A13">
        <v>12</v>
      </c>
      <c r="B13" t="s">
        <v>338</v>
      </c>
    </row>
    <row r="14" spans="1:2" x14ac:dyDescent="0.25">
      <c r="A14">
        <v>13</v>
      </c>
      <c r="B14" t="s">
        <v>414</v>
      </c>
    </row>
    <row r="15" spans="1:2" x14ac:dyDescent="0.25">
      <c r="A15">
        <v>14</v>
      </c>
      <c r="B15" t="s">
        <v>422</v>
      </c>
    </row>
    <row r="16" spans="1:2" x14ac:dyDescent="0.25">
      <c r="A16">
        <v>15</v>
      </c>
      <c r="B16" t="s">
        <v>426</v>
      </c>
    </row>
    <row r="17" spans="1:2" x14ac:dyDescent="0.25">
      <c r="A17">
        <v>16</v>
      </c>
      <c r="B17" t="s">
        <v>432</v>
      </c>
    </row>
    <row r="18" spans="1:2" x14ac:dyDescent="0.25">
      <c r="A18">
        <v>17</v>
      </c>
      <c r="B18" t="s">
        <v>436</v>
      </c>
    </row>
    <row r="19" spans="1:2" x14ac:dyDescent="0.25">
      <c r="A19">
        <v>18</v>
      </c>
      <c r="B19" t="s">
        <v>445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J24"/>
  <sheetViews>
    <sheetView workbookViewId="0">
      <selection activeCell="B41" sqref="B41"/>
    </sheetView>
  </sheetViews>
  <sheetFormatPr defaultRowHeight="15" x14ac:dyDescent="0.25"/>
  <cols>
    <col min="1" max="1" width="6.7109375" style="7" customWidth="1"/>
    <col min="2" max="2" width="65.42578125" style="8" customWidth="1"/>
    <col min="3" max="3" width="161.7109375" style="8" bestFit="1" customWidth="1"/>
    <col min="4" max="16384" width="9.140625" style="9"/>
  </cols>
  <sheetData>
    <row r="1" spans="1:3" x14ac:dyDescent="0.25">
      <c r="A1" s="7" t="s">
        <v>0</v>
      </c>
      <c r="B1" s="8" t="s">
        <v>23</v>
      </c>
      <c r="C1" s="8" t="s">
        <v>24</v>
      </c>
    </row>
    <row r="2" spans="1:3" x14ac:dyDescent="0.25">
      <c r="A2" s="7">
        <v>1</v>
      </c>
      <c r="B2" s="8" t="s">
        <v>3539</v>
      </c>
      <c r="C2" s="111" t="s">
        <v>8085</v>
      </c>
    </row>
    <row r="3" spans="1:3" x14ac:dyDescent="0.25">
      <c r="A3" s="7">
        <v>2</v>
      </c>
      <c r="B3" s="8" t="s">
        <v>4564</v>
      </c>
      <c r="C3" s="111" t="s">
        <v>8086</v>
      </c>
    </row>
    <row r="4" spans="1:3" x14ac:dyDescent="0.25">
      <c r="A4" s="7">
        <v>3</v>
      </c>
      <c r="B4" s="8" t="s">
        <v>4565</v>
      </c>
      <c r="C4" s="111" t="s">
        <v>8087</v>
      </c>
    </row>
    <row r="5" spans="1:3" x14ac:dyDescent="0.25">
      <c r="A5" s="7">
        <v>4</v>
      </c>
      <c r="B5" s="8" t="s">
        <v>3544</v>
      </c>
      <c r="C5" s="111" t="s">
        <v>8088</v>
      </c>
    </row>
    <row r="6" spans="1:3" x14ac:dyDescent="0.25">
      <c r="A6" s="7">
        <v>5</v>
      </c>
      <c r="B6" s="8" t="s">
        <v>3713</v>
      </c>
      <c r="C6" s="111" t="s">
        <v>8089</v>
      </c>
    </row>
    <row r="7" spans="1:3" x14ac:dyDescent="0.25">
      <c r="A7" s="7">
        <v>6</v>
      </c>
      <c r="B7" s="8" t="s">
        <v>8090</v>
      </c>
      <c r="C7" s="111" t="s">
        <v>8091</v>
      </c>
    </row>
    <row r="8" spans="1:3" x14ac:dyDescent="0.25">
      <c r="A8" s="7">
        <v>7</v>
      </c>
      <c r="B8" s="8" t="s">
        <v>3549</v>
      </c>
      <c r="C8" s="111" t="s">
        <v>8092</v>
      </c>
    </row>
    <row r="9" spans="1:3" x14ac:dyDescent="0.25">
      <c r="A9" s="7">
        <v>8</v>
      </c>
      <c r="B9" s="8" t="s">
        <v>3539</v>
      </c>
      <c r="C9" s="111" t="s">
        <v>8085</v>
      </c>
    </row>
    <row r="10" spans="1:3" x14ac:dyDescent="0.25">
      <c r="A10" s="7">
        <v>9</v>
      </c>
      <c r="B10" s="8" t="s">
        <v>4564</v>
      </c>
      <c r="C10" s="111" t="s">
        <v>8086</v>
      </c>
    </row>
    <row r="11" spans="1:3" x14ac:dyDescent="0.25">
      <c r="A11" s="7">
        <v>10</v>
      </c>
      <c r="B11" s="8" t="s">
        <v>4565</v>
      </c>
      <c r="C11" s="111" t="s">
        <v>8087</v>
      </c>
    </row>
    <row r="12" spans="1:3" x14ac:dyDescent="0.25">
      <c r="A12" s="7">
        <v>11</v>
      </c>
      <c r="B12" s="8" t="s">
        <v>3544</v>
      </c>
      <c r="C12" s="111" t="s">
        <v>8088</v>
      </c>
    </row>
    <row r="13" spans="1:3" x14ac:dyDescent="0.25">
      <c r="A13" s="7">
        <v>12</v>
      </c>
      <c r="B13" s="8" t="s">
        <v>3713</v>
      </c>
      <c r="C13" s="111" t="s">
        <v>8089</v>
      </c>
    </row>
    <row r="14" spans="1:3" x14ac:dyDescent="0.25">
      <c r="A14" s="7">
        <v>13</v>
      </c>
      <c r="B14" s="8" t="s">
        <v>3652</v>
      </c>
      <c r="C14" s="111" t="s">
        <v>8093</v>
      </c>
    </row>
    <row r="15" spans="1:3" x14ac:dyDescent="0.25">
      <c r="A15" s="7">
        <v>14</v>
      </c>
      <c r="B15" s="8" t="s">
        <v>3549</v>
      </c>
      <c r="C15" s="111" t="s">
        <v>8092</v>
      </c>
    </row>
    <row r="24" spans="10:10" x14ac:dyDescent="0.25">
      <c r="J24" s="8"/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/>
  <dimension ref="A1:B7"/>
  <sheetViews>
    <sheetView workbookViewId="0">
      <selection activeCell="B3" sqref="B3"/>
    </sheetView>
  </sheetViews>
  <sheetFormatPr defaultRowHeight="15" x14ac:dyDescent="0.25"/>
  <cols>
    <col min="1" max="1" width="7.28515625" style="7" customWidth="1"/>
    <col min="2" max="2" width="45.7109375" style="4" customWidth="1"/>
  </cols>
  <sheetData>
    <row r="1" spans="1:2" s="1" customFormat="1" x14ac:dyDescent="0.25">
      <c r="A1" s="7" t="s">
        <v>0</v>
      </c>
      <c r="B1" s="3" t="s">
        <v>8</v>
      </c>
    </row>
    <row r="2" spans="1:2" x14ac:dyDescent="0.25">
      <c r="A2" s="7">
        <v>1</v>
      </c>
      <c r="B2" s="4" t="s">
        <v>9</v>
      </c>
    </row>
    <row r="3" spans="1:2" x14ac:dyDescent="0.25">
      <c r="A3" s="7">
        <v>2</v>
      </c>
      <c r="B3" s="4" t="s">
        <v>8094</v>
      </c>
    </row>
    <row r="4" spans="1:2" x14ac:dyDescent="0.25">
      <c r="A4" s="7">
        <v>3</v>
      </c>
      <c r="B4" s="4" t="s">
        <v>233</v>
      </c>
    </row>
    <row r="5" spans="1:2" x14ac:dyDescent="0.25">
      <c r="A5" s="7">
        <v>4</v>
      </c>
      <c r="B5" s="4" t="s">
        <v>10</v>
      </c>
    </row>
    <row r="6" spans="1:2" x14ac:dyDescent="0.25">
      <c r="A6" s="7">
        <v>5</v>
      </c>
      <c r="B6" s="4" t="s">
        <v>11</v>
      </c>
    </row>
    <row r="7" spans="1:2" x14ac:dyDescent="0.25">
      <c r="A7" s="7">
        <v>6</v>
      </c>
      <c r="B7" s="4" t="s">
        <v>8095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E9"/>
  <sheetViews>
    <sheetView workbookViewId="0">
      <selection activeCell="F7" sqref="F7"/>
    </sheetView>
  </sheetViews>
  <sheetFormatPr defaultRowHeight="15" x14ac:dyDescent="0.25"/>
  <cols>
    <col min="1" max="1" width="5.42578125" style="9" customWidth="1"/>
    <col min="2" max="2" width="12" style="9" customWidth="1"/>
    <col min="3" max="3" width="15.7109375" style="6" customWidth="1"/>
    <col min="4" max="4" width="15.5703125" style="6" customWidth="1"/>
    <col min="5" max="5" width="19.42578125" style="13" customWidth="1"/>
  </cols>
  <sheetData>
    <row r="1" spans="1:5" ht="36" customHeight="1" x14ac:dyDescent="0.25">
      <c r="A1" s="9" t="s">
        <v>0</v>
      </c>
      <c r="B1" s="9" t="s">
        <v>16</v>
      </c>
      <c r="C1" s="10" t="s">
        <v>25</v>
      </c>
      <c r="D1" s="10" t="s">
        <v>26</v>
      </c>
      <c r="E1" s="14" t="s">
        <v>27</v>
      </c>
    </row>
    <row r="2" spans="1:5" x14ac:dyDescent="0.25">
      <c r="A2" s="9">
        <v>1</v>
      </c>
      <c r="B2" s="35" t="s">
        <v>219</v>
      </c>
      <c r="C2" s="6">
        <v>100</v>
      </c>
      <c r="D2" s="6">
        <v>1100</v>
      </c>
      <c r="E2" s="13">
        <v>44197</v>
      </c>
    </row>
    <row r="3" spans="1:5" x14ac:dyDescent="0.25">
      <c r="A3" s="9">
        <v>2</v>
      </c>
      <c r="B3" s="35" t="s">
        <v>220</v>
      </c>
      <c r="C3" s="6">
        <v>200</v>
      </c>
      <c r="D3" s="6">
        <v>1100</v>
      </c>
      <c r="E3" s="13">
        <v>44197</v>
      </c>
    </row>
    <row r="4" spans="1:5" x14ac:dyDescent="0.25">
      <c r="A4" s="9">
        <v>3</v>
      </c>
      <c r="B4" s="35" t="s">
        <v>221</v>
      </c>
      <c r="C4" s="6">
        <v>300</v>
      </c>
      <c r="D4" s="6">
        <v>1100</v>
      </c>
      <c r="E4" s="13">
        <v>44197</v>
      </c>
    </row>
    <row r="5" spans="1:5" x14ac:dyDescent="0.25">
      <c r="A5" s="9">
        <v>4</v>
      </c>
      <c r="B5" s="35" t="s">
        <v>222</v>
      </c>
      <c r="C5" s="6">
        <v>400</v>
      </c>
      <c r="D5" s="6">
        <v>1100</v>
      </c>
      <c r="E5" s="13">
        <v>44197</v>
      </c>
    </row>
    <row r="6" spans="1:5" x14ac:dyDescent="0.25">
      <c r="A6" s="9">
        <v>5</v>
      </c>
      <c r="B6" s="35" t="s">
        <v>223</v>
      </c>
      <c r="C6" s="6">
        <v>500</v>
      </c>
      <c r="D6" s="6">
        <v>1100</v>
      </c>
      <c r="E6" s="13">
        <v>44197</v>
      </c>
    </row>
    <row r="7" spans="1:5" x14ac:dyDescent="0.25">
      <c r="A7" s="9">
        <v>6</v>
      </c>
      <c r="B7" s="35" t="s">
        <v>224</v>
      </c>
      <c r="C7" s="6">
        <v>600</v>
      </c>
      <c r="D7" s="6">
        <v>1100</v>
      </c>
      <c r="E7" s="13">
        <v>44197</v>
      </c>
    </row>
    <row r="8" spans="1:5" x14ac:dyDescent="0.25">
      <c r="A8" s="9">
        <v>7</v>
      </c>
      <c r="B8" s="35" t="s">
        <v>225</v>
      </c>
      <c r="C8" s="6">
        <v>700</v>
      </c>
      <c r="D8" s="6">
        <v>1100</v>
      </c>
      <c r="E8" s="13">
        <v>44197</v>
      </c>
    </row>
    <row r="9" spans="1:5" x14ac:dyDescent="0.25">
      <c r="A9" s="9">
        <v>8</v>
      </c>
      <c r="B9" s="35" t="s">
        <v>226</v>
      </c>
      <c r="C9" s="6">
        <v>800</v>
      </c>
      <c r="D9" s="6">
        <v>1100</v>
      </c>
      <c r="E9" s="13">
        <v>44197</v>
      </c>
    </row>
  </sheetData>
  <conditionalFormatting sqref="B2:B9">
    <cfRule type="expression" dxfId="27" priority="1">
      <formula>$AL2="Новинка следующего года"</formula>
    </cfRule>
    <cfRule type="expression" dxfId="26" priority="2">
      <formula>$AL2="Новинка текущего года"</formula>
    </cfRule>
    <cfRule type="expression" dxfId="25" priority="3">
      <formula>$AL2="Выведено из ассортимента текущего года"</formula>
    </cfRule>
  </conditionalFormatting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9"/>
  <dimension ref="A1:E4"/>
  <sheetViews>
    <sheetView workbookViewId="0">
      <selection activeCell="C1" sqref="C1"/>
    </sheetView>
  </sheetViews>
  <sheetFormatPr defaultColWidth="19.85546875" defaultRowHeight="15" x14ac:dyDescent="0.25"/>
  <cols>
    <col min="1" max="1" width="6.42578125" style="1" customWidth="1"/>
    <col min="2" max="2" width="19.85546875" style="12"/>
    <col min="3" max="3" width="26" style="2" customWidth="1"/>
  </cols>
  <sheetData>
    <row r="1" spans="1:5" ht="45" x14ac:dyDescent="0.25">
      <c r="A1" s="20" t="s">
        <v>0</v>
      </c>
      <c r="B1" s="21" t="s">
        <v>27</v>
      </c>
      <c r="C1" s="22" t="s">
        <v>1684</v>
      </c>
      <c r="D1" s="22" t="s">
        <v>1685</v>
      </c>
      <c r="E1" s="22" t="s">
        <v>1686</v>
      </c>
    </row>
    <row r="2" spans="1:5" x14ac:dyDescent="0.25">
      <c r="A2" s="1">
        <v>1</v>
      </c>
      <c r="B2" s="12">
        <v>43466</v>
      </c>
      <c r="C2" s="2">
        <v>77.942401607766882</v>
      </c>
      <c r="D2">
        <v>0.13379054000000001</v>
      </c>
      <c r="E2">
        <v>10.427956</v>
      </c>
    </row>
    <row r="3" spans="1:5" x14ac:dyDescent="0.25">
      <c r="A3" s="1">
        <v>2</v>
      </c>
      <c r="B3" s="12">
        <v>43831</v>
      </c>
      <c r="C3" s="2">
        <v>77.454604098733725</v>
      </c>
      <c r="D3">
        <v>0.13663293000000001</v>
      </c>
      <c r="E3">
        <v>10.5828495</v>
      </c>
    </row>
    <row r="4" spans="1:5" x14ac:dyDescent="0.25">
      <c r="A4" s="1">
        <v>3</v>
      </c>
      <c r="B4" s="12">
        <v>44197</v>
      </c>
      <c r="C4" s="2">
        <v>79.534016089999994</v>
      </c>
    </row>
  </sheetData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10"/>
  <dimension ref="A1:B8"/>
  <sheetViews>
    <sheetView workbookViewId="0">
      <selection activeCell="B8" sqref="B8"/>
    </sheetView>
  </sheetViews>
  <sheetFormatPr defaultRowHeight="15" x14ac:dyDescent="0.25"/>
  <cols>
    <col min="1" max="1" width="5.42578125" style="7" customWidth="1"/>
    <col min="2" max="2" width="24.42578125" style="1" customWidth="1"/>
  </cols>
  <sheetData>
    <row r="1" spans="1:2" x14ac:dyDescent="0.25">
      <c r="A1" s="7" t="s">
        <v>0</v>
      </c>
      <c r="B1" s="1" t="s">
        <v>32</v>
      </c>
    </row>
    <row r="2" spans="1:2" x14ac:dyDescent="0.25">
      <c r="A2" s="7">
        <v>1</v>
      </c>
      <c r="B2" s="1" t="s">
        <v>33</v>
      </c>
    </row>
    <row r="3" spans="1:2" x14ac:dyDescent="0.25">
      <c r="A3" s="7">
        <v>2</v>
      </c>
      <c r="B3" s="1" t="s">
        <v>34</v>
      </c>
    </row>
    <row r="4" spans="1:2" x14ac:dyDescent="0.25">
      <c r="A4" s="7">
        <v>3</v>
      </c>
      <c r="B4" s="1" t="s">
        <v>35</v>
      </c>
    </row>
    <row r="5" spans="1:2" x14ac:dyDescent="0.25">
      <c r="A5" s="7">
        <v>4</v>
      </c>
      <c r="B5" s="1" t="s">
        <v>234</v>
      </c>
    </row>
    <row r="6" spans="1:2" x14ac:dyDescent="0.25">
      <c r="A6" s="7">
        <v>5</v>
      </c>
      <c r="B6" s="1" t="s">
        <v>235</v>
      </c>
    </row>
    <row r="7" spans="1:2" x14ac:dyDescent="0.25">
      <c r="A7" s="7">
        <v>6</v>
      </c>
      <c r="B7" s="1" t="s">
        <v>236</v>
      </c>
    </row>
    <row r="8" spans="1:2" x14ac:dyDescent="0.25">
      <c r="A8" s="7">
        <v>7</v>
      </c>
      <c r="B8" s="1" t="s">
        <v>36</v>
      </c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12"/>
  <dimension ref="A1:C23"/>
  <sheetViews>
    <sheetView workbookViewId="0">
      <pane ySplit="1" topLeftCell="A2" activePane="bottomLeft" state="frozen"/>
      <selection pane="bottomLeft" activeCell="F42" sqref="F42"/>
    </sheetView>
  </sheetViews>
  <sheetFormatPr defaultRowHeight="15" x14ac:dyDescent="0.25"/>
  <cols>
    <col min="1" max="1" width="9.140625" style="7" bestFit="1" customWidth="1"/>
    <col min="2" max="2" width="19.5703125" style="8" bestFit="1" customWidth="1"/>
    <col min="3" max="3" width="31.28515625" style="8" bestFit="1" customWidth="1"/>
  </cols>
  <sheetData>
    <row r="1" spans="1:3" x14ac:dyDescent="0.25">
      <c r="A1" s="7" t="s">
        <v>44</v>
      </c>
      <c r="B1" s="8" t="s">
        <v>45</v>
      </c>
      <c r="C1" s="8" t="s">
        <v>41</v>
      </c>
    </row>
    <row r="2" spans="1:3" x14ac:dyDescent="0.25">
      <c r="A2" s="7">
        <v>1</v>
      </c>
      <c r="B2" s="8" t="s">
        <v>46</v>
      </c>
      <c r="C2" s="8" t="s">
        <v>420</v>
      </c>
    </row>
    <row r="3" spans="1:3" x14ac:dyDescent="0.25">
      <c r="A3" s="7">
        <v>2</v>
      </c>
      <c r="B3" s="8" t="s">
        <v>255</v>
      </c>
      <c r="C3" s="8" t="s">
        <v>259</v>
      </c>
    </row>
    <row r="4" spans="1:3" x14ac:dyDescent="0.25">
      <c r="A4" s="7">
        <v>3</v>
      </c>
      <c r="B4" s="8" t="s">
        <v>602</v>
      </c>
      <c r="C4" s="8" t="s">
        <v>604</v>
      </c>
    </row>
    <row r="5" spans="1:3" x14ac:dyDescent="0.25">
      <c r="A5" s="7">
        <v>4</v>
      </c>
      <c r="B5" s="8" t="s">
        <v>447</v>
      </c>
      <c r="C5" s="8" t="s">
        <v>441</v>
      </c>
    </row>
    <row r="6" spans="1:3" x14ac:dyDescent="0.25">
      <c r="A6" s="7">
        <v>5</v>
      </c>
      <c r="B6" s="8" t="s">
        <v>340</v>
      </c>
      <c r="C6" s="8" t="s">
        <v>342</v>
      </c>
    </row>
    <row r="7" spans="1:3" x14ac:dyDescent="0.25">
      <c r="A7" s="7">
        <v>6</v>
      </c>
      <c r="B7" s="8" t="s">
        <v>553</v>
      </c>
      <c r="C7" s="8" t="s">
        <v>555</v>
      </c>
    </row>
    <row r="8" spans="1:3" x14ac:dyDescent="0.25">
      <c r="A8" s="7">
        <v>7</v>
      </c>
      <c r="B8" s="8" t="s">
        <v>479</v>
      </c>
      <c r="C8" s="8" t="s">
        <v>481</v>
      </c>
    </row>
    <row r="9" spans="1:3" x14ac:dyDescent="0.25">
      <c r="A9" s="7">
        <v>8</v>
      </c>
      <c r="B9" s="8" t="s">
        <v>418</v>
      </c>
      <c r="C9" s="8" t="s">
        <v>420</v>
      </c>
    </row>
    <row r="10" spans="1:3" x14ac:dyDescent="0.25">
      <c r="A10" s="7">
        <v>9</v>
      </c>
      <c r="B10" s="8" t="s">
        <v>434</v>
      </c>
      <c r="C10" s="8" t="s">
        <v>259</v>
      </c>
    </row>
    <row r="11" spans="1:3" x14ac:dyDescent="0.25">
      <c r="A11" s="7">
        <v>10</v>
      </c>
      <c r="B11" s="8" t="s">
        <v>1179</v>
      </c>
      <c r="C11" s="8" t="s">
        <v>604</v>
      </c>
    </row>
    <row r="12" spans="1:3" x14ac:dyDescent="0.25">
      <c r="A12" s="7">
        <v>11</v>
      </c>
      <c r="B12" s="8" t="s">
        <v>439</v>
      </c>
      <c r="C12" s="8" t="s">
        <v>441</v>
      </c>
    </row>
    <row r="13" spans="1:3" x14ac:dyDescent="0.25">
      <c r="A13" s="7">
        <v>12</v>
      </c>
      <c r="B13" s="8" t="s">
        <v>437</v>
      </c>
      <c r="C13" s="8" t="s">
        <v>342</v>
      </c>
    </row>
    <row r="14" spans="1:3" x14ac:dyDescent="0.25">
      <c r="A14" s="7">
        <v>13</v>
      </c>
      <c r="B14" s="8" t="s">
        <v>1180</v>
      </c>
      <c r="C14" s="8" t="s">
        <v>555</v>
      </c>
    </row>
    <row r="15" spans="1:3" x14ac:dyDescent="0.25">
      <c r="A15" s="7">
        <v>14</v>
      </c>
      <c r="B15" s="8" t="s">
        <v>1181</v>
      </c>
      <c r="C15" s="8" t="s">
        <v>481</v>
      </c>
    </row>
    <row r="16" spans="1:3" x14ac:dyDescent="0.25">
      <c r="A16" s="7">
        <v>15</v>
      </c>
      <c r="B16" s="8" t="s">
        <v>424</v>
      </c>
      <c r="C16" s="8" t="s">
        <v>427</v>
      </c>
    </row>
    <row r="17" spans="1:3" x14ac:dyDescent="0.25">
      <c r="A17" s="7">
        <v>16</v>
      </c>
      <c r="B17" s="8" t="s">
        <v>244</v>
      </c>
      <c r="C17" s="8" t="s">
        <v>247</v>
      </c>
    </row>
    <row r="18" spans="1:3" x14ac:dyDescent="0.25">
      <c r="A18" s="7">
        <v>17</v>
      </c>
      <c r="B18" s="8" t="s">
        <v>330</v>
      </c>
      <c r="C18" s="8" t="s">
        <v>332</v>
      </c>
    </row>
    <row r="19" spans="1:3" x14ac:dyDescent="0.25">
      <c r="A19" s="7">
        <v>18</v>
      </c>
      <c r="B19" s="8" t="s">
        <v>312</v>
      </c>
      <c r="C19" s="8" t="s">
        <v>315</v>
      </c>
    </row>
    <row r="20" spans="1:3" x14ac:dyDescent="0.25">
      <c r="A20" s="7">
        <v>19</v>
      </c>
      <c r="B20" s="8" t="s">
        <v>443</v>
      </c>
      <c r="C20" s="8" t="s">
        <v>446</v>
      </c>
    </row>
    <row r="21" spans="1:3" x14ac:dyDescent="0.25">
      <c r="A21" s="7">
        <v>20</v>
      </c>
      <c r="B21" s="8" t="s">
        <v>412</v>
      </c>
      <c r="C21" s="8" t="s">
        <v>415</v>
      </c>
    </row>
    <row r="22" spans="1:3" x14ac:dyDescent="0.25">
      <c r="A22" s="7">
        <v>21</v>
      </c>
      <c r="B22" s="8" t="s">
        <v>1182</v>
      </c>
      <c r="C22" s="8" t="s">
        <v>1183</v>
      </c>
    </row>
    <row r="23" spans="1:3" x14ac:dyDescent="0.25">
      <c r="A23" s="7">
        <v>22</v>
      </c>
      <c r="B23" s="8" t="s">
        <v>1184</v>
      </c>
      <c r="C23" s="8" t="s">
        <v>1183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19</vt:i4>
      </vt:variant>
      <vt:variant>
        <vt:lpstr>Именованные диапазоны</vt:lpstr>
      </vt:variant>
      <vt:variant>
        <vt:i4>2</vt:i4>
      </vt:variant>
    </vt:vector>
  </HeadingPairs>
  <TitlesOfParts>
    <vt:vector size="21" baseType="lpstr">
      <vt:lpstr>Товары</vt:lpstr>
      <vt:lpstr>Клиенты</vt:lpstr>
      <vt:lpstr>Структура ассортимента</vt:lpstr>
      <vt:lpstr>Скидки</vt:lpstr>
      <vt:lpstr>РРЦ</vt:lpstr>
      <vt:lpstr>Структура цен DIY</vt:lpstr>
      <vt:lpstr>Планирование</vt:lpstr>
      <vt:lpstr>Прайс лист</vt:lpstr>
      <vt:lpstr>Планирование нового года шаблон</vt:lpstr>
      <vt:lpstr>Exclusives</vt:lpstr>
      <vt:lpstr>Channel type</vt:lpstr>
      <vt:lpstr>Сертификация</vt:lpstr>
      <vt:lpstr>Customer status</vt:lpstr>
      <vt:lpstr>Продуктовые календари</vt:lpstr>
      <vt:lpstr>Статусы товаров</vt:lpstr>
      <vt:lpstr>STK</vt:lpstr>
      <vt:lpstr>Бюджетные курсы</vt:lpstr>
      <vt:lpstr>Эксклюзивность</vt:lpstr>
      <vt:lpstr>GardenChannel</vt:lpstr>
      <vt:lpstr>PlanningNYCell</vt:lpstr>
      <vt:lpstr>АТ7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Arslan</dc:creator>
  <cp:lastModifiedBy>Руслан Шедиков</cp:lastModifiedBy>
  <dcterms:created xsi:type="dcterms:W3CDTF">2020-05-26T07:49:30Z</dcterms:created>
  <dcterms:modified xsi:type="dcterms:W3CDTF">2020-07-23T12:49:32Z</dcterms:modified>
</cp:coreProperties>
</file>